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9-22-25\"/>
    </mc:Choice>
  </mc:AlternateContent>
  <xr:revisionPtr revIDLastSave="0" documentId="13_ncr:1_{945A7A33-320A-4E09-A924-D6DE976EDD84}" xr6:coauthVersionLast="47" xr6:coauthVersionMax="47" xr10:uidLastSave="{00000000-0000-0000-0000-000000000000}"/>
  <bookViews>
    <workbookView xWindow="-28920" yWindow="-120" windowWidth="29040" windowHeight="15720" activeTab="1" xr2:uid="{D3CE8A8A-DCAB-4CEF-8928-E8DEDD6332B6}"/>
  </bookViews>
  <sheets>
    <sheet name="Sheet0" sheetId="1" r:id="rId1"/>
    <sheet name="Sheet1" sheetId="2" r:id="rId2"/>
    <sheet name="Sheet2" sheetId="3" r:id="rId3"/>
  </sheets>
  <externalReferences>
    <externalReference r:id="rId4"/>
  </externalReferences>
  <definedNames>
    <definedName name="_xlnm._FilterDatabase" localSheetId="1" hidden="1">Sheet1!$A$1:$Q$366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2" l="1"/>
  <c r="F19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115" i="2"/>
  <c r="J116" i="2"/>
  <c r="J114" i="2"/>
  <c r="J313" i="2"/>
  <c r="J318" i="2"/>
  <c r="J314" i="2"/>
  <c r="J290" i="2"/>
  <c r="J196" i="2"/>
  <c r="J154" i="2"/>
  <c r="J296" i="2"/>
  <c r="J280" i="2"/>
  <c r="J254" i="2"/>
  <c r="J226" i="2"/>
  <c r="J163" i="2"/>
  <c r="J255" i="2"/>
  <c r="J249" i="2"/>
  <c r="J127" i="2"/>
  <c r="J286" i="2"/>
  <c r="J199" i="2"/>
  <c r="J186" i="2"/>
  <c r="J125" i="2"/>
  <c r="J126" i="2"/>
  <c r="J295" i="2"/>
  <c r="J282" i="2"/>
  <c r="J221" i="2"/>
  <c r="J222" i="2"/>
  <c r="J193" i="2"/>
  <c r="J165" i="2"/>
  <c r="J123" i="2"/>
  <c r="J142" i="2"/>
  <c r="J257" i="2"/>
  <c r="J281" i="2"/>
  <c r="J265" i="2"/>
  <c r="J231" i="2"/>
  <c r="J247" i="2"/>
  <c r="J187" i="2"/>
  <c r="J297" i="2"/>
  <c r="J298" i="2"/>
  <c r="J299" i="2"/>
  <c r="J300" i="2"/>
  <c r="J157" i="2"/>
  <c r="J216" i="2"/>
  <c r="J156" i="2"/>
  <c r="J152" i="2"/>
  <c r="J139" i="2"/>
  <c r="J122" i="2"/>
  <c r="J309" i="2"/>
  <c r="J277" i="2"/>
  <c r="J203" i="2"/>
  <c r="J242" i="2"/>
  <c r="J211" i="2"/>
  <c r="J167" i="2"/>
  <c r="J185" i="2"/>
  <c r="J144" i="2"/>
  <c r="J202" i="2"/>
  <c r="J253" i="2"/>
  <c r="J244" i="2"/>
  <c r="J230" i="2"/>
  <c r="J169" i="2"/>
  <c r="J153" i="2"/>
  <c r="J137" i="2"/>
  <c r="J138" i="2"/>
  <c r="J151" i="2"/>
  <c r="J310" i="2"/>
  <c r="J302" i="2"/>
  <c r="J261" i="2"/>
  <c r="J200" i="2"/>
  <c r="J240" i="2"/>
  <c r="J241" i="2"/>
  <c r="J194" i="2"/>
  <c r="J195" i="2"/>
  <c r="J178" i="2"/>
  <c r="J225" i="2"/>
  <c r="J248" i="2"/>
  <c r="J166" i="2"/>
  <c r="J143" i="2"/>
  <c r="J150" i="2"/>
  <c r="J243" i="2"/>
  <c r="J215" i="2"/>
  <c r="J182" i="2"/>
  <c r="J218" i="2"/>
  <c r="J141" i="2"/>
  <c r="J121" i="2"/>
  <c r="J263" i="2"/>
  <c r="J262" i="2"/>
  <c r="J181" i="2"/>
  <c r="J206" i="2"/>
  <c r="J229" i="2"/>
  <c r="J217" i="2"/>
  <c r="J246" i="2"/>
  <c r="J135" i="2"/>
  <c r="J136" i="2"/>
  <c r="J128" i="2"/>
  <c r="J155" i="2"/>
  <c r="J260" i="2"/>
  <c r="J258" i="2"/>
  <c r="J269" i="2"/>
  <c r="J276" i="2"/>
  <c r="J201" i="2"/>
  <c r="J256" i="2"/>
  <c r="J238" i="2"/>
  <c r="J239" i="2"/>
  <c r="J179" i="2"/>
  <c r="J252" i="2"/>
  <c r="J212" i="2"/>
  <c r="J198" i="2"/>
  <c r="J210" i="2"/>
  <c r="J119" i="2"/>
  <c r="J120" i="2"/>
  <c r="J149" i="2"/>
  <c r="J214" i="2"/>
  <c r="J220" i="2"/>
  <c r="J174" i="2"/>
  <c r="J175" i="2"/>
  <c r="J176" i="2"/>
  <c r="J177" i="2"/>
  <c r="J223" i="2"/>
  <c r="J224" i="2"/>
  <c r="J158" i="2"/>
  <c r="J159" i="2"/>
  <c r="J160" i="2"/>
  <c r="J161" i="2"/>
  <c r="J147" i="2"/>
  <c r="J148" i="2"/>
  <c r="J189" i="2"/>
  <c r="J190" i="2"/>
  <c r="J191" i="2"/>
  <c r="J192" i="2"/>
  <c r="J268" i="2"/>
  <c r="J305" i="2"/>
  <c r="J306" i="2"/>
  <c r="J307" i="2"/>
  <c r="J308" i="2"/>
  <c r="J171" i="2"/>
  <c r="J172" i="2"/>
  <c r="J173" i="2"/>
  <c r="J312" i="2"/>
  <c r="J133" i="2"/>
  <c r="J134" i="2"/>
  <c r="J145" i="2"/>
  <c r="J140" i="2"/>
  <c r="J124" i="2"/>
  <c r="J303" i="2"/>
  <c r="J304" i="2"/>
  <c r="J259" i="2"/>
  <c r="J264" i="2"/>
  <c r="J287" i="2"/>
  <c r="J267" i="2"/>
  <c r="J274" i="2"/>
  <c r="J275" i="2"/>
  <c r="J271" i="2"/>
  <c r="J270" i="2"/>
  <c r="J227" i="2"/>
  <c r="J236" i="2"/>
  <c r="J237" i="2"/>
  <c r="J168" i="2"/>
  <c r="J162" i="2"/>
  <c r="J183" i="2"/>
  <c r="J184" i="2"/>
  <c r="J207" i="2"/>
  <c r="J250" i="2"/>
  <c r="J245" i="2"/>
  <c r="J228" i="2"/>
  <c r="J233" i="2"/>
  <c r="J234" i="2"/>
  <c r="J288" i="2"/>
  <c r="J289" i="2"/>
  <c r="J204" i="2"/>
  <c r="J205" i="2"/>
  <c r="J283" i="2"/>
  <c r="J284" i="2"/>
  <c r="J292" i="2"/>
  <c r="J293" i="2"/>
  <c r="J294" i="2"/>
  <c r="J130" i="2"/>
  <c r="J131" i="2"/>
  <c r="J132" i="2"/>
  <c r="J117" i="2"/>
  <c r="J118" i="2"/>
  <c r="J301" i="2"/>
  <c r="J272" i="2"/>
  <c r="J273" i="2"/>
  <c r="J278" i="2"/>
  <c r="J279" i="2"/>
  <c r="J285" i="2"/>
  <c r="J219" i="2"/>
  <c r="J235" i="2"/>
  <c r="J180" i="2"/>
  <c r="J208" i="2"/>
  <c r="J209" i="2"/>
  <c r="J197" i="2"/>
  <c r="J188" i="2"/>
  <c r="J213" i="2"/>
  <c r="J232" i="2"/>
  <c r="J129" i="2"/>
  <c r="J146" i="2"/>
  <c r="J311" i="2"/>
  <c r="J291" i="2"/>
  <c r="J266" i="2"/>
  <c r="J251" i="2"/>
  <c r="J170" i="2"/>
  <c r="J164" i="2"/>
  <c r="J61" i="2"/>
  <c r="J58" i="2"/>
  <c r="J62" i="2"/>
  <c r="J70" i="2"/>
  <c r="J71" i="2"/>
  <c r="J91" i="2"/>
  <c r="J9" i="2"/>
  <c r="J4" i="2"/>
  <c r="J30" i="2"/>
  <c r="J51" i="2"/>
  <c r="J52" i="2"/>
  <c r="J42" i="2"/>
  <c r="J43" i="2"/>
  <c r="J92" i="2"/>
  <c r="J44" i="2"/>
  <c r="J74" i="2"/>
  <c r="J75" i="2"/>
  <c r="J56" i="2"/>
  <c r="J72" i="2"/>
  <c r="J108" i="2"/>
  <c r="J112" i="2"/>
  <c r="J94" i="2"/>
  <c r="J3" i="2"/>
  <c r="J40" i="2"/>
  <c r="J93" i="2"/>
  <c r="J48" i="2"/>
  <c r="J46" i="2"/>
  <c r="J47" i="2"/>
  <c r="J21" i="2"/>
  <c r="J20" i="2"/>
  <c r="J83" i="2"/>
  <c r="J38" i="2"/>
  <c r="J41" i="2"/>
  <c r="J23" i="2"/>
  <c r="J87" i="2"/>
  <c r="J76" i="2"/>
  <c r="J77" i="2"/>
  <c r="J109" i="2"/>
  <c r="J104" i="2"/>
  <c r="J2" i="2"/>
  <c r="J7" i="2"/>
  <c r="J16" i="2"/>
  <c r="J45" i="2"/>
  <c r="J22" i="2"/>
  <c r="J54" i="2"/>
  <c r="J27" i="2"/>
  <c r="J106" i="2"/>
  <c r="J50" i="2"/>
  <c r="J88" i="2"/>
  <c r="J49" i="2"/>
  <c r="J63" i="2"/>
  <c r="J103" i="2"/>
  <c r="J107" i="2"/>
  <c r="J12" i="2"/>
  <c r="J14" i="2"/>
  <c r="J18" i="2"/>
  <c r="J31" i="2"/>
  <c r="J89" i="2"/>
  <c r="J69" i="2"/>
  <c r="J99" i="2"/>
  <c r="J100" i="2"/>
  <c r="J24" i="2"/>
  <c r="J25" i="2"/>
  <c r="J53" i="2"/>
  <c r="J316" i="2"/>
  <c r="J111" i="2"/>
  <c r="J320" i="2"/>
  <c r="J319" i="2"/>
  <c r="J55" i="2"/>
  <c r="J29" i="2"/>
  <c r="J13" i="2"/>
  <c r="J64" i="2"/>
  <c r="J65" i="2"/>
  <c r="J78" i="2"/>
  <c r="J79" i="2"/>
  <c r="J80" i="2"/>
  <c r="J57" i="2"/>
  <c r="J73" i="2"/>
  <c r="J110" i="2"/>
  <c r="J105" i="2"/>
  <c r="J6" i="2"/>
  <c r="J5" i="2"/>
  <c r="J8" i="2"/>
  <c r="J17" i="2"/>
  <c r="J32" i="2"/>
  <c r="J33" i="2"/>
  <c r="J37" i="2"/>
  <c r="J15" i="2"/>
  <c r="J26" i="2"/>
  <c r="J97" i="2"/>
  <c r="J98" i="2"/>
  <c r="J84" i="2"/>
  <c r="J28" i="2"/>
  <c r="J317" i="2"/>
  <c r="J66" i="2"/>
  <c r="J102" i="2"/>
  <c r="J315" i="2"/>
  <c r="J34" i="2"/>
  <c r="J39" i="2"/>
  <c r="J86" i="2"/>
  <c r="J67" i="2"/>
  <c r="J68" i="2"/>
  <c r="J59" i="2"/>
  <c r="J60" i="2"/>
  <c r="J35" i="2"/>
  <c r="J36" i="2"/>
  <c r="J95" i="2"/>
  <c r="J96" i="2"/>
  <c r="J90" i="2"/>
  <c r="J81" i="2"/>
  <c r="J113" i="2"/>
  <c r="J101" i="2"/>
  <c r="J11" i="2"/>
  <c r="J85" i="2"/>
  <c r="J82" i="2"/>
  <c r="J19" i="2"/>
  <c r="F203" i="2"/>
  <c r="B1" i="3" a="1"/>
  <c r="B1" i="3" s="1"/>
  <c r="F318" i="2"/>
  <c r="F313" i="2"/>
  <c r="F87" i="2"/>
  <c r="F248" i="2"/>
  <c r="F153" i="2"/>
  <c r="F37" i="2"/>
  <c r="F73" i="2"/>
  <c r="F8" i="2"/>
  <c r="F24" i="2"/>
  <c r="F25" i="2"/>
  <c r="F99" i="2"/>
  <c r="F100" i="2"/>
  <c r="F18" i="2"/>
  <c r="F107" i="2"/>
  <c r="F89" i="2"/>
  <c r="F14" i="2"/>
  <c r="F204" i="2"/>
  <c r="F205" i="2"/>
  <c r="F283" i="2"/>
  <c r="F284" i="2"/>
  <c r="F285" i="2"/>
  <c r="F287" i="2"/>
  <c r="F282" i="2"/>
  <c r="F255" i="2"/>
  <c r="F227" i="2"/>
  <c r="F271" i="2"/>
  <c r="F183" i="2"/>
  <c r="F303" i="2"/>
  <c r="F184" i="2"/>
  <c r="F304" i="2"/>
  <c r="F189" i="2"/>
  <c r="F305" i="2"/>
  <c r="F190" i="2"/>
  <c r="F306" i="2"/>
  <c r="F191" i="2"/>
  <c r="F307" i="2"/>
  <c r="F192" i="2"/>
  <c r="F308" i="2"/>
  <c r="F256" i="2"/>
  <c r="F258" i="2"/>
  <c r="F253" i="2"/>
  <c r="F185" i="2"/>
  <c r="F309" i="2"/>
  <c r="F169" i="2"/>
  <c r="F278" i="2"/>
  <c r="F279" i="2"/>
  <c r="F280" i="2"/>
  <c r="F86" i="2"/>
  <c r="F13" i="2"/>
  <c r="F53" i="2"/>
  <c r="F69" i="2"/>
  <c r="F94" i="2"/>
  <c r="F247" i="2"/>
  <c r="F142" i="2"/>
  <c r="F281" i="2"/>
  <c r="F292" i="2"/>
  <c r="F293" i="2"/>
  <c r="F294" i="2"/>
  <c r="F288" i="2"/>
  <c r="F289" i="2"/>
  <c r="F228" i="2"/>
  <c r="F124" i="2"/>
  <c r="F270" i="2"/>
  <c r="F290" i="2"/>
  <c r="F28" i="2"/>
  <c r="F110" i="2"/>
  <c r="F35" i="2"/>
  <c r="F67" i="2"/>
  <c r="F36" i="2"/>
  <c r="F68" i="2"/>
  <c r="F34" i="2"/>
  <c r="F66" i="2"/>
  <c r="F102" i="2"/>
  <c r="F32" i="2"/>
  <c r="F64" i="2"/>
  <c r="F5" i="2"/>
  <c r="F33" i="2"/>
  <c r="F65" i="2"/>
  <c r="F105" i="2"/>
  <c r="F55" i="2"/>
  <c r="F31" i="2"/>
  <c r="F63" i="2"/>
  <c r="F27" i="2"/>
  <c r="F109" i="2"/>
  <c r="F30" i="2"/>
  <c r="F62" i="2"/>
  <c r="F4" i="2"/>
  <c r="F232" i="2"/>
  <c r="F129" i="2"/>
  <c r="F233" i="2"/>
  <c r="F130" i="2"/>
  <c r="F234" i="2"/>
  <c r="F131" i="2"/>
  <c r="F235" i="2"/>
  <c r="F132" i="2"/>
  <c r="F273" i="2"/>
  <c r="F236" i="2"/>
  <c r="F133" i="2"/>
  <c r="F274" i="2"/>
  <c r="F237" i="2"/>
  <c r="F134" i="2"/>
  <c r="F275" i="2"/>
  <c r="F238" i="2"/>
  <c r="F135" i="2"/>
  <c r="F276" i="2"/>
  <c r="F239" i="2"/>
  <c r="F136" i="2"/>
  <c r="F260" i="2"/>
  <c r="F178" i="2"/>
  <c r="F310" i="2"/>
  <c r="F240" i="2"/>
  <c r="F137" i="2"/>
  <c r="F241" i="2"/>
  <c r="F138" i="2"/>
  <c r="F261" i="2"/>
  <c r="F200" i="2"/>
  <c r="F242" i="2"/>
  <c r="F139" i="2"/>
  <c r="F277" i="2"/>
  <c r="F48" i="2"/>
  <c r="F207" i="2"/>
  <c r="F162" i="2"/>
  <c r="F312" i="2"/>
  <c r="F263" i="2"/>
  <c r="F230" i="2"/>
  <c r="F101" i="2"/>
  <c r="F12" i="2"/>
  <c r="F103" i="2"/>
  <c r="F2" i="2"/>
  <c r="F92" i="2"/>
  <c r="F58" i="2"/>
  <c r="F251" i="2"/>
  <c r="F266" i="2"/>
  <c r="F268" i="2"/>
  <c r="F267" i="2"/>
  <c r="F174" i="2"/>
  <c r="F175" i="2"/>
  <c r="F176" i="2"/>
  <c r="F177" i="2"/>
  <c r="F158" i="2"/>
  <c r="F159" i="2"/>
  <c r="F160" i="2"/>
  <c r="F161" i="2"/>
  <c r="F252" i="2"/>
  <c r="F269" i="2"/>
  <c r="F82" i="2"/>
  <c r="F85" i="2"/>
  <c r="F113" i="2"/>
  <c r="F11" i="2"/>
  <c r="F81" i="2"/>
  <c r="F90" i="2"/>
  <c r="F39" i="2"/>
  <c r="F84" i="2"/>
  <c r="F78" i="2"/>
  <c r="F26" i="2"/>
  <c r="F97" i="2"/>
  <c r="F79" i="2"/>
  <c r="F98" i="2"/>
  <c r="F80" i="2"/>
  <c r="F88" i="2"/>
  <c r="F16" i="2"/>
  <c r="F76" i="2"/>
  <c r="F22" i="2"/>
  <c r="F77" i="2"/>
  <c r="F21" i="2"/>
  <c r="F74" i="2"/>
  <c r="F83" i="2"/>
  <c r="F75" i="2"/>
  <c r="F219" i="2"/>
  <c r="F226" i="2"/>
  <c r="F154" i="2"/>
  <c r="F196" i="2"/>
  <c r="F95" i="2"/>
  <c r="F59" i="2"/>
  <c r="F96" i="2"/>
  <c r="F60" i="2"/>
  <c r="F179" i="2"/>
  <c r="F212" i="2"/>
  <c r="F128" i="2"/>
  <c r="F46" i="2"/>
  <c r="F47" i="2"/>
  <c r="F157" i="2"/>
  <c r="F231" i="2"/>
  <c r="F123" i="2"/>
  <c r="F257" i="2"/>
  <c r="F364" i="2"/>
  <c r="F357" i="2"/>
  <c r="F358" i="2"/>
  <c r="F354" i="2"/>
  <c r="F352" i="2"/>
  <c r="F349" i="2"/>
  <c r="F347" i="2"/>
  <c r="F344" i="2"/>
  <c r="F342" i="2"/>
  <c r="F330" i="2"/>
  <c r="F331" i="2"/>
  <c r="F332" i="2"/>
  <c r="F333" i="2"/>
  <c r="F327" i="2"/>
  <c r="F323" i="2"/>
  <c r="F324" i="2"/>
  <c r="F365" i="2"/>
  <c r="F362" i="2"/>
  <c r="F359" i="2"/>
  <c r="F355" i="2"/>
  <c r="F350" i="2"/>
  <c r="F363" i="2"/>
  <c r="F321" i="2"/>
  <c r="F360" i="2"/>
  <c r="F361" i="2"/>
  <c r="F356" i="2"/>
  <c r="F353" i="2"/>
  <c r="F366" i="2"/>
  <c r="F345" i="2"/>
  <c r="F334" i="2"/>
  <c r="F335" i="2"/>
  <c r="F336" i="2"/>
  <c r="F328" i="2"/>
  <c r="F322" i="2"/>
  <c r="F351" i="2"/>
  <c r="F348" i="2"/>
  <c r="F337" i="2"/>
  <c r="F346" i="2"/>
  <c r="F343" i="2"/>
  <c r="F338" i="2"/>
  <c r="F339" i="2"/>
  <c r="F340" i="2"/>
  <c r="F341" i="2"/>
  <c r="F329" i="2"/>
  <c r="F325" i="2"/>
  <c r="F326" i="2"/>
  <c r="F114" i="2"/>
  <c r="F115" i="2"/>
  <c r="F116" i="2"/>
  <c r="F38" i="2"/>
  <c r="F20" i="2"/>
  <c r="F72" i="2"/>
  <c r="F23" i="2"/>
  <c r="F112" i="2"/>
  <c r="F42" i="2"/>
  <c r="F70" i="2"/>
  <c r="F51" i="2"/>
  <c r="F52" i="2"/>
  <c r="F43" i="2"/>
  <c r="F71" i="2"/>
  <c r="F213" i="2"/>
  <c r="F146" i="2"/>
  <c r="F188" i="2"/>
  <c r="F301" i="2"/>
  <c r="F180" i="2"/>
  <c r="F223" i="2"/>
  <c r="F147" i="2"/>
  <c r="F224" i="2"/>
  <c r="F148" i="2"/>
  <c r="F214" i="2"/>
  <c r="F149" i="2"/>
  <c r="F198" i="2"/>
  <c r="F155" i="2"/>
  <c r="F181" i="2"/>
  <c r="F218" i="2"/>
  <c r="F215" i="2"/>
  <c r="F150" i="2"/>
  <c r="F225" i="2"/>
  <c r="F151" i="2"/>
  <c r="F194" i="2"/>
  <c r="F166" i="2"/>
  <c r="F302" i="2"/>
  <c r="F195" i="2"/>
  <c r="F216" i="2"/>
  <c r="F152" i="2"/>
  <c r="F167" i="2"/>
  <c r="F17" i="2"/>
  <c r="F6" i="2"/>
  <c r="F29" i="2"/>
  <c r="F111" i="2"/>
  <c r="F201" i="2"/>
  <c r="F182" i="2"/>
  <c r="F244" i="2"/>
  <c r="F144" i="2"/>
  <c r="F202" i="2"/>
  <c r="F221" i="2"/>
  <c r="F125" i="2"/>
  <c r="F222" i="2"/>
  <c r="F126" i="2"/>
  <c r="F165" i="2"/>
  <c r="F295" i="2"/>
  <c r="F199" i="2"/>
  <c r="F127" i="2"/>
  <c r="F186" i="2"/>
  <c r="F156" i="2"/>
  <c r="F168" i="2"/>
  <c r="F264" i="2"/>
  <c r="F54" i="2"/>
  <c r="F9" i="2"/>
  <c r="F10" i="2"/>
  <c r="F91" i="2"/>
  <c r="F170" i="2"/>
  <c r="F311" i="2"/>
  <c r="F171" i="2"/>
  <c r="F172" i="2"/>
  <c r="F173" i="2"/>
  <c r="F245" i="2"/>
  <c r="F140" i="2"/>
  <c r="F229" i="2"/>
  <c r="F262" i="2"/>
  <c r="F246" i="2"/>
  <c r="F141" i="2"/>
  <c r="F15" i="2"/>
  <c r="F57" i="2"/>
  <c r="F50" i="2"/>
  <c r="F41" i="2"/>
  <c r="F108" i="2"/>
  <c r="F40" i="2"/>
  <c r="F56" i="2"/>
  <c r="F164" i="2"/>
  <c r="F291" i="2"/>
  <c r="F208" i="2"/>
  <c r="F117" i="2"/>
  <c r="F209" i="2"/>
  <c r="F118" i="2"/>
  <c r="F210" i="2"/>
  <c r="F119" i="2"/>
  <c r="F220" i="2"/>
  <c r="F120" i="2"/>
  <c r="F217" i="2"/>
  <c r="F121" i="2"/>
  <c r="F206" i="2"/>
  <c r="F211" i="2"/>
  <c r="F122" i="2"/>
  <c r="F7" i="2"/>
  <c r="F265" i="2"/>
  <c r="F297" i="2"/>
  <c r="F298" i="2"/>
  <c r="F299" i="2"/>
  <c r="F187" i="2"/>
  <c r="F300" i="2"/>
  <c r="F45" i="2"/>
  <c r="F104" i="2"/>
  <c r="F286" i="2"/>
  <c r="F249" i="2"/>
  <c r="F243" i="2"/>
  <c r="F143" i="2"/>
  <c r="F315" i="2"/>
  <c r="F317" i="2"/>
  <c r="F319" i="2"/>
  <c r="F316" i="2"/>
  <c r="F320" i="2"/>
  <c r="F250" i="2"/>
  <c r="F145" i="2"/>
  <c r="F93" i="2"/>
  <c r="F3" i="2"/>
  <c r="F44" i="2"/>
  <c r="F61" i="2"/>
  <c r="F272" i="2"/>
  <c r="F163" i="2"/>
  <c r="F296" i="2"/>
  <c r="F254" i="2"/>
  <c r="F49" i="2"/>
  <c r="F106" i="2"/>
  <c r="F259" i="2"/>
  <c r="F193" i="2"/>
  <c r="F197" i="2"/>
  <c r="F31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<sst xmlns="http://schemas.openxmlformats.org/spreadsheetml/2006/main" count="11090" uniqueCount="929">
  <si>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</si>
  <si>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</si>
  <si>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</si>
  <si>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</si>
  <si>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</si>
  <si>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</si>
  <si>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</si>
  <si>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</si>
  <si>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</si>
  <si>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</si>
  <si>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</si>
  <si>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</si>
  <si>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</si>
  <si>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</si>
  <si>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</si>
  <si>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</si>
  <si>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</si>
  <si>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</si>
  <si>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</si>
  <si>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</si>
  <si>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</si>
  <si>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</si>
  <si>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</si>
  <si>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</si>
  <si>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</si>
  <si>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</si>
  <si>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</si>
  <si>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</si>
  <si>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2511</t>
  </si>
  <si>
    <t>14551</t>
  </si>
  <si>
    <t>MAIN LINE BENEFITS LLC</t>
  </si>
  <si>
    <t>KATHLEEN FALLON</t>
  </si>
  <si>
    <t>DEN</t>
  </si>
  <si>
    <t>20250917</t>
  </si>
  <si>
    <t>20250919</t>
  </si>
  <si>
    <t>20230517</t>
  </si>
  <si>
    <t>X1835</t>
  </si>
  <si>
    <t/>
  </si>
  <si>
    <t>Individual</t>
  </si>
  <si>
    <t>847355727</t>
  </si>
  <si>
    <t>0</t>
  </si>
  <si>
    <t>20250922</t>
  </si>
  <si>
    <t>2</t>
  </si>
  <si>
    <t>HRG</t>
  </si>
  <si>
    <t>14552</t>
  </si>
  <si>
    <t>VIS</t>
  </si>
  <si>
    <t>35261</t>
  </si>
  <si>
    <t>NICOLE WILSON</t>
  </si>
  <si>
    <t>20250915</t>
  </si>
  <si>
    <t>20230615</t>
  </si>
  <si>
    <t>KUCAN,THOMAS*</t>
  </si>
  <si>
    <t>010P1121</t>
  </si>
  <si>
    <t>847368365</t>
  </si>
  <si>
    <t>LSK</t>
  </si>
  <si>
    <t>55069</t>
  </si>
  <si>
    <t>JEANETTE CIMINERA</t>
  </si>
  <si>
    <t>20230715</t>
  </si>
  <si>
    <t>KOZACHECK,ANNE MARIE*</t>
  </si>
  <si>
    <t>010W7663</t>
  </si>
  <si>
    <t>847380156</t>
  </si>
  <si>
    <t>56726</t>
  </si>
  <si>
    <t>DENISE CLARKSON</t>
  </si>
  <si>
    <t>20250911</t>
  </si>
  <si>
    <t>20230711</t>
  </si>
  <si>
    <t>847381187</t>
  </si>
  <si>
    <t>58316</t>
  </si>
  <si>
    <t>TIMOTHY DODSON</t>
  </si>
  <si>
    <t>847382130</t>
  </si>
  <si>
    <t>86998</t>
  </si>
  <si>
    <t>JORDAN GRADY</t>
  </si>
  <si>
    <t>20230811</t>
  </si>
  <si>
    <t>POWERS,TIMOTHY*</t>
  </si>
  <si>
    <t>0.74</t>
  </si>
  <si>
    <t>010X3704</t>
  </si>
  <si>
    <t>847399411</t>
  </si>
  <si>
    <t>0.03</t>
  </si>
  <si>
    <t>86999</t>
  </si>
  <si>
    <t>0.33</t>
  </si>
  <si>
    <t>2512</t>
  </si>
  <si>
    <t>1372</t>
  </si>
  <si>
    <t>MARIE JOHNSON</t>
  </si>
  <si>
    <t>20250901</t>
  </si>
  <si>
    <t>20230901</t>
  </si>
  <si>
    <t>847407970</t>
  </si>
  <si>
    <t>14659</t>
  </si>
  <si>
    <t>JODY NODGE</t>
  </si>
  <si>
    <t>20250913</t>
  </si>
  <si>
    <t>20230913</t>
  </si>
  <si>
    <t>0.64</t>
  </si>
  <si>
    <t>847415696</t>
  </si>
  <si>
    <t>14660</t>
  </si>
  <si>
    <t>54452</t>
  </si>
  <si>
    <t>WILLIAM A SCHALLER</t>
  </si>
  <si>
    <t>20251001</t>
  </si>
  <si>
    <t>20240101</t>
  </si>
  <si>
    <t>INSKIPT,DEBORAH,LEE*</t>
  </si>
  <si>
    <t>010X2513</t>
  </si>
  <si>
    <t>847439240</t>
  </si>
  <si>
    <t>82488</t>
  </si>
  <si>
    <t>NADA HAMOUH</t>
  </si>
  <si>
    <t>20250813</t>
  </si>
  <si>
    <t>20231113</t>
  </si>
  <si>
    <t>LEMON,CATHY*</t>
  </si>
  <si>
    <t>010X6256</t>
  </si>
  <si>
    <t>847456250</t>
  </si>
  <si>
    <t>85142</t>
  </si>
  <si>
    <t>COURTNEY B FREY</t>
  </si>
  <si>
    <t>20231115</t>
  </si>
  <si>
    <t>0.73</t>
  </si>
  <si>
    <t>847457787</t>
  </si>
  <si>
    <t>85519</t>
  </si>
  <si>
    <t>NANCY HANNAMAN-STEWART</t>
  </si>
  <si>
    <t>847458035</t>
  </si>
  <si>
    <t>85520</t>
  </si>
  <si>
    <t>89270</t>
  </si>
  <si>
    <t>ANGELA NOLFI</t>
  </si>
  <si>
    <t>20231117</t>
  </si>
  <si>
    <t>847460342</t>
  </si>
  <si>
    <t>89476</t>
  </si>
  <si>
    <t>ALESSANDRA NOLFI</t>
  </si>
  <si>
    <t>847460478</t>
  </si>
  <si>
    <t>2513</t>
  </si>
  <si>
    <t>41575</t>
  </si>
  <si>
    <t>NORINE LISCHY</t>
  </si>
  <si>
    <t>20231211</t>
  </si>
  <si>
    <t>847479552</t>
  </si>
  <si>
    <t>44688</t>
  </si>
  <si>
    <t>CHERYL A PORTER</t>
  </si>
  <si>
    <t>20231213</t>
  </si>
  <si>
    <t>847481424</t>
  </si>
  <si>
    <t>45979</t>
  </si>
  <si>
    <t>SHARON JOSEPH</t>
  </si>
  <si>
    <t>20231215</t>
  </si>
  <si>
    <t>847482210</t>
  </si>
  <si>
    <t>47488</t>
  </si>
  <si>
    <t>JEFFREY FRYDMAN</t>
  </si>
  <si>
    <t>20250914</t>
  </si>
  <si>
    <t>20250916</t>
  </si>
  <si>
    <t>20231214</t>
  </si>
  <si>
    <t>STERNER,MURRAY*</t>
  </si>
  <si>
    <t>9WUE</t>
  </si>
  <si>
    <t>847483105</t>
  </si>
  <si>
    <t>49983</t>
  </si>
  <si>
    <t>SUSAN CHANG</t>
  </si>
  <si>
    <t>847484571</t>
  </si>
  <si>
    <t>51107</t>
  </si>
  <si>
    <t>LAURIE JASON</t>
  </si>
  <si>
    <t>20250918</t>
  </si>
  <si>
    <t>20231216</t>
  </si>
  <si>
    <t>HOFFMANN,JASON,R*</t>
  </si>
  <si>
    <t>9RA4</t>
  </si>
  <si>
    <t>847485176</t>
  </si>
  <si>
    <t>52855</t>
  </si>
  <si>
    <t>ADAM M MILLER</t>
  </si>
  <si>
    <t>847485882</t>
  </si>
  <si>
    <t>77735</t>
  </si>
  <si>
    <t>TAMMY HEINRENDT</t>
  </si>
  <si>
    <t>20240111</t>
  </si>
  <si>
    <t>847500372</t>
  </si>
  <si>
    <t>77736</t>
  </si>
  <si>
    <t>79789</t>
  </si>
  <si>
    <t>ROSEMARY REBEIRO</t>
  </si>
  <si>
    <t>20240115</t>
  </si>
  <si>
    <t>847501615</t>
  </si>
  <si>
    <t>79861</t>
  </si>
  <si>
    <t>JOEL JOHNSON</t>
  </si>
  <si>
    <t>847501659</t>
  </si>
  <si>
    <t>83364</t>
  </si>
  <si>
    <t>JACOB STEVENSON</t>
  </si>
  <si>
    <t>20240116</t>
  </si>
  <si>
    <t>847503721</t>
  </si>
  <si>
    <t>83365</t>
  </si>
  <si>
    <t>83401</t>
  </si>
  <si>
    <t>DANA FRANCUS</t>
  </si>
  <si>
    <t>RICHTER,ADAM,J*</t>
  </si>
  <si>
    <t>010X4783</t>
  </si>
  <si>
    <t>847503742</t>
  </si>
  <si>
    <t>85108</t>
  </si>
  <si>
    <t>GINA LANG</t>
  </si>
  <si>
    <t>20240117</t>
  </si>
  <si>
    <t>MCCORKLE,MICHELLE*</t>
  </si>
  <si>
    <t>010X5405</t>
  </si>
  <si>
    <t>847504766</t>
  </si>
  <si>
    <t>85109</t>
  </si>
  <si>
    <t>85200</t>
  </si>
  <si>
    <t>KAREN JEAN BEYER</t>
  </si>
  <si>
    <t>AGUGLIA,SCOTT,CHRISTOPHER*</t>
  </si>
  <si>
    <t>010X4566</t>
  </si>
  <si>
    <t>847504822</t>
  </si>
  <si>
    <t>85201</t>
  </si>
  <si>
    <t>85375</t>
  </si>
  <si>
    <t>RACHEL SCHATZ</t>
  </si>
  <si>
    <t>20250817</t>
  </si>
  <si>
    <t>847504920</t>
  </si>
  <si>
    <t>2514</t>
  </si>
  <si>
    <t>9895</t>
  </si>
  <si>
    <t>DIANA J MOORE</t>
  </si>
  <si>
    <t>20240315</t>
  </si>
  <si>
    <t>847519361</t>
  </si>
  <si>
    <t>22514</t>
  </si>
  <si>
    <t>AMY S GRUBB</t>
  </si>
  <si>
    <t>20240217</t>
  </si>
  <si>
    <t>847526227</t>
  </si>
  <si>
    <t>51094</t>
  </si>
  <si>
    <t>JOSEPH WOOD</t>
  </si>
  <si>
    <t>847542956</t>
  </si>
  <si>
    <t>51095</t>
  </si>
  <si>
    <t>55345</t>
  </si>
  <si>
    <t>GINA MCDONALD</t>
  </si>
  <si>
    <t>847545412</t>
  </si>
  <si>
    <t>55359</t>
  </si>
  <si>
    <t>CHRISTY RUSSEL</t>
  </si>
  <si>
    <t>847545421</t>
  </si>
  <si>
    <t>89940</t>
  </si>
  <si>
    <t>MARYLYN MUDRICK</t>
  </si>
  <si>
    <t>20240415</t>
  </si>
  <si>
    <t>847567202</t>
  </si>
  <si>
    <t>91888</t>
  </si>
  <si>
    <t>JENNIFER L TIRK</t>
  </si>
  <si>
    <t>20240413</t>
  </si>
  <si>
    <t>847568358</t>
  </si>
  <si>
    <t>91889</t>
  </si>
  <si>
    <t>93426</t>
  </si>
  <si>
    <t>CHERYL GALLAGHER</t>
  </si>
  <si>
    <t>20240416</t>
  </si>
  <si>
    <t>1.46</t>
  </si>
  <si>
    <t>847569251</t>
  </si>
  <si>
    <t>0.05</t>
  </si>
  <si>
    <t>93427</t>
  </si>
  <si>
    <t>0.6</t>
  </si>
  <si>
    <t>2515</t>
  </si>
  <si>
    <t>5024</t>
  </si>
  <si>
    <t>MICHAEL F SCHUTZ</t>
  </si>
  <si>
    <t>20240501</t>
  </si>
  <si>
    <t>847575555</t>
  </si>
  <si>
    <t>5079</t>
  </si>
  <si>
    <t>ROBERT WRZENSKI</t>
  </si>
  <si>
    <t>20240515</t>
  </si>
  <si>
    <t>847575588</t>
  </si>
  <si>
    <t>28176</t>
  </si>
  <si>
    <t>JAYCEE LOVIC</t>
  </si>
  <si>
    <t>20240516</t>
  </si>
  <si>
    <t>847589102</t>
  </si>
  <si>
    <t>30115</t>
  </si>
  <si>
    <t>MICHELLE LEE GORDESKY</t>
  </si>
  <si>
    <t>20240517</t>
  </si>
  <si>
    <t>847590264</t>
  </si>
  <si>
    <t>30116</t>
  </si>
  <si>
    <t>30339</t>
  </si>
  <si>
    <t>TAMIA DAVIS</t>
  </si>
  <si>
    <t>847590399</t>
  </si>
  <si>
    <t>30340</t>
  </si>
  <si>
    <t>54305</t>
  </si>
  <si>
    <t>ALAN STOCKARD</t>
  </si>
  <si>
    <t>20240611</t>
  </si>
  <si>
    <t>847604578</t>
  </si>
  <si>
    <t>55554</t>
  </si>
  <si>
    <t>KAREN ASHELFORD</t>
  </si>
  <si>
    <t>20240615</t>
  </si>
  <si>
    <t>847605326</t>
  </si>
  <si>
    <t>58218</t>
  </si>
  <si>
    <t>WAYNE WILKE</t>
  </si>
  <si>
    <t>20240613</t>
  </si>
  <si>
    <t>847606893</t>
  </si>
  <si>
    <t>60120</t>
  </si>
  <si>
    <t>WYATT V RAYAS</t>
  </si>
  <si>
    <t>20240614</t>
  </si>
  <si>
    <t>TORRES,JOSE*</t>
  </si>
  <si>
    <t>010Y7360</t>
  </si>
  <si>
    <t>847608018</t>
  </si>
  <si>
    <t>60121</t>
  </si>
  <si>
    <t>84832</t>
  </si>
  <si>
    <t>SHANNON SANTAMARIA</t>
  </si>
  <si>
    <t>20250912</t>
  </si>
  <si>
    <t>20240712</t>
  </si>
  <si>
    <t>847622413</t>
  </si>
  <si>
    <t>89214</t>
  </si>
  <si>
    <t>EVAN STINSON</t>
  </si>
  <si>
    <t>20240715</t>
  </si>
  <si>
    <t>847624965</t>
  </si>
  <si>
    <t>89752</t>
  </si>
  <si>
    <t>ANNA FABIANI</t>
  </si>
  <si>
    <t>SCHUMANN,BARRY,L*</t>
  </si>
  <si>
    <t>010Y7550</t>
  </si>
  <si>
    <t>847625293</t>
  </si>
  <si>
    <t>89753</t>
  </si>
  <si>
    <t>90210</t>
  </si>
  <si>
    <t>KAYLIN CLARKSON</t>
  </si>
  <si>
    <t>20240714</t>
  </si>
  <si>
    <t>847625567</t>
  </si>
  <si>
    <t>90996</t>
  </si>
  <si>
    <t>BARBARA GAIL WULFF</t>
  </si>
  <si>
    <t>20240713</t>
  </si>
  <si>
    <t>PORTUGAL,GARY*</t>
  </si>
  <si>
    <t>010Y7987</t>
  </si>
  <si>
    <t>847626029</t>
  </si>
  <si>
    <t>92438</t>
  </si>
  <si>
    <t>DONALD KAMINSKI</t>
  </si>
  <si>
    <t>20240716</t>
  </si>
  <si>
    <t>847626851</t>
  </si>
  <si>
    <t>94064</t>
  </si>
  <si>
    <t>CHRISTOPHER DERAFELO</t>
  </si>
  <si>
    <t>20240717</t>
  </si>
  <si>
    <t>RICHTER,PETER,L K*</t>
  </si>
  <si>
    <t>010X2530</t>
  </si>
  <si>
    <t>847627827</t>
  </si>
  <si>
    <t>2516</t>
  </si>
  <si>
    <t>7658</t>
  </si>
  <si>
    <t>LAUREN ROY</t>
  </si>
  <si>
    <t>20240801</t>
  </si>
  <si>
    <t>847635195</t>
  </si>
  <si>
    <t>20242</t>
  </si>
  <si>
    <t>KATHERINE HERLIHY</t>
  </si>
  <si>
    <t>20240813</t>
  </si>
  <si>
    <t>LISKOVEC,FRANK,E*</t>
  </si>
  <si>
    <t>010Y8394</t>
  </si>
  <si>
    <t>847642225</t>
  </si>
  <si>
    <t>20247</t>
  </si>
  <si>
    <t>JOHN HERLIHY</t>
  </si>
  <si>
    <t>847642229</t>
  </si>
  <si>
    <t>20720</t>
  </si>
  <si>
    <t>CLAIRE PENA</t>
  </si>
  <si>
    <t>KINYUA,JARED*</t>
  </si>
  <si>
    <t>010Y7337</t>
  </si>
  <si>
    <t>847642489</t>
  </si>
  <si>
    <t>20958</t>
  </si>
  <si>
    <t>DARYL HAMILTON</t>
  </si>
  <si>
    <t>847642626</t>
  </si>
  <si>
    <t>21536</t>
  </si>
  <si>
    <t>JENNIFER ROBSON</t>
  </si>
  <si>
    <t>20240814</t>
  </si>
  <si>
    <t>ABDUL,SAADIA,S*</t>
  </si>
  <si>
    <t>010Y7357</t>
  </si>
  <si>
    <t>847642951</t>
  </si>
  <si>
    <t>21547</t>
  </si>
  <si>
    <t>JIETONG FU</t>
  </si>
  <si>
    <t>MAX,RONALD,JOSEPH*</t>
  </si>
  <si>
    <t>010Z0026</t>
  </si>
  <si>
    <t>847642958</t>
  </si>
  <si>
    <t>22189</t>
  </si>
  <si>
    <t>TIKO TRUESDALE</t>
  </si>
  <si>
    <t>847643323</t>
  </si>
  <si>
    <t>24264</t>
  </si>
  <si>
    <t>LINDA GRIFFIN</t>
  </si>
  <si>
    <t>20240816</t>
  </si>
  <si>
    <t>TAUGNER,CHRISTIAN*</t>
  </si>
  <si>
    <t>010Y7750</t>
  </si>
  <si>
    <t>847644465</t>
  </si>
  <si>
    <t>24265</t>
  </si>
  <si>
    <t>24948</t>
  </si>
  <si>
    <t>JOEL WATSKY</t>
  </si>
  <si>
    <t>847644847</t>
  </si>
  <si>
    <t>24955</t>
  </si>
  <si>
    <t>EVE WATSKY</t>
  </si>
  <si>
    <t>847644852</t>
  </si>
  <si>
    <t>26071</t>
  </si>
  <si>
    <t>STEPHEN MEYERS</t>
  </si>
  <si>
    <t>20240817</t>
  </si>
  <si>
    <t>847645466</t>
  </si>
  <si>
    <t>26309</t>
  </si>
  <si>
    <t>GULISTA SUDAN</t>
  </si>
  <si>
    <t>847645605</t>
  </si>
  <si>
    <t>40187</t>
  </si>
  <si>
    <t>MARK MICKLEY</t>
  </si>
  <si>
    <t>20240901</t>
  </si>
  <si>
    <t>847653225</t>
  </si>
  <si>
    <t>43780</t>
  </si>
  <si>
    <t>DEBRA BRUNO</t>
  </si>
  <si>
    <t>20240916</t>
  </si>
  <si>
    <t>847655268</t>
  </si>
  <si>
    <t>45311</t>
  </si>
  <si>
    <t>BEATRIX EDELENBOS</t>
  </si>
  <si>
    <t>20240915</t>
  </si>
  <si>
    <t>847656122</t>
  </si>
  <si>
    <t>49262</t>
  </si>
  <si>
    <t>ROBERTA LYNNE DOWDY</t>
  </si>
  <si>
    <t>20240911</t>
  </si>
  <si>
    <t>847658279</t>
  </si>
  <si>
    <t>49791</t>
  </si>
  <si>
    <t>REAGAN SHELLY</t>
  </si>
  <si>
    <t>20240912</t>
  </si>
  <si>
    <t>847658558</t>
  </si>
  <si>
    <t>51513</t>
  </si>
  <si>
    <t>KEN MIFFLIN</t>
  </si>
  <si>
    <t>847659475</t>
  </si>
  <si>
    <t>54517</t>
  </si>
  <si>
    <t>HA HUYNH</t>
  </si>
  <si>
    <t>20240917</t>
  </si>
  <si>
    <t>847661149</t>
  </si>
  <si>
    <t>54518</t>
  </si>
  <si>
    <t>54707</t>
  </si>
  <si>
    <t>RICKY BRUCE</t>
  </si>
  <si>
    <t>847661249</t>
  </si>
  <si>
    <t>54977</t>
  </si>
  <si>
    <t>BRIAN SMARZ</t>
  </si>
  <si>
    <t>847661374</t>
  </si>
  <si>
    <t>54978</t>
  </si>
  <si>
    <t>60485</t>
  </si>
  <si>
    <t>D'MARC S WEIR</t>
  </si>
  <si>
    <t>20241012</t>
  </si>
  <si>
    <t>847664484</t>
  </si>
  <si>
    <t>74883</t>
  </si>
  <si>
    <t>NKENGE DIOP</t>
  </si>
  <si>
    <t>20250908</t>
  </si>
  <si>
    <t>20241008</t>
  </si>
  <si>
    <t>847672372</t>
  </si>
  <si>
    <t>78641</t>
  </si>
  <si>
    <t>CHARYL CAPUANO</t>
  </si>
  <si>
    <t>20241011</t>
  </si>
  <si>
    <t>2.54</t>
  </si>
  <si>
    <t>847674381</t>
  </si>
  <si>
    <t>0.11</t>
  </si>
  <si>
    <t>78642</t>
  </si>
  <si>
    <t>1.14</t>
  </si>
  <si>
    <t>79888</t>
  </si>
  <si>
    <t>KAREN KUNKEL</t>
  </si>
  <si>
    <t>847675044</t>
  </si>
  <si>
    <t>79889</t>
  </si>
  <si>
    <t>79979</t>
  </si>
  <si>
    <t>WILLIAM ULRICH</t>
  </si>
  <si>
    <t>847675089</t>
  </si>
  <si>
    <t>82836</t>
  </si>
  <si>
    <t>DAVID SCISIANI</t>
  </si>
  <si>
    <t>20250616</t>
  </si>
  <si>
    <t>20241016</t>
  </si>
  <si>
    <t>847676587</t>
  </si>
  <si>
    <t>1</t>
  </si>
  <si>
    <t>2518</t>
  </si>
  <si>
    <t>5452</t>
  </si>
  <si>
    <t>DAVID C PAN</t>
  </si>
  <si>
    <t>20250703</t>
  </si>
  <si>
    <t>20241103</t>
  </si>
  <si>
    <t>HUNSBERGER,ANTHONY,J*</t>
  </si>
  <si>
    <t>010Y8689</t>
  </si>
  <si>
    <t>847688042</t>
  </si>
  <si>
    <t>20250803</t>
  </si>
  <si>
    <t>20250903</t>
  </si>
  <si>
    <t>5453</t>
  </si>
  <si>
    <t>6046</t>
  </si>
  <si>
    <t>ROMOND MCKINLEY</t>
  </si>
  <si>
    <t>20250605</t>
  </si>
  <si>
    <t>20241105</t>
  </si>
  <si>
    <t>847688328</t>
  </si>
  <si>
    <t>20250705</t>
  </si>
  <si>
    <t>7206</t>
  </si>
  <si>
    <t>BRENDA RIPLEY</t>
  </si>
  <si>
    <t>20241115</t>
  </si>
  <si>
    <t>847688971</t>
  </si>
  <si>
    <t>9621</t>
  </si>
  <si>
    <t>CHASE M CORRADI</t>
  </si>
  <si>
    <t>20250606</t>
  </si>
  <si>
    <t>20241106</t>
  </si>
  <si>
    <t>847690265</t>
  </si>
  <si>
    <t>20250706</t>
  </si>
  <si>
    <t>9622</t>
  </si>
  <si>
    <t>15000</t>
  </si>
  <si>
    <t>ROGER TYK</t>
  </si>
  <si>
    <t>20250601</t>
  </si>
  <si>
    <t>20241201</t>
  </si>
  <si>
    <t>847693164</t>
  </si>
  <si>
    <t>20250701</t>
  </si>
  <si>
    <t>20250801</t>
  </si>
  <si>
    <t>16141</t>
  </si>
  <si>
    <t>JANE NENE</t>
  </si>
  <si>
    <t>20241111</t>
  </si>
  <si>
    <t>847693793</t>
  </si>
  <si>
    <t>16185</t>
  </si>
  <si>
    <t>LOURDEZ THOMPSON</t>
  </si>
  <si>
    <t>20250811</t>
  </si>
  <si>
    <t>GESKE,HEATHER,MARIE*</t>
  </si>
  <si>
    <t>010Y8170</t>
  </si>
  <si>
    <t>847693818</t>
  </si>
  <si>
    <t>16794</t>
  </si>
  <si>
    <t>SAMUEL J SACK</t>
  </si>
  <si>
    <t>847694115</t>
  </si>
  <si>
    <t>17247</t>
  </si>
  <si>
    <t>JAGDEEP SINGH LABANA</t>
  </si>
  <si>
    <t>847694336</t>
  </si>
  <si>
    <t>17677</t>
  </si>
  <si>
    <t>JENNIFER DEVOS</t>
  </si>
  <si>
    <t>20241112</t>
  </si>
  <si>
    <t>847694565</t>
  </si>
  <si>
    <t>18083</t>
  </si>
  <si>
    <t>COLBY CELMER</t>
  </si>
  <si>
    <t>847694774</t>
  </si>
  <si>
    <t>18592</t>
  </si>
  <si>
    <t>LUCY ARMFIELD MAYE</t>
  </si>
  <si>
    <t>YALE,JACOB,D*</t>
  </si>
  <si>
    <t>010Y7753</t>
  </si>
  <si>
    <t>847695066</t>
  </si>
  <si>
    <t>19851</t>
  </si>
  <si>
    <t>REBECCA GAZDA</t>
  </si>
  <si>
    <t>20241113</t>
  </si>
  <si>
    <t>847695750</t>
  </si>
  <si>
    <t>19852</t>
  </si>
  <si>
    <t>20851</t>
  </si>
  <si>
    <t>DANIEL COVINGTON</t>
  </si>
  <si>
    <t>847696298</t>
  </si>
  <si>
    <t>23054</t>
  </si>
  <si>
    <t>RACHEAL ROTH</t>
  </si>
  <si>
    <t>847697503</t>
  </si>
  <si>
    <t>33758</t>
  </si>
  <si>
    <t>AARON M YARACS</t>
  </si>
  <si>
    <t>20250115</t>
  </si>
  <si>
    <t>2.23</t>
  </si>
  <si>
    <t>847703321</t>
  </si>
  <si>
    <t>33759</t>
  </si>
  <si>
    <t>49848</t>
  </si>
  <si>
    <t>NOEL AMOS</t>
  </si>
  <si>
    <t>20241203</t>
  </si>
  <si>
    <t>847711781</t>
  </si>
  <si>
    <t>49849</t>
  </si>
  <si>
    <t>52346</t>
  </si>
  <si>
    <t>CONSTANTINE GERONTAKOS</t>
  </si>
  <si>
    <t>20250101</t>
  </si>
  <si>
    <t>847713083</t>
  </si>
  <si>
    <t>63026</t>
  </si>
  <si>
    <t>KERRY J SCHMITT</t>
  </si>
  <si>
    <t>20241215</t>
  </si>
  <si>
    <t>847718607</t>
  </si>
  <si>
    <t>65533</t>
  </si>
  <si>
    <t>ALEXI VASQUEZ</t>
  </si>
  <si>
    <t>20241217</t>
  </si>
  <si>
    <t>847719856</t>
  </si>
  <si>
    <t>67790</t>
  </si>
  <si>
    <t>CONSTANCE RAPPAPORT</t>
  </si>
  <si>
    <t>20241211</t>
  </si>
  <si>
    <t>CALTAGIRONE,RYAN,J*</t>
  </si>
  <si>
    <t>010Y7359</t>
  </si>
  <si>
    <t>847721205</t>
  </si>
  <si>
    <t>70204</t>
  </si>
  <si>
    <t>RICHARD HAWKINSON</t>
  </si>
  <si>
    <t>20241212</t>
  </si>
  <si>
    <t>847722628</t>
  </si>
  <si>
    <t>71075</t>
  </si>
  <si>
    <t>MARY KASS</t>
  </si>
  <si>
    <t>WALENGA,DALE,JON*</t>
  </si>
  <si>
    <t>010Z0027</t>
  </si>
  <si>
    <t>847723138</t>
  </si>
  <si>
    <t>71141</t>
  </si>
  <si>
    <t>JENNIFER KELEGHAN</t>
  </si>
  <si>
    <t>847723178</t>
  </si>
  <si>
    <t>71142</t>
  </si>
  <si>
    <t>71576</t>
  </si>
  <si>
    <t>MELISSA BRADLEY</t>
  </si>
  <si>
    <t>PARDUE,THOMAS,D*</t>
  </si>
  <si>
    <t>9J0V</t>
  </si>
  <si>
    <t>847723420</t>
  </si>
  <si>
    <t>71577</t>
  </si>
  <si>
    <t>71748</t>
  </si>
  <si>
    <t>WARREN L CROSBY</t>
  </si>
  <si>
    <t>20241213</t>
  </si>
  <si>
    <t>847723521</t>
  </si>
  <si>
    <t>71894</t>
  </si>
  <si>
    <t>RICHARD SMITH</t>
  </si>
  <si>
    <t>FOLEY,CAROL*</t>
  </si>
  <si>
    <t>010W3203</t>
  </si>
  <si>
    <t>847723600</t>
  </si>
  <si>
    <t>72509</t>
  </si>
  <si>
    <t>VINCE MACCARELLI</t>
  </si>
  <si>
    <t>847723950</t>
  </si>
  <si>
    <t>72808</t>
  </si>
  <si>
    <t>BRYAN JACKSON</t>
  </si>
  <si>
    <t>847724123</t>
  </si>
  <si>
    <t>73930</t>
  </si>
  <si>
    <t>ALEXIS DAVIS</t>
  </si>
  <si>
    <t>847724819</t>
  </si>
  <si>
    <t>79236</t>
  </si>
  <si>
    <t>PETER D DEFIGLIO</t>
  </si>
  <si>
    <t>847727792</t>
  </si>
  <si>
    <t>79255</t>
  </si>
  <si>
    <t>CATHY CONLEY</t>
  </si>
  <si>
    <t>847727805</t>
  </si>
  <si>
    <t>93824</t>
  </si>
  <si>
    <t>FELICIA L TOMASWICK</t>
  </si>
  <si>
    <t>847736743</t>
  </si>
  <si>
    <t>96537</t>
  </si>
  <si>
    <t>JARRATT MELVIN</t>
  </si>
  <si>
    <t>847738366</t>
  </si>
  <si>
    <t>2519</t>
  </si>
  <si>
    <t>8703</t>
  </si>
  <si>
    <t>STACY M MARANO</t>
  </si>
  <si>
    <t>20250113</t>
  </si>
  <si>
    <t>847744984</t>
  </si>
  <si>
    <t>9333</t>
  </si>
  <si>
    <t>BARBARA L GERSTEL</t>
  </si>
  <si>
    <t>847745336</t>
  </si>
  <si>
    <t>10617</t>
  </si>
  <si>
    <t>IRENE SNYDER</t>
  </si>
  <si>
    <t>20250111</t>
  </si>
  <si>
    <t>847746079</t>
  </si>
  <si>
    <t>10618</t>
  </si>
  <si>
    <t>13810</t>
  </si>
  <si>
    <t>AMY RITTLE</t>
  </si>
  <si>
    <t>20250201</t>
  </si>
  <si>
    <t>847747845</t>
  </si>
  <si>
    <t>13811</t>
  </si>
  <si>
    <t>14267</t>
  </si>
  <si>
    <t>DIANE LUKAS</t>
  </si>
  <si>
    <t>20250114</t>
  </si>
  <si>
    <t>847748111</t>
  </si>
  <si>
    <t>19372</t>
  </si>
  <si>
    <t>KEVIN SHAFFER</t>
  </si>
  <si>
    <t>847750974</t>
  </si>
  <si>
    <t>22647</t>
  </si>
  <si>
    <t>JONATHAN SNYDER</t>
  </si>
  <si>
    <t>20250117</t>
  </si>
  <si>
    <t>LUSE,ALISON,L*</t>
  </si>
  <si>
    <t>010H7397</t>
  </si>
  <si>
    <t>847752799</t>
  </si>
  <si>
    <t>28590</t>
  </si>
  <si>
    <t>JUDITH A MOHAN</t>
  </si>
  <si>
    <t>20250216</t>
  </si>
  <si>
    <t>847756182</t>
  </si>
  <si>
    <t>28591</t>
  </si>
  <si>
    <t>29889</t>
  </si>
  <si>
    <t>ELMER CABRERA</t>
  </si>
  <si>
    <t>20250623</t>
  </si>
  <si>
    <t>20250123</t>
  </si>
  <si>
    <t>SANDIFER,JESSICA,MICHELLE*</t>
  </si>
  <si>
    <t>010Y6948</t>
  </si>
  <si>
    <t>847756871</t>
  </si>
  <si>
    <t>20250723</t>
  </si>
  <si>
    <t>20250823</t>
  </si>
  <si>
    <t>20250923</t>
  </si>
  <si>
    <t>84359</t>
  </si>
  <si>
    <t>TYRONE TYLER</t>
  </si>
  <si>
    <t>20250906</t>
  </si>
  <si>
    <t>20250306</t>
  </si>
  <si>
    <t>847787002</t>
  </si>
  <si>
    <t>91963</t>
  </si>
  <si>
    <t>CYNTHIA HARRISON</t>
  </si>
  <si>
    <t>20250312</t>
  </si>
  <si>
    <t>847791251</t>
  </si>
  <si>
    <t>92761</t>
  </si>
  <si>
    <t>BARBARA POTTER</t>
  </si>
  <si>
    <t>20250313</t>
  </si>
  <si>
    <t>847791695</t>
  </si>
  <si>
    <t>92762</t>
  </si>
  <si>
    <t>93166</t>
  </si>
  <si>
    <t>DOUGLAS KAY</t>
  </si>
  <si>
    <t>847791909</t>
  </si>
  <si>
    <t>93781</t>
  </si>
  <si>
    <t>ADRIAN AIKMAN</t>
  </si>
  <si>
    <t>20250317</t>
  </si>
  <si>
    <t>847792270</t>
  </si>
  <si>
    <t>97554</t>
  </si>
  <si>
    <t>GIOCONDA A MORA</t>
  </si>
  <si>
    <t>20250316</t>
  </si>
  <si>
    <t>HORN,JEFFREY,E*</t>
  </si>
  <si>
    <t>010Y8456</t>
  </si>
  <si>
    <t>847794433</t>
  </si>
  <si>
    <t>97555</t>
  </si>
  <si>
    <t>2520</t>
  </si>
  <si>
    <t>17598</t>
  </si>
  <si>
    <t>MARY KATHLEEN SCOTT</t>
  </si>
  <si>
    <t>20250415</t>
  </si>
  <si>
    <t>847805744</t>
  </si>
  <si>
    <t>17599</t>
  </si>
  <si>
    <t>24010</t>
  </si>
  <si>
    <t>AUSTIN AWES</t>
  </si>
  <si>
    <t>20250414</t>
  </si>
  <si>
    <t>5.08</t>
  </si>
  <si>
    <t>847809424</t>
  </si>
  <si>
    <t>0.19</t>
  </si>
  <si>
    <t>30440</t>
  </si>
  <si>
    <t>MONIA LEDBETTER</t>
  </si>
  <si>
    <t>20250411</t>
  </si>
  <si>
    <t>847813153</t>
  </si>
  <si>
    <t>31363</t>
  </si>
  <si>
    <t>CATHY L LEMON</t>
  </si>
  <si>
    <t>847813695</t>
  </si>
  <si>
    <t>32726</t>
  </si>
  <si>
    <t>VICKI LYNN ELLIS</t>
  </si>
  <si>
    <t>847814489</t>
  </si>
  <si>
    <t>34018</t>
  </si>
  <si>
    <t>ROBERT POLETYNSKI</t>
  </si>
  <si>
    <t>847815285</t>
  </si>
  <si>
    <t>34182</t>
  </si>
  <si>
    <t>ROLF BLAIR</t>
  </si>
  <si>
    <t>847815387</t>
  </si>
  <si>
    <t>35475</t>
  </si>
  <si>
    <t>DIANNA GIANINO</t>
  </si>
  <si>
    <t>20250416</t>
  </si>
  <si>
    <t>847816175</t>
  </si>
  <si>
    <t>35476</t>
  </si>
  <si>
    <t>36238</t>
  </si>
  <si>
    <t>CAROL TRUDY TUOHY</t>
  </si>
  <si>
    <t>847816609</t>
  </si>
  <si>
    <t>36239</t>
  </si>
  <si>
    <t>37874</t>
  </si>
  <si>
    <t>ZACHANY VEROSTEK</t>
  </si>
  <si>
    <t>20250417</t>
  </si>
  <si>
    <t>847817556</t>
  </si>
  <si>
    <t>37875</t>
  </si>
  <si>
    <t>46243</t>
  </si>
  <si>
    <t>ERIC MILTON WAGNER</t>
  </si>
  <si>
    <t>20250515</t>
  </si>
  <si>
    <t>847822480</t>
  </si>
  <si>
    <t>46244</t>
  </si>
  <si>
    <t>65368</t>
  </si>
  <si>
    <t>PAULENE KELLAM</t>
  </si>
  <si>
    <t>20250511</t>
  </si>
  <si>
    <t>847833773</t>
  </si>
  <si>
    <t>65929</t>
  </si>
  <si>
    <t>KURT JOHNSON</t>
  </si>
  <si>
    <t>20250513</t>
  </si>
  <si>
    <t>847834098</t>
  </si>
  <si>
    <t>66370</t>
  </si>
  <si>
    <t>DEBRA GELFO</t>
  </si>
  <si>
    <t>DEATON,PAMELA,SUE*</t>
  </si>
  <si>
    <t>010Y7689</t>
  </si>
  <si>
    <t>847834369</t>
  </si>
  <si>
    <t>67007</t>
  </si>
  <si>
    <t>BEN WILDAVSKY</t>
  </si>
  <si>
    <t>847834755</t>
  </si>
  <si>
    <t>67119</t>
  </si>
  <si>
    <t>SIERRA STANSBERRY</t>
  </si>
  <si>
    <t>847834820</t>
  </si>
  <si>
    <t>69191</t>
  </si>
  <si>
    <t>JESSE ARNOLD</t>
  </si>
  <si>
    <t>OLIVER,BRITTANY*</t>
  </si>
  <si>
    <t>010Z8933</t>
  </si>
  <si>
    <t>847836029</t>
  </si>
  <si>
    <t>69648</t>
  </si>
  <si>
    <t>AUDREY SCURTO</t>
  </si>
  <si>
    <t>847836300</t>
  </si>
  <si>
    <t>70016</t>
  </si>
  <si>
    <t>LAURIE S ROVELL</t>
  </si>
  <si>
    <t>847836508</t>
  </si>
  <si>
    <t>71322</t>
  </si>
  <si>
    <t>SHARI LINEBERGER</t>
  </si>
  <si>
    <t>20250516</t>
  </si>
  <si>
    <t>847837269</t>
  </si>
  <si>
    <t>71658</t>
  </si>
  <si>
    <t>EMILY EHA</t>
  </si>
  <si>
    <t>20250517</t>
  </si>
  <si>
    <t>847837494</t>
  </si>
  <si>
    <t>97203</t>
  </si>
  <si>
    <t>PAUL SCOTT YOST</t>
  </si>
  <si>
    <t>20250611</t>
  </si>
  <si>
    <t>847855449</t>
  </si>
  <si>
    <t>97536</t>
  </si>
  <si>
    <t>DAVID SLATTON</t>
  </si>
  <si>
    <t>20250612</t>
  </si>
  <si>
    <t>SHULMAN,JAKE,P*</t>
  </si>
  <si>
    <t>010Z8765</t>
  </si>
  <si>
    <t>847855633</t>
  </si>
  <si>
    <t>97926</t>
  </si>
  <si>
    <t>YVONNE CORIO</t>
  </si>
  <si>
    <t>847855867</t>
  </si>
  <si>
    <t>2521</t>
  </si>
  <si>
    <t>1055</t>
  </si>
  <si>
    <t>LEANNA D WILSON</t>
  </si>
  <si>
    <t>20250614</t>
  </si>
  <si>
    <t>SMITH,MARGARET,K*</t>
  </si>
  <si>
    <t>010Z6652</t>
  </si>
  <si>
    <t>847857425</t>
  </si>
  <si>
    <t>1173</t>
  </si>
  <si>
    <t>THOMAS ROBERTS</t>
  </si>
  <si>
    <t>847857499</t>
  </si>
  <si>
    <t>2341</t>
  </si>
  <si>
    <t>SEAN NOSE</t>
  </si>
  <si>
    <t>20250617</t>
  </si>
  <si>
    <t>847858176</t>
  </si>
  <si>
    <t>2493</t>
  </si>
  <si>
    <t>MUNE GAAFAR</t>
  </si>
  <si>
    <t>847858255</t>
  </si>
  <si>
    <t>27418</t>
  </si>
  <si>
    <t>DWAYNE RUDDOCK</t>
  </si>
  <si>
    <t>20250711</t>
  </si>
  <si>
    <t>847873620</t>
  </si>
  <si>
    <t>27787</t>
  </si>
  <si>
    <t>ANTONIO MEGLIO</t>
  </si>
  <si>
    <t>847873837</t>
  </si>
  <si>
    <t>28212</t>
  </si>
  <si>
    <t>NATHAN BUHRER</t>
  </si>
  <si>
    <t>847874096</t>
  </si>
  <si>
    <t>28647</t>
  </si>
  <si>
    <t>JEREMY L KEENE</t>
  </si>
  <si>
    <t>20250712</t>
  </si>
  <si>
    <t>847874347</t>
  </si>
  <si>
    <t>28706</t>
  </si>
  <si>
    <t>JAMES F DAVIS II</t>
  </si>
  <si>
    <t>847874378</t>
  </si>
  <si>
    <t>29906</t>
  </si>
  <si>
    <t>BRIAN KOTFIS</t>
  </si>
  <si>
    <t>20250715</t>
  </si>
  <si>
    <t>847875093</t>
  </si>
  <si>
    <t>29907</t>
  </si>
  <si>
    <t>30818</t>
  </si>
  <si>
    <t>PENSIONE LAFALAISE</t>
  </si>
  <si>
    <t>847875643</t>
  </si>
  <si>
    <t>31457</t>
  </si>
  <si>
    <t>ROBERT SACHS</t>
  </si>
  <si>
    <t>20250716</t>
  </si>
  <si>
    <t>847875999</t>
  </si>
  <si>
    <t>33049</t>
  </si>
  <si>
    <t>AIDAN DONNELLY</t>
  </si>
  <si>
    <t>20250717</t>
  </si>
  <si>
    <t>847876943</t>
  </si>
  <si>
    <t>33089</t>
  </si>
  <si>
    <t>LORI VAUGHAN</t>
  </si>
  <si>
    <t>847876965</t>
  </si>
  <si>
    <t>33518</t>
  </si>
  <si>
    <t>BRANDON W CLARK</t>
  </si>
  <si>
    <t>847877220</t>
  </si>
  <si>
    <t>54453</t>
  </si>
  <si>
    <t>JEFFREY MONK</t>
  </si>
  <si>
    <t>20250909</t>
  </si>
  <si>
    <t>20250809</t>
  </si>
  <si>
    <t>847889498</t>
  </si>
  <si>
    <t>55988</t>
  </si>
  <si>
    <t>TYLER DAUBE</t>
  </si>
  <si>
    <t>847890439</t>
  </si>
  <si>
    <t>59487</t>
  </si>
  <si>
    <t>CURTIS JOHNSON</t>
  </si>
  <si>
    <t>20250812</t>
  </si>
  <si>
    <t>847892520</t>
  </si>
  <si>
    <t>59488</t>
  </si>
  <si>
    <t>59580</t>
  </si>
  <si>
    <t>REBECCA HESTER</t>
  </si>
  <si>
    <t>1.27</t>
  </si>
  <si>
    <t>847892578</t>
  </si>
  <si>
    <t>59581</t>
  </si>
  <si>
    <t>0.65</t>
  </si>
  <si>
    <t>59631</t>
  </si>
  <si>
    <t>NOLAN MCLEOD</t>
  </si>
  <si>
    <t>GARNETT,MICHAEL*</t>
  </si>
  <si>
    <t>010A2428</t>
  </si>
  <si>
    <t>847892610</t>
  </si>
  <si>
    <t>61659</t>
  </si>
  <si>
    <t>PATRICK FRANCO</t>
  </si>
  <si>
    <t>847893830</t>
  </si>
  <si>
    <t>61719</t>
  </si>
  <si>
    <t>SHERI REEDY</t>
  </si>
  <si>
    <t>847893862</t>
  </si>
  <si>
    <t>64738</t>
  </si>
  <si>
    <t>CARL MERTZ</t>
  </si>
  <si>
    <t>20250816</t>
  </si>
  <si>
    <t>847895694</t>
  </si>
  <si>
    <t>65407</t>
  </si>
  <si>
    <t>STACY MACK</t>
  </si>
  <si>
    <t>847896092</t>
  </si>
  <si>
    <t>74780</t>
  </si>
  <si>
    <t>NEIL W BRONSON</t>
  </si>
  <si>
    <t>20250827</t>
  </si>
  <si>
    <t>847901550</t>
  </si>
  <si>
    <t>74781</t>
  </si>
  <si>
    <t>79854</t>
  </si>
  <si>
    <t>RYAN ZABLOCKI</t>
  </si>
  <si>
    <t>847904396</t>
  </si>
  <si>
    <t>88130</t>
  </si>
  <si>
    <t>ALECIA ROTUNNO</t>
  </si>
  <si>
    <t>847909315</t>
  </si>
  <si>
    <t>88370</t>
  </si>
  <si>
    <t>ROSALIE PARKER</t>
  </si>
  <si>
    <t>847909464</t>
  </si>
  <si>
    <t>88427</t>
  </si>
  <si>
    <t>MICHAEL FILIPPONE</t>
  </si>
  <si>
    <t>847909501</t>
  </si>
  <si>
    <t>90282</t>
  </si>
  <si>
    <t>COURTNEY MULICA</t>
  </si>
  <si>
    <t>847910615</t>
  </si>
  <si>
    <t>90471</t>
  </si>
  <si>
    <t>CAROLINE HATTON</t>
  </si>
  <si>
    <t>847910731</t>
  </si>
  <si>
    <t>90781</t>
  </si>
  <si>
    <t>VINCENT THOMAS GREGGO</t>
  </si>
  <si>
    <t>847910928</t>
  </si>
  <si>
    <t>499904</t>
  </si>
  <si>
    <t>62363</t>
  </si>
  <si>
    <t>RON MAGDELINIC</t>
  </si>
  <si>
    <t>20180315</t>
  </si>
  <si>
    <t>0943146611</t>
  </si>
  <si>
    <t>499905</t>
  </si>
  <si>
    <t>53626</t>
  </si>
  <si>
    <t>PAMELA SAMUELS</t>
  </si>
  <si>
    <t>20190416</t>
  </si>
  <si>
    <t>0943220900</t>
  </si>
  <si>
    <t>499911</t>
  </si>
  <si>
    <t>73207</t>
  </si>
  <si>
    <t>Mainline Benefits</t>
  </si>
  <si>
    <t>[%/$=4]</t>
  </si>
  <si>
    <t>months</t>
  </si>
  <si>
    <t>SAADIA ABDUL</t>
  </si>
  <si>
    <t>SCOTT AGUGLIA</t>
  </si>
  <si>
    <t>RYAN CALTAGIRONE</t>
  </si>
  <si>
    <t>PAMELA DEATON</t>
  </si>
  <si>
    <t>HEATHER GESKE</t>
  </si>
  <si>
    <t>JASON HOFFMANN</t>
  </si>
  <si>
    <t>JEFFREY HORN</t>
  </si>
  <si>
    <t>ANTHONY HUNSBERGER</t>
  </si>
  <si>
    <t>DEBORAH INSKIPT</t>
  </si>
  <si>
    <t>ANNE MARIE KOZACHECK</t>
  </si>
  <si>
    <t>FRANK LISKOVEC</t>
  </si>
  <si>
    <t>ALISON LUSE</t>
  </si>
  <si>
    <t>RONALD MAX</t>
  </si>
  <si>
    <t>THOMAS PARDUE</t>
  </si>
  <si>
    <t>ADAM RICHTER</t>
  </si>
  <si>
    <t>PETER RICHTER</t>
  </si>
  <si>
    <t>JESSICA SANDIFER</t>
  </si>
  <si>
    <t>BARRY SCHUMANN</t>
  </si>
  <si>
    <t>JAKE SHULMAN</t>
  </si>
  <si>
    <t>MARGARET SMITH</t>
  </si>
  <si>
    <t>DALE WALENGA</t>
  </si>
  <si>
    <t>JACOB YALE</t>
  </si>
  <si>
    <t>CAROL FOLEY</t>
  </si>
  <si>
    <t>MICHAEL GARNETT</t>
  </si>
  <si>
    <t>JARED KINYUA</t>
  </si>
  <si>
    <t>THOMAS KUCAN</t>
  </si>
  <si>
    <t>CATHY LEMON</t>
  </si>
  <si>
    <t>MICHELLE MCCORKLE</t>
  </si>
  <si>
    <t>BRITTANY OLIVER</t>
  </si>
  <si>
    <t>GARY PORTUGAL</t>
  </si>
  <si>
    <t>MURRAY STERNER</t>
  </si>
  <si>
    <t>CHRISTIAN TAUGNER</t>
  </si>
  <si>
    <t>JOSE TORRES</t>
  </si>
  <si>
    <t>7146581AV8</t>
  </si>
  <si>
    <t>16202925AV8</t>
  </si>
  <si>
    <t>PAYCODE</t>
  </si>
  <si>
    <t>AE</t>
  </si>
  <si>
    <t>AV</t>
  </si>
  <si>
    <t>AV1</t>
  </si>
  <si>
    <t>COMM PERCENT</t>
  </si>
  <si>
    <t>PRODUCT</t>
  </si>
  <si>
    <t>Ameritas D&amp;V Before 7-17-24</t>
  </si>
  <si>
    <t>Amerihealth Ovr</t>
  </si>
  <si>
    <t>Ameritas D&amp;V After 7-17-24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</si>
</sst>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NumberFormat="1" applyFont="1"/>
    <xf numFmtId="14" fontId="1" fillId="0" borderId="0" xfId="0" applyNumberFormat="1" applyFont="1"/>
    <xf numFmtId="0" fontId="1" fillId="2" borderId="0" xfId="0" applyNumberFormat="1" applyFont="1" applyFill="1"/>
    <xf numFmtId="0" fontId="1" fillId="2" borderId="0" xfId="0" applyFont="1" applyFill="1"/>
    <xf numFmtId="14" fontId="1" fillId="2" borderId="0" xfId="0" applyNumberFormat="1" applyFont="1" applyFill="1"/>
    <xf numFmtId="0" fontId="0" fillId="0" borderId="0" xfId="0" applyFill="1"/>
    <xf numFmtId="0" fontId="2" fillId="0" borderId="0" xfId="0" applyNumberFormat="1" applyFont="1"/>
    <xf numFmtId="0" fontId="0" fillId="0" borderId="0" xfId="0" applyNumberFormat="1"/>
    <xf numFmtId="0" fontId="1" fillId="0" borderId="0" xfId="0" applyNumberFormat="1" applyFont="1" applyFill="1"/>
    <xf numFmtId="0" fontId="3" fillId="0" borderId="0" xfId="0" applyFont="1"/>
    <xf numFmtId="0" fontId="1" fillId="3" borderId="0" xfId="0" applyNumberFormat="1" applyFont="1" applyFill="1"/>
    <xf numFmtId="0" fontId="1" fillId="3" borderId="0" xfId="0" applyFont="1" applyFill="1"/>
    <xf numFmtId="14" fontId="1" fillId="3" borderId="0" xfId="0" applyNumberFormat="1" applyFont="1" applyFill="1"/>
    <xf numFmtId="0" fontId="1" fillId="0" borderId="0" xfId="0" applyFont="1" applyFill="1"/>
    <xf numFmtId="14" fontId="1" fillId="0" borderId="0" xfId="0" applyNumberFormat="1" applyFont="1" applyFill="1"/>
    <xf numFmtId="9" fontId="1" fillId="2" borderId="0" xfId="1" applyFont="1" applyFill="1"/>
    <xf numFmtId="9" fontId="1" fillId="3" borderId="0" xfId="1" applyFont="1" applyFill="1"/>
    <xf numFmtId="9" fontId="1" fillId="0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benefitsco-my.sharepoint.com/personal/jpatel_mlbenefitsco_com/Documents/Desktop/commissions/agent%20roster%20as%20of%207-16-25.xlsx" TargetMode="External"/><Relationship Id="rId1" Type="http://schemas.openxmlformats.org/officeDocument/2006/relationships/externalLinkPath" Target="https://mlbenefitsco-my.sharepoint.com/personal/jpatel_mlbenefitsco_com/Documents/Desktop/commissions/agent%20roster%20as%20of%207-16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dvance"/>
      <sheetName val="Sheet2"/>
    </sheetNames>
    <sheetDataSet>
      <sheetData sheetId="0" refreshError="1"/>
      <sheetData sheetId="1" refreshError="1"/>
      <sheetData sheetId="2">
        <row r="1">
          <cell r="A1" t="str">
            <v>aidan barber</v>
          </cell>
          <cell r="B1">
            <v>20769090</v>
          </cell>
        </row>
        <row r="2">
          <cell r="A2" t="str">
            <v>ami de rama</v>
          </cell>
          <cell r="B2">
            <v>5859730</v>
          </cell>
        </row>
        <row r="3">
          <cell r="A3" t="str">
            <v>barry brenner</v>
          </cell>
          <cell r="B3">
            <v>21348299</v>
          </cell>
        </row>
        <row r="4">
          <cell r="A4" t="str">
            <v>carolyn wilson smith</v>
          </cell>
          <cell r="B4">
            <v>7387433</v>
          </cell>
        </row>
        <row r="5">
          <cell r="A5" t="str">
            <v>cathy lemon</v>
          </cell>
          <cell r="B5">
            <v>17195620</v>
          </cell>
        </row>
        <row r="6">
          <cell r="A6" t="str">
            <v>cheryl frazier</v>
          </cell>
          <cell r="B6">
            <v>8499606</v>
          </cell>
        </row>
        <row r="7">
          <cell r="A7" t="str">
            <v>dennis holyn</v>
          </cell>
          <cell r="B7">
            <v>7152559</v>
          </cell>
        </row>
        <row r="8">
          <cell r="A8" t="str">
            <v>dolores dunbar</v>
          </cell>
          <cell r="B8">
            <v>17774994</v>
          </cell>
        </row>
        <row r="9">
          <cell r="A9" t="str">
            <v>jared kinyua</v>
          </cell>
          <cell r="B9">
            <v>19279958</v>
          </cell>
        </row>
        <row r="10">
          <cell r="A10" t="str">
            <v>jessica sandifer</v>
          </cell>
          <cell r="B10">
            <v>6115727</v>
          </cell>
        </row>
        <row r="11">
          <cell r="A11" t="str">
            <v>jose torres</v>
          </cell>
          <cell r="B11">
            <v>20212926</v>
          </cell>
        </row>
        <row r="12">
          <cell r="A12" t="str">
            <v>laneece white</v>
          </cell>
          <cell r="B12">
            <v>13496370</v>
          </cell>
        </row>
        <row r="13">
          <cell r="A13" t="str">
            <v>latesha rose</v>
          </cell>
          <cell r="B13">
            <v>21436172</v>
          </cell>
        </row>
        <row r="14">
          <cell r="A14" t="str">
            <v>luis ybanez</v>
          </cell>
          <cell r="B14">
            <v>15735937</v>
          </cell>
        </row>
        <row r="15">
          <cell r="A15" t="str">
            <v>matthew wasserman</v>
          </cell>
          <cell r="B15">
            <v>21247158</v>
          </cell>
        </row>
        <row r="16">
          <cell r="A16" t="str">
            <v>michael foley</v>
          </cell>
          <cell r="B16">
            <v>20995076</v>
          </cell>
        </row>
        <row r="17">
          <cell r="A17" t="str">
            <v>nava livne</v>
          </cell>
          <cell r="B17">
            <v>20552652</v>
          </cell>
        </row>
        <row r="18">
          <cell r="A18" t="str">
            <v>odeny fernandez</v>
          </cell>
          <cell r="B18">
            <v>18155813</v>
          </cell>
        </row>
        <row r="19">
          <cell r="A19" t="str">
            <v>odmaa enkhtur</v>
          </cell>
          <cell r="B19">
            <v>20999157</v>
          </cell>
        </row>
        <row r="20">
          <cell r="A20" t="str">
            <v>patricia long</v>
          </cell>
          <cell r="B20">
            <v>18794740</v>
          </cell>
        </row>
        <row r="21">
          <cell r="A21" t="str">
            <v>patrick byrne</v>
          </cell>
          <cell r="B21">
            <v>16615811</v>
          </cell>
        </row>
        <row r="22">
          <cell r="A22" t="str">
            <v>paul berk</v>
          </cell>
          <cell r="B22">
            <v>2048099</v>
          </cell>
        </row>
        <row r="23">
          <cell r="A23" t="str">
            <v>paul robinson</v>
          </cell>
          <cell r="B23">
            <v>16983460</v>
          </cell>
        </row>
        <row r="24">
          <cell r="A24" t="str">
            <v>peter elvart</v>
          </cell>
          <cell r="B24">
            <v>6778759</v>
          </cell>
        </row>
        <row r="25">
          <cell r="A25" t="str">
            <v>raluca cheregi</v>
          </cell>
          <cell r="B25">
            <v>21648482</v>
          </cell>
        </row>
        <row r="26">
          <cell r="A26" t="str">
            <v>shannon stump</v>
          </cell>
          <cell r="B26">
            <v>18943687</v>
          </cell>
        </row>
        <row r="27">
          <cell r="A27" t="str">
            <v>steven werner</v>
          </cell>
          <cell r="B27">
            <v>19481808</v>
          </cell>
        </row>
        <row r="28">
          <cell r="A28" t="str">
            <v>steven levin</v>
          </cell>
          <cell r="B28">
            <v>1592053</v>
          </cell>
        </row>
        <row r="29">
          <cell r="A29" t="str">
            <v>thomas ervolina</v>
          </cell>
          <cell r="B29">
            <v>8477730</v>
          </cell>
        </row>
        <row r="30">
          <cell r="A30" t="str">
            <v>timothy merced</v>
          </cell>
          <cell r="B30">
            <v>17418075</v>
          </cell>
        </row>
        <row r="31">
          <cell r="A31" t="str">
            <v>victor fuentes</v>
          </cell>
          <cell r="B31">
            <v>21283956</v>
          </cell>
        </row>
        <row r="32">
          <cell r="A32" t="str">
            <v>andrea petrungaro</v>
          </cell>
          <cell r="B32">
            <v>16912722</v>
          </cell>
        </row>
        <row r="33">
          <cell r="A33" t="str">
            <v>brian raughter</v>
          </cell>
          <cell r="B33">
            <v>18406006</v>
          </cell>
        </row>
        <row r="34">
          <cell r="A34" t="str">
            <v>chad yale</v>
          </cell>
          <cell r="B34">
            <v>20003537</v>
          </cell>
        </row>
        <row r="35">
          <cell r="A35" t="str">
            <v>gregory hansford</v>
          </cell>
          <cell r="B35">
            <v>17094718</v>
          </cell>
        </row>
        <row r="36">
          <cell r="A36" t="str">
            <v>josiah luse</v>
          </cell>
          <cell r="B36">
            <v>20405298</v>
          </cell>
        </row>
        <row r="37">
          <cell r="A37" t="str">
            <v>melissa tatro</v>
          </cell>
          <cell r="B37">
            <v>14177521</v>
          </cell>
        </row>
        <row r="38">
          <cell r="A38" t="str">
            <v>patsamon thanadabouth</v>
          </cell>
          <cell r="B38">
            <v>8405446</v>
          </cell>
        </row>
        <row r="39">
          <cell r="A39" t="str">
            <v>richard wuensch</v>
          </cell>
          <cell r="B39">
            <v>19615078</v>
          </cell>
        </row>
        <row r="40">
          <cell r="A40" t="str">
            <v>scott fine</v>
          </cell>
          <cell r="B40">
            <v>19106640</v>
          </cell>
        </row>
        <row r="41">
          <cell r="A41" t="str">
            <v>thomas kucan</v>
          </cell>
          <cell r="B41">
            <v>16202925</v>
          </cell>
        </row>
        <row r="42">
          <cell r="A42" t="str">
            <v>thomas serio</v>
          </cell>
          <cell r="B42">
            <v>20490188</v>
          </cell>
        </row>
        <row r="43">
          <cell r="A43" t="str">
            <v>barry schumann</v>
          </cell>
          <cell r="B43">
            <v>19586992</v>
          </cell>
        </row>
        <row r="44">
          <cell r="A44" t="str">
            <v>brian strohman</v>
          </cell>
          <cell r="B44">
            <v>21104854</v>
          </cell>
        </row>
        <row r="45">
          <cell r="A45" t="str">
            <v>chad bender</v>
          </cell>
          <cell r="B45">
            <v>18598357</v>
          </cell>
        </row>
        <row r="46">
          <cell r="A46" t="str">
            <v>esther herrera-larsen</v>
          </cell>
          <cell r="B46">
            <v>17301495</v>
          </cell>
        </row>
        <row r="47">
          <cell r="A47" t="str">
            <v>jeffrey horn</v>
          </cell>
          <cell r="B47">
            <v>2158366</v>
          </cell>
        </row>
        <row r="48">
          <cell r="A48" t="str">
            <v>jonathan aloff</v>
          </cell>
          <cell r="B48">
            <v>16683808</v>
          </cell>
        </row>
        <row r="49">
          <cell r="A49" t="str">
            <v>michael semprevivo</v>
          </cell>
          <cell r="B49">
            <v>6375605</v>
          </cell>
        </row>
        <row r="50">
          <cell r="A50" t="str">
            <v>nasandelger zana</v>
          </cell>
          <cell r="B50">
            <v>20220688</v>
          </cell>
        </row>
        <row r="51">
          <cell r="A51" t="str">
            <v>randy tapper</v>
          </cell>
          <cell r="B51">
            <v>18935660</v>
          </cell>
        </row>
        <row r="52">
          <cell r="A52" t="str">
            <v>scott aguglia</v>
          </cell>
          <cell r="B52">
            <v>8971826</v>
          </cell>
        </row>
        <row r="53">
          <cell r="A53" t="str">
            <v>stacey portugal</v>
          </cell>
          <cell r="B53">
            <v>19645587</v>
          </cell>
        </row>
        <row r="54">
          <cell r="A54" t="str">
            <v>stephanie drapac</v>
          </cell>
          <cell r="B54">
            <v>17126004</v>
          </cell>
        </row>
        <row r="55">
          <cell r="A55" t="str">
            <v>timothy hodgman</v>
          </cell>
          <cell r="B55">
            <v>18581063</v>
          </cell>
        </row>
        <row r="56">
          <cell r="A56" t="str">
            <v>alison luse</v>
          </cell>
          <cell r="B56">
            <v>9254978</v>
          </cell>
        </row>
        <row r="57">
          <cell r="A57" t="str">
            <v>andrew goodman</v>
          </cell>
          <cell r="B57">
            <v>593918</v>
          </cell>
        </row>
        <row r="58">
          <cell r="A58" t="str">
            <v>christian taugner</v>
          </cell>
          <cell r="B58">
            <v>19681796</v>
          </cell>
        </row>
        <row r="59">
          <cell r="A59" t="str">
            <v>frank liskovec</v>
          </cell>
          <cell r="B59">
            <v>8814784</v>
          </cell>
        </row>
        <row r="60">
          <cell r="A60" t="str">
            <v>heather geske</v>
          </cell>
          <cell r="B60">
            <v>16865615</v>
          </cell>
        </row>
        <row r="61">
          <cell r="A61" t="str">
            <v>john roken</v>
          </cell>
          <cell r="B61">
            <v>18781057</v>
          </cell>
        </row>
        <row r="62">
          <cell r="A62" t="str">
            <v>michael lutz</v>
          </cell>
          <cell r="B62">
            <v>16751785</v>
          </cell>
        </row>
        <row r="63">
          <cell r="A63" t="str">
            <v>michelle mccorkle</v>
          </cell>
          <cell r="B63">
            <v>18710070</v>
          </cell>
        </row>
        <row r="64">
          <cell r="A64" t="str">
            <v>murray sterner</v>
          </cell>
          <cell r="B64">
            <v>16212649</v>
          </cell>
        </row>
        <row r="65">
          <cell r="A65" t="str">
            <v>ricardo santos</v>
          </cell>
          <cell r="B65">
            <v>19200754</v>
          </cell>
        </row>
        <row r="66">
          <cell r="A66" t="str">
            <v>saadia abdul</v>
          </cell>
          <cell r="B66">
            <v>19396223</v>
          </cell>
        </row>
        <row r="67">
          <cell r="A67" t="str">
            <v>thomas pardue</v>
          </cell>
          <cell r="B67">
            <v>371819</v>
          </cell>
        </row>
        <row r="68">
          <cell r="A68" t="str">
            <v>adam richter</v>
          </cell>
          <cell r="B68">
            <v>9079571</v>
          </cell>
        </row>
        <row r="69">
          <cell r="A69" t="str">
            <v>andrew choi</v>
          </cell>
          <cell r="B69">
            <v>7470776</v>
          </cell>
        </row>
        <row r="70">
          <cell r="A70" t="str">
            <v>anthony hunsberger</v>
          </cell>
          <cell r="B70">
            <v>7146581</v>
          </cell>
        </row>
        <row r="71">
          <cell r="A71" t="str">
            <v>arnold aloff</v>
          </cell>
          <cell r="B71">
            <v>3475518</v>
          </cell>
        </row>
        <row r="72">
          <cell r="A72" t="str">
            <v>carol foley</v>
          </cell>
          <cell r="B72">
            <v>17425766</v>
          </cell>
        </row>
        <row r="73">
          <cell r="A73" t="str">
            <v>colleen finnigan</v>
          </cell>
          <cell r="B73">
            <v>17437820</v>
          </cell>
        </row>
        <row r="74">
          <cell r="A74" t="str">
            <v>dale walenga</v>
          </cell>
          <cell r="B74">
            <v>8325282</v>
          </cell>
        </row>
        <row r="75">
          <cell r="A75" t="str">
            <v>deborah inskipt</v>
          </cell>
          <cell r="B75">
            <v>17528908</v>
          </cell>
        </row>
        <row r="76">
          <cell r="A76" t="str">
            <v>gary portugal</v>
          </cell>
          <cell r="B76">
            <v>9213293</v>
          </cell>
        </row>
        <row r="77">
          <cell r="A77" t="str">
            <v>gregory teipel</v>
          </cell>
          <cell r="B77">
            <v>8307933</v>
          </cell>
        </row>
        <row r="78">
          <cell r="A78" t="str">
            <v>heidi berthelsen</v>
          </cell>
          <cell r="B78">
            <v>19617796</v>
          </cell>
        </row>
        <row r="79">
          <cell r="A79" t="str">
            <v>jacob yale</v>
          </cell>
          <cell r="B79">
            <v>18754354</v>
          </cell>
        </row>
        <row r="80">
          <cell r="A80" t="str">
            <v>jason hoffmann</v>
          </cell>
          <cell r="B80">
            <v>15278437</v>
          </cell>
        </row>
        <row r="81">
          <cell r="A81" t="str">
            <v>joel lee</v>
          </cell>
          <cell r="B81">
            <v>6634327</v>
          </cell>
        </row>
        <row r="82">
          <cell r="A82" t="str">
            <v>Matthew Daugherty</v>
          </cell>
          <cell r="B82">
            <v>1706194</v>
          </cell>
        </row>
        <row r="83">
          <cell r="A83" t="str">
            <v>pamela deaton</v>
          </cell>
          <cell r="B83">
            <v>8244481</v>
          </cell>
        </row>
        <row r="84">
          <cell r="A84" t="str">
            <v>peter richter</v>
          </cell>
          <cell r="B84">
            <v>16509456</v>
          </cell>
        </row>
        <row r="85">
          <cell r="A85" t="str">
            <v>richard yale</v>
          </cell>
          <cell r="B85">
            <v>16633294</v>
          </cell>
        </row>
        <row r="86">
          <cell r="A86" t="str">
            <v>ronald max</v>
          </cell>
          <cell r="B86">
            <v>5442438</v>
          </cell>
        </row>
        <row r="87">
          <cell r="A87" t="str">
            <v>ryan caltagirone</v>
          </cell>
          <cell r="B87">
            <v>8977234</v>
          </cell>
        </row>
        <row r="88">
          <cell r="A88" t="str">
            <v>william schaeffer</v>
          </cell>
          <cell r="B88">
            <v>18010408</v>
          </cell>
        </row>
        <row r="89">
          <cell r="A89" t="str">
            <v>colleen jerger</v>
          </cell>
          <cell r="B89">
            <v>3333476</v>
          </cell>
        </row>
        <row r="90">
          <cell r="A90" t="str">
            <v>alan cousar</v>
          </cell>
          <cell r="B90">
            <v>9544903</v>
          </cell>
        </row>
        <row r="91">
          <cell r="A91" t="str">
            <v>antonia nevaraz</v>
          </cell>
          <cell r="B91">
            <v>21646325</v>
          </cell>
        </row>
        <row r="92">
          <cell r="A92" t="str">
            <v>christopher brousseau</v>
          </cell>
          <cell r="B92">
            <v>21435997</v>
          </cell>
        </row>
        <row r="93">
          <cell r="A93" t="str">
            <v>curtis dodd</v>
          </cell>
          <cell r="B93">
            <v>10599300</v>
          </cell>
        </row>
        <row r="94">
          <cell r="A94" t="str">
            <v>erica solivan</v>
          </cell>
          <cell r="B94">
            <v>21605264</v>
          </cell>
        </row>
        <row r="95">
          <cell r="A95" t="str">
            <v>gregg arenson</v>
          </cell>
          <cell r="B95">
            <v>20776610</v>
          </cell>
        </row>
        <row r="96">
          <cell r="A96" t="str">
            <v>jake shulman</v>
          </cell>
          <cell r="B96">
            <v>18201929</v>
          </cell>
        </row>
        <row r="97">
          <cell r="A97" t="str">
            <v>james allen</v>
          </cell>
          <cell r="B97">
            <v>17143996</v>
          </cell>
        </row>
        <row r="98">
          <cell r="A98" t="str">
            <v>john kelly</v>
          </cell>
          <cell r="B98" t="str">
            <v>working on license</v>
          </cell>
        </row>
        <row r="99">
          <cell r="A99" t="str">
            <v>john risely</v>
          </cell>
          <cell r="B99">
            <v>20551344</v>
          </cell>
        </row>
        <row r="100">
          <cell r="A100" t="str">
            <v>kenneth weitzman</v>
          </cell>
          <cell r="B100">
            <v>17516272</v>
          </cell>
        </row>
        <row r="101">
          <cell r="A101" t="str">
            <v>kirk tigue</v>
          </cell>
          <cell r="B101">
            <v>21421111</v>
          </cell>
        </row>
        <row r="102">
          <cell r="A102" t="str">
            <v>lensie gonzalez</v>
          </cell>
          <cell r="B102">
            <v>17859093</v>
          </cell>
        </row>
        <row r="103">
          <cell r="A103" t="str">
            <v>michael garnett</v>
          </cell>
          <cell r="B103">
            <v>21222981</v>
          </cell>
        </row>
        <row r="104">
          <cell r="A104" t="str">
            <v>michelle hamel</v>
          </cell>
          <cell r="B104">
            <v>20591229</v>
          </cell>
        </row>
        <row r="105">
          <cell r="A105" t="str">
            <v>noah dionesotes</v>
          </cell>
          <cell r="B105">
            <v>21607778</v>
          </cell>
        </row>
        <row r="106">
          <cell r="A106" t="str">
            <v>robert shapiro</v>
          </cell>
          <cell r="B106">
            <v>7565575</v>
          </cell>
        </row>
        <row r="107">
          <cell r="A107" t="str">
            <v>robert sievewright</v>
          </cell>
          <cell r="B107">
            <v>7307857</v>
          </cell>
        </row>
        <row r="108">
          <cell r="A108" t="str">
            <v>shawn gastelo</v>
          </cell>
          <cell r="B108">
            <v>21122864</v>
          </cell>
        </row>
        <row r="109">
          <cell r="A109" t="str">
            <v xml:space="preserve"> taliah ferguson</v>
          </cell>
          <cell r="B109">
            <v>21561165</v>
          </cell>
        </row>
        <row r="110">
          <cell r="A110" t="str">
            <v>zameer kotadia</v>
          </cell>
          <cell r="B110">
            <v>21101146</v>
          </cell>
        </row>
        <row r="111">
          <cell r="A111" t="str">
            <v>nathan weller</v>
          </cell>
          <cell r="B111">
            <v>19219478</v>
          </cell>
        </row>
        <row r="112">
          <cell r="A112" t="str">
            <v>jeanet reyes</v>
          </cell>
          <cell r="B112">
            <v>16997303</v>
          </cell>
        </row>
        <row r="113">
          <cell r="A113" t="str">
            <v>autumn pham</v>
          </cell>
          <cell r="B113">
            <v>21704702</v>
          </cell>
        </row>
        <row r="114">
          <cell r="A114" t="str">
            <v>john puccio</v>
          </cell>
          <cell r="B114">
            <v>21638421</v>
          </cell>
        </row>
        <row r="115">
          <cell r="A115" t="str">
            <v>ines berg</v>
          </cell>
          <cell r="B115">
            <v>17117649</v>
          </cell>
        </row>
        <row r="116">
          <cell r="A116" t="str">
            <v>jalyne vogel</v>
          </cell>
          <cell r="B116" t="str">
            <v>?</v>
          </cell>
        </row>
        <row r="117">
          <cell r="A117" t="str">
            <v>katelan wick</v>
          </cell>
          <cell r="B117">
            <v>19271047</v>
          </cell>
        </row>
        <row r="118">
          <cell r="A118" t="str">
            <v>mya fritchman</v>
          </cell>
          <cell r="B118" t="str">
            <v>?</v>
          </cell>
        </row>
        <row r="119">
          <cell r="A119" t="str">
            <v>thomas bentley</v>
          </cell>
          <cell r="B119">
            <v>2118374</v>
          </cell>
        </row>
        <row r="120">
          <cell r="A120" t="str">
            <v>ahmad hassan</v>
          </cell>
          <cell r="B120">
            <v>2173482</v>
          </cell>
        </row>
        <row r="121">
          <cell r="A121" t="str">
            <v>paul miller</v>
          </cell>
          <cell r="B121">
            <v>13353571</v>
          </cell>
        </row>
        <row r="122">
          <cell r="A122" t="str">
            <v>arick martin</v>
          </cell>
          <cell r="B122">
            <v>15707250</v>
          </cell>
        </row>
        <row r="123">
          <cell r="A123" t="str">
            <v>matthew sherman</v>
          </cell>
          <cell r="B123">
            <v>8812322</v>
          </cell>
        </row>
        <row r="124">
          <cell r="A124" t="str">
            <v>jason roller</v>
          </cell>
          <cell r="B124">
            <v>16228684</v>
          </cell>
        </row>
        <row r="125">
          <cell r="A125" t="str">
            <v>ryan shepard</v>
          </cell>
          <cell r="B125">
            <v>16170994</v>
          </cell>
        </row>
        <row r="126">
          <cell r="A126" t="str">
            <v>brittany oliver</v>
          </cell>
          <cell r="B126">
            <v>17554531</v>
          </cell>
        </row>
        <row r="127">
          <cell r="A127" t="str">
            <v>danna green</v>
          </cell>
          <cell r="B127">
            <v>16849453</v>
          </cell>
        </row>
        <row r="128">
          <cell r="A128" t="str">
            <v>ryan stocker</v>
          </cell>
          <cell r="B128">
            <v>15950276</v>
          </cell>
        </row>
        <row r="129">
          <cell r="A129" t="str">
            <v>steven brandt</v>
          </cell>
          <cell r="B129">
            <v>19491313</v>
          </cell>
        </row>
        <row r="130">
          <cell r="A130" t="str">
            <v>clarissa powell</v>
          </cell>
          <cell r="B130">
            <v>17785596</v>
          </cell>
        </row>
        <row r="131">
          <cell r="A131" t="str">
            <v>cora kuykendall</v>
          </cell>
          <cell r="B131">
            <v>22021577</v>
          </cell>
        </row>
        <row r="132">
          <cell r="A132" t="str">
            <v>abbie hall</v>
          </cell>
        </row>
        <row r="133">
          <cell r="A133" t="str">
            <v>karen flowers</v>
          </cell>
        </row>
        <row r="134">
          <cell r="A134" t="str">
            <v>anand munkhbaatar</v>
          </cell>
          <cell r="B134" t="str">
            <v>NA</v>
          </cell>
        </row>
        <row r="135">
          <cell r="A135" t="str">
            <v>jack jerger</v>
          </cell>
          <cell r="B135" t="str">
            <v>NA</v>
          </cell>
        </row>
        <row r="136">
          <cell r="A136" t="str">
            <v>linda wolfson</v>
          </cell>
          <cell r="B136" t="str">
            <v>NA</v>
          </cell>
        </row>
        <row r="137">
          <cell r="A137" t="str">
            <v>renee russell</v>
          </cell>
          <cell r="B137" t="str">
            <v>NA</v>
          </cell>
        </row>
        <row r="138">
          <cell r="A138" t="str">
            <v>hilary bartholomew</v>
          </cell>
          <cell r="B138" t="str">
            <v>NA</v>
          </cell>
        </row>
        <row r="139">
          <cell r="A139" t="str">
            <v>deborah powers</v>
          </cell>
          <cell r="B139">
            <v>19606009</v>
          </cell>
        </row>
        <row r="140">
          <cell r="A140" t="str">
            <v>diana zimmerman</v>
          </cell>
          <cell r="B140">
            <v>17640026</v>
          </cell>
        </row>
        <row r="141">
          <cell r="A141" t="str">
            <v xml:space="preserve">eliseo tajanlangit </v>
          </cell>
          <cell r="B141">
            <v>18207434</v>
          </cell>
        </row>
        <row r="142">
          <cell r="A142" t="str">
            <v>lori tunstall</v>
          </cell>
          <cell r="B142">
            <v>18134413</v>
          </cell>
        </row>
        <row r="143">
          <cell r="A143" t="str">
            <v>margaret finnegan</v>
          </cell>
          <cell r="B143">
            <v>19861194</v>
          </cell>
        </row>
        <row r="144">
          <cell r="A144" t="str">
            <v>marina obrien</v>
          </cell>
          <cell r="B144">
            <v>16865242</v>
          </cell>
        </row>
        <row r="145">
          <cell r="A145" t="str">
            <v>timothy powers</v>
          </cell>
          <cell r="B145">
            <v>17886092</v>
          </cell>
        </row>
        <row r="146">
          <cell r="A146" t="str">
            <v>wesley ellis</v>
          </cell>
          <cell r="B146">
            <v>19396919</v>
          </cell>
        </row>
        <row r="147">
          <cell r="A147" t="str">
            <v>anne marie kozacheck</v>
          </cell>
          <cell r="B147">
            <v>19278370</v>
          </cell>
        </row>
        <row r="148">
          <cell r="A148" t="str">
            <v>richard skarnulis</v>
          </cell>
          <cell r="B148">
            <v>13374569</v>
          </cell>
        </row>
        <row r="149">
          <cell r="A149" t="str">
            <v>connor green</v>
          </cell>
          <cell r="B149">
            <v>20811434</v>
          </cell>
        </row>
        <row r="150">
          <cell r="A150" t="str">
            <v>jennifer halsaver</v>
          </cell>
          <cell r="B150">
            <v>21564088</v>
          </cell>
        </row>
        <row r="151">
          <cell r="A151" t="str">
            <v>jennifer hunsberger</v>
          </cell>
          <cell r="B151" t="str">
            <v>?</v>
          </cell>
        </row>
        <row r="152">
          <cell r="A152" t="str">
            <v>john karns</v>
          </cell>
          <cell r="B152">
            <v>21128342</v>
          </cell>
        </row>
        <row r="153">
          <cell r="A153" t="str">
            <v>joseph sexton</v>
          </cell>
          <cell r="B153">
            <v>21505953</v>
          </cell>
        </row>
        <row r="154">
          <cell r="A154" t="str">
            <v>kasandra holland</v>
          </cell>
          <cell r="B154">
            <v>21284072</v>
          </cell>
        </row>
        <row r="155">
          <cell r="A155" t="str">
            <v>kimberly dickerson</v>
          </cell>
          <cell r="B155">
            <v>16243811</v>
          </cell>
        </row>
        <row r="156">
          <cell r="A156" t="str">
            <v>kimberly edwards</v>
          </cell>
          <cell r="B156">
            <v>21128256</v>
          </cell>
        </row>
        <row r="157">
          <cell r="A157" t="str">
            <v>kimberly foley</v>
          </cell>
          <cell r="B157">
            <v>21577652</v>
          </cell>
        </row>
        <row r="158">
          <cell r="A158" t="str">
            <v>laurie casta</v>
          </cell>
          <cell r="B158">
            <v>20697692</v>
          </cell>
        </row>
        <row r="159">
          <cell r="A159" t="str">
            <v>leandrus gaskins</v>
          </cell>
          <cell r="B159">
            <v>19642342</v>
          </cell>
        </row>
        <row r="160">
          <cell r="A160" t="str">
            <v>marsha sanderock</v>
          </cell>
          <cell r="B160">
            <v>20724564</v>
          </cell>
        </row>
        <row r="161">
          <cell r="A161" t="str">
            <v>peggy kolanko</v>
          </cell>
          <cell r="B161">
            <v>1250871</v>
          </cell>
        </row>
        <row r="162">
          <cell r="A162" t="str">
            <v>teri foster</v>
          </cell>
          <cell r="B162">
            <v>20098658</v>
          </cell>
        </row>
        <row r="163">
          <cell r="A163" t="str">
            <v>heather miller</v>
          </cell>
          <cell r="B163">
            <v>21313588</v>
          </cell>
        </row>
        <row r="164">
          <cell r="A164" t="str">
            <v>kendall gillespie</v>
          </cell>
          <cell r="B164">
            <v>21645031</v>
          </cell>
        </row>
        <row r="165">
          <cell r="A165" t="str">
            <v>jill shepard</v>
          </cell>
          <cell r="B165">
            <v>18142208</v>
          </cell>
        </row>
        <row r="166">
          <cell r="A166" t="str">
            <v>shirley babilya</v>
          </cell>
          <cell r="B166">
            <v>18522974</v>
          </cell>
        </row>
        <row r="167">
          <cell r="A167" t="str">
            <v>ashley teipel</v>
          </cell>
          <cell r="B167">
            <v>20436925</v>
          </cell>
        </row>
        <row r="168">
          <cell r="A168" t="str">
            <v>carol fritz</v>
          </cell>
          <cell r="B168">
            <v>19268643</v>
          </cell>
        </row>
        <row r="169">
          <cell r="A169" t="str">
            <v xml:space="preserve">katelenn caltagirone </v>
          </cell>
          <cell r="B169">
            <v>20436896</v>
          </cell>
        </row>
        <row r="170">
          <cell r="A170" t="str">
            <v>robert adcock</v>
          </cell>
          <cell r="B170">
            <v>20872981</v>
          </cell>
        </row>
        <row r="171">
          <cell r="A171" t="str">
            <v>traci barton</v>
          </cell>
          <cell r="B171">
            <v>20678727</v>
          </cell>
        </row>
        <row r="172">
          <cell r="A172" t="str">
            <v>michael dunavant</v>
          </cell>
          <cell r="B172">
            <v>18828278</v>
          </cell>
        </row>
        <row r="173">
          <cell r="A173" t="str">
            <v xml:space="preserve">michael wilston </v>
          </cell>
          <cell r="B173">
            <v>20178878</v>
          </cell>
        </row>
        <row r="174">
          <cell r="A174" t="str">
            <v>sandra sentman</v>
          </cell>
          <cell r="B174">
            <v>21475206</v>
          </cell>
        </row>
        <row r="175">
          <cell r="A175" t="str">
            <v>mark roccia</v>
          </cell>
          <cell r="B175">
            <v>21618313</v>
          </cell>
        </row>
        <row r="176">
          <cell r="A176" t="str">
            <v>marissa porraz</v>
          </cell>
          <cell r="B176">
            <v>21617661</v>
          </cell>
        </row>
        <row r="177">
          <cell r="A177" t="str">
            <v>margaret smith</v>
          </cell>
          <cell r="B177">
            <v>20253958</v>
          </cell>
        </row>
        <row r="178">
          <cell r="A178" t="str">
            <v>main line benefits</v>
          </cell>
          <cell r="B178">
            <v>20411454</v>
          </cell>
        </row>
        <row r="179">
          <cell r="A179" t="str">
            <v>matthew powers</v>
          </cell>
          <cell r="B179">
            <v>21345012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E5A33-2217-44E9-8BF1-B6B6CB12E97F}">
  <dimension ref="A1:Z372"/>
  <sheetViews>
    <sheetView workbookViewId="0">
      <selection activeCell="D366" sqref="D366"/>
    </sheetView>
  </sheetViews>
  <sheetFormatPr defaultRowHeight="12.75" x14ac:dyDescent="0.2"/>
  <cols>
    <col min="1" max="1" width="15.5703125" customWidth="1"/>
    <col min="2" max="2" width="12.42578125" customWidth="1"/>
    <col min="3" max="3" width="8.28515625" customWidth="1"/>
    <col min="4" max="4" width="9.7109375" customWidth="1"/>
    <col min="5" max="5" width="24.42578125" customWidth="1"/>
    <col min="6" max="6" width="29.2851562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3.14062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83.94</v>
      </c>
      <c r="K2" s="1" t="s">
        <v>35</v>
      </c>
      <c r="L2" s="1" t="s">
        <v>36</v>
      </c>
      <c r="M2" s="1">
        <v>8.39</v>
      </c>
      <c r="N2" s="1" t="s">
        <v>37</v>
      </c>
      <c r="O2" s="1" t="s">
        <v>38</v>
      </c>
      <c r="P2" s="1" t="s">
        <v>37</v>
      </c>
      <c r="Q2" s="1" t="s">
        <v>37</v>
      </c>
      <c r="R2" s="1" t="s">
        <v>39</v>
      </c>
      <c r="S2" s="1" t="s">
        <v>40</v>
      </c>
      <c r="T2" s="1">
        <v>933.68</v>
      </c>
      <c r="U2" s="1" t="s">
        <v>41</v>
      </c>
      <c r="V2" s="1" t="s">
        <v>30</v>
      </c>
      <c r="W2" s="1" t="s">
        <v>37</v>
      </c>
      <c r="X2" s="1" t="s">
        <v>30</v>
      </c>
      <c r="Y2" s="1" t="s">
        <v>37</v>
      </c>
      <c r="Z2" s="1" t="s">
        <v>42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43</v>
      </c>
      <c r="H3" s="1" t="s">
        <v>33</v>
      </c>
      <c r="I3" s="1" t="s">
        <v>34</v>
      </c>
      <c r="J3" s="1">
        <v>2.69</v>
      </c>
      <c r="K3" s="1" t="s">
        <v>35</v>
      </c>
      <c r="L3" s="1" t="s">
        <v>36</v>
      </c>
      <c r="M3" s="1">
        <v>0.27</v>
      </c>
      <c r="N3" s="1" t="s">
        <v>37</v>
      </c>
      <c r="O3" s="1" t="s">
        <v>38</v>
      </c>
      <c r="P3" s="1" t="s">
        <v>37</v>
      </c>
      <c r="Q3" s="1" t="s">
        <v>37</v>
      </c>
      <c r="R3" s="1" t="s">
        <v>39</v>
      </c>
      <c r="S3" s="1" t="s">
        <v>40</v>
      </c>
      <c r="T3" s="1">
        <v>933.68</v>
      </c>
      <c r="U3" s="1" t="s">
        <v>41</v>
      </c>
      <c r="V3" s="1" t="s">
        <v>30</v>
      </c>
      <c r="W3" s="1" t="s">
        <v>37</v>
      </c>
      <c r="X3" s="1" t="s">
        <v>30</v>
      </c>
      <c r="Y3" s="1" t="s">
        <v>37</v>
      </c>
      <c r="Z3" s="1" t="s">
        <v>42</v>
      </c>
    </row>
    <row r="4" spans="1:26" ht="15.75" x14ac:dyDescent="0.25">
      <c r="A4" s="1" t="s">
        <v>26</v>
      </c>
      <c r="B4" s="1" t="s">
        <v>27</v>
      </c>
      <c r="C4" s="1" t="s">
        <v>28</v>
      </c>
      <c r="D4" s="1" t="s">
        <v>44</v>
      </c>
      <c r="E4" s="1" t="s">
        <v>30</v>
      </c>
      <c r="F4" s="1" t="s">
        <v>31</v>
      </c>
      <c r="G4" s="1" t="s">
        <v>45</v>
      </c>
      <c r="H4" s="1" t="s">
        <v>33</v>
      </c>
      <c r="I4" s="1" t="s">
        <v>34</v>
      </c>
      <c r="J4" s="1">
        <v>24.06</v>
      </c>
      <c r="K4" s="1" t="s">
        <v>35</v>
      </c>
      <c r="L4" s="1" t="s">
        <v>36</v>
      </c>
      <c r="M4" s="1">
        <v>2.89</v>
      </c>
      <c r="N4" s="1" t="s">
        <v>37</v>
      </c>
      <c r="O4" s="1" t="s">
        <v>38</v>
      </c>
      <c r="P4" s="1" t="s">
        <v>37</v>
      </c>
      <c r="Q4" s="1" t="s">
        <v>37</v>
      </c>
      <c r="R4" s="1" t="s">
        <v>39</v>
      </c>
      <c r="S4" s="1" t="s">
        <v>40</v>
      </c>
      <c r="T4" s="1">
        <v>933.68</v>
      </c>
      <c r="U4" s="1" t="s">
        <v>41</v>
      </c>
      <c r="V4" s="1" t="s">
        <v>30</v>
      </c>
      <c r="W4" s="1" t="s">
        <v>37</v>
      </c>
      <c r="X4" s="1" t="s">
        <v>30</v>
      </c>
      <c r="Y4" s="1" t="s">
        <v>37</v>
      </c>
      <c r="Z4" s="1" t="s">
        <v>42</v>
      </c>
    </row>
    <row r="5" spans="1:26" ht="15.75" x14ac:dyDescent="0.25">
      <c r="A5" s="1" t="s">
        <v>26</v>
      </c>
      <c r="B5" s="1" t="s">
        <v>27</v>
      </c>
      <c r="C5" s="1" t="s">
        <v>28</v>
      </c>
      <c r="D5" s="1" t="s">
        <v>46</v>
      </c>
      <c r="E5" s="1" t="s">
        <v>30</v>
      </c>
      <c r="F5" s="1" t="s">
        <v>47</v>
      </c>
      <c r="G5" s="1" t="s">
        <v>32</v>
      </c>
      <c r="H5" s="1" t="s">
        <v>48</v>
      </c>
      <c r="I5" s="1" t="s">
        <v>33</v>
      </c>
      <c r="J5" s="1">
        <v>39.83</v>
      </c>
      <c r="K5" s="1" t="s">
        <v>49</v>
      </c>
      <c r="L5" s="1" t="s">
        <v>36</v>
      </c>
      <c r="M5" s="1">
        <v>1.59</v>
      </c>
      <c r="N5" s="1" t="s">
        <v>50</v>
      </c>
      <c r="O5" s="1" t="s">
        <v>38</v>
      </c>
      <c r="P5" s="1" t="s">
        <v>37</v>
      </c>
      <c r="Q5" s="1" t="s">
        <v>51</v>
      </c>
      <c r="R5" s="1" t="s">
        <v>52</v>
      </c>
      <c r="S5" s="1" t="s">
        <v>40</v>
      </c>
      <c r="T5" s="1">
        <v>933.68</v>
      </c>
      <c r="U5" s="1" t="s">
        <v>41</v>
      </c>
      <c r="V5" s="1" t="s">
        <v>30</v>
      </c>
      <c r="W5" s="1" t="s">
        <v>37</v>
      </c>
      <c r="X5" s="1" t="s">
        <v>30</v>
      </c>
      <c r="Y5" s="1" t="s">
        <v>37</v>
      </c>
      <c r="Z5" s="1" t="s">
        <v>42</v>
      </c>
    </row>
    <row r="6" spans="1:26" ht="15.75" x14ac:dyDescent="0.25">
      <c r="A6" s="1" t="s">
        <v>26</v>
      </c>
      <c r="B6" s="1" t="s">
        <v>27</v>
      </c>
      <c r="C6" s="1" t="s">
        <v>28</v>
      </c>
      <c r="D6" s="1" t="s">
        <v>46</v>
      </c>
      <c r="E6" s="1" t="s">
        <v>30</v>
      </c>
      <c r="F6" s="1" t="s">
        <v>47</v>
      </c>
      <c r="G6" s="1" t="s">
        <v>53</v>
      </c>
      <c r="H6" s="1" t="s">
        <v>48</v>
      </c>
      <c r="I6" s="1" t="s">
        <v>33</v>
      </c>
      <c r="J6" s="1">
        <v>0.75</v>
      </c>
      <c r="K6" s="1" t="s">
        <v>49</v>
      </c>
      <c r="L6" s="1" t="s">
        <v>36</v>
      </c>
      <c r="M6" s="1">
        <v>0.03</v>
      </c>
      <c r="N6" s="1" t="s">
        <v>50</v>
      </c>
      <c r="O6" s="1" t="s">
        <v>38</v>
      </c>
      <c r="P6" s="1" t="s">
        <v>37</v>
      </c>
      <c r="Q6" s="1" t="s">
        <v>51</v>
      </c>
      <c r="R6" s="1" t="s">
        <v>52</v>
      </c>
      <c r="S6" s="1" t="s">
        <v>40</v>
      </c>
      <c r="T6" s="1">
        <v>933.68</v>
      </c>
      <c r="U6" s="1" t="s">
        <v>41</v>
      </c>
      <c r="V6" s="1" t="s">
        <v>30</v>
      </c>
      <c r="W6" s="1" t="s">
        <v>37</v>
      </c>
      <c r="X6" s="1" t="s">
        <v>30</v>
      </c>
      <c r="Y6" s="1" t="s">
        <v>37</v>
      </c>
      <c r="Z6" s="1" t="s">
        <v>42</v>
      </c>
    </row>
    <row r="7" spans="1:26" ht="15.75" x14ac:dyDescent="0.25">
      <c r="A7" s="1" t="s">
        <v>26</v>
      </c>
      <c r="B7" s="1" t="s">
        <v>27</v>
      </c>
      <c r="C7" s="1" t="s">
        <v>28</v>
      </c>
      <c r="D7" s="1" t="s">
        <v>54</v>
      </c>
      <c r="E7" s="1" t="s">
        <v>30</v>
      </c>
      <c r="F7" s="1" t="s">
        <v>55</v>
      </c>
      <c r="G7" s="1" t="s">
        <v>45</v>
      </c>
      <c r="H7" s="1" t="s">
        <v>48</v>
      </c>
      <c r="I7" s="1" t="s">
        <v>33</v>
      </c>
      <c r="J7" s="1">
        <v>19.63</v>
      </c>
      <c r="K7" s="1" t="s">
        <v>56</v>
      </c>
      <c r="L7" s="1" t="s">
        <v>36</v>
      </c>
      <c r="M7" s="1">
        <v>0.79</v>
      </c>
      <c r="N7" s="1" t="s">
        <v>57</v>
      </c>
      <c r="O7" s="1" t="s">
        <v>38</v>
      </c>
      <c r="P7" s="1" t="s">
        <v>37</v>
      </c>
      <c r="Q7" s="1" t="s">
        <v>58</v>
      </c>
      <c r="R7" s="1" t="s">
        <v>59</v>
      </c>
      <c r="S7" s="1" t="s">
        <v>40</v>
      </c>
      <c r="T7" s="1">
        <v>933.68</v>
      </c>
      <c r="U7" s="1" t="s">
        <v>41</v>
      </c>
      <c r="V7" s="1" t="s">
        <v>30</v>
      </c>
      <c r="W7" s="1" t="s">
        <v>37</v>
      </c>
      <c r="X7" s="1" t="s">
        <v>30</v>
      </c>
      <c r="Y7" s="1" t="s">
        <v>37</v>
      </c>
      <c r="Z7" s="1" t="s">
        <v>42</v>
      </c>
    </row>
    <row r="8" spans="1:26" ht="15.75" x14ac:dyDescent="0.25">
      <c r="A8" s="1" t="s">
        <v>26</v>
      </c>
      <c r="B8" s="1" t="s">
        <v>27</v>
      </c>
      <c r="C8" s="1" t="s">
        <v>28</v>
      </c>
      <c r="D8" s="1" t="s">
        <v>60</v>
      </c>
      <c r="E8" s="1" t="s">
        <v>30</v>
      </c>
      <c r="F8" s="1" t="s">
        <v>61</v>
      </c>
      <c r="G8" s="1" t="s">
        <v>32</v>
      </c>
      <c r="H8" s="1" t="s">
        <v>62</v>
      </c>
      <c r="I8" s="1" t="s">
        <v>48</v>
      </c>
      <c r="J8" s="1">
        <v>94.48</v>
      </c>
      <c r="K8" s="1" t="s">
        <v>63</v>
      </c>
      <c r="L8" s="1" t="s">
        <v>36</v>
      </c>
      <c r="M8" s="1">
        <v>3.78</v>
      </c>
      <c r="N8" s="1" t="s">
        <v>50</v>
      </c>
      <c r="O8" s="1" t="s">
        <v>38</v>
      </c>
      <c r="P8" s="1" t="s">
        <v>37</v>
      </c>
      <c r="Q8" s="1" t="s">
        <v>51</v>
      </c>
      <c r="R8" s="1" t="s">
        <v>64</v>
      </c>
      <c r="S8" s="1" t="s">
        <v>40</v>
      </c>
      <c r="T8" s="1">
        <v>933.68</v>
      </c>
      <c r="U8" s="1" t="s">
        <v>41</v>
      </c>
      <c r="V8" s="1" t="s">
        <v>30</v>
      </c>
      <c r="W8" s="1" t="s">
        <v>37</v>
      </c>
      <c r="X8" s="1" t="s">
        <v>30</v>
      </c>
      <c r="Y8" s="1" t="s">
        <v>37</v>
      </c>
      <c r="Z8" s="1" t="s">
        <v>42</v>
      </c>
    </row>
    <row r="9" spans="1:26" ht="15.75" x14ac:dyDescent="0.25">
      <c r="A9" s="1" t="s">
        <v>26</v>
      </c>
      <c r="B9" s="1" t="s">
        <v>27</v>
      </c>
      <c r="C9" s="1" t="s">
        <v>28</v>
      </c>
      <c r="D9" s="1" t="s">
        <v>60</v>
      </c>
      <c r="E9" s="1" t="s">
        <v>30</v>
      </c>
      <c r="F9" s="1" t="s">
        <v>61</v>
      </c>
      <c r="G9" s="1" t="s">
        <v>43</v>
      </c>
      <c r="H9" s="1" t="s">
        <v>62</v>
      </c>
      <c r="I9" s="1" t="s">
        <v>48</v>
      </c>
      <c r="J9" s="1">
        <v>2.16</v>
      </c>
      <c r="K9" s="1" t="s">
        <v>63</v>
      </c>
      <c r="L9" s="1" t="s">
        <v>36</v>
      </c>
      <c r="M9" s="1">
        <v>0.09</v>
      </c>
      <c r="N9" s="1" t="s">
        <v>50</v>
      </c>
      <c r="O9" s="1" t="s">
        <v>38</v>
      </c>
      <c r="P9" s="1" t="s">
        <v>37</v>
      </c>
      <c r="Q9" s="1" t="s">
        <v>51</v>
      </c>
      <c r="R9" s="1" t="s">
        <v>64</v>
      </c>
      <c r="S9" s="1" t="s">
        <v>40</v>
      </c>
      <c r="T9" s="1">
        <v>933.68</v>
      </c>
      <c r="U9" s="1" t="s">
        <v>41</v>
      </c>
      <c r="V9" s="1" t="s">
        <v>30</v>
      </c>
      <c r="W9" s="1" t="s">
        <v>37</v>
      </c>
      <c r="X9" s="1" t="s">
        <v>30</v>
      </c>
      <c r="Y9" s="1" t="s">
        <v>37</v>
      </c>
      <c r="Z9" s="1" t="s">
        <v>42</v>
      </c>
    </row>
    <row r="10" spans="1:26" ht="15.75" x14ac:dyDescent="0.25">
      <c r="A10" s="1" t="s">
        <v>26</v>
      </c>
      <c r="B10" s="1" t="s">
        <v>27</v>
      </c>
      <c r="C10" s="1" t="s">
        <v>28</v>
      </c>
      <c r="D10" s="1" t="s">
        <v>65</v>
      </c>
      <c r="E10" s="1" t="s">
        <v>30</v>
      </c>
      <c r="F10" s="1" t="s">
        <v>66</v>
      </c>
      <c r="G10" s="1" t="s">
        <v>32</v>
      </c>
      <c r="H10" s="1" t="s">
        <v>48</v>
      </c>
      <c r="I10" s="1" t="s">
        <v>33</v>
      </c>
      <c r="J10" s="1">
        <v>38.869999999999997</v>
      </c>
      <c r="K10" s="1" t="s">
        <v>56</v>
      </c>
      <c r="L10" s="1" t="s">
        <v>36</v>
      </c>
      <c r="M10" s="1">
        <v>1.55</v>
      </c>
      <c r="N10" s="1" t="s">
        <v>50</v>
      </c>
      <c r="O10" s="1" t="s">
        <v>38</v>
      </c>
      <c r="P10" s="1" t="s">
        <v>37</v>
      </c>
      <c r="Q10" s="1" t="s">
        <v>51</v>
      </c>
      <c r="R10" s="1" t="s">
        <v>67</v>
      </c>
      <c r="S10" s="1" t="s">
        <v>40</v>
      </c>
      <c r="T10" s="1">
        <v>933.68</v>
      </c>
      <c r="U10" s="1" t="s">
        <v>41</v>
      </c>
      <c r="V10" s="1" t="s">
        <v>30</v>
      </c>
      <c r="W10" s="1" t="s">
        <v>37</v>
      </c>
      <c r="X10" s="1" t="s">
        <v>30</v>
      </c>
      <c r="Y10" s="1" t="s">
        <v>37</v>
      </c>
      <c r="Z10" s="1" t="s">
        <v>42</v>
      </c>
    </row>
    <row r="11" spans="1:26" ht="15.75" x14ac:dyDescent="0.25">
      <c r="A11" s="1" t="s">
        <v>26</v>
      </c>
      <c r="B11" s="1" t="s">
        <v>27</v>
      </c>
      <c r="C11" s="1" t="s">
        <v>28</v>
      </c>
      <c r="D11" s="1" t="s">
        <v>65</v>
      </c>
      <c r="E11" s="1" t="s">
        <v>30</v>
      </c>
      <c r="F11" s="1" t="s">
        <v>66</v>
      </c>
      <c r="G11" s="1" t="s">
        <v>43</v>
      </c>
      <c r="H11" s="1" t="s">
        <v>48</v>
      </c>
      <c r="I11" s="1" t="s">
        <v>33</v>
      </c>
      <c r="J11" s="1">
        <v>1.5</v>
      </c>
      <c r="K11" s="1" t="s">
        <v>56</v>
      </c>
      <c r="L11" s="1" t="s">
        <v>36</v>
      </c>
      <c r="M11" s="1">
        <v>0.06</v>
      </c>
      <c r="N11" s="1" t="s">
        <v>50</v>
      </c>
      <c r="O11" s="1" t="s">
        <v>38</v>
      </c>
      <c r="P11" s="1" t="s">
        <v>37</v>
      </c>
      <c r="Q11" s="1" t="s">
        <v>51</v>
      </c>
      <c r="R11" s="1" t="s">
        <v>67</v>
      </c>
      <c r="S11" s="1" t="s">
        <v>40</v>
      </c>
      <c r="T11" s="1">
        <v>933.68</v>
      </c>
      <c r="U11" s="1" t="s">
        <v>41</v>
      </c>
      <c r="V11" s="1" t="s">
        <v>30</v>
      </c>
      <c r="W11" s="1" t="s">
        <v>37</v>
      </c>
      <c r="X11" s="1" t="s">
        <v>30</v>
      </c>
      <c r="Y11" s="1" t="s">
        <v>37</v>
      </c>
      <c r="Z11" s="1" t="s">
        <v>42</v>
      </c>
    </row>
    <row r="12" spans="1:26" ht="15.75" x14ac:dyDescent="0.25">
      <c r="A12" s="1" t="s">
        <v>26</v>
      </c>
      <c r="B12" s="1" t="s">
        <v>27</v>
      </c>
      <c r="C12" s="1" t="s">
        <v>28</v>
      </c>
      <c r="D12" s="1" t="s">
        <v>68</v>
      </c>
      <c r="E12" s="1" t="s">
        <v>30</v>
      </c>
      <c r="F12" s="1" t="s">
        <v>69</v>
      </c>
      <c r="G12" s="1" t="s">
        <v>32</v>
      </c>
      <c r="H12" s="1" t="s">
        <v>62</v>
      </c>
      <c r="I12" s="1" t="s">
        <v>48</v>
      </c>
      <c r="J12" s="1">
        <v>36.83</v>
      </c>
      <c r="K12" s="1" t="s">
        <v>70</v>
      </c>
      <c r="L12" s="1" t="s">
        <v>36</v>
      </c>
      <c r="M12" s="1">
        <v>0</v>
      </c>
      <c r="N12" s="1" t="s">
        <v>71</v>
      </c>
      <c r="O12" s="1" t="s">
        <v>38</v>
      </c>
      <c r="P12" s="1" t="s">
        <v>72</v>
      </c>
      <c r="Q12" s="1" t="s">
        <v>73</v>
      </c>
      <c r="R12" s="1" t="s">
        <v>74</v>
      </c>
      <c r="S12" s="1" t="s">
        <v>40</v>
      </c>
      <c r="T12" s="1">
        <v>933.68</v>
      </c>
      <c r="U12" s="1" t="s">
        <v>41</v>
      </c>
      <c r="V12" s="1" t="s">
        <v>30</v>
      </c>
      <c r="W12" s="1" t="s">
        <v>37</v>
      </c>
      <c r="X12" s="1" t="s">
        <v>30</v>
      </c>
      <c r="Y12" s="1" t="s">
        <v>37</v>
      </c>
      <c r="Z12" s="1" t="s">
        <v>42</v>
      </c>
    </row>
    <row r="13" spans="1:26" ht="15.75" x14ac:dyDescent="0.25">
      <c r="A13" s="1" t="s">
        <v>26</v>
      </c>
      <c r="B13" s="1" t="s">
        <v>27</v>
      </c>
      <c r="C13" s="1" t="s">
        <v>28</v>
      </c>
      <c r="D13" s="1" t="s">
        <v>68</v>
      </c>
      <c r="E13" s="1" t="s">
        <v>30</v>
      </c>
      <c r="F13" s="1" t="s">
        <v>69</v>
      </c>
      <c r="G13" s="1" t="s">
        <v>43</v>
      </c>
      <c r="H13" s="1" t="s">
        <v>62</v>
      </c>
      <c r="I13" s="1" t="s">
        <v>48</v>
      </c>
      <c r="J13" s="1">
        <v>1.5</v>
      </c>
      <c r="K13" s="1" t="s">
        <v>70</v>
      </c>
      <c r="L13" s="1" t="s">
        <v>36</v>
      </c>
      <c r="M13" s="1">
        <v>0</v>
      </c>
      <c r="N13" s="1" t="s">
        <v>71</v>
      </c>
      <c r="O13" s="1" t="s">
        <v>38</v>
      </c>
      <c r="P13" s="1" t="s">
        <v>75</v>
      </c>
      <c r="Q13" s="1" t="s">
        <v>73</v>
      </c>
      <c r="R13" s="1" t="s">
        <v>74</v>
      </c>
      <c r="S13" s="1" t="s">
        <v>40</v>
      </c>
      <c r="T13" s="1">
        <v>933.68</v>
      </c>
      <c r="U13" s="1" t="s">
        <v>41</v>
      </c>
      <c r="V13" s="1" t="s">
        <v>30</v>
      </c>
      <c r="W13" s="1" t="s">
        <v>37</v>
      </c>
      <c r="X13" s="1" t="s">
        <v>30</v>
      </c>
      <c r="Y13" s="1" t="s">
        <v>37</v>
      </c>
      <c r="Z13" s="1" t="s">
        <v>42</v>
      </c>
    </row>
    <row r="14" spans="1:26" ht="15.75" x14ac:dyDescent="0.25">
      <c r="A14" s="1" t="s">
        <v>26</v>
      </c>
      <c r="B14" s="1" t="s">
        <v>27</v>
      </c>
      <c r="C14" s="1" t="s">
        <v>28</v>
      </c>
      <c r="D14" s="1" t="s">
        <v>76</v>
      </c>
      <c r="E14" s="1" t="s">
        <v>30</v>
      </c>
      <c r="F14" s="1" t="s">
        <v>69</v>
      </c>
      <c r="G14" s="1" t="s">
        <v>45</v>
      </c>
      <c r="H14" s="1" t="s">
        <v>62</v>
      </c>
      <c r="I14" s="1" t="s">
        <v>48</v>
      </c>
      <c r="J14" s="1">
        <v>16.34</v>
      </c>
      <c r="K14" s="1" t="s">
        <v>70</v>
      </c>
      <c r="L14" s="1" t="s">
        <v>36</v>
      </c>
      <c r="M14" s="1">
        <v>0</v>
      </c>
      <c r="N14" s="1" t="s">
        <v>71</v>
      </c>
      <c r="O14" s="1" t="s">
        <v>38</v>
      </c>
      <c r="P14" s="1" t="s">
        <v>77</v>
      </c>
      <c r="Q14" s="1" t="s">
        <v>73</v>
      </c>
      <c r="R14" s="1" t="s">
        <v>74</v>
      </c>
      <c r="S14" s="1" t="s">
        <v>40</v>
      </c>
      <c r="T14" s="1">
        <v>933.68</v>
      </c>
      <c r="U14" s="1" t="s">
        <v>41</v>
      </c>
      <c r="V14" s="1" t="s">
        <v>30</v>
      </c>
      <c r="W14" s="1" t="s">
        <v>37</v>
      </c>
      <c r="X14" s="1" t="s">
        <v>30</v>
      </c>
      <c r="Y14" s="1" t="s">
        <v>37</v>
      </c>
      <c r="Z14" s="1" t="s">
        <v>42</v>
      </c>
    </row>
    <row r="15" spans="1:26" ht="15.75" x14ac:dyDescent="0.25">
      <c r="A15" s="1" t="s">
        <v>26</v>
      </c>
      <c r="B15" s="1" t="s">
        <v>27</v>
      </c>
      <c r="C15" s="1" t="s">
        <v>78</v>
      </c>
      <c r="D15" s="1" t="s">
        <v>79</v>
      </c>
      <c r="E15" s="1" t="s">
        <v>30</v>
      </c>
      <c r="F15" s="1" t="s">
        <v>80</v>
      </c>
      <c r="G15" s="1" t="s">
        <v>32</v>
      </c>
      <c r="H15" s="1" t="s">
        <v>81</v>
      </c>
      <c r="I15" s="1" t="s">
        <v>48</v>
      </c>
      <c r="J15" s="1">
        <v>83.41</v>
      </c>
      <c r="K15" s="1" t="s">
        <v>82</v>
      </c>
      <c r="L15" s="1" t="s">
        <v>36</v>
      </c>
      <c r="M15" s="1">
        <v>3.34</v>
      </c>
      <c r="N15" s="1" t="s">
        <v>50</v>
      </c>
      <c r="O15" s="1" t="s">
        <v>38</v>
      </c>
      <c r="P15" s="1" t="s">
        <v>37</v>
      </c>
      <c r="Q15" s="1" t="s">
        <v>51</v>
      </c>
      <c r="R15" s="1" t="s">
        <v>83</v>
      </c>
      <c r="S15" s="1" t="s">
        <v>40</v>
      </c>
      <c r="T15" s="1">
        <v>933.68</v>
      </c>
      <c r="U15" s="1" t="s">
        <v>41</v>
      </c>
      <c r="V15" s="1" t="s">
        <v>30</v>
      </c>
      <c r="W15" s="1" t="s">
        <v>37</v>
      </c>
      <c r="X15" s="1" t="s">
        <v>30</v>
      </c>
      <c r="Y15" s="1" t="s">
        <v>37</v>
      </c>
      <c r="Z15" s="1" t="s">
        <v>42</v>
      </c>
    </row>
    <row r="16" spans="1:26" ht="15.75" x14ac:dyDescent="0.25">
      <c r="A16" s="1" t="s">
        <v>26</v>
      </c>
      <c r="B16" s="1" t="s">
        <v>27</v>
      </c>
      <c r="C16" s="1" t="s">
        <v>78</v>
      </c>
      <c r="D16" s="1" t="s">
        <v>84</v>
      </c>
      <c r="E16" s="1" t="s">
        <v>30</v>
      </c>
      <c r="F16" s="1" t="s">
        <v>85</v>
      </c>
      <c r="G16" s="1" t="s">
        <v>32</v>
      </c>
      <c r="H16" s="1" t="s">
        <v>86</v>
      </c>
      <c r="I16" s="1" t="s">
        <v>48</v>
      </c>
      <c r="J16" s="1">
        <v>31.82</v>
      </c>
      <c r="K16" s="1" t="s">
        <v>87</v>
      </c>
      <c r="L16" s="1" t="s">
        <v>36</v>
      </c>
      <c r="M16" s="1">
        <v>0</v>
      </c>
      <c r="N16" s="1" t="s">
        <v>71</v>
      </c>
      <c r="O16" s="1" t="s">
        <v>38</v>
      </c>
      <c r="P16" s="1" t="s">
        <v>88</v>
      </c>
      <c r="Q16" s="1" t="s">
        <v>73</v>
      </c>
      <c r="R16" s="1" t="s">
        <v>89</v>
      </c>
      <c r="S16" s="1" t="s">
        <v>40</v>
      </c>
      <c r="T16" s="1">
        <v>933.68</v>
      </c>
      <c r="U16" s="1" t="s">
        <v>41</v>
      </c>
      <c r="V16" s="1" t="s">
        <v>30</v>
      </c>
      <c r="W16" s="1" t="s">
        <v>37</v>
      </c>
      <c r="X16" s="1" t="s">
        <v>30</v>
      </c>
      <c r="Y16" s="1" t="s">
        <v>37</v>
      </c>
      <c r="Z16" s="1" t="s">
        <v>42</v>
      </c>
    </row>
    <row r="17" spans="1:26" ht="15.75" x14ac:dyDescent="0.25">
      <c r="A17" s="1" t="s">
        <v>26</v>
      </c>
      <c r="B17" s="1" t="s">
        <v>27</v>
      </c>
      <c r="C17" s="1" t="s">
        <v>78</v>
      </c>
      <c r="D17" s="1" t="s">
        <v>90</v>
      </c>
      <c r="E17" s="1" t="s">
        <v>30</v>
      </c>
      <c r="F17" s="1" t="s">
        <v>85</v>
      </c>
      <c r="G17" s="1" t="s">
        <v>45</v>
      </c>
      <c r="H17" s="1" t="s">
        <v>86</v>
      </c>
      <c r="I17" s="1" t="s">
        <v>48</v>
      </c>
      <c r="J17" s="1">
        <v>16.34</v>
      </c>
      <c r="K17" s="1" t="s">
        <v>87</v>
      </c>
      <c r="L17" s="1" t="s">
        <v>36</v>
      </c>
      <c r="M17" s="1">
        <v>0</v>
      </c>
      <c r="N17" s="1" t="s">
        <v>71</v>
      </c>
      <c r="O17" s="1" t="s">
        <v>38</v>
      </c>
      <c r="P17" s="1" t="s">
        <v>77</v>
      </c>
      <c r="Q17" s="1" t="s">
        <v>73</v>
      </c>
      <c r="R17" s="1" t="s">
        <v>89</v>
      </c>
      <c r="S17" s="1" t="s">
        <v>40</v>
      </c>
      <c r="T17" s="1">
        <v>933.68</v>
      </c>
      <c r="U17" s="1" t="s">
        <v>41</v>
      </c>
      <c r="V17" s="1" t="s">
        <v>30</v>
      </c>
      <c r="W17" s="1" t="s">
        <v>37</v>
      </c>
      <c r="X17" s="1" t="s">
        <v>30</v>
      </c>
      <c r="Y17" s="1" t="s">
        <v>37</v>
      </c>
      <c r="Z17" s="1" t="s">
        <v>42</v>
      </c>
    </row>
    <row r="18" spans="1:26" ht="15.75" x14ac:dyDescent="0.25">
      <c r="A18" s="1" t="s">
        <v>26</v>
      </c>
      <c r="B18" s="1" t="s">
        <v>27</v>
      </c>
      <c r="C18" s="1" t="s">
        <v>78</v>
      </c>
      <c r="D18" s="1" t="s">
        <v>91</v>
      </c>
      <c r="E18" s="1" t="s">
        <v>30</v>
      </c>
      <c r="F18" s="1" t="s">
        <v>92</v>
      </c>
      <c r="G18" s="1" t="s">
        <v>32</v>
      </c>
      <c r="H18" s="1" t="s">
        <v>93</v>
      </c>
      <c r="I18" s="1" t="s">
        <v>33</v>
      </c>
      <c r="J18" s="1">
        <v>72.59</v>
      </c>
      <c r="K18" s="1" t="s">
        <v>94</v>
      </c>
      <c r="L18" s="1" t="s">
        <v>36</v>
      </c>
      <c r="M18" s="1">
        <v>2.9</v>
      </c>
      <c r="N18" s="1" t="s">
        <v>95</v>
      </c>
      <c r="O18" s="1" t="s">
        <v>38</v>
      </c>
      <c r="P18" s="1" t="s">
        <v>37</v>
      </c>
      <c r="Q18" s="1" t="s">
        <v>96</v>
      </c>
      <c r="R18" s="1" t="s">
        <v>97</v>
      </c>
      <c r="S18" s="1" t="s">
        <v>40</v>
      </c>
      <c r="T18" s="1">
        <v>933.68</v>
      </c>
      <c r="U18" s="1" t="s">
        <v>41</v>
      </c>
      <c r="V18" s="1" t="s">
        <v>30</v>
      </c>
      <c r="W18" s="1" t="s">
        <v>37</v>
      </c>
      <c r="X18" s="1" t="s">
        <v>30</v>
      </c>
      <c r="Y18" s="1" t="s">
        <v>37</v>
      </c>
      <c r="Z18" s="1" t="s">
        <v>42</v>
      </c>
    </row>
    <row r="19" spans="1:26" ht="15.75" x14ac:dyDescent="0.25">
      <c r="A19" s="1" t="s">
        <v>26</v>
      </c>
      <c r="B19" s="1" t="s">
        <v>27</v>
      </c>
      <c r="C19" s="1" t="s">
        <v>78</v>
      </c>
      <c r="D19" s="1" t="s">
        <v>91</v>
      </c>
      <c r="E19" s="1" t="s">
        <v>30</v>
      </c>
      <c r="F19" s="1" t="s">
        <v>92</v>
      </c>
      <c r="G19" s="1" t="s">
        <v>43</v>
      </c>
      <c r="H19" s="1" t="s">
        <v>93</v>
      </c>
      <c r="I19" s="1" t="s">
        <v>33</v>
      </c>
      <c r="J19" s="1">
        <v>2.69</v>
      </c>
      <c r="K19" s="1" t="s">
        <v>94</v>
      </c>
      <c r="L19" s="1" t="s">
        <v>36</v>
      </c>
      <c r="M19" s="1">
        <v>0.11</v>
      </c>
      <c r="N19" s="1" t="s">
        <v>95</v>
      </c>
      <c r="O19" s="1" t="s">
        <v>38</v>
      </c>
      <c r="P19" s="1" t="s">
        <v>37</v>
      </c>
      <c r="Q19" s="1" t="s">
        <v>96</v>
      </c>
      <c r="R19" s="1" t="s">
        <v>97</v>
      </c>
      <c r="S19" s="1" t="s">
        <v>40</v>
      </c>
      <c r="T19" s="1">
        <v>933.68</v>
      </c>
      <c r="U19" s="1" t="s">
        <v>41</v>
      </c>
      <c r="V19" s="1" t="s">
        <v>30</v>
      </c>
      <c r="W19" s="1" t="s">
        <v>37</v>
      </c>
      <c r="X19" s="1" t="s">
        <v>30</v>
      </c>
      <c r="Y19" s="1" t="s">
        <v>37</v>
      </c>
      <c r="Z19" s="1" t="s">
        <v>42</v>
      </c>
    </row>
    <row r="20" spans="1:26" ht="15.75" x14ac:dyDescent="0.25">
      <c r="A20" s="1" t="s">
        <v>26</v>
      </c>
      <c r="B20" s="1" t="s">
        <v>27</v>
      </c>
      <c r="C20" s="1" t="s">
        <v>78</v>
      </c>
      <c r="D20" s="1" t="s">
        <v>98</v>
      </c>
      <c r="E20" s="1" t="s">
        <v>30</v>
      </c>
      <c r="F20" s="1" t="s">
        <v>99</v>
      </c>
      <c r="G20" s="1" t="s">
        <v>32</v>
      </c>
      <c r="H20" s="1" t="s">
        <v>100</v>
      </c>
      <c r="I20" s="1" t="s">
        <v>48</v>
      </c>
      <c r="J20" s="1">
        <v>46.59</v>
      </c>
      <c r="K20" s="1" t="s">
        <v>101</v>
      </c>
      <c r="L20" s="1" t="s">
        <v>36</v>
      </c>
      <c r="M20" s="1">
        <v>1.87</v>
      </c>
      <c r="N20" s="1" t="s">
        <v>102</v>
      </c>
      <c r="O20" s="1" t="s">
        <v>38</v>
      </c>
      <c r="P20" s="1" t="s">
        <v>37</v>
      </c>
      <c r="Q20" s="1" t="s">
        <v>103</v>
      </c>
      <c r="R20" s="1" t="s">
        <v>104</v>
      </c>
      <c r="S20" s="1" t="s">
        <v>40</v>
      </c>
      <c r="T20" s="1">
        <v>933.68</v>
      </c>
      <c r="U20" s="1" t="s">
        <v>41</v>
      </c>
      <c r="V20" s="1" t="s">
        <v>30</v>
      </c>
      <c r="W20" s="1" t="s">
        <v>37</v>
      </c>
      <c r="X20" s="1" t="s">
        <v>30</v>
      </c>
      <c r="Y20" s="1" t="s">
        <v>37</v>
      </c>
      <c r="Z20" s="1" t="s">
        <v>42</v>
      </c>
    </row>
    <row r="21" spans="1:26" ht="15.75" x14ac:dyDescent="0.25">
      <c r="A21" s="1" t="s">
        <v>26</v>
      </c>
      <c r="B21" s="1" t="s">
        <v>27</v>
      </c>
      <c r="C21" s="1" t="s">
        <v>78</v>
      </c>
      <c r="D21" s="1" t="s">
        <v>98</v>
      </c>
      <c r="E21" s="1" t="s">
        <v>30</v>
      </c>
      <c r="F21" s="1" t="s">
        <v>99</v>
      </c>
      <c r="G21" s="1" t="s">
        <v>43</v>
      </c>
      <c r="H21" s="1" t="s">
        <v>100</v>
      </c>
      <c r="I21" s="1" t="s">
        <v>48</v>
      </c>
      <c r="J21" s="1">
        <v>1.5</v>
      </c>
      <c r="K21" s="1" t="s">
        <v>101</v>
      </c>
      <c r="L21" s="1" t="s">
        <v>36</v>
      </c>
      <c r="M21" s="1">
        <v>0.06</v>
      </c>
      <c r="N21" s="1" t="s">
        <v>102</v>
      </c>
      <c r="O21" s="1" t="s">
        <v>38</v>
      </c>
      <c r="P21" s="1" t="s">
        <v>37</v>
      </c>
      <c r="Q21" s="1" t="s">
        <v>103</v>
      </c>
      <c r="R21" s="1" t="s">
        <v>104</v>
      </c>
      <c r="S21" s="1" t="s">
        <v>40</v>
      </c>
      <c r="T21" s="1">
        <v>933.68</v>
      </c>
      <c r="U21" s="1" t="s">
        <v>41</v>
      </c>
      <c r="V21" s="1" t="s">
        <v>30</v>
      </c>
      <c r="W21" s="1" t="s">
        <v>37</v>
      </c>
      <c r="X21" s="1" t="s">
        <v>30</v>
      </c>
      <c r="Y21" s="1" t="s">
        <v>37</v>
      </c>
      <c r="Z21" s="1" t="s">
        <v>42</v>
      </c>
    </row>
    <row r="22" spans="1:26" ht="15.75" x14ac:dyDescent="0.25">
      <c r="A22" s="1" t="s">
        <v>26</v>
      </c>
      <c r="B22" s="1" t="s">
        <v>27</v>
      </c>
      <c r="C22" s="1" t="s">
        <v>78</v>
      </c>
      <c r="D22" s="1" t="s">
        <v>98</v>
      </c>
      <c r="E22" s="1" t="s">
        <v>30</v>
      </c>
      <c r="F22" s="1" t="s">
        <v>99</v>
      </c>
      <c r="G22" s="1" t="s">
        <v>32</v>
      </c>
      <c r="H22" s="1" t="s">
        <v>86</v>
      </c>
      <c r="I22" s="1" t="s">
        <v>48</v>
      </c>
      <c r="J22" s="1">
        <v>46.59</v>
      </c>
      <c r="K22" s="1" t="s">
        <v>101</v>
      </c>
      <c r="L22" s="1" t="s">
        <v>36</v>
      </c>
      <c r="M22" s="1">
        <v>1.87</v>
      </c>
      <c r="N22" s="1" t="s">
        <v>102</v>
      </c>
      <c r="O22" s="1" t="s">
        <v>38</v>
      </c>
      <c r="P22" s="1" t="s">
        <v>37</v>
      </c>
      <c r="Q22" s="1" t="s">
        <v>103</v>
      </c>
      <c r="R22" s="1" t="s">
        <v>104</v>
      </c>
      <c r="S22" s="1" t="s">
        <v>40</v>
      </c>
      <c r="T22" s="1">
        <v>933.68</v>
      </c>
      <c r="U22" s="1" t="s">
        <v>41</v>
      </c>
      <c r="V22" s="1" t="s">
        <v>30</v>
      </c>
      <c r="W22" s="1" t="s">
        <v>37</v>
      </c>
      <c r="X22" s="1" t="s">
        <v>30</v>
      </c>
      <c r="Y22" s="1" t="s">
        <v>37</v>
      </c>
      <c r="Z22" s="1" t="s">
        <v>42</v>
      </c>
    </row>
    <row r="23" spans="1:26" ht="15.75" x14ac:dyDescent="0.25">
      <c r="A23" s="1" t="s">
        <v>26</v>
      </c>
      <c r="B23" s="1" t="s">
        <v>27</v>
      </c>
      <c r="C23" s="1" t="s">
        <v>78</v>
      </c>
      <c r="D23" s="1" t="s">
        <v>98</v>
      </c>
      <c r="E23" s="1" t="s">
        <v>30</v>
      </c>
      <c r="F23" s="1" t="s">
        <v>99</v>
      </c>
      <c r="G23" s="1" t="s">
        <v>43</v>
      </c>
      <c r="H23" s="1" t="s">
        <v>86</v>
      </c>
      <c r="I23" s="1" t="s">
        <v>48</v>
      </c>
      <c r="J23" s="1">
        <v>1.5</v>
      </c>
      <c r="K23" s="1" t="s">
        <v>101</v>
      </c>
      <c r="L23" s="1" t="s">
        <v>36</v>
      </c>
      <c r="M23" s="1">
        <v>0.06</v>
      </c>
      <c r="N23" s="1" t="s">
        <v>102</v>
      </c>
      <c r="O23" s="1" t="s">
        <v>38</v>
      </c>
      <c r="P23" s="1" t="s">
        <v>37</v>
      </c>
      <c r="Q23" s="1" t="s">
        <v>103</v>
      </c>
      <c r="R23" s="1" t="s">
        <v>104</v>
      </c>
      <c r="S23" s="1" t="s">
        <v>40</v>
      </c>
      <c r="T23" s="1">
        <v>933.68</v>
      </c>
      <c r="U23" s="1" t="s">
        <v>41</v>
      </c>
      <c r="V23" s="1" t="s">
        <v>30</v>
      </c>
      <c r="W23" s="1" t="s">
        <v>37</v>
      </c>
      <c r="X23" s="1" t="s">
        <v>30</v>
      </c>
      <c r="Y23" s="1" t="s">
        <v>37</v>
      </c>
      <c r="Z23" s="1" t="s">
        <v>42</v>
      </c>
    </row>
    <row r="24" spans="1:26" ht="15.75" x14ac:dyDescent="0.25">
      <c r="A24" s="1" t="s">
        <v>26</v>
      </c>
      <c r="B24" s="1" t="s">
        <v>27</v>
      </c>
      <c r="C24" s="1" t="s">
        <v>78</v>
      </c>
      <c r="D24" s="1" t="s">
        <v>105</v>
      </c>
      <c r="E24" s="1" t="s">
        <v>30</v>
      </c>
      <c r="F24" s="1" t="s">
        <v>106</v>
      </c>
      <c r="G24" s="1" t="s">
        <v>32</v>
      </c>
      <c r="H24" s="1" t="s">
        <v>48</v>
      </c>
      <c r="I24" s="1" t="s">
        <v>33</v>
      </c>
      <c r="J24" s="1">
        <v>36.29</v>
      </c>
      <c r="K24" s="1" t="s">
        <v>107</v>
      </c>
      <c r="L24" s="1" t="s">
        <v>36</v>
      </c>
      <c r="M24" s="1">
        <v>0</v>
      </c>
      <c r="N24" s="1" t="s">
        <v>71</v>
      </c>
      <c r="O24" s="1" t="s">
        <v>38</v>
      </c>
      <c r="P24" s="1" t="s">
        <v>108</v>
      </c>
      <c r="Q24" s="1" t="s">
        <v>73</v>
      </c>
      <c r="R24" s="1" t="s">
        <v>109</v>
      </c>
      <c r="S24" s="1" t="s">
        <v>40</v>
      </c>
      <c r="T24" s="1">
        <v>933.68</v>
      </c>
      <c r="U24" s="1" t="s">
        <v>41</v>
      </c>
      <c r="V24" s="1" t="s">
        <v>30</v>
      </c>
      <c r="W24" s="1" t="s">
        <v>37</v>
      </c>
      <c r="X24" s="1" t="s">
        <v>30</v>
      </c>
      <c r="Y24" s="1" t="s">
        <v>37</v>
      </c>
      <c r="Z24" s="1" t="s">
        <v>42</v>
      </c>
    </row>
    <row r="25" spans="1:26" ht="15.75" x14ac:dyDescent="0.25">
      <c r="A25" s="1" t="s">
        <v>26</v>
      </c>
      <c r="B25" s="1" t="s">
        <v>27</v>
      </c>
      <c r="C25" s="1" t="s">
        <v>78</v>
      </c>
      <c r="D25" s="1" t="s">
        <v>105</v>
      </c>
      <c r="E25" s="1" t="s">
        <v>30</v>
      </c>
      <c r="F25" s="1" t="s">
        <v>106</v>
      </c>
      <c r="G25" s="1" t="s">
        <v>43</v>
      </c>
      <c r="H25" s="1" t="s">
        <v>48</v>
      </c>
      <c r="I25" s="1" t="s">
        <v>33</v>
      </c>
      <c r="J25" s="1">
        <v>1.5</v>
      </c>
      <c r="K25" s="1" t="s">
        <v>107</v>
      </c>
      <c r="L25" s="1" t="s">
        <v>36</v>
      </c>
      <c r="M25" s="1">
        <v>0</v>
      </c>
      <c r="N25" s="1" t="s">
        <v>71</v>
      </c>
      <c r="O25" s="1" t="s">
        <v>38</v>
      </c>
      <c r="P25" s="1" t="s">
        <v>75</v>
      </c>
      <c r="Q25" s="1" t="s">
        <v>73</v>
      </c>
      <c r="R25" s="1" t="s">
        <v>109</v>
      </c>
      <c r="S25" s="1" t="s">
        <v>40</v>
      </c>
      <c r="T25" s="1">
        <v>933.68</v>
      </c>
      <c r="U25" s="1" t="s">
        <v>41</v>
      </c>
      <c r="V25" s="1" t="s">
        <v>30</v>
      </c>
      <c r="W25" s="1" t="s">
        <v>37</v>
      </c>
      <c r="X25" s="1" t="s">
        <v>30</v>
      </c>
      <c r="Y25" s="1" t="s">
        <v>37</v>
      </c>
      <c r="Z25" s="1" t="s">
        <v>42</v>
      </c>
    </row>
    <row r="26" spans="1:26" ht="15.75" x14ac:dyDescent="0.25">
      <c r="A26" s="1" t="s">
        <v>26</v>
      </c>
      <c r="B26" s="1" t="s">
        <v>27</v>
      </c>
      <c r="C26" s="1" t="s">
        <v>78</v>
      </c>
      <c r="D26" s="1" t="s">
        <v>110</v>
      </c>
      <c r="E26" s="1" t="s">
        <v>30</v>
      </c>
      <c r="F26" s="1" t="s">
        <v>111</v>
      </c>
      <c r="G26" s="1" t="s">
        <v>32</v>
      </c>
      <c r="H26" s="1" t="s">
        <v>48</v>
      </c>
      <c r="I26" s="1" t="s">
        <v>33</v>
      </c>
      <c r="J26" s="1">
        <v>36.29</v>
      </c>
      <c r="K26" s="1" t="s">
        <v>107</v>
      </c>
      <c r="L26" s="1" t="s">
        <v>36</v>
      </c>
      <c r="M26" s="1">
        <v>0</v>
      </c>
      <c r="N26" s="1" t="s">
        <v>71</v>
      </c>
      <c r="O26" s="1" t="s">
        <v>38</v>
      </c>
      <c r="P26" s="1" t="s">
        <v>108</v>
      </c>
      <c r="Q26" s="1" t="s">
        <v>73</v>
      </c>
      <c r="R26" s="1" t="s">
        <v>112</v>
      </c>
      <c r="S26" s="1" t="s">
        <v>40</v>
      </c>
      <c r="T26" s="1">
        <v>933.68</v>
      </c>
      <c r="U26" s="1" t="s">
        <v>41</v>
      </c>
      <c r="V26" s="1" t="s">
        <v>30</v>
      </c>
      <c r="W26" s="1" t="s">
        <v>37</v>
      </c>
      <c r="X26" s="1" t="s">
        <v>30</v>
      </c>
      <c r="Y26" s="1" t="s">
        <v>37</v>
      </c>
      <c r="Z26" s="1" t="s">
        <v>42</v>
      </c>
    </row>
    <row r="27" spans="1:26" ht="15.75" x14ac:dyDescent="0.25">
      <c r="A27" s="1" t="s">
        <v>26</v>
      </c>
      <c r="B27" s="1" t="s">
        <v>27</v>
      </c>
      <c r="C27" s="1" t="s">
        <v>78</v>
      </c>
      <c r="D27" s="1" t="s">
        <v>110</v>
      </c>
      <c r="E27" s="1" t="s">
        <v>30</v>
      </c>
      <c r="F27" s="1" t="s">
        <v>111</v>
      </c>
      <c r="G27" s="1" t="s">
        <v>43</v>
      </c>
      <c r="H27" s="1" t="s">
        <v>48</v>
      </c>
      <c r="I27" s="1" t="s">
        <v>33</v>
      </c>
      <c r="J27" s="1">
        <v>1.5</v>
      </c>
      <c r="K27" s="1" t="s">
        <v>107</v>
      </c>
      <c r="L27" s="1" t="s">
        <v>36</v>
      </c>
      <c r="M27" s="1">
        <v>0</v>
      </c>
      <c r="N27" s="1" t="s">
        <v>71</v>
      </c>
      <c r="O27" s="1" t="s">
        <v>38</v>
      </c>
      <c r="P27" s="1" t="s">
        <v>75</v>
      </c>
      <c r="Q27" s="1" t="s">
        <v>73</v>
      </c>
      <c r="R27" s="1" t="s">
        <v>112</v>
      </c>
      <c r="S27" s="1" t="s">
        <v>40</v>
      </c>
      <c r="T27" s="1">
        <v>933.68</v>
      </c>
      <c r="U27" s="1" t="s">
        <v>41</v>
      </c>
      <c r="V27" s="1" t="s">
        <v>30</v>
      </c>
      <c r="W27" s="1" t="s">
        <v>37</v>
      </c>
      <c r="X27" s="1" t="s">
        <v>30</v>
      </c>
      <c r="Y27" s="1" t="s">
        <v>37</v>
      </c>
      <c r="Z27" s="1" t="s">
        <v>42</v>
      </c>
    </row>
    <row r="28" spans="1:26" ht="15.75" x14ac:dyDescent="0.25">
      <c r="A28" s="1" t="s">
        <v>26</v>
      </c>
      <c r="B28" s="1" t="s">
        <v>27</v>
      </c>
      <c r="C28" s="1" t="s">
        <v>78</v>
      </c>
      <c r="D28" s="1" t="s">
        <v>113</v>
      </c>
      <c r="E28" s="1" t="s">
        <v>30</v>
      </c>
      <c r="F28" s="1" t="s">
        <v>111</v>
      </c>
      <c r="G28" s="1" t="s">
        <v>45</v>
      </c>
      <c r="H28" s="1" t="s">
        <v>48</v>
      </c>
      <c r="I28" s="1" t="s">
        <v>33</v>
      </c>
      <c r="J28" s="1">
        <v>16.34</v>
      </c>
      <c r="K28" s="1" t="s">
        <v>107</v>
      </c>
      <c r="L28" s="1" t="s">
        <v>36</v>
      </c>
      <c r="M28" s="1">
        <v>0</v>
      </c>
      <c r="N28" s="1" t="s">
        <v>71</v>
      </c>
      <c r="O28" s="1" t="s">
        <v>38</v>
      </c>
      <c r="P28" s="1" t="s">
        <v>77</v>
      </c>
      <c r="Q28" s="1" t="s">
        <v>73</v>
      </c>
      <c r="R28" s="1" t="s">
        <v>112</v>
      </c>
      <c r="S28" s="1" t="s">
        <v>40</v>
      </c>
      <c r="T28" s="1">
        <v>933.68</v>
      </c>
      <c r="U28" s="1" t="s">
        <v>41</v>
      </c>
      <c r="V28" s="1" t="s">
        <v>30</v>
      </c>
      <c r="W28" s="1" t="s">
        <v>37</v>
      </c>
      <c r="X28" s="1" t="s">
        <v>30</v>
      </c>
      <c r="Y28" s="1" t="s">
        <v>37</v>
      </c>
      <c r="Z28" s="1" t="s">
        <v>42</v>
      </c>
    </row>
    <row r="29" spans="1:26" ht="15.75" x14ac:dyDescent="0.25">
      <c r="A29" s="1" t="s">
        <v>26</v>
      </c>
      <c r="B29" s="1" t="s">
        <v>27</v>
      </c>
      <c r="C29" s="1" t="s">
        <v>78</v>
      </c>
      <c r="D29" s="1" t="s">
        <v>114</v>
      </c>
      <c r="E29" s="1" t="s">
        <v>30</v>
      </c>
      <c r="F29" s="1" t="s">
        <v>115</v>
      </c>
      <c r="G29" s="1" t="s">
        <v>32</v>
      </c>
      <c r="H29" s="1" t="s">
        <v>33</v>
      </c>
      <c r="I29" s="1" t="s">
        <v>34</v>
      </c>
      <c r="J29" s="1">
        <v>36.29</v>
      </c>
      <c r="K29" s="1" t="s">
        <v>116</v>
      </c>
      <c r="L29" s="1" t="s">
        <v>36</v>
      </c>
      <c r="M29" s="1">
        <v>1.45</v>
      </c>
      <c r="N29" s="1" t="s">
        <v>95</v>
      </c>
      <c r="O29" s="1" t="s">
        <v>38</v>
      </c>
      <c r="P29" s="1" t="s">
        <v>37</v>
      </c>
      <c r="Q29" s="1" t="s">
        <v>96</v>
      </c>
      <c r="R29" s="1" t="s">
        <v>117</v>
      </c>
      <c r="S29" s="1" t="s">
        <v>40</v>
      </c>
      <c r="T29" s="1">
        <v>933.68</v>
      </c>
      <c r="U29" s="1" t="s">
        <v>41</v>
      </c>
      <c r="V29" s="1" t="s">
        <v>30</v>
      </c>
      <c r="W29" s="1" t="s">
        <v>37</v>
      </c>
      <c r="X29" s="1" t="s">
        <v>30</v>
      </c>
      <c r="Y29" s="1" t="s">
        <v>37</v>
      </c>
      <c r="Z29" s="1" t="s">
        <v>42</v>
      </c>
    </row>
    <row r="30" spans="1:26" ht="15.75" x14ac:dyDescent="0.25">
      <c r="A30" s="1" t="s">
        <v>26</v>
      </c>
      <c r="B30" s="1" t="s">
        <v>27</v>
      </c>
      <c r="C30" s="1" t="s">
        <v>78</v>
      </c>
      <c r="D30" s="1" t="s">
        <v>114</v>
      </c>
      <c r="E30" s="1" t="s">
        <v>30</v>
      </c>
      <c r="F30" s="1" t="s">
        <v>115</v>
      </c>
      <c r="G30" s="1" t="s">
        <v>43</v>
      </c>
      <c r="H30" s="1" t="s">
        <v>33</v>
      </c>
      <c r="I30" s="1" t="s">
        <v>34</v>
      </c>
      <c r="J30" s="1">
        <v>1.5</v>
      </c>
      <c r="K30" s="1" t="s">
        <v>116</v>
      </c>
      <c r="L30" s="1" t="s">
        <v>36</v>
      </c>
      <c r="M30" s="1">
        <v>0.06</v>
      </c>
      <c r="N30" s="1" t="s">
        <v>95</v>
      </c>
      <c r="O30" s="1" t="s">
        <v>38</v>
      </c>
      <c r="P30" s="1" t="s">
        <v>37</v>
      </c>
      <c r="Q30" s="1" t="s">
        <v>96</v>
      </c>
      <c r="R30" s="1" t="s">
        <v>117</v>
      </c>
      <c r="S30" s="1" t="s">
        <v>40</v>
      </c>
      <c r="T30" s="1">
        <v>933.68</v>
      </c>
      <c r="U30" s="1" t="s">
        <v>41</v>
      </c>
      <c r="V30" s="1" t="s">
        <v>30</v>
      </c>
      <c r="W30" s="1" t="s">
        <v>37</v>
      </c>
      <c r="X30" s="1" t="s">
        <v>30</v>
      </c>
      <c r="Y30" s="1" t="s">
        <v>37</v>
      </c>
      <c r="Z30" s="1" t="s">
        <v>42</v>
      </c>
    </row>
    <row r="31" spans="1:26" ht="15.75" x14ac:dyDescent="0.25">
      <c r="A31" s="1" t="s">
        <v>26</v>
      </c>
      <c r="B31" s="1" t="s">
        <v>27</v>
      </c>
      <c r="C31" s="1" t="s">
        <v>78</v>
      </c>
      <c r="D31" s="1" t="s">
        <v>118</v>
      </c>
      <c r="E31" s="1" t="s">
        <v>30</v>
      </c>
      <c r="F31" s="1" t="s">
        <v>119</v>
      </c>
      <c r="G31" s="1" t="s">
        <v>32</v>
      </c>
      <c r="H31" s="1" t="s">
        <v>33</v>
      </c>
      <c r="I31" s="1" t="s">
        <v>34</v>
      </c>
      <c r="J31" s="1">
        <v>36.29</v>
      </c>
      <c r="K31" s="1" t="s">
        <v>116</v>
      </c>
      <c r="L31" s="1" t="s">
        <v>36</v>
      </c>
      <c r="M31" s="1">
        <v>1.45</v>
      </c>
      <c r="N31" s="1" t="s">
        <v>95</v>
      </c>
      <c r="O31" s="1" t="s">
        <v>38</v>
      </c>
      <c r="P31" s="1" t="s">
        <v>37</v>
      </c>
      <c r="Q31" s="1" t="s">
        <v>96</v>
      </c>
      <c r="R31" s="1" t="s">
        <v>120</v>
      </c>
      <c r="S31" s="1" t="s">
        <v>40</v>
      </c>
      <c r="T31" s="1">
        <v>933.68</v>
      </c>
      <c r="U31" s="1" t="s">
        <v>41</v>
      </c>
      <c r="V31" s="1" t="s">
        <v>30</v>
      </c>
      <c r="W31" s="1" t="s">
        <v>37</v>
      </c>
      <c r="X31" s="1" t="s">
        <v>30</v>
      </c>
      <c r="Y31" s="1" t="s">
        <v>37</v>
      </c>
      <c r="Z31" s="1" t="s">
        <v>42</v>
      </c>
    </row>
    <row r="32" spans="1:26" ht="15.75" x14ac:dyDescent="0.25">
      <c r="A32" s="1" t="s">
        <v>26</v>
      </c>
      <c r="B32" s="1" t="s">
        <v>27</v>
      </c>
      <c r="C32" s="1" t="s">
        <v>78</v>
      </c>
      <c r="D32" s="1" t="s">
        <v>118</v>
      </c>
      <c r="E32" s="1" t="s">
        <v>30</v>
      </c>
      <c r="F32" s="1" t="s">
        <v>119</v>
      </c>
      <c r="G32" s="1" t="s">
        <v>43</v>
      </c>
      <c r="H32" s="1" t="s">
        <v>33</v>
      </c>
      <c r="I32" s="1" t="s">
        <v>34</v>
      </c>
      <c r="J32" s="1">
        <v>1.5</v>
      </c>
      <c r="K32" s="1" t="s">
        <v>116</v>
      </c>
      <c r="L32" s="1" t="s">
        <v>36</v>
      </c>
      <c r="M32" s="1">
        <v>0.06</v>
      </c>
      <c r="N32" s="1" t="s">
        <v>95</v>
      </c>
      <c r="O32" s="1" t="s">
        <v>38</v>
      </c>
      <c r="P32" s="1" t="s">
        <v>37</v>
      </c>
      <c r="Q32" s="1" t="s">
        <v>96</v>
      </c>
      <c r="R32" s="1" t="s">
        <v>120</v>
      </c>
      <c r="S32" s="1" t="s">
        <v>40</v>
      </c>
      <c r="T32" s="1">
        <v>933.68</v>
      </c>
      <c r="U32" s="1" t="s">
        <v>41</v>
      </c>
      <c r="V32" s="1" t="s">
        <v>30</v>
      </c>
      <c r="W32" s="1" t="s">
        <v>37</v>
      </c>
      <c r="X32" s="1" t="s">
        <v>30</v>
      </c>
      <c r="Y32" s="1" t="s">
        <v>37</v>
      </c>
      <c r="Z32" s="1" t="s">
        <v>42</v>
      </c>
    </row>
    <row r="33" spans="1:26" ht="15.75" x14ac:dyDescent="0.25">
      <c r="A33" s="1" t="s">
        <v>26</v>
      </c>
      <c r="B33" s="1" t="s">
        <v>27</v>
      </c>
      <c r="C33" s="1" t="s">
        <v>121</v>
      </c>
      <c r="D33" s="1" t="s">
        <v>122</v>
      </c>
      <c r="E33" s="1" t="s">
        <v>30</v>
      </c>
      <c r="F33" s="1" t="s">
        <v>123</v>
      </c>
      <c r="G33" s="1" t="s">
        <v>32</v>
      </c>
      <c r="H33" s="1" t="s">
        <v>62</v>
      </c>
      <c r="I33" s="1" t="s">
        <v>48</v>
      </c>
      <c r="J33" s="1">
        <v>36.29</v>
      </c>
      <c r="K33" s="1" t="s">
        <v>124</v>
      </c>
      <c r="L33" s="1" t="s">
        <v>36</v>
      </c>
      <c r="M33" s="1">
        <v>1.45</v>
      </c>
      <c r="N33" s="1" t="s">
        <v>95</v>
      </c>
      <c r="O33" s="1" t="s">
        <v>38</v>
      </c>
      <c r="P33" s="1" t="s">
        <v>37</v>
      </c>
      <c r="Q33" s="1" t="s">
        <v>96</v>
      </c>
      <c r="R33" s="1" t="s">
        <v>125</v>
      </c>
      <c r="S33" s="1" t="s">
        <v>40</v>
      </c>
      <c r="T33" s="1">
        <v>933.68</v>
      </c>
      <c r="U33" s="1" t="s">
        <v>41</v>
      </c>
      <c r="V33" s="1" t="s">
        <v>30</v>
      </c>
      <c r="W33" s="1" t="s">
        <v>37</v>
      </c>
      <c r="X33" s="1" t="s">
        <v>30</v>
      </c>
      <c r="Y33" s="1" t="s">
        <v>37</v>
      </c>
      <c r="Z33" s="1" t="s">
        <v>42</v>
      </c>
    </row>
    <row r="34" spans="1:26" ht="15.75" x14ac:dyDescent="0.25">
      <c r="A34" s="1" t="s">
        <v>26</v>
      </c>
      <c r="B34" s="1" t="s">
        <v>27</v>
      </c>
      <c r="C34" s="1" t="s">
        <v>121</v>
      </c>
      <c r="D34" s="1" t="s">
        <v>122</v>
      </c>
      <c r="E34" s="1" t="s">
        <v>30</v>
      </c>
      <c r="F34" s="1" t="s">
        <v>123</v>
      </c>
      <c r="G34" s="1" t="s">
        <v>43</v>
      </c>
      <c r="H34" s="1" t="s">
        <v>62</v>
      </c>
      <c r="I34" s="1" t="s">
        <v>48</v>
      </c>
      <c r="J34" s="1">
        <v>1.5</v>
      </c>
      <c r="K34" s="1" t="s">
        <v>124</v>
      </c>
      <c r="L34" s="1" t="s">
        <v>36</v>
      </c>
      <c r="M34" s="1">
        <v>0.06</v>
      </c>
      <c r="N34" s="1" t="s">
        <v>95</v>
      </c>
      <c r="O34" s="1" t="s">
        <v>38</v>
      </c>
      <c r="P34" s="1" t="s">
        <v>37</v>
      </c>
      <c r="Q34" s="1" t="s">
        <v>96</v>
      </c>
      <c r="R34" s="1" t="s">
        <v>125</v>
      </c>
      <c r="S34" s="1" t="s">
        <v>40</v>
      </c>
      <c r="T34" s="1">
        <v>933.68</v>
      </c>
      <c r="U34" s="1" t="s">
        <v>41</v>
      </c>
      <c r="V34" s="1" t="s">
        <v>30</v>
      </c>
      <c r="W34" s="1" t="s">
        <v>37</v>
      </c>
      <c r="X34" s="1" t="s">
        <v>30</v>
      </c>
      <c r="Y34" s="1" t="s">
        <v>37</v>
      </c>
      <c r="Z34" s="1" t="s">
        <v>42</v>
      </c>
    </row>
    <row r="35" spans="1:26" ht="15.75" x14ac:dyDescent="0.25">
      <c r="A35" s="1" t="s">
        <v>26</v>
      </c>
      <c r="B35" s="1" t="s">
        <v>27</v>
      </c>
      <c r="C35" s="1" t="s">
        <v>121</v>
      </c>
      <c r="D35" s="1" t="s">
        <v>126</v>
      </c>
      <c r="E35" s="1" t="s">
        <v>30</v>
      </c>
      <c r="F35" s="1" t="s">
        <v>127</v>
      </c>
      <c r="G35" s="1" t="s">
        <v>32</v>
      </c>
      <c r="H35" s="1" t="s">
        <v>86</v>
      </c>
      <c r="I35" s="1" t="s">
        <v>48</v>
      </c>
      <c r="J35" s="1">
        <v>36.29</v>
      </c>
      <c r="K35" s="1" t="s">
        <v>128</v>
      </c>
      <c r="L35" s="1" t="s">
        <v>36</v>
      </c>
      <c r="M35" s="1">
        <v>0</v>
      </c>
      <c r="N35" s="1" t="s">
        <v>71</v>
      </c>
      <c r="O35" s="1" t="s">
        <v>38</v>
      </c>
      <c r="P35" s="1" t="s">
        <v>108</v>
      </c>
      <c r="Q35" s="1" t="s">
        <v>73</v>
      </c>
      <c r="R35" s="1" t="s">
        <v>129</v>
      </c>
      <c r="S35" s="1" t="s">
        <v>40</v>
      </c>
      <c r="T35" s="1">
        <v>933.68</v>
      </c>
      <c r="U35" s="1" t="s">
        <v>41</v>
      </c>
      <c r="V35" s="1" t="s">
        <v>30</v>
      </c>
      <c r="W35" s="1" t="s">
        <v>37</v>
      </c>
      <c r="X35" s="1" t="s">
        <v>30</v>
      </c>
      <c r="Y35" s="1" t="s">
        <v>37</v>
      </c>
      <c r="Z35" s="1" t="s">
        <v>42</v>
      </c>
    </row>
    <row r="36" spans="1:26" ht="15.75" x14ac:dyDescent="0.25">
      <c r="A36" s="1" t="s">
        <v>26</v>
      </c>
      <c r="B36" s="1" t="s">
        <v>27</v>
      </c>
      <c r="C36" s="1" t="s">
        <v>121</v>
      </c>
      <c r="D36" s="1" t="s">
        <v>126</v>
      </c>
      <c r="E36" s="1" t="s">
        <v>30</v>
      </c>
      <c r="F36" s="1" t="s">
        <v>127</v>
      </c>
      <c r="G36" s="1" t="s">
        <v>43</v>
      </c>
      <c r="H36" s="1" t="s">
        <v>86</v>
      </c>
      <c r="I36" s="1" t="s">
        <v>48</v>
      </c>
      <c r="J36" s="1">
        <v>1.5</v>
      </c>
      <c r="K36" s="1" t="s">
        <v>128</v>
      </c>
      <c r="L36" s="1" t="s">
        <v>36</v>
      </c>
      <c r="M36" s="1">
        <v>0</v>
      </c>
      <c r="N36" s="1" t="s">
        <v>71</v>
      </c>
      <c r="O36" s="1" t="s">
        <v>38</v>
      </c>
      <c r="P36" s="1" t="s">
        <v>75</v>
      </c>
      <c r="Q36" s="1" t="s">
        <v>73</v>
      </c>
      <c r="R36" s="1" t="s">
        <v>129</v>
      </c>
      <c r="S36" s="1" t="s">
        <v>40</v>
      </c>
      <c r="T36" s="1">
        <v>933.68</v>
      </c>
      <c r="U36" s="1" t="s">
        <v>41</v>
      </c>
      <c r="V36" s="1" t="s">
        <v>30</v>
      </c>
      <c r="W36" s="1" t="s">
        <v>37</v>
      </c>
      <c r="X36" s="1" t="s">
        <v>30</v>
      </c>
      <c r="Y36" s="1" t="s">
        <v>37</v>
      </c>
      <c r="Z36" s="1" t="s">
        <v>42</v>
      </c>
    </row>
    <row r="37" spans="1:26" ht="15.75" x14ac:dyDescent="0.25">
      <c r="A37" s="1" t="s">
        <v>26</v>
      </c>
      <c r="B37" s="1" t="s">
        <v>27</v>
      </c>
      <c r="C37" s="1" t="s">
        <v>121</v>
      </c>
      <c r="D37" s="1" t="s">
        <v>130</v>
      </c>
      <c r="E37" s="1" t="s">
        <v>30</v>
      </c>
      <c r="F37" s="1" t="s">
        <v>131</v>
      </c>
      <c r="G37" s="1" t="s">
        <v>32</v>
      </c>
      <c r="H37" s="1" t="s">
        <v>48</v>
      </c>
      <c r="I37" s="1" t="s">
        <v>33</v>
      </c>
      <c r="J37" s="1">
        <v>75.83</v>
      </c>
      <c r="K37" s="1" t="s">
        <v>132</v>
      </c>
      <c r="L37" s="1" t="s">
        <v>36</v>
      </c>
      <c r="M37" s="1">
        <v>3.03</v>
      </c>
      <c r="N37" s="1" t="s">
        <v>50</v>
      </c>
      <c r="O37" s="1" t="s">
        <v>38</v>
      </c>
      <c r="P37" s="1" t="s">
        <v>37</v>
      </c>
      <c r="Q37" s="1" t="s">
        <v>51</v>
      </c>
      <c r="R37" s="1" t="s">
        <v>133</v>
      </c>
      <c r="S37" s="1" t="s">
        <v>40</v>
      </c>
      <c r="T37" s="1">
        <v>933.68</v>
      </c>
      <c r="U37" s="1" t="s">
        <v>41</v>
      </c>
      <c r="V37" s="1" t="s">
        <v>30</v>
      </c>
      <c r="W37" s="1" t="s">
        <v>37</v>
      </c>
      <c r="X37" s="1" t="s">
        <v>30</v>
      </c>
      <c r="Y37" s="1" t="s">
        <v>37</v>
      </c>
      <c r="Z37" s="1" t="s">
        <v>42</v>
      </c>
    </row>
    <row r="38" spans="1:26" ht="15.75" x14ac:dyDescent="0.25">
      <c r="A38" s="1" t="s">
        <v>26</v>
      </c>
      <c r="B38" s="1" t="s">
        <v>27</v>
      </c>
      <c r="C38" s="1" t="s">
        <v>121</v>
      </c>
      <c r="D38" s="1" t="s">
        <v>134</v>
      </c>
      <c r="E38" s="1" t="s">
        <v>30</v>
      </c>
      <c r="F38" s="1" t="s">
        <v>135</v>
      </c>
      <c r="G38" s="1" t="s">
        <v>32</v>
      </c>
      <c r="H38" s="1" t="s">
        <v>136</v>
      </c>
      <c r="I38" s="1" t="s">
        <v>137</v>
      </c>
      <c r="J38" s="1">
        <v>44.03</v>
      </c>
      <c r="K38" s="1" t="s">
        <v>138</v>
      </c>
      <c r="L38" s="1" t="s">
        <v>36</v>
      </c>
      <c r="M38" s="1">
        <v>0.88</v>
      </c>
      <c r="N38" s="1" t="s">
        <v>139</v>
      </c>
      <c r="O38" s="1" t="s">
        <v>38</v>
      </c>
      <c r="P38" s="1" t="s">
        <v>37</v>
      </c>
      <c r="Q38" s="1" t="s">
        <v>140</v>
      </c>
      <c r="R38" s="1" t="s">
        <v>141</v>
      </c>
      <c r="S38" s="1" t="s">
        <v>40</v>
      </c>
      <c r="T38" s="1">
        <v>933.68</v>
      </c>
      <c r="U38" s="1" t="s">
        <v>41</v>
      </c>
      <c r="V38" s="1" t="s">
        <v>30</v>
      </c>
      <c r="W38" s="1" t="s">
        <v>37</v>
      </c>
      <c r="X38" s="1" t="s">
        <v>30</v>
      </c>
      <c r="Y38" s="1" t="s">
        <v>37</v>
      </c>
      <c r="Z38" s="1" t="s">
        <v>42</v>
      </c>
    </row>
    <row r="39" spans="1:26" ht="15.75" x14ac:dyDescent="0.25">
      <c r="A39" s="1" t="s">
        <v>26</v>
      </c>
      <c r="B39" s="1" t="s">
        <v>27</v>
      </c>
      <c r="C39" s="1" t="s">
        <v>121</v>
      </c>
      <c r="D39" s="1" t="s">
        <v>134</v>
      </c>
      <c r="E39" s="1" t="s">
        <v>30</v>
      </c>
      <c r="F39" s="1" t="s">
        <v>135</v>
      </c>
      <c r="G39" s="1" t="s">
        <v>43</v>
      </c>
      <c r="H39" s="1" t="s">
        <v>136</v>
      </c>
      <c r="I39" s="1" t="s">
        <v>137</v>
      </c>
      <c r="J39" s="1">
        <v>1.5</v>
      </c>
      <c r="K39" s="1" t="s">
        <v>138</v>
      </c>
      <c r="L39" s="1" t="s">
        <v>36</v>
      </c>
      <c r="M39" s="1">
        <v>0.03</v>
      </c>
      <c r="N39" s="1" t="s">
        <v>139</v>
      </c>
      <c r="O39" s="1" t="s">
        <v>38</v>
      </c>
      <c r="P39" s="1" t="s">
        <v>37</v>
      </c>
      <c r="Q39" s="1" t="s">
        <v>140</v>
      </c>
      <c r="R39" s="1" t="s">
        <v>141</v>
      </c>
      <c r="S39" s="1" t="s">
        <v>40</v>
      </c>
      <c r="T39" s="1">
        <v>933.68</v>
      </c>
      <c r="U39" s="1" t="s">
        <v>41</v>
      </c>
      <c r="V39" s="1" t="s">
        <v>30</v>
      </c>
      <c r="W39" s="1" t="s">
        <v>37</v>
      </c>
      <c r="X39" s="1" t="s">
        <v>30</v>
      </c>
      <c r="Y39" s="1" t="s">
        <v>37</v>
      </c>
      <c r="Z39" s="1" t="s">
        <v>42</v>
      </c>
    </row>
    <row r="40" spans="1:26" ht="15.75" x14ac:dyDescent="0.25">
      <c r="A40" s="1" t="s">
        <v>26</v>
      </c>
      <c r="B40" s="1" t="s">
        <v>27</v>
      </c>
      <c r="C40" s="1" t="s">
        <v>121</v>
      </c>
      <c r="D40" s="1" t="s">
        <v>142</v>
      </c>
      <c r="E40" s="1" t="s">
        <v>30</v>
      </c>
      <c r="F40" s="1" t="s">
        <v>143</v>
      </c>
      <c r="G40" s="1" t="s">
        <v>45</v>
      </c>
      <c r="H40" s="1" t="s">
        <v>48</v>
      </c>
      <c r="I40" s="1" t="s">
        <v>33</v>
      </c>
      <c r="J40" s="1">
        <v>19.63</v>
      </c>
      <c r="K40" s="1" t="s">
        <v>132</v>
      </c>
      <c r="L40" s="1" t="s">
        <v>36</v>
      </c>
      <c r="M40" s="1">
        <v>0.79</v>
      </c>
      <c r="N40" s="1" t="s">
        <v>95</v>
      </c>
      <c r="O40" s="1" t="s">
        <v>38</v>
      </c>
      <c r="P40" s="1" t="s">
        <v>37</v>
      </c>
      <c r="Q40" s="1" t="s">
        <v>96</v>
      </c>
      <c r="R40" s="1" t="s">
        <v>144</v>
      </c>
      <c r="S40" s="1" t="s">
        <v>40</v>
      </c>
      <c r="T40" s="1">
        <v>933.68</v>
      </c>
      <c r="U40" s="1" t="s">
        <v>41</v>
      </c>
      <c r="V40" s="1" t="s">
        <v>30</v>
      </c>
      <c r="W40" s="1" t="s">
        <v>37</v>
      </c>
      <c r="X40" s="1" t="s">
        <v>30</v>
      </c>
      <c r="Y40" s="1" t="s">
        <v>37</v>
      </c>
      <c r="Z40" s="1" t="s">
        <v>42</v>
      </c>
    </row>
    <row r="41" spans="1:26" ht="15.75" x14ac:dyDescent="0.25">
      <c r="A41" s="1" t="s">
        <v>26</v>
      </c>
      <c r="B41" s="1" t="s">
        <v>27</v>
      </c>
      <c r="C41" s="1" t="s">
        <v>121</v>
      </c>
      <c r="D41" s="1" t="s">
        <v>145</v>
      </c>
      <c r="E41" s="1" t="s">
        <v>30</v>
      </c>
      <c r="F41" s="1" t="s">
        <v>146</v>
      </c>
      <c r="G41" s="1" t="s">
        <v>32</v>
      </c>
      <c r="H41" s="1" t="s">
        <v>137</v>
      </c>
      <c r="I41" s="1" t="s">
        <v>147</v>
      </c>
      <c r="J41" s="1">
        <v>78.97</v>
      </c>
      <c r="K41" s="1" t="s">
        <v>148</v>
      </c>
      <c r="L41" s="1" t="s">
        <v>36</v>
      </c>
      <c r="M41" s="1">
        <v>3.16</v>
      </c>
      <c r="N41" s="1" t="s">
        <v>149</v>
      </c>
      <c r="O41" s="1" t="s">
        <v>38</v>
      </c>
      <c r="P41" s="1" t="s">
        <v>37</v>
      </c>
      <c r="Q41" s="1" t="s">
        <v>150</v>
      </c>
      <c r="R41" s="1" t="s">
        <v>151</v>
      </c>
      <c r="S41" s="1" t="s">
        <v>40</v>
      </c>
      <c r="T41" s="1">
        <v>933.68</v>
      </c>
      <c r="U41" s="1" t="s">
        <v>41</v>
      </c>
      <c r="V41" s="1" t="s">
        <v>30</v>
      </c>
      <c r="W41" s="1" t="s">
        <v>37</v>
      </c>
      <c r="X41" s="1" t="s">
        <v>30</v>
      </c>
      <c r="Y41" s="1" t="s">
        <v>37</v>
      </c>
      <c r="Z41" s="1" t="s">
        <v>42</v>
      </c>
    </row>
    <row r="42" spans="1:26" ht="15.75" x14ac:dyDescent="0.25">
      <c r="A42" s="1" t="s">
        <v>26</v>
      </c>
      <c r="B42" s="1" t="s">
        <v>27</v>
      </c>
      <c r="C42" s="1" t="s">
        <v>121</v>
      </c>
      <c r="D42" s="1" t="s">
        <v>152</v>
      </c>
      <c r="E42" s="1" t="s">
        <v>30</v>
      </c>
      <c r="F42" s="1" t="s">
        <v>153</v>
      </c>
      <c r="G42" s="1" t="s">
        <v>45</v>
      </c>
      <c r="H42" s="1" t="s">
        <v>137</v>
      </c>
      <c r="I42" s="1" t="s">
        <v>147</v>
      </c>
      <c r="J42" s="1">
        <v>16.34</v>
      </c>
      <c r="K42" s="1" t="s">
        <v>148</v>
      </c>
      <c r="L42" s="1" t="s">
        <v>36</v>
      </c>
      <c r="M42" s="1">
        <v>0</v>
      </c>
      <c r="N42" s="1" t="s">
        <v>71</v>
      </c>
      <c r="O42" s="1" t="s">
        <v>38</v>
      </c>
      <c r="P42" s="1" t="s">
        <v>77</v>
      </c>
      <c r="Q42" s="1" t="s">
        <v>73</v>
      </c>
      <c r="R42" s="1" t="s">
        <v>154</v>
      </c>
      <c r="S42" s="1" t="s">
        <v>40</v>
      </c>
      <c r="T42" s="1">
        <v>933.68</v>
      </c>
      <c r="U42" s="1" t="s">
        <v>41</v>
      </c>
      <c r="V42" s="1" t="s">
        <v>30</v>
      </c>
      <c r="W42" s="1" t="s">
        <v>37</v>
      </c>
      <c r="X42" s="1" t="s">
        <v>30</v>
      </c>
      <c r="Y42" s="1" t="s">
        <v>37</v>
      </c>
      <c r="Z42" s="1" t="s">
        <v>42</v>
      </c>
    </row>
    <row r="43" spans="1:26" ht="15.75" x14ac:dyDescent="0.25">
      <c r="A43" s="1" t="s">
        <v>26</v>
      </c>
      <c r="B43" s="1" t="s">
        <v>27</v>
      </c>
      <c r="C43" s="1" t="s">
        <v>121</v>
      </c>
      <c r="D43" s="1" t="s">
        <v>155</v>
      </c>
      <c r="E43" s="1" t="s">
        <v>30</v>
      </c>
      <c r="F43" s="1" t="s">
        <v>156</v>
      </c>
      <c r="G43" s="1" t="s">
        <v>32</v>
      </c>
      <c r="H43" s="1" t="s">
        <v>62</v>
      </c>
      <c r="I43" s="1" t="s">
        <v>48</v>
      </c>
      <c r="J43" s="1">
        <v>36.29</v>
      </c>
      <c r="K43" s="1" t="s">
        <v>157</v>
      </c>
      <c r="L43" s="1" t="s">
        <v>36</v>
      </c>
      <c r="M43" s="1">
        <v>1.45</v>
      </c>
      <c r="N43" s="1" t="s">
        <v>95</v>
      </c>
      <c r="O43" s="1" t="s">
        <v>38</v>
      </c>
      <c r="P43" s="1" t="s">
        <v>37</v>
      </c>
      <c r="Q43" s="1" t="s">
        <v>96</v>
      </c>
      <c r="R43" s="1" t="s">
        <v>158</v>
      </c>
      <c r="S43" s="1" t="s">
        <v>40</v>
      </c>
      <c r="T43" s="1">
        <v>933.68</v>
      </c>
      <c r="U43" s="1" t="s">
        <v>41</v>
      </c>
      <c r="V43" s="1" t="s">
        <v>30</v>
      </c>
      <c r="W43" s="1" t="s">
        <v>37</v>
      </c>
      <c r="X43" s="1" t="s">
        <v>30</v>
      </c>
      <c r="Y43" s="1" t="s">
        <v>37</v>
      </c>
      <c r="Z43" s="1" t="s">
        <v>42</v>
      </c>
    </row>
    <row r="44" spans="1:26" ht="15.75" x14ac:dyDescent="0.25">
      <c r="A44" s="1" t="s">
        <v>26</v>
      </c>
      <c r="B44" s="1" t="s">
        <v>27</v>
      </c>
      <c r="C44" s="1" t="s">
        <v>121</v>
      </c>
      <c r="D44" s="1" t="s">
        <v>155</v>
      </c>
      <c r="E44" s="1" t="s">
        <v>30</v>
      </c>
      <c r="F44" s="1" t="s">
        <v>156</v>
      </c>
      <c r="G44" s="1" t="s">
        <v>43</v>
      </c>
      <c r="H44" s="1" t="s">
        <v>62</v>
      </c>
      <c r="I44" s="1" t="s">
        <v>48</v>
      </c>
      <c r="J44" s="1">
        <v>1.5</v>
      </c>
      <c r="K44" s="1" t="s">
        <v>157</v>
      </c>
      <c r="L44" s="1" t="s">
        <v>36</v>
      </c>
      <c r="M44" s="1">
        <v>0.06</v>
      </c>
      <c r="N44" s="1" t="s">
        <v>95</v>
      </c>
      <c r="O44" s="1" t="s">
        <v>38</v>
      </c>
      <c r="P44" s="1" t="s">
        <v>37</v>
      </c>
      <c r="Q44" s="1" t="s">
        <v>96</v>
      </c>
      <c r="R44" s="1" t="s">
        <v>158</v>
      </c>
      <c r="S44" s="1" t="s">
        <v>40</v>
      </c>
      <c r="T44" s="1">
        <v>933.68</v>
      </c>
      <c r="U44" s="1" t="s">
        <v>41</v>
      </c>
      <c r="V44" s="1" t="s">
        <v>30</v>
      </c>
      <c r="W44" s="1" t="s">
        <v>37</v>
      </c>
      <c r="X44" s="1" t="s">
        <v>30</v>
      </c>
      <c r="Y44" s="1" t="s">
        <v>37</v>
      </c>
      <c r="Z44" s="1" t="s">
        <v>42</v>
      </c>
    </row>
    <row r="45" spans="1:26" ht="15.75" x14ac:dyDescent="0.25">
      <c r="A45" s="1" t="s">
        <v>26</v>
      </c>
      <c r="B45" s="1" t="s">
        <v>27</v>
      </c>
      <c r="C45" s="1" t="s">
        <v>121</v>
      </c>
      <c r="D45" s="1" t="s">
        <v>159</v>
      </c>
      <c r="E45" s="1" t="s">
        <v>30</v>
      </c>
      <c r="F45" s="1" t="s">
        <v>156</v>
      </c>
      <c r="G45" s="1" t="s">
        <v>45</v>
      </c>
      <c r="H45" s="1" t="s">
        <v>62</v>
      </c>
      <c r="I45" s="1" t="s">
        <v>48</v>
      </c>
      <c r="J45" s="1">
        <v>16.34</v>
      </c>
      <c r="K45" s="1" t="s">
        <v>157</v>
      </c>
      <c r="L45" s="1" t="s">
        <v>36</v>
      </c>
      <c r="M45" s="1">
        <v>0.65</v>
      </c>
      <c r="N45" s="1" t="s">
        <v>95</v>
      </c>
      <c r="O45" s="1" t="s">
        <v>38</v>
      </c>
      <c r="P45" s="1" t="s">
        <v>37</v>
      </c>
      <c r="Q45" s="1" t="s">
        <v>96</v>
      </c>
      <c r="R45" s="1" t="s">
        <v>158</v>
      </c>
      <c r="S45" s="1" t="s">
        <v>40</v>
      </c>
      <c r="T45" s="1">
        <v>933.68</v>
      </c>
      <c r="U45" s="1" t="s">
        <v>41</v>
      </c>
      <c r="V45" s="1" t="s">
        <v>30</v>
      </c>
      <c r="W45" s="1" t="s">
        <v>37</v>
      </c>
      <c r="X45" s="1" t="s">
        <v>30</v>
      </c>
      <c r="Y45" s="1" t="s">
        <v>37</v>
      </c>
      <c r="Z45" s="1" t="s">
        <v>42</v>
      </c>
    </row>
    <row r="46" spans="1:26" ht="15.75" x14ac:dyDescent="0.25">
      <c r="A46" s="1" t="s">
        <v>26</v>
      </c>
      <c r="B46" s="1" t="s">
        <v>27</v>
      </c>
      <c r="C46" s="1" t="s">
        <v>121</v>
      </c>
      <c r="D46" s="1" t="s">
        <v>160</v>
      </c>
      <c r="E46" s="1" t="s">
        <v>30</v>
      </c>
      <c r="F46" s="1" t="s">
        <v>161</v>
      </c>
      <c r="G46" s="1" t="s">
        <v>32</v>
      </c>
      <c r="H46" s="1" t="s">
        <v>48</v>
      </c>
      <c r="I46" s="1" t="s">
        <v>33</v>
      </c>
      <c r="J46" s="1">
        <v>51.24</v>
      </c>
      <c r="K46" s="1" t="s">
        <v>162</v>
      </c>
      <c r="L46" s="1" t="s">
        <v>36</v>
      </c>
      <c r="M46" s="1">
        <v>2.0499999999999998</v>
      </c>
      <c r="N46" s="1" t="s">
        <v>50</v>
      </c>
      <c r="O46" s="1" t="s">
        <v>38</v>
      </c>
      <c r="P46" s="1" t="s">
        <v>37</v>
      </c>
      <c r="Q46" s="1" t="s">
        <v>51</v>
      </c>
      <c r="R46" s="1" t="s">
        <v>163</v>
      </c>
      <c r="S46" s="1" t="s">
        <v>40</v>
      </c>
      <c r="T46" s="1">
        <v>933.68</v>
      </c>
      <c r="U46" s="1" t="s">
        <v>41</v>
      </c>
      <c r="V46" s="1" t="s">
        <v>30</v>
      </c>
      <c r="W46" s="1" t="s">
        <v>37</v>
      </c>
      <c r="X46" s="1" t="s">
        <v>30</v>
      </c>
      <c r="Y46" s="1" t="s">
        <v>37</v>
      </c>
      <c r="Z46" s="1" t="s">
        <v>42</v>
      </c>
    </row>
    <row r="47" spans="1:26" ht="15.75" x14ac:dyDescent="0.25">
      <c r="A47" s="1" t="s">
        <v>26</v>
      </c>
      <c r="B47" s="1" t="s">
        <v>27</v>
      </c>
      <c r="C47" s="1" t="s">
        <v>121</v>
      </c>
      <c r="D47" s="1" t="s">
        <v>160</v>
      </c>
      <c r="E47" s="1" t="s">
        <v>30</v>
      </c>
      <c r="F47" s="1" t="s">
        <v>161</v>
      </c>
      <c r="G47" s="1" t="s">
        <v>43</v>
      </c>
      <c r="H47" s="1" t="s">
        <v>48</v>
      </c>
      <c r="I47" s="1" t="s">
        <v>33</v>
      </c>
      <c r="J47" s="1">
        <v>1.5</v>
      </c>
      <c r="K47" s="1" t="s">
        <v>162</v>
      </c>
      <c r="L47" s="1" t="s">
        <v>36</v>
      </c>
      <c r="M47" s="1">
        <v>0.06</v>
      </c>
      <c r="N47" s="1" t="s">
        <v>50</v>
      </c>
      <c r="O47" s="1" t="s">
        <v>38</v>
      </c>
      <c r="P47" s="1" t="s">
        <v>37</v>
      </c>
      <c r="Q47" s="1" t="s">
        <v>51</v>
      </c>
      <c r="R47" s="1" t="s">
        <v>163</v>
      </c>
      <c r="S47" s="1" t="s">
        <v>40</v>
      </c>
      <c r="T47" s="1">
        <v>933.68</v>
      </c>
      <c r="U47" s="1" t="s">
        <v>41</v>
      </c>
      <c r="V47" s="1" t="s">
        <v>30</v>
      </c>
      <c r="W47" s="1" t="s">
        <v>37</v>
      </c>
      <c r="X47" s="1" t="s">
        <v>30</v>
      </c>
      <c r="Y47" s="1" t="s">
        <v>37</v>
      </c>
      <c r="Z47" s="1" t="s">
        <v>42</v>
      </c>
    </row>
    <row r="48" spans="1:26" ht="15.75" x14ac:dyDescent="0.25">
      <c r="A48" s="1" t="s">
        <v>26</v>
      </c>
      <c r="B48" s="1" t="s">
        <v>27</v>
      </c>
      <c r="C48" s="1" t="s">
        <v>121</v>
      </c>
      <c r="D48" s="1" t="s">
        <v>164</v>
      </c>
      <c r="E48" s="1" t="s">
        <v>30</v>
      </c>
      <c r="F48" s="1" t="s">
        <v>165</v>
      </c>
      <c r="G48" s="1" t="s">
        <v>32</v>
      </c>
      <c r="H48" s="1" t="s">
        <v>48</v>
      </c>
      <c r="I48" s="1" t="s">
        <v>33</v>
      </c>
      <c r="J48" s="1">
        <v>44.81</v>
      </c>
      <c r="K48" s="1" t="s">
        <v>162</v>
      </c>
      <c r="L48" s="1" t="s">
        <v>36</v>
      </c>
      <c r="M48" s="1">
        <v>1.79</v>
      </c>
      <c r="N48" s="1" t="s">
        <v>50</v>
      </c>
      <c r="O48" s="1" t="s">
        <v>38</v>
      </c>
      <c r="P48" s="1" t="s">
        <v>37</v>
      </c>
      <c r="Q48" s="1" t="s">
        <v>51</v>
      </c>
      <c r="R48" s="1" t="s">
        <v>166</v>
      </c>
      <c r="S48" s="1" t="s">
        <v>40</v>
      </c>
      <c r="T48" s="1">
        <v>933.68</v>
      </c>
      <c r="U48" s="1" t="s">
        <v>41</v>
      </c>
      <c r="V48" s="1" t="s">
        <v>30</v>
      </c>
      <c r="W48" s="1" t="s">
        <v>37</v>
      </c>
      <c r="X48" s="1" t="s">
        <v>30</v>
      </c>
      <c r="Y48" s="1" t="s">
        <v>37</v>
      </c>
      <c r="Z48" s="1" t="s">
        <v>42</v>
      </c>
    </row>
    <row r="49" spans="1:26" ht="15.75" x14ac:dyDescent="0.25">
      <c r="A49" s="1" t="s">
        <v>26</v>
      </c>
      <c r="B49" s="1" t="s">
        <v>27</v>
      </c>
      <c r="C49" s="1" t="s">
        <v>121</v>
      </c>
      <c r="D49" s="1" t="s">
        <v>167</v>
      </c>
      <c r="E49" s="1" t="s">
        <v>30</v>
      </c>
      <c r="F49" s="1" t="s">
        <v>168</v>
      </c>
      <c r="G49" s="1" t="s">
        <v>32</v>
      </c>
      <c r="H49" s="1" t="s">
        <v>137</v>
      </c>
      <c r="I49" s="1" t="s">
        <v>147</v>
      </c>
      <c r="J49" s="1">
        <v>36.29</v>
      </c>
      <c r="K49" s="1" t="s">
        <v>169</v>
      </c>
      <c r="L49" s="1" t="s">
        <v>36</v>
      </c>
      <c r="M49" s="1">
        <v>1.45</v>
      </c>
      <c r="N49" s="1" t="s">
        <v>95</v>
      </c>
      <c r="O49" s="1" t="s">
        <v>38</v>
      </c>
      <c r="P49" s="1" t="s">
        <v>37</v>
      </c>
      <c r="Q49" s="1" t="s">
        <v>96</v>
      </c>
      <c r="R49" s="1" t="s">
        <v>170</v>
      </c>
      <c r="S49" s="1" t="s">
        <v>40</v>
      </c>
      <c r="T49" s="1">
        <v>933.68</v>
      </c>
      <c r="U49" s="1" t="s">
        <v>41</v>
      </c>
      <c r="V49" s="1" t="s">
        <v>30</v>
      </c>
      <c r="W49" s="1" t="s">
        <v>37</v>
      </c>
      <c r="X49" s="1" t="s">
        <v>30</v>
      </c>
      <c r="Y49" s="1" t="s">
        <v>37</v>
      </c>
      <c r="Z49" s="1" t="s">
        <v>42</v>
      </c>
    </row>
    <row r="50" spans="1:26" ht="15.75" x14ac:dyDescent="0.25">
      <c r="A50" s="1" t="s">
        <v>26</v>
      </c>
      <c r="B50" s="1" t="s">
        <v>27</v>
      </c>
      <c r="C50" s="1" t="s">
        <v>121</v>
      </c>
      <c r="D50" s="1" t="s">
        <v>167</v>
      </c>
      <c r="E50" s="1" t="s">
        <v>30</v>
      </c>
      <c r="F50" s="1" t="s">
        <v>168</v>
      </c>
      <c r="G50" s="1" t="s">
        <v>43</v>
      </c>
      <c r="H50" s="1" t="s">
        <v>137</v>
      </c>
      <c r="I50" s="1" t="s">
        <v>147</v>
      </c>
      <c r="J50" s="1">
        <v>1.5</v>
      </c>
      <c r="K50" s="1" t="s">
        <v>169</v>
      </c>
      <c r="L50" s="1" t="s">
        <v>36</v>
      </c>
      <c r="M50" s="1">
        <v>0.06</v>
      </c>
      <c r="N50" s="1" t="s">
        <v>95</v>
      </c>
      <c r="O50" s="1" t="s">
        <v>38</v>
      </c>
      <c r="P50" s="1" t="s">
        <v>37</v>
      </c>
      <c r="Q50" s="1" t="s">
        <v>96</v>
      </c>
      <c r="R50" s="1" t="s">
        <v>170</v>
      </c>
      <c r="S50" s="1" t="s">
        <v>40</v>
      </c>
      <c r="T50" s="1">
        <v>933.68</v>
      </c>
      <c r="U50" s="1" t="s">
        <v>41</v>
      </c>
      <c r="V50" s="1" t="s">
        <v>30</v>
      </c>
      <c r="W50" s="1" t="s">
        <v>37</v>
      </c>
      <c r="X50" s="1" t="s">
        <v>30</v>
      </c>
      <c r="Y50" s="1" t="s">
        <v>37</v>
      </c>
      <c r="Z50" s="1" t="s">
        <v>42</v>
      </c>
    </row>
    <row r="51" spans="1:26" ht="15.75" x14ac:dyDescent="0.25">
      <c r="A51" s="1" t="s">
        <v>26</v>
      </c>
      <c r="B51" s="1" t="s">
        <v>27</v>
      </c>
      <c r="C51" s="1" t="s">
        <v>121</v>
      </c>
      <c r="D51" s="1" t="s">
        <v>171</v>
      </c>
      <c r="E51" s="1" t="s">
        <v>30</v>
      </c>
      <c r="F51" s="1" t="s">
        <v>168</v>
      </c>
      <c r="G51" s="1" t="s">
        <v>45</v>
      </c>
      <c r="H51" s="1" t="s">
        <v>137</v>
      </c>
      <c r="I51" s="1" t="s">
        <v>147</v>
      </c>
      <c r="J51" s="1">
        <v>10.67</v>
      </c>
      <c r="K51" s="1" t="s">
        <v>169</v>
      </c>
      <c r="L51" s="1" t="s">
        <v>36</v>
      </c>
      <c r="M51" s="1">
        <v>0.43</v>
      </c>
      <c r="N51" s="1" t="s">
        <v>95</v>
      </c>
      <c r="O51" s="1" t="s">
        <v>38</v>
      </c>
      <c r="P51" s="1" t="s">
        <v>37</v>
      </c>
      <c r="Q51" s="1" t="s">
        <v>96</v>
      </c>
      <c r="R51" s="1" t="s">
        <v>170</v>
      </c>
      <c r="S51" s="1" t="s">
        <v>40</v>
      </c>
      <c r="T51" s="1">
        <v>933.68</v>
      </c>
      <c r="U51" s="1" t="s">
        <v>41</v>
      </c>
      <c r="V51" s="1" t="s">
        <v>30</v>
      </c>
      <c r="W51" s="1" t="s">
        <v>37</v>
      </c>
      <c r="X51" s="1" t="s">
        <v>30</v>
      </c>
      <c r="Y51" s="1" t="s">
        <v>37</v>
      </c>
      <c r="Z51" s="1" t="s">
        <v>42</v>
      </c>
    </row>
    <row r="52" spans="1:26" ht="15.75" x14ac:dyDescent="0.25">
      <c r="A52" s="1" t="s">
        <v>26</v>
      </c>
      <c r="B52" s="1" t="s">
        <v>27</v>
      </c>
      <c r="C52" s="1" t="s">
        <v>121</v>
      </c>
      <c r="D52" s="1" t="s">
        <v>172</v>
      </c>
      <c r="E52" s="1" t="s">
        <v>30</v>
      </c>
      <c r="F52" s="1" t="s">
        <v>173</v>
      </c>
      <c r="G52" s="1" t="s">
        <v>32</v>
      </c>
      <c r="H52" s="1" t="s">
        <v>137</v>
      </c>
      <c r="I52" s="1" t="s">
        <v>147</v>
      </c>
      <c r="J52" s="1">
        <v>42.35</v>
      </c>
      <c r="K52" s="1" t="s">
        <v>169</v>
      </c>
      <c r="L52" s="1" t="s">
        <v>36</v>
      </c>
      <c r="M52" s="1">
        <v>1.69</v>
      </c>
      <c r="N52" s="1" t="s">
        <v>174</v>
      </c>
      <c r="O52" s="1" t="s">
        <v>38</v>
      </c>
      <c r="P52" s="1" t="s">
        <v>37</v>
      </c>
      <c r="Q52" s="1" t="s">
        <v>175</v>
      </c>
      <c r="R52" s="1" t="s">
        <v>176</v>
      </c>
      <c r="S52" s="1" t="s">
        <v>40</v>
      </c>
      <c r="T52" s="1">
        <v>933.68</v>
      </c>
      <c r="U52" s="1" t="s">
        <v>41</v>
      </c>
      <c r="V52" s="1" t="s">
        <v>30</v>
      </c>
      <c r="W52" s="1" t="s">
        <v>37</v>
      </c>
      <c r="X52" s="1" t="s">
        <v>30</v>
      </c>
      <c r="Y52" s="1" t="s">
        <v>37</v>
      </c>
      <c r="Z52" s="1" t="s">
        <v>42</v>
      </c>
    </row>
    <row r="53" spans="1:26" ht="15.75" x14ac:dyDescent="0.25">
      <c r="A53" s="1" t="s">
        <v>26</v>
      </c>
      <c r="B53" s="1" t="s">
        <v>27</v>
      </c>
      <c r="C53" s="1" t="s">
        <v>121</v>
      </c>
      <c r="D53" s="1" t="s">
        <v>172</v>
      </c>
      <c r="E53" s="1" t="s">
        <v>30</v>
      </c>
      <c r="F53" s="1" t="s">
        <v>173</v>
      </c>
      <c r="G53" s="1" t="s">
        <v>43</v>
      </c>
      <c r="H53" s="1" t="s">
        <v>137</v>
      </c>
      <c r="I53" s="1" t="s">
        <v>147</v>
      </c>
      <c r="J53" s="1">
        <v>1.5</v>
      </c>
      <c r="K53" s="1" t="s">
        <v>169</v>
      </c>
      <c r="L53" s="1" t="s">
        <v>36</v>
      </c>
      <c r="M53" s="1">
        <v>0.06</v>
      </c>
      <c r="N53" s="1" t="s">
        <v>174</v>
      </c>
      <c r="O53" s="1" t="s">
        <v>38</v>
      </c>
      <c r="P53" s="1" t="s">
        <v>37</v>
      </c>
      <c r="Q53" s="1" t="s">
        <v>175</v>
      </c>
      <c r="R53" s="1" t="s">
        <v>176</v>
      </c>
      <c r="S53" s="1" t="s">
        <v>40</v>
      </c>
      <c r="T53" s="1">
        <v>933.68</v>
      </c>
      <c r="U53" s="1" t="s">
        <v>41</v>
      </c>
      <c r="V53" s="1" t="s">
        <v>30</v>
      </c>
      <c r="W53" s="1" t="s">
        <v>37</v>
      </c>
      <c r="X53" s="1" t="s">
        <v>30</v>
      </c>
      <c r="Y53" s="1" t="s">
        <v>37</v>
      </c>
      <c r="Z53" s="1" t="s">
        <v>42</v>
      </c>
    </row>
    <row r="54" spans="1:26" ht="15.75" x14ac:dyDescent="0.25">
      <c r="A54" s="1" t="s">
        <v>26</v>
      </c>
      <c r="B54" s="1" t="s">
        <v>27</v>
      </c>
      <c r="C54" s="1" t="s">
        <v>121</v>
      </c>
      <c r="D54" s="1" t="s">
        <v>177</v>
      </c>
      <c r="E54" s="1" t="s">
        <v>30</v>
      </c>
      <c r="F54" s="1" t="s">
        <v>178</v>
      </c>
      <c r="G54" s="1" t="s">
        <v>32</v>
      </c>
      <c r="H54" s="1" t="s">
        <v>33</v>
      </c>
      <c r="I54" s="1" t="s">
        <v>34</v>
      </c>
      <c r="J54" s="1">
        <v>31.82</v>
      </c>
      <c r="K54" s="1" t="s">
        <v>179</v>
      </c>
      <c r="L54" s="1" t="s">
        <v>36</v>
      </c>
      <c r="M54" s="1">
        <v>1.27</v>
      </c>
      <c r="N54" s="1" t="s">
        <v>180</v>
      </c>
      <c r="O54" s="1" t="s">
        <v>38</v>
      </c>
      <c r="P54" s="1" t="s">
        <v>37</v>
      </c>
      <c r="Q54" s="1" t="s">
        <v>181</v>
      </c>
      <c r="R54" s="1" t="s">
        <v>182</v>
      </c>
      <c r="S54" s="1" t="s">
        <v>40</v>
      </c>
      <c r="T54" s="1">
        <v>933.68</v>
      </c>
      <c r="U54" s="1" t="s">
        <v>41</v>
      </c>
      <c r="V54" s="1" t="s">
        <v>30</v>
      </c>
      <c r="W54" s="1" t="s">
        <v>37</v>
      </c>
      <c r="X54" s="1" t="s">
        <v>30</v>
      </c>
      <c r="Y54" s="1" t="s">
        <v>37</v>
      </c>
      <c r="Z54" s="1" t="s">
        <v>42</v>
      </c>
    </row>
    <row r="55" spans="1:26" ht="15.75" x14ac:dyDescent="0.25">
      <c r="A55" s="1" t="s">
        <v>26</v>
      </c>
      <c r="B55" s="1" t="s">
        <v>27</v>
      </c>
      <c r="C55" s="1" t="s">
        <v>121</v>
      </c>
      <c r="D55" s="1" t="s">
        <v>183</v>
      </c>
      <c r="E55" s="1" t="s">
        <v>30</v>
      </c>
      <c r="F55" s="1" t="s">
        <v>178</v>
      </c>
      <c r="G55" s="1" t="s">
        <v>45</v>
      </c>
      <c r="H55" s="1" t="s">
        <v>33</v>
      </c>
      <c r="I55" s="1" t="s">
        <v>34</v>
      </c>
      <c r="J55" s="1">
        <v>16.34</v>
      </c>
      <c r="K55" s="1" t="s">
        <v>179</v>
      </c>
      <c r="L55" s="1" t="s">
        <v>36</v>
      </c>
      <c r="M55" s="1">
        <v>0.65</v>
      </c>
      <c r="N55" s="1" t="s">
        <v>180</v>
      </c>
      <c r="O55" s="1" t="s">
        <v>38</v>
      </c>
      <c r="P55" s="1" t="s">
        <v>37</v>
      </c>
      <c r="Q55" s="1" t="s">
        <v>181</v>
      </c>
      <c r="R55" s="1" t="s">
        <v>182</v>
      </c>
      <c r="S55" s="1" t="s">
        <v>40</v>
      </c>
      <c r="T55" s="1">
        <v>933.68</v>
      </c>
      <c r="U55" s="1" t="s">
        <v>41</v>
      </c>
      <c r="V55" s="1" t="s">
        <v>30</v>
      </c>
      <c r="W55" s="1" t="s">
        <v>37</v>
      </c>
      <c r="X55" s="1" t="s">
        <v>30</v>
      </c>
      <c r="Y55" s="1" t="s">
        <v>37</v>
      </c>
      <c r="Z55" s="1" t="s">
        <v>42</v>
      </c>
    </row>
    <row r="56" spans="1:26" ht="15.75" x14ac:dyDescent="0.25">
      <c r="A56" s="1" t="s">
        <v>26</v>
      </c>
      <c r="B56" s="1" t="s">
        <v>27</v>
      </c>
      <c r="C56" s="1" t="s">
        <v>121</v>
      </c>
      <c r="D56" s="1" t="s">
        <v>184</v>
      </c>
      <c r="E56" s="1" t="s">
        <v>30</v>
      </c>
      <c r="F56" s="1" t="s">
        <v>185</v>
      </c>
      <c r="G56" s="1" t="s">
        <v>32</v>
      </c>
      <c r="H56" s="1" t="s">
        <v>33</v>
      </c>
      <c r="I56" s="1" t="s">
        <v>34</v>
      </c>
      <c r="J56" s="1">
        <v>36.29</v>
      </c>
      <c r="K56" s="1" t="s">
        <v>179</v>
      </c>
      <c r="L56" s="1" t="s">
        <v>36</v>
      </c>
      <c r="M56" s="1">
        <v>1.45</v>
      </c>
      <c r="N56" s="1" t="s">
        <v>186</v>
      </c>
      <c r="O56" s="1" t="s">
        <v>38</v>
      </c>
      <c r="P56" s="1" t="s">
        <v>37</v>
      </c>
      <c r="Q56" s="1" t="s">
        <v>187</v>
      </c>
      <c r="R56" s="1" t="s">
        <v>188</v>
      </c>
      <c r="S56" s="1" t="s">
        <v>40</v>
      </c>
      <c r="T56" s="1">
        <v>933.68</v>
      </c>
      <c r="U56" s="1" t="s">
        <v>41</v>
      </c>
      <c r="V56" s="1" t="s">
        <v>30</v>
      </c>
      <c r="W56" s="1" t="s">
        <v>37</v>
      </c>
      <c r="X56" s="1" t="s">
        <v>30</v>
      </c>
      <c r="Y56" s="1" t="s">
        <v>37</v>
      </c>
      <c r="Z56" s="1" t="s">
        <v>42</v>
      </c>
    </row>
    <row r="57" spans="1:26" ht="15.75" x14ac:dyDescent="0.25">
      <c r="A57" s="1" t="s">
        <v>26</v>
      </c>
      <c r="B57" s="1" t="s">
        <v>27</v>
      </c>
      <c r="C57" s="1" t="s">
        <v>121</v>
      </c>
      <c r="D57" s="1" t="s">
        <v>184</v>
      </c>
      <c r="E57" s="1" t="s">
        <v>30</v>
      </c>
      <c r="F57" s="1" t="s">
        <v>185</v>
      </c>
      <c r="G57" s="1" t="s">
        <v>43</v>
      </c>
      <c r="H57" s="1" t="s">
        <v>33</v>
      </c>
      <c r="I57" s="1" t="s">
        <v>34</v>
      </c>
      <c r="J57" s="1">
        <v>1.5</v>
      </c>
      <c r="K57" s="1" t="s">
        <v>179</v>
      </c>
      <c r="L57" s="1" t="s">
        <v>36</v>
      </c>
      <c r="M57" s="1">
        <v>0.06</v>
      </c>
      <c r="N57" s="1" t="s">
        <v>186</v>
      </c>
      <c r="O57" s="1" t="s">
        <v>38</v>
      </c>
      <c r="P57" s="1" t="s">
        <v>37</v>
      </c>
      <c r="Q57" s="1" t="s">
        <v>187</v>
      </c>
      <c r="R57" s="1" t="s">
        <v>188</v>
      </c>
      <c r="S57" s="1" t="s">
        <v>40</v>
      </c>
      <c r="T57" s="1">
        <v>933.68</v>
      </c>
      <c r="U57" s="1" t="s">
        <v>41</v>
      </c>
      <c r="V57" s="1" t="s">
        <v>30</v>
      </c>
      <c r="W57" s="1" t="s">
        <v>37</v>
      </c>
      <c r="X57" s="1" t="s">
        <v>30</v>
      </c>
      <c r="Y57" s="1" t="s">
        <v>37</v>
      </c>
      <c r="Z57" s="1" t="s">
        <v>42</v>
      </c>
    </row>
    <row r="58" spans="1:26" ht="15.75" x14ac:dyDescent="0.25">
      <c r="A58" s="1" t="s">
        <v>26</v>
      </c>
      <c r="B58" s="1" t="s">
        <v>27</v>
      </c>
      <c r="C58" s="1" t="s">
        <v>121</v>
      </c>
      <c r="D58" s="1" t="s">
        <v>189</v>
      </c>
      <c r="E58" s="1" t="s">
        <v>30</v>
      </c>
      <c r="F58" s="1" t="s">
        <v>185</v>
      </c>
      <c r="G58" s="1" t="s">
        <v>45</v>
      </c>
      <c r="H58" s="1" t="s">
        <v>33</v>
      </c>
      <c r="I58" s="1" t="s">
        <v>34</v>
      </c>
      <c r="J58" s="1">
        <v>16.34</v>
      </c>
      <c r="K58" s="1" t="s">
        <v>179</v>
      </c>
      <c r="L58" s="1" t="s">
        <v>36</v>
      </c>
      <c r="M58" s="1">
        <v>0.65</v>
      </c>
      <c r="N58" s="1" t="s">
        <v>186</v>
      </c>
      <c r="O58" s="1" t="s">
        <v>38</v>
      </c>
      <c r="P58" s="1" t="s">
        <v>37</v>
      </c>
      <c r="Q58" s="1" t="s">
        <v>187</v>
      </c>
      <c r="R58" s="1" t="s">
        <v>188</v>
      </c>
      <c r="S58" s="1" t="s">
        <v>40</v>
      </c>
      <c r="T58" s="1">
        <v>933.68</v>
      </c>
      <c r="U58" s="1" t="s">
        <v>41</v>
      </c>
      <c r="V58" s="1" t="s">
        <v>30</v>
      </c>
      <c r="W58" s="1" t="s">
        <v>37</v>
      </c>
      <c r="X58" s="1" t="s">
        <v>30</v>
      </c>
      <c r="Y58" s="1" t="s">
        <v>37</v>
      </c>
      <c r="Z58" s="1" t="s">
        <v>42</v>
      </c>
    </row>
    <row r="59" spans="1:26" ht="15.75" x14ac:dyDescent="0.25">
      <c r="A59" s="1" t="s">
        <v>26</v>
      </c>
      <c r="B59" s="1" t="s">
        <v>27</v>
      </c>
      <c r="C59" s="1" t="s">
        <v>121</v>
      </c>
      <c r="D59" s="1" t="s">
        <v>190</v>
      </c>
      <c r="E59" s="1" t="s">
        <v>30</v>
      </c>
      <c r="F59" s="1" t="s">
        <v>191</v>
      </c>
      <c r="G59" s="1" t="s">
        <v>32</v>
      </c>
      <c r="H59" s="1" t="s">
        <v>192</v>
      </c>
      <c r="I59" s="1" t="s">
        <v>34</v>
      </c>
      <c r="J59" s="1">
        <v>46.59</v>
      </c>
      <c r="K59" s="1" t="s">
        <v>179</v>
      </c>
      <c r="L59" s="1" t="s">
        <v>36</v>
      </c>
      <c r="M59" s="1">
        <v>1.87</v>
      </c>
      <c r="N59" s="1" t="s">
        <v>50</v>
      </c>
      <c r="O59" s="1" t="s">
        <v>38</v>
      </c>
      <c r="P59" s="1" t="s">
        <v>37</v>
      </c>
      <c r="Q59" s="1" t="s">
        <v>51</v>
      </c>
      <c r="R59" s="1" t="s">
        <v>193</v>
      </c>
      <c r="S59" s="1" t="s">
        <v>40</v>
      </c>
      <c r="T59" s="1">
        <v>933.68</v>
      </c>
      <c r="U59" s="1" t="s">
        <v>41</v>
      </c>
      <c r="V59" s="1" t="s">
        <v>30</v>
      </c>
      <c r="W59" s="1" t="s">
        <v>37</v>
      </c>
      <c r="X59" s="1" t="s">
        <v>30</v>
      </c>
      <c r="Y59" s="1" t="s">
        <v>37</v>
      </c>
      <c r="Z59" s="1" t="s">
        <v>42</v>
      </c>
    </row>
    <row r="60" spans="1:26" ht="15.75" x14ac:dyDescent="0.25">
      <c r="A60" s="1" t="s">
        <v>26</v>
      </c>
      <c r="B60" s="1" t="s">
        <v>27</v>
      </c>
      <c r="C60" s="1" t="s">
        <v>121</v>
      </c>
      <c r="D60" s="1" t="s">
        <v>190</v>
      </c>
      <c r="E60" s="1" t="s">
        <v>30</v>
      </c>
      <c r="F60" s="1" t="s">
        <v>191</v>
      </c>
      <c r="G60" s="1" t="s">
        <v>43</v>
      </c>
      <c r="H60" s="1" t="s">
        <v>192</v>
      </c>
      <c r="I60" s="1" t="s">
        <v>34</v>
      </c>
      <c r="J60" s="1">
        <v>1.5</v>
      </c>
      <c r="K60" s="1" t="s">
        <v>179</v>
      </c>
      <c r="L60" s="1" t="s">
        <v>36</v>
      </c>
      <c r="M60" s="1">
        <v>0.06</v>
      </c>
      <c r="N60" s="1" t="s">
        <v>50</v>
      </c>
      <c r="O60" s="1" t="s">
        <v>38</v>
      </c>
      <c r="P60" s="1" t="s">
        <v>37</v>
      </c>
      <c r="Q60" s="1" t="s">
        <v>51</v>
      </c>
      <c r="R60" s="1" t="s">
        <v>193</v>
      </c>
      <c r="S60" s="1" t="s">
        <v>40</v>
      </c>
      <c r="T60" s="1">
        <v>933.68</v>
      </c>
      <c r="U60" s="1" t="s">
        <v>41</v>
      </c>
      <c r="V60" s="1" t="s">
        <v>30</v>
      </c>
      <c r="W60" s="1" t="s">
        <v>37</v>
      </c>
      <c r="X60" s="1" t="s">
        <v>30</v>
      </c>
      <c r="Y60" s="1" t="s">
        <v>37</v>
      </c>
      <c r="Z60" s="1" t="s">
        <v>42</v>
      </c>
    </row>
    <row r="61" spans="1:26" ht="15.75" x14ac:dyDescent="0.25">
      <c r="A61" s="1" t="s">
        <v>26</v>
      </c>
      <c r="B61" s="1" t="s">
        <v>27</v>
      </c>
      <c r="C61" s="1" t="s">
        <v>121</v>
      </c>
      <c r="D61" s="1" t="s">
        <v>190</v>
      </c>
      <c r="E61" s="1" t="s">
        <v>30</v>
      </c>
      <c r="F61" s="1" t="s">
        <v>191</v>
      </c>
      <c r="G61" s="1" t="s">
        <v>32</v>
      </c>
      <c r="H61" s="1" t="s">
        <v>33</v>
      </c>
      <c r="I61" s="1" t="s">
        <v>34</v>
      </c>
      <c r="J61" s="1">
        <v>46.59</v>
      </c>
      <c r="K61" s="1" t="s">
        <v>179</v>
      </c>
      <c r="L61" s="1" t="s">
        <v>36</v>
      </c>
      <c r="M61" s="1">
        <v>1.87</v>
      </c>
      <c r="N61" s="1" t="s">
        <v>50</v>
      </c>
      <c r="O61" s="1" t="s">
        <v>38</v>
      </c>
      <c r="P61" s="1" t="s">
        <v>37</v>
      </c>
      <c r="Q61" s="1" t="s">
        <v>51</v>
      </c>
      <c r="R61" s="1" t="s">
        <v>193</v>
      </c>
      <c r="S61" s="1" t="s">
        <v>40</v>
      </c>
      <c r="T61" s="1">
        <v>933.68</v>
      </c>
      <c r="U61" s="1" t="s">
        <v>41</v>
      </c>
      <c r="V61" s="1" t="s">
        <v>30</v>
      </c>
      <c r="W61" s="1" t="s">
        <v>37</v>
      </c>
      <c r="X61" s="1" t="s">
        <v>30</v>
      </c>
      <c r="Y61" s="1" t="s">
        <v>37</v>
      </c>
      <c r="Z61" s="1" t="s">
        <v>42</v>
      </c>
    </row>
    <row r="62" spans="1:26" ht="15.75" x14ac:dyDescent="0.25">
      <c r="A62" s="1" t="s">
        <v>26</v>
      </c>
      <c r="B62" s="1" t="s">
        <v>27</v>
      </c>
      <c r="C62" s="1" t="s">
        <v>121</v>
      </c>
      <c r="D62" s="1" t="s">
        <v>190</v>
      </c>
      <c r="E62" s="1" t="s">
        <v>30</v>
      </c>
      <c r="F62" s="1" t="s">
        <v>191</v>
      </c>
      <c r="G62" s="1" t="s">
        <v>43</v>
      </c>
      <c r="H62" s="1" t="s">
        <v>33</v>
      </c>
      <c r="I62" s="1" t="s">
        <v>34</v>
      </c>
      <c r="J62" s="1">
        <v>1.5</v>
      </c>
      <c r="K62" s="1" t="s">
        <v>179</v>
      </c>
      <c r="L62" s="1" t="s">
        <v>36</v>
      </c>
      <c r="M62" s="1">
        <v>0.06</v>
      </c>
      <c r="N62" s="1" t="s">
        <v>50</v>
      </c>
      <c r="O62" s="1" t="s">
        <v>38</v>
      </c>
      <c r="P62" s="1" t="s">
        <v>37</v>
      </c>
      <c r="Q62" s="1" t="s">
        <v>51</v>
      </c>
      <c r="R62" s="1" t="s">
        <v>193</v>
      </c>
      <c r="S62" s="1" t="s">
        <v>40</v>
      </c>
      <c r="T62" s="1">
        <v>933.68</v>
      </c>
      <c r="U62" s="1" t="s">
        <v>41</v>
      </c>
      <c r="V62" s="1" t="s">
        <v>30</v>
      </c>
      <c r="W62" s="1" t="s">
        <v>37</v>
      </c>
      <c r="X62" s="1" t="s">
        <v>30</v>
      </c>
      <c r="Y62" s="1" t="s">
        <v>37</v>
      </c>
      <c r="Z62" s="1" t="s">
        <v>42</v>
      </c>
    </row>
    <row r="63" spans="1:26" ht="15.75" x14ac:dyDescent="0.25">
      <c r="A63" s="1" t="s">
        <v>26</v>
      </c>
      <c r="B63" s="1" t="s">
        <v>27</v>
      </c>
      <c r="C63" s="1" t="s">
        <v>194</v>
      </c>
      <c r="D63" s="1" t="s">
        <v>195</v>
      </c>
      <c r="E63" s="1" t="s">
        <v>30</v>
      </c>
      <c r="F63" s="1" t="s">
        <v>196</v>
      </c>
      <c r="G63" s="1" t="s">
        <v>32</v>
      </c>
      <c r="H63" s="1" t="s">
        <v>48</v>
      </c>
      <c r="I63" s="1" t="s">
        <v>33</v>
      </c>
      <c r="J63" s="1">
        <v>36.29</v>
      </c>
      <c r="K63" s="1" t="s">
        <v>197</v>
      </c>
      <c r="L63" s="1" t="s">
        <v>36</v>
      </c>
      <c r="M63" s="1">
        <v>0</v>
      </c>
      <c r="N63" s="1" t="s">
        <v>71</v>
      </c>
      <c r="O63" s="1" t="s">
        <v>38</v>
      </c>
      <c r="P63" s="1" t="s">
        <v>108</v>
      </c>
      <c r="Q63" s="1" t="s">
        <v>73</v>
      </c>
      <c r="R63" s="1" t="s">
        <v>198</v>
      </c>
      <c r="S63" s="1" t="s">
        <v>40</v>
      </c>
      <c r="T63" s="1">
        <v>933.68</v>
      </c>
      <c r="U63" s="1" t="s">
        <v>41</v>
      </c>
      <c r="V63" s="1" t="s">
        <v>30</v>
      </c>
      <c r="W63" s="1" t="s">
        <v>37</v>
      </c>
      <c r="X63" s="1" t="s">
        <v>30</v>
      </c>
      <c r="Y63" s="1" t="s">
        <v>37</v>
      </c>
      <c r="Z63" s="1" t="s">
        <v>42</v>
      </c>
    </row>
    <row r="64" spans="1:26" ht="15.75" x14ac:dyDescent="0.25">
      <c r="A64" s="1" t="s">
        <v>26</v>
      </c>
      <c r="B64" s="1" t="s">
        <v>27</v>
      </c>
      <c r="C64" s="1" t="s">
        <v>194</v>
      </c>
      <c r="D64" s="1" t="s">
        <v>195</v>
      </c>
      <c r="E64" s="1" t="s">
        <v>30</v>
      </c>
      <c r="F64" s="1" t="s">
        <v>196</v>
      </c>
      <c r="G64" s="1" t="s">
        <v>43</v>
      </c>
      <c r="H64" s="1" t="s">
        <v>48</v>
      </c>
      <c r="I64" s="1" t="s">
        <v>33</v>
      </c>
      <c r="J64" s="1">
        <v>1.5</v>
      </c>
      <c r="K64" s="1" t="s">
        <v>197</v>
      </c>
      <c r="L64" s="1" t="s">
        <v>36</v>
      </c>
      <c r="M64" s="1">
        <v>0</v>
      </c>
      <c r="N64" s="1" t="s">
        <v>71</v>
      </c>
      <c r="O64" s="1" t="s">
        <v>38</v>
      </c>
      <c r="P64" s="1" t="s">
        <v>75</v>
      </c>
      <c r="Q64" s="1" t="s">
        <v>73</v>
      </c>
      <c r="R64" s="1" t="s">
        <v>198</v>
      </c>
      <c r="S64" s="1" t="s">
        <v>40</v>
      </c>
      <c r="T64" s="1">
        <v>933.68</v>
      </c>
      <c r="U64" s="1" t="s">
        <v>41</v>
      </c>
      <c r="V64" s="1" t="s">
        <v>30</v>
      </c>
      <c r="W64" s="1" t="s">
        <v>37</v>
      </c>
      <c r="X64" s="1" t="s">
        <v>30</v>
      </c>
      <c r="Y64" s="1" t="s">
        <v>37</v>
      </c>
      <c r="Z64" s="1" t="s">
        <v>42</v>
      </c>
    </row>
    <row r="65" spans="1:26" ht="15.75" x14ac:dyDescent="0.25">
      <c r="A65" s="1" t="s">
        <v>26</v>
      </c>
      <c r="B65" s="1" t="s">
        <v>27</v>
      </c>
      <c r="C65" s="1" t="s">
        <v>194</v>
      </c>
      <c r="D65" s="1" t="s">
        <v>199</v>
      </c>
      <c r="E65" s="1" t="s">
        <v>30</v>
      </c>
      <c r="F65" s="1" t="s">
        <v>200</v>
      </c>
      <c r="G65" s="1" t="s">
        <v>45</v>
      </c>
      <c r="H65" s="1" t="s">
        <v>33</v>
      </c>
      <c r="I65" s="1" t="s">
        <v>34</v>
      </c>
      <c r="J65" s="1">
        <v>29.34</v>
      </c>
      <c r="K65" s="1" t="s">
        <v>201</v>
      </c>
      <c r="L65" s="1" t="s">
        <v>36</v>
      </c>
      <c r="M65" s="1">
        <v>1.17</v>
      </c>
      <c r="N65" s="1" t="s">
        <v>149</v>
      </c>
      <c r="O65" s="1" t="s">
        <v>38</v>
      </c>
      <c r="P65" s="1" t="s">
        <v>37</v>
      </c>
      <c r="Q65" s="1" t="s">
        <v>150</v>
      </c>
      <c r="R65" s="1" t="s">
        <v>202</v>
      </c>
      <c r="S65" s="1" t="s">
        <v>40</v>
      </c>
      <c r="T65" s="1">
        <v>933.68</v>
      </c>
      <c r="U65" s="1" t="s">
        <v>41</v>
      </c>
      <c r="V65" s="1" t="s">
        <v>30</v>
      </c>
      <c r="W65" s="1" t="s">
        <v>37</v>
      </c>
      <c r="X65" s="1" t="s">
        <v>30</v>
      </c>
      <c r="Y65" s="1" t="s">
        <v>37</v>
      </c>
      <c r="Z65" s="1" t="s">
        <v>42</v>
      </c>
    </row>
    <row r="66" spans="1:26" ht="15.75" x14ac:dyDescent="0.25">
      <c r="A66" s="1" t="s">
        <v>26</v>
      </c>
      <c r="B66" s="1" t="s">
        <v>27</v>
      </c>
      <c r="C66" s="1" t="s">
        <v>194</v>
      </c>
      <c r="D66" s="1" t="s">
        <v>203</v>
      </c>
      <c r="E66" s="1" t="s">
        <v>30</v>
      </c>
      <c r="F66" s="1" t="s">
        <v>204</v>
      </c>
      <c r="G66" s="1" t="s">
        <v>32</v>
      </c>
      <c r="H66" s="1" t="s">
        <v>48</v>
      </c>
      <c r="I66" s="1" t="s">
        <v>33</v>
      </c>
      <c r="J66" s="1">
        <v>57.36</v>
      </c>
      <c r="K66" s="1" t="s">
        <v>197</v>
      </c>
      <c r="L66" s="1" t="s">
        <v>36</v>
      </c>
      <c r="M66" s="1">
        <v>1.1499999999999999</v>
      </c>
      <c r="N66" s="1" t="s">
        <v>139</v>
      </c>
      <c r="O66" s="1" t="s">
        <v>38</v>
      </c>
      <c r="P66" s="1" t="s">
        <v>37</v>
      </c>
      <c r="Q66" s="1" t="s">
        <v>140</v>
      </c>
      <c r="R66" s="1" t="s">
        <v>205</v>
      </c>
      <c r="S66" s="1" t="s">
        <v>40</v>
      </c>
      <c r="T66" s="1">
        <v>933.68</v>
      </c>
      <c r="U66" s="1" t="s">
        <v>41</v>
      </c>
      <c r="V66" s="1" t="s">
        <v>30</v>
      </c>
      <c r="W66" s="1" t="s">
        <v>37</v>
      </c>
      <c r="X66" s="1" t="s">
        <v>30</v>
      </c>
      <c r="Y66" s="1" t="s">
        <v>37</v>
      </c>
      <c r="Z66" s="1" t="s">
        <v>42</v>
      </c>
    </row>
    <row r="67" spans="1:26" ht="15.75" x14ac:dyDescent="0.25">
      <c r="A67" s="1" t="s">
        <v>26</v>
      </c>
      <c r="B67" s="1" t="s">
        <v>27</v>
      </c>
      <c r="C67" s="1" t="s">
        <v>194</v>
      </c>
      <c r="D67" s="1" t="s">
        <v>203</v>
      </c>
      <c r="E67" s="1" t="s">
        <v>30</v>
      </c>
      <c r="F67" s="1" t="s">
        <v>204</v>
      </c>
      <c r="G67" s="1" t="s">
        <v>43</v>
      </c>
      <c r="H67" s="1" t="s">
        <v>48</v>
      </c>
      <c r="I67" s="1" t="s">
        <v>33</v>
      </c>
      <c r="J67" s="1">
        <v>1.5</v>
      </c>
      <c r="K67" s="1" t="s">
        <v>197</v>
      </c>
      <c r="L67" s="1" t="s">
        <v>36</v>
      </c>
      <c r="M67" s="1">
        <v>0.03</v>
      </c>
      <c r="N67" s="1" t="s">
        <v>139</v>
      </c>
      <c r="O67" s="1" t="s">
        <v>38</v>
      </c>
      <c r="P67" s="1" t="s">
        <v>37</v>
      </c>
      <c r="Q67" s="1" t="s">
        <v>140</v>
      </c>
      <c r="R67" s="1" t="s">
        <v>205</v>
      </c>
      <c r="S67" s="1" t="s">
        <v>40</v>
      </c>
      <c r="T67" s="1">
        <v>933.68</v>
      </c>
      <c r="U67" s="1" t="s">
        <v>41</v>
      </c>
      <c r="V67" s="1" t="s">
        <v>30</v>
      </c>
      <c r="W67" s="1" t="s">
        <v>37</v>
      </c>
      <c r="X67" s="1" t="s">
        <v>30</v>
      </c>
      <c r="Y67" s="1" t="s">
        <v>37</v>
      </c>
      <c r="Z67" s="1" t="s">
        <v>42</v>
      </c>
    </row>
    <row r="68" spans="1:26" ht="15.75" x14ac:dyDescent="0.25">
      <c r="A68" s="1" t="s">
        <v>26</v>
      </c>
      <c r="B68" s="1" t="s">
        <v>27</v>
      </c>
      <c r="C68" s="1" t="s">
        <v>194</v>
      </c>
      <c r="D68" s="1" t="s">
        <v>206</v>
      </c>
      <c r="E68" s="1" t="s">
        <v>30</v>
      </c>
      <c r="F68" s="1" t="s">
        <v>204</v>
      </c>
      <c r="G68" s="1" t="s">
        <v>45</v>
      </c>
      <c r="H68" s="1" t="s">
        <v>48</v>
      </c>
      <c r="I68" s="1" t="s">
        <v>33</v>
      </c>
      <c r="J68" s="1">
        <v>16.34</v>
      </c>
      <c r="K68" s="1" t="s">
        <v>197</v>
      </c>
      <c r="L68" s="1" t="s">
        <v>36</v>
      </c>
      <c r="M68" s="1">
        <v>0.33</v>
      </c>
      <c r="N68" s="1" t="s">
        <v>139</v>
      </c>
      <c r="O68" s="1" t="s">
        <v>38</v>
      </c>
      <c r="P68" s="1" t="s">
        <v>37</v>
      </c>
      <c r="Q68" s="1" t="s">
        <v>140</v>
      </c>
      <c r="R68" s="1" t="s">
        <v>205</v>
      </c>
      <c r="S68" s="1" t="s">
        <v>40</v>
      </c>
      <c r="T68" s="1">
        <v>933.68</v>
      </c>
      <c r="U68" s="1" t="s">
        <v>41</v>
      </c>
      <c r="V68" s="1" t="s">
        <v>30</v>
      </c>
      <c r="W68" s="1" t="s">
        <v>37</v>
      </c>
      <c r="X68" s="1" t="s">
        <v>30</v>
      </c>
      <c r="Y68" s="1" t="s">
        <v>37</v>
      </c>
      <c r="Z68" s="1" t="s">
        <v>42</v>
      </c>
    </row>
    <row r="69" spans="1:26" ht="15.75" x14ac:dyDescent="0.25">
      <c r="A69" s="1" t="s">
        <v>26</v>
      </c>
      <c r="B69" s="1" t="s">
        <v>27</v>
      </c>
      <c r="C69" s="1" t="s">
        <v>194</v>
      </c>
      <c r="D69" s="1" t="s">
        <v>207</v>
      </c>
      <c r="E69" s="1" t="s">
        <v>30</v>
      </c>
      <c r="F69" s="1" t="s">
        <v>208</v>
      </c>
      <c r="G69" s="1" t="s">
        <v>32</v>
      </c>
      <c r="H69" s="1" t="s">
        <v>48</v>
      </c>
      <c r="I69" s="1" t="s">
        <v>33</v>
      </c>
      <c r="J69" s="1">
        <v>72.59</v>
      </c>
      <c r="K69" s="1" t="s">
        <v>197</v>
      </c>
      <c r="L69" s="1" t="s">
        <v>36</v>
      </c>
      <c r="M69" s="1">
        <v>2.9</v>
      </c>
      <c r="N69" s="1" t="s">
        <v>180</v>
      </c>
      <c r="O69" s="1" t="s">
        <v>38</v>
      </c>
      <c r="P69" s="1" t="s">
        <v>37</v>
      </c>
      <c r="Q69" s="1" t="s">
        <v>181</v>
      </c>
      <c r="R69" s="1" t="s">
        <v>209</v>
      </c>
      <c r="S69" s="1" t="s">
        <v>40</v>
      </c>
      <c r="T69" s="1">
        <v>933.68</v>
      </c>
      <c r="U69" s="1" t="s">
        <v>41</v>
      </c>
      <c r="V69" s="1" t="s">
        <v>30</v>
      </c>
      <c r="W69" s="1" t="s">
        <v>37</v>
      </c>
      <c r="X69" s="1" t="s">
        <v>30</v>
      </c>
      <c r="Y69" s="1" t="s">
        <v>37</v>
      </c>
      <c r="Z69" s="1" t="s">
        <v>42</v>
      </c>
    </row>
    <row r="70" spans="1:26" ht="15.75" x14ac:dyDescent="0.25">
      <c r="A70" s="1" t="s">
        <v>26</v>
      </c>
      <c r="B70" s="1" t="s">
        <v>27</v>
      </c>
      <c r="C70" s="1" t="s">
        <v>194</v>
      </c>
      <c r="D70" s="1" t="s">
        <v>207</v>
      </c>
      <c r="E70" s="1" t="s">
        <v>30</v>
      </c>
      <c r="F70" s="1" t="s">
        <v>208</v>
      </c>
      <c r="G70" s="1" t="s">
        <v>43</v>
      </c>
      <c r="H70" s="1" t="s">
        <v>48</v>
      </c>
      <c r="I70" s="1" t="s">
        <v>33</v>
      </c>
      <c r="J70" s="1">
        <v>2.69</v>
      </c>
      <c r="K70" s="1" t="s">
        <v>197</v>
      </c>
      <c r="L70" s="1" t="s">
        <v>36</v>
      </c>
      <c r="M70" s="1">
        <v>0.11</v>
      </c>
      <c r="N70" s="1" t="s">
        <v>180</v>
      </c>
      <c r="O70" s="1" t="s">
        <v>38</v>
      </c>
      <c r="P70" s="1" t="s">
        <v>37</v>
      </c>
      <c r="Q70" s="1" t="s">
        <v>181</v>
      </c>
      <c r="R70" s="1" t="s">
        <v>209</v>
      </c>
      <c r="S70" s="1" t="s">
        <v>40</v>
      </c>
      <c r="T70" s="1">
        <v>933.68</v>
      </c>
      <c r="U70" s="1" t="s">
        <v>41</v>
      </c>
      <c r="V70" s="1" t="s">
        <v>30</v>
      </c>
      <c r="W70" s="1" t="s">
        <v>37</v>
      </c>
      <c r="X70" s="1" t="s">
        <v>30</v>
      </c>
      <c r="Y70" s="1" t="s">
        <v>37</v>
      </c>
      <c r="Z70" s="1" t="s">
        <v>42</v>
      </c>
    </row>
    <row r="71" spans="1:26" ht="15.75" x14ac:dyDescent="0.25">
      <c r="A71" s="1" t="s">
        <v>26</v>
      </c>
      <c r="B71" s="1" t="s">
        <v>27</v>
      </c>
      <c r="C71" s="1" t="s">
        <v>194</v>
      </c>
      <c r="D71" s="1" t="s">
        <v>210</v>
      </c>
      <c r="E71" s="1" t="s">
        <v>30</v>
      </c>
      <c r="F71" s="1" t="s">
        <v>211</v>
      </c>
      <c r="G71" s="1" t="s">
        <v>32</v>
      </c>
      <c r="H71" s="1" t="s">
        <v>48</v>
      </c>
      <c r="I71" s="1" t="s">
        <v>33</v>
      </c>
      <c r="J71" s="1">
        <v>38.51</v>
      </c>
      <c r="K71" s="1" t="s">
        <v>197</v>
      </c>
      <c r="L71" s="1" t="s">
        <v>36</v>
      </c>
      <c r="M71" s="1">
        <v>1.54</v>
      </c>
      <c r="N71" s="1" t="s">
        <v>95</v>
      </c>
      <c r="O71" s="1" t="s">
        <v>38</v>
      </c>
      <c r="P71" s="1" t="s">
        <v>37</v>
      </c>
      <c r="Q71" s="1" t="s">
        <v>96</v>
      </c>
      <c r="R71" s="1" t="s">
        <v>212</v>
      </c>
      <c r="S71" s="1" t="s">
        <v>40</v>
      </c>
      <c r="T71" s="1">
        <v>933.68</v>
      </c>
      <c r="U71" s="1" t="s">
        <v>41</v>
      </c>
      <c r="V71" s="1" t="s">
        <v>30</v>
      </c>
      <c r="W71" s="1" t="s">
        <v>37</v>
      </c>
      <c r="X71" s="1" t="s">
        <v>30</v>
      </c>
      <c r="Y71" s="1" t="s">
        <v>37</v>
      </c>
      <c r="Z71" s="1" t="s">
        <v>42</v>
      </c>
    </row>
    <row r="72" spans="1:26" ht="15.75" x14ac:dyDescent="0.25">
      <c r="A72" s="1" t="s">
        <v>26</v>
      </c>
      <c r="B72" s="1" t="s">
        <v>27</v>
      </c>
      <c r="C72" s="1" t="s">
        <v>194</v>
      </c>
      <c r="D72" s="1" t="s">
        <v>213</v>
      </c>
      <c r="E72" s="1" t="s">
        <v>30</v>
      </c>
      <c r="F72" s="1" t="s">
        <v>214</v>
      </c>
      <c r="G72" s="1" t="s">
        <v>32</v>
      </c>
      <c r="H72" s="1" t="s">
        <v>48</v>
      </c>
      <c r="I72" s="1" t="s">
        <v>33</v>
      </c>
      <c r="J72" s="1">
        <v>44.03</v>
      </c>
      <c r="K72" s="1" t="s">
        <v>215</v>
      </c>
      <c r="L72" s="1" t="s">
        <v>36</v>
      </c>
      <c r="M72" s="1">
        <v>1.76</v>
      </c>
      <c r="N72" s="1" t="s">
        <v>149</v>
      </c>
      <c r="O72" s="1" t="s">
        <v>38</v>
      </c>
      <c r="P72" s="1" t="s">
        <v>37</v>
      </c>
      <c r="Q72" s="1" t="s">
        <v>150</v>
      </c>
      <c r="R72" s="1" t="s">
        <v>216</v>
      </c>
      <c r="S72" s="1" t="s">
        <v>40</v>
      </c>
      <c r="T72" s="1">
        <v>933.68</v>
      </c>
      <c r="U72" s="1" t="s">
        <v>41</v>
      </c>
      <c r="V72" s="1" t="s">
        <v>30</v>
      </c>
      <c r="W72" s="1" t="s">
        <v>37</v>
      </c>
      <c r="X72" s="1" t="s">
        <v>30</v>
      </c>
      <c r="Y72" s="1" t="s">
        <v>37</v>
      </c>
      <c r="Z72" s="1" t="s">
        <v>42</v>
      </c>
    </row>
    <row r="73" spans="1:26" ht="15.75" x14ac:dyDescent="0.25">
      <c r="A73" s="1" t="s">
        <v>26</v>
      </c>
      <c r="B73" s="1" t="s">
        <v>27</v>
      </c>
      <c r="C73" s="1" t="s">
        <v>194</v>
      </c>
      <c r="D73" s="1" t="s">
        <v>213</v>
      </c>
      <c r="E73" s="1" t="s">
        <v>30</v>
      </c>
      <c r="F73" s="1" t="s">
        <v>214</v>
      </c>
      <c r="G73" s="1" t="s">
        <v>43</v>
      </c>
      <c r="H73" s="1" t="s">
        <v>48</v>
      </c>
      <c r="I73" s="1" t="s">
        <v>33</v>
      </c>
      <c r="J73" s="1">
        <v>1.5</v>
      </c>
      <c r="K73" s="1" t="s">
        <v>215</v>
      </c>
      <c r="L73" s="1" t="s">
        <v>36</v>
      </c>
      <c r="M73" s="1">
        <v>0.06</v>
      </c>
      <c r="N73" s="1" t="s">
        <v>149</v>
      </c>
      <c r="O73" s="1" t="s">
        <v>38</v>
      </c>
      <c r="P73" s="1" t="s">
        <v>37</v>
      </c>
      <c r="Q73" s="1" t="s">
        <v>150</v>
      </c>
      <c r="R73" s="1" t="s">
        <v>216</v>
      </c>
      <c r="S73" s="1" t="s">
        <v>40</v>
      </c>
      <c r="T73" s="1">
        <v>933.68</v>
      </c>
      <c r="U73" s="1" t="s">
        <v>41</v>
      </c>
      <c r="V73" s="1" t="s">
        <v>30</v>
      </c>
      <c r="W73" s="1" t="s">
        <v>37</v>
      </c>
      <c r="X73" s="1" t="s">
        <v>30</v>
      </c>
      <c r="Y73" s="1" t="s">
        <v>37</v>
      </c>
      <c r="Z73" s="1" t="s">
        <v>42</v>
      </c>
    </row>
    <row r="74" spans="1:26" ht="15.75" x14ac:dyDescent="0.25">
      <c r="A74" s="1" t="s">
        <v>26</v>
      </c>
      <c r="B74" s="1" t="s">
        <v>27</v>
      </c>
      <c r="C74" s="1" t="s">
        <v>194</v>
      </c>
      <c r="D74" s="1" t="s">
        <v>217</v>
      </c>
      <c r="E74" s="1" t="s">
        <v>30</v>
      </c>
      <c r="F74" s="1" t="s">
        <v>218</v>
      </c>
      <c r="G74" s="1" t="s">
        <v>32</v>
      </c>
      <c r="H74" s="1" t="s">
        <v>100</v>
      </c>
      <c r="I74" s="1" t="s">
        <v>48</v>
      </c>
      <c r="J74" s="1">
        <v>34.549999999999997</v>
      </c>
      <c r="K74" s="1" t="s">
        <v>219</v>
      </c>
      <c r="L74" s="1" t="s">
        <v>36</v>
      </c>
      <c r="M74" s="1">
        <v>1.38</v>
      </c>
      <c r="N74" s="1" t="s">
        <v>186</v>
      </c>
      <c r="O74" s="1" t="s">
        <v>38</v>
      </c>
      <c r="P74" s="1" t="s">
        <v>37</v>
      </c>
      <c r="Q74" s="1" t="s">
        <v>187</v>
      </c>
      <c r="R74" s="1" t="s">
        <v>220</v>
      </c>
      <c r="S74" s="1" t="s">
        <v>40</v>
      </c>
      <c r="T74" s="1">
        <v>933.68</v>
      </c>
      <c r="U74" s="1" t="s">
        <v>41</v>
      </c>
      <c r="V74" s="1" t="s">
        <v>30</v>
      </c>
      <c r="W74" s="1" t="s">
        <v>37</v>
      </c>
      <c r="X74" s="1" t="s">
        <v>30</v>
      </c>
      <c r="Y74" s="1" t="s">
        <v>37</v>
      </c>
      <c r="Z74" s="1" t="s">
        <v>42</v>
      </c>
    </row>
    <row r="75" spans="1:26" ht="15.75" x14ac:dyDescent="0.25">
      <c r="A75" s="1" t="s">
        <v>26</v>
      </c>
      <c r="B75" s="1" t="s">
        <v>27</v>
      </c>
      <c r="C75" s="1" t="s">
        <v>194</v>
      </c>
      <c r="D75" s="1" t="s">
        <v>217</v>
      </c>
      <c r="E75" s="1" t="s">
        <v>30</v>
      </c>
      <c r="F75" s="1" t="s">
        <v>218</v>
      </c>
      <c r="G75" s="1" t="s">
        <v>32</v>
      </c>
      <c r="H75" s="1" t="s">
        <v>86</v>
      </c>
      <c r="I75" s="1" t="s">
        <v>48</v>
      </c>
      <c r="J75" s="1">
        <v>34.549999999999997</v>
      </c>
      <c r="K75" s="1" t="s">
        <v>219</v>
      </c>
      <c r="L75" s="1" t="s">
        <v>36</v>
      </c>
      <c r="M75" s="1">
        <v>1.38</v>
      </c>
      <c r="N75" s="1" t="s">
        <v>186</v>
      </c>
      <c r="O75" s="1" t="s">
        <v>38</v>
      </c>
      <c r="P75" s="1" t="s">
        <v>37</v>
      </c>
      <c r="Q75" s="1" t="s">
        <v>187</v>
      </c>
      <c r="R75" s="1" t="s">
        <v>220</v>
      </c>
      <c r="S75" s="1" t="s">
        <v>40</v>
      </c>
      <c r="T75" s="1">
        <v>933.68</v>
      </c>
      <c r="U75" s="1" t="s">
        <v>41</v>
      </c>
      <c r="V75" s="1" t="s">
        <v>30</v>
      </c>
      <c r="W75" s="1" t="s">
        <v>37</v>
      </c>
      <c r="X75" s="1" t="s">
        <v>30</v>
      </c>
      <c r="Y75" s="1" t="s">
        <v>37</v>
      </c>
      <c r="Z75" s="1" t="s">
        <v>42</v>
      </c>
    </row>
    <row r="76" spans="1:26" ht="15.75" x14ac:dyDescent="0.25">
      <c r="A76" s="1" t="s">
        <v>26</v>
      </c>
      <c r="B76" s="1" t="s">
        <v>27</v>
      </c>
      <c r="C76" s="1" t="s">
        <v>194</v>
      </c>
      <c r="D76" s="1" t="s">
        <v>221</v>
      </c>
      <c r="E76" s="1" t="s">
        <v>30</v>
      </c>
      <c r="F76" s="1" t="s">
        <v>218</v>
      </c>
      <c r="G76" s="1" t="s">
        <v>45</v>
      </c>
      <c r="H76" s="1" t="s">
        <v>100</v>
      </c>
      <c r="I76" s="1" t="s">
        <v>48</v>
      </c>
      <c r="J76" s="1">
        <v>30.07</v>
      </c>
      <c r="K76" s="1" t="s">
        <v>219</v>
      </c>
      <c r="L76" s="1" t="s">
        <v>36</v>
      </c>
      <c r="M76" s="1">
        <v>1.21</v>
      </c>
      <c r="N76" s="1" t="s">
        <v>186</v>
      </c>
      <c r="O76" s="1" t="s">
        <v>38</v>
      </c>
      <c r="P76" s="1" t="s">
        <v>37</v>
      </c>
      <c r="Q76" s="1" t="s">
        <v>187</v>
      </c>
      <c r="R76" s="1" t="s">
        <v>220</v>
      </c>
      <c r="S76" s="1" t="s">
        <v>40</v>
      </c>
      <c r="T76" s="1">
        <v>933.68</v>
      </c>
      <c r="U76" s="1" t="s">
        <v>41</v>
      </c>
      <c r="V76" s="1" t="s">
        <v>30</v>
      </c>
      <c r="W76" s="1" t="s">
        <v>37</v>
      </c>
      <c r="X76" s="1" t="s">
        <v>30</v>
      </c>
      <c r="Y76" s="1" t="s">
        <v>37</v>
      </c>
      <c r="Z76" s="1" t="s">
        <v>42</v>
      </c>
    </row>
    <row r="77" spans="1:26" ht="15.75" x14ac:dyDescent="0.25">
      <c r="A77" s="1" t="s">
        <v>26</v>
      </c>
      <c r="B77" s="1" t="s">
        <v>27</v>
      </c>
      <c r="C77" s="1" t="s">
        <v>194</v>
      </c>
      <c r="D77" s="1" t="s">
        <v>221</v>
      </c>
      <c r="E77" s="1" t="s">
        <v>30</v>
      </c>
      <c r="F77" s="1" t="s">
        <v>218</v>
      </c>
      <c r="G77" s="1" t="s">
        <v>45</v>
      </c>
      <c r="H77" s="1" t="s">
        <v>86</v>
      </c>
      <c r="I77" s="1" t="s">
        <v>48</v>
      </c>
      <c r="J77" s="1">
        <v>30.07</v>
      </c>
      <c r="K77" s="1" t="s">
        <v>219</v>
      </c>
      <c r="L77" s="1" t="s">
        <v>36</v>
      </c>
      <c r="M77" s="1">
        <v>1.21</v>
      </c>
      <c r="N77" s="1" t="s">
        <v>186</v>
      </c>
      <c r="O77" s="1" t="s">
        <v>38</v>
      </c>
      <c r="P77" s="1" t="s">
        <v>37</v>
      </c>
      <c r="Q77" s="1" t="s">
        <v>187</v>
      </c>
      <c r="R77" s="1" t="s">
        <v>220</v>
      </c>
      <c r="S77" s="1" t="s">
        <v>40</v>
      </c>
      <c r="T77" s="1">
        <v>933.68</v>
      </c>
      <c r="U77" s="1" t="s">
        <v>41</v>
      </c>
      <c r="V77" s="1" t="s">
        <v>30</v>
      </c>
      <c r="W77" s="1" t="s">
        <v>37</v>
      </c>
      <c r="X77" s="1" t="s">
        <v>30</v>
      </c>
      <c r="Y77" s="1" t="s">
        <v>37</v>
      </c>
      <c r="Z77" s="1" t="s">
        <v>42</v>
      </c>
    </row>
    <row r="78" spans="1:26" ht="15.75" x14ac:dyDescent="0.25">
      <c r="A78" s="1" t="s">
        <v>26</v>
      </c>
      <c r="B78" s="1" t="s">
        <v>27</v>
      </c>
      <c r="C78" s="1" t="s">
        <v>194</v>
      </c>
      <c r="D78" s="1" t="s">
        <v>222</v>
      </c>
      <c r="E78" s="1" t="s">
        <v>30</v>
      </c>
      <c r="F78" s="1" t="s">
        <v>223</v>
      </c>
      <c r="G78" s="1" t="s">
        <v>32</v>
      </c>
      <c r="H78" s="1" t="s">
        <v>137</v>
      </c>
      <c r="I78" s="1" t="s">
        <v>147</v>
      </c>
      <c r="J78" s="1">
        <v>72.59</v>
      </c>
      <c r="K78" s="1" t="s">
        <v>224</v>
      </c>
      <c r="L78" s="1" t="s">
        <v>36</v>
      </c>
      <c r="M78" s="1">
        <v>0</v>
      </c>
      <c r="N78" s="1" t="s">
        <v>71</v>
      </c>
      <c r="O78" s="1" t="s">
        <v>38</v>
      </c>
      <c r="P78" s="1" t="s">
        <v>225</v>
      </c>
      <c r="Q78" s="1" t="s">
        <v>73</v>
      </c>
      <c r="R78" s="1" t="s">
        <v>226</v>
      </c>
      <c r="S78" s="1" t="s">
        <v>40</v>
      </c>
      <c r="T78" s="1">
        <v>933.68</v>
      </c>
      <c r="U78" s="1" t="s">
        <v>41</v>
      </c>
      <c r="V78" s="1" t="s">
        <v>30</v>
      </c>
      <c r="W78" s="1" t="s">
        <v>37</v>
      </c>
      <c r="X78" s="1" t="s">
        <v>30</v>
      </c>
      <c r="Y78" s="1" t="s">
        <v>37</v>
      </c>
      <c r="Z78" s="1" t="s">
        <v>42</v>
      </c>
    </row>
    <row r="79" spans="1:26" ht="15.75" x14ac:dyDescent="0.25">
      <c r="A79" s="1" t="s">
        <v>26</v>
      </c>
      <c r="B79" s="1" t="s">
        <v>27</v>
      </c>
      <c r="C79" s="1" t="s">
        <v>194</v>
      </c>
      <c r="D79" s="1" t="s">
        <v>222</v>
      </c>
      <c r="E79" s="1" t="s">
        <v>30</v>
      </c>
      <c r="F79" s="1" t="s">
        <v>223</v>
      </c>
      <c r="G79" s="1" t="s">
        <v>43</v>
      </c>
      <c r="H79" s="1" t="s">
        <v>137</v>
      </c>
      <c r="I79" s="1" t="s">
        <v>147</v>
      </c>
      <c r="J79" s="1">
        <v>2.69</v>
      </c>
      <c r="K79" s="1" t="s">
        <v>224</v>
      </c>
      <c r="L79" s="1" t="s">
        <v>36</v>
      </c>
      <c r="M79" s="1">
        <v>0</v>
      </c>
      <c r="N79" s="1" t="s">
        <v>71</v>
      </c>
      <c r="O79" s="1" t="s">
        <v>38</v>
      </c>
      <c r="P79" s="1" t="s">
        <v>227</v>
      </c>
      <c r="Q79" s="1" t="s">
        <v>73</v>
      </c>
      <c r="R79" s="1" t="s">
        <v>226</v>
      </c>
      <c r="S79" s="1" t="s">
        <v>40</v>
      </c>
      <c r="T79" s="1">
        <v>933.68</v>
      </c>
      <c r="U79" s="1" t="s">
        <v>41</v>
      </c>
      <c r="V79" s="1" t="s">
        <v>30</v>
      </c>
      <c r="W79" s="1" t="s">
        <v>37</v>
      </c>
      <c r="X79" s="1" t="s">
        <v>30</v>
      </c>
      <c r="Y79" s="1" t="s">
        <v>37</v>
      </c>
      <c r="Z79" s="1" t="s">
        <v>42</v>
      </c>
    </row>
    <row r="80" spans="1:26" ht="15.75" x14ac:dyDescent="0.25">
      <c r="A80" s="1" t="s">
        <v>26</v>
      </c>
      <c r="B80" s="1" t="s">
        <v>27</v>
      </c>
      <c r="C80" s="1" t="s">
        <v>194</v>
      </c>
      <c r="D80" s="1" t="s">
        <v>228</v>
      </c>
      <c r="E80" s="1" t="s">
        <v>30</v>
      </c>
      <c r="F80" s="1" t="s">
        <v>223</v>
      </c>
      <c r="G80" s="1" t="s">
        <v>45</v>
      </c>
      <c r="H80" s="1" t="s">
        <v>137</v>
      </c>
      <c r="I80" s="1" t="s">
        <v>147</v>
      </c>
      <c r="J80" s="1">
        <v>30.07</v>
      </c>
      <c r="K80" s="1" t="s">
        <v>224</v>
      </c>
      <c r="L80" s="1" t="s">
        <v>36</v>
      </c>
      <c r="M80" s="1">
        <v>0</v>
      </c>
      <c r="N80" s="1" t="s">
        <v>71</v>
      </c>
      <c r="O80" s="1" t="s">
        <v>38</v>
      </c>
      <c r="P80" s="1" t="s">
        <v>229</v>
      </c>
      <c r="Q80" s="1" t="s">
        <v>73</v>
      </c>
      <c r="R80" s="1" t="s">
        <v>226</v>
      </c>
      <c r="S80" s="1" t="s">
        <v>40</v>
      </c>
      <c r="T80" s="1">
        <v>933.68</v>
      </c>
      <c r="U80" s="1" t="s">
        <v>41</v>
      </c>
      <c r="V80" s="1" t="s">
        <v>30</v>
      </c>
      <c r="W80" s="1" t="s">
        <v>37</v>
      </c>
      <c r="X80" s="1" t="s">
        <v>30</v>
      </c>
      <c r="Y80" s="1" t="s">
        <v>37</v>
      </c>
      <c r="Z80" s="1" t="s">
        <v>42</v>
      </c>
    </row>
    <row r="81" spans="1:26" ht="15.75" x14ac:dyDescent="0.25">
      <c r="A81" s="1" t="s">
        <v>26</v>
      </c>
      <c r="B81" s="1" t="s">
        <v>27</v>
      </c>
      <c r="C81" s="1" t="s">
        <v>230</v>
      </c>
      <c r="D81" s="1" t="s">
        <v>231</v>
      </c>
      <c r="E81" s="1" t="s">
        <v>30</v>
      </c>
      <c r="F81" s="1" t="s">
        <v>232</v>
      </c>
      <c r="G81" s="1" t="s">
        <v>45</v>
      </c>
      <c r="H81" s="1" t="s">
        <v>81</v>
      </c>
      <c r="I81" s="1" t="s">
        <v>33</v>
      </c>
      <c r="J81" s="1">
        <v>29.34</v>
      </c>
      <c r="K81" s="1" t="s">
        <v>233</v>
      </c>
      <c r="L81" s="1" t="s">
        <v>36</v>
      </c>
      <c r="M81" s="1">
        <v>1.17</v>
      </c>
      <c r="N81" s="1" t="s">
        <v>57</v>
      </c>
      <c r="O81" s="1" t="s">
        <v>38</v>
      </c>
      <c r="P81" s="1" t="s">
        <v>37</v>
      </c>
      <c r="Q81" s="1" t="s">
        <v>58</v>
      </c>
      <c r="R81" s="1" t="s">
        <v>234</v>
      </c>
      <c r="S81" s="1" t="s">
        <v>40</v>
      </c>
      <c r="T81" s="1">
        <v>933.68</v>
      </c>
      <c r="U81" s="1" t="s">
        <v>41</v>
      </c>
      <c r="V81" s="1" t="s">
        <v>30</v>
      </c>
      <c r="W81" s="1" t="s">
        <v>37</v>
      </c>
      <c r="X81" s="1" t="s">
        <v>30</v>
      </c>
      <c r="Y81" s="1" t="s">
        <v>37</v>
      </c>
      <c r="Z81" s="1" t="s">
        <v>42</v>
      </c>
    </row>
    <row r="82" spans="1:26" ht="15.75" x14ac:dyDescent="0.25">
      <c r="A82" s="1" t="s">
        <v>26</v>
      </c>
      <c r="B82" s="1" t="s">
        <v>27</v>
      </c>
      <c r="C82" s="1" t="s">
        <v>230</v>
      </c>
      <c r="D82" s="1" t="s">
        <v>235</v>
      </c>
      <c r="E82" s="1" t="s">
        <v>30</v>
      </c>
      <c r="F82" s="1" t="s">
        <v>236</v>
      </c>
      <c r="G82" s="1" t="s">
        <v>45</v>
      </c>
      <c r="H82" s="1" t="s">
        <v>48</v>
      </c>
      <c r="I82" s="1" t="s">
        <v>33</v>
      </c>
      <c r="J82" s="1">
        <v>10.67</v>
      </c>
      <c r="K82" s="1" t="s">
        <v>237</v>
      </c>
      <c r="L82" s="1" t="s">
        <v>36</v>
      </c>
      <c r="M82" s="1">
        <v>0.43</v>
      </c>
      <c r="N82" s="1" t="s">
        <v>57</v>
      </c>
      <c r="O82" s="1" t="s">
        <v>38</v>
      </c>
      <c r="P82" s="1" t="s">
        <v>37</v>
      </c>
      <c r="Q82" s="1" t="s">
        <v>58</v>
      </c>
      <c r="R82" s="1" t="s">
        <v>238</v>
      </c>
      <c r="S82" s="1" t="s">
        <v>40</v>
      </c>
      <c r="T82" s="1">
        <v>933.68</v>
      </c>
      <c r="U82" s="1" t="s">
        <v>41</v>
      </c>
      <c r="V82" s="1" t="s">
        <v>30</v>
      </c>
      <c r="W82" s="1" t="s">
        <v>37</v>
      </c>
      <c r="X82" s="1" t="s">
        <v>30</v>
      </c>
      <c r="Y82" s="1" t="s">
        <v>37</v>
      </c>
      <c r="Z82" s="1" t="s">
        <v>42</v>
      </c>
    </row>
    <row r="83" spans="1:26" ht="15.75" x14ac:dyDescent="0.25">
      <c r="A83" s="1" t="s">
        <v>26</v>
      </c>
      <c r="B83" s="1" t="s">
        <v>27</v>
      </c>
      <c r="C83" s="1" t="s">
        <v>230</v>
      </c>
      <c r="D83" s="1" t="s">
        <v>239</v>
      </c>
      <c r="E83" s="1" t="s">
        <v>30</v>
      </c>
      <c r="F83" s="1" t="s">
        <v>240</v>
      </c>
      <c r="G83" s="1" t="s">
        <v>32</v>
      </c>
      <c r="H83" s="1" t="s">
        <v>137</v>
      </c>
      <c r="I83" s="1" t="s">
        <v>147</v>
      </c>
      <c r="J83" s="1">
        <v>36.29</v>
      </c>
      <c r="K83" s="1" t="s">
        <v>241</v>
      </c>
      <c r="L83" s="1" t="s">
        <v>36</v>
      </c>
      <c r="M83" s="1">
        <v>1.45</v>
      </c>
      <c r="N83" s="1" t="s">
        <v>95</v>
      </c>
      <c r="O83" s="1" t="s">
        <v>38</v>
      </c>
      <c r="P83" s="1" t="s">
        <v>37</v>
      </c>
      <c r="Q83" s="1" t="s">
        <v>96</v>
      </c>
      <c r="R83" s="1" t="s">
        <v>242</v>
      </c>
      <c r="S83" s="1" t="s">
        <v>40</v>
      </c>
      <c r="T83" s="1">
        <v>933.68</v>
      </c>
      <c r="U83" s="1" t="s">
        <v>41</v>
      </c>
      <c r="V83" s="1" t="s">
        <v>30</v>
      </c>
      <c r="W83" s="1" t="s">
        <v>37</v>
      </c>
      <c r="X83" s="1" t="s">
        <v>30</v>
      </c>
      <c r="Y83" s="1" t="s">
        <v>37</v>
      </c>
      <c r="Z83" s="1" t="s">
        <v>42</v>
      </c>
    </row>
    <row r="84" spans="1:26" ht="15.75" x14ac:dyDescent="0.25">
      <c r="A84" s="1" t="s">
        <v>26</v>
      </c>
      <c r="B84" s="1" t="s">
        <v>27</v>
      </c>
      <c r="C84" s="1" t="s">
        <v>230</v>
      </c>
      <c r="D84" s="1" t="s">
        <v>239</v>
      </c>
      <c r="E84" s="1" t="s">
        <v>30</v>
      </c>
      <c r="F84" s="1" t="s">
        <v>240</v>
      </c>
      <c r="G84" s="1" t="s">
        <v>43</v>
      </c>
      <c r="H84" s="1" t="s">
        <v>137</v>
      </c>
      <c r="I84" s="1" t="s">
        <v>147</v>
      </c>
      <c r="J84" s="1">
        <v>1.5</v>
      </c>
      <c r="K84" s="1" t="s">
        <v>241</v>
      </c>
      <c r="L84" s="1" t="s">
        <v>36</v>
      </c>
      <c r="M84" s="1">
        <v>0.06</v>
      </c>
      <c r="N84" s="1" t="s">
        <v>95</v>
      </c>
      <c r="O84" s="1" t="s">
        <v>38</v>
      </c>
      <c r="P84" s="1" t="s">
        <v>37</v>
      </c>
      <c r="Q84" s="1" t="s">
        <v>96</v>
      </c>
      <c r="R84" s="1" t="s">
        <v>242</v>
      </c>
      <c r="S84" s="1" t="s">
        <v>40</v>
      </c>
      <c r="T84" s="1">
        <v>933.68</v>
      </c>
      <c r="U84" s="1" t="s">
        <v>41</v>
      </c>
      <c r="V84" s="1" t="s">
        <v>30</v>
      </c>
      <c r="W84" s="1" t="s">
        <v>37</v>
      </c>
      <c r="X84" s="1" t="s">
        <v>30</v>
      </c>
      <c r="Y84" s="1" t="s">
        <v>37</v>
      </c>
      <c r="Z84" s="1" t="s">
        <v>42</v>
      </c>
    </row>
    <row r="85" spans="1:26" ht="15.75" x14ac:dyDescent="0.25">
      <c r="A85" s="1" t="s">
        <v>26</v>
      </c>
      <c r="B85" s="1" t="s">
        <v>27</v>
      </c>
      <c r="C85" s="1" t="s">
        <v>230</v>
      </c>
      <c r="D85" s="1" t="s">
        <v>243</v>
      </c>
      <c r="E85" s="1" t="s">
        <v>30</v>
      </c>
      <c r="F85" s="1" t="s">
        <v>244</v>
      </c>
      <c r="G85" s="1" t="s">
        <v>32</v>
      </c>
      <c r="H85" s="1" t="s">
        <v>33</v>
      </c>
      <c r="I85" s="1" t="s">
        <v>34</v>
      </c>
      <c r="J85" s="1">
        <v>31.82</v>
      </c>
      <c r="K85" s="1" t="s">
        <v>245</v>
      </c>
      <c r="L85" s="1" t="s">
        <v>36</v>
      </c>
      <c r="M85" s="1">
        <v>1.27</v>
      </c>
      <c r="N85" s="1" t="s">
        <v>186</v>
      </c>
      <c r="O85" s="1" t="s">
        <v>38</v>
      </c>
      <c r="P85" s="1" t="s">
        <v>37</v>
      </c>
      <c r="Q85" s="1" t="s">
        <v>187</v>
      </c>
      <c r="R85" s="1" t="s">
        <v>246</v>
      </c>
      <c r="S85" s="1" t="s">
        <v>40</v>
      </c>
      <c r="T85" s="1">
        <v>933.68</v>
      </c>
      <c r="U85" s="1" t="s">
        <v>41</v>
      </c>
      <c r="V85" s="1" t="s">
        <v>30</v>
      </c>
      <c r="W85" s="1" t="s">
        <v>37</v>
      </c>
      <c r="X85" s="1" t="s">
        <v>30</v>
      </c>
      <c r="Y85" s="1" t="s">
        <v>37</v>
      </c>
      <c r="Z85" s="1" t="s">
        <v>42</v>
      </c>
    </row>
    <row r="86" spans="1:26" ht="15.75" x14ac:dyDescent="0.25">
      <c r="A86" s="1" t="s">
        <v>26</v>
      </c>
      <c r="B86" s="1" t="s">
        <v>27</v>
      </c>
      <c r="C86" s="1" t="s">
        <v>230</v>
      </c>
      <c r="D86" s="1" t="s">
        <v>247</v>
      </c>
      <c r="E86" s="1" t="s">
        <v>30</v>
      </c>
      <c r="F86" s="1" t="s">
        <v>244</v>
      </c>
      <c r="G86" s="1" t="s">
        <v>45</v>
      </c>
      <c r="H86" s="1" t="s">
        <v>33</v>
      </c>
      <c r="I86" s="1" t="s">
        <v>34</v>
      </c>
      <c r="J86" s="1">
        <v>10.67</v>
      </c>
      <c r="K86" s="1" t="s">
        <v>245</v>
      </c>
      <c r="L86" s="1" t="s">
        <v>36</v>
      </c>
      <c r="M86" s="1">
        <v>0.43</v>
      </c>
      <c r="N86" s="1" t="s">
        <v>186</v>
      </c>
      <c r="O86" s="1" t="s">
        <v>38</v>
      </c>
      <c r="P86" s="1" t="s">
        <v>37</v>
      </c>
      <c r="Q86" s="1" t="s">
        <v>187</v>
      </c>
      <c r="R86" s="1" t="s">
        <v>246</v>
      </c>
      <c r="S86" s="1" t="s">
        <v>40</v>
      </c>
      <c r="T86" s="1">
        <v>933.68</v>
      </c>
      <c r="U86" s="1" t="s">
        <v>41</v>
      </c>
      <c r="V86" s="1" t="s">
        <v>30</v>
      </c>
      <c r="W86" s="1" t="s">
        <v>37</v>
      </c>
      <c r="X86" s="1" t="s">
        <v>30</v>
      </c>
      <c r="Y86" s="1" t="s">
        <v>37</v>
      </c>
      <c r="Z86" s="1" t="s">
        <v>42</v>
      </c>
    </row>
    <row r="87" spans="1:26" ht="15.75" x14ac:dyDescent="0.25">
      <c r="A87" s="1" t="s">
        <v>26</v>
      </c>
      <c r="B87" s="1" t="s">
        <v>27</v>
      </c>
      <c r="C87" s="1" t="s">
        <v>230</v>
      </c>
      <c r="D87" s="1" t="s">
        <v>248</v>
      </c>
      <c r="E87" s="1" t="s">
        <v>30</v>
      </c>
      <c r="F87" s="1" t="s">
        <v>249</v>
      </c>
      <c r="G87" s="1" t="s">
        <v>32</v>
      </c>
      <c r="H87" s="1" t="s">
        <v>33</v>
      </c>
      <c r="I87" s="1" t="s">
        <v>34</v>
      </c>
      <c r="J87" s="1">
        <v>107.9</v>
      </c>
      <c r="K87" s="1" t="s">
        <v>245</v>
      </c>
      <c r="L87" s="1" t="s">
        <v>36</v>
      </c>
      <c r="M87" s="1">
        <v>4.32</v>
      </c>
      <c r="N87" s="1" t="s">
        <v>186</v>
      </c>
      <c r="O87" s="1" t="s">
        <v>38</v>
      </c>
      <c r="P87" s="1" t="s">
        <v>37</v>
      </c>
      <c r="Q87" s="1" t="s">
        <v>187</v>
      </c>
      <c r="R87" s="1" t="s">
        <v>250</v>
      </c>
      <c r="S87" s="1" t="s">
        <v>40</v>
      </c>
      <c r="T87" s="1">
        <v>933.68</v>
      </c>
      <c r="U87" s="1" t="s">
        <v>41</v>
      </c>
      <c r="V87" s="1" t="s">
        <v>30</v>
      </c>
      <c r="W87" s="1" t="s">
        <v>37</v>
      </c>
      <c r="X87" s="1" t="s">
        <v>30</v>
      </c>
      <c r="Y87" s="1" t="s">
        <v>37</v>
      </c>
      <c r="Z87" s="1" t="s">
        <v>42</v>
      </c>
    </row>
    <row r="88" spans="1:26" ht="15.75" x14ac:dyDescent="0.25">
      <c r="A88" s="1" t="s">
        <v>26</v>
      </c>
      <c r="B88" s="1" t="s">
        <v>27</v>
      </c>
      <c r="C88" s="1" t="s">
        <v>230</v>
      </c>
      <c r="D88" s="1" t="s">
        <v>251</v>
      </c>
      <c r="E88" s="1" t="s">
        <v>30</v>
      </c>
      <c r="F88" s="1" t="s">
        <v>249</v>
      </c>
      <c r="G88" s="1" t="s">
        <v>45</v>
      </c>
      <c r="H88" s="1" t="s">
        <v>33</v>
      </c>
      <c r="I88" s="1" t="s">
        <v>34</v>
      </c>
      <c r="J88" s="1">
        <v>29.34</v>
      </c>
      <c r="K88" s="1" t="s">
        <v>245</v>
      </c>
      <c r="L88" s="1" t="s">
        <v>36</v>
      </c>
      <c r="M88" s="1">
        <v>1.17</v>
      </c>
      <c r="N88" s="1" t="s">
        <v>186</v>
      </c>
      <c r="O88" s="1" t="s">
        <v>38</v>
      </c>
      <c r="P88" s="1" t="s">
        <v>37</v>
      </c>
      <c r="Q88" s="1" t="s">
        <v>187</v>
      </c>
      <c r="R88" s="1" t="s">
        <v>250</v>
      </c>
      <c r="S88" s="1" t="s">
        <v>40</v>
      </c>
      <c r="T88" s="1">
        <v>933.68</v>
      </c>
      <c r="U88" s="1" t="s">
        <v>41</v>
      </c>
      <c r="V88" s="1" t="s">
        <v>30</v>
      </c>
      <c r="W88" s="1" t="s">
        <v>37</v>
      </c>
      <c r="X88" s="1" t="s">
        <v>30</v>
      </c>
      <c r="Y88" s="1" t="s">
        <v>37</v>
      </c>
      <c r="Z88" s="1" t="s">
        <v>42</v>
      </c>
    </row>
    <row r="89" spans="1:26" ht="15.75" x14ac:dyDescent="0.25">
      <c r="A89" s="1" t="s">
        <v>26</v>
      </c>
      <c r="B89" s="1" t="s">
        <v>27</v>
      </c>
      <c r="C89" s="1" t="s">
        <v>230</v>
      </c>
      <c r="D89" s="1" t="s">
        <v>252</v>
      </c>
      <c r="E89" s="1" t="s">
        <v>30</v>
      </c>
      <c r="F89" s="1" t="s">
        <v>253</v>
      </c>
      <c r="G89" s="1" t="s">
        <v>32</v>
      </c>
      <c r="H89" s="1" t="s">
        <v>62</v>
      </c>
      <c r="I89" s="1" t="s">
        <v>48</v>
      </c>
      <c r="J89" s="1">
        <v>72.59</v>
      </c>
      <c r="K89" s="1" t="s">
        <v>254</v>
      </c>
      <c r="L89" s="1" t="s">
        <v>36</v>
      </c>
      <c r="M89" s="1">
        <v>0</v>
      </c>
      <c r="N89" s="1" t="s">
        <v>71</v>
      </c>
      <c r="O89" s="1" t="s">
        <v>38</v>
      </c>
      <c r="P89" s="1" t="s">
        <v>225</v>
      </c>
      <c r="Q89" s="1" t="s">
        <v>73</v>
      </c>
      <c r="R89" s="1" t="s">
        <v>255</v>
      </c>
      <c r="S89" s="1" t="s">
        <v>40</v>
      </c>
      <c r="T89" s="1">
        <v>933.68</v>
      </c>
      <c r="U89" s="1" t="s">
        <v>41</v>
      </c>
      <c r="V89" s="1" t="s">
        <v>30</v>
      </c>
      <c r="W89" s="1" t="s">
        <v>37</v>
      </c>
      <c r="X89" s="1" t="s">
        <v>30</v>
      </c>
      <c r="Y89" s="1" t="s">
        <v>37</v>
      </c>
      <c r="Z89" s="1" t="s">
        <v>42</v>
      </c>
    </row>
    <row r="90" spans="1:26" ht="15.75" x14ac:dyDescent="0.25">
      <c r="A90" s="1" t="s">
        <v>26</v>
      </c>
      <c r="B90" s="1" t="s">
        <v>27</v>
      </c>
      <c r="C90" s="1" t="s">
        <v>230</v>
      </c>
      <c r="D90" s="1" t="s">
        <v>252</v>
      </c>
      <c r="E90" s="1" t="s">
        <v>30</v>
      </c>
      <c r="F90" s="1" t="s">
        <v>253</v>
      </c>
      <c r="G90" s="1" t="s">
        <v>43</v>
      </c>
      <c r="H90" s="1" t="s">
        <v>62</v>
      </c>
      <c r="I90" s="1" t="s">
        <v>48</v>
      </c>
      <c r="J90" s="1">
        <v>2.69</v>
      </c>
      <c r="K90" s="1" t="s">
        <v>254</v>
      </c>
      <c r="L90" s="1" t="s">
        <v>36</v>
      </c>
      <c r="M90" s="1">
        <v>0</v>
      </c>
      <c r="N90" s="1" t="s">
        <v>71</v>
      </c>
      <c r="O90" s="1" t="s">
        <v>38</v>
      </c>
      <c r="P90" s="1" t="s">
        <v>227</v>
      </c>
      <c r="Q90" s="1" t="s">
        <v>73</v>
      </c>
      <c r="R90" s="1" t="s">
        <v>255</v>
      </c>
      <c r="S90" s="1" t="s">
        <v>40</v>
      </c>
      <c r="T90" s="1">
        <v>933.68</v>
      </c>
      <c r="U90" s="1" t="s">
        <v>41</v>
      </c>
      <c r="V90" s="1" t="s">
        <v>30</v>
      </c>
      <c r="W90" s="1" t="s">
        <v>37</v>
      </c>
      <c r="X90" s="1" t="s">
        <v>30</v>
      </c>
      <c r="Y90" s="1" t="s">
        <v>37</v>
      </c>
      <c r="Z90" s="1" t="s">
        <v>42</v>
      </c>
    </row>
    <row r="91" spans="1:26" ht="15.75" x14ac:dyDescent="0.25">
      <c r="A91" s="1" t="s">
        <v>26</v>
      </c>
      <c r="B91" s="1" t="s">
        <v>27</v>
      </c>
      <c r="C91" s="1" t="s">
        <v>230</v>
      </c>
      <c r="D91" s="1" t="s">
        <v>256</v>
      </c>
      <c r="E91" s="1" t="s">
        <v>30</v>
      </c>
      <c r="F91" s="1" t="s">
        <v>257</v>
      </c>
      <c r="G91" s="1" t="s">
        <v>32</v>
      </c>
      <c r="H91" s="1" t="s">
        <v>48</v>
      </c>
      <c r="I91" s="1" t="s">
        <v>33</v>
      </c>
      <c r="J91" s="1">
        <v>40.729999999999997</v>
      </c>
      <c r="K91" s="1" t="s">
        <v>258</v>
      </c>
      <c r="L91" s="1" t="s">
        <v>36</v>
      </c>
      <c r="M91" s="1">
        <v>1.63</v>
      </c>
      <c r="N91" s="1" t="s">
        <v>50</v>
      </c>
      <c r="O91" s="1" t="s">
        <v>38</v>
      </c>
      <c r="P91" s="1" t="s">
        <v>37</v>
      </c>
      <c r="Q91" s="1" t="s">
        <v>51</v>
      </c>
      <c r="R91" s="1" t="s">
        <v>259</v>
      </c>
      <c r="S91" s="1" t="s">
        <v>40</v>
      </c>
      <c r="T91" s="1">
        <v>933.68</v>
      </c>
      <c r="U91" s="1" t="s">
        <v>41</v>
      </c>
      <c r="V91" s="1" t="s">
        <v>30</v>
      </c>
      <c r="W91" s="1" t="s">
        <v>37</v>
      </c>
      <c r="X91" s="1" t="s">
        <v>30</v>
      </c>
      <c r="Y91" s="1" t="s">
        <v>37</v>
      </c>
      <c r="Z91" s="1" t="s">
        <v>42</v>
      </c>
    </row>
    <row r="92" spans="1:26" ht="15.75" x14ac:dyDescent="0.25">
      <c r="A92" s="1" t="s">
        <v>26</v>
      </c>
      <c r="B92" s="1" t="s">
        <v>27</v>
      </c>
      <c r="C92" s="1" t="s">
        <v>230</v>
      </c>
      <c r="D92" s="1" t="s">
        <v>260</v>
      </c>
      <c r="E92" s="1" t="s">
        <v>30</v>
      </c>
      <c r="F92" s="1" t="s">
        <v>261</v>
      </c>
      <c r="G92" s="1" t="s">
        <v>32</v>
      </c>
      <c r="H92" s="1" t="s">
        <v>86</v>
      </c>
      <c r="I92" s="1" t="s">
        <v>48</v>
      </c>
      <c r="J92" s="1">
        <v>37.03</v>
      </c>
      <c r="K92" s="1" t="s">
        <v>262</v>
      </c>
      <c r="L92" s="1" t="s">
        <v>36</v>
      </c>
      <c r="M92" s="1">
        <v>1.48</v>
      </c>
      <c r="N92" s="1" t="s">
        <v>174</v>
      </c>
      <c r="O92" s="1" t="s">
        <v>38</v>
      </c>
      <c r="P92" s="1" t="s">
        <v>37</v>
      </c>
      <c r="Q92" s="1" t="s">
        <v>175</v>
      </c>
      <c r="R92" s="1" t="s">
        <v>263</v>
      </c>
      <c r="S92" s="1" t="s">
        <v>40</v>
      </c>
      <c r="T92" s="1">
        <v>933.68</v>
      </c>
      <c r="U92" s="1" t="s">
        <v>41</v>
      </c>
      <c r="V92" s="1" t="s">
        <v>30</v>
      </c>
      <c r="W92" s="1" t="s">
        <v>37</v>
      </c>
      <c r="X92" s="1" t="s">
        <v>30</v>
      </c>
      <c r="Y92" s="1" t="s">
        <v>37</v>
      </c>
      <c r="Z92" s="1" t="s">
        <v>42</v>
      </c>
    </row>
    <row r="93" spans="1:26" ht="15.75" x14ac:dyDescent="0.25">
      <c r="A93" s="1" t="s">
        <v>26</v>
      </c>
      <c r="B93" s="1" t="s">
        <v>27</v>
      </c>
      <c r="C93" s="1" t="s">
        <v>230</v>
      </c>
      <c r="D93" s="1" t="s">
        <v>264</v>
      </c>
      <c r="E93" s="1" t="s">
        <v>30</v>
      </c>
      <c r="F93" s="1" t="s">
        <v>265</v>
      </c>
      <c r="G93" s="1" t="s">
        <v>32</v>
      </c>
      <c r="H93" s="1" t="s">
        <v>136</v>
      </c>
      <c r="I93" s="1" t="s">
        <v>137</v>
      </c>
      <c r="J93" s="1">
        <v>45.29</v>
      </c>
      <c r="K93" s="1" t="s">
        <v>266</v>
      </c>
      <c r="L93" s="1" t="s">
        <v>36</v>
      </c>
      <c r="M93" s="1">
        <v>1.81</v>
      </c>
      <c r="N93" s="1" t="s">
        <v>267</v>
      </c>
      <c r="O93" s="1" t="s">
        <v>38</v>
      </c>
      <c r="P93" s="1" t="s">
        <v>37</v>
      </c>
      <c r="Q93" s="1" t="s">
        <v>268</v>
      </c>
      <c r="R93" s="1" t="s">
        <v>269</v>
      </c>
      <c r="S93" s="1" t="s">
        <v>40</v>
      </c>
      <c r="T93" s="1">
        <v>933.68</v>
      </c>
      <c r="U93" s="1" t="s">
        <v>41</v>
      </c>
      <c r="V93" s="1" t="s">
        <v>30</v>
      </c>
      <c r="W93" s="1" t="s">
        <v>37</v>
      </c>
      <c r="X93" s="1" t="s">
        <v>30</v>
      </c>
      <c r="Y93" s="1" t="s">
        <v>37</v>
      </c>
      <c r="Z93" s="1" t="s">
        <v>42</v>
      </c>
    </row>
    <row r="94" spans="1:26" ht="15.75" x14ac:dyDescent="0.25">
      <c r="A94" s="1" t="s">
        <v>26</v>
      </c>
      <c r="B94" s="1" t="s">
        <v>27</v>
      </c>
      <c r="C94" s="1" t="s">
        <v>230</v>
      </c>
      <c r="D94" s="1" t="s">
        <v>270</v>
      </c>
      <c r="E94" s="1" t="s">
        <v>30</v>
      </c>
      <c r="F94" s="1" t="s">
        <v>265</v>
      </c>
      <c r="G94" s="1" t="s">
        <v>45</v>
      </c>
      <c r="H94" s="1" t="s">
        <v>136</v>
      </c>
      <c r="I94" s="1" t="s">
        <v>137</v>
      </c>
      <c r="J94" s="1">
        <v>10.67</v>
      </c>
      <c r="K94" s="1" t="s">
        <v>266</v>
      </c>
      <c r="L94" s="1" t="s">
        <v>36</v>
      </c>
      <c r="M94" s="1">
        <v>0.43</v>
      </c>
      <c r="N94" s="1" t="s">
        <v>267</v>
      </c>
      <c r="O94" s="1" t="s">
        <v>38</v>
      </c>
      <c r="P94" s="1" t="s">
        <v>37</v>
      </c>
      <c r="Q94" s="1" t="s">
        <v>268</v>
      </c>
      <c r="R94" s="1" t="s">
        <v>269</v>
      </c>
      <c r="S94" s="1" t="s">
        <v>40</v>
      </c>
      <c r="T94" s="1">
        <v>933.68</v>
      </c>
      <c r="U94" s="1" t="s">
        <v>41</v>
      </c>
      <c r="V94" s="1" t="s">
        <v>30</v>
      </c>
      <c r="W94" s="1" t="s">
        <v>37</v>
      </c>
      <c r="X94" s="1" t="s">
        <v>30</v>
      </c>
      <c r="Y94" s="1" t="s">
        <v>37</v>
      </c>
      <c r="Z94" s="1" t="s">
        <v>42</v>
      </c>
    </row>
    <row r="95" spans="1:26" ht="15.75" x14ac:dyDescent="0.25">
      <c r="A95" s="1" t="s">
        <v>26</v>
      </c>
      <c r="B95" s="1" t="s">
        <v>27</v>
      </c>
      <c r="C95" s="1" t="s">
        <v>230</v>
      </c>
      <c r="D95" s="1" t="s">
        <v>271</v>
      </c>
      <c r="E95" s="1" t="s">
        <v>30</v>
      </c>
      <c r="F95" s="1" t="s">
        <v>272</v>
      </c>
      <c r="G95" s="1" t="s">
        <v>32</v>
      </c>
      <c r="H95" s="1" t="s">
        <v>273</v>
      </c>
      <c r="I95" s="1" t="s">
        <v>137</v>
      </c>
      <c r="J95" s="1">
        <v>42.35</v>
      </c>
      <c r="K95" s="1" t="s">
        <v>274</v>
      </c>
      <c r="L95" s="1" t="s">
        <v>36</v>
      </c>
      <c r="M95" s="1">
        <v>1.69</v>
      </c>
      <c r="N95" s="1" t="s">
        <v>50</v>
      </c>
      <c r="O95" s="1" t="s">
        <v>38</v>
      </c>
      <c r="P95" s="1" t="s">
        <v>37</v>
      </c>
      <c r="Q95" s="1" t="s">
        <v>51</v>
      </c>
      <c r="R95" s="1" t="s">
        <v>275</v>
      </c>
      <c r="S95" s="1" t="s">
        <v>40</v>
      </c>
      <c r="T95" s="1">
        <v>933.68</v>
      </c>
      <c r="U95" s="1" t="s">
        <v>41</v>
      </c>
      <c r="V95" s="1" t="s">
        <v>30</v>
      </c>
      <c r="W95" s="1" t="s">
        <v>37</v>
      </c>
      <c r="X95" s="1" t="s">
        <v>30</v>
      </c>
      <c r="Y95" s="1" t="s">
        <v>37</v>
      </c>
      <c r="Z95" s="1" t="s">
        <v>42</v>
      </c>
    </row>
    <row r="96" spans="1:26" ht="15.75" x14ac:dyDescent="0.25">
      <c r="A96" s="1" t="s">
        <v>26</v>
      </c>
      <c r="B96" s="1" t="s">
        <v>27</v>
      </c>
      <c r="C96" s="1" t="s">
        <v>230</v>
      </c>
      <c r="D96" s="1" t="s">
        <v>271</v>
      </c>
      <c r="E96" s="1" t="s">
        <v>30</v>
      </c>
      <c r="F96" s="1" t="s">
        <v>272</v>
      </c>
      <c r="G96" s="1" t="s">
        <v>43</v>
      </c>
      <c r="H96" s="1" t="s">
        <v>273</v>
      </c>
      <c r="I96" s="1" t="s">
        <v>137</v>
      </c>
      <c r="J96" s="1">
        <v>1.5</v>
      </c>
      <c r="K96" s="1" t="s">
        <v>274</v>
      </c>
      <c r="L96" s="1" t="s">
        <v>36</v>
      </c>
      <c r="M96" s="1">
        <v>0.06</v>
      </c>
      <c r="N96" s="1" t="s">
        <v>50</v>
      </c>
      <c r="O96" s="1" t="s">
        <v>38</v>
      </c>
      <c r="P96" s="1" t="s">
        <v>37</v>
      </c>
      <c r="Q96" s="1" t="s">
        <v>51</v>
      </c>
      <c r="R96" s="1" t="s">
        <v>275</v>
      </c>
      <c r="S96" s="1" t="s">
        <v>40</v>
      </c>
      <c r="T96" s="1">
        <v>933.68</v>
      </c>
      <c r="U96" s="1" t="s">
        <v>41</v>
      </c>
      <c r="V96" s="1" t="s">
        <v>30</v>
      </c>
      <c r="W96" s="1" t="s">
        <v>37</v>
      </c>
      <c r="X96" s="1" t="s">
        <v>30</v>
      </c>
      <c r="Y96" s="1" t="s">
        <v>37</v>
      </c>
      <c r="Z96" s="1" t="s">
        <v>42</v>
      </c>
    </row>
    <row r="97" spans="1:26" ht="15.75" x14ac:dyDescent="0.25">
      <c r="A97" s="1" t="s">
        <v>26</v>
      </c>
      <c r="B97" s="1" t="s">
        <v>27</v>
      </c>
      <c r="C97" s="1" t="s">
        <v>230</v>
      </c>
      <c r="D97" s="1" t="s">
        <v>276</v>
      </c>
      <c r="E97" s="1" t="s">
        <v>30</v>
      </c>
      <c r="F97" s="1" t="s">
        <v>277</v>
      </c>
      <c r="G97" s="1" t="s">
        <v>45</v>
      </c>
      <c r="H97" s="1" t="s">
        <v>48</v>
      </c>
      <c r="I97" s="1" t="s">
        <v>33</v>
      </c>
      <c r="J97" s="1">
        <v>16.34</v>
      </c>
      <c r="K97" s="1" t="s">
        <v>278</v>
      </c>
      <c r="L97" s="1" t="s">
        <v>36</v>
      </c>
      <c r="M97" s="1">
        <v>0.65</v>
      </c>
      <c r="N97" s="1" t="s">
        <v>57</v>
      </c>
      <c r="O97" s="1" t="s">
        <v>38</v>
      </c>
      <c r="P97" s="1" t="s">
        <v>37</v>
      </c>
      <c r="Q97" s="1" t="s">
        <v>58</v>
      </c>
      <c r="R97" s="1" t="s">
        <v>279</v>
      </c>
      <c r="S97" s="1" t="s">
        <v>40</v>
      </c>
      <c r="T97" s="1">
        <v>933.68</v>
      </c>
      <c r="U97" s="1" t="s">
        <v>41</v>
      </c>
      <c r="V97" s="1" t="s">
        <v>30</v>
      </c>
      <c r="W97" s="1" t="s">
        <v>37</v>
      </c>
      <c r="X97" s="1" t="s">
        <v>30</v>
      </c>
      <c r="Y97" s="1" t="s">
        <v>37</v>
      </c>
      <c r="Z97" s="1" t="s">
        <v>42</v>
      </c>
    </row>
    <row r="98" spans="1:26" ht="15.75" x14ac:dyDescent="0.25">
      <c r="A98" s="1" t="s">
        <v>26</v>
      </c>
      <c r="B98" s="1" t="s">
        <v>27</v>
      </c>
      <c r="C98" s="1" t="s">
        <v>230</v>
      </c>
      <c r="D98" s="1" t="s">
        <v>280</v>
      </c>
      <c r="E98" s="1" t="s">
        <v>30</v>
      </c>
      <c r="F98" s="1" t="s">
        <v>281</v>
      </c>
      <c r="G98" s="1" t="s">
        <v>32</v>
      </c>
      <c r="H98" s="1" t="s">
        <v>273</v>
      </c>
      <c r="I98" s="1" t="s">
        <v>48</v>
      </c>
      <c r="J98" s="1">
        <v>45.29</v>
      </c>
      <c r="K98" s="1" t="s">
        <v>274</v>
      </c>
      <c r="L98" s="1" t="s">
        <v>36</v>
      </c>
      <c r="M98" s="1">
        <v>1.81</v>
      </c>
      <c r="N98" s="1" t="s">
        <v>282</v>
      </c>
      <c r="O98" s="1" t="s">
        <v>38</v>
      </c>
      <c r="P98" s="1" t="s">
        <v>37</v>
      </c>
      <c r="Q98" s="1" t="s">
        <v>283</v>
      </c>
      <c r="R98" s="1" t="s">
        <v>284</v>
      </c>
      <c r="S98" s="1" t="s">
        <v>40</v>
      </c>
      <c r="T98" s="1">
        <v>933.68</v>
      </c>
      <c r="U98" s="1" t="s">
        <v>41</v>
      </c>
      <c r="V98" s="1" t="s">
        <v>30</v>
      </c>
      <c r="W98" s="1" t="s">
        <v>37</v>
      </c>
      <c r="X98" s="1" t="s">
        <v>30</v>
      </c>
      <c r="Y98" s="1" t="s">
        <v>37</v>
      </c>
      <c r="Z98" s="1" t="s">
        <v>42</v>
      </c>
    </row>
    <row r="99" spans="1:26" ht="15.75" x14ac:dyDescent="0.25">
      <c r="A99" s="1" t="s">
        <v>26</v>
      </c>
      <c r="B99" s="1" t="s">
        <v>27</v>
      </c>
      <c r="C99" s="1" t="s">
        <v>230</v>
      </c>
      <c r="D99" s="1" t="s">
        <v>285</v>
      </c>
      <c r="E99" s="1" t="s">
        <v>30</v>
      </c>
      <c r="F99" s="1" t="s">
        <v>281</v>
      </c>
      <c r="G99" s="1" t="s">
        <v>45</v>
      </c>
      <c r="H99" s="1" t="s">
        <v>273</v>
      </c>
      <c r="I99" s="1" t="s">
        <v>48</v>
      </c>
      <c r="J99" s="1">
        <v>10.67</v>
      </c>
      <c r="K99" s="1" t="s">
        <v>274</v>
      </c>
      <c r="L99" s="1" t="s">
        <v>36</v>
      </c>
      <c r="M99" s="1">
        <v>0.43</v>
      </c>
      <c r="N99" s="1" t="s">
        <v>282</v>
      </c>
      <c r="O99" s="1" t="s">
        <v>38</v>
      </c>
      <c r="P99" s="1" t="s">
        <v>37</v>
      </c>
      <c r="Q99" s="1" t="s">
        <v>283</v>
      </c>
      <c r="R99" s="1" t="s">
        <v>284</v>
      </c>
      <c r="S99" s="1" t="s">
        <v>40</v>
      </c>
      <c r="T99" s="1">
        <v>933.68</v>
      </c>
      <c r="U99" s="1" t="s">
        <v>41</v>
      </c>
      <c r="V99" s="1" t="s">
        <v>30</v>
      </c>
      <c r="W99" s="1" t="s">
        <v>37</v>
      </c>
      <c r="X99" s="1" t="s">
        <v>30</v>
      </c>
      <c r="Y99" s="1" t="s">
        <v>37</v>
      </c>
      <c r="Z99" s="1" t="s">
        <v>42</v>
      </c>
    </row>
    <row r="100" spans="1:26" ht="15.75" x14ac:dyDescent="0.25">
      <c r="A100" s="1" t="s">
        <v>26</v>
      </c>
      <c r="B100" s="1" t="s">
        <v>27</v>
      </c>
      <c r="C100" s="1" t="s">
        <v>230</v>
      </c>
      <c r="D100" s="1" t="s">
        <v>286</v>
      </c>
      <c r="E100" s="1" t="s">
        <v>30</v>
      </c>
      <c r="F100" s="1" t="s">
        <v>287</v>
      </c>
      <c r="G100" s="1" t="s">
        <v>32</v>
      </c>
      <c r="H100" s="1" t="s">
        <v>136</v>
      </c>
      <c r="I100" s="1" t="s">
        <v>137</v>
      </c>
      <c r="J100" s="1">
        <v>46.59</v>
      </c>
      <c r="K100" s="1" t="s">
        <v>288</v>
      </c>
      <c r="L100" s="1" t="s">
        <v>36</v>
      </c>
      <c r="M100" s="1">
        <v>1.86</v>
      </c>
      <c r="N100" s="1" t="s">
        <v>50</v>
      </c>
      <c r="O100" s="1" t="s">
        <v>38</v>
      </c>
      <c r="P100" s="1" t="s">
        <v>37</v>
      </c>
      <c r="Q100" s="1" t="s">
        <v>51</v>
      </c>
      <c r="R100" s="1" t="s">
        <v>289</v>
      </c>
      <c r="S100" s="1" t="s">
        <v>40</v>
      </c>
      <c r="T100" s="1">
        <v>933.68</v>
      </c>
      <c r="U100" s="1" t="s">
        <v>41</v>
      </c>
      <c r="V100" s="1" t="s">
        <v>30</v>
      </c>
      <c r="W100" s="1" t="s">
        <v>37</v>
      </c>
      <c r="X100" s="1" t="s">
        <v>30</v>
      </c>
      <c r="Y100" s="1" t="s">
        <v>37</v>
      </c>
      <c r="Z100" s="1" t="s">
        <v>42</v>
      </c>
    </row>
    <row r="101" spans="1:26" ht="15.75" x14ac:dyDescent="0.25">
      <c r="A101" s="1" t="s">
        <v>26</v>
      </c>
      <c r="B101" s="1" t="s">
        <v>27</v>
      </c>
      <c r="C101" s="1" t="s">
        <v>230</v>
      </c>
      <c r="D101" s="1" t="s">
        <v>286</v>
      </c>
      <c r="E101" s="1" t="s">
        <v>30</v>
      </c>
      <c r="F101" s="1" t="s">
        <v>287</v>
      </c>
      <c r="G101" s="1" t="s">
        <v>43</v>
      </c>
      <c r="H101" s="1" t="s">
        <v>136</v>
      </c>
      <c r="I101" s="1" t="s">
        <v>137</v>
      </c>
      <c r="J101" s="1">
        <v>1.5</v>
      </c>
      <c r="K101" s="1" t="s">
        <v>288</v>
      </c>
      <c r="L101" s="1" t="s">
        <v>36</v>
      </c>
      <c r="M101" s="1">
        <v>0.06</v>
      </c>
      <c r="N101" s="1" t="s">
        <v>50</v>
      </c>
      <c r="O101" s="1" t="s">
        <v>38</v>
      </c>
      <c r="P101" s="1" t="s">
        <v>37</v>
      </c>
      <c r="Q101" s="1" t="s">
        <v>51</v>
      </c>
      <c r="R101" s="1" t="s">
        <v>289</v>
      </c>
      <c r="S101" s="1" t="s">
        <v>40</v>
      </c>
      <c r="T101" s="1">
        <v>933.68</v>
      </c>
      <c r="U101" s="1" t="s">
        <v>41</v>
      </c>
      <c r="V101" s="1" t="s">
        <v>30</v>
      </c>
      <c r="W101" s="1" t="s">
        <v>37</v>
      </c>
      <c r="X101" s="1" t="s">
        <v>30</v>
      </c>
      <c r="Y101" s="1" t="s">
        <v>37</v>
      </c>
      <c r="Z101" s="1" t="s">
        <v>42</v>
      </c>
    </row>
    <row r="102" spans="1:26" ht="15.75" x14ac:dyDescent="0.25">
      <c r="A102" s="1" t="s">
        <v>26</v>
      </c>
      <c r="B102" s="1" t="s">
        <v>27</v>
      </c>
      <c r="C102" s="1" t="s">
        <v>230</v>
      </c>
      <c r="D102" s="1" t="s">
        <v>290</v>
      </c>
      <c r="E102" s="1" t="s">
        <v>30</v>
      </c>
      <c r="F102" s="1" t="s">
        <v>291</v>
      </c>
      <c r="G102" s="1" t="s">
        <v>32</v>
      </c>
      <c r="H102" s="1" t="s">
        <v>86</v>
      </c>
      <c r="I102" s="1" t="s">
        <v>48</v>
      </c>
      <c r="J102" s="1">
        <v>57.28</v>
      </c>
      <c r="K102" s="1" t="s">
        <v>292</v>
      </c>
      <c r="L102" s="1" t="s">
        <v>36</v>
      </c>
      <c r="M102" s="1">
        <v>2.29</v>
      </c>
      <c r="N102" s="1" t="s">
        <v>293</v>
      </c>
      <c r="O102" s="1" t="s">
        <v>38</v>
      </c>
      <c r="P102" s="1" t="s">
        <v>37</v>
      </c>
      <c r="Q102" s="1" t="s">
        <v>294</v>
      </c>
      <c r="R102" s="1" t="s">
        <v>295</v>
      </c>
      <c r="S102" s="1" t="s">
        <v>40</v>
      </c>
      <c r="T102" s="1">
        <v>933.68</v>
      </c>
      <c r="U102" s="1" t="s">
        <v>41</v>
      </c>
      <c r="V102" s="1" t="s">
        <v>30</v>
      </c>
      <c r="W102" s="1" t="s">
        <v>37</v>
      </c>
      <c r="X102" s="1" t="s">
        <v>30</v>
      </c>
      <c r="Y102" s="1" t="s">
        <v>37</v>
      </c>
      <c r="Z102" s="1" t="s">
        <v>42</v>
      </c>
    </row>
    <row r="103" spans="1:26" ht="15.75" x14ac:dyDescent="0.25">
      <c r="A103" s="1" t="s">
        <v>26</v>
      </c>
      <c r="B103" s="1" t="s">
        <v>27</v>
      </c>
      <c r="C103" s="1" t="s">
        <v>230</v>
      </c>
      <c r="D103" s="1" t="s">
        <v>296</v>
      </c>
      <c r="E103" s="1" t="s">
        <v>30</v>
      </c>
      <c r="F103" s="1" t="s">
        <v>297</v>
      </c>
      <c r="G103" s="1" t="s">
        <v>32</v>
      </c>
      <c r="H103" s="1" t="s">
        <v>137</v>
      </c>
      <c r="I103" s="1" t="s">
        <v>147</v>
      </c>
      <c r="J103" s="1">
        <v>72.59</v>
      </c>
      <c r="K103" s="1" t="s">
        <v>298</v>
      </c>
      <c r="L103" s="1" t="s">
        <v>36</v>
      </c>
      <c r="M103" s="1">
        <v>2.9</v>
      </c>
      <c r="N103" s="1" t="s">
        <v>95</v>
      </c>
      <c r="O103" s="1" t="s">
        <v>38</v>
      </c>
      <c r="P103" s="1" t="s">
        <v>37</v>
      </c>
      <c r="Q103" s="1" t="s">
        <v>96</v>
      </c>
      <c r="R103" s="1" t="s">
        <v>299</v>
      </c>
      <c r="S103" s="1" t="s">
        <v>40</v>
      </c>
      <c r="T103" s="1">
        <v>933.68</v>
      </c>
      <c r="U103" s="1" t="s">
        <v>41</v>
      </c>
      <c r="V103" s="1" t="s">
        <v>30</v>
      </c>
      <c r="W103" s="1" t="s">
        <v>37</v>
      </c>
      <c r="X103" s="1" t="s">
        <v>30</v>
      </c>
      <c r="Y103" s="1" t="s">
        <v>37</v>
      </c>
      <c r="Z103" s="1" t="s">
        <v>42</v>
      </c>
    </row>
    <row r="104" spans="1:26" ht="15.75" x14ac:dyDescent="0.25">
      <c r="A104" s="1" t="s">
        <v>26</v>
      </c>
      <c r="B104" s="1" t="s">
        <v>27</v>
      </c>
      <c r="C104" s="1" t="s">
        <v>230</v>
      </c>
      <c r="D104" s="1" t="s">
        <v>296</v>
      </c>
      <c r="E104" s="1" t="s">
        <v>30</v>
      </c>
      <c r="F104" s="1" t="s">
        <v>297</v>
      </c>
      <c r="G104" s="1" t="s">
        <v>43</v>
      </c>
      <c r="H104" s="1" t="s">
        <v>137</v>
      </c>
      <c r="I104" s="1" t="s">
        <v>147</v>
      </c>
      <c r="J104" s="1">
        <v>2.69</v>
      </c>
      <c r="K104" s="1" t="s">
        <v>298</v>
      </c>
      <c r="L104" s="1" t="s">
        <v>36</v>
      </c>
      <c r="M104" s="1">
        <v>0.11</v>
      </c>
      <c r="N104" s="1" t="s">
        <v>95</v>
      </c>
      <c r="O104" s="1" t="s">
        <v>38</v>
      </c>
      <c r="P104" s="1" t="s">
        <v>37</v>
      </c>
      <c r="Q104" s="1" t="s">
        <v>96</v>
      </c>
      <c r="R104" s="1" t="s">
        <v>299</v>
      </c>
      <c r="S104" s="1" t="s">
        <v>40</v>
      </c>
      <c r="T104" s="1">
        <v>933.68</v>
      </c>
      <c r="U104" s="1" t="s">
        <v>41</v>
      </c>
      <c r="V104" s="1" t="s">
        <v>30</v>
      </c>
      <c r="W104" s="1" t="s">
        <v>37</v>
      </c>
      <c r="X104" s="1" t="s">
        <v>30</v>
      </c>
      <c r="Y104" s="1" t="s">
        <v>37</v>
      </c>
      <c r="Z104" s="1" t="s">
        <v>42</v>
      </c>
    </row>
    <row r="105" spans="1:26" ht="15.75" x14ac:dyDescent="0.25">
      <c r="A105" s="1" t="s">
        <v>26</v>
      </c>
      <c r="B105" s="1" t="s">
        <v>27</v>
      </c>
      <c r="C105" s="1" t="s">
        <v>230</v>
      </c>
      <c r="D105" s="1" t="s">
        <v>300</v>
      </c>
      <c r="E105" s="1" t="s">
        <v>30</v>
      </c>
      <c r="F105" s="1" t="s">
        <v>301</v>
      </c>
      <c r="G105" s="1" t="s">
        <v>45</v>
      </c>
      <c r="H105" s="1" t="s">
        <v>33</v>
      </c>
      <c r="I105" s="1" t="s">
        <v>34</v>
      </c>
      <c r="J105" s="1">
        <v>16.34</v>
      </c>
      <c r="K105" s="1" t="s">
        <v>302</v>
      </c>
      <c r="L105" s="1" t="s">
        <v>36</v>
      </c>
      <c r="M105" s="1">
        <v>0.65</v>
      </c>
      <c r="N105" s="1" t="s">
        <v>303</v>
      </c>
      <c r="O105" s="1" t="s">
        <v>38</v>
      </c>
      <c r="P105" s="1" t="s">
        <v>37</v>
      </c>
      <c r="Q105" s="1" t="s">
        <v>304</v>
      </c>
      <c r="R105" s="1" t="s">
        <v>305</v>
      </c>
      <c r="S105" s="1" t="s">
        <v>40</v>
      </c>
      <c r="T105" s="1">
        <v>933.68</v>
      </c>
      <c r="U105" s="1" t="s">
        <v>41</v>
      </c>
      <c r="V105" s="1" t="s">
        <v>30</v>
      </c>
      <c r="W105" s="1" t="s">
        <v>37</v>
      </c>
      <c r="X105" s="1" t="s">
        <v>30</v>
      </c>
      <c r="Y105" s="1" t="s">
        <v>37</v>
      </c>
      <c r="Z105" s="1" t="s">
        <v>42</v>
      </c>
    </row>
    <row r="106" spans="1:26" ht="15.75" x14ac:dyDescent="0.25">
      <c r="A106" s="1" t="s">
        <v>26</v>
      </c>
      <c r="B106" s="1" t="s">
        <v>27</v>
      </c>
      <c r="C106" s="1" t="s">
        <v>306</v>
      </c>
      <c r="D106" s="1" t="s">
        <v>307</v>
      </c>
      <c r="E106" s="1" t="s">
        <v>30</v>
      </c>
      <c r="F106" s="1" t="s">
        <v>308</v>
      </c>
      <c r="G106" s="1" t="s">
        <v>45</v>
      </c>
      <c r="H106" s="1" t="s">
        <v>81</v>
      </c>
      <c r="I106" s="1" t="s">
        <v>33</v>
      </c>
      <c r="J106" s="1">
        <v>15.7</v>
      </c>
      <c r="K106" s="1" t="s">
        <v>309</v>
      </c>
      <c r="L106" s="1" t="s">
        <v>36</v>
      </c>
      <c r="M106" s="1">
        <v>0.63</v>
      </c>
      <c r="N106" s="1" t="s">
        <v>149</v>
      </c>
      <c r="O106" s="1" t="s">
        <v>38</v>
      </c>
      <c r="P106" s="1" t="s">
        <v>37</v>
      </c>
      <c r="Q106" s="1" t="s">
        <v>150</v>
      </c>
      <c r="R106" s="1" t="s">
        <v>310</v>
      </c>
      <c r="S106" s="1" t="s">
        <v>40</v>
      </c>
      <c r="T106" s="1">
        <v>933.68</v>
      </c>
      <c r="U106" s="1" t="s">
        <v>41</v>
      </c>
      <c r="V106" s="1" t="s">
        <v>30</v>
      </c>
      <c r="W106" s="1" t="s">
        <v>37</v>
      </c>
      <c r="X106" s="1" t="s">
        <v>30</v>
      </c>
      <c r="Y106" s="1" t="s">
        <v>37</v>
      </c>
      <c r="Z106" s="1" t="s">
        <v>42</v>
      </c>
    </row>
    <row r="107" spans="1:26" ht="15.75" x14ac:dyDescent="0.25">
      <c r="A107" s="1" t="s">
        <v>26</v>
      </c>
      <c r="B107" s="1" t="s">
        <v>27</v>
      </c>
      <c r="C107" s="1" t="s">
        <v>306</v>
      </c>
      <c r="D107" s="1" t="s">
        <v>311</v>
      </c>
      <c r="E107" s="1" t="s">
        <v>30</v>
      </c>
      <c r="F107" s="1" t="s">
        <v>312</v>
      </c>
      <c r="G107" s="1" t="s">
        <v>32</v>
      </c>
      <c r="H107" s="1" t="s">
        <v>86</v>
      </c>
      <c r="I107" s="1" t="s">
        <v>48</v>
      </c>
      <c r="J107" s="1">
        <v>45.29</v>
      </c>
      <c r="K107" s="1" t="s">
        <v>313</v>
      </c>
      <c r="L107" s="1" t="s">
        <v>36</v>
      </c>
      <c r="M107" s="1">
        <v>1.81</v>
      </c>
      <c r="N107" s="1" t="s">
        <v>314</v>
      </c>
      <c r="O107" s="1" t="s">
        <v>38</v>
      </c>
      <c r="P107" s="1" t="s">
        <v>37</v>
      </c>
      <c r="Q107" s="1" t="s">
        <v>315</v>
      </c>
      <c r="R107" s="1" t="s">
        <v>316</v>
      </c>
      <c r="S107" s="1" t="s">
        <v>40</v>
      </c>
      <c r="T107" s="1">
        <v>933.68</v>
      </c>
      <c r="U107" s="1" t="s">
        <v>41</v>
      </c>
      <c r="V107" s="1" t="s">
        <v>30</v>
      </c>
      <c r="W107" s="1" t="s">
        <v>37</v>
      </c>
      <c r="X107" s="1" t="s">
        <v>30</v>
      </c>
      <c r="Y107" s="1" t="s">
        <v>37</v>
      </c>
      <c r="Z107" s="1" t="s">
        <v>42</v>
      </c>
    </row>
    <row r="108" spans="1:26" ht="15.75" x14ac:dyDescent="0.25">
      <c r="A108" s="1" t="s">
        <v>26</v>
      </c>
      <c r="B108" s="1" t="s">
        <v>27</v>
      </c>
      <c r="C108" s="1" t="s">
        <v>306</v>
      </c>
      <c r="D108" s="1" t="s">
        <v>317</v>
      </c>
      <c r="E108" s="1" t="s">
        <v>30</v>
      </c>
      <c r="F108" s="1" t="s">
        <v>318</v>
      </c>
      <c r="G108" s="1" t="s">
        <v>32</v>
      </c>
      <c r="H108" s="1" t="s">
        <v>86</v>
      </c>
      <c r="I108" s="1" t="s">
        <v>48</v>
      </c>
      <c r="J108" s="1">
        <v>45.29</v>
      </c>
      <c r="K108" s="1" t="s">
        <v>313</v>
      </c>
      <c r="L108" s="1" t="s">
        <v>36</v>
      </c>
      <c r="M108" s="1">
        <v>1.81</v>
      </c>
      <c r="N108" s="1" t="s">
        <v>314</v>
      </c>
      <c r="O108" s="1" t="s">
        <v>38</v>
      </c>
      <c r="P108" s="1" t="s">
        <v>37</v>
      </c>
      <c r="Q108" s="1" t="s">
        <v>315</v>
      </c>
      <c r="R108" s="1" t="s">
        <v>319</v>
      </c>
      <c r="S108" s="1" t="s">
        <v>40</v>
      </c>
      <c r="T108" s="1">
        <v>933.68</v>
      </c>
      <c r="U108" s="1" t="s">
        <v>41</v>
      </c>
      <c r="V108" s="1" t="s">
        <v>30</v>
      </c>
      <c r="W108" s="1" t="s">
        <v>37</v>
      </c>
      <c r="X108" s="1" t="s">
        <v>30</v>
      </c>
      <c r="Y108" s="1" t="s">
        <v>37</v>
      </c>
      <c r="Z108" s="1" t="s">
        <v>42</v>
      </c>
    </row>
    <row r="109" spans="1:26" ht="15.75" x14ac:dyDescent="0.25">
      <c r="A109" s="1" t="s">
        <v>26</v>
      </c>
      <c r="B109" s="1" t="s">
        <v>27</v>
      </c>
      <c r="C109" s="1" t="s">
        <v>306</v>
      </c>
      <c r="D109" s="1" t="s">
        <v>320</v>
      </c>
      <c r="E109" s="1" t="s">
        <v>30</v>
      </c>
      <c r="F109" s="1" t="s">
        <v>321</v>
      </c>
      <c r="G109" s="1" t="s">
        <v>32</v>
      </c>
      <c r="H109" s="1" t="s">
        <v>86</v>
      </c>
      <c r="I109" s="1" t="s">
        <v>48</v>
      </c>
      <c r="J109" s="1">
        <v>45.29</v>
      </c>
      <c r="K109" s="1" t="s">
        <v>313</v>
      </c>
      <c r="L109" s="1" t="s">
        <v>36</v>
      </c>
      <c r="M109" s="1">
        <v>1.81</v>
      </c>
      <c r="N109" s="1" t="s">
        <v>322</v>
      </c>
      <c r="O109" s="1" t="s">
        <v>38</v>
      </c>
      <c r="P109" s="1" t="s">
        <v>37</v>
      </c>
      <c r="Q109" s="1" t="s">
        <v>323</v>
      </c>
      <c r="R109" s="1" t="s">
        <v>324</v>
      </c>
      <c r="S109" s="1" t="s">
        <v>40</v>
      </c>
      <c r="T109" s="1">
        <v>933.68</v>
      </c>
      <c r="U109" s="1" t="s">
        <v>41</v>
      </c>
      <c r="V109" s="1" t="s">
        <v>30</v>
      </c>
      <c r="W109" s="1" t="s">
        <v>37</v>
      </c>
      <c r="X109" s="1" t="s">
        <v>30</v>
      </c>
      <c r="Y109" s="1" t="s">
        <v>37</v>
      </c>
      <c r="Z109" s="1" t="s">
        <v>42</v>
      </c>
    </row>
    <row r="110" spans="1:26" ht="15.75" x14ac:dyDescent="0.25">
      <c r="A110" s="1" t="s">
        <v>26</v>
      </c>
      <c r="B110" s="1" t="s">
        <v>27</v>
      </c>
      <c r="C110" s="1" t="s">
        <v>306</v>
      </c>
      <c r="D110" s="1" t="s">
        <v>325</v>
      </c>
      <c r="E110" s="1" t="s">
        <v>30</v>
      </c>
      <c r="F110" s="1" t="s">
        <v>326</v>
      </c>
      <c r="G110" s="1" t="s">
        <v>32</v>
      </c>
      <c r="H110" s="1" t="s">
        <v>86</v>
      </c>
      <c r="I110" s="1" t="s">
        <v>48</v>
      </c>
      <c r="J110" s="1">
        <v>46.59</v>
      </c>
      <c r="K110" s="1" t="s">
        <v>313</v>
      </c>
      <c r="L110" s="1" t="s">
        <v>36</v>
      </c>
      <c r="M110" s="1">
        <v>1.86</v>
      </c>
      <c r="N110" s="1" t="s">
        <v>50</v>
      </c>
      <c r="O110" s="1" t="s">
        <v>38</v>
      </c>
      <c r="P110" s="1" t="s">
        <v>37</v>
      </c>
      <c r="Q110" s="1" t="s">
        <v>51</v>
      </c>
      <c r="R110" s="1" t="s">
        <v>327</v>
      </c>
      <c r="S110" s="1" t="s">
        <v>40</v>
      </c>
      <c r="T110" s="1">
        <v>933.68</v>
      </c>
      <c r="U110" s="1" t="s">
        <v>41</v>
      </c>
      <c r="V110" s="1" t="s">
        <v>30</v>
      </c>
      <c r="W110" s="1" t="s">
        <v>37</v>
      </c>
      <c r="X110" s="1" t="s">
        <v>30</v>
      </c>
      <c r="Y110" s="1" t="s">
        <v>37</v>
      </c>
      <c r="Z110" s="1" t="s">
        <v>42</v>
      </c>
    </row>
    <row r="111" spans="1:26" ht="15.75" x14ac:dyDescent="0.25">
      <c r="A111" s="1" t="s">
        <v>26</v>
      </c>
      <c r="B111" s="1" t="s">
        <v>27</v>
      </c>
      <c r="C111" s="1" t="s">
        <v>306</v>
      </c>
      <c r="D111" s="1" t="s">
        <v>325</v>
      </c>
      <c r="E111" s="1" t="s">
        <v>30</v>
      </c>
      <c r="F111" s="1" t="s">
        <v>326</v>
      </c>
      <c r="G111" s="1" t="s">
        <v>43</v>
      </c>
      <c r="H111" s="1" t="s">
        <v>86</v>
      </c>
      <c r="I111" s="1" t="s">
        <v>48</v>
      </c>
      <c r="J111" s="1">
        <v>1.5</v>
      </c>
      <c r="K111" s="1" t="s">
        <v>313</v>
      </c>
      <c r="L111" s="1" t="s">
        <v>36</v>
      </c>
      <c r="M111" s="1">
        <v>0.06</v>
      </c>
      <c r="N111" s="1" t="s">
        <v>50</v>
      </c>
      <c r="O111" s="1" t="s">
        <v>38</v>
      </c>
      <c r="P111" s="1" t="s">
        <v>37</v>
      </c>
      <c r="Q111" s="1" t="s">
        <v>51</v>
      </c>
      <c r="R111" s="1" t="s">
        <v>327</v>
      </c>
      <c r="S111" s="1" t="s">
        <v>40</v>
      </c>
      <c r="T111" s="1">
        <v>933.68</v>
      </c>
      <c r="U111" s="1" t="s">
        <v>41</v>
      </c>
      <c r="V111" s="1" t="s">
        <v>30</v>
      </c>
      <c r="W111" s="1" t="s">
        <v>37</v>
      </c>
      <c r="X111" s="1" t="s">
        <v>30</v>
      </c>
      <c r="Y111" s="1" t="s">
        <v>37</v>
      </c>
      <c r="Z111" s="1" t="s">
        <v>42</v>
      </c>
    </row>
    <row r="112" spans="1:26" ht="15.75" x14ac:dyDescent="0.25">
      <c r="A112" s="1" t="s">
        <v>26</v>
      </c>
      <c r="B112" s="1" t="s">
        <v>27</v>
      </c>
      <c r="C112" s="1" t="s">
        <v>306</v>
      </c>
      <c r="D112" s="1" t="s">
        <v>328</v>
      </c>
      <c r="E112" s="1" t="s">
        <v>30</v>
      </c>
      <c r="F112" s="1" t="s">
        <v>329</v>
      </c>
      <c r="G112" s="1" t="s">
        <v>32</v>
      </c>
      <c r="H112" s="1" t="s">
        <v>136</v>
      </c>
      <c r="I112" s="1" t="s">
        <v>137</v>
      </c>
      <c r="J112" s="1">
        <v>144.93</v>
      </c>
      <c r="K112" s="1" t="s">
        <v>330</v>
      </c>
      <c r="L112" s="1" t="s">
        <v>36</v>
      </c>
      <c r="M112" s="1">
        <v>5.8</v>
      </c>
      <c r="N112" s="1" t="s">
        <v>331</v>
      </c>
      <c r="O112" s="1" t="s">
        <v>38</v>
      </c>
      <c r="P112" s="1" t="s">
        <v>37</v>
      </c>
      <c r="Q112" s="1" t="s">
        <v>332</v>
      </c>
      <c r="R112" s="1" t="s">
        <v>333</v>
      </c>
      <c r="S112" s="1" t="s">
        <v>40</v>
      </c>
      <c r="T112" s="1">
        <v>933.68</v>
      </c>
      <c r="U112" s="1" t="s">
        <v>41</v>
      </c>
      <c r="V112" s="1" t="s">
        <v>30</v>
      </c>
      <c r="W112" s="1" t="s">
        <v>37</v>
      </c>
      <c r="X112" s="1" t="s">
        <v>30</v>
      </c>
      <c r="Y112" s="1" t="s">
        <v>37</v>
      </c>
      <c r="Z112" s="1" t="s">
        <v>42</v>
      </c>
    </row>
    <row r="113" spans="1:26" ht="15.75" x14ac:dyDescent="0.25">
      <c r="A113" s="1" t="s">
        <v>26</v>
      </c>
      <c r="B113" s="1" t="s">
        <v>27</v>
      </c>
      <c r="C113" s="1" t="s">
        <v>306</v>
      </c>
      <c r="D113" s="1" t="s">
        <v>334</v>
      </c>
      <c r="E113" s="1" t="s">
        <v>30</v>
      </c>
      <c r="F113" s="1" t="s">
        <v>335</v>
      </c>
      <c r="G113" s="1" t="s">
        <v>32</v>
      </c>
      <c r="H113" s="1" t="s">
        <v>136</v>
      </c>
      <c r="I113" s="1" t="s">
        <v>137</v>
      </c>
      <c r="J113" s="1">
        <v>75.83</v>
      </c>
      <c r="K113" s="1" t="s">
        <v>330</v>
      </c>
      <c r="L113" s="1" t="s">
        <v>36</v>
      </c>
      <c r="M113" s="1">
        <v>3.03</v>
      </c>
      <c r="N113" s="1" t="s">
        <v>336</v>
      </c>
      <c r="O113" s="1" t="s">
        <v>38</v>
      </c>
      <c r="P113" s="1" t="s">
        <v>37</v>
      </c>
      <c r="Q113" s="1" t="s">
        <v>337</v>
      </c>
      <c r="R113" s="1" t="s">
        <v>338</v>
      </c>
      <c r="S113" s="1" t="s">
        <v>40</v>
      </c>
      <c r="T113" s="1">
        <v>933.68</v>
      </c>
      <c r="U113" s="1" t="s">
        <v>41</v>
      </c>
      <c r="V113" s="1" t="s">
        <v>30</v>
      </c>
      <c r="W113" s="1" t="s">
        <v>37</v>
      </c>
      <c r="X113" s="1" t="s">
        <v>30</v>
      </c>
      <c r="Y113" s="1" t="s">
        <v>37</v>
      </c>
      <c r="Z113" s="1" t="s">
        <v>42</v>
      </c>
    </row>
    <row r="114" spans="1:26" ht="15.75" x14ac:dyDescent="0.25">
      <c r="A114" s="1" t="s">
        <v>26</v>
      </c>
      <c r="B114" s="1" t="s">
        <v>27</v>
      </c>
      <c r="C114" s="1" t="s">
        <v>306</v>
      </c>
      <c r="D114" s="1" t="s">
        <v>339</v>
      </c>
      <c r="E114" s="1" t="s">
        <v>30</v>
      </c>
      <c r="F114" s="1" t="s">
        <v>340</v>
      </c>
      <c r="G114" s="1" t="s">
        <v>32</v>
      </c>
      <c r="H114" s="1" t="s">
        <v>136</v>
      </c>
      <c r="I114" s="1" t="s">
        <v>137</v>
      </c>
      <c r="J114" s="1">
        <v>46.59</v>
      </c>
      <c r="K114" s="1" t="s">
        <v>330</v>
      </c>
      <c r="L114" s="1" t="s">
        <v>36</v>
      </c>
      <c r="M114" s="1">
        <v>1.86</v>
      </c>
      <c r="N114" s="1" t="s">
        <v>336</v>
      </c>
      <c r="O114" s="1" t="s">
        <v>38</v>
      </c>
      <c r="P114" s="1" t="s">
        <v>37</v>
      </c>
      <c r="Q114" s="1" t="s">
        <v>337</v>
      </c>
      <c r="R114" s="1" t="s">
        <v>341</v>
      </c>
      <c r="S114" s="1" t="s">
        <v>40</v>
      </c>
      <c r="T114" s="1">
        <v>933.68</v>
      </c>
      <c r="U114" s="1" t="s">
        <v>41</v>
      </c>
      <c r="V114" s="1" t="s">
        <v>30</v>
      </c>
      <c r="W114" s="1" t="s">
        <v>37</v>
      </c>
      <c r="X114" s="1" t="s">
        <v>30</v>
      </c>
      <c r="Y114" s="1" t="s">
        <v>37</v>
      </c>
      <c r="Z114" s="1" t="s">
        <v>42</v>
      </c>
    </row>
    <row r="115" spans="1:26" ht="15.75" x14ac:dyDescent="0.25">
      <c r="A115" s="1" t="s">
        <v>26</v>
      </c>
      <c r="B115" s="1" t="s">
        <v>27</v>
      </c>
      <c r="C115" s="1" t="s">
        <v>306</v>
      </c>
      <c r="D115" s="1" t="s">
        <v>339</v>
      </c>
      <c r="E115" s="1" t="s">
        <v>30</v>
      </c>
      <c r="F115" s="1" t="s">
        <v>340</v>
      </c>
      <c r="G115" s="1" t="s">
        <v>43</v>
      </c>
      <c r="H115" s="1" t="s">
        <v>136</v>
      </c>
      <c r="I115" s="1" t="s">
        <v>137</v>
      </c>
      <c r="J115" s="1">
        <v>1.5</v>
      </c>
      <c r="K115" s="1" t="s">
        <v>330</v>
      </c>
      <c r="L115" s="1" t="s">
        <v>36</v>
      </c>
      <c r="M115" s="1">
        <v>0.06</v>
      </c>
      <c r="N115" s="1" t="s">
        <v>336</v>
      </c>
      <c r="O115" s="1" t="s">
        <v>38</v>
      </c>
      <c r="P115" s="1" t="s">
        <v>37</v>
      </c>
      <c r="Q115" s="1" t="s">
        <v>337</v>
      </c>
      <c r="R115" s="1" t="s">
        <v>341</v>
      </c>
      <c r="S115" s="1" t="s">
        <v>40</v>
      </c>
      <c r="T115" s="1">
        <v>933.68</v>
      </c>
      <c r="U115" s="1" t="s">
        <v>41</v>
      </c>
      <c r="V115" s="1" t="s">
        <v>30</v>
      </c>
      <c r="W115" s="1" t="s">
        <v>37</v>
      </c>
      <c r="X115" s="1" t="s">
        <v>30</v>
      </c>
      <c r="Y115" s="1" t="s">
        <v>37</v>
      </c>
      <c r="Z115" s="1" t="s">
        <v>42</v>
      </c>
    </row>
    <row r="116" spans="1:26" ht="15.75" x14ac:dyDescent="0.25">
      <c r="A116" s="1" t="s">
        <v>26</v>
      </c>
      <c r="B116" s="1" t="s">
        <v>27</v>
      </c>
      <c r="C116" s="1" t="s">
        <v>306</v>
      </c>
      <c r="D116" s="1" t="s">
        <v>342</v>
      </c>
      <c r="E116" s="1" t="s">
        <v>30</v>
      </c>
      <c r="F116" s="1" t="s">
        <v>343</v>
      </c>
      <c r="G116" s="1" t="s">
        <v>32</v>
      </c>
      <c r="H116" s="1" t="s">
        <v>137</v>
      </c>
      <c r="I116" s="1" t="s">
        <v>147</v>
      </c>
      <c r="J116" s="1">
        <v>41.17</v>
      </c>
      <c r="K116" s="1" t="s">
        <v>344</v>
      </c>
      <c r="L116" s="1" t="s">
        <v>36</v>
      </c>
      <c r="M116" s="1">
        <v>1.65</v>
      </c>
      <c r="N116" s="1" t="s">
        <v>345</v>
      </c>
      <c r="O116" s="1" t="s">
        <v>38</v>
      </c>
      <c r="P116" s="1" t="s">
        <v>37</v>
      </c>
      <c r="Q116" s="1" t="s">
        <v>346</v>
      </c>
      <c r="R116" s="1" t="s">
        <v>347</v>
      </c>
      <c r="S116" s="1" t="s">
        <v>40</v>
      </c>
      <c r="T116" s="1">
        <v>933.68</v>
      </c>
      <c r="U116" s="1" t="s">
        <v>41</v>
      </c>
      <c r="V116" s="1" t="s">
        <v>30</v>
      </c>
      <c r="W116" s="1" t="s">
        <v>37</v>
      </c>
      <c r="X116" s="1" t="s">
        <v>30</v>
      </c>
      <c r="Y116" s="1" t="s">
        <v>37</v>
      </c>
      <c r="Z116" s="1" t="s">
        <v>42</v>
      </c>
    </row>
    <row r="117" spans="1:26" ht="15.75" x14ac:dyDescent="0.25">
      <c r="A117" s="1" t="s">
        <v>26</v>
      </c>
      <c r="B117" s="1" t="s">
        <v>27</v>
      </c>
      <c r="C117" s="1" t="s">
        <v>306</v>
      </c>
      <c r="D117" s="1" t="s">
        <v>348</v>
      </c>
      <c r="E117" s="1" t="s">
        <v>30</v>
      </c>
      <c r="F117" s="1" t="s">
        <v>343</v>
      </c>
      <c r="G117" s="1" t="s">
        <v>45</v>
      </c>
      <c r="H117" s="1" t="s">
        <v>137</v>
      </c>
      <c r="I117" s="1" t="s">
        <v>147</v>
      </c>
      <c r="J117" s="1">
        <v>16.34</v>
      </c>
      <c r="K117" s="1" t="s">
        <v>344</v>
      </c>
      <c r="L117" s="1" t="s">
        <v>36</v>
      </c>
      <c r="M117" s="1">
        <v>0.65</v>
      </c>
      <c r="N117" s="1" t="s">
        <v>345</v>
      </c>
      <c r="O117" s="1" t="s">
        <v>38</v>
      </c>
      <c r="P117" s="1" t="s">
        <v>37</v>
      </c>
      <c r="Q117" s="1" t="s">
        <v>346</v>
      </c>
      <c r="R117" s="1" t="s">
        <v>347</v>
      </c>
      <c r="S117" s="1" t="s">
        <v>40</v>
      </c>
      <c r="T117" s="1">
        <v>933.68</v>
      </c>
      <c r="U117" s="1" t="s">
        <v>41</v>
      </c>
      <c r="V117" s="1" t="s">
        <v>30</v>
      </c>
      <c r="W117" s="1" t="s">
        <v>37</v>
      </c>
      <c r="X117" s="1" t="s">
        <v>30</v>
      </c>
      <c r="Y117" s="1" t="s">
        <v>37</v>
      </c>
      <c r="Z117" s="1" t="s">
        <v>42</v>
      </c>
    </row>
    <row r="118" spans="1:26" ht="15.75" x14ac:dyDescent="0.25">
      <c r="A118" s="1" t="s">
        <v>26</v>
      </c>
      <c r="B118" s="1" t="s">
        <v>27</v>
      </c>
      <c r="C118" s="1" t="s">
        <v>306</v>
      </c>
      <c r="D118" s="1" t="s">
        <v>349</v>
      </c>
      <c r="E118" s="1" t="s">
        <v>30</v>
      </c>
      <c r="F118" s="1" t="s">
        <v>350</v>
      </c>
      <c r="G118" s="1" t="s">
        <v>32</v>
      </c>
      <c r="H118" s="1" t="s">
        <v>137</v>
      </c>
      <c r="I118" s="1" t="s">
        <v>147</v>
      </c>
      <c r="J118" s="1">
        <v>77.08</v>
      </c>
      <c r="K118" s="1" t="s">
        <v>344</v>
      </c>
      <c r="L118" s="1" t="s">
        <v>36</v>
      </c>
      <c r="M118" s="1">
        <v>3.08</v>
      </c>
      <c r="N118" s="1" t="s">
        <v>174</v>
      </c>
      <c r="O118" s="1" t="s">
        <v>38</v>
      </c>
      <c r="P118" s="1" t="s">
        <v>37</v>
      </c>
      <c r="Q118" s="1" t="s">
        <v>175</v>
      </c>
      <c r="R118" s="1" t="s">
        <v>351</v>
      </c>
      <c r="S118" s="1" t="s">
        <v>40</v>
      </c>
      <c r="T118" s="1">
        <v>933.68</v>
      </c>
      <c r="U118" s="1" t="s">
        <v>41</v>
      </c>
      <c r="V118" s="1" t="s">
        <v>30</v>
      </c>
      <c r="W118" s="1" t="s">
        <v>37</v>
      </c>
      <c r="X118" s="1" t="s">
        <v>30</v>
      </c>
      <c r="Y118" s="1" t="s">
        <v>37</v>
      </c>
      <c r="Z118" s="1" t="s">
        <v>42</v>
      </c>
    </row>
    <row r="119" spans="1:26" ht="15.75" x14ac:dyDescent="0.25">
      <c r="A119" s="1" t="s">
        <v>26</v>
      </c>
      <c r="B119" s="1" t="s">
        <v>27</v>
      </c>
      <c r="C119" s="1" t="s">
        <v>306</v>
      </c>
      <c r="D119" s="1" t="s">
        <v>349</v>
      </c>
      <c r="E119" s="1" t="s">
        <v>30</v>
      </c>
      <c r="F119" s="1" t="s">
        <v>350</v>
      </c>
      <c r="G119" s="1" t="s">
        <v>43</v>
      </c>
      <c r="H119" s="1" t="s">
        <v>137</v>
      </c>
      <c r="I119" s="1" t="s">
        <v>147</v>
      </c>
      <c r="J119" s="1">
        <v>2.69</v>
      </c>
      <c r="K119" s="1" t="s">
        <v>344</v>
      </c>
      <c r="L119" s="1" t="s">
        <v>36</v>
      </c>
      <c r="M119" s="1">
        <v>0.11</v>
      </c>
      <c r="N119" s="1" t="s">
        <v>174</v>
      </c>
      <c r="O119" s="1" t="s">
        <v>38</v>
      </c>
      <c r="P119" s="1" t="s">
        <v>37</v>
      </c>
      <c r="Q119" s="1" t="s">
        <v>175</v>
      </c>
      <c r="R119" s="1" t="s">
        <v>351</v>
      </c>
      <c r="S119" s="1" t="s">
        <v>40</v>
      </c>
      <c r="T119" s="1">
        <v>933.68</v>
      </c>
      <c r="U119" s="1" t="s">
        <v>41</v>
      </c>
      <c r="V119" s="1" t="s">
        <v>30</v>
      </c>
      <c r="W119" s="1" t="s">
        <v>37</v>
      </c>
      <c r="X119" s="1" t="s">
        <v>30</v>
      </c>
      <c r="Y119" s="1" t="s">
        <v>37</v>
      </c>
      <c r="Z119" s="1" t="s">
        <v>42</v>
      </c>
    </row>
    <row r="120" spans="1:26" ht="15.75" x14ac:dyDescent="0.25">
      <c r="A120" s="1" t="s">
        <v>26</v>
      </c>
      <c r="B120" s="1" t="s">
        <v>27</v>
      </c>
      <c r="C120" s="1" t="s">
        <v>306</v>
      </c>
      <c r="D120" s="1" t="s">
        <v>352</v>
      </c>
      <c r="E120" s="1" t="s">
        <v>30</v>
      </c>
      <c r="F120" s="1" t="s">
        <v>353</v>
      </c>
      <c r="G120" s="1" t="s">
        <v>32</v>
      </c>
      <c r="H120" s="1" t="s">
        <v>137</v>
      </c>
      <c r="I120" s="1" t="s">
        <v>147</v>
      </c>
      <c r="J120" s="1">
        <v>38.54</v>
      </c>
      <c r="K120" s="1" t="s">
        <v>344</v>
      </c>
      <c r="L120" s="1" t="s">
        <v>36</v>
      </c>
      <c r="M120" s="1">
        <v>1.54</v>
      </c>
      <c r="N120" s="1" t="s">
        <v>174</v>
      </c>
      <c r="O120" s="1" t="s">
        <v>38</v>
      </c>
      <c r="P120" s="1" t="s">
        <v>37</v>
      </c>
      <c r="Q120" s="1" t="s">
        <v>175</v>
      </c>
      <c r="R120" s="1" t="s">
        <v>354</v>
      </c>
      <c r="S120" s="1" t="s">
        <v>40</v>
      </c>
      <c r="T120" s="1">
        <v>933.68</v>
      </c>
      <c r="U120" s="1" t="s">
        <v>41</v>
      </c>
      <c r="V120" s="1" t="s">
        <v>30</v>
      </c>
      <c r="W120" s="1" t="s">
        <v>37</v>
      </c>
      <c r="X120" s="1" t="s">
        <v>30</v>
      </c>
      <c r="Y120" s="1" t="s">
        <v>37</v>
      </c>
      <c r="Z120" s="1" t="s">
        <v>42</v>
      </c>
    </row>
    <row r="121" spans="1:26" ht="15.75" x14ac:dyDescent="0.25">
      <c r="A121" s="1" t="s">
        <v>26</v>
      </c>
      <c r="B121" s="1" t="s">
        <v>27</v>
      </c>
      <c r="C121" s="1" t="s">
        <v>306</v>
      </c>
      <c r="D121" s="1" t="s">
        <v>352</v>
      </c>
      <c r="E121" s="1" t="s">
        <v>30</v>
      </c>
      <c r="F121" s="1" t="s">
        <v>353</v>
      </c>
      <c r="G121" s="1" t="s">
        <v>43</v>
      </c>
      <c r="H121" s="1" t="s">
        <v>137</v>
      </c>
      <c r="I121" s="1" t="s">
        <v>147</v>
      </c>
      <c r="J121" s="1">
        <v>1.5</v>
      </c>
      <c r="K121" s="1" t="s">
        <v>344</v>
      </c>
      <c r="L121" s="1" t="s">
        <v>36</v>
      </c>
      <c r="M121" s="1">
        <v>0.06</v>
      </c>
      <c r="N121" s="1" t="s">
        <v>174</v>
      </c>
      <c r="O121" s="1" t="s">
        <v>38</v>
      </c>
      <c r="P121" s="1" t="s">
        <v>37</v>
      </c>
      <c r="Q121" s="1" t="s">
        <v>175</v>
      </c>
      <c r="R121" s="1" t="s">
        <v>354</v>
      </c>
      <c r="S121" s="1" t="s">
        <v>40</v>
      </c>
      <c r="T121" s="1">
        <v>933.68</v>
      </c>
      <c r="U121" s="1" t="s">
        <v>41</v>
      </c>
      <c r="V121" s="1" t="s">
        <v>30</v>
      </c>
      <c r="W121" s="1" t="s">
        <v>37</v>
      </c>
      <c r="X121" s="1" t="s">
        <v>30</v>
      </c>
      <c r="Y121" s="1" t="s">
        <v>37</v>
      </c>
      <c r="Z121" s="1" t="s">
        <v>42</v>
      </c>
    </row>
    <row r="122" spans="1:26" ht="15.75" x14ac:dyDescent="0.25">
      <c r="A122" s="1" t="s">
        <v>26</v>
      </c>
      <c r="B122" s="1" t="s">
        <v>27</v>
      </c>
      <c r="C122" s="1" t="s">
        <v>306</v>
      </c>
      <c r="D122" s="1" t="s">
        <v>355</v>
      </c>
      <c r="E122" s="1" t="s">
        <v>30</v>
      </c>
      <c r="F122" s="1" t="s">
        <v>356</v>
      </c>
      <c r="G122" s="1" t="s">
        <v>32</v>
      </c>
      <c r="H122" s="1" t="s">
        <v>33</v>
      </c>
      <c r="I122" s="1" t="s">
        <v>34</v>
      </c>
      <c r="J122" s="1">
        <v>93.17</v>
      </c>
      <c r="K122" s="1" t="s">
        <v>357</v>
      </c>
      <c r="L122" s="1" t="s">
        <v>36</v>
      </c>
      <c r="M122" s="1">
        <v>3.72</v>
      </c>
      <c r="N122" s="1" t="s">
        <v>336</v>
      </c>
      <c r="O122" s="1" t="s">
        <v>38</v>
      </c>
      <c r="P122" s="1" t="s">
        <v>37</v>
      </c>
      <c r="Q122" s="1" t="s">
        <v>337</v>
      </c>
      <c r="R122" s="1" t="s">
        <v>358</v>
      </c>
      <c r="S122" s="1" t="s">
        <v>40</v>
      </c>
      <c r="T122" s="1">
        <v>933.68</v>
      </c>
      <c r="U122" s="1" t="s">
        <v>41</v>
      </c>
      <c r="V122" s="1" t="s">
        <v>30</v>
      </c>
      <c r="W122" s="1" t="s">
        <v>37</v>
      </c>
      <c r="X122" s="1" t="s">
        <v>30</v>
      </c>
      <c r="Y122" s="1" t="s">
        <v>37</v>
      </c>
      <c r="Z122" s="1" t="s">
        <v>42</v>
      </c>
    </row>
    <row r="123" spans="1:26" ht="15.75" x14ac:dyDescent="0.25">
      <c r="A123" s="1" t="s">
        <v>26</v>
      </c>
      <c r="B123" s="1" t="s">
        <v>27</v>
      </c>
      <c r="C123" s="1" t="s">
        <v>306</v>
      </c>
      <c r="D123" s="1" t="s">
        <v>355</v>
      </c>
      <c r="E123" s="1" t="s">
        <v>30</v>
      </c>
      <c r="F123" s="1" t="s">
        <v>356</v>
      </c>
      <c r="G123" s="1" t="s">
        <v>43</v>
      </c>
      <c r="H123" s="1" t="s">
        <v>33</v>
      </c>
      <c r="I123" s="1" t="s">
        <v>34</v>
      </c>
      <c r="J123" s="1">
        <v>2.69</v>
      </c>
      <c r="K123" s="1" t="s">
        <v>357</v>
      </c>
      <c r="L123" s="1" t="s">
        <v>36</v>
      </c>
      <c r="M123" s="1">
        <v>0.11</v>
      </c>
      <c r="N123" s="1" t="s">
        <v>336</v>
      </c>
      <c r="O123" s="1" t="s">
        <v>38</v>
      </c>
      <c r="P123" s="1" t="s">
        <v>37</v>
      </c>
      <c r="Q123" s="1" t="s">
        <v>337</v>
      </c>
      <c r="R123" s="1" t="s">
        <v>358</v>
      </c>
      <c r="S123" s="1" t="s">
        <v>40</v>
      </c>
      <c r="T123" s="1">
        <v>933.68</v>
      </c>
      <c r="U123" s="1" t="s">
        <v>41</v>
      </c>
      <c r="V123" s="1" t="s">
        <v>30</v>
      </c>
      <c r="W123" s="1" t="s">
        <v>37</v>
      </c>
      <c r="X123" s="1" t="s">
        <v>30</v>
      </c>
      <c r="Y123" s="1" t="s">
        <v>37</v>
      </c>
      <c r="Z123" s="1" t="s">
        <v>42</v>
      </c>
    </row>
    <row r="124" spans="1:26" ht="15.75" x14ac:dyDescent="0.25">
      <c r="A124" s="1" t="s">
        <v>26</v>
      </c>
      <c r="B124" s="1" t="s">
        <v>27</v>
      </c>
      <c r="C124" s="1" t="s">
        <v>306</v>
      </c>
      <c r="D124" s="1" t="s">
        <v>359</v>
      </c>
      <c r="E124" s="1" t="s">
        <v>30</v>
      </c>
      <c r="F124" s="1" t="s">
        <v>360</v>
      </c>
      <c r="G124" s="1" t="s">
        <v>32</v>
      </c>
      <c r="H124" s="1" t="s">
        <v>33</v>
      </c>
      <c r="I124" s="1" t="s">
        <v>34</v>
      </c>
      <c r="J124" s="1">
        <v>51.24</v>
      </c>
      <c r="K124" s="1" t="s">
        <v>357</v>
      </c>
      <c r="L124" s="1" t="s">
        <v>36</v>
      </c>
      <c r="M124" s="1">
        <v>2.0499999999999998</v>
      </c>
      <c r="N124" s="1" t="s">
        <v>50</v>
      </c>
      <c r="O124" s="1" t="s">
        <v>38</v>
      </c>
      <c r="P124" s="1" t="s">
        <v>37</v>
      </c>
      <c r="Q124" s="1" t="s">
        <v>51</v>
      </c>
      <c r="R124" s="1" t="s">
        <v>361</v>
      </c>
      <c r="S124" s="1" t="s">
        <v>40</v>
      </c>
      <c r="T124" s="1">
        <v>933.68</v>
      </c>
      <c r="U124" s="1" t="s">
        <v>41</v>
      </c>
      <c r="V124" s="1" t="s">
        <v>30</v>
      </c>
      <c r="W124" s="1" t="s">
        <v>37</v>
      </c>
      <c r="X124" s="1" t="s">
        <v>30</v>
      </c>
      <c r="Y124" s="1" t="s">
        <v>37</v>
      </c>
      <c r="Z124" s="1" t="s">
        <v>42</v>
      </c>
    </row>
    <row r="125" spans="1:26" ht="15.75" x14ac:dyDescent="0.25">
      <c r="A125" s="1" t="s">
        <v>26</v>
      </c>
      <c r="B125" s="1" t="s">
        <v>27</v>
      </c>
      <c r="C125" s="1" t="s">
        <v>306</v>
      </c>
      <c r="D125" s="1" t="s">
        <v>359</v>
      </c>
      <c r="E125" s="1" t="s">
        <v>30</v>
      </c>
      <c r="F125" s="1" t="s">
        <v>360</v>
      </c>
      <c r="G125" s="1" t="s">
        <v>43</v>
      </c>
      <c r="H125" s="1" t="s">
        <v>33</v>
      </c>
      <c r="I125" s="1" t="s">
        <v>34</v>
      </c>
      <c r="J125" s="1">
        <v>1.5</v>
      </c>
      <c r="K125" s="1" t="s">
        <v>357</v>
      </c>
      <c r="L125" s="1" t="s">
        <v>36</v>
      </c>
      <c r="M125" s="1">
        <v>0.06</v>
      </c>
      <c r="N125" s="1" t="s">
        <v>50</v>
      </c>
      <c r="O125" s="1" t="s">
        <v>38</v>
      </c>
      <c r="P125" s="1" t="s">
        <v>37</v>
      </c>
      <c r="Q125" s="1" t="s">
        <v>51</v>
      </c>
      <c r="R125" s="1" t="s">
        <v>361</v>
      </c>
      <c r="S125" s="1" t="s">
        <v>40</v>
      </c>
      <c r="T125" s="1">
        <v>933.68</v>
      </c>
      <c r="U125" s="1" t="s">
        <v>41</v>
      </c>
      <c r="V125" s="1" t="s">
        <v>30</v>
      </c>
      <c r="W125" s="1" t="s">
        <v>37</v>
      </c>
      <c r="X125" s="1" t="s">
        <v>30</v>
      </c>
      <c r="Y125" s="1" t="s">
        <v>37</v>
      </c>
      <c r="Z125" s="1" t="s">
        <v>42</v>
      </c>
    </row>
    <row r="126" spans="1:26" ht="15.75" x14ac:dyDescent="0.25">
      <c r="A126" s="1" t="s">
        <v>26</v>
      </c>
      <c r="B126" s="1" t="s">
        <v>27</v>
      </c>
      <c r="C126" s="1" t="s">
        <v>306</v>
      </c>
      <c r="D126" s="1" t="s">
        <v>362</v>
      </c>
      <c r="E126" s="1" t="s">
        <v>30</v>
      </c>
      <c r="F126" s="1" t="s">
        <v>363</v>
      </c>
      <c r="G126" s="1" t="s">
        <v>32</v>
      </c>
      <c r="H126" s="1" t="s">
        <v>81</v>
      </c>
      <c r="I126" s="1" t="s">
        <v>147</v>
      </c>
      <c r="J126" s="1">
        <v>38.54</v>
      </c>
      <c r="K126" s="1" t="s">
        <v>364</v>
      </c>
      <c r="L126" s="1" t="s">
        <v>36</v>
      </c>
      <c r="M126" s="1">
        <v>1.54</v>
      </c>
      <c r="N126" s="1" t="s">
        <v>336</v>
      </c>
      <c r="O126" s="1" t="s">
        <v>38</v>
      </c>
      <c r="P126" s="1" t="s">
        <v>37</v>
      </c>
      <c r="Q126" s="1" t="s">
        <v>337</v>
      </c>
      <c r="R126" s="1" t="s">
        <v>365</v>
      </c>
      <c r="S126" s="1" t="s">
        <v>40</v>
      </c>
      <c r="T126" s="1">
        <v>933.68</v>
      </c>
      <c r="U126" s="1" t="s">
        <v>41</v>
      </c>
      <c r="V126" s="1" t="s">
        <v>30</v>
      </c>
      <c r="W126" s="1" t="s">
        <v>37</v>
      </c>
      <c r="X126" s="1" t="s">
        <v>30</v>
      </c>
      <c r="Y126" s="1" t="s">
        <v>37</v>
      </c>
      <c r="Z126" s="1" t="s">
        <v>42</v>
      </c>
    </row>
    <row r="127" spans="1:26" ht="15.75" x14ac:dyDescent="0.25">
      <c r="A127" s="1" t="s">
        <v>26</v>
      </c>
      <c r="B127" s="1" t="s">
        <v>27</v>
      </c>
      <c r="C127" s="1" t="s">
        <v>306</v>
      </c>
      <c r="D127" s="1" t="s">
        <v>362</v>
      </c>
      <c r="E127" s="1" t="s">
        <v>30</v>
      </c>
      <c r="F127" s="1" t="s">
        <v>363</v>
      </c>
      <c r="G127" s="1" t="s">
        <v>43</v>
      </c>
      <c r="H127" s="1" t="s">
        <v>81</v>
      </c>
      <c r="I127" s="1" t="s">
        <v>147</v>
      </c>
      <c r="J127" s="1">
        <v>1.5</v>
      </c>
      <c r="K127" s="1" t="s">
        <v>364</v>
      </c>
      <c r="L127" s="1" t="s">
        <v>36</v>
      </c>
      <c r="M127" s="1">
        <v>0.06</v>
      </c>
      <c r="N127" s="1" t="s">
        <v>336</v>
      </c>
      <c r="O127" s="1" t="s">
        <v>38</v>
      </c>
      <c r="P127" s="1" t="s">
        <v>37</v>
      </c>
      <c r="Q127" s="1" t="s">
        <v>337</v>
      </c>
      <c r="R127" s="1" t="s">
        <v>365</v>
      </c>
      <c r="S127" s="1" t="s">
        <v>40</v>
      </c>
      <c r="T127" s="1">
        <v>933.68</v>
      </c>
      <c r="U127" s="1" t="s">
        <v>41</v>
      </c>
      <c r="V127" s="1" t="s">
        <v>30</v>
      </c>
      <c r="W127" s="1" t="s">
        <v>37</v>
      </c>
      <c r="X127" s="1" t="s">
        <v>30</v>
      </c>
      <c r="Y127" s="1" t="s">
        <v>37</v>
      </c>
      <c r="Z127" s="1" t="s">
        <v>42</v>
      </c>
    </row>
    <row r="128" spans="1:26" ht="15.75" x14ac:dyDescent="0.25">
      <c r="A128" s="1" t="s">
        <v>26</v>
      </c>
      <c r="B128" s="1" t="s">
        <v>27</v>
      </c>
      <c r="C128" s="1" t="s">
        <v>306</v>
      </c>
      <c r="D128" s="1" t="s">
        <v>366</v>
      </c>
      <c r="E128" s="1" t="s">
        <v>30</v>
      </c>
      <c r="F128" s="1" t="s">
        <v>367</v>
      </c>
      <c r="G128" s="1" t="s">
        <v>32</v>
      </c>
      <c r="H128" s="1" t="s">
        <v>137</v>
      </c>
      <c r="I128" s="1" t="s">
        <v>147</v>
      </c>
      <c r="J128" s="1">
        <v>37.03</v>
      </c>
      <c r="K128" s="1" t="s">
        <v>368</v>
      </c>
      <c r="L128" s="1" t="s">
        <v>36</v>
      </c>
      <c r="M128" s="1">
        <v>1.48</v>
      </c>
      <c r="N128" s="1" t="s">
        <v>336</v>
      </c>
      <c r="O128" s="1" t="s">
        <v>38</v>
      </c>
      <c r="P128" s="1" t="s">
        <v>37</v>
      </c>
      <c r="Q128" s="1" t="s">
        <v>337</v>
      </c>
      <c r="R128" s="1" t="s">
        <v>369</v>
      </c>
      <c r="S128" s="1" t="s">
        <v>40</v>
      </c>
      <c r="T128" s="1">
        <v>933.68</v>
      </c>
      <c r="U128" s="1" t="s">
        <v>41</v>
      </c>
      <c r="V128" s="1" t="s">
        <v>30</v>
      </c>
      <c r="W128" s="1" t="s">
        <v>37</v>
      </c>
      <c r="X128" s="1" t="s">
        <v>30</v>
      </c>
      <c r="Y128" s="1" t="s">
        <v>37</v>
      </c>
      <c r="Z128" s="1" t="s">
        <v>42</v>
      </c>
    </row>
    <row r="129" spans="1:26" ht="15.75" x14ac:dyDescent="0.25">
      <c r="A129" s="1" t="s">
        <v>26</v>
      </c>
      <c r="B129" s="1" t="s">
        <v>27</v>
      </c>
      <c r="C129" s="1" t="s">
        <v>306</v>
      </c>
      <c r="D129" s="1" t="s">
        <v>370</v>
      </c>
      <c r="E129" s="1" t="s">
        <v>30</v>
      </c>
      <c r="F129" s="1" t="s">
        <v>371</v>
      </c>
      <c r="G129" s="1" t="s">
        <v>32</v>
      </c>
      <c r="H129" s="1" t="s">
        <v>48</v>
      </c>
      <c r="I129" s="1" t="s">
        <v>33</v>
      </c>
      <c r="J129" s="1">
        <v>37.03</v>
      </c>
      <c r="K129" s="1" t="s">
        <v>372</v>
      </c>
      <c r="L129" s="1" t="s">
        <v>36</v>
      </c>
      <c r="M129" s="1">
        <v>1.48</v>
      </c>
      <c r="N129" s="1" t="s">
        <v>336</v>
      </c>
      <c r="O129" s="1" t="s">
        <v>38</v>
      </c>
      <c r="P129" s="1" t="s">
        <v>37</v>
      </c>
      <c r="Q129" s="1" t="s">
        <v>337</v>
      </c>
      <c r="R129" s="1" t="s">
        <v>373</v>
      </c>
      <c r="S129" s="1" t="s">
        <v>40</v>
      </c>
      <c r="T129" s="1">
        <v>933.68</v>
      </c>
      <c r="U129" s="1" t="s">
        <v>41</v>
      </c>
      <c r="V129" s="1" t="s">
        <v>30</v>
      </c>
      <c r="W129" s="1" t="s">
        <v>37</v>
      </c>
      <c r="X129" s="1" t="s">
        <v>30</v>
      </c>
      <c r="Y129" s="1" t="s">
        <v>37</v>
      </c>
      <c r="Z129" s="1" t="s">
        <v>42</v>
      </c>
    </row>
    <row r="130" spans="1:26" ht="15.75" x14ac:dyDescent="0.25">
      <c r="A130" s="1" t="s">
        <v>26</v>
      </c>
      <c r="B130" s="1" t="s">
        <v>27</v>
      </c>
      <c r="C130" s="1" t="s">
        <v>306</v>
      </c>
      <c r="D130" s="1" t="s">
        <v>374</v>
      </c>
      <c r="E130" s="1" t="s">
        <v>30</v>
      </c>
      <c r="F130" s="1" t="s">
        <v>375</v>
      </c>
      <c r="G130" s="1" t="s">
        <v>45</v>
      </c>
      <c r="H130" s="1" t="s">
        <v>62</v>
      </c>
      <c r="I130" s="1" t="s">
        <v>48</v>
      </c>
      <c r="J130" s="1">
        <v>8.5399999999999991</v>
      </c>
      <c r="K130" s="1" t="s">
        <v>376</v>
      </c>
      <c r="L130" s="1" t="s">
        <v>36</v>
      </c>
      <c r="M130" s="1">
        <v>0.34</v>
      </c>
      <c r="N130" s="1" t="s">
        <v>293</v>
      </c>
      <c r="O130" s="1" t="s">
        <v>38</v>
      </c>
      <c r="P130" s="1" t="s">
        <v>37</v>
      </c>
      <c r="Q130" s="1" t="s">
        <v>294</v>
      </c>
      <c r="R130" s="1" t="s">
        <v>377</v>
      </c>
      <c r="S130" s="1" t="s">
        <v>40</v>
      </c>
      <c r="T130" s="1">
        <v>933.68</v>
      </c>
      <c r="U130" s="1" t="s">
        <v>41</v>
      </c>
      <c r="V130" s="1" t="s">
        <v>30</v>
      </c>
      <c r="W130" s="1" t="s">
        <v>37</v>
      </c>
      <c r="X130" s="1" t="s">
        <v>30</v>
      </c>
      <c r="Y130" s="1" t="s">
        <v>37</v>
      </c>
      <c r="Z130" s="1" t="s">
        <v>42</v>
      </c>
    </row>
    <row r="131" spans="1:26" ht="15.75" x14ac:dyDescent="0.25">
      <c r="A131" s="1" t="s">
        <v>26</v>
      </c>
      <c r="B131" s="1" t="s">
        <v>27</v>
      </c>
      <c r="C131" s="1" t="s">
        <v>306</v>
      </c>
      <c r="D131" s="1" t="s">
        <v>378</v>
      </c>
      <c r="E131" s="1" t="s">
        <v>30</v>
      </c>
      <c r="F131" s="1" t="s">
        <v>379</v>
      </c>
      <c r="G131" s="1" t="s">
        <v>32</v>
      </c>
      <c r="H131" s="1" t="s">
        <v>273</v>
      </c>
      <c r="I131" s="1" t="s">
        <v>48</v>
      </c>
      <c r="J131" s="1">
        <v>55.16</v>
      </c>
      <c r="K131" s="1" t="s">
        <v>380</v>
      </c>
      <c r="L131" s="1" t="s">
        <v>36</v>
      </c>
      <c r="M131" s="1">
        <v>2.21</v>
      </c>
      <c r="N131" s="1" t="s">
        <v>57</v>
      </c>
      <c r="O131" s="1" t="s">
        <v>38</v>
      </c>
      <c r="P131" s="1" t="s">
        <v>37</v>
      </c>
      <c r="Q131" s="1" t="s">
        <v>58</v>
      </c>
      <c r="R131" s="1" t="s">
        <v>381</v>
      </c>
      <c r="S131" s="1" t="s">
        <v>40</v>
      </c>
      <c r="T131" s="1">
        <v>933.68</v>
      </c>
      <c r="U131" s="1" t="s">
        <v>41</v>
      </c>
      <c r="V131" s="1" t="s">
        <v>30</v>
      </c>
      <c r="W131" s="1" t="s">
        <v>37</v>
      </c>
      <c r="X131" s="1" t="s">
        <v>30</v>
      </c>
      <c r="Y131" s="1" t="s">
        <v>37</v>
      </c>
      <c r="Z131" s="1" t="s">
        <v>42</v>
      </c>
    </row>
    <row r="132" spans="1:26" ht="15.75" x14ac:dyDescent="0.25">
      <c r="A132" s="1" t="s">
        <v>26</v>
      </c>
      <c r="B132" s="1" t="s">
        <v>27</v>
      </c>
      <c r="C132" s="1" t="s">
        <v>306</v>
      </c>
      <c r="D132" s="1" t="s">
        <v>378</v>
      </c>
      <c r="E132" s="1" t="s">
        <v>30</v>
      </c>
      <c r="F132" s="1" t="s">
        <v>379</v>
      </c>
      <c r="G132" s="1" t="s">
        <v>43</v>
      </c>
      <c r="H132" s="1" t="s">
        <v>273</v>
      </c>
      <c r="I132" s="1" t="s">
        <v>48</v>
      </c>
      <c r="J132" s="1">
        <v>1.5</v>
      </c>
      <c r="K132" s="1" t="s">
        <v>380</v>
      </c>
      <c r="L132" s="1" t="s">
        <v>36</v>
      </c>
      <c r="M132" s="1">
        <v>0.06</v>
      </c>
      <c r="N132" s="1" t="s">
        <v>57</v>
      </c>
      <c r="O132" s="1" t="s">
        <v>38</v>
      </c>
      <c r="P132" s="1" t="s">
        <v>37</v>
      </c>
      <c r="Q132" s="1" t="s">
        <v>58</v>
      </c>
      <c r="R132" s="1" t="s">
        <v>381</v>
      </c>
      <c r="S132" s="1" t="s">
        <v>40</v>
      </c>
      <c r="T132" s="1">
        <v>933.68</v>
      </c>
      <c r="U132" s="1" t="s">
        <v>41</v>
      </c>
      <c r="V132" s="1" t="s">
        <v>30</v>
      </c>
      <c r="W132" s="1" t="s">
        <v>37</v>
      </c>
      <c r="X132" s="1" t="s">
        <v>30</v>
      </c>
      <c r="Y132" s="1" t="s">
        <v>37</v>
      </c>
      <c r="Z132" s="1" t="s">
        <v>42</v>
      </c>
    </row>
    <row r="133" spans="1:26" ht="15.75" x14ac:dyDescent="0.25">
      <c r="A133" s="1" t="s">
        <v>26</v>
      </c>
      <c r="B133" s="1" t="s">
        <v>27</v>
      </c>
      <c r="C133" s="1" t="s">
        <v>306</v>
      </c>
      <c r="D133" s="1" t="s">
        <v>382</v>
      </c>
      <c r="E133" s="1" t="s">
        <v>30</v>
      </c>
      <c r="F133" s="1" t="s">
        <v>383</v>
      </c>
      <c r="G133" s="1" t="s">
        <v>32</v>
      </c>
      <c r="H133" s="1" t="s">
        <v>273</v>
      </c>
      <c r="I133" s="1" t="s">
        <v>48</v>
      </c>
      <c r="J133" s="1">
        <v>64.81</v>
      </c>
      <c r="K133" s="1" t="s">
        <v>380</v>
      </c>
      <c r="L133" s="1" t="s">
        <v>36</v>
      </c>
      <c r="M133" s="1">
        <v>2.59</v>
      </c>
      <c r="N133" s="1" t="s">
        <v>345</v>
      </c>
      <c r="O133" s="1" t="s">
        <v>38</v>
      </c>
      <c r="P133" s="1" t="s">
        <v>37</v>
      </c>
      <c r="Q133" s="1" t="s">
        <v>346</v>
      </c>
      <c r="R133" s="1" t="s">
        <v>384</v>
      </c>
      <c r="S133" s="1" t="s">
        <v>40</v>
      </c>
      <c r="T133" s="1">
        <v>933.68</v>
      </c>
      <c r="U133" s="1" t="s">
        <v>41</v>
      </c>
      <c r="V133" s="1" t="s">
        <v>30</v>
      </c>
      <c r="W133" s="1" t="s">
        <v>37</v>
      </c>
      <c r="X133" s="1" t="s">
        <v>30</v>
      </c>
      <c r="Y133" s="1" t="s">
        <v>37</v>
      </c>
      <c r="Z133" s="1" t="s">
        <v>42</v>
      </c>
    </row>
    <row r="134" spans="1:26" ht="15.75" x14ac:dyDescent="0.25">
      <c r="A134" s="1" t="s">
        <v>26</v>
      </c>
      <c r="B134" s="1" t="s">
        <v>27</v>
      </c>
      <c r="C134" s="1" t="s">
        <v>306</v>
      </c>
      <c r="D134" s="1" t="s">
        <v>382</v>
      </c>
      <c r="E134" s="1" t="s">
        <v>30</v>
      </c>
      <c r="F134" s="1" t="s">
        <v>383</v>
      </c>
      <c r="G134" s="1" t="s">
        <v>43</v>
      </c>
      <c r="H134" s="1" t="s">
        <v>273</v>
      </c>
      <c r="I134" s="1" t="s">
        <v>48</v>
      </c>
      <c r="J134" s="1">
        <v>1.5</v>
      </c>
      <c r="K134" s="1" t="s">
        <v>380</v>
      </c>
      <c r="L134" s="1" t="s">
        <v>36</v>
      </c>
      <c r="M134" s="1">
        <v>0.06</v>
      </c>
      <c r="N134" s="1" t="s">
        <v>345</v>
      </c>
      <c r="O134" s="1" t="s">
        <v>38</v>
      </c>
      <c r="P134" s="1" t="s">
        <v>37</v>
      </c>
      <c r="Q134" s="1" t="s">
        <v>346</v>
      </c>
      <c r="R134" s="1" t="s">
        <v>384</v>
      </c>
      <c r="S134" s="1" t="s">
        <v>40</v>
      </c>
      <c r="T134" s="1">
        <v>933.68</v>
      </c>
      <c r="U134" s="1" t="s">
        <v>41</v>
      </c>
      <c r="V134" s="1" t="s">
        <v>30</v>
      </c>
      <c r="W134" s="1" t="s">
        <v>37</v>
      </c>
      <c r="X134" s="1" t="s">
        <v>30</v>
      </c>
      <c r="Y134" s="1" t="s">
        <v>37</v>
      </c>
      <c r="Z134" s="1" t="s">
        <v>42</v>
      </c>
    </row>
    <row r="135" spans="1:26" ht="15.75" x14ac:dyDescent="0.25">
      <c r="A135" s="1" t="s">
        <v>26</v>
      </c>
      <c r="B135" s="1" t="s">
        <v>27</v>
      </c>
      <c r="C135" s="1" t="s">
        <v>306</v>
      </c>
      <c r="D135" s="1" t="s">
        <v>385</v>
      </c>
      <c r="E135" s="1" t="s">
        <v>30</v>
      </c>
      <c r="F135" s="1" t="s">
        <v>386</v>
      </c>
      <c r="G135" s="1" t="s">
        <v>32</v>
      </c>
      <c r="H135" s="1" t="s">
        <v>33</v>
      </c>
      <c r="I135" s="1" t="s">
        <v>34</v>
      </c>
      <c r="J135" s="1">
        <v>36.29</v>
      </c>
      <c r="K135" s="1" t="s">
        <v>387</v>
      </c>
      <c r="L135" s="1" t="s">
        <v>36</v>
      </c>
      <c r="M135" s="1">
        <v>1.45</v>
      </c>
      <c r="N135" s="1" t="s">
        <v>95</v>
      </c>
      <c r="O135" s="1" t="s">
        <v>38</v>
      </c>
      <c r="P135" s="1" t="s">
        <v>37</v>
      </c>
      <c r="Q135" s="1" t="s">
        <v>96</v>
      </c>
      <c r="R135" s="1" t="s">
        <v>388</v>
      </c>
      <c r="S135" s="1" t="s">
        <v>40</v>
      </c>
      <c r="T135" s="1">
        <v>933.68</v>
      </c>
      <c r="U135" s="1" t="s">
        <v>41</v>
      </c>
      <c r="V135" s="1" t="s">
        <v>30</v>
      </c>
      <c r="W135" s="1" t="s">
        <v>37</v>
      </c>
      <c r="X135" s="1" t="s">
        <v>30</v>
      </c>
      <c r="Y135" s="1" t="s">
        <v>37</v>
      </c>
      <c r="Z135" s="1" t="s">
        <v>42</v>
      </c>
    </row>
    <row r="136" spans="1:26" ht="15.75" x14ac:dyDescent="0.25">
      <c r="A136" s="1" t="s">
        <v>26</v>
      </c>
      <c r="B136" s="1" t="s">
        <v>27</v>
      </c>
      <c r="C136" s="1" t="s">
        <v>306</v>
      </c>
      <c r="D136" s="1" t="s">
        <v>385</v>
      </c>
      <c r="E136" s="1" t="s">
        <v>30</v>
      </c>
      <c r="F136" s="1" t="s">
        <v>386</v>
      </c>
      <c r="G136" s="1" t="s">
        <v>43</v>
      </c>
      <c r="H136" s="1" t="s">
        <v>33</v>
      </c>
      <c r="I136" s="1" t="s">
        <v>34</v>
      </c>
      <c r="J136" s="1">
        <v>1.5</v>
      </c>
      <c r="K136" s="1" t="s">
        <v>387</v>
      </c>
      <c r="L136" s="1" t="s">
        <v>36</v>
      </c>
      <c r="M136" s="1">
        <v>0.06</v>
      </c>
      <c r="N136" s="1" t="s">
        <v>95</v>
      </c>
      <c r="O136" s="1" t="s">
        <v>38</v>
      </c>
      <c r="P136" s="1" t="s">
        <v>37</v>
      </c>
      <c r="Q136" s="1" t="s">
        <v>96</v>
      </c>
      <c r="R136" s="1" t="s">
        <v>388</v>
      </c>
      <c r="S136" s="1" t="s">
        <v>40</v>
      </c>
      <c r="T136" s="1">
        <v>933.68</v>
      </c>
      <c r="U136" s="1" t="s">
        <v>41</v>
      </c>
      <c r="V136" s="1" t="s">
        <v>30</v>
      </c>
      <c r="W136" s="1" t="s">
        <v>37</v>
      </c>
      <c r="X136" s="1" t="s">
        <v>30</v>
      </c>
      <c r="Y136" s="1" t="s">
        <v>37</v>
      </c>
      <c r="Z136" s="1" t="s">
        <v>42</v>
      </c>
    </row>
    <row r="137" spans="1:26" ht="15.75" x14ac:dyDescent="0.25">
      <c r="A137" s="1" t="s">
        <v>26</v>
      </c>
      <c r="B137" s="1" t="s">
        <v>27</v>
      </c>
      <c r="C137" s="1" t="s">
        <v>306</v>
      </c>
      <c r="D137" s="1" t="s">
        <v>389</v>
      </c>
      <c r="E137" s="1" t="s">
        <v>30</v>
      </c>
      <c r="F137" s="1" t="s">
        <v>386</v>
      </c>
      <c r="G137" s="1" t="s">
        <v>45</v>
      </c>
      <c r="H137" s="1" t="s">
        <v>33</v>
      </c>
      <c r="I137" s="1" t="s">
        <v>34</v>
      </c>
      <c r="J137" s="1">
        <v>16.34</v>
      </c>
      <c r="K137" s="1" t="s">
        <v>387</v>
      </c>
      <c r="L137" s="1" t="s">
        <v>36</v>
      </c>
      <c r="M137" s="1">
        <v>0.65</v>
      </c>
      <c r="N137" s="1" t="s">
        <v>95</v>
      </c>
      <c r="O137" s="1" t="s">
        <v>38</v>
      </c>
      <c r="P137" s="1" t="s">
        <v>37</v>
      </c>
      <c r="Q137" s="1" t="s">
        <v>96</v>
      </c>
      <c r="R137" s="1" t="s">
        <v>388</v>
      </c>
      <c r="S137" s="1" t="s">
        <v>40</v>
      </c>
      <c r="T137" s="1">
        <v>933.68</v>
      </c>
      <c r="U137" s="1" t="s">
        <v>41</v>
      </c>
      <c r="V137" s="1" t="s">
        <v>30</v>
      </c>
      <c r="W137" s="1" t="s">
        <v>37</v>
      </c>
      <c r="X137" s="1" t="s">
        <v>30</v>
      </c>
      <c r="Y137" s="1" t="s">
        <v>37</v>
      </c>
      <c r="Z137" s="1" t="s">
        <v>42</v>
      </c>
    </row>
    <row r="138" spans="1:26" ht="15.75" x14ac:dyDescent="0.25">
      <c r="A138" s="1" t="s">
        <v>26</v>
      </c>
      <c r="B138" s="1" t="s">
        <v>27</v>
      </c>
      <c r="C138" s="1" t="s">
        <v>306</v>
      </c>
      <c r="D138" s="1" t="s">
        <v>390</v>
      </c>
      <c r="E138" s="1" t="s">
        <v>30</v>
      </c>
      <c r="F138" s="1" t="s">
        <v>391</v>
      </c>
      <c r="G138" s="1" t="s">
        <v>32</v>
      </c>
      <c r="H138" s="1" t="s">
        <v>33</v>
      </c>
      <c r="I138" s="1" t="s">
        <v>34</v>
      </c>
      <c r="J138" s="1">
        <v>38.54</v>
      </c>
      <c r="K138" s="1" t="s">
        <v>387</v>
      </c>
      <c r="L138" s="1" t="s">
        <v>36</v>
      </c>
      <c r="M138" s="1">
        <v>1.54</v>
      </c>
      <c r="N138" s="1" t="s">
        <v>336</v>
      </c>
      <c r="O138" s="1" t="s">
        <v>38</v>
      </c>
      <c r="P138" s="1" t="s">
        <v>37</v>
      </c>
      <c r="Q138" s="1" t="s">
        <v>337</v>
      </c>
      <c r="R138" s="1" t="s">
        <v>392</v>
      </c>
      <c r="S138" s="1" t="s">
        <v>40</v>
      </c>
      <c r="T138" s="1">
        <v>933.68</v>
      </c>
      <c r="U138" s="1" t="s">
        <v>41</v>
      </c>
      <c r="V138" s="1" t="s">
        <v>30</v>
      </c>
      <c r="W138" s="1" t="s">
        <v>37</v>
      </c>
      <c r="X138" s="1" t="s">
        <v>30</v>
      </c>
      <c r="Y138" s="1" t="s">
        <v>37</v>
      </c>
      <c r="Z138" s="1" t="s">
        <v>42</v>
      </c>
    </row>
    <row r="139" spans="1:26" ht="15.75" x14ac:dyDescent="0.25">
      <c r="A139" s="1" t="s">
        <v>26</v>
      </c>
      <c r="B139" s="1" t="s">
        <v>27</v>
      </c>
      <c r="C139" s="1" t="s">
        <v>306</v>
      </c>
      <c r="D139" s="1" t="s">
        <v>390</v>
      </c>
      <c r="E139" s="1" t="s">
        <v>30</v>
      </c>
      <c r="F139" s="1" t="s">
        <v>391</v>
      </c>
      <c r="G139" s="1" t="s">
        <v>43</v>
      </c>
      <c r="H139" s="1" t="s">
        <v>33</v>
      </c>
      <c r="I139" s="1" t="s">
        <v>34</v>
      </c>
      <c r="J139" s="1">
        <v>1.5</v>
      </c>
      <c r="K139" s="1" t="s">
        <v>387</v>
      </c>
      <c r="L139" s="1" t="s">
        <v>36</v>
      </c>
      <c r="M139" s="1">
        <v>0.06</v>
      </c>
      <c r="N139" s="1" t="s">
        <v>336</v>
      </c>
      <c r="O139" s="1" t="s">
        <v>38</v>
      </c>
      <c r="P139" s="1" t="s">
        <v>37</v>
      </c>
      <c r="Q139" s="1" t="s">
        <v>337</v>
      </c>
      <c r="R139" s="1" t="s">
        <v>392</v>
      </c>
      <c r="S139" s="1" t="s">
        <v>40</v>
      </c>
      <c r="T139" s="1">
        <v>933.68</v>
      </c>
      <c r="U139" s="1" t="s">
        <v>41</v>
      </c>
      <c r="V139" s="1" t="s">
        <v>30</v>
      </c>
      <c r="W139" s="1" t="s">
        <v>37</v>
      </c>
      <c r="X139" s="1" t="s">
        <v>30</v>
      </c>
      <c r="Y139" s="1" t="s">
        <v>37</v>
      </c>
      <c r="Z139" s="1" t="s">
        <v>42</v>
      </c>
    </row>
    <row r="140" spans="1:26" ht="15.75" x14ac:dyDescent="0.25">
      <c r="A140" s="1" t="s">
        <v>26</v>
      </c>
      <c r="B140" s="1" t="s">
        <v>27</v>
      </c>
      <c r="C140" s="1" t="s">
        <v>306</v>
      </c>
      <c r="D140" s="1" t="s">
        <v>393</v>
      </c>
      <c r="E140" s="1" t="s">
        <v>30</v>
      </c>
      <c r="F140" s="1" t="s">
        <v>394</v>
      </c>
      <c r="G140" s="1" t="s">
        <v>32</v>
      </c>
      <c r="H140" s="1" t="s">
        <v>33</v>
      </c>
      <c r="I140" s="1" t="s">
        <v>34</v>
      </c>
      <c r="J140" s="1">
        <v>22.84</v>
      </c>
      <c r="K140" s="1" t="s">
        <v>387</v>
      </c>
      <c r="L140" s="1" t="s">
        <v>36</v>
      </c>
      <c r="M140" s="1">
        <v>0.91</v>
      </c>
      <c r="N140" s="1" t="s">
        <v>293</v>
      </c>
      <c r="O140" s="1" t="s">
        <v>38</v>
      </c>
      <c r="P140" s="1" t="s">
        <v>37</v>
      </c>
      <c r="Q140" s="1" t="s">
        <v>294</v>
      </c>
      <c r="R140" s="1" t="s">
        <v>395</v>
      </c>
      <c r="S140" s="1" t="s">
        <v>40</v>
      </c>
      <c r="T140" s="1">
        <v>933.68</v>
      </c>
      <c r="U140" s="1" t="s">
        <v>41</v>
      </c>
      <c r="V140" s="1" t="s">
        <v>30</v>
      </c>
      <c r="W140" s="1" t="s">
        <v>37</v>
      </c>
      <c r="X140" s="1" t="s">
        <v>30</v>
      </c>
      <c r="Y140" s="1" t="s">
        <v>37</v>
      </c>
      <c r="Z140" s="1" t="s">
        <v>42</v>
      </c>
    </row>
    <row r="141" spans="1:26" ht="15.75" x14ac:dyDescent="0.25">
      <c r="A141" s="1" t="s">
        <v>26</v>
      </c>
      <c r="B141" s="1" t="s">
        <v>27</v>
      </c>
      <c r="C141" s="1" t="s">
        <v>306</v>
      </c>
      <c r="D141" s="1" t="s">
        <v>396</v>
      </c>
      <c r="E141" s="1" t="s">
        <v>30</v>
      </c>
      <c r="F141" s="1" t="s">
        <v>394</v>
      </c>
      <c r="G141" s="1" t="s">
        <v>45</v>
      </c>
      <c r="H141" s="1" t="s">
        <v>33</v>
      </c>
      <c r="I141" s="1" t="s">
        <v>34</v>
      </c>
      <c r="J141" s="1">
        <v>7.24</v>
      </c>
      <c r="K141" s="1" t="s">
        <v>387</v>
      </c>
      <c r="L141" s="1" t="s">
        <v>36</v>
      </c>
      <c r="M141" s="1">
        <v>0.28999999999999998</v>
      </c>
      <c r="N141" s="1" t="s">
        <v>293</v>
      </c>
      <c r="O141" s="1" t="s">
        <v>38</v>
      </c>
      <c r="P141" s="1" t="s">
        <v>37</v>
      </c>
      <c r="Q141" s="1" t="s">
        <v>294</v>
      </c>
      <c r="R141" s="1" t="s">
        <v>395</v>
      </c>
      <c r="S141" s="1" t="s">
        <v>40</v>
      </c>
      <c r="T141" s="1">
        <v>933.68</v>
      </c>
      <c r="U141" s="1" t="s">
        <v>41</v>
      </c>
      <c r="V141" s="1" t="s">
        <v>30</v>
      </c>
      <c r="W141" s="1" t="s">
        <v>37</v>
      </c>
      <c r="X141" s="1" t="s">
        <v>30</v>
      </c>
      <c r="Y141" s="1" t="s">
        <v>37</v>
      </c>
      <c r="Z141" s="1" t="s">
        <v>42</v>
      </c>
    </row>
    <row r="142" spans="1:26" ht="15.75" x14ac:dyDescent="0.25">
      <c r="A142" s="1" t="s">
        <v>26</v>
      </c>
      <c r="B142" s="1" t="s">
        <v>27</v>
      </c>
      <c r="C142" s="1" t="s">
        <v>306</v>
      </c>
      <c r="D142" s="1" t="s">
        <v>397</v>
      </c>
      <c r="E142" s="1" t="s">
        <v>30</v>
      </c>
      <c r="F142" s="1" t="s">
        <v>398</v>
      </c>
      <c r="G142" s="1" t="s">
        <v>32</v>
      </c>
      <c r="H142" s="1" t="s">
        <v>273</v>
      </c>
      <c r="I142" s="1" t="s">
        <v>48</v>
      </c>
      <c r="J142" s="1">
        <v>40.9</v>
      </c>
      <c r="K142" s="1" t="s">
        <v>399</v>
      </c>
      <c r="L142" s="1" t="s">
        <v>36</v>
      </c>
      <c r="M142" s="1">
        <v>15.13</v>
      </c>
      <c r="N142" s="1" t="s">
        <v>293</v>
      </c>
      <c r="O142" s="1" t="s">
        <v>38</v>
      </c>
      <c r="P142" s="1" t="s">
        <v>37</v>
      </c>
      <c r="Q142" s="1" t="s">
        <v>294</v>
      </c>
      <c r="R142" s="1" t="s">
        <v>400</v>
      </c>
      <c r="S142" s="1" t="s">
        <v>40</v>
      </c>
      <c r="T142" s="1">
        <v>933.68</v>
      </c>
      <c r="U142" s="1" t="s">
        <v>41</v>
      </c>
      <c r="V142" s="1" t="s">
        <v>30</v>
      </c>
      <c r="W142" s="1" t="s">
        <v>37</v>
      </c>
      <c r="X142" s="1" t="s">
        <v>30</v>
      </c>
      <c r="Y142" s="1" t="s">
        <v>37</v>
      </c>
      <c r="Z142" s="1" t="s">
        <v>42</v>
      </c>
    </row>
    <row r="143" spans="1:26" ht="15.75" x14ac:dyDescent="0.25">
      <c r="A143" s="1" t="s">
        <v>26</v>
      </c>
      <c r="B143" s="1" t="s">
        <v>27</v>
      </c>
      <c r="C143" s="1" t="s">
        <v>306</v>
      </c>
      <c r="D143" s="1" t="s">
        <v>397</v>
      </c>
      <c r="E143" s="1" t="s">
        <v>30</v>
      </c>
      <c r="F143" s="1" t="s">
        <v>398</v>
      </c>
      <c r="G143" s="1" t="s">
        <v>43</v>
      </c>
      <c r="H143" s="1" t="s">
        <v>273</v>
      </c>
      <c r="I143" s="1" t="s">
        <v>48</v>
      </c>
      <c r="J143" s="1">
        <v>1.5</v>
      </c>
      <c r="K143" s="1" t="s">
        <v>399</v>
      </c>
      <c r="L143" s="1" t="s">
        <v>36</v>
      </c>
      <c r="M143" s="1">
        <v>0.56000000000000005</v>
      </c>
      <c r="N143" s="1" t="s">
        <v>293</v>
      </c>
      <c r="O143" s="1" t="s">
        <v>38</v>
      </c>
      <c r="P143" s="1" t="s">
        <v>37</v>
      </c>
      <c r="Q143" s="1" t="s">
        <v>294</v>
      </c>
      <c r="R143" s="1" t="s">
        <v>400</v>
      </c>
      <c r="S143" s="1" t="s">
        <v>40</v>
      </c>
      <c r="T143" s="1">
        <v>933.68</v>
      </c>
      <c r="U143" s="1" t="s">
        <v>41</v>
      </c>
      <c r="V143" s="1" t="s">
        <v>30</v>
      </c>
      <c r="W143" s="1" t="s">
        <v>37</v>
      </c>
      <c r="X143" s="1" t="s">
        <v>30</v>
      </c>
      <c r="Y143" s="1" t="s">
        <v>37</v>
      </c>
      <c r="Z143" s="1" t="s">
        <v>42</v>
      </c>
    </row>
    <row r="144" spans="1:26" ht="15.75" x14ac:dyDescent="0.25">
      <c r="A144" s="1" t="s">
        <v>26</v>
      </c>
      <c r="B144" s="1" t="s">
        <v>27</v>
      </c>
      <c r="C144" s="1" t="s">
        <v>306</v>
      </c>
      <c r="D144" s="1" t="s">
        <v>401</v>
      </c>
      <c r="E144" s="1" t="s">
        <v>30</v>
      </c>
      <c r="F144" s="1" t="s">
        <v>402</v>
      </c>
      <c r="G144" s="1" t="s">
        <v>32</v>
      </c>
      <c r="H144" s="1" t="s">
        <v>403</v>
      </c>
      <c r="I144" s="1" t="s">
        <v>48</v>
      </c>
      <c r="J144" s="1">
        <v>-42.35</v>
      </c>
      <c r="K144" s="1" t="s">
        <v>404</v>
      </c>
      <c r="L144" s="1" t="s">
        <v>36</v>
      </c>
      <c r="M144" s="1">
        <v>-15.67</v>
      </c>
      <c r="N144" s="1" t="s">
        <v>336</v>
      </c>
      <c r="O144" s="1" t="s">
        <v>38</v>
      </c>
      <c r="P144" s="1" t="s">
        <v>37</v>
      </c>
      <c r="Q144" s="1" t="s">
        <v>337</v>
      </c>
      <c r="R144" s="1" t="s">
        <v>405</v>
      </c>
      <c r="S144" s="1" t="s">
        <v>40</v>
      </c>
      <c r="T144" s="1">
        <v>933.68</v>
      </c>
      <c r="U144" s="1" t="s">
        <v>41</v>
      </c>
      <c r="V144" s="1" t="s">
        <v>30</v>
      </c>
      <c r="W144" s="1" t="s">
        <v>37</v>
      </c>
      <c r="X144" s="1" t="s">
        <v>30</v>
      </c>
      <c r="Y144" s="1" t="s">
        <v>37</v>
      </c>
      <c r="Z144" s="1" t="s">
        <v>42</v>
      </c>
    </row>
    <row r="145" spans="1:26" ht="15.75" x14ac:dyDescent="0.25">
      <c r="A145" s="1" t="s">
        <v>26</v>
      </c>
      <c r="B145" s="1" t="s">
        <v>27</v>
      </c>
      <c r="C145" s="1" t="s">
        <v>306</v>
      </c>
      <c r="D145" s="1" t="s">
        <v>401</v>
      </c>
      <c r="E145" s="1" t="s">
        <v>30</v>
      </c>
      <c r="F145" s="1" t="s">
        <v>402</v>
      </c>
      <c r="G145" s="1" t="s">
        <v>43</v>
      </c>
      <c r="H145" s="1" t="s">
        <v>403</v>
      </c>
      <c r="I145" s="1" t="s">
        <v>48</v>
      </c>
      <c r="J145" s="1">
        <v>-1.5</v>
      </c>
      <c r="K145" s="1" t="s">
        <v>404</v>
      </c>
      <c r="L145" s="1" t="s">
        <v>36</v>
      </c>
      <c r="M145" s="1">
        <v>-0.55000000000000004</v>
      </c>
      <c r="N145" s="1" t="s">
        <v>336</v>
      </c>
      <c r="O145" s="1" t="s">
        <v>38</v>
      </c>
      <c r="P145" s="1" t="s">
        <v>37</v>
      </c>
      <c r="Q145" s="1" t="s">
        <v>337</v>
      </c>
      <c r="R145" s="1" t="s">
        <v>405</v>
      </c>
      <c r="S145" s="1" t="s">
        <v>40</v>
      </c>
      <c r="T145" s="1">
        <v>933.68</v>
      </c>
      <c r="U145" s="1" t="s">
        <v>41</v>
      </c>
      <c r="V145" s="1" t="s">
        <v>30</v>
      </c>
      <c r="W145" s="1" t="s">
        <v>37</v>
      </c>
      <c r="X145" s="1" t="s">
        <v>30</v>
      </c>
      <c r="Y145" s="1" t="s">
        <v>37</v>
      </c>
      <c r="Z145" s="1" t="s">
        <v>42</v>
      </c>
    </row>
    <row r="146" spans="1:26" ht="15.75" x14ac:dyDescent="0.25">
      <c r="A146" s="1" t="s">
        <v>26</v>
      </c>
      <c r="B146" s="1" t="s">
        <v>27</v>
      </c>
      <c r="C146" s="1" t="s">
        <v>306</v>
      </c>
      <c r="D146" s="1" t="s">
        <v>406</v>
      </c>
      <c r="E146" s="1" t="s">
        <v>30</v>
      </c>
      <c r="F146" s="1" t="s">
        <v>407</v>
      </c>
      <c r="G146" s="1" t="s">
        <v>32</v>
      </c>
      <c r="H146" s="1" t="s">
        <v>62</v>
      </c>
      <c r="I146" s="1" t="s">
        <v>48</v>
      </c>
      <c r="J146" s="1">
        <v>36.29</v>
      </c>
      <c r="K146" s="1" t="s">
        <v>408</v>
      </c>
      <c r="L146" s="1" t="s">
        <v>36</v>
      </c>
      <c r="M146" s="1">
        <v>0</v>
      </c>
      <c r="N146" s="1" t="s">
        <v>71</v>
      </c>
      <c r="O146" s="1" t="s">
        <v>38</v>
      </c>
      <c r="P146" s="1" t="s">
        <v>409</v>
      </c>
      <c r="Q146" s="1" t="s">
        <v>73</v>
      </c>
      <c r="R146" s="1" t="s">
        <v>410</v>
      </c>
      <c r="S146" s="1" t="s">
        <v>40</v>
      </c>
      <c r="T146" s="1">
        <v>933.68</v>
      </c>
      <c r="U146" s="1" t="s">
        <v>41</v>
      </c>
      <c r="V146" s="1" t="s">
        <v>30</v>
      </c>
      <c r="W146" s="1" t="s">
        <v>37</v>
      </c>
      <c r="X146" s="1" t="s">
        <v>30</v>
      </c>
      <c r="Y146" s="1" t="s">
        <v>37</v>
      </c>
      <c r="Z146" s="1" t="s">
        <v>42</v>
      </c>
    </row>
    <row r="147" spans="1:26" ht="15.75" x14ac:dyDescent="0.25">
      <c r="A147" s="1" t="s">
        <v>26</v>
      </c>
      <c r="B147" s="1" t="s">
        <v>27</v>
      </c>
      <c r="C147" s="1" t="s">
        <v>306</v>
      </c>
      <c r="D147" s="1" t="s">
        <v>406</v>
      </c>
      <c r="E147" s="1" t="s">
        <v>30</v>
      </c>
      <c r="F147" s="1" t="s">
        <v>407</v>
      </c>
      <c r="G147" s="1" t="s">
        <v>43</v>
      </c>
      <c r="H147" s="1" t="s">
        <v>62</v>
      </c>
      <c r="I147" s="1" t="s">
        <v>48</v>
      </c>
      <c r="J147" s="1">
        <v>1.5</v>
      </c>
      <c r="K147" s="1" t="s">
        <v>408</v>
      </c>
      <c r="L147" s="1" t="s">
        <v>36</v>
      </c>
      <c r="M147" s="1">
        <v>0</v>
      </c>
      <c r="N147" s="1" t="s">
        <v>71</v>
      </c>
      <c r="O147" s="1" t="s">
        <v>38</v>
      </c>
      <c r="P147" s="1" t="s">
        <v>411</v>
      </c>
      <c r="Q147" s="1" t="s">
        <v>73</v>
      </c>
      <c r="R147" s="1" t="s">
        <v>410</v>
      </c>
      <c r="S147" s="1" t="s">
        <v>40</v>
      </c>
      <c r="T147" s="1">
        <v>933.68</v>
      </c>
      <c r="U147" s="1" t="s">
        <v>41</v>
      </c>
      <c r="V147" s="1" t="s">
        <v>30</v>
      </c>
      <c r="W147" s="1" t="s">
        <v>37</v>
      </c>
      <c r="X147" s="1" t="s">
        <v>30</v>
      </c>
      <c r="Y147" s="1" t="s">
        <v>37</v>
      </c>
      <c r="Z147" s="1" t="s">
        <v>42</v>
      </c>
    </row>
    <row r="148" spans="1:26" ht="15.75" x14ac:dyDescent="0.25">
      <c r="A148" s="1" t="s">
        <v>26</v>
      </c>
      <c r="B148" s="1" t="s">
        <v>27</v>
      </c>
      <c r="C148" s="1" t="s">
        <v>306</v>
      </c>
      <c r="D148" s="1" t="s">
        <v>412</v>
      </c>
      <c r="E148" s="1" t="s">
        <v>30</v>
      </c>
      <c r="F148" s="1" t="s">
        <v>407</v>
      </c>
      <c r="G148" s="1" t="s">
        <v>45</v>
      </c>
      <c r="H148" s="1" t="s">
        <v>62</v>
      </c>
      <c r="I148" s="1" t="s">
        <v>48</v>
      </c>
      <c r="J148" s="1">
        <v>16.34</v>
      </c>
      <c r="K148" s="1" t="s">
        <v>408</v>
      </c>
      <c r="L148" s="1" t="s">
        <v>36</v>
      </c>
      <c r="M148" s="1">
        <v>0</v>
      </c>
      <c r="N148" s="1" t="s">
        <v>71</v>
      </c>
      <c r="O148" s="1" t="s">
        <v>38</v>
      </c>
      <c r="P148" s="1" t="s">
        <v>413</v>
      </c>
      <c r="Q148" s="1" t="s">
        <v>73</v>
      </c>
      <c r="R148" s="1" t="s">
        <v>410</v>
      </c>
      <c r="S148" s="1" t="s">
        <v>40</v>
      </c>
      <c r="T148" s="1">
        <v>933.68</v>
      </c>
      <c r="U148" s="1" t="s">
        <v>41</v>
      </c>
      <c r="V148" s="1" t="s">
        <v>30</v>
      </c>
      <c r="W148" s="1" t="s">
        <v>37</v>
      </c>
      <c r="X148" s="1" t="s">
        <v>30</v>
      </c>
      <c r="Y148" s="1" t="s">
        <v>37</v>
      </c>
      <c r="Z148" s="1" t="s">
        <v>42</v>
      </c>
    </row>
    <row r="149" spans="1:26" ht="15.75" x14ac:dyDescent="0.25">
      <c r="A149" s="1" t="s">
        <v>26</v>
      </c>
      <c r="B149" s="1" t="s">
        <v>27</v>
      </c>
      <c r="C149" s="1" t="s">
        <v>306</v>
      </c>
      <c r="D149" s="1" t="s">
        <v>414</v>
      </c>
      <c r="E149" s="1" t="s">
        <v>30</v>
      </c>
      <c r="F149" s="1" t="s">
        <v>415</v>
      </c>
      <c r="G149" s="1" t="s">
        <v>32</v>
      </c>
      <c r="H149" s="1" t="s">
        <v>273</v>
      </c>
      <c r="I149" s="1" t="s">
        <v>48</v>
      </c>
      <c r="J149" s="1">
        <v>38.61</v>
      </c>
      <c r="K149" s="1" t="s">
        <v>399</v>
      </c>
      <c r="L149" s="1" t="s">
        <v>36</v>
      </c>
      <c r="M149" s="1">
        <v>14.29</v>
      </c>
      <c r="N149" s="1" t="s">
        <v>57</v>
      </c>
      <c r="O149" s="1" t="s">
        <v>38</v>
      </c>
      <c r="P149" s="1" t="s">
        <v>37</v>
      </c>
      <c r="Q149" s="1" t="s">
        <v>58</v>
      </c>
      <c r="R149" s="1" t="s">
        <v>416</v>
      </c>
      <c r="S149" s="1" t="s">
        <v>40</v>
      </c>
      <c r="T149" s="1">
        <v>933.68</v>
      </c>
      <c r="U149" s="1" t="s">
        <v>41</v>
      </c>
      <c r="V149" s="1" t="s">
        <v>30</v>
      </c>
      <c r="W149" s="1" t="s">
        <v>37</v>
      </c>
      <c r="X149" s="1" t="s">
        <v>30</v>
      </c>
      <c r="Y149" s="1" t="s">
        <v>37</v>
      </c>
      <c r="Z149" s="1" t="s">
        <v>42</v>
      </c>
    </row>
    <row r="150" spans="1:26" ht="15.75" x14ac:dyDescent="0.25">
      <c r="A150" s="1" t="s">
        <v>26</v>
      </c>
      <c r="B150" s="1" t="s">
        <v>27</v>
      </c>
      <c r="C150" s="1" t="s">
        <v>306</v>
      </c>
      <c r="D150" s="1" t="s">
        <v>417</v>
      </c>
      <c r="E150" s="1" t="s">
        <v>30</v>
      </c>
      <c r="F150" s="1" t="s">
        <v>415</v>
      </c>
      <c r="G150" s="1" t="s">
        <v>45</v>
      </c>
      <c r="H150" s="1" t="s">
        <v>273</v>
      </c>
      <c r="I150" s="1" t="s">
        <v>48</v>
      </c>
      <c r="J150" s="1">
        <v>16.34</v>
      </c>
      <c r="K150" s="1" t="s">
        <v>399</v>
      </c>
      <c r="L150" s="1" t="s">
        <v>36</v>
      </c>
      <c r="M150" s="1">
        <v>6.05</v>
      </c>
      <c r="N150" s="1" t="s">
        <v>57</v>
      </c>
      <c r="O150" s="1" t="s">
        <v>38</v>
      </c>
      <c r="P150" s="1" t="s">
        <v>37</v>
      </c>
      <c r="Q150" s="1" t="s">
        <v>58</v>
      </c>
      <c r="R150" s="1" t="s">
        <v>416</v>
      </c>
      <c r="S150" s="1" t="s">
        <v>40</v>
      </c>
      <c r="T150" s="1">
        <v>933.68</v>
      </c>
      <c r="U150" s="1" t="s">
        <v>41</v>
      </c>
      <c r="V150" s="1" t="s">
        <v>30</v>
      </c>
      <c r="W150" s="1" t="s">
        <v>37</v>
      </c>
      <c r="X150" s="1" t="s">
        <v>30</v>
      </c>
      <c r="Y150" s="1" t="s">
        <v>37</v>
      </c>
      <c r="Z150" s="1" t="s">
        <v>42</v>
      </c>
    </row>
    <row r="151" spans="1:26" ht="15.75" x14ac:dyDescent="0.25">
      <c r="A151" s="1" t="s">
        <v>26</v>
      </c>
      <c r="B151" s="1" t="s">
        <v>27</v>
      </c>
      <c r="C151" s="1" t="s">
        <v>306</v>
      </c>
      <c r="D151" s="1" t="s">
        <v>418</v>
      </c>
      <c r="E151" s="1" t="s">
        <v>30</v>
      </c>
      <c r="F151" s="1" t="s">
        <v>419</v>
      </c>
      <c r="G151" s="1" t="s">
        <v>32</v>
      </c>
      <c r="H151" s="1" t="s">
        <v>273</v>
      </c>
      <c r="I151" s="1" t="s">
        <v>48</v>
      </c>
      <c r="J151" s="1">
        <v>84.7</v>
      </c>
      <c r="K151" s="1" t="s">
        <v>399</v>
      </c>
      <c r="L151" s="1" t="s">
        <v>36</v>
      </c>
      <c r="M151" s="1">
        <v>31.33</v>
      </c>
      <c r="N151" s="1" t="s">
        <v>174</v>
      </c>
      <c r="O151" s="1" t="s">
        <v>38</v>
      </c>
      <c r="P151" s="1" t="s">
        <v>37</v>
      </c>
      <c r="Q151" s="1" t="s">
        <v>175</v>
      </c>
      <c r="R151" s="1" t="s">
        <v>420</v>
      </c>
      <c r="S151" s="1" t="s">
        <v>40</v>
      </c>
      <c r="T151" s="1">
        <v>933.68</v>
      </c>
      <c r="U151" s="1" t="s">
        <v>41</v>
      </c>
      <c r="V151" s="1" t="s">
        <v>30</v>
      </c>
      <c r="W151" s="1" t="s">
        <v>37</v>
      </c>
      <c r="X151" s="1" t="s">
        <v>30</v>
      </c>
      <c r="Y151" s="1" t="s">
        <v>37</v>
      </c>
      <c r="Z151" s="1" t="s">
        <v>42</v>
      </c>
    </row>
    <row r="152" spans="1:26" ht="15.75" x14ac:dyDescent="0.25">
      <c r="A152" s="1" t="s">
        <v>26</v>
      </c>
      <c r="B152" s="1" t="s">
        <v>27</v>
      </c>
      <c r="C152" s="1" t="s">
        <v>306</v>
      </c>
      <c r="D152" s="1" t="s">
        <v>418</v>
      </c>
      <c r="E152" s="1" t="s">
        <v>30</v>
      </c>
      <c r="F152" s="1" t="s">
        <v>419</v>
      </c>
      <c r="G152" s="1" t="s">
        <v>43</v>
      </c>
      <c r="H152" s="1" t="s">
        <v>273</v>
      </c>
      <c r="I152" s="1" t="s">
        <v>48</v>
      </c>
      <c r="J152" s="1">
        <v>2.69</v>
      </c>
      <c r="K152" s="1" t="s">
        <v>399</v>
      </c>
      <c r="L152" s="1" t="s">
        <v>36</v>
      </c>
      <c r="M152" s="1">
        <v>1</v>
      </c>
      <c r="N152" s="1" t="s">
        <v>174</v>
      </c>
      <c r="O152" s="1" t="s">
        <v>38</v>
      </c>
      <c r="P152" s="1" t="s">
        <v>37</v>
      </c>
      <c r="Q152" s="1" t="s">
        <v>175</v>
      </c>
      <c r="R152" s="1" t="s">
        <v>420</v>
      </c>
      <c r="S152" s="1" t="s">
        <v>40</v>
      </c>
      <c r="T152" s="1">
        <v>933.68</v>
      </c>
      <c r="U152" s="1" t="s">
        <v>41</v>
      </c>
      <c r="V152" s="1" t="s">
        <v>30</v>
      </c>
      <c r="W152" s="1" t="s">
        <v>37</v>
      </c>
      <c r="X152" s="1" t="s">
        <v>30</v>
      </c>
      <c r="Y152" s="1" t="s">
        <v>37</v>
      </c>
      <c r="Z152" s="1" t="s">
        <v>42</v>
      </c>
    </row>
    <row r="153" spans="1:26" ht="15.75" x14ac:dyDescent="0.25">
      <c r="A153" s="1" t="s">
        <v>26</v>
      </c>
      <c r="B153" s="1" t="s">
        <v>27</v>
      </c>
      <c r="C153" s="1" t="s">
        <v>306</v>
      </c>
      <c r="D153" s="1" t="s">
        <v>421</v>
      </c>
      <c r="E153" s="1" t="s">
        <v>30</v>
      </c>
      <c r="F153" s="1" t="s">
        <v>422</v>
      </c>
      <c r="G153" s="1" t="s">
        <v>32</v>
      </c>
      <c r="H153" s="1" t="s">
        <v>423</v>
      </c>
      <c r="I153" s="1" t="s">
        <v>137</v>
      </c>
      <c r="J153" s="1">
        <v>-36.29</v>
      </c>
      <c r="K153" s="1" t="s">
        <v>424</v>
      </c>
      <c r="L153" s="1" t="s">
        <v>36</v>
      </c>
      <c r="M153" s="1">
        <v>-13.43</v>
      </c>
      <c r="N153" s="1" t="s">
        <v>95</v>
      </c>
      <c r="O153" s="1" t="s">
        <v>38</v>
      </c>
      <c r="P153" s="1" t="s">
        <v>37</v>
      </c>
      <c r="Q153" s="1" t="s">
        <v>96</v>
      </c>
      <c r="R153" s="1" t="s">
        <v>425</v>
      </c>
      <c r="S153" s="1" t="s">
        <v>40</v>
      </c>
      <c r="T153" s="1">
        <v>933.68</v>
      </c>
      <c r="U153" s="1" t="s">
        <v>41</v>
      </c>
      <c r="V153" s="1" t="s">
        <v>30</v>
      </c>
      <c r="W153" s="1" t="s">
        <v>37</v>
      </c>
      <c r="X153" s="1" t="s">
        <v>30</v>
      </c>
      <c r="Y153" s="1" t="s">
        <v>37</v>
      </c>
      <c r="Z153" s="1" t="s">
        <v>426</v>
      </c>
    </row>
    <row r="154" spans="1:26" ht="15.75" x14ac:dyDescent="0.25">
      <c r="A154" s="1" t="s">
        <v>26</v>
      </c>
      <c r="B154" s="1" t="s">
        <v>27</v>
      </c>
      <c r="C154" s="1" t="s">
        <v>306</v>
      </c>
      <c r="D154" s="1" t="s">
        <v>421</v>
      </c>
      <c r="E154" s="1" t="s">
        <v>30</v>
      </c>
      <c r="F154" s="1" t="s">
        <v>422</v>
      </c>
      <c r="G154" s="1" t="s">
        <v>43</v>
      </c>
      <c r="H154" s="1" t="s">
        <v>423</v>
      </c>
      <c r="I154" s="1" t="s">
        <v>137</v>
      </c>
      <c r="J154" s="1">
        <v>-1.5</v>
      </c>
      <c r="K154" s="1" t="s">
        <v>424</v>
      </c>
      <c r="L154" s="1" t="s">
        <v>36</v>
      </c>
      <c r="M154" s="1">
        <v>-0.55000000000000004</v>
      </c>
      <c r="N154" s="1" t="s">
        <v>95</v>
      </c>
      <c r="O154" s="1" t="s">
        <v>38</v>
      </c>
      <c r="P154" s="1" t="s">
        <v>37</v>
      </c>
      <c r="Q154" s="1" t="s">
        <v>96</v>
      </c>
      <c r="R154" s="1" t="s">
        <v>425</v>
      </c>
      <c r="S154" s="1" t="s">
        <v>40</v>
      </c>
      <c r="T154" s="1">
        <v>933.68</v>
      </c>
      <c r="U154" s="1" t="s">
        <v>41</v>
      </c>
      <c r="V154" s="1" t="s">
        <v>30</v>
      </c>
      <c r="W154" s="1" t="s">
        <v>37</v>
      </c>
      <c r="X154" s="1" t="s">
        <v>30</v>
      </c>
      <c r="Y154" s="1" t="s">
        <v>37</v>
      </c>
      <c r="Z154" s="1" t="s">
        <v>426</v>
      </c>
    </row>
    <row r="155" spans="1:26" ht="15.75" x14ac:dyDescent="0.25">
      <c r="A155" s="1" t="s">
        <v>26</v>
      </c>
      <c r="B155" s="1" t="s">
        <v>27</v>
      </c>
      <c r="C155" s="1" t="s">
        <v>427</v>
      </c>
      <c r="D155" s="1" t="s">
        <v>428</v>
      </c>
      <c r="E155" s="1" t="s">
        <v>30</v>
      </c>
      <c r="F155" s="1" t="s">
        <v>429</v>
      </c>
      <c r="G155" s="1" t="s">
        <v>32</v>
      </c>
      <c r="H155" s="1" t="s">
        <v>430</v>
      </c>
      <c r="I155" s="1" t="s">
        <v>147</v>
      </c>
      <c r="J155" s="1">
        <v>-135.61000000000001</v>
      </c>
      <c r="K155" s="1" t="s">
        <v>431</v>
      </c>
      <c r="L155" s="1" t="s">
        <v>36</v>
      </c>
      <c r="M155" s="1">
        <v>-50.17</v>
      </c>
      <c r="N155" s="1" t="s">
        <v>432</v>
      </c>
      <c r="O155" s="1" t="s">
        <v>38</v>
      </c>
      <c r="P155" s="1" t="s">
        <v>37</v>
      </c>
      <c r="Q155" s="1" t="s">
        <v>433</v>
      </c>
      <c r="R155" s="1" t="s">
        <v>434</v>
      </c>
      <c r="S155" s="1" t="s">
        <v>40</v>
      </c>
      <c r="T155" s="1">
        <v>933.68</v>
      </c>
      <c r="U155" s="1" t="s">
        <v>41</v>
      </c>
      <c r="V155" s="1" t="s">
        <v>30</v>
      </c>
      <c r="W155" s="1" t="s">
        <v>37</v>
      </c>
      <c r="X155" s="1" t="s">
        <v>30</v>
      </c>
      <c r="Y155" s="1" t="s">
        <v>37</v>
      </c>
      <c r="Z155" s="1" t="s">
        <v>42</v>
      </c>
    </row>
    <row r="156" spans="1:26" ht="15.75" x14ac:dyDescent="0.25">
      <c r="A156" s="1" t="s">
        <v>26</v>
      </c>
      <c r="B156" s="1" t="s">
        <v>27</v>
      </c>
      <c r="C156" s="1" t="s">
        <v>427</v>
      </c>
      <c r="D156" s="1" t="s">
        <v>428</v>
      </c>
      <c r="E156" s="1" t="s">
        <v>30</v>
      </c>
      <c r="F156" s="1" t="s">
        <v>429</v>
      </c>
      <c r="G156" s="1" t="s">
        <v>43</v>
      </c>
      <c r="H156" s="1" t="s">
        <v>430</v>
      </c>
      <c r="I156" s="1" t="s">
        <v>147</v>
      </c>
      <c r="J156" s="1">
        <v>-2.69</v>
      </c>
      <c r="K156" s="1" t="s">
        <v>431</v>
      </c>
      <c r="L156" s="1" t="s">
        <v>36</v>
      </c>
      <c r="M156" s="1">
        <v>-1</v>
      </c>
      <c r="N156" s="1" t="s">
        <v>432</v>
      </c>
      <c r="O156" s="1" t="s">
        <v>38</v>
      </c>
      <c r="P156" s="1" t="s">
        <v>37</v>
      </c>
      <c r="Q156" s="1" t="s">
        <v>433</v>
      </c>
      <c r="R156" s="1" t="s">
        <v>434</v>
      </c>
      <c r="S156" s="1" t="s">
        <v>40</v>
      </c>
      <c r="T156" s="1">
        <v>933.68</v>
      </c>
      <c r="U156" s="1" t="s">
        <v>41</v>
      </c>
      <c r="V156" s="1" t="s">
        <v>30</v>
      </c>
      <c r="W156" s="1" t="s">
        <v>37</v>
      </c>
      <c r="X156" s="1" t="s">
        <v>30</v>
      </c>
      <c r="Y156" s="1" t="s">
        <v>37</v>
      </c>
      <c r="Z156" s="1" t="s">
        <v>42</v>
      </c>
    </row>
    <row r="157" spans="1:26" ht="15.75" x14ac:dyDescent="0.25">
      <c r="A157" s="1" t="s">
        <v>26</v>
      </c>
      <c r="B157" s="1" t="s">
        <v>27</v>
      </c>
      <c r="C157" s="1" t="s">
        <v>427</v>
      </c>
      <c r="D157" s="1" t="s">
        <v>428</v>
      </c>
      <c r="E157" s="1" t="s">
        <v>30</v>
      </c>
      <c r="F157" s="1" t="s">
        <v>429</v>
      </c>
      <c r="G157" s="1" t="s">
        <v>32</v>
      </c>
      <c r="H157" s="1" t="s">
        <v>435</v>
      </c>
      <c r="I157" s="1" t="s">
        <v>147</v>
      </c>
      <c r="J157" s="1">
        <v>-135.61000000000001</v>
      </c>
      <c r="K157" s="1" t="s">
        <v>431</v>
      </c>
      <c r="L157" s="1" t="s">
        <v>36</v>
      </c>
      <c r="M157" s="1">
        <v>-50.17</v>
      </c>
      <c r="N157" s="1" t="s">
        <v>432</v>
      </c>
      <c r="O157" s="1" t="s">
        <v>38</v>
      </c>
      <c r="P157" s="1" t="s">
        <v>37</v>
      </c>
      <c r="Q157" s="1" t="s">
        <v>433</v>
      </c>
      <c r="R157" s="1" t="s">
        <v>434</v>
      </c>
      <c r="S157" s="1" t="s">
        <v>40</v>
      </c>
      <c r="T157" s="1">
        <v>933.68</v>
      </c>
      <c r="U157" s="1" t="s">
        <v>41</v>
      </c>
      <c r="V157" s="1" t="s">
        <v>30</v>
      </c>
      <c r="W157" s="1" t="s">
        <v>37</v>
      </c>
      <c r="X157" s="1" t="s">
        <v>30</v>
      </c>
      <c r="Y157" s="1" t="s">
        <v>37</v>
      </c>
      <c r="Z157" s="1" t="s">
        <v>42</v>
      </c>
    </row>
    <row r="158" spans="1:26" ht="15.75" x14ac:dyDescent="0.25">
      <c r="A158" s="1" t="s">
        <v>26</v>
      </c>
      <c r="B158" s="1" t="s">
        <v>27</v>
      </c>
      <c r="C158" s="1" t="s">
        <v>427</v>
      </c>
      <c r="D158" s="1" t="s">
        <v>428</v>
      </c>
      <c r="E158" s="1" t="s">
        <v>30</v>
      </c>
      <c r="F158" s="1" t="s">
        <v>429</v>
      </c>
      <c r="G158" s="1" t="s">
        <v>43</v>
      </c>
      <c r="H158" s="1" t="s">
        <v>435</v>
      </c>
      <c r="I158" s="1" t="s">
        <v>147</v>
      </c>
      <c r="J158" s="1">
        <v>-2.69</v>
      </c>
      <c r="K158" s="1" t="s">
        <v>431</v>
      </c>
      <c r="L158" s="1" t="s">
        <v>36</v>
      </c>
      <c r="M158" s="1">
        <v>-1</v>
      </c>
      <c r="N158" s="1" t="s">
        <v>432</v>
      </c>
      <c r="O158" s="1" t="s">
        <v>38</v>
      </c>
      <c r="P158" s="1" t="s">
        <v>37</v>
      </c>
      <c r="Q158" s="1" t="s">
        <v>433</v>
      </c>
      <c r="R158" s="1" t="s">
        <v>434</v>
      </c>
      <c r="S158" s="1" t="s">
        <v>40</v>
      </c>
      <c r="T158" s="1">
        <v>933.68</v>
      </c>
      <c r="U158" s="1" t="s">
        <v>41</v>
      </c>
      <c r="V158" s="1" t="s">
        <v>30</v>
      </c>
      <c r="W158" s="1" t="s">
        <v>37</v>
      </c>
      <c r="X158" s="1" t="s">
        <v>30</v>
      </c>
      <c r="Y158" s="1" t="s">
        <v>37</v>
      </c>
      <c r="Z158" s="1" t="s">
        <v>42</v>
      </c>
    </row>
    <row r="159" spans="1:26" ht="15.75" x14ac:dyDescent="0.25">
      <c r="A159" s="1" t="s">
        <v>26</v>
      </c>
      <c r="B159" s="1" t="s">
        <v>27</v>
      </c>
      <c r="C159" s="1" t="s">
        <v>427</v>
      </c>
      <c r="D159" s="1" t="s">
        <v>428</v>
      </c>
      <c r="E159" s="1" t="s">
        <v>30</v>
      </c>
      <c r="F159" s="1" t="s">
        <v>429</v>
      </c>
      <c r="G159" s="1" t="s">
        <v>32</v>
      </c>
      <c r="H159" s="1" t="s">
        <v>436</v>
      </c>
      <c r="I159" s="1" t="s">
        <v>147</v>
      </c>
      <c r="J159" s="1">
        <v>-135.61000000000001</v>
      </c>
      <c r="K159" s="1" t="s">
        <v>431</v>
      </c>
      <c r="L159" s="1" t="s">
        <v>36</v>
      </c>
      <c r="M159" s="1">
        <v>-50.17</v>
      </c>
      <c r="N159" s="1" t="s">
        <v>432</v>
      </c>
      <c r="O159" s="1" t="s">
        <v>38</v>
      </c>
      <c r="P159" s="1" t="s">
        <v>37</v>
      </c>
      <c r="Q159" s="1" t="s">
        <v>433</v>
      </c>
      <c r="R159" s="1" t="s">
        <v>434</v>
      </c>
      <c r="S159" s="1" t="s">
        <v>40</v>
      </c>
      <c r="T159" s="1">
        <v>933.68</v>
      </c>
      <c r="U159" s="1" t="s">
        <v>41</v>
      </c>
      <c r="V159" s="1" t="s">
        <v>30</v>
      </c>
      <c r="W159" s="1" t="s">
        <v>37</v>
      </c>
      <c r="X159" s="1" t="s">
        <v>30</v>
      </c>
      <c r="Y159" s="1" t="s">
        <v>37</v>
      </c>
      <c r="Z159" s="1" t="s">
        <v>42</v>
      </c>
    </row>
    <row r="160" spans="1:26" ht="15.75" x14ac:dyDescent="0.25">
      <c r="A160" s="1" t="s">
        <v>26</v>
      </c>
      <c r="B160" s="1" t="s">
        <v>27</v>
      </c>
      <c r="C160" s="1" t="s">
        <v>427</v>
      </c>
      <c r="D160" s="1" t="s">
        <v>428</v>
      </c>
      <c r="E160" s="1" t="s">
        <v>30</v>
      </c>
      <c r="F160" s="1" t="s">
        <v>429</v>
      </c>
      <c r="G160" s="1" t="s">
        <v>43</v>
      </c>
      <c r="H160" s="1" t="s">
        <v>436</v>
      </c>
      <c r="I160" s="1" t="s">
        <v>147</v>
      </c>
      <c r="J160" s="1">
        <v>-2.69</v>
      </c>
      <c r="K160" s="1" t="s">
        <v>431</v>
      </c>
      <c r="L160" s="1" t="s">
        <v>36</v>
      </c>
      <c r="M160" s="1">
        <v>-1</v>
      </c>
      <c r="N160" s="1" t="s">
        <v>432</v>
      </c>
      <c r="O160" s="1" t="s">
        <v>38</v>
      </c>
      <c r="P160" s="1" t="s">
        <v>37</v>
      </c>
      <c r="Q160" s="1" t="s">
        <v>433</v>
      </c>
      <c r="R160" s="1" t="s">
        <v>434</v>
      </c>
      <c r="S160" s="1" t="s">
        <v>40</v>
      </c>
      <c r="T160" s="1">
        <v>933.68</v>
      </c>
      <c r="U160" s="1" t="s">
        <v>41</v>
      </c>
      <c r="V160" s="1" t="s">
        <v>30</v>
      </c>
      <c r="W160" s="1" t="s">
        <v>37</v>
      </c>
      <c r="X160" s="1" t="s">
        <v>30</v>
      </c>
      <c r="Y160" s="1" t="s">
        <v>37</v>
      </c>
      <c r="Z160" s="1" t="s">
        <v>42</v>
      </c>
    </row>
    <row r="161" spans="1:26" ht="15.75" x14ac:dyDescent="0.25">
      <c r="A161" s="1" t="s">
        <v>26</v>
      </c>
      <c r="B161" s="1" t="s">
        <v>27</v>
      </c>
      <c r="C161" s="1" t="s">
        <v>427</v>
      </c>
      <c r="D161" s="1" t="s">
        <v>437</v>
      </c>
      <c r="E161" s="1" t="s">
        <v>30</v>
      </c>
      <c r="F161" s="1" t="s">
        <v>429</v>
      </c>
      <c r="G161" s="1" t="s">
        <v>45</v>
      </c>
      <c r="H161" s="1" t="s">
        <v>435</v>
      </c>
      <c r="I161" s="1" t="s">
        <v>48</v>
      </c>
      <c r="J161" s="1">
        <v>-19.63</v>
      </c>
      <c r="K161" s="1" t="s">
        <v>431</v>
      </c>
      <c r="L161" s="1" t="s">
        <v>36</v>
      </c>
      <c r="M161" s="1">
        <v>-7.27</v>
      </c>
      <c r="N161" s="1" t="s">
        <v>432</v>
      </c>
      <c r="O161" s="1" t="s">
        <v>38</v>
      </c>
      <c r="P161" s="1" t="s">
        <v>37</v>
      </c>
      <c r="Q161" s="1" t="s">
        <v>433</v>
      </c>
      <c r="R161" s="1" t="s">
        <v>434</v>
      </c>
      <c r="S161" s="1" t="s">
        <v>40</v>
      </c>
      <c r="T161" s="1">
        <v>933.68</v>
      </c>
      <c r="U161" s="1" t="s">
        <v>41</v>
      </c>
      <c r="V161" s="1" t="s">
        <v>30</v>
      </c>
      <c r="W161" s="1" t="s">
        <v>37</v>
      </c>
      <c r="X161" s="1" t="s">
        <v>30</v>
      </c>
      <c r="Y161" s="1" t="s">
        <v>37</v>
      </c>
      <c r="Z161" s="1" t="s">
        <v>42</v>
      </c>
    </row>
    <row r="162" spans="1:26" ht="15.75" x14ac:dyDescent="0.25">
      <c r="A162" s="1" t="s">
        <v>26</v>
      </c>
      <c r="B162" s="1" t="s">
        <v>27</v>
      </c>
      <c r="C162" s="1" t="s">
        <v>427</v>
      </c>
      <c r="D162" s="1" t="s">
        <v>437</v>
      </c>
      <c r="E162" s="1" t="s">
        <v>30</v>
      </c>
      <c r="F162" s="1" t="s">
        <v>429</v>
      </c>
      <c r="G162" s="1" t="s">
        <v>45</v>
      </c>
      <c r="H162" s="1" t="s">
        <v>436</v>
      </c>
      <c r="I162" s="1" t="s">
        <v>48</v>
      </c>
      <c r="J162" s="1">
        <v>-19.63</v>
      </c>
      <c r="K162" s="1" t="s">
        <v>431</v>
      </c>
      <c r="L162" s="1" t="s">
        <v>36</v>
      </c>
      <c r="M162" s="1">
        <v>-7.27</v>
      </c>
      <c r="N162" s="1" t="s">
        <v>432</v>
      </c>
      <c r="O162" s="1" t="s">
        <v>38</v>
      </c>
      <c r="P162" s="1" t="s">
        <v>37</v>
      </c>
      <c r="Q162" s="1" t="s">
        <v>433</v>
      </c>
      <c r="R162" s="1" t="s">
        <v>434</v>
      </c>
      <c r="S162" s="1" t="s">
        <v>40</v>
      </c>
      <c r="T162" s="1">
        <v>933.68</v>
      </c>
      <c r="U162" s="1" t="s">
        <v>41</v>
      </c>
      <c r="V162" s="1" t="s">
        <v>30</v>
      </c>
      <c r="W162" s="1" t="s">
        <v>37</v>
      </c>
      <c r="X162" s="1" t="s">
        <v>30</v>
      </c>
      <c r="Y162" s="1" t="s">
        <v>37</v>
      </c>
      <c r="Z162" s="1" t="s">
        <v>42</v>
      </c>
    </row>
    <row r="163" spans="1:26" ht="15.75" x14ac:dyDescent="0.25">
      <c r="A163" s="1" t="s">
        <v>26</v>
      </c>
      <c r="B163" s="1" t="s">
        <v>27</v>
      </c>
      <c r="C163" s="1" t="s">
        <v>427</v>
      </c>
      <c r="D163" s="1" t="s">
        <v>438</v>
      </c>
      <c r="E163" s="1" t="s">
        <v>30</v>
      </c>
      <c r="F163" s="1" t="s">
        <v>439</v>
      </c>
      <c r="G163" s="1" t="s">
        <v>32</v>
      </c>
      <c r="H163" s="1" t="s">
        <v>440</v>
      </c>
      <c r="I163" s="1" t="s">
        <v>137</v>
      </c>
      <c r="J163" s="1">
        <v>-36.29</v>
      </c>
      <c r="K163" s="1" t="s">
        <v>441</v>
      </c>
      <c r="L163" s="1" t="s">
        <v>36</v>
      </c>
      <c r="M163" s="1">
        <v>-13.43</v>
      </c>
      <c r="N163" s="1" t="s">
        <v>95</v>
      </c>
      <c r="O163" s="1" t="s">
        <v>38</v>
      </c>
      <c r="P163" s="1" t="s">
        <v>37</v>
      </c>
      <c r="Q163" s="1" t="s">
        <v>96</v>
      </c>
      <c r="R163" s="1" t="s">
        <v>442</v>
      </c>
      <c r="S163" s="1" t="s">
        <v>40</v>
      </c>
      <c r="T163" s="1">
        <v>933.68</v>
      </c>
      <c r="U163" s="1" t="s">
        <v>41</v>
      </c>
      <c r="V163" s="1" t="s">
        <v>30</v>
      </c>
      <c r="W163" s="1" t="s">
        <v>37</v>
      </c>
      <c r="X163" s="1" t="s">
        <v>30</v>
      </c>
      <c r="Y163" s="1" t="s">
        <v>37</v>
      </c>
      <c r="Z163" s="1" t="s">
        <v>426</v>
      </c>
    </row>
    <row r="164" spans="1:26" ht="15.75" x14ac:dyDescent="0.25">
      <c r="A164" s="1" t="s">
        <v>26</v>
      </c>
      <c r="B164" s="1" t="s">
        <v>27</v>
      </c>
      <c r="C164" s="1" t="s">
        <v>427</v>
      </c>
      <c r="D164" s="1" t="s">
        <v>438</v>
      </c>
      <c r="E164" s="1" t="s">
        <v>30</v>
      </c>
      <c r="F164" s="1" t="s">
        <v>439</v>
      </c>
      <c r="G164" s="1" t="s">
        <v>43</v>
      </c>
      <c r="H164" s="1" t="s">
        <v>440</v>
      </c>
      <c r="I164" s="1" t="s">
        <v>137</v>
      </c>
      <c r="J164" s="1">
        <v>-1.5</v>
      </c>
      <c r="K164" s="1" t="s">
        <v>441</v>
      </c>
      <c r="L164" s="1" t="s">
        <v>36</v>
      </c>
      <c r="M164" s="1">
        <v>-0.55000000000000004</v>
      </c>
      <c r="N164" s="1" t="s">
        <v>95</v>
      </c>
      <c r="O164" s="1" t="s">
        <v>38</v>
      </c>
      <c r="P164" s="1" t="s">
        <v>37</v>
      </c>
      <c r="Q164" s="1" t="s">
        <v>96</v>
      </c>
      <c r="R164" s="1" t="s">
        <v>442</v>
      </c>
      <c r="S164" s="1" t="s">
        <v>40</v>
      </c>
      <c r="T164" s="1">
        <v>933.68</v>
      </c>
      <c r="U164" s="1" t="s">
        <v>41</v>
      </c>
      <c r="V164" s="1" t="s">
        <v>30</v>
      </c>
      <c r="W164" s="1" t="s">
        <v>37</v>
      </c>
      <c r="X164" s="1" t="s">
        <v>30</v>
      </c>
      <c r="Y164" s="1" t="s">
        <v>37</v>
      </c>
      <c r="Z164" s="1" t="s">
        <v>426</v>
      </c>
    </row>
    <row r="165" spans="1:26" ht="15.75" x14ac:dyDescent="0.25">
      <c r="A165" s="1" t="s">
        <v>26</v>
      </c>
      <c r="B165" s="1" t="s">
        <v>27</v>
      </c>
      <c r="C165" s="1" t="s">
        <v>427</v>
      </c>
      <c r="D165" s="1" t="s">
        <v>438</v>
      </c>
      <c r="E165" s="1" t="s">
        <v>30</v>
      </c>
      <c r="F165" s="1" t="s">
        <v>439</v>
      </c>
      <c r="G165" s="1" t="s">
        <v>32</v>
      </c>
      <c r="H165" s="1" t="s">
        <v>443</v>
      </c>
      <c r="I165" s="1" t="s">
        <v>137</v>
      </c>
      <c r="J165" s="1">
        <v>-36.29</v>
      </c>
      <c r="K165" s="1" t="s">
        <v>441</v>
      </c>
      <c r="L165" s="1" t="s">
        <v>36</v>
      </c>
      <c r="M165" s="1">
        <v>-13.43</v>
      </c>
      <c r="N165" s="1" t="s">
        <v>95</v>
      </c>
      <c r="O165" s="1" t="s">
        <v>38</v>
      </c>
      <c r="P165" s="1" t="s">
        <v>37</v>
      </c>
      <c r="Q165" s="1" t="s">
        <v>96</v>
      </c>
      <c r="R165" s="1" t="s">
        <v>442</v>
      </c>
      <c r="S165" s="1" t="s">
        <v>40</v>
      </c>
      <c r="T165" s="1">
        <v>933.68</v>
      </c>
      <c r="U165" s="1" t="s">
        <v>41</v>
      </c>
      <c r="V165" s="1" t="s">
        <v>30</v>
      </c>
      <c r="W165" s="1" t="s">
        <v>37</v>
      </c>
      <c r="X165" s="1" t="s">
        <v>30</v>
      </c>
      <c r="Y165" s="1" t="s">
        <v>37</v>
      </c>
      <c r="Z165" s="1" t="s">
        <v>426</v>
      </c>
    </row>
    <row r="166" spans="1:26" ht="15.75" x14ac:dyDescent="0.25">
      <c r="A166" s="1" t="s">
        <v>26</v>
      </c>
      <c r="B166" s="1" t="s">
        <v>27</v>
      </c>
      <c r="C166" s="1" t="s">
        <v>427</v>
      </c>
      <c r="D166" s="1" t="s">
        <v>438</v>
      </c>
      <c r="E166" s="1" t="s">
        <v>30</v>
      </c>
      <c r="F166" s="1" t="s">
        <v>439</v>
      </c>
      <c r="G166" s="1" t="s">
        <v>43</v>
      </c>
      <c r="H166" s="1" t="s">
        <v>443</v>
      </c>
      <c r="I166" s="1" t="s">
        <v>137</v>
      </c>
      <c r="J166" s="1">
        <v>-1.5</v>
      </c>
      <c r="K166" s="1" t="s">
        <v>441</v>
      </c>
      <c r="L166" s="1" t="s">
        <v>36</v>
      </c>
      <c r="M166" s="1">
        <v>-0.55000000000000004</v>
      </c>
      <c r="N166" s="1" t="s">
        <v>95</v>
      </c>
      <c r="O166" s="1" t="s">
        <v>38</v>
      </c>
      <c r="P166" s="1" t="s">
        <v>37</v>
      </c>
      <c r="Q166" s="1" t="s">
        <v>96</v>
      </c>
      <c r="R166" s="1" t="s">
        <v>442</v>
      </c>
      <c r="S166" s="1" t="s">
        <v>40</v>
      </c>
      <c r="T166" s="1">
        <v>933.68</v>
      </c>
      <c r="U166" s="1" t="s">
        <v>41</v>
      </c>
      <c r="V166" s="1" t="s">
        <v>30</v>
      </c>
      <c r="W166" s="1" t="s">
        <v>37</v>
      </c>
      <c r="X166" s="1" t="s">
        <v>30</v>
      </c>
      <c r="Y166" s="1" t="s">
        <v>37</v>
      </c>
      <c r="Z166" s="1" t="s">
        <v>426</v>
      </c>
    </row>
    <row r="167" spans="1:26" ht="15.75" x14ac:dyDescent="0.25">
      <c r="A167" s="1" t="s">
        <v>26</v>
      </c>
      <c r="B167" s="1" t="s">
        <v>27</v>
      </c>
      <c r="C167" s="1" t="s">
        <v>427</v>
      </c>
      <c r="D167" s="1" t="s">
        <v>444</v>
      </c>
      <c r="E167" s="1" t="s">
        <v>30</v>
      </c>
      <c r="F167" s="1" t="s">
        <v>445</v>
      </c>
      <c r="G167" s="1" t="s">
        <v>32</v>
      </c>
      <c r="H167" s="1" t="s">
        <v>48</v>
      </c>
      <c r="I167" s="1" t="s">
        <v>33</v>
      </c>
      <c r="J167" s="1">
        <v>102.49</v>
      </c>
      <c r="K167" s="1" t="s">
        <v>446</v>
      </c>
      <c r="L167" s="1" t="s">
        <v>36</v>
      </c>
      <c r="M167" s="1">
        <v>37.92</v>
      </c>
      <c r="N167" s="1" t="s">
        <v>336</v>
      </c>
      <c r="O167" s="1" t="s">
        <v>38</v>
      </c>
      <c r="P167" s="1" t="s">
        <v>37</v>
      </c>
      <c r="Q167" s="1" t="s">
        <v>337</v>
      </c>
      <c r="R167" s="1" t="s">
        <v>447</v>
      </c>
      <c r="S167" s="1" t="s">
        <v>40</v>
      </c>
      <c r="T167" s="1">
        <v>933.68</v>
      </c>
      <c r="U167" s="1" t="s">
        <v>41</v>
      </c>
      <c r="V167" s="1" t="s">
        <v>30</v>
      </c>
      <c r="W167" s="1" t="s">
        <v>37</v>
      </c>
      <c r="X167" s="1" t="s">
        <v>30</v>
      </c>
      <c r="Y167" s="1" t="s">
        <v>37</v>
      </c>
      <c r="Z167" s="1" t="s">
        <v>42</v>
      </c>
    </row>
    <row r="168" spans="1:26" ht="15.75" x14ac:dyDescent="0.25">
      <c r="A168" s="1" t="s">
        <v>26</v>
      </c>
      <c r="B168" s="1" t="s">
        <v>27</v>
      </c>
      <c r="C168" s="1" t="s">
        <v>427</v>
      </c>
      <c r="D168" s="1" t="s">
        <v>444</v>
      </c>
      <c r="E168" s="1" t="s">
        <v>30</v>
      </c>
      <c r="F168" s="1" t="s">
        <v>445</v>
      </c>
      <c r="G168" s="1" t="s">
        <v>43</v>
      </c>
      <c r="H168" s="1" t="s">
        <v>48</v>
      </c>
      <c r="I168" s="1" t="s">
        <v>33</v>
      </c>
      <c r="J168" s="1">
        <v>2.69</v>
      </c>
      <c r="K168" s="1" t="s">
        <v>446</v>
      </c>
      <c r="L168" s="1" t="s">
        <v>36</v>
      </c>
      <c r="M168" s="1">
        <v>1</v>
      </c>
      <c r="N168" s="1" t="s">
        <v>336</v>
      </c>
      <c r="O168" s="1" t="s">
        <v>38</v>
      </c>
      <c r="P168" s="1" t="s">
        <v>37</v>
      </c>
      <c r="Q168" s="1" t="s">
        <v>337</v>
      </c>
      <c r="R168" s="1" t="s">
        <v>447</v>
      </c>
      <c r="S168" s="1" t="s">
        <v>40</v>
      </c>
      <c r="T168" s="1">
        <v>933.68</v>
      </c>
      <c r="U168" s="1" t="s">
        <v>41</v>
      </c>
      <c r="V168" s="1" t="s">
        <v>30</v>
      </c>
      <c r="W168" s="1" t="s">
        <v>37</v>
      </c>
      <c r="X168" s="1" t="s">
        <v>30</v>
      </c>
      <c r="Y168" s="1" t="s">
        <v>37</v>
      </c>
      <c r="Z168" s="1" t="s">
        <v>42</v>
      </c>
    </row>
    <row r="169" spans="1:26" ht="15.75" x14ac:dyDescent="0.25">
      <c r="A169" s="1" t="s">
        <v>26</v>
      </c>
      <c r="B169" s="1" t="s">
        <v>27</v>
      </c>
      <c r="C169" s="1" t="s">
        <v>427</v>
      </c>
      <c r="D169" s="1" t="s">
        <v>448</v>
      </c>
      <c r="E169" s="1" t="s">
        <v>30</v>
      </c>
      <c r="F169" s="1" t="s">
        <v>449</v>
      </c>
      <c r="G169" s="1" t="s">
        <v>32</v>
      </c>
      <c r="H169" s="1" t="s">
        <v>450</v>
      </c>
      <c r="I169" s="1" t="s">
        <v>137</v>
      </c>
      <c r="J169" s="1">
        <v>-17.27</v>
      </c>
      <c r="K169" s="1" t="s">
        <v>451</v>
      </c>
      <c r="L169" s="1" t="s">
        <v>36</v>
      </c>
      <c r="M169" s="1">
        <v>-6.39</v>
      </c>
      <c r="N169" s="1" t="s">
        <v>186</v>
      </c>
      <c r="O169" s="1" t="s">
        <v>38</v>
      </c>
      <c r="P169" s="1" t="s">
        <v>37</v>
      </c>
      <c r="Q169" s="1" t="s">
        <v>187</v>
      </c>
      <c r="R169" s="1" t="s">
        <v>452</v>
      </c>
      <c r="S169" s="1" t="s">
        <v>40</v>
      </c>
      <c r="T169" s="1">
        <v>933.68</v>
      </c>
      <c r="U169" s="1" t="s">
        <v>41</v>
      </c>
      <c r="V169" s="1" t="s">
        <v>30</v>
      </c>
      <c r="W169" s="1" t="s">
        <v>37</v>
      </c>
      <c r="X169" s="1" t="s">
        <v>30</v>
      </c>
      <c r="Y169" s="1" t="s">
        <v>37</v>
      </c>
      <c r="Z169" s="1" t="s">
        <v>426</v>
      </c>
    </row>
    <row r="170" spans="1:26" ht="15.75" x14ac:dyDescent="0.25">
      <c r="A170" s="1" t="s">
        <v>26</v>
      </c>
      <c r="B170" s="1" t="s">
        <v>27</v>
      </c>
      <c r="C170" s="1" t="s">
        <v>427</v>
      </c>
      <c r="D170" s="1" t="s">
        <v>448</v>
      </c>
      <c r="E170" s="1" t="s">
        <v>30</v>
      </c>
      <c r="F170" s="1" t="s">
        <v>449</v>
      </c>
      <c r="G170" s="1" t="s">
        <v>32</v>
      </c>
      <c r="H170" s="1" t="s">
        <v>453</v>
      </c>
      <c r="I170" s="1" t="s">
        <v>137</v>
      </c>
      <c r="J170" s="1">
        <v>-17.27</v>
      </c>
      <c r="K170" s="1" t="s">
        <v>451</v>
      </c>
      <c r="L170" s="1" t="s">
        <v>36</v>
      </c>
      <c r="M170" s="1">
        <v>-6.39</v>
      </c>
      <c r="N170" s="1" t="s">
        <v>186</v>
      </c>
      <c r="O170" s="1" t="s">
        <v>38</v>
      </c>
      <c r="P170" s="1" t="s">
        <v>37</v>
      </c>
      <c r="Q170" s="1" t="s">
        <v>187</v>
      </c>
      <c r="R170" s="1" t="s">
        <v>452</v>
      </c>
      <c r="S170" s="1" t="s">
        <v>40</v>
      </c>
      <c r="T170" s="1">
        <v>933.68</v>
      </c>
      <c r="U170" s="1" t="s">
        <v>41</v>
      </c>
      <c r="V170" s="1" t="s">
        <v>30</v>
      </c>
      <c r="W170" s="1" t="s">
        <v>37</v>
      </c>
      <c r="X170" s="1" t="s">
        <v>30</v>
      </c>
      <c r="Y170" s="1" t="s">
        <v>37</v>
      </c>
      <c r="Z170" s="1" t="s">
        <v>426</v>
      </c>
    </row>
    <row r="171" spans="1:26" ht="15.75" x14ac:dyDescent="0.25">
      <c r="A171" s="1" t="s">
        <v>26</v>
      </c>
      <c r="B171" s="1" t="s">
        <v>27</v>
      </c>
      <c r="C171" s="1" t="s">
        <v>427</v>
      </c>
      <c r="D171" s="1" t="s">
        <v>454</v>
      </c>
      <c r="E171" s="1" t="s">
        <v>30</v>
      </c>
      <c r="F171" s="1" t="s">
        <v>449</v>
      </c>
      <c r="G171" s="1" t="s">
        <v>45</v>
      </c>
      <c r="H171" s="1" t="s">
        <v>450</v>
      </c>
      <c r="I171" s="1" t="s">
        <v>137</v>
      </c>
      <c r="J171" s="1">
        <v>-16.34</v>
      </c>
      <c r="K171" s="1" t="s">
        <v>451</v>
      </c>
      <c r="L171" s="1" t="s">
        <v>36</v>
      </c>
      <c r="M171" s="1">
        <v>-6.05</v>
      </c>
      <c r="N171" s="1" t="s">
        <v>186</v>
      </c>
      <c r="O171" s="1" t="s">
        <v>38</v>
      </c>
      <c r="P171" s="1" t="s">
        <v>37</v>
      </c>
      <c r="Q171" s="1" t="s">
        <v>187</v>
      </c>
      <c r="R171" s="1" t="s">
        <v>452</v>
      </c>
      <c r="S171" s="1" t="s">
        <v>40</v>
      </c>
      <c r="T171" s="1">
        <v>933.68</v>
      </c>
      <c r="U171" s="1" t="s">
        <v>41</v>
      </c>
      <c r="V171" s="1" t="s">
        <v>30</v>
      </c>
      <c r="W171" s="1" t="s">
        <v>37</v>
      </c>
      <c r="X171" s="1" t="s">
        <v>30</v>
      </c>
      <c r="Y171" s="1" t="s">
        <v>37</v>
      </c>
      <c r="Z171" s="1" t="s">
        <v>426</v>
      </c>
    </row>
    <row r="172" spans="1:26" ht="15.75" x14ac:dyDescent="0.25">
      <c r="A172" s="1" t="s">
        <v>26</v>
      </c>
      <c r="B172" s="1" t="s">
        <v>27</v>
      </c>
      <c r="C172" s="1" t="s">
        <v>427</v>
      </c>
      <c r="D172" s="1" t="s">
        <v>454</v>
      </c>
      <c r="E172" s="1" t="s">
        <v>30</v>
      </c>
      <c r="F172" s="1" t="s">
        <v>449</v>
      </c>
      <c r="G172" s="1" t="s">
        <v>45</v>
      </c>
      <c r="H172" s="1" t="s">
        <v>453</v>
      </c>
      <c r="I172" s="1" t="s">
        <v>137</v>
      </c>
      <c r="J172" s="1">
        <v>-16.34</v>
      </c>
      <c r="K172" s="1" t="s">
        <v>451</v>
      </c>
      <c r="L172" s="1" t="s">
        <v>36</v>
      </c>
      <c r="M172" s="1">
        <v>-6.05</v>
      </c>
      <c r="N172" s="1" t="s">
        <v>186</v>
      </c>
      <c r="O172" s="1" t="s">
        <v>38</v>
      </c>
      <c r="P172" s="1" t="s">
        <v>37</v>
      </c>
      <c r="Q172" s="1" t="s">
        <v>187</v>
      </c>
      <c r="R172" s="1" t="s">
        <v>452</v>
      </c>
      <c r="S172" s="1" t="s">
        <v>40</v>
      </c>
      <c r="T172" s="1">
        <v>933.68</v>
      </c>
      <c r="U172" s="1" t="s">
        <v>41</v>
      </c>
      <c r="V172" s="1" t="s">
        <v>30</v>
      </c>
      <c r="W172" s="1" t="s">
        <v>37</v>
      </c>
      <c r="X172" s="1" t="s">
        <v>30</v>
      </c>
      <c r="Y172" s="1" t="s">
        <v>37</v>
      </c>
      <c r="Z172" s="1" t="s">
        <v>426</v>
      </c>
    </row>
    <row r="173" spans="1:26" ht="15.75" x14ac:dyDescent="0.25">
      <c r="A173" s="1" t="s">
        <v>26</v>
      </c>
      <c r="B173" s="1" t="s">
        <v>27</v>
      </c>
      <c r="C173" s="1" t="s">
        <v>427</v>
      </c>
      <c r="D173" s="1" t="s">
        <v>455</v>
      </c>
      <c r="E173" s="1" t="s">
        <v>30</v>
      </c>
      <c r="F173" s="1" t="s">
        <v>456</v>
      </c>
      <c r="G173" s="1" t="s">
        <v>32</v>
      </c>
      <c r="H173" s="1" t="s">
        <v>457</v>
      </c>
      <c r="I173" s="1" t="s">
        <v>137</v>
      </c>
      <c r="J173" s="1">
        <v>-57.28</v>
      </c>
      <c r="K173" s="1" t="s">
        <v>458</v>
      </c>
      <c r="L173" s="1" t="s">
        <v>36</v>
      </c>
      <c r="M173" s="1">
        <v>-21.19</v>
      </c>
      <c r="N173" s="1" t="s">
        <v>293</v>
      </c>
      <c r="O173" s="1" t="s">
        <v>38</v>
      </c>
      <c r="P173" s="1" t="s">
        <v>37</v>
      </c>
      <c r="Q173" s="1" t="s">
        <v>294</v>
      </c>
      <c r="R173" s="1" t="s">
        <v>459</v>
      </c>
      <c r="S173" s="1" t="s">
        <v>40</v>
      </c>
      <c r="T173" s="1">
        <v>933.68</v>
      </c>
      <c r="U173" s="1" t="s">
        <v>41</v>
      </c>
      <c r="V173" s="1" t="s">
        <v>30</v>
      </c>
      <c r="W173" s="1" t="s">
        <v>37</v>
      </c>
      <c r="X173" s="1" t="s">
        <v>30</v>
      </c>
      <c r="Y173" s="1" t="s">
        <v>37</v>
      </c>
      <c r="Z173" s="1" t="s">
        <v>426</v>
      </c>
    </row>
    <row r="174" spans="1:26" ht="15.75" x14ac:dyDescent="0.25">
      <c r="A174" s="1" t="s">
        <v>26</v>
      </c>
      <c r="B174" s="1" t="s">
        <v>27</v>
      </c>
      <c r="C174" s="1" t="s">
        <v>427</v>
      </c>
      <c r="D174" s="1" t="s">
        <v>455</v>
      </c>
      <c r="E174" s="1" t="s">
        <v>30</v>
      </c>
      <c r="F174" s="1" t="s">
        <v>456</v>
      </c>
      <c r="G174" s="1" t="s">
        <v>32</v>
      </c>
      <c r="H174" s="1" t="s">
        <v>460</v>
      </c>
      <c r="I174" s="1" t="s">
        <v>137</v>
      </c>
      <c r="J174" s="1">
        <v>-57.28</v>
      </c>
      <c r="K174" s="1" t="s">
        <v>458</v>
      </c>
      <c r="L174" s="1" t="s">
        <v>36</v>
      </c>
      <c r="M174" s="1">
        <v>-21.19</v>
      </c>
      <c r="N174" s="1" t="s">
        <v>293</v>
      </c>
      <c r="O174" s="1" t="s">
        <v>38</v>
      </c>
      <c r="P174" s="1" t="s">
        <v>37</v>
      </c>
      <c r="Q174" s="1" t="s">
        <v>294</v>
      </c>
      <c r="R174" s="1" t="s">
        <v>459</v>
      </c>
      <c r="S174" s="1" t="s">
        <v>40</v>
      </c>
      <c r="T174" s="1">
        <v>933.68</v>
      </c>
      <c r="U174" s="1" t="s">
        <v>41</v>
      </c>
      <c r="V174" s="1" t="s">
        <v>30</v>
      </c>
      <c r="W174" s="1" t="s">
        <v>37</v>
      </c>
      <c r="X174" s="1" t="s">
        <v>30</v>
      </c>
      <c r="Y174" s="1" t="s">
        <v>37</v>
      </c>
      <c r="Z174" s="1" t="s">
        <v>426</v>
      </c>
    </row>
    <row r="175" spans="1:26" ht="15.75" x14ac:dyDescent="0.25">
      <c r="A175" s="1" t="s">
        <v>26</v>
      </c>
      <c r="B175" s="1" t="s">
        <v>27</v>
      </c>
      <c r="C175" s="1" t="s">
        <v>427</v>
      </c>
      <c r="D175" s="1" t="s">
        <v>455</v>
      </c>
      <c r="E175" s="1" t="s">
        <v>30</v>
      </c>
      <c r="F175" s="1" t="s">
        <v>456</v>
      </c>
      <c r="G175" s="1" t="s">
        <v>32</v>
      </c>
      <c r="H175" s="1" t="s">
        <v>461</v>
      </c>
      <c r="I175" s="1" t="s">
        <v>137</v>
      </c>
      <c r="J175" s="1">
        <v>-57.28</v>
      </c>
      <c r="K175" s="1" t="s">
        <v>458</v>
      </c>
      <c r="L175" s="1" t="s">
        <v>36</v>
      </c>
      <c r="M175" s="1">
        <v>-21.19</v>
      </c>
      <c r="N175" s="1" t="s">
        <v>293</v>
      </c>
      <c r="O175" s="1" t="s">
        <v>38</v>
      </c>
      <c r="P175" s="1" t="s">
        <v>37</v>
      </c>
      <c r="Q175" s="1" t="s">
        <v>294</v>
      </c>
      <c r="R175" s="1" t="s">
        <v>459</v>
      </c>
      <c r="S175" s="1" t="s">
        <v>40</v>
      </c>
      <c r="T175" s="1">
        <v>933.68</v>
      </c>
      <c r="U175" s="1" t="s">
        <v>41</v>
      </c>
      <c r="V175" s="1" t="s">
        <v>30</v>
      </c>
      <c r="W175" s="1" t="s">
        <v>37</v>
      </c>
      <c r="X175" s="1" t="s">
        <v>30</v>
      </c>
      <c r="Y175" s="1" t="s">
        <v>37</v>
      </c>
      <c r="Z175" s="1" t="s">
        <v>426</v>
      </c>
    </row>
    <row r="176" spans="1:26" ht="15.75" x14ac:dyDescent="0.25">
      <c r="A176" s="1" t="s">
        <v>26</v>
      </c>
      <c r="B176" s="1" t="s">
        <v>27</v>
      </c>
      <c r="C176" s="1" t="s">
        <v>427</v>
      </c>
      <c r="D176" s="1" t="s">
        <v>462</v>
      </c>
      <c r="E176" s="1" t="s">
        <v>30</v>
      </c>
      <c r="F176" s="1" t="s">
        <v>463</v>
      </c>
      <c r="G176" s="1" t="s">
        <v>32</v>
      </c>
      <c r="H176" s="1" t="s">
        <v>62</v>
      </c>
      <c r="I176" s="1" t="s">
        <v>48</v>
      </c>
      <c r="J176" s="1">
        <v>36.29</v>
      </c>
      <c r="K176" s="1" t="s">
        <v>464</v>
      </c>
      <c r="L176" s="1" t="s">
        <v>36</v>
      </c>
      <c r="M176" s="1">
        <v>0</v>
      </c>
      <c r="N176" s="1" t="s">
        <v>71</v>
      </c>
      <c r="O176" s="1" t="s">
        <v>38</v>
      </c>
      <c r="P176" s="1" t="s">
        <v>409</v>
      </c>
      <c r="Q176" s="1" t="s">
        <v>73</v>
      </c>
      <c r="R176" s="1" t="s">
        <v>465</v>
      </c>
      <c r="S176" s="1" t="s">
        <v>40</v>
      </c>
      <c r="T176" s="1">
        <v>933.68</v>
      </c>
      <c r="U176" s="1" t="s">
        <v>41</v>
      </c>
      <c r="V176" s="1" t="s">
        <v>30</v>
      </c>
      <c r="W176" s="1" t="s">
        <v>37</v>
      </c>
      <c r="X176" s="1" t="s">
        <v>30</v>
      </c>
      <c r="Y176" s="1" t="s">
        <v>37</v>
      </c>
      <c r="Z176" s="1" t="s">
        <v>42</v>
      </c>
    </row>
    <row r="177" spans="1:26" ht="15.75" x14ac:dyDescent="0.25">
      <c r="A177" s="1" t="s">
        <v>26</v>
      </c>
      <c r="B177" s="1" t="s">
        <v>27</v>
      </c>
      <c r="C177" s="1" t="s">
        <v>427</v>
      </c>
      <c r="D177" s="1" t="s">
        <v>462</v>
      </c>
      <c r="E177" s="1" t="s">
        <v>30</v>
      </c>
      <c r="F177" s="1" t="s">
        <v>463</v>
      </c>
      <c r="G177" s="1" t="s">
        <v>43</v>
      </c>
      <c r="H177" s="1" t="s">
        <v>62</v>
      </c>
      <c r="I177" s="1" t="s">
        <v>48</v>
      </c>
      <c r="J177" s="1">
        <v>1.5</v>
      </c>
      <c r="K177" s="1" t="s">
        <v>464</v>
      </c>
      <c r="L177" s="1" t="s">
        <v>36</v>
      </c>
      <c r="M177" s="1">
        <v>0</v>
      </c>
      <c r="N177" s="1" t="s">
        <v>71</v>
      </c>
      <c r="O177" s="1" t="s">
        <v>38</v>
      </c>
      <c r="P177" s="1" t="s">
        <v>411</v>
      </c>
      <c r="Q177" s="1" t="s">
        <v>73</v>
      </c>
      <c r="R177" s="1" t="s">
        <v>465</v>
      </c>
      <c r="S177" s="1" t="s">
        <v>40</v>
      </c>
      <c r="T177" s="1">
        <v>933.68</v>
      </c>
      <c r="U177" s="1" t="s">
        <v>41</v>
      </c>
      <c r="V177" s="1" t="s">
        <v>30</v>
      </c>
      <c r="W177" s="1" t="s">
        <v>37</v>
      </c>
      <c r="X177" s="1" t="s">
        <v>30</v>
      </c>
      <c r="Y177" s="1" t="s">
        <v>37</v>
      </c>
      <c r="Z177" s="1" t="s">
        <v>42</v>
      </c>
    </row>
    <row r="178" spans="1:26" ht="15.75" x14ac:dyDescent="0.25">
      <c r="A178" s="1" t="s">
        <v>26</v>
      </c>
      <c r="B178" s="1" t="s">
        <v>27</v>
      </c>
      <c r="C178" s="1" t="s">
        <v>427</v>
      </c>
      <c r="D178" s="1" t="s">
        <v>466</v>
      </c>
      <c r="E178" s="1" t="s">
        <v>30</v>
      </c>
      <c r="F178" s="1" t="s">
        <v>467</v>
      </c>
      <c r="G178" s="1" t="s">
        <v>45</v>
      </c>
      <c r="H178" s="1" t="s">
        <v>468</v>
      </c>
      <c r="I178" s="1" t="s">
        <v>48</v>
      </c>
      <c r="J178" s="1">
        <v>16.34</v>
      </c>
      <c r="K178" s="1" t="s">
        <v>464</v>
      </c>
      <c r="L178" s="1" t="s">
        <v>36</v>
      </c>
      <c r="M178" s="1">
        <v>6.05</v>
      </c>
      <c r="N178" s="1" t="s">
        <v>469</v>
      </c>
      <c r="O178" s="1" t="s">
        <v>38</v>
      </c>
      <c r="P178" s="1" t="s">
        <v>37</v>
      </c>
      <c r="Q178" s="1" t="s">
        <v>470</v>
      </c>
      <c r="R178" s="1" t="s">
        <v>471</v>
      </c>
      <c r="S178" s="1" t="s">
        <v>40</v>
      </c>
      <c r="T178" s="1">
        <v>933.68</v>
      </c>
      <c r="U178" s="1" t="s">
        <v>41</v>
      </c>
      <c r="V178" s="1" t="s">
        <v>30</v>
      </c>
      <c r="W178" s="1" t="s">
        <v>37</v>
      </c>
      <c r="X178" s="1" t="s">
        <v>30</v>
      </c>
      <c r="Y178" s="1" t="s">
        <v>37</v>
      </c>
      <c r="Z178" s="1" t="s">
        <v>42</v>
      </c>
    </row>
    <row r="179" spans="1:26" ht="15.75" x14ac:dyDescent="0.25">
      <c r="A179" s="1" t="s">
        <v>26</v>
      </c>
      <c r="B179" s="1" t="s">
        <v>27</v>
      </c>
      <c r="C179" s="1" t="s">
        <v>427</v>
      </c>
      <c r="D179" s="1" t="s">
        <v>466</v>
      </c>
      <c r="E179" s="1" t="s">
        <v>30</v>
      </c>
      <c r="F179" s="1" t="s">
        <v>467</v>
      </c>
      <c r="G179" s="1" t="s">
        <v>45</v>
      </c>
      <c r="H179" s="1" t="s">
        <v>62</v>
      </c>
      <c r="I179" s="1" t="s">
        <v>48</v>
      </c>
      <c r="J179" s="1">
        <v>16.34</v>
      </c>
      <c r="K179" s="1" t="s">
        <v>464</v>
      </c>
      <c r="L179" s="1" t="s">
        <v>36</v>
      </c>
      <c r="M179" s="1">
        <v>6.05</v>
      </c>
      <c r="N179" s="1" t="s">
        <v>469</v>
      </c>
      <c r="O179" s="1" t="s">
        <v>38</v>
      </c>
      <c r="P179" s="1" t="s">
        <v>37</v>
      </c>
      <c r="Q179" s="1" t="s">
        <v>470</v>
      </c>
      <c r="R179" s="1" t="s">
        <v>471</v>
      </c>
      <c r="S179" s="1" t="s">
        <v>40</v>
      </c>
      <c r="T179" s="1">
        <v>933.68</v>
      </c>
      <c r="U179" s="1" t="s">
        <v>41</v>
      </c>
      <c r="V179" s="1" t="s">
        <v>30</v>
      </c>
      <c r="W179" s="1" t="s">
        <v>37</v>
      </c>
      <c r="X179" s="1" t="s">
        <v>30</v>
      </c>
      <c r="Y179" s="1" t="s">
        <v>37</v>
      </c>
      <c r="Z179" s="1" t="s">
        <v>42</v>
      </c>
    </row>
    <row r="180" spans="1:26" ht="15.75" x14ac:dyDescent="0.25">
      <c r="A180" s="1" t="s">
        <v>26</v>
      </c>
      <c r="B180" s="1" t="s">
        <v>27</v>
      </c>
      <c r="C180" s="1" t="s">
        <v>427</v>
      </c>
      <c r="D180" s="1" t="s">
        <v>472</v>
      </c>
      <c r="E180" s="1" t="s">
        <v>30</v>
      </c>
      <c r="F180" s="1" t="s">
        <v>473</v>
      </c>
      <c r="G180" s="1" t="s">
        <v>45</v>
      </c>
      <c r="H180" s="1" t="s">
        <v>62</v>
      </c>
      <c r="I180" s="1" t="s">
        <v>48</v>
      </c>
      <c r="J180" s="1">
        <v>16.34</v>
      </c>
      <c r="K180" s="1" t="s">
        <v>464</v>
      </c>
      <c r="L180" s="1" t="s">
        <v>36</v>
      </c>
      <c r="M180" s="1">
        <v>6.05</v>
      </c>
      <c r="N180" s="1" t="s">
        <v>186</v>
      </c>
      <c r="O180" s="1" t="s">
        <v>38</v>
      </c>
      <c r="P180" s="1" t="s">
        <v>37</v>
      </c>
      <c r="Q180" s="1" t="s">
        <v>187</v>
      </c>
      <c r="R180" s="1" t="s">
        <v>474</v>
      </c>
      <c r="S180" s="1" t="s">
        <v>40</v>
      </c>
      <c r="T180" s="1">
        <v>933.68</v>
      </c>
      <c r="U180" s="1" t="s">
        <v>41</v>
      </c>
      <c r="V180" s="1" t="s">
        <v>30</v>
      </c>
      <c r="W180" s="1" t="s">
        <v>37</v>
      </c>
      <c r="X180" s="1" t="s">
        <v>30</v>
      </c>
      <c r="Y180" s="1" t="s">
        <v>37</v>
      </c>
      <c r="Z180" s="1" t="s">
        <v>42</v>
      </c>
    </row>
    <row r="181" spans="1:26" ht="15.75" x14ac:dyDescent="0.25">
      <c r="A181" s="1" t="s">
        <v>26</v>
      </c>
      <c r="B181" s="1" t="s">
        <v>27</v>
      </c>
      <c r="C181" s="1" t="s">
        <v>427</v>
      </c>
      <c r="D181" s="1" t="s">
        <v>475</v>
      </c>
      <c r="E181" s="1" t="s">
        <v>30</v>
      </c>
      <c r="F181" s="1" t="s">
        <v>476</v>
      </c>
      <c r="G181" s="1" t="s">
        <v>45</v>
      </c>
      <c r="H181" s="1" t="s">
        <v>62</v>
      </c>
      <c r="I181" s="1" t="s">
        <v>48</v>
      </c>
      <c r="J181" s="1">
        <v>16.34</v>
      </c>
      <c r="K181" s="1" t="s">
        <v>464</v>
      </c>
      <c r="L181" s="1" t="s">
        <v>36</v>
      </c>
      <c r="M181" s="1">
        <v>6.05</v>
      </c>
      <c r="N181" s="1" t="s">
        <v>345</v>
      </c>
      <c r="O181" s="1" t="s">
        <v>38</v>
      </c>
      <c r="P181" s="1" t="s">
        <v>37</v>
      </c>
      <c r="Q181" s="1" t="s">
        <v>346</v>
      </c>
      <c r="R181" s="1" t="s">
        <v>477</v>
      </c>
      <c r="S181" s="1" t="s">
        <v>40</v>
      </c>
      <c r="T181" s="1">
        <v>933.68</v>
      </c>
      <c r="U181" s="1" t="s">
        <v>41</v>
      </c>
      <c r="V181" s="1" t="s">
        <v>30</v>
      </c>
      <c r="W181" s="1" t="s">
        <v>37</v>
      </c>
      <c r="X181" s="1" t="s">
        <v>30</v>
      </c>
      <c r="Y181" s="1" t="s">
        <v>37</v>
      </c>
      <c r="Z181" s="1" t="s">
        <v>42</v>
      </c>
    </row>
    <row r="182" spans="1:26" ht="15.75" x14ac:dyDescent="0.25">
      <c r="A182" s="1" t="s">
        <v>26</v>
      </c>
      <c r="B182" s="1" t="s">
        <v>27</v>
      </c>
      <c r="C182" s="1" t="s">
        <v>427</v>
      </c>
      <c r="D182" s="1" t="s">
        <v>478</v>
      </c>
      <c r="E182" s="1" t="s">
        <v>30</v>
      </c>
      <c r="F182" s="1" t="s">
        <v>479</v>
      </c>
      <c r="G182" s="1" t="s">
        <v>32</v>
      </c>
      <c r="H182" s="1" t="s">
        <v>273</v>
      </c>
      <c r="I182" s="1" t="s">
        <v>48</v>
      </c>
      <c r="J182" s="1">
        <v>42.35</v>
      </c>
      <c r="K182" s="1" t="s">
        <v>480</v>
      </c>
      <c r="L182" s="1" t="s">
        <v>36</v>
      </c>
      <c r="M182" s="1">
        <v>15.67</v>
      </c>
      <c r="N182" s="1" t="s">
        <v>174</v>
      </c>
      <c r="O182" s="1" t="s">
        <v>38</v>
      </c>
      <c r="P182" s="1" t="s">
        <v>37</v>
      </c>
      <c r="Q182" s="1" t="s">
        <v>175</v>
      </c>
      <c r="R182" s="1" t="s">
        <v>481</v>
      </c>
      <c r="S182" s="1" t="s">
        <v>40</v>
      </c>
      <c r="T182" s="1">
        <v>933.68</v>
      </c>
      <c r="U182" s="1" t="s">
        <v>41</v>
      </c>
      <c r="V182" s="1" t="s">
        <v>30</v>
      </c>
      <c r="W182" s="1" t="s">
        <v>37</v>
      </c>
      <c r="X182" s="1" t="s">
        <v>30</v>
      </c>
      <c r="Y182" s="1" t="s">
        <v>37</v>
      </c>
      <c r="Z182" s="1" t="s">
        <v>42</v>
      </c>
    </row>
    <row r="183" spans="1:26" ht="15.75" x14ac:dyDescent="0.25">
      <c r="A183" s="1" t="s">
        <v>26</v>
      </c>
      <c r="B183" s="1" t="s">
        <v>27</v>
      </c>
      <c r="C183" s="1" t="s">
        <v>427</v>
      </c>
      <c r="D183" s="1" t="s">
        <v>478</v>
      </c>
      <c r="E183" s="1" t="s">
        <v>30</v>
      </c>
      <c r="F183" s="1" t="s">
        <v>479</v>
      </c>
      <c r="G183" s="1" t="s">
        <v>43</v>
      </c>
      <c r="H183" s="1" t="s">
        <v>273</v>
      </c>
      <c r="I183" s="1" t="s">
        <v>48</v>
      </c>
      <c r="J183" s="1">
        <v>1.5</v>
      </c>
      <c r="K183" s="1" t="s">
        <v>480</v>
      </c>
      <c r="L183" s="1" t="s">
        <v>36</v>
      </c>
      <c r="M183" s="1">
        <v>0.55000000000000004</v>
      </c>
      <c r="N183" s="1" t="s">
        <v>174</v>
      </c>
      <c r="O183" s="1" t="s">
        <v>38</v>
      </c>
      <c r="P183" s="1" t="s">
        <v>37</v>
      </c>
      <c r="Q183" s="1" t="s">
        <v>175</v>
      </c>
      <c r="R183" s="1" t="s">
        <v>481</v>
      </c>
      <c r="S183" s="1" t="s">
        <v>40</v>
      </c>
      <c r="T183" s="1">
        <v>933.68</v>
      </c>
      <c r="U183" s="1" t="s">
        <v>41</v>
      </c>
      <c r="V183" s="1" t="s">
        <v>30</v>
      </c>
      <c r="W183" s="1" t="s">
        <v>37</v>
      </c>
      <c r="X183" s="1" t="s">
        <v>30</v>
      </c>
      <c r="Y183" s="1" t="s">
        <v>37</v>
      </c>
      <c r="Z183" s="1" t="s">
        <v>42</v>
      </c>
    </row>
    <row r="184" spans="1:26" ht="15.75" x14ac:dyDescent="0.25">
      <c r="A184" s="1" t="s">
        <v>26</v>
      </c>
      <c r="B184" s="1" t="s">
        <v>27</v>
      </c>
      <c r="C184" s="1" t="s">
        <v>427</v>
      </c>
      <c r="D184" s="1" t="s">
        <v>482</v>
      </c>
      <c r="E184" s="1" t="s">
        <v>30</v>
      </c>
      <c r="F184" s="1" t="s">
        <v>483</v>
      </c>
      <c r="G184" s="1" t="s">
        <v>32</v>
      </c>
      <c r="H184" s="1" t="s">
        <v>273</v>
      </c>
      <c r="I184" s="1" t="s">
        <v>48</v>
      </c>
      <c r="J184" s="1">
        <v>37.03</v>
      </c>
      <c r="K184" s="1" t="s">
        <v>480</v>
      </c>
      <c r="L184" s="1" t="s">
        <v>36</v>
      </c>
      <c r="M184" s="1">
        <v>13.7</v>
      </c>
      <c r="N184" s="1" t="s">
        <v>336</v>
      </c>
      <c r="O184" s="1" t="s">
        <v>38</v>
      </c>
      <c r="P184" s="1" t="s">
        <v>37</v>
      </c>
      <c r="Q184" s="1" t="s">
        <v>337</v>
      </c>
      <c r="R184" s="1" t="s">
        <v>484</v>
      </c>
      <c r="S184" s="1" t="s">
        <v>40</v>
      </c>
      <c r="T184" s="1">
        <v>933.68</v>
      </c>
      <c r="U184" s="1" t="s">
        <v>41</v>
      </c>
      <c r="V184" s="1" t="s">
        <v>30</v>
      </c>
      <c r="W184" s="1" t="s">
        <v>37</v>
      </c>
      <c r="X184" s="1" t="s">
        <v>30</v>
      </c>
      <c r="Y184" s="1" t="s">
        <v>37</v>
      </c>
      <c r="Z184" s="1" t="s">
        <v>42</v>
      </c>
    </row>
    <row r="185" spans="1:26" ht="15.75" x14ac:dyDescent="0.25">
      <c r="A185" s="1" t="s">
        <v>26</v>
      </c>
      <c r="B185" s="1" t="s">
        <v>27</v>
      </c>
      <c r="C185" s="1" t="s">
        <v>427</v>
      </c>
      <c r="D185" s="1" t="s">
        <v>485</v>
      </c>
      <c r="E185" s="1" t="s">
        <v>30</v>
      </c>
      <c r="F185" s="1" t="s">
        <v>486</v>
      </c>
      <c r="G185" s="1" t="s">
        <v>32</v>
      </c>
      <c r="H185" s="1" t="s">
        <v>273</v>
      </c>
      <c r="I185" s="1" t="s">
        <v>48</v>
      </c>
      <c r="J185" s="1">
        <v>74.27</v>
      </c>
      <c r="K185" s="1" t="s">
        <v>480</v>
      </c>
      <c r="L185" s="1" t="s">
        <v>36</v>
      </c>
      <c r="M185" s="1">
        <v>27.48</v>
      </c>
      <c r="N185" s="1" t="s">
        <v>487</v>
      </c>
      <c r="O185" s="1" t="s">
        <v>38</v>
      </c>
      <c r="P185" s="1" t="s">
        <v>37</v>
      </c>
      <c r="Q185" s="1" t="s">
        <v>488</v>
      </c>
      <c r="R185" s="1" t="s">
        <v>489</v>
      </c>
      <c r="S185" s="1" t="s">
        <v>40</v>
      </c>
      <c r="T185" s="1">
        <v>933.68</v>
      </c>
      <c r="U185" s="1" t="s">
        <v>41</v>
      </c>
      <c r="V185" s="1" t="s">
        <v>30</v>
      </c>
      <c r="W185" s="1" t="s">
        <v>37</v>
      </c>
      <c r="X185" s="1" t="s">
        <v>30</v>
      </c>
      <c r="Y185" s="1" t="s">
        <v>37</v>
      </c>
      <c r="Z185" s="1" t="s">
        <v>42</v>
      </c>
    </row>
    <row r="186" spans="1:26" ht="15.75" x14ac:dyDescent="0.25">
      <c r="A186" s="1" t="s">
        <v>26</v>
      </c>
      <c r="B186" s="1" t="s">
        <v>27</v>
      </c>
      <c r="C186" s="1" t="s">
        <v>427</v>
      </c>
      <c r="D186" s="1" t="s">
        <v>490</v>
      </c>
      <c r="E186" s="1" t="s">
        <v>30</v>
      </c>
      <c r="F186" s="1" t="s">
        <v>491</v>
      </c>
      <c r="G186" s="1" t="s">
        <v>32</v>
      </c>
      <c r="H186" s="1" t="s">
        <v>86</v>
      </c>
      <c r="I186" s="1" t="s">
        <v>48</v>
      </c>
      <c r="J186" s="1">
        <v>36.29</v>
      </c>
      <c r="K186" s="1" t="s">
        <v>492</v>
      </c>
      <c r="L186" s="1" t="s">
        <v>36</v>
      </c>
      <c r="M186" s="1">
        <v>13.43</v>
      </c>
      <c r="N186" s="1" t="s">
        <v>95</v>
      </c>
      <c r="O186" s="1" t="s">
        <v>38</v>
      </c>
      <c r="P186" s="1" t="s">
        <v>37</v>
      </c>
      <c r="Q186" s="1" t="s">
        <v>96</v>
      </c>
      <c r="R186" s="1" t="s">
        <v>493</v>
      </c>
      <c r="S186" s="1" t="s">
        <v>40</v>
      </c>
      <c r="T186" s="1">
        <v>933.68</v>
      </c>
      <c r="U186" s="1" t="s">
        <v>41</v>
      </c>
      <c r="V186" s="1" t="s">
        <v>30</v>
      </c>
      <c r="W186" s="1" t="s">
        <v>37</v>
      </c>
      <c r="X186" s="1" t="s">
        <v>30</v>
      </c>
      <c r="Y186" s="1" t="s">
        <v>37</v>
      </c>
      <c r="Z186" s="1" t="s">
        <v>42</v>
      </c>
    </row>
    <row r="187" spans="1:26" ht="15.75" x14ac:dyDescent="0.25">
      <c r="A187" s="1" t="s">
        <v>26</v>
      </c>
      <c r="B187" s="1" t="s">
        <v>27</v>
      </c>
      <c r="C187" s="1" t="s">
        <v>427</v>
      </c>
      <c r="D187" s="1" t="s">
        <v>490</v>
      </c>
      <c r="E187" s="1" t="s">
        <v>30</v>
      </c>
      <c r="F187" s="1" t="s">
        <v>491</v>
      </c>
      <c r="G187" s="1" t="s">
        <v>43</v>
      </c>
      <c r="H187" s="1" t="s">
        <v>86</v>
      </c>
      <c r="I187" s="1" t="s">
        <v>48</v>
      </c>
      <c r="J187" s="1">
        <v>1.5</v>
      </c>
      <c r="K187" s="1" t="s">
        <v>492</v>
      </c>
      <c r="L187" s="1" t="s">
        <v>36</v>
      </c>
      <c r="M187" s="1">
        <v>0.55000000000000004</v>
      </c>
      <c r="N187" s="1" t="s">
        <v>95</v>
      </c>
      <c r="O187" s="1" t="s">
        <v>38</v>
      </c>
      <c r="P187" s="1" t="s">
        <v>37</v>
      </c>
      <c r="Q187" s="1" t="s">
        <v>96</v>
      </c>
      <c r="R187" s="1" t="s">
        <v>493</v>
      </c>
      <c r="S187" s="1" t="s">
        <v>40</v>
      </c>
      <c r="T187" s="1">
        <v>933.68</v>
      </c>
      <c r="U187" s="1" t="s">
        <v>41</v>
      </c>
      <c r="V187" s="1" t="s">
        <v>30</v>
      </c>
      <c r="W187" s="1" t="s">
        <v>37</v>
      </c>
      <c r="X187" s="1" t="s">
        <v>30</v>
      </c>
      <c r="Y187" s="1" t="s">
        <v>37</v>
      </c>
      <c r="Z187" s="1" t="s">
        <v>42</v>
      </c>
    </row>
    <row r="188" spans="1:26" ht="15.75" x14ac:dyDescent="0.25">
      <c r="A188" s="1" t="s">
        <v>26</v>
      </c>
      <c r="B188" s="1" t="s">
        <v>27</v>
      </c>
      <c r="C188" s="1" t="s">
        <v>427</v>
      </c>
      <c r="D188" s="1" t="s">
        <v>494</v>
      </c>
      <c r="E188" s="1" t="s">
        <v>30</v>
      </c>
      <c r="F188" s="1" t="s">
        <v>491</v>
      </c>
      <c r="G188" s="1" t="s">
        <v>45</v>
      </c>
      <c r="H188" s="1" t="s">
        <v>86</v>
      </c>
      <c r="I188" s="1" t="s">
        <v>48</v>
      </c>
      <c r="J188" s="1">
        <v>16.34</v>
      </c>
      <c r="K188" s="1" t="s">
        <v>492</v>
      </c>
      <c r="L188" s="1" t="s">
        <v>36</v>
      </c>
      <c r="M188" s="1">
        <v>6.05</v>
      </c>
      <c r="N188" s="1" t="s">
        <v>95</v>
      </c>
      <c r="O188" s="1" t="s">
        <v>38</v>
      </c>
      <c r="P188" s="1" t="s">
        <v>37</v>
      </c>
      <c r="Q188" s="1" t="s">
        <v>96</v>
      </c>
      <c r="R188" s="1" t="s">
        <v>493</v>
      </c>
      <c r="S188" s="1" t="s">
        <v>40</v>
      </c>
      <c r="T188" s="1">
        <v>933.68</v>
      </c>
      <c r="U188" s="1" t="s">
        <v>41</v>
      </c>
      <c r="V188" s="1" t="s">
        <v>30</v>
      </c>
      <c r="W188" s="1" t="s">
        <v>37</v>
      </c>
      <c r="X188" s="1" t="s">
        <v>30</v>
      </c>
      <c r="Y188" s="1" t="s">
        <v>37</v>
      </c>
      <c r="Z188" s="1" t="s">
        <v>42</v>
      </c>
    </row>
    <row r="189" spans="1:26" ht="15.75" x14ac:dyDescent="0.25">
      <c r="A189" s="1" t="s">
        <v>26</v>
      </c>
      <c r="B189" s="1" t="s">
        <v>27</v>
      </c>
      <c r="C189" s="1" t="s">
        <v>427</v>
      </c>
      <c r="D189" s="1" t="s">
        <v>495</v>
      </c>
      <c r="E189" s="1" t="s">
        <v>30</v>
      </c>
      <c r="F189" s="1" t="s">
        <v>496</v>
      </c>
      <c r="G189" s="1" t="s">
        <v>32</v>
      </c>
      <c r="H189" s="1" t="s">
        <v>86</v>
      </c>
      <c r="I189" s="1" t="s">
        <v>48</v>
      </c>
      <c r="J189" s="1">
        <v>42.35</v>
      </c>
      <c r="K189" s="1" t="s">
        <v>492</v>
      </c>
      <c r="L189" s="1" t="s">
        <v>36</v>
      </c>
      <c r="M189" s="1">
        <v>15.67</v>
      </c>
      <c r="N189" s="1" t="s">
        <v>174</v>
      </c>
      <c r="O189" s="1" t="s">
        <v>38</v>
      </c>
      <c r="P189" s="1" t="s">
        <v>37</v>
      </c>
      <c r="Q189" s="1" t="s">
        <v>175</v>
      </c>
      <c r="R189" s="1" t="s">
        <v>497</v>
      </c>
      <c r="S189" s="1" t="s">
        <v>40</v>
      </c>
      <c r="T189" s="1">
        <v>933.68</v>
      </c>
      <c r="U189" s="1" t="s">
        <v>41</v>
      </c>
      <c r="V189" s="1" t="s">
        <v>30</v>
      </c>
      <c r="W189" s="1" t="s">
        <v>37</v>
      </c>
      <c r="X189" s="1" t="s">
        <v>30</v>
      </c>
      <c r="Y189" s="1" t="s">
        <v>37</v>
      </c>
      <c r="Z189" s="1" t="s">
        <v>42</v>
      </c>
    </row>
    <row r="190" spans="1:26" ht="15.75" x14ac:dyDescent="0.25">
      <c r="A190" s="1" t="s">
        <v>26</v>
      </c>
      <c r="B190" s="1" t="s">
        <v>27</v>
      </c>
      <c r="C190" s="1" t="s">
        <v>427</v>
      </c>
      <c r="D190" s="1" t="s">
        <v>495</v>
      </c>
      <c r="E190" s="1" t="s">
        <v>30</v>
      </c>
      <c r="F190" s="1" t="s">
        <v>496</v>
      </c>
      <c r="G190" s="1" t="s">
        <v>43</v>
      </c>
      <c r="H190" s="1" t="s">
        <v>86</v>
      </c>
      <c r="I190" s="1" t="s">
        <v>48</v>
      </c>
      <c r="J190" s="1">
        <v>1.5</v>
      </c>
      <c r="K190" s="1" t="s">
        <v>492</v>
      </c>
      <c r="L190" s="1" t="s">
        <v>36</v>
      </c>
      <c r="M190" s="1">
        <v>0.55000000000000004</v>
      </c>
      <c r="N190" s="1" t="s">
        <v>174</v>
      </c>
      <c r="O190" s="1" t="s">
        <v>38</v>
      </c>
      <c r="P190" s="1" t="s">
        <v>37</v>
      </c>
      <c r="Q190" s="1" t="s">
        <v>175</v>
      </c>
      <c r="R190" s="1" t="s">
        <v>497</v>
      </c>
      <c r="S190" s="1" t="s">
        <v>40</v>
      </c>
      <c r="T190" s="1">
        <v>933.68</v>
      </c>
      <c r="U190" s="1" t="s">
        <v>41</v>
      </c>
      <c r="V190" s="1" t="s">
        <v>30</v>
      </c>
      <c r="W190" s="1" t="s">
        <v>37</v>
      </c>
      <c r="X190" s="1" t="s">
        <v>30</v>
      </c>
      <c r="Y190" s="1" t="s">
        <v>37</v>
      </c>
      <c r="Z190" s="1" t="s">
        <v>42</v>
      </c>
    </row>
    <row r="191" spans="1:26" ht="15.75" x14ac:dyDescent="0.25">
      <c r="A191" s="1" t="s">
        <v>26</v>
      </c>
      <c r="B191" s="1" t="s">
        <v>27</v>
      </c>
      <c r="C191" s="1" t="s">
        <v>427</v>
      </c>
      <c r="D191" s="1" t="s">
        <v>498</v>
      </c>
      <c r="E191" s="1" t="s">
        <v>30</v>
      </c>
      <c r="F191" s="1" t="s">
        <v>499</v>
      </c>
      <c r="G191" s="1" t="s">
        <v>32</v>
      </c>
      <c r="H191" s="1" t="s">
        <v>48</v>
      </c>
      <c r="I191" s="1" t="s">
        <v>33</v>
      </c>
      <c r="J191" s="1">
        <v>33.700000000000003</v>
      </c>
      <c r="K191" s="1" t="s">
        <v>446</v>
      </c>
      <c r="L191" s="1" t="s">
        <v>36</v>
      </c>
      <c r="M191" s="1">
        <v>12.47</v>
      </c>
      <c r="N191" s="1" t="s">
        <v>50</v>
      </c>
      <c r="O191" s="1" t="s">
        <v>38</v>
      </c>
      <c r="P191" s="1" t="s">
        <v>37</v>
      </c>
      <c r="Q191" s="1" t="s">
        <v>51</v>
      </c>
      <c r="R191" s="1" t="s">
        <v>500</v>
      </c>
      <c r="S191" s="1" t="s">
        <v>40</v>
      </c>
      <c r="T191" s="1">
        <v>933.68</v>
      </c>
      <c r="U191" s="1" t="s">
        <v>41</v>
      </c>
      <c r="V191" s="1" t="s">
        <v>30</v>
      </c>
      <c r="W191" s="1" t="s">
        <v>37</v>
      </c>
      <c r="X191" s="1" t="s">
        <v>30</v>
      </c>
      <c r="Y191" s="1" t="s">
        <v>37</v>
      </c>
      <c r="Z191" s="1" t="s">
        <v>42</v>
      </c>
    </row>
    <row r="192" spans="1:26" ht="15.75" x14ac:dyDescent="0.25">
      <c r="A192" s="1" t="s">
        <v>26</v>
      </c>
      <c r="B192" s="1" t="s">
        <v>27</v>
      </c>
      <c r="C192" s="1" t="s">
        <v>427</v>
      </c>
      <c r="D192" s="1" t="s">
        <v>501</v>
      </c>
      <c r="E192" s="1" t="s">
        <v>30</v>
      </c>
      <c r="F192" s="1" t="s">
        <v>502</v>
      </c>
      <c r="G192" s="1" t="s">
        <v>32</v>
      </c>
      <c r="H192" s="1" t="s">
        <v>48</v>
      </c>
      <c r="I192" s="1" t="s">
        <v>33</v>
      </c>
      <c r="J192" s="1">
        <v>31.82</v>
      </c>
      <c r="K192" s="1" t="s">
        <v>503</v>
      </c>
      <c r="L192" s="1" t="s">
        <v>36</v>
      </c>
      <c r="M192" s="1">
        <v>0</v>
      </c>
      <c r="N192" s="1" t="s">
        <v>71</v>
      </c>
      <c r="O192" s="1" t="s">
        <v>38</v>
      </c>
      <c r="P192" s="1" t="s">
        <v>504</v>
      </c>
      <c r="Q192" s="1" t="s">
        <v>73</v>
      </c>
      <c r="R192" s="1" t="s">
        <v>505</v>
      </c>
      <c r="S192" s="1" t="s">
        <v>40</v>
      </c>
      <c r="T192" s="1">
        <v>933.68</v>
      </c>
      <c r="U192" s="1" t="s">
        <v>41</v>
      </c>
      <c r="V192" s="1" t="s">
        <v>30</v>
      </c>
      <c r="W192" s="1" t="s">
        <v>37</v>
      </c>
      <c r="X192" s="1" t="s">
        <v>30</v>
      </c>
      <c r="Y192" s="1" t="s">
        <v>37</v>
      </c>
      <c r="Z192" s="1" t="s">
        <v>42</v>
      </c>
    </row>
    <row r="193" spans="1:26" ht="15.75" x14ac:dyDescent="0.25">
      <c r="A193" s="1" t="s">
        <v>26</v>
      </c>
      <c r="B193" s="1" t="s">
        <v>27</v>
      </c>
      <c r="C193" s="1" t="s">
        <v>427</v>
      </c>
      <c r="D193" s="1" t="s">
        <v>506</v>
      </c>
      <c r="E193" s="1" t="s">
        <v>30</v>
      </c>
      <c r="F193" s="1" t="s">
        <v>502</v>
      </c>
      <c r="G193" s="1" t="s">
        <v>45</v>
      </c>
      <c r="H193" s="1" t="s">
        <v>48</v>
      </c>
      <c r="I193" s="1" t="s">
        <v>33</v>
      </c>
      <c r="J193" s="1">
        <v>16.34</v>
      </c>
      <c r="K193" s="1" t="s">
        <v>503</v>
      </c>
      <c r="L193" s="1" t="s">
        <v>36</v>
      </c>
      <c r="M193" s="1">
        <v>0</v>
      </c>
      <c r="N193" s="1" t="s">
        <v>71</v>
      </c>
      <c r="O193" s="1" t="s">
        <v>38</v>
      </c>
      <c r="P193" s="1" t="s">
        <v>413</v>
      </c>
      <c r="Q193" s="1" t="s">
        <v>73</v>
      </c>
      <c r="R193" s="1" t="s">
        <v>505</v>
      </c>
      <c r="S193" s="1" t="s">
        <v>40</v>
      </c>
      <c r="T193" s="1">
        <v>933.68</v>
      </c>
      <c r="U193" s="1" t="s">
        <v>41</v>
      </c>
      <c r="V193" s="1" t="s">
        <v>30</v>
      </c>
      <c r="W193" s="1" t="s">
        <v>37</v>
      </c>
      <c r="X193" s="1" t="s">
        <v>30</v>
      </c>
      <c r="Y193" s="1" t="s">
        <v>37</v>
      </c>
      <c r="Z193" s="1" t="s">
        <v>42</v>
      </c>
    </row>
    <row r="194" spans="1:26" ht="15.75" x14ac:dyDescent="0.25">
      <c r="A194" s="1" t="s">
        <v>26</v>
      </c>
      <c r="B194" s="1" t="s">
        <v>27</v>
      </c>
      <c r="C194" s="1" t="s">
        <v>427</v>
      </c>
      <c r="D194" s="1" t="s">
        <v>507</v>
      </c>
      <c r="E194" s="1" t="s">
        <v>30</v>
      </c>
      <c r="F194" s="1" t="s">
        <v>508</v>
      </c>
      <c r="G194" s="1" t="s">
        <v>32</v>
      </c>
      <c r="H194" s="1" t="s">
        <v>436</v>
      </c>
      <c r="I194" s="1" t="s">
        <v>147</v>
      </c>
      <c r="J194" s="1">
        <v>36.29</v>
      </c>
      <c r="K194" s="1" t="s">
        <v>509</v>
      </c>
      <c r="L194" s="1" t="s">
        <v>36</v>
      </c>
      <c r="M194" s="1">
        <v>13.43</v>
      </c>
      <c r="N194" s="1" t="s">
        <v>95</v>
      </c>
      <c r="O194" s="1" t="s">
        <v>38</v>
      </c>
      <c r="P194" s="1" t="s">
        <v>37</v>
      </c>
      <c r="Q194" s="1" t="s">
        <v>96</v>
      </c>
      <c r="R194" s="1" t="s">
        <v>510</v>
      </c>
      <c r="S194" s="1" t="s">
        <v>40</v>
      </c>
      <c r="T194" s="1">
        <v>933.68</v>
      </c>
      <c r="U194" s="1" t="s">
        <v>41</v>
      </c>
      <c r="V194" s="1" t="s">
        <v>30</v>
      </c>
      <c r="W194" s="1" t="s">
        <v>37</v>
      </c>
      <c r="X194" s="1" t="s">
        <v>30</v>
      </c>
      <c r="Y194" s="1" t="s">
        <v>37</v>
      </c>
      <c r="Z194" s="1" t="s">
        <v>42</v>
      </c>
    </row>
    <row r="195" spans="1:26" ht="15.75" x14ac:dyDescent="0.25">
      <c r="A195" s="1" t="s">
        <v>26</v>
      </c>
      <c r="B195" s="1" t="s">
        <v>27</v>
      </c>
      <c r="C195" s="1" t="s">
        <v>427</v>
      </c>
      <c r="D195" s="1" t="s">
        <v>507</v>
      </c>
      <c r="E195" s="1" t="s">
        <v>30</v>
      </c>
      <c r="F195" s="1" t="s">
        <v>508</v>
      </c>
      <c r="G195" s="1" t="s">
        <v>43</v>
      </c>
      <c r="H195" s="1" t="s">
        <v>436</v>
      </c>
      <c r="I195" s="1" t="s">
        <v>147</v>
      </c>
      <c r="J195" s="1">
        <v>1.5</v>
      </c>
      <c r="K195" s="1" t="s">
        <v>509</v>
      </c>
      <c r="L195" s="1" t="s">
        <v>36</v>
      </c>
      <c r="M195" s="1">
        <v>0.55000000000000004</v>
      </c>
      <c r="N195" s="1" t="s">
        <v>95</v>
      </c>
      <c r="O195" s="1" t="s">
        <v>38</v>
      </c>
      <c r="P195" s="1" t="s">
        <v>37</v>
      </c>
      <c r="Q195" s="1" t="s">
        <v>96</v>
      </c>
      <c r="R195" s="1" t="s">
        <v>510</v>
      </c>
      <c r="S195" s="1" t="s">
        <v>40</v>
      </c>
      <c r="T195" s="1">
        <v>933.68</v>
      </c>
      <c r="U195" s="1" t="s">
        <v>41</v>
      </c>
      <c r="V195" s="1" t="s">
        <v>30</v>
      </c>
      <c r="W195" s="1" t="s">
        <v>37</v>
      </c>
      <c r="X195" s="1" t="s">
        <v>30</v>
      </c>
      <c r="Y195" s="1" t="s">
        <v>37</v>
      </c>
      <c r="Z195" s="1" t="s">
        <v>42</v>
      </c>
    </row>
    <row r="196" spans="1:26" ht="15.75" x14ac:dyDescent="0.25">
      <c r="A196" s="1" t="s">
        <v>26</v>
      </c>
      <c r="B196" s="1" t="s">
        <v>27</v>
      </c>
      <c r="C196" s="1" t="s">
        <v>427</v>
      </c>
      <c r="D196" s="1" t="s">
        <v>511</v>
      </c>
      <c r="E196" s="1" t="s">
        <v>30</v>
      </c>
      <c r="F196" s="1" t="s">
        <v>508</v>
      </c>
      <c r="G196" s="1" t="s">
        <v>45</v>
      </c>
      <c r="H196" s="1" t="s">
        <v>436</v>
      </c>
      <c r="I196" s="1" t="s">
        <v>147</v>
      </c>
      <c r="J196" s="1">
        <v>16.34</v>
      </c>
      <c r="K196" s="1" t="s">
        <v>509</v>
      </c>
      <c r="L196" s="1" t="s">
        <v>36</v>
      </c>
      <c r="M196" s="1">
        <v>6.05</v>
      </c>
      <c r="N196" s="1" t="s">
        <v>95</v>
      </c>
      <c r="O196" s="1" t="s">
        <v>38</v>
      </c>
      <c r="P196" s="1" t="s">
        <v>37</v>
      </c>
      <c r="Q196" s="1" t="s">
        <v>96</v>
      </c>
      <c r="R196" s="1" t="s">
        <v>510</v>
      </c>
      <c r="S196" s="1" t="s">
        <v>40</v>
      </c>
      <c r="T196" s="1">
        <v>933.68</v>
      </c>
      <c r="U196" s="1" t="s">
        <v>41</v>
      </c>
      <c r="V196" s="1" t="s">
        <v>30</v>
      </c>
      <c r="W196" s="1" t="s">
        <v>37</v>
      </c>
      <c r="X196" s="1" t="s">
        <v>30</v>
      </c>
      <c r="Y196" s="1" t="s">
        <v>37</v>
      </c>
      <c r="Z196" s="1" t="s">
        <v>42</v>
      </c>
    </row>
    <row r="197" spans="1:26" ht="15.75" x14ac:dyDescent="0.25">
      <c r="A197" s="1" t="s">
        <v>26</v>
      </c>
      <c r="B197" s="1" t="s">
        <v>27</v>
      </c>
      <c r="C197" s="1" t="s">
        <v>427</v>
      </c>
      <c r="D197" s="1" t="s">
        <v>512</v>
      </c>
      <c r="E197" s="1" t="s">
        <v>30</v>
      </c>
      <c r="F197" s="1" t="s">
        <v>513</v>
      </c>
      <c r="G197" s="1" t="s">
        <v>45</v>
      </c>
      <c r="H197" s="1" t="s">
        <v>81</v>
      </c>
      <c r="I197" s="1" t="s">
        <v>137</v>
      </c>
      <c r="J197" s="1">
        <v>-16.34</v>
      </c>
      <c r="K197" s="1" t="s">
        <v>514</v>
      </c>
      <c r="L197" s="1" t="s">
        <v>36</v>
      </c>
      <c r="M197" s="1">
        <v>-6.05</v>
      </c>
      <c r="N197" s="1" t="s">
        <v>57</v>
      </c>
      <c r="O197" s="1" t="s">
        <v>38</v>
      </c>
      <c r="P197" s="1" t="s">
        <v>37</v>
      </c>
      <c r="Q197" s="1" t="s">
        <v>58</v>
      </c>
      <c r="R197" s="1" t="s">
        <v>515</v>
      </c>
      <c r="S197" s="1" t="s">
        <v>40</v>
      </c>
      <c r="T197" s="1">
        <v>933.68</v>
      </c>
      <c r="U197" s="1" t="s">
        <v>41</v>
      </c>
      <c r="V197" s="1" t="s">
        <v>30</v>
      </c>
      <c r="W197" s="1" t="s">
        <v>37</v>
      </c>
      <c r="X197" s="1" t="s">
        <v>30</v>
      </c>
      <c r="Y197" s="1" t="s">
        <v>37</v>
      </c>
      <c r="Z197" s="1" t="s">
        <v>426</v>
      </c>
    </row>
    <row r="198" spans="1:26" ht="15.75" x14ac:dyDescent="0.25">
      <c r="A198" s="1" t="s">
        <v>26</v>
      </c>
      <c r="B198" s="1" t="s">
        <v>27</v>
      </c>
      <c r="C198" s="1" t="s">
        <v>427</v>
      </c>
      <c r="D198" s="1" t="s">
        <v>516</v>
      </c>
      <c r="E198" s="1" t="s">
        <v>30</v>
      </c>
      <c r="F198" s="1" t="s">
        <v>517</v>
      </c>
      <c r="G198" s="1" t="s">
        <v>32</v>
      </c>
      <c r="H198" s="1" t="s">
        <v>48</v>
      </c>
      <c r="I198" s="1" t="s">
        <v>33</v>
      </c>
      <c r="J198" s="1">
        <v>36.29</v>
      </c>
      <c r="K198" s="1" t="s">
        <v>518</v>
      </c>
      <c r="L198" s="1" t="s">
        <v>36</v>
      </c>
      <c r="M198" s="1">
        <v>13.43</v>
      </c>
      <c r="N198" s="1" t="s">
        <v>95</v>
      </c>
      <c r="O198" s="1" t="s">
        <v>38</v>
      </c>
      <c r="P198" s="1" t="s">
        <v>37</v>
      </c>
      <c r="Q198" s="1" t="s">
        <v>96</v>
      </c>
      <c r="R198" s="1" t="s">
        <v>519</v>
      </c>
      <c r="S198" s="1" t="s">
        <v>40</v>
      </c>
      <c r="T198" s="1">
        <v>933.68</v>
      </c>
      <c r="U198" s="1" t="s">
        <v>41</v>
      </c>
      <c r="V198" s="1" t="s">
        <v>30</v>
      </c>
      <c r="W198" s="1" t="s">
        <v>37</v>
      </c>
      <c r="X198" s="1" t="s">
        <v>30</v>
      </c>
      <c r="Y198" s="1" t="s">
        <v>37</v>
      </c>
      <c r="Z198" s="1" t="s">
        <v>42</v>
      </c>
    </row>
    <row r="199" spans="1:26" ht="15.75" x14ac:dyDescent="0.25">
      <c r="A199" s="1" t="s">
        <v>26</v>
      </c>
      <c r="B199" s="1" t="s">
        <v>27</v>
      </c>
      <c r="C199" s="1" t="s">
        <v>427</v>
      </c>
      <c r="D199" s="1" t="s">
        <v>516</v>
      </c>
      <c r="E199" s="1" t="s">
        <v>30</v>
      </c>
      <c r="F199" s="1" t="s">
        <v>517</v>
      </c>
      <c r="G199" s="1" t="s">
        <v>43</v>
      </c>
      <c r="H199" s="1" t="s">
        <v>48</v>
      </c>
      <c r="I199" s="1" t="s">
        <v>33</v>
      </c>
      <c r="J199" s="1">
        <v>1.5</v>
      </c>
      <c r="K199" s="1" t="s">
        <v>518</v>
      </c>
      <c r="L199" s="1" t="s">
        <v>36</v>
      </c>
      <c r="M199" s="1">
        <v>0.55000000000000004</v>
      </c>
      <c r="N199" s="1" t="s">
        <v>95</v>
      </c>
      <c r="O199" s="1" t="s">
        <v>38</v>
      </c>
      <c r="P199" s="1" t="s">
        <v>37</v>
      </c>
      <c r="Q199" s="1" t="s">
        <v>96</v>
      </c>
      <c r="R199" s="1" t="s">
        <v>519</v>
      </c>
      <c r="S199" s="1" t="s">
        <v>40</v>
      </c>
      <c r="T199" s="1">
        <v>933.68</v>
      </c>
      <c r="U199" s="1" t="s">
        <v>41</v>
      </c>
      <c r="V199" s="1" t="s">
        <v>30</v>
      </c>
      <c r="W199" s="1" t="s">
        <v>37</v>
      </c>
      <c r="X199" s="1" t="s">
        <v>30</v>
      </c>
      <c r="Y199" s="1" t="s">
        <v>37</v>
      </c>
      <c r="Z199" s="1" t="s">
        <v>42</v>
      </c>
    </row>
    <row r="200" spans="1:26" ht="15.75" x14ac:dyDescent="0.25">
      <c r="A200" s="1" t="s">
        <v>26</v>
      </c>
      <c r="B200" s="1" t="s">
        <v>27</v>
      </c>
      <c r="C200" s="1" t="s">
        <v>427</v>
      </c>
      <c r="D200" s="1" t="s">
        <v>520</v>
      </c>
      <c r="E200" s="1" t="s">
        <v>30</v>
      </c>
      <c r="F200" s="1" t="s">
        <v>521</v>
      </c>
      <c r="G200" s="1" t="s">
        <v>32</v>
      </c>
      <c r="H200" s="1" t="s">
        <v>33</v>
      </c>
      <c r="I200" s="1" t="s">
        <v>34</v>
      </c>
      <c r="J200" s="1">
        <v>44.81</v>
      </c>
      <c r="K200" s="1" t="s">
        <v>522</v>
      </c>
      <c r="L200" s="1" t="s">
        <v>36</v>
      </c>
      <c r="M200" s="1">
        <v>16.579999999999998</v>
      </c>
      <c r="N200" s="1" t="s">
        <v>322</v>
      </c>
      <c r="O200" s="1" t="s">
        <v>38</v>
      </c>
      <c r="P200" s="1" t="s">
        <v>37</v>
      </c>
      <c r="Q200" s="1" t="s">
        <v>323</v>
      </c>
      <c r="R200" s="1" t="s">
        <v>523</v>
      </c>
      <c r="S200" s="1" t="s">
        <v>40</v>
      </c>
      <c r="T200" s="1">
        <v>933.68</v>
      </c>
      <c r="U200" s="1" t="s">
        <v>41</v>
      </c>
      <c r="V200" s="1" t="s">
        <v>30</v>
      </c>
      <c r="W200" s="1" t="s">
        <v>37</v>
      </c>
      <c r="X200" s="1" t="s">
        <v>30</v>
      </c>
      <c r="Y200" s="1" t="s">
        <v>37</v>
      </c>
      <c r="Z200" s="1" t="s">
        <v>42</v>
      </c>
    </row>
    <row r="201" spans="1:26" ht="15.75" x14ac:dyDescent="0.25">
      <c r="A201" s="1" t="s">
        <v>26</v>
      </c>
      <c r="B201" s="1" t="s">
        <v>27</v>
      </c>
      <c r="C201" s="1" t="s">
        <v>427</v>
      </c>
      <c r="D201" s="1" t="s">
        <v>524</v>
      </c>
      <c r="E201" s="1" t="s">
        <v>30</v>
      </c>
      <c r="F201" s="1" t="s">
        <v>525</v>
      </c>
      <c r="G201" s="1" t="s">
        <v>45</v>
      </c>
      <c r="H201" s="1" t="s">
        <v>62</v>
      </c>
      <c r="I201" s="1" t="s">
        <v>48</v>
      </c>
      <c r="J201" s="1">
        <v>13.07</v>
      </c>
      <c r="K201" s="1" t="s">
        <v>526</v>
      </c>
      <c r="L201" s="1" t="s">
        <v>36</v>
      </c>
      <c r="M201" s="1">
        <v>4.84</v>
      </c>
      <c r="N201" s="1" t="s">
        <v>527</v>
      </c>
      <c r="O201" s="1" t="s">
        <v>38</v>
      </c>
      <c r="P201" s="1" t="s">
        <v>37</v>
      </c>
      <c r="Q201" s="1" t="s">
        <v>528</v>
      </c>
      <c r="R201" s="1" t="s">
        <v>529</v>
      </c>
      <c r="S201" s="1" t="s">
        <v>40</v>
      </c>
      <c r="T201" s="1">
        <v>933.68</v>
      </c>
      <c r="U201" s="1" t="s">
        <v>41</v>
      </c>
      <c r="V201" s="1" t="s">
        <v>30</v>
      </c>
      <c r="W201" s="1" t="s">
        <v>37</v>
      </c>
      <c r="X201" s="1" t="s">
        <v>30</v>
      </c>
      <c r="Y201" s="1" t="s">
        <v>37</v>
      </c>
      <c r="Z201" s="1" t="s">
        <v>42</v>
      </c>
    </row>
    <row r="202" spans="1:26" ht="15.75" x14ac:dyDescent="0.25">
      <c r="A202" s="1" t="s">
        <v>26</v>
      </c>
      <c r="B202" s="1" t="s">
        <v>27</v>
      </c>
      <c r="C202" s="1" t="s">
        <v>427</v>
      </c>
      <c r="D202" s="1" t="s">
        <v>530</v>
      </c>
      <c r="E202" s="1" t="s">
        <v>30</v>
      </c>
      <c r="F202" s="1" t="s">
        <v>531</v>
      </c>
      <c r="G202" s="1" t="s">
        <v>45</v>
      </c>
      <c r="H202" s="1" t="s">
        <v>273</v>
      </c>
      <c r="I202" s="1" t="s">
        <v>48</v>
      </c>
      <c r="J202" s="1">
        <v>16.34</v>
      </c>
      <c r="K202" s="1" t="s">
        <v>532</v>
      </c>
      <c r="L202" s="1" t="s">
        <v>36</v>
      </c>
      <c r="M202" s="1">
        <v>6.05</v>
      </c>
      <c r="N202" s="1" t="s">
        <v>57</v>
      </c>
      <c r="O202" s="1" t="s">
        <v>38</v>
      </c>
      <c r="P202" s="1" t="s">
        <v>37</v>
      </c>
      <c r="Q202" s="1" t="s">
        <v>58</v>
      </c>
      <c r="R202" s="1" t="s">
        <v>533</v>
      </c>
      <c r="S202" s="1" t="s">
        <v>40</v>
      </c>
      <c r="T202" s="1">
        <v>933.68</v>
      </c>
      <c r="U202" s="1" t="s">
        <v>41</v>
      </c>
      <c r="V202" s="1" t="s">
        <v>30</v>
      </c>
      <c r="W202" s="1" t="s">
        <v>37</v>
      </c>
      <c r="X202" s="1" t="s">
        <v>30</v>
      </c>
      <c r="Y202" s="1" t="s">
        <v>37</v>
      </c>
      <c r="Z202" s="1" t="s">
        <v>42</v>
      </c>
    </row>
    <row r="203" spans="1:26" ht="15.75" x14ac:dyDescent="0.25">
      <c r="A203" s="1" t="s">
        <v>26</v>
      </c>
      <c r="B203" s="1" t="s">
        <v>27</v>
      </c>
      <c r="C203" s="1" t="s">
        <v>427</v>
      </c>
      <c r="D203" s="1" t="s">
        <v>534</v>
      </c>
      <c r="E203" s="1" t="s">
        <v>30</v>
      </c>
      <c r="F203" s="1" t="s">
        <v>535</v>
      </c>
      <c r="G203" s="1" t="s">
        <v>45</v>
      </c>
      <c r="H203" s="1" t="s">
        <v>273</v>
      </c>
      <c r="I203" s="1" t="s">
        <v>48</v>
      </c>
      <c r="J203" s="1">
        <v>10.67</v>
      </c>
      <c r="K203" s="1" t="s">
        <v>532</v>
      </c>
      <c r="L203" s="1" t="s">
        <v>36</v>
      </c>
      <c r="M203" s="1">
        <v>3.95</v>
      </c>
      <c r="N203" s="1" t="s">
        <v>536</v>
      </c>
      <c r="O203" s="1" t="s">
        <v>38</v>
      </c>
      <c r="P203" s="1" t="s">
        <v>37</v>
      </c>
      <c r="Q203" s="1" t="s">
        <v>537</v>
      </c>
      <c r="R203" s="1" t="s">
        <v>538</v>
      </c>
      <c r="S203" s="1" t="s">
        <v>40</v>
      </c>
      <c r="T203" s="1">
        <v>933.68</v>
      </c>
      <c r="U203" s="1" t="s">
        <v>41</v>
      </c>
      <c r="V203" s="1" t="s">
        <v>30</v>
      </c>
      <c r="W203" s="1" t="s">
        <v>37</v>
      </c>
      <c r="X203" s="1" t="s">
        <v>30</v>
      </c>
      <c r="Y203" s="1" t="s">
        <v>37</v>
      </c>
      <c r="Z203" s="1" t="s">
        <v>42</v>
      </c>
    </row>
    <row r="204" spans="1:26" ht="15.75" x14ac:dyDescent="0.25">
      <c r="A204" s="1" t="s">
        <v>26</v>
      </c>
      <c r="B204" s="1" t="s">
        <v>27</v>
      </c>
      <c r="C204" s="1" t="s">
        <v>427</v>
      </c>
      <c r="D204" s="1" t="s">
        <v>539</v>
      </c>
      <c r="E204" s="1" t="s">
        <v>30</v>
      </c>
      <c r="F204" s="1" t="s">
        <v>540</v>
      </c>
      <c r="G204" s="1" t="s">
        <v>32</v>
      </c>
      <c r="H204" s="1" t="s">
        <v>273</v>
      </c>
      <c r="I204" s="1" t="s">
        <v>48</v>
      </c>
      <c r="J204" s="1">
        <v>67.8</v>
      </c>
      <c r="K204" s="1" t="s">
        <v>532</v>
      </c>
      <c r="L204" s="1" t="s">
        <v>36</v>
      </c>
      <c r="M204" s="1">
        <v>25.09</v>
      </c>
      <c r="N204" s="1" t="s">
        <v>432</v>
      </c>
      <c r="O204" s="1" t="s">
        <v>38</v>
      </c>
      <c r="P204" s="1" t="s">
        <v>37</v>
      </c>
      <c r="Q204" s="1" t="s">
        <v>433</v>
      </c>
      <c r="R204" s="1" t="s">
        <v>541</v>
      </c>
      <c r="S204" s="1" t="s">
        <v>40</v>
      </c>
      <c r="T204" s="1">
        <v>933.68</v>
      </c>
      <c r="U204" s="1" t="s">
        <v>41</v>
      </c>
      <c r="V204" s="1" t="s">
        <v>30</v>
      </c>
      <c r="W204" s="1" t="s">
        <v>37</v>
      </c>
      <c r="X204" s="1" t="s">
        <v>30</v>
      </c>
      <c r="Y204" s="1" t="s">
        <v>37</v>
      </c>
      <c r="Z204" s="1" t="s">
        <v>42</v>
      </c>
    </row>
    <row r="205" spans="1:26" ht="15.75" x14ac:dyDescent="0.25">
      <c r="A205" s="1" t="s">
        <v>26</v>
      </c>
      <c r="B205" s="1" t="s">
        <v>27</v>
      </c>
      <c r="C205" s="1" t="s">
        <v>427</v>
      </c>
      <c r="D205" s="1" t="s">
        <v>539</v>
      </c>
      <c r="E205" s="1" t="s">
        <v>30</v>
      </c>
      <c r="F205" s="1" t="s">
        <v>540</v>
      </c>
      <c r="G205" s="1" t="s">
        <v>43</v>
      </c>
      <c r="H205" s="1" t="s">
        <v>273</v>
      </c>
      <c r="I205" s="1" t="s">
        <v>48</v>
      </c>
      <c r="J205" s="1">
        <v>1.5</v>
      </c>
      <c r="K205" s="1" t="s">
        <v>532</v>
      </c>
      <c r="L205" s="1" t="s">
        <v>36</v>
      </c>
      <c r="M205" s="1">
        <v>0.55000000000000004</v>
      </c>
      <c r="N205" s="1" t="s">
        <v>432</v>
      </c>
      <c r="O205" s="1" t="s">
        <v>38</v>
      </c>
      <c r="P205" s="1" t="s">
        <v>37</v>
      </c>
      <c r="Q205" s="1" t="s">
        <v>433</v>
      </c>
      <c r="R205" s="1" t="s">
        <v>541</v>
      </c>
      <c r="S205" s="1" t="s">
        <v>40</v>
      </c>
      <c r="T205" s="1">
        <v>933.68</v>
      </c>
      <c r="U205" s="1" t="s">
        <v>41</v>
      </c>
      <c r="V205" s="1" t="s">
        <v>30</v>
      </c>
      <c r="W205" s="1" t="s">
        <v>37</v>
      </c>
      <c r="X205" s="1" t="s">
        <v>30</v>
      </c>
      <c r="Y205" s="1" t="s">
        <v>37</v>
      </c>
      <c r="Z205" s="1" t="s">
        <v>42</v>
      </c>
    </row>
    <row r="206" spans="1:26" ht="15.75" x14ac:dyDescent="0.25">
      <c r="A206" s="1" t="s">
        <v>26</v>
      </c>
      <c r="B206" s="1" t="s">
        <v>27</v>
      </c>
      <c r="C206" s="1" t="s">
        <v>427</v>
      </c>
      <c r="D206" s="1" t="s">
        <v>542</v>
      </c>
      <c r="E206" s="1" t="s">
        <v>30</v>
      </c>
      <c r="F206" s="1" t="s">
        <v>540</v>
      </c>
      <c r="G206" s="1" t="s">
        <v>45</v>
      </c>
      <c r="H206" s="1" t="s">
        <v>273</v>
      </c>
      <c r="I206" s="1" t="s">
        <v>48</v>
      </c>
      <c r="J206" s="1">
        <v>16.34</v>
      </c>
      <c r="K206" s="1" t="s">
        <v>532</v>
      </c>
      <c r="L206" s="1" t="s">
        <v>36</v>
      </c>
      <c r="M206" s="1">
        <v>6.05</v>
      </c>
      <c r="N206" s="1" t="s">
        <v>432</v>
      </c>
      <c r="O206" s="1" t="s">
        <v>38</v>
      </c>
      <c r="P206" s="1" t="s">
        <v>37</v>
      </c>
      <c r="Q206" s="1" t="s">
        <v>433</v>
      </c>
      <c r="R206" s="1" t="s">
        <v>541</v>
      </c>
      <c r="S206" s="1" t="s">
        <v>40</v>
      </c>
      <c r="T206" s="1">
        <v>933.68</v>
      </c>
      <c r="U206" s="1" t="s">
        <v>41</v>
      </c>
      <c r="V206" s="1" t="s">
        <v>30</v>
      </c>
      <c r="W206" s="1" t="s">
        <v>37</v>
      </c>
      <c r="X206" s="1" t="s">
        <v>30</v>
      </c>
      <c r="Y206" s="1" t="s">
        <v>37</v>
      </c>
      <c r="Z206" s="1" t="s">
        <v>42</v>
      </c>
    </row>
    <row r="207" spans="1:26" ht="15.75" x14ac:dyDescent="0.25">
      <c r="A207" s="1" t="s">
        <v>26</v>
      </c>
      <c r="B207" s="1" t="s">
        <v>27</v>
      </c>
      <c r="C207" s="1" t="s">
        <v>427</v>
      </c>
      <c r="D207" s="1" t="s">
        <v>543</v>
      </c>
      <c r="E207" s="1" t="s">
        <v>30</v>
      </c>
      <c r="F207" s="1" t="s">
        <v>544</v>
      </c>
      <c r="G207" s="1" t="s">
        <v>32</v>
      </c>
      <c r="H207" s="1" t="s">
        <v>48</v>
      </c>
      <c r="I207" s="1" t="s">
        <v>33</v>
      </c>
      <c r="J207" s="1">
        <v>38.090000000000003</v>
      </c>
      <c r="K207" s="1" t="s">
        <v>518</v>
      </c>
      <c r="L207" s="1" t="s">
        <v>36</v>
      </c>
      <c r="M207" s="1">
        <v>14.09</v>
      </c>
      <c r="N207" s="1" t="s">
        <v>545</v>
      </c>
      <c r="O207" s="1" t="s">
        <v>38</v>
      </c>
      <c r="P207" s="1" t="s">
        <v>37</v>
      </c>
      <c r="Q207" s="1" t="s">
        <v>546</v>
      </c>
      <c r="R207" s="1" t="s">
        <v>547</v>
      </c>
      <c r="S207" s="1" t="s">
        <v>40</v>
      </c>
      <c r="T207" s="1">
        <v>933.68</v>
      </c>
      <c r="U207" s="1" t="s">
        <v>41</v>
      </c>
      <c r="V207" s="1" t="s">
        <v>30</v>
      </c>
      <c r="W207" s="1" t="s">
        <v>37</v>
      </c>
      <c r="X207" s="1" t="s">
        <v>30</v>
      </c>
      <c r="Y207" s="1" t="s">
        <v>37</v>
      </c>
      <c r="Z207" s="1" t="s">
        <v>42</v>
      </c>
    </row>
    <row r="208" spans="1:26" ht="15.75" x14ac:dyDescent="0.25">
      <c r="A208" s="1" t="s">
        <v>26</v>
      </c>
      <c r="B208" s="1" t="s">
        <v>27</v>
      </c>
      <c r="C208" s="1" t="s">
        <v>427</v>
      </c>
      <c r="D208" s="1" t="s">
        <v>548</v>
      </c>
      <c r="E208" s="1" t="s">
        <v>30</v>
      </c>
      <c r="F208" s="1" t="s">
        <v>544</v>
      </c>
      <c r="G208" s="1" t="s">
        <v>45</v>
      </c>
      <c r="H208" s="1" t="s">
        <v>48</v>
      </c>
      <c r="I208" s="1" t="s">
        <v>33</v>
      </c>
      <c r="J208" s="1">
        <v>10.67</v>
      </c>
      <c r="K208" s="1" t="s">
        <v>518</v>
      </c>
      <c r="L208" s="1" t="s">
        <v>36</v>
      </c>
      <c r="M208" s="1">
        <v>3.95</v>
      </c>
      <c r="N208" s="1" t="s">
        <v>545</v>
      </c>
      <c r="O208" s="1" t="s">
        <v>38</v>
      </c>
      <c r="P208" s="1" t="s">
        <v>37</v>
      </c>
      <c r="Q208" s="1" t="s">
        <v>546</v>
      </c>
      <c r="R208" s="1" t="s">
        <v>547</v>
      </c>
      <c r="S208" s="1" t="s">
        <v>40</v>
      </c>
      <c r="T208" s="1">
        <v>933.68</v>
      </c>
      <c r="U208" s="1" t="s">
        <v>41</v>
      </c>
      <c r="V208" s="1" t="s">
        <v>30</v>
      </c>
      <c r="W208" s="1" t="s">
        <v>37</v>
      </c>
      <c r="X208" s="1" t="s">
        <v>30</v>
      </c>
      <c r="Y208" s="1" t="s">
        <v>37</v>
      </c>
      <c r="Z208" s="1" t="s">
        <v>42</v>
      </c>
    </row>
    <row r="209" spans="1:26" ht="15.75" x14ac:dyDescent="0.25">
      <c r="A209" s="1" t="s">
        <v>26</v>
      </c>
      <c r="B209" s="1" t="s">
        <v>27</v>
      </c>
      <c r="C209" s="1" t="s">
        <v>427</v>
      </c>
      <c r="D209" s="1" t="s">
        <v>549</v>
      </c>
      <c r="E209" s="1" t="s">
        <v>30</v>
      </c>
      <c r="F209" s="1" t="s">
        <v>550</v>
      </c>
      <c r="G209" s="1" t="s">
        <v>32</v>
      </c>
      <c r="H209" s="1" t="s">
        <v>86</v>
      </c>
      <c r="I209" s="1" t="s">
        <v>48</v>
      </c>
      <c r="J209" s="1">
        <v>50.69</v>
      </c>
      <c r="K209" s="1" t="s">
        <v>551</v>
      </c>
      <c r="L209" s="1" t="s">
        <v>36</v>
      </c>
      <c r="M209" s="1">
        <v>18.760000000000002</v>
      </c>
      <c r="N209" s="1" t="s">
        <v>139</v>
      </c>
      <c r="O209" s="1" t="s">
        <v>38</v>
      </c>
      <c r="P209" s="1" t="s">
        <v>37</v>
      </c>
      <c r="Q209" s="1" t="s">
        <v>140</v>
      </c>
      <c r="R209" s="1" t="s">
        <v>552</v>
      </c>
      <c r="S209" s="1" t="s">
        <v>40</v>
      </c>
      <c r="T209" s="1">
        <v>933.68</v>
      </c>
      <c r="U209" s="1" t="s">
        <v>41</v>
      </c>
      <c r="V209" s="1" t="s">
        <v>30</v>
      </c>
      <c r="W209" s="1" t="s">
        <v>37</v>
      </c>
      <c r="X209" s="1" t="s">
        <v>30</v>
      </c>
      <c r="Y209" s="1" t="s">
        <v>37</v>
      </c>
      <c r="Z209" s="1" t="s">
        <v>42</v>
      </c>
    </row>
    <row r="210" spans="1:26" ht="15.75" x14ac:dyDescent="0.25">
      <c r="A210" s="1" t="s">
        <v>26</v>
      </c>
      <c r="B210" s="1" t="s">
        <v>27</v>
      </c>
      <c r="C210" s="1" t="s">
        <v>427</v>
      </c>
      <c r="D210" s="1" t="s">
        <v>549</v>
      </c>
      <c r="E210" s="1" t="s">
        <v>30</v>
      </c>
      <c r="F210" s="1" t="s">
        <v>550</v>
      </c>
      <c r="G210" s="1" t="s">
        <v>43</v>
      </c>
      <c r="H210" s="1" t="s">
        <v>86</v>
      </c>
      <c r="I210" s="1" t="s">
        <v>48</v>
      </c>
      <c r="J210" s="1">
        <v>1.5</v>
      </c>
      <c r="K210" s="1" t="s">
        <v>551</v>
      </c>
      <c r="L210" s="1" t="s">
        <v>36</v>
      </c>
      <c r="M210" s="1">
        <v>0.55000000000000004</v>
      </c>
      <c r="N210" s="1" t="s">
        <v>139</v>
      </c>
      <c r="O210" s="1" t="s">
        <v>38</v>
      </c>
      <c r="P210" s="1" t="s">
        <v>37</v>
      </c>
      <c r="Q210" s="1" t="s">
        <v>140</v>
      </c>
      <c r="R210" s="1" t="s">
        <v>552</v>
      </c>
      <c r="S210" s="1" t="s">
        <v>40</v>
      </c>
      <c r="T210" s="1">
        <v>933.68</v>
      </c>
      <c r="U210" s="1" t="s">
        <v>41</v>
      </c>
      <c r="V210" s="1" t="s">
        <v>30</v>
      </c>
      <c r="W210" s="1" t="s">
        <v>37</v>
      </c>
      <c r="X210" s="1" t="s">
        <v>30</v>
      </c>
      <c r="Y210" s="1" t="s">
        <v>37</v>
      </c>
      <c r="Z210" s="1" t="s">
        <v>42</v>
      </c>
    </row>
    <row r="211" spans="1:26" ht="15.75" x14ac:dyDescent="0.25">
      <c r="A211" s="1" t="s">
        <v>26</v>
      </c>
      <c r="B211" s="1" t="s">
        <v>27</v>
      </c>
      <c r="C211" s="1" t="s">
        <v>427</v>
      </c>
      <c r="D211" s="1" t="s">
        <v>553</v>
      </c>
      <c r="E211" s="1" t="s">
        <v>30</v>
      </c>
      <c r="F211" s="1" t="s">
        <v>554</v>
      </c>
      <c r="G211" s="1" t="s">
        <v>32</v>
      </c>
      <c r="H211" s="1" t="s">
        <v>86</v>
      </c>
      <c r="I211" s="1" t="s">
        <v>48</v>
      </c>
      <c r="J211" s="1">
        <v>21.16</v>
      </c>
      <c r="K211" s="1" t="s">
        <v>551</v>
      </c>
      <c r="L211" s="1" t="s">
        <v>36</v>
      </c>
      <c r="M211" s="1">
        <v>7.83</v>
      </c>
      <c r="N211" s="1" t="s">
        <v>555</v>
      </c>
      <c r="O211" s="1" t="s">
        <v>38</v>
      </c>
      <c r="P211" s="1" t="s">
        <v>37</v>
      </c>
      <c r="Q211" s="1" t="s">
        <v>556</v>
      </c>
      <c r="R211" s="1" t="s">
        <v>557</v>
      </c>
      <c r="S211" s="1" t="s">
        <v>40</v>
      </c>
      <c r="T211" s="1">
        <v>933.68</v>
      </c>
      <c r="U211" s="1" t="s">
        <v>41</v>
      </c>
      <c r="V211" s="1" t="s">
        <v>30</v>
      </c>
      <c r="W211" s="1" t="s">
        <v>37</v>
      </c>
      <c r="X211" s="1" t="s">
        <v>30</v>
      </c>
      <c r="Y211" s="1" t="s">
        <v>37</v>
      </c>
      <c r="Z211" s="1" t="s">
        <v>42</v>
      </c>
    </row>
    <row r="212" spans="1:26" ht="15.75" x14ac:dyDescent="0.25">
      <c r="A212" s="1" t="s">
        <v>26</v>
      </c>
      <c r="B212" s="1" t="s">
        <v>27</v>
      </c>
      <c r="C212" s="1" t="s">
        <v>427</v>
      </c>
      <c r="D212" s="1" t="s">
        <v>558</v>
      </c>
      <c r="E212" s="1" t="s">
        <v>30</v>
      </c>
      <c r="F212" s="1" t="s">
        <v>559</v>
      </c>
      <c r="G212" s="1" t="s">
        <v>45</v>
      </c>
      <c r="H212" s="1" t="s">
        <v>86</v>
      </c>
      <c r="I212" s="1" t="s">
        <v>48</v>
      </c>
      <c r="J212" s="1">
        <v>16.34</v>
      </c>
      <c r="K212" s="1" t="s">
        <v>551</v>
      </c>
      <c r="L212" s="1" t="s">
        <v>36</v>
      </c>
      <c r="M212" s="1">
        <v>6.05</v>
      </c>
      <c r="N212" s="1" t="s">
        <v>95</v>
      </c>
      <c r="O212" s="1" t="s">
        <v>38</v>
      </c>
      <c r="P212" s="1" t="s">
        <v>37</v>
      </c>
      <c r="Q212" s="1" t="s">
        <v>96</v>
      </c>
      <c r="R212" s="1" t="s">
        <v>560</v>
      </c>
      <c r="S212" s="1" t="s">
        <v>40</v>
      </c>
      <c r="T212" s="1">
        <v>933.68</v>
      </c>
      <c r="U212" s="1" t="s">
        <v>41</v>
      </c>
      <c r="V212" s="1" t="s">
        <v>30</v>
      </c>
      <c r="W212" s="1" t="s">
        <v>37</v>
      </c>
      <c r="X212" s="1" t="s">
        <v>30</v>
      </c>
      <c r="Y212" s="1" t="s">
        <v>37</v>
      </c>
      <c r="Z212" s="1" t="s">
        <v>42</v>
      </c>
    </row>
    <row r="213" spans="1:26" ht="15.75" x14ac:dyDescent="0.25">
      <c r="A213" s="1" t="s">
        <v>26</v>
      </c>
      <c r="B213" s="1" t="s">
        <v>27</v>
      </c>
      <c r="C213" s="1" t="s">
        <v>427</v>
      </c>
      <c r="D213" s="1" t="s">
        <v>561</v>
      </c>
      <c r="E213" s="1" t="s">
        <v>30</v>
      </c>
      <c r="F213" s="1" t="s">
        <v>562</v>
      </c>
      <c r="G213" s="1" t="s">
        <v>45</v>
      </c>
      <c r="H213" s="1" t="s">
        <v>86</v>
      </c>
      <c r="I213" s="1" t="s">
        <v>48</v>
      </c>
      <c r="J213" s="1">
        <v>16.34</v>
      </c>
      <c r="K213" s="1" t="s">
        <v>551</v>
      </c>
      <c r="L213" s="1" t="s">
        <v>36</v>
      </c>
      <c r="M213" s="1">
        <v>6.05</v>
      </c>
      <c r="N213" s="1" t="s">
        <v>555</v>
      </c>
      <c r="O213" s="1" t="s">
        <v>38</v>
      </c>
      <c r="P213" s="1" t="s">
        <v>37</v>
      </c>
      <c r="Q213" s="1" t="s">
        <v>556</v>
      </c>
      <c r="R213" s="1" t="s">
        <v>563</v>
      </c>
      <c r="S213" s="1" t="s">
        <v>40</v>
      </c>
      <c r="T213" s="1">
        <v>933.68</v>
      </c>
      <c r="U213" s="1" t="s">
        <v>41</v>
      </c>
      <c r="V213" s="1" t="s">
        <v>30</v>
      </c>
      <c r="W213" s="1" t="s">
        <v>37</v>
      </c>
      <c r="X213" s="1" t="s">
        <v>30</v>
      </c>
      <c r="Y213" s="1" t="s">
        <v>37</v>
      </c>
      <c r="Z213" s="1" t="s">
        <v>42</v>
      </c>
    </row>
    <row r="214" spans="1:26" ht="15.75" x14ac:dyDescent="0.25">
      <c r="A214" s="1" t="s">
        <v>26</v>
      </c>
      <c r="B214" s="1" t="s">
        <v>27</v>
      </c>
      <c r="C214" s="1" t="s">
        <v>427</v>
      </c>
      <c r="D214" s="1" t="s">
        <v>564</v>
      </c>
      <c r="E214" s="1" t="s">
        <v>30</v>
      </c>
      <c r="F214" s="1" t="s">
        <v>565</v>
      </c>
      <c r="G214" s="1" t="s">
        <v>32</v>
      </c>
      <c r="H214" s="1" t="s">
        <v>100</v>
      </c>
      <c r="I214" s="1" t="s">
        <v>147</v>
      </c>
      <c r="J214" s="1">
        <v>44.03</v>
      </c>
      <c r="K214" s="1" t="s">
        <v>551</v>
      </c>
      <c r="L214" s="1" t="s">
        <v>36</v>
      </c>
      <c r="M214" s="1">
        <v>16.29</v>
      </c>
      <c r="N214" s="1" t="s">
        <v>555</v>
      </c>
      <c r="O214" s="1" t="s">
        <v>38</v>
      </c>
      <c r="P214" s="1" t="s">
        <v>37</v>
      </c>
      <c r="Q214" s="1" t="s">
        <v>556</v>
      </c>
      <c r="R214" s="1" t="s">
        <v>566</v>
      </c>
      <c r="S214" s="1" t="s">
        <v>40</v>
      </c>
      <c r="T214" s="1">
        <v>933.68</v>
      </c>
      <c r="U214" s="1" t="s">
        <v>41</v>
      </c>
      <c r="V214" s="1" t="s">
        <v>30</v>
      </c>
      <c r="W214" s="1" t="s">
        <v>37</v>
      </c>
      <c r="X214" s="1" t="s">
        <v>30</v>
      </c>
      <c r="Y214" s="1" t="s">
        <v>37</v>
      </c>
      <c r="Z214" s="1" t="s">
        <v>42</v>
      </c>
    </row>
    <row r="215" spans="1:26" ht="15.75" x14ac:dyDescent="0.25">
      <c r="A215" s="1" t="s">
        <v>26</v>
      </c>
      <c r="B215" s="1" t="s">
        <v>27</v>
      </c>
      <c r="C215" s="1" t="s">
        <v>427</v>
      </c>
      <c r="D215" s="1" t="s">
        <v>564</v>
      </c>
      <c r="E215" s="1" t="s">
        <v>30</v>
      </c>
      <c r="F215" s="1" t="s">
        <v>565</v>
      </c>
      <c r="G215" s="1" t="s">
        <v>43</v>
      </c>
      <c r="H215" s="1" t="s">
        <v>100</v>
      </c>
      <c r="I215" s="1" t="s">
        <v>147</v>
      </c>
      <c r="J215" s="1">
        <v>1.5</v>
      </c>
      <c r="K215" s="1" t="s">
        <v>551</v>
      </c>
      <c r="L215" s="1" t="s">
        <v>36</v>
      </c>
      <c r="M215" s="1">
        <v>0.56000000000000005</v>
      </c>
      <c r="N215" s="1" t="s">
        <v>555</v>
      </c>
      <c r="O215" s="1" t="s">
        <v>38</v>
      </c>
      <c r="P215" s="1" t="s">
        <v>37</v>
      </c>
      <c r="Q215" s="1" t="s">
        <v>556</v>
      </c>
      <c r="R215" s="1" t="s">
        <v>566</v>
      </c>
      <c r="S215" s="1" t="s">
        <v>40</v>
      </c>
      <c r="T215" s="1">
        <v>933.68</v>
      </c>
      <c r="U215" s="1" t="s">
        <v>41</v>
      </c>
      <c r="V215" s="1" t="s">
        <v>30</v>
      </c>
      <c r="W215" s="1" t="s">
        <v>37</v>
      </c>
      <c r="X215" s="1" t="s">
        <v>30</v>
      </c>
      <c r="Y215" s="1" t="s">
        <v>37</v>
      </c>
      <c r="Z215" s="1" t="s">
        <v>42</v>
      </c>
    </row>
    <row r="216" spans="1:26" ht="15.75" x14ac:dyDescent="0.25">
      <c r="A216" s="1" t="s">
        <v>26</v>
      </c>
      <c r="B216" s="1" t="s">
        <v>27</v>
      </c>
      <c r="C216" s="1" t="s">
        <v>427</v>
      </c>
      <c r="D216" s="1" t="s">
        <v>564</v>
      </c>
      <c r="E216" s="1" t="s">
        <v>30</v>
      </c>
      <c r="F216" s="1" t="s">
        <v>565</v>
      </c>
      <c r="G216" s="1" t="s">
        <v>32</v>
      </c>
      <c r="H216" s="1" t="s">
        <v>86</v>
      </c>
      <c r="I216" s="1" t="s">
        <v>147</v>
      </c>
      <c r="J216" s="1">
        <v>44.03</v>
      </c>
      <c r="K216" s="1" t="s">
        <v>551</v>
      </c>
      <c r="L216" s="1" t="s">
        <v>36</v>
      </c>
      <c r="M216" s="1">
        <v>16.29</v>
      </c>
      <c r="N216" s="1" t="s">
        <v>555</v>
      </c>
      <c r="O216" s="1" t="s">
        <v>38</v>
      </c>
      <c r="P216" s="1" t="s">
        <v>37</v>
      </c>
      <c r="Q216" s="1" t="s">
        <v>556</v>
      </c>
      <c r="R216" s="1" t="s">
        <v>566</v>
      </c>
      <c r="S216" s="1" t="s">
        <v>40</v>
      </c>
      <c r="T216" s="1">
        <v>933.68</v>
      </c>
      <c r="U216" s="1" t="s">
        <v>41</v>
      </c>
      <c r="V216" s="1" t="s">
        <v>30</v>
      </c>
      <c r="W216" s="1" t="s">
        <v>37</v>
      </c>
      <c r="X216" s="1" t="s">
        <v>30</v>
      </c>
      <c r="Y216" s="1" t="s">
        <v>37</v>
      </c>
      <c r="Z216" s="1" t="s">
        <v>42</v>
      </c>
    </row>
    <row r="217" spans="1:26" ht="15.75" x14ac:dyDescent="0.25">
      <c r="A217" s="1" t="s">
        <v>26</v>
      </c>
      <c r="B217" s="1" t="s">
        <v>27</v>
      </c>
      <c r="C217" s="1" t="s">
        <v>427</v>
      </c>
      <c r="D217" s="1" t="s">
        <v>564</v>
      </c>
      <c r="E217" s="1" t="s">
        <v>30</v>
      </c>
      <c r="F217" s="1" t="s">
        <v>565</v>
      </c>
      <c r="G217" s="1" t="s">
        <v>43</v>
      </c>
      <c r="H217" s="1" t="s">
        <v>86</v>
      </c>
      <c r="I217" s="1" t="s">
        <v>147</v>
      </c>
      <c r="J217" s="1">
        <v>1.5</v>
      </c>
      <c r="K217" s="1" t="s">
        <v>551</v>
      </c>
      <c r="L217" s="1" t="s">
        <v>36</v>
      </c>
      <c r="M217" s="1">
        <v>0.56000000000000005</v>
      </c>
      <c r="N217" s="1" t="s">
        <v>555</v>
      </c>
      <c r="O217" s="1" t="s">
        <v>38</v>
      </c>
      <c r="P217" s="1" t="s">
        <v>37</v>
      </c>
      <c r="Q217" s="1" t="s">
        <v>556</v>
      </c>
      <c r="R217" s="1" t="s">
        <v>566</v>
      </c>
      <c r="S217" s="1" t="s">
        <v>40</v>
      </c>
      <c r="T217" s="1">
        <v>933.68</v>
      </c>
      <c r="U217" s="1" t="s">
        <v>41</v>
      </c>
      <c r="V217" s="1" t="s">
        <v>30</v>
      </c>
      <c r="W217" s="1" t="s">
        <v>37</v>
      </c>
      <c r="X217" s="1" t="s">
        <v>30</v>
      </c>
      <c r="Y217" s="1" t="s">
        <v>37</v>
      </c>
      <c r="Z217" s="1" t="s">
        <v>42</v>
      </c>
    </row>
    <row r="218" spans="1:26" ht="15.75" x14ac:dyDescent="0.25">
      <c r="A218" s="1" t="s">
        <v>26</v>
      </c>
      <c r="B218" s="1" t="s">
        <v>27</v>
      </c>
      <c r="C218" s="1" t="s">
        <v>427</v>
      </c>
      <c r="D218" s="1" t="s">
        <v>567</v>
      </c>
      <c r="E218" s="1" t="s">
        <v>30</v>
      </c>
      <c r="F218" s="1" t="s">
        <v>568</v>
      </c>
      <c r="G218" s="1" t="s">
        <v>32</v>
      </c>
      <c r="H218" s="1" t="s">
        <v>33</v>
      </c>
      <c r="I218" s="1" t="s">
        <v>34</v>
      </c>
      <c r="J218" s="1">
        <v>61.69</v>
      </c>
      <c r="K218" s="1" t="s">
        <v>522</v>
      </c>
      <c r="L218" s="1" t="s">
        <v>36</v>
      </c>
      <c r="M218" s="1">
        <v>22.83</v>
      </c>
      <c r="N218" s="1" t="s">
        <v>293</v>
      </c>
      <c r="O218" s="1" t="s">
        <v>38</v>
      </c>
      <c r="P218" s="1" t="s">
        <v>37</v>
      </c>
      <c r="Q218" s="1" t="s">
        <v>294</v>
      </c>
      <c r="R218" s="1" t="s">
        <v>569</v>
      </c>
      <c r="S218" s="1" t="s">
        <v>40</v>
      </c>
      <c r="T218" s="1">
        <v>933.68</v>
      </c>
      <c r="U218" s="1" t="s">
        <v>41</v>
      </c>
      <c r="V218" s="1" t="s">
        <v>30</v>
      </c>
      <c r="W218" s="1" t="s">
        <v>37</v>
      </c>
      <c r="X218" s="1" t="s">
        <v>30</v>
      </c>
      <c r="Y218" s="1" t="s">
        <v>37</v>
      </c>
      <c r="Z218" s="1" t="s">
        <v>42</v>
      </c>
    </row>
    <row r="219" spans="1:26" ht="15.75" x14ac:dyDescent="0.25">
      <c r="A219" s="1" t="s">
        <v>26</v>
      </c>
      <c r="B219" s="1" t="s">
        <v>27</v>
      </c>
      <c r="C219" s="1" t="s">
        <v>427</v>
      </c>
      <c r="D219" s="1" t="s">
        <v>567</v>
      </c>
      <c r="E219" s="1" t="s">
        <v>30</v>
      </c>
      <c r="F219" s="1" t="s">
        <v>568</v>
      </c>
      <c r="G219" s="1" t="s">
        <v>43</v>
      </c>
      <c r="H219" s="1" t="s">
        <v>33</v>
      </c>
      <c r="I219" s="1" t="s">
        <v>34</v>
      </c>
      <c r="J219" s="1">
        <v>1.5</v>
      </c>
      <c r="K219" s="1" t="s">
        <v>522</v>
      </c>
      <c r="L219" s="1" t="s">
        <v>36</v>
      </c>
      <c r="M219" s="1">
        <v>0.55000000000000004</v>
      </c>
      <c r="N219" s="1" t="s">
        <v>293</v>
      </c>
      <c r="O219" s="1" t="s">
        <v>38</v>
      </c>
      <c r="P219" s="1" t="s">
        <v>37</v>
      </c>
      <c r="Q219" s="1" t="s">
        <v>294</v>
      </c>
      <c r="R219" s="1" t="s">
        <v>569</v>
      </c>
      <c r="S219" s="1" t="s">
        <v>40</v>
      </c>
      <c r="T219" s="1">
        <v>933.68</v>
      </c>
      <c r="U219" s="1" t="s">
        <v>41</v>
      </c>
      <c r="V219" s="1" t="s">
        <v>30</v>
      </c>
      <c r="W219" s="1" t="s">
        <v>37</v>
      </c>
      <c r="X219" s="1" t="s">
        <v>30</v>
      </c>
      <c r="Y219" s="1" t="s">
        <v>37</v>
      </c>
      <c r="Z219" s="1" t="s">
        <v>42</v>
      </c>
    </row>
    <row r="220" spans="1:26" ht="15.75" x14ac:dyDescent="0.25">
      <c r="A220" s="1" t="s">
        <v>26</v>
      </c>
      <c r="B220" s="1" t="s">
        <v>27</v>
      </c>
      <c r="C220" s="1" t="s">
        <v>427</v>
      </c>
      <c r="D220" s="1" t="s">
        <v>570</v>
      </c>
      <c r="E220" s="1" t="s">
        <v>30</v>
      </c>
      <c r="F220" s="1" t="s">
        <v>571</v>
      </c>
      <c r="G220" s="1" t="s">
        <v>32</v>
      </c>
      <c r="H220" s="1" t="s">
        <v>33</v>
      </c>
      <c r="I220" s="1" t="s">
        <v>34</v>
      </c>
      <c r="J220" s="1">
        <v>41.61</v>
      </c>
      <c r="K220" s="1" t="s">
        <v>522</v>
      </c>
      <c r="L220" s="1" t="s">
        <v>36</v>
      </c>
      <c r="M220" s="1">
        <v>15.39</v>
      </c>
      <c r="N220" s="1" t="s">
        <v>322</v>
      </c>
      <c r="O220" s="1" t="s">
        <v>38</v>
      </c>
      <c r="P220" s="1" t="s">
        <v>37</v>
      </c>
      <c r="Q220" s="1" t="s">
        <v>323</v>
      </c>
      <c r="R220" s="1" t="s">
        <v>572</v>
      </c>
      <c r="S220" s="1" t="s">
        <v>40</v>
      </c>
      <c r="T220" s="1">
        <v>933.68</v>
      </c>
      <c r="U220" s="1" t="s">
        <v>41</v>
      </c>
      <c r="V220" s="1" t="s">
        <v>30</v>
      </c>
      <c r="W220" s="1" t="s">
        <v>37</v>
      </c>
      <c r="X220" s="1" t="s">
        <v>30</v>
      </c>
      <c r="Y220" s="1" t="s">
        <v>37</v>
      </c>
      <c r="Z220" s="1" t="s">
        <v>42</v>
      </c>
    </row>
    <row r="221" spans="1:26" ht="15.75" x14ac:dyDescent="0.25">
      <c r="A221" s="1" t="s">
        <v>26</v>
      </c>
      <c r="B221" s="1" t="s">
        <v>27</v>
      </c>
      <c r="C221" s="1" t="s">
        <v>427</v>
      </c>
      <c r="D221" s="1" t="s">
        <v>570</v>
      </c>
      <c r="E221" s="1" t="s">
        <v>30</v>
      </c>
      <c r="F221" s="1" t="s">
        <v>571</v>
      </c>
      <c r="G221" s="1" t="s">
        <v>53</v>
      </c>
      <c r="H221" s="1" t="s">
        <v>33</v>
      </c>
      <c r="I221" s="1" t="s">
        <v>34</v>
      </c>
      <c r="J221" s="1">
        <v>0.75</v>
      </c>
      <c r="K221" s="1" t="s">
        <v>522</v>
      </c>
      <c r="L221" s="1" t="s">
        <v>36</v>
      </c>
      <c r="M221" s="1">
        <v>0.28000000000000003</v>
      </c>
      <c r="N221" s="1" t="s">
        <v>322</v>
      </c>
      <c r="O221" s="1" t="s">
        <v>38</v>
      </c>
      <c r="P221" s="1" t="s">
        <v>37</v>
      </c>
      <c r="Q221" s="1" t="s">
        <v>323</v>
      </c>
      <c r="R221" s="1" t="s">
        <v>572</v>
      </c>
      <c r="S221" s="1" t="s">
        <v>40</v>
      </c>
      <c r="T221" s="1">
        <v>933.68</v>
      </c>
      <c r="U221" s="1" t="s">
        <v>41</v>
      </c>
      <c r="V221" s="1" t="s">
        <v>30</v>
      </c>
      <c r="W221" s="1" t="s">
        <v>37</v>
      </c>
      <c r="X221" s="1" t="s">
        <v>30</v>
      </c>
      <c r="Y221" s="1" t="s">
        <v>37</v>
      </c>
      <c r="Z221" s="1" t="s">
        <v>42</v>
      </c>
    </row>
    <row r="222" spans="1:26" ht="15.75" x14ac:dyDescent="0.25">
      <c r="A222" s="1" t="s">
        <v>26</v>
      </c>
      <c r="B222" s="1" t="s">
        <v>27</v>
      </c>
      <c r="C222" s="1" t="s">
        <v>427</v>
      </c>
      <c r="D222" s="1" t="s">
        <v>573</v>
      </c>
      <c r="E222" s="1" t="s">
        <v>30</v>
      </c>
      <c r="F222" s="1" t="s">
        <v>574</v>
      </c>
      <c r="G222" s="1" t="s">
        <v>45</v>
      </c>
      <c r="H222" s="1" t="s">
        <v>81</v>
      </c>
      <c r="I222" s="1" t="s">
        <v>33</v>
      </c>
      <c r="J222" s="1">
        <v>16.34</v>
      </c>
      <c r="K222" s="1" t="s">
        <v>514</v>
      </c>
      <c r="L222" s="1" t="s">
        <v>36</v>
      </c>
      <c r="M222" s="1">
        <v>0</v>
      </c>
      <c r="N222" s="1" t="s">
        <v>71</v>
      </c>
      <c r="O222" s="1" t="s">
        <v>38</v>
      </c>
      <c r="P222" s="1" t="s">
        <v>413</v>
      </c>
      <c r="Q222" s="1" t="s">
        <v>73</v>
      </c>
      <c r="R222" s="1" t="s">
        <v>575</v>
      </c>
      <c r="S222" s="1" t="s">
        <v>40</v>
      </c>
      <c r="T222" s="1">
        <v>933.68</v>
      </c>
      <c r="U222" s="1" t="s">
        <v>41</v>
      </c>
      <c r="V222" s="1" t="s">
        <v>30</v>
      </c>
      <c r="W222" s="1" t="s">
        <v>37</v>
      </c>
      <c r="X222" s="1" t="s">
        <v>30</v>
      </c>
      <c r="Y222" s="1" t="s">
        <v>37</v>
      </c>
      <c r="Z222" s="1" t="s">
        <v>42</v>
      </c>
    </row>
    <row r="223" spans="1:26" ht="15.75" x14ac:dyDescent="0.25">
      <c r="A223" s="1" t="s">
        <v>26</v>
      </c>
      <c r="B223" s="1" t="s">
        <v>27</v>
      </c>
      <c r="C223" s="1" t="s">
        <v>427</v>
      </c>
      <c r="D223" s="1" t="s">
        <v>576</v>
      </c>
      <c r="E223" s="1" t="s">
        <v>30</v>
      </c>
      <c r="F223" s="1" t="s">
        <v>577</v>
      </c>
      <c r="G223" s="1" t="s">
        <v>32</v>
      </c>
      <c r="H223" s="1" t="s">
        <v>457</v>
      </c>
      <c r="I223" s="1" t="s">
        <v>137</v>
      </c>
      <c r="J223" s="1">
        <v>-60.92</v>
      </c>
      <c r="K223" s="1" t="s">
        <v>514</v>
      </c>
      <c r="L223" s="1" t="s">
        <v>36</v>
      </c>
      <c r="M223" s="1">
        <v>-22.54</v>
      </c>
      <c r="N223" s="1" t="s">
        <v>555</v>
      </c>
      <c r="O223" s="1" t="s">
        <v>38</v>
      </c>
      <c r="P223" s="1" t="s">
        <v>37</v>
      </c>
      <c r="Q223" s="1" t="s">
        <v>556</v>
      </c>
      <c r="R223" s="1" t="s">
        <v>578</v>
      </c>
      <c r="S223" s="1" t="s">
        <v>40</v>
      </c>
      <c r="T223" s="1">
        <v>933.68</v>
      </c>
      <c r="U223" s="1" t="s">
        <v>41</v>
      </c>
      <c r="V223" s="1" t="s">
        <v>30</v>
      </c>
      <c r="W223" s="1" t="s">
        <v>37</v>
      </c>
      <c r="X223" s="1" t="s">
        <v>30</v>
      </c>
      <c r="Y223" s="1" t="s">
        <v>37</v>
      </c>
      <c r="Z223" s="1" t="s">
        <v>426</v>
      </c>
    </row>
    <row r="224" spans="1:26" ht="15.75" x14ac:dyDescent="0.25">
      <c r="A224" s="1" t="s">
        <v>26</v>
      </c>
      <c r="B224" s="1" t="s">
        <v>27</v>
      </c>
      <c r="C224" s="1" t="s">
        <v>427</v>
      </c>
      <c r="D224" s="1" t="s">
        <v>576</v>
      </c>
      <c r="E224" s="1" t="s">
        <v>30</v>
      </c>
      <c r="F224" s="1" t="s">
        <v>577</v>
      </c>
      <c r="G224" s="1" t="s">
        <v>43</v>
      </c>
      <c r="H224" s="1" t="s">
        <v>457</v>
      </c>
      <c r="I224" s="1" t="s">
        <v>137</v>
      </c>
      <c r="J224" s="1">
        <v>-1.5</v>
      </c>
      <c r="K224" s="1" t="s">
        <v>514</v>
      </c>
      <c r="L224" s="1" t="s">
        <v>36</v>
      </c>
      <c r="M224" s="1">
        <v>-0.56000000000000005</v>
      </c>
      <c r="N224" s="1" t="s">
        <v>555</v>
      </c>
      <c r="O224" s="1" t="s">
        <v>38</v>
      </c>
      <c r="P224" s="1" t="s">
        <v>37</v>
      </c>
      <c r="Q224" s="1" t="s">
        <v>556</v>
      </c>
      <c r="R224" s="1" t="s">
        <v>578</v>
      </c>
      <c r="S224" s="1" t="s">
        <v>40</v>
      </c>
      <c r="T224" s="1">
        <v>933.68</v>
      </c>
      <c r="U224" s="1" t="s">
        <v>41</v>
      </c>
      <c r="V224" s="1" t="s">
        <v>30</v>
      </c>
      <c r="W224" s="1" t="s">
        <v>37</v>
      </c>
      <c r="X224" s="1" t="s">
        <v>30</v>
      </c>
      <c r="Y224" s="1" t="s">
        <v>37</v>
      </c>
      <c r="Z224" s="1" t="s">
        <v>426</v>
      </c>
    </row>
    <row r="225" spans="1:26" ht="15.75" x14ac:dyDescent="0.25">
      <c r="A225" s="1" t="s">
        <v>26</v>
      </c>
      <c r="B225" s="1" t="s">
        <v>27</v>
      </c>
      <c r="C225" s="1" t="s">
        <v>427</v>
      </c>
      <c r="D225" s="1" t="s">
        <v>576</v>
      </c>
      <c r="E225" s="1" t="s">
        <v>30</v>
      </c>
      <c r="F225" s="1" t="s">
        <v>577</v>
      </c>
      <c r="G225" s="1" t="s">
        <v>32</v>
      </c>
      <c r="H225" s="1" t="s">
        <v>460</v>
      </c>
      <c r="I225" s="1" t="s">
        <v>137</v>
      </c>
      <c r="J225" s="1">
        <v>-60.92</v>
      </c>
      <c r="K225" s="1" t="s">
        <v>514</v>
      </c>
      <c r="L225" s="1" t="s">
        <v>36</v>
      </c>
      <c r="M225" s="1">
        <v>-22.54</v>
      </c>
      <c r="N225" s="1" t="s">
        <v>555</v>
      </c>
      <c r="O225" s="1" t="s">
        <v>38</v>
      </c>
      <c r="P225" s="1" t="s">
        <v>37</v>
      </c>
      <c r="Q225" s="1" t="s">
        <v>556</v>
      </c>
      <c r="R225" s="1" t="s">
        <v>578</v>
      </c>
      <c r="S225" s="1" t="s">
        <v>40</v>
      </c>
      <c r="T225" s="1">
        <v>933.68</v>
      </c>
      <c r="U225" s="1" t="s">
        <v>41</v>
      </c>
      <c r="V225" s="1" t="s">
        <v>30</v>
      </c>
      <c r="W225" s="1" t="s">
        <v>37</v>
      </c>
      <c r="X225" s="1" t="s">
        <v>30</v>
      </c>
      <c r="Y225" s="1" t="s">
        <v>37</v>
      </c>
      <c r="Z225" s="1" t="s">
        <v>426</v>
      </c>
    </row>
    <row r="226" spans="1:26" ht="15.75" x14ac:dyDescent="0.25">
      <c r="A226" s="1" t="s">
        <v>26</v>
      </c>
      <c r="B226" s="1" t="s">
        <v>27</v>
      </c>
      <c r="C226" s="1" t="s">
        <v>427</v>
      </c>
      <c r="D226" s="1" t="s">
        <v>576</v>
      </c>
      <c r="E226" s="1" t="s">
        <v>30</v>
      </c>
      <c r="F226" s="1" t="s">
        <v>577</v>
      </c>
      <c r="G226" s="1" t="s">
        <v>43</v>
      </c>
      <c r="H226" s="1" t="s">
        <v>460</v>
      </c>
      <c r="I226" s="1" t="s">
        <v>137</v>
      </c>
      <c r="J226" s="1">
        <v>-1.5</v>
      </c>
      <c r="K226" s="1" t="s">
        <v>514</v>
      </c>
      <c r="L226" s="1" t="s">
        <v>36</v>
      </c>
      <c r="M226" s="1">
        <v>-0.56000000000000005</v>
      </c>
      <c r="N226" s="1" t="s">
        <v>555</v>
      </c>
      <c r="O226" s="1" t="s">
        <v>38</v>
      </c>
      <c r="P226" s="1" t="s">
        <v>37</v>
      </c>
      <c r="Q226" s="1" t="s">
        <v>556</v>
      </c>
      <c r="R226" s="1" t="s">
        <v>578</v>
      </c>
      <c r="S226" s="1" t="s">
        <v>40</v>
      </c>
      <c r="T226" s="1">
        <v>933.68</v>
      </c>
      <c r="U226" s="1" t="s">
        <v>41</v>
      </c>
      <c r="V226" s="1" t="s">
        <v>30</v>
      </c>
      <c r="W226" s="1" t="s">
        <v>37</v>
      </c>
      <c r="X226" s="1" t="s">
        <v>30</v>
      </c>
      <c r="Y226" s="1" t="s">
        <v>37</v>
      </c>
      <c r="Z226" s="1" t="s">
        <v>426</v>
      </c>
    </row>
    <row r="227" spans="1:26" ht="15.75" x14ac:dyDescent="0.25">
      <c r="A227" s="1" t="s">
        <v>26</v>
      </c>
      <c r="B227" s="1" t="s">
        <v>27</v>
      </c>
      <c r="C227" s="1" t="s">
        <v>427</v>
      </c>
      <c r="D227" s="1" t="s">
        <v>576</v>
      </c>
      <c r="E227" s="1" t="s">
        <v>30</v>
      </c>
      <c r="F227" s="1" t="s">
        <v>577</v>
      </c>
      <c r="G227" s="1" t="s">
        <v>32</v>
      </c>
      <c r="H227" s="1" t="s">
        <v>461</v>
      </c>
      <c r="I227" s="1" t="s">
        <v>137</v>
      </c>
      <c r="J227" s="1">
        <v>-60.92</v>
      </c>
      <c r="K227" s="1" t="s">
        <v>514</v>
      </c>
      <c r="L227" s="1" t="s">
        <v>36</v>
      </c>
      <c r="M227" s="1">
        <v>-22.54</v>
      </c>
      <c r="N227" s="1" t="s">
        <v>555</v>
      </c>
      <c r="O227" s="1" t="s">
        <v>38</v>
      </c>
      <c r="P227" s="1" t="s">
        <v>37</v>
      </c>
      <c r="Q227" s="1" t="s">
        <v>556</v>
      </c>
      <c r="R227" s="1" t="s">
        <v>578</v>
      </c>
      <c r="S227" s="1" t="s">
        <v>40</v>
      </c>
      <c r="T227" s="1">
        <v>933.68</v>
      </c>
      <c r="U227" s="1" t="s">
        <v>41</v>
      </c>
      <c r="V227" s="1" t="s">
        <v>30</v>
      </c>
      <c r="W227" s="1" t="s">
        <v>37</v>
      </c>
      <c r="X227" s="1" t="s">
        <v>30</v>
      </c>
      <c r="Y227" s="1" t="s">
        <v>37</v>
      </c>
      <c r="Z227" s="1" t="s">
        <v>426</v>
      </c>
    </row>
    <row r="228" spans="1:26" ht="15.75" x14ac:dyDescent="0.25">
      <c r="A228" s="1" t="s">
        <v>26</v>
      </c>
      <c r="B228" s="1" t="s">
        <v>27</v>
      </c>
      <c r="C228" s="1" t="s">
        <v>427</v>
      </c>
      <c r="D228" s="1" t="s">
        <v>576</v>
      </c>
      <c r="E228" s="1" t="s">
        <v>30</v>
      </c>
      <c r="F228" s="1" t="s">
        <v>577</v>
      </c>
      <c r="G228" s="1" t="s">
        <v>43</v>
      </c>
      <c r="H228" s="1" t="s">
        <v>461</v>
      </c>
      <c r="I228" s="1" t="s">
        <v>137</v>
      </c>
      <c r="J228" s="1">
        <v>-1.5</v>
      </c>
      <c r="K228" s="1" t="s">
        <v>514</v>
      </c>
      <c r="L228" s="1" t="s">
        <v>36</v>
      </c>
      <c r="M228" s="1">
        <v>-0.56000000000000005</v>
      </c>
      <c r="N228" s="1" t="s">
        <v>555</v>
      </c>
      <c r="O228" s="1" t="s">
        <v>38</v>
      </c>
      <c r="P228" s="1" t="s">
        <v>37</v>
      </c>
      <c r="Q228" s="1" t="s">
        <v>556</v>
      </c>
      <c r="R228" s="1" t="s">
        <v>578</v>
      </c>
      <c r="S228" s="1" t="s">
        <v>40</v>
      </c>
      <c r="T228" s="1">
        <v>933.68</v>
      </c>
      <c r="U228" s="1" t="s">
        <v>41</v>
      </c>
      <c r="V228" s="1" t="s">
        <v>30</v>
      </c>
      <c r="W228" s="1" t="s">
        <v>37</v>
      </c>
      <c r="X228" s="1" t="s">
        <v>30</v>
      </c>
      <c r="Y228" s="1" t="s">
        <v>37</v>
      </c>
      <c r="Z228" s="1" t="s">
        <v>426</v>
      </c>
    </row>
    <row r="229" spans="1:26" ht="15.75" x14ac:dyDescent="0.25">
      <c r="A229" s="1" t="s">
        <v>26</v>
      </c>
      <c r="B229" s="1" t="s">
        <v>27</v>
      </c>
      <c r="C229" s="1" t="s">
        <v>427</v>
      </c>
      <c r="D229" s="1" t="s">
        <v>576</v>
      </c>
      <c r="E229" s="1" t="s">
        <v>30</v>
      </c>
      <c r="F229" s="1" t="s">
        <v>577</v>
      </c>
      <c r="G229" s="1" t="s">
        <v>32</v>
      </c>
      <c r="H229" s="1" t="s">
        <v>81</v>
      </c>
      <c r="I229" s="1" t="s">
        <v>137</v>
      </c>
      <c r="J229" s="1">
        <v>-60.92</v>
      </c>
      <c r="K229" s="1" t="s">
        <v>514</v>
      </c>
      <c r="L229" s="1" t="s">
        <v>36</v>
      </c>
      <c r="M229" s="1">
        <v>-22.54</v>
      </c>
      <c r="N229" s="1" t="s">
        <v>555</v>
      </c>
      <c r="O229" s="1" t="s">
        <v>38</v>
      </c>
      <c r="P229" s="1" t="s">
        <v>37</v>
      </c>
      <c r="Q229" s="1" t="s">
        <v>556</v>
      </c>
      <c r="R229" s="1" t="s">
        <v>578</v>
      </c>
      <c r="S229" s="1" t="s">
        <v>40</v>
      </c>
      <c r="T229" s="1">
        <v>933.68</v>
      </c>
      <c r="U229" s="1" t="s">
        <v>41</v>
      </c>
      <c r="V229" s="1" t="s">
        <v>30</v>
      </c>
      <c r="W229" s="1" t="s">
        <v>37</v>
      </c>
      <c r="X229" s="1" t="s">
        <v>30</v>
      </c>
      <c r="Y229" s="1" t="s">
        <v>37</v>
      </c>
      <c r="Z229" s="1" t="s">
        <v>426</v>
      </c>
    </row>
    <row r="230" spans="1:26" ht="15.75" x14ac:dyDescent="0.25">
      <c r="A230" s="1" t="s">
        <v>26</v>
      </c>
      <c r="B230" s="1" t="s">
        <v>27</v>
      </c>
      <c r="C230" s="1" t="s">
        <v>427</v>
      </c>
      <c r="D230" s="1" t="s">
        <v>576</v>
      </c>
      <c r="E230" s="1" t="s">
        <v>30</v>
      </c>
      <c r="F230" s="1" t="s">
        <v>577</v>
      </c>
      <c r="G230" s="1" t="s">
        <v>43</v>
      </c>
      <c r="H230" s="1" t="s">
        <v>81</v>
      </c>
      <c r="I230" s="1" t="s">
        <v>137</v>
      </c>
      <c r="J230" s="1">
        <v>-1.5</v>
      </c>
      <c r="K230" s="1" t="s">
        <v>514</v>
      </c>
      <c r="L230" s="1" t="s">
        <v>36</v>
      </c>
      <c r="M230" s="1">
        <v>-0.56000000000000005</v>
      </c>
      <c r="N230" s="1" t="s">
        <v>555</v>
      </c>
      <c r="O230" s="1" t="s">
        <v>38</v>
      </c>
      <c r="P230" s="1" t="s">
        <v>37</v>
      </c>
      <c r="Q230" s="1" t="s">
        <v>556</v>
      </c>
      <c r="R230" s="1" t="s">
        <v>578</v>
      </c>
      <c r="S230" s="1" t="s">
        <v>40</v>
      </c>
      <c r="T230" s="1">
        <v>933.68</v>
      </c>
      <c r="U230" s="1" t="s">
        <v>41</v>
      </c>
      <c r="V230" s="1" t="s">
        <v>30</v>
      </c>
      <c r="W230" s="1" t="s">
        <v>37</v>
      </c>
      <c r="X230" s="1" t="s">
        <v>30</v>
      </c>
      <c r="Y230" s="1" t="s">
        <v>37</v>
      </c>
      <c r="Z230" s="1" t="s">
        <v>426</v>
      </c>
    </row>
    <row r="231" spans="1:26" ht="15.75" x14ac:dyDescent="0.25">
      <c r="A231" s="1" t="s">
        <v>26</v>
      </c>
      <c r="B231" s="1" t="s">
        <v>27</v>
      </c>
      <c r="C231" s="1" t="s">
        <v>579</v>
      </c>
      <c r="D231" s="1" t="s">
        <v>580</v>
      </c>
      <c r="E231" s="1" t="s">
        <v>30</v>
      </c>
      <c r="F231" s="1" t="s">
        <v>581</v>
      </c>
      <c r="G231" s="1" t="s">
        <v>32</v>
      </c>
      <c r="H231" s="1" t="s">
        <v>86</v>
      </c>
      <c r="I231" s="1" t="s">
        <v>48</v>
      </c>
      <c r="J231" s="1">
        <v>36.29</v>
      </c>
      <c r="K231" s="1" t="s">
        <v>582</v>
      </c>
      <c r="L231" s="1" t="s">
        <v>36</v>
      </c>
      <c r="M231" s="1">
        <v>0</v>
      </c>
      <c r="N231" s="1" t="s">
        <v>71</v>
      </c>
      <c r="O231" s="1" t="s">
        <v>38</v>
      </c>
      <c r="P231" s="1" t="s">
        <v>409</v>
      </c>
      <c r="Q231" s="1" t="s">
        <v>73</v>
      </c>
      <c r="R231" s="1" t="s">
        <v>583</v>
      </c>
      <c r="S231" s="1" t="s">
        <v>40</v>
      </c>
      <c r="T231" s="1">
        <v>933.68</v>
      </c>
      <c r="U231" s="1" t="s">
        <v>41</v>
      </c>
      <c r="V231" s="1" t="s">
        <v>30</v>
      </c>
      <c r="W231" s="1" t="s">
        <v>37</v>
      </c>
      <c r="X231" s="1" t="s">
        <v>30</v>
      </c>
      <c r="Y231" s="1" t="s">
        <v>37</v>
      </c>
      <c r="Z231" s="1" t="s">
        <v>42</v>
      </c>
    </row>
    <row r="232" spans="1:26" ht="15.75" x14ac:dyDescent="0.25">
      <c r="A232" s="1" t="s">
        <v>26</v>
      </c>
      <c r="B232" s="1" t="s">
        <v>27</v>
      </c>
      <c r="C232" s="1" t="s">
        <v>579</v>
      </c>
      <c r="D232" s="1" t="s">
        <v>580</v>
      </c>
      <c r="E232" s="1" t="s">
        <v>30</v>
      </c>
      <c r="F232" s="1" t="s">
        <v>581</v>
      </c>
      <c r="G232" s="1" t="s">
        <v>43</v>
      </c>
      <c r="H232" s="1" t="s">
        <v>86</v>
      </c>
      <c r="I232" s="1" t="s">
        <v>48</v>
      </c>
      <c r="J232" s="1">
        <v>1.5</v>
      </c>
      <c r="K232" s="1" t="s">
        <v>582</v>
      </c>
      <c r="L232" s="1" t="s">
        <v>36</v>
      </c>
      <c r="M232" s="1">
        <v>0</v>
      </c>
      <c r="N232" s="1" t="s">
        <v>71</v>
      </c>
      <c r="O232" s="1" t="s">
        <v>38</v>
      </c>
      <c r="P232" s="1" t="s">
        <v>411</v>
      </c>
      <c r="Q232" s="1" t="s">
        <v>73</v>
      </c>
      <c r="R232" s="1" t="s">
        <v>583</v>
      </c>
      <c r="S232" s="1" t="s">
        <v>40</v>
      </c>
      <c r="T232" s="1">
        <v>933.68</v>
      </c>
      <c r="U232" s="1" t="s">
        <v>41</v>
      </c>
      <c r="V232" s="1" t="s">
        <v>30</v>
      </c>
      <c r="W232" s="1" t="s">
        <v>37</v>
      </c>
      <c r="X232" s="1" t="s">
        <v>30</v>
      </c>
      <c r="Y232" s="1" t="s">
        <v>37</v>
      </c>
      <c r="Z232" s="1" t="s">
        <v>42</v>
      </c>
    </row>
    <row r="233" spans="1:26" ht="15.75" x14ac:dyDescent="0.25">
      <c r="A233" s="1" t="s">
        <v>26</v>
      </c>
      <c r="B233" s="1" t="s">
        <v>27</v>
      </c>
      <c r="C233" s="1" t="s">
        <v>579</v>
      </c>
      <c r="D233" s="1" t="s">
        <v>584</v>
      </c>
      <c r="E233" s="1" t="s">
        <v>30</v>
      </c>
      <c r="F233" s="1" t="s">
        <v>585</v>
      </c>
      <c r="G233" s="1" t="s">
        <v>32</v>
      </c>
      <c r="H233" s="1" t="s">
        <v>86</v>
      </c>
      <c r="I233" s="1" t="s">
        <v>48</v>
      </c>
      <c r="J233" s="1">
        <v>36.29</v>
      </c>
      <c r="K233" s="1" t="s">
        <v>582</v>
      </c>
      <c r="L233" s="1" t="s">
        <v>36</v>
      </c>
      <c r="M233" s="1">
        <v>0</v>
      </c>
      <c r="N233" s="1" t="s">
        <v>71</v>
      </c>
      <c r="O233" s="1" t="s">
        <v>38</v>
      </c>
      <c r="P233" s="1" t="s">
        <v>409</v>
      </c>
      <c r="Q233" s="1" t="s">
        <v>73</v>
      </c>
      <c r="R233" s="1" t="s">
        <v>586</v>
      </c>
      <c r="S233" s="1" t="s">
        <v>40</v>
      </c>
      <c r="T233" s="1">
        <v>933.68</v>
      </c>
      <c r="U233" s="1" t="s">
        <v>41</v>
      </c>
      <c r="V233" s="1" t="s">
        <v>30</v>
      </c>
      <c r="W233" s="1" t="s">
        <v>37</v>
      </c>
      <c r="X233" s="1" t="s">
        <v>30</v>
      </c>
      <c r="Y233" s="1" t="s">
        <v>37</v>
      </c>
      <c r="Z233" s="1" t="s">
        <v>42</v>
      </c>
    </row>
    <row r="234" spans="1:26" ht="15.75" x14ac:dyDescent="0.25">
      <c r="A234" s="1" t="s">
        <v>26</v>
      </c>
      <c r="B234" s="1" t="s">
        <v>27</v>
      </c>
      <c r="C234" s="1" t="s">
        <v>579</v>
      </c>
      <c r="D234" s="1" t="s">
        <v>584</v>
      </c>
      <c r="E234" s="1" t="s">
        <v>30</v>
      </c>
      <c r="F234" s="1" t="s">
        <v>585</v>
      </c>
      <c r="G234" s="1" t="s">
        <v>43</v>
      </c>
      <c r="H234" s="1" t="s">
        <v>86</v>
      </c>
      <c r="I234" s="1" t="s">
        <v>48</v>
      </c>
      <c r="J234" s="1">
        <v>1.5</v>
      </c>
      <c r="K234" s="1" t="s">
        <v>582</v>
      </c>
      <c r="L234" s="1" t="s">
        <v>36</v>
      </c>
      <c r="M234" s="1">
        <v>0</v>
      </c>
      <c r="N234" s="1" t="s">
        <v>71</v>
      </c>
      <c r="O234" s="1" t="s">
        <v>38</v>
      </c>
      <c r="P234" s="1" t="s">
        <v>411</v>
      </c>
      <c r="Q234" s="1" t="s">
        <v>73</v>
      </c>
      <c r="R234" s="1" t="s">
        <v>586</v>
      </c>
      <c r="S234" s="1" t="s">
        <v>40</v>
      </c>
      <c r="T234" s="1">
        <v>933.68</v>
      </c>
      <c r="U234" s="1" t="s">
        <v>41</v>
      </c>
      <c r="V234" s="1" t="s">
        <v>30</v>
      </c>
      <c r="W234" s="1" t="s">
        <v>37</v>
      </c>
      <c r="X234" s="1" t="s">
        <v>30</v>
      </c>
      <c r="Y234" s="1" t="s">
        <v>37</v>
      </c>
      <c r="Z234" s="1" t="s">
        <v>42</v>
      </c>
    </row>
    <row r="235" spans="1:26" ht="15.75" x14ac:dyDescent="0.25">
      <c r="A235" s="1" t="s">
        <v>26</v>
      </c>
      <c r="B235" s="1" t="s">
        <v>27</v>
      </c>
      <c r="C235" s="1" t="s">
        <v>579</v>
      </c>
      <c r="D235" s="1" t="s">
        <v>587</v>
      </c>
      <c r="E235" s="1" t="s">
        <v>30</v>
      </c>
      <c r="F235" s="1" t="s">
        <v>588</v>
      </c>
      <c r="G235" s="1" t="s">
        <v>32</v>
      </c>
      <c r="H235" s="1" t="s">
        <v>62</v>
      </c>
      <c r="I235" s="1" t="s">
        <v>48</v>
      </c>
      <c r="J235" s="1">
        <v>36.29</v>
      </c>
      <c r="K235" s="1" t="s">
        <v>589</v>
      </c>
      <c r="L235" s="1" t="s">
        <v>36</v>
      </c>
      <c r="M235" s="1">
        <v>0</v>
      </c>
      <c r="N235" s="1" t="s">
        <v>71</v>
      </c>
      <c r="O235" s="1" t="s">
        <v>38</v>
      </c>
      <c r="P235" s="1" t="s">
        <v>409</v>
      </c>
      <c r="Q235" s="1" t="s">
        <v>73</v>
      </c>
      <c r="R235" s="1" t="s">
        <v>590</v>
      </c>
      <c r="S235" s="1" t="s">
        <v>40</v>
      </c>
      <c r="T235" s="1">
        <v>933.68</v>
      </c>
      <c r="U235" s="1" t="s">
        <v>41</v>
      </c>
      <c r="V235" s="1" t="s">
        <v>30</v>
      </c>
      <c r="W235" s="1" t="s">
        <v>37</v>
      </c>
      <c r="X235" s="1" t="s">
        <v>30</v>
      </c>
      <c r="Y235" s="1" t="s">
        <v>37</v>
      </c>
      <c r="Z235" s="1" t="s">
        <v>42</v>
      </c>
    </row>
    <row r="236" spans="1:26" ht="15.75" x14ac:dyDescent="0.25">
      <c r="A236" s="1" t="s">
        <v>26</v>
      </c>
      <c r="B236" s="1" t="s">
        <v>27</v>
      </c>
      <c r="C236" s="1" t="s">
        <v>579</v>
      </c>
      <c r="D236" s="1" t="s">
        <v>587</v>
      </c>
      <c r="E236" s="1" t="s">
        <v>30</v>
      </c>
      <c r="F236" s="1" t="s">
        <v>588</v>
      </c>
      <c r="G236" s="1" t="s">
        <v>43</v>
      </c>
      <c r="H236" s="1" t="s">
        <v>62</v>
      </c>
      <c r="I236" s="1" t="s">
        <v>48</v>
      </c>
      <c r="J236" s="1">
        <v>1.5</v>
      </c>
      <c r="K236" s="1" t="s">
        <v>589</v>
      </c>
      <c r="L236" s="1" t="s">
        <v>36</v>
      </c>
      <c r="M236" s="1">
        <v>0</v>
      </c>
      <c r="N236" s="1" t="s">
        <v>71</v>
      </c>
      <c r="O236" s="1" t="s">
        <v>38</v>
      </c>
      <c r="P236" s="1" t="s">
        <v>411</v>
      </c>
      <c r="Q236" s="1" t="s">
        <v>73</v>
      </c>
      <c r="R236" s="1" t="s">
        <v>590</v>
      </c>
      <c r="S236" s="1" t="s">
        <v>40</v>
      </c>
      <c r="T236" s="1">
        <v>933.68</v>
      </c>
      <c r="U236" s="1" t="s">
        <v>41</v>
      </c>
      <c r="V236" s="1" t="s">
        <v>30</v>
      </c>
      <c r="W236" s="1" t="s">
        <v>37</v>
      </c>
      <c r="X236" s="1" t="s">
        <v>30</v>
      </c>
      <c r="Y236" s="1" t="s">
        <v>37</v>
      </c>
      <c r="Z236" s="1" t="s">
        <v>42</v>
      </c>
    </row>
    <row r="237" spans="1:26" ht="15.75" x14ac:dyDescent="0.25">
      <c r="A237" s="1" t="s">
        <v>26</v>
      </c>
      <c r="B237" s="1" t="s">
        <v>27</v>
      </c>
      <c r="C237" s="1" t="s">
        <v>579</v>
      </c>
      <c r="D237" s="1" t="s">
        <v>591</v>
      </c>
      <c r="E237" s="1" t="s">
        <v>30</v>
      </c>
      <c r="F237" s="1" t="s">
        <v>588</v>
      </c>
      <c r="G237" s="1" t="s">
        <v>45</v>
      </c>
      <c r="H237" s="1" t="s">
        <v>62</v>
      </c>
      <c r="I237" s="1" t="s">
        <v>48</v>
      </c>
      <c r="J237" s="1">
        <v>16.34</v>
      </c>
      <c r="K237" s="1" t="s">
        <v>589</v>
      </c>
      <c r="L237" s="1" t="s">
        <v>36</v>
      </c>
      <c r="M237" s="1">
        <v>0</v>
      </c>
      <c r="N237" s="1" t="s">
        <v>71</v>
      </c>
      <c r="O237" s="1" t="s">
        <v>38</v>
      </c>
      <c r="P237" s="1" t="s">
        <v>413</v>
      </c>
      <c r="Q237" s="1" t="s">
        <v>73</v>
      </c>
      <c r="R237" s="1" t="s">
        <v>590</v>
      </c>
      <c r="S237" s="1" t="s">
        <v>40</v>
      </c>
      <c r="T237" s="1">
        <v>933.68</v>
      </c>
      <c r="U237" s="1" t="s">
        <v>41</v>
      </c>
      <c r="V237" s="1" t="s">
        <v>30</v>
      </c>
      <c r="W237" s="1" t="s">
        <v>37</v>
      </c>
      <c r="X237" s="1" t="s">
        <v>30</v>
      </c>
      <c r="Y237" s="1" t="s">
        <v>37</v>
      </c>
      <c r="Z237" s="1" t="s">
        <v>42</v>
      </c>
    </row>
    <row r="238" spans="1:26" ht="15.75" x14ac:dyDescent="0.25">
      <c r="A238" s="1" t="s">
        <v>26</v>
      </c>
      <c r="B238" s="1" t="s">
        <v>27</v>
      </c>
      <c r="C238" s="1" t="s">
        <v>579</v>
      </c>
      <c r="D238" s="1" t="s">
        <v>592</v>
      </c>
      <c r="E238" s="1" t="s">
        <v>30</v>
      </c>
      <c r="F238" s="1" t="s">
        <v>593</v>
      </c>
      <c r="G238" s="1" t="s">
        <v>32</v>
      </c>
      <c r="H238" s="1" t="s">
        <v>460</v>
      </c>
      <c r="I238" s="1" t="s">
        <v>137</v>
      </c>
      <c r="J238" s="1">
        <v>-65.09</v>
      </c>
      <c r="K238" s="1" t="s">
        <v>594</v>
      </c>
      <c r="L238" s="1" t="s">
        <v>36</v>
      </c>
      <c r="M238" s="1">
        <v>-24.08</v>
      </c>
      <c r="N238" s="1" t="s">
        <v>57</v>
      </c>
      <c r="O238" s="1" t="s">
        <v>38</v>
      </c>
      <c r="P238" s="1" t="s">
        <v>37</v>
      </c>
      <c r="Q238" s="1" t="s">
        <v>58</v>
      </c>
      <c r="R238" s="1" t="s">
        <v>595</v>
      </c>
      <c r="S238" s="1" t="s">
        <v>40</v>
      </c>
      <c r="T238" s="1">
        <v>933.68</v>
      </c>
      <c r="U238" s="1" t="s">
        <v>41</v>
      </c>
      <c r="V238" s="1" t="s">
        <v>30</v>
      </c>
      <c r="W238" s="1" t="s">
        <v>37</v>
      </c>
      <c r="X238" s="1" t="s">
        <v>30</v>
      </c>
      <c r="Y238" s="1" t="s">
        <v>37</v>
      </c>
      <c r="Z238" s="1" t="s">
        <v>426</v>
      </c>
    </row>
    <row r="239" spans="1:26" ht="15.75" x14ac:dyDescent="0.25">
      <c r="A239" s="1" t="s">
        <v>26</v>
      </c>
      <c r="B239" s="1" t="s">
        <v>27</v>
      </c>
      <c r="C239" s="1" t="s">
        <v>579</v>
      </c>
      <c r="D239" s="1" t="s">
        <v>592</v>
      </c>
      <c r="E239" s="1" t="s">
        <v>30</v>
      </c>
      <c r="F239" s="1" t="s">
        <v>593</v>
      </c>
      <c r="G239" s="1" t="s">
        <v>32</v>
      </c>
      <c r="H239" s="1" t="s">
        <v>461</v>
      </c>
      <c r="I239" s="1" t="s">
        <v>137</v>
      </c>
      <c r="J239" s="1">
        <v>-65.09</v>
      </c>
      <c r="K239" s="1" t="s">
        <v>594</v>
      </c>
      <c r="L239" s="1" t="s">
        <v>36</v>
      </c>
      <c r="M239" s="1">
        <v>-24.08</v>
      </c>
      <c r="N239" s="1" t="s">
        <v>57</v>
      </c>
      <c r="O239" s="1" t="s">
        <v>38</v>
      </c>
      <c r="P239" s="1" t="s">
        <v>37</v>
      </c>
      <c r="Q239" s="1" t="s">
        <v>58</v>
      </c>
      <c r="R239" s="1" t="s">
        <v>595</v>
      </c>
      <c r="S239" s="1" t="s">
        <v>40</v>
      </c>
      <c r="T239" s="1">
        <v>933.68</v>
      </c>
      <c r="U239" s="1" t="s">
        <v>41</v>
      </c>
      <c r="V239" s="1" t="s">
        <v>30</v>
      </c>
      <c r="W239" s="1" t="s">
        <v>37</v>
      </c>
      <c r="X239" s="1" t="s">
        <v>30</v>
      </c>
      <c r="Y239" s="1" t="s">
        <v>37</v>
      </c>
      <c r="Z239" s="1" t="s">
        <v>426</v>
      </c>
    </row>
    <row r="240" spans="1:26" ht="15.75" x14ac:dyDescent="0.25">
      <c r="A240" s="1" t="s">
        <v>26</v>
      </c>
      <c r="B240" s="1" t="s">
        <v>27</v>
      </c>
      <c r="C240" s="1" t="s">
        <v>579</v>
      </c>
      <c r="D240" s="1" t="s">
        <v>592</v>
      </c>
      <c r="E240" s="1" t="s">
        <v>30</v>
      </c>
      <c r="F240" s="1" t="s">
        <v>593</v>
      </c>
      <c r="G240" s="1" t="s">
        <v>32</v>
      </c>
      <c r="H240" s="1" t="s">
        <v>81</v>
      </c>
      <c r="I240" s="1" t="s">
        <v>137</v>
      </c>
      <c r="J240" s="1">
        <v>-65.09</v>
      </c>
      <c r="K240" s="1" t="s">
        <v>594</v>
      </c>
      <c r="L240" s="1" t="s">
        <v>36</v>
      </c>
      <c r="M240" s="1">
        <v>-24.08</v>
      </c>
      <c r="N240" s="1" t="s">
        <v>57</v>
      </c>
      <c r="O240" s="1" t="s">
        <v>38</v>
      </c>
      <c r="P240" s="1" t="s">
        <v>37</v>
      </c>
      <c r="Q240" s="1" t="s">
        <v>58</v>
      </c>
      <c r="R240" s="1" t="s">
        <v>595</v>
      </c>
      <c r="S240" s="1" t="s">
        <v>40</v>
      </c>
      <c r="T240" s="1">
        <v>933.68</v>
      </c>
      <c r="U240" s="1" t="s">
        <v>41</v>
      </c>
      <c r="V240" s="1" t="s">
        <v>30</v>
      </c>
      <c r="W240" s="1" t="s">
        <v>37</v>
      </c>
      <c r="X240" s="1" t="s">
        <v>30</v>
      </c>
      <c r="Y240" s="1" t="s">
        <v>37</v>
      </c>
      <c r="Z240" s="1" t="s">
        <v>426</v>
      </c>
    </row>
    <row r="241" spans="1:26" ht="15.75" x14ac:dyDescent="0.25">
      <c r="A241" s="1" t="s">
        <v>26</v>
      </c>
      <c r="B241" s="1" t="s">
        <v>27</v>
      </c>
      <c r="C241" s="1" t="s">
        <v>579</v>
      </c>
      <c r="D241" s="1" t="s">
        <v>592</v>
      </c>
      <c r="E241" s="1" t="s">
        <v>30</v>
      </c>
      <c r="F241" s="1" t="s">
        <v>593</v>
      </c>
      <c r="G241" s="1" t="s">
        <v>32</v>
      </c>
      <c r="H241" s="1" t="s">
        <v>93</v>
      </c>
      <c r="I241" s="1" t="s">
        <v>137</v>
      </c>
      <c r="J241" s="1">
        <v>-65.09</v>
      </c>
      <c r="K241" s="1" t="s">
        <v>594</v>
      </c>
      <c r="L241" s="1" t="s">
        <v>36</v>
      </c>
      <c r="M241" s="1">
        <v>-24.08</v>
      </c>
      <c r="N241" s="1" t="s">
        <v>57</v>
      </c>
      <c r="O241" s="1" t="s">
        <v>38</v>
      </c>
      <c r="P241" s="1" t="s">
        <v>37</v>
      </c>
      <c r="Q241" s="1" t="s">
        <v>58</v>
      </c>
      <c r="R241" s="1" t="s">
        <v>595</v>
      </c>
      <c r="S241" s="1" t="s">
        <v>40</v>
      </c>
      <c r="T241" s="1">
        <v>933.68</v>
      </c>
      <c r="U241" s="1" t="s">
        <v>41</v>
      </c>
      <c r="V241" s="1" t="s">
        <v>30</v>
      </c>
      <c r="W241" s="1" t="s">
        <v>37</v>
      </c>
      <c r="X241" s="1" t="s">
        <v>30</v>
      </c>
      <c r="Y241" s="1" t="s">
        <v>37</v>
      </c>
      <c r="Z241" s="1" t="s">
        <v>426</v>
      </c>
    </row>
    <row r="242" spans="1:26" ht="15.75" x14ac:dyDescent="0.25">
      <c r="A242" s="1" t="s">
        <v>26</v>
      </c>
      <c r="B242" s="1" t="s">
        <v>27</v>
      </c>
      <c r="C242" s="1" t="s">
        <v>579</v>
      </c>
      <c r="D242" s="1" t="s">
        <v>596</v>
      </c>
      <c r="E242" s="1" t="s">
        <v>30</v>
      </c>
      <c r="F242" s="1" t="s">
        <v>593</v>
      </c>
      <c r="G242" s="1" t="s">
        <v>45</v>
      </c>
      <c r="H242" s="1" t="s">
        <v>460</v>
      </c>
      <c r="I242" s="1" t="s">
        <v>137</v>
      </c>
      <c r="J242" s="1">
        <v>-19.63</v>
      </c>
      <c r="K242" s="1" t="s">
        <v>594</v>
      </c>
      <c r="L242" s="1" t="s">
        <v>36</v>
      </c>
      <c r="M242" s="1">
        <v>-7.26</v>
      </c>
      <c r="N242" s="1" t="s">
        <v>57</v>
      </c>
      <c r="O242" s="1" t="s">
        <v>38</v>
      </c>
      <c r="P242" s="1" t="s">
        <v>37</v>
      </c>
      <c r="Q242" s="1" t="s">
        <v>58</v>
      </c>
      <c r="R242" s="1" t="s">
        <v>595</v>
      </c>
      <c r="S242" s="1" t="s">
        <v>40</v>
      </c>
      <c r="T242" s="1">
        <v>933.68</v>
      </c>
      <c r="U242" s="1" t="s">
        <v>41</v>
      </c>
      <c r="V242" s="1" t="s">
        <v>30</v>
      </c>
      <c r="W242" s="1" t="s">
        <v>37</v>
      </c>
      <c r="X242" s="1" t="s">
        <v>30</v>
      </c>
      <c r="Y242" s="1" t="s">
        <v>37</v>
      </c>
      <c r="Z242" s="1" t="s">
        <v>426</v>
      </c>
    </row>
    <row r="243" spans="1:26" ht="15.75" x14ac:dyDescent="0.25">
      <c r="A243" s="1" t="s">
        <v>26</v>
      </c>
      <c r="B243" s="1" t="s">
        <v>27</v>
      </c>
      <c r="C243" s="1" t="s">
        <v>579</v>
      </c>
      <c r="D243" s="1" t="s">
        <v>596</v>
      </c>
      <c r="E243" s="1" t="s">
        <v>30</v>
      </c>
      <c r="F243" s="1" t="s">
        <v>593</v>
      </c>
      <c r="G243" s="1" t="s">
        <v>45</v>
      </c>
      <c r="H243" s="1" t="s">
        <v>461</v>
      </c>
      <c r="I243" s="1" t="s">
        <v>137</v>
      </c>
      <c r="J243" s="1">
        <v>-19.63</v>
      </c>
      <c r="K243" s="1" t="s">
        <v>594</v>
      </c>
      <c r="L243" s="1" t="s">
        <v>36</v>
      </c>
      <c r="M243" s="1">
        <v>-7.26</v>
      </c>
      <c r="N243" s="1" t="s">
        <v>57</v>
      </c>
      <c r="O243" s="1" t="s">
        <v>38</v>
      </c>
      <c r="P243" s="1" t="s">
        <v>37</v>
      </c>
      <c r="Q243" s="1" t="s">
        <v>58</v>
      </c>
      <c r="R243" s="1" t="s">
        <v>595</v>
      </c>
      <c r="S243" s="1" t="s">
        <v>40</v>
      </c>
      <c r="T243" s="1">
        <v>933.68</v>
      </c>
      <c r="U243" s="1" t="s">
        <v>41</v>
      </c>
      <c r="V243" s="1" t="s">
        <v>30</v>
      </c>
      <c r="W243" s="1" t="s">
        <v>37</v>
      </c>
      <c r="X243" s="1" t="s">
        <v>30</v>
      </c>
      <c r="Y243" s="1" t="s">
        <v>37</v>
      </c>
      <c r="Z243" s="1" t="s">
        <v>426</v>
      </c>
    </row>
    <row r="244" spans="1:26" ht="15.75" x14ac:dyDescent="0.25">
      <c r="A244" s="1" t="s">
        <v>26</v>
      </c>
      <c r="B244" s="1" t="s">
        <v>27</v>
      </c>
      <c r="C244" s="1" t="s">
        <v>579</v>
      </c>
      <c r="D244" s="1" t="s">
        <v>596</v>
      </c>
      <c r="E244" s="1" t="s">
        <v>30</v>
      </c>
      <c r="F244" s="1" t="s">
        <v>593</v>
      </c>
      <c r="G244" s="1" t="s">
        <v>45</v>
      </c>
      <c r="H244" s="1" t="s">
        <v>81</v>
      </c>
      <c r="I244" s="1" t="s">
        <v>137</v>
      </c>
      <c r="J244" s="1">
        <v>-19.63</v>
      </c>
      <c r="K244" s="1" t="s">
        <v>594</v>
      </c>
      <c r="L244" s="1" t="s">
        <v>36</v>
      </c>
      <c r="M244" s="1">
        <v>-7.26</v>
      </c>
      <c r="N244" s="1" t="s">
        <v>57</v>
      </c>
      <c r="O244" s="1" t="s">
        <v>38</v>
      </c>
      <c r="P244" s="1" t="s">
        <v>37</v>
      </c>
      <c r="Q244" s="1" t="s">
        <v>58</v>
      </c>
      <c r="R244" s="1" t="s">
        <v>595</v>
      </c>
      <c r="S244" s="1" t="s">
        <v>40</v>
      </c>
      <c r="T244" s="1">
        <v>933.68</v>
      </c>
      <c r="U244" s="1" t="s">
        <v>41</v>
      </c>
      <c r="V244" s="1" t="s">
        <v>30</v>
      </c>
      <c r="W244" s="1" t="s">
        <v>37</v>
      </c>
      <c r="X244" s="1" t="s">
        <v>30</v>
      </c>
      <c r="Y244" s="1" t="s">
        <v>37</v>
      </c>
      <c r="Z244" s="1" t="s">
        <v>426</v>
      </c>
    </row>
    <row r="245" spans="1:26" ht="15.75" x14ac:dyDescent="0.25">
      <c r="A245" s="1" t="s">
        <v>26</v>
      </c>
      <c r="B245" s="1" t="s">
        <v>27</v>
      </c>
      <c r="C245" s="1" t="s">
        <v>579</v>
      </c>
      <c r="D245" s="1" t="s">
        <v>596</v>
      </c>
      <c r="E245" s="1" t="s">
        <v>30</v>
      </c>
      <c r="F245" s="1" t="s">
        <v>593</v>
      </c>
      <c r="G245" s="1" t="s">
        <v>45</v>
      </c>
      <c r="H245" s="1" t="s">
        <v>93</v>
      </c>
      <c r="I245" s="1" t="s">
        <v>137</v>
      </c>
      <c r="J245" s="1">
        <v>-19.63</v>
      </c>
      <c r="K245" s="1" t="s">
        <v>594</v>
      </c>
      <c r="L245" s="1" t="s">
        <v>36</v>
      </c>
      <c r="M245" s="1">
        <v>-7.26</v>
      </c>
      <c r="N245" s="1" t="s">
        <v>57</v>
      </c>
      <c r="O245" s="1" t="s">
        <v>38</v>
      </c>
      <c r="P245" s="1" t="s">
        <v>37</v>
      </c>
      <c r="Q245" s="1" t="s">
        <v>58</v>
      </c>
      <c r="R245" s="1" t="s">
        <v>595</v>
      </c>
      <c r="S245" s="1" t="s">
        <v>40</v>
      </c>
      <c r="T245" s="1">
        <v>933.68</v>
      </c>
      <c r="U245" s="1" t="s">
        <v>41</v>
      </c>
      <c r="V245" s="1" t="s">
        <v>30</v>
      </c>
      <c r="W245" s="1" t="s">
        <v>37</v>
      </c>
      <c r="X245" s="1" t="s">
        <v>30</v>
      </c>
      <c r="Y245" s="1" t="s">
        <v>37</v>
      </c>
      <c r="Z245" s="1" t="s">
        <v>426</v>
      </c>
    </row>
    <row r="246" spans="1:26" ht="15.75" x14ac:dyDescent="0.25">
      <c r="A246" s="1" t="s">
        <v>26</v>
      </c>
      <c r="B246" s="1" t="s">
        <v>27</v>
      </c>
      <c r="C246" s="1" t="s">
        <v>579</v>
      </c>
      <c r="D246" s="1" t="s">
        <v>597</v>
      </c>
      <c r="E246" s="1" t="s">
        <v>30</v>
      </c>
      <c r="F246" s="1" t="s">
        <v>598</v>
      </c>
      <c r="G246" s="1" t="s">
        <v>32</v>
      </c>
      <c r="H246" s="1" t="s">
        <v>136</v>
      </c>
      <c r="I246" s="1" t="s">
        <v>137</v>
      </c>
      <c r="J246" s="1">
        <v>36.29</v>
      </c>
      <c r="K246" s="1" t="s">
        <v>599</v>
      </c>
      <c r="L246" s="1" t="s">
        <v>36</v>
      </c>
      <c r="M246" s="1">
        <v>0</v>
      </c>
      <c r="N246" s="1" t="s">
        <v>71</v>
      </c>
      <c r="O246" s="1" t="s">
        <v>38</v>
      </c>
      <c r="P246" s="1" t="s">
        <v>409</v>
      </c>
      <c r="Q246" s="1" t="s">
        <v>73</v>
      </c>
      <c r="R246" s="1" t="s">
        <v>600</v>
      </c>
      <c r="S246" s="1" t="s">
        <v>40</v>
      </c>
      <c r="T246" s="1">
        <v>933.68</v>
      </c>
      <c r="U246" s="1" t="s">
        <v>41</v>
      </c>
      <c r="V246" s="1" t="s">
        <v>30</v>
      </c>
      <c r="W246" s="1" t="s">
        <v>37</v>
      </c>
      <c r="X246" s="1" t="s">
        <v>30</v>
      </c>
      <c r="Y246" s="1" t="s">
        <v>37</v>
      </c>
      <c r="Z246" s="1" t="s">
        <v>42</v>
      </c>
    </row>
    <row r="247" spans="1:26" ht="15.75" x14ac:dyDescent="0.25">
      <c r="A247" s="1" t="s">
        <v>26</v>
      </c>
      <c r="B247" s="1" t="s">
        <v>27</v>
      </c>
      <c r="C247" s="1" t="s">
        <v>579</v>
      </c>
      <c r="D247" s="1" t="s">
        <v>597</v>
      </c>
      <c r="E247" s="1" t="s">
        <v>30</v>
      </c>
      <c r="F247" s="1" t="s">
        <v>598</v>
      </c>
      <c r="G247" s="1" t="s">
        <v>43</v>
      </c>
      <c r="H247" s="1" t="s">
        <v>136</v>
      </c>
      <c r="I247" s="1" t="s">
        <v>137</v>
      </c>
      <c r="J247" s="1">
        <v>1.5</v>
      </c>
      <c r="K247" s="1" t="s">
        <v>599</v>
      </c>
      <c r="L247" s="1" t="s">
        <v>36</v>
      </c>
      <c r="M247" s="1">
        <v>0</v>
      </c>
      <c r="N247" s="1" t="s">
        <v>71</v>
      </c>
      <c r="O247" s="1" t="s">
        <v>38</v>
      </c>
      <c r="P247" s="1" t="s">
        <v>411</v>
      </c>
      <c r="Q247" s="1" t="s">
        <v>73</v>
      </c>
      <c r="R247" s="1" t="s">
        <v>600</v>
      </c>
      <c r="S247" s="1" t="s">
        <v>40</v>
      </c>
      <c r="T247" s="1">
        <v>933.68</v>
      </c>
      <c r="U247" s="1" t="s">
        <v>41</v>
      </c>
      <c r="V247" s="1" t="s">
        <v>30</v>
      </c>
      <c r="W247" s="1" t="s">
        <v>37</v>
      </c>
      <c r="X247" s="1" t="s">
        <v>30</v>
      </c>
      <c r="Y247" s="1" t="s">
        <v>37</v>
      </c>
      <c r="Z247" s="1" t="s">
        <v>42</v>
      </c>
    </row>
    <row r="248" spans="1:26" ht="15.75" x14ac:dyDescent="0.25">
      <c r="A248" s="1" t="s">
        <v>26</v>
      </c>
      <c r="B248" s="1" t="s">
        <v>27</v>
      </c>
      <c r="C248" s="1" t="s">
        <v>579</v>
      </c>
      <c r="D248" s="1" t="s">
        <v>601</v>
      </c>
      <c r="E248" s="1" t="s">
        <v>30</v>
      </c>
      <c r="F248" s="1" t="s">
        <v>602</v>
      </c>
      <c r="G248" s="1" t="s">
        <v>32</v>
      </c>
      <c r="H248" s="1" t="s">
        <v>81</v>
      </c>
      <c r="I248" s="1" t="s">
        <v>137</v>
      </c>
      <c r="J248" s="1">
        <v>-46.59</v>
      </c>
      <c r="K248" s="1" t="s">
        <v>594</v>
      </c>
      <c r="L248" s="1" t="s">
        <v>36</v>
      </c>
      <c r="M248" s="1">
        <v>-17.239999999999998</v>
      </c>
      <c r="N248" s="1" t="s">
        <v>336</v>
      </c>
      <c r="O248" s="1" t="s">
        <v>38</v>
      </c>
      <c r="P248" s="1" t="s">
        <v>37</v>
      </c>
      <c r="Q248" s="1" t="s">
        <v>337</v>
      </c>
      <c r="R248" s="1" t="s">
        <v>603</v>
      </c>
      <c r="S248" s="1" t="s">
        <v>40</v>
      </c>
      <c r="T248" s="1">
        <v>933.68</v>
      </c>
      <c r="U248" s="1" t="s">
        <v>41</v>
      </c>
      <c r="V248" s="1" t="s">
        <v>30</v>
      </c>
      <c r="W248" s="1" t="s">
        <v>37</v>
      </c>
      <c r="X248" s="1" t="s">
        <v>30</v>
      </c>
      <c r="Y248" s="1" t="s">
        <v>37</v>
      </c>
      <c r="Z248" s="1" t="s">
        <v>426</v>
      </c>
    </row>
    <row r="249" spans="1:26" ht="15.75" x14ac:dyDescent="0.25">
      <c r="A249" s="1" t="s">
        <v>26</v>
      </c>
      <c r="B249" s="1" t="s">
        <v>27</v>
      </c>
      <c r="C249" s="1" t="s">
        <v>579</v>
      </c>
      <c r="D249" s="1" t="s">
        <v>601</v>
      </c>
      <c r="E249" s="1" t="s">
        <v>30</v>
      </c>
      <c r="F249" s="1" t="s">
        <v>602</v>
      </c>
      <c r="G249" s="1" t="s">
        <v>43</v>
      </c>
      <c r="H249" s="1" t="s">
        <v>81</v>
      </c>
      <c r="I249" s="1" t="s">
        <v>137</v>
      </c>
      <c r="J249" s="1">
        <v>-1.5</v>
      </c>
      <c r="K249" s="1" t="s">
        <v>594</v>
      </c>
      <c r="L249" s="1" t="s">
        <v>36</v>
      </c>
      <c r="M249" s="1">
        <v>-0.55000000000000004</v>
      </c>
      <c r="N249" s="1" t="s">
        <v>336</v>
      </c>
      <c r="O249" s="1" t="s">
        <v>38</v>
      </c>
      <c r="P249" s="1" t="s">
        <v>37</v>
      </c>
      <c r="Q249" s="1" t="s">
        <v>337</v>
      </c>
      <c r="R249" s="1" t="s">
        <v>603</v>
      </c>
      <c r="S249" s="1" t="s">
        <v>40</v>
      </c>
      <c r="T249" s="1">
        <v>933.68</v>
      </c>
      <c r="U249" s="1" t="s">
        <v>41</v>
      </c>
      <c r="V249" s="1" t="s">
        <v>30</v>
      </c>
      <c r="W249" s="1" t="s">
        <v>37</v>
      </c>
      <c r="X249" s="1" t="s">
        <v>30</v>
      </c>
      <c r="Y249" s="1" t="s">
        <v>37</v>
      </c>
      <c r="Z249" s="1" t="s">
        <v>426</v>
      </c>
    </row>
    <row r="250" spans="1:26" ht="15.75" x14ac:dyDescent="0.25">
      <c r="A250" s="1" t="s">
        <v>26</v>
      </c>
      <c r="B250" s="1" t="s">
        <v>27</v>
      </c>
      <c r="C250" s="1" t="s">
        <v>579</v>
      </c>
      <c r="D250" s="1" t="s">
        <v>601</v>
      </c>
      <c r="E250" s="1" t="s">
        <v>30</v>
      </c>
      <c r="F250" s="1" t="s">
        <v>602</v>
      </c>
      <c r="G250" s="1" t="s">
        <v>32</v>
      </c>
      <c r="H250" s="1" t="s">
        <v>93</v>
      </c>
      <c r="I250" s="1" t="s">
        <v>137</v>
      </c>
      <c r="J250" s="1">
        <v>-46.59</v>
      </c>
      <c r="K250" s="1" t="s">
        <v>594</v>
      </c>
      <c r="L250" s="1" t="s">
        <v>36</v>
      </c>
      <c r="M250" s="1">
        <v>-17.239999999999998</v>
      </c>
      <c r="N250" s="1" t="s">
        <v>336</v>
      </c>
      <c r="O250" s="1" t="s">
        <v>38</v>
      </c>
      <c r="P250" s="1" t="s">
        <v>37</v>
      </c>
      <c r="Q250" s="1" t="s">
        <v>337</v>
      </c>
      <c r="R250" s="1" t="s">
        <v>603</v>
      </c>
      <c r="S250" s="1" t="s">
        <v>40</v>
      </c>
      <c r="T250" s="1">
        <v>933.68</v>
      </c>
      <c r="U250" s="1" t="s">
        <v>41</v>
      </c>
      <c r="V250" s="1" t="s">
        <v>30</v>
      </c>
      <c r="W250" s="1" t="s">
        <v>37</v>
      </c>
      <c r="X250" s="1" t="s">
        <v>30</v>
      </c>
      <c r="Y250" s="1" t="s">
        <v>37</v>
      </c>
      <c r="Z250" s="1" t="s">
        <v>426</v>
      </c>
    </row>
    <row r="251" spans="1:26" ht="15.75" x14ac:dyDescent="0.25">
      <c r="A251" s="1" t="s">
        <v>26</v>
      </c>
      <c r="B251" s="1" t="s">
        <v>27</v>
      </c>
      <c r="C251" s="1" t="s">
        <v>579</v>
      </c>
      <c r="D251" s="1" t="s">
        <v>601</v>
      </c>
      <c r="E251" s="1" t="s">
        <v>30</v>
      </c>
      <c r="F251" s="1" t="s">
        <v>602</v>
      </c>
      <c r="G251" s="1" t="s">
        <v>43</v>
      </c>
      <c r="H251" s="1" t="s">
        <v>93</v>
      </c>
      <c r="I251" s="1" t="s">
        <v>137</v>
      </c>
      <c r="J251" s="1">
        <v>-1.5</v>
      </c>
      <c r="K251" s="1" t="s">
        <v>594</v>
      </c>
      <c r="L251" s="1" t="s">
        <v>36</v>
      </c>
      <c r="M251" s="1">
        <v>-0.55000000000000004</v>
      </c>
      <c r="N251" s="1" t="s">
        <v>336</v>
      </c>
      <c r="O251" s="1" t="s">
        <v>38</v>
      </c>
      <c r="P251" s="1" t="s">
        <v>37</v>
      </c>
      <c r="Q251" s="1" t="s">
        <v>337</v>
      </c>
      <c r="R251" s="1" t="s">
        <v>603</v>
      </c>
      <c r="S251" s="1" t="s">
        <v>40</v>
      </c>
      <c r="T251" s="1">
        <v>933.68</v>
      </c>
      <c r="U251" s="1" t="s">
        <v>41</v>
      </c>
      <c r="V251" s="1" t="s">
        <v>30</v>
      </c>
      <c r="W251" s="1" t="s">
        <v>37</v>
      </c>
      <c r="X251" s="1" t="s">
        <v>30</v>
      </c>
      <c r="Y251" s="1" t="s">
        <v>37</v>
      </c>
      <c r="Z251" s="1" t="s">
        <v>426</v>
      </c>
    </row>
    <row r="252" spans="1:26" ht="15.75" x14ac:dyDescent="0.25">
      <c r="A252" s="1" t="s">
        <v>26</v>
      </c>
      <c r="B252" s="1" t="s">
        <v>27</v>
      </c>
      <c r="C252" s="1" t="s">
        <v>579</v>
      </c>
      <c r="D252" s="1" t="s">
        <v>604</v>
      </c>
      <c r="E252" s="1" t="s">
        <v>30</v>
      </c>
      <c r="F252" s="1" t="s">
        <v>605</v>
      </c>
      <c r="G252" s="1" t="s">
        <v>45</v>
      </c>
      <c r="H252" s="1" t="s">
        <v>33</v>
      </c>
      <c r="I252" s="1" t="s">
        <v>34</v>
      </c>
      <c r="J252" s="1">
        <v>19.63</v>
      </c>
      <c r="K252" s="1" t="s">
        <v>606</v>
      </c>
      <c r="L252" s="1" t="s">
        <v>36</v>
      </c>
      <c r="M252" s="1">
        <v>7.26</v>
      </c>
      <c r="N252" s="1" t="s">
        <v>607</v>
      </c>
      <c r="O252" s="1" t="s">
        <v>38</v>
      </c>
      <c r="P252" s="1" t="s">
        <v>37</v>
      </c>
      <c r="Q252" s="1" t="s">
        <v>608</v>
      </c>
      <c r="R252" s="1" t="s">
        <v>609</v>
      </c>
      <c r="S252" s="1" t="s">
        <v>40</v>
      </c>
      <c r="T252" s="1">
        <v>933.68</v>
      </c>
      <c r="U252" s="1" t="s">
        <v>41</v>
      </c>
      <c r="V252" s="1" t="s">
        <v>30</v>
      </c>
      <c r="W252" s="1" t="s">
        <v>37</v>
      </c>
      <c r="X252" s="1" t="s">
        <v>30</v>
      </c>
      <c r="Y252" s="1" t="s">
        <v>37</v>
      </c>
      <c r="Z252" s="1" t="s">
        <v>42</v>
      </c>
    </row>
    <row r="253" spans="1:26" ht="15.75" x14ac:dyDescent="0.25">
      <c r="A253" s="1" t="s">
        <v>26</v>
      </c>
      <c r="B253" s="1" t="s">
        <v>27</v>
      </c>
      <c r="C253" s="1" t="s">
        <v>579</v>
      </c>
      <c r="D253" s="1" t="s">
        <v>610</v>
      </c>
      <c r="E253" s="1" t="s">
        <v>30</v>
      </c>
      <c r="F253" s="1" t="s">
        <v>611</v>
      </c>
      <c r="G253" s="1" t="s">
        <v>32</v>
      </c>
      <c r="H253" s="1" t="s">
        <v>137</v>
      </c>
      <c r="I253" s="1" t="s">
        <v>147</v>
      </c>
      <c r="J253" s="1">
        <v>36.29</v>
      </c>
      <c r="K253" s="1" t="s">
        <v>612</v>
      </c>
      <c r="L253" s="1" t="s">
        <v>36</v>
      </c>
      <c r="M253" s="1">
        <v>0</v>
      </c>
      <c r="N253" s="1" t="s">
        <v>71</v>
      </c>
      <c r="O253" s="1" t="s">
        <v>38</v>
      </c>
      <c r="P253" s="1" t="s">
        <v>409</v>
      </c>
      <c r="Q253" s="1" t="s">
        <v>73</v>
      </c>
      <c r="R253" s="1" t="s">
        <v>613</v>
      </c>
      <c r="S253" s="1" t="s">
        <v>40</v>
      </c>
      <c r="T253" s="1">
        <v>933.68</v>
      </c>
      <c r="U253" s="1" t="s">
        <v>41</v>
      </c>
      <c r="V253" s="1" t="s">
        <v>30</v>
      </c>
      <c r="W253" s="1" t="s">
        <v>37</v>
      </c>
      <c r="X253" s="1" t="s">
        <v>30</v>
      </c>
      <c r="Y253" s="1" t="s">
        <v>37</v>
      </c>
      <c r="Z253" s="1" t="s">
        <v>42</v>
      </c>
    </row>
    <row r="254" spans="1:26" ht="15.75" x14ac:dyDescent="0.25">
      <c r="A254" s="1" t="s">
        <v>26</v>
      </c>
      <c r="B254" s="1" t="s">
        <v>27</v>
      </c>
      <c r="C254" s="1" t="s">
        <v>579</v>
      </c>
      <c r="D254" s="1" t="s">
        <v>610</v>
      </c>
      <c r="E254" s="1" t="s">
        <v>30</v>
      </c>
      <c r="F254" s="1" t="s">
        <v>611</v>
      </c>
      <c r="G254" s="1" t="s">
        <v>43</v>
      </c>
      <c r="H254" s="1" t="s">
        <v>137</v>
      </c>
      <c r="I254" s="1" t="s">
        <v>147</v>
      </c>
      <c r="J254" s="1">
        <v>1.5</v>
      </c>
      <c r="K254" s="1" t="s">
        <v>612</v>
      </c>
      <c r="L254" s="1" t="s">
        <v>36</v>
      </c>
      <c r="M254" s="1">
        <v>0</v>
      </c>
      <c r="N254" s="1" t="s">
        <v>71</v>
      </c>
      <c r="O254" s="1" t="s">
        <v>38</v>
      </c>
      <c r="P254" s="1" t="s">
        <v>411</v>
      </c>
      <c r="Q254" s="1" t="s">
        <v>73</v>
      </c>
      <c r="R254" s="1" t="s">
        <v>613</v>
      </c>
      <c r="S254" s="1" t="s">
        <v>40</v>
      </c>
      <c r="T254" s="1">
        <v>933.68</v>
      </c>
      <c r="U254" s="1" t="s">
        <v>41</v>
      </c>
      <c r="V254" s="1" t="s">
        <v>30</v>
      </c>
      <c r="W254" s="1" t="s">
        <v>37</v>
      </c>
      <c r="X254" s="1" t="s">
        <v>30</v>
      </c>
      <c r="Y254" s="1" t="s">
        <v>37</v>
      </c>
      <c r="Z254" s="1" t="s">
        <v>42</v>
      </c>
    </row>
    <row r="255" spans="1:26" ht="15.75" x14ac:dyDescent="0.25">
      <c r="A255" s="1" t="s">
        <v>26</v>
      </c>
      <c r="B255" s="1" t="s">
        <v>27</v>
      </c>
      <c r="C255" s="1" t="s">
        <v>579</v>
      </c>
      <c r="D255" s="1" t="s">
        <v>614</v>
      </c>
      <c r="E255" s="1" t="s">
        <v>30</v>
      </c>
      <c r="F255" s="1" t="s">
        <v>611</v>
      </c>
      <c r="G255" s="1" t="s">
        <v>45</v>
      </c>
      <c r="H255" s="1" t="s">
        <v>137</v>
      </c>
      <c r="I255" s="1" t="s">
        <v>147</v>
      </c>
      <c r="J255" s="1">
        <v>16.34</v>
      </c>
      <c r="K255" s="1" t="s">
        <v>612</v>
      </c>
      <c r="L255" s="1" t="s">
        <v>36</v>
      </c>
      <c r="M255" s="1">
        <v>0</v>
      </c>
      <c r="N255" s="1" t="s">
        <v>71</v>
      </c>
      <c r="O255" s="1" t="s">
        <v>38</v>
      </c>
      <c r="P255" s="1" t="s">
        <v>413</v>
      </c>
      <c r="Q255" s="1" t="s">
        <v>73</v>
      </c>
      <c r="R255" s="1" t="s">
        <v>613</v>
      </c>
      <c r="S255" s="1" t="s">
        <v>40</v>
      </c>
      <c r="T255" s="1">
        <v>933.68</v>
      </c>
      <c r="U255" s="1" t="s">
        <v>41</v>
      </c>
      <c r="V255" s="1" t="s">
        <v>30</v>
      </c>
      <c r="W255" s="1" t="s">
        <v>37</v>
      </c>
      <c r="X255" s="1" t="s">
        <v>30</v>
      </c>
      <c r="Y255" s="1" t="s">
        <v>37</v>
      </c>
      <c r="Z255" s="1" t="s">
        <v>42</v>
      </c>
    </row>
    <row r="256" spans="1:26" ht="15.75" x14ac:dyDescent="0.25">
      <c r="A256" s="1" t="s">
        <v>26</v>
      </c>
      <c r="B256" s="1" t="s">
        <v>27</v>
      </c>
      <c r="C256" s="1" t="s">
        <v>579</v>
      </c>
      <c r="D256" s="1" t="s">
        <v>615</v>
      </c>
      <c r="E256" s="1" t="s">
        <v>30</v>
      </c>
      <c r="F256" s="1" t="s">
        <v>616</v>
      </c>
      <c r="G256" s="1" t="s">
        <v>32</v>
      </c>
      <c r="H256" s="1" t="s">
        <v>617</v>
      </c>
      <c r="I256" s="1" t="s">
        <v>137</v>
      </c>
      <c r="J256" s="1">
        <v>-102.49</v>
      </c>
      <c r="K256" s="1" t="s">
        <v>618</v>
      </c>
      <c r="L256" s="1" t="s">
        <v>36</v>
      </c>
      <c r="M256" s="1">
        <v>-37.92</v>
      </c>
      <c r="N256" s="1" t="s">
        <v>619</v>
      </c>
      <c r="O256" s="1" t="s">
        <v>38</v>
      </c>
      <c r="P256" s="1" t="s">
        <v>37</v>
      </c>
      <c r="Q256" s="1" t="s">
        <v>620</v>
      </c>
      <c r="R256" s="1" t="s">
        <v>621</v>
      </c>
      <c r="S256" s="1" t="s">
        <v>40</v>
      </c>
      <c r="T256" s="1">
        <v>933.68</v>
      </c>
      <c r="U256" s="1" t="s">
        <v>41</v>
      </c>
      <c r="V256" s="1" t="s">
        <v>30</v>
      </c>
      <c r="W256" s="1" t="s">
        <v>37</v>
      </c>
      <c r="X256" s="1" t="s">
        <v>30</v>
      </c>
      <c r="Y256" s="1" t="s">
        <v>37</v>
      </c>
      <c r="Z256" s="1" t="s">
        <v>426</v>
      </c>
    </row>
    <row r="257" spans="1:26" ht="15.75" x14ac:dyDescent="0.25">
      <c r="A257" s="1" t="s">
        <v>26</v>
      </c>
      <c r="B257" s="1" t="s">
        <v>27</v>
      </c>
      <c r="C257" s="1" t="s">
        <v>579</v>
      </c>
      <c r="D257" s="1" t="s">
        <v>615</v>
      </c>
      <c r="E257" s="1" t="s">
        <v>30</v>
      </c>
      <c r="F257" s="1" t="s">
        <v>616</v>
      </c>
      <c r="G257" s="1" t="s">
        <v>43</v>
      </c>
      <c r="H257" s="1" t="s">
        <v>617</v>
      </c>
      <c r="I257" s="1" t="s">
        <v>137</v>
      </c>
      <c r="J257" s="1">
        <v>-2.69</v>
      </c>
      <c r="K257" s="1" t="s">
        <v>618</v>
      </c>
      <c r="L257" s="1" t="s">
        <v>36</v>
      </c>
      <c r="M257" s="1">
        <v>-1</v>
      </c>
      <c r="N257" s="1" t="s">
        <v>619</v>
      </c>
      <c r="O257" s="1" t="s">
        <v>38</v>
      </c>
      <c r="P257" s="1" t="s">
        <v>37</v>
      </c>
      <c r="Q257" s="1" t="s">
        <v>620</v>
      </c>
      <c r="R257" s="1" t="s">
        <v>621</v>
      </c>
      <c r="S257" s="1" t="s">
        <v>40</v>
      </c>
      <c r="T257" s="1">
        <v>933.68</v>
      </c>
      <c r="U257" s="1" t="s">
        <v>41</v>
      </c>
      <c r="V257" s="1" t="s">
        <v>30</v>
      </c>
      <c r="W257" s="1" t="s">
        <v>37</v>
      </c>
      <c r="X257" s="1" t="s">
        <v>30</v>
      </c>
      <c r="Y257" s="1" t="s">
        <v>37</v>
      </c>
      <c r="Z257" s="1" t="s">
        <v>426</v>
      </c>
    </row>
    <row r="258" spans="1:26" ht="15.75" x14ac:dyDescent="0.25">
      <c r="A258" s="1" t="s">
        <v>26</v>
      </c>
      <c r="B258" s="1" t="s">
        <v>27</v>
      </c>
      <c r="C258" s="1" t="s">
        <v>579</v>
      </c>
      <c r="D258" s="1" t="s">
        <v>615</v>
      </c>
      <c r="E258" s="1" t="s">
        <v>30</v>
      </c>
      <c r="F258" s="1" t="s">
        <v>616</v>
      </c>
      <c r="G258" s="1" t="s">
        <v>32</v>
      </c>
      <c r="H258" s="1" t="s">
        <v>622</v>
      </c>
      <c r="I258" s="1" t="s">
        <v>137</v>
      </c>
      <c r="J258" s="1">
        <v>-102.49</v>
      </c>
      <c r="K258" s="1" t="s">
        <v>618</v>
      </c>
      <c r="L258" s="1" t="s">
        <v>36</v>
      </c>
      <c r="M258" s="1">
        <v>-37.92</v>
      </c>
      <c r="N258" s="1" t="s">
        <v>619</v>
      </c>
      <c r="O258" s="1" t="s">
        <v>38</v>
      </c>
      <c r="P258" s="1" t="s">
        <v>37</v>
      </c>
      <c r="Q258" s="1" t="s">
        <v>620</v>
      </c>
      <c r="R258" s="1" t="s">
        <v>621</v>
      </c>
      <c r="S258" s="1" t="s">
        <v>40</v>
      </c>
      <c r="T258" s="1">
        <v>933.68</v>
      </c>
      <c r="U258" s="1" t="s">
        <v>41</v>
      </c>
      <c r="V258" s="1" t="s">
        <v>30</v>
      </c>
      <c r="W258" s="1" t="s">
        <v>37</v>
      </c>
      <c r="X258" s="1" t="s">
        <v>30</v>
      </c>
      <c r="Y258" s="1" t="s">
        <v>37</v>
      </c>
      <c r="Z258" s="1" t="s">
        <v>426</v>
      </c>
    </row>
    <row r="259" spans="1:26" ht="15.75" x14ac:dyDescent="0.25">
      <c r="A259" s="1" t="s">
        <v>26</v>
      </c>
      <c r="B259" s="1" t="s">
        <v>27</v>
      </c>
      <c r="C259" s="1" t="s">
        <v>579</v>
      </c>
      <c r="D259" s="1" t="s">
        <v>615</v>
      </c>
      <c r="E259" s="1" t="s">
        <v>30</v>
      </c>
      <c r="F259" s="1" t="s">
        <v>616</v>
      </c>
      <c r="G259" s="1" t="s">
        <v>43</v>
      </c>
      <c r="H259" s="1" t="s">
        <v>622</v>
      </c>
      <c r="I259" s="1" t="s">
        <v>137</v>
      </c>
      <c r="J259" s="1">
        <v>-2.69</v>
      </c>
      <c r="K259" s="1" t="s">
        <v>618</v>
      </c>
      <c r="L259" s="1" t="s">
        <v>36</v>
      </c>
      <c r="M259" s="1">
        <v>-1</v>
      </c>
      <c r="N259" s="1" t="s">
        <v>619</v>
      </c>
      <c r="O259" s="1" t="s">
        <v>38</v>
      </c>
      <c r="P259" s="1" t="s">
        <v>37</v>
      </c>
      <c r="Q259" s="1" t="s">
        <v>620</v>
      </c>
      <c r="R259" s="1" t="s">
        <v>621</v>
      </c>
      <c r="S259" s="1" t="s">
        <v>40</v>
      </c>
      <c r="T259" s="1">
        <v>933.68</v>
      </c>
      <c r="U259" s="1" t="s">
        <v>41</v>
      </c>
      <c r="V259" s="1" t="s">
        <v>30</v>
      </c>
      <c r="W259" s="1" t="s">
        <v>37</v>
      </c>
      <c r="X259" s="1" t="s">
        <v>30</v>
      </c>
      <c r="Y259" s="1" t="s">
        <v>37</v>
      </c>
      <c r="Z259" s="1" t="s">
        <v>426</v>
      </c>
    </row>
    <row r="260" spans="1:26" ht="15.75" x14ac:dyDescent="0.25">
      <c r="A260" s="1" t="s">
        <v>26</v>
      </c>
      <c r="B260" s="1" t="s">
        <v>27</v>
      </c>
      <c r="C260" s="1" t="s">
        <v>579</v>
      </c>
      <c r="D260" s="1" t="s">
        <v>615</v>
      </c>
      <c r="E260" s="1" t="s">
        <v>30</v>
      </c>
      <c r="F260" s="1" t="s">
        <v>616</v>
      </c>
      <c r="G260" s="1" t="s">
        <v>32</v>
      </c>
      <c r="H260" s="1" t="s">
        <v>623</v>
      </c>
      <c r="I260" s="1" t="s">
        <v>137</v>
      </c>
      <c r="J260" s="1">
        <v>-102.49</v>
      </c>
      <c r="K260" s="1" t="s">
        <v>618</v>
      </c>
      <c r="L260" s="1" t="s">
        <v>36</v>
      </c>
      <c r="M260" s="1">
        <v>-37.92</v>
      </c>
      <c r="N260" s="1" t="s">
        <v>619</v>
      </c>
      <c r="O260" s="1" t="s">
        <v>38</v>
      </c>
      <c r="P260" s="1" t="s">
        <v>37</v>
      </c>
      <c r="Q260" s="1" t="s">
        <v>620</v>
      </c>
      <c r="R260" s="1" t="s">
        <v>621</v>
      </c>
      <c r="S260" s="1" t="s">
        <v>40</v>
      </c>
      <c r="T260" s="1">
        <v>933.68</v>
      </c>
      <c r="U260" s="1" t="s">
        <v>41</v>
      </c>
      <c r="V260" s="1" t="s">
        <v>30</v>
      </c>
      <c r="W260" s="1" t="s">
        <v>37</v>
      </c>
      <c r="X260" s="1" t="s">
        <v>30</v>
      </c>
      <c r="Y260" s="1" t="s">
        <v>37</v>
      </c>
      <c r="Z260" s="1" t="s">
        <v>426</v>
      </c>
    </row>
    <row r="261" spans="1:26" ht="15.75" x14ac:dyDescent="0.25">
      <c r="A261" s="1" t="s">
        <v>26</v>
      </c>
      <c r="B261" s="1" t="s">
        <v>27</v>
      </c>
      <c r="C261" s="1" t="s">
        <v>579</v>
      </c>
      <c r="D261" s="1" t="s">
        <v>615</v>
      </c>
      <c r="E261" s="1" t="s">
        <v>30</v>
      </c>
      <c r="F261" s="1" t="s">
        <v>616</v>
      </c>
      <c r="G261" s="1" t="s">
        <v>43</v>
      </c>
      <c r="H261" s="1" t="s">
        <v>623</v>
      </c>
      <c r="I261" s="1" t="s">
        <v>137</v>
      </c>
      <c r="J261" s="1">
        <v>-2.69</v>
      </c>
      <c r="K261" s="1" t="s">
        <v>618</v>
      </c>
      <c r="L261" s="1" t="s">
        <v>36</v>
      </c>
      <c r="M261" s="1">
        <v>-1</v>
      </c>
      <c r="N261" s="1" t="s">
        <v>619</v>
      </c>
      <c r="O261" s="1" t="s">
        <v>38</v>
      </c>
      <c r="P261" s="1" t="s">
        <v>37</v>
      </c>
      <c r="Q261" s="1" t="s">
        <v>620</v>
      </c>
      <c r="R261" s="1" t="s">
        <v>621</v>
      </c>
      <c r="S261" s="1" t="s">
        <v>40</v>
      </c>
      <c r="T261" s="1">
        <v>933.68</v>
      </c>
      <c r="U261" s="1" t="s">
        <v>41</v>
      </c>
      <c r="V261" s="1" t="s">
        <v>30</v>
      </c>
      <c r="W261" s="1" t="s">
        <v>37</v>
      </c>
      <c r="X261" s="1" t="s">
        <v>30</v>
      </c>
      <c r="Y261" s="1" t="s">
        <v>37</v>
      </c>
      <c r="Z261" s="1" t="s">
        <v>426</v>
      </c>
    </row>
    <row r="262" spans="1:26" ht="15.75" x14ac:dyDescent="0.25">
      <c r="A262" s="1" t="s">
        <v>26</v>
      </c>
      <c r="B262" s="1" t="s">
        <v>27</v>
      </c>
      <c r="C262" s="1" t="s">
        <v>579</v>
      </c>
      <c r="D262" s="1" t="s">
        <v>615</v>
      </c>
      <c r="E262" s="1" t="s">
        <v>30</v>
      </c>
      <c r="F262" s="1" t="s">
        <v>616</v>
      </c>
      <c r="G262" s="1" t="s">
        <v>32</v>
      </c>
      <c r="H262" s="1" t="s">
        <v>624</v>
      </c>
      <c r="I262" s="1" t="s">
        <v>137</v>
      </c>
      <c r="J262" s="1">
        <v>-102.49</v>
      </c>
      <c r="K262" s="1" t="s">
        <v>618</v>
      </c>
      <c r="L262" s="1" t="s">
        <v>36</v>
      </c>
      <c r="M262" s="1">
        <v>-37.92</v>
      </c>
      <c r="N262" s="1" t="s">
        <v>619</v>
      </c>
      <c r="O262" s="1" t="s">
        <v>38</v>
      </c>
      <c r="P262" s="1" t="s">
        <v>37</v>
      </c>
      <c r="Q262" s="1" t="s">
        <v>620</v>
      </c>
      <c r="R262" s="1" t="s">
        <v>621</v>
      </c>
      <c r="S262" s="1" t="s">
        <v>40</v>
      </c>
      <c r="T262" s="1">
        <v>933.68</v>
      </c>
      <c r="U262" s="1" t="s">
        <v>41</v>
      </c>
      <c r="V262" s="1" t="s">
        <v>30</v>
      </c>
      <c r="W262" s="1" t="s">
        <v>37</v>
      </c>
      <c r="X262" s="1" t="s">
        <v>30</v>
      </c>
      <c r="Y262" s="1" t="s">
        <v>37</v>
      </c>
      <c r="Z262" s="1" t="s">
        <v>426</v>
      </c>
    </row>
    <row r="263" spans="1:26" ht="15.75" x14ac:dyDescent="0.25">
      <c r="A263" s="1" t="s">
        <v>26</v>
      </c>
      <c r="B263" s="1" t="s">
        <v>27</v>
      </c>
      <c r="C263" s="1" t="s">
        <v>579</v>
      </c>
      <c r="D263" s="1" t="s">
        <v>615</v>
      </c>
      <c r="E263" s="1" t="s">
        <v>30</v>
      </c>
      <c r="F263" s="1" t="s">
        <v>616</v>
      </c>
      <c r="G263" s="1" t="s">
        <v>43</v>
      </c>
      <c r="H263" s="1" t="s">
        <v>624</v>
      </c>
      <c r="I263" s="1" t="s">
        <v>137</v>
      </c>
      <c r="J263" s="1">
        <v>-2.69</v>
      </c>
      <c r="K263" s="1" t="s">
        <v>618</v>
      </c>
      <c r="L263" s="1" t="s">
        <v>36</v>
      </c>
      <c r="M263" s="1">
        <v>-1</v>
      </c>
      <c r="N263" s="1" t="s">
        <v>619</v>
      </c>
      <c r="O263" s="1" t="s">
        <v>38</v>
      </c>
      <c r="P263" s="1" t="s">
        <v>37</v>
      </c>
      <c r="Q263" s="1" t="s">
        <v>620</v>
      </c>
      <c r="R263" s="1" t="s">
        <v>621</v>
      </c>
      <c r="S263" s="1" t="s">
        <v>40</v>
      </c>
      <c r="T263" s="1">
        <v>933.68</v>
      </c>
      <c r="U263" s="1" t="s">
        <v>41</v>
      </c>
      <c r="V263" s="1" t="s">
        <v>30</v>
      </c>
      <c r="W263" s="1" t="s">
        <v>37</v>
      </c>
      <c r="X263" s="1" t="s">
        <v>30</v>
      </c>
      <c r="Y263" s="1" t="s">
        <v>37</v>
      </c>
      <c r="Z263" s="1" t="s">
        <v>426</v>
      </c>
    </row>
    <row r="264" spans="1:26" ht="15.75" x14ac:dyDescent="0.25">
      <c r="A264" s="1" t="s">
        <v>26</v>
      </c>
      <c r="B264" s="1" t="s">
        <v>27</v>
      </c>
      <c r="C264" s="1" t="s">
        <v>579</v>
      </c>
      <c r="D264" s="1" t="s">
        <v>625</v>
      </c>
      <c r="E264" s="1" t="s">
        <v>30</v>
      </c>
      <c r="F264" s="1" t="s">
        <v>626</v>
      </c>
      <c r="G264" s="1" t="s">
        <v>32</v>
      </c>
      <c r="H264" s="1" t="s">
        <v>627</v>
      </c>
      <c r="I264" s="1" t="s">
        <v>48</v>
      </c>
      <c r="J264" s="1">
        <v>-42.35</v>
      </c>
      <c r="K264" s="1" t="s">
        <v>628</v>
      </c>
      <c r="L264" s="1" t="s">
        <v>36</v>
      </c>
      <c r="M264" s="1">
        <v>-15.67</v>
      </c>
      <c r="N264" s="1" t="s">
        <v>174</v>
      </c>
      <c r="O264" s="1" t="s">
        <v>38</v>
      </c>
      <c r="P264" s="1" t="s">
        <v>37</v>
      </c>
      <c r="Q264" s="1" t="s">
        <v>175</v>
      </c>
      <c r="R264" s="1" t="s">
        <v>629</v>
      </c>
      <c r="S264" s="1" t="s">
        <v>40</v>
      </c>
      <c r="T264" s="1">
        <v>933.68</v>
      </c>
      <c r="U264" s="1" t="s">
        <v>41</v>
      </c>
      <c r="V264" s="1" t="s">
        <v>30</v>
      </c>
      <c r="W264" s="1" t="s">
        <v>37</v>
      </c>
      <c r="X264" s="1" t="s">
        <v>30</v>
      </c>
      <c r="Y264" s="1" t="s">
        <v>37</v>
      </c>
      <c r="Z264" s="1" t="s">
        <v>42</v>
      </c>
    </row>
    <row r="265" spans="1:26" ht="15.75" x14ac:dyDescent="0.25">
      <c r="A265" s="1" t="s">
        <v>26</v>
      </c>
      <c r="B265" s="1" t="s">
        <v>27</v>
      </c>
      <c r="C265" s="1" t="s">
        <v>579</v>
      </c>
      <c r="D265" s="1" t="s">
        <v>625</v>
      </c>
      <c r="E265" s="1" t="s">
        <v>30</v>
      </c>
      <c r="F265" s="1" t="s">
        <v>626</v>
      </c>
      <c r="G265" s="1" t="s">
        <v>43</v>
      </c>
      <c r="H265" s="1" t="s">
        <v>627</v>
      </c>
      <c r="I265" s="1" t="s">
        <v>48</v>
      </c>
      <c r="J265" s="1">
        <v>-1.5</v>
      </c>
      <c r="K265" s="1" t="s">
        <v>628</v>
      </c>
      <c r="L265" s="1" t="s">
        <v>36</v>
      </c>
      <c r="M265" s="1">
        <v>-0.55000000000000004</v>
      </c>
      <c r="N265" s="1" t="s">
        <v>174</v>
      </c>
      <c r="O265" s="1" t="s">
        <v>38</v>
      </c>
      <c r="P265" s="1" t="s">
        <v>37</v>
      </c>
      <c r="Q265" s="1" t="s">
        <v>175</v>
      </c>
      <c r="R265" s="1" t="s">
        <v>629</v>
      </c>
      <c r="S265" s="1" t="s">
        <v>40</v>
      </c>
      <c r="T265" s="1">
        <v>933.68</v>
      </c>
      <c r="U265" s="1" t="s">
        <v>41</v>
      </c>
      <c r="V265" s="1" t="s">
        <v>30</v>
      </c>
      <c r="W265" s="1" t="s">
        <v>37</v>
      </c>
      <c r="X265" s="1" t="s">
        <v>30</v>
      </c>
      <c r="Y265" s="1" t="s">
        <v>37</v>
      </c>
      <c r="Z265" s="1" t="s">
        <v>42</v>
      </c>
    </row>
    <row r="266" spans="1:26" ht="15.75" x14ac:dyDescent="0.25">
      <c r="A266" s="1" t="s">
        <v>26</v>
      </c>
      <c r="B266" s="1" t="s">
        <v>27</v>
      </c>
      <c r="C266" s="1" t="s">
        <v>579</v>
      </c>
      <c r="D266" s="1" t="s">
        <v>630</v>
      </c>
      <c r="E266" s="1" t="s">
        <v>30</v>
      </c>
      <c r="F266" s="1" t="s">
        <v>631</v>
      </c>
      <c r="G266" s="1" t="s">
        <v>32</v>
      </c>
      <c r="H266" s="1" t="s">
        <v>273</v>
      </c>
      <c r="I266" s="1" t="s">
        <v>48</v>
      </c>
      <c r="J266" s="1">
        <v>42.35</v>
      </c>
      <c r="K266" s="1" t="s">
        <v>632</v>
      </c>
      <c r="L266" s="1" t="s">
        <v>36</v>
      </c>
      <c r="M266" s="1">
        <v>15.67</v>
      </c>
      <c r="N266" s="1" t="s">
        <v>336</v>
      </c>
      <c r="O266" s="1" t="s">
        <v>38</v>
      </c>
      <c r="P266" s="1" t="s">
        <v>37</v>
      </c>
      <c r="Q266" s="1" t="s">
        <v>337</v>
      </c>
      <c r="R266" s="1" t="s">
        <v>633</v>
      </c>
      <c r="S266" s="1" t="s">
        <v>40</v>
      </c>
      <c r="T266" s="1">
        <v>933.68</v>
      </c>
      <c r="U266" s="1" t="s">
        <v>41</v>
      </c>
      <c r="V266" s="1" t="s">
        <v>30</v>
      </c>
      <c r="W266" s="1" t="s">
        <v>37</v>
      </c>
      <c r="X266" s="1" t="s">
        <v>30</v>
      </c>
      <c r="Y266" s="1" t="s">
        <v>37</v>
      </c>
      <c r="Z266" s="1" t="s">
        <v>42</v>
      </c>
    </row>
    <row r="267" spans="1:26" ht="15.75" x14ac:dyDescent="0.25">
      <c r="A267" s="1" t="s">
        <v>26</v>
      </c>
      <c r="B267" s="1" t="s">
        <v>27</v>
      </c>
      <c r="C267" s="1" t="s">
        <v>579</v>
      </c>
      <c r="D267" s="1" t="s">
        <v>630</v>
      </c>
      <c r="E267" s="1" t="s">
        <v>30</v>
      </c>
      <c r="F267" s="1" t="s">
        <v>631</v>
      </c>
      <c r="G267" s="1" t="s">
        <v>43</v>
      </c>
      <c r="H267" s="1" t="s">
        <v>273</v>
      </c>
      <c r="I267" s="1" t="s">
        <v>48</v>
      </c>
      <c r="J267" s="1">
        <v>1.5</v>
      </c>
      <c r="K267" s="1" t="s">
        <v>632</v>
      </c>
      <c r="L267" s="1" t="s">
        <v>36</v>
      </c>
      <c r="M267" s="1">
        <v>0.55000000000000004</v>
      </c>
      <c r="N267" s="1" t="s">
        <v>336</v>
      </c>
      <c r="O267" s="1" t="s">
        <v>38</v>
      </c>
      <c r="P267" s="1" t="s">
        <v>37</v>
      </c>
      <c r="Q267" s="1" t="s">
        <v>337</v>
      </c>
      <c r="R267" s="1" t="s">
        <v>633</v>
      </c>
      <c r="S267" s="1" t="s">
        <v>40</v>
      </c>
      <c r="T267" s="1">
        <v>933.68</v>
      </c>
      <c r="U267" s="1" t="s">
        <v>41</v>
      </c>
      <c r="V267" s="1" t="s">
        <v>30</v>
      </c>
      <c r="W267" s="1" t="s">
        <v>37</v>
      </c>
      <c r="X267" s="1" t="s">
        <v>30</v>
      </c>
      <c r="Y267" s="1" t="s">
        <v>37</v>
      </c>
      <c r="Z267" s="1" t="s">
        <v>42</v>
      </c>
    </row>
    <row r="268" spans="1:26" ht="15.75" x14ac:dyDescent="0.25">
      <c r="A268" s="1" t="s">
        <v>26</v>
      </c>
      <c r="B268" s="1" t="s">
        <v>27</v>
      </c>
      <c r="C268" s="1" t="s">
        <v>579</v>
      </c>
      <c r="D268" s="1" t="s">
        <v>634</v>
      </c>
      <c r="E268" s="1" t="s">
        <v>30</v>
      </c>
      <c r="F268" s="1" t="s">
        <v>635</v>
      </c>
      <c r="G268" s="1" t="s">
        <v>32</v>
      </c>
      <c r="H268" s="1" t="s">
        <v>86</v>
      </c>
      <c r="I268" s="1" t="s">
        <v>48</v>
      </c>
      <c r="J268" s="1">
        <v>36.29</v>
      </c>
      <c r="K268" s="1" t="s">
        <v>636</v>
      </c>
      <c r="L268" s="1" t="s">
        <v>36</v>
      </c>
      <c r="M268" s="1">
        <v>13.43</v>
      </c>
      <c r="N268" s="1" t="s">
        <v>607</v>
      </c>
      <c r="O268" s="1" t="s">
        <v>38</v>
      </c>
      <c r="P268" s="1" t="s">
        <v>37</v>
      </c>
      <c r="Q268" s="1" t="s">
        <v>608</v>
      </c>
      <c r="R268" s="1" t="s">
        <v>637</v>
      </c>
      <c r="S268" s="1" t="s">
        <v>40</v>
      </c>
      <c r="T268" s="1">
        <v>933.68</v>
      </c>
      <c r="U268" s="1" t="s">
        <v>41</v>
      </c>
      <c r="V268" s="1" t="s">
        <v>30</v>
      </c>
      <c r="W268" s="1" t="s">
        <v>37</v>
      </c>
      <c r="X268" s="1" t="s">
        <v>30</v>
      </c>
      <c r="Y268" s="1" t="s">
        <v>37</v>
      </c>
      <c r="Z268" s="1" t="s">
        <v>42</v>
      </c>
    </row>
    <row r="269" spans="1:26" ht="15.75" x14ac:dyDescent="0.25">
      <c r="A269" s="1" t="s">
        <v>26</v>
      </c>
      <c r="B269" s="1" t="s">
        <v>27</v>
      </c>
      <c r="C269" s="1" t="s">
        <v>579</v>
      </c>
      <c r="D269" s="1" t="s">
        <v>634</v>
      </c>
      <c r="E269" s="1" t="s">
        <v>30</v>
      </c>
      <c r="F269" s="1" t="s">
        <v>635</v>
      </c>
      <c r="G269" s="1" t="s">
        <v>43</v>
      </c>
      <c r="H269" s="1" t="s">
        <v>86</v>
      </c>
      <c r="I269" s="1" t="s">
        <v>48</v>
      </c>
      <c r="J269" s="1">
        <v>1.5</v>
      </c>
      <c r="K269" s="1" t="s">
        <v>636</v>
      </c>
      <c r="L269" s="1" t="s">
        <v>36</v>
      </c>
      <c r="M269" s="1">
        <v>0.55000000000000004</v>
      </c>
      <c r="N269" s="1" t="s">
        <v>607</v>
      </c>
      <c r="O269" s="1" t="s">
        <v>38</v>
      </c>
      <c r="P269" s="1" t="s">
        <v>37</v>
      </c>
      <c r="Q269" s="1" t="s">
        <v>608</v>
      </c>
      <c r="R269" s="1" t="s">
        <v>637</v>
      </c>
      <c r="S269" s="1" t="s">
        <v>40</v>
      </c>
      <c r="T269" s="1">
        <v>933.68</v>
      </c>
      <c r="U269" s="1" t="s">
        <v>41</v>
      </c>
      <c r="V269" s="1" t="s">
        <v>30</v>
      </c>
      <c r="W269" s="1" t="s">
        <v>37</v>
      </c>
      <c r="X269" s="1" t="s">
        <v>30</v>
      </c>
      <c r="Y269" s="1" t="s">
        <v>37</v>
      </c>
      <c r="Z269" s="1" t="s">
        <v>42</v>
      </c>
    </row>
    <row r="270" spans="1:26" ht="15.75" x14ac:dyDescent="0.25">
      <c r="A270" s="1" t="s">
        <v>26</v>
      </c>
      <c r="B270" s="1" t="s">
        <v>27</v>
      </c>
      <c r="C270" s="1" t="s">
        <v>579</v>
      </c>
      <c r="D270" s="1" t="s">
        <v>638</v>
      </c>
      <c r="E270" s="1" t="s">
        <v>30</v>
      </c>
      <c r="F270" s="1" t="s">
        <v>635</v>
      </c>
      <c r="G270" s="1" t="s">
        <v>45</v>
      </c>
      <c r="H270" s="1" t="s">
        <v>86</v>
      </c>
      <c r="I270" s="1" t="s">
        <v>48</v>
      </c>
      <c r="J270" s="1">
        <v>10.67</v>
      </c>
      <c r="K270" s="1" t="s">
        <v>636</v>
      </c>
      <c r="L270" s="1" t="s">
        <v>36</v>
      </c>
      <c r="M270" s="1">
        <v>3.95</v>
      </c>
      <c r="N270" s="1" t="s">
        <v>607</v>
      </c>
      <c r="O270" s="1" t="s">
        <v>38</v>
      </c>
      <c r="P270" s="1" t="s">
        <v>37</v>
      </c>
      <c r="Q270" s="1" t="s">
        <v>608</v>
      </c>
      <c r="R270" s="1" t="s">
        <v>637</v>
      </c>
      <c r="S270" s="1" t="s">
        <v>40</v>
      </c>
      <c r="T270" s="1">
        <v>933.68</v>
      </c>
      <c r="U270" s="1" t="s">
        <v>41</v>
      </c>
      <c r="V270" s="1" t="s">
        <v>30</v>
      </c>
      <c r="W270" s="1" t="s">
        <v>37</v>
      </c>
      <c r="X270" s="1" t="s">
        <v>30</v>
      </c>
      <c r="Y270" s="1" t="s">
        <v>37</v>
      </c>
      <c r="Z270" s="1" t="s">
        <v>42</v>
      </c>
    </row>
    <row r="271" spans="1:26" ht="15.75" x14ac:dyDescent="0.25">
      <c r="A271" s="1" t="s">
        <v>26</v>
      </c>
      <c r="B271" s="1" t="s">
        <v>27</v>
      </c>
      <c r="C271" s="1" t="s">
        <v>579</v>
      </c>
      <c r="D271" s="1" t="s">
        <v>639</v>
      </c>
      <c r="E271" s="1" t="s">
        <v>30</v>
      </c>
      <c r="F271" s="1" t="s">
        <v>640</v>
      </c>
      <c r="G271" s="1" t="s">
        <v>32</v>
      </c>
      <c r="H271" s="1" t="s">
        <v>86</v>
      </c>
      <c r="I271" s="1" t="s">
        <v>48</v>
      </c>
      <c r="J271" s="1">
        <v>46.59</v>
      </c>
      <c r="K271" s="1" t="s">
        <v>636</v>
      </c>
      <c r="L271" s="1" t="s">
        <v>36</v>
      </c>
      <c r="M271" s="1">
        <v>17.239999999999998</v>
      </c>
      <c r="N271" s="1" t="s">
        <v>174</v>
      </c>
      <c r="O271" s="1" t="s">
        <v>38</v>
      </c>
      <c r="P271" s="1" t="s">
        <v>37</v>
      </c>
      <c r="Q271" s="1" t="s">
        <v>175</v>
      </c>
      <c r="R271" s="1" t="s">
        <v>641</v>
      </c>
      <c r="S271" s="1" t="s">
        <v>40</v>
      </c>
      <c r="T271" s="1">
        <v>933.68</v>
      </c>
      <c r="U271" s="1" t="s">
        <v>41</v>
      </c>
      <c r="V271" s="1" t="s">
        <v>30</v>
      </c>
      <c r="W271" s="1" t="s">
        <v>37</v>
      </c>
      <c r="X271" s="1" t="s">
        <v>30</v>
      </c>
      <c r="Y271" s="1" t="s">
        <v>37</v>
      </c>
      <c r="Z271" s="1" t="s">
        <v>42</v>
      </c>
    </row>
    <row r="272" spans="1:26" ht="15.75" x14ac:dyDescent="0.25">
      <c r="A272" s="1" t="s">
        <v>26</v>
      </c>
      <c r="B272" s="1" t="s">
        <v>27</v>
      </c>
      <c r="C272" s="1" t="s">
        <v>579</v>
      </c>
      <c r="D272" s="1" t="s">
        <v>639</v>
      </c>
      <c r="E272" s="1" t="s">
        <v>30</v>
      </c>
      <c r="F272" s="1" t="s">
        <v>640</v>
      </c>
      <c r="G272" s="1" t="s">
        <v>43</v>
      </c>
      <c r="H272" s="1" t="s">
        <v>86</v>
      </c>
      <c r="I272" s="1" t="s">
        <v>48</v>
      </c>
      <c r="J272" s="1">
        <v>1.5</v>
      </c>
      <c r="K272" s="1" t="s">
        <v>636</v>
      </c>
      <c r="L272" s="1" t="s">
        <v>36</v>
      </c>
      <c r="M272" s="1">
        <v>0.55000000000000004</v>
      </c>
      <c r="N272" s="1" t="s">
        <v>174</v>
      </c>
      <c r="O272" s="1" t="s">
        <v>38</v>
      </c>
      <c r="P272" s="1" t="s">
        <v>37</v>
      </c>
      <c r="Q272" s="1" t="s">
        <v>175</v>
      </c>
      <c r="R272" s="1" t="s">
        <v>641</v>
      </c>
      <c r="S272" s="1" t="s">
        <v>40</v>
      </c>
      <c r="T272" s="1">
        <v>933.68</v>
      </c>
      <c r="U272" s="1" t="s">
        <v>41</v>
      </c>
      <c r="V272" s="1" t="s">
        <v>30</v>
      </c>
      <c r="W272" s="1" t="s">
        <v>37</v>
      </c>
      <c r="X272" s="1" t="s">
        <v>30</v>
      </c>
      <c r="Y272" s="1" t="s">
        <v>37</v>
      </c>
      <c r="Z272" s="1" t="s">
        <v>42</v>
      </c>
    </row>
    <row r="273" spans="1:26" ht="15.75" x14ac:dyDescent="0.25">
      <c r="A273" s="1" t="s">
        <v>26</v>
      </c>
      <c r="B273" s="1" t="s">
        <v>27</v>
      </c>
      <c r="C273" s="1" t="s">
        <v>579</v>
      </c>
      <c r="D273" s="1" t="s">
        <v>642</v>
      </c>
      <c r="E273" s="1" t="s">
        <v>30</v>
      </c>
      <c r="F273" s="1" t="s">
        <v>643</v>
      </c>
      <c r="G273" s="1" t="s">
        <v>32</v>
      </c>
      <c r="H273" s="1" t="s">
        <v>33</v>
      </c>
      <c r="I273" s="1" t="s">
        <v>34</v>
      </c>
      <c r="J273" s="1">
        <v>20.96</v>
      </c>
      <c r="K273" s="1" t="s">
        <v>644</v>
      </c>
      <c r="L273" s="1" t="s">
        <v>36</v>
      </c>
      <c r="M273" s="1">
        <v>7.76</v>
      </c>
      <c r="N273" s="1" t="s">
        <v>303</v>
      </c>
      <c r="O273" s="1" t="s">
        <v>38</v>
      </c>
      <c r="P273" s="1" t="s">
        <v>37</v>
      </c>
      <c r="Q273" s="1" t="s">
        <v>304</v>
      </c>
      <c r="R273" s="1" t="s">
        <v>645</v>
      </c>
      <c r="S273" s="1" t="s">
        <v>40</v>
      </c>
      <c r="T273" s="1">
        <v>933.68</v>
      </c>
      <c r="U273" s="1" t="s">
        <v>41</v>
      </c>
      <c r="V273" s="1" t="s">
        <v>30</v>
      </c>
      <c r="W273" s="1" t="s">
        <v>37</v>
      </c>
      <c r="X273" s="1" t="s">
        <v>30</v>
      </c>
      <c r="Y273" s="1" t="s">
        <v>37</v>
      </c>
      <c r="Z273" s="1" t="s">
        <v>42</v>
      </c>
    </row>
    <row r="274" spans="1:26" ht="15.75" x14ac:dyDescent="0.25">
      <c r="A274" s="1" t="s">
        <v>26</v>
      </c>
      <c r="B274" s="1" t="s">
        <v>27</v>
      </c>
      <c r="C274" s="1" t="s">
        <v>579</v>
      </c>
      <c r="D274" s="1" t="s">
        <v>646</v>
      </c>
      <c r="E274" s="1" t="s">
        <v>30</v>
      </c>
      <c r="F274" s="1" t="s">
        <v>647</v>
      </c>
      <c r="G274" s="1" t="s">
        <v>32</v>
      </c>
      <c r="H274" s="1" t="s">
        <v>137</v>
      </c>
      <c r="I274" s="1" t="s">
        <v>147</v>
      </c>
      <c r="J274" s="1">
        <v>61.69</v>
      </c>
      <c r="K274" s="1" t="s">
        <v>648</v>
      </c>
      <c r="L274" s="1" t="s">
        <v>36</v>
      </c>
      <c r="M274" s="1">
        <v>22.83</v>
      </c>
      <c r="N274" s="1" t="s">
        <v>649</v>
      </c>
      <c r="O274" s="1" t="s">
        <v>38</v>
      </c>
      <c r="P274" s="1" t="s">
        <v>37</v>
      </c>
      <c r="Q274" s="1" t="s">
        <v>650</v>
      </c>
      <c r="R274" s="1" t="s">
        <v>651</v>
      </c>
      <c r="S274" s="1" t="s">
        <v>40</v>
      </c>
      <c r="T274" s="1">
        <v>933.68</v>
      </c>
      <c r="U274" s="1" t="s">
        <v>41</v>
      </c>
      <c r="V274" s="1" t="s">
        <v>30</v>
      </c>
      <c r="W274" s="1" t="s">
        <v>37</v>
      </c>
      <c r="X274" s="1" t="s">
        <v>30</v>
      </c>
      <c r="Y274" s="1" t="s">
        <v>37</v>
      </c>
      <c r="Z274" s="1" t="s">
        <v>42</v>
      </c>
    </row>
    <row r="275" spans="1:26" ht="15.75" x14ac:dyDescent="0.25">
      <c r="A275" s="1" t="s">
        <v>26</v>
      </c>
      <c r="B275" s="1" t="s">
        <v>27</v>
      </c>
      <c r="C275" s="1" t="s">
        <v>579</v>
      </c>
      <c r="D275" s="1" t="s">
        <v>646</v>
      </c>
      <c r="E275" s="1" t="s">
        <v>30</v>
      </c>
      <c r="F275" s="1" t="s">
        <v>647</v>
      </c>
      <c r="G275" s="1" t="s">
        <v>43</v>
      </c>
      <c r="H275" s="1" t="s">
        <v>137</v>
      </c>
      <c r="I275" s="1" t="s">
        <v>147</v>
      </c>
      <c r="J275" s="1">
        <v>1.5</v>
      </c>
      <c r="K275" s="1" t="s">
        <v>648</v>
      </c>
      <c r="L275" s="1" t="s">
        <v>36</v>
      </c>
      <c r="M275" s="1">
        <v>0.55000000000000004</v>
      </c>
      <c r="N275" s="1" t="s">
        <v>649</v>
      </c>
      <c r="O275" s="1" t="s">
        <v>38</v>
      </c>
      <c r="P275" s="1" t="s">
        <v>37</v>
      </c>
      <c r="Q275" s="1" t="s">
        <v>650</v>
      </c>
      <c r="R275" s="1" t="s">
        <v>651</v>
      </c>
      <c r="S275" s="1" t="s">
        <v>40</v>
      </c>
      <c r="T275" s="1">
        <v>933.68</v>
      </c>
      <c r="U275" s="1" t="s">
        <v>41</v>
      </c>
      <c r="V275" s="1" t="s">
        <v>30</v>
      </c>
      <c r="W275" s="1" t="s">
        <v>37</v>
      </c>
      <c r="X275" s="1" t="s">
        <v>30</v>
      </c>
      <c r="Y275" s="1" t="s">
        <v>37</v>
      </c>
      <c r="Z275" s="1" t="s">
        <v>42</v>
      </c>
    </row>
    <row r="276" spans="1:26" ht="15.75" x14ac:dyDescent="0.25">
      <c r="A276" s="1" t="s">
        <v>26</v>
      </c>
      <c r="B276" s="1" t="s">
        <v>27</v>
      </c>
      <c r="C276" s="1" t="s">
        <v>579</v>
      </c>
      <c r="D276" s="1" t="s">
        <v>652</v>
      </c>
      <c r="E276" s="1" t="s">
        <v>30</v>
      </c>
      <c r="F276" s="1" t="s">
        <v>647</v>
      </c>
      <c r="G276" s="1" t="s">
        <v>45</v>
      </c>
      <c r="H276" s="1" t="s">
        <v>137</v>
      </c>
      <c r="I276" s="1" t="s">
        <v>147</v>
      </c>
      <c r="J276" s="1">
        <v>16.34</v>
      </c>
      <c r="K276" s="1" t="s">
        <v>648</v>
      </c>
      <c r="L276" s="1" t="s">
        <v>36</v>
      </c>
      <c r="M276" s="1">
        <v>6.05</v>
      </c>
      <c r="N276" s="1" t="s">
        <v>649</v>
      </c>
      <c r="O276" s="1" t="s">
        <v>38</v>
      </c>
      <c r="P276" s="1" t="s">
        <v>37</v>
      </c>
      <c r="Q276" s="1" t="s">
        <v>650</v>
      </c>
      <c r="R276" s="1" t="s">
        <v>651</v>
      </c>
      <c r="S276" s="1" t="s">
        <v>40</v>
      </c>
      <c r="T276" s="1">
        <v>933.68</v>
      </c>
      <c r="U276" s="1" t="s">
        <v>41</v>
      </c>
      <c r="V276" s="1" t="s">
        <v>30</v>
      </c>
      <c r="W276" s="1" t="s">
        <v>37</v>
      </c>
      <c r="X276" s="1" t="s">
        <v>30</v>
      </c>
      <c r="Y276" s="1" t="s">
        <v>37</v>
      </c>
      <c r="Z276" s="1" t="s">
        <v>42</v>
      </c>
    </row>
    <row r="277" spans="1:26" ht="15.75" x14ac:dyDescent="0.25">
      <c r="A277" s="1" t="s">
        <v>26</v>
      </c>
      <c r="B277" s="1" t="s">
        <v>27</v>
      </c>
      <c r="C277" s="1" t="s">
        <v>653</v>
      </c>
      <c r="D277" s="1" t="s">
        <v>654</v>
      </c>
      <c r="E277" s="1" t="s">
        <v>30</v>
      </c>
      <c r="F277" s="1" t="s">
        <v>655</v>
      </c>
      <c r="G277" s="1" t="s">
        <v>32</v>
      </c>
      <c r="H277" s="1" t="s">
        <v>48</v>
      </c>
      <c r="I277" s="1" t="s">
        <v>33</v>
      </c>
      <c r="J277" s="1">
        <v>38.61</v>
      </c>
      <c r="K277" s="1" t="s">
        <v>656</v>
      </c>
      <c r="L277" s="1" t="s">
        <v>36</v>
      </c>
      <c r="M277" s="1">
        <v>14.29</v>
      </c>
      <c r="N277" s="1" t="s">
        <v>57</v>
      </c>
      <c r="O277" s="1" t="s">
        <v>38</v>
      </c>
      <c r="P277" s="1" t="s">
        <v>37</v>
      </c>
      <c r="Q277" s="1" t="s">
        <v>58</v>
      </c>
      <c r="R277" s="1" t="s">
        <v>657</v>
      </c>
      <c r="S277" s="1" t="s">
        <v>40</v>
      </c>
      <c r="T277" s="1">
        <v>933.68</v>
      </c>
      <c r="U277" s="1" t="s">
        <v>41</v>
      </c>
      <c r="V277" s="1" t="s">
        <v>30</v>
      </c>
      <c r="W277" s="1" t="s">
        <v>37</v>
      </c>
      <c r="X277" s="1" t="s">
        <v>30</v>
      </c>
      <c r="Y277" s="1" t="s">
        <v>37</v>
      </c>
      <c r="Z277" s="1" t="s">
        <v>42</v>
      </c>
    </row>
    <row r="278" spans="1:26" ht="15.75" x14ac:dyDescent="0.25">
      <c r="A278" s="1" t="s">
        <v>26</v>
      </c>
      <c r="B278" s="1" t="s">
        <v>27</v>
      </c>
      <c r="C278" s="1" t="s">
        <v>653</v>
      </c>
      <c r="D278" s="1" t="s">
        <v>658</v>
      </c>
      <c r="E278" s="1" t="s">
        <v>30</v>
      </c>
      <c r="F278" s="1" t="s">
        <v>655</v>
      </c>
      <c r="G278" s="1" t="s">
        <v>45</v>
      </c>
      <c r="H278" s="1" t="s">
        <v>48</v>
      </c>
      <c r="I278" s="1" t="s">
        <v>33</v>
      </c>
      <c r="J278" s="1">
        <v>16.34</v>
      </c>
      <c r="K278" s="1" t="s">
        <v>656</v>
      </c>
      <c r="L278" s="1" t="s">
        <v>36</v>
      </c>
      <c r="M278" s="1">
        <v>6.05</v>
      </c>
      <c r="N278" s="1" t="s">
        <v>57</v>
      </c>
      <c r="O278" s="1" t="s">
        <v>38</v>
      </c>
      <c r="P278" s="1" t="s">
        <v>37</v>
      </c>
      <c r="Q278" s="1" t="s">
        <v>58</v>
      </c>
      <c r="R278" s="1" t="s">
        <v>657</v>
      </c>
      <c r="S278" s="1" t="s">
        <v>40</v>
      </c>
      <c r="T278" s="1">
        <v>933.68</v>
      </c>
      <c r="U278" s="1" t="s">
        <v>41</v>
      </c>
      <c r="V278" s="1" t="s">
        <v>30</v>
      </c>
      <c r="W278" s="1" t="s">
        <v>37</v>
      </c>
      <c r="X278" s="1" t="s">
        <v>30</v>
      </c>
      <c r="Y278" s="1" t="s">
        <v>37</v>
      </c>
      <c r="Z278" s="1" t="s">
        <v>42</v>
      </c>
    </row>
    <row r="279" spans="1:26" ht="15.75" x14ac:dyDescent="0.25">
      <c r="A279" s="1" t="s">
        <v>26</v>
      </c>
      <c r="B279" s="1" t="s">
        <v>27</v>
      </c>
      <c r="C279" s="1" t="s">
        <v>653</v>
      </c>
      <c r="D279" s="1" t="s">
        <v>659</v>
      </c>
      <c r="E279" s="1" t="s">
        <v>30</v>
      </c>
      <c r="F279" s="1" t="s">
        <v>660</v>
      </c>
      <c r="G279" s="1" t="s">
        <v>32</v>
      </c>
      <c r="H279" s="1" t="s">
        <v>136</v>
      </c>
      <c r="I279" s="1" t="s">
        <v>137</v>
      </c>
      <c r="J279" s="1">
        <v>72.59</v>
      </c>
      <c r="K279" s="1" t="s">
        <v>661</v>
      </c>
      <c r="L279" s="1" t="s">
        <v>36</v>
      </c>
      <c r="M279" s="1">
        <v>0</v>
      </c>
      <c r="N279" s="1" t="s">
        <v>71</v>
      </c>
      <c r="O279" s="1" t="s">
        <v>38</v>
      </c>
      <c r="P279" s="1" t="s">
        <v>662</v>
      </c>
      <c r="Q279" s="1" t="s">
        <v>73</v>
      </c>
      <c r="R279" s="1" t="s">
        <v>663</v>
      </c>
      <c r="S279" s="1" t="s">
        <v>40</v>
      </c>
      <c r="T279" s="1">
        <v>933.68</v>
      </c>
      <c r="U279" s="1" t="s">
        <v>41</v>
      </c>
      <c r="V279" s="1" t="s">
        <v>30</v>
      </c>
      <c r="W279" s="1" t="s">
        <v>37</v>
      </c>
      <c r="X279" s="1" t="s">
        <v>30</v>
      </c>
      <c r="Y279" s="1" t="s">
        <v>37</v>
      </c>
      <c r="Z279" s="1" t="s">
        <v>42</v>
      </c>
    </row>
    <row r="280" spans="1:26" ht="15.75" x14ac:dyDescent="0.25">
      <c r="A280" s="1" t="s">
        <v>26</v>
      </c>
      <c r="B280" s="1" t="s">
        <v>27</v>
      </c>
      <c r="C280" s="1" t="s">
        <v>653</v>
      </c>
      <c r="D280" s="1" t="s">
        <v>659</v>
      </c>
      <c r="E280" s="1" t="s">
        <v>30</v>
      </c>
      <c r="F280" s="1" t="s">
        <v>660</v>
      </c>
      <c r="G280" s="1" t="s">
        <v>43</v>
      </c>
      <c r="H280" s="1" t="s">
        <v>136</v>
      </c>
      <c r="I280" s="1" t="s">
        <v>137</v>
      </c>
      <c r="J280" s="1">
        <v>2.69</v>
      </c>
      <c r="K280" s="1" t="s">
        <v>661</v>
      </c>
      <c r="L280" s="1" t="s">
        <v>36</v>
      </c>
      <c r="M280" s="1">
        <v>0</v>
      </c>
      <c r="N280" s="1" t="s">
        <v>71</v>
      </c>
      <c r="O280" s="1" t="s">
        <v>38</v>
      </c>
      <c r="P280" s="1" t="s">
        <v>664</v>
      </c>
      <c r="Q280" s="1" t="s">
        <v>73</v>
      </c>
      <c r="R280" s="1" t="s">
        <v>663</v>
      </c>
      <c r="S280" s="1" t="s">
        <v>40</v>
      </c>
      <c r="T280" s="1">
        <v>933.68</v>
      </c>
      <c r="U280" s="1" t="s">
        <v>41</v>
      </c>
      <c r="V280" s="1" t="s">
        <v>30</v>
      </c>
      <c r="W280" s="1" t="s">
        <v>37</v>
      </c>
      <c r="X280" s="1" t="s">
        <v>30</v>
      </c>
      <c r="Y280" s="1" t="s">
        <v>37</v>
      </c>
      <c r="Z280" s="1" t="s">
        <v>42</v>
      </c>
    </row>
    <row r="281" spans="1:26" ht="15.75" x14ac:dyDescent="0.25">
      <c r="A281" s="1" t="s">
        <v>26</v>
      </c>
      <c r="B281" s="1" t="s">
        <v>27</v>
      </c>
      <c r="C281" s="1" t="s">
        <v>653</v>
      </c>
      <c r="D281" s="1" t="s">
        <v>665</v>
      </c>
      <c r="E281" s="1" t="s">
        <v>30</v>
      </c>
      <c r="F281" s="1" t="s">
        <v>666</v>
      </c>
      <c r="G281" s="1" t="s">
        <v>32</v>
      </c>
      <c r="H281" s="1" t="s">
        <v>62</v>
      </c>
      <c r="I281" s="1" t="s">
        <v>48</v>
      </c>
      <c r="J281" s="1">
        <v>37.03</v>
      </c>
      <c r="K281" s="1" t="s">
        <v>667</v>
      </c>
      <c r="L281" s="1" t="s">
        <v>36</v>
      </c>
      <c r="M281" s="1">
        <v>13.7</v>
      </c>
      <c r="N281" s="1" t="s">
        <v>102</v>
      </c>
      <c r="O281" s="1" t="s">
        <v>38</v>
      </c>
      <c r="P281" s="1" t="s">
        <v>37</v>
      </c>
      <c r="Q281" s="1" t="s">
        <v>103</v>
      </c>
      <c r="R281" s="1" t="s">
        <v>668</v>
      </c>
      <c r="S281" s="1" t="s">
        <v>40</v>
      </c>
      <c r="T281" s="1">
        <v>933.68</v>
      </c>
      <c r="U281" s="1" t="s">
        <v>41</v>
      </c>
      <c r="V281" s="1" t="s">
        <v>30</v>
      </c>
      <c r="W281" s="1" t="s">
        <v>37</v>
      </c>
      <c r="X281" s="1" t="s">
        <v>30</v>
      </c>
      <c r="Y281" s="1" t="s">
        <v>37</v>
      </c>
      <c r="Z281" s="1" t="s">
        <v>42</v>
      </c>
    </row>
    <row r="282" spans="1:26" ht="15.75" x14ac:dyDescent="0.25">
      <c r="A282" s="1" t="s">
        <v>26</v>
      </c>
      <c r="B282" s="1" t="s">
        <v>27</v>
      </c>
      <c r="C282" s="1" t="s">
        <v>653</v>
      </c>
      <c r="D282" s="1" t="s">
        <v>669</v>
      </c>
      <c r="E282" s="1" t="s">
        <v>30</v>
      </c>
      <c r="F282" s="1" t="s">
        <v>670</v>
      </c>
      <c r="G282" s="1" t="s">
        <v>32</v>
      </c>
      <c r="H282" s="1" t="s">
        <v>62</v>
      </c>
      <c r="I282" s="1" t="s">
        <v>48</v>
      </c>
      <c r="J282" s="1">
        <v>42.35</v>
      </c>
      <c r="K282" s="1" t="s">
        <v>667</v>
      </c>
      <c r="L282" s="1" t="s">
        <v>36</v>
      </c>
      <c r="M282" s="1">
        <v>15.67</v>
      </c>
      <c r="N282" s="1" t="s">
        <v>102</v>
      </c>
      <c r="O282" s="1" t="s">
        <v>38</v>
      </c>
      <c r="P282" s="1" t="s">
        <v>37</v>
      </c>
      <c r="Q282" s="1" t="s">
        <v>103</v>
      </c>
      <c r="R282" s="1" t="s">
        <v>671</v>
      </c>
      <c r="S282" s="1" t="s">
        <v>40</v>
      </c>
      <c r="T282" s="1">
        <v>933.68</v>
      </c>
      <c r="U282" s="1" t="s">
        <v>41</v>
      </c>
      <c r="V282" s="1" t="s">
        <v>30</v>
      </c>
      <c r="W282" s="1" t="s">
        <v>37</v>
      </c>
      <c r="X282" s="1" t="s">
        <v>30</v>
      </c>
      <c r="Y282" s="1" t="s">
        <v>37</v>
      </c>
      <c r="Z282" s="1" t="s">
        <v>42</v>
      </c>
    </row>
    <row r="283" spans="1:26" ht="15.75" x14ac:dyDescent="0.25">
      <c r="A283" s="1" t="s">
        <v>26</v>
      </c>
      <c r="B283" s="1" t="s">
        <v>27</v>
      </c>
      <c r="C283" s="1" t="s">
        <v>653</v>
      </c>
      <c r="D283" s="1" t="s">
        <v>669</v>
      </c>
      <c r="E283" s="1" t="s">
        <v>30</v>
      </c>
      <c r="F283" s="1" t="s">
        <v>670</v>
      </c>
      <c r="G283" s="1" t="s">
        <v>43</v>
      </c>
      <c r="H283" s="1" t="s">
        <v>62</v>
      </c>
      <c r="I283" s="1" t="s">
        <v>48</v>
      </c>
      <c r="J283" s="1">
        <v>1.5</v>
      </c>
      <c r="K283" s="1" t="s">
        <v>667</v>
      </c>
      <c r="L283" s="1" t="s">
        <v>36</v>
      </c>
      <c r="M283" s="1">
        <v>0.55000000000000004</v>
      </c>
      <c r="N283" s="1" t="s">
        <v>102</v>
      </c>
      <c r="O283" s="1" t="s">
        <v>38</v>
      </c>
      <c r="P283" s="1" t="s">
        <v>37</v>
      </c>
      <c r="Q283" s="1" t="s">
        <v>103</v>
      </c>
      <c r="R283" s="1" t="s">
        <v>671</v>
      </c>
      <c r="S283" s="1" t="s">
        <v>40</v>
      </c>
      <c r="T283" s="1">
        <v>933.68</v>
      </c>
      <c r="U283" s="1" t="s">
        <v>41</v>
      </c>
      <c r="V283" s="1" t="s">
        <v>30</v>
      </c>
      <c r="W283" s="1" t="s">
        <v>37</v>
      </c>
      <c r="X283" s="1" t="s">
        <v>30</v>
      </c>
      <c r="Y283" s="1" t="s">
        <v>37</v>
      </c>
      <c r="Z283" s="1" t="s">
        <v>42</v>
      </c>
    </row>
    <row r="284" spans="1:26" ht="15.75" x14ac:dyDescent="0.25">
      <c r="A284" s="1" t="s">
        <v>26</v>
      </c>
      <c r="B284" s="1" t="s">
        <v>27</v>
      </c>
      <c r="C284" s="1" t="s">
        <v>653</v>
      </c>
      <c r="D284" s="1" t="s">
        <v>672</v>
      </c>
      <c r="E284" s="1" t="s">
        <v>30</v>
      </c>
      <c r="F284" s="1" t="s">
        <v>673</v>
      </c>
      <c r="G284" s="1" t="s">
        <v>32</v>
      </c>
      <c r="H284" s="1" t="s">
        <v>136</v>
      </c>
      <c r="I284" s="1" t="s">
        <v>137</v>
      </c>
      <c r="J284" s="1">
        <v>17.27</v>
      </c>
      <c r="K284" s="1" t="s">
        <v>661</v>
      </c>
      <c r="L284" s="1" t="s">
        <v>36</v>
      </c>
      <c r="M284" s="1">
        <v>6.39</v>
      </c>
      <c r="N284" s="1" t="s">
        <v>180</v>
      </c>
      <c r="O284" s="1" t="s">
        <v>38</v>
      </c>
      <c r="P284" s="1" t="s">
        <v>37</v>
      </c>
      <c r="Q284" s="1" t="s">
        <v>181</v>
      </c>
      <c r="R284" s="1" t="s">
        <v>674</v>
      </c>
      <c r="S284" s="1" t="s">
        <v>40</v>
      </c>
      <c r="T284" s="1">
        <v>933.68</v>
      </c>
      <c r="U284" s="1" t="s">
        <v>41</v>
      </c>
      <c r="V284" s="1" t="s">
        <v>30</v>
      </c>
      <c r="W284" s="1" t="s">
        <v>37</v>
      </c>
      <c r="X284" s="1" t="s">
        <v>30</v>
      </c>
      <c r="Y284" s="1" t="s">
        <v>37</v>
      </c>
      <c r="Z284" s="1" t="s">
        <v>42</v>
      </c>
    </row>
    <row r="285" spans="1:26" ht="15.75" x14ac:dyDescent="0.25">
      <c r="A285" s="1" t="s">
        <v>26</v>
      </c>
      <c r="B285" s="1" t="s">
        <v>27</v>
      </c>
      <c r="C285" s="1" t="s">
        <v>653</v>
      </c>
      <c r="D285" s="1" t="s">
        <v>675</v>
      </c>
      <c r="E285" s="1" t="s">
        <v>30</v>
      </c>
      <c r="F285" s="1" t="s">
        <v>676</v>
      </c>
      <c r="G285" s="1" t="s">
        <v>32</v>
      </c>
      <c r="H285" s="1" t="s">
        <v>48</v>
      </c>
      <c r="I285" s="1" t="s">
        <v>33</v>
      </c>
      <c r="J285" s="1">
        <v>145.88999999999999</v>
      </c>
      <c r="K285" s="1" t="s">
        <v>656</v>
      </c>
      <c r="L285" s="1" t="s">
        <v>36</v>
      </c>
      <c r="M285" s="1">
        <v>53.98</v>
      </c>
      <c r="N285" s="1" t="s">
        <v>336</v>
      </c>
      <c r="O285" s="1" t="s">
        <v>38</v>
      </c>
      <c r="P285" s="1" t="s">
        <v>37</v>
      </c>
      <c r="Q285" s="1" t="s">
        <v>337</v>
      </c>
      <c r="R285" s="1" t="s">
        <v>677</v>
      </c>
      <c r="S285" s="1" t="s">
        <v>40</v>
      </c>
      <c r="T285" s="1">
        <v>933.68</v>
      </c>
      <c r="U285" s="1" t="s">
        <v>41</v>
      </c>
      <c r="V285" s="1" t="s">
        <v>30</v>
      </c>
      <c r="W285" s="1" t="s">
        <v>37</v>
      </c>
      <c r="X285" s="1" t="s">
        <v>30</v>
      </c>
      <c r="Y285" s="1" t="s">
        <v>37</v>
      </c>
      <c r="Z285" s="1" t="s">
        <v>42</v>
      </c>
    </row>
    <row r="286" spans="1:26" ht="15.75" x14ac:dyDescent="0.25">
      <c r="A286" s="1" t="s">
        <v>26</v>
      </c>
      <c r="B286" s="1" t="s">
        <v>27</v>
      </c>
      <c r="C286" s="1" t="s">
        <v>653</v>
      </c>
      <c r="D286" s="1" t="s">
        <v>675</v>
      </c>
      <c r="E286" s="1" t="s">
        <v>30</v>
      </c>
      <c r="F286" s="1" t="s">
        <v>676</v>
      </c>
      <c r="G286" s="1" t="s">
        <v>43</v>
      </c>
      <c r="H286" s="1" t="s">
        <v>48</v>
      </c>
      <c r="I286" s="1" t="s">
        <v>33</v>
      </c>
      <c r="J286" s="1">
        <v>3.44</v>
      </c>
      <c r="K286" s="1" t="s">
        <v>656</v>
      </c>
      <c r="L286" s="1" t="s">
        <v>36</v>
      </c>
      <c r="M286" s="1">
        <v>1.27</v>
      </c>
      <c r="N286" s="1" t="s">
        <v>336</v>
      </c>
      <c r="O286" s="1" t="s">
        <v>38</v>
      </c>
      <c r="P286" s="1" t="s">
        <v>37</v>
      </c>
      <c r="Q286" s="1" t="s">
        <v>337</v>
      </c>
      <c r="R286" s="1" t="s">
        <v>677</v>
      </c>
      <c r="S286" s="1" t="s">
        <v>40</v>
      </c>
      <c r="T286" s="1">
        <v>933.68</v>
      </c>
      <c r="U286" s="1" t="s">
        <v>41</v>
      </c>
      <c r="V286" s="1" t="s">
        <v>30</v>
      </c>
      <c r="W286" s="1" t="s">
        <v>37</v>
      </c>
      <c r="X286" s="1" t="s">
        <v>30</v>
      </c>
      <c r="Y286" s="1" t="s">
        <v>37</v>
      </c>
      <c r="Z286" s="1" t="s">
        <v>42</v>
      </c>
    </row>
    <row r="287" spans="1:26" ht="15.75" x14ac:dyDescent="0.25">
      <c r="A287" s="1" t="s">
        <v>26</v>
      </c>
      <c r="B287" s="1" t="s">
        <v>27</v>
      </c>
      <c r="C287" s="1" t="s">
        <v>653</v>
      </c>
      <c r="D287" s="1" t="s">
        <v>678</v>
      </c>
      <c r="E287" s="1" t="s">
        <v>30</v>
      </c>
      <c r="F287" s="1" t="s">
        <v>679</v>
      </c>
      <c r="G287" s="1" t="s">
        <v>32</v>
      </c>
      <c r="H287" s="1" t="s">
        <v>48</v>
      </c>
      <c r="I287" s="1" t="s">
        <v>33</v>
      </c>
      <c r="J287" s="1">
        <v>36.29</v>
      </c>
      <c r="K287" s="1" t="s">
        <v>656</v>
      </c>
      <c r="L287" s="1" t="s">
        <v>36</v>
      </c>
      <c r="M287" s="1">
        <v>0</v>
      </c>
      <c r="N287" s="1" t="s">
        <v>71</v>
      </c>
      <c r="O287" s="1" t="s">
        <v>38</v>
      </c>
      <c r="P287" s="1" t="s">
        <v>409</v>
      </c>
      <c r="Q287" s="1" t="s">
        <v>73</v>
      </c>
      <c r="R287" s="1" t="s">
        <v>680</v>
      </c>
      <c r="S287" s="1" t="s">
        <v>40</v>
      </c>
      <c r="T287" s="1">
        <v>933.68</v>
      </c>
      <c r="U287" s="1" t="s">
        <v>41</v>
      </c>
      <c r="V287" s="1" t="s">
        <v>30</v>
      </c>
      <c r="W287" s="1" t="s">
        <v>37</v>
      </c>
      <c r="X287" s="1" t="s">
        <v>30</v>
      </c>
      <c r="Y287" s="1" t="s">
        <v>37</v>
      </c>
      <c r="Z287" s="1" t="s">
        <v>42</v>
      </c>
    </row>
    <row r="288" spans="1:26" ht="15.75" x14ac:dyDescent="0.25">
      <c r="A288" s="1" t="s">
        <v>26</v>
      </c>
      <c r="B288" s="1" t="s">
        <v>27</v>
      </c>
      <c r="C288" s="1" t="s">
        <v>653</v>
      </c>
      <c r="D288" s="1" t="s">
        <v>678</v>
      </c>
      <c r="E288" s="1" t="s">
        <v>30</v>
      </c>
      <c r="F288" s="1" t="s">
        <v>679</v>
      </c>
      <c r="G288" s="1" t="s">
        <v>43</v>
      </c>
      <c r="H288" s="1" t="s">
        <v>48</v>
      </c>
      <c r="I288" s="1" t="s">
        <v>33</v>
      </c>
      <c r="J288" s="1">
        <v>1.5</v>
      </c>
      <c r="K288" s="1" t="s">
        <v>656</v>
      </c>
      <c r="L288" s="1" t="s">
        <v>36</v>
      </c>
      <c r="M288" s="1">
        <v>0</v>
      </c>
      <c r="N288" s="1" t="s">
        <v>71</v>
      </c>
      <c r="O288" s="1" t="s">
        <v>38</v>
      </c>
      <c r="P288" s="1" t="s">
        <v>411</v>
      </c>
      <c r="Q288" s="1" t="s">
        <v>73</v>
      </c>
      <c r="R288" s="1" t="s">
        <v>680</v>
      </c>
      <c r="S288" s="1" t="s">
        <v>40</v>
      </c>
      <c r="T288" s="1">
        <v>933.68</v>
      </c>
      <c r="U288" s="1" t="s">
        <v>41</v>
      </c>
      <c r="V288" s="1" t="s">
        <v>30</v>
      </c>
      <c r="W288" s="1" t="s">
        <v>37</v>
      </c>
      <c r="X288" s="1" t="s">
        <v>30</v>
      </c>
      <c r="Y288" s="1" t="s">
        <v>37</v>
      </c>
      <c r="Z288" s="1" t="s">
        <v>42</v>
      </c>
    </row>
    <row r="289" spans="1:26" ht="15.75" x14ac:dyDescent="0.25">
      <c r="A289" s="1" t="s">
        <v>26</v>
      </c>
      <c r="B289" s="1" t="s">
        <v>27</v>
      </c>
      <c r="C289" s="1" t="s">
        <v>653</v>
      </c>
      <c r="D289" s="1" t="s">
        <v>681</v>
      </c>
      <c r="E289" s="1" t="s">
        <v>30</v>
      </c>
      <c r="F289" s="1" t="s">
        <v>682</v>
      </c>
      <c r="G289" s="1" t="s">
        <v>32</v>
      </c>
      <c r="H289" s="1" t="s">
        <v>137</v>
      </c>
      <c r="I289" s="1" t="s">
        <v>147</v>
      </c>
      <c r="J289" s="1">
        <v>36.29</v>
      </c>
      <c r="K289" s="1" t="s">
        <v>683</v>
      </c>
      <c r="L289" s="1" t="s">
        <v>36</v>
      </c>
      <c r="M289" s="1">
        <v>13.43</v>
      </c>
      <c r="N289" s="1" t="s">
        <v>95</v>
      </c>
      <c r="O289" s="1" t="s">
        <v>38</v>
      </c>
      <c r="P289" s="1" t="s">
        <v>37</v>
      </c>
      <c r="Q289" s="1" t="s">
        <v>96</v>
      </c>
      <c r="R289" s="1" t="s">
        <v>684</v>
      </c>
      <c r="S289" s="1" t="s">
        <v>40</v>
      </c>
      <c r="T289" s="1">
        <v>933.68</v>
      </c>
      <c r="U289" s="1" t="s">
        <v>41</v>
      </c>
      <c r="V289" s="1" t="s">
        <v>30</v>
      </c>
      <c r="W289" s="1" t="s">
        <v>37</v>
      </c>
      <c r="X289" s="1" t="s">
        <v>30</v>
      </c>
      <c r="Y289" s="1" t="s">
        <v>37</v>
      </c>
      <c r="Z289" s="1" t="s">
        <v>42</v>
      </c>
    </row>
    <row r="290" spans="1:26" ht="15.75" x14ac:dyDescent="0.25">
      <c r="A290" s="1" t="s">
        <v>26</v>
      </c>
      <c r="B290" s="1" t="s">
        <v>27</v>
      </c>
      <c r="C290" s="1" t="s">
        <v>653</v>
      </c>
      <c r="D290" s="1" t="s">
        <v>681</v>
      </c>
      <c r="E290" s="1" t="s">
        <v>30</v>
      </c>
      <c r="F290" s="1" t="s">
        <v>682</v>
      </c>
      <c r="G290" s="1" t="s">
        <v>43</v>
      </c>
      <c r="H290" s="1" t="s">
        <v>137</v>
      </c>
      <c r="I290" s="1" t="s">
        <v>147</v>
      </c>
      <c r="J290" s="1">
        <v>1.5</v>
      </c>
      <c r="K290" s="1" t="s">
        <v>683</v>
      </c>
      <c r="L290" s="1" t="s">
        <v>36</v>
      </c>
      <c r="M290" s="1">
        <v>0.55000000000000004</v>
      </c>
      <c r="N290" s="1" t="s">
        <v>95</v>
      </c>
      <c r="O290" s="1" t="s">
        <v>38</v>
      </c>
      <c r="P290" s="1" t="s">
        <v>37</v>
      </c>
      <c r="Q290" s="1" t="s">
        <v>96</v>
      </c>
      <c r="R290" s="1" t="s">
        <v>684</v>
      </c>
      <c r="S290" s="1" t="s">
        <v>40</v>
      </c>
      <c r="T290" s="1">
        <v>933.68</v>
      </c>
      <c r="U290" s="1" t="s">
        <v>41</v>
      </c>
      <c r="V290" s="1" t="s">
        <v>30</v>
      </c>
      <c r="W290" s="1" t="s">
        <v>37</v>
      </c>
      <c r="X290" s="1" t="s">
        <v>30</v>
      </c>
      <c r="Y290" s="1" t="s">
        <v>37</v>
      </c>
      <c r="Z290" s="1" t="s">
        <v>42</v>
      </c>
    </row>
    <row r="291" spans="1:26" ht="15.75" x14ac:dyDescent="0.25">
      <c r="A291" s="1" t="s">
        <v>26</v>
      </c>
      <c r="B291" s="1" t="s">
        <v>27</v>
      </c>
      <c r="C291" s="1" t="s">
        <v>653</v>
      </c>
      <c r="D291" s="1" t="s">
        <v>685</v>
      </c>
      <c r="E291" s="1" t="s">
        <v>30</v>
      </c>
      <c r="F291" s="1" t="s">
        <v>682</v>
      </c>
      <c r="G291" s="1" t="s">
        <v>45</v>
      </c>
      <c r="H291" s="1" t="s">
        <v>137</v>
      </c>
      <c r="I291" s="1" t="s">
        <v>147</v>
      </c>
      <c r="J291" s="1">
        <v>16.34</v>
      </c>
      <c r="K291" s="1" t="s">
        <v>683</v>
      </c>
      <c r="L291" s="1" t="s">
        <v>36</v>
      </c>
      <c r="M291" s="1">
        <v>6.05</v>
      </c>
      <c r="N291" s="1" t="s">
        <v>95</v>
      </c>
      <c r="O291" s="1" t="s">
        <v>38</v>
      </c>
      <c r="P291" s="1" t="s">
        <v>37</v>
      </c>
      <c r="Q291" s="1" t="s">
        <v>96</v>
      </c>
      <c r="R291" s="1" t="s">
        <v>684</v>
      </c>
      <c r="S291" s="1" t="s">
        <v>40</v>
      </c>
      <c r="T291" s="1">
        <v>933.68</v>
      </c>
      <c r="U291" s="1" t="s">
        <v>41</v>
      </c>
      <c r="V291" s="1" t="s">
        <v>30</v>
      </c>
      <c r="W291" s="1" t="s">
        <v>37</v>
      </c>
      <c r="X291" s="1" t="s">
        <v>30</v>
      </c>
      <c r="Y291" s="1" t="s">
        <v>37</v>
      </c>
      <c r="Z291" s="1" t="s">
        <v>42</v>
      </c>
    </row>
    <row r="292" spans="1:26" ht="15.75" x14ac:dyDescent="0.25">
      <c r="A292" s="1" t="s">
        <v>26</v>
      </c>
      <c r="B292" s="1" t="s">
        <v>27</v>
      </c>
      <c r="C292" s="1" t="s">
        <v>653</v>
      </c>
      <c r="D292" s="1" t="s">
        <v>686</v>
      </c>
      <c r="E292" s="1" t="s">
        <v>30</v>
      </c>
      <c r="F292" s="1" t="s">
        <v>687</v>
      </c>
      <c r="G292" s="1" t="s">
        <v>32</v>
      </c>
      <c r="H292" s="1" t="s">
        <v>137</v>
      </c>
      <c r="I292" s="1" t="s">
        <v>147</v>
      </c>
      <c r="J292" s="1">
        <v>17.559999999999999</v>
      </c>
      <c r="K292" s="1" t="s">
        <v>683</v>
      </c>
      <c r="L292" s="1" t="s">
        <v>36</v>
      </c>
      <c r="M292" s="1">
        <v>6.5</v>
      </c>
      <c r="N292" s="1" t="s">
        <v>555</v>
      </c>
      <c r="O292" s="1" t="s">
        <v>38</v>
      </c>
      <c r="P292" s="1" t="s">
        <v>37</v>
      </c>
      <c r="Q292" s="1" t="s">
        <v>556</v>
      </c>
      <c r="R292" s="1" t="s">
        <v>688</v>
      </c>
      <c r="S292" s="1" t="s">
        <v>40</v>
      </c>
      <c r="T292" s="1">
        <v>933.68</v>
      </c>
      <c r="U292" s="1" t="s">
        <v>41</v>
      </c>
      <c r="V292" s="1" t="s">
        <v>30</v>
      </c>
      <c r="W292" s="1" t="s">
        <v>37</v>
      </c>
      <c r="X292" s="1" t="s">
        <v>30</v>
      </c>
      <c r="Y292" s="1" t="s">
        <v>37</v>
      </c>
      <c r="Z292" s="1" t="s">
        <v>42</v>
      </c>
    </row>
    <row r="293" spans="1:26" ht="15.75" x14ac:dyDescent="0.25">
      <c r="A293" s="1" t="s">
        <v>26</v>
      </c>
      <c r="B293" s="1" t="s">
        <v>27</v>
      </c>
      <c r="C293" s="1" t="s">
        <v>653</v>
      </c>
      <c r="D293" s="1" t="s">
        <v>689</v>
      </c>
      <c r="E293" s="1" t="s">
        <v>30</v>
      </c>
      <c r="F293" s="1" t="s">
        <v>687</v>
      </c>
      <c r="G293" s="1" t="s">
        <v>45</v>
      </c>
      <c r="H293" s="1" t="s">
        <v>137</v>
      </c>
      <c r="I293" s="1" t="s">
        <v>147</v>
      </c>
      <c r="J293" s="1">
        <v>10.67</v>
      </c>
      <c r="K293" s="1" t="s">
        <v>683</v>
      </c>
      <c r="L293" s="1" t="s">
        <v>36</v>
      </c>
      <c r="M293" s="1">
        <v>3.95</v>
      </c>
      <c r="N293" s="1" t="s">
        <v>555</v>
      </c>
      <c r="O293" s="1" t="s">
        <v>38</v>
      </c>
      <c r="P293" s="1" t="s">
        <v>37</v>
      </c>
      <c r="Q293" s="1" t="s">
        <v>556</v>
      </c>
      <c r="R293" s="1" t="s">
        <v>688</v>
      </c>
      <c r="S293" s="1" t="s">
        <v>40</v>
      </c>
      <c r="T293" s="1">
        <v>933.68</v>
      </c>
      <c r="U293" s="1" t="s">
        <v>41</v>
      </c>
      <c r="V293" s="1" t="s">
        <v>30</v>
      </c>
      <c r="W293" s="1" t="s">
        <v>37</v>
      </c>
      <c r="X293" s="1" t="s">
        <v>30</v>
      </c>
      <c r="Y293" s="1" t="s">
        <v>37</v>
      </c>
      <c r="Z293" s="1" t="s">
        <v>42</v>
      </c>
    </row>
    <row r="294" spans="1:26" ht="15.75" x14ac:dyDescent="0.25">
      <c r="A294" s="1" t="s">
        <v>26</v>
      </c>
      <c r="B294" s="1" t="s">
        <v>27</v>
      </c>
      <c r="C294" s="1" t="s">
        <v>653</v>
      </c>
      <c r="D294" s="1" t="s">
        <v>690</v>
      </c>
      <c r="E294" s="1" t="s">
        <v>30</v>
      </c>
      <c r="F294" s="1" t="s">
        <v>691</v>
      </c>
      <c r="G294" s="1" t="s">
        <v>32</v>
      </c>
      <c r="H294" s="1" t="s">
        <v>33</v>
      </c>
      <c r="I294" s="1" t="s">
        <v>34</v>
      </c>
      <c r="J294" s="1">
        <v>36.29</v>
      </c>
      <c r="K294" s="1" t="s">
        <v>692</v>
      </c>
      <c r="L294" s="1" t="s">
        <v>36</v>
      </c>
      <c r="M294" s="1">
        <v>13.43</v>
      </c>
      <c r="N294" s="1" t="s">
        <v>95</v>
      </c>
      <c r="O294" s="1" t="s">
        <v>38</v>
      </c>
      <c r="P294" s="1" t="s">
        <v>37</v>
      </c>
      <c r="Q294" s="1" t="s">
        <v>96</v>
      </c>
      <c r="R294" s="1" t="s">
        <v>693</v>
      </c>
      <c r="S294" s="1" t="s">
        <v>40</v>
      </c>
      <c r="T294" s="1">
        <v>933.68</v>
      </c>
      <c r="U294" s="1" t="s">
        <v>41</v>
      </c>
      <c r="V294" s="1" t="s">
        <v>30</v>
      </c>
      <c r="W294" s="1" t="s">
        <v>37</v>
      </c>
      <c r="X294" s="1" t="s">
        <v>30</v>
      </c>
      <c r="Y294" s="1" t="s">
        <v>37</v>
      </c>
      <c r="Z294" s="1" t="s">
        <v>42</v>
      </c>
    </row>
    <row r="295" spans="1:26" ht="15.75" x14ac:dyDescent="0.25">
      <c r="A295" s="1" t="s">
        <v>26</v>
      </c>
      <c r="B295" s="1" t="s">
        <v>27</v>
      </c>
      <c r="C295" s="1" t="s">
        <v>653</v>
      </c>
      <c r="D295" s="1" t="s">
        <v>690</v>
      </c>
      <c r="E295" s="1" t="s">
        <v>30</v>
      </c>
      <c r="F295" s="1" t="s">
        <v>691</v>
      </c>
      <c r="G295" s="1" t="s">
        <v>43</v>
      </c>
      <c r="H295" s="1" t="s">
        <v>33</v>
      </c>
      <c r="I295" s="1" t="s">
        <v>34</v>
      </c>
      <c r="J295" s="1">
        <v>1.5</v>
      </c>
      <c r="K295" s="1" t="s">
        <v>692</v>
      </c>
      <c r="L295" s="1" t="s">
        <v>36</v>
      </c>
      <c r="M295" s="1">
        <v>0.55000000000000004</v>
      </c>
      <c r="N295" s="1" t="s">
        <v>95</v>
      </c>
      <c r="O295" s="1" t="s">
        <v>38</v>
      </c>
      <c r="P295" s="1" t="s">
        <v>37</v>
      </c>
      <c r="Q295" s="1" t="s">
        <v>96</v>
      </c>
      <c r="R295" s="1" t="s">
        <v>693</v>
      </c>
      <c r="S295" s="1" t="s">
        <v>40</v>
      </c>
      <c r="T295" s="1">
        <v>933.68</v>
      </c>
      <c r="U295" s="1" t="s">
        <v>41</v>
      </c>
      <c r="V295" s="1" t="s">
        <v>30</v>
      </c>
      <c r="W295" s="1" t="s">
        <v>37</v>
      </c>
      <c r="X295" s="1" t="s">
        <v>30</v>
      </c>
      <c r="Y295" s="1" t="s">
        <v>37</v>
      </c>
      <c r="Z295" s="1" t="s">
        <v>42</v>
      </c>
    </row>
    <row r="296" spans="1:26" ht="15.75" x14ac:dyDescent="0.25">
      <c r="A296" s="1" t="s">
        <v>26</v>
      </c>
      <c r="B296" s="1" t="s">
        <v>27</v>
      </c>
      <c r="C296" s="1" t="s">
        <v>653</v>
      </c>
      <c r="D296" s="1" t="s">
        <v>694</v>
      </c>
      <c r="E296" s="1" t="s">
        <v>30</v>
      </c>
      <c r="F296" s="1" t="s">
        <v>691</v>
      </c>
      <c r="G296" s="1" t="s">
        <v>45</v>
      </c>
      <c r="H296" s="1" t="s">
        <v>33</v>
      </c>
      <c r="I296" s="1" t="s">
        <v>34</v>
      </c>
      <c r="J296" s="1">
        <v>10.67</v>
      </c>
      <c r="K296" s="1" t="s">
        <v>692</v>
      </c>
      <c r="L296" s="1" t="s">
        <v>36</v>
      </c>
      <c r="M296" s="1">
        <v>3.95</v>
      </c>
      <c r="N296" s="1" t="s">
        <v>95</v>
      </c>
      <c r="O296" s="1" t="s">
        <v>38</v>
      </c>
      <c r="P296" s="1" t="s">
        <v>37</v>
      </c>
      <c r="Q296" s="1" t="s">
        <v>96</v>
      </c>
      <c r="R296" s="1" t="s">
        <v>693</v>
      </c>
      <c r="S296" s="1" t="s">
        <v>40</v>
      </c>
      <c r="T296" s="1">
        <v>933.68</v>
      </c>
      <c r="U296" s="1" t="s">
        <v>41</v>
      </c>
      <c r="V296" s="1" t="s">
        <v>30</v>
      </c>
      <c r="W296" s="1" t="s">
        <v>37</v>
      </c>
      <c r="X296" s="1" t="s">
        <v>30</v>
      </c>
      <c r="Y296" s="1" t="s">
        <v>37</v>
      </c>
      <c r="Z296" s="1" t="s">
        <v>42</v>
      </c>
    </row>
    <row r="297" spans="1:26" ht="15.75" x14ac:dyDescent="0.25">
      <c r="A297" s="1" t="s">
        <v>26</v>
      </c>
      <c r="B297" s="1" t="s">
        <v>27</v>
      </c>
      <c r="C297" s="1" t="s">
        <v>653</v>
      </c>
      <c r="D297" s="1" t="s">
        <v>695</v>
      </c>
      <c r="E297" s="1" t="s">
        <v>30</v>
      </c>
      <c r="F297" s="1" t="s">
        <v>696</v>
      </c>
      <c r="G297" s="1" t="s">
        <v>32</v>
      </c>
      <c r="H297" s="1" t="s">
        <v>48</v>
      </c>
      <c r="I297" s="1" t="s">
        <v>33</v>
      </c>
      <c r="J297" s="1">
        <v>45.29</v>
      </c>
      <c r="K297" s="1" t="s">
        <v>697</v>
      </c>
      <c r="L297" s="1" t="s">
        <v>36</v>
      </c>
      <c r="M297" s="1">
        <v>16.760000000000002</v>
      </c>
      <c r="N297" s="1" t="s">
        <v>293</v>
      </c>
      <c r="O297" s="1" t="s">
        <v>38</v>
      </c>
      <c r="P297" s="1" t="s">
        <v>37</v>
      </c>
      <c r="Q297" s="1" t="s">
        <v>294</v>
      </c>
      <c r="R297" s="1" t="s">
        <v>698</v>
      </c>
      <c r="S297" s="1" t="s">
        <v>40</v>
      </c>
      <c r="T297" s="1">
        <v>933.68</v>
      </c>
      <c r="U297" s="1" t="s">
        <v>41</v>
      </c>
      <c r="V297" s="1" t="s">
        <v>30</v>
      </c>
      <c r="W297" s="1" t="s">
        <v>37</v>
      </c>
      <c r="X297" s="1" t="s">
        <v>30</v>
      </c>
      <c r="Y297" s="1" t="s">
        <v>37</v>
      </c>
      <c r="Z297" s="1" t="s">
        <v>42</v>
      </c>
    </row>
    <row r="298" spans="1:26" ht="15.75" x14ac:dyDescent="0.25">
      <c r="A298" s="1" t="s">
        <v>26</v>
      </c>
      <c r="B298" s="1" t="s">
        <v>27</v>
      </c>
      <c r="C298" s="1" t="s">
        <v>653</v>
      </c>
      <c r="D298" s="1" t="s">
        <v>699</v>
      </c>
      <c r="E298" s="1" t="s">
        <v>30</v>
      </c>
      <c r="F298" s="1" t="s">
        <v>696</v>
      </c>
      <c r="G298" s="1" t="s">
        <v>45</v>
      </c>
      <c r="H298" s="1" t="s">
        <v>48</v>
      </c>
      <c r="I298" s="1" t="s">
        <v>33</v>
      </c>
      <c r="J298" s="1">
        <v>10.67</v>
      </c>
      <c r="K298" s="1" t="s">
        <v>697</v>
      </c>
      <c r="L298" s="1" t="s">
        <v>36</v>
      </c>
      <c r="M298" s="1">
        <v>3.95</v>
      </c>
      <c r="N298" s="1" t="s">
        <v>293</v>
      </c>
      <c r="O298" s="1" t="s">
        <v>38</v>
      </c>
      <c r="P298" s="1" t="s">
        <v>37</v>
      </c>
      <c r="Q298" s="1" t="s">
        <v>294</v>
      </c>
      <c r="R298" s="1" t="s">
        <v>698</v>
      </c>
      <c r="S298" s="1" t="s">
        <v>40</v>
      </c>
      <c r="T298" s="1">
        <v>933.68</v>
      </c>
      <c r="U298" s="1" t="s">
        <v>41</v>
      </c>
      <c r="V298" s="1" t="s">
        <v>30</v>
      </c>
      <c r="W298" s="1" t="s">
        <v>37</v>
      </c>
      <c r="X298" s="1" t="s">
        <v>30</v>
      </c>
      <c r="Y298" s="1" t="s">
        <v>37</v>
      </c>
      <c r="Z298" s="1" t="s">
        <v>42</v>
      </c>
    </row>
    <row r="299" spans="1:26" ht="15.75" x14ac:dyDescent="0.25">
      <c r="A299" s="1" t="s">
        <v>26</v>
      </c>
      <c r="B299" s="1" t="s">
        <v>27</v>
      </c>
      <c r="C299" s="1" t="s">
        <v>653</v>
      </c>
      <c r="D299" s="1" t="s">
        <v>700</v>
      </c>
      <c r="E299" s="1" t="s">
        <v>30</v>
      </c>
      <c r="F299" s="1" t="s">
        <v>701</v>
      </c>
      <c r="G299" s="1" t="s">
        <v>45</v>
      </c>
      <c r="H299" s="1" t="s">
        <v>62</v>
      </c>
      <c r="I299" s="1" t="s">
        <v>48</v>
      </c>
      <c r="J299" s="1">
        <v>10.67</v>
      </c>
      <c r="K299" s="1" t="s">
        <v>702</v>
      </c>
      <c r="L299" s="1" t="s">
        <v>36</v>
      </c>
      <c r="M299" s="1">
        <v>3.95</v>
      </c>
      <c r="N299" s="1" t="s">
        <v>322</v>
      </c>
      <c r="O299" s="1" t="s">
        <v>38</v>
      </c>
      <c r="P299" s="1" t="s">
        <v>37</v>
      </c>
      <c r="Q299" s="1" t="s">
        <v>323</v>
      </c>
      <c r="R299" s="1" t="s">
        <v>703</v>
      </c>
      <c r="S299" s="1" t="s">
        <v>40</v>
      </c>
      <c r="T299" s="1">
        <v>933.68</v>
      </c>
      <c r="U299" s="1" t="s">
        <v>41</v>
      </c>
      <c r="V299" s="1" t="s">
        <v>30</v>
      </c>
      <c r="W299" s="1" t="s">
        <v>37</v>
      </c>
      <c r="X299" s="1" t="s">
        <v>30</v>
      </c>
      <c r="Y299" s="1" t="s">
        <v>37</v>
      </c>
      <c r="Z299" s="1" t="s">
        <v>42</v>
      </c>
    </row>
    <row r="300" spans="1:26" ht="15.75" x14ac:dyDescent="0.25">
      <c r="A300" s="1" t="s">
        <v>26</v>
      </c>
      <c r="B300" s="1" t="s">
        <v>27</v>
      </c>
      <c r="C300" s="1" t="s">
        <v>653</v>
      </c>
      <c r="D300" s="1" t="s">
        <v>704</v>
      </c>
      <c r="E300" s="1" t="s">
        <v>30</v>
      </c>
      <c r="F300" s="1" t="s">
        <v>705</v>
      </c>
      <c r="G300" s="1" t="s">
        <v>32</v>
      </c>
      <c r="H300" s="1" t="s">
        <v>86</v>
      </c>
      <c r="I300" s="1" t="s">
        <v>48</v>
      </c>
      <c r="J300" s="1">
        <v>62.46</v>
      </c>
      <c r="K300" s="1" t="s">
        <v>706</v>
      </c>
      <c r="L300" s="1" t="s">
        <v>36</v>
      </c>
      <c r="M300" s="1">
        <v>23.11</v>
      </c>
      <c r="N300" s="1" t="s">
        <v>536</v>
      </c>
      <c r="O300" s="1" t="s">
        <v>38</v>
      </c>
      <c r="P300" s="1" t="s">
        <v>37</v>
      </c>
      <c r="Q300" s="1" t="s">
        <v>537</v>
      </c>
      <c r="R300" s="1" t="s">
        <v>707</v>
      </c>
      <c r="S300" s="1" t="s">
        <v>40</v>
      </c>
      <c r="T300" s="1">
        <v>933.68</v>
      </c>
      <c r="U300" s="1" t="s">
        <v>41</v>
      </c>
      <c r="V300" s="1" t="s">
        <v>30</v>
      </c>
      <c r="W300" s="1" t="s">
        <v>37</v>
      </c>
      <c r="X300" s="1" t="s">
        <v>30</v>
      </c>
      <c r="Y300" s="1" t="s">
        <v>37</v>
      </c>
      <c r="Z300" s="1" t="s">
        <v>42</v>
      </c>
    </row>
    <row r="301" spans="1:26" ht="15.75" x14ac:dyDescent="0.25">
      <c r="A301" s="1" t="s">
        <v>26</v>
      </c>
      <c r="B301" s="1" t="s">
        <v>27</v>
      </c>
      <c r="C301" s="1" t="s">
        <v>653</v>
      </c>
      <c r="D301" s="1" t="s">
        <v>708</v>
      </c>
      <c r="E301" s="1" t="s">
        <v>30</v>
      </c>
      <c r="F301" s="1" t="s">
        <v>709</v>
      </c>
      <c r="G301" s="1" t="s">
        <v>45</v>
      </c>
      <c r="H301" s="1" t="s">
        <v>48</v>
      </c>
      <c r="I301" s="1" t="s">
        <v>33</v>
      </c>
      <c r="J301" s="1">
        <v>16.34</v>
      </c>
      <c r="K301" s="1" t="s">
        <v>697</v>
      </c>
      <c r="L301" s="1" t="s">
        <v>36</v>
      </c>
      <c r="M301" s="1">
        <v>6.05</v>
      </c>
      <c r="N301" s="1" t="s">
        <v>710</v>
      </c>
      <c r="O301" s="1" t="s">
        <v>38</v>
      </c>
      <c r="P301" s="1" t="s">
        <v>37</v>
      </c>
      <c r="Q301" s="1" t="s">
        <v>711</v>
      </c>
      <c r="R301" s="1" t="s">
        <v>712</v>
      </c>
      <c r="S301" s="1" t="s">
        <v>40</v>
      </c>
      <c r="T301" s="1">
        <v>933.68</v>
      </c>
      <c r="U301" s="1" t="s">
        <v>41</v>
      </c>
      <c r="V301" s="1" t="s">
        <v>30</v>
      </c>
      <c r="W301" s="1" t="s">
        <v>37</v>
      </c>
      <c r="X301" s="1" t="s">
        <v>30</v>
      </c>
      <c r="Y301" s="1" t="s">
        <v>37</v>
      </c>
      <c r="Z301" s="1" t="s">
        <v>42</v>
      </c>
    </row>
    <row r="302" spans="1:26" ht="15.75" x14ac:dyDescent="0.25">
      <c r="A302" s="1" t="s">
        <v>26</v>
      </c>
      <c r="B302" s="1" t="s">
        <v>27</v>
      </c>
      <c r="C302" s="1" t="s">
        <v>653</v>
      </c>
      <c r="D302" s="1" t="s">
        <v>713</v>
      </c>
      <c r="E302" s="1" t="s">
        <v>30</v>
      </c>
      <c r="F302" s="1" t="s">
        <v>714</v>
      </c>
      <c r="G302" s="1" t="s">
        <v>32</v>
      </c>
      <c r="H302" s="1" t="s">
        <v>86</v>
      </c>
      <c r="I302" s="1" t="s">
        <v>48</v>
      </c>
      <c r="J302" s="1">
        <v>51.24</v>
      </c>
      <c r="K302" s="1" t="s">
        <v>706</v>
      </c>
      <c r="L302" s="1" t="s">
        <v>36</v>
      </c>
      <c r="M302" s="1">
        <v>18.96</v>
      </c>
      <c r="N302" s="1" t="s">
        <v>174</v>
      </c>
      <c r="O302" s="1" t="s">
        <v>38</v>
      </c>
      <c r="P302" s="1" t="s">
        <v>37</v>
      </c>
      <c r="Q302" s="1" t="s">
        <v>175</v>
      </c>
      <c r="R302" s="1" t="s">
        <v>715</v>
      </c>
      <c r="S302" s="1" t="s">
        <v>40</v>
      </c>
      <c r="T302" s="1">
        <v>933.68</v>
      </c>
      <c r="U302" s="1" t="s">
        <v>41</v>
      </c>
      <c r="V302" s="1" t="s">
        <v>30</v>
      </c>
      <c r="W302" s="1" t="s">
        <v>37</v>
      </c>
      <c r="X302" s="1" t="s">
        <v>30</v>
      </c>
      <c r="Y302" s="1" t="s">
        <v>37</v>
      </c>
      <c r="Z302" s="1" t="s">
        <v>42</v>
      </c>
    </row>
    <row r="303" spans="1:26" ht="15.75" x14ac:dyDescent="0.25">
      <c r="A303" s="1" t="s">
        <v>26</v>
      </c>
      <c r="B303" s="1" t="s">
        <v>27</v>
      </c>
      <c r="C303" s="1" t="s">
        <v>653</v>
      </c>
      <c r="D303" s="1" t="s">
        <v>713</v>
      </c>
      <c r="E303" s="1" t="s">
        <v>30</v>
      </c>
      <c r="F303" s="1" t="s">
        <v>714</v>
      </c>
      <c r="G303" s="1" t="s">
        <v>43</v>
      </c>
      <c r="H303" s="1" t="s">
        <v>86</v>
      </c>
      <c r="I303" s="1" t="s">
        <v>48</v>
      </c>
      <c r="J303" s="1">
        <v>1.5</v>
      </c>
      <c r="K303" s="1" t="s">
        <v>706</v>
      </c>
      <c r="L303" s="1" t="s">
        <v>36</v>
      </c>
      <c r="M303" s="1">
        <v>0.55000000000000004</v>
      </c>
      <c r="N303" s="1" t="s">
        <v>174</v>
      </c>
      <c r="O303" s="1" t="s">
        <v>38</v>
      </c>
      <c r="P303" s="1" t="s">
        <v>37</v>
      </c>
      <c r="Q303" s="1" t="s">
        <v>175</v>
      </c>
      <c r="R303" s="1" t="s">
        <v>715</v>
      </c>
      <c r="S303" s="1" t="s">
        <v>40</v>
      </c>
      <c r="T303" s="1">
        <v>933.68</v>
      </c>
      <c r="U303" s="1" t="s">
        <v>41</v>
      </c>
      <c r="V303" s="1" t="s">
        <v>30</v>
      </c>
      <c r="W303" s="1" t="s">
        <v>37</v>
      </c>
      <c r="X303" s="1" t="s">
        <v>30</v>
      </c>
      <c r="Y303" s="1" t="s">
        <v>37</v>
      </c>
      <c r="Z303" s="1" t="s">
        <v>42</v>
      </c>
    </row>
    <row r="304" spans="1:26" ht="15.75" x14ac:dyDescent="0.25">
      <c r="A304" s="1" t="s">
        <v>26</v>
      </c>
      <c r="B304" s="1" t="s">
        <v>27</v>
      </c>
      <c r="C304" s="1" t="s">
        <v>653</v>
      </c>
      <c r="D304" s="1" t="s">
        <v>716</v>
      </c>
      <c r="E304" s="1" t="s">
        <v>30</v>
      </c>
      <c r="F304" s="1" t="s">
        <v>717</v>
      </c>
      <c r="G304" s="1" t="s">
        <v>32</v>
      </c>
      <c r="H304" s="1" t="s">
        <v>86</v>
      </c>
      <c r="I304" s="1" t="s">
        <v>48</v>
      </c>
      <c r="J304" s="1">
        <v>44.81</v>
      </c>
      <c r="K304" s="1" t="s">
        <v>706</v>
      </c>
      <c r="L304" s="1" t="s">
        <v>36</v>
      </c>
      <c r="M304" s="1">
        <v>16.579999999999998</v>
      </c>
      <c r="N304" s="1" t="s">
        <v>174</v>
      </c>
      <c r="O304" s="1" t="s">
        <v>38</v>
      </c>
      <c r="P304" s="1" t="s">
        <v>37</v>
      </c>
      <c r="Q304" s="1" t="s">
        <v>175</v>
      </c>
      <c r="R304" s="1" t="s">
        <v>718</v>
      </c>
      <c r="S304" s="1" t="s">
        <v>40</v>
      </c>
      <c r="T304" s="1">
        <v>933.68</v>
      </c>
      <c r="U304" s="1" t="s">
        <v>41</v>
      </c>
      <c r="V304" s="1" t="s">
        <v>30</v>
      </c>
      <c r="W304" s="1" t="s">
        <v>37</v>
      </c>
      <c r="X304" s="1" t="s">
        <v>30</v>
      </c>
      <c r="Y304" s="1" t="s">
        <v>37</v>
      </c>
      <c r="Z304" s="1" t="s">
        <v>42</v>
      </c>
    </row>
    <row r="305" spans="1:26" ht="15.75" x14ac:dyDescent="0.25">
      <c r="A305" s="1" t="s">
        <v>26</v>
      </c>
      <c r="B305" s="1" t="s">
        <v>27</v>
      </c>
      <c r="C305" s="1" t="s">
        <v>653</v>
      </c>
      <c r="D305" s="1" t="s">
        <v>719</v>
      </c>
      <c r="E305" s="1" t="s">
        <v>30</v>
      </c>
      <c r="F305" s="1" t="s">
        <v>720</v>
      </c>
      <c r="G305" s="1" t="s">
        <v>32</v>
      </c>
      <c r="H305" s="1" t="s">
        <v>48</v>
      </c>
      <c r="I305" s="1" t="s">
        <v>33</v>
      </c>
      <c r="J305" s="1">
        <v>46.59</v>
      </c>
      <c r="K305" s="1" t="s">
        <v>697</v>
      </c>
      <c r="L305" s="1" t="s">
        <v>36</v>
      </c>
      <c r="M305" s="1">
        <v>17.239999999999998</v>
      </c>
      <c r="N305" s="1" t="s">
        <v>721</v>
      </c>
      <c r="O305" s="1" t="s">
        <v>38</v>
      </c>
      <c r="P305" s="1" t="s">
        <v>37</v>
      </c>
      <c r="Q305" s="1" t="s">
        <v>722</v>
      </c>
      <c r="R305" s="1" t="s">
        <v>723</v>
      </c>
      <c r="S305" s="1" t="s">
        <v>40</v>
      </c>
      <c r="T305" s="1">
        <v>933.68</v>
      </c>
      <c r="U305" s="1" t="s">
        <v>41</v>
      </c>
      <c r="V305" s="1" t="s">
        <v>30</v>
      </c>
      <c r="W305" s="1" t="s">
        <v>37</v>
      </c>
      <c r="X305" s="1" t="s">
        <v>30</v>
      </c>
      <c r="Y305" s="1" t="s">
        <v>37</v>
      </c>
      <c r="Z305" s="1" t="s">
        <v>42</v>
      </c>
    </row>
    <row r="306" spans="1:26" ht="15.75" x14ac:dyDescent="0.25">
      <c r="A306" s="1" t="s">
        <v>26</v>
      </c>
      <c r="B306" s="1" t="s">
        <v>27</v>
      </c>
      <c r="C306" s="1" t="s">
        <v>653</v>
      </c>
      <c r="D306" s="1" t="s">
        <v>719</v>
      </c>
      <c r="E306" s="1" t="s">
        <v>30</v>
      </c>
      <c r="F306" s="1" t="s">
        <v>720</v>
      </c>
      <c r="G306" s="1" t="s">
        <v>43</v>
      </c>
      <c r="H306" s="1" t="s">
        <v>48</v>
      </c>
      <c r="I306" s="1" t="s">
        <v>33</v>
      </c>
      <c r="J306" s="1">
        <v>1.5</v>
      </c>
      <c r="K306" s="1" t="s">
        <v>697</v>
      </c>
      <c r="L306" s="1" t="s">
        <v>36</v>
      </c>
      <c r="M306" s="1">
        <v>0.55000000000000004</v>
      </c>
      <c r="N306" s="1" t="s">
        <v>721</v>
      </c>
      <c r="O306" s="1" t="s">
        <v>38</v>
      </c>
      <c r="P306" s="1" t="s">
        <v>37</v>
      </c>
      <c r="Q306" s="1" t="s">
        <v>722</v>
      </c>
      <c r="R306" s="1" t="s">
        <v>723</v>
      </c>
      <c r="S306" s="1" t="s">
        <v>40</v>
      </c>
      <c r="T306" s="1">
        <v>933.68</v>
      </c>
      <c r="U306" s="1" t="s">
        <v>41</v>
      </c>
      <c r="V306" s="1" t="s">
        <v>30</v>
      </c>
      <c r="W306" s="1" t="s">
        <v>37</v>
      </c>
      <c r="X306" s="1" t="s">
        <v>30</v>
      </c>
      <c r="Y306" s="1" t="s">
        <v>37</v>
      </c>
      <c r="Z306" s="1" t="s">
        <v>42</v>
      </c>
    </row>
    <row r="307" spans="1:26" ht="15.75" x14ac:dyDescent="0.25">
      <c r="A307" s="1" t="s">
        <v>26</v>
      </c>
      <c r="B307" s="1" t="s">
        <v>27</v>
      </c>
      <c r="C307" s="1" t="s">
        <v>653</v>
      </c>
      <c r="D307" s="1" t="s">
        <v>724</v>
      </c>
      <c r="E307" s="1" t="s">
        <v>30</v>
      </c>
      <c r="F307" s="1" t="s">
        <v>725</v>
      </c>
      <c r="G307" s="1" t="s">
        <v>32</v>
      </c>
      <c r="H307" s="1" t="s">
        <v>48</v>
      </c>
      <c r="I307" s="1" t="s">
        <v>33</v>
      </c>
      <c r="J307" s="1">
        <v>46.59</v>
      </c>
      <c r="K307" s="1" t="s">
        <v>697</v>
      </c>
      <c r="L307" s="1" t="s">
        <v>36</v>
      </c>
      <c r="M307" s="1">
        <v>17.239999999999998</v>
      </c>
      <c r="N307" s="1" t="s">
        <v>721</v>
      </c>
      <c r="O307" s="1" t="s">
        <v>38</v>
      </c>
      <c r="P307" s="1" t="s">
        <v>37</v>
      </c>
      <c r="Q307" s="1" t="s">
        <v>722</v>
      </c>
      <c r="R307" s="1" t="s">
        <v>726</v>
      </c>
      <c r="S307" s="1" t="s">
        <v>40</v>
      </c>
      <c r="T307" s="1">
        <v>933.68</v>
      </c>
      <c r="U307" s="1" t="s">
        <v>41</v>
      </c>
      <c r="V307" s="1" t="s">
        <v>30</v>
      </c>
      <c r="W307" s="1" t="s">
        <v>37</v>
      </c>
      <c r="X307" s="1" t="s">
        <v>30</v>
      </c>
      <c r="Y307" s="1" t="s">
        <v>37</v>
      </c>
      <c r="Z307" s="1" t="s">
        <v>42</v>
      </c>
    </row>
    <row r="308" spans="1:26" ht="15.75" x14ac:dyDescent="0.25">
      <c r="A308" s="1" t="s">
        <v>26</v>
      </c>
      <c r="B308" s="1" t="s">
        <v>27</v>
      </c>
      <c r="C308" s="1" t="s">
        <v>653</v>
      </c>
      <c r="D308" s="1" t="s">
        <v>724</v>
      </c>
      <c r="E308" s="1" t="s">
        <v>30</v>
      </c>
      <c r="F308" s="1" t="s">
        <v>725</v>
      </c>
      <c r="G308" s="1" t="s">
        <v>43</v>
      </c>
      <c r="H308" s="1" t="s">
        <v>48</v>
      </c>
      <c r="I308" s="1" t="s">
        <v>33</v>
      </c>
      <c r="J308" s="1">
        <v>1.5</v>
      </c>
      <c r="K308" s="1" t="s">
        <v>697</v>
      </c>
      <c r="L308" s="1" t="s">
        <v>36</v>
      </c>
      <c r="M308" s="1">
        <v>0.55000000000000004</v>
      </c>
      <c r="N308" s="1" t="s">
        <v>721</v>
      </c>
      <c r="O308" s="1" t="s">
        <v>38</v>
      </c>
      <c r="P308" s="1" t="s">
        <v>37</v>
      </c>
      <c r="Q308" s="1" t="s">
        <v>722</v>
      </c>
      <c r="R308" s="1" t="s">
        <v>726</v>
      </c>
      <c r="S308" s="1" t="s">
        <v>40</v>
      </c>
      <c r="T308" s="1">
        <v>933.68</v>
      </c>
      <c r="U308" s="1" t="s">
        <v>41</v>
      </c>
      <c r="V308" s="1" t="s">
        <v>30</v>
      </c>
      <c r="W308" s="1" t="s">
        <v>37</v>
      </c>
      <c r="X308" s="1" t="s">
        <v>30</v>
      </c>
      <c r="Y308" s="1" t="s">
        <v>37</v>
      </c>
      <c r="Z308" s="1" t="s">
        <v>42</v>
      </c>
    </row>
    <row r="309" spans="1:26" ht="15.75" x14ac:dyDescent="0.25">
      <c r="A309" s="1" t="s">
        <v>26</v>
      </c>
      <c r="B309" s="1" t="s">
        <v>27</v>
      </c>
      <c r="C309" s="1" t="s">
        <v>653</v>
      </c>
      <c r="D309" s="1" t="s">
        <v>727</v>
      </c>
      <c r="E309" s="1" t="s">
        <v>30</v>
      </c>
      <c r="F309" s="1" t="s">
        <v>728</v>
      </c>
      <c r="G309" s="1" t="s">
        <v>32</v>
      </c>
      <c r="H309" s="1" t="s">
        <v>48</v>
      </c>
      <c r="I309" s="1" t="s">
        <v>33</v>
      </c>
      <c r="J309" s="1">
        <v>61.69</v>
      </c>
      <c r="K309" s="1" t="s">
        <v>697</v>
      </c>
      <c r="L309" s="1" t="s">
        <v>36</v>
      </c>
      <c r="M309" s="1">
        <v>22.83</v>
      </c>
      <c r="N309" s="1" t="s">
        <v>293</v>
      </c>
      <c r="O309" s="1" t="s">
        <v>38</v>
      </c>
      <c r="P309" s="1" t="s">
        <v>37</v>
      </c>
      <c r="Q309" s="1" t="s">
        <v>294</v>
      </c>
      <c r="R309" s="1" t="s">
        <v>729</v>
      </c>
      <c r="S309" s="1" t="s">
        <v>40</v>
      </c>
      <c r="T309" s="1">
        <v>933.68</v>
      </c>
      <c r="U309" s="1" t="s">
        <v>41</v>
      </c>
      <c r="V309" s="1" t="s">
        <v>30</v>
      </c>
      <c r="W309" s="1" t="s">
        <v>37</v>
      </c>
      <c r="X309" s="1" t="s">
        <v>30</v>
      </c>
      <c r="Y309" s="1" t="s">
        <v>37</v>
      </c>
      <c r="Z309" s="1" t="s">
        <v>42</v>
      </c>
    </row>
    <row r="310" spans="1:26" ht="15.75" x14ac:dyDescent="0.25">
      <c r="A310" s="1" t="s">
        <v>26</v>
      </c>
      <c r="B310" s="1" t="s">
        <v>27</v>
      </c>
      <c r="C310" s="1" t="s">
        <v>653</v>
      </c>
      <c r="D310" s="1" t="s">
        <v>727</v>
      </c>
      <c r="E310" s="1" t="s">
        <v>30</v>
      </c>
      <c r="F310" s="1" t="s">
        <v>728</v>
      </c>
      <c r="G310" s="1" t="s">
        <v>43</v>
      </c>
      <c r="H310" s="1" t="s">
        <v>48</v>
      </c>
      <c r="I310" s="1" t="s">
        <v>33</v>
      </c>
      <c r="J310" s="1">
        <v>1.5</v>
      </c>
      <c r="K310" s="1" t="s">
        <v>697</v>
      </c>
      <c r="L310" s="1" t="s">
        <v>36</v>
      </c>
      <c r="M310" s="1">
        <v>0.55000000000000004</v>
      </c>
      <c r="N310" s="1" t="s">
        <v>293</v>
      </c>
      <c r="O310" s="1" t="s">
        <v>38</v>
      </c>
      <c r="P310" s="1" t="s">
        <v>37</v>
      </c>
      <c r="Q310" s="1" t="s">
        <v>294</v>
      </c>
      <c r="R310" s="1" t="s">
        <v>729</v>
      </c>
      <c r="S310" s="1" t="s">
        <v>40</v>
      </c>
      <c r="T310" s="1">
        <v>933.68</v>
      </c>
      <c r="U310" s="1" t="s">
        <v>41</v>
      </c>
      <c r="V310" s="1" t="s">
        <v>30</v>
      </c>
      <c r="W310" s="1" t="s">
        <v>37</v>
      </c>
      <c r="X310" s="1" t="s">
        <v>30</v>
      </c>
      <c r="Y310" s="1" t="s">
        <v>37</v>
      </c>
      <c r="Z310" s="1" t="s">
        <v>42</v>
      </c>
    </row>
    <row r="311" spans="1:26" ht="15.75" x14ac:dyDescent="0.25">
      <c r="A311" s="1" t="s">
        <v>26</v>
      </c>
      <c r="B311" s="1" t="s">
        <v>27</v>
      </c>
      <c r="C311" s="1" t="s">
        <v>653</v>
      </c>
      <c r="D311" s="1" t="s">
        <v>730</v>
      </c>
      <c r="E311" s="1" t="s">
        <v>30</v>
      </c>
      <c r="F311" s="1" t="s">
        <v>731</v>
      </c>
      <c r="G311" s="1" t="s">
        <v>32</v>
      </c>
      <c r="H311" s="1" t="s">
        <v>137</v>
      </c>
      <c r="I311" s="1" t="s">
        <v>147</v>
      </c>
      <c r="J311" s="1">
        <v>84.7</v>
      </c>
      <c r="K311" s="1" t="s">
        <v>732</v>
      </c>
      <c r="L311" s="1" t="s">
        <v>36</v>
      </c>
      <c r="M311" s="1">
        <v>31.33</v>
      </c>
      <c r="N311" s="1" t="s">
        <v>721</v>
      </c>
      <c r="O311" s="1" t="s">
        <v>38</v>
      </c>
      <c r="P311" s="1" t="s">
        <v>37</v>
      </c>
      <c r="Q311" s="1" t="s">
        <v>722</v>
      </c>
      <c r="R311" s="1" t="s">
        <v>733</v>
      </c>
      <c r="S311" s="1" t="s">
        <v>40</v>
      </c>
      <c r="T311" s="1">
        <v>933.68</v>
      </c>
      <c r="U311" s="1" t="s">
        <v>41</v>
      </c>
      <c r="V311" s="1" t="s">
        <v>30</v>
      </c>
      <c r="W311" s="1" t="s">
        <v>37</v>
      </c>
      <c r="X311" s="1" t="s">
        <v>30</v>
      </c>
      <c r="Y311" s="1" t="s">
        <v>37</v>
      </c>
      <c r="Z311" s="1" t="s">
        <v>42</v>
      </c>
    </row>
    <row r="312" spans="1:26" ht="15.75" x14ac:dyDescent="0.25">
      <c r="A312" s="1" t="s">
        <v>26</v>
      </c>
      <c r="B312" s="1" t="s">
        <v>27</v>
      </c>
      <c r="C312" s="1" t="s">
        <v>653</v>
      </c>
      <c r="D312" s="1" t="s">
        <v>730</v>
      </c>
      <c r="E312" s="1" t="s">
        <v>30</v>
      </c>
      <c r="F312" s="1" t="s">
        <v>731</v>
      </c>
      <c r="G312" s="1" t="s">
        <v>43</v>
      </c>
      <c r="H312" s="1" t="s">
        <v>137</v>
      </c>
      <c r="I312" s="1" t="s">
        <v>147</v>
      </c>
      <c r="J312" s="1">
        <v>2.69</v>
      </c>
      <c r="K312" s="1" t="s">
        <v>732</v>
      </c>
      <c r="L312" s="1" t="s">
        <v>36</v>
      </c>
      <c r="M312" s="1">
        <v>1</v>
      </c>
      <c r="N312" s="1" t="s">
        <v>721</v>
      </c>
      <c r="O312" s="1" t="s">
        <v>38</v>
      </c>
      <c r="P312" s="1" t="s">
        <v>37</v>
      </c>
      <c r="Q312" s="1" t="s">
        <v>722</v>
      </c>
      <c r="R312" s="1" t="s">
        <v>733</v>
      </c>
      <c r="S312" s="1" t="s">
        <v>40</v>
      </c>
      <c r="T312" s="1">
        <v>933.68</v>
      </c>
      <c r="U312" s="1" t="s">
        <v>41</v>
      </c>
      <c r="V312" s="1" t="s">
        <v>30</v>
      </c>
      <c r="W312" s="1" t="s">
        <v>37</v>
      </c>
      <c r="X312" s="1" t="s">
        <v>30</v>
      </c>
      <c r="Y312" s="1" t="s">
        <v>37</v>
      </c>
      <c r="Z312" s="1" t="s">
        <v>42</v>
      </c>
    </row>
    <row r="313" spans="1:26" ht="15.75" x14ac:dyDescent="0.25">
      <c r="A313" s="1" t="s">
        <v>26</v>
      </c>
      <c r="B313" s="1" t="s">
        <v>27</v>
      </c>
      <c r="C313" s="1" t="s">
        <v>653</v>
      </c>
      <c r="D313" s="1" t="s">
        <v>734</v>
      </c>
      <c r="E313" s="1" t="s">
        <v>30</v>
      </c>
      <c r="F313" s="1" t="s">
        <v>735</v>
      </c>
      <c r="G313" s="1" t="s">
        <v>32</v>
      </c>
      <c r="H313" s="1" t="s">
        <v>33</v>
      </c>
      <c r="I313" s="1" t="s">
        <v>34</v>
      </c>
      <c r="J313" s="1">
        <v>37.03</v>
      </c>
      <c r="K313" s="1" t="s">
        <v>736</v>
      </c>
      <c r="L313" s="1" t="s">
        <v>36</v>
      </c>
      <c r="M313" s="1">
        <v>13.7</v>
      </c>
      <c r="N313" s="1" t="s">
        <v>336</v>
      </c>
      <c r="O313" s="1" t="s">
        <v>38</v>
      </c>
      <c r="P313" s="1" t="s">
        <v>37</v>
      </c>
      <c r="Q313" s="1" t="s">
        <v>337</v>
      </c>
      <c r="R313" s="1" t="s">
        <v>737</v>
      </c>
      <c r="S313" s="1" t="s">
        <v>40</v>
      </c>
      <c r="T313" s="1">
        <v>933.68</v>
      </c>
      <c r="U313" s="1" t="s">
        <v>41</v>
      </c>
      <c r="V313" s="1" t="s">
        <v>30</v>
      </c>
      <c r="W313" s="1" t="s">
        <v>37</v>
      </c>
      <c r="X313" s="1" t="s">
        <v>30</v>
      </c>
      <c r="Y313" s="1" t="s">
        <v>37</v>
      </c>
      <c r="Z313" s="1" t="s">
        <v>42</v>
      </c>
    </row>
    <row r="314" spans="1:26" ht="15.75" x14ac:dyDescent="0.25">
      <c r="A314" s="1" t="s">
        <v>26</v>
      </c>
      <c r="B314" s="1" t="s">
        <v>27</v>
      </c>
      <c r="C314" s="1" t="s">
        <v>653</v>
      </c>
      <c r="D314" s="1" t="s">
        <v>738</v>
      </c>
      <c r="E314" s="1" t="s">
        <v>30</v>
      </c>
      <c r="F314" s="1" t="s">
        <v>739</v>
      </c>
      <c r="G314" s="1" t="s">
        <v>32</v>
      </c>
      <c r="H314" s="1" t="s">
        <v>62</v>
      </c>
      <c r="I314" s="1" t="s">
        <v>48</v>
      </c>
      <c r="J314" s="1">
        <v>38.54</v>
      </c>
      <c r="K314" s="1" t="s">
        <v>740</v>
      </c>
      <c r="L314" s="1" t="s">
        <v>36</v>
      </c>
      <c r="M314" s="1">
        <v>14.26</v>
      </c>
      <c r="N314" s="1" t="s">
        <v>721</v>
      </c>
      <c r="O314" s="1" t="s">
        <v>38</v>
      </c>
      <c r="P314" s="1" t="s">
        <v>37</v>
      </c>
      <c r="Q314" s="1" t="s">
        <v>722</v>
      </c>
      <c r="R314" s="1" t="s">
        <v>741</v>
      </c>
      <c r="S314" s="1" t="s">
        <v>40</v>
      </c>
      <c r="T314" s="1">
        <v>933.68</v>
      </c>
      <c r="U314" s="1" t="s">
        <v>41</v>
      </c>
      <c r="V314" s="1" t="s">
        <v>30</v>
      </c>
      <c r="W314" s="1" t="s">
        <v>37</v>
      </c>
      <c r="X314" s="1" t="s">
        <v>30</v>
      </c>
      <c r="Y314" s="1" t="s">
        <v>37</v>
      </c>
      <c r="Z314" s="1" t="s">
        <v>42</v>
      </c>
    </row>
    <row r="315" spans="1:26" ht="15.75" x14ac:dyDescent="0.25">
      <c r="A315" s="1" t="s">
        <v>26</v>
      </c>
      <c r="B315" s="1" t="s">
        <v>27</v>
      </c>
      <c r="C315" s="1" t="s">
        <v>653</v>
      </c>
      <c r="D315" s="1" t="s">
        <v>738</v>
      </c>
      <c r="E315" s="1" t="s">
        <v>30</v>
      </c>
      <c r="F315" s="1" t="s">
        <v>739</v>
      </c>
      <c r="G315" s="1" t="s">
        <v>43</v>
      </c>
      <c r="H315" s="1" t="s">
        <v>62</v>
      </c>
      <c r="I315" s="1" t="s">
        <v>48</v>
      </c>
      <c r="J315" s="1">
        <v>1.5</v>
      </c>
      <c r="K315" s="1" t="s">
        <v>740</v>
      </c>
      <c r="L315" s="1" t="s">
        <v>36</v>
      </c>
      <c r="M315" s="1">
        <v>0.55000000000000004</v>
      </c>
      <c r="N315" s="1" t="s">
        <v>721</v>
      </c>
      <c r="O315" s="1" t="s">
        <v>38</v>
      </c>
      <c r="P315" s="1" t="s">
        <v>37</v>
      </c>
      <c r="Q315" s="1" t="s">
        <v>722</v>
      </c>
      <c r="R315" s="1" t="s">
        <v>741</v>
      </c>
      <c r="S315" s="1" t="s">
        <v>40</v>
      </c>
      <c r="T315" s="1">
        <v>933.68</v>
      </c>
      <c r="U315" s="1" t="s">
        <v>41</v>
      </c>
      <c r="V315" s="1" t="s">
        <v>30</v>
      </c>
      <c r="W315" s="1" t="s">
        <v>37</v>
      </c>
      <c r="X315" s="1" t="s">
        <v>30</v>
      </c>
      <c r="Y315" s="1" t="s">
        <v>37</v>
      </c>
      <c r="Z315" s="1" t="s">
        <v>42</v>
      </c>
    </row>
    <row r="316" spans="1:26" ht="15.75" x14ac:dyDescent="0.25">
      <c r="A316" s="1" t="s">
        <v>26</v>
      </c>
      <c r="B316" s="1" t="s">
        <v>27</v>
      </c>
      <c r="C316" s="1" t="s">
        <v>653</v>
      </c>
      <c r="D316" s="1" t="s">
        <v>742</v>
      </c>
      <c r="E316" s="1" t="s">
        <v>30</v>
      </c>
      <c r="F316" s="1" t="s">
        <v>743</v>
      </c>
      <c r="G316" s="1" t="s">
        <v>45</v>
      </c>
      <c r="H316" s="1" t="s">
        <v>273</v>
      </c>
      <c r="I316" s="1" t="s">
        <v>48</v>
      </c>
      <c r="J316" s="1">
        <v>13.07</v>
      </c>
      <c r="K316" s="1" t="s">
        <v>744</v>
      </c>
      <c r="L316" s="1" t="s">
        <v>36</v>
      </c>
      <c r="M316" s="1">
        <v>4.84</v>
      </c>
      <c r="N316" s="1" t="s">
        <v>745</v>
      </c>
      <c r="O316" s="1" t="s">
        <v>38</v>
      </c>
      <c r="P316" s="1" t="s">
        <v>37</v>
      </c>
      <c r="Q316" s="1" t="s">
        <v>746</v>
      </c>
      <c r="R316" s="1" t="s">
        <v>747</v>
      </c>
      <c r="S316" s="1" t="s">
        <v>40</v>
      </c>
      <c r="T316" s="1">
        <v>933.68</v>
      </c>
      <c r="U316" s="1" t="s">
        <v>41</v>
      </c>
      <c r="V316" s="1" t="s">
        <v>30</v>
      </c>
      <c r="W316" s="1" t="s">
        <v>37</v>
      </c>
      <c r="X316" s="1" t="s">
        <v>30</v>
      </c>
      <c r="Y316" s="1" t="s">
        <v>37</v>
      </c>
      <c r="Z316" s="1" t="s">
        <v>42</v>
      </c>
    </row>
    <row r="317" spans="1:26" ht="15.75" x14ac:dyDescent="0.25">
      <c r="A317" s="1" t="s">
        <v>26</v>
      </c>
      <c r="B317" s="1" t="s">
        <v>27</v>
      </c>
      <c r="C317" s="1" t="s">
        <v>653</v>
      </c>
      <c r="D317" s="1" t="s">
        <v>748</v>
      </c>
      <c r="E317" s="1" t="s">
        <v>30</v>
      </c>
      <c r="F317" s="1" t="s">
        <v>749</v>
      </c>
      <c r="G317" s="1" t="s">
        <v>32</v>
      </c>
      <c r="H317" s="1" t="s">
        <v>273</v>
      </c>
      <c r="I317" s="1" t="s">
        <v>48</v>
      </c>
      <c r="J317" s="1">
        <v>83.41</v>
      </c>
      <c r="K317" s="1" t="s">
        <v>744</v>
      </c>
      <c r="L317" s="1" t="s">
        <v>36</v>
      </c>
      <c r="M317" s="1">
        <v>30.86</v>
      </c>
      <c r="N317" s="1" t="s">
        <v>721</v>
      </c>
      <c r="O317" s="1" t="s">
        <v>38</v>
      </c>
      <c r="P317" s="1" t="s">
        <v>37</v>
      </c>
      <c r="Q317" s="1" t="s">
        <v>722</v>
      </c>
      <c r="R317" s="1" t="s">
        <v>750</v>
      </c>
      <c r="S317" s="1" t="s">
        <v>40</v>
      </c>
      <c r="T317" s="1">
        <v>933.68</v>
      </c>
      <c r="U317" s="1" t="s">
        <v>41</v>
      </c>
      <c r="V317" s="1" t="s">
        <v>30</v>
      </c>
      <c r="W317" s="1" t="s">
        <v>37</v>
      </c>
      <c r="X317" s="1" t="s">
        <v>30</v>
      </c>
      <c r="Y317" s="1" t="s">
        <v>37</v>
      </c>
      <c r="Z317" s="1" t="s">
        <v>42</v>
      </c>
    </row>
    <row r="318" spans="1:26" ht="15.75" x14ac:dyDescent="0.25">
      <c r="A318" s="1" t="s">
        <v>26</v>
      </c>
      <c r="B318" s="1" t="s">
        <v>27</v>
      </c>
      <c r="C318" s="1" t="s">
        <v>751</v>
      </c>
      <c r="D318" s="1" t="s">
        <v>752</v>
      </c>
      <c r="E318" s="1" t="s">
        <v>30</v>
      </c>
      <c r="F318" s="1" t="s">
        <v>753</v>
      </c>
      <c r="G318" s="1" t="s">
        <v>32</v>
      </c>
      <c r="H318" s="1" t="s">
        <v>136</v>
      </c>
      <c r="I318" s="1" t="s">
        <v>137</v>
      </c>
      <c r="J318" s="1">
        <v>36.29</v>
      </c>
      <c r="K318" s="1" t="s">
        <v>754</v>
      </c>
      <c r="L318" s="1" t="s">
        <v>36</v>
      </c>
      <c r="M318" s="1">
        <v>13.43</v>
      </c>
      <c r="N318" s="1" t="s">
        <v>755</v>
      </c>
      <c r="O318" s="1" t="s">
        <v>38</v>
      </c>
      <c r="P318" s="1" t="s">
        <v>37</v>
      </c>
      <c r="Q318" s="1" t="s">
        <v>756</v>
      </c>
      <c r="R318" s="1" t="s">
        <v>757</v>
      </c>
      <c r="S318" s="1" t="s">
        <v>40</v>
      </c>
      <c r="T318" s="1">
        <v>933.68</v>
      </c>
      <c r="U318" s="1" t="s">
        <v>41</v>
      </c>
      <c r="V318" s="1" t="s">
        <v>30</v>
      </c>
      <c r="W318" s="1" t="s">
        <v>37</v>
      </c>
      <c r="X318" s="1" t="s">
        <v>30</v>
      </c>
      <c r="Y318" s="1" t="s">
        <v>37</v>
      </c>
      <c r="Z318" s="1" t="s">
        <v>42</v>
      </c>
    </row>
    <row r="319" spans="1:26" ht="15.75" x14ac:dyDescent="0.25">
      <c r="A319" s="1" t="s">
        <v>26</v>
      </c>
      <c r="B319" s="1" t="s">
        <v>27</v>
      </c>
      <c r="C319" s="1" t="s">
        <v>751</v>
      </c>
      <c r="D319" s="1" t="s">
        <v>752</v>
      </c>
      <c r="E319" s="1" t="s">
        <v>30</v>
      </c>
      <c r="F319" s="1" t="s">
        <v>753</v>
      </c>
      <c r="G319" s="1" t="s">
        <v>43</v>
      </c>
      <c r="H319" s="1" t="s">
        <v>136</v>
      </c>
      <c r="I319" s="1" t="s">
        <v>137</v>
      </c>
      <c r="J319" s="1">
        <v>1.5</v>
      </c>
      <c r="K319" s="1" t="s">
        <v>754</v>
      </c>
      <c r="L319" s="1" t="s">
        <v>36</v>
      </c>
      <c r="M319" s="1">
        <v>0.55000000000000004</v>
      </c>
      <c r="N319" s="1" t="s">
        <v>755</v>
      </c>
      <c r="O319" s="1" t="s">
        <v>38</v>
      </c>
      <c r="P319" s="1" t="s">
        <v>37</v>
      </c>
      <c r="Q319" s="1" t="s">
        <v>756</v>
      </c>
      <c r="R319" s="1" t="s">
        <v>757</v>
      </c>
      <c r="S319" s="1" t="s">
        <v>40</v>
      </c>
      <c r="T319" s="1">
        <v>933.68</v>
      </c>
      <c r="U319" s="1" t="s">
        <v>41</v>
      </c>
      <c r="V319" s="1" t="s">
        <v>30</v>
      </c>
      <c r="W319" s="1" t="s">
        <v>37</v>
      </c>
      <c r="X319" s="1" t="s">
        <v>30</v>
      </c>
      <c r="Y319" s="1" t="s">
        <v>37</v>
      </c>
      <c r="Z319" s="1" t="s">
        <v>42</v>
      </c>
    </row>
    <row r="320" spans="1:26" ht="15.75" x14ac:dyDescent="0.25">
      <c r="A320" s="1" t="s">
        <v>26</v>
      </c>
      <c r="B320" s="1" t="s">
        <v>27</v>
      </c>
      <c r="C320" s="1" t="s">
        <v>751</v>
      </c>
      <c r="D320" s="1" t="s">
        <v>758</v>
      </c>
      <c r="E320" s="1" t="s">
        <v>30</v>
      </c>
      <c r="F320" s="1" t="s">
        <v>759</v>
      </c>
      <c r="G320" s="1" t="s">
        <v>32</v>
      </c>
      <c r="H320" s="1" t="s">
        <v>136</v>
      </c>
      <c r="I320" s="1" t="s">
        <v>137</v>
      </c>
      <c r="J320" s="1">
        <v>138.53</v>
      </c>
      <c r="K320" s="1" t="s">
        <v>754</v>
      </c>
      <c r="L320" s="1" t="s">
        <v>36</v>
      </c>
      <c r="M320" s="1">
        <v>51.26</v>
      </c>
      <c r="N320" s="1" t="s">
        <v>336</v>
      </c>
      <c r="O320" s="1" t="s">
        <v>38</v>
      </c>
      <c r="P320" s="1" t="s">
        <v>37</v>
      </c>
      <c r="Q320" s="1" t="s">
        <v>337</v>
      </c>
      <c r="R320" s="1" t="s">
        <v>760</v>
      </c>
      <c r="S320" s="1" t="s">
        <v>40</v>
      </c>
      <c r="T320" s="1">
        <v>933.68</v>
      </c>
      <c r="U320" s="1" t="s">
        <v>41</v>
      </c>
      <c r="V320" s="1" t="s">
        <v>30</v>
      </c>
      <c r="W320" s="1" t="s">
        <v>37</v>
      </c>
      <c r="X320" s="1" t="s">
        <v>30</v>
      </c>
      <c r="Y320" s="1" t="s">
        <v>37</v>
      </c>
      <c r="Z320" s="1" t="s">
        <v>42</v>
      </c>
    </row>
    <row r="321" spans="1:26" ht="15.75" x14ac:dyDescent="0.25">
      <c r="A321" s="1" t="s">
        <v>26</v>
      </c>
      <c r="B321" s="1" t="s">
        <v>27</v>
      </c>
      <c r="C321" s="1" t="s">
        <v>751</v>
      </c>
      <c r="D321" s="1" t="s">
        <v>761</v>
      </c>
      <c r="E321" s="1" t="s">
        <v>30</v>
      </c>
      <c r="F321" s="1" t="s">
        <v>762</v>
      </c>
      <c r="G321" s="1" t="s">
        <v>32</v>
      </c>
      <c r="H321" s="1" t="s">
        <v>33</v>
      </c>
      <c r="I321" s="1" t="s">
        <v>34</v>
      </c>
      <c r="J321" s="1">
        <v>107.9</v>
      </c>
      <c r="K321" s="1" t="s">
        <v>763</v>
      </c>
      <c r="L321" s="1" t="s">
        <v>36</v>
      </c>
      <c r="M321" s="1">
        <v>39.92</v>
      </c>
      <c r="N321" s="1" t="s">
        <v>180</v>
      </c>
      <c r="O321" s="1" t="s">
        <v>38</v>
      </c>
      <c r="P321" s="1" t="s">
        <v>37</v>
      </c>
      <c r="Q321" s="1" t="s">
        <v>181</v>
      </c>
      <c r="R321" s="1" t="s">
        <v>764</v>
      </c>
      <c r="S321" s="1" t="s">
        <v>40</v>
      </c>
      <c r="T321" s="1">
        <v>933.68</v>
      </c>
      <c r="U321" s="1" t="s">
        <v>41</v>
      </c>
      <c r="V321" s="1" t="s">
        <v>30</v>
      </c>
      <c r="W321" s="1" t="s">
        <v>37</v>
      </c>
      <c r="X321" s="1" t="s">
        <v>30</v>
      </c>
      <c r="Y321" s="1" t="s">
        <v>37</v>
      </c>
      <c r="Z321" s="1" t="s">
        <v>42</v>
      </c>
    </row>
    <row r="322" spans="1:26" ht="15.75" x14ac:dyDescent="0.25">
      <c r="A322" s="1" t="s">
        <v>26</v>
      </c>
      <c r="B322" s="1" t="s">
        <v>27</v>
      </c>
      <c r="C322" s="1" t="s">
        <v>751</v>
      </c>
      <c r="D322" s="1" t="s">
        <v>765</v>
      </c>
      <c r="E322" s="1" t="s">
        <v>30</v>
      </c>
      <c r="F322" s="1" t="s">
        <v>766</v>
      </c>
      <c r="G322" s="1" t="s">
        <v>32</v>
      </c>
      <c r="H322" s="1" t="s">
        <v>33</v>
      </c>
      <c r="I322" s="1" t="s">
        <v>34</v>
      </c>
      <c r="J322" s="1">
        <v>42.35</v>
      </c>
      <c r="K322" s="1" t="s">
        <v>763</v>
      </c>
      <c r="L322" s="1" t="s">
        <v>36</v>
      </c>
      <c r="M322" s="1">
        <v>15.67</v>
      </c>
      <c r="N322" s="1" t="s">
        <v>336</v>
      </c>
      <c r="O322" s="1" t="s">
        <v>38</v>
      </c>
      <c r="P322" s="1" t="s">
        <v>37</v>
      </c>
      <c r="Q322" s="1" t="s">
        <v>337</v>
      </c>
      <c r="R322" s="1" t="s">
        <v>767</v>
      </c>
      <c r="S322" s="1" t="s">
        <v>40</v>
      </c>
      <c r="T322" s="1">
        <v>933.68</v>
      </c>
      <c r="U322" s="1" t="s">
        <v>41</v>
      </c>
      <c r="V322" s="1" t="s">
        <v>30</v>
      </c>
      <c r="W322" s="1" t="s">
        <v>37</v>
      </c>
      <c r="X322" s="1" t="s">
        <v>30</v>
      </c>
      <c r="Y322" s="1" t="s">
        <v>37</v>
      </c>
      <c r="Z322" s="1" t="s">
        <v>42</v>
      </c>
    </row>
    <row r="323" spans="1:26" ht="15.75" x14ac:dyDescent="0.25">
      <c r="A323" s="1" t="s">
        <v>26</v>
      </c>
      <c r="B323" s="1" t="s">
        <v>27</v>
      </c>
      <c r="C323" s="1" t="s">
        <v>751</v>
      </c>
      <c r="D323" s="1" t="s">
        <v>765</v>
      </c>
      <c r="E323" s="1" t="s">
        <v>30</v>
      </c>
      <c r="F323" s="1" t="s">
        <v>766</v>
      </c>
      <c r="G323" s="1" t="s">
        <v>43</v>
      </c>
      <c r="H323" s="1" t="s">
        <v>33</v>
      </c>
      <c r="I323" s="1" t="s">
        <v>34</v>
      </c>
      <c r="J323" s="1">
        <v>1.5</v>
      </c>
      <c r="K323" s="1" t="s">
        <v>763</v>
      </c>
      <c r="L323" s="1" t="s">
        <v>36</v>
      </c>
      <c r="M323" s="1">
        <v>0.55000000000000004</v>
      </c>
      <c r="N323" s="1" t="s">
        <v>336</v>
      </c>
      <c r="O323" s="1" t="s">
        <v>38</v>
      </c>
      <c r="P323" s="1" t="s">
        <v>37</v>
      </c>
      <c r="Q323" s="1" t="s">
        <v>337</v>
      </c>
      <c r="R323" s="1" t="s">
        <v>767</v>
      </c>
      <c r="S323" s="1" t="s">
        <v>40</v>
      </c>
      <c r="T323" s="1">
        <v>933.68</v>
      </c>
      <c r="U323" s="1" t="s">
        <v>41</v>
      </c>
      <c r="V323" s="1" t="s">
        <v>30</v>
      </c>
      <c r="W323" s="1" t="s">
        <v>37</v>
      </c>
      <c r="X323" s="1" t="s">
        <v>30</v>
      </c>
      <c r="Y323" s="1" t="s">
        <v>37</v>
      </c>
      <c r="Z323" s="1" t="s">
        <v>42</v>
      </c>
    </row>
    <row r="324" spans="1:26" ht="15.75" x14ac:dyDescent="0.25">
      <c r="A324" s="1" t="s">
        <v>26</v>
      </c>
      <c r="B324" s="1" t="s">
        <v>27</v>
      </c>
      <c r="C324" s="1" t="s">
        <v>751</v>
      </c>
      <c r="D324" s="1" t="s">
        <v>768</v>
      </c>
      <c r="E324" s="1" t="s">
        <v>30</v>
      </c>
      <c r="F324" s="1" t="s">
        <v>769</v>
      </c>
      <c r="G324" s="1" t="s">
        <v>32</v>
      </c>
      <c r="H324" s="1" t="s">
        <v>62</v>
      </c>
      <c r="I324" s="1" t="s">
        <v>48</v>
      </c>
      <c r="J324" s="1">
        <v>46.59</v>
      </c>
      <c r="K324" s="1" t="s">
        <v>770</v>
      </c>
      <c r="L324" s="1" t="s">
        <v>36</v>
      </c>
      <c r="M324" s="1">
        <v>17.239999999999998</v>
      </c>
      <c r="N324" s="1" t="s">
        <v>336</v>
      </c>
      <c r="O324" s="1" t="s">
        <v>38</v>
      </c>
      <c r="P324" s="1" t="s">
        <v>37</v>
      </c>
      <c r="Q324" s="1" t="s">
        <v>337</v>
      </c>
      <c r="R324" s="1" t="s">
        <v>771</v>
      </c>
      <c r="S324" s="1" t="s">
        <v>40</v>
      </c>
      <c r="T324" s="1">
        <v>933.68</v>
      </c>
      <c r="U324" s="1" t="s">
        <v>41</v>
      </c>
      <c r="V324" s="1" t="s">
        <v>30</v>
      </c>
      <c r="W324" s="1" t="s">
        <v>37</v>
      </c>
      <c r="X324" s="1" t="s">
        <v>30</v>
      </c>
      <c r="Y324" s="1" t="s">
        <v>37</v>
      </c>
      <c r="Z324" s="1" t="s">
        <v>42</v>
      </c>
    </row>
    <row r="325" spans="1:26" ht="15.75" x14ac:dyDescent="0.25">
      <c r="A325" s="1" t="s">
        <v>26</v>
      </c>
      <c r="B325" s="1" t="s">
        <v>27</v>
      </c>
      <c r="C325" s="1" t="s">
        <v>751</v>
      </c>
      <c r="D325" s="1" t="s">
        <v>768</v>
      </c>
      <c r="E325" s="1" t="s">
        <v>30</v>
      </c>
      <c r="F325" s="1" t="s">
        <v>769</v>
      </c>
      <c r="G325" s="1" t="s">
        <v>43</v>
      </c>
      <c r="H325" s="1" t="s">
        <v>62</v>
      </c>
      <c r="I325" s="1" t="s">
        <v>48</v>
      </c>
      <c r="J325" s="1">
        <v>1.5</v>
      </c>
      <c r="K325" s="1" t="s">
        <v>770</v>
      </c>
      <c r="L325" s="1" t="s">
        <v>36</v>
      </c>
      <c r="M325" s="1">
        <v>0.55000000000000004</v>
      </c>
      <c r="N325" s="1" t="s">
        <v>336</v>
      </c>
      <c r="O325" s="1" t="s">
        <v>38</v>
      </c>
      <c r="P325" s="1" t="s">
        <v>37</v>
      </c>
      <c r="Q325" s="1" t="s">
        <v>337</v>
      </c>
      <c r="R325" s="1" t="s">
        <v>771</v>
      </c>
      <c r="S325" s="1" t="s">
        <v>40</v>
      </c>
      <c r="T325" s="1">
        <v>933.68</v>
      </c>
      <c r="U325" s="1" t="s">
        <v>41</v>
      </c>
      <c r="V325" s="1" t="s">
        <v>30</v>
      </c>
      <c r="W325" s="1" t="s">
        <v>37</v>
      </c>
      <c r="X325" s="1" t="s">
        <v>30</v>
      </c>
      <c r="Y325" s="1" t="s">
        <v>37</v>
      </c>
      <c r="Z325" s="1" t="s">
        <v>42</v>
      </c>
    </row>
    <row r="326" spans="1:26" ht="15.75" x14ac:dyDescent="0.25">
      <c r="A326" s="1" t="s">
        <v>26</v>
      </c>
      <c r="B326" s="1" t="s">
        <v>27</v>
      </c>
      <c r="C326" s="1" t="s">
        <v>751</v>
      </c>
      <c r="D326" s="1" t="s">
        <v>772</v>
      </c>
      <c r="E326" s="1" t="s">
        <v>30</v>
      </c>
      <c r="F326" s="1" t="s">
        <v>773</v>
      </c>
      <c r="G326" s="1" t="s">
        <v>32</v>
      </c>
      <c r="H326" s="1" t="s">
        <v>62</v>
      </c>
      <c r="I326" s="1" t="s">
        <v>48</v>
      </c>
      <c r="J326" s="1">
        <v>61.69</v>
      </c>
      <c r="K326" s="1" t="s">
        <v>770</v>
      </c>
      <c r="L326" s="1" t="s">
        <v>36</v>
      </c>
      <c r="M326" s="1">
        <v>22.83</v>
      </c>
      <c r="N326" s="1" t="s">
        <v>331</v>
      </c>
      <c r="O326" s="1" t="s">
        <v>38</v>
      </c>
      <c r="P326" s="1" t="s">
        <v>37</v>
      </c>
      <c r="Q326" s="1" t="s">
        <v>332</v>
      </c>
      <c r="R326" s="1" t="s">
        <v>774</v>
      </c>
      <c r="S326" s="1" t="s">
        <v>40</v>
      </c>
      <c r="T326" s="1">
        <v>933.68</v>
      </c>
      <c r="U326" s="1" t="s">
        <v>41</v>
      </c>
      <c r="V326" s="1" t="s">
        <v>30</v>
      </c>
      <c r="W326" s="1" t="s">
        <v>37</v>
      </c>
      <c r="X326" s="1" t="s">
        <v>30</v>
      </c>
      <c r="Y326" s="1" t="s">
        <v>37</v>
      </c>
      <c r="Z326" s="1" t="s">
        <v>42</v>
      </c>
    </row>
    <row r="327" spans="1:26" ht="15.75" x14ac:dyDescent="0.25">
      <c r="A327" s="1" t="s">
        <v>26</v>
      </c>
      <c r="B327" s="1" t="s">
        <v>27</v>
      </c>
      <c r="C327" s="1" t="s">
        <v>751</v>
      </c>
      <c r="D327" s="1" t="s">
        <v>772</v>
      </c>
      <c r="E327" s="1" t="s">
        <v>30</v>
      </c>
      <c r="F327" s="1" t="s">
        <v>773</v>
      </c>
      <c r="G327" s="1" t="s">
        <v>43</v>
      </c>
      <c r="H327" s="1" t="s">
        <v>62</v>
      </c>
      <c r="I327" s="1" t="s">
        <v>48</v>
      </c>
      <c r="J327" s="1">
        <v>1.5</v>
      </c>
      <c r="K327" s="1" t="s">
        <v>770</v>
      </c>
      <c r="L327" s="1" t="s">
        <v>36</v>
      </c>
      <c r="M327" s="1">
        <v>0.55000000000000004</v>
      </c>
      <c r="N327" s="1" t="s">
        <v>331</v>
      </c>
      <c r="O327" s="1" t="s">
        <v>38</v>
      </c>
      <c r="P327" s="1" t="s">
        <v>37</v>
      </c>
      <c r="Q327" s="1" t="s">
        <v>332</v>
      </c>
      <c r="R327" s="1" t="s">
        <v>774</v>
      </c>
      <c r="S327" s="1" t="s">
        <v>40</v>
      </c>
      <c r="T327" s="1">
        <v>933.68</v>
      </c>
      <c r="U327" s="1" t="s">
        <v>41</v>
      </c>
      <c r="V327" s="1" t="s">
        <v>30</v>
      </c>
      <c r="W327" s="1" t="s">
        <v>37</v>
      </c>
      <c r="X327" s="1" t="s">
        <v>30</v>
      </c>
      <c r="Y327" s="1" t="s">
        <v>37</v>
      </c>
      <c r="Z327" s="1" t="s">
        <v>42</v>
      </c>
    </row>
    <row r="328" spans="1:26" ht="15.75" x14ac:dyDescent="0.25">
      <c r="A328" s="1" t="s">
        <v>26</v>
      </c>
      <c r="B328" s="1" t="s">
        <v>27</v>
      </c>
      <c r="C328" s="1" t="s">
        <v>751</v>
      </c>
      <c r="D328" s="1" t="s">
        <v>775</v>
      </c>
      <c r="E328" s="1" t="s">
        <v>30</v>
      </c>
      <c r="F328" s="1" t="s">
        <v>776</v>
      </c>
      <c r="G328" s="1" t="s">
        <v>32</v>
      </c>
      <c r="H328" s="1" t="s">
        <v>62</v>
      </c>
      <c r="I328" s="1" t="s">
        <v>48</v>
      </c>
      <c r="J328" s="1">
        <v>43.8</v>
      </c>
      <c r="K328" s="1" t="s">
        <v>770</v>
      </c>
      <c r="L328" s="1" t="s">
        <v>36</v>
      </c>
      <c r="M328" s="1">
        <v>16.21</v>
      </c>
      <c r="N328" s="1" t="s">
        <v>745</v>
      </c>
      <c r="O328" s="1" t="s">
        <v>38</v>
      </c>
      <c r="P328" s="1" t="s">
        <v>37</v>
      </c>
      <c r="Q328" s="1" t="s">
        <v>746</v>
      </c>
      <c r="R328" s="1" t="s">
        <v>777</v>
      </c>
      <c r="S328" s="1" t="s">
        <v>40</v>
      </c>
      <c r="T328" s="1">
        <v>933.68</v>
      </c>
      <c r="U328" s="1" t="s">
        <v>41</v>
      </c>
      <c r="V328" s="1" t="s">
        <v>30</v>
      </c>
      <c r="W328" s="1" t="s">
        <v>37</v>
      </c>
      <c r="X328" s="1" t="s">
        <v>30</v>
      </c>
      <c r="Y328" s="1" t="s">
        <v>37</v>
      </c>
      <c r="Z328" s="1" t="s">
        <v>42</v>
      </c>
    </row>
    <row r="329" spans="1:26" ht="15.75" x14ac:dyDescent="0.25">
      <c r="A329" s="1" t="s">
        <v>26</v>
      </c>
      <c r="B329" s="1" t="s">
        <v>27</v>
      </c>
      <c r="C329" s="1" t="s">
        <v>751</v>
      </c>
      <c r="D329" s="1" t="s">
        <v>778</v>
      </c>
      <c r="E329" s="1" t="s">
        <v>30</v>
      </c>
      <c r="F329" s="1" t="s">
        <v>779</v>
      </c>
      <c r="G329" s="1" t="s">
        <v>32</v>
      </c>
      <c r="H329" s="1" t="s">
        <v>273</v>
      </c>
      <c r="I329" s="1" t="s">
        <v>48</v>
      </c>
      <c r="J329" s="1">
        <v>41.49</v>
      </c>
      <c r="K329" s="1" t="s">
        <v>780</v>
      </c>
      <c r="L329" s="1" t="s">
        <v>36</v>
      </c>
      <c r="M329" s="1">
        <v>15.35</v>
      </c>
      <c r="N329" s="1" t="s">
        <v>95</v>
      </c>
      <c r="O329" s="1" t="s">
        <v>38</v>
      </c>
      <c r="P329" s="1" t="s">
        <v>37</v>
      </c>
      <c r="Q329" s="1" t="s">
        <v>96</v>
      </c>
      <c r="R329" s="1" t="s">
        <v>781</v>
      </c>
      <c r="S329" s="1" t="s">
        <v>40</v>
      </c>
      <c r="T329" s="1">
        <v>933.68</v>
      </c>
      <c r="U329" s="1" t="s">
        <v>41</v>
      </c>
      <c r="V329" s="1" t="s">
        <v>30</v>
      </c>
      <c r="W329" s="1" t="s">
        <v>37</v>
      </c>
      <c r="X329" s="1" t="s">
        <v>30</v>
      </c>
      <c r="Y329" s="1" t="s">
        <v>37</v>
      </c>
      <c r="Z329" s="1" t="s">
        <v>42</v>
      </c>
    </row>
    <row r="330" spans="1:26" ht="15.75" x14ac:dyDescent="0.25">
      <c r="A330" s="1" t="s">
        <v>26</v>
      </c>
      <c r="B330" s="1" t="s">
        <v>27</v>
      </c>
      <c r="C330" s="1" t="s">
        <v>751</v>
      </c>
      <c r="D330" s="1" t="s">
        <v>778</v>
      </c>
      <c r="E330" s="1" t="s">
        <v>30</v>
      </c>
      <c r="F330" s="1" t="s">
        <v>779</v>
      </c>
      <c r="G330" s="1" t="s">
        <v>43</v>
      </c>
      <c r="H330" s="1" t="s">
        <v>273</v>
      </c>
      <c r="I330" s="1" t="s">
        <v>48</v>
      </c>
      <c r="J330" s="1">
        <v>1.5</v>
      </c>
      <c r="K330" s="1" t="s">
        <v>780</v>
      </c>
      <c r="L330" s="1" t="s">
        <v>36</v>
      </c>
      <c r="M330" s="1">
        <v>0.56000000000000005</v>
      </c>
      <c r="N330" s="1" t="s">
        <v>95</v>
      </c>
      <c r="O330" s="1" t="s">
        <v>38</v>
      </c>
      <c r="P330" s="1" t="s">
        <v>37</v>
      </c>
      <c r="Q330" s="1" t="s">
        <v>96</v>
      </c>
      <c r="R330" s="1" t="s">
        <v>781</v>
      </c>
      <c r="S330" s="1" t="s">
        <v>40</v>
      </c>
      <c r="T330" s="1">
        <v>933.68</v>
      </c>
      <c r="U330" s="1" t="s">
        <v>41</v>
      </c>
      <c r="V330" s="1" t="s">
        <v>30</v>
      </c>
      <c r="W330" s="1" t="s">
        <v>37</v>
      </c>
      <c r="X330" s="1" t="s">
        <v>30</v>
      </c>
      <c r="Y330" s="1" t="s">
        <v>37</v>
      </c>
      <c r="Z330" s="1" t="s">
        <v>42</v>
      </c>
    </row>
    <row r="331" spans="1:26" ht="15.75" x14ac:dyDescent="0.25">
      <c r="A331" s="1" t="s">
        <v>26</v>
      </c>
      <c r="B331" s="1" t="s">
        <v>27</v>
      </c>
      <c r="C331" s="1" t="s">
        <v>751</v>
      </c>
      <c r="D331" s="1" t="s">
        <v>782</v>
      </c>
      <c r="E331" s="1" t="s">
        <v>30</v>
      </c>
      <c r="F331" s="1" t="s">
        <v>783</v>
      </c>
      <c r="G331" s="1" t="s">
        <v>32</v>
      </c>
      <c r="H331" s="1" t="s">
        <v>273</v>
      </c>
      <c r="I331" s="1" t="s">
        <v>33</v>
      </c>
      <c r="J331" s="1">
        <v>36.29</v>
      </c>
      <c r="K331" s="1" t="s">
        <v>780</v>
      </c>
      <c r="L331" s="1" t="s">
        <v>36</v>
      </c>
      <c r="M331" s="1">
        <v>13.43</v>
      </c>
      <c r="N331" s="1" t="s">
        <v>95</v>
      </c>
      <c r="O331" s="1" t="s">
        <v>38</v>
      </c>
      <c r="P331" s="1" t="s">
        <v>37</v>
      </c>
      <c r="Q331" s="1" t="s">
        <v>96</v>
      </c>
      <c r="R331" s="1" t="s">
        <v>784</v>
      </c>
      <c r="S331" s="1" t="s">
        <v>40</v>
      </c>
      <c r="T331" s="1">
        <v>933.68</v>
      </c>
      <c r="U331" s="1" t="s">
        <v>41</v>
      </c>
      <c r="V331" s="1" t="s">
        <v>30</v>
      </c>
      <c r="W331" s="1" t="s">
        <v>37</v>
      </c>
      <c r="X331" s="1" t="s">
        <v>30</v>
      </c>
      <c r="Y331" s="1" t="s">
        <v>37</v>
      </c>
      <c r="Z331" s="1" t="s">
        <v>42</v>
      </c>
    </row>
    <row r="332" spans="1:26" ht="15.75" x14ac:dyDescent="0.25">
      <c r="A332" s="1" t="s">
        <v>26</v>
      </c>
      <c r="B332" s="1" t="s">
        <v>27</v>
      </c>
      <c r="C332" s="1" t="s">
        <v>751</v>
      </c>
      <c r="D332" s="1" t="s">
        <v>782</v>
      </c>
      <c r="E332" s="1" t="s">
        <v>30</v>
      </c>
      <c r="F332" s="1" t="s">
        <v>783</v>
      </c>
      <c r="G332" s="1" t="s">
        <v>43</v>
      </c>
      <c r="H332" s="1" t="s">
        <v>273</v>
      </c>
      <c r="I332" s="1" t="s">
        <v>33</v>
      </c>
      <c r="J332" s="1">
        <v>1.5</v>
      </c>
      <c r="K332" s="1" t="s">
        <v>780</v>
      </c>
      <c r="L332" s="1" t="s">
        <v>36</v>
      </c>
      <c r="M332" s="1">
        <v>0.55000000000000004</v>
      </c>
      <c r="N332" s="1" t="s">
        <v>95</v>
      </c>
      <c r="O332" s="1" t="s">
        <v>38</v>
      </c>
      <c r="P332" s="1" t="s">
        <v>37</v>
      </c>
      <c r="Q332" s="1" t="s">
        <v>96</v>
      </c>
      <c r="R332" s="1" t="s">
        <v>784</v>
      </c>
      <c r="S332" s="1" t="s">
        <v>40</v>
      </c>
      <c r="T332" s="1">
        <v>933.68</v>
      </c>
      <c r="U332" s="1" t="s">
        <v>41</v>
      </c>
      <c r="V332" s="1" t="s">
        <v>30</v>
      </c>
      <c r="W332" s="1" t="s">
        <v>37</v>
      </c>
      <c r="X332" s="1" t="s">
        <v>30</v>
      </c>
      <c r="Y332" s="1" t="s">
        <v>37</v>
      </c>
      <c r="Z332" s="1" t="s">
        <v>42</v>
      </c>
    </row>
    <row r="333" spans="1:26" ht="15.75" x14ac:dyDescent="0.25">
      <c r="A333" s="1" t="s">
        <v>26</v>
      </c>
      <c r="B333" s="1" t="s">
        <v>27</v>
      </c>
      <c r="C333" s="1" t="s">
        <v>751</v>
      </c>
      <c r="D333" s="1" t="s">
        <v>785</v>
      </c>
      <c r="E333" s="1" t="s">
        <v>30</v>
      </c>
      <c r="F333" s="1" t="s">
        <v>786</v>
      </c>
      <c r="G333" s="1" t="s">
        <v>32</v>
      </c>
      <c r="H333" s="1" t="s">
        <v>48</v>
      </c>
      <c r="I333" s="1" t="s">
        <v>33</v>
      </c>
      <c r="J333" s="1">
        <v>36.29</v>
      </c>
      <c r="K333" s="1" t="s">
        <v>787</v>
      </c>
      <c r="L333" s="1" t="s">
        <v>36</v>
      </c>
      <c r="M333" s="1">
        <v>13.43</v>
      </c>
      <c r="N333" s="1" t="s">
        <v>95</v>
      </c>
      <c r="O333" s="1" t="s">
        <v>38</v>
      </c>
      <c r="P333" s="1" t="s">
        <v>37</v>
      </c>
      <c r="Q333" s="1" t="s">
        <v>96</v>
      </c>
      <c r="R333" s="1" t="s">
        <v>788</v>
      </c>
      <c r="S333" s="1" t="s">
        <v>40</v>
      </c>
      <c r="T333" s="1">
        <v>933.68</v>
      </c>
      <c r="U333" s="1" t="s">
        <v>41</v>
      </c>
      <c r="V333" s="1" t="s">
        <v>30</v>
      </c>
      <c r="W333" s="1" t="s">
        <v>37</v>
      </c>
      <c r="X333" s="1" t="s">
        <v>30</v>
      </c>
      <c r="Y333" s="1" t="s">
        <v>37</v>
      </c>
      <c r="Z333" s="1" t="s">
        <v>42</v>
      </c>
    </row>
    <row r="334" spans="1:26" ht="15.75" x14ac:dyDescent="0.25">
      <c r="A334" s="1" t="s">
        <v>26</v>
      </c>
      <c r="B334" s="1" t="s">
        <v>27</v>
      </c>
      <c r="C334" s="1" t="s">
        <v>751</v>
      </c>
      <c r="D334" s="1" t="s">
        <v>785</v>
      </c>
      <c r="E334" s="1" t="s">
        <v>30</v>
      </c>
      <c r="F334" s="1" t="s">
        <v>786</v>
      </c>
      <c r="G334" s="1" t="s">
        <v>43</v>
      </c>
      <c r="H334" s="1" t="s">
        <v>48</v>
      </c>
      <c r="I334" s="1" t="s">
        <v>33</v>
      </c>
      <c r="J334" s="1">
        <v>1.5</v>
      </c>
      <c r="K334" s="1" t="s">
        <v>787</v>
      </c>
      <c r="L334" s="1" t="s">
        <v>36</v>
      </c>
      <c r="M334" s="1">
        <v>0.55000000000000004</v>
      </c>
      <c r="N334" s="1" t="s">
        <v>95</v>
      </c>
      <c r="O334" s="1" t="s">
        <v>38</v>
      </c>
      <c r="P334" s="1" t="s">
        <v>37</v>
      </c>
      <c r="Q334" s="1" t="s">
        <v>96</v>
      </c>
      <c r="R334" s="1" t="s">
        <v>788</v>
      </c>
      <c r="S334" s="1" t="s">
        <v>40</v>
      </c>
      <c r="T334" s="1">
        <v>933.68</v>
      </c>
      <c r="U334" s="1" t="s">
        <v>41</v>
      </c>
      <c r="V334" s="1" t="s">
        <v>30</v>
      </c>
      <c r="W334" s="1" t="s">
        <v>37</v>
      </c>
      <c r="X334" s="1" t="s">
        <v>30</v>
      </c>
      <c r="Y334" s="1" t="s">
        <v>37</v>
      </c>
      <c r="Z334" s="1" t="s">
        <v>42</v>
      </c>
    </row>
    <row r="335" spans="1:26" ht="15.75" x14ac:dyDescent="0.25">
      <c r="A335" s="1" t="s">
        <v>26</v>
      </c>
      <c r="B335" s="1" t="s">
        <v>27</v>
      </c>
      <c r="C335" s="1" t="s">
        <v>751</v>
      </c>
      <c r="D335" s="1" t="s">
        <v>789</v>
      </c>
      <c r="E335" s="1" t="s">
        <v>30</v>
      </c>
      <c r="F335" s="1" t="s">
        <v>786</v>
      </c>
      <c r="G335" s="1" t="s">
        <v>45</v>
      </c>
      <c r="H335" s="1" t="s">
        <v>48</v>
      </c>
      <c r="I335" s="1" t="s">
        <v>33</v>
      </c>
      <c r="J335" s="1">
        <v>10.67</v>
      </c>
      <c r="K335" s="1" t="s">
        <v>787</v>
      </c>
      <c r="L335" s="1" t="s">
        <v>36</v>
      </c>
      <c r="M335" s="1">
        <v>3.95</v>
      </c>
      <c r="N335" s="1" t="s">
        <v>95</v>
      </c>
      <c r="O335" s="1" t="s">
        <v>38</v>
      </c>
      <c r="P335" s="1" t="s">
        <v>37</v>
      </c>
      <c r="Q335" s="1" t="s">
        <v>96</v>
      </c>
      <c r="R335" s="1" t="s">
        <v>788</v>
      </c>
      <c r="S335" s="1" t="s">
        <v>40</v>
      </c>
      <c r="T335" s="1">
        <v>933.68</v>
      </c>
      <c r="U335" s="1" t="s">
        <v>41</v>
      </c>
      <c r="V335" s="1" t="s">
        <v>30</v>
      </c>
      <c r="W335" s="1" t="s">
        <v>37</v>
      </c>
      <c r="X335" s="1" t="s">
        <v>30</v>
      </c>
      <c r="Y335" s="1" t="s">
        <v>37</v>
      </c>
      <c r="Z335" s="1" t="s">
        <v>42</v>
      </c>
    </row>
    <row r="336" spans="1:26" ht="15.75" x14ac:dyDescent="0.25">
      <c r="A336" s="1" t="s">
        <v>26</v>
      </c>
      <c r="B336" s="1" t="s">
        <v>27</v>
      </c>
      <c r="C336" s="1" t="s">
        <v>751</v>
      </c>
      <c r="D336" s="1" t="s">
        <v>790</v>
      </c>
      <c r="E336" s="1" t="s">
        <v>30</v>
      </c>
      <c r="F336" s="1" t="s">
        <v>791</v>
      </c>
      <c r="G336" s="1" t="s">
        <v>32</v>
      </c>
      <c r="H336" s="1" t="s">
        <v>48</v>
      </c>
      <c r="I336" s="1" t="s">
        <v>33</v>
      </c>
      <c r="J336" s="1">
        <v>40.729999999999997</v>
      </c>
      <c r="K336" s="1" t="s">
        <v>787</v>
      </c>
      <c r="L336" s="1" t="s">
        <v>36</v>
      </c>
      <c r="M336" s="1">
        <v>15.07</v>
      </c>
      <c r="N336" s="1" t="s">
        <v>336</v>
      </c>
      <c r="O336" s="1" t="s">
        <v>38</v>
      </c>
      <c r="P336" s="1" t="s">
        <v>37</v>
      </c>
      <c r="Q336" s="1" t="s">
        <v>337</v>
      </c>
      <c r="R336" s="1" t="s">
        <v>792</v>
      </c>
      <c r="S336" s="1" t="s">
        <v>40</v>
      </c>
      <c r="T336" s="1">
        <v>933.68</v>
      </c>
      <c r="U336" s="1" t="s">
        <v>41</v>
      </c>
      <c r="V336" s="1" t="s">
        <v>30</v>
      </c>
      <c r="W336" s="1" t="s">
        <v>37</v>
      </c>
      <c r="X336" s="1" t="s">
        <v>30</v>
      </c>
      <c r="Y336" s="1" t="s">
        <v>37</v>
      </c>
      <c r="Z336" s="1" t="s">
        <v>42</v>
      </c>
    </row>
    <row r="337" spans="1:26" ht="15.75" x14ac:dyDescent="0.25">
      <c r="A337" s="1" t="s">
        <v>26</v>
      </c>
      <c r="B337" s="1" t="s">
        <v>27</v>
      </c>
      <c r="C337" s="1" t="s">
        <v>751</v>
      </c>
      <c r="D337" s="1" t="s">
        <v>793</v>
      </c>
      <c r="E337" s="1" t="s">
        <v>30</v>
      </c>
      <c r="F337" s="1" t="s">
        <v>794</v>
      </c>
      <c r="G337" s="1" t="s">
        <v>32</v>
      </c>
      <c r="H337" s="1" t="s">
        <v>137</v>
      </c>
      <c r="I337" s="1" t="s">
        <v>147</v>
      </c>
      <c r="J337" s="1">
        <v>84.7</v>
      </c>
      <c r="K337" s="1" t="s">
        <v>795</v>
      </c>
      <c r="L337" s="1" t="s">
        <v>36</v>
      </c>
      <c r="M337" s="1">
        <v>31.33</v>
      </c>
      <c r="N337" s="1" t="s">
        <v>336</v>
      </c>
      <c r="O337" s="1" t="s">
        <v>38</v>
      </c>
      <c r="P337" s="1" t="s">
        <v>37</v>
      </c>
      <c r="Q337" s="1" t="s">
        <v>337</v>
      </c>
      <c r="R337" s="1" t="s">
        <v>796</v>
      </c>
      <c r="S337" s="1" t="s">
        <v>40</v>
      </c>
      <c r="T337" s="1">
        <v>933.68</v>
      </c>
      <c r="U337" s="1" t="s">
        <v>41</v>
      </c>
      <c r="V337" s="1" t="s">
        <v>30</v>
      </c>
      <c r="W337" s="1" t="s">
        <v>37</v>
      </c>
      <c r="X337" s="1" t="s">
        <v>30</v>
      </c>
      <c r="Y337" s="1" t="s">
        <v>37</v>
      </c>
      <c r="Z337" s="1" t="s">
        <v>42</v>
      </c>
    </row>
    <row r="338" spans="1:26" ht="15.75" x14ac:dyDescent="0.25">
      <c r="A338" s="1" t="s">
        <v>26</v>
      </c>
      <c r="B338" s="1" t="s">
        <v>27</v>
      </c>
      <c r="C338" s="1" t="s">
        <v>751</v>
      </c>
      <c r="D338" s="1" t="s">
        <v>793</v>
      </c>
      <c r="E338" s="1" t="s">
        <v>30</v>
      </c>
      <c r="F338" s="1" t="s">
        <v>794</v>
      </c>
      <c r="G338" s="1" t="s">
        <v>43</v>
      </c>
      <c r="H338" s="1" t="s">
        <v>137</v>
      </c>
      <c r="I338" s="1" t="s">
        <v>147</v>
      </c>
      <c r="J338" s="1">
        <v>2.69</v>
      </c>
      <c r="K338" s="1" t="s">
        <v>795</v>
      </c>
      <c r="L338" s="1" t="s">
        <v>36</v>
      </c>
      <c r="M338" s="1">
        <v>1</v>
      </c>
      <c r="N338" s="1" t="s">
        <v>336</v>
      </c>
      <c r="O338" s="1" t="s">
        <v>38</v>
      </c>
      <c r="P338" s="1" t="s">
        <v>37</v>
      </c>
      <c r="Q338" s="1" t="s">
        <v>337</v>
      </c>
      <c r="R338" s="1" t="s">
        <v>796</v>
      </c>
      <c r="S338" s="1" t="s">
        <v>40</v>
      </c>
      <c r="T338" s="1">
        <v>933.68</v>
      </c>
      <c r="U338" s="1" t="s">
        <v>41</v>
      </c>
      <c r="V338" s="1" t="s">
        <v>30</v>
      </c>
      <c r="W338" s="1" t="s">
        <v>37</v>
      </c>
      <c r="X338" s="1" t="s">
        <v>30</v>
      </c>
      <c r="Y338" s="1" t="s">
        <v>37</v>
      </c>
      <c r="Z338" s="1" t="s">
        <v>42</v>
      </c>
    </row>
    <row r="339" spans="1:26" ht="15.75" x14ac:dyDescent="0.25">
      <c r="A339" s="1" t="s">
        <v>26</v>
      </c>
      <c r="B339" s="1" t="s">
        <v>27</v>
      </c>
      <c r="C339" s="1" t="s">
        <v>751</v>
      </c>
      <c r="D339" s="1" t="s">
        <v>797</v>
      </c>
      <c r="E339" s="1" t="s">
        <v>30</v>
      </c>
      <c r="F339" s="1" t="s">
        <v>798</v>
      </c>
      <c r="G339" s="1" t="s">
        <v>32</v>
      </c>
      <c r="H339" s="1" t="s">
        <v>33</v>
      </c>
      <c r="I339" s="1" t="s">
        <v>34</v>
      </c>
      <c r="J339" s="1">
        <v>17.27</v>
      </c>
      <c r="K339" s="1" t="s">
        <v>799</v>
      </c>
      <c r="L339" s="1" t="s">
        <v>36</v>
      </c>
      <c r="M339" s="1">
        <v>6.39</v>
      </c>
      <c r="N339" s="1" t="s">
        <v>95</v>
      </c>
      <c r="O339" s="1" t="s">
        <v>38</v>
      </c>
      <c r="P339" s="1" t="s">
        <v>37</v>
      </c>
      <c r="Q339" s="1" t="s">
        <v>96</v>
      </c>
      <c r="R339" s="1" t="s">
        <v>800</v>
      </c>
      <c r="S339" s="1" t="s">
        <v>40</v>
      </c>
      <c r="T339" s="1">
        <v>933.68</v>
      </c>
      <c r="U339" s="1" t="s">
        <v>41</v>
      </c>
      <c r="V339" s="1" t="s">
        <v>30</v>
      </c>
      <c r="W339" s="1" t="s">
        <v>37</v>
      </c>
      <c r="X339" s="1" t="s">
        <v>30</v>
      </c>
      <c r="Y339" s="1" t="s">
        <v>37</v>
      </c>
      <c r="Z339" s="1" t="s">
        <v>42</v>
      </c>
    </row>
    <row r="340" spans="1:26" ht="15.75" x14ac:dyDescent="0.25">
      <c r="A340" s="1" t="s">
        <v>26</v>
      </c>
      <c r="B340" s="1" t="s">
        <v>27</v>
      </c>
      <c r="C340" s="1" t="s">
        <v>751</v>
      </c>
      <c r="D340" s="1" t="s">
        <v>801</v>
      </c>
      <c r="E340" s="1" t="s">
        <v>30</v>
      </c>
      <c r="F340" s="1" t="s">
        <v>802</v>
      </c>
      <c r="G340" s="1" t="s">
        <v>45</v>
      </c>
      <c r="H340" s="1" t="s">
        <v>33</v>
      </c>
      <c r="I340" s="1" t="s">
        <v>34</v>
      </c>
      <c r="J340" s="1">
        <v>30.07</v>
      </c>
      <c r="K340" s="1" t="s">
        <v>799</v>
      </c>
      <c r="L340" s="1" t="s">
        <v>36</v>
      </c>
      <c r="M340" s="1">
        <v>11.13</v>
      </c>
      <c r="N340" s="1" t="s">
        <v>710</v>
      </c>
      <c r="O340" s="1" t="s">
        <v>38</v>
      </c>
      <c r="P340" s="1" t="s">
        <v>37</v>
      </c>
      <c r="Q340" s="1" t="s">
        <v>711</v>
      </c>
      <c r="R340" s="1" t="s">
        <v>803</v>
      </c>
      <c r="S340" s="1" t="s">
        <v>40</v>
      </c>
      <c r="T340" s="1">
        <v>933.68</v>
      </c>
      <c r="U340" s="1" t="s">
        <v>41</v>
      </c>
      <c r="V340" s="1" t="s">
        <v>30</v>
      </c>
      <c r="W340" s="1" t="s">
        <v>37</v>
      </c>
      <c r="X340" s="1" t="s">
        <v>30</v>
      </c>
      <c r="Y340" s="1" t="s">
        <v>37</v>
      </c>
      <c r="Z340" s="1" t="s">
        <v>42</v>
      </c>
    </row>
    <row r="341" spans="1:26" ht="15.75" x14ac:dyDescent="0.25">
      <c r="A341" s="1" t="s">
        <v>26</v>
      </c>
      <c r="B341" s="1" t="s">
        <v>27</v>
      </c>
      <c r="C341" s="1" t="s">
        <v>751</v>
      </c>
      <c r="D341" s="1" t="s">
        <v>804</v>
      </c>
      <c r="E341" s="1" t="s">
        <v>30</v>
      </c>
      <c r="F341" s="1" t="s">
        <v>805</v>
      </c>
      <c r="G341" s="1" t="s">
        <v>32</v>
      </c>
      <c r="H341" s="1" t="s">
        <v>33</v>
      </c>
      <c r="I341" s="1" t="s">
        <v>34</v>
      </c>
      <c r="J341" s="1">
        <v>40.729999999999997</v>
      </c>
      <c r="K341" s="1" t="s">
        <v>799</v>
      </c>
      <c r="L341" s="1" t="s">
        <v>36</v>
      </c>
      <c r="M341" s="1">
        <v>15.07</v>
      </c>
      <c r="N341" s="1" t="s">
        <v>336</v>
      </c>
      <c r="O341" s="1" t="s">
        <v>38</v>
      </c>
      <c r="P341" s="1" t="s">
        <v>37</v>
      </c>
      <c r="Q341" s="1" t="s">
        <v>337</v>
      </c>
      <c r="R341" s="1" t="s">
        <v>806</v>
      </c>
      <c r="S341" s="1" t="s">
        <v>40</v>
      </c>
      <c r="T341" s="1">
        <v>933.68</v>
      </c>
      <c r="U341" s="1" t="s">
        <v>41</v>
      </c>
      <c r="V341" s="1" t="s">
        <v>30</v>
      </c>
      <c r="W341" s="1" t="s">
        <v>37</v>
      </c>
      <c r="X341" s="1" t="s">
        <v>30</v>
      </c>
      <c r="Y341" s="1" t="s">
        <v>37</v>
      </c>
      <c r="Z341" s="1" t="s">
        <v>42</v>
      </c>
    </row>
    <row r="342" spans="1:26" ht="15.75" x14ac:dyDescent="0.25">
      <c r="A342" s="1" t="s">
        <v>26</v>
      </c>
      <c r="B342" s="1" t="s">
        <v>27</v>
      </c>
      <c r="C342" s="1" t="s">
        <v>751</v>
      </c>
      <c r="D342" s="1" t="s">
        <v>807</v>
      </c>
      <c r="E342" s="1" t="s">
        <v>30</v>
      </c>
      <c r="F342" s="1" t="s">
        <v>808</v>
      </c>
      <c r="G342" s="1" t="s">
        <v>32</v>
      </c>
      <c r="H342" s="1" t="s">
        <v>809</v>
      </c>
      <c r="I342" s="1" t="s">
        <v>147</v>
      </c>
      <c r="J342" s="1">
        <v>36.29</v>
      </c>
      <c r="K342" s="1" t="s">
        <v>810</v>
      </c>
      <c r="L342" s="1" t="s">
        <v>36</v>
      </c>
      <c r="M342" s="1">
        <v>13.43</v>
      </c>
      <c r="N342" s="1" t="s">
        <v>180</v>
      </c>
      <c r="O342" s="1" t="s">
        <v>38</v>
      </c>
      <c r="P342" s="1" t="s">
        <v>37</v>
      </c>
      <c r="Q342" s="1" t="s">
        <v>181</v>
      </c>
      <c r="R342" s="1" t="s">
        <v>811</v>
      </c>
      <c r="S342" s="1" t="s">
        <v>40</v>
      </c>
      <c r="T342" s="1">
        <v>933.68</v>
      </c>
      <c r="U342" s="1" t="s">
        <v>41</v>
      </c>
      <c r="V342" s="1" t="s">
        <v>30</v>
      </c>
      <c r="W342" s="1" t="s">
        <v>37</v>
      </c>
      <c r="X342" s="1" t="s">
        <v>30</v>
      </c>
      <c r="Y342" s="1" t="s">
        <v>37</v>
      </c>
      <c r="Z342" s="1" t="s">
        <v>42</v>
      </c>
    </row>
    <row r="343" spans="1:26" ht="15.75" x14ac:dyDescent="0.25">
      <c r="A343" s="1" t="s">
        <v>26</v>
      </c>
      <c r="B343" s="1" t="s">
        <v>27</v>
      </c>
      <c r="C343" s="1" t="s">
        <v>751</v>
      </c>
      <c r="D343" s="1" t="s">
        <v>807</v>
      </c>
      <c r="E343" s="1" t="s">
        <v>30</v>
      </c>
      <c r="F343" s="1" t="s">
        <v>808</v>
      </c>
      <c r="G343" s="1" t="s">
        <v>43</v>
      </c>
      <c r="H343" s="1" t="s">
        <v>809</v>
      </c>
      <c r="I343" s="1" t="s">
        <v>147</v>
      </c>
      <c r="J343" s="1">
        <v>1.5</v>
      </c>
      <c r="K343" s="1" t="s">
        <v>810</v>
      </c>
      <c r="L343" s="1" t="s">
        <v>36</v>
      </c>
      <c r="M343" s="1">
        <v>0.55000000000000004</v>
      </c>
      <c r="N343" s="1" t="s">
        <v>180</v>
      </c>
      <c r="O343" s="1" t="s">
        <v>38</v>
      </c>
      <c r="P343" s="1" t="s">
        <v>37</v>
      </c>
      <c r="Q343" s="1" t="s">
        <v>181</v>
      </c>
      <c r="R343" s="1" t="s">
        <v>811</v>
      </c>
      <c r="S343" s="1" t="s">
        <v>40</v>
      </c>
      <c r="T343" s="1">
        <v>933.68</v>
      </c>
      <c r="U343" s="1" t="s">
        <v>41</v>
      </c>
      <c r="V343" s="1" t="s">
        <v>30</v>
      </c>
      <c r="W343" s="1" t="s">
        <v>37</v>
      </c>
      <c r="X343" s="1" t="s">
        <v>30</v>
      </c>
      <c r="Y343" s="1" t="s">
        <v>37</v>
      </c>
      <c r="Z343" s="1" t="s">
        <v>42</v>
      </c>
    </row>
    <row r="344" spans="1:26" ht="15.75" x14ac:dyDescent="0.25">
      <c r="A344" s="1" t="s">
        <v>26</v>
      </c>
      <c r="B344" s="1" t="s">
        <v>27</v>
      </c>
      <c r="C344" s="1" t="s">
        <v>751</v>
      </c>
      <c r="D344" s="1" t="s">
        <v>812</v>
      </c>
      <c r="E344" s="1" t="s">
        <v>30</v>
      </c>
      <c r="F344" s="1" t="s">
        <v>813</v>
      </c>
      <c r="G344" s="1" t="s">
        <v>32</v>
      </c>
      <c r="H344" s="1" t="s">
        <v>62</v>
      </c>
      <c r="I344" s="1" t="s">
        <v>48</v>
      </c>
      <c r="J344" s="1">
        <v>17.27</v>
      </c>
      <c r="K344" s="1" t="s">
        <v>468</v>
      </c>
      <c r="L344" s="1" t="s">
        <v>36</v>
      </c>
      <c r="M344" s="1">
        <v>6.39</v>
      </c>
      <c r="N344" s="1" t="s">
        <v>180</v>
      </c>
      <c r="O344" s="1" t="s">
        <v>38</v>
      </c>
      <c r="P344" s="1" t="s">
        <v>37</v>
      </c>
      <c r="Q344" s="1" t="s">
        <v>181</v>
      </c>
      <c r="R344" s="1" t="s">
        <v>814</v>
      </c>
      <c r="S344" s="1" t="s">
        <v>40</v>
      </c>
      <c r="T344" s="1">
        <v>933.68</v>
      </c>
      <c r="U344" s="1" t="s">
        <v>41</v>
      </c>
      <c r="V344" s="1" t="s">
        <v>30</v>
      </c>
      <c r="W344" s="1" t="s">
        <v>37</v>
      </c>
      <c r="X344" s="1" t="s">
        <v>30</v>
      </c>
      <c r="Y344" s="1" t="s">
        <v>37</v>
      </c>
      <c r="Z344" s="1" t="s">
        <v>42</v>
      </c>
    </row>
    <row r="345" spans="1:26" ht="15.75" x14ac:dyDescent="0.25">
      <c r="A345" s="1" t="s">
        <v>26</v>
      </c>
      <c r="B345" s="1" t="s">
        <v>27</v>
      </c>
      <c r="C345" s="1" t="s">
        <v>751</v>
      </c>
      <c r="D345" s="1" t="s">
        <v>815</v>
      </c>
      <c r="E345" s="1" t="s">
        <v>30</v>
      </c>
      <c r="F345" s="1" t="s">
        <v>816</v>
      </c>
      <c r="G345" s="1" t="s">
        <v>32</v>
      </c>
      <c r="H345" s="1" t="s">
        <v>273</v>
      </c>
      <c r="I345" s="1" t="s">
        <v>48</v>
      </c>
      <c r="J345" s="1">
        <v>82.97</v>
      </c>
      <c r="K345" s="1" t="s">
        <v>817</v>
      </c>
      <c r="L345" s="1" t="s">
        <v>36</v>
      </c>
      <c r="M345" s="1">
        <v>30.69</v>
      </c>
      <c r="N345" s="1" t="s">
        <v>345</v>
      </c>
      <c r="O345" s="1" t="s">
        <v>38</v>
      </c>
      <c r="P345" s="1" t="s">
        <v>37</v>
      </c>
      <c r="Q345" s="1" t="s">
        <v>346</v>
      </c>
      <c r="R345" s="1" t="s">
        <v>818</v>
      </c>
      <c r="S345" s="1" t="s">
        <v>40</v>
      </c>
      <c r="T345" s="1">
        <v>933.68</v>
      </c>
      <c r="U345" s="1" t="s">
        <v>41</v>
      </c>
      <c r="V345" s="1" t="s">
        <v>30</v>
      </c>
      <c r="W345" s="1" t="s">
        <v>37</v>
      </c>
      <c r="X345" s="1" t="s">
        <v>30</v>
      </c>
      <c r="Y345" s="1" t="s">
        <v>37</v>
      </c>
      <c r="Z345" s="1" t="s">
        <v>42</v>
      </c>
    </row>
    <row r="346" spans="1:26" ht="15.75" x14ac:dyDescent="0.25">
      <c r="A346" s="1" t="s">
        <v>26</v>
      </c>
      <c r="B346" s="1" t="s">
        <v>27</v>
      </c>
      <c r="C346" s="1" t="s">
        <v>751</v>
      </c>
      <c r="D346" s="1" t="s">
        <v>815</v>
      </c>
      <c r="E346" s="1" t="s">
        <v>30</v>
      </c>
      <c r="F346" s="1" t="s">
        <v>816</v>
      </c>
      <c r="G346" s="1" t="s">
        <v>43</v>
      </c>
      <c r="H346" s="1" t="s">
        <v>273</v>
      </c>
      <c r="I346" s="1" t="s">
        <v>48</v>
      </c>
      <c r="J346" s="1">
        <v>2.69</v>
      </c>
      <c r="K346" s="1" t="s">
        <v>817</v>
      </c>
      <c r="L346" s="1" t="s">
        <v>36</v>
      </c>
      <c r="M346" s="1">
        <v>1</v>
      </c>
      <c r="N346" s="1" t="s">
        <v>345</v>
      </c>
      <c r="O346" s="1" t="s">
        <v>38</v>
      </c>
      <c r="P346" s="1" t="s">
        <v>37</v>
      </c>
      <c r="Q346" s="1" t="s">
        <v>346</v>
      </c>
      <c r="R346" s="1" t="s">
        <v>818</v>
      </c>
      <c r="S346" s="1" t="s">
        <v>40</v>
      </c>
      <c r="T346" s="1">
        <v>933.68</v>
      </c>
      <c r="U346" s="1" t="s">
        <v>41</v>
      </c>
      <c r="V346" s="1" t="s">
        <v>30</v>
      </c>
      <c r="W346" s="1" t="s">
        <v>37</v>
      </c>
      <c r="X346" s="1" t="s">
        <v>30</v>
      </c>
      <c r="Y346" s="1" t="s">
        <v>37</v>
      </c>
      <c r="Z346" s="1" t="s">
        <v>42</v>
      </c>
    </row>
    <row r="347" spans="1:26" ht="15.75" x14ac:dyDescent="0.25">
      <c r="A347" s="1" t="s">
        <v>26</v>
      </c>
      <c r="B347" s="1" t="s">
        <v>27</v>
      </c>
      <c r="C347" s="1" t="s">
        <v>751</v>
      </c>
      <c r="D347" s="1" t="s">
        <v>819</v>
      </c>
      <c r="E347" s="1" t="s">
        <v>30</v>
      </c>
      <c r="F347" s="1" t="s">
        <v>816</v>
      </c>
      <c r="G347" s="1" t="s">
        <v>45</v>
      </c>
      <c r="H347" s="1" t="s">
        <v>273</v>
      </c>
      <c r="I347" s="1" t="s">
        <v>48</v>
      </c>
      <c r="J347" s="1">
        <v>30.07</v>
      </c>
      <c r="K347" s="1" t="s">
        <v>817</v>
      </c>
      <c r="L347" s="1" t="s">
        <v>36</v>
      </c>
      <c r="M347" s="1">
        <v>11.13</v>
      </c>
      <c r="N347" s="1" t="s">
        <v>345</v>
      </c>
      <c r="O347" s="1" t="s">
        <v>38</v>
      </c>
      <c r="P347" s="1" t="s">
        <v>37</v>
      </c>
      <c r="Q347" s="1" t="s">
        <v>346</v>
      </c>
      <c r="R347" s="1" t="s">
        <v>818</v>
      </c>
      <c r="S347" s="1" t="s">
        <v>40</v>
      </c>
      <c r="T347" s="1">
        <v>933.68</v>
      </c>
      <c r="U347" s="1" t="s">
        <v>41</v>
      </c>
      <c r="V347" s="1" t="s">
        <v>30</v>
      </c>
      <c r="W347" s="1" t="s">
        <v>37</v>
      </c>
      <c r="X347" s="1" t="s">
        <v>30</v>
      </c>
      <c r="Y347" s="1" t="s">
        <v>37</v>
      </c>
      <c r="Z347" s="1" t="s">
        <v>42</v>
      </c>
    </row>
    <row r="348" spans="1:26" ht="15.75" x14ac:dyDescent="0.25">
      <c r="A348" s="1" t="s">
        <v>26</v>
      </c>
      <c r="B348" s="1" t="s">
        <v>27</v>
      </c>
      <c r="C348" s="1" t="s">
        <v>751</v>
      </c>
      <c r="D348" s="1" t="s">
        <v>820</v>
      </c>
      <c r="E348" s="1" t="s">
        <v>30</v>
      </c>
      <c r="F348" s="1" t="s">
        <v>821</v>
      </c>
      <c r="G348" s="1" t="s">
        <v>32</v>
      </c>
      <c r="H348" s="1" t="s">
        <v>273</v>
      </c>
      <c r="I348" s="1" t="s">
        <v>48</v>
      </c>
      <c r="J348" s="1">
        <v>31.82</v>
      </c>
      <c r="K348" s="1" t="s">
        <v>817</v>
      </c>
      <c r="L348" s="1" t="s">
        <v>36</v>
      </c>
      <c r="M348" s="1">
        <v>0</v>
      </c>
      <c r="N348" s="1" t="s">
        <v>755</v>
      </c>
      <c r="O348" s="1" t="s">
        <v>38</v>
      </c>
      <c r="P348" s="1" t="s">
        <v>822</v>
      </c>
      <c r="Q348" s="1" t="s">
        <v>756</v>
      </c>
      <c r="R348" s="1" t="s">
        <v>823</v>
      </c>
      <c r="S348" s="1" t="s">
        <v>40</v>
      </c>
      <c r="T348" s="1">
        <v>933.68</v>
      </c>
      <c r="U348" s="1" t="s">
        <v>41</v>
      </c>
      <c r="V348" s="1" t="s">
        <v>30</v>
      </c>
      <c r="W348" s="1" t="s">
        <v>37</v>
      </c>
      <c r="X348" s="1" t="s">
        <v>30</v>
      </c>
      <c r="Y348" s="1" t="s">
        <v>37</v>
      </c>
      <c r="Z348" s="1" t="s">
        <v>42</v>
      </c>
    </row>
    <row r="349" spans="1:26" ht="15.75" x14ac:dyDescent="0.25">
      <c r="A349" s="1" t="s">
        <v>26</v>
      </c>
      <c r="B349" s="1" t="s">
        <v>27</v>
      </c>
      <c r="C349" s="1" t="s">
        <v>751</v>
      </c>
      <c r="D349" s="1" t="s">
        <v>824</v>
      </c>
      <c r="E349" s="1" t="s">
        <v>30</v>
      </c>
      <c r="F349" s="1" t="s">
        <v>821</v>
      </c>
      <c r="G349" s="1" t="s">
        <v>45</v>
      </c>
      <c r="H349" s="1" t="s">
        <v>273</v>
      </c>
      <c r="I349" s="1" t="s">
        <v>48</v>
      </c>
      <c r="J349" s="1">
        <v>16.34</v>
      </c>
      <c r="K349" s="1" t="s">
        <v>817</v>
      </c>
      <c r="L349" s="1" t="s">
        <v>36</v>
      </c>
      <c r="M349" s="1">
        <v>0</v>
      </c>
      <c r="N349" s="1" t="s">
        <v>755</v>
      </c>
      <c r="O349" s="1" t="s">
        <v>38</v>
      </c>
      <c r="P349" s="1" t="s">
        <v>825</v>
      </c>
      <c r="Q349" s="1" t="s">
        <v>756</v>
      </c>
      <c r="R349" s="1" t="s">
        <v>823</v>
      </c>
      <c r="S349" s="1" t="s">
        <v>40</v>
      </c>
      <c r="T349" s="1">
        <v>933.68</v>
      </c>
      <c r="U349" s="1" t="s">
        <v>41</v>
      </c>
      <c r="V349" s="1" t="s">
        <v>30</v>
      </c>
      <c r="W349" s="1" t="s">
        <v>37</v>
      </c>
      <c r="X349" s="1" t="s">
        <v>30</v>
      </c>
      <c r="Y349" s="1" t="s">
        <v>37</v>
      </c>
      <c r="Z349" s="1" t="s">
        <v>42</v>
      </c>
    </row>
    <row r="350" spans="1:26" ht="15.75" x14ac:dyDescent="0.25">
      <c r="A350" s="1" t="s">
        <v>26</v>
      </c>
      <c r="B350" s="1" t="s">
        <v>27</v>
      </c>
      <c r="C350" s="1" t="s">
        <v>751</v>
      </c>
      <c r="D350" s="1" t="s">
        <v>826</v>
      </c>
      <c r="E350" s="1" t="s">
        <v>30</v>
      </c>
      <c r="F350" s="1" t="s">
        <v>827</v>
      </c>
      <c r="G350" s="1" t="s">
        <v>32</v>
      </c>
      <c r="H350" s="1" t="s">
        <v>273</v>
      </c>
      <c r="I350" s="1" t="s">
        <v>48</v>
      </c>
      <c r="J350" s="1">
        <v>52.66</v>
      </c>
      <c r="K350" s="1" t="s">
        <v>817</v>
      </c>
      <c r="L350" s="1" t="s">
        <v>36</v>
      </c>
      <c r="M350" s="1">
        <v>19.48</v>
      </c>
      <c r="N350" s="1" t="s">
        <v>828</v>
      </c>
      <c r="O350" s="1" t="s">
        <v>38</v>
      </c>
      <c r="P350" s="1" t="s">
        <v>37</v>
      </c>
      <c r="Q350" s="1" t="s">
        <v>829</v>
      </c>
      <c r="R350" s="1" t="s">
        <v>830</v>
      </c>
      <c r="S350" s="1" t="s">
        <v>40</v>
      </c>
      <c r="T350" s="1">
        <v>933.68</v>
      </c>
      <c r="U350" s="1" t="s">
        <v>41</v>
      </c>
      <c r="V350" s="1" t="s">
        <v>30</v>
      </c>
      <c r="W350" s="1" t="s">
        <v>37</v>
      </c>
      <c r="X350" s="1" t="s">
        <v>30</v>
      </c>
      <c r="Y350" s="1" t="s">
        <v>37</v>
      </c>
      <c r="Z350" s="1" t="s">
        <v>42</v>
      </c>
    </row>
    <row r="351" spans="1:26" ht="15.75" x14ac:dyDescent="0.25">
      <c r="A351" s="1" t="s">
        <v>26</v>
      </c>
      <c r="B351" s="1" t="s">
        <v>27</v>
      </c>
      <c r="C351" s="1" t="s">
        <v>751</v>
      </c>
      <c r="D351" s="1" t="s">
        <v>831</v>
      </c>
      <c r="E351" s="1" t="s">
        <v>30</v>
      </c>
      <c r="F351" s="1" t="s">
        <v>832</v>
      </c>
      <c r="G351" s="1" t="s">
        <v>32</v>
      </c>
      <c r="H351" s="1" t="s">
        <v>86</v>
      </c>
      <c r="I351" s="1" t="s">
        <v>48</v>
      </c>
      <c r="J351" s="1">
        <v>43.56</v>
      </c>
      <c r="K351" s="1" t="s">
        <v>100</v>
      </c>
      <c r="L351" s="1" t="s">
        <v>36</v>
      </c>
      <c r="M351" s="1">
        <v>16.12</v>
      </c>
      <c r="N351" s="1" t="s">
        <v>322</v>
      </c>
      <c r="O351" s="1" t="s">
        <v>38</v>
      </c>
      <c r="P351" s="1" t="s">
        <v>37</v>
      </c>
      <c r="Q351" s="1" t="s">
        <v>323</v>
      </c>
      <c r="R351" s="1" t="s">
        <v>833</v>
      </c>
      <c r="S351" s="1" t="s">
        <v>40</v>
      </c>
      <c r="T351" s="1">
        <v>933.68</v>
      </c>
      <c r="U351" s="1" t="s">
        <v>41</v>
      </c>
      <c r="V351" s="1" t="s">
        <v>30</v>
      </c>
      <c r="W351" s="1" t="s">
        <v>37</v>
      </c>
      <c r="X351" s="1" t="s">
        <v>30</v>
      </c>
      <c r="Y351" s="1" t="s">
        <v>37</v>
      </c>
      <c r="Z351" s="1" t="s">
        <v>42</v>
      </c>
    </row>
    <row r="352" spans="1:26" ht="15.75" x14ac:dyDescent="0.25">
      <c r="A352" s="1" t="s">
        <v>26</v>
      </c>
      <c r="B352" s="1" t="s">
        <v>27</v>
      </c>
      <c r="C352" s="1" t="s">
        <v>751</v>
      </c>
      <c r="D352" s="1" t="s">
        <v>834</v>
      </c>
      <c r="E352" s="1" t="s">
        <v>30</v>
      </c>
      <c r="F352" s="1" t="s">
        <v>835</v>
      </c>
      <c r="G352" s="1" t="s">
        <v>32</v>
      </c>
      <c r="H352" s="1" t="s">
        <v>86</v>
      </c>
      <c r="I352" s="1" t="s">
        <v>48</v>
      </c>
      <c r="J352" s="1">
        <v>46.59</v>
      </c>
      <c r="K352" s="1" t="s">
        <v>100</v>
      </c>
      <c r="L352" s="1" t="s">
        <v>36</v>
      </c>
      <c r="M352" s="1">
        <v>17.239999999999998</v>
      </c>
      <c r="N352" s="1" t="s">
        <v>50</v>
      </c>
      <c r="O352" s="1" t="s">
        <v>38</v>
      </c>
      <c r="P352" s="1" t="s">
        <v>37</v>
      </c>
      <c r="Q352" s="1" t="s">
        <v>51</v>
      </c>
      <c r="R352" s="1" t="s">
        <v>836</v>
      </c>
      <c r="S352" s="1" t="s">
        <v>40</v>
      </c>
      <c r="T352" s="1">
        <v>933.68</v>
      </c>
      <c r="U352" s="1" t="s">
        <v>41</v>
      </c>
      <c r="V352" s="1" t="s">
        <v>30</v>
      </c>
      <c r="W352" s="1" t="s">
        <v>37</v>
      </c>
      <c r="X352" s="1" t="s">
        <v>30</v>
      </c>
      <c r="Y352" s="1" t="s">
        <v>37</v>
      </c>
      <c r="Z352" s="1" t="s">
        <v>42</v>
      </c>
    </row>
    <row r="353" spans="1:26" ht="15.75" x14ac:dyDescent="0.25">
      <c r="A353" s="1" t="s">
        <v>26</v>
      </c>
      <c r="B353" s="1" t="s">
        <v>27</v>
      </c>
      <c r="C353" s="1" t="s">
        <v>751</v>
      </c>
      <c r="D353" s="1" t="s">
        <v>834</v>
      </c>
      <c r="E353" s="1" t="s">
        <v>30</v>
      </c>
      <c r="F353" s="1" t="s">
        <v>835</v>
      </c>
      <c r="G353" s="1" t="s">
        <v>43</v>
      </c>
      <c r="H353" s="1" t="s">
        <v>86</v>
      </c>
      <c r="I353" s="1" t="s">
        <v>48</v>
      </c>
      <c r="J353" s="1">
        <v>1.5</v>
      </c>
      <c r="K353" s="1" t="s">
        <v>100</v>
      </c>
      <c r="L353" s="1" t="s">
        <v>36</v>
      </c>
      <c r="M353" s="1">
        <v>0.55000000000000004</v>
      </c>
      <c r="N353" s="1" t="s">
        <v>50</v>
      </c>
      <c r="O353" s="1" t="s">
        <v>38</v>
      </c>
      <c r="P353" s="1" t="s">
        <v>37</v>
      </c>
      <c r="Q353" s="1" t="s">
        <v>51</v>
      </c>
      <c r="R353" s="1" t="s">
        <v>836</v>
      </c>
      <c r="S353" s="1" t="s">
        <v>40</v>
      </c>
      <c r="T353" s="1">
        <v>933.68</v>
      </c>
      <c r="U353" s="1" t="s">
        <v>41</v>
      </c>
      <c r="V353" s="1" t="s">
        <v>30</v>
      </c>
      <c r="W353" s="1" t="s">
        <v>37</v>
      </c>
      <c r="X353" s="1" t="s">
        <v>30</v>
      </c>
      <c r="Y353" s="1" t="s">
        <v>37</v>
      </c>
      <c r="Z353" s="1" t="s">
        <v>42</v>
      </c>
    </row>
    <row r="354" spans="1:26" ht="15.75" x14ac:dyDescent="0.25">
      <c r="A354" s="1" t="s">
        <v>26</v>
      </c>
      <c r="B354" s="1" t="s">
        <v>27</v>
      </c>
      <c r="C354" s="1" t="s">
        <v>751</v>
      </c>
      <c r="D354" s="1" t="s">
        <v>837</v>
      </c>
      <c r="E354" s="1" t="s">
        <v>30</v>
      </c>
      <c r="F354" s="1" t="s">
        <v>838</v>
      </c>
      <c r="G354" s="1" t="s">
        <v>45</v>
      </c>
      <c r="H354" s="1" t="s">
        <v>137</v>
      </c>
      <c r="I354" s="1" t="s">
        <v>147</v>
      </c>
      <c r="J354" s="1">
        <v>30.07</v>
      </c>
      <c r="K354" s="1" t="s">
        <v>839</v>
      </c>
      <c r="L354" s="1" t="s">
        <v>36</v>
      </c>
      <c r="M354" s="1">
        <v>11.13</v>
      </c>
      <c r="N354" s="1" t="s">
        <v>555</v>
      </c>
      <c r="O354" s="1" t="s">
        <v>38</v>
      </c>
      <c r="P354" s="1" t="s">
        <v>37</v>
      </c>
      <c r="Q354" s="1" t="s">
        <v>556</v>
      </c>
      <c r="R354" s="1" t="s">
        <v>840</v>
      </c>
      <c r="S354" s="1" t="s">
        <v>40</v>
      </c>
      <c r="T354" s="1">
        <v>933.68</v>
      </c>
      <c r="U354" s="1" t="s">
        <v>41</v>
      </c>
      <c r="V354" s="1" t="s">
        <v>30</v>
      </c>
      <c r="W354" s="1" t="s">
        <v>37</v>
      </c>
      <c r="X354" s="1" t="s">
        <v>30</v>
      </c>
      <c r="Y354" s="1" t="s">
        <v>37</v>
      </c>
      <c r="Z354" s="1" t="s">
        <v>42</v>
      </c>
    </row>
    <row r="355" spans="1:26" ht="15.75" x14ac:dyDescent="0.25">
      <c r="A355" s="1" t="s">
        <v>26</v>
      </c>
      <c r="B355" s="1" t="s">
        <v>27</v>
      </c>
      <c r="C355" s="1" t="s">
        <v>751</v>
      </c>
      <c r="D355" s="1" t="s">
        <v>841</v>
      </c>
      <c r="E355" s="1" t="s">
        <v>30</v>
      </c>
      <c r="F355" s="1" t="s">
        <v>842</v>
      </c>
      <c r="G355" s="1" t="s">
        <v>45</v>
      </c>
      <c r="H355" s="1" t="s">
        <v>137</v>
      </c>
      <c r="I355" s="1" t="s">
        <v>147</v>
      </c>
      <c r="J355" s="1">
        <v>16.34</v>
      </c>
      <c r="K355" s="1" t="s">
        <v>839</v>
      </c>
      <c r="L355" s="1" t="s">
        <v>36</v>
      </c>
      <c r="M355" s="1">
        <v>6.05</v>
      </c>
      <c r="N355" s="1" t="s">
        <v>469</v>
      </c>
      <c r="O355" s="1" t="s">
        <v>38</v>
      </c>
      <c r="P355" s="1" t="s">
        <v>37</v>
      </c>
      <c r="Q355" s="1" t="s">
        <v>470</v>
      </c>
      <c r="R355" s="1" t="s">
        <v>843</v>
      </c>
      <c r="S355" s="1" t="s">
        <v>40</v>
      </c>
      <c r="T355" s="1">
        <v>933.68</v>
      </c>
      <c r="U355" s="1" t="s">
        <v>41</v>
      </c>
      <c r="V355" s="1" t="s">
        <v>30</v>
      </c>
      <c r="W355" s="1" t="s">
        <v>37</v>
      </c>
      <c r="X355" s="1" t="s">
        <v>30</v>
      </c>
      <c r="Y355" s="1" t="s">
        <v>37</v>
      </c>
      <c r="Z355" s="1" t="s">
        <v>42</v>
      </c>
    </row>
    <row r="356" spans="1:26" ht="15.75" x14ac:dyDescent="0.25">
      <c r="A356" s="1" t="s">
        <v>26</v>
      </c>
      <c r="B356" s="1" t="s">
        <v>27</v>
      </c>
      <c r="C356" s="1" t="s">
        <v>751</v>
      </c>
      <c r="D356" s="1" t="s">
        <v>844</v>
      </c>
      <c r="E356" s="1" t="s">
        <v>30</v>
      </c>
      <c r="F356" s="1" t="s">
        <v>845</v>
      </c>
      <c r="G356" s="1" t="s">
        <v>32</v>
      </c>
      <c r="H356" s="1" t="s">
        <v>846</v>
      </c>
      <c r="I356" s="1" t="s">
        <v>33</v>
      </c>
      <c r="J356" s="1">
        <v>36.29</v>
      </c>
      <c r="K356" s="1" t="s">
        <v>846</v>
      </c>
      <c r="L356" s="1" t="s">
        <v>36</v>
      </c>
      <c r="M356" s="1">
        <v>13.43</v>
      </c>
      <c r="N356" s="1" t="s">
        <v>95</v>
      </c>
      <c r="O356" s="1" t="s">
        <v>38</v>
      </c>
      <c r="P356" s="1" t="s">
        <v>37</v>
      </c>
      <c r="Q356" s="1" t="s">
        <v>96</v>
      </c>
      <c r="R356" s="1" t="s">
        <v>847</v>
      </c>
      <c r="S356" s="1" t="s">
        <v>40</v>
      </c>
      <c r="T356" s="1">
        <v>933.68</v>
      </c>
      <c r="U356" s="1" t="s">
        <v>41</v>
      </c>
      <c r="V356" s="1" t="s">
        <v>30</v>
      </c>
      <c r="W356" s="1" t="s">
        <v>37</v>
      </c>
      <c r="X356" s="1" t="s">
        <v>30</v>
      </c>
      <c r="Y356" s="1" t="s">
        <v>37</v>
      </c>
      <c r="Z356" s="1" t="s">
        <v>42</v>
      </c>
    </row>
    <row r="357" spans="1:26" ht="15.75" x14ac:dyDescent="0.25">
      <c r="A357" s="1" t="s">
        <v>26</v>
      </c>
      <c r="B357" s="1" t="s">
        <v>27</v>
      </c>
      <c r="C357" s="1" t="s">
        <v>751</v>
      </c>
      <c r="D357" s="1" t="s">
        <v>844</v>
      </c>
      <c r="E357" s="1" t="s">
        <v>30</v>
      </c>
      <c r="F357" s="1" t="s">
        <v>845</v>
      </c>
      <c r="G357" s="1" t="s">
        <v>43</v>
      </c>
      <c r="H357" s="1" t="s">
        <v>846</v>
      </c>
      <c r="I357" s="1" t="s">
        <v>33</v>
      </c>
      <c r="J357" s="1">
        <v>1.5</v>
      </c>
      <c r="K357" s="1" t="s">
        <v>846</v>
      </c>
      <c r="L357" s="1" t="s">
        <v>36</v>
      </c>
      <c r="M357" s="1">
        <v>0.55000000000000004</v>
      </c>
      <c r="N357" s="1" t="s">
        <v>95</v>
      </c>
      <c r="O357" s="1" t="s">
        <v>38</v>
      </c>
      <c r="P357" s="1" t="s">
        <v>37</v>
      </c>
      <c r="Q357" s="1" t="s">
        <v>96</v>
      </c>
      <c r="R357" s="1" t="s">
        <v>847</v>
      </c>
      <c r="S357" s="1" t="s">
        <v>40</v>
      </c>
      <c r="T357" s="1">
        <v>933.68</v>
      </c>
      <c r="U357" s="1" t="s">
        <v>41</v>
      </c>
      <c r="V357" s="1" t="s">
        <v>30</v>
      </c>
      <c r="W357" s="1" t="s">
        <v>37</v>
      </c>
      <c r="X357" s="1" t="s">
        <v>30</v>
      </c>
      <c r="Y357" s="1" t="s">
        <v>37</v>
      </c>
      <c r="Z357" s="1" t="s">
        <v>42</v>
      </c>
    </row>
    <row r="358" spans="1:26" ht="15.75" x14ac:dyDescent="0.25">
      <c r="A358" s="1" t="s">
        <v>26</v>
      </c>
      <c r="B358" s="1" t="s">
        <v>27</v>
      </c>
      <c r="C358" s="1" t="s">
        <v>751</v>
      </c>
      <c r="D358" s="1" t="s">
        <v>848</v>
      </c>
      <c r="E358" s="1" t="s">
        <v>30</v>
      </c>
      <c r="F358" s="1" t="s">
        <v>845</v>
      </c>
      <c r="G358" s="1" t="s">
        <v>45</v>
      </c>
      <c r="H358" s="1" t="s">
        <v>846</v>
      </c>
      <c r="I358" s="1" t="s">
        <v>33</v>
      </c>
      <c r="J358" s="1">
        <v>16.34</v>
      </c>
      <c r="K358" s="1" t="s">
        <v>846</v>
      </c>
      <c r="L358" s="1" t="s">
        <v>36</v>
      </c>
      <c r="M358" s="1">
        <v>6.05</v>
      </c>
      <c r="N358" s="1" t="s">
        <v>95</v>
      </c>
      <c r="O358" s="1" t="s">
        <v>38</v>
      </c>
      <c r="P358" s="1" t="s">
        <v>37</v>
      </c>
      <c r="Q358" s="1" t="s">
        <v>96</v>
      </c>
      <c r="R358" s="1" t="s">
        <v>847</v>
      </c>
      <c r="S358" s="1" t="s">
        <v>40</v>
      </c>
      <c r="T358" s="1">
        <v>933.68</v>
      </c>
      <c r="U358" s="1" t="s">
        <v>41</v>
      </c>
      <c r="V358" s="1" t="s">
        <v>30</v>
      </c>
      <c r="W358" s="1" t="s">
        <v>37</v>
      </c>
      <c r="X358" s="1" t="s">
        <v>30</v>
      </c>
      <c r="Y358" s="1" t="s">
        <v>37</v>
      </c>
      <c r="Z358" s="1" t="s">
        <v>42</v>
      </c>
    </row>
    <row r="359" spans="1:26" ht="15.75" x14ac:dyDescent="0.25">
      <c r="A359" s="1" t="s">
        <v>26</v>
      </c>
      <c r="B359" s="1" t="s">
        <v>27</v>
      </c>
      <c r="C359" s="1" t="s">
        <v>751</v>
      </c>
      <c r="D359" s="1" t="s">
        <v>849</v>
      </c>
      <c r="E359" s="1" t="s">
        <v>30</v>
      </c>
      <c r="F359" s="1" t="s">
        <v>850</v>
      </c>
      <c r="G359" s="1" t="s">
        <v>32</v>
      </c>
      <c r="H359" s="1" t="s">
        <v>81</v>
      </c>
      <c r="I359" s="1" t="s">
        <v>33</v>
      </c>
      <c r="J359" s="1">
        <v>-6.82</v>
      </c>
      <c r="K359" s="1" t="s">
        <v>81</v>
      </c>
      <c r="L359" s="1" t="s">
        <v>36</v>
      </c>
      <c r="M359" s="1">
        <v>-2.52</v>
      </c>
      <c r="N359" s="1" t="s">
        <v>721</v>
      </c>
      <c r="O359" s="1" t="s">
        <v>38</v>
      </c>
      <c r="P359" s="1" t="s">
        <v>37</v>
      </c>
      <c r="Q359" s="1" t="s">
        <v>722</v>
      </c>
      <c r="R359" s="1" t="s">
        <v>851</v>
      </c>
      <c r="S359" s="1" t="s">
        <v>40</v>
      </c>
      <c r="T359" s="1">
        <v>933.68</v>
      </c>
      <c r="U359" s="1" t="s">
        <v>41</v>
      </c>
      <c r="V359" s="1" t="s">
        <v>30</v>
      </c>
      <c r="W359" s="1" t="s">
        <v>37</v>
      </c>
      <c r="X359" s="1" t="s">
        <v>30</v>
      </c>
      <c r="Y359" s="1" t="s">
        <v>37</v>
      </c>
      <c r="Z359" s="1" t="s">
        <v>42</v>
      </c>
    </row>
    <row r="360" spans="1:26" ht="15.75" x14ac:dyDescent="0.25">
      <c r="A360" s="1" t="s">
        <v>26</v>
      </c>
      <c r="B360" s="1" t="s">
        <v>27</v>
      </c>
      <c r="C360" s="1" t="s">
        <v>751</v>
      </c>
      <c r="D360" s="1" t="s">
        <v>852</v>
      </c>
      <c r="E360" s="1" t="s">
        <v>30</v>
      </c>
      <c r="F360" s="1" t="s">
        <v>853</v>
      </c>
      <c r="G360" s="1" t="s">
        <v>32</v>
      </c>
      <c r="H360" s="1" t="s">
        <v>48</v>
      </c>
      <c r="I360" s="1" t="s">
        <v>33</v>
      </c>
      <c r="J360" s="1">
        <v>40.729999999999997</v>
      </c>
      <c r="K360" s="1" t="s">
        <v>48</v>
      </c>
      <c r="L360" s="1" t="s">
        <v>36</v>
      </c>
      <c r="M360" s="1">
        <v>15.07</v>
      </c>
      <c r="N360" s="1" t="s">
        <v>50</v>
      </c>
      <c r="O360" s="1" t="s">
        <v>38</v>
      </c>
      <c r="P360" s="1" t="s">
        <v>37</v>
      </c>
      <c r="Q360" s="1" t="s">
        <v>51</v>
      </c>
      <c r="R360" s="1" t="s">
        <v>854</v>
      </c>
      <c r="S360" s="1" t="s">
        <v>40</v>
      </c>
      <c r="T360" s="1">
        <v>933.68</v>
      </c>
      <c r="U360" s="1" t="s">
        <v>41</v>
      </c>
      <c r="V360" s="1" t="s">
        <v>30</v>
      </c>
      <c r="W360" s="1" t="s">
        <v>37</v>
      </c>
      <c r="X360" s="1" t="s">
        <v>30</v>
      </c>
      <c r="Y360" s="1" t="s">
        <v>37</v>
      </c>
      <c r="Z360" s="1" t="s">
        <v>42</v>
      </c>
    </row>
    <row r="361" spans="1:26" ht="15.75" x14ac:dyDescent="0.25">
      <c r="A361" s="1" t="s">
        <v>26</v>
      </c>
      <c r="B361" s="1" t="s">
        <v>27</v>
      </c>
      <c r="C361" s="1" t="s">
        <v>751</v>
      </c>
      <c r="D361" s="1" t="s">
        <v>855</v>
      </c>
      <c r="E361" s="1" t="s">
        <v>30</v>
      </c>
      <c r="F361" s="1" t="s">
        <v>856</v>
      </c>
      <c r="G361" s="1" t="s">
        <v>32</v>
      </c>
      <c r="H361" s="1" t="s">
        <v>62</v>
      </c>
      <c r="I361" s="1" t="s">
        <v>48</v>
      </c>
      <c r="J361" s="1">
        <v>42.35</v>
      </c>
      <c r="K361" s="1" t="s">
        <v>62</v>
      </c>
      <c r="L361" s="1" t="s">
        <v>36</v>
      </c>
      <c r="M361" s="1">
        <v>15.67</v>
      </c>
      <c r="N361" s="1" t="s">
        <v>174</v>
      </c>
      <c r="O361" s="1" t="s">
        <v>38</v>
      </c>
      <c r="P361" s="1" t="s">
        <v>37</v>
      </c>
      <c r="Q361" s="1" t="s">
        <v>175</v>
      </c>
      <c r="R361" s="1" t="s">
        <v>857</v>
      </c>
      <c r="S361" s="1" t="s">
        <v>40</v>
      </c>
      <c r="T361" s="1">
        <v>933.68</v>
      </c>
      <c r="U361" s="1" t="s">
        <v>41</v>
      </c>
      <c r="V361" s="1" t="s">
        <v>30</v>
      </c>
      <c r="W361" s="1" t="s">
        <v>37</v>
      </c>
      <c r="X361" s="1" t="s">
        <v>30</v>
      </c>
      <c r="Y361" s="1" t="s">
        <v>37</v>
      </c>
      <c r="Z361" s="1" t="s">
        <v>42</v>
      </c>
    </row>
    <row r="362" spans="1:26" ht="15.75" x14ac:dyDescent="0.25">
      <c r="A362" s="1" t="s">
        <v>26</v>
      </c>
      <c r="B362" s="1" t="s">
        <v>27</v>
      </c>
      <c r="C362" s="1" t="s">
        <v>751</v>
      </c>
      <c r="D362" s="1" t="s">
        <v>855</v>
      </c>
      <c r="E362" s="1" t="s">
        <v>30</v>
      </c>
      <c r="F362" s="1" t="s">
        <v>856</v>
      </c>
      <c r="G362" s="1" t="s">
        <v>43</v>
      </c>
      <c r="H362" s="1" t="s">
        <v>62</v>
      </c>
      <c r="I362" s="1" t="s">
        <v>48</v>
      </c>
      <c r="J362" s="1">
        <v>1.5</v>
      </c>
      <c r="K362" s="1" t="s">
        <v>62</v>
      </c>
      <c r="L362" s="1" t="s">
        <v>36</v>
      </c>
      <c r="M362" s="1">
        <v>0.55000000000000004</v>
      </c>
      <c r="N362" s="1" t="s">
        <v>174</v>
      </c>
      <c r="O362" s="1" t="s">
        <v>38</v>
      </c>
      <c r="P362" s="1" t="s">
        <v>37</v>
      </c>
      <c r="Q362" s="1" t="s">
        <v>175</v>
      </c>
      <c r="R362" s="1" t="s">
        <v>857</v>
      </c>
      <c r="S362" s="1" t="s">
        <v>40</v>
      </c>
      <c r="T362" s="1">
        <v>933.68</v>
      </c>
      <c r="U362" s="1" t="s">
        <v>41</v>
      </c>
      <c r="V362" s="1" t="s">
        <v>30</v>
      </c>
      <c r="W362" s="1" t="s">
        <v>37</v>
      </c>
      <c r="X362" s="1" t="s">
        <v>30</v>
      </c>
      <c r="Y362" s="1" t="s">
        <v>37</v>
      </c>
      <c r="Z362" s="1" t="s">
        <v>42</v>
      </c>
    </row>
    <row r="363" spans="1:26" ht="15.75" x14ac:dyDescent="0.25">
      <c r="A363" s="1" t="s">
        <v>26</v>
      </c>
      <c r="B363" s="1" t="s">
        <v>27</v>
      </c>
      <c r="C363" s="1" t="s">
        <v>751</v>
      </c>
      <c r="D363" s="1" t="s">
        <v>858</v>
      </c>
      <c r="E363" s="1" t="s">
        <v>30</v>
      </c>
      <c r="F363" s="1" t="s">
        <v>859</v>
      </c>
      <c r="G363" s="1" t="s">
        <v>32</v>
      </c>
      <c r="H363" s="1" t="s">
        <v>62</v>
      </c>
      <c r="I363" s="1" t="s">
        <v>48</v>
      </c>
      <c r="J363" s="1">
        <v>44.03</v>
      </c>
      <c r="K363" s="1" t="s">
        <v>62</v>
      </c>
      <c r="L363" s="1" t="s">
        <v>36</v>
      </c>
      <c r="M363" s="1">
        <v>16.29</v>
      </c>
      <c r="N363" s="1" t="s">
        <v>555</v>
      </c>
      <c r="O363" s="1" t="s">
        <v>38</v>
      </c>
      <c r="P363" s="1" t="s">
        <v>37</v>
      </c>
      <c r="Q363" s="1" t="s">
        <v>556</v>
      </c>
      <c r="R363" s="1" t="s">
        <v>860</v>
      </c>
      <c r="S363" s="1" t="s">
        <v>40</v>
      </c>
      <c r="T363" s="1">
        <v>933.68</v>
      </c>
      <c r="U363" s="1" t="s">
        <v>41</v>
      </c>
      <c r="V363" s="1" t="s">
        <v>30</v>
      </c>
      <c r="W363" s="1" t="s">
        <v>37</v>
      </c>
      <c r="X363" s="1" t="s">
        <v>30</v>
      </c>
      <c r="Y363" s="1" t="s">
        <v>37</v>
      </c>
      <c r="Z363" s="1" t="s">
        <v>42</v>
      </c>
    </row>
    <row r="364" spans="1:26" ht="15.75" x14ac:dyDescent="0.25">
      <c r="A364" s="1" t="s">
        <v>26</v>
      </c>
      <c r="B364" s="1" t="s">
        <v>27</v>
      </c>
      <c r="C364" s="1" t="s">
        <v>751</v>
      </c>
      <c r="D364" s="1" t="s">
        <v>858</v>
      </c>
      <c r="E364" s="1" t="s">
        <v>30</v>
      </c>
      <c r="F364" s="1" t="s">
        <v>859</v>
      </c>
      <c r="G364" s="1" t="s">
        <v>43</v>
      </c>
      <c r="H364" s="1" t="s">
        <v>62</v>
      </c>
      <c r="I364" s="1" t="s">
        <v>48</v>
      </c>
      <c r="J364" s="1">
        <v>1.5</v>
      </c>
      <c r="K364" s="1" t="s">
        <v>62</v>
      </c>
      <c r="L364" s="1" t="s">
        <v>36</v>
      </c>
      <c r="M364" s="1">
        <v>0.56000000000000005</v>
      </c>
      <c r="N364" s="1" t="s">
        <v>555</v>
      </c>
      <c r="O364" s="1" t="s">
        <v>38</v>
      </c>
      <c r="P364" s="1" t="s">
        <v>37</v>
      </c>
      <c r="Q364" s="1" t="s">
        <v>556</v>
      </c>
      <c r="R364" s="1" t="s">
        <v>860</v>
      </c>
      <c r="S364" s="1" t="s">
        <v>40</v>
      </c>
      <c r="T364" s="1">
        <v>933.68</v>
      </c>
      <c r="U364" s="1" t="s">
        <v>41</v>
      </c>
      <c r="V364" s="1" t="s">
        <v>30</v>
      </c>
      <c r="W364" s="1" t="s">
        <v>37</v>
      </c>
      <c r="X364" s="1" t="s">
        <v>30</v>
      </c>
      <c r="Y364" s="1" t="s">
        <v>37</v>
      </c>
      <c r="Z364" s="1" t="s">
        <v>42</v>
      </c>
    </row>
    <row r="365" spans="1:26" ht="15.75" x14ac:dyDescent="0.25">
      <c r="A365" s="1" t="s">
        <v>26</v>
      </c>
      <c r="B365" s="1" t="s">
        <v>27</v>
      </c>
      <c r="C365" s="1" t="s">
        <v>751</v>
      </c>
      <c r="D365" s="1" t="s">
        <v>861</v>
      </c>
      <c r="E365" s="1" t="s">
        <v>30</v>
      </c>
      <c r="F365" s="1" t="s">
        <v>862</v>
      </c>
      <c r="G365" s="1" t="s">
        <v>45</v>
      </c>
      <c r="H365" s="1" t="s">
        <v>86</v>
      </c>
      <c r="I365" s="1" t="s">
        <v>48</v>
      </c>
      <c r="J365" s="1">
        <v>11.88</v>
      </c>
      <c r="K365" s="1" t="s">
        <v>86</v>
      </c>
      <c r="L365" s="1" t="s">
        <v>36</v>
      </c>
      <c r="M365" s="1">
        <v>4.4000000000000004</v>
      </c>
      <c r="N365" s="1" t="s">
        <v>432</v>
      </c>
      <c r="O365" s="1" t="s">
        <v>38</v>
      </c>
      <c r="P365" s="1" t="s">
        <v>37</v>
      </c>
      <c r="Q365" s="1" t="s">
        <v>433</v>
      </c>
      <c r="R365" s="1" t="s">
        <v>863</v>
      </c>
      <c r="S365" s="1" t="s">
        <v>40</v>
      </c>
      <c r="T365" s="1">
        <v>933.68</v>
      </c>
      <c r="U365" s="1" t="s">
        <v>41</v>
      </c>
      <c r="V365" s="1" t="s">
        <v>30</v>
      </c>
      <c r="W365" s="1" t="s">
        <v>37</v>
      </c>
      <c r="X365" s="1" t="s">
        <v>30</v>
      </c>
      <c r="Y365" s="1" t="s">
        <v>37</v>
      </c>
      <c r="Z365" s="1" t="s">
        <v>42</v>
      </c>
    </row>
    <row r="366" spans="1:26" ht="15.75" x14ac:dyDescent="0.25">
      <c r="A366" s="1" t="s">
        <v>26</v>
      </c>
      <c r="B366" s="1" t="s">
        <v>27</v>
      </c>
      <c r="C366" s="1" t="s">
        <v>751</v>
      </c>
      <c r="D366" s="1" t="s">
        <v>864</v>
      </c>
      <c r="E366" s="1" t="s">
        <v>30</v>
      </c>
      <c r="F366" s="1" t="s">
        <v>865</v>
      </c>
      <c r="G366" s="1" t="s">
        <v>32</v>
      </c>
      <c r="H366" s="1" t="s">
        <v>93</v>
      </c>
      <c r="I366" s="1" t="s">
        <v>33</v>
      </c>
      <c r="J366" s="1">
        <v>-42.35</v>
      </c>
      <c r="K366" s="1" t="s">
        <v>93</v>
      </c>
      <c r="L366" s="1" t="s">
        <v>36</v>
      </c>
      <c r="M366" s="1">
        <v>-15.67</v>
      </c>
      <c r="N366" s="1" t="s">
        <v>336</v>
      </c>
      <c r="O366" s="1" t="s">
        <v>38</v>
      </c>
      <c r="P366" s="1" t="s">
        <v>37</v>
      </c>
      <c r="Q366" s="1" t="s">
        <v>337</v>
      </c>
      <c r="R366" s="1" t="s">
        <v>866</v>
      </c>
      <c r="S366" s="1" t="s">
        <v>40</v>
      </c>
      <c r="T366" s="1">
        <v>933.68</v>
      </c>
      <c r="U366" s="1" t="s">
        <v>41</v>
      </c>
      <c r="V366" s="1" t="s">
        <v>30</v>
      </c>
      <c r="W366" s="1" t="s">
        <v>37</v>
      </c>
      <c r="X366" s="1" t="s">
        <v>30</v>
      </c>
      <c r="Y366" s="1" t="s">
        <v>37</v>
      </c>
      <c r="Z366" s="1" t="s">
        <v>42</v>
      </c>
    </row>
    <row r="367" spans="1:26" ht="15.75" x14ac:dyDescent="0.25">
      <c r="A367" s="1" t="s">
        <v>26</v>
      </c>
      <c r="B367" s="1" t="s">
        <v>27</v>
      </c>
      <c r="C367" s="1" t="s">
        <v>751</v>
      </c>
      <c r="D367" s="1" t="s">
        <v>864</v>
      </c>
      <c r="E367" s="1" t="s">
        <v>30</v>
      </c>
      <c r="F367" s="1" t="s">
        <v>865</v>
      </c>
      <c r="G367" s="1" t="s">
        <v>43</v>
      </c>
      <c r="H367" s="1" t="s">
        <v>93</v>
      </c>
      <c r="I367" s="1" t="s">
        <v>33</v>
      </c>
      <c r="J367" s="1">
        <v>-1.5</v>
      </c>
      <c r="K367" s="1" t="s">
        <v>93</v>
      </c>
      <c r="L367" s="1" t="s">
        <v>36</v>
      </c>
      <c r="M367" s="1">
        <v>-0.55000000000000004</v>
      </c>
      <c r="N367" s="1" t="s">
        <v>336</v>
      </c>
      <c r="O367" s="1" t="s">
        <v>38</v>
      </c>
      <c r="P367" s="1" t="s">
        <v>37</v>
      </c>
      <c r="Q367" s="1" t="s">
        <v>337</v>
      </c>
      <c r="R367" s="1" t="s">
        <v>866</v>
      </c>
      <c r="S367" s="1" t="s">
        <v>40</v>
      </c>
      <c r="T367" s="1">
        <v>933.68</v>
      </c>
      <c r="U367" s="1" t="s">
        <v>41</v>
      </c>
      <c r="V367" s="1" t="s">
        <v>30</v>
      </c>
      <c r="W367" s="1" t="s">
        <v>37</v>
      </c>
      <c r="X367" s="1" t="s">
        <v>30</v>
      </c>
      <c r="Y367" s="1" t="s">
        <v>37</v>
      </c>
      <c r="Z367" s="1" t="s">
        <v>42</v>
      </c>
    </row>
    <row r="368" spans="1:26" ht="15.75" x14ac:dyDescent="0.25">
      <c r="A368" s="1" t="s">
        <v>26</v>
      </c>
      <c r="B368" s="1" t="s">
        <v>27</v>
      </c>
      <c r="C368" s="1" t="s">
        <v>751</v>
      </c>
      <c r="D368" s="1" t="s">
        <v>864</v>
      </c>
      <c r="E368" s="1" t="s">
        <v>30</v>
      </c>
      <c r="F368" s="1" t="s">
        <v>865</v>
      </c>
      <c r="G368" s="1" t="s">
        <v>32</v>
      </c>
      <c r="H368" s="1" t="s">
        <v>93</v>
      </c>
      <c r="I368" s="1" t="s">
        <v>147</v>
      </c>
      <c r="J368" s="1">
        <v>43.85</v>
      </c>
      <c r="K368" s="1" t="s">
        <v>93</v>
      </c>
      <c r="L368" s="1" t="s">
        <v>36</v>
      </c>
      <c r="M368" s="1">
        <v>16.22</v>
      </c>
      <c r="N368" s="1" t="s">
        <v>336</v>
      </c>
      <c r="O368" s="1" t="s">
        <v>38</v>
      </c>
      <c r="P368" s="1" t="s">
        <v>37</v>
      </c>
      <c r="Q368" s="1" t="s">
        <v>337</v>
      </c>
      <c r="R368" s="1" t="s">
        <v>866</v>
      </c>
      <c r="S368" s="1" t="s">
        <v>40</v>
      </c>
      <c r="T368" s="1">
        <v>933.68</v>
      </c>
      <c r="U368" s="1" t="s">
        <v>41</v>
      </c>
      <c r="V368" s="1" t="s">
        <v>30</v>
      </c>
      <c r="W368" s="1" t="s">
        <v>37</v>
      </c>
      <c r="X368" s="1" t="s">
        <v>30</v>
      </c>
      <c r="Y368" s="1" t="s">
        <v>37</v>
      </c>
      <c r="Z368" s="1" t="s">
        <v>42</v>
      </c>
    </row>
    <row r="369" spans="1:26" ht="15.75" x14ac:dyDescent="0.25">
      <c r="A369" s="1" t="s">
        <v>26</v>
      </c>
      <c r="B369" s="1" t="s">
        <v>27</v>
      </c>
      <c r="C369" s="1" t="s">
        <v>751</v>
      </c>
      <c r="D369" s="1" t="s">
        <v>867</v>
      </c>
      <c r="E369" s="1" t="s">
        <v>30</v>
      </c>
      <c r="F369" s="1" t="s">
        <v>868</v>
      </c>
      <c r="G369" s="1" t="s">
        <v>32</v>
      </c>
      <c r="H369" s="1" t="s">
        <v>86</v>
      </c>
      <c r="I369" s="1" t="s">
        <v>48</v>
      </c>
      <c r="J369" s="1">
        <v>17.27</v>
      </c>
      <c r="K369" s="1" t="s">
        <v>86</v>
      </c>
      <c r="L369" s="1" t="s">
        <v>36</v>
      </c>
      <c r="M369" s="1">
        <v>6.39</v>
      </c>
      <c r="N369" s="1" t="s">
        <v>139</v>
      </c>
      <c r="O369" s="1" t="s">
        <v>38</v>
      </c>
      <c r="P369" s="1" t="s">
        <v>37</v>
      </c>
      <c r="Q369" s="1" t="s">
        <v>140</v>
      </c>
      <c r="R369" s="1" t="s">
        <v>869</v>
      </c>
      <c r="S369" s="1" t="s">
        <v>40</v>
      </c>
      <c r="T369" s="1">
        <v>933.68</v>
      </c>
      <c r="U369" s="1" t="s">
        <v>41</v>
      </c>
      <c r="V369" s="1" t="s">
        <v>30</v>
      </c>
      <c r="W369" s="1" t="s">
        <v>37</v>
      </c>
      <c r="X369" s="1" t="s">
        <v>30</v>
      </c>
      <c r="Y369" s="1" t="s">
        <v>37</v>
      </c>
      <c r="Z369" s="1" t="s">
        <v>42</v>
      </c>
    </row>
    <row r="370" spans="1:26" ht="15.75" x14ac:dyDescent="0.25">
      <c r="A370" s="1" t="s">
        <v>26</v>
      </c>
      <c r="B370" s="1" t="s">
        <v>27</v>
      </c>
      <c r="C370" s="1" t="s">
        <v>870</v>
      </c>
      <c r="D370" s="1" t="s">
        <v>871</v>
      </c>
      <c r="E370" s="1" t="s">
        <v>30</v>
      </c>
      <c r="F370" s="1" t="s">
        <v>872</v>
      </c>
      <c r="G370" s="1" t="s">
        <v>32</v>
      </c>
      <c r="H370" s="1" t="s">
        <v>48</v>
      </c>
      <c r="I370" s="1" t="s">
        <v>33</v>
      </c>
      <c r="J370" s="1">
        <v>23.54</v>
      </c>
      <c r="K370" s="1" t="s">
        <v>873</v>
      </c>
      <c r="L370" s="1" t="s">
        <v>36</v>
      </c>
      <c r="M370" s="1">
        <v>0.47</v>
      </c>
      <c r="N370" s="1" t="s">
        <v>37</v>
      </c>
      <c r="O370" s="1" t="s">
        <v>38</v>
      </c>
      <c r="P370" s="1" t="s">
        <v>37</v>
      </c>
      <c r="Q370" s="1" t="s">
        <v>37</v>
      </c>
      <c r="R370" s="1" t="s">
        <v>874</v>
      </c>
      <c r="S370" s="1" t="s">
        <v>40</v>
      </c>
      <c r="T370" s="1">
        <v>933.68</v>
      </c>
      <c r="U370" s="1" t="s">
        <v>41</v>
      </c>
      <c r="V370" s="1" t="s">
        <v>30</v>
      </c>
      <c r="W370" s="1" t="s">
        <v>37</v>
      </c>
      <c r="X370" s="1" t="s">
        <v>30</v>
      </c>
      <c r="Y370" s="1" t="s">
        <v>37</v>
      </c>
      <c r="Z370" s="1" t="s">
        <v>42</v>
      </c>
    </row>
    <row r="371" spans="1:26" ht="15.75" x14ac:dyDescent="0.25">
      <c r="A371" s="1" t="s">
        <v>26</v>
      </c>
      <c r="B371" s="1" t="s">
        <v>27</v>
      </c>
      <c r="C371" s="1" t="s">
        <v>875</v>
      </c>
      <c r="D371" s="1" t="s">
        <v>876</v>
      </c>
      <c r="E371" s="1" t="s">
        <v>30</v>
      </c>
      <c r="F371" s="1" t="s">
        <v>877</v>
      </c>
      <c r="G371" s="1" t="s">
        <v>32</v>
      </c>
      <c r="H371" s="1" t="s">
        <v>137</v>
      </c>
      <c r="I371" s="1" t="s">
        <v>147</v>
      </c>
      <c r="J371" s="1">
        <v>45.97</v>
      </c>
      <c r="K371" s="1" t="s">
        <v>878</v>
      </c>
      <c r="L371" s="1" t="s">
        <v>36</v>
      </c>
      <c r="M371" s="1">
        <v>0.92</v>
      </c>
      <c r="N371" s="1" t="s">
        <v>37</v>
      </c>
      <c r="O371" s="1" t="s">
        <v>38</v>
      </c>
      <c r="P371" s="1" t="s">
        <v>37</v>
      </c>
      <c r="Q371" s="1" t="s">
        <v>37</v>
      </c>
      <c r="R371" s="1" t="s">
        <v>879</v>
      </c>
      <c r="S371" s="1" t="s">
        <v>40</v>
      </c>
      <c r="T371" s="1">
        <v>933.68</v>
      </c>
      <c r="U371" s="1" t="s">
        <v>41</v>
      </c>
      <c r="V371" s="1" t="s">
        <v>30</v>
      </c>
      <c r="W371" s="1" t="s">
        <v>37</v>
      </c>
      <c r="X371" s="1" t="s">
        <v>30</v>
      </c>
      <c r="Y371" s="1" t="s">
        <v>37</v>
      </c>
      <c r="Z371" s="1" t="s">
        <v>42</v>
      </c>
    </row>
    <row r="372" spans="1:26" ht="15.75" x14ac:dyDescent="0.25">
      <c r="A372" s="1" t="s">
        <v>26</v>
      </c>
      <c r="B372" s="1" t="s">
        <v>27</v>
      </c>
      <c r="C372" s="1" t="s">
        <v>880</v>
      </c>
      <c r="D372" s="1" t="s">
        <v>881</v>
      </c>
      <c r="E372" s="1" t="s">
        <v>30</v>
      </c>
      <c r="F372" s="1" t="s">
        <v>877</v>
      </c>
      <c r="G372" s="1" t="s">
        <v>45</v>
      </c>
      <c r="H372" s="1" t="s">
        <v>137</v>
      </c>
      <c r="I372" s="1" t="s">
        <v>147</v>
      </c>
      <c r="J372" s="1">
        <v>10.67</v>
      </c>
      <c r="K372" s="1" t="s">
        <v>878</v>
      </c>
      <c r="L372" s="1" t="s">
        <v>36</v>
      </c>
      <c r="M372" s="1">
        <v>0.21</v>
      </c>
      <c r="N372" s="1" t="s">
        <v>37</v>
      </c>
      <c r="O372" s="1" t="s">
        <v>38</v>
      </c>
      <c r="P372" s="1" t="s">
        <v>37</v>
      </c>
      <c r="Q372" s="1" t="s">
        <v>37</v>
      </c>
      <c r="R372" s="1" t="s">
        <v>879</v>
      </c>
      <c r="S372" s="1" t="s">
        <v>40</v>
      </c>
      <c r="T372" s="1">
        <v>933.68</v>
      </c>
      <c r="U372" s="1" t="s">
        <v>41</v>
      </c>
      <c r="V372" s="1" t="s">
        <v>30</v>
      </c>
      <c r="W372" s="1" t="s">
        <v>37</v>
      </c>
      <c r="X372" s="1" t="s">
        <v>30</v>
      </c>
      <c r="Y372" s="1" t="s">
        <v>37</v>
      </c>
      <c r="Z372" s="1" t="s">
        <v>42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65E7-7C16-4A8A-805F-7979ADB46042}">
  <dimension ref="A1:Q366"/>
  <sheetViews>
    <sheetView tabSelected="1" topLeftCell="A61" workbookViewId="0">
      <selection activeCell="A89" sqref="A89"/>
    </sheetView>
  </sheetViews>
  <sheetFormatPr defaultRowHeight="12.75" x14ac:dyDescent="0.2"/>
  <cols>
    <col min="1" max="1" width="8.7109375" bestFit="1" customWidth="1"/>
    <col min="2" max="2" width="30" bestFit="1" customWidth="1"/>
    <col min="3" max="3" width="29.140625" bestFit="1" customWidth="1"/>
    <col min="4" max="4" width="31.5703125" bestFit="1" customWidth="1"/>
    <col min="5" max="5" width="20.140625" bestFit="1" customWidth="1"/>
    <col min="6" max="6" width="8.42578125" style="10" bestFit="1" customWidth="1"/>
    <col min="7" max="7" width="10.140625" style="10" bestFit="1" customWidth="1"/>
    <col min="8" max="8" width="16" bestFit="1" customWidth="1"/>
    <col min="9" max="9" width="12.5703125" bestFit="1" customWidth="1"/>
    <col min="10" max="10" width="16" customWidth="1"/>
    <col min="11" max="11" width="19" bestFit="1" customWidth="1"/>
    <col min="12" max="12" width="25.5703125" bestFit="1" customWidth="1"/>
    <col min="13" max="13" width="12.140625" bestFit="1" customWidth="1"/>
    <col min="14" max="14" width="9.5703125" bestFit="1" customWidth="1"/>
    <col min="15" max="15" width="11.28515625" bestFit="1" customWidth="1"/>
    <col min="16" max="16" width="17.7109375" bestFit="1" customWidth="1"/>
    <col min="17" max="17" width="7.5703125" style="8" bestFit="1" customWidth="1"/>
    <col min="18" max="16384" width="9.140625" style="8"/>
  </cols>
  <sheetData>
    <row r="1" spans="1:16" ht="15.75" x14ac:dyDescent="0.25">
      <c r="A1" s="2" t="s">
        <v>3</v>
      </c>
      <c r="B1" s="2" t="s">
        <v>5</v>
      </c>
      <c r="C1" s="2" t="s">
        <v>925</v>
      </c>
      <c r="D1" s="2" t="s">
        <v>10</v>
      </c>
      <c r="E1" s="2" t="s">
        <v>8</v>
      </c>
      <c r="F1" s="9" t="s">
        <v>884</v>
      </c>
      <c r="G1" s="9" t="s">
        <v>920</v>
      </c>
      <c r="H1" s="2" t="s">
        <v>9</v>
      </c>
      <c r="I1" s="2" t="s">
        <v>12</v>
      </c>
      <c r="J1" s="2" t="s">
        <v>924</v>
      </c>
      <c r="K1" s="2" t="s">
        <v>11</v>
      </c>
      <c r="L1" s="2" t="s">
        <v>13</v>
      </c>
      <c r="M1" s="2" t="s">
        <v>14</v>
      </c>
      <c r="N1" s="2" t="s">
        <v>15</v>
      </c>
      <c r="O1" s="2" t="s">
        <v>17</v>
      </c>
      <c r="P1" s="2" t="s">
        <v>25</v>
      </c>
    </row>
    <row r="2" spans="1:16" ht="15.75" x14ac:dyDescent="0.25">
      <c r="A2" s="11">
        <v>89214</v>
      </c>
      <c r="B2" s="16" t="s">
        <v>277</v>
      </c>
      <c r="C2" s="16" t="s">
        <v>926</v>
      </c>
      <c r="D2" s="17">
        <v>45488</v>
      </c>
      <c r="E2" s="17">
        <v>45917</v>
      </c>
      <c r="F2" s="11">
        <f>DATEDIF(D2,E2,"M")</f>
        <v>14</v>
      </c>
      <c r="G2" s="11" t="s">
        <v>921</v>
      </c>
      <c r="H2" s="16">
        <v>16.34</v>
      </c>
      <c r="I2" s="16">
        <v>0.65</v>
      </c>
      <c r="J2" s="20">
        <f>SUM(I2/H2)</f>
        <v>3.9779681762545899E-2</v>
      </c>
      <c r="K2" s="16">
        <v>19278370</v>
      </c>
      <c r="L2" s="16" t="s">
        <v>894</v>
      </c>
      <c r="M2" s="16" t="s">
        <v>38</v>
      </c>
      <c r="N2" s="16" t="s">
        <v>37</v>
      </c>
      <c r="O2" s="11">
        <v>847624965</v>
      </c>
      <c r="P2" s="11">
        <v>2</v>
      </c>
    </row>
    <row r="3" spans="1:16" ht="15.75" x14ac:dyDescent="0.25">
      <c r="A3" s="11">
        <v>24265</v>
      </c>
      <c r="B3" s="16" t="s">
        <v>343</v>
      </c>
      <c r="C3" s="16" t="s">
        <v>926</v>
      </c>
      <c r="D3" s="17">
        <v>45520</v>
      </c>
      <c r="E3" s="17">
        <v>45918</v>
      </c>
      <c r="F3" s="11">
        <f>DATEDIF(D3,E3,"M")</f>
        <v>13</v>
      </c>
      <c r="G3" s="11" t="s">
        <v>921</v>
      </c>
      <c r="H3" s="16">
        <v>16.34</v>
      </c>
      <c r="I3" s="16">
        <v>0.65</v>
      </c>
      <c r="J3" s="20">
        <f>SUM(I3/H3)</f>
        <v>3.9779681762545899E-2</v>
      </c>
      <c r="K3" s="16">
        <v>19681796</v>
      </c>
      <c r="L3" s="16" t="s">
        <v>916</v>
      </c>
      <c r="M3" s="16" t="s">
        <v>38</v>
      </c>
      <c r="N3" s="16" t="s">
        <v>37</v>
      </c>
      <c r="O3" s="11">
        <v>847644465</v>
      </c>
      <c r="P3" s="11">
        <v>2</v>
      </c>
    </row>
    <row r="4" spans="1:16" ht="15.75" x14ac:dyDescent="0.25">
      <c r="A4" s="11">
        <v>54518</v>
      </c>
      <c r="B4" s="16" t="s">
        <v>386</v>
      </c>
      <c r="C4" s="16" t="s">
        <v>926</v>
      </c>
      <c r="D4" s="17">
        <v>45552</v>
      </c>
      <c r="E4" s="17">
        <v>45919</v>
      </c>
      <c r="F4" s="11">
        <f>DATEDIF(D4,E4,"M")</f>
        <v>12</v>
      </c>
      <c r="G4" s="11" t="s">
        <v>921</v>
      </c>
      <c r="H4" s="16">
        <v>16.34</v>
      </c>
      <c r="I4" s="16">
        <v>0.65</v>
      </c>
      <c r="J4" s="20">
        <f>SUM(I4/H4)</f>
        <v>3.9779681762545899E-2</v>
      </c>
      <c r="K4" s="16">
        <v>17528908</v>
      </c>
      <c r="L4" s="16" t="s">
        <v>893</v>
      </c>
      <c r="M4" s="16" t="s">
        <v>38</v>
      </c>
      <c r="N4" s="16" t="s">
        <v>37</v>
      </c>
      <c r="O4" s="11">
        <v>847661149</v>
      </c>
      <c r="P4" s="11">
        <v>2</v>
      </c>
    </row>
    <row r="5" spans="1:16" ht="15.75" x14ac:dyDescent="0.25">
      <c r="A5" s="3">
        <v>77736</v>
      </c>
      <c r="B5" s="1" t="s">
        <v>156</v>
      </c>
      <c r="C5" s="1" t="s">
        <v>926</v>
      </c>
      <c r="D5" s="4">
        <v>45302</v>
      </c>
      <c r="E5" s="4">
        <v>45915</v>
      </c>
      <c r="F5" s="11">
        <f>DATEDIF(D5,E5,"M")</f>
        <v>20</v>
      </c>
      <c r="G5" s="11" t="s">
        <v>921</v>
      </c>
      <c r="H5" s="1">
        <v>16.34</v>
      </c>
      <c r="I5" s="1">
        <v>0.65</v>
      </c>
      <c r="J5" s="20">
        <f>SUM(I5/H5)</f>
        <v>3.9779681762545899E-2</v>
      </c>
      <c r="K5" s="1">
        <v>17528908</v>
      </c>
      <c r="L5" s="1" t="s">
        <v>893</v>
      </c>
      <c r="M5" s="1" t="s">
        <v>38</v>
      </c>
      <c r="N5" s="1" t="s">
        <v>37</v>
      </c>
      <c r="O5" s="3">
        <v>847500372</v>
      </c>
      <c r="P5" s="3">
        <v>2</v>
      </c>
    </row>
    <row r="6" spans="1:16" ht="15.75" x14ac:dyDescent="0.25">
      <c r="A6" s="3">
        <v>85109</v>
      </c>
      <c r="B6" s="1" t="s">
        <v>178</v>
      </c>
      <c r="C6" s="1" t="s">
        <v>926</v>
      </c>
      <c r="D6" s="4">
        <v>45308</v>
      </c>
      <c r="E6" s="4">
        <v>45919</v>
      </c>
      <c r="F6" s="11">
        <f>DATEDIF(D6,E6,"M")</f>
        <v>20</v>
      </c>
      <c r="G6" s="11" t="s">
        <v>921</v>
      </c>
      <c r="H6" s="1">
        <v>16.34</v>
      </c>
      <c r="I6" s="1">
        <v>0.65</v>
      </c>
      <c r="J6" s="20">
        <f>SUM(I6/H6)</f>
        <v>3.9779681762545899E-2</v>
      </c>
      <c r="K6" s="1">
        <v>18710070</v>
      </c>
      <c r="L6" s="1" t="s">
        <v>912</v>
      </c>
      <c r="M6" s="1" t="s">
        <v>38</v>
      </c>
      <c r="N6" s="1" t="s">
        <v>37</v>
      </c>
      <c r="O6" s="3">
        <v>847504766</v>
      </c>
      <c r="P6" s="3">
        <v>2</v>
      </c>
    </row>
    <row r="7" spans="1:16" ht="15.75" x14ac:dyDescent="0.25">
      <c r="A7" s="11">
        <v>94064</v>
      </c>
      <c r="B7" s="16" t="s">
        <v>301</v>
      </c>
      <c r="C7" s="16" t="s">
        <v>926</v>
      </c>
      <c r="D7" s="17">
        <v>45490</v>
      </c>
      <c r="E7" s="17">
        <v>45919</v>
      </c>
      <c r="F7" s="11">
        <f>DATEDIF(D7,E7,"M")</f>
        <v>14</v>
      </c>
      <c r="G7" s="11" t="s">
        <v>921</v>
      </c>
      <c r="H7" s="16">
        <v>16.34</v>
      </c>
      <c r="I7" s="16">
        <v>0.65</v>
      </c>
      <c r="J7" s="20">
        <f>SUM(I7/H7)</f>
        <v>3.9779681762545899E-2</v>
      </c>
      <c r="K7" s="16">
        <v>16509456</v>
      </c>
      <c r="L7" s="16" t="s">
        <v>900</v>
      </c>
      <c r="M7" s="16" t="s">
        <v>38</v>
      </c>
      <c r="N7" s="16" t="s">
        <v>37</v>
      </c>
      <c r="O7" s="11">
        <v>847627827</v>
      </c>
      <c r="P7" s="11">
        <v>2</v>
      </c>
    </row>
    <row r="8" spans="1:16" ht="15.75" x14ac:dyDescent="0.25">
      <c r="A8" s="11">
        <v>85201</v>
      </c>
      <c r="B8" s="16" t="s">
        <v>185</v>
      </c>
      <c r="C8" s="16" t="s">
        <v>926</v>
      </c>
      <c r="D8" s="17">
        <v>45308</v>
      </c>
      <c r="E8" s="17">
        <v>45919</v>
      </c>
      <c r="F8" s="11">
        <f>DATEDIF(D8,E8,"M")</f>
        <v>20</v>
      </c>
      <c r="G8" s="11" t="s">
        <v>921</v>
      </c>
      <c r="H8" s="16">
        <v>16.34</v>
      </c>
      <c r="I8" s="16">
        <v>0.65</v>
      </c>
      <c r="J8" s="20">
        <f>SUM(I8/H8)</f>
        <v>3.9779681762545899E-2</v>
      </c>
      <c r="K8" s="16">
        <v>8971826</v>
      </c>
      <c r="L8" s="16" t="s">
        <v>886</v>
      </c>
      <c r="M8" s="16" t="s">
        <v>38</v>
      </c>
      <c r="N8" s="16" t="s">
        <v>37</v>
      </c>
      <c r="O8" s="11">
        <v>847504822</v>
      </c>
      <c r="P8" s="11">
        <v>2</v>
      </c>
    </row>
    <row r="9" spans="1:16" ht="15.75" x14ac:dyDescent="0.25">
      <c r="A9" s="11">
        <v>49262</v>
      </c>
      <c r="B9" s="16" t="s">
        <v>375</v>
      </c>
      <c r="C9" s="16" t="s">
        <v>926</v>
      </c>
      <c r="D9" s="17">
        <v>45546</v>
      </c>
      <c r="E9" s="17">
        <v>45915</v>
      </c>
      <c r="F9" s="11">
        <f>DATEDIF(D9,E9,"M")</f>
        <v>12</v>
      </c>
      <c r="G9" s="11" t="s">
        <v>921</v>
      </c>
      <c r="H9" s="16">
        <v>8.5399999999999991</v>
      </c>
      <c r="I9" s="16">
        <v>0.34</v>
      </c>
      <c r="J9" s="20">
        <f>SUM(I9/H9)</f>
        <v>3.9812646370023429E-2</v>
      </c>
      <c r="K9" s="16">
        <v>9213293</v>
      </c>
      <c r="L9" s="16" t="s">
        <v>914</v>
      </c>
      <c r="M9" s="16" t="s">
        <v>38</v>
      </c>
      <c r="N9" s="16" t="s">
        <v>37</v>
      </c>
      <c r="O9" s="11">
        <v>847658279</v>
      </c>
      <c r="P9" s="11">
        <v>2</v>
      </c>
    </row>
    <row r="10" spans="1:16" ht="15.75" x14ac:dyDescent="0.25">
      <c r="A10" s="11">
        <v>54977</v>
      </c>
      <c r="B10" s="16" t="s">
        <v>394</v>
      </c>
      <c r="C10" s="16" t="s">
        <v>926</v>
      </c>
      <c r="D10" s="17">
        <v>45552</v>
      </c>
      <c r="E10" s="17">
        <v>45919</v>
      </c>
      <c r="F10" s="11">
        <f>DATEDIF(D10,E10,"M")</f>
        <v>12</v>
      </c>
      <c r="G10" s="11" t="s">
        <v>921</v>
      </c>
      <c r="H10" s="16">
        <v>22.84</v>
      </c>
      <c r="I10" s="16">
        <v>0.91</v>
      </c>
      <c r="J10" s="20">
        <f>SUM(I10/H10)</f>
        <v>3.9842381786339753E-2</v>
      </c>
      <c r="K10" s="16">
        <v>9213293</v>
      </c>
      <c r="L10" s="16" t="s">
        <v>914</v>
      </c>
      <c r="M10" s="16" t="s">
        <v>38</v>
      </c>
      <c r="N10" s="16" t="s">
        <v>37</v>
      </c>
      <c r="O10" s="11">
        <v>847661374</v>
      </c>
      <c r="P10" s="11">
        <v>2</v>
      </c>
    </row>
    <row r="11" spans="1:16" ht="15.75" x14ac:dyDescent="0.25">
      <c r="A11" s="11">
        <v>58316</v>
      </c>
      <c r="B11" s="16" t="s">
        <v>66</v>
      </c>
      <c r="C11" s="16" t="s">
        <v>926</v>
      </c>
      <c r="D11" s="17">
        <v>45122</v>
      </c>
      <c r="E11" s="17">
        <v>45917</v>
      </c>
      <c r="F11" s="11">
        <f>DATEDIF(D11,E11,"M")</f>
        <v>26</v>
      </c>
      <c r="G11" s="11" t="s">
        <v>921</v>
      </c>
      <c r="H11" s="16">
        <v>38.869999999999997</v>
      </c>
      <c r="I11" s="16">
        <v>1.55</v>
      </c>
      <c r="J11" s="20">
        <f>SUM(I11/H11)</f>
        <v>3.9876511448417806E-2</v>
      </c>
      <c r="K11" s="16">
        <v>16202925</v>
      </c>
      <c r="L11" s="16" t="s">
        <v>910</v>
      </c>
      <c r="M11" s="16" t="s">
        <v>38</v>
      </c>
      <c r="N11" s="16" t="s">
        <v>37</v>
      </c>
      <c r="O11" s="11">
        <v>847382130</v>
      </c>
      <c r="P11" s="11">
        <v>2</v>
      </c>
    </row>
    <row r="12" spans="1:16" ht="15.75" x14ac:dyDescent="0.25">
      <c r="A12" s="3">
        <v>5024</v>
      </c>
      <c r="B12" s="1" t="s">
        <v>232</v>
      </c>
      <c r="C12" s="1" t="s">
        <v>926</v>
      </c>
      <c r="D12" s="4">
        <v>45413</v>
      </c>
      <c r="E12" s="4">
        <v>45917</v>
      </c>
      <c r="F12" s="11">
        <f>DATEDIF(D12,E12,"M")</f>
        <v>16</v>
      </c>
      <c r="G12" s="11" t="s">
        <v>921</v>
      </c>
      <c r="H12" s="1">
        <v>29.34</v>
      </c>
      <c r="I12" s="1">
        <v>1.17</v>
      </c>
      <c r="J12" s="20">
        <f>SUM(I12/H12)</f>
        <v>3.9877300613496931E-2</v>
      </c>
      <c r="K12" s="1">
        <v>19278370</v>
      </c>
      <c r="L12" s="1" t="s">
        <v>894</v>
      </c>
      <c r="M12" s="1" t="s">
        <v>38</v>
      </c>
      <c r="N12" s="1" t="s">
        <v>37</v>
      </c>
      <c r="O12" s="3">
        <v>847575555</v>
      </c>
      <c r="P12" s="3">
        <v>2</v>
      </c>
    </row>
    <row r="13" spans="1:16" ht="15.75" x14ac:dyDescent="0.25">
      <c r="A13" s="3">
        <v>22514</v>
      </c>
      <c r="B13" s="1" t="s">
        <v>200</v>
      </c>
      <c r="C13" s="1" t="s">
        <v>926</v>
      </c>
      <c r="D13" s="4">
        <v>45339</v>
      </c>
      <c r="E13" s="4">
        <v>45919</v>
      </c>
      <c r="F13" s="11">
        <f>DATEDIF(D13,E13,"M")</f>
        <v>19</v>
      </c>
      <c r="G13" s="11" t="s">
        <v>921</v>
      </c>
      <c r="H13" s="1">
        <v>29.34</v>
      </c>
      <c r="I13" s="1">
        <v>1.17</v>
      </c>
      <c r="J13" s="20">
        <f>SUM(I13/H13)</f>
        <v>3.9877300613496931E-2</v>
      </c>
      <c r="K13" s="1">
        <v>15278437</v>
      </c>
      <c r="L13" s="1" t="s">
        <v>890</v>
      </c>
      <c r="M13" s="1" t="s">
        <v>38</v>
      </c>
      <c r="N13" s="1" t="s">
        <v>37</v>
      </c>
      <c r="O13" s="3">
        <v>847526227</v>
      </c>
      <c r="P13" s="3">
        <v>2</v>
      </c>
    </row>
    <row r="14" spans="1:16" ht="15.75" x14ac:dyDescent="0.25">
      <c r="A14" s="11">
        <v>30340</v>
      </c>
      <c r="B14" s="16" t="s">
        <v>249</v>
      </c>
      <c r="C14" s="16" t="s">
        <v>926</v>
      </c>
      <c r="D14" s="17">
        <v>45429</v>
      </c>
      <c r="E14" s="17">
        <v>45919</v>
      </c>
      <c r="F14" s="11">
        <f>DATEDIF(D14,E14,"M")</f>
        <v>16</v>
      </c>
      <c r="G14" s="11" t="s">
        <v>921</v>
      </c>
      <c r="H14" s="16">
        <v>29.34</v>
      </c>
      <c r="I14" s="16">
        <v>1.17</v>
      </c>
      <c r="J14" s="20">
        <f>SUM(I14/H14)</f>
        <v>3.9877300613496931E-2</v>
      </c>
      <c r="K14" s="16">
        <v>8971826</v>
      </c>
      <c r="L14" s="16" t="s">
        <v>886</v>
      </c>
      <c r="M14" s="16" t="s">
        <v>38</v>
      </c>
      <c r="N14" s="16" t="s">
        <v>37</v>
      </c>
      <c r="O14" s="11">
        <v>847590399</v>
      </c>
      <c r="P14" s="11">
        <v>2</v>
      </c>
    </row>
    <row r="15" spans="1:16" ht="15.75" x14ac:dyDescent="0.25">
      <c r="A15" s="3">
        <v>83401</v>
      </c>
      <c r="B15" s="1" t="s">
        <v>173</v>
      </c>
      <c r="C15" s="1" t="s">
        <v>926</v>
      </c>
      <c r="D15" s="4">
        <v>45307</v>
      </c>
      <c r="E15" s="4">
        <v>45918</v>
      </c>
      <c r="F15" s="11">
        <f>DATEDIF(D15,E15,"M")</f>
        <v>20</v>
      </c>
      <c r="G15" s="11" t="s">
        <v>921</v>
      </c>
      <c r="H15" s="1">
        <v>42.35</v>
      </c>
      <c r="I15" s="1">
        <v>1.69</v>
      </c>
      <c r="J15" s="20">
        <f>SUM(I15/H15)</f>
        <v>3.9905548996458082E-2</v>
      </c>
      <c r="K15" s="1">
        <v>9079571</v>
      </c>
      <c r="L15" s="1" t="s">
        <v>899</v>
      </c>
      <c r="M15" s="1" t="s">
        <v>38</v>
      </c>
      <c r="N15" s="1" t="s">
        <v>37</v>
      </c>
      <c r="O15" s="3">
        <v>847503742</v>
      </c>
      <c r="P15" s="3">
        <v>2</v>
      </c>
    </row>
    <row r="16" spans="1:16" ht="15.75" x14ac:dyDescent="0.25">
      <c r="A16" s="11">
        <v>84832</v>
      </c>
      <c r="B16" s="16" t="s">
        <v>272</v>
      </c>
      <c r="C16" s="16" t="s">
        <v>926</v>
      </c>
      <c r="D16" s="17">
        <v>45485</v>
      </c>
      <c r="E16" s="17">
        <v>45916</v>
      </c>
      <c r="F16" s="11">
        <f>DATEDIF(D16,E16,"M")</f>
        <v>14</v>
      </c>
      <c r="G16" s="11" t="s">
        <v>921</v>
      </c>
      <c r="H16" s="16">
        <v>42.35</v>
      </c>
      <c r="I16" s="16">
        <v>1.69</v>
      </c>
      <c r="J16" s="20">
        <f>SUM(I16/H16)</f>
        <v>3.9905548996458082E-2</v>
      </c>
      <c r="K16" s="16">
        <v>16202925</v>
      </c>
      <c r="L16" s="16" t="s">
        <v>910</v>
      </c>
      <c r="M16" s="16" t="s">
        <v>38</v>
      </c>
      <c r="N16" s="16" t="s">
        <v>37</v>
      </c>
      <c r="O16" s="11">
        <v>847622413</v>
      </c>
      <c r="P16" s="11">
        <v>2</v>
      </c>
    </row>
    <row r="17" spans="1:16" ht="15.75" x14ac:dyDescent="0.25">
      <c r="A17" s="3">
        <v>85108</v>
      </c>
      <c r="B17" s="1" t="s">
        <v>178</v>
      </c>
      <c r="C17" s="1" t="s">
        <v>926</v>
      </c>
      <c r="D17" s="4">
        <v>45308</v>
      </c>
      <c r="E17" s="4">
        <v>45919</v>
      </c>
      <c r="F17" s="11">
        <f>DATEDIF(D17,E17,"M")</f>
        <v>20</v>
      </c>
      <c r="G17" s="11" t="s">
        <v>921</v>
      </c>
      <c r="H17" s="1">
        <v>31.82</v>
      </c>
      <c r="I17" s="1">
        <v>1.27</v>
      </c>
      <c r="J17" s="20">
        <f>SUM(I17/H17)</f>
        <v>3.9912005028284098E-2</v>
      </c>
      <c r="K17" s="1">
        <v>18710070</v>
      </c>
      <c r="L17" s="1" t="s">
        <v>912</v>
      </c>
      <c r="M17" s="1" t="s">
        <v>38</v>
      </c>
      <c r="N17" s="1" t="s">
        <v>37</v>
      </c>
      <c r="O17" s="3">
        <v>847504766</v>
      </c>
      <c r="P17" s="3">
        <v>2</v>
      </c>
    </row>
    <row r="18" spans="1:16" ht="15.75" x14ac:dyDescent="0.25">
      <c r="A18" s="11">
        <v>30115</v>
      </c>
      <c r="B18" s="16" t="s">
        <v>244</v>
      </c>
      <c r="C18" s="16" t="s">
        <v>926</v>
      </c>
      <c r="D18" s="17">
        <v>45429</v>
      </c>
      <c r="E18" s="17">
        <v>45919</v>
      </c>
      <c r="F18" s="11">
        <f>DATEDIF(D18,E18,"M")</f>
        <v>16</v>
      </c>
      <c r="G18" s="11" t="s">
        <v>921</v>
      </c>
      <c r="H18" s="16">
        <v>31.82</v>
      </c>
      <c r="I18" s="16">
        <v>1.27</v>
      </c>
      <c r="J18" s="20">
        <f>SUM(I18/H18)</f>
        <v>3.9912005028284098E-2</v>
      </c>
      <c r="K18" s="16">
        <v>8971826</v>
      </c>
      <c r="L18" s="16" t="s">
        <v>886</v>
      </c>
      <c r="M18" s="16" t="s">
        <v>38</v>
      </c>
      <c r="N18" s="16" t="s">
        <v>37</v>
      </c>
      <c r="O18" s="11">
        <v>847590264</v>
      </c>
      <c r="P18" s="11">
        <v>2</v>
      </c>
    </row>
    <row r="19" spans="1:16" ht="15.75" x14ac:dyDescent="0.25">
      <c r="A19" s="11">
        <v>35261</v>
      </c>
      <c r="B19" s="16" t="s">
        <v>47</v>
      </c>
      <c r="C19" s="16" t="s">
        <v>926</v>
      </c>
      <c r="D19" s="17">
        <v>45092</v>
      </c>
      <c r="E19" s="17">
        <v>45917</v>
      </c>
      <c r="F19" s="11">
        <f>DATEDIF(D19,E19,"M")</f>
        <v>27</v>
      </c>
      <c r="G19" s="11" t="s">
        <v>921</v>
      </c>
      <c r="H19" s="16">
        <v>39.83</v>
      </c>
      <c r="I19" s="16">
        <v>1.59</v>
      </c>
      <c r="J19" s="20">
        <f>SUM(I19/H19)</f>
        <v>3.9919658548832539E-2</v>
      </c>
      <c r="K19" s="16">
        <v>16202925</v>
      </c>
      <c r="L19" s="16" t="s">
        <v>910</v>
      </c>
      <c r="M19" s="16" t="s">
        <v>38</v>
      </c>
      <c r="N19" s="16" t="s">
        <v>37</v>
      </c>
      <c r="O19" s="11">
        <v>847368365</v>
      </c>
      <c r="P19" s="11">
        <v>2</v>
      </c>
    </row>
    <row r="20" spans="1:16" ht="15.75" x14ac:dyDescent="0.25">
      <c r="A20" s="11">
        <v>22189</v>
      </c>
      <c r="B20" s="16" t="s">
        <v>340</v>
      </c>
      <c r="C20" s="16" t="s">
        <v>926</v>
      </c>
      <c r="D20" s="17">
        <v>45518</v>
      </c>
      <c r="E20" s="17">
        <v>45916</v>
      </c>
      <c r="F20" s="11">
        <f>DATEDIF(D20,E20,"M")</f>
        <v>13</v>
      </c>
      <c r="G20" s="11" t="s">
        <v>921</v>
      </c>
      <c r="H20" s="16">
        <v>46.59</v>
      </c>
      <c r="I20" s="16">
        <v>1.86</v>
      </c>
      <c r="J20" s="20">
        <f>SUM(I20/H20)</f>
        <v>3.9922730199613649E-2</v>
      </c>
      <c r="K20" s="16">
        <v>5442438</v>
      </c>
      <c r="L20" s="16" t="s">
        <v>897</v>
      </c>
      <c r="M20" s="16" t="s">
        <v>38</v>
      </c>
      <c r="N20" s="16" t="s">
        <v>37</v>
      </c>
      <c r="O20" s="11">
        <v>847643323</v>
      </c>
      <c r="P20" s="11">
        <v>2</v>
      </c>
    </row>
    <row r="21" spans="1:16" ht="15.75" x14ac:dyDescent="0.25">
      <c r="A21" s="11">
        <v>20958</v>
      </c>
      <c r="B21" s="16" t="s">
        <v>326</v>
      </c>
      <c r="C21" s="16" t="s">
        <v>926</v>
      </c>
      <c r="D21" s="17">
        <v>45517</v>
      </c>
      <c r="E21" s="17">
        <v>45915</v>
      </c>
      <c r="F21" s="11">
        <f>DATEDIF(D21,E21,"M")</f>
        <v>13</v>
      </c>
      <c r="G21" s="11" t="s">
        <v>921</v>
      </c>
      <c r="H21" s="16">
        <v>46.59</v>
      </c>
      <c r="I21" s="16">
        <v>1.86</v>
      </c>
      <c r="J21" s="20">
        <f>SUM(I21/H21)</f>
        <v>3.9922730199613649E-2</v>
      </c>
      <c r="K21" s="16">
        <v>16202925</v>
      </c>
      <c r="L21" s="16" t="s">
        <v>910</v>
      </c>
      <c r="M21" s="16" t="s">
        <v>38</v>
      </c>
      <c r="N21" s="16" t="s">
        <v>37</v>
      </c>
      <c r="O21" s="11">
        <v>847642626</v>
      </c>
      <c r="P21" s="11">
        <v>2</v>
      </c>
    </row>
    <row r="22" spans="1:16" ht="15.75" x14ac:dyDescent="0.25">
      <c r="A22" s="11">
        <v>90210</v>
      </c>
      <c r="B22" s="16" t="s">
        <v>287</v>
      </c>
      <c r="C22" s="16" t="s">
        <v>926</v>
      </c>
      <c r="D22" s="17">
        <v>45487</v>
      </c>
      <c r="E22" s="17">
        <v>45916</v>
      </c>
      <c r="F22" s="11">
        <f>DATEDIF(D22,E22,"M")</f>
        <v>14</v>
      </c>
      <c r="G22" s="11" t="s">
        <v>921</v>
      </c>
      <c r="H22" s="16">
        <v>46.59</v>
      </c>
      <c r="I22" s="16">
        <v>1.86</v>
      </c>
      <c r="J22" s="20">
        <f>SUM(I22/H22)</f>
        <v>3.9922730199613649E-2</v>
      </c>
      <c r="K22" s="16">
        <v>16202925</v>
      </c>
      <c r="L22" s="16" t="s">
        <v>910</v>
      </c>
      <c r="M22" s="16" t="s">
        <v>38</v>
      </c>
      <c r="N22" s="16" t="s">
        <v>37</v>
      </c>
      <c r="O22" s="11">
        <v>847625567</v>
      </c>
      <c r="P22" s="11">
        <v>2</v>
      </c>
    </row>
    <row r="23" spans="1:16" ht="15.75" x14ac:dyDescent="0.25">
      <c r="A23" s="11">
        <v>26071</v>
      </c>
      <c r="B23" s="16" t="s">
        <v>356</v>
      </c>
      <c r="C23" s="16" t="s">
        <v>926</v>
      </c>
      <c r="D23" s="17">
        <v>45521</v>
      </c>
      <c r="E23" s="17">
        <v>45919</v>
      </c>
      <c r="F23" s="11">
        <f>DATEDIF(D23,E23,"M")</f>
        <v>13</v>
      </c>
      <c r="G23" s="11" t="s">
        <v>921</v>
      </c>
      <c r="H23" s="16">
        <v>93.17</v>
      </c>
      <c r="I23" s="16">
        <v>3.72</v>
      </c>
      <c r="J23" s="20">
        <f>SUM(I23/H23)</f>
        <v>3.9927015133626703E-2</v>
      </c>
      <c r="K23" s="16">
        <v>5442438</v>
      </c>
      <c r="L23" s="16" t="s">
        <v>897</v>
      </c>
      <c r="M23" s="16" t="s">
        <v>38</v>
      </c>
      <c r="N23" s="16" t="s">
        <v>37</v>
      </c>
      <c r="O23" s="11">
        <v>847645466</v>
      </c>
      <c r="P23" s="11">
        <v>2</v>
      </c>
    </row>
    <row r="24" spans="1:16" ht="15.75" x14ac:dyDescent="0.25">
      <c r="A24" s="11">
        <v>91888</v>
      </c>
      <c r="B24" s="16" t="s">
        <v>218</v>
      </c>
      <c r="C24" s="16" t="s">
        <v>926</v>
      </c>
      <c r="D24" s="17">
        <v>45395</v>
      </c>
      <c r="E24" s="17">
        <v>45915</v>
      </c>
      <c r="F24" s="11">
        <f>DATEDIF(D24,E24,"M")</f>
        <v>17</v>
      </c>
      <c r="G24" s="11" t="s">
        <v>921</v>
      </c>
      <c r="H24" s="16">
        <v>34.549999999999997</v>
      </c>
      <c r="I24" s="16">
        <v>1.38</v>
      </c>
      <c r="J24" s="20">
        <f>SUM(I24/H24)</f>
        <v>3.9942112879884223E-2</v>
      </c>
      <c r="K24" s="16">
        <v>8971826</v>
      </c>
      <c r="L24" s="16" t="s">
        <v>886</v>
      </c>
      <c r="M24" s="16" t="s">
        <v>38</v>
      </c>
      <c r="N24" s="16" t="s">
        <v>37</v>
      </c>
      <c r="O24" s="11">
        <v>847568358</v>
      </c>
      <c r="P24" s="11">
        <v>2</v>
      </c>
    </row>
    <row r="25" spans="1:16" ht="15.75" x14ac:dyDescent="0.25">
      <c r="A25" s="11">
        <v>91888</v>
      </c>
      <c r="B25" s="16" t="s">
        <v>218</v>
      </c>
      <c r="C25" s="16" t="s">
        <v>926</v>
      </c>
      <c r="D25" s="17">
        <v>45395</v>
      </c>
      <c r="E25" s="17">
        <v>45915</v>
      </c>
      <c r="F25" s="11">
        <f>DATEDIF(D25,E25,"M")</f>
        <v>17</v>
      </c>
      <c r="G25" s="11" t="s">
        <v>921</v>
      </c>
      <c r="H25" s="16">
        <v>34.549999999999997</v>
      </c>
      <c r="I25" s="16">
        <v>1.38</v>
      </c>
      <c r="J25" s="20">
        <f>SUM(I25/H25)</f>
        <v>3.9942112879884223E-2</v>
      </c>
      <c r="K25" s="16">
        <v>8971826</v>
      </c>
      <c r="L25" s="16" t="s">
        <v>886</v>
      </c>
      <c r="M25" s="16" t="s">
        <v>38</v>
      </c>
      <c r="N25" s="16" t="s">
        <v>37</v>
      </c>
      <c r="O25" s="11">
        <v>847568358</v>
      </c>
      <c r="P25" s="11">
        <v>2</v>
      </c>
    </row>
    <row r="26" spans="1:16" ht="15.75" x14ac:dyDescent="0.25">
      <c r="A26" s="11">
        <v>79861</v>
      </c>
      <c r="B26" s="16" t="s">
        <v>165</v>
      </c>
      <c r="C26" s="16" t="s">
        <v>926</v>
      </c>
      <c r="D26" s="17">
        <v>45306</v>
      </c>
      <c r="E26" s="17">
        <v>45917</v>
      </c>
      <c r="F26" s="11">
        <f>DATEDIF(D26,E26,"M")</f>
        <v>20</v>
      </c>
      <c r="G26" s="11" t="s">
        <v>921</v>
      </c>
      <c r="H26" s="16">
        <v>44.81</v>
      </c>
      <c r="I26" s="16">
        <v>1.79</v>
      </c>
      <c r="J26" s="20">
        <f>SUM(I26/H26)</f>
        <v>3.9946440526668153E-2</v>
      </c>
      <c r="K26" s="16">
        <v>16202925</v>
      </c>
      <c r="L26" s="16" t="s">
        <v>910</v>
      </c>
      <c r="M26" s="16" t="s">
        <v>38</v>
      </c>
      <c r="N26" s="16" t="s">
        <v>37</v>
      </c>
      <c r="O26" s="11">
        <v>847501659</v>
      </c>
      <c r="P26" s="11">
        <v>2</v>
      </c>
    </row>
    <row r="27" spans="1:16" ht="15.75" x14ac:dyDescent="0.25">
      <c r="A27" s="11">
        <v>92438</v>
      </c>
      <c r="B27" s="16" t="s">
        <v>297</v>
      </c>
      <c r="C27" s="16" t="s">
        <v>926</v>
      </c>
      <c r="D27" s="17">
        <v>45489</v>
      </c>
      <c r="E27" s="17">
        <v>45918</v>
      </c>
      <c r="F27" s="11">
        <f>DATEDIF(D27,E27,"M")</f>
        <v>14</v>
      </c>
      <c r="G27" s="11" t="s">
        <v>921</v>
      </c>
      <c r="H27" s="16">
        <v>72.59</v>
      </c>
      <c r="I27" s="16">
        <v>2.9</v>
      </c>
      <c r="J27" s="20">
        <f>SUM(I27/H27)</f>
        <v>3.995040639206502E-2</v>
      </c>
      <c r="K27" s="16">
        <v>17528908</v>
      </c>
      <c r="L27" s="16" t="s">
        <v>893</v>
      </c>
      <c r="M27" s="16" t="s">
        <v>38</v>
      </c>
      <c r="N27" s="16" t="s">
        <v>37</v>
      </c>
      <c r="O27" s="11">
        <v>847626851</v>
      </c>
      <c r="P27" s="11">
        <v>2</v>
      </c>
    </row>
    <row r="28" spans="1:16" ht="15.75" x14ac:dyDescent="0.25">
      <c r="A28" s="3">
        <v>54452</v>
      </c>
      <c r="B28" s="1" t="s">
        <v>92</v>
      </c>
      <c r="C28" s="1" t="s">
        <v>926</v>
      </c>
      <c r="D28" s="4">
        <v>45292</v>
      </c>
      <c r="E28" s="4">
        <v>45917</v>
      </c>
      <c r="F28" s="11">
        <f>DATEDIF(D28,E28,"M")</f>
        <v>20</v>
      </c>
      <c r="G28" s="11" t="s">
        <v>921</v>
      </c>
      <c r="H28" s="1">
        <v>72.59</v>
      </c>
      <c r="I28" s="1">
        <v>2.9</v>
      </c>
      <c r="J28" s="20">
        <f>SUM(I28/H28)</f>
        <v>3.995040639206502E-2</v>
      </c>
      <c r="K28" s="1">
        <v>17528908</v>
      </c>
      <c r="L28" s="1" t="s">
        <v>893</v>
      </c>
      <c r="M28" s="1" t="s">
        <v>38</v>
      </c>
      <c r="N28" s="1" t="s">
        <v>37</v>
      </c>
      <c r="O28" s="3">
        <v>847439240</v>
      </c>
      <c r="P28" s="3">
        <v>2</v>
      </c>
    </row>
    <row r="29" spans="1:16" ht="15.75" x14ac:dyDescent="0.25">
      <c r="A29" s="3">
        <v>55345</v>
      </c>
      <c r="B29" s="1" t="s">
        <v>208</v>
      </c>
      <c r="C29" s="1" t="s">
        <v>926</v>
      </c>
      <c r="D29" s="4">
        <v>45366</v>
      </c>
      <c r="E29" s="4">
        <v>45917</v>
      </c>
      <c r="F29" s="11">
        <f>DATEDIF(D29,E29,"M")</f>
        <v>18</v>
      </c>
      <c r="G29" s="11" t="s">
        <v>921</v>
      </c>
      <c r="H29" s="1">
        <v>72.59</v>
      </c>
      <c r="I29" s="1">
        <v>2.9</v>
      </c>
      <c r="J29" s="20">
        <f>SUM(I29/H29)</f>
        <v>3.995040639206502E-2</v>
      </c>
      <c r="K29" s="1">
        <v>18710070</v>
      </c>
      <c r="L29" s="1" t="s">
        <v>912</v>
      </c>
      <c r="M29" s="1" t="s">
        <v>38</v>
      </c>
      <c r="N29" s="1" t="s">
        <v>37</v>
      </c>
      <c r="O29" s="3">
        <v>847545412</v>
      </c>
      <c r="P29" s="3">
        <v>2</v>
      </c>
    </row>
    <row r="30" spans="1:16" ht="15.75" x14ac:dyDescent="0.25">
      <c r="A30" s="11">
        <v>54517</v>
      </c>
      <c r="B30" s="16" t="s">
        <v>386</v>
      </c>
      <c r="C30" s="16" t="s">
        <v>926</v>
      </c>
      <c r="D30" s="17">
        <v>45552</v>
      </c>
      <c r="E30" s="17">
        <v>45919</v>
      </c>
      <c r="F30" s="11">
        <f>DATEDIF(D30,E30,"M")</f>
        <v>12</v>
      </c>
      <c r="G30" s="11" t="s">
        <v>921</v>
      </c>
      <c r="H30" s="16">
        <v>36.29</v>
      </c>
      <c r="I30" s="16">
        <v>1.45</v>
      </c>
      <c r="J30" s="20">
        <f>SUM(I30/H30)</f>
        <v>3.9955910719206393E-2</v>
      </c>
      <c r="K30" s="16">
        <v>17528908</v>
      </c>
      <c r="L30" s="16" t="s">
        <v>893</v>
      </c>
      <c r="M30" s="16" t="s">
        <v>38</v>
      </c>
      <c r="N30" s="16" t="s">
        <v>37</v>
      </c>
      <c r="O30" s="11">
        <v>847661149</v>
      </c>
      <c r="P30" s="11">
        <v>2</v>
      </c>
    </row>
    <row r="31" spans="1:16" ht="15.75" x14ac:dyDescent="0.25">
      <c r="A31" s="3">
        <v>28176</v>
      </c>
      <c r="B31" s="1" t="s">
        <v>240</v>
      </c>
      <c r="C31" s="1" t="s">
        <v>926</v>
      </c>
      <c r="D31" s="4">
        <v>45428</v>
      </c>
      <c r="E31" s="4">
        <v>45918</v>
      </c>
      <c r="F31" s="11">
        <f>DATEDIF(D31,E31,"M")</f>
        <v>16</v>
      </c>
      <c r="G31" s="11" t="s">
        <v>921</v>
      </c>
      <c r="H31" s="1">
        <v>36.29</v>
      </c>
      <c r="I31" s="1">
        <v>1.45</v>
      </c>
      <c r="J31" s="20">
        <f>SUM(I31/H31)</f>
        <v>3.9955910719206393E-2</v>
      </c>
      <c r="K31" s="1">
        <v>17528908</v>
      </c>
      <c r="L31" s="1" t="s">
        <v>893</v>
      </c>
      <c r="M31" s="1" t="s">
        <v>38</v>
      </c>
      <c r="N31" s="1" t="s">
        <v>37</v>
      </c>
      <c r="O31" s="3">
        <v>847589102</v>
      </c>
      <c r="P31" s="3">
        <v>2</v>
      </c>
    </row>
    <row r="32" spans="1:16" ht="15.75" x14ac:dyDescent="0.25">
      <c r="A32" s="3">
        <v>77735</v>
      </c>
      <c r="B32" s="1" t="s">
        <v>156</v>
      </c>
      <c r="C32" s="1" t="s">
        <v>926</v>
      </c>
      <c r="D32" s="4">
        <v>45302</v>
      </c>
      <c r="E32" s="4">
        <v>45915</v>
      </c>
      <c r="F32" s="11">
        <f>DATEDIF(D32,E32,"M")</f>
        <v>20</v>
      </c>
      <c r="G32" s="11" t="s">
        <v>921</v>
      </c>
      <c r="H32" s="1">
        <v>36.29</v>
      </c>
      <c r="I32" s="1">
        <v>1.45</v>
      </c>
      <c r="J32" s="20">
        <f>SUM(I32/H32)</f>
        <v>3.9955910719206393E-2</v>
      </c>
      <c r="K32" s="1">
        <v>17528908</v>
      </c>
      <c r="L32" s="1" t="s">
        <v>893</v>
      </c>
      <c r="M32" s="1" t="s">
        <v>38</v>
      </c>
      <c r="N32" s="1" t="s">
        <v>37</v>
      </c>
      <c r="O32" s="3">
        <v>847500372</v>
      </c>
      <c r="P32" s="3">
        <v>2</v>
      </c>
    </row>
    <row r="33" spans="1:16" ht="15.75" x14ac:dyDescent="0.25">
      <c r="A33" s="3">
        <v>83364</v>
      </c>
      <c r="B33" s="1" t="s">
        <v>168</v>
      </c>
      <c r="C33" s="1" t="s">
        <v>926</v>
      </c>
      <c r="D33" s="4">
        <v>45307</v>
      </c>
      <c r="E33" s="4">
        <v>45918</v>
      </c>
      <c r="F33" s="11">
        <f>DATEDIF(D33,E33,"M")</f>
        <v>20</v>
      </c>
      <c r="G33" s="11" t="s">
        <v>921</v>
      </c>
      <c r="H33" s="1">
        <v>36.29</v>
      </c>
      <c r="I33" s="1">
        <v>1.45</v>
      </c>
      <c r="J33" s="20">
        <f>SUM(I33/H33)</f>
        <v>3.9955910719206393E-2</v>
      </c>
      <c r="K33" s="1">
        <v>17528908</v>
      </c>
      <c r="L33" s="1" t="s">
        <v>893</v>
      </c>
      <c r="M33" s="1" t="s">
        <v>38</v>
      </c>
      <c r="N33" s="1" t="s">
        <v>37</v>
      </c>
      <c r="O33" s="3">
        <v>847503721</v>
      </c>
      <c r="P33" s="3">
        <v>2</v>
      </c>
    </row>
    <row r="34" spans="1:16" ht="15.75" x14ac:dyDescent="0.25">
      <c r="A34" s="3">
        <v>41575</v>
      </c>
      <c r="B34" s="1" t="s">
        <v>123</v>
      </c>
      <c r="C34" s="1" t="s">
        <v>926</v>
      </c>
      <c r="D34" s="4">
        <v>45271</v>
      </c>
      <c r="E34" s="4">
        <v>45915</v>
      </c>
      <c r="F34" s="11">
        <f>DATEDIF(D34,E34,"M")</f>
        <v>21</v>
      </c>
      <c r="G34" s="11" t="s">
        <v>921</v>
      </c>
      <c r="H34" s="1">
        <v>36.29</v>
      </c>
      <c r="I34" s="1">
        <v>1.45</v>
      </c>
      <c r="J34" s="20">
        <f>SUM(I34/H34)</f>
        <v>3.9955910719206393E-2</v>
      </c>
      <c r="K34" s="1">
        <v>17528908</v>
      </c>
      <c r="L34" s="1" t="s">
        <v>893</v>
      </c>
      <c r="M34" s="1" t="s">
        <v>38</v>
      </c>
      <c r="N34" s="1" t="s">
        <v>37</v>
      </c>
      <c r="O34" s="3">
        <v>847479552</v>
      </c>
      <c r="P34" s="3">
        <v>2</v>
      </c>
    </row>
    <row r="35" spans="1:16" ht="15.75" x14ac:dyDescent="0.25">
      <c r="A35" s="3">
        <v>89270</v>
      </c>
      <c r="B35" s="1" t="s">
        <v>115</v>
      </c>
      <c r="C35" s="1" t="s">
        <v>926</v>
      </c>
      <c r="D35" s="4">
        <v>45247</v>
      </c>
      <c r="E35" s="4">
        <v>45919</v>
      </c>
      <c r="F35" s="11">
        <f>DATEDIF(D35,E35,"M")</f>
        <v>22</v>
      </c>
      <c r="G35" s="11" t="s">
        <v>921</v>
      </c>
      <c r="H35" s="1">
        <v>36.29</v>
      </c>
      <c r="I35" s="1">
        <v>1.45</v>
      </c>
      <c r="J35" s="20">
        <f>SUM(I35/H35)</f>
        <v>3.9955910719206393E-2</v>
      </c>
      <c r="K35" s="1">
        <v>17528908</v>
      </c>
      <c r="L35" s="1" t="s">
        <v>893</v>
      </c>
      <c r="M35" s="1" t="s">
        <v>38</v>
      </c>
      <c r="N35" s="1" t="s">
        <v>37</v>
      </c>
      <c r="O35" s="3">
        <v>847460342</v>
      </c>
      <c r="P35" s="3">
        <v>2</v>
      </c>
    </row>
    <row r="36" spans="1:16" ht="15.75" x14ac:dyDescent="0.25">
      <c r="A36" s="3">
        <v>89476</v>
      </c>
      <c r="B36" s="1" t="s">
        <v>119</v>
      </c>
      <c r="C36" s="1" t="s">
        <v>926</v>
      </c>
      <c r="D36" s="4">
        <v>45247</v>
      </c>
      <c r="E36" s="4">
        <v>45919</v>
      </c>
      <c r="F36" s="11">
        <f>DATEDIF(D36,E36,"M")</f>
        <v>22</v>
      </c>
      <c r="G36" s="11" t="s">
        <v>921</v>
      </c>
      <c r="H36" s="1">
        <v>36.29</v>
      </c>
      <c r="I36" s="1">
        <v>1.45</v>
      </c>
      <c r="J36" s="20">
        <f>SUM(I36/H36)</f>
        <v>3.9955910719206393E-2</v>
      </c>
      <c r="K36" s="1">
        <v>17528908</v>
      </c>
      <c r="L36" s="1" t="s">
        <v>893</v>
      </c>
      <c r="M36" s="1" t="s">
        <v>38</v>
      </c>
      <c r="N36" s="1" t="s">
        <v>37</v>
      </c>
      <c r="O36" s="3">
        <v>847460478</v>
      </c>
      <c r="P36" s="3">
        <v>2</v>
      </c>
    </row>
    <row r="37" spans="1:16" ht="15.75" x14ac:dyDescent="0.25">
      <c r="A37" s="11">
        <v>85200</v>
      </c>
      <c r="B37" s="16" t="s">
        <v>185</v>
      </c>
      <c r="C37" s="16" t="s">
        <v>926</v>
      </c>
      <c r="D37" s="17">
        <v>45308</v>
      </c>
      <c r="E37" s="17">
        <v>45919</v>
      </c>
      <c r="F37" s="11">
        <f>DATEDIF(D37,E37,"M")</f>
        <v>20</v>
      </c>
      <c r="G37" s="11" t="s">
        <v>921</v>
      </c>
      <c r="H37" s="16">
        <v>36.29</v>
      </c>
      <c r="I37" s="16">
        <v>1.45</v>
      </c>
      <c r="J37" s="20">
        <f>SUM(I37/H37)</f>
        <v>3.9955910719206393E-2</v>
      </c>
      <c r="K37" s="16">
        <v>8971826</v>
      </c>
      <c r="L37" s="16" t="s">
        <v>886</v>
      </c>
      <c r="M37" s="16" t="s">
        <v>38</v>
      </c>
      <c r="N37" s="16" t="s">
        <v>37</v>
      </c>
      <c r="O37" s="11">
        <v>847504822</v>
      </c>
      <c r="P37" s="11">
        <v>2</v>
      </c>
    </row>
    <row r="38" spans="1:16" ht="15.75" x14ac:dyDescent="0.25">
      <c r="A38" s="11">
        <v>21547</v>
      </c>
      <c r="B38" s="16" t="s">
        <v>335</v>
      </c>
      <c r="C38" s="16" t="s">
        <v>926</v>
      </c>
      <c r="D38" s="17">
        <v>45518</v>
      </c>
      <c r="E38" s="17">
        <v>45916</v>
      </c>
      <c r="F38" s="11">
        <f>DATEDIF(D38,E38,"M")</f>
        <v>13</v>
      </c>
      <c r="G38" s="11" t="s">
        <v>921</v>
      </c>
      <c r="H38" s="16">
        <v>75.83</v>
      </c>
      <c r="I38" s="16">
        <v>3.03</v>
      </c>
      <c r="J38" s="20">
        <f>SUM(I38/H38)</f>
        <v>3.9957800342872211E-2</v>
      </c>
      <c r="K38" s="16">
        <v>5442438</v>
      </c>
      <c r="L38" s="16" t="s">
        <v>897</v>
      </c>
      <c r="M38" s="16" t="s">
        <v>38</v>
      </c>
      <c r="N38" s="16" t="s">
        <v>37</v>
      </c>
      <c r="O38" s="11">
        <v>847642958</v>
      </c>
      <c r="P38" s="11">
        <v>2</v>
      </c>
    </row>
    <row r="39" spans="1:16" ht="15.75" x14ac:dyDescent="0.25">
      <c r="A39" s="11">
        <v>45979</v>
      </c>
      <c r="B39" s="16" t="s">
        <v>131</v>
      </c>
      <c r="C39" s="16" t="s">
        <v>926</v>
      </c>
      <c r="D39" s="17">
        <v>45275</v>
      </c>
      <c r="E39" s="17">
        <v>45917</v>
      </c>
      <c r="F39" s="11">
        <f>DATEDIF(D39,E39,"M")</f>
        <v>21</v>
      </c>
      <c r="G39" s="11" t="s">
        <v>921</v>
      </c>
      <c r="H39" s="16">
        <v>75.83</v>
      </c>
      <c r="I39" s="16">
        <v>3.03</v>
      </c>
      <c r="J39" s="20">
        <f>SUM(I39/H39)</f>
        <v>3.9957800342872211E-2</v>
      </c>
      <c r="K39" s="16">
        <v>16202925</v>
      </c>
      <c r="L39" s="16" t="s">
        <v>910</v>
      </c>
      <c r="M39" s="16" t="s">
        <v>38</v>
      </c>
      <c r="N39" s="16" t="s">
        <v>37</v>
      </c>
      <c r="O39" s="11">
        <v>847482210</v>
      </c>
      <c r="P39" s="11">
        <v>2</v>
      </c>
    </row>
    <row r="40" spans="1:16" ht="15.75" x14ac:dyDescent="0.25">
      <c r="A40" s="11">
        <v>24955</v>
      </c>
      <c r="B40" s="16" t="s">
        <v>353</v>
      </c>
      <c r="C40" s="16" t="s">
        <v>926</v>
      </c>
      <c r="D40" s="17">
        <v>45520</v>
      </c>
      <c r="E40" s="17">
        <v>45918</v>
      </c>
      <c r="F40" s="11">
        <f>DATEDIF(D40,E40,"M")</f>
        <v>13</v>
      </c>
      <c r="G40" s="11" t="s">
        <v>921</v>
      </c>
      <c r="H40" s="16">
        <v>38.54</v>
      </c>
      <c r="I40" s="16">
        <v>1.54</v>
      </c>
      <c r="J40" s="20">
        <f>SUM(I40/H40)</f>
        <v>3.9958484691229895E-2</v>
      </c>
      <c r="K40" s="16">
        <v>9079571</v>
      </c>
      <c r="L40" s="16" t="s">
        <v>899</v>
      </c>
      <c r="M40" s="16" t="s">
        <v>38</v>
      </c>
      <c r="N40" s="16" t="s">
        <v>37</v>
      </c>
      <c r="O40" s="11">
        <v>847644852</v>
      </c>
      <c r="P40" s="11">
        <v>2</v>
      </c>
    </row>
    <row r="41" spans="1:16" ht="15.75" x14ac:dyDescent="0.25">
      <c r="A41" s="11">
        <v>24948</v>
      </c>
      <c r="B41" s="16" t="s">
        <v>350</v>
      </c>
      <c r="C41" s="16" t="s">
        <v>926</v>
      </c>
      <c r="D41" s="17">
        <v>45520</v>
      </c>
      <c r="E41" s="17">
        <v>45918</v>
      </c>
      <c r="F41" s="11">
        <f>DATEDIF(D41,E41,"M")</f>
        <v>13</v>
      </c>
      <c r="G41" s="11" t="s">
        <v>921</v>
      </c>
      <c r="H41" s="16">
        <v>77.08</v>
      </c>
      <c r="I41" s="16">
        <v>3.08</v>
      </c>
      <c r="J41" s="20">
        <f>SUM(I41/H41)</f>
        <v>3.9958484691229895E-2</v>
      </c>
      <c r="K41" s="16">
        <v>9079571</v>
      </c>
      <c r="L41" s="16" t="s">
        <v>899</v>
      </c>
      <c r="M41" s="16" t="s">
        <v>38</v>
      </c>
      <c r="N41" s="16" t="s">
        <v>37</v>
      </c>
      <c r="O41" s="11">
        <v>847644847</v>
      </c>
      <c r="P41" s="11">
        <v>2</v>
      </c>
    </row>
    <row r="42" spans="1:16" ht="15.75" x14ac:dyDescent="0.25">
      <c r="A42" s="11">
        <v>40187</v>
      </c>
      <c r="B42" s="16" t="s">
        <v>363</v>
      </c>
      <c r="C42" s="16" t="s">
        <v>926</v>
      </c>
      <c r="D42" s="17">
        <v>45536</v>
      </c>
      <c r="E42" s="17">
        <v>45918</v>
      </c>
      <c r="F42" s="11">
        <f>DATEDIF(D42,E42,"M")</f>
        <v>12</v>
      </c>
      <c r="G42" s="11" t="s">
        <v>921</v>
      </c>
      <c r="H42" s="16">
        <v>38.54</v>
      </c>
      <c r="I42" s="16">
        <v>1.54</v>
      </c>
      <c r="J42" s="20">
        <f>SUM(I42/H42)</f>
        <v>3.9958484691229895E-2</v>
      </c>
      <c r="K42" s="16">
        <v>5442438</v>
      </c>
      <c r="L42" s="16" t="s">
        <v>897</v>
      </c>
      <c r="M42" s="16" t="s">
        <v>38</v>
      </c>
      <c r="N42" s="16" t="s">
        <v>37</v>
      </c>
      <c r="O42" s="11">
        <v>847653225</v>
      </c>
      <c r="P42" s="11">
        <v>2</v>
      </c>
    </row>
    <row r="43" spans="1:16" ht="15.75" x14ac:dyDescent="0.25">
      <c r="A43" s="11">
        <v>54707</v>
      </c>
      <c r="B43" s="16" t="s">
        <v>391</v>
      </c>
      <c r="C43" s="16" t="s">
        <v>926</v>
      </c>
      <c r="D43" s="17">
        <v>45552</v>
      </c>
      <c r="E43" s="17">
        <v>45919</v>
      </c>
      <c r="F43" s="11">
        <f>DATEDIF(D43,E43,"M")</f>
        <v>12</v>
      </c>
      <c r="G43" s="11" t="s">
        <v>921</v>
      </c>
      <c r="H43" s="16">
        <v>38.54</v>
      </c>
      <c r="I43" s="16">
        <v>1.54</v>
      </c>
      <c r="J43" s="20">
        <f>SUM(I43/H43)</f>
        <v>3.9958484691229895E-2</v>
      </c>
      <c r="K43" s="16">
        <v>5442438</v>
      </c>
      <c r="L43" s="16" t="s">
        <v>897</v>
      </c>
      <c r="M43" s="16" t="s">
        <v>38</v>
      </c>
      <c r="N43" s="16" t="s">
        <v>37</v>
      </c>
      <c r="O43" s="11">
        <v>847661249</v>
      </c>
      <c r="P43" s="11">
        <v>2</v>
      </c>
    </row>
    <row r="44" spans="1:16" ht="15.75" x14ac:dyDescent="0.25">
      <c r="A44" s="11">
        <v>51513</v>
      </c>
      <c r="B44" s="16" t="s">
        <v>383</v>
      </c>
      <c r="C44" s="16" t="s">
        <v>926</v>
      </c>
      <c r="D44" s="17">
        <v>45547</v>
      </c>
      <c r="E44" s="17">
        <v>45915</v>
      </c>
      <c r="F44" s="11">
        <f>DATEDIF(D44,E44,"M")</f>
        <v>12</v>
      </c>
      <c r="G44" s="11" t="s">
        <v>921</v>
      </c>
      <c r="H44" s="16">
        <v>64.81</v>
      </c>
      <c r="I44" s="16">
        <v>2.59</v>
      </c>
      <c r="J44" s="20">
        <f>SUM(I44/H44)</f>
        <v>3.9962968677673197E-2</v>
      </c>
      <c r="K44" s="16">
        <v>19681796</v>
      </c>
      <c r="L44" s="16" t="s">
        <v>916</v>
      </c>
      <c r="M44" s="16" t="s">
        <v>38</v>
      </c>
      <c r="N44" s="16" t="s">
        <v>37</v>
      </c>
      <c r="O44" s="11">
        <v>847659475</v>
      </c>
      <c r="P44" s="11">
        <v>2</v>
      </c>
    </row>
    <row r="45" spans="1:16" ht="15.75" x14ac:dyDescent="0.25">
      <c r="A45" s="11">
        <v>89752</v>
      </c>
      <c r="B45" s="16" t="s">
        <v>281</v>
      </c>
      <c r="C45" s="16" t="s">
        <v>926</v>
      </c>
      <c r="D45" s="17">
        <v>45485</v>
      </c>
      <c r="E45" s="17">
        <v>45915</v>
      </c>
      <c r="F45" s="11">
        <f>DATEDIF(D45,E45,"M")</f>
        <v>14</v>
      </c>
      <c r="G45" s="11" t="s">
        <v>921</v>
      </c>
      <c r="H45" s="16">
        <v>45.29</v>
      </c>
      <c r="I45" s="16">
        <v>1.81</v>
      </c>
      <c r="J45" s="20">
        <f>SUM(I45/H45)</f>
        <v>3.9964672113049243E-2</v>
      </c>
      <c r="K45" s="16">
        <v>19586992</v>
      </c>
      <c r="L45" s="16" t="s">
        <v>902</v>
      </c>
      <c r="M45" s="16" t="s">
        <v>38</v>
      </c>
      <c r="N45" s="16" t="s">
        <v>37</v>
      </c>
      <c r="O45" s="11">
        <v>847625293</v>
      </c>
      <c r="P45" s="11">
        <v>2</v>
      </c>
    </row>
    <row r="46" spans="1:16" ht="15.75" x14ac:dyDescent="0.25">
      <c r="A46" s="11">
        <v>20242</v>
      </c>
      <c r="B46" s="16" t="s">
        <v>312</v>
      </c>
      <c r="C46" s="16" t="s">
        <v>926</v>
      </c>
      <c r="D46" s="17">
        <v>45517</v>
      </c>
      <c r="E46" s="17">
        <v>45915</v>
      </c>
      <c r="F46" s="11">
        <f>DATEDIF(D46,E46,"M")</f>
        <v>13</v>
      </c>
      <c r="G46" s="11" t="s">
        <v>921</v>
      </c>
      <c r="H46" s="16">
        <v>45.29</v>
      </c>
      <c r="I46" s="16">
        <v>1.81</v>
      </c>
      <c r="J46" s="20">
        <f>SUM(I46/H46)</f>
        <v>3.9964672113049243E-2</v>
      </c>
      <c r="K46" s="16">
        <v>8814784</v>
      </c>
      <c r="L46" s="16" t="s">
        <v>895</v>
      </c>
      <c r="M46" s="16" t="s">
        <v>38</v>
      </c>
      <c r="N46" s="16" t="s">
        <v>37</v>
      </c>
      <c r="O46" s="11">
        <v>847642225</v>
      </c>
      <c r="P46" s="11">
        <v>2</v>
      </c>
    </row>
    <row r="47" spans="1:16" ht="15.75" x14ac:dyDescent="0.25">
      <c r="A47" s="11">
        <v>20247</v>
      </c>
      <c r="B47" s="16" t="s">
        <v>318</v>
      </c>
      <c r="C47" s="16" t="s">
        <v>926</v>
      </c>
      <c r="D47" s="17">
        <v>45517</v>
      </c>
      <c r="E47" s="17">
        <v>45915</v>
      </c>
      <c r="F47" s="11">
        <f>DATEDIF(D47,E47,"M")</f>
        <v>13</v>
      </c>
      <c r="G47" s="11" t="s">
        <v>921</v>
      </c>
      <c r="H47" s="16">
        <v>45.29</v>
      </c>
      <c r="I47" s="16">
        <v>1.81</v>
      </c>
      <c r="J47" s="20">
        <f>SUM(I47/H47)</f>
        <v>3.9964672113049243E-2</v>
      </c>
      <c r="K47" s="16">
        <v>8814784</v>
      </c>
      <c r="L47" s="16" t="s">
        <v>895</v>
      </c>
      <c r="M47" s="16" t="s">
        <v>38</v>
      </c>
      <c r="N47" s="16" t="s">
        <v>37</v>
      </c>
      <c r="O47" s="11">
        <v>847642229</v>
      </c>
      <c r="P47" s="11">
        <v>2</v>
      </c>
    </row>
    <row r="48" spans="1:16" ht="15.75" x14ac:dyDescent="0.25">
      <c r="A48" s="11">
        <v>20720</v>
      </c>
      <c r="B48" s="16" t="s">
        <v>321</v>
      </c>
      <c r="C48" s="16" t="s">
        <v>926</v>
      </c>
      <c r="D48" s="17">
        <v>45517</v>
      </c>
      <c r="E48" s="17">
        <v>45915</v>
      </c>
      <c r="F48" s="11">
        <f>DATEDIF(D48,E48,"M")</f>
        <v>13</v>
      </c>
      <c r="G48" s="11" t="s">
        <v>921</v>
      </c>
      <c r="H48" s="16">
        <v>45.29</v>
      </c>
      <c r="I48" s="16">
        <v>1.81</v>
      </c>
      <c r="J48" s="20">
        <f>SUM(I48/H48)</f>
        <v>3.9964672113049243E-2</v>
      </c>
      <c r="K48" s="16">
        <v>19279958</v>
      </c>
      <c r="L48" s="16" t="s">
        <v>909</v>
      </c>
      <c r="M48" s="16" t="s">
        <v>38</v>
      </c>
      <c r="N48" s="16" t="s">
        <v>37</v>
      </c>
      <c r="O48" s="11">
        <v>847642489</v>
      </c>
      <c r="P48" s="11">
        <v>2</v>
      </c>
    </row>
    <row r="49" spans="1:16" ht="15.75" x14ac:dyDescent="0.25">
      <c r="A49" s="11">
        <v>60120</v>
      </c>
      <c r="B49" s="16" t="s">
        <v>265</v>
      </c>
      <c r="C49" s="16" t="s">
        <v>926</v>
      </c>
      <c r="D49" s="17">
        <v>45457</v>
      </c>
      <c r="E49" s="17">
        <v>45916</v>
      </c>
      <c r="F49" s="11">
        <f>DATEDIF(D49,E49,"M")</f>
        <v>15</v>
      </c>
      <c r="G49" s="11" t="s">
        <v>921</v>
      </c>
      <c r="H49" s="16">
        <v>45.29</v>
      </c>
      <c r="I49" s="16">
        <v>1.81</v>
      </c>
      <c r="J49" s="20">
        <f>SUM(I49/H49)</f>
        <v>3.9964672113049243E-2</v>
      </c>
      <c r="K49" s="16">
        <v>20212926</v>
      </c>
      <c r="L49" s="16" t="s">
        <v>917</v>
      </c>
      <c r="M49" s="16" t="s">
        <v>38</v>
      </c>
      <c r="N49" s="16" t="s">
        <v>37</v>
      </c>
      <c r="O49" s="11">
        <v>847608018</v>
      </c>
      <c r="P49" s="11">
        <v>2</v>
      </c>
    </row>
    <row r="50" spans="1:16" ht="15.75" x14ac:dyDescent="0.25">
      <c r="A50" s="11">
        <v>58218</v>
      </c>
      <c r="B50" s="16" t="s">
        <v>261</v>
      </c>
      <c r="C50" s="16" t="s">
        <v>926</v>
      </c>
      <c r="D50" s="17">
        <v>45456</v>
      </c>
      <c r="E50" s="17">
        <v>45915</v>
      </c>
      <c r="F50" s="11">
        <f>DATEDIF(D50,E50,"M")</f>
        <v>15</v>
      </c>
      <c r="G50" s="11" t="s">
        <v>921</v>
      </c>
      <c r="H50" s="16">
        <v>37.03</v>
      </c>
      <c r="I50" s="16">
        <v>1.48</v>
      </c>
      <c r="J50" s="20">
        <f>SUM(I50/H50)</f>
        <v>3.9967593842830135E-2</v>
      </c>
      <c r="K50" s="16">
        <v>9079571</v>
      </c>
      <c r="L50" s="16" t="s">
        <v>899</v>
      </c>
      <c r="M50" s="16" t="s">
        <v>38</v>
      </c>
      <c r="N50" s="16" t="s">
        <v>37</v>
      </c>
      <c r="O50" s="11">
        <v>847606893</v>
      </c>
      <c r="P50" s="11">
        <v>2</v>
      </c>
    </row>
    <row r="51" spans="1:16" ht="15.75" x14ac:dyDescent="0.25">
      <c r="A51" s="11">
        <v>43780</v>
      </c>
      <c r="B51" s="16" t="s">
        <v>367</v>
      </c>
      <c r="C51" s="16" t="s">
        <v>926</v>
      </c>
      <c r="D51" s="17">
        <v>45551</v>
      </c>
      <c r="E51" s="17">
        <v>45918</v>
      </c>
      <c r="F51" s="11">
        <f>DATEDIF(D51,E51,"M")</f>
        <v>12</v>
      </c>
      <c r="G51" s="11" t="s">
        <v>921</v>
      </c>
      <c r="H51" s="16">
        <v>37.03</v>
      </c>
      <c r="I51" s="16">
        <v>1.48</v>
      </c>
      <c r="J51" s="20">
        <f>SUM(I51/H51)</f>
        <v>3.9967593842830135E-2</v>
      </c>
      <c r="K51" s="16">
        <v>5442438</v>
      </c>
      <c r="L51" s="16" t="s">
        <v>897</v>
      </c>
      <c r="M51" s="16" t="s">
        <v>38</v>
      </c>
      <c r="N51" s="16" t="s">
        <v>37</v>
      </c>
      <c r="O51" s="11">
        <v>847655268</v>
      </c>
      <c r="P51" s="11">
        <v>2</v>
      </c>
    </row>
    <row r="52" spans="1:16" ht="15.75" x14ac:dyDescent="0.25">
      <c r="A52" s="11">
        <v>45311</v>
      </c>
      <c r="B52" s="16" t="s">
        <v>371</v>
      </c>
      <c r="C52" s="16" t="s">
        <v>926</v>
      </c>
      <c r="D52" s="17">
        <v>45550</v>
      </c>
      <c r="E52" s="17">
        <v>45917</v>
      </c>
      <c r="F52" s="11">
        <f>DATEDIF(D52,E52,"M")</f>
        <v>12</v>
      </c>
      <c r="G52" s="11" t="s">
        <v>921</v>
      </c>
      <c r="H52" s="16">
        <v>37.03</v>
      </c>
      <c r="I52" s="16">
        <v>1.48</v>
      </c>
      <c r="J52" s="20">
        <f>SUM(I52/H52)</f>
        <v>3.9967593842830135E-2</v>
      </c>
      <c r="K52" s="16">
        <v>5442438</v>
      </c>
      <c r="L52" s="16" t="s">
        <v>897</v>
      </c>
      <c r="M52" s="16" t="s">
        <v>38</v>
      </c>
      <c r="N52" s="16" t="s">
        <v>37</v>
      </c>
      <c r="O52" s="11">
        <v>847656122</v>
      </c>
      <c r="P52" s="11">
        <v>2</v>
      </c>
    </row>
    <row r="53" spans="1:16" ht="15.75" x14ac:dyDescent="0.25">
      <c r="A53" s="3">
        <v>89940</v>
      </c>
      <c r="B53" s="1" t="s">
        <v>214</v>
      </c>
      <c r="C53" s="1" t="s">
        <v>926</v>
      </c>
      <c r="D53" s="4">
        <v>45397</v>
      </c>
      <c r="E53" s="4">
        <v>45917</v>
      </c>
      <c r="F53" s="11">
        <f>DATEDIF(D53,E53,"M")</f>
        <v>17</v>
      </c>
      <c r="G53" s="11" t="s">
        <v>921</v>
      </c>
      <c r="H53" s="1">
        <v>44.03</v>
      </c>
      <c r="I53" s="1">
        <v>1.76</v>
      </c>
      <c r="J53" s="20">
        <f>SUM(I53/H53)</f>
        <v>3.9972745855098794E-2</v>
      </c>
      <c r="K53" s="1">
        <v>15278437</v>
      </c>
      <c r="L53" s="1" t="s">
        <v>890</v>
      </c>
      <c r="M53" s="1" t="s">
        <v>38</v>
      </c>
      <c r="N53" s="1" t="s">
        <v>37</v>
      </c>
      <c r="O53" s="3">
        <v>847567202</v>
      </c>
      <c r="P53" s="3">
        <v>2</v>
      </c>
    </row>
    <row r="54" spans="1:16" ht="15.75" x14ac:dyDescent="0.25">
      <c r="A54" s="11">
        <v>90996</v>
      </c>
      <c r="B54" s="16" t="s">
        <v>291</v>
      </c>
      <c r="C54" s="16" t="s">
        <v>926</v>
      </c>
      <c r="D54" s="17">
        <v>45486</v>
      </c>
      <c r="E54" s="17">
        <v>45915</v>
      </c>
      <c r="F54" s="11">
        <f>DATEDIF(D54,E54,"M")</f>
        <v>14</v>
      </c>
      <c r="G54" s="11" t="s">
        <v>921</v>
      </c>
      <c r="H54" s="16">
        <v>57.28</v>
      </c>
      <c r="I54" s="16">
        <v>2.29</v>
      </c>
      <c r="J54" s="20">
        <f>SUM(I54/H54)</f>
        <v>3.997905027932961E-2</v>
      </c>
      <c r="K54" s="16">
        <v>9213293</v>
      </c>
      <c r="L54" s="16" t="s">
        <v>914</v>
      </c>
      <c r="M54" s="16" t="s">
        <v>38</v>
      </c>
      <c r="N54" s="16" t="s">
        <v>37</v>
      </c>
      <c r="O54" s="11">
        <v>847626029</v>
      </c>
      <c r="P54" s="11">
        <v>2</v>
      </c>
    </row>
    <row r="55" spans="1:16" ht="15.75" x14ac:dyDescent="0.25">
      <c r="A55" s="3">
        <v>55359</v>
      </c>
      <c r="B55" s="1" t="s">
        <v>211</v>
      </c>
      <c r="C55" s="1" t="s">
        <v>926</v>
      </c>
      <c r="D55" s="4">
        <v>45366</v>
      </c>
      <c r="E55" s="4">
        <v>45917</v>
      </c>
      <c r="F55" s="11">
        <f>DATEDIF(D55,E55,"M")</f>
        <v>18</v>
      </c>
      <c r="G55" s="11" t="s">
        <v>921</v>
      </c>
      <c r="H55" s="1">
        <v>38.51</v>
      </c>
      <c r="I55" s="1">
        <v>1.54</v>
      </c>
      <c r="J55" s="20">
        <f>SUM(I55/H55)</f>
        <v>3.9989613087509743E-2</v>
      </c>
      <c r="K55" s="1">
        <v>17528908</v>
      </c>
      <c r="L55" s="1" t="s">
        <v>893</v>
      </c>
      <c r="M55" s="1" t="s">
        <v>38</v>
      </c>
      <c r="N55" s="1" t="s">
        <v>37</v>
      </c>
      <c r="O55" s="3">
        <v>847545421</v>
      </c>
      <c r="P55" s="3">
        <v>2</v>
      </c>
    </row>
    <row r="56" spans="1:16" ht="15.75" x14ac:dyDescent="0.25">
      <c r="A56" s="11">
        <v>24955</v>
      </c>
      <c r="B56" s="16" t="s">
        <v>353</v>
      </c>
      <c r="C56" s="16" t="s">
        <v>926</v>
      </c>
      <c r="D56" s="17">
        <v>45520</v>
      </c>
      <c r="E56" s="17">
        <v>45918</v>
      </c>
      <c r="F56" s="11">
        <f>DATEDIF(D56,E56,"M")</f>
        <v>13</v>
      </c>
      <c r="G56" s="11" t="s">
        <v>921</v>
      </c>
      <c r="H56" s="16">
        <v>1.5</v>
      </c>
      <c r="I56" s="16">
        <v>0.06</v>
      </c>
      <c r="J56" s="20">
        <f>SUM(I56/H56)</f>
        <v>0.04</v>
      </c>
      <c r="K56" s="16">
        <v>9079571</v>
      </c>
      <c r="L56" s="16" t="s">
        <v>899</v>
      </c>
      <c r="M56" s="16" t="s">
        <v>38</v>
      </c>
      <c r="N56" s="16" t="s">
        <v>37</v>
      </c>
      <c r="O56" s="11">
        <v>847644852</v>
      </c>
      <c r="P56" s="11">
        <v>2</v>
      </c>
    </row>
    <row r="57" spans="1:16" ht="15.75" x14ac:dyDescent="0.25">
      <c r="A57" s="3">
        <v>83401</v>
      </c>
      <c r="B57" s="1" t="s">
        <v>173</v>
      </c>
      <c r="C57" s="1" t="s">
        <v>926</v>
      </c>
      <c r="D57" s="4">
        <v>45307</v>
      </c>
      <c r="E57" s="4">
        <v>45918</v>
      </c>
      <c r="F57" s="11">
        <f>DATEDIF(D57,E57,"M")</f>
        <v>20</v>
      </c>
      <c r="G57" s="11" t="s">
        <v>921</v>
      </c>
      <c r="H57" s="1">
        <v>1.5</v>
      </c>
      <c r="I57" s="1">
        <v>0.06</v>
      </c>
      <c r="J57" s="20">
        <f>SUM(I57/H57)</f>
        <v>0.04</v>
      </c>
      <c r="K57" s="1">
        <v>9079571</v>
      </c>
      <c r="L57" s="1" t="s">
        <v>899</v>
      </c>
      <c r="M57" s="1" t="s">
        <v>38</v>
      </c>
      <c r="N57" s="1" t="s">
        <v>37</v>
      </c>
      <c r="O57" s="3">
        <v>847503742</v>
      </c>
      <c r="P57" s="3">
        <v>2</v>
      </c>
    </row>
    <row r="58" spans="1:16" ht="15.75" x14ac:dyDescent="0.25">
      <c r="A58" s="11">
        <v>49791</v>
      </c>
      <c r="B58" s="16" t="s">
        <v>379</v>
      </c>
      <c r="C58" s="16" t="s">
        <v>926</v>
      </c>
      <c r="D58" s="17">
        <v>45547</v>
      </c>
      <c r="E58" s="17">
        <v>45915</v>
      </c>
      <c r="F58" s="11">
        <f>DATEDIF(D58,E58,"M")</f>
        <v>12</v>
      </c>
      <c r="G58" s="11" t="s">
        <v>921</v>
      </c>
      <c r="H58" s="16">
        <v>1.5</v>
      </c>
      <c r="I58" s="16">
        <v>0.06</v>
      </c>
      <c r="J58" s="20">
        <f>SUM(I58/H58)</f>
        <v>0.04</v>
      </c>
      <c r="K58" s="16">
        <v>19278370</v>
      </c>
      <c r="L58" s="16" t="s">
        <v>894</v>
      </c>
      <c r="M58" s="16" t="s">
        <v>38</v>
      </c>
      <c r="N58" s="16" t="s">
        <v>37</v>
      </c>
      <c r="O58" s="11">
        <v>847658558</v>
      </c>
      <c r="P58" s="11">
        <v>2</v>
      </c>
    </row>
    <row r="59" spans="1:16" ht="15.75" x14ac:dyDescent="0.25">
      <c r="A59" s="3">
        <v>82488</v>
      </c>
      <c r="B59" s="1" t="s">
        <v>99</v>
      </c>
      <c r="C59" s="1" t="s">
        <v>926</v>
      </c>
      <c r="D59" s="4">
        <v>45243</v>
      </c>
      <c r="E59" s="4">
        <v>45915</v>
      </c>
      <c r="F59" s="11">
        <f>DATEDIF(D59,E59,"M")</f>
        <v>22</v>
      </c>
      <c r="G59" s="11" t="s">
        <v>921</v>
      </c>
      <c r="H59" s="1">
        <v>1.5</v>
      </c>
      <c r="I59" s="1">
        <v>0.06</v>
      </c>
      <c r="J59" s="20">
        <f>SUM(I59/H59)</f>
        <v>0.04</v>
      </c>
      <c r="K59" s="1">
        <v>17195620</v>
      </c>
      <c r="L59" s="1" t="s">
        <v>911</v>
      </c>
      <c r="M59" s="1" t="s">
        <v>38</v>
      </c>
      <c r="N59" s="1" t="s">
        <v>37</v>
      </c>
      <c r="O59" s="3">
        <v>847456250</v>
      </c>
      <c r="P59" s="3">
        <v>2</v>
      </c>
    </row>
    <row r="60" spans="1:16" ht="15.75" x14ac:dyDescent="0.25">
      <c r="A60" s="3">
        <v>82488</v>
      </c>
      <c r="B60" s="1" t="s">
        <v>99</v>
      </c>
      <c r="C60" s="1" t="s">
        <v>926</v>
      </c>
      <c r="D60" s="4">
        <v>45243</v>
      </c>
      <c r="E60" s="4">
        <v>45915</v>
      </c>
      <c r="F60" s="11">
        <f>DATEDIF(D60,E60,"M")</f>
        <v>22</v>
      </c>
      <c r="G60" s="11" t="s">
        <v>921</v>
      </c>
      <c r="H60" s="1">
        <v>1.5</v>
      </c>
      <c r="I60" s="1">
        <v>0.06</v>
      </c>
      <c r="J60" s="20">
        <f>SUM(I60/H60)</f>
        <v>0.04</v>
      </c>
      <c r="K60" s="1">
        <v>17195620</v>
      </c>
      <c r="L60" s="1" t="s">
        <v>911</v>
      </c>
      <c r="M60" s="1" t="s">
        <v>38</v>
      </c>
      <c r="N60" s="1" t="s">
        <v>37</v>
      </c>
      <c r="O60" s="3">
        <v>847456250</v>
      </c>
      <c r="P60" s="3">
        <v>2</v>
      </c>
    </row>
    <row r="61" spans="1:16" ht="15.75" x14ac:dyDescent="0.25">
      <c r="A61" s="11">
        <v>51513</v>
      </c>
      <c r="B61" s="16" t="s">
        <v>383</v>
      </c>
      <c r="C61" s="16" t="s">
        <v>926</v>
      </c>
      <c r="D61" s="17">
        <v>45547</v>
      </c>
      <c r="E61" s="17">
        <v>45915</v>
      </c>
      <c r="F61" s="11">
        <f>DATEDIF(D61,E61,"M")</f>
        <v>12</v>
      </c>
      <c r="G61" s="11" t="s">
        <v>921</v>
      </c>
      <c r="H61" s="16">
        <v>1.5</v>
      </c>
      <c r="I61" s="16">
        <v>0.06</v>
      </c>
      <c r="J61" s="20">
        <f>SUM(I61/H61)</f>
        <v>0.04</v>
      </c>
      <c r="K61" s="16">
        <v>19681796</v>
      </c>
      <c r="L61" s="16" t="s">
        <v>916</v>
      </c>
      <c r="M61" s="16" t="s">
        <v>38</v>
      </c>
      <c r="N61" s="16" t="s">
        <v>37</v>
      </c>
      <c r="O61" s="11">
        <v>847659475</v>
      </c>
      <c r="P61" s="11">
        <v>2</v>
      </c>
    </row>
    <row r="62" spans="1:16" ht="15.75" x14ac:dyDescent="0.25">
      <c r="A62" s="11">
        <v>54517</v>
      </c>
      <c r="B62" s="16" t="s">
        <v>386</v>
      </c>
      <c r="C62" s="16" t="s">
        <v>926</v>
      </c>
      <c r="D62" s="17">
        <v>45552</v>
      </c>
      <c r="E62" s="17">
        <v>45919</v>
      </c>
      <c r="F62" s="11">
        <f>DATEDIF(D62,E62,"M")</f>
        <v>12</v>
      </c>
      <c r="G62" s="11" t="s">
        <v>921</v>
      </c>
      <c r="H62" s="16">
        <v>1.5</v>
      </c>
      <c r="I62" s="16">
        <v>0.06</v>
      </c>
      <c r="J62" s="20">
        <f>SUM(I62/H62)</f>
        <v>0.04</v>
      </c>
      <c r="K62" s="16">
        <v>17528908</v>
      </c>
      <c r="L62" s="16" t="s">
        <v>893</v>
      </c>
      <c r="M62" s="16" t="s">
        <v>38</v>
      </c>
      <c r="N62" s="16" t="s">
        <v>37</v>
      </c>
      <c r="O62" s="11">
        <v>847661149</v>
      </c>
      <c r="P62" s="11">
        <v>2</v>
      </c>
    </row>
    <row r="63" spans="1:16" ht="15.75" x14ac:dyDescent="0.25">
      <c r="A63" s="3">
        <v>28176</v>
      </c>
      <c r="B63" s="1" t="s">
        <v>240</v>
      </c>
      <c r="C63" s="1" t="s">
        <v>926</v>
      </c>
      <c r="D63" s="4">
        <v>45428</v>
      </c>
      <c r="E63" s="4">
        <v>45918</v>
      </c>
      <c r="F63" s="11">
        <f>DATEDIF(D63,E63,"M")</f>
        <v>16</v>
      </c>
      <c r="G63" s="11" t="s">
        <v>921</v>
      </c>
      <c r="H63" s="1">
        <v>1.5</v>
      </c>
      <c r="I63" s="1">
        <v>0.06</v>
      </c>
      <c r="J63" s="20">
        <f>SUM(I63/H63)</f>
        <v>0.04</v>
      </c>
      <c r="K63" s="1">
        <v>17528908</v>
      </c>
      <c r="L63" s="1" t="s">
        <v>893</v>
      </c>
      <c r="M63" s="1" t="s">
        <v>38</v>
      </c>
      <c r="N63" s="1" t="s">
        <v>37</v>
      </c>
      <c r="O63" s="3">
        <v>847589102</v>
      </c>
      <c r="P63" s="3">
        <v>2</v>
      </c>
    </row>
    <row r="64" spans="1:16" ht="15.75" x14ac:dyDescent="0.25">
      <c r="A64" s="3">
        <v>77735</v>
      </c>
      <c r="B64" s="1" t="s">
        <v>156</v>
      </c>
      <c r="C64" s="1" t="s">
        <v>926</v>
      </c>
      <c r="D64" s="4">
        <v>45302</v>
      </c>
      <c r="E64" s="4">
        <v>45915</v>
      </c>
      <c r="F64" s="11">
        <f>DATEDIF(D64,E64,"M")</f>
        <v>20</v>
      </c>
      <c r="G64" s="11" t="s">
        <v>921</v>
      </c>
      <c r="H64" s="1">
        <v>1.5</v>
      </c>
      <c r="I64" s="1">
        <v>0.06</v>
      </c>
      <c r="J64" s="20">
        <f>SUM(I64/H64)</f>
        <v>0.04</v>
      </c>
      <c r="K64" s="1">
        <v>17528908</v>
      </c>
      <c r="L64" s="1" t="s">
        <v>893</v>
      </c>
      <c r="M64" s="1" t="s">
        <v>38</v>
      </c>
      <c r="N64" s="1" t="s">
        <v>37</v>
      </c>
      <c r="O64" s="3">
        <v>847500372</v>
      </c>
      <c r="P64" s="3">
        <v>2</v>
      </c>
    </row>
    <row r="65" spans="1:16" ht="15.75" x14ac:dyDescent="0.25">
      <c r="A65" s="3">
        <v>83364</v>
      </c>
      <c r="B65" s="1" t="s">
        <v>168</v>
      </c>
      <c r="C65" s="1" t="s">
        <v>926</v>
      </c>
      <c r="D65" s="4">
        <v>45307</v>
      </c>
      <c r="E65" s="4">
        <v>45918</v>
      </c>
      <c r="F65" s="11">
        <f>DATEDIF(D65,E65,"M")</f>
        <v>20</v>
      </c>
      <c r="G65" s="11" t="s">
        <v>921</v>
      </c>
      <c r="H65" s="1">
        <v>1.5</v>
      </c>
      <c r="I65" s="1">
        <v>0.06</v>
      </c>
      <c r="J65" s="20">
        <f>SUM(I65/H65)</f>
        <v>0.04</v>
      </c>
      <c r="K65" s="1">
        <v>17528908</v>
      </c>
      <c r="L65" s="1" t="s">
        <v>893</v>
      </c>
      <c r="M65" s="1" t="s">
        <v>38</v>
      </c>
      <c r="N65" s="1" t="s">
        <v>37</v>
      </c>
      <c r="O65" s="3">
        <v>847503721</v>
      </c>
      <c r="P65" s="3">
        <v>2</v>
      </c>
    </row>
    <row r="66" spans="1:16" ht="15.75" x14ac:dyDescent="0.25">
      <c r="A66" s="3">
        <v>41575</v>
      </c>
      <c r="B66" s="1" t="s">
        <v>123</v>
      </c>
      <c r="C66" s="1" t="s">
        <v>926</v>
      </c>
      <c r="D66" s="4">
        <v>45271</v>
      </c>
      <c r="E66" s="4">
        <v>45915</v>
      </c>
      <c r="F66" s="11">
        <f>DATEDIF(D66,E66,"M")</f>
        <v>21</v>
      </c>
      <c r="G66" s="11" t="s">
        <v>921</v>
      </c>
      <c r="H66" s="1">
        <v>1.5</v>
      </c>
      <c r="I66" s="1">
        <v>0.06</v>
      </c>
      <c r="J66" s="20">
        <f>SUM(I66/H66)</f>
        <v>0.04</v>
      </c>
      <c r="K66" s="1">
        <v>17528908</v>
      </c>
      <c r="L66" s="1" t="s">
        <v>893</v>
      </c>
      <c r="M66" s="1" t="s">
        <v>38</v>
      </c>
      <c r="N66" s="1" t="s">
        <v>37</v>
      </c>
      <c r="O66" s="3">
        <v>847479552</v>
      </c>
      <c r="P66" s="3">
        <v>2</v>
      </c>
    </row>
    <row r="67" spans="1:16" ht="15.75" x14ac:dyDescent="0.25">
      <c r="A67" s="3">
        <v>89270</v>
      </c>
      <c r="B67" s="1" t="s">
        <v>115</v>
      </c>
      <c r="C67" s="1" t="s">
        <v>926</v>
      </c>
      <c r="D67" s="4">
        <v>45247</v>
      </c>
      <c r="E67" s="4">
        <v>45919</v>
      </c>
      <c r="F67" s="11">
        <f>DATEDIF(D67,E67,"M")</f>
        <v>22</v>
      </c>
      <c r="G67" s="11" t="s">
        <v>921</v>
      </c>
      <c r="H67" s="1">
        <v>1.5</v>
      </c>
      <c r="I67" s="1">
        <v>0.06</v>
      </c>
      <c r="J67" s="20">
        <f>SUM(I67/H67)</f>
        <v>0.04</v>
      </c>
      <c r="K67" s="1">
        <v>17528908</v>
      </c>
      <c r="L67" s="1" t="s">
        <v>893</v>
      </c>
      <c r="M67" s="1" t="s">
        <v>38</v>
      </c>
      <c r="N67" s="1" t="s">
        <v>37</v>
      </c>
      <c r="O67" s="3">
        <v>847460342</v>
      </c>
      <c r="P67" s="3">
        <v>2</v>
      </c>
    </row>
    <row r="68" spans="1:16" ht="15.75" x14ac:dyDescent="0.25">
      <c r="A68" s="3">
        <v>89476</v>
      </c>
      <c r="B68" s="1" t="s">
        <v>119</v>
      </c>
      <c r="C68" s="1" t="s">
        <v>926</v>
      </c>
      <c r="D68" s="4">
        <v>45247</v>
      </c>
      <c r="E68" s="4">
        <v>45919</v>
      </c>
      <c r="F68" s="11">
        <f>DATEDIF(D68,E68,"M")</f>
        <v>22</v>
      </c>
      <c r="G68" s="11" t="s">
        <v>921</v>
      </c>
      <c r="H68" s="1">
        <v>1.5</v>
      </c>
      <c r="I68" s="1">
        <v>0.06</v>
      </c>
      <c r="J68" s="20">
        <f>SUM(I68/H68)</f>
        <v>0.04</v>
      </c>
      <c r="K68" s="1">
        <v>17528908</v>
      </c>
      <c r="L68" s="1" t="s">
        <v>893</v>
      </c>
      <c r="M68" s="1" t="s">
        <v>38</v>
      </c>
      <c r="N68" s="1" t="s">
        <v>37</v>
      </c>
      <c r="O68" s="3">
        <v>847460478</v>
      </c>
      <c r="P68" s="3">
        <v>2</v>
      </c>
    </row>
    <row r="69" spans="1:16" ht="15.75" x14ac:dyDescent="0.25">
      <c r="A69" s="3">
        <v>89940</v>
      </c>
      <c r="B69" s="1" t="s">
        <v>214</v>
      </c>
      <c r="C69" s="1" t="s">
        <v>926</v>
      </c>
      <c r="D69" s="4">
        <v>45397</v>
      </c>
      <c r="E69" s="4">
        <v>45917</v>
      </c>
      <c r="F69" s="11">
        <f>DATEDIF(D69,E69,"M")</f>
        <v>17</v>
      </c>
      <c r="G69" s="11" t="s">
        <v>921</v>
      </c>
      <c r="H69" s="1">
        <v>1.5</v>
      </c>
      <c r="I69" s="1">
        <v>0.06</v>
      </c>
      <c r="J69" s="20">
        <f>SUM(I69/H69)</f>
        <v>0.04</v>
      </c>
      <c r="K69" s="1">
        <v>15278437</v>
      </c>
      <c r="L69" s="1" t="s">
        <v>890</v>
      </c>
      <c r="M69" s="1" t="s">
        <v>38</v>
      </c>
      <c r="N69" s="1" t="s">
        <v>37</v>
      </c>
      <c r="O69" s="3">
        <v>847567202</v>
      </c>
      <c r="P69" s="3">
        <v>2</v>
      </c>
    </row>
    <row r="70" spans="1:16" ht="15.75" x14ac:dyDescent="0.25">
      <c r="A70" s="11">
        <v>40187</v>
      </c>
      <c r="B70" s="16" t="s">
        <v>363</v>
      </c>
      <c r="C70" s="16" t="s">
        <v>926</v>
      </c>
      <c r="D70" s="17">
        <v>45536</v>
      </c>
      <c r="E70" s="17">
        <v>45918</v>
      </c>
      <c r="F70" s="11">
        <f>DATEDIF(D70,E70,"M")</f>
        <v>12</v>
      </c>
      <c r="G70" s="11" t="s">
        <v>921</v>
      </c>
      <c r="H70" s="16">
        <v>1.5</v>
      </c>
      <c r="I70" s="16">
        <v>0.06</v>
      </c>
      <c r="J70" s="20">
        <f>SUM(I70/H70)</f>
        <v>0.04</v>
      </c>
      <c r="K70" s="16">
        <v>5442438</v>
      </c>
      <c r="L70" s="16" t="s">
        <v>897</v>
      </c>
      <c r="M70" s="16" t="s">
        <v>38</v>
      </c>
      <c r="N70" s="16" t="s">
        <v>37</v>
      </c>
      <c r="O70" s="11">
        <v>847653225</v>
      </c>
      <c r="P70" s="11">
        <v>2</v>
      </c>
    </row>
    <row r="71" spans="1:16" ht="15.75" x14ac:dyDescent="0.25">
      <c r="A71" s="11">
        <v>54707</v>
      </c>
      <c r="B71" s="16" t="s">
        <v>391</v>
      </c>
      <c r="C71" s="16" t="s">
        <v>926</v>
      </c>
      <c r="D71" s="17">
        <v>45552</v>
      </c>
      <c r="E71" s="17">
        <v>45919</v>
      </c>
      <c r="F71" s="11">
        <f>DATEDIF(D71,E71,"M")</f>
        <v>12</v>
      </c>
      <c r="G71" s="11" t="s">
        <v>921</v>
      </c>
      <c r="H71" s="16">
        <v>1.5</v>
      </c>
      <c r="I71" s="16">
        <v>0.06</v>
      </c>
      <c r="J71" s="20">
        <f>SUM(I71/H71)</f>
        <v>0.04</v>
      </c>
      <c r="K71" s="16">
        <v>5442438</v>
      </c>
      <c r="L71" s="16" t="s">
        <v>897</v>
      </c>
      <c r="M71" s="16" t="s">
        <v>38</v>
      </c>
      <c r="N71" s="16" t="s">
        <v>37</v>
      </c>
      <c r="O71" s="11">
        <v>847661249</v>
      </c>
      <c r="P71" s="11">
        <v>2</v>
      </c>
    </row>
    <row r="72" spans="1:16" ht="15.75" x14ac:dyDescent="0.25">
      <c r="A72" s="11">
        <v>22189</v>
      </c>
      <c r="B72" s="16" t="s">
        <v>340</v>
      </c>
      <c r="C72" s="16" t="s">
        <v>926</v>
      </c>
      <c r="D72" s="17">
        <v>45518</v>
      </c>
      <c r="E72" s="17">
        <v>45916</v>
      </c>
      <c r="F72" s="11">
        <f>DATEDIF(D72,E72,"M")</f>
        <v>13</v>
      </c>
      <c r="G72" s="11" t="s">
        <v>921</v>
      </c>
      <c r="H72" s="16">
        <v>1.5</v>
      </c>
      <c r="I72" s="16">
        <v>0.06</v>
      </c>
      <c r="J72" s="20">
        <f>SUM(I72/H72)</f>
        <v>0.04</v>
      </c>
      <c r="K72" s="16">
        <v>5442438</v>
      </c>
      <c r="L72" s="16" t="s">
        <v>897</v>
      </c>
      <c r="M72" s="16" t="s">
        <v>38</v>
      </c>
      <c r="N72" s="16" t="s">
        <v>37</v>
      </c>
      <c r="O72" s="11">
        <v>847643323</v>
      </c>
      <c r="P72" s="11">
        <v>2</v>
      </c>
    </row>
    <row r="73" spans="1:16" ht="15.75" x14ac:dyDescent="0.25">
      <c r="A73" s="11">
        <v>85200</v>
      </c>
      <c r="B73" s="16" t="s">
        <v>185</v>
      </c>
      <c r="C73" s="16" t="s">
        <v>926</v>
      </c>
      <c r="D73" s="17">
        <v>45308</v>
      </c>
      <c r="E73" s="17">
        <v>45919</v>
      </c>
      <c r="F73" s="11">
        <f>DATEDIF(D73,E73,"M")</f>
        <v>20</v>
      </c>
      <c r="G73" s="11" t="s">
        <v>921</v>
      </c>
      <c r="H73" s="16">
        <v>1.5</v>
      </c>
      <c r="I73" s="16">
        <v>0.06</v>
      </c>
      <c r="J73" s="20">
        <f>SUM(I73/H73)</f>
        <v>0.04</v>
      </c>
      <c r="K73" s="16">
        <v>8971826</v>
      </c>
      <c r="L73" s="16" t="s">
        <v>886</v>
      </c>
      <c r="M73" s="16" t="s">
        <v>38</v>
      </c>
      <c r="N73" s="16" t="s">
        <v>37</v>
      </c>
      <c r="O73" s="11">
        <v>847504822</v>
      </c>
      <c r="P73" s="11">
        <v>2</v>
      </c>
    </row>
    <row r="74" spans="1:16" ht="15.75" x14ac:dyDescent="0.25">
      <c r="A74" s="11">
        <v>20958</v>
      </c>
      <c r="B74" s="16" t="s">
        <v>326</v>
      </c>
      <c r="C74" s="16" t="s">
        <v>926</v>
      </c>
      <c r="D74" s="17">
        <v>45517</v>
      </c>
      <c r="E74" s="17">
        <v>45915</v>
      </c>
      <c r="F74" s="11">
        <f>DATEDIF(D74,E74,"M")</f>
        <v>13</v>
      </c>
      <c r="G74" s="11" t="s">
        <v>921</v>
      </c>
      <c r="H74" s="16">
        <v>1.5</v>
      </c>
      <c r="I74" s="16">
        <v>0.06</v>
      </c>
      <c r="J74" s="20">
        <f>SUM(I74/H74)</f>
        <v>0.04</v>
      </c>
      <c r="K74" s="16">
        <v>16202925</v>
      </c>
      <c r="L74" s="16" t="s">
        <v>910</v>
      </c>
      <c r="M74" s="16" t="s">
        <v>38</v>
      </c>
      <c r="N74" s="16" t="s">
        <v>37</v>
      </c>
      <c r="O74" s="11">
        <v>847642626</v>
      </c>
      <c r="P74" s="11">
        <v>2</v>
      </c>
    </row>
    <row r="75" spans="1:16" ht="15.75" x14ac:dyDescent="0.25">
      <c r="A75" s="11">
        <v>26309</v>
      </c>
      <c r="B75" s="16" t="s">
        <v>360</v>
      </c>
      <c r="C75" s="16" t="s">
        <v>926</v>
      </c>
      <c r="D75" s="17">
        <v>45521</v>
      </c>
      <c r="E75" s="17">
        <v>45919</v>
      </c>
      <c r="F75" s="11">
        <f>DATEDIF(D75,E75,"M")</f>
        <v>13</v>
      </c>
      <c r="G75" s="11" t="s">
        <v>921</v>
      </c>
      <c r="H75" s="16">
        <v>1.5</v>
      </c>
      <c r="I75" s="16">
        <v>0.06</v>
      </c>
      <c r="J75" s="20">
        <f>SUM(I75/H75)</f>
        <v>0.04</v>
      </c>
      <c r="K75" s="16">
        <v>16202925</v>
      </c>
      <c r="L75" s="16" t="s">
        <v>910</v>
      </c>
      <c r="M75" s="16" t="s">
        <v>38</v>
      </c>
      <c r="N75" s="16" t="s">
        <v>37</v>
      </c>
      <c r="O75" s="11">
        <v>847645605</v>
      </c>
      <c r="P75" s="11">
        <v>2</v>
      </c>
    </row>
    <row r="76" spans="1:16" ht="15.75" x14ac:dyDescent="0.25">
      <c r="A76" s="11">
        <v>84832</v>
      </c>
      <c r="B76" s="16" t="s">
        <v>272</v>
      </c>
      <c r="C76" s="16" t="s">
        <v>926</v>
      </c>
      <c r="D76" s="17">
        <v>45485</v>
      </c>
      <c r="E76" s="17">
        <v>45916</v>
      </c>
      <c r="F76" s="11">
        <f>DATEDIF(D76,E76,"M")</f>
        <v>14</v>
      </c>
      <c r="G76" s="11" t="s">
        <v>921</v>
      </c>
      <c r="H76" s="16">
        <v>1.5</v>
      </c>
      <c r="I76" s="16">
        <v>0.06</v>
      </c>
      <c r="J76" s="20">
        <f>SUM(I76/H76)</f>
        <v>0.04</v>
      </c>
      <c r="K76" s="16">
        <v>16202925</v>
      </c>
      <c r="L76" s="16" t="s">
        <v>910</v>
      </c>
      <c r="M76" s="16" t="s">
        <v>38</v>
      </c>
      <c r="N76" s="16" t="s">
        <v>37</v>
      </c>
      <c r="O76" s="11">
        <v>847622413</v>
      </c>
      <c r="P76" s="11">
        <v>2</v>
      </c>
    </row>
    <row r="77" spans="1:16" ht="15.75" x14ac:dyDescent="0.25">
      <c r="A77" s="11">
        <v>90210</v>
      </c>
      <c r="B77" s="16" t="s">
        <v>287</v>
      </c>
      <c r="C77" s="16" t="s">
        <v>926</v>
      </c>
      <c r="D77" s="17">
        <v>45487</v>
      </c>
      <c r="E77" s="17">
        <v>45916</v>
      </c>
      <c r="F77" s="11">
        <f>DATEDIF(D77,E77,"M")</f>
        <v>14</v>
      </c>
      <c r="G77" s="11" t="s">
        <v>921</v>
      </c>
      <c r="H77" s="16">
        <v>1.5</v>
      </c>
      <c r="I77" s="16">
        <v>0.06</v>
      </c>
      <c r="J77" s="20">
        <f>SUM(I77/H77)</f>
        <v>0.04</v>
      </c>
      <c r="K77" s="16">
        <v>16202925</v>
      </c>
      <c r="L77" s="16" t="s">
        <v>910</v>
      </c>
      <c r="M77" s="16" t="s">
        <v>38</v>
      </c>
      <c r="N77" s="16" t="s">
        <v>37</v>
      </c>
      <c r="O77" s="11">
        <v>847625567</v>
      </c>
      <c r="P77" s="11">
        <v>2</v>
      </c>
    </row>
    <row r="78" spans="1:16" ht="15.75" x14ac:dyDescent="0.25">
      <c r="A78" s="11">
        <v>79789</v>
      </c>
      <c r="B78" s="16" t="s">
        <v>161</v>
      </c>
      <c r="C78" s="16" t="s">
        <v>926</v>
      </c>
      <c r="D78" s="17">
        <v>45306</v>
      </c>
      <c r="E78" s="17">
        <v>45917</v>
      </c>
      <c r="F78" s="11">
        <f>DATEDIF(D78,E78,"M")</f>
        <v>20</v>
      </c>
      <c r="G78" s="11" t="s">
        <v>921</v>
      </c>
      <c r="H78" s="16">
        <v>1.5</v>
      </c>
      <c r="I78" s="16">
        <v>0.06</v>
      </c>
      <c r="J78" s="20">
        <f>SUM(I78/H78)</f>
        <v>0.04</v>
      </c>
      <c r="K78" s="16">
        <v>16202925</v>
      </c>
      <c r="L78" s="16" t="s">
        <v>910</v>
      </c>
      <c r="M78" s="16" t="s">
        <v>38</v>
      </c>
      <c r="N78" s="16" t="s">
        <v>37</v>
      </c>
      <c r="O78" s="11">
        <v>847501615</v>
      </c>
      <c r="P78" s="11">
        <v>2</v>
      </c>
    </row>
    <row r="79" spans="1:16" ht="15.75" x14ac:dyDescent="0.25">
      <c r="A79" s="11">
        <v>85375</v>
      </c>
      <c r="B79" s="16" t="s">
        <v>191</v>
      </c>
      <c r="C79" s="16" t="s">
        <v>926</v>
      </c>
      <c r="D79" s="17">
        <v>45308</v>
      </c>
      <c r="E79" s="17">
        <v>45919</v>
      </c>
      <c r="F79" s="11">
        <f>DATEDIF(D79,E79,"M")</f>
        <v>20</v>
      </c>
      <c r="G79" s="11" t="s">
        <v>921</v>
      </c>
      <c r="H79" s="16">
        <v>1.5</v>
      </c>
      <c r="I79" s="16">
        <v>0.06</v>
      </c>
      <c r="J79" s="20">
        <f>SUM(I79/H79)</f>
        <v>0.04</v>
      </c>
      <c r="K79" s="16">
        <v>16202925</v>
      </c>
      <c r="L79" s="16" t="s">
        <v>910</v>
      </c>
      <c r="M79" s="16" t="s">
        <v>38</v>
      </c>
      <c r="N79" s="16" t="s">
        <v>37</v>
      </c>
      <c r="O79" s="11">
        <v>847504920</v>
      </c>
      <c r="P79" s="11">
        <v>2</v>
      </c>
    </row>
    <row r="80" spans="1:16" ht="15.75" x14ac:dyDescent="0.25">
      <c r="A80" s="11">
        <v>85375</v>
      </c>
      <c r="B80" s="16" t="s">
        <v>191</v>
      </c>
      <c r="C80" s="16" t="s">
        <v>926</v>
      </c>
      <c r="D80" s="17">
        <v>45308</v>
      </c>
      <c r="E80" s="17">
        <v>45919</v>
      </c>
      <c r="F80" s="11">
        <f>DATEDIF(D80,E80,"M")</f>
        <v>20</v>
      </c>
      <c r="G80" s="11" t="s">
        <v>921</v>
      </c>
      <c r="H80" s="16">
        <v>1.5</v>
      </c>
      <c r="I80" s="16">
        <v>0.06</v>
      </c>
      <c r="J80" s="20">
        <f>SUM(I80/H80)</f>
        <v>0.04</v>
      </c>
      <c r="K80" s="16">
        <v>16202925</v>
      </c>
      <c r="L80" s="16" t="s">
        <v>910</v>
      </c>
      <c r="M80" s="16" t="s">
        <v>38</v>
      </c>
      <c r="N80" s="16" t="s">
        <v>37</v>
      </c>
      <c r="O80" s="11">
        <v>847504920</v>
      </c>
      <c r="P80" s="11">
        <v>2</v>
      </c>
    </row>
    <row r="81" spans="1:17" ht="15.75" x14ac:dyDescent="0.25">
      <c r="A81" s="11">
        <v>58316</v>
      </c>
      <c r="B81" s="16" t="s">
        <v>66</v>
      </c>
      <c r="C81" s="16" t="s">
        <v>926</v>
      </c>
      <c r="D81" s="17">
        <v>45122</v>
      </c>
      <c r="E81" s="17">
        <v>45917</v>
      </c>
      <c r="F81" s="11">
        <f>DATEDIF(D81,E81,"M")</f>
        <v>26</v>
      </c>
      <c r="G81" s="11" t="s">
        <v>921</v>
      </c>
      <c r="H81" s="16">
        <v>1.5</v>
      </c>
      <c r="I81" s="16">
        <v>0.06</v>
      </c>
      <c r="J81" s="20">
        <f>SUM(I81/H81)</f>
        <v>0.04</v>
      </c>
      <c r="K81" s="16">
        <v>16202925</v>
      </c>
      <c r="L81" s="16" t="s">
        <v>910</v>
      </c>
      <c r="M81" s="16" t="s">
        <v>38</v>
      </c>
      <c r="N81" s="16" t="s">
        <v>37</v>
      </c>
      <c r="O81" s="11">
        <v>847382130</v>
      </c>
      <c r="P81" s="11">
        <v>2</v>
      </c>
    </row>
    <row r="82" spans="1:17" ht="15.75" x14ac:dyDescent="0.25">
      <c r="A82" s="11">
        <v>35261</v>
      </c>
      <c r="B82" s="16" t="s">
        <v>47</v>
      </c>
      <c r="C82" s="16" t="s">
        <v>926</v>
      </c>
      <c r="D82" s="17">
        <v>45092</v>
      </c>
      <c r="E82" s="17">
        <v>45917</v>
      </c>
      <c r="F82" s="11">
        <f>DATEDIF(D82,E82,"M")</f>
        <v>27</v>
      </c>
      <c r="G82" s="11" t="s">
        <v>921</v>
      </c>
      <c r="H82" s="16">
        <v>0.75</v>
      </c>
      <c r="I82" s="16">
        <v>0.03</v>
      </c>
      <c r="J82" s="20">
        <f>SUM(I82/H82)</f>
        <v>0.04</v>
      </c>
      <c r="K82" s="16">
        <v>16202925</v>
      </c>
      <c r="L82" s="16" t="s">
        <v>910</v>
      </c>
      <c r="M82" s="16" t="s">
        <v>38</v>
      </c>
      <c r="N82" s="16" t="s">
        <v>37</v>
      </c>
      <c r="O82" s="11">
        <v>847368365</v>
      </c>
      <c r="P82" s="11">
        <v>2</v>
      </c>
    </row>
    <row r="83" spans="1:17" ht="15.75" x14ac:dyDescent="0.25">
      <c r="A83" s="11">
        <v>26309</v>
      </c>
      <c r="B83" s="16" t="s">
        <v>360</v>
      </c>
      <c r="C83" s="16" t="s">
        <v>926</v>
      </c>
      <c r="D83" s="17">
        <v>45521</v>
      </c>
      <c r="E83" s="17">
        <v>45919</v>
      </c>
      <c r="F83" s="11">
        <f>DATEDIF(D83,E83,"M")</f>
        <v>13</v>
      </c>
      <c r="G83" s="11" t="s">
        <v>921</v>
      </c>
      <c r="H83" s="16">
        <v>51.24</v>
      </c>
      <c r="I83" s="16">
        <v>2.0499999999999998</v>
      </c>
      <c r="J83" s="20">
        <f>SUM(I83/H83)</f>
        <v>4.000780640124902E-2</v>
      </c>
      <c r="K83" s="16">
        <v>16202925</v>
      </c>
      <c r="L83" s="16" t="s">
        <v>910</v>
      </c>
      <c r="M83" s="16" t="s">
        <v>38</v>
      </c>
      <c r="N83" s="16" t="s">
        <v>37</v>
      </c>
      <c r="O83" s="11">
        <v>847645605</v>
      </c>
      <c r="P83" s="11">
        <v>2</v>
      </c>
    </row>
    <row r="84" spans="1:17" ht="15.75" x14ac:dyDescent="0.25">
      <c r="A84" s="11">
        <v>79789</v>
      </c>
      <c r="B84" s="16" t="s">
        <v>161</v>
      </c>
      <c r="C84" s="16" t="s">
        <v>926</v>
      </c>
      <c r="D84" s="17">
        <v>45306</v>
      </c>
      <c r="E84" s="17">
        <v>45917</v>
      </c>
      <c r="F84" s="11">
        <f>DATEDIF(D84,E84,"M")</f>
        <v>20</v>
      </c>
      <c r="G84" s="11" t="s">
        <v>921</v>
      </c>
      <c r="H84" s="16">
        <v>51.24</v>
      </c>
      <c r="I84" s="16">
        <v>2.0499999999999998</v>
      </c>
      <c r="J84" s="20">
        <f>SUM(I84/H84)</f>
        <v>4.000780640124902E-2</v>
      </c>
      <c r="K84" s="16">
        <v>16202925</v>
      </c>
      <c r="L84" s="16" t="s">
        <v>910</v>
      </c>
      <c r="M84" s="16" t="s">
        <v>38</v>
      </c>
      <c r="N84" s="16" t="s">
        <v>37</v>
      </c>
      <c r="O84" s="11">
        <v>847501615</v>
      </c>
      <c r="P84" s="11">
        <v>2</v>
      </c>
    </row>
    <row r="85" spans="1:17" ht="15.75" x14ac:dyDescent="0.25">
      <c r="A85" s="11">
        <v>56726</v>
      </c>
      <c r="B85" s="16" t="s">
        <v>61</v>
      </c>
      <c r="C85" s="16" t="s">
        <v>926</v>
      </c>
      <c r="D85" s="17">
        <v>45118</v>
      </c>
      <c r="E85" s="17">
        <v>45915</v>
      </c>
      <c r="F85" s="11">
        <f>DATEDIF(D85,E85,"M")</f>
        <v>26</v>
      </c>
      <c r="G85" s="11" t="s">
        <v>921</v>
      </c>
      <c r="H85" s="16">
        <v>94.48</v>
      </c>
      <c r="I85" s="16">
        <v>3.78</v>
      </c>
      <c r="J85" s="20">
        <f>SUM(I85/H85)</f>
        <v>4.0008467400508042E-2</v>
      </c>
      <c r="K85" s="16">
        <v>16202925</v>
      </c>
      <c r="L85" s="16" t="s">
        <v>910</v>
      </c>
      <c r="M85" s="16" t="s">
        <v>38</v>
      </c>
      <c r="N85" s="16" t="s">
        <v>37</v>
      </c>
      <c r="O85" s="11">
        <v>847381187</v>
      </c>
      <c r="P85" s="11">
        <v>2</v>
      </c>
    </row>
    <row r="86" spans="1:17" ht="15.75" x14ac:dyDescent="0.25">
      <c r="A86" s="3">
        <v>51107</v>
      </c>
      <c r="B86" s="1" t="s">
        <v>146</v>
      </c>
      <c r="C86" s="1" t="s">
        <v>926</v>
      </c>
      <c r="D86" s="4">
        <v>45276</v>
      </c>
      <c r="E86" s="4">
        <v>45918</v>
      </c>
      <c r="F86" s="11">
        <f>DATEDIF(D86,E86,"M")</f>
        <v>21</v>
      </c>
      <c r="G86" s="11" t="s">
        <v>921</v>
      </c>
      <c r="H86" s="1">
        <v>78.97</v>
      </c>
      <c r="I86" s="1">
        <v>3.16</v>
      </c>
      <c r="J86" s="20">
        <f>SUM(I86/H86)</f>
        <v>4.0015195643915411E-2</v>
      </c>
      <c r="K86" s="1">
        <v>15278437</v>
      </c>
      <c r="L86" s="1" t="s">
        <v>890</v>
      </c>
      <c r="M86" s="1" t="s">
        <v>38</v>
      </c>
      <c r="N86" s="1" t="s">
        <v>37</v>
      </c>
      <c r="O86" s="3">
        <v>847485176</v>
      </c>
      <c r="P86" s="3">
        <v>2</v>
      </c>
    </row>
    <row r="87" spans="1:17" ht="15.75" x14ac:dyDescent="0.25">
      <c r="A87" s="11">
        <v>21536</v>
      </c>
      <c r="B87" s="16" t="s">
        <v>329</v>
      </c>
      <c r="C87" s="16" t="s">
        <v>926</v>
      </c>
      <c r="D87" s="17">
        <v>45518</v>
      </c>
      <c r="E87" s="17">
        <v>45916</v>
      </c>
      <c r="F87" s="11">
        <f>DATEDIF(D87,E87,"M")</f>
        <v>13</v>
      </c>
      <c r="G87" s="11" t="s">
        <v>921</v>
      </c>
      <c r="H87" s="16">
        <v>144.93</v>
      </c>
      <c r="I87" s="16">
        <v>5.8</v>
      </c>
      <c r="J87" s="20">
        <f>SUM(I87/H87)</f>
        <v>4.0019319671565579E-2</v>
      </c>
      <c r="K87" s="16">
        <v>19396223</v>
      </c>
      <c r="L87" s="16" t="s">
        <v>885</v>
      </c>
      <c r="M87" s="16" t="s">
        <v>38</v>
      </c>
      <c r="N87" s="16" t="s">
        <v>37</v>
      </c>
      <c r="O87" s="11">
        <v>847642951</v>
      </c>
      <c r="P87" s="11">
        <v>2</v>
      </c>
      <c r="Q87" s="8" t="s">
        <v>883</v>
      </c>
    </row>
    <row r="88" spans="1:17" ht="15.75" x14ac:dyDescent="0.25">
      <c r="A88" s="11">
        <v>55554</v>
      </c>
      <c r="B88" s="16" t="s">
        <v>257</v>
      </c>
      <c r="C88" s="16" t="s">
        <v>926</v>
      </c>
      <c r="D88" s="17">
        <v>45458</v>
      </c>
      <c r="E88" s="17">
        <v>45917</v>
      </c>
      <c r="F88" s="11">
        <f>DATEDIF(D88,E88,"M")</f>
        <v>15</v>
      </c>
      <c r="G88" s="11" t="s">
        <v>921</v>
      </c>
      <c r="H88" s="16">
        <v>40.729999999999997</v>
      </c>
      <c r="I88" s="16">
        <v>1.63</v>
      </c>
      <c r="J88" s="20">
        <f>SUM(I88/H88)</f>
        <v>4.0019641541861037E-2</v>
      </c>
      <c r="K88" s="16">
        <v>16202925</v>
      </c>
      <c r="L88" s="16" t="s">
        <v>910</v>
      </c>
      <c r="M88" s="16" t="s">
        <v>38</v>
      </c>
      <c r="N88" s="16" t="s">
        <v>37</v>
      </c>
      <c r="O88" s="11">
        <v>847605326</v>
      </c>
      <c r="P88" s="11">
        <v>2</v>
      </c>
    </row>
    <row r="89" spans="1:17" ht="15.75" x14ac:dyDescent="0.25">
      <c r="A89" s="11">
        <v>30339</v>
      </c>
      <c r="B89" s="16" t="s">
        <v>249</v>
      </c>
      <c r="C89" s="16" t="s">
        <v>926</v>
      </c>
      <c r="D89" s="17">
        <v>45429</v>
      </c>
      <c r="E89" s="17">
        <v>45919</v>
      </c>
      <c r="F89" s="11">
        <f>DATEDIF(D89,E89,"M")</f>
        <v>16</v>
      </c>
      <c r="G89" s="11" t="s">
        <v>921</v>
      </c>
      <c r="H89" s="16">
        <v>107.9</v>
      </c>
      <c r="I89" s="16">
        <v>4.32</v>
      </c>
      <c r="J89" s="20">
        <f>SUM(I89/H89)</f>
        <v>4.003707136237257E-2</v>
      </c>
      <c r="K89" s="16">
        <v>8971826</v>
      </c>
      <c r="L89" s="16" t="s">
        <v>886</v>
      </c>
      <c r="M89" s="16" t="s">
        <v>38</v>
      </c>
      <c r="N89" s="16" t="s">
        <v>37</v>
      </c>
      <c r="O89" s="11">
        <v>847590399</v>
      </c>
      <c r="P89" s="11">
        <v>2</v>
      </c>
    </row>
    <row r="90" spans="1:17" ht="15.75" x14ac:dyDescent="0.25">
      <c r="A90" s="11">
        <v>1372</v>
      </c>
      <c r="B90" s="16" t="s">
        <v>80</v>
      </c>
      <c r="C90" s="16" t="s">
        <v>926</v>
      </c>
      <c r="D90" s="17">
        <v>45170</v>
      </c>
      <c r="E90" s="17">
        <v>45915</v>
      </c>
      <c r="F90" s="11">
        <f>DATEDIF(D90,E90,"M")</f>
        <v>24</v>
      </c>
      <c r="G90" s="11" t="s">
        <v>921</v>
      </c>
      <c r="H90" s="16">
        <v>83.41</v>
      </c>
      <c r="I90" s="16">
        <v>3.34</v>
      </c>
      <c r="J90" s="20">
        <f>SUM(I90/H90)</f>
        <v>4.0043160292530869E-2</v>
      </c>
      <c r="K90" s="16">
        <v>16202925</v>
      </c>
      <c r="L90" s="16" t="s">
        <v>910</v>
      </c>
      <c r="M90" s="16" t="s">
        <v>38</v>
      </c>
      <c r="N90" s="16" t="s">
        <v>37</v>
      </c>
      <c r="O90" s="11">
        <v>847407970</v>
      </c>
      <c r="P90" s="11">
        <v>2</v>
      </c>
    </row>
    <row r="91" spans="1:17" ht="15.75" x14ac:dyDescent="0.25">
      <c r="A91" s="11">
        <v>54978</v>
      </c>
      <c r="B91" s="16" t="s">
        <v>394</v>
      </c>
      <c r="C91" s="16" t="s">
        <v>926</v>
      </c>
      <c r="D91" s="17">
        <v>45552</v>
      </c>
      <c r="E91" s="17">
        <v>45919</v>
      </c>
      <c r="F91" s="11">
        <f>DATEDIF(D91,E91,"M")</f>
        <v>12</v>
      </c>
      <c r="G91" s="11" t="s">
        <v>921</v>
      </c>
      <c r="H91" s="16">
        <v>7.24</v>
      </c>
      <c r="I91" s="16">
        <v>0.28999999999999998</v>
      </c>
      <c r="J91" s="20">
        <f>SUM(I91/H91)</f>
        <v>4.0055248618784525E-2</v>
      </c>
      <c r="K91" s="16">
        <v>9213293</v>
      </c>
      <c r="L91" s="16" t="s">
        <v>914</v>
      </c>
      <c r="M91" s="16" t="s">
        <v>38</v>
      </c>
      <c r="N91" s="16" t="s">
        <v>37</v>
      </c>
      <c r="O91" s="11">
        <v>847661374</v>
      </c>
      <c r="P91" s="11">
        <v>2</v>
      </c>
    </row>
    <row r="92" spans="1:17" ht="15.75" x14ac:dyDescent="0.25">
      <c r="A92" s="11">
        <v>49791</v>
      </c>
      <c r="B92" s="16" t="s">
        <v>379</v>
      </c>
      <c r="C92" s="16" t="s">
        <v>926</v>
      </c>
      <c r="D92" s="17">
        <v>45547</v>
      </c>
      <c r="E92" s="17">
        <v>45915</v>
      </c>
      <c r="F92" s="11">
        <f>DATEDIF(D92,E92,"M")</f>
        <v>12</v>
      </c>
      <c r="G92" s="11" t="s">
        <v>921</v>
      </c>
      <c r="H92" s="16">
        <v>55.16</v>
      </c>
      <c r="I92" s="16">
        <v>2.21</v>
      </c>
      <c r="J92" s="20">
        <f>SUM(I92/H92)</f>
        <v>4.0065264684554028E-2</v>
      </c>
      <c r="K92" s="16">
        <v>19278370</v>
      </c>
      <c r="L92" s="16" t="s">
        <v>894</v>
      </c>
      <c r="M92" s="16" t="s">
        <v>38</v>
      </c>
      <c r="N92" s="16" t="s">
        <v>37</v>
      </c>
      <c r="O92" s="11">
        <v>847658558</v>
      </c>
      <c r="P92" s="11">
        <v>2</v>
      </c>
    </row>
    <row r="93" spans="1:17" ht="15.75" x14ac:dyDescent="0.25">
      <c r="A93" s="11">
        <v>24264</v>
      </c>
      <c r="B93" s="16" t="s">
        <v>343</v>
      </c>
      <c r="C93" s="16" t="s">
        <v>926</v>
      </c>
      <c r="D93" s="17">
        <v>45520</v>
      </c>
      <c r="E93" s="17">
        <v>45918</v>
      </c>
      <c r="F93" s="11">
        <f>DATEDIF(D93,E93,"M")</f>
        <v>13</v>
      </c>
      <c r="G93" s="11" t="s">
        <v>921</v>
      </c>
      <c r="H93" s="16">
        <v>41.17</v>
      </c>
      <c r="I93" s="16">
        <v>1.65</v>
      </c>
      <c r="J93" s="20">
        <f>SUM(I93/H93)</f>
        <v>4.0077726499878549E-2</v>
      </c>
      <c r="K93" s="16">
        <v>19681796</v>
      </c>
      <c r="L93" s="16" t="s">
        <v>916</v>
      </c>
      <c r="M93" s="16" t="s">
        <v>38</v>
      </c>
      <c r="N93" s="16" t="s">
        <v>37</v>
      </c>
      <c r="O93" s="11">
        <v>847644465</v>
      </c>
      <c r="P93" s="11">
        <v>2</v>
      </c>
    </row>
    <row r="94" spans="1:17" ht="15.75" x14ac:dyDescent="0.25">
      <c r="A94" s="11">
        <v>7658</v>
      </c>
      <c r="B94" s="16" t="s">
        <v>308</v>
      </c>
      <c r="C94" s="16" t="s">
        <v>926</v>
      </c>
      <c r="D94" s="17">
        <v>45505</v>
      </c>
      <c r="E94" s="17">
        <v>45917</v>
      </c>
      <c r="F94" s="11">
        <f>DATEDIF(D94,E94,"M")</f>
        <v>13</v>
      </c>
      <c r="G94" s="11" t="s">
        <v>921</v>
      </c>
      <c r="H94" s="16">
        <v>15.7</v>
      </c>
      <c r="I94" s="16">
        <v>0.63</v>
      </c>
      <c r="J94" s="20">
        <f>SUM(I94/H94)</f>
        <v>4.0127388535031852E-2</v>
      </c>
      <c r="K94" s="16">
        <v>15278437</v>
      </c>
      <c r="L94" s="16" t="s">
        <v>890</v>
      </c>
      <c r="M94" s="16" t="s">
        <v>38</v>
      </c>
      <c r="N94" s="16" t="s">
        <v>37</v>
      </c>
      <c r="O94" s="11">
        <v>847635195</v>
      </c>
      <c r="P94" s="11">
        <v>2</v>
      </c>
    </row>
    <row r="95" spans="1:17" ht="15.75" x14ac:dyDescent="0.25">
      <c r="A95" s="3">
        <v>82488</v>
      </c>
      <c r="B95" s="1" t="s">
        <v>99</v>
      </c>
      <c r="C95" s="1" t="s">
        <v>926</v>
      </c>
      <c r="D95" s="4">
        <v>45243</v>
      </c>
      <c r="E95" s="4">
        <v>45915</v>
      </c>
      <c r="F95" s="11">
        <f>DATEDIF(D95,E95,"M")</f>
        <v>22</v>
      </c>
      <c r="G95" s="11" t="s">
        <v>921</v>
      </c>
      <c r="H95" s="1">
        <v>46.59</v>
      </c>
      <c r="I95" s="1">
        <v>1.87</v>
      </c>
      <c r="J95" s="20">
        <f>SUM(I95/H95)</f>
        <v>4.0137368534020175E-2</v>
      </c>
      <c r="K95" s="1">
        <v>17195620</v>
      </c>
      <c r="L95" s="1" t="s">
        <v>911</v>
      </c>
      <c r="M95" s="1" t="s">
        <v>38</v>
      </c>
      <c r="N95" s="1" t="s">
        <v>37</v>
      </c>
      <c r="O95" s="3">
        <v>847456250</v>
      </c>
      <c r="P95" s="3">
        <v>2</v>
      </c>
    </row>
    <row r="96" spans="1:17" ht="15.75" x14ac:dyDescent="0.25">
      <c r="A96" s="3">
        <v>82488</v>
      </c>
      <c r="B96" s="1" t="s">
        <v>99</v>
      </c>
      <c r="C96" s="1" t="s">
        <v>926</v>
      </c>
      <c r="D96" s="4">
        <v>45243</v>
      </c>
      <c r="E96" s="4">
        <v>45915</v>
      </c>
      <c r="F96" s="11">
        <f>DATEDIF(D96,E96,"M")</f>
        <v>22</v>
      </c>
      <c r="G96" s="11" t="s">
        <v>921</v>
      </c>
      <c r="H96" s="1">
        <v>46.59</v>
      </c>
      <c r="I96" s="1">
        <v>1.87</v>
      </c>
      <c r="J96" s="20">
        <f>SUM(I96/H96)</f>
        <v>4.0137368534020175E-2</v>
      </c>
      <c r="K96" s="1">
        <v>17195620</v>
      </c>
      <c r="L96" s="1" t="s">
        <v>911</v>
      </c>
      <c r="M96" s="1" t="s">
        <v>38</v>
      </c>
      <c r="N96" s="1" t="s">
        <v>37</v>
      </c>
      <c r="O96" s="3">
        <v>847456250</v>
      </c>
      <c r="P96" s="3">
        <v>2</v>
      </c>
    </row>
    <row r="97" spans="1:16" ht="15.75" x14ac:dyDescent="0.25">
      <c r="A97" s="11">
        <v>85375</v>
      </c>
      <c r="B97" s="16" t="s">
        <v>191</v>
      </c>
      <c r="C97" s="16" t="s">
        <v>926</v>
      </c>
      <c r="D97" s="17">
        <v>45308</v>
      </c>
      <c r="E97" s="17">
        <v>45919</v>
      </c>
      <c r="F97" s="11">
        <f>DATEDIF(D97,E97,"M")</f>
        <v>20</v>
      </c>
      <c r="G97" s="11" t="s">
        <v>921</v>
      </c>
      <c r="H97" s="16">
        <v>46.59</v>
      </c>
      <c r="I97" s="16">
        <v>1.87</v>
      </c>
      <c r="J97" s="20">
        <f>SUM(I97/H97)</f>
        <v>4.0137368534020175E-2</v>
      </c>
      <c r="K97" s="16">
        <v>16202925</v>
      </c>
      <c r="L97" s="16" t="s">
        <v>910</v>
      </c>
      <c r="M97" s="16" t="s">
        <v>38</v>
      </c>
      <c r="N97" s="16" t="s">
        <v>37</v>
      </c>
      <c r="O97" s="11">
        <v>847504920</v>
      </c>
      <c r="P97" s="11">
        <v>2</v>
      </c>
    </row>
    <row r="98" spans="1:16" ht="15.75" x14ac:dyDescent="0.25">
      <c r="A98" s="11">
        <v>85375</v>
      </c>
      <c r="B98" s="16" t="s">
        <v>191</v>
      </c>
      <c r="C98" s="16" t="s">
        <v>926</v>
      </c>
      <c r="D98" s="17">
        <v>45308</v>
      </c>
      <c r="E98" s="17">
        <v>45919</v>
      </c>
      <c r="F98" s="11">
        <f>DATEDIF(D98,E98,"M")</f>
        <v>20</v>
      </c>
      <c r="G98" s="11" t="s">
        <v>921</v>
      </c>
      <c r="H98" s="16">
        <v>46.59</v>
      </c>
      <c r="I98" s="16">
        <v>1.87</v>
      </c>
      <c r="J98" s="20">
        <f>SUM(I98/H98)</f>
        <v>4.0137368534020175E-2</v>
      </c>
      <c r="K98" s="16">
        <v>16202925</v>
      </c>
      <c r="L98" s="16" t="s">
        <v>910</v>
      </c>
      <c r="M98" s="16" t="s">
        <v>38</v>
      </c>
      <c r="N98" s="16" t="s">
        <v>37</v>
      </c>
      <c r="O98" s="11">
        <v>847504920</v>
      </c>
      <c r="P98" s="11">
        <v>2</v>
      </c>
    </row>
    <row r="99" spans="1:16" ht="15.75" x14ac:dyDescent="0.25">
      <c r="A99" s="11">
        <v>91889</v>
      </c>
      <c r="B99" s="16" t="s">
        <v>218</v>
      </c>
      <c r="C99" s="16" t="s">
        <v>926</v>
      </c>
      <c r="D99" s="17">
        <v>45395</v>
      </c>
      <c r="E99" s="17">
        <v>45915</v>
      </c>
      <c r="F99" s="11">
        <f>DATEDIF(D99,E99,"M")</f>
        <v>17</v>
      </c>
      <c r="G99" s="11" t="s">
        <v>921</v>
      </c>
      <c r="H99" s="16">
        <v>30.07</v>
      </c>
      <c r="I99" s="16">
        <v>1.21</v>
      </c>
      <c r="J99" s="20">
        <f>SUM(I99/H99)</f>
        <v>4.0239441303624876E-2</v>
      </c>
      <c r="K99" s="16">
        <v>8971826</v>
      </c>
      <c r="L99" s="16" t="s">
        <v>886</v>
      </c>
      <c r="M99" s="16" t="s">
        <v>38</v>
      </c>
      <c r="N99" s="16" t="s">
        <v>37</v>
      </c>
      <c r="O99" s="11">
        <v>847568358</v>
      </c>
      <c r="P99" s="11">
        <v>2</v>
      </c>
    </row>
    <row r="100" spans="1:16" ht="15.75" x14ac:dyDescent="0.25">
      <c r="A100" s="11">
        <v>91889</v>
      </c>
      <c r="B100" s="16" t="s">
        <v>218</v>
      </c>
      <c r="C100" s="16" t="s">
        <v>926</v>
      </c>
      <c r="D100" s="17">
        <v>45395</v>
      </c>
      <c r="E100" s="17">
        <v>45915</v>
      </c>
      <c r="F100" s="11">
        <f>DATEDIF(D100,E100,"M")</f>
        <v>17</v>
      </c>
      <c r="G100" s="11" t="s">
        <v>921</v>
      </c>
      <c r="H100" s="16">
        <v>30.07</v>
      </c>
      <c r="I100" s="16">
        <v>1.21</v>
      </c>
      <c r="J100" s="20">
        <f>SUM(I100/H100)</f>
        <v>4.0239441303624876E-2</v>
      </c>
      <c r="K100" s="16">
        <v>8971826</v>
      </c>
      <c r="L100" s="16" t="s">
        <v>886</v>
      </c>
      <c r="M100" s="16" t="s">
        <v>38</v>
      </c>
      <c r="N100" s="16" t="s">
        <v>37</v>
      </c>
      <c r="O100" s="11">
        <v>847568358</v>
      </c>
      <c r="P100" s="11">
        <v>2</v>
      </c>
    </row>
    <row r="101" spans="1:16" ht="15.75" x14ac:dyDescent="0.25">
      <c r="A101" s="3">
        <v>55069</v>
      </c>
      <c r="B101" s="1" t="s">
        <v>55</v>
      </c>
      <c r="C101" s="1" t="s">
        <v>926</v>
      </c>
      <c r="D101" s="4">
        <v>45122</v>
      </c>
      <c r="E101" s="4">
        <v>45917</v>
      </c>
      <c r="F101" s="11">
        <f>DATEDIF(D101,E101,"M")</f>
        <v>26</v>
      </c>
      <c r="G101" s="11" t="s">
        <v>921</v>
      </c>
      <c r="H101" s="1">
        <v>19.63</v>
      </c>
      <c r="I101" s="1">
        <v>0.79</v>
      </c>
      <c r="J101" s="20">
        <f>SUM(I101/H101)</f>
        <v>4.0244523688232302E-2</v>
      </c>
      <c r="K101" s="1">
        <v>19278370</v>
      </c>
      <c r="L101" s="1" t="s">
        <v>894</v>
      </c>
      <c r="M101" s="1" t="s">
        <v>38</v>
      </c>
      <c r="N101" s="1" t="s">
        <v>37</v>
      </c>
      <c r="O101" s="3">
        <v>847380156</v>
      </c>
      <c r="P101" s="3">
        <v>2</v>
      </c>
    </row>
    <row r="102" spans="1:16" ht="15.75" x14ac:dyDescent="0.25">
      <c r="A102" s="3">
        <v>49983</v>
      </c>
      <c r="B102" s="1" t="s">
        <v>143</v>
      </c>
      <c r="C102" s="1" t="s">
        <v>926</v>
      </c>
      <c r="D102" s="4">
        <v>45275</v>
      </c>
      <c r="E102" s="4">
        <v>45917</v>
      </c>
      <c r="F102" s="11">
        <f>DATEDIF(D102,E102,"M")</f>
        <v>21</v>
      </c>
      <c r="G102" s="11" t="s">
        <v>921</v>
      </c>
      <c r="H102" s="1">
        <v>19.63</v>
      </c>
      <c r="I102" s="1">
        <v>0.79</v>
      </c>
      <c r="J102" s="20">
        <f>SUM(I102/H102)</f>
        <v>4.0244523688232302E-2</v>
      </c>
      <c r="K102" s="1">
        <v>17528908</v>
      </c>
      <c r="L102" s="1" t="s">
        <v>893</v>
      </c>
      <c r="M102" s="1" t="s">
        <v>38</v>
      </c>
      <c r="N102" s="1" t="s">
        <v>37</v>
      </c>
      <c r="O102" s="3">
        <v>847484571</v>
      </c>
      <c r="P102" s="3">
        <v>2</v>
      </c>
    </row>
    <row r="103" spans="1:16" ht="15.75" x14ac:dyDescent="0.25">
      <c r="A103" s="3">
        <v>5079</v>
      </c>
      <c r="B103" s="1" t="s">
        <v>236</v>
      </c>
      <c r="C103" s="1" t="s">
        <v>926</v>
      </c>
      <c r="D103" s="4">
        <v>45427</v>
      </c>
      <c r="E103" s="4">
        <v>45917</v>
      </c>
      <c r="F103" s="11">
        <f>DATEDIF(D103,E103,"M")</f>
        <v>16</v>
      </c>
      <c r="G103" s="11" t="s">
        <v>921</v>
      </c>
      <c r="H103" s="1">
        <v>10.67</v>
      </c>
      <c r="I103" s="1">
        <v>0.43</v>
      </c>
      <c r="J103" s="20">
        <f>SUM(I103/H103)</f>
        <v>4.0299906279287721E-2</v>
      </c>
      <c r="K103" s="1">
        <v>19278370</v>
      </c>
      <c r="L103" s="1" t="s">
        <v>894</v>
      </c>
      <c r="M103" s="1" t="s">
        <v>38</v>
      </c>
      <c r="N103" s="1" t="s">
        <v>37</v>
      </c>
      <c r="O103" s="3">
        <v>847575588</v>
      </c>
      <c r="P103" s="3">
        <v>2</v>
      </c>
    </row>
    <row r="104" spans="1:16" ht="15.75" x14ac:dyDescent="0.25">
      <c r="A104" s="11">
        <v>89753</v>
      </c>
      <c r="B104" s="16" t="s">
        <v>281</v>
      </c>
      <c r="C104" s="16" t="s">
        <v>926</v>
      </c>
      <c r="D104" s="17">
        <v>45485</v>
      </c>
      <c r="E104" s="17">
        <v>45915</v>
      </c>
      <c r="F104" s="11">
        <f>DATEDIF(D104,E104,"M")</f>
        <v>14</v>
      </c>
      <c r="G104" s="11" t="s">
        <v>921</v>
      </c>
      <c r="H104" s="16">
        <v>10.67</v>
      </c>
      <c r="I104" s="16">
        <v>0.43</v>
      </c>
      <c r="J104" s="20">
        <f>SUM(I104/H104)</f>
        <v>4.0299906279287721E-2</v>
      </c>
      <c r="K104" s="16">
        <v>19586992</v>
      </c>
      <c r="L104" s="16" t="s">
        <v>902</v>
      </c>
      <c r="M104" s="16" t="s">
        <v>38</v>
      </c>
      <c r="N104" s="16" t="s">
        <v>37</v>
      </c>
      <c r="O104" s="11">
        <v>847625293</v>
      </c>
      <c r="P104" s="11">
        <v>2</v>
      </c>
    </row>
    <row r="105" spans="1:16" ht="15.75" x14ac:dyDescent="0.25">
      <c r="A105" s="3">
        <v>83365</v>
      </c>
      <c r="B105" s="1" t="s">
        <v>168</v>
      </c>
      <c r="C105" s="1" t="s">
        <v>926</v>
      </c>
      <c r="D105" s="4">
        <v>45307</v>
      </c>
      <c r="E105" s="4">
        <v>45918</v>
      </c>
      <c r="F105" s="11">
        <f>DATEDIF(D105,E105,"M")</f>
        <v>20</v>
      </c>
      <c r="G105" s="11" t="s">
        <v>921</v>
      </c>
      <c r="H105" s="1">
        <v>10.67</v>
      </c>
      <c r="I105" s="1">
        <v>0.43</v>
      </c>
      <c r="J105" s="20">
        <f>SUM(I105/H105)</f>
        <v>4.0299906279287721E-2</v>
      </c>
      <c r="K105" s="1">
        <v>17528908</v>
      </c>
      <c r="L105" s="1" t="s">
        <v>893</v>
      </c>
      <c r="M105" s="1" t="s">
        <v>38</v>
      </c>
      <c r="N105" s="1" t="s">
        <v>37</v>
      </c>
      <c r="O105" s="3">
        <v>847503721</v>
      </c>
      <c r="P105" s="3">
        <v>2</v>
      </c>
    </row>
    <row r="106" spans="1:16" ht="15.75" x14ac:dyDescent="0.25">
      <c r="A106" s="11">
        <v>60121</v>
      </c>
      <c r="B106" s="16" t="s">
        <v>265</v>
      </c>
      <c r="C106" s="16" t="s">
        <v>926</v>
      </c>
      <c r="D106" s="17">
        <v>45457</v>
      </c>
      <c r="E106" s="17">
        <v>45916</v>
      </c>
      <c r="F106" s="11">
        <f>DATEDIF(D106,E106,"M")</f>
        <v>15</v>
      </c>
      <c r="G106" s="11" t="s">
        <v>921</v>
      </c>
      <c r="H106" s="16">
        <v>10.67</v>
      </c>
      <c r="I106" s="16">
        <v>0.43</v>
      </c>
      <c r="J106" s="20">
        <f>SUM(I106/H106)</f>
        <v>4.0299906279287721E-2</v>
      </c>
      <c r="K106" s="16">
        <v>20212926</v>
      </c>
      <c r="L106" s="16" t="s">
        <v>917</v>
      </c>
      <c r="M106" s="16" t="s">
        <v>38</v>
      </c>
      <c r="N106" s="16" t="s">
        <v>37</v>
      </c>
      <c r="O106" s="11">
        <v>847608018</v>
      </c>
      <c r="P106" s="11">
        <v>2</v>
      </c>
    </row>
    <row r="107" spans="1:16" ht="15.75" x14ac:dyDescent="0.25">
      <c r="A107" s="11">
        <v>30116</v>
      </c>
      <c r="B107" s="16" t="s">
        <v>244</v>
      </c>
      <c r="C107" s="16" t="s">
        <v>926</v>
      </c>
      <c r="D107" s="17">
        <v>45429</v>
      </c>
      <c r="E107" s="17">
        <v>45919</v>
      </c>
      <c r="F107" s="11">
        <f>DATEDIF(D107,E107,"M")</f>
        <v>16</v>
      </c>
      <c r="G107" s="11" t="s">
        <v>921</v>
      </c>
      <c r="H107" s="16">
        <v>10.67</v>
      </c>
      <c r="I107" s="16">
        <v>0.43</v>
      </c>
      <c r="J107" s="20">
        <f>SUM(I107/H107)</f>
        <v>4.0299906279287721E-2</v>
      </c>
      <c r="K107" s="16">
        <v>8971826</v>
      </c>
      <c r="L107" s="16" t="s">
        <v>886</v>
      </c>
      <c r="M107" s="16" t="s">
        <v>38</v>
      </c>
      <c r="N107" s="16" t="s">
        <v>37</v>
      </c>
      <c r="O107" s="11">
        <v>847590264</v>
      </c>
      <c r="P107" s="11">
        <v>2</v>
      </c>
    </row>
    <row r="108" spans="1:16" ht="15.75" x14ac:dyDescent="0.25">
      <c r="A108" s="11">
        <v>24948</v>
      </c>
      <c r="B108" s="16" t="s">
        <v>350</v>
      </c>
      <c r="C108" s="16" t="s">
        <v>926</v>
      </c>
      <c r="D108" s="17">
        <v>45520</v>
      </c>
      <c r="E108" s="17">
        <v>45918</v>
      </c>
      <c r="F108" s="11">
        <f>DATEDIF(D108,E108,"M")</f>
        <v>13</v>
      </c>
      <c r="G108" s="11" t="s">
        <v>921</v>
      </c>
      <c r="H108" s="16">
        <v>2.69</v>
      </c>
      <c r="I108" s="16">
        <v>0.11</v>
      </c>
      <c r="J108" s="20">
        <f>SUM(I108/H108)</f>
        <v>4.0892193308550186E-2</v>
      </c>
      <c r="K108" s="16">
        <v>9079571</v>
      </c>
      <c r="L108" s="16" t="s">
        <v>899</v>
      </c>
      <c r="M108" s="16" t="s">
        <v>38</v>
      </c>
      <c r="N108" s="16" t="s">
        <v>37</v>
      </c>
      <c r="O108" s="11">
        <v>847644847</v>
      </c>
      <c r="P108" s="11">
        <v>2</v>
      </c>
    </row>
    <row r="109" spans="1:16" ht="15.75" x14ac:dyDescent="0.25">
      <c r="A109" s="11">
        <v>92438</v>
      </c>
      <c r="B109" s="16" t="s">
        <v>297</v>
      </c>
      <c r="C109" s="16" t="s">
        <v>926</v>
      </c>
      <c r="D109" s="17">
        <v>45489</v>
      </c>
      <c r="E109" s="17">
        <v>45918</v>
      </c>
      <c r="F109" s="11">
        <f>DATEDIF(D109,E109,"M")</f>
        <v>14</v>
      </c>
      <c r="G109" s="11" t="s">
        <v>921</v>
      </c>
      <c r="H109" s="16">
        <v>2.69</v>
      </c>
      <c r="I109" s="16">
        <v>0.11</v>
      </c>
      <c r="J109" s="20">
        <f>SUM(I109/H109)</f>
        <v>4.0892193308550186E-2</v>
      </c>
      <c r="K109" s="16">
        <v>17528908</v>
      </c>
      <c r="L109" s="16" t="s">
        <v>893</v>
      </c>
      <c r="M109" s="16" t="s">
        <v>38</v>
      </c>
      <c r="N109" s="16" t="s">
        <v>37</v>
      </c>
      <c r="O109" s="11">
        <v>847626851</v>
      </c>
      <c r="P109" s="11">
        <v>2</v>
      </c>
    </row>
    <row r="110" spans="1:16" ht="15.75" x14ac:dyDescent="0.25">
      <c r="A110" s="3">
        <v>54452</v>
      </c>
      <c r="B110" s="1" t="s">
        <v>92</v>
      </c>
      <c r="C110" s="1" t="s">
        <v>926</v>
      </c>
      <c r="D110" s="4">
        <v>45292</v>
      </c>
      <c r="E110" s="4">
        <v>45917</v>
      </c>
      <c r="F110" s="11">
        <f>DATEDIF(D110,E110,"M")</f>
        <v>20</v>
      </c>
      <c r="G110" s="11" t="s">
        <v>921</v>
      </c>
      <c r="H110" s="1">
        <v>2.69</v>
      </c>
      <c r="I110" s="1">
        <v>0.11</v>
      </c>
      <c r="J110" s="20">
        <f>SUM(I110/H110)</f>
        <v>4.0892193308550186E-2</v>
      </c>
      <c r="K110" s="1">
        <v>17528908</v>
      </c>
      <c r="L110" s="1" t="s">
        <v>893</v>
      </c>
      <c r="M110" s="1" t="s">
        <v>38</v>
      </c>
      <c r="N110" s="1" t="s">
        <v>37</v>
      </c>
      <c r="O110" s="3">
        <v>847439240</v>
      </c>
      <c r="P110" s="3">
        <v>2</v>
      </c>
    </row>
    <row r="111" spans="1:16" ht="15.75" x14ac:dyDescent="0.25">
      <c r="A111" s="3">
        <v>55345</v>
      </c>
      <c r="B111" s="1" t="s">
        <v>208</v>
      </c>
      <c r="C111" s="1" t="s">
        <v>926</v>
      </c>
      <c r="D111" s="4">
        <v>45366</v>
      </c>
      <c r="E111" s="4">
        <v>45917</v>
      </c>
      <c r="F111" s="11">
        <f>DATEDIF(D111,E111,"M")</f>
        <v>18</v>
      </c>
      <c r="G111" s="11" t="s">
        <v>921</v>
      </c>
      <c r="H111" s="1">
        <v>2.69</v>
      </c>
      <c r="I111" s="1">
        <v>0.11</v>
      </c>
      <c r="J111" s="20">
        <f>SUM(I111/H111)</f>
        <v>4.0892193308550186E-2</v>
      </c>
      <c r="K111" s="1">
        <v>18710070</v>
      </c>
      <c r="L111" s="1" t="s">
        <v>912</v>
      </c>
      <c r="M111" s="1" t="s">
        <v>38</v>
      </c>
      <c r="N111" s="1" t="s">
        <v>37</v>
      </c>
      <c r="O111" s="3">
        <v>847545412</v>
      </c>
      <c r="P111" s="3">
        <v>2</v>
      </c>
    </row>
    <row r="112" spans="1:16" ht="15.75" x14ac:dyDescent="0.25">
      <c r="A112" s="11">
        <v>26071</v>
      </c>
      <c r="B112" s="16" t="s">
        <v>356</v>
      </c>
      <c r="C112" s="16" t="s">
        <v>926</v>
      </c>
      <c r="D112" s="17">
        <v>45521</v>
      </c>
      <c r="E112" s="17">
        <v>45919</v>
      </c>
      <c r="F112" s="11">
        <f>DATEDIF(D112,E112,"M")</f>
        <v>13</v>
      </c>
      <c r="G112" s="11" t="s">
        <v>921</v>
      </c>
      <c r="H112" s="16">
        <v>2.69</v>
      </c>
      <c r="I112" s="16">
        <v>0.11</v>
      </c>
      <c r="J112" s="20">
        <f>SUM(I112/H112)</f>
        <v>4.0892193308550186E-2</v>
      </c>
      <c r="K112" s="16">
        <v>5442438</v>
      </c>
      <c r="L112" s="16" t="s">
        <v>897</v>
      </c>
      <c r="M112" s="16" t="s">
        <v>38</v>
      </c>
      <c r="N112" s="16" t="s">
        <v>37</v>
      </c>
      <c r="O112" s="11">
        <v>847645466</v>
      </c>
      <c r="P112" s="11">
        <v>2</v>
      </c>
    </row>
    <row r="113" spans="1:16" ht="15.75" x14ac:dyDescent="0.25">
      <c r="A113" s="11">
        <v>56726</v>
      </c>
      <c r="B113" s="16" t="s">
        <v>61</v>
      </c>
      <c r="C113" s="16" t="s">
        <v>926</v>
      </c>
      <c r="D113" s="17">
        <v>45118</v>
      </c>
      <c r="E113" s="17">
        <v>45915</v>
      </c>
      <c r="F113" s="11">
        <f>DATEDIF(D113,E113,"M")</f>
        <v>26</v>
      </c>
      <c r="G113" s="11" t="s">
        <v>921</v>
      </c>
      <c r="H113" s="16">
        <v>2.16</v>
      </c>
      <c r="I113" s="16">
        <v>0.09</v>
      </c>
      <c r="J113" s="20">
        <f>SUM(I113/H113)</f>
        <v>4.1666666666666664E-2</v>
      </c>
      <c r="K113" s="16">
        <v>16202925</v>
      </c>
      <c r="L113" s="16" t="s">
        <v>910</v>
      </c>
      <c r="M113" s="16" t="s">
        <v>38</v>
      </c>
      <c r="N113" s="16" t="s">
        <v>37</v>
      </c>
      <c r="O113" s="11">
        <v>847381187</v>
      </c>
      <c r="P113" s="11">
        <v>2</v>
      </c>
    </row>
    <row r="114" spans="1:16" ht="15.75" x14ac:dyDescent="0.25">
      <c r="A114" s="5">
        <v>14551</v>
      </c>
      <c r="B114" s="6" t="s">
        <v>31</v>
      </c>
      <c r="C114" s="6" t="s">
        <v>926</v>
      </c>
      <c r="D114" s="7">
        <v>45063</v>
      </c>
      <c r="E114" s="7">
        <v>45919</v>
      </c>
      <c r="F114" s="5">
        <f>DATEDIF(D114,E114,"M")</f>
        <v>28</v>
      </c>
      <c r="G114" s="5" t="s">
        <v>921</v>
      </c>
      <c r="H114" s="6">
        <v>83.94</v>
      </c>
      <c r="I114" s="6">
        <v>8.39</v>
      </c>
      <c r="J114" s="18">
        <f>SUM(I114/H114)</f>
        <v>9.9952346914462725E-2</v>
      </c>
      <c r="K114" s="6">
        <v>20411454</v>
      </c>
      <c r="L114" s="6" t="s">
        <v>882</v>
      </c>
      <c r="M114" s="6" t="s">
        <v>38</v>
      </c>
      <c r="N114" s="6">
        <v>8.39</v>
      </c>
      <c r="O114" s="5">
        <v>847355727</v>
      </c>
      <c r="P114" s="5">
        <v>2</v>
      </c>
    </row>
    <row r="115" spans="1:16" ht="15.75" x14ac:dyDescent="0.25">
      <c r="A115" s="5">
        <v>14551</v>
      </c>
      <c r="B115" s="6" t="s">
        <v>31</v>
      </c>
      <c r="C115" s="6" t="s">
        <v>926</v>
      </c>
      <c r="D115" s="7">
        <v>45063</v>
      </c>
      <c r="E115" s="7">
        <v>45919</v>
      </c>
      <c r="F115" s="5">
        <f>DATEDIF(D115,E115,"M")</f>
        <v>28</v>
      </c>
      <c r="G115" s="5" t="s">
        <v>921</v>
      </c>
      <c r="H115" s="6">
        <v>2.69</v>
      </c>
      <c r="I115" s="6">
        <v>0.27</v>
      </c>
      <c r="J115" s="18">
        <f>SUM(I115/H115)</f>
        <v>0.10037174721189591</v>
      </c>
      <c r="K115" s="6">
        <v>20411454</v>
      </c>
      <c r="L115" s="6" t="s">
        <v>882</v>
      </c>
      <c r="M115" s="6" t="s">
        <v>38</v>
      </c>
      <c r="N115" s="6">
        <v>0.27</v>
      </c>
      <c r="O115" s="5">
        <v>847355727</v>
      </c>
      <c r="P115" s="5">
        <v>2</v>
      </c>
    </row>
    <row r="116" spans="1:16" ht="15.75" x14ac:dyDescent="0.25">
      <c r="A116" s="5">
        <v>14552</v>
      </c>
      <c r="B116" s="6" t="s">
        <v>31</v>
      </c>
      <c r="C116" s="6" t="s">
        <v>926</v>
      </c>
      <c r="D116" s="7">
        <v>45063</v>
      </c>
      <c r="E116" s="7">
        <v>45919</v>
      </c>
      <c r="F116" s="5">
        <f>DATEDIF(D116,E116,"M")</f>
        <v>28</v>
      </c>
      <c r="G116" s="5" t="s">
        <v>921</v>
      </c>
      <c r="H116" s="6">
        <v>24.06</v>
      </c>
      <c r="I116" s="6">
        <v>2.89</v>
      </c>
      <c r="J116" s="18">
        <f>SUM(I116/H116)</f>
        <v>0.1201163757273483</v>
      </c>
      <c r="K116" s="6">
        <v>20411454</v>
      </c>
      <c r="L116" s="6" t="s">
        <v>882</v>
      </c>
      <c r="M116" s="6" t="s">
        <v>38</v>
      </c>
      <c r="N116" s="6">
        <v>2.89</v>
      </c>
      <c r="O116" s="5">
        <v>847355727</v>
      </c>
      <c r="P116" s="5">
        <v>2</v>
      </c>
    </row>
    <row r="117" spans="1:16" ht="15.75" x14ac:dyDescent="0.25">
      <c r="A117" s="11">
        <v>17677</v>
      </c>
      <c r="B117" s="16" t="s">
        <v>479</v>
      </c>
      <c r="C117" s="16" t="s">
        <v>926</v>
      </c>
      <c r="D117" s="17">
        <v>45608</v>
      </c>
      <c r="E117" s="17">
        <v>45915</v>
      </c>
      <c r="F117" s="11">
        <f>DATEDIF(D117,E117,"M")</f>
        <v>10</v>
      </c>
      <c r="G117" s="11" t="s">
        <v>921</v>
      </c>
      <c r="H117" s="16">
        <v>1.5</v>
      </c>
      <c r="I117" s="16">
        <v>0.55000000000000004</v>
      </c>
      <c r="J117" s="20">
        <f>SUM(I117/H117)</f>
        <v>0.3666666666666667</v>
      </c>
      <c r="K117" s="16">
        <v>9079571</v>
      </c>
      <c r="L117" s="16" t="s">
        <v>899</v>
      </c>
      <c r="M117" s="16" t="s">
        <v>38</v>
      </c>
      <c r="N117" s="16" t="s">
        <v>37</v>
      </c>
      <c r="O117" s="11">
        <v>847694565</v>
      </c>
      <c r="P117" s="11">
        <v>2</v>
      </c>
    </row>
    <row r="118" spans="1:16" ht="15.75" x14ac:dyDescent="0.25">
      <c r="A118" s="11">
        <v>20851</v>
      </c>
      <c r="B118" s="16" t="s">
        <v>496</v>
      </c>
      <c r="C118" s="16" t="s">
        <v>926</v>
      </c>
      <c r="D118" s="17">
        <v>45609</v>
      </c>
      <c r="E118" s="17">
        <v>45915</v>
      </c>
      <c r="F118" s="11">
        <f>DATEDIF(D118,E118,"M")</f>
        <v>10</v>
      </c>
      <c r="G118" s="11" t="s">
        <v>921</v>
      </c>
      <c r="H118" s="16">
        <v>1.5</v>
      </c>
      <c r="I118" s="16">
        <v>0.55000000000000004</v>
      </c>
      <c r="J118" s="20">
        <f>SUM(I118/H118)</f>
        <v>0.3666666666666667</v>
      </c>
      <c r="K118" s="16">
        <v>9079571</v>
      </c>
      <c r="L118" s="16" t="s">
        <v>899</v>
      </c>
      <c r="M118" s="16" t="s">
        <v>38</v>
      </c>
      <c r="N118" s="16" t="s">
        <v>37</v>
      </c>
      <c r="O118" s="11">
        <v>847696298</v>
      </c>
      <c r="P118" s="11">
        <v>2</v>
      </c>
    </row>
    <row r="119" spans="1:16" ht="15.75" x14ac:dyDescent="0.25">
      <c r="A119" s="3">
        <v>84359</v>
      </c>
      <c r="B119" s="1" t="s">
        <v>626</v>
      </c>
      <c r="C119" s="1" t="s">
        <v>926</v>
      </c>
      <c r="D119" s="4">
        <v>45722</v>
      </c>
      <c r="E119" s="4">
        <v>45915</v>
      </c>
      <c r="F119" s="11">
        <f>DATEDIF(D119,E119,"M")</f>
        <v>6</v>
      </c>
      <c r="G119" s="11" t="s">
        <v>921</v>
      </c>
      <c r="H119" s="1">
        <v>-1.5</v>
      </c>
      <c r="I119" s="1">
        <v>-0.55000000000000004</v>
      </c>
      <c r="J119" s="20">
        <f>SUM(I119/H119)</f>
        <v>0.3666666666666667</v>
      </c>
      <c r="K119" s="1">
        <v>9079571</v>
      </c>
      <c r="L119" s="1" t="s">
        <v>899</v>
      </c>
      <c r="M119" s="1" t="s">
        <v>38</v>
      </c>
      <c r="N119" s="1" t="s">
        <v>37</v>
      </c>
      <c r="O119" s="3">
        <v>847787002</v>
      </c>
      <c r="P119" s="3">
        <v>2</v>
      </c>
    </row>
    <row r="120" spans="1:16" ht="15.75" x14ac:dyDescent="0.25">
      <c r="A120" s="3">
        <v>93166</v>
      </c>
      <c r="B120" s="1" t="s">
        <v>640</v>
      </c>
      <c r="C120" s="1" t="s">
        <v>926</v>
      </c>
      <c r="D120" s="4">
        <v>45729</v>
      </c>
      <c r="E120" s="4">
        <v>45915</v>
      </c>
      <c r="F120" s="11">
        <f>DATEDIF(D120,E120,"M")</f>
        <v>6</v>
      </c>
      <c r="G120" s="11" t="s">
        <v>921</v>
      </c>
      <c r="H120" s="1">
        <v>1.5</v>
      </c>
      <c r="I120" s="1">
        <v>0.55000000000000004</v>
      </c>
      <c r="J120" s="20">
        <f>SUM(I120/H120)</f>
        <v>0.3666666666666667</v>
      </c>
      <c r="K120" s="1">
        <v>9079571</v>
      </c>
      <c r="L120" s="1" t="s">
        <v>899</v>
      </c>
      <c r="M120" s="1" t="s">
        <v>38</v>
      </c>
      <c r="N120" s="1" t="s">
        <v>37</v>
      </c>
      <c r="O120" s="3">
        <v>847791909</v>
      </c>
      <c r="P120" s="3">
        <v>2</v>
      </c>
    </row>
    <row r="121" spans="1:16" ht="15.75" x14ac:dyDescent="0.25">
      <c r="A121" s="3">
        <v>67007</v>
      </c>
      <c r="B121" s="1" t="s">
        <v>714</v>
      </c>
      <c r="C121" s="1" t="s">
        <v>926</v>
      </c>
      <c r="D121" s="4">
        <v>45790</v>
      </c>
      <c r="E121" s="4">
        <v>45915</v>
      </c>
      <c r="F121" s="11">
        <f>DATEDIF(D121,E121,"M")</f>
        <v>4</v>
      </c>
      <c r="G121" s="11" t="s">
        <v>921</v>
      </c>
      <c r="H121" s="1">
        <v>1.5</v>
      </c>
      <c r="I121" s="1">
        <v>0.55000000000000004</v>
      </c>
      <c r="J121" s="20">
        <f>SUM(I121/H121)</f>
        <v>0.3666666666666667</v>
      </c>
      <c r="K121" s="1">
        <v>9079571</v>
      </c>
      <c r="L121" s="1" t="s">
        <v>899</v>
      </c>
      <c r="M121" s="1" t="s">
        <v>38</v>
      </c>
      <c r="N121" s="1" t="s">
        <v>37</v>
      </c>
      <c r="O121" s="3">
        <v>847834755</v>
      </c>
      <c r="P121" s="3">
        <v>2</v>
      </c>
    </row>
    <row r="122" spans="1:16" ht="15.75" x14ac:dyDescent="0.25">
      <c r="A122" s="3">
        <v>88370</v>
      </c>
      <c r="B122" s="1" t="s">
        <v>856</v>
      </c>
      <c r="C122" s="1" t="s">
        <v>928</v>
      </c>
      <c r="D122" s="4">
        <v>45911</v>
      </c>
      <c r="E122" s="4">
        <v>45915</v>
      </c>
      <c r="F122" s="11">
        <f>DATEDIF(D122,E122,"M")</f>
        <v>0</v>
      </c>
      <c r="G122" s="11" t="s">
        <v>921</v>
      </c>
      <c r="H122" s="1">
        <v>1.5</v>
      </c>
      <c r="I122" s="1">
        <v>0.55000000000000004</v>
      </c>
      <c r="J122" s="20">
        <f>SUM(I122/H122)</f>
        <v>0.3666666666666667</v>
      </c>
      <c r="K122" s="1">
        <v>9079571</v>
      </c>
      <c r="L122" s="1" t="s">
        <v>899</v>
      </c>
      <c r="M122" s="1" t="s">
        <v>38</v>
      </c>
      <c r="N122" s="1" t="s">
        <v>37</v>
      </c>
      <c r="O122" s="3">
        <v>847909464</v>
      </c>
      <c r="P122" s="3">
        <v>2</v>
      </c>
    </row>
    <row r="123" spans="1:16" ht="15.75" x14ac:dyDescent="0.25">
      <c r="A123" s="13">
        <v>92761</v>
      </c>
      <c r="B123" s="14" t="s">
        <v>635</v>
      </c>
      <c r="C123" s="14" t="s">
        <v>926</v>
      </c>
      <c r="D123" s="15">
        <v>45729</v>
      </c>
      <c r="E123" s="15">
        <v>45915</v>
      </c>
      <c r="F123" s="13">
        <f>DATEDIF(D123,E123,"M")</f>
        <v>6</v>
      </c>
      <c r="G123" s="13" t="s">
        <v>923</v>
      </c>
      <c r="H123" s="14">
        <v>1.5</v>
      </c>
      <c r="I123" s="14">
        <v>0.55000000000000004</v>
      </c>
      <c r="J123" s="19">
        <f>SUM(I123/H123)</f>
        <v>0.3666666666666667</v>
      </c>
      <c r="K123" s="14">
        <v>9254978</v>
      </c>
      <c r="L123" s="14" t="s">
        <v>896</v>
      </c>
      <c r="M123" s="14" t="s">
        <v>38</v>
      </c>
      <c r="N123" s="14" t="s">
        <v>37</v>
      </c>
      <c r="O123" s="13">
        <v>847791695</v>
      </c>
      <c r="P123" s="13">
        <v>2</v>
      </c>
    </row>
    <row r="124" spans="1:16" ht="15.75" x14ac:dyDescent="0.25">
      <c r="A124" s="11">
        <v>71141</v>
      </c>
      <c r="B124" s="16" t="s">
        <v>540</v>
      </c>
      <c r="C124" s="16" t="s">
        <v>926</v>
      </c>
      <c r="D124" s="17">
        <v>45638</v>
      </c>
      <c r="E124" s="17">
        <v>45915</v>
      </c>
      <c r="F124" s="11">
        <f>DATEDIF(D124,E124,"M")</f>
        <v>9</v>
      </c>
      <c r="G124" s="11" t="s">
        <v>921</v>
      </c>
      <c r="H124" s="16">
        <v>1.5</v>
      </c>
      <c r="I124" s="16">
        <v>0.55000000000000004</v>
      </c>
      <c r="J124" s="20">
        <f>SUM(I124/H124)</f>
        <v>0.3666666666666667</v>
      </c>
      <c r="K124" s="16">
        <v>7146581</v>
      </c>
      <c r="L124" s="16" t="s">
        <v>892</v>
      </c>
      <c r="M124" s="16" t="s">
        <v>38</v>
      </c>
      <c r="N124" s="16" t="s">
        <v>37</v>
      </c>
      <c r="O124" s="11">
        <v>847723178</v>
      </c>
      <c r="P124" s="11">
        <v>2</v>
      </c>
    </row>
    <row r="125" spans="1:16" ht="15.75" x14ac:dyDescent="0.25">
      <c r="A125" s="13">
        <v>69191</v>
      </c>
      <c r="B125" s="14" t="s">
        <v>720</v>
      </c>
      <c r="C125" s="14" t="s">
        <v>926</v>
      </c>
      <c r="D125" s="15">
        <v>45792</v>
      </c>
      <c r="E125" s="15">
        <v>45917</v>
      </c>
      <c r="F125" s="13">
        <f>DATEDIF(D125,E125,"M")</f>
        <v>4</v>
      </c>
      <c r="G125" s="13" t="s">
        <v>923</v>
      </c>
      <c r="H125" s="14">
        <v>1.5</v>
      </c>
      <c r="I125" s="14">
        <v>0.55000000000000004</v>
      </c>
      <c r="J125" s="19">
        <f>SUM(I125/H125)</f>
        <v>0.3666666666666667</v>
      </c>
      <c r="K125" s="14">
        <v>17554531</v>
      </c>
      <c r="L125" s="14" t="s">
        <v>913</v>
      </c>
      <c r="M125" s="14" t="s">
        <v>38</v>
      </c>
      <c r="N125" s="14" t="s">
        <v>37</v>
      </c>
      <c r="O125" s="13">
        <v>847836029</v>
      </c>
      <c r="P125" s="13">
        <v>2</v>
      </c>
    </row>
    <row r="126" spans="1:16" ht="15.75" x14ac:dyDescent="0.25">
      <c r="A126" s="13">
        <v>69648</v>
      </c>
      <c r="B126" s="14" t="s">
        <v>725</v>
      </c>
      <c r="C126" s="14" t="s">
        <v>926</v>
      </c>
      <c r="D126" s="15">
        <v>45792</v>
      </c>
      <c r="E126" s="15">
        <v>45917</v>
      </c>
      <c r="F126" s="13">
        <f>DATEDIF(D126,E126,"M")</f>
        <v>4</v>
      </c>
      <c r="G126" s="13" t="s">
        <v>923</v>
      </c>
      <c r="H126" s="14">
        <v>1.5</v>
      </c>
      <c r="I126" s="14">
        <v>0.55000000000000004</v>
      </c>
      <c r="J126" s="19">
        <f>SUM(I126/H126)</f>
        <v>0.3666666666666667</v>
      </c>
      <c r="K126" s="14">
        <v>17554531</v>
      </c>
      <c r="L126" s="14" t="s">
        <v>913</v>
      </c>
      <c r="M126" s="14" t="s">
        <v>38</v>
      </c>
      <c r="N126" s="14" t="s">
        <v>37</v>
      </c>
      <c r="O126" s="13">
        <v>847836300</v>
      </c>
      <c r="P126" s="13">
        <v>2</v>
      </c>
    </row>
    <row r="127" spans="1:16" ht="15.75" x14ac:dyDescent="0.25">
      <c r="A127" s="13">
        <v>97203</v>
      </c>
      <c r="B127" s="14" t="s">
        <v>739</v>
      </c>
      <c r="C127" s="14" t="s">
        <v>926</v>
      </c>
      <c r="D127" s="15">
        <v>45819</v>
      </c>
      <c r="E127" s="15">
        <v>45915</v>
      </c>
      <c r="F127" s="13">
        <f>DATEDIF(D127,E127,"M")</f>
        <v>3</v>
      </c>
      <c r="G127" s="13" t="s">
        <v>923</v>
      </c>
      <c r="H127" s="14">
        <v>1.5</v>
      </c>
      <c r="I127" s="14">
        <v>0.55000000000000004</v>
      </c>
      <c r="J127" s="19">
        <f>SUM(I127/H127)</f>
        <v>0.3666666666666667</v>
      </c>
      <c r="K127" s="14">
        <v>17554531</v>
      </c>
      <c r="L127" s="14" t="s">
        <v>913</v>
      </c>
      <c r="M127" s="14" t="s">
        <v>38</v>
      </c>
      <c r="N127" s="14" t="s">
        <v>37</v>
      </c>
      <c r="O127" s="13">
        <v>847855449</v>
      </c>
      <c r="P127" s="13">
        <v>2</v>
      </c>
    </row>
    <row r="128" spans="1:16" ht="15.75" x14ac:dyDescent="0.25">
      <c r="A128" s="3">
        <v>31363</v>
      </c>
      <c r="B128" s="1" t="s">
        <v>670</v>
      </c>
      <c r="C128" s="1" t="s">
        <v>926</v>
      </c>
      <c r="D128" s="4">
        <v>45758</v>
      </c>
      <c r="E128" s="4">
        <v>45915</v>
      </c>
      <c r="F128" s="11">
        <f>DATEDIF(D128,E128,"M")</f>
        <v>5</v>
      </c>
      <c r="G128" s="11" t="s">
        <v>921</v>
      </c>
      <c r="H128" s="1">
        <v>1.5</v>
      </c>
      <c r="I128" s="1">
        <v>0.55000000000000004</v>
      </c>
      <c r="J128" s="20">
        <f>SUM(I128/H128)</f>
        <v>0.3666666666666667</v>
      </c>
      <c r="K128" s="1">
        <v>17195620</v>
      </c>
      <c r="L128" s="1" t="s">
        <v>911</v>
      </c>
      <c r="M128" s="1" t="s">
        <v>38</v>
      </c>
      <c r="N128" s="1" t="s">
        <v>37</v>
      </c>
      <c r="O128" s="3">
        <v>847813695</v>
      </c>
      <c r="P128" s="3">
        <v>2</v>
      </c>
    </row>
    <row r="129" spans="1:16" ht="15.75" x14ac:dyDescent="0.25">
      <c r="A129" s="3">
        <v>82836</v>
      </c>
      <c r="B129" s="1" t="s">
        <v>422</v>
      </c>
      <c r="C129" s="1" t="s">
        <v>926</v>
      </c>
      <c r="D129" s="4">
        <v>45581</v>
      </c>
      <c r="E129" s="4">
        <v>45916</v>
      </c>
      <c r="F129" s="11">
        <f>DATEDIF(D129,E129,"M")</f>
        <v>11</v>
      </c>
      <c r="G129" s="11" t="s">
        <v>921</v>
      </c>
      <c r="H129" s="1">
        <v>-1.5</v>
      </c>
      <c r="I129" s="1">
        <v>-0.55000000000000004</v>
      </c>
      <c r="J129" s="20">
        <f>SUM(I129/H129)</f>
        <v>0.3666666666666667</v>
      </c>
      <c r="K129" s="1">
        <v>17528908</v>
      </c>
      <c r="L129" s="1" t="s">
        <v>893</v>
      </c>
      <c r="M129" s="1" t="s">
        <v>38</v>
      </c>
      <c r="N129" s="1" t="s">
        <v>37</v>
      </c>
      <c r="O129" s="3">
        <v>847676587</v>
      </c>
      <c r="P129" s="3">
        <v>1</v>
      </c>
    </row>
    <row r="130" spans="1:16" ht="15.75" x14ac:dyDescent="0.25">
      <c r="A130" s="3">
        <v>6046</v>
      </c>
      <c r="B130" s="1" t="s">
        <v>439</v>
      </c>
      <c r="C130" s="1" t="s">
        <v>926</v>
      </c>
      <c r="D130" s="4">
        <v>45601</v>
      </c>
      <c r="E130" s="4">
        <v>45916</v>
      </c>
      <c r="F130" s="11">
        <f>DATEDIF(D130,E130,"M")</f>
        <v>10</v>
      </c>
      <c r="G130" s="11" t="s">
        <v>921</v>
      </c>
      <c r="H130" s="1">
        <v>-1.5</v>
      </c>
      <c r="I130" s="1">
        <v>-0.55000000000000004</v>
      </c>
      <c r="J130" s="20">
        <f>SUM(I130/H130)</f>
        <v>0.3666666666666667</v>
      </c>
      <c r="K130" s="1">
        <v>17528908</v>
      </c>
      <c r="L130" s="1" t="s">
        <v>893</v>
      </c>
      <c r="M130" s="1" t="s">
        <v>38</v>
      </c>
      <c r="N130" s="1" t="s">
        <v>37</v>
      </c>
      <c r="O130" s="3">
        <v>847688328</v>
      </c>
      <c r="P130" s="3">
        <v>1</v>
      </c>
    </row>
    <row r="131" spans="1:16" ht="15.75" x14ac:dyDescent="0.25">
      <c r="A131" s="3">
        <v>6046</v>
      </c>
      <c r="B131" s="1" t="s">
        <v>439</v>
      </c>
      <c r="C131" s="1" t="s">
        <v>926</v>
      </c>
      <c r="D131" s="4">
        <v>45601</v>
      </c>
      <c r="E131" s="4">
        <v>45916</v>
      </c>
      <c r="F131" s="11">
        <f>DATEDIF(D131,E131,"M")</f>
        <v>10</v>
      </c>
      <c r="G131" s="11" t="s">
        <v>921</v>
      </c>
      <c r="H131" s="1">
        <v>-1.5</v>
      </c>
      <c r="I131" s="1">
        <v>-0.55000000000000004</v>
      </c>
      <c r="J131" s="20">
        <f>SUM(I131/H131)</f>
        <v>0.3666666666666667</v>
      </c>
      <c r="K131" s="1">
        <v>17528908</v>
      </c>
      <c r="L131" s="1" t="s">
        <v>893</v>
      </c>
      <c r="M131" s="1" t="s">
        <v>38</v>
      </c>
      <c r="N131" s="1" t="s">
        <v>37</v>
      </c>
      <c r="O131" s="3">
        <v>847688328</v>
      </c>
      <c r="P131" s="3">
        <v>1</v>
      </c>
    </row>
    <row r="132" spans="1:16" ht="15.75" x14ac:dyDescent="0.25">
      <c r="A132" s="3">
        <v>19851</v>
      </c>
      <c r="B132" s="1" t="s">
        <v>491</v>
      </c>
      <c r="C132" s="1" t="s">
        <v>926</v>
      </c>
      <c r="D132" s="4">
        <v>45609</v>
      </c>
      <c r="E132" s="4">
        <v>45915</v>
      </c>
      <c r="F132" s="11">
        <f>DATEDIF(D132,E132,"M")</f>
        <v>10</v>
      </c>
      <c r="G132" s="11" t="s">
        <v>921</v>
      </c>
      <c r="H132" s="1">
        <v>1.5</v>
      </c>
      <c r="I132" s="1">
        <v>0.55000000000000004</v>
      </c>
      <c r="J132" s="20">
        <f>SUM(I132/H132)</f>
        <v>0.3666666666666667</v>
      </c>
      <c r="K132" s="1">
        <v>17528908</v>
      </c>
      <c r="L132" s="1" t="s">
        <v>893</v>
      </c>
      <c r="M132" s="1" t="s">
        <v>38</v>
      </c>
      <c r="N132" s="1" t="s">
        <v>37</v>
      </c>
      <c r="O132" s="3">
        <v>847695750</v>
      </c>
      <c r="P132" s="3">
        <v>2</v>
      </c>
    </row>
    <row r="133" spans="1:16" ht="15.75" x14ac:dyDescent="0.25">
      <c r="A133" s="3">
        <v>49848</v>
      </c>
      <c r="B133" s="1" t="s">
        <v>508</v>
      </c>
      <c r="C133" s="1" t="s">
        <v>926</v>
      </c>
      <c r="D133" s="4">
        <v>45629</v>
      </c>
      <c r="E133" s="4">
        <v>45918</v>
      </c>
      <c r="F133" s="11">
        <f>DATEDIF(D133,E133,"M")</f>
        <v>9</v>
      </c>
      <c r="G133" s="11" t="s">
        <v>921</v>
      </c>
      <c r="H133" s="1">
        <v>1.5</v>
      </c>
      <c r="I133" s="1">
        <v>0.55000000000000004</v>
      </c>
      <c r="J133" s="20">
        <f>SUM(I133/H133)</f>
        <v>0.3666666666666667</v>
      </c>
      <c r="K133" s="1">
        <v>17528908</v>
      </c>
      <c r="L133" s="1" t="s">
        <v>893</v>
      </c>
      <c r="M133" s="1" t="s">
        <v>38</v>
      </c>
      <c r="N133" s="1" t="s">
        <v>37</v>
      </c>
      <c r="O133" s="3">
        <v>847711781</v>
      </c>
      <c r="P133" s="3">
        <v>2</v>
      </c>
    </row>
    <row r="134" spans="1:16" ht="15.75" x14ac:dyDescent="0.25">
      <c r="A134" s="3">
        <v>63026</v>
      </c>
      <c r="B134" s="1" t="s">
        <v>517</v>
      </c>
      <c r="C134" s="1" t="s">
        <v>926</v>
      </c>
      <c r="D134" s="4">
        <v>45641</v>
      </c>
      <c r="E134" s="4">
        <v>45917</v>
      </c>
      <c r="F134" s="11">
        <f>DATEDIF(D134,E134,"M")</f>
        <v>9</v>
      </c>
      <c r="G134" s="11" t="s">
        <v>921</v>
      </c>
      <c r="H134" s="1">
        <v>1.5</v>
      </c>
      <c r="I134" s="1">
        <v>0.55000000000000004</v>
      </c>
      <c r="J134" s="20">
        <f>SUM(I134/H134)</f>
        <v>0.3666666666666667</v>
      </c>
      <c r="K134" s="1">
        <v>17528908</v>
      </c>
      <c r="L134" s="1" t="s">
        <v>893</v>
      </c>
      <c r="M134" s="1" t="s">
        <v>38</v>
      </c>
      <c r="N134" s="1" t="s">
        <v>37</v>
      </c>
      <c r="O134" s="3">
        <v>847718607</v>
      </c>
      <c r="P134" s="3">
        <v>2</v>
      </c>
    </row>
    <row r="135" spans="1:16" ht="15.75" x14ac:dyDescent="0.25">
      <c r="A135" s="3">
        <v>35475</v>
      </c>
      <c r="B135" s="1" t="s">
        <v>682</v>
      </c>
      <c r="C135" s="1" t="s">
        <v>926</v>
      </c>
      <c r="D135" s="4">
        <v>45763</v>
      </c>
      <c r="E135" s="4">
        <v>45918</v>
      </c>
      <c r="F135" s="11">
        <f>DATEDIF(D135,E135,"M")</f>
        <v>5</v>
      </c>
      <c r="G135" s="11" t="s">
        <v>921</v>
      </c>
      <c r="H135" s="1">
        <v>1.5</v>
      </c>
      <c r="I135" s="1">
        <v>0.55000000000000004</v>
      </c>
      <c r="J135" s="20">
        <f>SUM(I135/H135)</f>
        <v>0.3666666666666667</v>
      </c>
      <c r="K135" s="1">
        <v>17528908</v>
      </c>
      <c r="L135" s="1" t="s">
        <v>893</v>
      </c>
      <c r="M135" s="1" t="s">
        <v>38</v>
      </c>
      <c r="N135" s="1" t="s">
        <v>37</v>
      </c>
      <c r="O135" s="3">
        <v>847816175</v>
      </c>
      <c r="P135" s="3">
        <v>2</v>
      </c>
    </row>
    <row r="136" spans="1:16" ht="15.75" x14ac:dyDescent="0.25">
      <c r="A136" s="3">
        <v>37874</v>
      </c>
      <c r="B136" s="1" t="s">
        <v>691</v>
      </c>
      <c r="C136" s="1" t="s">
        <v>926</v>
      </c>
      <c r="D136" s="4">
        <v>45764</v>
      </c>
      <c r="E136" s="4">
        <v>45919</v>
      </c>
      <c r="F136" s="11">
        <f>DATEDIF(D136,E136,"M")</f>
        <v>5</v>
      </c>
      <c r="G136" s="11" t="s">
        <v>921</v>
      </c>
      <c r="H136" s="1">
        <v>1.5</v>
      </c>
      <c r="I136" s="1">
        <v>0.55000000000000004</v>
      </c>
      <c r="J136" s="20">
        <f>SUM(I136/H136)</f>
        <v>0.3666666666666667</v>
      </c>
      <c r="K136" s="1">
        <v>17528908</v>
      </c>
      <c r="L136" s="1" t="s">
        <v>893</v>
      </c>
      <c r="M136" s="1" t="s">
        <v>38</v>
      </c>
      <c r="N136" s="1" t="s">
        <v>37</v>
      </c>
      <c r="O136" s="3">
        <v>847817556</v>
      </c>
      <c r="P136" s="3">
        <v>2</v>
      </c>
    </row>
    <row r="137" spans="1:16" ht="15.75" x14ac:dyDescent="0.25">
      <c r="A137" s="3">
        <v>28706</v>
      </c>
      <c r="B137" s="1" t="s">
        <v>783</v>
      </c>
      <c r="C137" s="1" t="s">
        <v>926</v>
      </c>
      <c r="D137" s="4">
        <v>45850</v>
      </c>
      <c r="E137" s="4">
        <v>45917</v>
      </c>
      <c r="F137" s="11">
        <f>DATEDIF(D137,E137,"M")</f>
        <v>2</v>
      </c>
      <c r="G137" s="11" t="s">
        <v>921</v>
      </c>
      <c r="H137" s="1">
        <v>1.5</v>
      </c>
      <c r="I137" s="1">
        <v>0.55000000000000004</v>
      </c>
      <c r="J137" s="20">
        <f>SUM(I137/H137)</f>
        <v>0.3666666666666667</v>
      </c>
      <c r="K137" s="1">
        <v>17528908</v>
      </c>
      <c r="L137" s="1" t="s">
        <v>893</v>
      </c>
      <c r="M137" s="1" t="s">
        <v>38</v>
      </c>
      <c r="N137" s="1" t="s">
        <v>37</v>
      </c>
      <c r="O137" s="3">
        <v>847874378</v>
      </c>
      <c r="P137" s="3">
        <v>2</v>
      </c>
    </row>
    <row r="138" spans="1:16" ht="15.75" x14ac:dyDescent="0.25">
      <c r="A138" s="3">
        <v>29906</v>
      </c>
      <c r="B138" s="1" t="s">
        <v>786</v>
      </c>
      <c r="C138" s="1" t="s">
        <v>926</v>
      </c>
      <c r="D138" s="4">
        <v>45853</v>
      </c>
      <c r="E138" s="4">
        <v>45917</v>
      </c>
      <c r="F138" s="11">
        <f>DATEDIF(D138,E138,"M")</f>
        <v>2</v>
      </c>
      <c r="G138" s="11" t="s">
        <v>921</v>
      </c>
      <c r="H138" s="1">
        <v>1.5</v>
      </c>
      <c r="I138" s="1">
        <v>0.55000000000000004</v>
      </c>
      <c r="J138" s="20">
        <f>SUM(I138/H138)</f>
        <v>0.3666666666666667</v>
      </c>
      <c r="K138" s="1">
        <v>17528908</v>
      </c>
      <c r="L138" s="1" t="s">
        <v>893</v>
      </c>
      <c r="M138" s="1" t="s">
        <v>38</v>
      </c>
      <c r="N138" s="1" t="s">
        <v>37</v>
      </c>
      <c r="O138" s="3">
        <v>847875093</v>
      </c>
      <c r="P138" s="3">
        <v>2</v>
      </c>
    </row>
    <row r="139" spans="1:16" ht="15.75" x14ac:dyDescent="0.25">
      <c r="A139" s="3">
        <v>74780</v>
      </c>
      <c r="B139" s="1" t="s">
        <v>845</v>
      </c>
      <c r="C139" s="1" t="s">
        <v>928</v>
      </c>
      <c r="D139" s="4">
        <v>45896</v>
      </c>
      <c r="E139" s="4">
        <v>45917</v>
      </c>
      <c r="F139" s="11">
        <f>DATEDIF(D139,E139,"M")</f>
        <v>0</v>
      </c>
      <c r="G139" s="11" t="s">
        <v>921</v>
      </c>
      <c r="H139" s="1">
        <v>1.5</v>
      </c>
      <c r="I139" s="1">
        <v>0.55000000000000004</v>
      </c>
      <c r="J139" s="20">
        <f>SUM(I139/H139)</f>
        <v>0.3666666666666667</v>
      </c>
      <c r="K139" s="1">
        <v>17528908</v>
      </c>
      <c r="L139" s="1" t="s">
        <v>893</v>
      </c>
      <c r="M139" s="1" t="s">
        <v>38</v>
      </c>
      <c r="N139" s="1" t="s">
        <v>37</v>
      </c>
      <c r="O139" s="3">
        <v>847901550</v>
      </c>
      <c r="P139" s="3">
        <v>2</v>
      </c>
    </row>
    <row r="140" spans="1:16" ht="15.75" x14ac:dyDescent="0.25">
      <c r="A140" s="3">
        <v>79236</v>
      </c>
      <c r="B140" s="1" t="s">
        <v>568</v>
      </c>
      <c r="C140" s="1" t="s">
        <v>926</v>
      </c>
      <c r="D140" s="4">
        <v>45643</v>
      </c>
      <c r="E140" s="4">
        <v>45919</v>
      </c>
      <c r="F140" s="11">
        <f>DATEDIF(D140,E140,"M")</f>
        <v>9</v>
      </c>
      <c r="G140" s="11" t="s">
        <v>921</v>
      </c>
      <c r="H140" s="1">
        <v>1.5</v>
      </c>
      <c r="I140" s="1">
        <v>0.55000000000000004</v>
      </c>
      <c r="J140" s="20">
        <f>SUM(I140/H140)</f>
        <v>0.3666666666666667</v>
      </c>
      <c r="K140" s="1">
        <v>9213293</v>
      </c>
      <c r="L140" s="1" t="s">
        <v>914</v>
      </c>
      <c r="M140" s="1" t="s">
        <v>38</v>
      </c>
      <c r="N140" s="1" t="s">
        <v>37</v>
      </c>
      <c r="O140" s="3">
        <v>847727792</v>
      </c>
      <c r="P140" s="3">
        <v>2</v>
      </c>
    </row>
    <row r="141" spans="1:16" ht="15.75" x14ac:dyDescent="0.25">
      <c r="A141" s="3">
        <v>70016</v>
      </c>
      <c r="B141" s="1" t="s">
        <v>728</v>
      </c>
      <c r="C141" s="1" t="s">
        <v>926</v>
      </c>
      <c r="D141" s="4">
        <v>45792</v>
      </c>
      <c r="E141" s="4">
        <v>45917</v>
      </c>
      <c r="F141" s="11">
        <f>DATEDIF(D141,E141,"M")</f>
        <v>4</v>
      </c>
      <c r="G141" s="11" t="s">
        <v>921</v>
      </c>
      <c r="H141" s="1">
        <v>1.5</v>
      </c>
      <c r="I141" s="1">
        <v>0.55000000000000004</v>
      </c>
      <c r="J141" s="20">
        <f>SUM(I141/H141)</f>
        <v>0.3666666666666667</v>
      </c>
      <c r="K141" s="1">
        <v>9213293</v>
      </c>
      <c r="L141" s="1" t="s">
        <v>914</v>
      </c>
      <c r="M141" s="1" t="s">
        <v>38</v>
      </c>
      <c r="N141" s="1" t="s">
        <v>37</v>
      </c>
      <c r="O141" s="3">
        <v>847836508</v>
      </c>
      <c r="P141" s="3">
        <v>2</v>
      </c>
    </row>
    <row r="142" spans="1:16" ht="15.75" x14ac:dyDescent="0.25">
      <c r="A142" s="13">
        <v>97554</v>
      </c>
      <c r="B142" s="14" t="s">
        <v>647</v>
      </c>
      <c r="C142" s="14" t="s">
        <v>926</v>
      </c>
      <c r="D142" s="15">
        <v>45732</v>
      </c>
      <c r="E142" s="15">
        <v>45918</v>
      </c>
      <c r="F142" s="13">
        <f>DATEDIF(D142,E142,"M")</f>
        <v>6</v>
      </c>
      <c r="G142" s="13" t="s">
        <v>923</v>
      </c>
      <c r="H142" s="14">
        <v>1.5</v>
      </c>
      <c r="I142" s="14">
        <v>0.55000000000000004</v>
      </c>
      <c r="J142" s="19">
        <f>SUM(I142/H142)</f>
        <v>0.3666666666666667</v>
      </c>
      <c r="K142" s="14">
        <v>2158366</v>
      </c>
      <c r="L142" s="14" t="s">
        <v>891</v>
      </c>
      <c r="M142" s="14" t="s">
        <v>38</v>
      </c>
      <c r="N142" s="14" t="s">
        <v>37</v>
      </c>
      <c r="O142" s="13">
        <v>847794433</v>
      </c>
      <c r="P142" s="13">
        <v>2</v>
      </c>
    </row>
    <row r="143" spans="1:16" ht="15.75" x14ac:dyDescent="0.25">
      <c r="A143" s="3">
        <v>1055</v>
      </c>
      <c r="B143" s="1" t="s">
        <v>753</v>
      </c>
      <c r="C143" s="1" t="s">
        <v>926</v>
      </c>
      <c r="D143" s="4">
        <v>45822</v>
      </c>
      <c r="E143" s="4">
        <v>45916</v>
      </c>
      <c r="F143" s="11">
        <f>DATEDIF(D143,E143,"M")</f>
        <v>3</v>
      </c>
      <c r="G143" s="11" t="s">
        <v>921</v>
      </c>
      <c r="H143" s="1">
        <v>1.5</v>
      </c>
      <c r="I143" s="1">
        <v>0.55000000000000004</v>
      </c>
      <c r="J143" s="20">
        <f>SUM(I143/H143)</f>
        <v>0.3666666666666667</v>
      </c>
      <c r="K143" s="1">
        <v>20253958</v>
      </c>
      <c r="L143" s="1" t="s">
        <v>904</v>
      </c>
      <c r="M143" s="1" t="s">
        <v>38</v>
      </c>
      <c r="N143" s="1" t="s">
        <v>37</v>
      </c>
      <c r="O143" s="3">
        <v>847857425</v>
      </c>
      <c r="P143" s="3">
        <v>2</v>
      </c>
    </row>
    <row r="144" spans="1:16" ht="15.75" x14ac:dyDescent="0.25">
      <c r="A144" s="3">
        <v>54453</v>
      </c>
      <c r="B144" s="1" t="s">
        <v>808</v>
      </c>
      <c r="C144" s="1" t="s">
        <v>928</v>
      </c>
      <c r="D144" s="4">
        <v>45878</v>
      </c>
      <c r="E144" s="4">
        <v>45918</v>
      </c>
      <c r="F144" s="11">
        <f>DATEDIF(D144,E144,"M")</f>
        <v>1</v>
      </c>
      <c r="G144" s="11" t="s">
        <v>921</v>
      </c>
      <c r="H144" s="1">
        <v>1.5</v>
      </c>
      <c r="I144" s="1">
        <v>0.55000000000000004</v>
      </c>
      <c r="J144" s="20">
        <f>SUM(I144/H144)</f>
        <v>0.3666666666666667</v>
      </c>
      <c r="K144" s="1">
        <v>18710070</v>
      </c>
      <c r="L144" s="1" t="s">
        <v>912</v>
      </c>
      <c r="M144" s="1" t="s">
        <v>38</v>
      </c>
      <c r="N144" s="1" t="s">
        <v>37</v>
      </c>
      <c r="O144" s="3">
        <v>847889498</v>
      </c>
      <c r="P144" s="3">
        <v>2</v>
      </c>
    </row>
    <row r="145" spans="1:16" ht="15.75" x14ac:dyDescent="0.25">
      <c r="A145" s="11">
        <v>71748</v>
      </c>
      <c r="B145" s="16" t="s">
        <v>550</v>
      </c>
      <c r="C145" s="16" t="s">
        <v>926</v>
      </c>
      <c r="D145" s="17">
        <v>45639</v>
      </c>
      <c r="E145" s="17">
        <v>45915</v>
      </c>
      <c r="F145" s="11">
        <f>DATEDIF(D145,E145,"M")</f>
        <v>9</v>
      </c>
      <c r="G145" s="11" t="s">
        <v>921</v>
      </c>
      <c r="H145" s="16">
        <v>1.5</v>
      </c>
      <c r="I145" s="16">
        <v>0.55000000000000004</v>
      </c>
      <c r="J145" s="20">
        <f>SUM(I145/H145)</f>
        <v>0.3666666666666667</v>
      </c>
      <c r="K145" s="16">
        <v>16212649</v>
      </c>
      <c r="L145" s="16" t="s">
        <v>915</v>
      </c>
      <c r="M145" s="16" t="s">
        <v>38</v>
      </c>
      <c r="N145" s="16" t="s">
        <v>37</v>
      </c>
      <c r="O145" s="11">
        <v>847723521</v>
      </c>
      <c r="P145" s="11">
        <v>2</v>
      </c>
    </row>
    <row r="146" spans="1:16" ht="15.75" x14ac:dyDescent="0.25">
      <c r="A146" s="3">
        <v>74883</v>
      </c>
      <c r="B146" s="1" t="s">
        <v>402</v>
      </c>
      <c r="C146" s="1" t="s">
        <v>926</v>
      </c>
      <c r="D146" s="4">
        <v>45573</v>
      </c>
      <c r="E146" s="4">
        <v>45915</v>
      </c>
      <c r="F146" s="11">
        <f>DATEDIF(D146,E146,"M")</f>
        <v>11</v>
      </c>
      <c r="G146" s="11" t="s">
        <v>921</v>
      </c>
      <c r="H146" s="1">
        <v>-1.5</v>
      </c>
      <c r="I146" s="1">
        <v>-0.55000000000000004</v>
      </c>
      <c r="J146" s="20">
        <f>SUM(I146/H146)</f>
        <v>0.3666666666666667</v>
      </c>
      <c r="K146" s="1">
        <v>5442438</v>
      </c>
      <c r="L146" s="1" t="s">
        <v>897</v>
      </c>
      <c r="M146" s="1" t="s">
        <v>38</v>
      </c>
      <c r="N146" s="1" t="s">
        <v>37</v>
      </c>
      <c r="O146" s="3">
        <v>847672372</v>
      </c>
      <c r="P146" s="3">
        <v>2</v>
      </c>
    </row>
    <row r="147" spans="1:16" ht="15.75" x14ac:dyDescent="0.25">
      <c r="A147" s="3">
        <v>19372</v>
      </c>
      <c r="B147" s="1" t="s">
        <v>602</v>
      </c>
      <c r="C147" s="1" t="s">
        <v>926</v>
      </c>
      <c r="D147" s="4">
        <v>45689</v>
      </c>
      <c r="E147" s="4">
        <v>45916</v>
      </c>
      <c r="F147" s="11">
        <f>DATEDIF(D147,E147,"M")</f>
        <v>7</v>
      </c>
      <c r="G147" s="11" t="s">
        <v>921</v>
      </c>
      <c r="H147" s="1">
        <v>-1.5</v>
      </c>
      <c r="I147" s="1">
        <v>-0.55000000000000004</v>
      </c>
      <c r="J147" s="20">
        <f>SUM(I147/H147)</f>
        <v>0.3666666666666667</v>
      </c>
      <c r="K147" s="1">
        <v>5442438</v>
      </c>
      <c r="L147" s="1" t="s">
        <v>897</v>
      </c>
      <c r="M147" s="1" t="s">
        <v>38</v>
      </c>
      <c r="N147" s="1" t="s">
        <v>37</v>
      </c>
      <c r="O147" s="3">
        <v>847750974</v>
      </c>
      <c r="P147" s="3">
        <v>1</v>
      </c>
    </row>
    <row r="148" spans="1:16" ht="15.75" x14ac:dyDescent="0.25">
      <c r="A148" s="3">
        <v>19372</v>
      </c>
      <c r="B148" s="1" t="s">
        <v>602</v>
      </c>
      <c r="C148" s="1" t="s">
        <v>926</v>
      </c>
      <c r="D148" s="4">
        <v>45689</v>
      </c>
      <c r="E148" s="4">
        <v>45916</v>
      </c>
      <c r="F148" s="11">
        <f>DATEDIF(D148,E148,"M")</f>
        <v>7</v>
      </c>
      <c r="G148" s="11" t="s">
        <v>921</v>
      </c>
      <c r="H148" s="1">
        <v>-1.5</v>
      </c>
      <c r="I148" s="1">
        <v>-0.55000000000000004</v>
      </c>
      <c r="J148" s="20">
        <f>SUM(I148/H148)</f>
        <v>0.3666666666666667</v>
      </c>
      <c r="K148" s="1">
        <v>5442438</v>
      </c>
      <c r="L148" s="1" t="s">
        <v>897</v>
      </c>
      <c r="M148" s="1" t="s">
        <v>38</v>
      </c>
      <c r="N148" s="1" t="s">
        <v>37</v>
      </c>
      <c r="O148" s="3">
        <v>847750974</v>
      </c>
      <c r="P148" s="3">
        <v>1</v>
      </c>
    </row>
    <row r="149" spans="1:16" ht="15.75" x14ac:dyDescent="0.25">
      <c r="A149" s="3">
        <v>91963</v>
      </c>
      <c r="B149" s="1" t="s">
        <v>631</v>
      </c>
      <c r="C149" s="1" t="s">
        <v>926</v>
      </c>
      <c r="D149" s="4">
        <v>45728</v>
      </c>
      <c r="E149" s="4">
        <v>45915</v>
      </c>
      <c r="F149" s="11">
        <f>DATEDIF(D149,E149,"M")</f>
        <v>6</v>
      </c>
      <c r="G149" s="11" t="s">
        <v>921</v>
      </c>
      <c r="H149" s="1">
        <v>1.5</v>
      </c>
      <c r="I149" s="1">
        <v>0.55000000000000004</v>
      </c>
      <c r="J149" s="20">
        <f>SUM(I149/H149)</f>
        <v>0.3666666666666667</v>
      </c>
      <c r="K149" s="1">
        <v>5442438</v>
      </c>
      <c r="L149" s="1" t="s">
        <v>897</v>
      </c>
      <c r="M149" s="1" t="s">
        <v>38</v>
      </c>
      <c r="N149" s="1" t="s">
        <v>37</v>
      </c>
      <c r="O149" s="3">
        <v>847791251</v>
      </c>
      <c r="P149" s="3">
        <v>2</v>
      </c>
    </row>
    <row r="150" spans="1:16" ht="15.75" x14ac:dyDescent="0.25">
      <c r="A150" s="3">
        <v>2493</v>
      </c>
      <c r="B150" s="1" t="s">
        <v>766</v>
      </c>
      <c r="C150" s="1" t="s">
        <v>926</v>
      </c>
      <c r="D150" s="4">
        <v>45825</v>
      </c>
      <c r="E150" s="4">
        <v>45919</v>
      </c>
      <c r="F150" s="11">
        <f>DATEDIF(D150,E150,"M")</f>
        <v>3</v>
      </c>
      <c r="G150" s="11" t="s">
        <v>921</v>
      </c>
      <c r="H150" s="1">
        <v>1.5</v>
      </c>
      <c r="I150" s="1">
        <v>0.55000000000000004</v>
      </c>
      <c r="J150" s="20">
        <f>SUM(I150/H150)</f>
        <v>0.3666666666666667</v>
      </c>
      <c r="K150" s="1">
        <v>5442438</v>
      </c>
      <c r="L150" s="1" t="s">
        <v>897</v>
      </c>
      <c r="M150" s="1" t="s">
        <v>38</v>
      </c>
      <c r="N150" s="1" t="s">
        <v>37</v>
      </c>
      <c r="O150" s="3">
        <v>847858255</v>
      </c>
      <c r="P150" s="3">
        <v>2</v>
      </c>
    </row>
    <row r="151" spans="1:16" ht="15.75" x14ac:dyDescent="0.25">
      <c r="A151" s="3">
        <v>27418</v>
      </c>
      <c r="B151" s="1" t="s">
        <v>769</v>
      </c>
      <c r="C151" s="1" t="s">
        <v>926</v>
      </c>
      <c r="D151" s="4">
        <v>45849</v>
      </c>
      <c r="E151" s="4">
        <v>45915</v>
      </c>
      <c r="F151" s="11">
        <f>DATEDIF(D151,E151,"M")</f>
        <v>2</v>
      </c>
      <c r="G151" s="11" t="s">
        <v>921</v>
      </c>
      <c r="H151" s="1">
        <v>1.5</v>
      </c>
      <c r="I151" s="1">
        <v>0.55000000000000004</v>
      </c>
      <c r="J151" s="20">
        <f>SUM(I151/H151)</f>
        <v>0.3666666666666667</v>
      </c>
      <c r="K151" s="1">
        <v>5442438</v>
      </c>
      <c r="L151" s="1" t="s">
        <v>897</v>
      </c>
      <c r="M151" s="1" t="s">
        <v>38</v>
      </c>
      <c r="N151" s="1" t="s">
        <v>37</v>
      </c>
      <c r="O151" s="3">
        <v>847873620</v>
      </c>
      <c r="P151" s="3">
        <v>2</v>
      </c>
    </row>
    <row r="152" spans="1:16" ht="15.75" x14ac:dyDescent="0.25">
      <c r="A152" s="3">
        <v>90471</v>
      </c>
      <c r="B152" s="1" t="s">
        <v>865</v>
      </c>
      <c r="C152" s="1" t="s">
        <v>928</v>
      </c>
      <c r="D152" s="4">
        <v>45931</v>
      </c>
      <c r="E152" s="4">
        <v>45931</v>
      </c>
      <c r="F152" s="11">
        <f>DATEDIF(D152,E152,"M")</f>
        <v>0</v>
      </c>
      <c r="G152" s="11" t="s">
        <v>921</v>
      </c>
      <c r="H152" s="1">
        <v>-1.5</v>
      </c>
      <c r="I152" s="1">
        <v>-0.55000000000000004</v>
      </c>
      <c r="J152" s="20">
        <f>SUM(I152/H152)</f>
        <v>0.3666666666666667</v>
      </c>
      <c r="K152" s="1">
        <v>5442438</v>
      </c>
      <c r="L152" s="1" t="s">
        <v>897</v>
      </c>
      <c r="M152" s="1" t="s">
        <v>38</v>
      </c>
      <c r="N152" s="1" t="s">
        <v>37</v>
      </c>
      <c r="O152" s="3">
        <v>847910731</v>
      </c>
      <c r="P152" s="3">
        <v>2</v>
      </c>
    </row>
    <row r="153" spans="1:16" ht="15.75" x14ac:dyDescent="0.25">
      <c r="A153" s="3">
        <v>27787</v>
      </c>
      <c r="B153" s="1" t="s">
        <v>773</v>
      </c>
      <c r="C153" s="1" t="s">
        <v>926</v>
      </c>
      <c r="D153" s="4">
        <v>45849</v>
      </c>
      <c r="E153" s="4">
        <v>45915</v>
      </c>
      <c r="F153" s="11">
        <f>DATEDIF(D153,E153,"M")</f>
        <v>2</v>
      </c>
      <c r="G153" s="11" t="s">
        <v>921</v>
      </c>
      <c r="H153" s="1">
        <v>1.5</v>
      </c>
      <c r="I153" s="1">
        <v>0.55000000000000004</v>
      </c>
      <c r="J153" s="20">
        <f>SUM(I153/H153)</f>
        <v>0.3666666666666667</v>
      </c>
      <c r="K153" s="1">
        <v>19396223</v>
      </c>
      <c r="L153" s="1" t="s">
        <v>885</v>
      </c>
      <c r="M153" s="1" t="s">
        <v>38</v>
      </c>
      <c r="N153" s="1" t="s">
        <v>37</v>
      </c>
      <c r="O153" s="3">
        <v>847873837</v>
      </c>
      <c r="P153" s="3">
        <v>2</v>
      </c>
    </row>
    <row r="154" spans="1:16" ht="15.75" x14ac:dyDescent="0.25">
      <c r="A154" s="13">
        <v>61719</v>
      </c>
      <c r="B154" s="14" t="s">
        <v>835</v>
      </c>
      <c r="C154" s="14" t="s">
        <v>928</v>
      </c>
      <c r="D154" s="15">
        <v>45882</v>
      </c>
      <c r="E154" s="15">
        <v>45915</v>
      </c>
      <c r="F154" s="13">
        <f>DATEDIF(D154,E154,"M")</f>
        <v>1</v>
      </c>
      <c r="G154" s="13" t="s">
        <v>923</v>
      </c>
      <c r="H154" s="14">
        <v>1.5</v>
      </c>
      <c r="I154" s="14">
        <v>0.55000000000000004</v>
      </c>
      <c r="J154" s="19">
        <f>SUM(I154/H154)</f>
        <v>0.3666666666666667</v>
      </c>
      <c r="K154" s="14">
        <v>16202925</v>
      </c>
      <c r="L154" s="14" t="s">
        <v>910</v>
      </c>
      <c r="M154" s="14" t="s">
        <v>38</v>
      </c>
      <c r="N154" s="14" t="s">
        <v>37</v>
      </c>
      <c r="O154" s="13">
        <v>847893862</v>
      </c>
      <c r="P154" s="13">
        <v>2</v>
      </c>
    </row>
    <row r="155" spans="1:16" ht="15.75" x14ac:dyDescent="0.25">
      <c r="A155" s="3">
        <v>34018</v>
      </c>
      <c r="B155" s="1" t="s">
        <v>676</v>
      </c>
      <c r="C155" s="1" t="s">
        <v>926</v>
      </c>
      <c r="D155" s="4">
        <v>45762</v>
      </c>
      <c r="E155" s="4">
        <v>45917</v>
      </c>
      <c r="F155" s="11">
        <f>DATEDIF(D155,E155,"M")</f>
        <v>5</v>
      </c>
      <c r="G155" s="11" t="s">
        <v>921</v>
      </c>
      <c r="H155" s="1">
        <v>3.44</v>
      </c>
      <c r="I155" s="1">
        <v>1.27</v>
      </c>
      <c r="J155" s="20">
        <f>SUM(I155/H155)</f>
        <v>0.3691860465116279</v>
      </c>
      <c r="K155" s="1">
        <v>5442438</v>
      </c>
      <c r="L155" s="1" t="s">
        <v>897</v>
      </c>
      <c r="M155" s="1" t="s">
        <v>38</v>
      </c>
      <c r="N155" s="1" t="s">
        <v>37</v>
      </c>
      <c r="O155" s="3">
        <v>847815285</v>
      </c>
      <c r="P155" s="3">
        <v>2</v>
      </c>
    </row>
    <row r="156" spans="1:16" ht="15.75" x14ac:dyDescent="0.25">
      <c r="A156" s="11">
        <v>79854</v>
      </c>
      <c r="B156" s="16" t="s">
        <v>850</v>
      </c>
      <c r="C156" s="16" t="s">
        <v>928</v>
      </c>
      <c r="D156" s="17">
        <v>45901</v>
      </c>
      <c r="E156" s="17">
        <v>45917</v>
      </c>
      <c r="F156" s="11">
        <f>DATEDIF(D156,E156,"M")</f>
        <v>0</v>
      </c>
      <c r="G156" s="11" t="s">
        <v>921</v>
      </c>
      <c r="H156" s="16">
        <v>-6.82</v>
      </c>
      <c r="I156" s="16">
        <v>-2.52</v>
      </c>
      <c r="J156" s="20">
        <f>SUM(I156/H156)</f>
        <v>0.36950146627565983</v>
      </c>
      <c r="K156" s="16">
        <v>17554531</v>
      </c>
      <c r="L156" s="16" t="s">
        <v>913</v>
      </c>
      <c r="M156" s="16" t="s">
        <v>38</v>
      </c>
      <c r="N156" s="16" t="s">
        <v>37</v>
      </c>
      <c r="O156" s="11">
        <v>847904396</v>
      </c>
      <c r="P156" s="11">
        <v>2</v>
      </c>
    </row>
    <row r="157" spans="1:16" ht="15.75" x14ac:dyDescent="0.25">
      <c r="A157" s="13">
        <v>22647</v>
      </c>
      <c r="B157" s="14" t="s">
        <v>605</v>
      </c>
      <c r="C157" s="14" t="s">
        <v>926</v>
      </c>
      <c r="D157" s="15">
        <v>45674</v>
      </c>
      <c r="E157" s="15">
        <v>45919</v>
      </c>
      <c r="F157" s="13">
        <f>DATEDIF(D157,E157,"M")</f>
        <v>8</v>
      </c>
      <c r="G157" s="13" t="s">
        <v>923</v>
      </c>
      <c r="H157" s="14">
        <v>19.63</v>
      </c>
      <c r="I157" s="14">
        <v>7.26</v>
      </c>
      <c r="J157" s="19">
        <f>SUM(I157/H157)</f>
        <v>0.36984207845134998</v>
      </c>
      <c r="K157" s="14">
        <v>9254978</v>
      </c>
      <c r="L157" s="14" t="s">
        <v>896</v>
      </c>
      <c r="M157" s="14" t="s">
        <v>38</v>
      </c>
      <c r="N157" s="14" t="s">
        <v>37</v>
      </c>
      <c r="O157" s="13">
        <v>847752799</v>
      </c>
      <c r="P157" s="13">
        <v>2</v>
      </c>
    </row>
    <row r="158" spans="1:16" ht="15.75" x14ac:dyDescent="0.25">
      <c r="A158" s="3">
        <v>13811</v>
      </c>
      <c r="B158" s="1" t="s">
        <v>593</v>
      </c>
      <c r="C158" s="1" t="s">
        <v>926</v>
      </c>
      <c r="D158" s="4">
        <v>45689</v>
      </c>
      <c r="E158" s="4">
        <v>45916</v>
      </c>
      <c r="F158" s="11">
        <f>DATEDIF(D158,E158,"M")</f>
        <v>7</v>
      </c>
      <c r="G158" s="11" t="s">
        <v>921</v>
      </c>
      <c r="H158" s="1">
        <v>-19.63</v>
      </c>
      <c r="I158" s="1">
        <v>-7.26</v>
      </c>
      <c r="J158" s="20">
        <f>SUM(I158/H158)</f>
        <v>0.36984207845134998</v>
      </c>
      <c r="K158" s="1">
        <v>19278370</v>
      </c>
      <c r="L158" s="1" t="s">
        <v>894</v>
      </c>
      <c r="M158" s="1" t="s">
        <v>38</v>
      </c>
      <c r="N158" s="1" t="s">
        <v>37</v>
      </c>
      <c r="O158" s="3">
        <v>847747845</v>
      </c>
      <c r="P158" s="3">
        <v>1</v>
      </c>
    </row>
    <row r="159" spans="1:16" ht="15.75" x14ac:dyDescent="0.25">
      <c r="A159" s="3">
        <v>13811</v>
      </c>
      <c r="B159" s="1" t="s">
        <v>593</v>
      </c>
      <c r="C159" s="1" t="s">
        <v>926</v>
      </c>
      <c r="D159" s="4">
        <v>45689</v>
      </c>
      <c r="E159" s="4">
        <v>45916</v>
      </c>
      <c r="F159" s="11">
        <f>DATEDIF(D159,E159,"M")</f>
        <v>7</v>
      </c>
      <c r="G159" s="11" t="s">
        <v>921</v>
      </c>
      <c r="H159" s="1">
        <v>-19.63</v>
      </c>
      <c r="I159" s="1">
        <v>-7.26</v>
      </c>
      <c r="J159" s="20">
        <f>SUM(I159/H159)</f>
        <v>0.36984207845134998</v>
      </c>
      <c r="K159" s="1">
        <v>19278370</v>
      </c>
      <c r="L159" s="1" t="s">
        <v>894</v>
      </c>
      <c r="M159" s="1" t="s">
        <v>38</v>
      </c>
      <c r="N159" s="1" t="s">
        <v>37</v>
      </c>
      <c r="O159" s="3">
        <v>847747845</v>
      </c>
      <c r="P159" s="3">
        <v>1</v>
      </c>
    </row>
    <row r="160" spans="1:16" ht="15.75" x14ac:dyDescent="0.25">
      <c r="A160" s="3">
        <v>13811</v>
      </c>
      <c r="B160" s="1" t="s">
        <v>593</v>
      </c>
      <c r="C160" s="1" t="s">
        <v>926</v>
      </c>
      <c r="D160" s="4">
        <v>45689</v>
      </c>
      <c r="E160" s="4">
        <v>45916</v>
      </c>
      <c r="F160" s="11">
        <f>DATEDIF(D160,E160,"M")</f>
        <v>7</v>
      </c>
      <c r="G160" s="11" t="s">
        <v>921</v>
      </c>
      <c r="H160" s="1">
        <v>-19.63</v>
      </c>
      <c r="I160" s="1">
        <v>-7.26</v>
      </c>
      <c r="J160" s="20">
        <f>SUM(I160/H160)</f>
        <v>0.36984207845134998</v>
      </c>
      <c r="K160" s="1">
        <v>19278370</v>
      </c>
      <c r="L160" s="1" t="s">
        <v>894</v>
      </c>
      <c r="M160" s="1" t="s">
        <v>38</v>
      </c>
      <c r="N160" s="1" t="s">
        <v>37</v>
      </c>
      <c r="O160" s="3">
        <v>847747845</v>
      </c>
      <c r="P160" s="3">
        <v>1</v>
      </c>
    </row>
    <row r="161" spans="1:16" ht="15.75" x14ac:dyDescent="0.25">
      <c r="A161" s="3">
        <v>13811</v>
      </c>
      <c r="B161" s="1" t="s">
        <v>593</v>
      </c>
      <c r="C161" s="1" t="s">
        <v>926</v>
      </c>
      <c r="D161" s="4">
        <v>45689</v>
      </c>
      <c r="E161" s="4">
        <v>45916</v>
      </c>
      <c r="F161" s="11">
        <f>DATEDIF(D161,E161,"M")</f>
        <v>7</v>
      </c>
      <c r="G161" s="11" t="s">
        <v>921</v>
      </c>
      <c r="H161" s="1">
        <v>-19.63</v>
      </c>
      <c r="I161" s="1">
        <v>-7.26</v>
      </c>
      <c r="J161" s="20">
        <f>SUM(I161/H161)</f>
        <v>0.36984207845134998</v>
      </c>
      <c r="K161" s="1">
        <v>19278370</v>
      </c>
      <c r="L161" s="1" t="s">
        <v>894</v>
      </c>
      <c r="M161" s="1" t="s">
        <v>38</v>
      </c>
      <c r="N161" s="1" t="s">
        <v>37</v>
      </c>
      <c r="O161" s="3">
        <v>847747845</v>
      </c>
      <c r="P161" s="3">
        <v>1</v>
      </c>
    </row>
    <row r="162" spans="1:16" ht="15.75" x14ac:dyDescent="0.25">
      <c r="A162" s="3">
        <v>79255</v>
      </c>
      <c r="B162" s="1" t="s">
        <v>571</v>
      </c>
      <c r="C162" s="1" t="s">
        <v>926</v>
      </c>
      <c r="D162" s="4">
        <v>45643</v>
      </c>
      <c r="E162" s="4">
        <v>45919</v>
      </c>
      <c r="F162" s="11">
        <f>DATEDIF(D162,E162,"M")</f>
        <v>9</v>
      </c>
      <c r="G162" s="11" t="s">
        <v>921</v>
      </c>
      <c r="H162" s="1">
        <v>41.61</v>
      </c>
      <c r="I162" s="1">
        <v>15.39</v>
      </c>
      <c r="J162" s="20">
        <f>SUM(I162/H162)</f>
        <v>0.36986301369863017</v>
      </c>
      <c r="K162" s="1">
        <v>19279958</v>
      </c>
      <c r="L162" s="1" t="s">
        <v>909</v>
      </c>
      <c r="M162" s="1" t="s">
        <v>38</v>
      </c>
      <c r="N162" s="1" t="s">
        <v>37</v>
      </c>
      <c r="O162" s="3">
        <v>847727805</v>
      </c>
      <c r="P162" s="3">
        <v>2</v>
      </c>
    </row>
    <row r="163" spans="1:16" ht="15.75" x14ac:dyDescent="0.25">
      <c r="A163" s="13">
        <v>59487</v>
      </c>
      <c r="B163" s="14" t="s">
        <v>816</v>
      </c>
      <c r="C163" s="14" t="s">
        <v>928</v>
      </c>
      <c r="D163" s="15">
        <v>45881</v>
      </c>
      <c r="E163" s="15">
        <v>45915</v>
      </c>
      <c r="F163" s="13">
        <f>DATEDIF(D163,E163,"M")</f>
        <v>1</v>
      </c>
      <c r="G163" s="13" t="s">
        <v>923</v>
      </c>
      <c r="H163" s="14">
        <v>82.97</v>
      </c>
      <c r="I163" s="14">
        <v>30.69</v>
      </c>
      <c r="J163" s="19">
        <f>SUM(I163/H163)</f>
        <v>0.36989273231288422</v>
      </c>
      <c r="K163" s="14">
        <v>19681796</v>
      </c>
      <c r="L163" s="14" t="s">
        <v>916</v>
      </c>
      <c r="M163" s="14" t="s">
        <v>38</v>
      </c>
      <c r="N163" s="14" t="s">
        <v>37</v>
      </c>
      <c r="O163" s="13">
        <v>847892520</v>
      </c>
      <c r="P163" s="13">
        <v>2</v>
      </c>
    </row>
    <row r="164" spans="1:16" ht="15.75" x14ac:dyDescent="0.25">
      <c r="A164" s="3">
        <v>79979</v>
      </c>
      <c r="B164" s="1" t="s">
        <v>419</v>
      </c>
      <c r="C164" s="1" t="s">
        <v>926</v>
      </c>
      <c r="D164" s="4">
        <v>45577</v>
      </c>
      <c r="E164" s="4">
        <v>45915</v>
      </c>
      <c r="F164" s="11">
        <f>DATEDIF(D164,E164,"M")</f>
        <v>11</v>
      </c>
      <c r="G164" s="11" t="s">
        <v>921</v>
      </c>
      <c r="H164" s="1">
        <v>84.7</v>
      </c>
      <c r="I164" s="1">
        <v>31.33</v>
      </c>
      <c r="J164" s="20">
        <f>SUM(I164/H164)</f>
        <v>0.36989374262101532</v>
      </c>
      <c r="K164" s="1">
        <v>9079571</v>
      </c>
      <c r="L164" s="1" t="s">
        <v>899</v>
      </c>
      <c r="M164" s="1" t="s">
        <v>38</v>
      </c>
      <c r="N164" s="1" t="s">
        <v>37</v>
      </c>
      <c r="O164" s="3">
        <v>847675089</v>
      </c>
      <c r="P164" s="3">
        <v>2</v>
      </c>
    </row>
    <row r="165" spans="1:16" ht="15.75" x14ac:dyDescent="0.25">
      <c r="A165" s="13">
        <v>71322</v>
      </c>
      <c r="B165" s="14" t="s">
        <v>731</v>
      </c>
      <c r="C165" s="14" t="s">
        <v>926</v>
      </c>
      <c r="D165" s="15">
        <v>45793</v>
      </c>
      <c r="E165" s="15">
        <v>45918</v>
      </c>
      <c r="F165" s="13">
        <f>DATEDIF(D165,E165,"M")</f>
        <v>4</v>
      </c>
      <c r="G165" s="13" t="s">
        <v>923</v>
      </c>
      <c r="H165" s="14">
        <v>84.7</v>
      </c>
      <c r="I165" s="14">
        <v>31.33</v>
      </c>
      <c r="J165" s="19">
        <f>SUM(I165/H165)</f>
        <v>0.36989374262101532</v>
      </c>
      <c r="K165" s="14">
        <v>17554531</v>
      </c>
      <c r="L165" s="14" t="s">
        <v>913</v>
      </c>
      <c r="M165" s="14" t="s">
        <v>38</v>
      </c>
      <c r="N165" s="14" t="s">
        <v>37</v>
      </c>
      <c r="O165" s="13">
        <v>847837269</v>
      </c>
      <c r="P165" s="13">
        <v>2</v>
      </c>
    </row>
    <row r="166" spans="1:16" ht="15.75" x14ac:dyDescent="0.25">
      <c r="A166" s="3">
        <v>31457</v>
      </c>
      <c r="B166" s="1" t="s">
        <v>794</v>
      </c>
      <c r="C166" s="1" t="s">
        <v>926</v>
      </c>
      <c r="D166" s="4">
        <v>45854</v>
      </c>
      <c r="E166" s="4">
        <v>45918</v>
      </c>
      <c r="F166" s="11">
        <f>DATEDIF(D166,E166,"M")</f>
        <v>2</v>
      </c>
      <c r="G166" s="11" t="s">
        <v>921</v>
      </c>
      <c r="H166" s="1">
        <v>84.7</v>
      </c>
      <c r="I166" s="1">
        <v>31.33</v>
      </c>
      <c r="J166" s="20">
        <f>SUM(I166/H166)</f>
        <v>0.36989374262101532</v>
      </c>
      <c r="K166" s="1">
        <v>5442438</v>
      </c>
      <c r="L166" s="1" t="s">
        <v>897</v>
      </c>
      <c r="M166" s="1" t="s">
        <v>38</v>
      </c>
      <c r="N166" s="1" t="s">
        <v>37</v>
      </c>
      <c r="O166" s="3">
        <v>847875999</v>
      </c>
      <c r="P166" s="3">
        <v>2</v>
      </c>
    </row>
    <row r="167" spans="1:16" ht="15.75" x14ac:dyDescent="0.25">
      <c r="A167" s="3">
        <v>90471</v>
      </c>
      <c r="B167" s="1" t="s">
        <v>865</v>
      </c>
      <c r="C167" s="1" t="s">
        <v>928</v>
      </c>
      <c r="D167" s="4">
        <v>45931</v>
      </c>
      <c r="E167" s="4">
        <v>45931</v>
      </c>
      <c r="F167" s="11">
        <f>DATEDIF(D167,E167,"M")</f>
        <v>0</v>
      </c>
      <c r="G167" s="11" t="s">
        <v>921</v>
      </c>
      <c r="H167" s="1">
        <v>43.85</v>
      </c>
      <c r="I167" s="1">
        <v>16.22</v>
      </c>
      <c r="J167" s="20">
        <f>SUM(I167/H167)</f>
        <v>0.36989737742303302</v>
      </c>
      <c r="K167" s="1">
        <v>5442438</v>
      </c>
      <c r="L167" s="1" t="s">
        <v>897</v>
      </c>
      <c r="M167" s="1" t="s">
        <v>38</v>
      </c>
      <c r="N167" s="1" t="s">
        <v>37</v>
      </c>
      <c r="O167" s="3">
        <v>847910731</v>
      </c>
      <c r="P167" s="3">
        <v>2</v>
      </c>
    </row>
    <row r="168" spans="1:16" ht="15.75" x14ac:dyDescent="0.25">
      <c r="A168" s="11">
        <v>71576</v>
      </c>
      <c r="B168" s="16" t="s">
        <v>544</v>
      </c>
      <c r="C168" s="16" t="s">
        <v>926</v>
      </c>
      <c r="D168" s="17">
        <v>45641</v>
      </c>
      <c r="E168" s="17">
        <v>45917</v>
      </c>
      <c r="F168" s="11">
        <f>DATEDIF(D168,E168,"M")</f>
        <v>9</v>
      </c>
      <c r="G168" s="11" t="s">
        <v>921</v>
      </c>
      <c r="H168" s="16">
        <v>38.090000000000003</v>
      </c>
      <c r="I168" s="16">
        <v>14.09</v>
      </c>
      <c r="J168" s="20">
        <f>SUM(I168/H168)</f>
        <v>0.36991336308742451</v>
      </c>
      <c r="K168" s="16">
        <v>371819</v>
      </c>
      <c r="L168" s="16" t="s">
        <v>898</v>
      </c>
      <c r="M168" s="16" t="s">
        <v>38</v>
      </c>
      <c r="N168" s="16" t="s">
        <v>37</v>
      </c>
      <c r="O168" s="11">
        <v>847723420</v>
      </c>
      <c r="P168" s="11">
        <v>2</v>
      </c>
    </row>
    <row r="169" spans="1:16" ht="15.75" x14ac:dyDescent="0.25">
      <c r="A169" s="3">
        <v>59631</v>
      </c>
      <c r="B169" s="1" t="s">
        <v>827</v>
      </c>
      <c r="C169" s="1" t="s">
        <v>928</v>
      </c>
      <c r="D169" s="4">
        <v>45881</v>
      </c>
      <c r="E169" s="4">
        <v>45915</v>
      </c>
      <c r="F169" s="11">
        <f>DATEDIF(D169,E169,"M")</f>
        <v>1</v>
      </c>
      <c r="G169" s="11" t="s">
        <v>921</v>
      </c>
      <c r="H169" s="1">
        <v>52.66</v>
      </c>
      <c r="I169" s="1">
        <v>19.48</v>
      </c>
      <c r="J169" s="20">
        <f>SUM(I169/H169)</f>
        <v>0.36992024306874294</v>
      </c>
      <c r="K169" s="1">
        <v>21222981</v>
      </c>
      <c r="L169" s="1" t="s">
        <v>908</v>
      </c>
      <c r="M169" s="1" t="s">
        <v>38</v>
      </c>
      <c r="N169" s="1" t="s">
        <v>37</v>
      </c>
      <c r="O169" s="3">
        <v>847892610</v>
      </c>
      <c r="P169" s="3">
        <v>2</v>
      </c>
    </row>
    <row r="170" spans="1:16" ht="15.75" x14ac:dyDescent="0.25">
      <c r="A170" s="3">
        <v>60485</v>
      </c>
      <c r="B170" s="1" t="s">
        <v>398</v>
      </c>
      <c r="C170" s="1" t="s">
        <v>926</v>
      </c>
      <c r="D170" s="4">
        <v>45577</v>
      </c>
      <c r="E170" s="4">
        <v>45915</v>
      </c>
      <c r="F170" s="11">
        <f>DATEDIF(D170,E170,"M")</f>
        <v>11</v>
      </c>
      <c r="G170" s="11" t="s">
        <v>921</v>
      </c>
      <c r="H170" s="1">
        <v>40.9</v>
      </c>
      <c r="I170" s="1">
        <v>15.13</v>
      </c>
      <c r="J170" s="20">
        <f>SUM(I170/H170)</f>
        <v>0.36992665036674821</v>
      </c>
      <c r="K170" s="1">
        <v>9213293</v>
      </c>
      <c r="L170" s="1" t="s">
        <v>914</v>
      </c>
      <c r="M170" s="1" t="s">
        <v>38</v>
      </c>
      <c r="N170" s="1" t="s">
        <v>37</v>
      </c>
      <c r="O170" s="3">
        <v>847664484</v>
      </c>
      <c r="P170" s="3">
        <v>2</v>
      </c>
    </row>
    <row r="171" spans="1:16" ht="15.75" x14ac:dyDescent="0.25">
      <c r="A171" s="3">
        <v>15000</v>
      </c>
      <c r="B171" s="1" t="s">
        <v>456</v>
      </c>
      <c r="C171" s="1" t="s">
        <v>926</v>
      </c>
      <c r="D171" s="4">
        <v>45627</v>
      </c>
      <c r="E171" s="4">
        <v>45916</v>
      </c>
      <c r="F171" s="11">
        <f>DATEDIF(D171,E171,"M")</f>
        <v>9</v>
      </c>
      <c r="G171" s="11" t="s">
        <v>921</v>
      </c>
      <c r="H171" s="1">
        <v>-57.28</v>
      </c>
      <c r="I171" s="1">
        <v>-21.19</v>
      </c>
      <c r="J171" s="20">
        <f>SUM(I171/H171)</f>
        <v>0.36993715083798884</v>
      </c>
      <c r="K171" s="1">
        <v>9213293</v>
      </c>
      <c r="L171" s="1" t="s">
        <v>914</v>
      </c>
      <c r="M171" s="1" t="s">
        <v>38</v>
      </c>
      <c r="N171" s="1" t="s">
        <v>37</v>
      </c>
      <c r="O171" s="3">
        <v>847693164</v>
      </c>
      <c r="P171" s="3">
        <v>1</v>
      </c>
    </row>
    <row r="172" spans="1:16" ht="15.75" x14ac:dyDescent="0.25">
      <c r="A172" s="3">
        <v>15000</v>
      </c>
      <c r="B172" s="1" t="s">
        <v>456</v>
      </c>
      <c r="C172" s="1" t="s">
        <v>926</v>
      </c>
      <c r="D172" s="4">
        <v>45627</v>
      </c>
      <c r="E172" s="4">
        <v>45916</v>
      </c>
      <c r="F172" s="11">
        <f>DATEDIF(D172,E172,"M")</f>
        <v>9</v>
      </c>
      <c r="G172" s="11" t="s">
        <v>921</v>
      </c>
      <c r="H172" s="1">
        <v>-57.28</v>
      </c>
      <c r="I172" s="1">
        <v>-21.19</v>
      </c>
      <c r="J172" s="20">
        <f>SUM(I172/H172)</f>
        <v>0.36993715083798884</v>
      </c>
      <c r="K172" s="1">
        <v>9213293</v>
      </c>
      <c r="L172" s="1" t="s">
        <v>914</v>
      </c>
      <c r="M172" s="1" t="s">
        <v>38</v>
      </c>
      <c r="N172" s="1" t="s">
        <v>37</v>
      </c>
      <c r="O172" s="3">
        <v>847693164</v>
      </c>
      <c r="P172" s="3">
        <v>1</v>
      </c>
    </row>
    <row r="173" spans="1:16" ht="15.75" x14ac:dyDescent="0.25">
      <c r="A173" s="3">
        <v>15000</v>
      </c>
      <c r="B173" s="1" t="s">
        <v>456</v>
      </c>
      <c r="C173" s="1" t="s">
        <v>926</v>
      </c>
      <c r="D173" s="4">
        <v>45627</v>
      </c>
      <c r="E173" s="4">
        <v>45916</v>
      </c>
      <c r="F173" s="11">
        <f>DATEDIF(D173,E173,"M")</f>
        <v>9</v>
      </c>
      <c r="G173" s="11" t="s">
        <v>921</v>
      </c>
      <c r="H173" s="1">
        <v>-57.28</v>
      </c>
      <c r="I173" s="1">
        <v>-21.19</v>
      </c>
      <c r="J173" s="20">
        <f>SUM(I173/H173)</f>
        <v>0.36993715083798884</v>
      </c>
      <c r="K173" s="1">
        <v>9213293</v>
      </c>
      <c r="L173" s="1" t="s">
        <v>914</v>
      </c>
      <c r="M173" s="1" t="s">
        <v>38</v>
      </c>
      <c r="N173" s="1" t="s">
        <v>37</v>
      </c>
      <c r="O173" s="3">
        <v>847693164</v>
      </c>
      <c r="P173" s="3">
        <v>1</v>
      </c>
    </row>
    <row r="174" spans="1:16" ht="15.75" x14ac:dyDescent="0.25">
      <c r="A174" s="3">
        <v>13810</v>
      </c>
      <c r="B174" s="1" t="s">
        <v>593</v>
      </c>
      <c r="C174" s="1" t="s">
        <v>926</v>
      </c>
      <c r="D174" s="4">
        <v>45689</v>
      </c>
      <c r="E174" s="4">
        <v>45916</v>
      </c>
      <c r="F174" s="11">
        <f>DATEDIF(D174,E174,"M")</f>
        <v>7</v>
      </c>
      <c r="G174" s="11" t="s">
        <v>921</v>
      </c>
      <c r="H174" s="1">
        <v>-65.09</v>
      </c>
      <c r="I174" s="1">
        <v>-24.08</v>
      </c>
      <c r="J174" s="20">
        <f>SUM(I174/H174)</f>
        <v>0.36994930096789058</v>
      </c>
      <c r="K174" s="1">
        <v>19278370</v>
      </c>
      <c r="L174" s="1" t="s">
        <v>894</v>
      </c>
      <c r="M174" s="1" t="s">
        <v>38</v>
      </c>
      <c r="N174" s="1" t="s">
        <v>37</v>
      </c>
      <c r="O174" s="3">
        <v>847747845</v>
      </c>
      <c r="P174" s="3">
        <v>1</v>
      </c>
    </row>
    <row r="175" spans="1:16" ht="15.75" x14ac:dyDescent="0.25">
      <c r="A175" s="3">
        <v>13810</v>
      </c>
      <c r="B175" s="1" t="s">
        <v>593</v>
      </c>
      <c r="C175" s="1" t="s">
        <v>926</v>
      </c>
      <c r="D175" s="4">
        <v>45689</v>
      </c>
      <c r="E175" s="4">
        <v>45916</v>
      </c>
      <c r="F175" s="11">
        <f>DATEDIF(D175,E175,"M")</f>
        <v>7</v>
      </c>
      <c r="G175" s="11" t="s">
        <v>921</v>
      </c>
      <c r="H175" s="1">
        <v>-65.09</v>
      </c>
      <c r="I175" s="1">
        <v>-24.08</v>
      </c>
      <c r="J175" s="20">
        <f>SUM(I175/H175)</f>
        <v>0.36994930096789058</v>
      </c>
      <c r="K175" s="1">
        <v>19278370</v>
      </c>
      <c r="L175" s="1" t="s">
        <v>894</v>
      </c>
      <c r="M175" s="1" t="s">
        <v>38</v>
      </c>
      <c r="N175" s="1" t="s">
        <v>37</v>
      </c>
      <c r="O175" s="3">
        <v>847747845</v>
      </c>
      <c r="P175" s="3">
        <v>1</v>
      </c>
    </row>
    <row r="176" spans="1:16" ht="15.75" x14ac:dyDescent="0.25">
      <c r="A176" s="3">
        <v>13810</v>
      </c>
      <c r="B176" s="1" t="s">
        <v>593</v>
      </c>
      <c r="C176" s="1" t="s">
        <v>926</v>
      </c>
      <c r="D176" s="4">
        <v>45689</v>
      </c>
      <c r="E176" s="4">
        <v>45916</v>
      </c>
      <c r="F176" s="11">
        <f>DATEDIF(D176,E176,"M")</f>
        <v>7</v>
      </c>
      <c r="G176" s="11" t="s">
        <v>921</v>
      </c>
      <c r="H176" s="1">
        <v>-65.09</v>
      </c>
      <c r="I176" s="1">
        <v>-24.08</v>
      </c>
      <c r="J176" s="20">
        <f>SUM(I176/H176)</f>
        <v>0.36994930096789058</v>
      </c>
      <c r="K176" s="1">
        <v>19278370</v>
      </c>
      <c r="L176" s="1" t="s">
        <v>894</v>
      </c>
      <c r="M176" s="1" t="s">
        <v>38</v>
      </c>
      <c r="N176" s="1" t="s">
        <v>37</v>
      </c>
      <c r="O176" s="3">
        <v>847747845</v>
      </c>
      <c r="P176" s="3">
        <v>1</v>
      </c>
    </row>
    <row r="177" spans="1:16" ht="15.75" x14ac:dyDescent="0.25">
      <c r="A177" s="3">
        <v>13810</v>
      </c>
      <c r="B177" s="1" t="s">
        <v>593</v>
      </c>
      <c r="C177" s="1" t="s">
        <v>926</v>
      </c>
      <c r="D177" s="4">
        <v>45689</v>
      </c>
      <c r="E177" s="4">
        <v>45916</v>
      </c>
      <c r="F177" s="11">
        <f>DATEDIF(D177,E177,"M")</f>
        <v>7</v>
      </c>
      <c r="G177" s="11" t="s">
        <v>921</v>
      </c>
      <c r="H177" s="1">
        <v>-65.09</v>
      </c>
      <c r="I177" s="1">
        <v>-24.08</v>
      </c>
      <c r="J177" s="20">
        <f>SUM(I177/H177)</f>
        <v>0.36994930096789058</v>
      </c>
      <c r="K177" s="1">
        <v>19278370</v>
      </c>
      <c r="L177" s="1" t="s">
        <v>894</v>
      </c>
      <c r="M177" s="1" t="s">
        <v>38</v>
      </c>
      <c r="N177" s="1" t="s">
        <v>37</v>
      </c>
      <c r="O177" s="3">
        <v>847747845</v>
      </c>
      <c r="P177" s="3">
        <v>1</v>
      </c>
    </row>
    <row r="178" spans="1:16" ht="15.75" x14ac:dyDescent="0.25">
      <c r="A178" s="3">
        <v>28647</v>
      </c>
      <c r="B178" s="1" t="s">
        <v>779</v>
      </c>
      <c r="C178" s="1" t="s">
        <v>926</v>
      </c>
      <c r="D178" s="4">
        <v>45850</v>
      </c>
      <c r="E178" s="4">
        <v>45915</v>
      </c>
      <c r="F178" s="11">
        <f>DATEDIF(D178,E178,"M")</f>
        <v>2</v>
      </c>
      <c r="G178" s="11" t="s">
        <v>921</v>
      </c>
      <c r="H178" s="1">
        <v>41.49</v>
      </c>
      <c r="I178" s="1">
        <v>15.35</v>
      </c>
      <c r="J178" s="20">
        <f>SUM(I178/H178)</f>
        <v>0.36996866714871052</v>
      </c>
      <c r="K178" s="1">
        <v>17528908</v>
      </c>
      <c r="L178" s="1" t="s">
        <v>893</v>
      </c>
      <c r="M178" s="1" t="s">
        <v>38</v>
      </c>
      <c r="N178" s="1" t="s">
        <v>37</v>
      </c>
      <c r="O178" s="3">
        <v>847874347</v>
      </c>
      <c r="P178" s="3">
        <v>2</v>
      </c>
    </row>
    <row r="179" spans="1:16" ht="15.75" x14ac:dyDescent="0.25">
      <c r="A179" s="3">
        <v>30440</v>
      </c>
      <c r="B179" s="1" t="s">
        <v>666</v>
      </c>
      <c r="C179" s="1" t="s">
        <v>926</v>
      </c>
      <c r="D179" s="4">
        <v>45758</v>
      </c>
      <c r="E179" s="4">
        <v>45915</v>
      </c>
      <c r="F179" s="11">
        <f>DATEDIF(D179,E179,"M")</f>
        <v>5</v>
      </c>
      <c r="G179" s="11" t="s">
        <v>921</v>
      </c>
      <c r="H179" s="1">
        <v>37.03</v>
      </c>
      <c r="I179" s="1">
        <v>13.7</v>
      </c>
      <c r="J179" s="20">
        <f>SUM(I179/H179)</f>
        <v>0.3699702943559276</v>
      </c>
      <c r="K179" s="1">
        <v>17195620</v>
      </c>
      <c r="L179" s="1" t="s">
        <v>911</v>
      </c>
      <c r="M179" s="1" t="s">
        <v>38</v>
      </c>
      <c r="N179" s="1" t="s">
        <v>37</v>
      </c>
      <c r="O179" s="3">
        <v>847813153</v>
      </c>
      <c r="P179" s="3">
        <v>2</v>
      </c>
    </row>
    <row r="180" spans="1:16" ht="15.75" x14ac:dyDescent="0.25">
      <c r="A180" s="3">
        <v>18083</v>
      </c>
      <c r="B180" s="1" t="s">
        <v>483</v>
      </c>
      <c r="C180" s="1" t="s">
        <v>926</v>
      </c>
      <c r="D180" s="4">
        <v>45608</v>
      </c>
      <c r="E180" s="4">
        <v>45915</v>
      </c>
      <c r="F180" s="11">
        <f>DATEDIF(D180,E180,"M")</f>
        <v>10</v>
      </c>
      <c r="G180" s="11" t="s">
        <v>921</v>
      </c>
      <c r="H180" s="1">
        <v>37.03</v>
      </c>
      <c r="I180" s="1">
        <v>13.7</v>
      </c>
      <c r="J180" s="20">
        <f>SUM(I180/H180)</f>
        <v>0.3699702943559276</v>
      </c>
      <c r="K180" s="1">
        <v>5442438</v>
      </c>
      <c r="L180" s="1" t="s">
        <v>897</v>
      </c>
      <c r="M180" s="1" t="s">
        <v>38</v>
      </c>
      <c r="N180" s="1" t="s">
        <v>37</v>
      </c>
      <c r="O180" s="3">
        <v>847694774</v>
      </c>
      <c r="P180" s="3">
        <v>2</v>
      </c>
    </row>
    <row r="181" spans="1:16" ht="15.75" x14ac:dyDescent="0.25">
      <c r="A181" s="3">
        <v>71658</v>
      </c>
      <c r="B181" s="1" t="s">
        <v>735</v>
      </c>
      <c r="C181" s="1" t="s">
        <v>926</v>
      </c>
      <c r="D181" s="4">
        <v>45794</v>
      </c>
      <c r="E181" s="4">
        <v>45919</v>
      </c>
      <c r="F181" s="11">
        <f>DATEDIF(D181,E181,"M")</f>
        <v>4</v>
      </c>
      <c r="G181" s="11" t="s">
        <v>921</v>
      </c>
      <c r="H181" s="1">
        <v>37.03</v>
      </c>
      <c r="I181" s="1">
        <v>13.7</v>
      </c>
      <c r="J181" s="20">
        <f>SUM(I181/H181)</f>
        <v>0.3699702943559276</v>
      </c>
      <c r="K181" s="1">
        <v>5442438</v>
      </c>
      <c r="L181" s="1" t="s">
        <v>897</v>
      </c>
      <c r="M181" s="1" t="s">
        <v>38</v>
      </c>
      <c r="N181" s="1" t="s">
        <v>37</v>
      </c>
      <c r="O181" s="3">
        <v>847837494</v>
      </c>
      <c r="P181" s="3">
        <v>2</v>
      </c>
    </row>
    <row r="182" spans="1:16" ht="15.75" x14ac:dyDescent="0.25">
      <c r="A182" s="3">
        <v>2341</v>
      </c>
      <c r="B182" s="1" t="s">
        <v>762</v>
      </c>
      <c r="C182" s="1" t="s">
        <v>926</v>
      </c>
      <c r="D182" s="4">
        <v>45825</v>
      </c>
      <c r="E182" s="4">
        <v>45919</v>
      </c>
      <c r="F182" s="11">
        <f>DATEDIF(D182,E182,"M")</f>
        <v>3</v>
      </c>
      <c r="G182" s="11" t="s">
        <v>921</v>
      </c>
      <c r="H182" s="1">
        <v>107.9</v>
      </c>
      <c r="I182" s="1">
        <v>39.92</v>
      </c>
      <c r="J182" s="20">
        <f>SUM(I182/H182)</f>
        <v>0.36997219647822055</v>
      </c>
      <c r="K182" s="1">
        <v>18710070</v>
      </c>
      <c r="L182" s="1" t="s">
        <v>912</v>
      </c>
      <c r="M182" s="1" t="s">
        <v>38</v>
      </c>
      <c r="N182" s="1" t="s">
        <v>37</v>
      </c>
      <c r="O182" s="3">
        <v>847858176</v>
      </c>
      <c r="P182" s="3">
        <v>2</v>
      </c>
    </row>
    <row r="183" spans="1:16" ht="15.75" x14ac:dyDescent="0.25">
      <c r="A183" s="11">
        <v>73930</v>
      </c>
      <c r="B183" s="16" t="s">
        <v>565</v>
      </c>
      <c r="C183" s="16" t="s">
        <v>926</v>
      </c>
      <c r="D183" s="17">
        <v>45639</v>
      </c>
      <c r="E183" s="17">
        <v>45918</v>
      </c>
      <c r="F183" s="11">
        <f>DATEDIF(D183,E183,"M")</f>
        <v>9</v>
      </c>
      <c r="G183" s="11" t="s">
        <v>921</v>
      </c>
      <c r="H183" s="16">
        <v>44.03</v>
      </c>
      <c r="I183" s="16">
        <v>16.29</v>
      </c>
      <c r="J183" s="20">
        <f>SUM(I183/H183)</f>
        <v>0.36997501703384056</v>
      </c>
      <c r="K183" s="16">
        <v>17425766</v>
      </c>
      <c r="L183" s="16" t="s">
        <v>907</v>
      </c>
      <c r="M183" s="16" t="s">
        <v>38</v>
      </c>
      <c r="N183" s="16" t="s">
        <v>37</v>
      </c>
      <c r="O183" s="11">
        <v>847724819</v>
      </c>
      <c r="P183" s="11">
        <v>2</v>
      </c>
    </row>
    <row r="184" spans="1:16" ht="15.75" x14ac:dyDescent="0.25">
      <c r="A184" s="11">
        <v>73930</v>
      </c>
      <c r="B184" s="16" t="s">
        <v>565</v>
      </c>
      <c r="C184" s="16" t="s">
        <v>926</v>
      </c>
      <c r="D184" s="17">
        <v>45639</v>
      </c>
      <c r="E184" s="17">
        <v>45918</v>
      </c>
      <c r="F184" s="11">
        <f>DATEDIF(D184,E184,"M")</f>
        <v>9</v>
      </c>
      <c r="G184" s="11" t="s">
        <v>921</v>
      </c>
      <c r="H184" s="16">
        <v>44.03</v>
      </c>
      <c r="I184" s="16">
        <v>16.29</v>
      </c>
      <c r="J184" s="20">
        <f>SUM(I184/H184)</f>
        <v>0.36997501703384056</v>
      </c>
      <c r="K184" s="16">
        <v>17425766</v>
      </c>
      <c r="L184" s="16" t="s">
        <v>907</v>
      </c>
      <c r="M184" s="16" t="s">
        <v>38</v>
      </c>
      <c r="N184" s="16" t="s">
        <v>37</v>
      </c>
      <c r="O184" s="11">
        <v>847724819</v>
      </c>
      <c r="P184" s="11">
        <v>2</v>
      </c>
    </row>
    <row r="185" spans="1:16" ht="15.75" x14ac:dyDescent="0.25">
      <c r="A185" s="3">
        <v>88427</v>
      </c>
      <c r="B185" s="1" t="s">
        <v>859</v>
      </c>
      <c r="C185" s="1" t="s">
        <v>928</v>
      </c>
      <c r="D185" s="4">
        <v>45911</v>
      </c>
      <c r="E185" s="4">
        <v>45915</v>
      </c>
      <c r="F185" s="11">
        <f>DATEDIF(D185,E185,"M")</f>
        <v>0</v>
      </c>
      <c r="G185" s="11" t="s">
        <v>921</v>
      </c>
      <c r="H185" s="1">
        <v>44.03</v>
      </c>
      <c r="I185" s="1">
        <v>16.29</v>
      </c>
      <c r="J185" s="20">
        <f>SUM(I185/H185)</f>
        <v>0.36997501703384056</v>
      </c>
      <c r="K185" s="1">
        <v>17425766</v>
      </c>
      <c r="L185" s="1" t="s">
        <v>907</v>
      </c>
      <c r="M185" s="1" t="s">
        <v>38</v>
      </c>
      <c r="N185" s="1" t="s">
        <v>37</v>
      </c>
      <c r="O185" s="3">
        <v>847909501</v>
      </c>
      <c r="P185" s="3">
        <v>2</v>
      </c>
    </row>
    <row r="186" spans="1:16" ht="15.75" x14ac:dyDescent="0.25">
      <c r="A186" s="13">
        <v>97926</v>
      </c>
      <c r="B186" s="14" t="s">
        <v>749</v>
      </c>
      <c r="C186" s="14" t="s">
        <v>926</v>
      </c>
      <c r="D186" s="15">
        <v>45820</v>
      </c>
      <c r="E186" s="15">
        <v>45915</v>
      </c>
      <c r="F186" s="13">
        <f>DATEDIF(D186,E186,"M")</f>
        <v>3</v>
      </c>
      <c r="G186" s="13" t="s">
        <v>923</v>
      </c>
      <c r="H186" s="14">
        <v>83.41</v>
      </c>
      <c r="I186" s="14">
        <v>30.86</v>
      </c>
      <c r="J186" s="19">
        <f>SUM(I186/H186)</f>
        <v>0.36997961875074931</v>
      </c>
      <c r="K186" s="14">
        <v>17554531</v>
      </c>
      <c r="L186" s="14" t="s">
        <v>913</v>
      </c>
      <c r="M186" s="14" t="s">
        <v>38</v>
      </c>
      <c r="N186" s="14" t="s">
        <v>37</v>
      </c>
      <c r="O186" s="13">
        <v>847855867</v>
      </c>
      <c r="P186" s="13">
        <v>2</v>
      </c>
    </row>
    <row r="187" spans="1:16" ht="15.75" x14ac:dyDescent="0.25">
      <c r="A187" s="13">
        <v>29889</v>
      </c>
      <c r="B187" s="14" t="s">
        <v>616</v>
      </c>
      <c r="C187" s="14" t="s">
        <v>926</v>
      </c>
      <c r="D187" s="15">
        <v>45680</v>
      </c>
      <c r="E187" s="15">
        <v>45916</v>
      </c>
      <c r="F187" s="13">
        <f>DATEDIF(D187,E187,"M")</f>
        <v>7</v>
      </c>
      <c r="G187" s="13" t="s">
        <v>923</v>
      </c>
      <c r="H187" s="14">
        <v>-102.49</v>
      </c>
      <c r="I187" s="14">
        <v>-37.92</v>
      </c>
      <c r="J187" s="19">
        <f>SUM(I187/H187)</f>
        <v>0.36998731583569133</v>
      </c>
      <c r="K187" s="14">
        <v>6115727</v>
      </c>
      <c r="L187" s="14" t="s">
        <v>901</v>
      </c>
      <c r="M187" s="14" t="s">
        <v>38</v>
      </c>
      <c r="N187" s="14" t="s">
        <v>37</v>
      </c>
      <c r="O187" s="13">
        <v>847756871</v>
      </c>
      <c r="P187" s="13">
        <v>1</v>
      </c>
    </row>
    <row r="188" spans="1:16" ht="15.75" x14ac:dyDescent="0.25">
      <c r="A188" s="3">
        <v>7206</v>
      </c>
      <c r="B188" s="1" t="s">
        <v>445</v>
      </c>
      <c r="C188" s="1" t="s">
        <v>926</v>
      </c>
      <c r="D188" s="4">
        <v>45611</v>
      </c>
      <c r="E188" s="4">
        <v>45917</v>
      </c>
      <c r="F188" s="11">
        <f>DATEDIF(D188,E188,"M")</f>
        <v>10</v>
      </c>
      <c r="G188" s="11" t="s">
        <v>921</v>
      </c>
      <c r="H188" s="1">
        <v>102.49</v>
      </c>
      <c r="I188" s="1">
        <v>37.92</v>
      </c>
      <c r="J188" s="20">
        <f>SUM(I188/H188)</f>
        <v>0.36998731583569133</v>
      </c>
      <c r="K188" s="1">
        <v>5442438</v>
      </c>
      <c r="L188" s="1" t="s">
        <v>897</v>
      </c>
      <c r="M188" s="1" t="s">
        <v>38</v>
      </c>
      <c r="N188" s="1" t="s">
        <v>37</v>
      </c>
      <c r="O188" s="3">
        <v>847688971</v>
      </c>
      <c r="P188" s="3">
        <v>2</v>
      </c>
    </row>
    <row r="189" spans="1:16" ht="15.75" x14ac:dyDescent="0.25">
      <c r="A189" s="3">
        <v>96537</v>
      </c>
      <c r="B189" s="1" t="s">
        <v>577</v>
      </c>
      <c r="C189" s="1" t="s">
        <v>926</v>
      </c>
      <c r="D189" s="4">
        <v>45658</v>
      </c>
      <c r="E189" s="4">
        <v>45916</v>
      </c>
      <c r="F189" s="11">
        <f>DATEDIF(D189,E189,"M")</f>
        <v>8</v>
      </c>
      <c r="G189" s="11" t="s">
        <v>921</v>
      </c>
      <c r="H189" s="1">
        <v>-60.92</v>
      </c>
      <c r="I189" s="1">
        <v>-22.54</v>
      </c>
      <c r="J189" s="20">
        <f>SUM(I189/H189)</f>
        <v>0.36999343401181878</v>
      </c>
      <c r="K189" s="1">
        <v>17425766</v>
      </c>
      <c r="L189" s="1" t="s">
        <v>907</v>
      </c>
      <c r="M189" s="1" t="s">
        <v>38</v>
      </c>
      <c r="N189" s="1" t="s">
        <v>37</v>
      </c>
      <c r="O189" s="3">
        <v>847738366</v>
      </c>
      <c r="P189" s="3">
        <v>1</v>
      </c>
    </row>
    <row r="190" spans="1:16" ht="15.75" x14ac:dyDescent="0.25">
      <c r="A190" s="3">
        <v>96537</v>
      </c>
      <c r="B190" s="1" t="s">
        <v>577</v>
      </c>
      <c r="C190" s="1" t="s">
        <v>926</v>
      </c>
      <c r="D190" s="4">
        <v>45658</v>
      </c>
      <c r="E190" s="4">
        <v>45916</v>
      </c>
      <c r="F190" s="11">
        <f>DATEDIF(D190,E190,"M")</f>
        <v>8</v>
      </c>
      <c r="G190" s="11" t="s">
        <v>921</v>
      </c>
      <c r="H190" s="1">
        <v>-60.92</v>
      </c>
      <c r="I190" s="1">
        <v>-22.54</v>
      </c>
      <c r="J190" s="20">
        <f>SUM(I190/H190)</f>
        <v>0.36999343401181878</v>
      </c>
      <c r="K190" s="1">
        <v>17425766</v>
      </c>
      <c r="L190" s="1" t="s">
        <v>907</v>
      </c>
      <c r="M190" s="1" t="s">
        <v>38</v>
      </c>
      <c r="N190" s="1" t="s">
        <v>37</v>
      </c>
      <c r="O190" s="3">
        <v>847738366</v>
      </c>
      <c r="P190" s="3">
        <v>1</v>
      </c>
    </row>
    <row r="191" spans="1:16" ht="15.75" x14ac:dyDescent="0.25">
      <c r="A191" s="3">
        <v>96537</v>
      </c>
      <c r="B191" s="1" t="s">
        <v>577</v>
      </c>
      <c r="C191" s="1" t="s">
        <v>926</v>
      </c>
      <c r="D191" s="4">
        <v>45658</v>
      </c>
      <c r="E191" s="4">
        <v>45916</v>
      </c>
      <c r="F191" s="11">
        <f>DATEDIF(D191,E191,"M")</f>
        <v>8</v>
      </c>
      <c r="G191" s="11" t="s">
        <v>921</v>
      </c>
      <c r="H191" s="1">
        <v>-60.92</v>
      </c>
      <c r="I191" s="1">
        <v>-22.54</v>
      </c>
      <c r="J191" s="20">
        <f>SUM(I191/H191)</f>
        <v>0.36999343401181878</v>
      </c>
      <c r="K191" s="1">
        <v>17425766</v>
      </c>
      <c r="L191" s="1" t="s">
        <v>907</v>
      </c>
      <c r="M191" s="1" t="s">
        <v>38</v>
      </c>
      <c r="N191" s="1" t="s">
        <v>37</v>
      </c>
      <c r="O191" s="3">
        <v>847738366</v>
      </c>
      <c r="P191" s="3">
        <v>1</v>
      </c>
    </row>
    <row r="192" spans="1:16" ht="15.75" x14ac:dyDescent="0.25">
      <c r="A192" s="3">
        <v>96537</v>
      </c>
      <c r="B192" s="1" t="s">
        <v>577</v>
      </c>
      <c r="C192" s="1" t="s">
        <v>926</v>
      </c>
      <c r="D192" s="4">
        <v>45658</v>
      </c>
      <c r="E192" s="4">
        <v>45916</v>
      </c>
      <c r="F192" s="11">
        <f>DATEDIF(D192,E192,"M")</f>
        <v>8</v>
      </c>
      <c r="G192" s="11" t="s">
        <v>921</v>
      </c>
      <c r="H192" s="1">
        <v>-60.92</v>
      </c>
      <c r="I192" s="1">
        <v>-22.54</v>
      </c>
      <c r="J192" s="20">
        <f>SUM(I192/H192)</f>
        <v>0.36999343401181878</v>
      </c>
      <c r="K192" s="1">
        <v>17425766</v>
      </c>
      <c r="L192" s="1" t="s">
        <v>907</v>
      </c>
      <c r="M192" s="1" t="s">
        <v>38</v>
      </c>
      <c r="N192" s="1" t="s">
        <v>37</v>
      </c>
      <c r="O192" s="3">
        <v>847738366</v>
      </c>
      <c r="P192" s="3">
        <v>1</v>
      </c>
    </row>
    <row r="193" spans="1:16" ht="15.75" x14ac:dyDescent="0.25">
      <c r="A193" s="13">
        <v>65929</v>
      </c>
      <c r="B193" s="14" t="s">
        <v>705</v>
      </c>
      <c r="C193" s="14" t="s">
        <v>926</v>
      </c>
      <c r="D193" s="15">
        <v>45790</v>
      </c>
      <c r="E193" s="15">
        <v>45915</v>
      </c>
      <c r="F193" s="13">
        <f>DATEDIF(D193,E193,"M")</f>
        <v>4</v>
      </c>
      <c r="G193" s="13" t="s">
        <v>923</v>
      </c>
      <c r="H193" s="14">
        <v>62.46</v>
      </c>
      <c r="I193" s="14">
        <v>23.11</v>
      </c>
      <c r="J193" s="19">
        <f>SUM(I193/H193)</f>
        <v>0.36999679795068841</v>
      </c>
      <c r="K193" s="14">
        <v>8325282</v>
      </c>
      <c r="L193" s="14" t="s">
        <v>905</v>
      </c>
      <c r="M193" s="14" t="s">
        <v>38</v>
      </c>
      <c r="N193" s="14" t="s">
        <v>37</v>
      </c>
      <c r="O193" s="13">
        <v>847834098</v>
      </c>
      <c r="P193" s="13">
        <v>2</v>
      </c>
    </row>
    <row r="194" spans="1:16" ht="15.75" x14ac:dyDescent="0.25">
      <c r="A194" s="3">
        <v>30818</v>
      </c>
      <c r="B194" s="1" t="s">
        <v>791</v>
      </c>
      <c r="C194" s="1" t="s">
        <v>926</v>
      </c>
      <c r="D194" s="4">
        <v>45853</v>
      </c>
      <c r="E194" s="4">
        <v>45917</v>
      </c>
      <c r="F194" s="11">
        <f>DATEDIF(D194,E194,"M")</f>
        <v>2</v>
      </c>
      <c r="G194" s="11" t="s">
        <v>921</v>
      </c>
      <c r="H194" s="1">
        <v>40.729999999999997</v>
      </c>
      <c r="I194" s="1">
        <v>15.07</v>
      </c>
      <c r="J194" s="20">
        <f>SUM(I194/H194)</f>
        <v>0.36999754480726743</v>
      </c>
      <c r="K194" s="1">
        <v>5442438</v>
      </c>
      <c r="L194" s="1" t="s">
        <v>897</v>
      </c>
      <c r="M194" s="1" t="s">
        <v>38</v>
      </c>
      <c r="N194" s="1" t="s">
        <v>37</v>
      </c>
      <c r="O194" s="3">
        <v>847875643</v>
      </c>
      <c r="P194" s="3">
        <v>2</v>
      </c>
    </row>
    <row r="195" spans="1:16" ht="15.75" x14ac:dyDescent="0.25">
      <c r="A195" s="3">
        <v>33518</v>
      </c>
      <c r="B195" s="1" t="s">
        <v>805</v>
      </c>
      <c r="C195" s="1" t="s">
        <v>928</v>
      </c>
      <c r="D195" s="4">
        <v>45855</v>
      </c>
      <c r="E195" s="4">
        <v>45919</v>
      </c>
      <c r="F195" s="11">
        <f>DATEDIF(D195,E195,"M")</f>
        <v>2</v>
      </c>
      <c r="G195" s="11" t="s">
        <v>921</v>
      </c>
      <c r="H195" s="1">
        <v>40.729999999999997</v>
      </c>
      <c r="I195" s="1">
        <v>15.07</v>
      </c>
      <c r="J195" s="20">
        <f>SUM(I195/H195)</f>
        <v>0.36999754480726743</v>
      </c>
      <c r="K195" s="1">
        <v>5442438</v>
      </c>
      <c r="L195" s="1" t="s">
        <v>897</v>
      </c>
      <c r="M195" s="1" t="s">
        <v>38</v>
      </c>
      <c r="N195" s="1" t="s">
        <v>37</v>
      </c>
      <c r="O195" s="3">
        <v>847877220</v>
      </c>
      <c r="P195" s="3">
        <v>2</v>
      </c>
    </row>
    <row r="196" spans="1:16" ht="15.75" x14ac:dyDescent="0.25">
      <c r="A196" s="13">
        <v>88130</v>
      </c>
      <c r="B196" s="14" t="s">
        <v>853</v>
      </c>
      <c r="C196" s="14" t="s">
        <v>928</v>
      </c>
      <c r="D196" s="15">
        <v>45915</v>
      </c>
      <c r="E196" s="15">
        <v>45917</v>
      </c>
      <c r="F196" s="13">
        <f>DATEDIF(D196,E196,"M")</f>
        <v>0</v>
      </c>
      <c r="G196" s="13" t="s">
        <v>922</v>
      </c>
      <c r="H196" s="14">
        <v>40.729999999999997</v>
      </c>
      <c r="I196" s="14">
        <v>15.07</v>
      </c>
      <c r="J196" s="19">
        <f>SUM(I196/H196)</f>
        <v>0.36999754480726743</v>
      </c>
      <c r="K196" s="14" t="s">
        <v>919</v>
      </c>
      <c r="L196" s="14" t="s">
        <v>910</v>
      </c>
      <c r="M196" s="14" t="s">
        <v>38</v>
      </c>
      <c r="N196" s="14" t="s">
        <v>37</v>
      </c>
      <c r="O196" s="13">
        <v>847909315</v>
      </c>
      <c r="P196" s="13">
        <v>2</v>
      </c>
    </row>
    <row r="197" spans="1:16" ht="15.75" x14ac:dyDescent="0.25">
      <c r="A197" s="3">
        <v>18592</v>
      </c>
      <c r="B197" s="1" t="s">
        <v>486</v>
      </c>
      <c r="C197" s="1" t="s">
        <v>926</v>
      </c>
      <c r="D197" s="4">
        <v>45608</v>
      </c>
      <c r="E197" s="4">
        <v>45915</v>
      </c>
      <c r="F197" s="11">
        <f>DATEDIF(D197,E197,"M")</f>
        <v>10</v>
      </c>
      <c r="G197" s="11" t="s">
        <v>921</v>
      </c>
      <c r="H197" s="1">
        <v>74.27</v>
      </c>
      <c r="I197" s="1">
        <v>27.48</v>
      </c>
      <c r="J197" s="20">
        <f>SUM(I197/H197)</f>
        <v>0.37000134643866972</v>
      </c>
      <c r="K197" s="1">
        <v>18754354</v>
      </c>
      <c r="L197" s="1" t="s">
        <v>906</v>
      </c>
      <c r="M197" s="1" t="s">
        <v>38</v>
      </c>
      <c r="N197" s="1" t="s">
        <v>37</v>
      </c>
      <c r="O197" s="3">
        <v>847695066</v>
      </c>
      <c r="P197" s="3">
        <v>2</v>
      </c>
    </row>
    <row r="198" spans="1:16" ht="15.75" x14ac:dyDescent="0.25">
      <c r="A198" s="3">
        <v>34018</v>
      </c>
      <c r="B198" s="1" t="s">
        <v>676</v>
      </c>
      <c r="C198" s="1" t="s">
        <v>926</v>
      </c>
      <c r="D198" s="4">
        <v>45762</v>
      </c>
      <c r="E198" s="4">
        <v>45917</v>
      </c>
      <c r="F198" s="11">
        <f>DATEDIF(D198,E198,"M")</f>
        <v>5</v>
      </c>
      <c r="G198" s="11" t="s">
        <v>921</v>
      </c>
      <c r="H198" s="1">
        <v>145.88999999999999</v>
      </c>
      <c r="I198" s="1">
        <v>53.98</v>
      </c>
      <c r="J198" s="20">
        <f>SUM(I198/H198)</f>
        <v>0.37000479813558163</v>
      </c>
      <c r="K198" s="1">
        <v>5442438</v>
      </c>
      <c r="L198" s="1" t="s">
        <v>897</v>
      </c>
      <c r="M198" s="1" t="s">
        <v>38</v>
      </c>
      <c r="N198" s="1" t="s">
        <v>37</v>
      </c>
      <c r="O198" s="3">
        <v>847815285</v>
      </c>
      <c r="P198" s="3">
        <v>2</v>
      </c>
    </row>
    <row r="199" spans="1:16" ht="15.75" x14ac:dyDescent="0.25">
      <c r="A199" s="13">
        <v>97203</v>
      </c>
      <c r="B199" s="14" t="s">
        <v>739</v>
      </c>
      <c r="C199" s="14" t="s">
        <v>926</v>
      </c>
      <c r="D199" s="15">
        <v>45819</v>
      </c>
      <c r="E199" s="15">
        <v>45915</v>
      </c>
      <c r="F199" s="13">
        <f>DATEDIF(D199,E199,"M")</f>
        <v>3</v>
      </c>
      <c r="G199" s="13" t="s">
        <v>923</v>
      </c>
      <c r="H199" s="14">
        <v>38.54</v>
      </c>
      <c r="I199" s="14">
        <v>14.26</v>
      </c>
      <c r="J199" s="19">
        <f>SUM(I199/H199)</f>
        <v>0.37000518941359628</v>
      </c>
      <c r="K199" s="14">
        <v>17554531</v>
      </c>
      <c r="L199" s="14" t="s">
        <v>913</v>
      </c>
      <c r="M199" s="14" t="s">
        <v>38</v>
      </c>
      <c r="N199" s="14" t="s">
        <v>37</v>
      </c>
      <c r="O199" s="13">
        <v>847855449</v>
      </c>
      <c r="P199" s="13">
        <v>2</v>
      </c>
    </row>
    <row r="200" spans="1:16" ht="15.75" x14ac:dyDescent="0.25">
      <c r="A200" s="3">
        <v>33049</v>
      </c>
      <c r="B200" s="1" t="s">
        <v>798</v>
      </c>
      <c r="C200" s="1" t="s">
        <v>928</v>
      </c>
      <c r="D200" s="4">
        <v>45855</v>
      </c>
      <c r="E200" s="4">
        <v>45919</v>
      </c>
      <c r="F200" s="11">
        <f>DATEDIF(D200,E200,"M")</f>
        <v>2</v>
      </c>
      <c r="G200" s="11" t="s">
        <v>921</v>
      </c>
      <c r="H200" s="1">
        <v>17.27</v>
      </c>
      <c r="I200" s="1">
        <v>6.39</v>
      </c>
      <c r="J200" s="20">
        <f>SUM(I200/H200)</f>
        <v>0.370005790387956</v>
      </c>
      <c r="K200" s="1">
        <v>17528908</v>
      </c>
      <c r="L200" s="1" t="s">
        <v>893</v>
      </c>
      <c r="M200" s="1" t="s">
        <v>38</v>
      </c>
      <c r="N200" s="1" t="s">
        <v>37</v>
      </c>
      <c r="O200" s="3">
        <v>847876943</v>
      </c>
      <c r="P200" s="3">
        <v>2</v>
      </c>
    </row>
    <row r="201" spans="1:16" ht="15.75" x14ac:dyDescent="0.25">
      <c r="A201" s="3">
        <v>32726</v>
      </c>
      <c r="B201" s="1" t="s">
        <v>673</v>
      </c>
      <c r="C201" s="1" t="s">
        <v>926</v>
      </c>
      <c r="D201" s="4">
        <v>45761</v>
      </c>
      <c r="E201" s="4">
        <v>45916</v>
      </c>
      <c r="F201" s="11">
        <f>DATEDIF(D201,E201,"M")</f>
        <v>5</v>
      </c>
      <c r="G201" s="11" t="s">
        <v>921</v>
      </c>
      <c r="H201" s="1">
        <v>17.27</v>
      </c>
      <c r="I201" s="1">
        <v>6.39</v>
      </c>
      <c r="J201" s="20">
        <f>SUM(I201/H201)</f>
        <v>0.370005790387956</v>
      </c>
      <c r="K201" s="1">
        <v>18710070</v>
      </c>
      <c r="L201" s="1" t="s">
        <v>912</v>
      </c>
      <c r="M201" s="1" t="s">
        <v>38</v>
      </c>
      <c r="N201" s="1" t="s">
        <v>37</v>
      </c>
      <c r="O201" s="3">
        <v>847814489</v>
      </c>
      <c r="P201" s="3">
        <v>2</v>
      </c>
    </row>
    <row r="202" spans="1:16" ht="15.75" x14ac:dyDescent="0.25">
      <c r="A202" s="3">
        <v>55988</v>
      </c>
      <c r="B202" s="1" t="s">
        <v>813</v>
      </c>
      <c r="C202" s="1" t="s">
        <v>928</v>
      </c>
      <c r="D202" s="4">
        <v>45880</v>
      </c>
      <c r="E202" s="4">
        <v>45915</v>
      </c>
      <c r="F202" s="11">
        <f>DATEDIF(D202,E202,"M")</f>
        <v>1</v>
      </c>
      <c r="G202" s="11" t="s">
        <v>921</v>
      </c>
      <c r="H202" s="1">
        <v>17.27</v>
      </c>
      <c r="I202" s="1">
        <v>6.39</v>
      </c>
      <c r="J202" s="20">
        <f>SUM(I202/H202)</f>
        <v>0.370005790387956</v>
      </c>
      <c r="K202" s="1">
        <v>18710070</v>
      </c>
      <c r="L202" s="1" t="s">
        <v>912</v>
      </c>
      <c r="M202" s="1" t="s">
        <v>38</v>
      </c>
      <c r="N202" s="1" t="s">
        <v>37</v>
      </c>
      <c r="O202" s="3">
        <v>847890439</v>
      </c>
      <c r="P202" s="3">
        <v>2</v>
      </c>
    </row>
    <row r="203" spans="1:16" ht="15.75" x14ac:dyDescent="0.25">
      <c r="A203" s="3">
        <v>90781</v>
      </c>
      <c r="B203" s="1" t="s">
        <v>868</v>
      </c>
      <c r="C203" s="1" t="s">
        <v>928</v>
      </c>
      <c r="D203" s="4">
        <v>45913</v>
      </c>
      <c r="E203" s="4">
        <v>45915</v>
      </c>
      <c r="F203" s="11">
        <f>DATEDIF(D203,E203,"M")</f>
        <v>0</v>
      </c>
      <c r="G203" s="11" t="s">
        <v>921</v>
      </c>
      <c r="H203" s="1">
        <v>17.27</v>
      </c>
      <c r="I203" s="1">
        <v>6.39</v>
      </c>
      <c r="J203" s="20">
        <f>SUM(I203/H203)</f>
        <v>0.370005790387956</v>
      </c>
      <c r="K203" s="1">
        <v>16212649</v>
      </c>
      <c r="L203" s="1" t="s">
        <v>915</v>
      </c>
      <c r="M203" s="1" t="s">
        <v>38</v>
      </c>
      <c r="N203" s="1" t="s">
        <v>37</v>
      </c>
      <c r="O203" s="3">
        <v>847910928</v>
      </c>
      <c r="P203" s="3">
        <v>2</v>
      </c>
    </row>
    <row r="204" spans="1:16" ht="15.75" x14ac:dyDescent="0.25">
      <c r="A204" s="11">
        <v>9621</v>
      </c>
      <c r="B204" s="16" t="s">
        <v>449</v>
      </c>
      <c r="C204" s="16" t="s">
        <v>926</v>
      </c>
      <c r="D204" s="17">
        <v>45602</v>
      </c>
      <c r="E204" s="17">
        <v>45916</v>
      </c>
      <c r="F204" s="11">
        <f>DATEDIF(D204,E204,"M")</f>
        <v>10</v>
      </c>
      <c r="G204" s="11" t="s">
        <v>921</v>
      </c>
      <c r="H204" s="16">
        <v>-17.27</v>
      </c>
      <c r="I204" s="16">
        <v>-6.39</v>
      </c>
      <c r="J204" s="20">
        <f>SUM(I204/H204)</f>
        <v>0.370005790387956</v>
      </c>
      <c r="K204" s="16">
        <v>8971826</v>
      </c>
      <c r="L204" s="16" t="s">
        <v>886</v>
      </c>
      <c r="M204" s="16" t="s">
        <v>38</v>
      </c>
      <c r="N204" s="16" t="s">
        <v>37</v>
      </c>
      <c r="O204" s="11">
        <v>847690265</v>
      </c>
      <c r="P204" s="11">
        <v>1</v>
      </c>
    </row>
    <row r="205" spans="1:16" ht="15.75" x14ac:dyDescent="0.25">
      <c r="A205" s="11">
        <v>9621</v>
      </c>
      <c r="B205" s="16" t="s">
        <v>449</v>
      </c>
      <c r="C205" s="16" t="s">
        <v>926</v>
      </c>
      <c r="D205" s="17">
        <v>45602</v>
      </c>
      <c r="E205" s="17">
        <v>45916</v>
      </c>
      <c r="F205" s="11">
        <f>DATEDIF(D205,E205,"M")</f>
        <v>10</v>
      </c>
      <c r="G205" s="11" t="s">
        <v>921</v>
      </c>
      <c r="H205" s="16">
        <v>-17.27</v>
      </c>
      <c r="I205" s="16">
        <v>-6.39</v>
      </c>
      <c r="J205" s="20">
        <f>SUM(I205/H205)</f>
        <v>0.370005790387956</v>
      </c>
      <c r="K205" s="16">
        <v>8971826</v>
      </c>
      <c r="L205" s="16" t="s">
        <v>886</v>
      </c>
      <c r="M205" s="16" t="s">
        <v>38</v>
      </c>
      <c r="N205" s="16" t="s">
        <v>37</v>
      </c>
      <c r="O205" s="11">
        <v>847690265</v>
      </c>
      <c r="P205" s="11">
        <v>1</v>
      </c>
    </row>
    <row r="206" spans="1:16" ht="15.75" x14ac:dyDescent="0.25">
      <c r="A206" s="3">
        <v>67119</v>
      </c>
      <c r="B206" s="1" t="s">
        <v>717</v>
      </c>
      <c r="C206" s="1" t="s">
        <v>926</v>
      </c>
      <c r="D206" s="4">
        <v>45790</v>
      </c>
      <c r="E206" s="4">
        <v>45915</v>
      </c>
      <c r="F206" s="11">
        <f>DATEDIF(D206,E206,"M")</f>
        <v>4</v>
      </c>
      <c r="G206" s="11" t="s">
        <v>921</v>
      </c>
      <c r="H206" s="1">
        <v>44.81</v>
      </c>
      <c r="I206" s="1">
        <v>16.579999999999998</v>
      </c>
      <c r="J206" s="20">
        <f>SUM(I206/H206)</f>
        <v>0.37000669493416644</v>
      </c>
      <c r="K206" s="1">
        <v>9079571</v>
      </c>
      <c r="L206" s="1" t="s">
        <v>899</v>
      </c>
      <c r="M206" s="1" t="s">
        <v>38</v>
      </c>
      <c r="N206" s="1" t="s">
        <v>37</v>
      </c>
      <c r="O206" s="3">
        <v>847834820</v>
      </c>
      <c r="P206" s="3">
        <v>2</v>
      </c>
    </row>
    <row r="207" spans="1:16" ht="15.75" x14ac:dyDescent="0.25">
      <c r="A207" s="3">
        <v>65533</v>
      </c>
      <c r="B207" s="1" t="s">
        <v>521</v>
      </c>
      <c r="C207" s="1" t="s">
        <v>926</v>
      </c>
      <c r="D207" s="4">
        <v>45643</v>
      </c>
      <c r="E207" s="4">
        <v>45919</v>
      </c>
      <c r="F207" s="11">
        <f>DATEDIF(D207,E207,"M")</f>
        <v>9</v>
      </c>
      <c r="G207" s="11" t="s">
        <v>921</v>
      </c>
      <c r="H207" s="1">
        <v>44.81</v>
      </c>
      <c r="I207" s="1">
        <v>16.579999999999998</v>
      </c>
      <c r="J207" s="20">
        <f>SUM(I207/H207)</f>
        <v>0.37000669493416644</v>
      </c>
      <c r="K207" s="1">
        <v>19279958</v>
      </c>
      <c r="L207" s="1" t="s">
        <v>909</v>
      </c>
      <c r="M207" s="1" t="s">
        <v>38</v>
      </c>
      <c r="N207" s="1" t="s">
        <v>37</v>
      </c>
      <c r="O207" s="3">
        <v>847719856</v>
      </c>
      <c r="P207" s="3">
        <v>2</v>
      </c>
    </row>
    <row r="208" spans="1:16" ht="15.75" x14ac:dyDescent="0.25">
      <c r="A208" s="11">
        <v>17677</v>
      </c>
      <c r="B208" s="16" t="s">
        <v>479</v>
      </c>
      <c r="C208" s="16" t="s">
        <v>926</v>
      </c>
      <c r="D208" s="17">
        <v>45608</v>
      </c>
      <c r="E208" s="17">
        <v>45915</v>
      </c>
      <c r="F208" s="11">
        <f>DATEDIF(D208,E208,"M")</f>
        <v>10</v>
      </c>
      <c r="G208" s="11" t="s">
        <v>921</v>
      </c>
      <c r="H208" s="16">
        <v>42.35</v>
      </c>
      <c r="I208" s="16">
        <v>15.67</v>
      </c>
      <c r="J208" s="20">
        <f>SUM(I208/H208)</f>
        <v>0.37001180637544273</v>
      </c>
      <c r="K208" s="16">
        <v>9079571</v>
      </c>
      <c r="L208" s="16" t="s">
        <v>899</v>
      </c>
      <c r="M208" s="16" t="s">
        <v>38</v>
      </c>
      <c r="N208" s="16" t="s">
        <v>37</v>
      </c>
      <c r="O208" s="11">
        <v>847694565</v>
      </c>
      <c r="P208" s="11">
        <v>2</v>
      </c>
    </row>
    <row r="209" spans="1:16" ht="15.75" x14ac:dyDescent="0.25">
      <c r="A209" s="11">
        <v>20851</v>
      </c>
      <c r="B209" s="16" t="s">
        <v>496</v>
      </c>
      <c r="C209" s="16" t="s">
        <v>926</v>
      </c>
      <c r="D209" s="17">
        <v>45609</v>
      </c>
      <c r="E209" s="17">
        <v>45915</v>
      </c>
      <c r="F209" s="11">
        <f>DATEDIF(D209,E209,"M")</f>
        <v>10</v>
      </c>
      <c r="G209" s="11" t="s">
        <v>921</v>
      </c>
      <c r="H209" s="16">
        <v>42.35</v>
      </c>
      <c r="I209" s="16">
        <v>15.67</v>
      </c>
      <c r="J209" s="20">
        <f>SUM(I209/H209)</f>
        <v>0.37001180637544273</v>
      </c>
      <c r="K209" s="16">
        <v>9079571</v>
      </c>
      <c r="L209" s="16" t="s">
        <v>899</v>
      </c>
      <c r="M209" s="16" t="s">
        <v>38</v>
      </c>
      <c r="N209" s="16" t="s">
        <v>37</v>
      </c>
      <c r="O209" s="11">
        <v>847696298</v>
      </c>
      <c r="P209" s="11">
        <v>2</v>
      </c>
    </row>
    <row r="210" spans="1:16" ht="15.75" x14ac:dyDescent="0.25">
      <c r="A210" s="3">
        <v>84359</v>
      </c>
      <c r="B210" s="1" t="s">
        <v>626</v>
      </c>
      <c r="C210" s="1" t="s">
        <v>926</v>
      </c>
      <c r="D210" s="4">
        <v>45722</v>
      </c>
      <c r="E210" s="4">
        <v>45915</v>
      </c>
      <c r="F210" s="11">
        <f>DATEDIF(D210,E210,"M")</f>
        <v>6</v>
      </c>
      <c r="G210" s="11" t="s">
        <v>921</v>
      </c>
      <c r="H210" s="1">
        <v>-42.35</v>
      </c>
      <c r="I210" s="1">
        <v>-15.67</v>
      </c>
      <c r="J210" s="20">
        <f>SUM(I210/H210)</f>
        <v>0.37001180637544273</v>
      </c>
      <c r="K210" s="1">
        <v>9079571</v>
      </c>
      <c r="L210" s="1" t="s">
        <v>899</v>
      </c>
      <c r="M210" s="1" t="s">
        <v>38</v>
      </c>
      <c r="N210" s="1" t="s">
        <v>37</v>
      </c>
      <c r="O210" s="3">
        <v>847787002</v>
      </c>
      <c r="P210" s="3">
        <v>2</v>
      </c>
    </row>
    <row r="211" spans="1:16" ht="15.75" x14ac:dyDescent="0.25">
      <c r="A211" s="3">
        <v>88370</v>
      </c>
      <c r="B211" s="1" t="s">
        <v>856</v>
      </c>
      <c r="C211" s="1" t="s">
        <v>928</v>
      </c>
      <c r="D211" s="4">
        <v>45911</v>
      </c>
      <c r="E211" s="4">
        <v>45915</v>
      </c>
      <c r="F211" s="11">
        <f>DATEDIF(D211,E211,"M")</f>
        <v>0</v>
      </c>
      <c r="G211" s="11" t="s">
        <v>921</v>
      </c>
      <c r="H211" s="1">
        <v>42.35</v>
      </c>
      <c r="I211" s="1">
        <v>15.67</v>
      </c>
      <c r="J211" s="20">
        <f>SUM(I211/H211)</f>
        <v>0.37001180637544273</v>
      </c>
      <c r="K211" s="1">
        <v>9079571</v>
      </c>
      <c r="L211" s="1" t="s">
        <v>899</v>
      </c>
      <c r="M211" s="1" t="s">
        <v>38</v>
      </c>
      <c r="N211" s="1" t="s">
        <v>37</v>
      </c>
      <c r="O211" s="3">
        <v>847909464</v>
      </c>
      <c r="P211" s="3">
        <v>2</v>
      </c>
    </row>
    <row r="212" spans="1:16" ht="15.75" x14ac:dyDescent="0.25">
      <c r="A212" s="3">
        <v>31363</v>
      </c>
      <c r="B212" s="1" t="s">
        <v>670</v>
      </c>
      <c r="C212" s="1" t="s">
        <v>926</v>
      </c>
      <c r="D212" s="4">
        <v>45758</v>
      </c>
      <c r="E212" s="4">
        <v>45915</v>
      </c>
      <c r="F212" s="11">
        <f>DATEDIF(D212,E212,"M")</f>
        <v>5</v>
      </c>
      <c r="G212" s="11" t="s">
        <v>921</v>
      </c>
      <c r="H212" s="1">
        <v>42.35</v>
      </c>
      <c r="I212" s="1">
        <v>15.67</v>
      </c>
      <c r="J212" s="20">
        <f>SUM(I212/H212)</f>
        <v>0.37001180637544273</v>
      </c>
      <c r="K212" s="1">
        <v>17195620</v>
      </c>
      <c r="L212" s="1" t="s">
        <v>911</v>
      </c>
      <c r="M212" s="1" t="s">
        <v>38</v>
      </c>
      <c r="N212" s="1" t="s">
        <v>37</v>
      </c>
      <c r="O212" s="3">
        <v>847813695</v>
      </c>
      <c r="P212" s="3">
        <v>2</v>
      </c>
    </row>
    <row r="213" spans="1:16" ht="15.75" x14ac:dyDescent="0.25">
      <c r="A213" s="3">
        <v>74883</v>
      </c>
      <c r="B213" s="1" t="s">
        <v>402</v>
      </c>
      <c r="C213" s="1" t="s">
        <v>926</v>
      </c>
      <c r="D213" s="4">
        <v>45573</v>
      </c>
      <c r="E213" s="4">
        <v>45915</v>
      </c>
      <c r="F213" s="11">
        <f>DATEDIF(D213,E213,"M")</f>
        <v>11</v>
      </c>
      <c r="G213" s="11" t="s">
        <v>921</v>
      </c>
      <c r="H213" s="1">
        <v>-42.35</v>
      </c>
      <c r="I213" s="1">
        <v>-15.67</v>
      </c>
      <c r="J213" s="20">
        <f>SUM(I213/H213)</f>
        <v>0.37001180637544273</v>
      </c>
      <c r="K213" s="1">
        <v>5442438</v>
      </c>
      <c r="L213" s="1" t="s">
        <v>897</v>
      </c>
      <c r="M213" s="1" t="s">
        <v>38</v>
      </c>
      <c r="N213" s="1" t="s">
        <v>37</v>
      </c>
      <c r="O213" s="3">
        <v>847672372</v>
      </c>
      <c r="P213" s="3">
        <v>2</v>
      </c>
    </row>
    <row r="214" spans="1:16" ht="15.75" x14ac:dyDescent="0.25">
      <c r="A214" s="3">
        <v>91963</v>
      </c>
      <c r="B214" s="1" t="s">
        <v>631</v>
      </c>
      <c r="C214" s="1" t="s">
        <v>926</v>
      </c>
      <c r="D214" s="4">
        <v>45728</v>
      </c>
      <c r="E214" s="4">
        <v>45915</v>
      </c>
      <c r="F214" s="11">
        <f>DATEDIF(D214,E214,"M")</f>
        <v>6</v>
      </c>
      <c r="G214" s="11" t="s">
        <v>921</v>
      </c>
      <c r="H214" s="1">
        <v>42.35</v>
      </c>
      <c r="I214" s="1">
        <v>15.67</v>
      </c>
      <c r="J214" s="20">
        <f>SUM(I214/H214)</f>
        <v>0.37001180637544273</v>
      </c>
      <c r="K214" s="1">
        <v>5442438</v>
      </c>
      <c r="L214" s="1" t="s">
        <v>897</v>
      </c>
      <c r="M214" s="1" t="s">
        <v>38</v>
      </c>
      <c r="N214" s="1" t="s">
        <v>37</v>
      </c>
      <c r="O214" s="3">
        <v>847791251</v>
      </c>
      <c r="P214" s="3">
        <v>2</v>
      </c>
    </row>
    <row r="215" spans="1:16" ht="15.75" x14ac:dyDescent="0.25">
      <c r="A215" s="3">
        <v>2493</v>
      </c>
      <c r="B215" s="1" t="s">
        <v>766</v>
      </c>
      <c r="C215" s="1" t="s">
        <v>926</v>
      </c>
      <c r="D215" s="4">
        <v>45825</v>
      </c>
      <c r="E215" s="4">
        <v>45919</v>
      </c>
      <c r="F215" s="11">
        <f>DATEDIF(D215,E215,"M")</f>
        <v>3</v>
      </c>
      <c r="G215" s="11" t="s">
        <v>921</v>
      </c>
      <c r="H215" s="1">
        <v>42.35</v>
      </c>
      <c r="I215" s="1">
        <v>15.67</v>
      </c>
      <c r="J215" s="20">
        <f>SUM(I215/H215)</f>
        <v>0.37001180637544273</v>
      </c>
      <c r="K215" s="1">
        <v>5442438</v>
      </c>
      <c r="L215" s="1" t="s">
        <v>897</v>
      </c>
      <c r="M215" s="1" t="s">
        <v>38</v>
      </c>
      <c r="N215" s="1" t="s">
        <v>37</v>
      </c>
      <c r="O215" s="3">
        <v>847858255</v>
      </c>
      <c r="P215" s="3">
        <v>2</v>
      </c>
    </row>
    <row r="216" spans="1:16" ht="15.75" x14ac:dyDescent="0.25">
      <c r="A216" s="3">
        <v>90471</v>
      </c>
      <c r="B216" s="1" t="s">
        <v>865</v>
      </c>
      <c r="C216" s="1" t="s">
        <v>928</v>
      </c>
      <c r="D216" s="4">
        <v>45931</v>
      </c>
      <c r="E216" s="4">
        <v>45931</v>
      </c>
      <c r="F216" s="11">
        <f>DATEDIF(D216,E216,"M")</f>
        <v>0</v>
      </c>
      <c r="G216" s="11" t="s">
        <v>921</v>
      </c>
      <c r="H216" s="1">
        <v>-42.35</v>
      </c>
      <c r="I216" s="1">
        <v>-15.67</v>
      </c>
      <c r="J216" s="20">
        <f>SUM(I216/H216)</f>
        <v>0.37001180637544273</v>
      </c>
      <c r="K216" s="1">
        <v>5442438</v>
      </c>
      <c r="L216" s="1" t="s">
        <v>897</v>
      </c>
      <c r="M216" s="1" t="s">
        <v>38</v>
      </c>
      <c r="N216" s="1" t="s">
        <v>37</v>
      </c>
      <c r="O216" s="3">
        <v>847910731</v>
      </c>
      <c r="P216" s="3">
        <v>2</v>
      </c>
    </row>
    <row r="217" spans="1:16" ht="15.75" x14ac:dyDescent="0.25">
      <c r="A217" s="3">
        <v>67007</v>
      </c>
      <c r="B217" s="1" t="s">
        <v>714</v>
      </c>
      <c r="C217" s="1" t="s">
        <v>926</v>
      </c>
      <c r="D217" s="4">
        <v>45790</v>
      </c>
      <c r="E217" s="4">
        <v>45915</v>
      </c>
      <c r="F217" s="11">
        <f>DATEDIF(D217,E217,"M")</f>
        <v>4</v>
      </c>
      <c r="G217" s="11" t="s">
        <v>921</v>
      </c>
      <c r="H217" s="1">
        <v>51.24</v>
      </c>
      <c r="I217" s="1">
        <v>18.96</v>
      </c>
      <c r="J217" s="20">
        <f>SUM(I217/H217)</f>
        <v>0.37002341920374709</v>
      </c>
      <c r="K217" s="1">
        <v>9079571</v>
      </c>
      <c r="L217" s="1" t="s">
        <v>899</v>
      </c>
      <c r="M217" s="1" t="s">
        <v>38</v>
      </c>
      <c r="N217" s="1" t="s">
        <v>37</v>
      </c>
      <c r="O217" s="3">
        <v>847834755</v>
      </c>
      <c r="P217" s="3">
        <v>2</v>
      </c>
    </row>
    <row r="218" spans="1:16" ht="15.75" x14ac:dyDescent="0.25">
      <c r="A218" s="3">
        <v>1173</v>
      </c>
      <c r="B218" s="1" t="s">
        <v>759</v>
      </c>
      <c r="C218" s="1" t="s">
        <v>926</v>
      </c>
      <c r="D218" s="4">
        <v>45822</v>
      </c>
      <c r="E218" s="4">
        <v>45916</v>
      </c>
      <c r="F218" s="11">
        <f>DATEDIF(D218,E218,"M")</f>
        <v>3</v>
      </c>
      <c r="G218" s="11" t="s">
        <v>921</v>
      </c>
      <c r="H218" s="1">
        <v>138.53</v>
      </c>
      <c r="I218" s="1">
        <v>51.26</v>
      </c>
      <c r="J218" s="20">
        <f>SUM(I218/H218)</f>
        <v>0.37002815274669743</v>
      </c>
      <c r="K218" s="1">
        <v>5442438</v>
      </c>
      <c r="L218" s="1" t="s">
        <v>897</v>
      </c>
      <c r="M218" s="1" t="s">
        <v>38</v>
      </c>
      <c r="N218" s="1" t="s">
        <v>37</v>
      </c>
      <c r="O218" s="3">
        <v>847857499</v>
      </c>
      <c r="P218" s="3">
        <v>2</v>
      </c>
    </row>
    <row r="219" spans="1:16" ht="15.75" x14ac:dyDescent="0.25">
      <c r="A219" s="11">
        <v>23054</v>
      </c>
      <c r="B219" s="16" t="s">
        <v>499</v>
      </c>
      <c r="C219" s="16" t="s">
        <v>926</v>
      </c>
      <c r="D219" s="17">
        <v>45611</v>
      </c>
      <c r="E219" s="17">
        <v>45917</v>
      </c>
      <c r="F219" s="11">
        <f>DATEDIF(D219,E219,"M")</f>
        <v>10</v>
      </c>
      <c r="G219" s="11" t="s">
        <v>921</v>
      </c>
      <c r="H219" s="16">
        <v>33.700000000000003</v>
      </c>
      <c r="I219" s="16">
        <v>12.47</v>
      </c>
      <c r="J219" s="20">
        <f>SUM(I219/H219)</f>
        <v>0.37002967359050443</v>
      </c>
      <c r="K219" s="16">
        <v>16202925</v>
      </c>
      <c r="L219" s="16" t="s">
        <v>910</v>
      </c>
      <c r="M219" s="16" t="s">
        <v>38</v>
      </c>
      <c r="N219" s="16" t="s">
        <v>37</v>
      </c>
      <c r="O219" s="11">
        <v>847697503</v>
      </c>
      <c r="P219" s="11">
        <v>2</v>
      </c>
    </row>
    <row r="220" spans="1:16" ht="15.75" x14ac:dyDescent="0.25">
      <c r="A220" s="3">
        <v>93166</v>
      </c>
      <c r="B220" s="1" t="s">
        <v>640</v>
      </c>
      <c r="C220" s="1" t="s">
        <v>926</v>
      </c>
      <c r="D220" s="4">
        <v>45729</v>
      </c>
      <c r="E220" s="4">
        <v>45915</v>
      </c>
      <c r="F220" s="11">
        <f>DATEDIF(D220,E220,"M")</f>
        <v>6</v>
      </c>
      <c r="G220" s="11" t="s">
        <v>921</v>
      </c>
      <c r="H220" s="1">
        <v>46.59</v>
      </c>
      <c r="I220" s="1">
        <v>17.239999999999998</v>
      </c>
      <c r="J220" s="20">
        <f>SUM(I220/H220)</f>
        <v>0.37003648851684906</v>
      </c>
      <c r="K220" s="1">
        <v>9079571</v>
      </c>
      <c r="L220" s="1" t="s">
        <v>899</v>
      </c>
      <c r="M220" s="1" t="s">
        <v>38</v>
      </c>
      <c r="N220" s="1" t="s">
        <v>37</v>
      </c>
      <c r="O220" s="3">
        <v>847791909</v>
      </c>
      <c r="P220" s="3">
        <v>2</v>
      </c>
    </row>
    <row r="221" spans="1:16" ht="15.75" x14ac:dyDescent="0.25">
      <c r="A221" s="13">
        <v>69191</v>
      </c>
      <c r="B221" s="14" t="s">
        <v>720</v>
      </c>
      <c r="C221" s="14" t="s">
        <v>926</v>
      </c>
      <c r="D221" s="15">
        <v>45792</v>
      </c>
      <c r="E221" s="15">
        <v>45917</v>
      </c>
      <c r="F221" s="13">
        <f>DATEDIF(D221,E221,"M")</f>
        <v>4</v>
      </c>
      <c r="G221" s="13" t="s">
        <v>923</v>
      </c>
      <c r="H221" s="14">
        <v>46.59</v>
      </c>
      <c r="I221" s="14">
        <v>17.239999999999998</v>
      </c>
      <c r="J221" s="19">
        <f>SUM(I221/H221)</f>
        <v>0.37003648851684906</v>
      </c>
      <c r="K221" s="14">
        <v>17554531</v>
      </c>
      <c r="L221" s="14" t="s">
        <v>913</v>
      </c>
      <c r="M221" s="14" t="s">
        <v>38</v>
      </c>
      <c r="N221" s="14" t="s">
        <v>37</v>
      </c>
      <c r="O221" s="13">
        <v>847836029</v>
      </c>
      <c r="P221" s="13">
        <v>2</v>
      </c>
    </row>
    <row r="222" spans="1:16" ht="15.75" x14ac:dyDescent="0.25">
      <c r="A222" s="13">
        <v>69648</v>
      </c>
      <c r="B222" s="14" t="s">
        <v>725</v>
      </c>
      <c r="C222" s="14" t="s">
        <v>926</v>
      </c>
      <c r="D222" s="15">
        <v>45792</v>
      </c>
      <c r="E222" s="15">
        <v>45917</v>
      </c>
      <c r="F222" s="13">
        <f>DATEDIF(D222,E222,"M")</f>
        <v>4</v>
      </c>
      <c r="G222" s="13" t="s">
        <v>923</v>
      </c>
      <c r="H222" s="14">
        <v>46.59</v>
      </c>
      <c r="I222" s="14">
        <v>17.239999999999998</v>
      </c>
      <c r="J222" s="19">
        <f>SUM(I222/H222)</f>
        <v>0.37003648851684906</v>
      </c>
      <c r="K222" s="14">
        <v>17554531</v>
      </c>
      <c r="L222" s="14" t="s">
        <v>913</v>
      </c>
      <c r="M222" s="14" t="s">
        <v>38</v>
      </c>
      <c r="N222" s="14" t="s">
        <v>37</v>
      </c>
      <c r="O222" s="13">
        <v>847836300</v>
      </c>
      <c r="P222" s="13">
        <v>2</v>
      </c>
    </row>
    <row r="223" spans="1:16" ht="15.75" x14ac:dyDescent="0.25">
      <c r="A223" s="3">
        <v>19372</v>
      </c>
      <c r="B223" s="1" t="s">
        <v>602</v>
      </c>
      <c r="C223" s="1" t="s">
        <v>926</v>
      </c>
      <c r="D223" s="4">
        <v>45689</v>
      </c>
      <c r="E223" s="4">
        <v>45916</v>
      </c>
      <c r="F223" s="11">
        <f>DATEDIF(D223,E223,"M")</f>
        <v>7</v>
      </c>
      <c r="G223" s="11" t="s">
        <v>921</v>
      </c>
      <c r="H223" s="1">
        <v>-46.59</v>
      </c>
      <c r="I223" s="1">
        <v>-17.239999999999998</v>
      </c>
      <c r="J223" s="20">
        <f>SUM(I223/H223)</f>
        <v>0.37003648851684906</v>
      </c>
      <c r="K223" s="1">
        <v>5442438</v>
      </c>
      <c r="L223" s="1" t="s">
        <v>897</v>
      </c>
      <c r="M223" s="1" t="s">
        <v>38</v>
      </c>
      <c r="N223" s="1" t="s">
        <v>37</v>
      </c>
      <c r="O223" s="3">
        <v>847750974</v>
      </c>
      <c r="P223" s="3">
        <v>1</v>
      </c>
    </row>
    <row r="224" spans="1:16" ht="15.75" x14ac:dyDescent="0.25">
      <c r="A224" s="3">
        <v>19372</v>
      </c>
      <c r="B224" s="1" t="s">
        <v>602</v>
      </c>
      <c r="C224" s="1" t="s">
        <v>926</v>
      </c>
      <c r="D224" s="4">
        <v>45689</v>
      </c>
      <c r="E224" s="4">
        <v>45916</v>
      </c>
      <c r="F224" s="11">
        <f>DATEDIF(D224,E224,"M")</f>
        <v>7</v>
      </c>
      <c r="G224" s="11" t="s">
        <v>921</v>
      </c>
      <c r="H224" s="1">
        <v>-46.59</v>
      </c>
      <c r="I224" s="1">
        <v>-17.239999999999998</v>
      </c>
      <c r="J224" s="20">
        <f>SUM(I224/H224)</f>
        <v>0.37003648851684906</v>
      </c>
      <c r="K224" s="1">
        <v>5442438</v>
      </c>
      <c r="L224" s="1" t="s">
        <v>897</v>
      </c>
      <c r="M224" s="1" t="s">
        <v>38</v>
      </c>
      <c r="N224" s="1" t="s">
        <v>37</v>
      </c>
      <c r="O224" s="3">
        <v>847750974</v>
      </c>
      <c r="P224" s="3">
        <v>1</v>
      </c>
    </row>
    <row r="225" spans="1:16" ht="15.75" x14ac:dyDescent="0.25">
      <c r="A225" s="3">
        <v>27418</v>
      </c>
      <c r="B225" s="1" t="s">
        <v>769</v>
      </c>
      <c r="C225" s="1" t="s">
        <v>926</v>
      </c>
      <c r="D225" s="4">
        <v>45849</v>
      </c>
      <c r="E225" s="4">
        <v>45915</v>
      </c>
      <c r="F225" s="11">
        <f>DATEDIF(D225,E225,"M")</f>
        <v>2</v>
      </c>
      <c r="G225" s="11" t="s">
        <v>921</v>
      </c>
      <c r="H225" s="1">
        <v>46.59</v>
      </c>
      <c r="I225" s="1">
        <v>17.239999999999998</v>
      </c>
      <c r="J225" s="20">
        <f>SUM(I225/H225)</f>
        <v>0.37003648851684906</v>
      </c>
      <c r="K225" s="1">
        <v>5442438</v>
      </c>
      <c r="L225" s="1" t="s">
        <v>897</v>
      </c>
      <c r="M225" s="1" t="s">
        <v>38</v>
      </c>
      <c r="N225" s="1" t="s">
        <v>37</v>
      </c>
      <c r="O225" s="3">
        <v>847873620</v>
      </c>
      <c r="P225" s="3">
        <v>2</v>
      </c>
    </row>
    <row r="226" spans="1:16" ht="15.75" x14ac:dyDescent="0.25">
      <c r="A226" s="13">
        <v>61719</v>
      </c>
      <c r="B226" s="14" t="s">
        <v>835</v>
      </c>
      <c r="C226" s="14" t="s">
        <v>928</v>
      </c>
      <c r="D226" s="15">
        <v>45882</v>
      </c>
      <c r="E226" s="15">
        <v>45915</v>
      </c>
      <c r="F226" s="13">
        <f>DATEDIF(D226,E226,"M")</f>
        <v>1</v>
      </c>
      <c r="G226" s="13" t="s">
        <v>923</v>
      </c>
      <c r="H226" s="14">
        <v>46.59</v>
      </c>
      <c r="I226" s="14">
        <v>17.239999999999998</v>
      </c>
      <c r="J226" s="19">
        <f>SUM(I226/H226)</f>
        <v>0.37003648851684906</v>
      </c>
      <c r="K226" s="14">
        <v>16202925</v>
      </c>
      <c r="L226" s="14" t="s">
        <v>910</v>
      </c>
      <c r="M226" s="14" t="s">
        <v>38</v>
      </c>
      <c r="N226" s="14" t="s">
        <v>37</v>
      </c>
      <c r="O226" s="13">
        <v>847893862</v>
      </c>
      <c r="P226" s="13">
        <v>2</v>
      </c>
    </row>
    <row r="227" spans="1:16" ht="15.75" x14ac:dyDescent="0.25">
      <c r="A227" s="11">
        <v>71894</v>
      </c>
      <c r="B227" s="16" t="s">
        <v>554</v>
      </c>
      <c r="C227" s="16" t="s">
        <v>926</v>
      </c>
      <c r="D227" s="17">
        <v>45639</v>
      </c>
      <c r="E227" s="17">
        <v>45915</v>
      </c>
      <c r="F227" s="11">
        <f>DATEDIF(D227,E227,"M")</f>
        <v>9</v>
      </c>
      <c r="G227" s="11" t="s">
        <v>921</v>
      </c>
      <c r="H227" s="16">
        <v>21.16</v>
      </c>
      <c r="I227" s="16">
        <v>7.83</v>
      </c>
      <c r="J227" s="20">
        <f>SUM(I227/H227)</f>
        <v>0.37003780718336482</v>
      </c>
      <c r="K227" s="16">
        <v>17425766</v>
      </c>
      <c r="L227" s="16" t="s">
        <v>907</v>
      </c>
      <c r="M227" s="16" t="s">
        <v>38</v>
      </c>
      <c r="N227" s="16" t="s">
        <v>37</v>
      </c>
      <c r="O227" s="11">
        <v>847723600</v>
      </c>
      <c r="P227" s="11">
        <v>2</v>
      </c>
    </row>
    <row r="228" spans="1:16" ht="15.75" x14ac:dyDescent="0.25">
      <c r="A228" s="11">
        <v>71141</v>
      </c>
      <c r="B228" s="16" t="s">
        <v>540</v>
      </c>
      <c r="C228" s="16" t="s">
        <v>926</v>
      </c>
      <c r="D228" s="17">
        <v>45638</v>
      </c>
      <c r="E228" s="17">
        <v>45915</v>
      </c>
      <c r="F228" s="11">
        <f>DATEDIF(D228,E228,"M")</f>
        <v>9</v>
      </c>
      <c r="G228" s="11" t="s">
        <v>921</v>
      </c>
      <c r="H228" s="16">
        <v>67.8</v>
      </c>
      <c r="I228" s="16">
        <v>25.09</v>
      </c>
      <c r="J228" s="20">
        <f>SUM(I228/H228)</f>
        <v>0.3700589970501475</v>
      </c>
      <c r="K228" s="16">
        <v>7146581</v>
      </c>
      <c r="L228" s="16" t="s">
        <v>892</v>
      </c>
      <c r="M228" s="16" t="s">
        <v>38</v>
      </c>
      <c r="N228" s="16" t="s">
        <v>37</v>
      </c>
      <c r="O228" s="11">
        <v>847723178</v>
      </c>
      <c r="P228" s="11">
        <v>2</v>
      </c>
    </row>
    <row r="229" spans="1:16" ht="15.75" x14ac:dyDescent="0.25">
      <c r="A229" s="3">
        <v>46243</v>
      </c>
      <c r="B229" s="1" t="s">
        <v>696</v>
      </c>
      <c r="C229" s="1" t="s">
        <v>926</v>
      </c>
      <c r="D229" s="4">
        <v>45792</v>
      </c>
      <c r="E229" s="4">
        <v>45917</v>
      </c>
      <c r="F229" s="11">
        <f>DATEDIF(D229,E229,"M")</f>
        <v>4</v>
      </c>
      <c r="G229" s="11" t="s">
        <v>921</v>
      </c>
      <c r="H229" s="1">
        <v>45.29</v>
      </c>
      <c r="I229" s="1">
        <v>16.760000000000002</v>
      </c>
      <c r="J229" s="20">
        <f>SUM(I229/H229)</f>
        <v>0.37005961580922947</v>
      </c>
      <c r="K229" s="1">
        <v>9213293</v>
      </c>
      <c r="L229" s="1" t="s">
        <v>914</v>
      </c>
      <c r="M229" s="1" t="s">
        <v>38</v>
      </c>
      <c r="N229" s="1" t="s">
        <v>37</v>
      </c>
      <c r="O229" s="3">
        <v>847822480</v>
      </c>
      <c r="P229" s="3">
        <v>2</v>
      </c>
    </row>
    <row r="230" spans="1:16" ht="15.75" x14ac:dyDescent="0.25">
      <c r="A230" s="3">
        <v>61659</v>
      </c>
      <c r="B230" s="1" t="s">
        <v>832</v>
      </c>
      <c r="C230" s="1" t="s">
        <v>928</v>
      </c>
      <c r="D230" s="4">
        <v>45882</v>
      </c>
      <c r="E230" s="4">
        <v>45915</v>
      </c>
      <c r="F230" s="11">
        <f>DATEDIF(D230,E230,"M")</f>
        <v>1</v>
      </c>
      <c r="G230" s="11" t="s">
        <v>921</v>
      </c>
      <c r="H230" s="1">
        <v>43.56</v>
      </c>
      <c r="I230" s="1">
        <v>16.12</v>
      </c>
      <c r="J230" s="20">
        <f>SUM(I230/H230)</f>
        <v>0.37006427915518825</v>
      </c>
      <c r="K230" s="1">
        <v>19279958</v>
      </c>
      <c r="L230" s="1" t="s">
        <v>909</v>
      </c>
      <c r="M230" s="1" t="s">
        <v>38</v>
      </c>
      <c r="N230" s="1" t="s">
        <v>37</v>
      </c>
      <c r="O230" s="3">
        <v>847893830</v>
      </c>
      <c r="P230" s="3">
        <v>2</v>
      </c>
    </row>
    <row r="231" spans="1:16" ht="15.75" x14ac:dyDescent="0.25">
      <c r="A231" s="13">
        <v>92761</v>
      </c>
      <c r="B231" s="14" t="s">
        <v>635</v>
      </c>
      <c r="C231" s="14" t="s">
        <v>926</v>
      </c>
      <c r="D231" s="15">
        <v>45729</v>
      </c>
      <c r="E231" s="15">
        <v>45915</v>
      </c>
      <c r="F231" s="13">
        <f>DATEDIF(D231,E231,"M")</f>
        <v>6</v>
      </c>
      <c r="G231" s="13" t="s">
        <v>923</v>
      </c>
      <c r="H231" s="14">
        <v>36.29</v>
      </c>
      <c r="I231" s="14">
        <v>13.43</v>
      </c>
      <c r="J231" s="19">
        <f>SUM(I231/H231)</f>
        <v>0.37007440066133923</v>
      </c>
      <c r="K231" s="14">
        <v>9254978</v>
      </c>
      <c r="L231" s="14" t="s">
        <v>896</v>
      </c>
      <c r="M231" s="14" t="s">
        <v>38</v>
      </c>
      <c r="N231" s="14" t="s">
        <v>37</v>
      </c>
      <c r="O231" s="13">
        <v>847791695</v>
      </c>
      <c r="P231" s="13">
        <v>2</v>
      </c>
    </row>
    <row r="232" spans="1:16" ht="15.75" x14ac:dyDescent="0.25">
      <c r="A232" s="3">
        <v>82836</v>
      </c>
      <c r="B232" s="1" t="s">
        <v>422</v>
      </c>
      <c r="C232" s="1" t="s">
        <v>926</v>
      </c>
      <c r="D232" s="4">
        <v>45581</v>
      </c>
      <c r="E232" s="4">
        <v>45916</v>
      </c>
      <c r="F232" s="11">
        <f>DATEDIF(D232,E232,"M")</f>
        <v>11</v>
      </c>
      <c r="G232" s="11" t="s">
        <v>921</v>
      </c>
      <c r="H232" s="1">
        <v>-36.29</v>
      </c>
      <c r="I232" s="1">
        <v>-13.43</v>
      </c>
      <c r="J232" s="20">
        <f>SUM(I232/H232)</f>
        <v>0.37007440066133923</v>
      </c>
      <c r="K232" s="1">
        <v>17528908</v>
      </c>
      <c r="L232" s="1" t="s">
        <v>893</v>
      </c>
      <c r="M232" s="1" t="s">
        <v>38</v>
      </c>
      <c r="N232" s="1" t="s">
        <v>37</v>
      </c>
      <c r="O232" s="3">
        <v>847676587</v>
      </c>
      <c r="P232" s="3">
        <v>1</v>
      </c>
    </row>
    <row r="233" spans="1:16" ht="15.75" x14ac:dyDescent="0.25">
      <c r="A233" s="3">
        <v>6046</v>
      </c>
      <c r="B233" s="1" t="s">
        <v>439</v>
      </c>
      <c r="C233" s="1" t="s">
        <v>926</v>
      </c>
      <c r="D233" s="4">
        <v>45601</v>
      </c>
      <c r="E233" s="4">
        <v>45916</v>
      </c>
      <c r="F233" s="11">
        <f>DATEDIF(D233,E233,"M")</f>
        <v>10</v>
      </c>
      <c r="G233" s="11" t="s">
        <v>921</v>
      </c>
      <c r="H233" s="1">
        <v>-36.29</v>
      </c>
      <c r="I233" s="1">
        <v>-13.43</v>
      </c>
      <c r="J233" s="20">
        <f>SUM(I233/H233)</f>
        <v>0.37007440066133923</v>
      </c>
      <c r="K233" s="1">
        <v>17528908</v>
      </c>
      <c r="L233" s="1" t="s">
        <v>893</v>
      </c>
      <c r="M233" s="1" t="s">
        <v>38</v>
      </c>
      <c r="N233" s="1" t="s">
        <v>37</v>
      </c>
      <c r="O233" s="3">
        <v>847688328</v>
      </c>
      <c r="P233" s="3">
        <v>1</v>
      </c>
    </row>
    <row r="234" spans="1:16" ht="15.75" x14ac:dyDescent="0.25">
      <c r="A234" s="3">
        <v>6046</v>
      </c>
      <c r="B234" s="1" t="s">
        <v>439</v>
      </c>
      <c r="C234" s="1" t="s">
        <v>926</v>
      </c>
      <c r="D234" s="4">
        <v>45601</v>
      </c>
      <c r="E234" s="4">
        <v>45916</v>
      </c>
      <c r="F234" s="11">
        <f>DATEDIF(D234,E234,"M")</f>
        <v>10</v>
      </c>
      <c r="G234" s="11" t="s">
        <v>921</v>
      </c>
      <c r="H234" s="1">
        <v>-36.29</v>
      </c>
      <c r="I234" s="1">
        <v>-13.43</v>
      </c>
      <c r="J234" s="20">
        <f>SUM(I234/H234)</f>
        <v>0.37007440066133923</v>
      </c>
      <c r="K234" s="1">
        <v>17528908</v>
      </c>
      <c r="L234" s="1" t="s">
        <v>893</v>
      </c>
      <c r="M234" s="1" t="s">
        <v>38</v>
      </c>
      <c r="N234" s="1" t="s">
        <v>37</v>
      </c>
      <c r="O234" s="3">
        <v>847688328</v>
      </c>
      <c r="P234" s="3">
        <v>1</v>
      </c>
    </row>
    <row r="235" spans="1:16" ht="15.75" x14ac:dyDescent="0.25">
      <c r="A235" s="3">
        <v>19851</v>
      </c>
      <c r="B235" s="1" t="s">
        <v>491</v>
      </c>
      <c r="C235" s="1" t="s">
        <v>926</v>
      </c>
      <c r="D235" s="4">
        <v>45609</v>
      </c>
      <c r="E235" s="4">
        <v>45915</v>
      </c>
      <c r="F235" s="11">
        <f>DATEDIF(D235,E235,"M")</f>
        <v>10</v>
      </c>
      <c r="G235" s="11" t="s">
        <v>921</v>
      </c>
      <c r="H235" s="1">
        <v>36.29</v>
      </c>
      <c r="I235" s="1">
        <v>13.43</v>
      </c>
      <c r="J235" s="20">
        <f>SUM(I235/H235)</f>
        <v>0.37007440066133923</v>
      </c>
      <c r="K235" s="1">
        <v>17528908</v>
      </c>
      <c r="L235" s="1" t="s">
        <v>893</v>
      </c>
      <c r="M235" s="1" t="s">
        <v>38</v>
      </c>
      <c r="N235" s="1" t="s">
        <v>37</v>
      </c>
      <c r="O235" s="3">
        <v>847695750</v>
      </c>
      <c r="P235" s="3">
        <v>2</v>
      </c>
    </row>
    <row r="236" spans="1:16" ht="15.75" x14ac:dyDescent="0.25">
      <c r="A236" s="11">
        <v>49848</v>
      </c>
      <c r="B236" s="16" t="s">
        <v>508</v>
      </c>
      <c r="C236" s="16" t="s">
        <v>926</v>
      </c>
      <c r="D236" s="17">
        <v>45629</v>
      </c>
      <c r="E236" s="17">
        <v>45918</v>
      </c>
      <c r="F236" s="11">
        <f>DATEDIF(D236,E236,"M")</f>
        <v>9</v>
      </c>
      <c r="G236" s="11" t="s">
        <v>921</v>
      </c>
      <c r="H236" s="16">
        <v>36.29</v>
      </c>
      <c r="I236" s="16">
        <v>13.43</v>
      </c>
      <c r="J236" s="20">
        <f>SUM(I236/H236)</f>
        <v>0.37007440066133923</v>
      </c>
      <c r="K236" s="16">
        <v>17528908</v>
      </c>
      <c r="L236" s="16" t="s">
        <v>893</v>
      </c>
      <c r="M236" s="16" t="s">
        <v>38</v>
      </c>
      <c r="N236" s="16" t="s">
        <v>37</v>
      </c>
      <c r="O236" s="11">
        <v>847711781</v>
      </c>
      <c r="P236" s="11">
        <v>2</v>
      </c>
    </row>
    <row r="237" spans="1:16" ht="15.75" x14ac:dyDescent="0.25">
      <c r="A237" s="3">
        <v>63026</v>
      </c>
      <c r="B237" s="1" t="s">
        <v>517</v>
      </c>
      <c r="C237" s="1" t="s">
        <v>926</v>
      </c>
      <c r="D237" s="4">
        <v>45641</v>
      </c>
      <c r="E237" s="4">
        <v>45917</v>
      </c>
      <c r="F237" s="11">
        <f>DATEDIF(D237,E237,"M")</f>
        <v>9</v>
      </c>
      <c r="G237" s="11" t="s">
        <v>921</v>
      </c>
      <c r="H237" s="1">
        <v>36.29</v>
      </c>
      <c r="I237" s="1">
        <v>13.43</v>
      </c>
      <c r="J237" s="20">
        <f>SUM(I237/H237)</f>
        <v>0.37007440066133923</v>
      </c>
      <c r="K237" s="1">
        <v>17528908</v>
      </c>
      <c r="L237" s="1" t="s">
        <v>893</v>
      </c>
      <c r="M237" s="1" t="s">
        <v>38</v>
      </c>
      <c r="N237" s="1" t="s">
        <v>37</v>
      </c>
      <c r="O237" s="3">
        <v>847718607</v>
      </c>
      <c r="P237" s="3">
        <v>2</v>
      </c>
    </row>
    <row r="238" spans="1:16" ht="15.75" x14ac:dyDescent="0.25">
      <c r="A238" s="3">
        <v>35475</v>
      </c>
      <c r="B238" s="1" t="s">
        <v>682</v>
      </c>
      <c r="C238" s="1" t="s">
        <v>926</v>
      </c>
      <c r="D238" s="4">
        <v>45763</v>
      </c>
      <c r="E238" s="4">
        <v>45918</v>
      </c>
      <c r="F238" s="11">
        <f>DATEDIF(D238,E238,"M")</f>
        <v>5</v>
      </c>
      <c r="G238" s="11" t="s">
        <v>921</v>
      </c>
      <c r="H238" s="1">
        <v>36.29</v>
      </c>
      <c r="I238" s="1">
        <v>13.43</v>
      </c>
      <c r="J238" s="20">
        <f>SUM(I238/H238)</f>
        <v>0.37007440066133923</v>
      </c>
      <c r="K238" s="1">
        <v>17528908</v>
      </c>
      <c r="L238" s="1" t="s">
        <v>893</v>
      </c>
      <c r="M238" s="1" t="s">
        <v>38</v>
      </c>
      <c r="N238" s="1" t="s">
        <v>37</v>
      </c>
      <c r="O238" s="3">
        <v>847816175</v>
      </c>
      <c r="P238" s="3">
        <v>2</v>
      </c>
    </row>
    <row r="239" spans="1:16" ht="15.75" x14ac:dyDescent="0.25">
      <c r="A239" s="3">
        <v>37874</v>
      </c>
      <c r="B239" s="1" t="s">
        <v>691</v>
      </c>
      <c r="C239" s="1" t="s">
        <v>926</v>
      </c>
      <c r="D239" s="4">
        <v>45764</v>
      </c>
      <c r="E239" s="4">
        <v>45919</v>
      </c>
      <c r="F239" s="11">
        <f>DATEDIF(D239,E239,"M")</f>
        <v>5</v>
      </c>
      <c r="G239" s="11" t="s">
        <v>921</v>
      </c>
      <c r="H239" s="1">
        <v>36.29</v>
      </c>
      <c r="I239" s="1">
        <v>13.43</v>
      </c>
      <c r="J239" s="20">
        <f>SUM(I239/H239)</f>
        <v>0.37007440066133923</v>
      </c>
      <c r="K239" s="1">
        <v>17528908</v>
      </c>
      <c r="L239" s="1" t="s">
        <v>893</v>
      </c>
      <c r="M239" s="1" t="s">
        <v>38</v>
      </c>
      <c r="N239" s="1" t="s">
        <v>37</v>
      </c>
      <c r="O239" s="3">
        <v>847817556</v>
      </c>
      <c r="P239" s="3">
        <v>2</v>
      </c>
    </row>
    <row r="240" spans="1:16" ht="15.75" x14ac:dyDescent="0.25">
      <c r="A240" s="3">
        <v>28706</v>
      </c>
      <c r="B240" s="1" t="s">
        <v>783</v>
      </c>
      <c r="C240" s="1" t="s">
        <v>926</v>
      </c>
      <c r="D240" s="4">
        <v>45850</v>
      </c>
      <c r="E240" s="4">
        <v>45917</v>
      </c>
      <c r="F240" s="11">
        <f>DATEDIF(D240,E240,"M")</f>
        <v>2</v>
      </c>
      <c r="G240" s="11" t="s">
        <v>921</v>
      </c>
      <c r="H240" s="1">
        <v>36.29</v>
      </c>
      <c r="I240" s="1">
        <v>13.43</v>
      </c>
      <c r="J240" s="20">
        <f>SUM(I240/H240)</f>
        <v>0.37007440066133923</v>
      </c>
      <c r="K240" s="1">
        <v>17528908</v>
      </c>
      <c r="L240" s="1" t="s">
        <v>893</v>
      </c>
      <c r="M240" s="1" t="s">
        <v>38</v>
      </c>
      <c r="N240" s="1" t="s">
        <v>37</v>
      </c>
      <c r="O240" s="3">
        <v>847874378</v>
      </c>
      <c r="P240" s="3">
        <v>2</v>
      </c>
    </row>
    <row r="241" spans="1:16" ht="15.75" x14ac:dyDescent="0.25">
      <c r="A241" s="3">
        <v>29906</v>
      </c>
      <c r="B241" s="1" t="s">
        <v>786</v>
      </c>
      <c r="C241" s="1" t="s">
        <v>926</v>
      </c>
      <c r="D241" s="4">
        <v>45853</v>
      </c>
      <c r="E241" s="4">
        <v>45917</v>
      </c>
      <c r="F241" s="11">
        <f>DATEDIF(D241,E241,"M")</f>
        <v>2</v>
      </c>
      <c r="G241" s="11" t="s">
        <v>921</v>
      </c>
      <c r="H241" s="1">
        <v>36.29</v>
      </c>
      <c r="I241" s="1">
        <v>13.43</v>
      </c>
      <c r="J241" s="20">
        <f>SUM(I241/H241)</f>
        <v>0.37007440066133923</v>
      </c>
      <c r="K241" s="1">
        <v>17528908</v>
      </c>
      <c r="L241" s="1" t="s">
        <v>893</v>
      </c>
      <c r="M241" s="1" t="s">
        <v>38</v>
      </c>
      <c r="N241" s="1" t="s">
        <v>37</v>
      </c>
      <c r="O241" s="3">
        <v>847875093</v>
      </c>
      <c r="P241" s="3">
        <v>2</v>
      </c>
    </row>
    <row r="242" spans="1:16" ht="15.75" x14ac:dyDescent="0.25">
      <c r="A242" s="3">
        <v>74780</v>
      </c>
      <c r="B242" s="1" t="s">
        <v>845</v>
      </c>
      <c r="C242" s="1" t="s">
        <v>928</v>
      </c>
      <c r="D242" s="4">
        <v>45896</v>
      </c>
      <c r="E242" s="4">
        <v>45917</v>
      </c>
      <c r="F242" s="11">
        <f>DATEDIF(D242,E242,"M")</f>
        <v>0</v>
      </c>
      <c r="G242" s="11" t="s">
        <v>921</v>
      </c>
      <c r="H242" s="1">
        <v>36.29</v>
      </c>
      <c r="I242" s="1">
        <v>13.43</v>
      </c>
      <c r="J242" s="20">
        <f>SUM(I242/H242)</f>
        <v>0.37007440066133923</v>
      </c>
      <c r="K242" s="1">
        <v>17528908</v>
      </c>
      <c r="L242" s="1" t="s">
        <v>893</v>
      </c>
      <c r="M242" s="1" t="s">
        <v>38</v>
      </c>
      <c r="N242" s="1" t="s">
        <v>37</v>
      </c>
      <c r="O242" s="3">
        <v>847901550</v>
      </c>
      <c r="P242" s="3">
        <v>2</v>
      </c>
    </row>
    <row r="243" spans="1:16" ht="15.75" x14ac:dyDescent="0.25">
      <c r="A243" s="3">
        <v>1055</v>
      </c>
      <c r="B243" s="1" t="s">
        <v>753</v>
      </c>
      <c r="C243" s="1" t="s">
        <v>926</v>
      </c>
      <c r="D243" s="4">
        <v>45822</v>
      </c>
      <c r="E243" s="4">
        <v>45916</v>
      </c>
      <c r="F243" s="11">
        <f>DATEDIF(D243,E243,"M")</f>
        <v>3</v>
      </c>
      <c r="G243" s="11" t="s">
        <v>921</v>
      </c>
      <c r="H243" s="1">
        <v>36.29</v>
      </c>
      <c r="I243" s="1">
        <v>13.43</v>
      </c>
      <c r="J243" s="20">
        <f>SUM(I243/H243)</f>
        <v>0.37007440066133923</v>
      </c>
      <c r="K243" s="1">
        <v>20253958</v>
      </c>
      <c r="L243" s="1" t="s">
        <v>904</v>
      </c>
      <c r="M243" s="1" t="s">
        <v>38</v>
      </c>
      <c r="N243" s="1" t="s">
        <v>37</v>
      </c>
      <c r="O243" s="3">
        <v>847857425</v>
      </c>
      <c r="P243" s="3">
        <v>2</v>
      </c>
    </row>
    <row r="244" spans="1:16" ht="15.75" x14ac:dyDescent="0.25">
      <c r="A244" s="3">
        <v>54453</v>
      </c>
      <c r="B244" s="1" t="s">
        <v>808</v>
      </c>
      <c r="C244" s="1" t="s">
        <v>928</v>
      </c>
      <c r="D244" s="4">
        <v>45878</v>
      </c>
      <c r="E244" s="4">
        <v>45918</v>
      </c>
      <c r="F244" s="11">
        <f>DATEDIF(D244,E244,"M")</f>
        <v>1</v>
      </c>
      <c r="G244" s="11" t="s">
        <v>921</v>
      </c>
      <c r="H244" s="1">
        <v>36.29</v>
      </c>
      <c r="I244" s="1">
        <v>13.43</v>
      </c>
      <c r="J244" s="20">
        <f>SUM(I244/H244)</f>
        <v>0.37007440066133923</v>
      </c>
      <c r="K244" s="1">
        <v>18710070</v>
      </c>
      <c r="L244" s="1" t="s">
        <v>912</v>
      </c>
      <c r="M244" s="1" t="s">
        <v>38</v>
      </c>
      <c r="N244" s="1" t="s">
        <v>37</v>
      </c>
      <c r="O244" s="3">
        <v>847889498</v>
      </c>
      <c r="P244" s="3">
        <v>2</v>
      </c>
    </row>
    <row r="245" spans="1:16" ht="15.75" x14ac:dyDescent="0.25">
      <c r="A245" s="3">
        <v>79236</v>
      </c>
      <c r="B245" s="1" t="s">
        <v>568</v>
      </c>
      <c r="C245" s="1" t="s">
        <v>926</v>
      </c>
      <c r="D245" s="4">
        <v>45643</v>
      </c>
      <c r="E245" s="4">
        <v>45919</v>
      </c>
      <c r="F245" s="11">
        <f>DATEDIF(D245,E245,"M")</f>
        <v>9</v>
      </c>
      <c r="G245" s="11" t="s">
        <v>921</v>
      </c>
      <c r="H245" s="1">
        <v>61.69</v>
      </c>
      <c r="I245" s="1">
        <v>22.83</v>
      </c>
      <c r="J245" s="20">
        <f>SUM(I245/H245)</f>
        <v>0.37007618738855569</v>
      </c>
      <c r="K245" s="1">
        <v>9213293</v>
      </c>
      <c r="L245" s="1" t="s">
        <v>914</v>
      </c>
      <c r="M245" s="1" t="s">
        <v>38</v>
      </c>
      <c r="N245" s="1" t="s">
        <v>37</v>
      </c>
      <c r="O245" s="3">
        <v>847727792</v>
      </c>
      <c r="P245" s="3">
        <v>2</v>
      </c>
    </row>
    <row r="246" spans="1:16" ht="15.75" x14ac:dyDescent="0.25">
      <c r="A246" s="3">
        <v>70016</v>
      </c>
      <c r="B246" s="1" t="s">
        <v>728</v>
      </c>
      <c r="C246" s="1" t="s">
        <v>926</v>
      </c>
      <c r="D246" s="4">
        <v>45792</v>
      </c>
      <c r="E246" s="4">
        <v>45917</v>
      </c>
      <c r="F246" s="11">
        <f>DATEDIF(D246,E246,"M")</f>
        <v>4</v>
      </c>
      <c r="G246" s="11" t="s">
        <v>921</v>
      </c>
      <c r="H246" s="1">
        <v>61.69</v>
      </c>
      <c r="I246" s="1">
        <v>22.83</v>
      </c>
      <c r="J246" s="20">
        <f>SUM(I246/H246)</f>
        <v>0.37007618738855569</v>
      </c>
      <c r="K246" s="1">
        <v>9213293</v>
      </c>
      <c r="L246" s="1" t="s">
        <v>914</v>
      </c>
      <c r="M246" s="1" t="s">
        <v>38</v>
      </c>
      <c r="N246" s="1" t="s">
        <v>37</v>
      </c>
      <c r="O246" s="3">
        <v>847836508</v>
      </c>
      <c r="P246" s="3">
        <v>2</v>
      </c>
    </row>
    <row r="247" spans="1:16" ht="15.75" x14ac:dyDescent="0.25">
      <c r="A247" s="13">
        <v>97554</v>
      </c>
      <c r="B247" s="14" t="s">
        <v>647</v>
      </c>
      <c r="C247" s="14" t="s">
        <v>926</v>
      </c>
      <c r="D247" s="15">
        <v>45732</v>
      </c>
      <c r="E247" s="15">
        <v>45918</v>
      </c>
      <c r="F247" s="13">
        <f>DATEDIF(D247,E247,"M")</f>
        <v>6</v>
      </c>
      <c r="G247" s="13" t="s">
        <v>923</v>
      </c>
      <c r="H247" s="14">
        <v>61.69</v>
      </c>
      <c r="I247" s="14">
        <v>22.83</v>
      </c>
      <c r="J247" s="19">
        <f>SUM(I247/H247)</f>
        <v>0.37007618738855569</v>
      </c>
      <c r="K247" s="14">
        <v>2158366</v>
      </c>
      <c r="L247" s="14" t="s">
        <v>891</v>
      </c>
      <c r="M247" s="14" t="s">
        <v>38</v>
      </c>
      <c r="N247" s="14" t="s">
        <v>37</v>
      </c>
      <c r="O247" s="13">
        <v>847794433</v>
      </c>
      <c r="P247" s="13">
        <v>2</v>
      </c>
    </row>
    <row r="248" spans="1:16" ht="15.75" x14ac:dyDescent="0.25">
      <c r="A248" s="3">
        <v>27787</v>
      </c>
      <c r="B248" s="1" t="s">
        <v>773</v>
      </c>
      <c r="C248" s="1" t="s">
        <v>926</v>
      </c>
      <c r="D248" s="4">
        <v>45849</v>
      </c>
      <c r="E248" s="4">
        <v>45915</v>
      </c>
      <c r="F248" s="11">
        <f>DATEDIF(D248,E248,"M")</f>
        <v>2</v>
      </c>
      <c r="G248" s="11" t="s">
        <v>921</v>
      </c>
      <c r="H248" s="1">
        <v>61.69</v>
      </c>
      <c r="I248" s="1">
        <v>22.83</v>
      </c>
      <c r="J248" s="20">
        <f>SUM(I248/H248)</f>
        <v>0.37007618738855569</v>
      </c>
      <c r="K248" s="1">
        <v>19396223</v>
      </c>
      <c r="L248" s="1" t="s">
        <v>885</v>
      </c>
      <c r="M248" s="1" t="s">
        <v>38</v>
      </c>
      <c r="N248" s="1" t="s">
        <v>37</v>
      </c>
      <c r="O248" s="3">
        <v>847873837</v>
      </c>
      <c r="P248" s="3">
        <v>2</v>
      </c>
    </row>
    <row r="249" spans="1:16" ht="15.75" x14ac:dyDescent="0.25">
      <c r="A249" s="13">
        <v>28212</v>
      </c>
      <c r="B249" s="14" t="s">
        <v>776</v>
      </c>
      <c r="C249" s="14" t="s">
        <v>926</v>
      </c>
      <c r="D249" s="15">
        <v>45849</v>
      </c>
      <c r="E249" s="15">
        <v>45915</v>
      </c>
      <c r="F249" s="13">
        <f>DATEDIF(D249,E249,"M")</f>
        <v>2</v>
      </c>
      <c r="G249" s="13" t="s">
        <v>923</v>
      </c>
      <c r="H249" s="14">
        <v>43.8</v>
      </c>
      <c r="I249" s="14">
        <v>16.21</v>
      </c>
      <c r="J249" s="19">
        <f>SUM(I249/H249)</f>
        <v>0.37009132420091329</v>
      </c>
      <c r="K249" s="14">
        <v>18201929</v>
      </c>
      <c r="L249" s="14" t="s">
        <v>903</v>
      </c>
      <c r="M249" s="14" t="s">
        <v>38</v>
      </c>
      <c r="N249" s="14" t="s">
        <v>37</v>
      </c>
      <c r="O249" s="13">
        <v>847874096</v>
      </c>
      <c r="P249" s="13">
        <v>2</v>
      </c>
    </row>
    <row r="250" spans="1:16" ht="15.75" x14ac:dyDescent="0.25">
      <c r="A250" s="3">
        <v>71748</v>
      </c>
      <c r="B250" s="1" t="s">
        <v>550</v>
      </c>
      <c r="C250" s="1" t="s">
        <v>926</v>
      </c>
      <c r="D250" s="4">
        <v>45639</v>
      </c>
      <c r="E250" s="4">
        <v>45915</v>
      </c>
      <c r="F250" s="11">
        <f>DATEDIF(D250,E250,"M")</f>
        <v>9</v>
      </c>
      <c r="G250" s="11" t="s">
        <v>921</v>
      </c>
      <c r="H250" s="1">
        <v>50.69</v>
      </c>
      <c r="I250" s="1">
        <v>18.760000000000002</v>
      </c>
      <c r="J250" s="20">
        <f>SUM(I250/H250)</f>
        <v>0.37009272045768399</v>
      </c>
      <c r="K250" s="1">
        <v>16212649</v>
      </c>
      <c r="L250" s="1" t="s">
        <v>915</v>
      </c>
      <c r="M250" s="1" t="s">
        <v>38</v>
      </c>
      <c r="N250" s="1" t="s">
        <v>37</v>
      </c>
      <c r="O250" s="3">
        <v>847723521</v>
      </c>
      <c r="P250" s="3">
        <v>2</v>
      </c>
    </row>
    <row r="251" spans="1:16" ht="15.75" x14ac:dyDescent="0.25">
      <c r="A251" s="3">
        <v>79888</v>
      </c>
      <c r="B251" s="1" t="s">
        <v>415</v>
      </c>
      <c r="C251" s="1" t="s">
        <v>926</v>
      </c>
      <c r="D251" s="4">
        <v>45577</v>
      </c>
      <c r="E251" s="4">
        <v>45915</v>
      </c>
      <c r="F251" s="11">
        <f>DATEDIF(D251,E251,"M")</f>
        <v>11</v>
      </c>
      <c r="G251" s="11" t="s">
        <v>921</v>
      </c>
      <c r="H251" s="1">
        <v>38.61</v>
      </c>
      <c r="I251" s="1">
        <v>14.29</v>
      </c>
      <c r="J251" s="20">
        <f>SUM(I251/H251)</f>
        <v>0.37011137011137007</v>
      </c>
      <c r="K251" s="1">
        <v>19278370</v>
      </c>
      <c r="L251" s="1" t="s">
        <v>894</v>
      </c>
      <c r="M251" s="1" t="s">
        <v>38</v>
      </c>
      <c r="N251" s="1" t="s">
        <v>37</v>
      </c>
      <c r="O251" s="3">
        <v>847675044</v>
      </c>
      <c r="P251" s="3">
        <v>2</v>
      </c>
    </row>
    <row r="252" spans="1:16" ht="15.75" x14ac:dyDescent="0.25">
      <c r="A252" s="3">
        <v>17598</v>
      </c>
      <c r="B252" s="1" t="s">
        <v>655</v>
      </c>
      <c r="C252" s="1" t="s">
        <v>926</v>
      </c>
      <c r="D252" s="4">
        <v>45762</v>
      </c>
      <c r="E252" s="4">
        <v>45917</v>
      </c>
      <c r="F252" s="11">
        <f>DATEDIF(D252,E252,"M")</f>
        <v>5</v>
      </c>
      <c r="G252" s="11" t="s">
        <v>921</v>
      </c>
      <c r="H252" s="1">
        <v>38.61</v>
      </c>
      <c r="I252" s="1">
        <v>14.29</v>
      </c>
      <c r="J252" s="20">
        <f>SUM(I252/H252)</f>
        <v>0.37011137011137007</v>
      </c>
      <c r="K252" s="1">
        <v>19278370</v>
      </c>
      <c r="L252" s="1" t="s">
        <v>894</v>
      </c>
      <c r="M252" s="1" t="s">
        <v>38</v>
      </c>
      <c r="N252" s="1" t="s">
        <v>37</v>
      </c>
      <c r="O252" s="3">
        <v>847805744</v>
      </c>
      <c r="P252" s="3">
        <v>2</v>
      </c>
    </row>
    <row r="253" spans="1:16" ht="15.75" x14ac:dyDescent="0.25">
      <c r="A253" s="3">
        <v>64738</v>
      </c>
      <c r="B253" s="1" t="s">
        <v>838</v>
      </c>
      <c r="C253" s="1" t="s">
        <v>928</v>
      </c>
      <c r="D253" s="4">
        <v>45885</v>
      </c>
      <c r="E253" s="4">
        <v>45918</v>
      </c>
      <c r="F253" s="11">
        <f>DATEDIF(D253,E253,"M")</f>
        <v>1</v>
      </c>
      <c r="G253" s="11" t="s">
        <v>921</v>
      </c>
      <c r="H253" s="1">
        <v>30.07</v>
      </c>
      <c r="I253" s="1">
        <v>11.13</v>
      </c>
      <c r="J253" s="20">
        <f>SUM(I253/H253)</f>
        <v>0.37013634852011973</v>
      </c>
      <c r="K253" s="1">
        <v>17425766</v>
      </c>
      <c r="L253" s="1" t="s">
        <v>907</v>
      </c>
      <c r="M253" s="1" t="s">
        <v>38</v>
      </c>
      <c r="N253" s="1" t="s">
        <v>37</v>
      </c>
      <c r="O253" s="3">
        <v>847895694</v>
      </c>
      <c r="P253" s="3">
        <v>2</v>
      </c>
    </row>
    <row r="254" spans="1:16" ht="15.75" x14ac:dyDescent="0.25">
      <c r="A254" s="13">
        <v>59488</v>
      </c>
      <c r="B254" s="14" t="s">
        <v>816</v>
      </c>
      <c r="C254" s="14" t="s">
        <v>928</v>
      </c>
      <c r="D254" s="15">
        <v>45881</v>
      </c>
      <c r="E254" s="15">
        <v>45915</v>
      </c>
      <c r="F254" s="13">
        <f>DATEDIF(D254,E254,"M")</f>
        <v>1</v>
      </c>
      <c r="G254" s="13" t="s">
        <v>923</v>
      </c>
      <c r="H254" s="14">
        <v>30.07</v>
      </c>
      <c r="I254" s="14">
        <v>11.13</v>
      </c>
      <c r="J254" s="19">
        <f>SUM(I254/H254)</f>
        <v>0.37013634852011973</v>
      </c>
      <c r="K254" s="14">
        <v>19681796</v>
      </c>
      <c r="L254" s="14" t="s">
        <v>916</v>
      </c>
      <c r="M254" s="14" t="s">
        <v>38</v>
      </c>
      <c r="N254" s="14" t="s">
        <v>37</v>
      </c>
      <c r="O254" s="13">
        <v>847892520</v>
      </c>
      <c r="P254" s="13">
        <v>2</v>
      </c>
    </row>
    <row r="255" spans="1:16" ht="15.75" x14ac:dyDescent="0.25">
      <c r="A255" s="13">
        <v>33089</v>
      </c>
      <c r="B255" s="14" t="s">
        <v>802</v>
      </c>
      <c r="C255" s="14" t="s">
        <v>928</v>
      </c>
      <c r="D255" s="15">
        <v>45855</v>
      </c>
      <c r="E255" s="15">
        <v>45919</v>
      </c>
      <c r="F255" s="13">
        <f>DATEDIF(D255,E255,"M")</f>
        <v>2</v>
      </c>
      <c r="G255" s="13" t="s">
        <v>923</v>
      </c>
      <c r="H255" s="14">
        <v>30.07</v>
      </c>
      <c r="I255" s="14">
        <v>11.13</v>
      </c>
      <c r="J255" s="19">
        <f>SUM(I255/H255)</f>
        <v>0.37013634852011973</v>
      </c>
      <c r="K255" s="14">
        <v>8244481</v>
      </c>
      <c r="L255" s="14" t="s">
        <v>888</v>
      </c>
      <c r="M255" s="14" t="s">
        <v>38</v>
      </c>
      <c r="N255" s="14" t="s">
        <v>37</v>
      </c>
      <c r="O255" s="13">
        <v>847876965</v>
      </c>
      <c r="P255" s="13">
        <v>2</v>
      </c>
    </row>
    <row r="256" spans="1:16" ht="15.75" x14ac:dyDescent="0.25">
      <c r="A256" s="3">
        <v>36238</v>
      </c>
      <c r="B256" s="1" t="s">
        <v>687</v>
      </c>
      <c r="C256" s="1" t="s">
        <v>926</v>
      </c>
      <c r="D256" s="4">
        <v>45763</v>
      </c>
      <c r="E256" s="4">
        <v>45918</v>
      </c>
      <c r="F256" s="11">
        <f>DATEDIF(D256,E256,"M")</f>
        <v>5</v>
      </c>
      <c r="G256" s="11" t="s">
        <v>921</v>
      </c>
      <c r="H256" s="1">
        <v>17.559999999999999</v>
      </c>
      <c r="I256" s="1">
        <v>6.5</v>
      </c>
      <c r="J256" s="20">
        <f>SUM(I256/H256)</f>
        <v>0.37015945330296129</v>
      </c>
      <c r="K256" s="1">
        <v>17425766</v>
      </c>
      <c r="L256" s="1" t="s">
        <v>907</v>
      </c>
      <c r="M256" s="1" t="s">
        <v>38</v>
      </c>
      <c r="N256" s="1" t="s">
        <v>37</v>
      </c>
      <c r="O256" s="3">
        <v>847816609</v>
      </c>
      <c r="P256" s="3">
        <v>2</v>
      </c>
    </row>
    <row r="257" spans="1:16" ht="15.75" x14ac:dyDescent="0.25">
      <c r="A257" s="13">
        <v>92762</v>
      </c>
      <c r="B257" s="14" t="s">
        <v>635</v>
      </c>
      <c r="C257" s="14" t="s">
        <v>926</v>
      </c>
      <c r="D257" s="15">
        <v>45729</v>
      </c>
      <c r="E257" s="15">
        <v>45915</v>
      </c>
      <c r="F257" s="13">
        <f>DATEDIF(D257,E257,"M")</f>
        <v>6</v>
      </c>
      <c r="G257" s="13" t="s">
        <v>923</v>
      </c>
      <c r="H257" s="14">
        <v>10.67</v>
      </c>
      <c r="I257" s="14">
        <v>3.95</v>
      </c>
      <c r="J257" s="19">
        <f>SUM(I257/H257)</f>
        <v>0.3701968134957826</v>
      </c>
      <c r="K257" s="14">
        <v>9254978</v>
      </c>
      <c r="L257" s="14" t="s">
        <v>896</v>
      </c>
      <c r="M257" s="14" t="s">
        <v>38</v>
      </c>
      <c r="N257" s="14" t="s">
        <v>37</v>
      </c>
      <c r="O257" s="13">
        <v>847791695</v>
      </c>
      <c r="P257" s="13">
        <v>2</v>
      </c>
    </row>
    <row r="258" spans="1:16" ht="15.75" x14ac:dyDescent="0.25">
      <c r="A258" s="3">
        <v>36239</v>
      </c>
      <c r="B258" s="1" t="s">
        <v>687</v>
      </c>
      <c r="C258" s="1" t="s">
        <v>926</v>
      </c>
      <c r="D258" s="4">
        <v>45763</v>
      </c>
      <c r="E258" s="4">
        <v>45918</v>
      </c>
      <c r="F258" s="11">
        <f>DATEDIF(D258,E258,"M")</f>
        <v>5</v>
      </c>
      <c r="G258" s="11" t="s">
        <v>921</v>
      </c>
      <c r="H258" s="1">
        <v>10.67</v>
      </c>
      <c r="I258" s="1">
        <v>3.95</v>
      </c>
      <c r="J258" s="20">
        <f>SUM(I258/H258)</f>
        <v>0.3701968134957826</v>
      </c>
      <c r="K258" s="1">
        <v>17425766</v>
      </c>
      <c r="L258" s="1" t="s">
        <v>907</v>
      </c>
      <c r="M258" s="1" t="s">
        <v>38</v>
      </c>
      <c r="N258" s="1" t="s">
        <v>37</v>
      </c>
      <c r="O258" s="3">
        <v>847816609</v>
      </c>
      <c r="P258" s="3">
        <v>2</v>
      </c>
    </row>
    <row r="259" spans="1:16" ht="15.75" x14ac:dyDescent="0.25">
      <c r="A259" s="11">
        <v>71075</v>
      </c>
      <c r="B259" s="16" t="s">
        <v>535</v>
      </c>
      <c r="C259" s="16" t="s">
        <v>926</v>
      </c>
      <c r="D259" s="17">
        <v>45638</v>
      </c>
      <c r="E259" s="17">
        <v>45915</v>
      </c>
      <c r="F259" s="11">
        <f>DATEDIF(D259,E259,"M")</f>
        <v>9</v>
      </c>
      <c r="G259" s="11" t="s">
        <v>921</v>
      </c>
      <c r="H259" s="16">
        <v>10.67</v>
      </c>
      <c r="I259" s="16">
        <v>3.95</v>
      </c>
      <c r="J259" s="20">
        <f>SUM(I259/H259)</f>
        <v>0.3701968134957826</v>
      </c>
      <c r="K259" s="16">
        <v>8325282</v>
      </c>
      <c r="L259" s="16" t="s">
        <v>905</v>
      </c>
      <c r="M259" s="16" t="s">
        <v>38</v>
      </c>
      <c r="N259" s="16" t="s">
        <v>37</v>
      </c>
      <c r="O259" s="11">
        <v>847723138</v>
      </c>
      <c r="P259" s="11">
        <v>2</v>
      </c>
    </row>
    <row r="260" spans="1:16" ht="15.75" x14ac:dyDescent="0.25">
      <c r="A260" s="3">
        <v>37875</v>
      </c>
      <c r="B260" s="1" t="s">
        <v>691</v>
      </c>
      <c r="C260" s="1" t="s">
        <v>926</v>
      </c>
      <c r="D260" s="4">
        <v>45764</v>
      </c>
      <c r="E260" s="4">
        <v>45919</v>
      </c>
      <c r="F260" s="11">
        <f>DATEDIF(D260,E260,"M")</f>
        <v>5</v>
      </c>
      <c r="G260" s="11" t="s">
        <v>921</v>
      </c>
      <c r="H260" s="1">
        <v>10.67</v>
      </c>
      <c r="I260" s="1">
        <v>3.95</v>
      </c>
      <c r="J260" s="20">
        <f>SUM(I260/H260)</f>
        <v>0.3701968134957826</v>
      </c>
      <c r="K260" s="1">
        <v>17528908</v>
      </c>
      <c r="L260" s="1" t="s">
        <v>893</v>
      </c>
      <c r="M260" s="1" t="s">
        <v>38</v>
      </c>
      <c r="N260" s="1" t="s">
        <v>37</v>
      </c>
      <c r="O260" s="3">
        <v>847817556</v>
      </c>
      <c r="P260" s="3">
        <v>2</v>
      </c>
    </row>
    <row r="261" spans="1:16" ht="15.75" x14ac:dyDescent="0.25">
      <c r="A261" s="3">
        <v>29907</v>
      </c>
      <c r="B261" s="1" t="s">
        <v>786</v>
      </c>
      <c r="C261" s="1" t="s">
        <v>926</v>
      </c>
      <c r="D261" s="4">
        <v>45853</v>
      </c>
      <c r="E261" s="4">
        <v>45917</v>
      </c>
      <c r="F261" s="11">
        <f>DATEDIF(D261,E261,"M")</f>
        <v>2</v>
      </c>
      <c r="G261" s="11" t="s">
        <v>921</v>
      </c>
      <c r="H261" s="1">
        <v>10.67</v>
      </c>
      <c r="I261" s="1">
        <v>3.95</v>
      </c>
      <c r="J261" s="20">
        <f>SUM(I261/H261)</f>
        <v>0.3701968134957826</v>
      </c>
      <c r="K261" s="1">
        <v>17528908</v>
      </c>
      <c r="L261" s="1" t="s">
        <v>893</v>
      </c>
      <c r="M261" s="1" t="s">
        <v>38</v>
      </c>
      <c r="N261" s="1" t="s">
        <v>37</v>
      </c>
      <c r="O261" s="3">
        <v>847875093</v>
      </c>
      <c r="P261" s="3">
        <v>2</v>
      </c>
    </row>
    <row r="262" spans="1:16" ht="15.75" x14ac:dyDescent="0.25">
      <c r="A262" s="3">
        <v>46244</v>
      </c>
      <c r="B262" s="1" t="s">
        <v>696</v>
      </c>
      <c r="C262" s="1" t="s">
        <v>926</v>
      </c>
      <c r="D262" s="4">
        <v>45792</v>
      </c>
      <c r="E262" s="4">
        <v>45917</v>
      </c>
      <c r="F262" s="11">
        <f>DATEDIF(D262,E262,"M")</f>
        <v>4</v>
      </c>
      <c r="G262" s="11" t="s">
        <v>921</v>
      </c>
      <c r="H262" s="1">
        <v>10.67</v>
      </c>
      <c r="I262" s="1">
        <v>3.95</v>
      </c>
      <c r="J262" s="20">
        <f>SUM(I262/H262)</f>
        <v>0.3701968134957826</v>
      </c>
      <c r="K262" s="1">
        <v>9213293</v>
      </c>
      <c r="L262" s="1" t="s">
        <v>914</v>
      </c>
      <c r="M262" s="1" t="s">
        <v>38</v>
      </c>
      <c r="N262" s="1" t="s">
        <v>37</v>
      </c>
      <c r="O262" s="3">
        <v>847822480</v>
      </c>
      <c r="P262" s="3">
        <v>2</v>
      </c>
    </row>
    <row r="263" spans="1:16" ht="15.75" x14ac:dyDescent="0.25">
      <c r="A263" s="3">
        <v>65368</v>
      </c>
      <c r="B263" s="1" t="s">
        <v>701</v>
      </c>
      <c r="C263" s="1" t="s">
        <v>926</v>
      </c>
      <c r="D263" s="4">
        <v>45788</v>
      </c>
      <c r="E263" s="4">
        <v>45915</v>
      </c>
      <c r="F263" s="11">
        <f>DATEDIF(D263,E263,"M")</f>
        <v>4</v>
      </c>
      <c r="G263" s="11" t="s">
        <v>921</v>
      </c>
      <c r="H263" s="1">
        <v>10.67</v>
      </c>
      <c r="I263" s="1">
        <v>3.95</v>
      </c>
      <c r="J263" s="20">
        <f>SUM(I263/H263)</f>
        <v>0.3701968134957826</v>
      </c>
      <c r="K263" s="1">
        <v>19279958</v>
      </c>
      <c r="L263" s="1" t="s">
        <v>909</v>
      </c>
      <c r="M263" s="1" t="s">
        <v>38</v>
      </c>
      <c r="N263" s="1" t="s">
        <v>37</v>
      </c>
      <c r="O263" s="3">
        <v>847833773</v>
      </c>
      <c r="P263" s="3">
        <v>2</v>
      </c>
    </row>
    <row r="264" spans="1:16" ht="15.75" x14ac:dyDescent="0.25">
      <c r="A264" s="11">
        <v>71577</v>
      </c>
      <c r="B264" s="16" t="s">
        <v>544</v>
      </c>
      <c r="C264" s="16" t="s">
        <v>926</v>
      </c>
      <c r="D264" s="17">
        <v>45641</v>
      </c>
      <c r="E264" s="17">
        <v>45917</v>
      </c>
      <c r="F264" s="11">
        <f>DATEDIF(D264,E264,"M")</f>
        <v>9</v>
      </c>
      <c r="G264" s="11" t="s">
        <v>921</v>
      </c>
      <c r="H264" s="16">
        <v>10.67</v>
      </c>
      <c r="I264" s="16">
        <v>3.95</v>
      </c>
      <c r="J264" s="20">
        <f>SUM(I264/H264)</f>
        <v>0.3701968134957826</v>
      </c>
      <c r="K264" s="16">
        <v>371819</v>
      </c>
      <c r="L264" s="16" t="s">
        <v>898</v>
      </c>
      <c r="M264" s="16" t="s">
        <v>38</v>
      </c>
      <c r="N264" s="16" t="s">
        <v>37</v>
      </c>
      <c r="O264" s="11">
        <v>847723420</v>
      </c>
      <c r="P264" s="11">
        <v>2</v>
      </c>
    </row>
    <row r="265" spans="1:16" ht="15.75" x14ac:dyDescent="0.25">
      <c r="A265" s="13">
        <v>93781</v>
      </c>
      <c r="B265" s="14" t="s">
        <v>643</v>
      </c>
      <c r="C265" s="14" t="s">
        <v>926</v>
      </c>
      <c r="D265" s="15">
        <v>45733</v>
      </c>
      <c r="E265" s="15">
        <v>45919</v>
      </c>
      <c r="F265" s="13">
        <f>DATEDIF(D265,E265,"M")</f>
        <v>6</v>
      </c>
      <c r="G265" s="13" t="s">
        <v>923</v>
      </c>
      <c r="H265" s="14">
        <v>20.96</v>
      </c>
      <c r="I265" s="14">
        <v>7.76</v>
      </c>
      <c r="J265" s="19">
        <f>SUM(I265/H265)</f>
        <v>0.37022900763358774</v>
      </c>
      <c r="K265" s="14">
        <v>16509456</v>
      </c>
      <c r="L265" s="14" t="s">
        <v>900</v>
      </c>
      <c r="M265" s="14" t="s">
        <v>38</v>
      </c>
      <c r="N265" s="14" t="s">
        <v>37</v>
      </c>
      <c r="O265" s="13">
        <v>847792270</v>
      </c>
      <c r="P265" s="13">
        <v>2</v>
      </c>
    </row>
    <row r="266" spans="1:16" ht="15.75" x14ac:dyDescent="0.25">
      <c r="A266" s="3">
        <v>79889</v>
      </c>
      <c r="B266" s="1" t="s">
        <v>415</v>
      </c>
      <c r="C266" s="1" t="s">
        <v>926</v>
      </c>
      <c r="D266" s="4">
        <v>45577</v>
      </c>
      <c r="E266" s="4">
        <v>45915</v>
      </c>
      <c r="F266" s="11">
        <f>DATEDIF(D266,E266,"M")</f>
        <v>11</v>
      </c>
      <c r="G266" s="11" t="s">
        <v>921</v>
      </c>
      <c r="H266" s="1">
        <v>16.34</v>
      </c>
      <c r="I266" s="1">
        <v>6.05</v>
      </c>
      <c r="J266" s="20">
        <f>SUM(I266/H266)</f>
        <v>0.37025703794369647</v>
      </c>
      <c r="K266" s="1">
        <v>19278370</v>
      </c>
      <c r="L266" s="1" t="s">
        <v>894</v>
      </c>
      <c r="M266" s="1" t="s">
        <v>38</v>
      </c>
      <c r="N266" s="1" t="s">
        <v>37</v>
      </c>
      <c r="O266" s="3">
        <v>847675044</v>
      </c>
      <c r="P266" s="3">
        <v>2</v>
      </c>
    </row>
    <row r="267" spans="1:16" ht="15.75" x14ac:dyDescent="0.25">
      <c r="A267" s="3">
        <v>70204</v>
      </c>
      <c r="B267" s="1" t="s">
        <v>531</v>
      </c>
      <c r="C267" s="1" t="s">
        <v>926</v>
      </c>
      <c r="D267" s="4">
        <v>45638</v>
      </c>
      <c r="E267" s="4">
        <v>45915</v>
      </c>
      <c r="F267" s="11">
        <f>DATEDIF(D267,E267,"M")</f>
        <v>9</v>
      </c>
      <c r="G267" s="11" t="s">
        <v>921</v>
      </c>
      <c r="H267" s="1">
        <v>16.34</v>
      </c>
      <c r="I267" s="1">
        <v>6.05</v>
      </c>
      <c r="J267" s="20">
        <f>SUM(I267/H267)</f>
        <v>0.37025703794369647</v>
      </c>
      <c r="K267" s="1">
        <v>19278370</v>
      </c>
      <c r="L267" s="1" t="s">
        <v>894</v>
      </c>
      <c r="M267" s="1" t="s">
        <v>38</v>
      </c>
      <c r="N267" s="1" t="s">
        <v>37</v>
      </c>
      <c r="O267" s="3">
        <v>847722628</v>
      </c>
      <c r="P267" s="3">
        <v>2</v>
      </c>
    </row>
    <row r="268" spans="1:16" ht="15.75" x14ac:dyDescent="0.25">
      <c r="A268" s="3">
        <v>52346</v>
      </c>
      <c r="B268" s="1" t="s">
        <v>513</v>
      </c>
      <c r="C268" s="1" t="s">
        <v>926</v>
      </c>
      <c r="D268" s="4">
        <v>45658</v>
      </c>
      <c r="E268" s="4">
        <v>45916</v>
      </c>
      <c r="F268" s="11">
        <f>DATEDIF(D268,E268,"M")</f>
        <v>8</v>
      </c>
      <c r="G268" s="11" t="s">
        <v>921</v>
      </c>
      <c r="H268" s="1">
        <v>-16.34</v>
      </c>
      <c r="I268" s="1">
        <v>-6.05</v>
      </c>
      <c r="J268" s="20">
        <f>SUM(I268/H268)</f>
        <v>0.37025703794369647</v>
      </c>
      <c r="K268" s="1">
        <v>19278370</v>
      </c>
      <c r="L268" s="1" t="s">
        <v>894</v>
      </c>
      <c r="M268" s="1" t="s">
        <v>38</v>
      </c>
      <c r="N268" s="1" t="s">
        <v>37</v>
      </c>
      <c r="O268" s="3">
        <v>847713083</v>
      </c>
      <c r="P268" s="3">
        <v>1</v>
      </c>
    </row>
    <row r="269" spans="1:16" ht="15.75" x14ac:dyDescent="0.25">
      <c r="A269" s="3">
        <v>17599</v>
      </c>
      <c r="B269" s="1" t="s">
        <v>655</v>
      </c>
      <c r="C269" s="1" t="s">
        <v>926</v>
      </c>
      <c r="D269" s="4">
        <v>45762</v>
      </c>
      <c r="E269" s="4">
        <v>45917</v>
      </c>
      <c r="F269" s="11">
        <f>DATEDIF(D269,E269,"M")</f>
        <v>5</v>
      </c>
      <c r="G269" s="11" t="s">
        <v>921</v>
      </c>
      <c r="H269" s="1">
        <v>16.34</v>
      </c>
      <c r="I269" s="1">
        <v>6.05</v>
      </c>
      <c r="J269" s="20">
        <f>SUM(I269/H269)</f>
        <v>0.37025703794369647</v>
      </c>
      <c r="K269" s="1">
        <v>19278370</v>
      </c>
      <c r="L269" s="1" t="s">
        <v>894</v>
      </c>
      <c r="M269" s="1" t="s">
        <v>38</v>
      </c>
      <c r="N269" s="1" t="s">
        <v>37</v>
      </c>
      <c r="O269" s="3">
        <v>847805744</v>
      </c>
      <c r="P269" s="3">
        <v>2</v>
      </c>
    </row>
    <row r="270" spans="1:16" ht="15.75" x14ac:dyDescent="0.25">
      <c r="A270" s="11">
        <v>71142</v>
      </c>
      <c r="B270" s="16" t="s">
        <v>540</v>
      </c>
      <c r="C270" s="16" t="s">
        <v>926</v>
      </c>
      <c r="D270" s="17">
        <v>45638</v>
      </c>
      <c r="E270" s="17">
        <v>45915</v>
      </c>
      <c r="F270" s="11">
        <f>DATEDIF(D270,E270,"M")</f>
        <v>9</v>
      </c>
      <c r="G270" s="11" t="s">
        <v>921</v>
      </c>
      <c r="H270" s="16">
        <v>16.34</v>
      </c>
      <c r="I270" s="16">
        <v>6.05</v>
      </c>
      <c r="J270" s="20">
        <f>SUM(I270/H270)</f>
        <v>0.37025703794369647</v>
      </c>
      <c r="K270" s="16">
        <v>7146581</v>
      </c>
      <c r="L270" s="16" t="s">
        <v>892</v>
      </c>
      <c r="M270" s="16" t="s">
        <v>38</v>
      </c>
      <c r="N270" s="16" t="s">
        <v>37</v>
      </c>
      <c r="O270" s="11">
        <v>847723178</v>
      </c>
      <c r="P270" s="11">
        <v>2</v>
      </c>
    </row>
    <row r="271" spans="1:16" ht="15.75" x14ac:dyDescent="0.25">
      <c r="A271" s="11">
        <v>72808</v>
      </c>
      <c r="B271" s="16" t="s">
        <v>562</v>
      </c>
      <c r="C271" s="16" t="s">
        <v>926</v>
      </c>
      <c r="D271" s="17">
        <v>45639</v>
      </c>
      <c r="E271" s="17">
        <v>45915</v>
      </c>
      <c r="F271" s="11">
        <f>DATEDIF(D271,E271,"M")</f>
        <v>9</v>
      </c>
      <c r="G271" s="11" t="s">
        <v>921</v>
      </c>
      <c r="H271" s="16">
        <v>16.34</v>
      </c>
      <c r="I271" s="16">
        <v>6.05</v>
      </c>
      <c r="J271" s="20">
        <f>SUM(I271/H271)</f>
        <v>0.37025703794369647</v>
      </c>
      <c r="K271" s="16">
        <v>17425766</v>
      </c>
      <c r="L271" s="16" t="s">
        <v>907</v>
      </c>
      <c r="M271" s="16" t="s">
        <v>38</v>
      </c>
      <c r="N271" s="16" t="s">
        <v>37</v>
      </c>
      <c r="O271" s="11">
        <v>847724123</v>
      </c>
      <c r="P271" s="11">
        <v>2</v>
      </c>
    </row>
    <row r="272" spans="1:16" ht="15.75" x14ac:dyDescent="0.25">
      <c r="A272" s="11">
        <v>17247</v>
      </c>
      <c r="B272" s="16" t="s">
        <v>476</v>
      </c>
      <c r="C272" s="16" t="s">
        <v>926</v>
      </c>
      <c r="D272" s="17">
        <v>45607</v>
      </c>
      <c r="E272" s="17">
        <v>45915</v>
      </c>
      <c r="F272" s="11">
        <f>DATEDIF(D272,E272,"M")</f>
        <v>10</v>
      </c>
      <c r="G272" s="11" t="s">
        <v>921</v>
      </c>
      <c r="H272" s="16">
        <v>16.34</v>
      </c>
      <c r="I272" s="16">
        <v>6.05</v>
      </c>
      <c r="J272" s="20">
        <f>SUM(I272/H272)</f>
        <v>0.37025703794369647</v>
      </c>
      <c r="K272" s="16">
        <v>19681796</v>
      </c>
      <c r="L272" s="16" t="s">
        <v>916</v>
      </c>
      <c r="M272" s="16" t="s">
        <v>38</v>
      </c>
      <c r="N272" s="16" t="s">
        <v>37</v>
      </c>
      <c r="O272" s="11">
        <v>847694336</v>
      </c>
      <c r="P272" s="11">
        <v>2</v>
      </c>
    </row>
    <row r="273" spans="1:16" ht="15.75" x14ac:dyDescent="0.25">
      <c r="A273" s="3">
        <v>19852</v>
      </c>
      <c r="B273" s="1" t="s">
        <v>491</v>
      </c>
      <c r="C273" s="1" t="s">
        <v>926</v>
      </c>
      <c r="D273" s="4">
        <v>45609</v>
      </c>
      <c r="E273" s="4">
        <v>45915</v>
      </c>
      <c r="F273" s="11">
        <f>DATEDIF(D273,E273,"M")</f>
        <v>10</v>
      </c>
      <c r="G273" s="11" t="s">
        <v>921</v>
      </c>
      <c r="H273" s="1">
        <v>16.34</v>
      </c>
      <c r="I273" s="1">
        <v>6.05</v>
      </c>
      <c r="J273" s="20">
        <f>SUM(I273/H273)</f>
        <v>0.37025703794369647</v>
      </c>
      <c r="K273" s="1">
        <v>17528908</v>
      </c>
      <c r="L273" s="1" t="s">
        <v>893</v>
      </c>
      <c r="M273" s="1" t="s">
        <v>38</v>
      </c>
      <c r="N273" s="1" t="s">
        <v>37</v>
      </c>
      <c r="O273" s="3">
        <v>847695750</v>
      </c>
      <c r="P273" s="3">
        <v>2</v>
      </c>
    </row>
    <row r="274" spans="1:16" ht="15.75" x14ac:dyDescent="0.25">
      <c r="A274" s="3">
        <v>49849</v>
      </c>
      <c r="B274" s="1" t="s">
        <v>508</v>
      </c>
      <c r="C274" s="1" t="s">
        <v>926</v>
      </c>
      <c r="D274" s="4">
        <v>45629</v>
      </c>
      <c r="E274" s="4">
        <v>45918</v>
      </c>
      <c r="F274" s="11">
        <f>DATEDIF(D274,E274,"M")</f>
        <v>9</v>
      </c>
      <c r="G274" s="11" t="s">
        <v>921</v>
      </c>
      <c r="H274" s="1">
        <v>16.34</v>
      </c>
      <c r="I274" s="1">
        <v>6.05</v>
      </c>
      <c r="J274" s="20">
        <f>SUM(I274/H274)</f>
        <v>0.37025703794369647</v>
      </c>
      <c r="K274" s="1">
        <v>17528908</v>
      </c>
      <c r="L274" s="1" t="s">
        <v>893</v>
      </c>
      <c r="M274" s="1" t="s">
        <v>38</v>
      </c>
      <c r="N274" s="1" t="s">
        <v>37</v>
      </c>
      <c r="O274" s="3">
        <v>847711781</v>
      </c>
      <c r="P274" s="3">
        <v>2</v>
      </c>
    </row>
    <row r="275" spans="1:16" ht="15.75" x14ac:dyDescent="0.25">
      <c r="A275" s="3">
        <v>72509</v>
      </c>
      <c r="B275" s="1" t="s">
        <v>559</v>
      </c>
      <c r="C275" s="1" t="s">
        <v>926</v>
      </c>
      <c r="D275" s="4">
        <v>45639</v>
      </c>
      <c r="E275" s="4">
        <v>45915</v>
      </c>
      <c r="F275" s="11">
        <f>DATEDIF(D275,E275,"M")</f>
        <v>9</v>
      </c>
      <c r="G275" s="11" t="s">
        <v>921</v>
      </c>
      <c r="H275" s="1">
        <v>16.34</v>
      </c>
      <c r="I275" s="1">
        <v>6.05</v>
      </c>
      <c r="J275" s="20">
        <f>SUM(I275/H275)</f>
        <v>0.37025703794369647</v>
      </c>
      <c r="K275" s="1">
        <v>17528908</v>
      </c>
      <c r="L275" s="1" t="s">
        <v>893</v>
      </c>
      <c r="M275" s="1" t="s">
        <v>38</v>
      </c>
      <c r="N275" s="1" t="s">
        <v>37</v>
      </c>
      <c r="O275" s="3">
        <v>847723950</v>
      </c>
      <c r="P275" s="3">
        <v>2</v>
      </c>
    </row>
    <row r="276" spans="1:16" ht="15.75" x14ac:dyDescent="0.25">
      <c r="A276" s="3">
        <v>35476</v>
      </c>
      <c r="B276" s="1" t="s">
        <v>682</v>
      </c>
      <c r="C276" s="1" t="s">
        <v>926</v>
      </c>
      <c r="D276" s="4">
        <v>45763</v>
      </c>
      <c r="E276" s="4">
        <v>45918</v>
      </c>
      <c r="F276" s="11">
        <f>DATEDIF(D276,E276,"M")</f>
        <v>5</v>
      </c>
      <c r="G276" s="11" t="s">
        <v>921</v>
      </c>
      <c r="H276" s="1">
        <v>16.34</v>
      </c>
      <c r="I276" s="1">
        <v>6.05</v>
      </c>
      <c r="J276" s="20">
        <f>SUM(I276/H276)</f>
        <v>0.37025703794369647</v>
      </c>
      <c r="K276" s="1">
        <v>17528908</v>
      </c>
      <c r="L276" s="1" t="s">
        <v>893</v>
      </c>
      <c r="M276" s="1" t="s">
        <v>38</v>
      </c>
      <c r="N276" s="1" t="s">
        <v>37</v>
      </c>
      <c r="O276" s="3">
        <v>847816175</v>
      </c>
      <c r="P276" s="3">
        <v>2</v>
      </c>
    </row>
    <row r="277" spans="1:16" ht="15.75" x14ac:dyDescent="0.25">
      <c r="A277" s="3">
        <v>74781</v>
      </c>
      <c r="B277" s="1" t="s">
        <v>845</v>
      </c>
      <c r="C277" s="1" t="s">
        <v>928</v>
      </c>
      <c r="D277" s="4">
        <v>45896</v>
      </c>
      <c r="E277" s="4">
        <v>45917</v>
      </c>
      <c r="F277" s="11">
        <f>DATEDIF(D277,E277,"M")</f>
        <v>0</v>
      </c>
      <c r="G277" s="11" t="s">
        <v>921</v>
      </c>
      <c r="H277" s="1">
        <v>16.34</v>
      </c>
      <c r="I277" s="1">
        <v>6.05</v>
      </c>
      <c r="J277" s="20">
        <f>SUM(I277/H277)</f>
        <v>0.37025703794369647</v>
      </c>
      <c r="K277" s="1">
        <v>17528908</v>
      </c>
      <c r="L277" s="1" t="s">
        <v>893</v>
      </c>
      <c r="M277" s="1" t="s">
        <v>38</v>
      </c>
      <c r="N277" s="1" t="s">
        <v>37</v>
      </c>
      <c r="O277" s="3">
        <v>847901550</v>
      </c>
      <c r="P277" s="3">
        <v>2</v>
      </c>
    </row>
    <row r="278" spans="1:16" ht="15.75" x14ac:dyDescent="0.25">
      <c r="A278" s="11">
        <v>16185</v>
      </c>
      <c r="B278" s="16" t="s">
        <v>467</v>
      </c>
      <c r="C278" s="16" t="s">
        <v>926</v>
      </c>
      <c r="D278" s="17">
        <v>45607</v>
      </c>
      <c r="E278" s="17">
        <v>45915</v>
      </c>
      <c r="F278" s="11">
        <f>DATEDIF(D278,E278,"M")</f>
        <v>10</v>
      </c>
      <c r="G278" s="11" t="s">
        <v>921</v>
      </c>
      <c r="H278" s="16">
        <v>16.34</v>
      </c>
      <c r="I278" s="16">
        <v>6.05</v>
      </c>
      <c r="J278" s="20">
        <f>SUM(I278/H278)</f>
        <v>0.37025703794369647</v>
      </c>
      <c r="K278" s="16">
        <v>16865615</v>
      </c>
      <c r="L278" s="16" t="s">
        <v>889</v>
      </c>
      <c r="M278" s="16" t="s">
        <v>38</v>
      </c>
      <c r="N278" s="16" t="s">
        <v>37</v>
      </c>
      <c r="O278" s="11">
        <v>847693818</v>
      </c>
      <c r="P278" s="11">
        <v>2</v>
      </c>
    </row>
    <row r="279" spans="1:16" ht="15.75" x14ac:dyDescent="0.25">
      <c r="A279" s="11">
        <v>16185</v>
      </c>
      <c r="B279" s="16" t="s">
        <v>467</v>
      </c>
      <c r="C279" s="16" t="s">
        <v>926</v>
      </c>
      <c r="D279" s="17">
        <v>45607</v>
      </c>
      <c r="E279" s="17">
        <v>45915</v>
      </c>
      <c r="F279" s="11">
        <f>DATEDIF(D279,E279,"M")</f>
        <v>10</v>
      </c>
      <c r="G279" s="11" t="s">
        <v>921</v>
      </c>
      <c r="H279" s="16">
        <v>16.34</v>
      </c>
      <c r="I279" s="16">
        <v>6.05</v>
      </c>
      <c r="J279" s="20">
        <f>SUM(I279/H279)</f>
        <v>0.37025703794369647</v>
      </c>
      <c r="K279" s="16">
        <v>16865615</v>
      </c>
      <c r="L279" s="16" t="s">
        <v>889</v>
      </c>
      <c r="M279" s="16" t="s">
        <v>38</v>
      </c>
      <c r="N279" s="16" t="s">
        <v>37</v>
      </c>
      <c r="O279" s="11">
        <v>847693818</v>
      </c>
      <c r="P279" s="11">
        <v>2</v>
      </c>
    </row>
    <row r="280" spans="1:16" ht="15.75" x14ac:dyDescent="0.25">
      <c r="A280" s="13">
        <v>65407</v>
      </c>
      <c r="B280" s="14" t="s">
        <v>842</v>
      </c>
      <c r="C280" s="14" t="s">
        <v>928</v>
      </c>
      <c r="D280" s="15">
        <v>45885</v>
      </c>
      <c r="E280" s="15">
        <v>45918</v>
      </c>
      <c r="F280" s="13">
        <f>DATEDIF(D280,E280,"M")</f>
        <v>1</v>
      </c>
      <c r="G280" s="13" t="s">
        <v>923</v>
      </c>
      <c r="H280" s="14">
        <v>16.34</v>
      </c>
      <c r="I280" s="14">
        <v>6.05</v>
      </c>
      <c r="J280" s="19">
        <f>SUM(I280/H280)</f>
        <v>0.37025703794369647</v>
      </c>
      <c r="K280" s="14">
        <v>16865615</v>
      </c>
      <c r="L280" s="14" t="s">
        <v>889</v>
      </c>
      <c r="M280" s="14" t="s">
        <v>38</v>
      </c>
      <c r="N280" s="14" t="s">
        <v>37</v>
      </c>
      <c r="O280" s="13">
        <v>847896092</v>
      </c>
      <c r="P280" s="13">
        <v>2</v>
      </c>
    </row>
    <row r="281" spans="1:16" ht="15.75" x14ac:dyDescent="0.25">
      <c r="A281" s="13">
        <v>97555</v>
      </c>
      <c r="B281" s="14" t="s">
        <v>647</v>
      </c>
      <c r="C281" s="14" t="s">
        <v>926</v>
      </c>
      <c r="D281" s="15">
        <v>45732</v>
      </c>
      <c r="E281" s="15">
        <v>45918</v>
      </c>
      <c r="F281" s="13">
        <f>DATEDIF(D281,E281,"M")</f>
        <v>6</v>
      </c>
      <c r="G281" s="13" t="s">
        <v>923</v>
      </c>
      <c r="H281" s="14">
        <v>16.34</v>
      </c>
      <c r="I281" s="14">
        <v>6.05</v>
      </c>
      <c r="J281" s="19">
        <f>SUM(I281/H281)</f>
        <v>0.37025703794369647</v>
      </c>
      <c r="K281" s="14">
        <v>2158366</v>
      </c>
      <c r="L281" s="14" t="s">
        <v>891</v>
      </c>
      <c r="M281" s="14" t="s">
        <v>38</v>
      </c>
      <c r="N281" s="14" t="s">
        <v>37</v>
      </c>
      <c r="O281" s="13">
        <v>847794433</v>
      </c>
      <c r="P281" s="13">
        <v>2</v>
      </c>
    </row>
    <row r="282" spans="1:16" ht="15.75" x14ac:dyDescent="0.25">
      <c r="A282" s="13">
        <v>66370</v>
      </c>
      <c r="B282" s="14" t="s">
        <v>709</v>
      </c>
      <c r="C282" s="14" t="s">
        <v>926</v>
      </c>
      <c r="D282" s="15">
        <v>45792</v>
      </c>
      <c r="E282" s="15">
        <v>45917</v>
      </c>
      <c r="F282" s="13">
        <f>DATEDIF(D282,E282,"M")</f>
        <v>4</v>
      </c>
      <c r="G282" s="13" t="s">
        <v>923</v>
      </c>
      <c r="H282" s="14">
        <v>16.34</v>
      </c>
      <c r="I282" s="14">
        <v>6.05</v>
      </c>
      <c r="J282" s="19">
        <f>SUM(I282/H282)</f>
        <v>0.37025703794369647</v>
      </c>
      <c r="K282" s="14">
        <v>8244481</v>
      </c>
      <c r="L282" s="14" t="s">
        <v>888</v>
      </c>
      <c r="M282" s="14" t="s">
        <v>38</v>
      </c>
      <c r="N282" s="14" t="s">
        <v>37</v>
      </c>
      <c r="O282" s="13">
        <v>847834369</v>
      </c>
      <c r="P282" s="13">
        <v>2</v>
      </c>
    </row>
    <row r="283" spans="1:16" ht="15.75" x14ac:dyDescent="0.25">
      <c r="A283" s="11">
        <v>9622</v>
      </c>
      <c r="B283" s="16" t="s">
        <v>449</v>
      </c>
      <c r="C283" s="16" t="s">
        <v>926</v>
      </c>
      <c r="D283" s="17">
        <v>45602</v>
      </c>
      <c r="E283" s="17">
        <v>45916</v>
      </c>
      <c r="F283" s="11">
        <f>DATEDIF(D283,E283,"M")</f>
        <v>10</v>
      </c>
      <c r="G283" s="11" t="s">
        <v>921</v>
      </c>
      <c r="H283" s="16">
        <v>-16.34</v>
      </c>
      <c r="I283" s="16">
        <v>-6.05</v>
      </c>
      <c r="J283" s="20">
        <f>SUM(I283/H283)</f>
        <v>0.37025703794369647</v>
      </c>
      <c r="K283" s="16">
        <v>8971826</v>
      </c>
      <c r="L283" s="16" t="s">
        <v>886</v>
      </c>
      <c r="M283" s="16" t="s">
        <v>38</v>
      </c>
      <c r="N283" s="16" t="s">
        <v>37</v>
      </c>
      <c r="O283" s="11">
        <v>847690265</v>
      </c>
      <c r="P283" s="11">
        <v>1</v>
      </c>
    </row>
    <row r="284" spans="1:16" ht="15.75" x14ac:dyDescent="0.25">
      <c r="A284" s="11">
        <v>9622</v>
      </c>
      <c r="B284" s="16" t="s">
        <v>449</v>
      </c>
      <c r="C284" s="16" t="s">
        <v>926</v>
      </c>
      <c r="D284" s="17">
        <v>45602</v>
      </c>
      <c r="E284" s="17">
        <v>45916</v>
      </c>
      <c r="F284" s="11">
        <f>DATEDIF(D284,E284,"M")</f>
        <v>10</v>
      </c>
      <c r="G284" s="11" t="s">
        <v>921</v>
      </c>
      <c r="H284" s="16">
        <v>-16.34</v>
      </c>
      <c r="I284" s="16">
        <v>-6.05</v>
      </c>
      <c r="J284" s="20">
        <f>SUM(I284/H284)</f>
        <v>0.37025703794369647</v>
      </c>
      <c r="K284" s="16">
        <v>8971826</v>
      </c>
      <c r="L284" s="16" t="s">
        <v>886</v>
      </c>
      <c r="M284" s="16" t="s">
        <v>38</v>
      </c>
      <c r="N284" s="16" t="s">
        <v>37</v>
      </c>
      <c r="O284" s="11">
        <v>847690265</v>
      </c>
      <c r="P284" s="11">
        <v>1</v>
      </c>
    </row>
    <row r="285" spans="1:16" ht="15.75" x14ac:dyDescent="0.25">
      <c r="A285" s="11">
        <v>16794</v>
      </c>
      <c r="B285" s="16" t="s">
        <v>473</v>
      </c>
      <c r="C285" s="16" t="s">
        <v>926</v>
      </c>
      <c r="D285" s="17">
        <v>45607</v>
      </c>
      <c r="E285" s="17">
        <v>45915</v>
      </c>
      <c r="F285" s="11">
        <f>DATEDIF(D285,E285,"M")</f>
        <v>10</v>
      </c>
      <c r="G285" s="11" t="s">
        <v>921</v>
      </c>
      <c r="H285" s="16">
        <v>16.34</v>
      </c>
      <c r="I285" s="16">
        <v>6.05</v>
      </c>
      <c r="J285" s="20">
        <f>SUM(I285/H285)</f>
        <v>0.37025703794369647</v>
      </c>
      <c r="K285" s="16">
        <v>8971826</v>
      </c>
      <c r="L285" s="16" t="s">
        <v>886</v>
      </c>
      <c r="M285" s="16" t="s">
        <v>38</v>
      </c>
      <c r="N285" s="16" t="s">
        <v>37</v>
      </c>
      <c r="O285" s="11">
        <v>847694115</v>
      </c>
      <c r="P285" s="11">
        <v>2</v>
      </c>
    </row>
    <row r="286" spans="1:16" ht="15.75" x14ac:dyDescent="0.25">
      <c r="A286" s="13">
        <v>97536</v>
      </c>
      <c r="B286" s="14" t="s">
        <v>743</v>
      </c>
      <c r="C286" s="14" t="s">
        <v>926</v>
      </c>
      <c r="D286" s="15">
        <v>45820</v>
      </c>
      <c r="E286" s="15">
        <v>45915</v>
      </c>
      <c r="F286" s="13">
        <f>DATEDIF(D286,E286,"M")</f>
        <v>3</v>
      </c>
      <c r="G286" s="13" t="s">
        <v>923</v>
      </c>
      <c r="H286" s="14">
        <v>13.07</v>
      </c>
      <c r="I286" s="14">
        <v>4.84</v>
      </c>
      <c r="J286" s="19">
        <f>SUM(I286/H286)</f>
        <v>0.37031369548584542</v>
      </c>
      <c r="K286" s="14">
        <v>18201929</v>
      </c>
      <c r="L286" s="14" t="s">
        <v>903</v>
      </c>
      <c r="M286" s="14" t="s">
        <v>38</v>
      </c>
      <c r="N286" s="14" t="s">
        <v>37</v>
      </c>
      <c r="O286" s="13">
        <v>847855633</v>
      </c>
      <c r="P286" s="13">
        <v>2</v>
      </c>
    </row>
    <row r="287" spans="1:16" ht="15.75" x14ac:dyDescent="0.25">
      <c r="A287" s="11">
        <v>67790</v>
      </c>
      <c r="B287" s="16" t="s">
        <v>525</v>
      </c>
      <c r="C287" s="16" t="s">
        <v>926</v>
      </c>
      <c r="D287" s="17">
        <v>45637</v>
      </c>
      <c r="E287" s="17">
        <v>45915</v>
      </c>
      <c r="F287" s="11">
        <f>DATEDIF(D287,E287,"M")</f>
        <v>9</v>
      </c>
      <c r="G287" s="11" t="s">
        <v>921</v>
      </c>
      <c r="H287" s="16">
        <v>13.07</v>
      </c>
      <c r="I287" s="16">
        <v>4.84</v>
      </c>
      <c r="J287" s="20">
        <f>SUM(I287/H287)</f>
        <v>0.37031369548584542</v>
      </c>
      <c r="K287" s="16">
        <v>8977234</v>
      </c>
      <c r="L287" s="16" t="s">
        <v>887</v>
      </c>
      <c r="M287" s="16" t="s">
        <v>38</v>
      </c>
      <c r="N287" s="16" t="s">
        <v>37</v>
      </c>
      <c r="O287" s="11">
        <v>847721205</v>
      </c>
      <c r="P287" s="11">
        <v>2</v>
      </c>
    </row>
    <row r="288" spans="1:16" ht="15.75" x14ac:dyDescent="0.25">
      <c r="A288" s="11">
        <v>5453</v>
      </c>
      <c r="B288" s="16" t="s">
        <v>429</v>
      </c>
      <c r="C288" s="16" t="s">
        <v>926</v>
      </c>
      <c r="D288" s="17">
        <v>45599</v>
      </c>
      <c r="E288" s="17">
        <v>45915</v>
      </c>
      <c r="F288" s="11">
        <f>DATEDIF(D288,E288,"M")</f>
        <v>10</v>
      </c>
      <c r="G288" s="11" t="s">
        <v>921</v>
      </c>
      <c r="H288" s="16">
        <v>-19.63</v>
      </c>
      <c r="I288" s="16">
        <v>-7.27</v>
      </c>
      <c r="J288" s="20">
        <f>SUM(I288/H288)</f>
        <v>0.37035150280183393</v>
      </c>
      <c r="K288" s="16">
        <v>7146581</v>
      </c>
      <c r="L288" s="16" t="s">
        <v>892</v>
      </c>
      <c r="M288" s="16" t="s">
        <v>38</v>
      </c>
      <c r="N288" s="16" t="s">
        <v>37</v>
      </c>
      <c r="O288" s="11">
        <v>847688042</v>
      </c>
      <c r="P288" s="11">
        <v>2</v>
      </c>
    </row>
    <row r="289" spans="1:16" ht="15.75" x14ac:dyDescent="0.25">
      <c r="A289" s="11">
        <v>5453</v>
      </c>
      <c r="B289" s="16" t="s">
        <v>429</v>
      </c>
      <c r="C289" s="16" t="s">
        <v>926</v>
      </c>
      <c r="D289" s="17">
        <v>45599</v>
      </c>
      <c r="E289" s="17">
        <v>45915</v>
      </c>
      <c r="F289" s="11">
        <f>DATEDIF(D289,E289,"M")</f>
        <v>10</v>
      </c>
      <c r="G289" s="11" t="s">
        <v>921</v>
      </c>
      <c r="H289" s="16">
        <v>-19.63</v>
      </c>
      <c r="I289" s="16">
        <v>-7.27</v>
      </c>
      <c r="J289" s="20">
        <f>SUM(I289/H289)</f>
        <v>0.37035150280183393</v>
      </c>
      <c r="K289" s="16">
        <v>7146581</v>
      </c>
      <c r="L289" s="16" t="s">
        <v>892</v>
      </c>
      <c r="M289" s="16" t="s">
        <v>38</v>
      </c>
      <c r="N289" s="16" t="s">
        <v>37</v>
      </c>
      <c r="O289" s="11">
        <v>847688042</v>
      </c>
      <c r="P289" s="11">
        <v>2</v>
      </c>
    </row>
    <row r="290" spans="1:16" ht="15.75" x14ac:dyDescent="0.25">
      <c r="A290" s="13">
        <v>90282</v>
      </c>
      <c r="B290" s="14" t="s">
        <v>862</v>
      </c>
      <c r="C290" s="14" t="s">
        <v>928</v>
      </c>
      <c r="D290" s="15">
        <v>45913</v>
      </c>
      <c r="E290" s="15">
        <v>45915</v>
      </c>
      <c r="F290" s="13">
        <f>DATEDIF(D290,E290,"M")</f>
        <v>0</v>
      </c>
      <c r="G290" s="13" t="s">
        <v>922</v>
      </c>
      <c r="H290" s="14">
        <v>11.88</v>
      </c>
      <c r="I290" s="14">
        <v>4.4000000000000004</v>
      </c>
      <c r="J290" s="19">
        <f>SUM(I290/H290)</f>
        <v>0.37037037037037035</v>
      </c>
      <c r="K290" s="14" t="s">
        <v>918</v>
      </c>
      <c r="L290" s="14" t="s">
        <v>892</v>
      </c>
      <c r="M290" s="14" t="s">
        <v>38</v>
      </c>
      <c r="N290" s="14" t="s">
        <v>37</v>
      </c>
      <c r="O290" s="13">
        <v>847910615</v>
      </c>
      <c r="P290" s="13">
        <v>2</v>
      </c>
    </row>
    <row r="291" spans="1:16" ht="15.75" x14ac:dyDescent="0.25">
      <c r="A291" s="3">
        <v>79979</v>
      </c>
      <c r="B291" s="1" t="s">
        <v>419</v>
      </c>
      <c r="C291" s="1" t="s">
        <v>926</v>
      </c>
      <c r="D291" s="4">
        <v>45577</v>
      </c>
      <c r="E291" s="4">
        <v>45915</v>
      </c>
      <c r="F291" s="11">
        <f>DATEDIF(D291,E291,"M")</f>
        <v>11</v>
      </c>
      <c r="G291" s="11" t="s">
        <v>921</v>
      </c>
      <c r="H291" s="1">
        <v>2.69</v>
      </c>
      <c r="I291" s="1">
        <v>1</v>
      </c>
      <c r="J291" s="20">
        <f>SUM(I291/H291)</f>
        <v>0.37174721189591081</v>
      </c>
      <c r="K291" s="1">
        <v>9079571</v>
      </c>
      <c r="L291" s="1" t="s">
        <v>899</v>
      </c>
      <c r="M291" s="1" t="s">
        <v>38</v>
      </c>
      <c r="N291" s="1" t="s">
        <v>37</v>
      </c>
      <c r="O291" s="3">
        <v>847675089</v>
      </c>
      <c r="P291" s="3">
        <v>2</v>
      </c>
    </row>
    <row r="292" spans="1:16" ht="15.75" x14ac:dyDescent="0.25">
      <c r="A292" s="11">
        <v>5452</v>
      </c>
      <c r="B292" s="16" t="s">
        <v>429</v>
      </c>
      <c r="C292" s="16" t="s">
        <v>926</v>
      </c>
      <c r="D292" s="17">
        <v>45599</v>
      </c>
      <c r="E292" s="17">
        <v>45918</v>
      </c>
      <c r="F292" s="11">
        <f>DATEDIF(D292,E292,"M")</f>
        <v>10</v>
      </c>
      <c r="G292" s="11" t="s">
        <v>921</v>
      </c>
      <c r="H292" s="16">
        <v>-2.69</v>
      </c>
      <c r="I292" s="16">
        <v>-1</v>
      </c>
      <c r="J292" s="20">
        <f>SUM(I292/H292)</f>
        <v>0.37174721189591081</v>
      </c>
      <c r="K292" s="16">
        <v>7146581</v>
      </c>
      <c r="L292" s="16" t="s">
        <v>892</v>
      </c>
      <c r="M292" s="16" t="s">
        <v>38</v>
      </c>
      <c r="N292" s="16" t="s">
        <v>37</v>
      </c>
      <c r="O292" s="11">
        <v>847688042</v>
      </c>
      <c r="P292" s="11">
        <v>2</v>
      </c>
    </row>
    <row r="293" spans="1:16" ht="15.75" x14ac:dyDescent="0.25">
      <c r="A293" s="11">
        <v>5452</v>
      </c>
      <c r="B293" s="16" t="s">
        <v>429</v>
      </c>
      <c r="C293" s="16" t="s">
        <v>926</v>
      </c>
      <c r="D293" s="17">
        <v>45599</v>
      </c>
      <c r="E293" s="17">
        <v>45918</v>
      </c>
      <c r="F293" s="11">
        <f>DATEDIF(D293,E293,"M")</f>
        <v>10</v>
      </c>
      <c r="G293" s="11" t="s">
        <v>921</v>
      </c>
      <c r="H293" s="16">
        <v>-2.69</v>
      </c>
      <c r="I293" s="16">
        <v>-1</v>
      </c>
      <c r="J293" s="20">
        <f>SUM(I293/H293)</f>
        <v>0.37174721189591081</v>
      </c>
      <c r="K293" s="16">
        <v>7146581</v>
      </c>
      <c r="L293" s="16" t="s">
        <v>892</v>
      </c>
      <c r="M293" s="16" t="s">
        <v>38</v>
      </c>
      <c r="N293" s="16" t="s">
        <v>37</v>
      </c>
      <c r="O293" s="11">
        <v>847688042</v>
      </c>
      <c r="P293" s="11">
        <v>2</v>
      </c>
    </row>
    <row r="294" spans="1:16" ht="15.75" x14ac:dyDescent="0.25">
      <c r="A294" s="11">
        <v>5452</v>
      </c>
      <c r="B294" s="16" t="s">
        <v>429</v>
      </c>
      <c r="C294" s="16" t="s">
        <v>926</v>
      </c>
      <c r="D294" s="17">
        <v>45599</v>
      </c>
      <c r="E294" s="17">
        <v>45918</v>
      </c>
      <c r="F294" s="11">
        <f>DATEDIF(D294,E294,"M")</f>
        <v>10</v>
      </c>
      <c r="G294" s="11" t="s">
        <v>921</v>
      </c>
      <c r="H294" s="16">
        <v>-2.69</v>
      </c>
      <c r="I294" s="16">
        <v>-1</v>
      </c>
      <c r="J294" s="20">
        <f>SUM(I294/H294)</f>
        <v>0.37174721189591081</v>
      </c>
      <c r="K294" s="16">
        <v>7146581</v>
      </c>
      <c r="L294" s="16" t="s">
        <v>892</v>
      </c>
      <c r="M294" s="16" t="s">
        <v>38</v>
      </c>
      <c r="N294" s="16" t="s">
        <v>37</v>
      </c>
      <c r="O294" s="11">
        <v>847688042</v>
      </c>
      <c r="P294" s="11">
        <v>2</v>
      </c>
    </row>
    <row r="295" spans="1:16" ht="15.75" x14ac:dyDescent="0.25">
      <c r="A295" s="13">
        <v>71322</v>
      </c>
      <c r="B295" s="14" t="s">
        <v>731</v>
      </c>
      <c r="C295" s="14" t="s">
        <v>926</v>
      </c>
      <c r="D295" s="15">
        <v>45793</v>
      </c>
      <c r="E295" s="15">
        <v>45918</v>
      </c>
      <c r="F295" s="13">
        <f>DATEDIF(D295,E295,"M")</f>
        <v>4</v>
      </c>
      <c r="G295" s="13" t="s">
        <v>923</v>
      </c>
      <c r="H295" s="14">
        <v>2.69</v>
      </c>
      <c r="I295" s="14">
        <v>1</v>
      </c>
      <c r="J295" s="19">
        <f>SUM(I295/H295)</f>
        <v>0.37174721189591081</v>
      </c>
      <c r="K295" s="14">
        <v>17554531</v>
      </c>
      <c r="L295" s="14" t="s">
        <v>913</v>
      </c>
      <c r="M295" s="14" t="s">
        <v>38</v>
      </c>
      <c r="N295" s="14" t="s">
        <v>37</v>
      </c>
      <c r="O295" s="13">
        <v>847837269</v>
      </c>
      <c r="P295" s="13">
        <v>2</v>
      </c>
    </row>
    <row r="296" spans="1:16" ht="15.75" x14ac:dyDescent="0.25">
      <c r="A296" s="13">
        <v>59487</v>
      </c>
      <c r="B296" s="14" t="s">
        <v>816</v>
      </c>
      <c r="C296" s="14" t="s">
        <v>928</v>
      </c>
      <c r="D296" s="15">
        <v>45881</v>
      </c>
      <c r="E296" s="15">
        <v>45915</v>
      </c>
      <c r="F296" s="13">
        <f>DATEDIF(D296,E296,"M")</f>
        <v>1</v>
      </c>
      <c r="G296" s="13" t="s">
        <v>923</v>
      </c>
      <c r="H296" s="14">
        <v>2.69</v>
      </c>
      <c r="I296" s="14">
        <v>1</v>
      </c>
      <c r="J296" s="19">
        <f>SUM(I296/H296)</f>
        <v>0.37174721189591081</v>
      </c>
      <c r="K296" s="14">
        <v>19681796</v>
      </c>
      <c r="L296" s="14" t="s">
        <v>916</v>
      </c>
      <c r="M296" s="14" t="s">
        <v>38</v>
      </c>
      <c r="N296" s="14" t="s">
        <v>37</v>
      </c>
      <c r="O296" s="13">
        <v>847892520</v>
      </c>
      <c r="P296" s="13">
        <v>2</v>
      </c>
    </row>
    <row r="297" spans="1:16" ht="15.75" x14ac:dyDescent="0.25">
      <c r="A297" s="13">
        <v>29889</v>
      </c>
      <c r="B297" s="14" t="s">
        <v>616</v>
      </c>
      <c r="C297" s="14" t="s">
        <v>926</v>
      </c>
      <c r="D297" s="15">
        <v>45680</v>
      </c>
      <c r="E297" s="15">
        <v>45916</v>
      </c>
      <c r="F297" s="13">
        <f>DATEDIF(D297,E297,"M")</f>
        <v>7</v>
      </c>
      <c r="G297" s="13" t="s">
        <v>923</v>
      </c>
      <c r="H297" s="14">
        <v>-2.69</v>
      </c>
      <c r="I297" s="14">
        <v>-1</v>
      </c>
      <c r="J297" s="19">
        <f>SUM(I297/H297)</f>
        <v>0.37174721189591081</v>
      </c>
      <c r="K297" s="14">
        <v>6115727</v>
      </c>
      <c r="L297" s="14" t="s">
        <v>901</v>
      </c>
      <c r="M297" s="14" t="s">
        <v>38</v>
      </c>
      <c r="N297" s="14" t="s">
        <v>37</v>
      </c>
      <c r="O297" s="13">
        <v>847756871</v>
      </c>
      <c r="P297" s="13">
        <v>1</v>
      </c>
    </row>
    <row r="298" spans="1:16" ht="15.75" x14ac:dyDescent="0.25">
      <c r="A298" s="13">
        <v>29889</v>
      </c>
      <c r="B298" s="14" t="s">
        <v>616</v>
      </c>
      <c r="C298" s="14" t="s">
        <v>926</v>
      </c>
      <c r="D298" s="15">
        <v>45680</v>
      </c>
      <c r="E298" s="15">
        <v>45916</v>
      </c>
      <c r="F298" s="13">
        <f>DATEDIF(D298,E298,"M")</f>
        <v>7</v>
      </c>
      <c r="G298" s="13" t="s">
        <v>923</v>
      </c>
      <c r="H298" s="14">
        <v>-2.69</v>
      </c>
      <c r="I298" s="14">
        <v>-1</v>
      </c>
      <c r="J298" s="19">
        <f>SUM(I298/H298)</f>
        <v>0.37174721189591081</v>
      </c>
      <c r="K298" s="14">
        <v>6115727</v>
      </c>
      <c r="L298" s="14" t="s">
        <v>901</v>
      </c>
      <c r="M298" s="14" t="s">
        <v>38</v>
      </c>
      <c r="N298" s="14" t="s">
        <v>37</v>
      </c>
      <c r="O298" s="13">
        <v>847756871</v>
      </c>
      <c r="P298" s="13">
        <v>1</v>
      </c>
    </row>
    <row r="299" spans="1:16" ht="15.75" x14ac:dyDescent="0.25">
      <c r="A299" s="13">
        <v>29889</v>
      </c>
      <c r="B299" s="14" t="s">
        <v>616</v>
      </c>
      <c r="C299" s="14" t="s">
        <v>926</v>
      </c>
      <c r="D299" s="15">
        <v>45680</v>
      </c>
      <c r="E299" s="15">
        <v>45916</v>
      </c>
      <c r="F299" s="13">
        <f>DATEDIF(D299,E299,"M")</f>
        <v>7</v>
      </c>
      <c r="G299" s="13" t="s">
        <v>923</v>
      </c>
      <c r="H299" s="14">
        <v>-2.69</v>
      </c>
      <c r="I299" s="14">
        <v>-1</v>
      </c>
      <c r="J299" s="19">
        <f>SUM(I299/H299)</f>
        <v>0.37174721189591081</v>
      </c>
      <c r="K299" s="14">
        <v>6115727</v>
      </c>
      <c r="L299" s="14" t="s">
        <v>901</v>
      </c>
      <c r="M299" s="14" t="s">
        <v>38</v>
      </c>
      <c r="N299" s="14" t="s">
        <v>37</v>
      </c>
      <c r="O299" s="13">
        <v>847756871</v>
      </c>
      <c r="P299" s="13">
        <v>1</v>
      </c>
    </row>
    <row r="300" spans="1:16" ht="15.75" x14ac:dyDescent="0.25">
      <c r="A300" s="13">
        <v>29889</v>
      </c>
      <c r="B300" s="14" t="s">
        <v>616</v>
      </c>
      <c r="C300" s="14" t="s">
        <v>926</v>
      </c>
      <c r="D300" s="15">
        <v>45680</v>
      </c>
      <c r="E300" s="15">
        <v>45916</v>
      </c>
      <c r="F300" s="13">
        <f>DATEDIF(D300,E300,"M")</f>
        <v>7</v>
      </c>
      <c r="G300" s="13" t="s">
        <v>923</v>
      </c>
      <c r="H300" s="14">
        <v>-2.69</v>
      </c>
      <c r="I300" s="14">
        <v>-1</v>
      </c>
      <c r="J300" s="19">
        <f>SUM(I300/H300)</f>
        <v>0.37174721189591081</v>
      </c>
      <c r="K300" s="14">
        <v>6115727</v>
      </c>
      <c r="L300" s="14" t="s">
        <v>901</v>
      </c>
      <c r="M300" s="14" t="s">
        <v>38</v>
      </c>
      <c r="N300" s="14" t="s">
        <v>37</v>
      </c>
      <c r="O300" s="13">
        <v>847756871</v>
      </c>
      <c r="P300" s="13">
        <v>1</v>
      </c>
    </row>
    <row r="301" spans="1:16" ht="15.75" x14ac:dyDescent="0.25">
      <c r="A301" s="3">
        <v>7206</v>
      </c>
      <c r="B301" s="1" t="s">
        <v>445</v>
      </c>
      <c r="C301" s="1" t="s">
        <v>926</v>
      </c>
      <c r="D301" s="4">
        <v>45611</v>
      </c>
      <c r="E301" s="4">
        <v>45917</v>
      </c>
      <c r="F301" s="11">
        <f>DATEDIF(D301,E301,"M")</f>
        <v>10</v>
      </c>
      <c r="G301" s="11" t="s">
        <v>921</v>
      </c>
      <c r="H301" s="1">
        <v>2.69</v>
      </c>
      <c r="I301" s="1">
        <v>1</v>
      </c>
      <c r="J301" s="20">
        <f>SUM(I301/H301)</f>
        <v>0.37174721189591081</v>
      </c>
      <c r="K301" s="1">
        <v>5442438</v>
      </c>
      <c r="L301" s="1" t="s">
        <v>897</v>
      </c>
      <c r="M301" s="1" t="s">
        <v>38</v>
      </c>
      <c r="N301" s="1" t="s">
        <v>37</v>
      </c>
      <c r="O301" s="3">
        <v>847688971</v>
      </c>
      <c r="P301" s="3">
        <v>2</v>
      </c>
    </row>
    <row r="302" spans="1:16" ht="15.75" x14ac:dyDescent="0.25">
      <c r="A302" s="3">
        <v>31457</v>
      </c>
      <c r="B302" s="1" t="s">
        <v>794</v>
      </c>
      <c r="C302" s="1" t="s">
        <v>926</v>
      </c>
      <c r="D302" s="4">
        <v>45854</v>
      </c>
      <c r="E302" s="4">
        <v>45918</v>
      </c>
      <c r="F302" s="11">
        <f>DATEDIF(D302,E302,"M")</f>
        <v>2</v>
      </c>
      <c r="G302" s="11" t="s">
        <v>921</v>
      </c>
      <c r="H302" s="1">
        <v>2.69</v>
      </c>
      <c r="I302" s="1">
        <v>1</v>
      </c>
      <c r="J302" s="20">
        <f>SUM(I302/H302)</f>
        <v>0.37174721189591081</v>
      </c>
      <c r="K302" s="1">
        <v>5442438</v>
      </c>
      <c r="L302" s="1" t="s">
        <v>897</v>
      </c>
      <c r="M302" s="1" t="s">
        <v>38</v>
      </c>
      <c r="N302" s="1" t="s">
        <v>37</v>
      </c>
      <c r="O302" s="3">
        <v>847875999</v>
      </c>
      <c r="P302" s="3">
        <v>2</v>
      </c>
    </row>
    <row r="303" spans="1:16" ht="15.75" x14ac:dyDescent="0.25">
      <c r="A303" s="11">
        <v>73930</v>
      </c>
      <c r="B303" s="16" t="s">
        <v>565</v>
      </c>
      <c r="C303" s="16" t="s">
        <v>926</v>
      </c>
      <c r="D303" s="17">
        <v>45639</v>
      </c>
      <c r="E303" s="17">
        <v>45918</v>
      </c>
      <c r="F303" s="11">
        <f>DATEDIF(D303,E303,"M")</f>
        <v>9</v>
      </c>
      <c r="G303" s="11" t="s">
        <v>921</v>
      </c>
      <c r="H303" s="16">
        <v>1.5</v>
      </c>
      <c r="I303" s="16">
        <v>0.56000000000000005</v>
      </c>
      <c r="J303" s="20">
        <f>SUM(I303/H303)</f>
        <v>0.37333333333333335</v>
      </c>
      <c r="K303" s="16">
        <v>17425766</v>
      </c>
      <c r="L303" s="16" t="s">
        <v>907</v>
      </c>
      <c r="M303" s="16" t="s">
        <v>38</v>
      </c>
      <c r="N303" s="16" t="s">
        <v>37</v>
      </c>
      <c r="O303" s="11">
        <v>847724819</v>
      </c>
      <c r="P303" s="11">
        <v>2</v>
      </c>
    </row>
    <row r="304" spans="1:16" ht="15.75" x14ac:dyDescent="0.25">
      <c r="A304" s="11">
        <v>73930</v>
      </c>
      <c r="B304" s="16" t="s">
        <v>565</v>
      </c>
      <c r="C304" s="16" t="s">
        <v>926</v>
      </c>
      <c r="D304" s="17">
        <v>45639</v>
      </c>
      <c r="E304" s="17">
        <v>45918</v>
      </c>
      <c r="F304" s="11">
        <f>DATEDIF(D304,E304,"M")</f>
        <v>9</v>
      </c>
      <c r="G304" s="11" t="s">
        <v>921</v>
      </c>
      <c r="H304" s="16">
        <v>1.5</v>
      </c>
      <c r="I304" s="16">
        <v>0.56000000000000005</v>
      </c>
      <c r="J304" s="20">
        <f>SUM(I304/H304)</f>
        <v>0.37333333333333335</v>
      </c>
      <c r="K304" s="16">
        <v>17425766</v>
      </c>
      <c r="L304" s="16" t="s">
        <v>907</v>
      </c>
      <c r="M304" s="16" t="s">
        <v>38</v>
      </c>
      <c r="N304" s="16" t="s">
        <v>37</v>
      </c>
      <c r="O304" s="11">
        <v>847724819</v>
      </c>
      <c r="P304" s="11">
        <v>2</v>
      </c>
    </row>
    <row r="305" spans="1:16" ht="15.75" x14ac:dyDescent="0.25">
      <c r="A305" s="3">
        <v>96537</v>
      </c>
      <c r="B305" s="1" t="s">
        <v>577</v>
      </c>
      <c r="C305" s="1" t="s">
        <v>926</v>
      </c>
      <c r="D305" s="4">
        <v>45658</v>
      </c>
      <c r="E305" s="4">
        <v>45916</v>
      </c>
      <c r="F305" s="11">
        <f>DATEDIF(D305,E305,"M")</f>
        <v>8</v>
      </c>
      <c r="G305" s="11" t="s">
        <v>921</v>
      </c>
      <c r="H305" s="1">
        <v>-1.5</v>
      </c>
      <c r="I305" s="1">
        <v>-0.56000000000000005</v>
      </c>
      <c r="J305" s="20">
        <f>SUM(I305/H305)</f>
        <v>0.37333333333333335</v>
      </c>
      <c r="K305" s="1">
        <v>17425766</v>
      </c>
      <c r="L305" s="1" t="s">
        <v>907</v>
      </c>
      <c r="M305" s="1" t="s">
        <v>38</v>
      </c>
      <c r="N305" s="1" t="s">
        <v>37</v>
      </c>
      <c r="O305" s="3">
        <v>847738366</v>
      </c>
      <c r="P305" s="3">
        <v>1</v>
      </c>
    </row>
    <row r="306" spans="1:16" ht="15.75" x14ac:dyDescent="0.25">
      <c r="A306" s="3">
        <v>96537</v>
      </c>
      <c r="B306" s="1" t="s">
        <v>577</v>
      </c>
      <c r="C306" s="1" t="s">
        <v>926</v>
      </c>
      <c r="D306" s="4">
        <v>45658</v>
      </c>
      <c r="E306" s="4">
        <v>45916</v>
      </c>
      <c r="F306" s="11">
        <f>DATEDIF(D306,E306,"M")</f>
        <v>8</v>
      </c>
      <c r="G306" s="11" t="s">
        <v>921</v>
      </c>
      <c r="H306" s="1">
        <v>-1.5</v>
      </c>
      <c r="I306" s="1">
        <v>-0.56000000000000005</v>
      </c>
      <c r="J306" s="20">
        <f>SUM(I306/H306)</f>
        <v>0.37333333333333335</v>
      </c>
      <c r="K306" s="1">
        <v>17425766</v>
      </c>
      <c r="L306" s="1" t="s">
        <v>907</v>
      </c>
      <c r="M306" s="1" t="s">
        <v>38</v>
      </c>
      <c r="N306" s="1" t="s">
        <v>37</v>
      </c>
      <c r="O306" s="3">
        <v>847738366</v>
      </c>
      <c r="P306" s="3">
        <v>1</v>
      </c>
    </row>
    <row r="307" spans="1:16" ht="15.75" x14ac:dyDescent="0.25">
      <c r="A307" s="3">
        <v>96537</v>
      </c>
      <c r="B307" s="1" t="s">
        <v>577</v>
      </c>
      <c r="C307" s="1" t="s">
        <v>926</v>
      </c>
      <c r="D307" s="4">
        <v>45658</v>
      </c>
      <c r="E307" s="4">
        <v>45916</v>
      </c>
      <c r="F307" s="11">
        <f>DATEDIF(D307,E307,"M")</f>
        <v>8</v>
      </c>
      <c r="G307" s="11" t="s">
        <v>921</v>
      </c>
      <c r="H307" s="1">
        <v>-1.5</v>
      </c>
      <c r="I307" s="1">
        <v>-0.56000000000000005</v>
      </c>
      <c r="J307" s="20">
        <f>SUM(I307/H307)</f>
        <v>0.37333333333333335</v>
      </c>
      <c r="K307" s="1">
        <v>17425766</v>
      </c>
      <c r="L307" s="1" t="s">
        <v>907</v>
      </c>
      <c r="M307" s="1" t="s">
        <v>38</v>
      </c>
      <c r="N307" s="1" t="s">
        <v>37</v>
      </c>
      <c r="O307" s="3">
        <v>847738366</v>
      </c>
      <c r="P307" s="3">
        <v>1</v>
      </c>
    </row>
    <row r="308" spans="1:16" ht="15.75" x14ac:dyDescent="0.25">
      <c r="A308" s="3">
        <v>96537</v>
      </c>
      <c r="B308" s="1" t="s">
        <v>577</v>
      </c>
      <c r="C308" s="1" t="s">
        <v>926</v>
      </c>
      <c r="D308" s="4">
        <v>45658</v>
      </c>
      <c r="E308" s="4">
        <v>45916</v>
      </c>
      <c r="F308" s="11">
        <f>DATEDIF(D308,E308,"M")</f>
        <v>8</v>
      </c>
      <c r="G308" s="11" t="s">
        <v>921</v>
      </c>
      <c r="H308" s="1">
        <v>-1.5</v>
      </c>
      <c r="I308" s="1">
        <v>-0.56000000000000005</v>
      </c>
      <c r="J308" s="20">
        <f>SUM(I308/H308)</f>
        <v>0.37333333333333335</v>
      </c>
      <c r="K308" s="1">
        <v>17425766</v>
      </c>
      <c r="L308" s="1" t="s">
        <v>907</v>
      </c>
      <c r="M308" s="1" t="s">
        <v>38</v>
      </c>
      <c r="N308" s="1" t="s">
        <v>37</v>
      </c>
      <c r="O308" s="3">
        <v>847738366</v>
      </c>
      <c r="P308" s="3">
        <v>1</v>
      </c>
    </row>
    <row r="309" spans="1:16" ht="15.75" x14ac:dyDescent="0.25">
      <c r="A309" s="3">
        <v>88427</v>
      </c>
      <c r="B309" s="1" t="s">
        <v>859</v>
      </c>
      <c r="C309" s="1" t="s">
        <v>928</v>
      </c>
      <c r="D309" s="4">
        <v>45911</v>
      </c>
      <c r="E309" s="4">
        <v>45915</v>
      </c>
      <c r="F309" s="11">
        <f>DATEDIF(D309,E309,"M")</f>
        <v>0</v>
      </c>
      <c r="G309" s="11" t="s">
        <v>921</v>
      </c>
      <c r="H309" s="1">
        <v>1.5</v>
      </c>
      <c r="I309" s="1">
        <v>0.56000000000000005</v>
      </c>
      <c r="J309" s="20">
        <f>SUM(I309/H309)</f>
        <v>0.37333333333333335</v>
      </c>
      <c r="K309" s="1">
        <v>17425766</v>
      </c>
      <c r="L309" s="1" t="s">
        <v>907</v>
      </c>
      <c r="M309" s="1" t="s">
        <v>38</v>
      </c>
      <c r="N309" s="1" t="s">
        <v>37</v>
      </c>
      <c r="O309" s="3">
        <v>847909501</v>
      </c>
      <c r="P309" s="3">
        <v>2</v>
      </c>
    </row>
    <row r="310" spans="1:16" ht="15.75" x14ac:dyDescent="0.25">
      <c r="A310" s="3">
        <v>28647</v>
      </c>
      <c r="B310" s="1" t="s">
        <v>779</v>
      </c>
      <c r="C310" s="1" t="s">
        <v>926</v>
      </c>
      <c r="D310" s="4">
        <v>45850</v>
      </c>
      <c r="E310" s="4">
        <v>45915</v>
      </c>
      <c r="F310" s="11">
        <f>DATEDIF(D310,E310,"M")</f>
        <v>2</v>
      </c>
      <c r="G310" s="11" t="s">
        <v>921</v>
      </c>
      <c r="H310" s="1">
        <v>1.5</v>
      </c>
      <c r="I310" s="1">
        <v>0.56000000000000005</v>
      </c>
      <c r="J310" s="20">
        <f>SUM(I310/H310)</f>
        <v>0.37333333333333335</v>
      </c>
      <c r="K310" s="1">
        <v>17528908</v>
      </c>
      <c r="L310" s="1" t="s">
        <v>893</v>
      </c>
      <c r="M310" s="1" t="s">
        <v>38</v>
      </c>
      <c r="N310" s="1" t="s">
        <v>37</v>
      </c>
      <c r="O310" s="3">
        <v>847874347</v>
      </c>
      <c r="P310" s="3">
        <v>2</v>
      </c>
    </row>
    <row r="311" spans="1:16" ht="15.75" x14ac:dyDescent="0.25">
      <c r="A311" s="3">
        <v>60485</v>
      </c>
      <c r="B311" s="1" t="s">
        <v>398</v>
      </c>
      <c r="C311" s="1" t="s">
        <v>926</v>
      </c>
      <c r="D311" s="4">
        <v>45577</v>
      </c>
      <c r="E311" s="4">
        <v>45915</v>
      </c>
      <c r="F311" s="11">
        <f>DATEDIF(D311,E311,"M")</f>
        <v>11</v>
      </c>
      <c r="G311" s="11" t="s">
        <v>921</v>
      </c>
      <c r="H311" s="1">
        <v>1.5</v>
      </c>
      <c r="I311" s="1">
        <v>0.56000000000000005</v>
      </c>
      <c r="J311" s="20">
        <f>SUM(I311/H311)</f>
        <v>0.37333333333333335</v>
      </c>
      <c r="K311" s="1">
        <v>9213293</v>
      </c>
      <c r="L311" s="1" t="s">
        <v>914</v>
      </c>
      <c r="M311" s="1" t="s">
        <v>38</v>
      </c>
      <c r="N311" s="1" t="s">
        <v>37</v>
      </c>
      <c r="O311" s="3">
        <v>847664484</v>
      </c>
      <c r="P311" s="3">
        <v>2</v>
      </c>
    </row>
    <row r="312" spans="1:16" ht="15.75" x14ac:dyDescent="0.25">
      <c r="A312" s="3">
        <v>79255</v>
      </c>
      <c r="B312" s="1" t="s">
        <v>571</v>
      </c>
      <c r="C312" s="1" t="s">
        <v>926</v>
      </c>
      <c r="D312" s="4">
        <v>45643</v>
      </c>
      <c r="E312" s="4">
        <v>45919</v>
      </c>
      <c r="F312" s="11">
        <f>DATEDIF(D312,E312,"M")</f>
        <v>9</v>
      </c>
      <c r="G312" s="11" t="s">
        <v>921</v>
      </c>
      <c r="H312" s="1">
        <v>0.75</v>
      </c>
      <c r="I312" s="1">
        <v>0.28000000000000003</v>
      </c>
      <c r="J312" s="20">
        <f>SUM(I312/H312)</f>
        <v>0.37333333333333335</v>
      </c>
      <c r="K312" s="1">
        <v>19279958</v>
      </c>
      <c r="L312" s="1" t="s">
        <v>909</v>
      </c>
      <c r="M312" s="1" t="s">
        <v>38</v>
      </c>
      <c r="N312" s="1" t="s">
        <v>37</v>
      </c>
      <c r="O312" s="3">
        <v>847727805</v>
      </c>
      <c r="P312" s="3">
        <v>2</v>
      </c>
    </row>
    <row r="313" spans="1:16" ht="15.75" x14ac:dyDescent="0.25">
      <c r="A313" s="5">
        <v>73207</v>
      </c>
      <c r="B313" s="6" t="s">
        <v>877</v>
      </c>
      <c r="C313" s="6" t="s">
        <v>927</v>
      </c>
      <c r="D313" s="7">
        <v>43571</v>
      </c>
      <c r="E313" s="7">
        <v>45918</v>
      </c>
      <c r="F313" s="5">
        <f>DATEDIF(D313,E313,"M")</f>
        <v>77</v>
      </c>
      <c r="G313" s="5" t="s">
        <v>921</v>
      </c>
      <c r="H313" s="6">
        <v>0.21</v>
      </c>
      <c r="I313" s="6">
        <v>0.21</v>
      </c>
      <c r="J313" s="18">
        <f>SUM(I313/H313)</f>
        <v>1</v>
      </c>
      <c r="K313" s="6">
        <v>20411454</v>
      </c>
      <c r="L313" s="6" t="s">
        <v>882</v>
      </c>
      <c r="M313" s="6" t="s">
        <v>38</v>
      </c>
      <c r="N313" s="6" t="s">
        <v>37</v>
      </c>
      <c r="O313" s="5">
        <v>943220900</v>
      </c>
      <c r="P313" s="5">
        <v>2</v>
      </c>
    </row>
    <row r="314" spans="1:16" ht="15.75" x14ac:dyDescent="0.25">
      <c r="A314" s="5">
        <v>62363</v>
      </c>
      <c r="B314" s="6" t="s">
        <v>872</v>
      </c>
      <c r="C314" s="6" t="s">
        <v>927</v>
      </c>
      <c r="D314" s="7">
        <v>43174</v>
      </c>
      <c r="E314" s="7">
        <v>45917</v>
      </c>
      <c r="F314" s="5">
        <f>DATEDIF(D314,E314,"M")</f>
        <v>90</v>
      </c>
      <c r="G314" s="5" t="s">
        <v>921</v>
      </c>
      <c r="H314" s="6">
        <v>0.47</v>
      </c>
      <c r="I314" s="6">
        <v>0.47</v>
      </c>
      <c r="J314" s="18">
        <f>SUM(I314/H314)</f>
        <v>1</v>
      </c>
      <c r="K314" s="6">
        <v>20411454</v>
      </c>
      <c r="L314" s="6" t="s">
        <v>882</v>
      </c>
      <c r="M314" s="6" t="s">
        <v>38</v>
      </c>
      <c r="N314" s="6" t="s">
        <v>37</v>
      </c>
      <c r="O314" s="5">
        <v>943146611</v>
      </c>
      <c r="P314" s="5">
        <v>2</v>
      </c>
    </row>
    <row r="315" spans="1:16" ht="15.75" x14ac:dyDescent="0.25">
      <c r="A315" s="3">
        <v>47488</v>
      </c>
      <c r="B315" s="1" t="s">
        <v>135</v>
      </c>
      <c r="C315" s="6" t="s">
        <v>927</v>
      </c>
      <c r="D315" s="4">
        <v>45274</v>
      </c>
      <c r="E315" s="4">
        <v>45916</v>
      </c>
      <c r="F315" s="11">
        <f>DATEDIF(D315,E315,"M")</f>
        <v>21</v>
      </c>
      <c r="G315" s="11" t="s">
        <v>921</v>
      </c>
      <c r="H315" s="1">
        <v>0.88</v>
      </c>
      <c r="I315" s="1">
        <v>0.88</v>
      </c>
      <c r="J315" s="20">
        <f>SUM(I315/H315)</f>
        <v>1</v>
      </c>
      <c r="K315" s="6">
        <v>20411454</v>
      </c>
      <c r="L315" s="6" t="s">
        <v>882</v>
      </c>
      <c r="M315" s="1" t="s">
        <v>38</v>
      </c>
      <c r="N315" s="1" t="s">
        <v>37</v>
      </c>
      <c r="O315" s="3">
        <v>847483105</v>
      </c>
      <c r="P315" s="3">
        <v>2</v>
      </c>
    </row>
    <row r="316" spans="1:16" ht="15.75" x14ac:dyDescent="0.25">
      <c r="A316" s="3">
        <v>51094</v>
      </c>
      <c r="B316" s="1" t="s">
        <v>204</v>
      </c>
      <c r="C316" s="6" t="s">
        <v>927</v>
      </c>
      <c r="D316" s="4">
        <v>45366</v>
      </c>
      <c r="E316" s="4">
        <v>45917</v>
      </c>
      <c r="F316" s="11">
        <f>DATEDIF(D316,E316,"M")</f>
        <v>18</v>
      </c>
      <c r="G316" s="11" t="s">
        <v>921</v>
      </c>
      <c r="H316" s="1">
        <v>0.03</v>
      </c>
      <c r="I316" s="1">
        <v>0.03</v>
      </c>
      <c r="J316" s="20">
        <f>SUM(I316/H316)</f>
        <v>1</v>
      </c>
      <c r="K316" s="6">
        <v>20411454</v>
      </c>
      <c r="L316" s="6" t="s">
        <v>882</v>
      </c>
      <c r="M316" s="1" t="s">
        <v>38</v>
      </c>
      <c r="N316" s="1" t="s">
        <v>37</v>
      </c>
      <c r="O316" s="3">
        <v>847542956</v>
      </c>
      <c r="P316" s="3">
        <v>2</v>
      </c>
    </row>
    <row r="317" spans="1:16" ht="15.75" x14ac:dyDescent="0.25">
      <c r="A317" s="3">
        <v>47488</v>
      </c>
      <c r="B317" s="1" t="s">
        <v>135</v>
      </c>
      <c r="C317" s="6" t="s">
        <v>927</v>
      </c>
      <c r="D317" s="4">
        <v>45274</v>
      </c>
      <c r="E317" s="4">
        <v>45916</v>
      </c>
      <c r="F317" s="11">
        <f>DATEDIF(D317,E317,"M")</f>
        <v>21</v>
      </c>
      <c r="G317" s="11" t="s">
        <v>921</v>
      </c>
      <c r="H317" s="1">
        <v>0.03</v>
      </c>
      <c r="I317" s="1">
        <v>0.03</v>
      </c>
      <c r="J317" s="20">
        <f>SUM(I317/H317)</f>
        <v>1</v>
      </c>
      <c r="K317" s="6">
        <v>20411454</v>
      </c>
      <c r="L317" s="6" t="s">
        <v>882</v>
      </c>
      <c r="M317" s="1" t="s">
        <v>38</v>
      </c>
      <c r="N317" s="1" t="s">
        <v>37</v>
      </c>
      <c r="O317" s="3">
        <v>847483105</v>
      </c>
      <c r="P317" s="3">
        <v>2</v>
      </c>
    </row>
    <row r="318" spans="1:16" ht="15.75" x14ac:dyDescent="0.25">
      <c r="A318" s="5">
        <v>53626</v>
      </c>
      <c r="B318" s="6" t="s">
        <v>877</v>
      </c>
      <c r="C318" s="6" t="s">
        <v>927</v>
      </c>
      <c r="D318" s="7">
        <v>43571</v>
      </c>
      <c r="E318" s="7">
        <v>45918</v>
      </c>
      <c r="F318" s="5">
        <f>DATEDIF(D318,E318,"M")</f>
        <v>77</v>
      </c>
      <c r="G318" s="5" t="s">
        <v>921</v>
      </c>
      <c r="H318" s="6">
        <v>0.92</v>
      </c>
      <c r="I318" s="6">
        <v>0.92</v>
      </c>
      <c r="J318" s="18">
        <f>SUM(I318/H318)</f>
        <v>1</v>
      </c>
      <c r="K318" s="6">
        <v>20411454</v>
      </c>
      <c r="L318" s="6" t="s">
        <v>882</v>
      </c>
      <c r="M318" s="6" t="s">
        <v>38</v>
      </c>
      <c r="N318" s="6" t="s">
        <v>37</v>
      </c>
      <c r="O318" s="5">
        <v>943220900</v>
      </c>
      <c r="P318" s="5">
        <v>2</v>
      </c>
    </row>
    <row r="319" spans="1:16" ht="15.75" x14ac:dyDescent="0.25">
      <c r="A319" s="3">
        <v>51094</v>
      </c>
      <c r="B319" s="1" t="s">
        <v>204</v>
      </c>
      <c r="C319" s="6" t="s">
        <v>927</v>
      </c>
      <c r="D319" s="4">
        <v>45366</v>
      </c>
      <c r="E319" s="4">
        <v>45917</v>
      </c>
      <c r="F319" s="11">
        <f>DATEDIF(D319,E319,"M")</f>
        <v>18</v>
      </c>
      <c r="G319" s="11" t="s">
        <v>921</v>
      </c>
      <c r="H319" s="1">
        <v>1.1499999999999999</v>
      </c>
      <c r="I319" s="1">
        <v>1.1499999999999999</v>
      </c>
      <c r="J319" s="20">
        <f>SUM(I319/H319)</f>
        <v>1</v>
      </c>
      <c r="K319" s="6">
        <v>20411454</v>
      </c>
      <c r="L319" s="6" t="s">
        <v>882</v>
      </c>
      <c r="M319" s="1" t="s">
        <v>38</v>
      </c>
      <c r="N319" s="1" t="s">
        <v>37</v>
      </c>
      <c r="O319" s="3">
        <v>847542956</v>
      </c>
      <c r="P319" s="3">
        <v>2</v>
      </c>
    </row>
    <row r="320" spans="1:16" ht="15.75" x14ac:dyDescent="0.25">
      <c r="A320" s="3">
        <v>51095</v>
      </c>
      <c r="B320" s="1" t="s">
        <v>204</v>
      </c>
      <c r="C320" s="6" t="s">
        <v>927</v>
      </c>
      <c r="D320" s="4">
        <v>45366</v>
      </c>
      <c r="E320" s="4">
        <v>45917</v>
      </c>
      <c r="F320" s="11">
        <f>DATEDIF(D320,E320,"M")</f>
        <v>18</v>
      </c>
      <c r="G320" s="11" t="s">
        <v>921</v>
      </c>
      <c r="H320" s="1">
        <v>0.33</v>
      </c>
      <c r="I320" s="1">
        <v>0.33</v>
      </c>
      <c r="J320" s="20">
        <f>SUM(I320/H320)</f>
        <v>1</v>
      </c>
      <c r="K320" s="6">
        <v>20411454</v>
      </c>
      <c r="L320" s="6" t="s">
        <v>882</v>
      </c>
      <c r="M320" s="1" t="s">
        <v>38</v>
      </c>
      <c r="N320" s="1" t="s">
        <v>37</v>
      </c>
      <c r="O320" s="3">
        <v>847542956</v>
      </c>
      <c r="P320" s="3">
        <v>2</v>
      </c>
    </row>
    <row r="321" spans="1:16" ht="15.75" x14ac:dyDescent="0.25">
      <c r="A321" s="5">
        <v>59581</v>
      </c>
      <c r="B321" s="6" t="s">
        <v>821</v>
      </c>
      <c r="C321" s="6" t="s">
        <v>927</v>
      </c>
      <c r="D321" s="7">
        <v>45881</v>
      </c>
      <c r="E321" s="7">
        <v>45915</v>
      </c>
      <c r="F321" s="5">
        <f>DATEDIF(D321,E321,"M")</f>
        <v>1</v>
      </c>
      <c r="G321" s="5" t="s">
        <v>921</v>
      </c>
      <c r="H321" s="5">
        <v>0.65</v>
      </c>
      <c r="I321" s="5">
        <v>0.65</v>
      </c>
      <c r="J321" s="18">
        <f>SUM(I321/H321)</f>
        <v>1</v>
      </c>
      <c r="K321" s="6">
        <v>20411454</v>
      </c>
      <c r="L321" s="6" t="s">
        <v>882</v>
      </c>
      <c r="M321" s="6" t="s">
        <v>38</v>
      </c>
      <c r="N321" s="5">
        <v>0.65</v>
      </c>
      <c r="O321" s="5">
        <v>847892578</v>
      </c>
      <c r="P321" s="5">
        <v>2</v>
      </c>
    </row>
    <row r="322" spans="1:16" ht="15.75" x14ac:dyDescent="0.25">
      <c r="A322" s="5">
        <v>59580</v>
      </c>
      <c r="B322" s="6" t="s">
        <v>821</v>
      </c>
      <c r="C322" s="6" t="s">
        <v>927</v>
      </c>
      <c r="D322" s="7">
        <v>45881</v>
      </c>
      <c r="E322" s="7">
        <v>45915</v>
      </c>
      <c r="F322" s="5">
        <f>DATEDIF(D322,E322,"M")</f>
        <v>1</v>
      </c>
      <c r="G322" s="5" t="s">
        <v>921</v>
      </c>
      <c r="H322" s="5">
        <v>1.27</v>
      </c>
      <c r="I322" s="5">
        <v>1.27</v>
      </c>
      <c r="J322" s="18">
        <f>SUM(I322/H322)</f>
        <v>1</v>
      </c>
      <c r="K322" s="6">
        <v>20411454</v>
      </c>
      <c r="L322" s="6" t="s">
        <v>882</v>
      </c>
      <c r="M322" s="6" t="s">
        <v>38</v>
      </c>
      <c r="N322" s="5">
        <v>1.27</v>
      </c>
      <c r="O322" s="5">
        <v>847892578</v>
      </c>
      <c r="P322" s="5">
        <v>2</v>
      </c>
    </row>
    <row r="323" spans="1:16" ht="15.75" x14ac:dyDescent="0.25">
      <c r="A323" s="5">
        <v>34182</v>
      </c>
      <c r="B323" s="6" t="s">
        <v>679</v>
      </c>
      <c r="C323" s="6" t="s">
        <v>927</v>
      </c>
      <c r="D323" s="7">
        <v>45762</v>
      </c>
      <c r="E323" s="7">
        <v>45917</v>
      </c>
      <c r="F323" s="5">
        <f>DATEDIF(D323,E323,"M")</f>
        <v>5</v>
      </c>
      <c r="G323" s="5" t="s">
        <v>921</v>
      </c>
      <c r="H323" s="5">
        <v>0.11</v>
      </c>
      <c r="I323" s="5">
        <v>0.11</v>
      </c>
      <c r="J323" s="18">
        <f>SUM(I323/H323)</f>
        <v>1</v>
      </c>
      <c r="K323" s="6">
        <v>20411454</v>
      </c>
      <c r="L323" s="6" t="s">
        <v>882</v>
      </c>
      <c r="M323" s="6" t="s">
        <v>38</v>
      </c>
      <c r="N323" s="5">
        <v>0.11</v>
      </c>
      <c r="O323" s="5">
        <v>847815387</v>
      </c>
      <c r="P323" s="5">
        <v>2</v>
      </c>
    </row>
    <row r="324" spans="1:16" ht="15.75" x14ac:dyDescent="0.25">
      <c r="A324" s="5">
        <v>24010</v>
      </c>
      <c r="B324" s="6" t="s">
        <v>660</v>
      </c>
      <c r="C324" s="6" t="s">
        <v>927</v>
      </c>
      <c r="D324" s="7">
        <v>45761</v>
      </c>
      <c r="E324" s="7">
        <v>45916</v>
      </c>
      <c r="F324" s="5">
        <f>DATEDIF(D324,E324,"M")</f>
        <v>5</v>
      </c>
      <c r="G324" s="5" t="s">
        <v>921</v>
      </c>
      <c r="H324" s="5">
        <v>0.19</v>
      </c>
      <c r="I324" s="5">
        <v>0.19</v>
      </c>
      <c r="J324" s="18">
        <f>SUM(I324/H324)</f>
        <v>1</v>
      </c>
      <c r="K324" s="6">
        <v>20411454</v>
      </c>
      <c r="L324" s="6" t="s">
        <v>882</v>
      </c>
      <c r="M324" s="6" t="s">
        <v>38</v>
      </c>
      <c r="N324" s="5">
        <v>0.19</v>
      </c>
      <c r="O324" s="5">
        <v>847809424</v>
      </c>
      <c r="P324" s="5">
        <v>2</v>
      </c>
    </row>
    <row r="325" spans="1:16" ht="15.75" x14ac:dyDescent="0.25">
      <c r="A325" s="5">
        <v>34182</v>
      </c>
      <c r="B325" s="6" t="s">
        <v>679</v>
      </c>
      <c r="C325" s="6" t="s">
        <v>927</v>
      </c>
      <c r="D325" s="7">
        <v>45762</v>
      </c>
      <c r="E325" s="7">
        <v>45917</v>
      </c>
      <c r="F325" s="5">
        <f>DATEDIF(D325,E325,"M")</f>
        <v>5</v>
      </c>
      <c r="G325" s="5" t="s">
        <v>921</v>
      </c>
      <c r="H325" s="5">
        <v>2.54</v>
      </c>
      <c r="I325" s="5">
        <v>2.54</v>
      </c>
      <c r="J325" s="18">
        <f>SUM(I325/H325)</f>
        <v>1</v>
      </c>
      <c r="K325" s="6">
        <v>20411454</v>
      </c>
      <c r="L325" s="6" t="s">
        <v>882</v>
      </c>
      <c r="M325" s="6" t="s">
        <v>38</v>
      </c>
      <c r="N325" s="5">
        <v>2.54</v>
      </c>
      <c r="O325" s="5">
        <v>847815387</v>
      </c>
      <c r="P325" s="5">
        <v>2</v>
      </c>
    </row>
    <row r="326" spans="1:16" ht="15.75" x14ac:dyDescent="0.25">
      <c r="A326" s="5">
        <v>24010</v>
      </c>
      <c r="B326" s="6" t="s">
        <v>660</v>
      </c>
      <c r="C326" s="6" t="s">
        <v>927</v>
      </c>
      <c r="D326" s="7">
        <v>45761</v>
      </c>
      <c r="E326" s="7">
        <v>45916</v>
      </c>
      <c r="F326" s="5">
        <f>DATEDIF(D326,E326,"M")</f>
        <v>5</v>
      </c>
      <c r="G326" s="5" t="s">
        <v>921</v>
      </c>
      <c r="H326" s="5">
        <v>5.08</v>
      </c>
      <c r="I326" s="5">
        <v>5.08</v>
      </c>
      <c r="J326" s="18">
        <f>SUM(I326/H326)</f>
        <v>1</v>
      </c>
      <c r="K326" s="6">
        <v>20411454</v>
      </c>
      <c r="L326" s="6" t="s">
        <v>882</v>
      </c>
      <c r="M326" s="6" t="s">
        <v>38</v>
      </c>
      <c r="N326" s="5">
        <v>5.08</v>
      </c>
      <c r="O326" s="5">
        <v>847809424</v>
      </c>
      <c r="P326" s="5">
        <v>2</v>
      </c>
    </row>
    <row r="327" spans="1:16" ht="15.75" x14ac:dyDescent="0.25">
      <c r="A327" s="5">
        <v>28590</v>
      </c>
      <c r="B327" s="6" t="s">
        <v>611</v>
      </c>
      <c r="C327" s="6" t="s">
        <v>927</v>
      </c>
      <c r="D327" s="7">
        <v>45704</v>
      </c>
      <c r="E327" s="7">
        <v>45918</v>
      </c>
      <c r="F327" s="5">
        <f>DATEDIF(D327,E327,"M")</f>
        <v>7</v>
      </c>
      <c r="G327" s="5" t="s">
        <v>921</v>
      </c>
      <c r="H327" s="5">
        <v>0.11</v>
      </c>
      <c r="I327" s="5">
        <v>0.11</v>
      </c>
      <c r="J327" s="18">
        <f>SUM(I327/H327)</f>
        <v>1</v>
      </c>
      <c r="K327" s="6">
        <v>20411454</v>
      </c>
      <c r="L327" s="6" t="s">
        <v>882</v>
      </c>
      <c r="M327" s="6" t="s">
        <v>38</v>
      </c>
      <c r="N327" s="5">
        <v>0.11</v>
      </c>
      <c r="O327" s="5">
        <v>847756182</v>
      </c>
      <c r="P327" s="5">
        <v>2</v>
      </c>
    </row>
    <row r="328" spans="1:16" ht="15.75" x14ac:dyDescent="0.25">
      <c r="A328" s="5">
        <v>28591</v>
      </c>
      <c r="B328" s="6" t="s">
        <v>611</v>
      </c>
      <c r="C328" s="6" t="s">
        <v>927</v>
      </c>
      <c r="D328" s="7">
        <v>45704</v>
      </c>
      <c r="E328" s="7">
        <v>45918</v>
      </c>
      <c r="F328" s="5">
        <f>DATEDIF(D328,E328,"M")</f>
        <v>7</v>
      </c>
      <c r="G328" s="5" t="s">
        <v>921</v>
      </c>
      <c r="H328" s="5">
        <v>1.1399999999999999</v>
      </c>
      <c r="I328" s="5">
        <v>1.1399999999999999</v>
      </c>
      <c r="J328" s="18">
        <f>SUM(I328/H328)</f>
        <v>1</v>
      </c>
      <c r="K328" s="6">
        <v>20411454</v>
      </c>
      <c r="L328" s="6" t="s">
        <v>882</v>
      </c>
      <c r="M328" s="6" t="s">
        <v>38</v>
      </c>
      <c r="N328" s="5">
        <v>1.1399999999999999</v>
      </c>
      <c r="O328" s="5">
        <v>847756182</v>
      </c>
      <c r="P328" s="5">
        <v>2</v>
      </c>
    </row>
    <row r="329" spans="1:16" ht="15.75" x14ac:dyDescent="0.25">
      <c r="A329" s="5">
        <v>28590</v>
      </c>
      <c r="B329" s="6" t="s">
        <v>611</v>
      </c>
      <c r="C329" s="6" t="s">
        <v>927</v>
      </c>
      <c r="D329" s="7">
        <v>45704</v>
      </c>
      <c r="E329" s="7">
        <v>45918</v>
      </c>
      <c r="F329" s="5">
        <f>DATEDIF(D329,E329,"M")</f>
        <v>7</v>
      </c>
      <c r="G329" s="5" t="s">
        <v>921</v>
      </c>
      <c r="H329" s="5">
        <v>2.54</v>
      </c>
      <c r="I329" s="5">
        <v>2.54</v>
      </c>
      <c r="J329" s="18">
        <f>SUM(I329/H329)</f>
        <v>1</v>
      </c>
      <c r="K329" s="6">
        <v>20411454</v>
      </c>
      <c r="L329" s="6" t="s">
        <v>882</v>
      </c>
      <c r="M329" s="6" t="s">
        <v>38</v>
      </c>
      <c r="N329" s="5">
        <v>2.54</v>
      </c>
      <c r="O329" s="5">
        <v>847756182</v>
      </c>
      <c r="P329" s="5">
        <v>2</v>
      </c>
    </row>
    <row r="330" spans="1:16" ht="15.75" x14ac:dyDescent="0.25">
      <c r="A330" s="5">
        <v>8703</v>
      </c>
      <c r="B330" s="6" t="s">
        <v>581</v>
      </c>
      <c r="C330" s="6" t="s">
        <v>927</v>
      </c>
      <c r="D330" s="7">
        <v>45670</v>
      </c>
      <c r="E330" s="7">
        <v>45915</v>
      </c>
      <c r="F330" s="5">
        <f>DATEDIF(D330,E330,"M")</f>
        <v>8</v>
      </c>
      <c r="G330" s="5" t="s">
        <v>921</v>
      </c>
      <c r="H330" s="5">
        <v>0.11</v>
      </c>
      <c r="I330" s="5">
        <v>0.11</v>
      </c>
      <c r="J330" s="18">
        <f>SUM(I330/H330)</f>
        <v>1</v>
      </c>
      <c r="K330" s="6">
        <v>20411454</v>
      </c>
      <c r="L330" s="6" t="s">
        <v>882</v>
      </c>
      <c r="M330" s="6" t="s">
        <v>38</v>
      </c>
      <c r="N330" s="5">
        <v>0.11</v>
      </c>
      <c r="O330" s="5">
        <v>847744984</v>
      </c>
      <c r="P330" s="5">
        <v>2</v>
      </c>
    </row>
    <row r="331" spans="1:16" ht="15.75" x14ac:dyDescent="0.25">
      <c r="A331" s="5">
        <v>9333</v>
      </c>
      <c r="B331" s="6" t="s">
        <v>585</v>
      </c>
      <c r="C331" s="6" t="s">
        <v>927</v>
      </c>
      <c r="D331" s="7">
        <v>45670</v>
      </c>
      <c r="E331" s="7">
        <v>45915</v>
      </c>
      <c r="F331" s="5">
        <f>DATEDIF(D331,E331,"M")</f>
        <v>8</v>
      </c>
      <c r="G331" s="5" t="s">
        <v>921</v>
      </c>
      <c r="H331" s="5">
        <v>0.11</v>
      </c>
      <c r="I331" s="5">
        <v>0.11</v>
      </c>
      <c r="J331" s="18">
        <f>SUM(I331/H331)</f>
        <v>1</v>
      </c>
      <c r="K331" s="6">
        <v>20411454</v>
      </c>
      <c r="L331" s="6" t="s">
        <v>882</v>
      </c>
      <c r="M331" s="6" t="s">
        <v>38</v>
      </c>
      <c r="N331" s="5">
        <v>0.11</v>
      </c>
      <c r="O331" s="5">
        <v>847745336</v>
      </c>
      <c r="P331" s="5">
        <v>2</v>
      </c>
    </row>
    <row r="332" spans="1:16" ht="15.75" x14ac:dyDescent="0.25">
      <c r="A332" s="5">
        <v>10617</v>
      </c>
      <c r="B332" s="6" t="s">
        <v>588</v>
      </c>
      <c r="C332" s="6" t="s">
        <v>927</v>
      </c>
      <c r="D332" s="7">
        <v>45668</v>
      </c>
      <c r="E332" s="7">
        <v>45915</v>
      </c>
      <c r="F332" s="5">
        <f>DATEDIF(D332,E332,"M")</f>
        <v>8</v>
      </c>
      <c r="G332" s="5" t="s">
        <v>921</v>
      </c>
      <c r="H332" s="5">
        <v>0.11</v>
      </c>
      <c r="I332" s="5">
        <v>0.11</v>
      </c>
      <c r="J332" s="18">
        <f>SUM(I332/H332)</f>
        <v>1</v>
      </c>
      <c r="K332" s="6">
        <v>20411454</v>
      </c>
      <c r="L332" s="6" t="s">
        <v>882</v>
      </c>
      <c r="M332" s="6" t="s">
        <v>38</v>
      </c>
      <c r="N332" s="5">
        <v>0.11</v>
      </c>
      <c r="O332" s="5">
        <v>847746079</v>
      </c>
      <c r="P332" s="5">
        <v>2</v>
      </c>
    </row>
    <row r="333" spans="1:16" ht="15.75" x14ac:dyDescent="0.25">
      <c r="A333" s="5">
        <v>14267</v>
      </c>
      <c r="B333" s="6" t="s">
        <v>598</v>
      </c>
      <c r="C333" s="6" t="s">
        <v>927</v>
      </c>
      <c r="D333" s="7">
        <v>45671</v>
      </c>
      <c r="E333" s="7">
        <v>45916</v>
      </c>
      <c r="F333" s="5">
        <f>DATEDIF(D333,E333,"M")</f>
        <v>8</v>
      </c>
      <c r="G333" s="5" t="s">
        <v>921</v>
      </c>
      <c r="H333" s="5">
        <v>0.11</v>
      </c>
      <c r="I333" s="5">
        <v>0.11</v>
      </c>
      <c r="J333" s="18">
        <f>SUM(I333/H333)</f>
        <v>1</v>
      </c>
      <c r="K333" s="6">
        <v>20411454</v>
      </c>
      <c r="L333" s="6" t="s">
        <v>882</v>
      </c>
      <c r="M333" s="6" t="s">
        <v>38</v>
      </c>
      <c r="N333" s="5">
        <v>0.11</v>
      </c>
      <c r="O333" s="5">
        <v>847748111</v>
      </c>
      <c r="P333" s="5">
        <v>2</v>
      </c>
    </row>
    <row r="334" spans="1:16" ht="15.75" x14ac:dyDescent="0.25">
      <c r="A334" s="5">
        <v>33759</v>
      </c>
      <c r="B334" s="6" t="s">
        <v>502</v>
      </c>
      <c r="C334" s="6" t="s">
        <v>927</v>
      </c>
      <c r="D334" s="7">
        <v>45672</v>
      </c>
      <c r="E334" s="7">
        <v>45917</v>
      </c>
      <c r="F334" s="5">
        <f>DATEDIF(D334,E334,"M")</f>
        <v>8</v>
      </c>
      <c r="G334" s="5" t="s">
        <v>921</v>
      </c>
      <c r="H334" s="5">
        <v>1.1399999999999999</v>
      </c>
      <c r="I334" s="5">
        <v>1.1399999999999999</v>
      </c>
      <c r="J334" s="18">
        <f>SUM(I334/H334)</f>
        <v>1</v>
      </c>
      <c r="K334" s="6">
        <v>20411454</v>
      </c>
      <c r="L334" s="6" t="s">
        <v>882</v>
      </c>
      <c r="M334" s="6" t="s">
        <v>38</v>
      </c>
      <c r="N334" s="5">
        <v>1.1399999999999999</v>
      </c>
      <c r="O334" s="5">
        <v>847703321</v>
      </c>
      <c r="P334" s="5">
        <v>2</v>
      </c>
    </row>
    <row r="335" spans="1:16" ht="15.75" x14ac:dyDescent="0.25">
      <c r="A335" s="5">
        <v>93824</v>
      </c>
      <c r="B335" s="6" t="s">
        <v>574</v>
      </c>
      <c r="C335" s="6" t="s">
        <v>927</v>
      </c>
      <c r="D335" s="7">
        <v>45658</v>
      </c>
      <c r="E335" s="7">
        <v>45917</v>
      </c>
      <c r="F335" s="5">
        <f>DATEDIF(D335,E335,"M")</f>
        <v>8</v>
      </c>
      <c r="G335" s="5" t="s">
        <v>921</v>
      </c>
      <c r="H335" s="5">
        <v>1.1399999999999999</v>
      </c>
      <c r="I335" s="5">
        <v>1.1399999999999999</v>
      </c>
      <c r="J335" s="18">
        <f>SUM(I335/H335)</f>
        <v>1</v>
      </c>
      <c r="K335" s="6">
        <v>20411454</v>
      </c>
      <c r="L335" s="6" t="s">
        <v>882</v>
      </c>
      <c r="M335" s="6" t="s">
        <v>38</v>
      </c>
      <c r="N335" s="5">
        <v>1.1399999999999999</v>
      </c>
      <c r="O335" s="5">
        <v>847736743</v>
      </c>
      <c r="P335" s="5">
        <v>2</v>
      </c>
    </row>
    <row r="336" spans="1:16" ht="15.75" x14ac:dyDescent="0.25">
      <c r="A336" s="5">
        <v>10618</v>
      </c>
      <c r="B336" s="6" t="s">
        <v>588</v>
      </c>
      <c r="C336" s="6" t="s">
        <v>927</v>
      </c>
      <c r="D336" s="7">
        <v>45668</v>
      </c>
      <c r="E336" s="7">
        <v>45915</v>
      </c>
      <c r="F336" s="5">
        <f>DATEDIF(D336,E336,"M")</f>
        <v>8</v>
      </c>
      <c r="G336" s="5" t="s">
        <v>921</v>
      </c>
      <c r="H336" s="5">
        <v>1.1399999999999999</v>
      </c>
      <c r="I336" s="5">
        <v>1.1399999999999999</v>
      </c>
      <c r="J336" s="18">
        <f>SUM(I336/H336)</f>
        <v>1</v>
      </c>
      <c r="K336" s="6">
        <v>20411454</v>
      </c>
      <c r="L336" s="6" t="s">
        <v>882</v>
      </c>
      <c r="M336" s="6" t="s">
        <v>38</v>
      </c>
      <c r="N336" s="5">
        <v>1.1399999999999999</v>
      </c>
      <c r="O336" s="5">
        <v>847746079</v>
      </c>
      <c r="P336" s="5">
        <v>2</v>
      </c>
    </row>
    <row r="337" spans="1:16" ht="15.75" x14ac:dyDescent="0.25">
      <c r="A337" s="5">
        <v>33758</v>
      </c>
      <c r="B337" s="6" t="s">
        <v>502</v>
      </c>
      <c r="C337" s="6" t="s">
        <v>927</v>
      </c>
      <c r="D337" s="7">
        <v>45672</v>
      </c>
      <c r="E337" s="7">
        <v>45917</v>
      </c>
      <c r="F337" s="5">
        <f>DATEDIF(D337,E337,"M")</f>
        <v>8</v>
      </c>
      <c r="G337" s="5" t="s">
        <v>921</v>
      </c>
      <c r="H337" s="5">
        <v>2.23</v>
      </c>
      <c r="I337" s="5">
        <v>2.23</v>
      </c>
      <c r="J337" s="18">
        <f>SUM(I337/H337)</f>
        <v>1</v>
      </c>
      <c r="K337" s="6">
        <v>20411454</v>
      </c>
      <c r="L337" s="6" t="s">
        <v>882</v>
      </c>
      <c r="M337" s="6" t="s">
        <v>38</v>
      </c>
      <c r="N337" s="5">
        <v>2.23</v>
      </c>
      <c r="O337" s="5">
        <v>847703321</v>
      </c>
      <c r="P337" s="5">
        <v>2</v>
      </c>
    </row>
    <row r="338" spans="1:16" ht="15.75" x14ac:dyDescent="0.25">
      <c r="A338" s="5">
        <v>8703</v>
      </c>
      <c r="B338" s="6" t="s">
        <v>581</v>
      </c>
      <c r="C338" s="6" t="s">
        <v>927</v>
      </c>
      <c r="D338" s="7">
        <v>45670</v>
      </c>
      <c r="E338" s="7">
        <v>45915</v>
      </c>
      <c r="F338" s="5">
        <f>DATEDIF(D338,E338,"M")</f>
        <v>8</v>
      </c>
      <c r="G338" s="5" t="s">
        <v>921</v>
      </c>
      <c r="H338" s="5">
        <v>2.54</v>
      </c>
      <c r="I338" s="5">
        <v>2.54</v>
      </c>
      <c r="J338" s="18">
        <f>SUM(I338/H338)</f>
        <v>1</v>
      </c>
      <c r="K338" s="6">
        <v>20411454</v>
      </c>
      <c r="L338" s="6" t="s">
        <v>882</v>
      </c>
      <c r="M338" s="6" t="s">
        <v>38</v>
      </c>
      <c r="N338" s="5">
        <v>2.54</v>
      </c>
      <c r="O338" s="5">
        <v>847744984</v>
      </c>
      <c r="P338" s="5">
        <v>2</v>
      </c>
    </row>
    <row r="339" spans="1:16" ht="15.75" x14ac:dyDescent="0.25">
      <c r="A339" s="5">
        <v>9333</v>
      </c>
      <c r="B339" s="6" t="s">
        <v>585</v>
      </c>
      <c r="C339" s="6" t="s">
        <v>927</v>
      </c>
      <c r="D339" s="7">
        <v>45670</v>
      </c>
      <c r="E339" s="7">
        <v>45915</v>
      </c>
      <c r="F339" s="5">
        <f>DATEDIF(D339,E339,"M")</f>
        <v>8</v>
      </c>
      <c r="G339" s="5" t="s">
        <v>921</v>
      </c>
      <c r="H339" s="5">
        <v>2.54</v>
      </c>
      <c r="I339" s="5">
        <v>2.54</v>
      </c>
      <c r="J339" s="18">
        <f>SUM(I339/H339)</f>
        <v>1</v>
      </c>
      <c r="K339" s="6">
        <v>20411454</v>
      </c>
      <c r="L339" s="6" t="s">
        <v>882</v>
      </c>
      <c r="M339" s="6" t="s">
        <v>38</v>
      </c>
      <c r="N339" s="5">
        <v>2.54</v>
      </c>
      <c r="O339" s="5">
        <v>847745336</v>
      </c>
      <c r="P339" s="5">
        <v>2</v>
      </c>
    </row>
    <row r="340" spans="1:16" ht="15.75" x14ac:dyDescent="0.25">
      <c r="A340" s="5">
        <v>10617</v>
      </c>
      <c r="B340" s="6" t="s">
        <v>588</v>
      </c>
      <c r="C340" s="6" t="s">
        <v>927</v>
      </c>
      <c r="D340" s="7">
        <v>45668</v>
      </c>
      <c r="E340" s="7">
        <v>45915</v>
      </c>
      <c r="F340" s="5">
        <f>DATEDIF(D340,E340,"M")</f>
        <v>8</v>
      </c>
      <c r="G340" s="5" t="s">
        <v>921</v>
      </c>
      <c r="H340" s="5">
        <v>2.54</v>
      </c>
      <c r="I340" s="5">
        <v>2.54</v>
      </c>
      <c r="J340" s="18">
        <f>SUM(I340/H340)</f>
        <v>1</v>
      </c>
      <c r="K340" s="6">
        <v>20411454</v>
      </c>
      <c r="L340" s="6" t="s">
        <v>882</v>
      </c>
      <c r="M340" s="6" t="s">
        <v>38</v>
      </c>
      <c r="N340" s="5">
        <v>2.54</v>
      </c>
      <c r="O340" s="5">
        <v>847746079</v>
      </c>
      <c r="P340" s="5">
        <v>2</v>
      </c>
    </row>
    <row r="341" spans="1:16" ht="15.75" x14ac:dyDescent="0.25">
      <c r="A341" s="5">
        <v>14267</v>
      </c>
      <c r="B341" s="6" t="s">
        <v>598</v>
      </c>
      <c r="C341" s="6" t="s">
        <v>927</v>
      </c>
      <c r="D341" s="7">
        <v>45671</v>
      </c>
      <c r="E341" s="7">
        <v>45916</v>
      </c>
      <c r="F341" s="5">
        <f>DATEDIF(D341,E341,"M")</f>
        <v>8</v>
      </c>
      <c r="G341" s="5" t="s">
        <v>921</v>
      </c>
      <c r="H341" s="5">
        <v>2.54</v>
      </c>
      <c r="I341" s="5">
        <v>2.54</v>
      </c>
      <c r="J341" s="18">
        <f>SUM(I341/H341)</f>
        <v>1</v>
      </c>
      <c r="K341" s="6">
        <v>20411454</v>
      </c>
      <c r="L341" s="6" t="s">
        <v>882</v>
      </c>
      <c r="M341" s="6" t="s">
        <v>38</v>
      </c>
      <c r="N341" s="5">
        <v>2.54</v>
      </c>
      <c r="O341" s="5">
        <v>847748111</v>
      </c>
      <c r="P341" s="5">
        <v>2</v>
      </c>
    </row>
    <row r="342" spans="1:16" ht="15.75" x14ac:dyDescent="0.25">
      <c r="A342" s="5">
        <v>16141</v>
      </c>
      <c r="B342" s="6" t="s">
        <v>463</v>
      </c>
      <c r="C342" s="6" t="s">
        <v>927</v>
      </c>
      <c r="D342" s="7">
        <v>45607</v>
      </c>
      <c r="E342" s="7">
        <v>45915</v>
      </c>
      <c r="F342" s="5">
        <f>DATEDIF(D342,E342,"M")</f>
        <v>10</v>
      </c>
      <c r="G342" s="5" t="s">
        <v>921</v>
      </c>
      <c r="H342" s="5">
        <v>0.11</v>
      </c>
      <c r="I342" s="5">
        <v>0.11</v>
      </c>
      <c r="J342" s="18">
        <f>SUM(I342/H342)</f>
        <v>1</v>
      </c>
      <c r="K342" s="6">
        <v>20411454</v>
      </c>
      <c r="L342" s="6" t="s">
        <v>882</v>
      </c>
      <c r="M342" s="6" t="s">
        <v>38</v>
      </c>
      <c r="N342" s="5">
        <v>0.11</v>
      </c>
      <c r="O342" s="5">
        <v>847693793</v>
      </c>
      <c r="P342" s="5">
        <v>2</v>
      </c>
    </row>
    <row r="343" spans="1:16" ht="15.75" x14ac:dyDescent="0.25">
      <c r="A343" s="5">
        <v>16141</v>
      </c>
      <c r="B343" s="6" t="s">
        <v>463</v>
      </c>
      <c r="C343" s="6" t="s">
        <v>927</v>
      </c>
      <c r="D343" s="7">
        <v>45607</v>
      </c>
      <c r="E343" s="7">
        <v>45915</v>
      </c>
      <c r="F343" s="5">
        <f>DATEDIF(D343,E343,"M")</f>
        <v>10</v>
      </c>
      <c r="G343" s="5" t="s">
        <v>921</v>
      </c>
      <c r="H343" s="5">
        <v>2.54</v>
      </c>
      <c r="I343" s="5">
        <v>2.54</v>
      </c>
      <c r="J343" s="18">
        <f>SUM(I343/H343)</f>
        <v>1</v>
      </c>
      <c r="K343" s="6">
        <v>20411454</v>
      </c>
      <c r="L343" s="6" t="s">
        <v>882</v>
      </c>
      <c r="M343" s="6" t="s">
        <v>38</v>
      </c>
      <c r="N343" s="5">
        <v>2.54</v>
      </c>
      <c r="O343" s="5">
        <v>847693793</v>
      </c>
      <c r="P343" s="5">
        <v>2</v>
      </c>
    </row>
    <row r="344" spans="1:16" ht="15.75" x14ac:dyDescent="0.25">
      <c r="A344" s="5">
        <v>78641</v>
      </c>
      <c r="B344" s="6" t="s">
        <v>407</v>
      </c>
      <c r="C344" s="6" t="s">
        <v>927</v>
      </c>
      <c r="D344" s="7">
        <v>45576</v>
      </c>
      <c r="E344" s="7">
        <v>45915</v>
      </c>
      <c r="F344" s="5">
        <f>DATEDIF(D344,E344,"M")</f>
        <v>11</v>
      </c>
      <c r="G344" s="5" t="s">
        <v>921</v>
      </c>
      <c r="H344" s="5">
        <v>0.11</v>
      </c>
      <c r="I344" s="5">
        <v>0.11</v>
      </c>
      <c r="J344" s="18">
        <f>SUM(I344/H344)</f>
        <v>1</v>
      </c>
      <c r="K344" s="6">
        <v>20411454</v>
      </c>
      <c r="L344" s="6" t="s">
        <v>882</v>
      </c>
      <c r="M344" s="6" t="s">
        <v>38</v>
      </c>
      <c r="N344" s="5">
        <v>0.11</v>
      </c>
      <c r="O344" s="5">
        <v>847674381</v>
      </c>
      <c r="P344" s="5">
        <v>2</v>
      </c>
    </row>
    <row r="345" spans="1:16" ht="15.75" x14ac:dyDescent="0.25">
      <c r="A345" s="5">
        <v>78642</v>
      </c>
      <c r="B345" s="6" t="s">
        <v>407</v>
      </c>
      <c r="C345" s="6" t="s">
        <v>927</v>
      </c>
      <c r="D345" s="7">
        <v>45576</v>
      </c>
      <c r="E345" s="7">
        <v>45915</v>
      </c>
      <c r="F345" s="5">
        <f>DATEDIF(D345,E345,"M")</f>
        <v>11</v>
      </c>
      <c r="G345" s="5" t="s">
        <v>921</v>
      </c>
      <c r="H345" s="5">
        <v>1.1399999999999999</v>
      </c>
      <c r="I345" s="5">
        <v>1.1399999999999999</v>
      </c>
      <c r="J345" s="18">
        <f>SUM(I345/H345)</f>
        <v>1</v>
      </c>
      <c r="K345" s="6">
        <v>20411454</v>
      </c>
      <c r="L345" s="6" t="s">
        <v>882</v>
      </c>
      <c r="M345" s="6" t="s">
        <v>38</v>
      </c>
      <c r="N345" s="5">
        <v>1.1399999999999999</v>
      </c>
      <c r="O345" s="5">
        <v>847674381</v>
      </c>
      <c r="P345" s="5">
        <v>2</v>
      </c>
    </row>
    <row r="346" spans="1:16" ht="15.75" x14ac:dyDescent="0.25">
      <c r="A346" s="5">
        <v>78641</v>
      </c>
      <c r="B346" s="6" t="s">
        <v>407</v>
      </c>
      <c r="C346" s="6" t="s">
        <v>927</v>
      </c>
      <c r="D346" s="7">
        <v>45576</v>
      </c>
      <c r="E346" s="7">
        <v>45915</v>
      </c>
      <c r="F346" s="5">
        <f>DATEDIF(D346,E346,"M")</f>
        <v>11</v>
      </c>
      <c r="G346" s="5" t="s">
        <v>921</v>
      </c>
      <c r="H346" s="5">
        <v>2.54</v>
      </c>
      <c r="I346" s="5">
        <v>2.54</v>
      </c>
      <c r="J346" s="18">
        <f>SUM(I346/H346)</f>
        <v>1</v>
      </c>
      <c r="K346" s="6">
        <v>20411454</v>
      </c>
      <c r="L346" s="6" t="s">
        <v>882</v>
      </c>
      <c r="M346" s="6" t="s">
        <v>38</v>
      </c>
      <c r="N346" s="5">
        <v>2.54</v>
      </c>
      <c r="O346" s="5">
        <v>847674381</v>
      </c>
      <c r="P346" s="5">
        <v>2</v>
      </c>
    </row>
    <row r="347" spans="1:16" ht="15.75" x14ac:dyDescent="0.25">
      <c r="A347" s="5">
        <v>54305</v>
      </c>
      <c r="B347" s="6" t="s">
        <v>253</v>
      </c>
      <c r="C347" s="6" t="s">
        <v>927</v>
      </c>
      <c r="D347" s="7">
        <v>45454</v>
      </c>
      <c r="E347" s="7">
        <v>45915</v>
      </c>
      <c r="F347" s="5">
        <f>DATEDIF(D347,E347,"M")</f>
        <v>15</v>
      </c>
      <c r="G347" s="5" t="s">
        <v>921</v>
      </c>
      <c r="H347" s="5">
        <v>0.05</v>
      </c>
      <c r="I347" s="5">
        <v>0.05</v>
      </c>
      <c r="J347" s="18">
        <f>SUM(I347/H347)</f>
        <v>1</v>
      </c>
      <c r="K347" s="6">
        <v>20411454</v>
      </c>
      <c r="L347" s="6" t="s">
        <v>882</v>
      </c>
      <c r="M347" s="6" t="s">
        <v>38</v>
      </c>
      <c r="N347" s="5">
        <v>0.05</v>
      </c>
      <c r="O347" s="5">
        <v>847604578</v>
      </c>
      <c r="P347" s="5">
        <v>2</v>
      </c>
    </row>
    <row r="348" spans="1:16" ht="15.75" x14ac:dyDescent="0.25">
      <c r="A348" s="5">
        <v>54305</v>
      </c>
      <c r="B348" s="6" t="s">
        <v>253</v>
      </c>
      <c r="C348" s="6" t="s">
        <v>927</v>
      </c>
      <c r="D348" s="7">
        <v>45454</v>
      </c>
      <c r="E348" s="7">
        <v>45915</v>
      </c>
      <c r="F348" s="5">
        <f>DATEDIF(D348,E348,"M")</f>
        <v>15</v>
      </c>
      <c r="G348" s="5" t="s">
        <v>921</v>
      </c>
      <c r="H348" s="5">
        <v>1.46</v>
      </c>
      <c r="I348" s="5">
        <v>1.46</v>
      </c>
      <c r="J348" s="18">
        <f>SUM(I348/H348)</f>
        <v>1</v>
      </c>
      <c r="K348" s="6">
        <v>20411454</v>
      </c>
      <c r="L348" s="6" t="s">
        <v>882</v>
      </c>
      <c r="M348" s="6" t="s">
        <v>38</v>
      </c>
      <c r="N348" s="5">
        <v>1.46</v>
      </c>
      <c r="O348" s="5">
        <v>847604578</v>
      </c>
      <c r="P348" s="5">
        <v>2</v>
      </c>
    </row>
    <row r="349" spans="1:16" ht="15.75" x14ac:dyDescent="0.25">
      <c r="A349" s="5">
        <v>93426</v>
      </c>
      <c r="B349" s="6" t="s">
        <v>223</v>
      </c>
      <c r="C349" s="6" t="s">
        <v>927</v>
      </c>
      <c r="D349" s="7">
        <v>45398</v>
      </c>
      <c r="E349" s="7">
        <v>45918</v>
      </c>
      <c r="F349" s="5">
        <f>DATEDIF(D349,E349,"M")</f>
        <v>17</v>
      </c>
      <c r="G349" s="5" t="s">
        <v>921</v>
      </c>
      <c r="H349" s="5">
        <v>0.05</v>
      </c>
      <c r="I349" s="5">
        <v>0.05</v>
      </c>
      <c r="J349" s="18">
        <f>SUM(I349/H349)</f>
        <v>1</v>
      </c>
      <c r="K349" s="6">
        <v>20411454</v>
      </c>
      <c r="L349" s="6" t="s">
        <v>882</v>
      </c>
      <c r="M349" s="6" t="s">
        <v>38</v>
      </c>
      <c r="N349" s="5">
        <v>0.05</v>
      </c>
      <c r="O349" s="5">
        <v>847569251</v>
      </c>
      <c r="P349" s="5">
        <v>2</v>
      </c>
    </row>
    <row r="350" spans="1:16" ht="15.75" x14ac:dyDescent="0.25">
      <c r="A350" s="5">
        <v>93427</v>
      </c>
      <c r="B350" s="6" t="s">
        <v>223</v>
      </c>
      <c r="C350" s="6" t="s">
        <v>927</v>
      </c>
      <c r="D350" s="7">
        <v>45398</v>
      </c>
      <c r="E350" s="7">
        <v>45918</v>
      </c>
      <c r="F350" s="5">
        <f>DATEDIF(D350,E350,"M")</f>
        <v>17</v>
      </c>
      <c r="G350" s="5" t="s">
        <v>921</v>
      </c>
      <c r="H350" s="5">
        <v>0.6</v>
      </c>
      <c r="I350" s="5">
        <v>0.6</v>
      </c>
      <c r="J350" s="18">
        <f>SUM(I350/H350)</f>
        <v>1</v>
      </c>
      <c r="K350" s="6">
        <v>20411454</v>
      </c>
      <c r="L350" s="6" t="s">
        <v>882</v>
      </c>
      <c r="M350" s="6" t="s">
        <v>38</v>
      </c>
      <c r="N350" s="5">
        <v>0.6</v>
      </c>
      <c r="O350" s="5">
        <v>847569251</v>
      </c>
      <c r="P350" s="5">
        <v>2</v>
      </c>
    </row>
    <row r="351" spans="1:16" ht="15.75" x14ac:dyDescent="0.25">
      <c r="A351" s="5">
        <v>93426</v>
      </c>
      <c r="B351" s="6" t="s">
        <v>223</v>
      </c>
      <c r="C351" s="6" t="s">
        <v>927</v>
      </c>
      <c r="D351" s="7">
        <v>45398</v>
      </c>
      <c r="E351" s="7">
        <v>45918</v>
      </c>
      <c r="F351" s="5">
        <f>DATEDIF(D351,E351,"M")</f>
        <v>17</v>
      </c>
      <c r="G351" s="5" t="s">
        <v>921</v>
      </c>
      <c r="H351" s="5">
        <v>1.46</v>
      </c>
      <c r="I351" s="5">
        <v>1.46</v>
      </c>
      <c r="J351" s="18">
        <f>SUM(I351/H351)</f>
        <v>1</v>
      </c>
      <c r="K351" s="6">
        <v>20411454</v>
      </c>
      <c r="L351" s="6" t="s">
        <v>882</v>
      </c>
      <c r="M351" s="6" t="s">
        <v>38</v>
      </c>
      <c r="N351" s="5">
        <v>1.46</v>
      </c>
      <c r="O351" s="5">
        <v>847569251</v>
      </c>
      <c r="P351" s="5">
        <v>2</v>
      </c>
    </row>
    <row r="352" spans="1:16" ht="15.75" x14ac:dyDescent="0.25">
      <c r="A352" s="5">
        <v>9895</v>
      </c>
      <c r="B352" s="6" t="s">
        <v>196</v>
      </c>
      <c r="C352" s="6" t="s">
        <v>927</v>
      </c>
      <c r="D352" s="7">
        <v>45366</v>
      </c>
      <c r="E352" s="7">
        <v>45917</v>
      </c>
      <c r="F352" s="5">
        <f>DATEDIF(D352,E352,"M")</f>
        <v>18</v>
      </c>
      <c r="G352" s="5" t="s">
        <v>921</v>
      </c>
      <c r="H352" s="5">
        <v>0.03</v>
      </c>
      <c r="I352" s="5">
        <v>0.03</v>
      </c>
      <c r="J352" s="18">
        <f>SUM(I352/H352)</f>
        <v>1</v>
      </c>
      <c r="K352" s="6">
        <v>20411454</v>
      </c>
      <c r="L352" s="6" t="s">
        <v>882</v>
      </c>
      <c r="M352" s="6" t="s">
        <v>38</v>
      </c>
      <c r="N352" s="5">
        <v>0.03</v>
      </c>
      <c r="O352" s="5">
        <v>847519361</v>
      </c>
      <c r="P352" s="5">
        <v>2</v>
      </c>
    </row>
    <row r="353" spans="1:16" ht="15.75" x14ac:dyDescent="0.25">
      <c r="A353" s="5">
        <v>9895</v>
      </c>
      <c r="B353" s="6" t="s">
        <v>196</v>
      </c>
      <c r="C353" s="6" t="s">
        <v>927</v>
      </c>
      <c r="D353" s="7">
        <v>45366</v>
      </c>
      <c r="E353" s="7">
        <v>45917</v>
      </c>
      <c r="F353" s="5">
        <f>DATEDIF(D353,E353,"M")</f>
        <v>18</v>
      </c>
      <c r="G353" s="5" t="s">
        <v>921</v>
      </c>
      <c r="H353" s="5">
        <v>0.73</v>
      </c>
      <c r="I353" s="5">
        <v>0.73</v>
      </c>
      <c r="J353" s="18">
        <f>SUM(I353/H353)</f>
        <v>1</v>
      </c>
      <c r="K353" s="6">
        <v>20411454</v>
      </c>
      <c r="L353" s="6" t="s">
        <v>882</v>
      </c>
      <c r="M353" s="6" t="s">
        <v>38</v>
      </c>
      <c r="N353" s="5">
        <v>0.73</v>
      </c>
      <c r="O353" s="5">
        <v>847519361</v>
      </c>
      <c r="P353" s="5">
        <v>2</v>
      </c>
    </row>
    <row r="354" spans="1:16" ht="15.75" x14ac:dyDescent="0.25">
      <c r="A354" s="5">
        <v>44688</v>
      </c>
      <c r="B354" s="6" t="s">
        <v>127</v>
      </c>
      <c r="C354" s="6" t="s">
        <v>927</v>
      </c>
      <c r="D354" s="7">
        <v>45273</v>
      </c>
      <c r="E354" s="7">
        <v>45915</v>
      </c>
      <c r="F354" s="5">
        <f>DATEDIF(D354,E354,"M")</f>
        <v>21</v>
      </c>
      <c r="G354" s="5" t="s">
        <v>921</v>
      </c>
      <c r="H354" s="5">
        <v>0.03</v>
      </c>
      <c r="I354" s="5">
        <v>0.03</v>
      </c>
      <c r="J354" s="18">
        <f>SUM(I354/H354)</f>
        <v>1</v>
      </c>
      <c r="K354" s="6">
        <v>20411454</v>
      </c>
      <c r="L354" s="6" t="s">
        <v>882</v>
      </c>
      <c r="M354" s="6" t="s">
        <v>38</v>
      </c>
      <c r="N354" s="5">
        <v>0.03</v>
      </c>
      <c r="O354" s="5">
        <v>847481424</v>
      </c>
      <c r="P354" s="5">
        <v>2</v>
      </c>
    </row>
    <row r="355" spans="1:16" ht="15.75" x14ac:dyDescent="0.25">
      <c r="A355" s="5">
        <v>52855</v>
      </c>
      <c r="B355" s="6" t="s">
        <v>153</v>
      </c>
      <c r="C355" s="6" t="s">
        <v>927</v>
      </c>
      <c r="D355" s="7">
        <v>45276</v>
      </c>
      <c r="E355" s="7">
        <v>45918</v>
      </c>
      <c r="F355" s="5">
        <f>DATEDIF(D355,E355,"M")</f>
        <v>21</v>
      </c>
      <c r="G355" s="5" t="s">
        <v>921</v>
      </c>
      <c r="H355" s="5">
        <v>0.33</v>
      </c>
      <c r="I355" s="5">
        <v>0.33</v>
      </c>
      <c r="J355" s="18">
        <f>SUM(I355/H355)</f>
        <v>1</v>
      </c>
      <c r="K355" s="6">
        <v>20411454</v>
      </c>
      <c r="L355" s="6" t="s">
        <v>882</v>
      </c>
      <c r="M355" s="6" t="s">
        <v>38</v>
      </c>
      <c r="N355" s="5">
        <v>0.33</v>
      </c>
      <c r="O355" s="5">
        <v>847485882</v>
      </c>
      <c r="P355" s="5">
        <v>2</v>
      </c>
    </row>
    <row r="356" spans="1:16" ht="15.75" x14ac:dyDescent="0.25">
      <c r="A356" s="5">
        <v>44688</v>
      </c>
      <c r="B356" s="6" t="s">
        <v>127</v>
      </c>
      <c r="C356" s="6" t="s">
        <v>927</v>
      </c>
      <c r="D356" s="7">
        <v>45273</v>
      </c>
      <c r="E356" s="7">
        <v>45915</v>
      </c>
      <c r="F356" s="5">
        <f>DATEDIF(D356,E356,"M")</f>
        <v>21</v>
      </c>
      <c r="G356" s="5" t="s">
        <v>921</v>
      </c>
      <c r="H356" s="5">
        <v>0.73</v>
      </c>
      <c r="I356" s="5">
        <v>0.73</v>
      </c>
      <c r="J356" s="18">
        <f>SUM(I356/H356)</f>
        <v>1</v>
      </c>
      <c r="K356" s="6">
        <v>20411454</v>
      </c>
      <c r="L356" s="6" t="s">
        <v>882</v>
      </c>
      <c r="M356" s="6" t="s">
        <v>38</v>
      </c>
      <c r="N356" s="5">
        <v>0.73</v>
      </c>
      <c r="O356" s="5">
        <v>847481424</v>
      </c>
      <c r="P356" s="5">
        <v>2</v>
      </c>
    </row>
    <row r="357" spans="1:16" ht="15.75" x14ac:dyDescent="0.25">
      <c r="A357" s="5">
        <v>85142</v>
      </c>
      <c r="B357" s="6" t="s">
        <v>106</v>
      </c>
      <c r="C357" s="6" t="s">
        <v>927</v>
      </c>
      <c r="D357" s="7">
        <v>45245</v>
      </c>
      <c r="E357" s="7">
        <v>45917</v>
      </c>
      <c r="F357" s="5">
        <f>DATEDIF(D357,E357,"M")</f>
        <v>22</v>
      </c>
      <c r="G357" s="5" t="s">
        <v>921</v>
      </c>
      <c r="H357" s="5">
        <v>0.03</v>
      </c>
      <c r="I357" s="5">
        <v>0.03</v>
      </c>
      <c r="J357" s="18">
        <f>SUM(I357/H357)</f>
        <v>1</v>
      </c>
      <c r="K357" s="6">
        <v>20411454</v>
      </c>
      <c r="L357" s="6" t="s">
        <v>882</v>
      </c>
      <c r="M357" s="6" t="s">
        <v>38</v>
      </c>
      <c r="N357" s="5">
        <v>0.03</v>
      </c>
      <c r="O357" s="5">
        <v>847457787</v>
      </c>
      <c r="P357" s="5">
        <v>2</v>
      </c>
    </row>
    <row r="358" spans="1:16" ht="15.75" x14ac:dyDescent="0.25">
      <c r="A358" s="5">
        <v>85519</v>
      </c>
      <c r="B358" s="6" t="s">
        <v>111</v>
      </c>
      <c r="C358" s="6" t="s">
        <v>927</v>
      </c>
      <c r="D358" s="7">
        <v>45245</v>
      </c>
      <c r="E358" s="7">
        <v>45917</v>
      </c>
      <c r="F358" s="5">
        <f>DATEDIF(D358,E358,"M")</f>
        <v>22</v>
      </c>
      <c r="G358" s="5" t="s">
        <v>921</v>
      </c>
      <c r="H358" s="5">
        <v>0.03</v>
      </c>
      <c r="I358" s="5">
        <v>0.03</v>
      </c>
      <c r="J358" s="18">
        <f>SUM(I358/H358)</f>
        <v>1</v>
      </c>
      <c r="K358" s="6">
        <v>20411454</v>
      </c>
      <c r="L358" s="6" t="s">
        <v>882</v>
      </c>
      <c r="M358" s="6" t="s">
        <v>38</v>
      </c>
      <c r="N358" s="5">
        <v>0.03</v>
      </c>
      <c r="O358" s="5">
        <v>847458035</v>
      </c>
      <c r="P358" s="5">
        <v>2</v>
      </c>
    </row>
    <row r="359" spans="1:16" ht="15.75" x14ac:dyDescent="0.25">
      <c r="A359" s="5">
        <v>85520</v>
      </c>
      <c r="B359" s="6" t="s">
        <v>111</v>
      </c>
      <c r="C359" s="6" t="s">
        <v>927</v>
      </c>
      <c r="D359" s="7">
        <v>45245</v>
      </c>
      <c r="E359" s="7">
        <v>45917</v>
      </c>
      <c r="F359" s="5">
        <f>DATEDIF(D359,E359,"M")</f>
        <v>22</v>
      </c>
      <c r="G359" s="5" t="s">
        <v>921</v>
      </c>
      <c r="H359" s="5">
        <v>0.33</v>
      </c>
      <c r="I359" s="5">
        <v>0.33</v>
      </c>
      <c r="J359" s="18">
        <f>SUM(I359/H359)</f>
        <v>1</v>
      </c>
      <c r="K359" s="6">
        <v>20411454</v>
      </c>
      <c r="L359" s="6" t="s">
        <v>882</v>
      </c>
      <c r="M359" s="6" t="s">
        <v>38</v>
      </c>
      <c r="N359" s="5">
        <v>0.33</v>
      </c>
      <c r="O359" s="5">
        <v>847458035</v>
      </c>
      <c r="P359" s="5">
        <v>2</v>
      </c>
    </row>
    <row r="360" spans="1:16" ht="15.75" x14ac:dyDescent="0.25">
      <c r="A360" s="5">
        <v>85142</v>
      </c>
      <c r="B360" s="6" t="s">
        <v>106</v>
      </c>
      <c r="C360" s="6" t="s">
        <v>927</v>
      </c>
      <c r="D360" s="7">
        <v>45245</v>
      </c>
      <c r="E360" s="7">
        <v>45917</v>
      </c>
      <c r="F360" s="5">
        <f>DATEDIF(D360,E360,"M")</f>
        <v>22</v>
      </c>
      <c r="G360" s="5" t="s">
        <v>921</v>
      </c>
      <c r="H360" s="5">
        <v>0.73</v>
      </c>
      <c r="I360" s="5">
        <v>0.73</v>
      </c>
      <c r="J360" s="18">
        <f>SUM(I360/H360)</f>
        <v>1</v>
      </c>
      <c r="K360" s="6">
        <v>20411454</v>
      </c>
      <c r="L360" s="6" t="s">
        <v>882</v>
      </c>
      <c r="M360" s="6" t="s">
        <v>38</v>
      </c>
      <c r="N360" s="5">
        <v>0.73</v>
      </c>
      <c r="O360" s="5">
        <v>847457787</v>
      </c>
      <c r="P360" s="5">
        <v>2</v>
      </c>
    </row>
    <row r="361" spans="1:16" ht="15.75" x14ac:dyDescent="0.25">
      <c r="A361" s="5">
        <v>85519</v>
      </c>
      <c r="B361" s="6" t="s">
        <v>111</v>
      </c>
      <c r="C361" s="6" t="s">
        <v>927</v>
      </c>
      <c r="D361" s="7">
        <v>45245</v>
      </c>
      <c r="E361" s="7">
        <v>45917</v>
      </c>
      <c r="F361" s="5">
        <f>DATEDIF(D361,E361,"M")</f>
        <v>22</v>
      </c>
      <c r="G361" s="5" t="s">
        <v>921</v>
      </c>
      <c r="H361" s="5">
        <v>0.73</v>
      </c>
      <c r="I361" s="5">
        <v>0.73</v>
      </c>
      <c r="J361" s="18">
        <f>SUM(I361/H361)</f>
        <v>1</v>
      </c>
      <c r="K361" s="6">
        <v>20411454</v>
      </c>
      <c r="L361" s="6" t="s">
        <v>882</v>
      </c>
      <c r="M361" s="6" t="s">
        <v>38</v>
      </c>
      <c r="N361" s="5">
        <v>0.73</v>
      </c>
      <c r="O361" s="5">
        <v>847458035</v>
      </c>
      <c r="P361" s="5">
        <v>2</v>
      </c>
    </row>
    <row r="362" spans="1:16" ht="15.75" x14ac:dyDescent="0.25">
      <c r="A362" s="5">
        <v>14660</v>
      </c>
      <c r="B362" s="6" t="s">
        <v>85</v>
      </c>
      <c r="C362" s="6" t="s">
        <v>927</v>
      </c>
      <c r="D362" s="7">
        <v>45182</v>
      </c>
      <c r="E362" s="7">
        <v>45915</v>
      </c>
      <c r="F362" s="5">
        <f>DATEDIF(D362,E362,"M")</f>
        <v>24</v>
      </c>
      <c r="G362" s="5" t="s">
        <v>921</v>
      </c>
      <c r="H362" s="5">
        <v>0.33</v>
      </c>
      <c r="I362" s="5">
        <v>0.33</v>
      </c>
      <c r="J362" s="18">
        <f>SUM(I362/H362)</f>
        <v>1</v>
      </c>
      <c r="K362" s="6">
        <v>20411454</v>
      </c>
      <c r="L362" s="6" t="s">
        <v>882</v>
      </c>
      <c r="M362" s="6" t="s">
        <v>38</v>
      </c>
      <c r="N362" s="5">
        <v>0.33</v>
      </c>
      <c r="O362" s="5">
        <v>847415696</v>
      </c>
      <c r="P362" s="5">
        <v>2</v>
      </c>
    </row>
    <row r="363" spans="1:16" ht="15.75" x14ac:dyDescent="0.25">
      <c r="A363" s="5">
        <v>14659</v>
      </c>
      <c r="B363" s="6" t="s">
        <v>85</v>
      </c>
      <c r="C363" s="6" t="s">
        <v>927</v>
      </c>
      <c r="D363" s="7">
        <v>45182</v>
      </c>
      <c r="E363" s="7">
        <v>45915</v>
      </c>
      <c r="F363" s="5">
        <f>DATEDIF(D363,E363,"M")</f>
        <v>24</v>
      </c>
      <c r="G363" s="5" t="s">
        <v>921</v>
      </c>
      <c r="H363" s="5">
        <v>0.64</v>
      </c>
      <c r="I363" s="5">
        <v>0.64</v>
      </c>
      <c r="J363" s="18">
        <f>SUM(I363/H363)</f>
        <v>1</v>
      </c>
      <c r="K363" s="6">
        <v>20411454</v>
      </c>
      <c r="L363" s="6" t="s">
        <v>882</v>
      </c>
      <c r="M363" s="6" t="s">
        <v>38</v>
      </c>
      <c r="N363" s="5">
        <v>0.64</v>
      </c>
      <c r="O363" s="5">
        <v>847415696</v>
      </c>
      <c r="P363" s="5">
        <v>2</v>
      </c>
    </row>
    <row r="364" spans="1:16" ht="15.75" x14ac:dyDescent="0.25">
      <c r="A364" s="5">
        <v>86998</v>
      </c>
      <c r="B364" s="6" t="s">
        <v>69</v>
      </c>
      <c r="C364" s="6" t="s">
        <v>927</v>
      </c>
      <c r="D364" s="7">
        <v>45149</v>
      </c>
      <c r="E364" s="7">
        <v>45915</v>
      </c>
      <c r="F364" s="5">
        <f>DATEDIF(D364,E364,"M")</f>
        <v>25</v>
      </c>
      <c r="G364" s="5" t="s">
        <v>921</v>
      </c>
      <c r="H364" s="5">
        <v>0.03</v>
      </c>
      <c r="I364" s="5">
        <v>0.03</v>
      </c>
      <c r="J364" s="18">
        <f>SUM(I364/H364)</f>
        <v>1</v>
      </c>
      <c r="K364" s="6">
        <v>20411454</v>
      </c>
      <c r="L364" s="6" t="s">
        <v>882</v>
      </c>
      <c r="M364" s="6" t="s">
        <v>38</v>
      </c>
      <c r="N364" s="5">
        <v>0.03</v>
      </c>
      <c r="O364" s="5">
        <v>847399411</v>
      </c>
      <c r="P364" s="5">
        <v>2</v>
      </c>
    </row>
    <row r="365" spans="1:16" ht="15.75" x14ac:dyDescent="0.25">
      <c r="A365" s="5">
        <v>86999</v>
      </c>
      <c r="B365" s="6" t="s">
        <v>69</v>
      </c>
      <c r="C365" s="6" t="s">
        <v>927</v>
      </c>
      <c r="D365" s="7">
        <v>45149</v>
      </c>
      <c r="E365" s="7">
        <v>45915</v>
      </c>
      <c r="F365" s="5">
        <f>DATEDIF(D365,E365,"M")</f>
        <v>25</v>
      </c>
      <c r="G365" s="5" t="s">
        <v>921</v>
      </c>
      <c r="H365" s="5">
        <v>0.33</v>
      </c>
      <c r="I365" s="5">
        <v>0.33</v>
      </c>
      <c r="J365" s="18">
        <f>SUM(I365/H365)</f>
        <v>1</v>
      </c>
      <c r="K365" s="6">
        <v>20411454</v>
      </c>
      <c r="L365" s="6" t="s">
        <v>882</v>
      </c>
      <c r="M365" s="6" t="s">
        <v>38</v>
      </c>
      <c r="N365" s="5">
        <v>0.33</v>
      </c>
      <c r="O365" s="5">
        <v>847399411</v>
      </c>
      <c r="P365" s="5">
        <v>2</v>
      </c>
    </row>
    <row r="366" spans="1:16" ht="15.75" x14ac:dyDescent="0.25">
      <c r="A366" s="5">
        <v>86998</v>
      </c>
      <c r="B366" s="6" t="s">
        <v>69</v>
      </c>
      <c r="C366" s="6" t="s">
        <v>927</v>
      </c>
      <c r="D366" s="7">
        <v>45149</v>
      </c>
      <c r="E366" s="7">
        <v>45915</v>
      </c>
      <c r="F366" s="5">
        <f>DATEDIF(D366,E366,"M")</f>
        <v>25</v>
      </c>
      <c r="G366" s="5" t="s">
        <v>921</v>
      </c>
      <c r="H366" s="5">
        <v>0.74</v>
      </c>
      <c r="I366" s="5">
        <v>0.74</v>
      </c>
      <c r="J366" s="18">
        <f>SUM(I366/H366)</f>
        <v>1</v>
      </c>
      <c r="K366" s="6">
        <v>20411454</v>
      </c>
      <c r="L366" s="6" t="s">
        <v>882</v>
      </c>
      <c r="M366" s="6" t="s">
        <v>38</v>
      </c>
      <c r="N366" s="5">
        <v>0.74</v>
      </c>
      <c r="O366" s="5">
        <v>847399411</v>
      </c>
      <c r="P366" s="5">
        <v>2</v>
      </c>
    </row>
  </sheetData>
  <autoFilter ref="A1:Q366" xr:uid="{EF2165E7-7C16-4A8A-805F-7979ADB46042}">
    <sortState xmlns:xlrd2="http://schemas.microsoft.com/office/spreadsheetml/2017/richdata2" ref="A2:Q366">
      <sortCondition ref="J1:J366"/>
    </sortState>
  </autoFilter>
  <sortState xmlns:xlrd2="http://schemas.microsoft.com/office/spreadsheetml/2017/richdata2" ref="A2:Q366">
    <sortCondition ref="L2:L36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C4EC5-8A3C-4152-8019-2F16C9E69EA0}">
  <dimension ref="A1:B371"/>
  <sheetViews>
    <sheetView topLeftCell="A330" workbookViewId="0">
      <selection activeCell="B1" sqref="B1:B371"/>
    </sheetView>
  </sheetViews>
  <sheetFormatPr defaultRowHeight="12.75" x14ac:dyDescent="0.2"/>
  <cols>
    <col min="1" max="1" width="25" bestFit="1" customWidth="1"/>
  </cols>
  <sheetData>
    <row r="1" spans="1:2" x14ac:dyDescent="0.2">
      <c r="A1" t="s">
        <v>885</v>
      </c>
      <c r="B1" cm="1">
        <f t="array" ref="B1:B371">VLOOKUP(A1:A371,[1]Sheet2!$A$1:$B$179,2,FALSE)</f>
        <v>19396223</v>
      </c>
    </row>
    <row r="2" spans="1:2" x14ac:dyDescent="0.2">
      <c r="A2" t="s">
        <v>885</v>
      </c>
      <c r="B2">
        <v>19396223</v>
      </c>
    </row>
    <row r="3" spans="1:2" x14ac:dyDescent="0.2">
      <c r="A3" t="s">
        <v>885</v>
      </c>
      <c r="B3">
        <v>19396223</v>
      </c>
    </row>
    <row r="4" spans="1:2" x14ac:dyDescent="0.2">
      <c r="A4" t="s">
        <v>886</v>
      </c>
      <c r="B4">
        <v>8971826</v>
      </c>
    </row>
    <row r="5" spans="1:2" x14ac:dyDescent="0.2">
      <c r="A5" t="s">
        <v>886</v>
      </c>
      <c r="B5">
        <v>8971826</v>
      </c>
    </row>
    <row r="6" spans="1:2" x14ac:dyDescent="0.2">
      <c r="A6" t="s">
        <v>886</v>
      </c>
      <c r="B6">
        <v>8971826</v>
      </c>
    </row>
    <row r="7" spans="1:2" x14ac:dyDescent="0.2">
      <c r="A7" t="s">
        <v>886</v>
      </c>
      <c r="B7">
        <v>8971826</v>
      </c>
    </row>
    <row r="8" spans="1:2" x14ac:dyDescent="0.2">
      <c r="A8" t="s">
        <v>886</v>
      </c>
      <c r="B8">
        <v>8971826</v>
      </c>
    </row>
    <row r="9" spans="1:2" x14ac:dyDescent="0.2">
      <c r="A9" t="s">
        <v>886</v>
      </c>
      <c r="B9">
        <v>8971826</v>
      </c>
    </row>
    <row r="10" spans="1:2" x14ac:dyDescent="0.2">
      <c r="A10" t="s">
        <v>886</v>
      </c>
      <c r="B10">
        <v>8971826</v>
      </c>
    </row>
    <row r="11" spans="1:2" x14ac:dyDescent="0.2">
      <c r="A11" t="s">
        <v>886</v>
      </c>
      <c r="B11">
        <v>8971826</v>
      </c>
    </row>
    <row r="12" spans="1:2" x14ac:dyDescent="0.2">
      <c r="A12" t="s">
        <v>886</v>
      </c>
      <c r="B12">
        <v>8971826</v>
      </c>
    </row>
    <row r="13" spans="1:2" x14ac:dyDescent="0.2">
      <c r="A13" t="s">
        <v>886</v>
      </c>
      <c r="B13">
        <v>8971826</v>
      </c>
    </row>
    <row r="14" spans="1:2" x14ac:dyDescent="0.2">
      <c r="A14" t="s">
        <v>886</v>
      </c>
      <c r="B14">
        <v>8971826</v>
      </c>
    </row>
    <row r="15" spans="1:2" x14ac:dyDescent="0.2">
      <c r="A15" t="s">
        <v>886</v>
      </c>
      <c r="B15">
        <v>8971826</v>
      </c>
    </row>
    <row r="16" spans="1:2" x14ac:dyDescent="0.2">
      <c r="A16" t="s">
        <v>886</v>
      </c>
      <c r="B16">
        <v>8971826</v>
      </c>
    </row>
    <row r="17" spans="1:2" x14ac:dyDescent="0.2">
      <c r="A17" t="s">
        <v>886</v>
      </c>
      <c r="B17">
        <v>8971826</v>
      </c>
    </row>
    <row r="18" spans="1:2" x14ac:dyDescent="0.2">
      <c r="A18" t="s">
        <v>886</v>
      </c>
      <c r="B18">
        <v>8971826</v>
      </c>
    </row>
    <row r="19" spans="1:2" x14ac:dyDescent="0.2">
      <c r="A19" t="s">
        <v>886</v>
      </c>
      <c r="B19">
        <v>8971826</v>
      </c>
    </row>
    <row r="20" spans="1:2" x14ac:dyDescent="0.2">
      <c r="A20" t="s">
        <v>887</v>
      </c>
      <c r="B20">
        <v>8977234</v>
      </c>
    </row>
    <row r="21" spans="1:2" x14ac:dyDescent="0.2">
      <c r="A21" t="s">
        <v>888</v>
      </c>
      <c r="B21">
        <v>8244481</v>
      </c>
    </row>
    <row r="22" spans="1:2" x14ac:dyDescent="0.2">
      <c r="A22" t="s">
        <v>888</v>
      </c>
      <c r="B22">
        <v>8244481</v>
      </c>
    </row>
    <row r="23" spans="1:2" x14ac:dyDescent="0.2">
      <c r="A23" s="12" t="s">
        <v>907</v>
      </c>
      <c r="B23">
        <v>17425766</v>
      </c>
    </row>
    <row r="24" spans="1:2" x14ac:dyDescent="0.2">
      <c r="A24" s="12" t="s">
        <v>907</v>
      </c>
      <c r="B24">
        <v>17425766</v>
      </c>
    </row>
    <row r="25" spans="1:2" x14ac:dyDescent="0.2">
      <c r="A25" s="12" t="s">
        <v>907</v>
      </c>
      <c r="B25">
        <v>17425766</v>
      </c>
    </row>
    <row r="26" spans="1:2" x14ac:dyDescent="0.2">
      <c r="A26" s="12" t="s">
        <v>907</v>
      </c>
      <c r="B26">
        <v>17425766</v>
      </c>
    </row>
    <row r="27" spans="1:2" x14ac:dyDescent="0.2">
      <c r="A27" s="12" t="s">
        <v>907</v>
      </c>
      <c r="B27">
        <v>17425766</v>
      </c>
    </row>
    <row r="28" spans="1:2" x14ac:dyDescent="0.2">
      <c r="A28" s="12" t="s">
        <v>907</v>
      </c>
      <c r="B28">
        <v>17425766</v>
      </c>
    </row>
    <row r="29" spans="1:2" x14ac:dyDescent="0.2">
      <c r="A29" s="12" t="s">
        <v>907</v>
      </c>
      <c r="B29">
        <v>17425766</v>
      </c>
    </row>
    <row r="30" spans="1:2" x14ac:dyDescent="0.2">
      <c r="A30" s="12" t="s">
        <v>907</v>
      </c>
      <c r="B30">
        <v>17425766</v>
      </c>
    </row>
    <row r="31" spans="1:2" x14ac:dyDescent="0.2">
      <c r="A31" s="12" t="s">
        <v>907</v>
      </c>
      <c r="B31">
        <v>17425766</v>
      </c>
    </row>
    <row r="32" spans="1:2" x14ac:dyDescent="0.2">
      <c r="A32" s="12" t="s">
        <v>907</v>
      </c>
      <c r="B32">
        <v>17425766</v>
      </c>
    </row>
    <row r="33" spans="1:2" x14ac:dyDescent="0.2">
      <c r="A33" s="12" t="s">
        <v>907</v>
      </c>
      <c r="B33">
        <v>17425766</v>
      </c>
    </row>
    <row r="34" spans="1:2" x14ac:dyDescent="0.2">
      <c r="A34" s="12" t="s">
        <v>907</v>
      </c>
      <c r="B34">
        <v>17425766</v>
      </c>
    </row>
    <row r="35" spans="1:2" x14ac:dyDescent="0.2">
      <c r="A35" s="12" t="s">
        <v>907</v>
      </c>
      <c r="B35">
        <v>17425766</v>
      </c>
    </row>
    <row r="36" spans="1:2" x14ac:dyDescent="0.2">
      <c r="A36" s="12" t="s">
        <v>907</v>
      </c>
      <c r="B36">
        <v>17425766</v>
      </c>
    </row>
    <row r="37" spans="1:2" x14ac:dyDescent="0.2">
      <c r="A37" s="12" t="s">
        <v>907</v>
      </c>
      <c r="B37">
        <v>17425766</v>
      </c>
    </row>
    <row r="38" spans="1:2" x14ac:dyDescent="0.2">
      <c r="A38" s="12" t="s">
        <v>907</v>
      </c>
      <c r="B38">
        <v>17425766</v>
      </c>
    </row>
    <row r="39" spans="1:2" x14ac:dyDescent="0.2">
      <c r="A39" s="12" t="s">
        <v>907</v>
      </c>
      <c r="B39">
        <v>17425766</v>
      </c>
    </row>
    <row r="40" spans="1:2" x14ac:dyDescent="0.2">
      <c r="A40" s="12" t="s">
        <v>907</v>
      </c>
      <c r="B40">
        <v>17425766</v>
      </c>
    </row>
    <row r="41" spans="1:2" x14ac:dyDescent="0.2">
      <c r="A41" s="12" t="s">
        <v>907</v>
      </c>
      <c r="B41">
        <v>17425766</v>
      </c>
    </row>
    <row r="42" spans="1:2" x14ac:dyDescent="0.2">
      <c r="A42" s="12" t="s">
        <v>908</v>
      </c>
      <c r="B42">
        <v>21222981</v>
      </c>
    </row>
    <row r="43" spans="1:2" x14ac:dyDescent="0.2">
      <c r="A43" t="s">
        <v>889</v>
      </c>
      <c r="B43">
        <v>16865615</v>
      </c>
    </row>
    <row r="44" spans="1:2" x14ac:dyDescent="0.2">
      <c r="A44" t="s">
        <v>889</v>
      </c>
      <c r="B44">
        <v>16865615</v>
      </c>
    </row>
    <row r="45" spans="1:2" x14ac:dyDescent="0.2">
      <c r="A45" t="s">
        <v>889</v>
      </c>
      <c r="B45">
        <v>16865615</v>
      </c>
    </row>
    <row r="46" spans="1:2" x14ac:dyDescent="0.2">
      <c r="A46" t="s">
        <v>890</v>
      </c>
      <c r="B46">
        <v>15278437</v>
      </c>
    </row>
    <row r="47" spans="1:2" x14ac:dyDescent="0.2">
      <c r="A47" t="s">
        <v>890</v>
      </c>
      <c r="B47">
        <v>15278437</v>
      </c>
    </row>
    <row r="48" spans="1:2" x14ac:dyDescent="0.2">
      <c r="A48" t="s">
        <v>890</v>
      </c>
      <c r="B48">
        <v>15278437</v>
      </c>
    </row>
    <row r="49" spans="1:2" x14ac:dyDescent="0.2">
      <c r="A49" t="s">
        <v>890</v>
      </c>
      <c r="B49">
        <v>15278437</v>
      </c>
    </row>
    <row r="50" spans="1:2" x14ac:dyDescent="0.2">
      <c r="A50" t="s">
        <v>890</v>
      </c>
      <c r="B50">
        <v>15278437</v>
      </c>
    </row>
    <row r="51" spans="1:2" x14ac:dyDescent="0.2">
      <c r="A51" t="s">
        <v>891</v>
      </c>
      <c r="B51">
        <v>2158366</v>
      </c>
    </row>
    <row r="52" spans="1:2" x14ac:dyDescent="0.2">
      <c r="A52" t="s">
        <v>891</v>
      </c>
      <c r="B52">
        <v>2158366</v>
      </c>
    </row>
    <row r="53" spans="1:2" x14ac:dyDescent="0.2">
      <c r="A53" t="s">
        <v>891</v>
      </c>
      <c r="B53">
        <v>2158366</v>
      </c>
    </row>
    <row r="54" spans="1:2" x14ac:dyDescent="0.2">
      <c r="A54" t="s">
        <v>892</v>
      </c>
      <c r="B54">
        <v>7146581</v>
      </c>
    </row>
    <row r="55" spans="1:2" x14ac:dyDescent="0.2">
      <c r="A55" t="s">
        <v>892</v>
      </c>
      <c r="B55">
        <v>7146581</v>
      </c>
    </row>
    <row r="56" spans="1:2" x14ac:dyDescent="0.2">
      <c r="A56" t="s">
        <v>892</v>
      </c>
      <c r="B56">
        <v>7146581</v>
      </c>
    </row>
    <row r="57" spans="1:2" x14ac:dyDescent="0.2">
      <c r="A57" t="s">
        <v>892</v>
      </c>
      <c r="B57">
        <v>7146581</v>
      </c>
    </row>
    <row r="58" spans="1:2" x14ac:dyDescent="0.2">
      <c r="A58" t="s">
        <v>892</v>
      </c>
      <c r="B58">
        <v>7146581</v>
      </c>
    </row>
    <row r="59" spans="1:2" x14ac:dyDescent="0.2">
      <c r="A59" t="s">
        <v>892</v>
      </c>
      <c r="B59">
        <v>7146581</v>
      </c>
    </row>
    <row r="60" spans="1:2" x14ac:dyDescent="0.2">
      <c r="A60" t="s">
        <v>892</v>
      </c>
      <c r="B60">
        <v>7146581</v>
      </c>
    </row>
    <row r="61" spans="1:2" x14ac:dyDescent="0.2">
      <c r="A61" t="s">
        <v>892</v>
      </c>
      <c r="B61">
        <v>7146581</v>
      </c>
    </row>
    <row r="62" spans="1:2" x14ac:dyDescent="0.2">
      <c r="A62" t="s">
        <v>892</v>
      </c>
      <c r="B62">
        <v>7146581</v>
      </c>
    </row>
    <row r="63" spans="1:2" x14ac:dyDescent="0.2">
      <c r="A63" t="s">
        <v>892</v>
      </c>
      <c r="B63">
        <v>7146581</v>
      </c>
    </row>
    <row r="64" spans="1:2" x14ac:dyDescent="0.2">
      <c r="A64" t="s">
        <v>892</v>
      </c>
      <c r="B64">
        <v>7146581</v>
      </c>
    </row>
    <row r="65" spans="1:2" x14ac:dyDescent="0.2">
      <c r="A65" t="s">
        <v>892</v>
      </c>
      <c r="B65">
        <v>7146581</v>
      </c>
    </row>
    <row r="66" spans="1:2" x14ac:dyDescent="0.2">
      <c r="A66" t="s">
        <v>893</v>
      </c>
      <c r="B66">
        <v>17528908</v>
      </c>
    </row>
    <row r="67" spans="1:2" x14ac:dyDescent="0.2">
      <c r="A67" t="s">
        <v>893</v>
      </c>
      <c r="B67">
        <v>17528908</v>
      </c>
    </row>
    <row r="68" spans="1:2" x14ac:dyDescent="0.2">
      <c r="A68" t="s">
        <v>893</v>
      </c>
      <c r="B68">
        <v>17528908</v>
      </c>
    </row>
    <row r="69" spans="1:2" x14ac:dyDescent="0.2">
      <c r="A69" t="s">
        <v>893</v>
      </c>
      <c r="B69">
        <v>17528908</v>
      </c>
    </row>
    <row r="70" spans="1:2" x14ac:dyDescent="0.2">
      <c r="A70" t="s">
        <v>893</v>
      </c>
      <c r="B70">
        <v>17528908</v>
      </c>
    </row>
    <row r="71" spans="1:2" x14ac:dyDescent="0.2">
      <c r="A71" t="s">
        <v>893</v>
      </c>
      <c r="B71">
        <v>17528908</v>
      </c>
    </row>
    <row r="72" spans="1:2" x14ac:dyDescent="0.2">
      <c r="A72" t="s">
        <v>893</v>
      </c>
      <c r="B72">
        <v>17528908</v>
      </c>
    </row>
    <row r="73" spans="1:2" x14ac:dyDescent="0.2">
      <c r="A73" t="s">
        <v>893</v>
      </c>
      <c r="B73">
        <v>17528908</v>
      </c>
    </row>
    <row r="74" spans="1:2" x14ac:dyDescent="0.2">
      <c r="A74" t="s">
        <v>893</v>
      </c>
      <c r="B74">
        <v>17528908</v>
      </c>
    </row>
    <row r="75" spans="1:2" x14ac:dyDescent="0.2">
      <c r="A75" t="s">
        <v>893</v>
      </c>
      <c r="B75">
        <v>17528908</v>
      </c>
    </row>
    <row r="76" spans="1:2" x14ac:dyDescent="0.2">
      <c r="A76" t="s">
        <v>893</v>
      </c>
      <c r="B76">
        <v>17528908</v>
      </c>
    </row>
    <row r="77" spans="1:2" x14ac:dyDescent="0.2">
      <c r="A77" t="s">
        <v>893</v>
      </c>
      <c r="B77">
        <v>17528908</v>
      </c>
    </row>
    <row r="78" spans="1:2" x14ac:dyDescent="0.2">
      <c r="A78" t="s">
        <v>893</v>
      </c>
      <c r="B78">
        <v>17528908</v>
      </c>
    </row>
    <row r="79" spans="1:2" x14ac:dyDescent="0.2">
      <c r="A79" t="s">
        <v>893</v>
      </c>
      <c r="B79">
        <v>17528908</v>
      </c>
    </row>
    <row r="80" spans="1:2" x14ac:dyDescent="0.2">
      <c r="A80" t="s">
        <v>893</v>
      </c>
      <c r="B80">
        <v>17528908</v>
      </c>
    </row>
    <row r="81" spans="1:2" x14ac:dyDescent="0.2">
      <c r="A81" t="s">
        <v>893</v>
      </c>
      <c r="B81">
        <v>17528908</v>
      </c>
    </row>
    <row r="82" spans="1:2" x14ac:dyDescent="0.2">
      <c r="A82" t="s">
        <v>893</v>
      </c>
      <c r="B82">
        <v>17528908</v>
      </c>
    </row>
    <row r="83" spans="1:2" x14ac:dyDescent="0.2">
      <c r="A83" t="s">
        <v>893</v>
      </c>
      <c r="B83">
        <v>17528908</v>
      </c>
    </row>
    <row r="84" spans="1:2" x14ac:dyDescent="0.2">
      <c r="A84" t="s">
        <v>893</v>
      </c>
      <c r="B84">
        <v>17528908</v>
      </c>
    </row>
    <row r="85" spans="1:2" x14ac:dyDescent="0.2">
      <c r="A85" t="s">
        <v>893</v>
      </c>
      <c r="B85">
        <v>17528908</v>
      </c>
    </row>
    <row r="86" spans="1:2" x14ac:dyDescent="0.2">
      <c r="A86" t="s">
        <v>893</v>
      </c>
      <c r="B86">
        <v>17528908</v>
      </c>
    </row>
    <row r="87" spans="1:2" x14ac:dyDescent="0.2">
      <c r="A87" t="s">
        <v>893</v>
      </c>
      <c r="B87">
        <v>17528908</v>
      </c>
    </row>
    <row r="88" spans="1:2" x14ac:dyDescent="0.2">
      <c r="A88" t="s">
        <v>893</v>
      </c>
      <c r="B88">
        <v>17528908</v>
      </c>
    </row>
    <row r="89" spans="1:2" x14ac:dyDescent="0.2">
      <c r="A89" t="s">
        <v>893</v>
      </c>
      <c r="B89">
        <v>17528908</v>
      </c>
    </row>
    <row r="90" spans="1:2" x14ac:dyDescent="0.2">
      <c r="A90" t="s">
        <v>893</v>
      </c>
      <c r="B90">
        <v>17528908</v>
      </c>
    </row>
    <row r="91" spans="1:2" x14ac:dyDescent="0.2">
      <c r="A91" t="s">
        <v>893</v>
      </c>
      <c r="B91">
        <v>17528908</v>
      </c>
    </row>
    <row r="92" spans="1:2" x14ac:dyDescent="0.2">
      <c r="A92" t="s">
        <v>893</v>
      </c>
      <c r="B92">
        <v>17528908</v>
      </c>
    </row>
    <row r="93" spans="1:2" x14ac:dyDescent="0.2">
      <c r="A93" t="s">
        <v>893</v>
      </c>
      <c r="B93">
        <v>17528908</v>
      </c>
    </row>
    <row r="94" spans="1:2" x14ac:dyDescent="0.2">
      <c r="A94" t="s">
        <v>893</v>
      </c>
      <c r="B94">
        <v>17528908</v>
      </c>
    </row>
    <row r="95" spans="1:2" x14ac:dyDescent="0.2">
      <c r="A95" t="s">
        <v>893</v>
      </c>
      <c r="B95">
        <v>17528908</v>
      </c>
    </row>
    <row r="96" spans="1:2" x14ac:dyDescent="0.2">
      <c r="A96" t="s">
        <v>893</v>
      </c>
      <c r="B96">
        <v>17528908</v>
      </c>
    </row>
    <row r="97" spans="1:2" x14ac:dyDescent="0.2">
      <c r="A97" t="s">
        <v>893</v>
      </c>
      <c r="B97">
        <v>17528908</v>
      </c>
    </row>
    <row r="98" spans="1:2" x14ac:dyDescent="0.2">
      <c r="A98" t="s">
        <v>893</v>
      </c>
      <c r="B98">
        <v>17528908</v>
      </c>
    </row>
    <row r="99" spans="1:2" x14ac:dyDescent="0.2">
      <c r="A99" t="s">
        <v>893</v>
      </c>
      <c r="B99">
        <v>17528908</v>
      </c>
    </row>
    <row r="100" spans="1:2" x14ac:dyDescent="0.2">
      <c r="A100" t="s">
        <v>893</v>
      </c>
      <c r="B100">
        <v>17528908</v>
      </c>
    </row>
    <row r="101" spans="1:2" x14ac:dyDescent="0.2">
      <c r="A101" t="s">
        <v>893</v>
      </c>
      <c r="B101">
        <v>17528908</v>
      </c>
    </row>
    <row r="102" spans="1:2" x14ac:dyDescent="0.2">
      <c r="A102" t="s">
        <v>893</v>
      </c>
      <c r="B102">
        <v>17528908</v>
      </c>
    </row>
    <row r="103" spans="1:2" x14ac:dyDescent="0.2">
      <c r="A103" t="s">
        <v>893</v>
      </c>
      <c r="B103">
        <v>17528908</v>
      </c>
    </row>
    <row r="104" spans="1:2" x14ac:dyDescent="0.2">
      <c r="A104" t="s">
        <v>893</v>
      </c>
      <c r="B104">
        <v>17528908</v>
      </c>
    </row>
    <row r="105" spans="1:2" x14ac:dyDescent="0.2">
      <c r="A105" t="s">
        <v>893</v>
      </c>
      <c r="B105">
        <v>17528908</v>
      </c>
    </row>
    <row r="106" spans="1:2" x14ac:dyDescent="0.2">
      <c r="A106" t="s">
        <v>893</v>
      </c>
      <c r="B106">
        <v>17528908</v>
      </c>
    </row>
    <row r="107" spans="1:2" x14ac:dyDescent="0.2">
      <c r="A107" t="s">
        <v>893</v>
      </c>
      <c r="B107">
        <v>17528908</v>
      </c>
    </row>
    <row r="108" spans="1:2" x14ac:dyDescent="0.2">
      <c r="A108" t="s">
        <v>893</v>
      </c>
      <c r="B108">
        <v>17528908</v>
      </c>
    </row>
    <row r="109" spans="1:2" x14ac:dyDescent="0.2">
      <c r="A109" t="s">
        <v>893</v>
      </c>
      <c r="B109">
        <v>17528908</v>
      </c>
    </row>
    <row r="110" spans="1:2" x14ac:dyDescent="0.2">
      <c r="A110" t="s">
        <v>893</v>
      </c>
      <c r="B110">
        <v>17528908</v>
      </c>
    </row>
    <row r="111" spans="1:2" x14ac:dyDescent="0.2">
      <c r="A111" t="s">
        <v>893</v>
      </c>
      <c r="B111">
        <v>17528908</v>
      </c>
    </row>
    <row r="112" spans="1:2" x14ac:dyDescent="0.2">
      <c r="A112" t="s">
        <v>893</v>
      </c>
      <c r="B112">
        <v>17528908</v>
      </c>
    </row>
    <row r="113" spans="1:2" x14ac:dyDescent="0.2">
      <c r="A113" t="s">
        <v>893</v>
      </c>
      <c r="B113">
        <v>17528908</v>
      </c>
    </row>
    <row r="114" spans="1:2" x14ac:dyDescent="0.2">
      <c r="A114" t="s">
        <v>893</v>
      </c>
      <c r="B114">
        <v>17528908</v>
      </c>
    </row>
    <row r="115" spans="1:2" x14ac:dyDescent="0.2">
      <c r="A115" t="s">
        <v>893</v>
      </c>
      <c r="B115">
        <v>17528908</v>
      </c>
    </row>
    <row r="116" spans="1:2" x14ac:dyDescent="0.2">
      <c r="A116" t="s">
        <v>893</v>
      </c>
      <c r="B116">
        <v>17528908</v>
      </c>
    </row>
    <row r="117" spans="1:2" x14ac:dyDescent="0.2">
      <c r="A117" t="s">
        <v>893</v>
      </c>
      <c r="B117">
        <v>17528908</v>
      </c>
    </row>
    <row r="118" spans="1:2" x14ac:dyDescent="0.2">
      <c r="A118" t="s">
        <v>893</v>
      </c>
      <c r="B118">
        <v>17528908</v>
      </c>
    </row>
    <row r="119" spans="1:2" x14ac:dyDescent="0.2">
      <c r="A119" t="s">
        <v>893</v>
      </c>
      <c r="B119">
        <v>17528908</v>
      </c>
    </row>
    <row r="120" spans="1:2" x14ac:dyDescent="0.2">
      <c r="A120" t="s">
        <v>893</v>
      </c>
      <c r="B120">
        <v>17528908</v>
      </c>
    </row>
    <row r="121" spans="1:2" x14ac:dyDescent="0.2">
      <c r="A121" s="12" t="s">
        <v>909</v>
      </c>
      <c r="B121">
        <v>19279958</v>
      </c>
    </row>
    <row r="122" spans="1:2" x14ac:dyDescent="0.2">
      <c r="A122" s="12" t="s">
        <v>909</v>
      </c>
      <c r="B122">
        <v>19279958</v>
      </c>
    </row>
    <row r="123" spans="1:2" x14ac:dyDescent="0.2">
      <c r="A123" s="12" t="s">
        <v>909</v>
      </c>
      <c r="B123">
        <v>19279958</v>
      </c>
    </row>
    <row r="124" spans="1:2" x14ac:dyDescent="0.2">
      <c r="A124" s="12" t="s">
        <v>909</v>
      </c>
      <c r="B124">
        <v>19279958</v>
      </c>
    </row>
    <row r="125" spans="1:2" x14ac:dyDescent="0.2">
      <c r="A125" s="12" t="s">
        <v>909</v>
      </c>
      <c r="B125">
        <v>19279958</v>
      </c>
    </row>
    <row r="126" spans="1:2" x14ac:dyDescent="0.2">
      <c r="A126" s="12" t="s">
        <v>909</v>
      </c>
      <c r="B126">
        <v>19279958</v>
      </c>
    </row>
    <row r="127" spans="1:2" x14ac:dyDescent="0.2">
      <c r="A127" t="s">
        <v>894</v>
      </c>
      <c r="B127">
        <v>19278370</v>
      </c>
    </row>
    <row r="128" spans="1:2" x14ac:dyDescent="0.2">
      <c r="A128" t="s">
        <v>894</v>
      </c>
      <c r="B128">
        <v>19278370</v>
      </c>
    </row>
    <row r="129" spans="1:2" x14ac:dyDescent="0.2">
      <c r="A129" t="s">
        <v>894</v>
      </c>
      <c r="B129">
        <v>19278370</v>
      </c>
    </row>
    <row r="130" spans="1:2" x14ac:dyDescent="0.2">
      <c r="A130" t="s">
        <v>894</v>
      </c>
      <c r="B130">
        <v>19278370</v>
      </c>
    </row>
    <row r="131" spans="1:2" x14ac:dyDescent="0.2">
      <c r="A131" t="s">
        <v>894</v>
      </c>
      <c r="B131">
        <v>19278370</v>
      </c>
    </row>
    <row r="132" spans="1:2" x14ac:dyDescent="0.2">
      <c r="A132" t="s">
        <v>894</v>
      </c>
      <c r="B132">
        <v>19278370</v>
      </c>
    </row>
    <row r="133" spans="1:2" x14ac:dyDescent="0.2">
      <c r="A133" t="s">
        <v>894</v>
      </c>
      <c r="B133">
        <v>19278370</v>
      </c>
    </row>
    <row r="134" spans="1:2" x14ac:dyDescent="0.2">
      <c r="A134" t="s">
        <v>894</v>
      </c>
      <c r="B134">
        <v>19278370</v>
      </c>
    </row>
    <row r="135" spans="1:2" x14ac:dyDescent="0.2">
      <c r="A135" t="s">
        <v>894</v>
      </c>
      <c r="B135">
        <v>19278370</v>
      </c>
    </row>
    <row r="136" spans="1:2" x14ac:dyDescent="0.2">
      <c r="A136" t="s">
        <v>894</v>
      </c>
      <c r="B136">
        <v>19278370</v>
      </c>
    </row>
    <row r="137" spans="1:2" x14ac:dyDescent="0.2">
      <c r="A137" t="s">
        <v>894</v>
      </c>
      <c r="B137">
        <v>19278370</v>
      </c>
    </row>
    <row r="138" spans="1:2" x14ac:dyDescent="0.2">
      <c r="A138" t="s">
        <v>894</v>
      </c>
      <c r="B138">
        <v>19278370</v>
      </c>
    </row>
    <row r="139" spans="1:2" x14ac:dyDescent="0.2">
      <c r="A139" t="s">
        <v>894</v>
      </c>
      <c r="B139">
        <v>19278370</v>
      </c>
    </row>
    <row r="140" spans="1:2" x14ac:dyDescent="0.2">
      <c r="A140" t="s">
        <v>894</v>
      </c>
      <c r="B140">
        <v>19278370</v>
      </c>
    </row>
    <row r="141" spans="1:2" x14ac:dyDescent="0.2">
      <c r="A141" t="s">
        <v>894</v>
      </c>
      <c r="B141">
        <v>19278370</v>
      </c>
    </row>
    <row r="142" spans="1:2" x14ac:dyDescent="0.2">
      <c r="A142" t="s">
        <v>894</v>
      </c>
      <c r="B142">
        <v>19278370</v>
      </c>
    </row>
    <row r="143" spans="1:2" x14ac:dyDescent="0.2">
      <c r="A143" t="s">
        <v>894</v>
      </c>
      <c r="B143">
        <v>19278370</v>
      </c>
    </row>
    <row r="144" spans="1:2" x14ac:dyDescent="0.2">
      <c r="A144" t="s">
        <v>894</v>
      </c>
      <c r="B144">
        <v>19278370</v>
      </c>
    </row>
    <row r="145" spans="1:2" x14ac:dyDescent="0.2">
      <c r="A145" t="s">
        <v>894</v>
      </c>
      <c r="B145">
        <v>19278370</v>
      </c>
    </row>
    <row r="146" spans="1:2" x14ac:dyDescent="0.2">
      <c r="A146" t="s">
        <v>894</v>
      </c>
      <c r="B146">
        <v>19278370</v>
      </c>
    </row>
    <row r="147" spans="1:2" x14ac:dyDescent="0.2">
      <c r="A147" s="12" t="s">
        <v>910</v>
      </c>
      <c r="B147">
        <v>16202925</v>
      </c>
    </row>
    <row r="148" spans="1:2" x14ac:dyDescent="0.2">
      <c r="A148" s="12" t="s">
        <v>910</v>
      </c>
      <c r="B148">
        <v>16202925</v>
      </c>
    </row>
    <row r="149" spans="1:2" x14ac:dyDescent="0.2">
      <c r="A149" s="12" t="s">
        <v>910</v>
      </c>
      <c r="B149">
        <v>16202925</v>
      </c>
    </row>
    <row r="150" spans="1:2" x14ac:dyDescent="0.2">
      <c r="A150" s="12" t="s">
        <v>910</v>
      </c>
      <c r="B150">
        <v>16202925</v>
      </c>
    </row>
    <row r="151" spans="1:2" x14ac:dyDescent="0.2">
      <c r="A151" s="12" t="s">
        <v>910</v>
      </c>
      <c r="B151">
        <v>16202925</v>
      </c>
    </row>
    <row r="152" spans="1:2" x14ac:dyDescent="0.2">
      <c r="A152" s="12" t="s">
        <v>910</v>
      </c>
      <c r="B152">
        <v>16202925</v>
      </c>
    </row>
    <row r="153" spans="1:2" x14ac:dyDescent="0.2">
      <c r="A153" s="12" t="s">
        <v>910</v>
      </c>
      <c r="B153">
        <v>16202925</v>
      </c>
    </row>
    <row r="154" spans="1:2" x14ac:dyDescent="0.2">
      <c r="A154" s="12" t="s">
        <v>910</v>
      </c>
      <c r="B154">
        <v>16202925</v>
      </c>
    </row>
    <row r="155" spans="1:2" x14ac:dyDescent="0.2">
      <c r="A155" s="12" t="s">
        <v>910</v>
      </c>
      <c r="B155">
        <v>16202925</v>
      </c>
    </row>
    <row r="156" spans="1:2" x14ac:dyDescent="0.2">
      <c r="A156" s="12" t="s">
        <v>910</v>
      </c>
      <c r="B156">
        <v>16202925</v>
      </c>
    </row>
    <row r="157" spans="1:2" x14ac:dyDescent="0.2">
      <c r="A157" s="12" t="s">
        <v>910</v>
      </c>
      <c r="B157">
        <v>16202925</v>
      </c>
    </row>
    <row r="158" spans="1:2" x14ac:dyDescent="0.2">
      <c r="A158" s="12" t="s">
        <v>910</v>
      </c>
      <c r="B158">
        <v>16202925</v>
      </c>
    </row>
    <row r="159" spans="1:2" x14ac:dyDescent="0.2">
      <c r="A159" s="12" t="s">
        <v>910</v>
      </c>
      <c r="B159">
        <v>16202925</v>
      </c>
    </row>
    <row r="160" spans="1:2" x14ac:dyDescent="0.2">
      <c r="A160" s="12" t="s">
        <v>910</v>
      </c>
      <c r="B160">
        <v>16202925</v>
      </c>
    </row>
    <row r="161" spans="1:2" x14ac:dyDescent="0.2">
      <c r="A161" s="12" t="s">
        <v>910</v>
      </c>
      <c r="B161">
        <v>16202925</v>
      </c>
    </row>
    <row r="162" spans="1:2" x14ac:dyDescent="0.2">
      <c r="A162" s="12" t="s">
        <v>910</v>
      </c>
      <c r="B162">
        <v>16202925</v>
      </c>
    </row>
    <row r="163" spans="1:2" x14ac:dyDescent="0.2">
      <c r="A163" s="12" t="s">
        <v>910</v>
      </c>
      <c r="B163">
        <v>16202925</v>
      </c>
    </row>
    <row r="164" spans="1:2" x14ac:dyDescent="0.2">
      <c r="A164" s="12" t="s">
        <v>910</v>
      </c>
      <c r="B164">
        <v>16202925</v>
      </c>
    </row>
    <row r="165" spans="1:2" x14ac:dyDescent="0.2">
      <c r="A165" s="12" t="s">
        <v>910</v>
      </c>
      <c r="B165">
        <v>16202925</v>
      </c>
    </row>
    <row r="166" spans="1:2" x14ac:dyDescent="0.2">
      <c r="A166" s="12" t="s">
        <v>910</v>
      </c>
      <c r="B166">
        <v>16202925</v>
      </c>
    </row>
    <row r="167" spans="1:2" x14ac:dyDescent="0.2">
      <c r="A167" s="12" t="s">
        <v>910</v>
      </c>
      <c r="B167">
        <v>16202925</v>
      </c>
    </row>
    <row r="168" spans="1:2" x14ac:dyDescent="0.2">
      <c r="A168" s="12" t="s">
        <v>910</v>
      </c>
      <c r="B168">
        <v>16202925</v>
      </c>
    </row>
    <row r="169" spans="1:2" x14ac:dyDescent="0.2">
      <c r="A169" s="12" t="s">
        <v>910</v>
      </c>
      <c r="B169">
        <v>16202925</v>
      </c>
    </row>
    <row r="170" spans="1:2" x14ac:dyDescent="0.2">
      <c r="A170" s="12" t="s">
        <v>910</v>
      </c>
      <c r="B170">
        <v>16202925</v>
      </c>
    </row>
    <row r="171" spans="1:2" x14ac:dyDescent="0.2">
      <c r="A171" s="12" t="s">
        <v>910</v>
      </c>
      <c r="B171">
        <v>16202925</v>
      </c>
    </row>
    <row r="172" spans="1:2" x14ac:dyDescent="0.2">
      <c r="A172" s="12" t="s">
        <v>910</v>
      </c>
      <c r="B172">
        <v>16202925</v>
      </c>
    </row>
    <row r="173" spans="1:2" x14ac:dyDescent="0.2">
      <c r="A173" s="12" t="s">
        <v>910</v>
      </c>
      <c r="B173">
        <v>16202925</v>
      </c>
    </row>
    <row r="174" spans="1:2" x14ac:dyDescent="0.2">
      <c r="A174" s="12" t="s">
        <v>910</v>
      </c>
      <c r="B174">
        <v>16202925</v>
      </c>
    </row>
    <row r="175" spans="1:2" x14ac:dyDescent="0.2">
      <c r="A175" s="12" t="s">
        <v>911</v>
      </c>
      <c r="B175">
        <v>17195620</v>
      </c>
    </row>
    <row r="176" spans="1:2" x14ac:dyDescent="0.2">
      <c r="A176" s="12" t="s">
        <v>911</v>
      </c>
      <c r="B176">
        <v>17195620</v>
      </c>
    </row>
    <row r="177" spans="1:2" x14ac:dyDescent="0.2">
      <c r="A177" s="12" t="s">
        <v>911</v>
      </c>
      <c r="B177">
        <v>17195620</v>
      </c>
    </row>
    <row r="178" spans="1:2" x14ac:dyDescent="0.2">
      <c r="A178" s="12" t="s">
        <v>911</v>
      </c>
      <c r="B178">
        <v>17195620</v>
      </c>
    </row>
    <row r="179" spans="1:2" x14ac:dyDescent="0.2">
      <c r="A179" s="12" t="s">
        <v>911</v>
      </c>
      <c r="B179">
        <v>17195620</v>
      </c>
    </row>
    <row r="180" spans="1:2" x14ac:dyDescent="0.2">
      <c r="A180" s="12" t="s">
        <v>911</v>
      </c>
      <c r="B180">
        <v>17195620</v>
      </c>
    </row>
    <row r="181" spans="1:2" x14ac:dyDescent="0.2">
      <c r="A181" s="12" t="s">
        <v>911</v>
      </c>
      <c r="B181">
        <v>17195620</v>
      </c>
    </row>
    <row r="182" spans="1:2" x14ac:dyDescent="0.2">
      <c r="A182" t="s">
        <v>895</v>
      </c>
      <c r="B182">
        <v>8814784</v>
      </c>
    </row>
    <row r="183" spans="1:2" x14ac:dyDescent="0.2">
      <c r="A183" t="s">
        <v>895</v>
      </c>
      <c r="B183">
        <v>8814784</v>
      </c>
    </row>
    <row r="184" spans="1:2" x14ac:dyDescent="0.2">
      <c r="A184" t="s">
        <v>896</v>
      </c>
      <c r="B184">
        <v>9254978</v>
      </c>
    </row>
    <row r="185" spans="1:2" x14ac:dyDescent="0.2">
      <c r="A185" t="s">
        <v>896</v>
      </c>
      <c r="B185">
        <v>9254978</v>
      </c>
    </row>
    <row r="186" spans="1:2" x14ac:dyDescent="0.2">
      <c r="A186" t="s">
        <v>896</v>
      </c>
      <c r="B186">
        <v>9254978</v>
      </c>
    </row>
    <row r="187" spans="1:2" x14ac:dyDescent="0.2">
      <c r="A187" t="s">
        <v>896</v>
      </c>
      <c r="B187">
        <v>9254978</v>
      </c>
    </row>
    <row r="188" spans="1:2" x14ac:dyDescent="0.2">
      <c r="A188" s="12" t="s">
        <v>882</v>
      </c>
      <c r="B188" t="e">
        <v>#N/A</v>
      </c>
    </row>
    <row r="189" spans="1:2" x14ac:dyDescent="0.2">
      <c r="A189" s="12" t="s">
        <v>882</v>
      </c>
      <c r="B189" t="e">
        <v>#N/A</v>
      </c>
    </row>
    <row r="190" spans="1:2" x14ac:dyDescent="0.2">
      <c r="A190" s="12" t="s">
        <v>882</v>
      </c>
      <c r="B190" t="e">
        <v>#N/A</v>
      </c>
    </row>
    <row r="191" spans="1:2" x14ac:dyDescent="0.2">
      <c r="A191" s="12" t="s">
        <v>882</v>
      </c>
      <c r="B191" t="e">
        <v>#N/A</v>
      </c>
    </row>
    <row r="192" spans="1:2" x14ac:dyDescent="0.2">
      <c r="A192" s="12" t="s">
        <v>882</v>
      </c>
      <c r="B192" t="e">
        <v>#N/A</v>
      </c>
    </row>
    <row r="193" spans="1:2" x14ac:dyDescent="0.2">
      <c r="A193" s="12" t="s">
        <v>882</v>
      </c>
      <c r="B193" t="e">
        <v>#N/A</v>
      </c>
    </row>
    <row r="194" spans="1:2" x14ac:dyDescent="0.2">
      <c r="A194" s="12" t="s">
        <v>882</v>
      </c>
      <c r="B194" t="e">
        <v>#N/A</v>
      </c>
    </row>
    <row r="195" spans="1:2" x14ac:dyDescent="0.2">
      <c r="A195" s="12" t="s">
        <v>882</v>
      </c>
      <c r="B195" t="e">
        <v>#N/A</v>
      </c>
    </row>
    <row r="196" spans="1:2" x14ac:dyDescent="0.2">
      <c r="A196" s="12" t="s">
        <v>882</v>
      </c>
      <c r="B196" t="e">
        <v>#N/A</v>
      </c>
    </row>
    <row r="197" spans="1:2" x14ac:dyDescent="0.2">
      <c r="A197" s="12" t="s">
        <v>882</v>
      </c>
      <c r="B197" t="e">
        <v>#N/A</v>
      </c>
    </row>
    <row r="198" spans="1:2" x14ac:dyDescent="0.2">
      <c r="A198" s="12" t="s">
        <v>882</v>
      </c>
      <c r="B198" t="e">
        <v>#N/A</v>
      </c>
    </row>
    <row r="199" spans="1:2" x14ac:dyDescent="0.2">
      <c r="A199" s="12" t="s">
        <v>882</v>
      </c>
      <c r="B199" t="e">
        <v>#N/A</v>
      </c>
    </row>
    <row r="200" spans="1:2" x14ac:dyDescent="0.2">
      <c r="A200" s="12" t="s">
        <v>882</v>
      </c>
      <c r="B200" t="e">
        <v>#N/A</v>
      </c>
    </row>
    <row r="201" spans="1:2" x14ac:dyDescent="0.2">
      <c r="A201" s="12" t="s">
        <v>882</v>
      </c>
      <c r="B201" t="e">
        <v>#N/A</v>
      </c>
    </row>
    <row r="202" spans="1:2" x14ac:dyDescent="0.2">
      <c r="A202" s="12" t="s">
        <v>882</v>
      </c>
      <c r="B202" t="e">
        <v>#N/A</v>
      </c>
    </row>
    <row r="203" spans="1:2" x14ac:dyDescent="0.2">
      <c r="A203" s="12" t="s">
        <v>882</v>
      </c>
      <c r="B203" t="e">
        <v>#N/A</v>
      </c>
    </row>
    <row r="204" spans="1:2" x14ac:dyDescent="0.2">
      <c r="A204" s="12" t="s">
        <v>882</v>
      </c>
      <c r="B204" t="e">
        <v>#N/A</v>
      </c>
    </row>
    <row r="205" spans="1:2" x14ac:dyDescent="0.2">
      <c r="A205" s="12" t="s">
        <v>882</v>
      </c>
      <c r="B205" t="e">
        <v>#N/A</v>
      </c>
    </row>
    <row r="206" spans="1:2" x14ac:dyDescent="0.2">
      <c r="A206" s="12" t="s">
        <v>882</v>
      </c>
      <c r="B206" t="e">
        <v>#N/A</v>
      </c>
    </row>
    <row r="207" spans="1:2" x14ac:dyDescent="0.2">
      <c r="A207" s="12" t="s">
        <v>882</v>
      </c>
      <c r="B207" t="e">
        <v>#N/A</v>
      </c>
    </row>
    <row r="208" spans="1:2" x14ac:dyDescent="0.2">
      <c r="A208" s="12" t="s">
        <v>882</v>
      </c>
      <c r="B208" t="e">
        <v>#N/A</v>
      </c>
    </row>
    <row r="209" spans="1:2" x14ac:dyDescent="0.2">
      <c r="A209" s="12" t="s">
        <v>882</v>
      </c>
      <c r="B209" t="e">
        <v>#N/A</v>
      </c>
    </row>
    <row r="210" spans="1:2" x14ac:dyDescent="0.2">
      <c r="A210" s="12" t="s">
        <v>882</v>
      </c>
      <c r="B210" t="e">
        <v>#N/A</v>
      </c>
    </row>
    <row r="211" spans="1:2" x14ac:dyDescent="0.2">
      <c r="A211" s="12" t="s">
        <v>882</v>
      </c>
      <c r="B211" t="e">
        <v>#N/A</v>
      </c>
    </row>
    <row r="212" spans="1:2" x14ac:dyDescent="0.2">
      <c r="A212" s="12" t="s">
        <v>882</v>
      </c>
      <c r="B212" t="e">
        <v>#N/A</v>
      </c>
    </row>
    <row r="213" spans="1:2" x14ac:dyDescent="0.2">
      <c r="A213" s="12" t="s">
        <v>882</v>
      </c>
      <c r="B213" t="e">
        <v>#N/A</v>
      </c>
    </row>
    <row r="214" spans="1:2" x14ac:dyDescent="0.2">
      <c r="A214" s="12" t="s">
        <v>882</v>
      </c>
      <c r="B214" t="e">
        <v>#N/A</v>
      </c>
    </row>
    <row r="215" spans="1:2" x14ac:dyDescent="0.2">
      <c r="A215" s="12" t="s">
        <v>882</v>
      </c>
      <c r="B215" t="e">
        <v>#N/A</v>
      </c>
    </row>
    <row r="216" spans="1:2" x14ac:dyDescent="0.2">
      <c r="A216" s="12" t="s">
        <v>882</v>
      </c>
      <c r="B216" t="e">
        <v>#N/A</v>
      </c>
    </row>
    <row r="217" spans="1:2" x14ac:dyDescent="0.2">
      <c r="A217" s="12" t="s">
        <v>882</v>
      </c>
      <c r="B217" t="e">
        <v>#N/A</v>
      </c>
    </row>
    <row r="218" spans="1:2" x14ac:dyDescent="0.2">
      <c r="A218" s="12" t="s">
        <v>882</v>
      </c>
      <c r="B218" t="e">
        <v>#N/A</v>
      </c>
    </row>
    <row r="219" spans="1:2" x14ac:dyDescent="0.2">
      <c r="A219" s="12" t="s">
        <v>882</v>
      </c>
      <c r="B219" t="e">
        <v>#N/A</v>
      </c>
    </row>
    <row r="220" spans="1:2" x14ac:dyDescent="0.2">
      <c r="A220" s="12" t="s">
        <v>882</v>
      </c>
      <c r="B220" t="e">
        <v>#N/A</v>
      </c>
    </row>
    <row r="221" spans="1:2" x14ac:dyDescent="0.2">
      <c r="A221" s="12" t="s">
        <v>882</v>
      </c>
      <c r="B221" t="e">
        <v>#N/A</v>
      </c>
    </row>
    <row r="222" spans="1:2" x14ac:dyDescent="0.2">
      <c r="A222" s="12" t="s">
        <v>882</v>
      </c>
      <c r="B222" t="e">
        <v>#N/A</v>
      </c>
    </row>
    <row r="223" spans="1:2" x14ac:dyDescent="0.2">
      <c r="A223" s="12" t="s">
        <v>882</v>
      </c>
      <c r="B223" t="e">
        <v>#N/A</v>
      </c>
    </row>
    <row r="224" spans="1:2" x14ac:dyDescent="0.2">
      <c r="A224" s="12" t="s">
        <v>882</v>
      </c>
      <c r="B224" t="e">
        <v>#N/A</v>
      </c>
    </row>
    <row r="225" spans="1:2" x14ac:dyDescent="0.2">
      <c r="A225" s="12" t="s">
        <v>882</v>
      </c>
      <c r="B225" t="e">
        <v>#N/A</v>
      </c>
    </row>
    <row r="226" spans="1:2" x14ac:dyDescent="0.2">
      <c r="A226" s="12" t="s">
        <v>882</v>
      </c>
      <c r="B226" t="e">
        <v>#N/A</v>
      </c>
    </row>
    <row r="227" spans="1:2" x14ac:dyDescent="0.2">
      <c r="A227" s="12" t="s">
        <v>882</v>
      </c>
      <c r="B227" t="e">
        <v>#N/A</v>
      </c>
    </row>
    <row r="228" spans="1:2" x14ac:dyDescent="0.2">
      <c r="A228" s="12" t="s">
        <v>882</v>
      </c>
      <c r="B228" t="e">
        <v>#N/A</v>
      </c>
    </row>
    <row r="229" spans="1:2" x14ac:dyDescent="0.2">
      <c r="A229" s="12" t="s">
        <v>882</v>
      </c>
      <c r="B229" t="e">
        <v>#N/A</v>
      </c>
    </row>
    <row r="230" spans="1:2" x14ac:dyDescent="0.2">
      <c r="A230" s="12" t="s">
        <v>882</v>
      </c>
      <c r="B230" t="e">
        <v>#N/A</v>
      </c>
    </row>
    <row r="231" spans="1:2" x14ac:dyDescent="0.2">
      <c r="A231" s="12" t="s">
        <v>882</v>
      </c>
      <c r="B231" t="e">
        <v>#N/A</v>
      </c>
    </row>
    <row r="232" spans="1:2" x14ac:dyDescent="0.2">
      <c r="A232" s="12" t="s">
        <v>882</v>
      </c>
      <c r="B232" t="e">
        <v>#N/A</v>
      </c>
    </row>
    <row r="233" spans="1:2" x14ac:dyDescent="0.2">
      <c r="A233" s="12" t="s">
        <v>882</v>
      </c>
      <c r="B233" t="e">
        <v>#N/A</v>
      </c>
    </row>
    <row r="234" spans="1:2" x14ac:dyDescent="0.2">
      <c r="A234" s="12" t="s">
        <v>882</v>
      </c>
      <c r="B234" t="e">
        <v>#N/A</v>
      </c>
    </row>
    <row r="235" spans="1:2" x14ac:dyDescent="0.2">
      <c r="A235" s="12" t="s">
        <v>882</v>
      </c>
      <c r="B235" t="e">
        <v>#N/A</v>
      </c>
    </row>
    <row r="236" spans="1:2" x14ac:dyDescent="0.2">
      <c r="A236" s="12" t="s">
        <v>882</v>
      </c>
      <c r="B236" t="e">
        <v>#N/A</v>
      </c>
    </row>
    <row r="237" spans="1:2" x14ac:dyDescent="0.2">
      <c r="A237" s="12" t="s">
        <v>882</v>
      </c>
      <c r="B237" t="e">
        <v>#N/A</v>
      </c>
    </row>
    <row r="238" spans="1:2" x14ac:dyDescent="0.2">
      <c r="A238" s="12" t="s">
        <v>882</v>
      </c>
      <c r="B238" t="e">
        <v>#N/A</v>
      </c>
    </row>
    <row r="239" spans="1:2" x14ac:dyDescent="0.2">
      <c r="A239" s="12" t="s">
        <v>882</v>
      </c>
      <c r="B239" t="e">
        <v>#N/A</v>
      </c>
    </row>
    <row r="240" spans="1:2" x14ac:dyDescent="0.2">
      <c r="A240" t="s">
        <v>897</v>
      </c>
      <c r="B240">
        <v>5442438</v>
      </c>
    </row>
    <row r="241" spans="1:2" x14ac:dyDescent="0.2">
      <c r="A241" t="s">
        <v>897</v>
      </c>
      <c r="B241">
        <v>5442438</v>
      </c>
    </row>
    <row r="242" spans="1:2" x14ac:dyDescent="0.2">
      <c r="A242" t="s">
        <v>897</v>
      </c>
      <c r="B242">
        <v>5442438</v>
      </c>
    </row>
    <row r="243" spans="1:2" x14ac:dyDescent="0.2">
      <c r="A243" t="s">
        <v>897</v>
      </c>
      <c r="B243">
        <v>5442438</v>
      </c>
    </row>
    <row r="244" spans="1:2" x14ac:dyDescent="0.2">
      <c r="A244" t="s">
        <v>897</v>
      </c>
      <c r="B244">
        <v>5442438</v>
      </c>
    </row>
    <row r="245" spans="1:2" x14ac:dyDescent="0.2">
      <c r="A245" t="s">
        <v>897</v>
      </c>
      <c r="B245">
        <v>5442438</v>
      </c>
    </row>
    <row r="246" spans="1:2" x14ac:dyDescent="0.2">
      <c r="A246" t="s">
        <v>897</v>
      </c>
      <c r="B246">
        <v>5442438</v>
      </c>
    </row>
    <row r="247" spans="1:2" x14ac:dyDescent="0.2">
      <c r="A247" t="s">
        <v>897</v>
      </c>
      <c r="B247">
        <v>5442438</v>
      </c>
    </row>
    <row r="248" spans="1:2" x14ac:dyDescent="0.2">
      <c r="A248" t="s">
        <v>897</v>
      </c>
      <c r="B248">
        <v>5442438</v>
      </c>
    </row>
    <row r="249" spans="1:2" x14ac:dyDescent="0.2">
      <c r="A249" t="s">
        <v>897</v>
      </c>
      <c r="B249">
        <v>5442438</v>
      </c>
    </row>
    <row r="250" spans="1:2" x14ac:dyDescent="0.2">
      <c r="A250" t="s">
        <v>897</v>
      </c>
      <c r="B250">
        <v>5442438</v>
      </c>
    </row>
    <row r="251" spans="1:2" x14ac:dyDescent="0.2">
      <c r="A251" t="s">
        <v>897</v>
      </c>
      <c r="B251">
        <v>5442438</v>
      </c>
    </row>
    <row r="252" spans="1:2" x14ac:dyDescent="0.2">
      <c r="A252" t="s">
        <v>897</v>
      </c>
      <c r="B252">
        <v>5442438</v>
      </c>
    </row>
    <row r="253" spans="1:2" x14ac:dyDescent="0.2">
      <c r="A253" t="s">
        <v>897</v>
      </c>
      <c r="B253">
        <v>5442438</v>
      </c>
    </row>
    <row r="254" spans="1:2" x14ac:dyDescent="0.2">
      <c r="A254" t="s">
        <v>897</v>
      </c>
      <c r="B254">
        <v>5442438</v>
      </c>
    </row>
    <row r="255" spans="1:2" x14ac:dyDescent="0.2">
      <c r="A255" t="s">
        <v>897</v>
      </c>
      <c r="B255">
        <v>5442438</v>
      </c>
    </row>
    <row r="256" spans="1:2" x14ac:dyDescent="0.2">
      <c r="A256" t="s">
        <v>897</v>
      </c>
      <c r="B256">
        <v>5442438</v>
      </c>
    </row>
    <row r="257" spans="1:2" x14ac:dyDescent="0.2">
      <c r="A257" t="s">
        <v>897</v>
      </c>
      <c r="B257">
        <v>5442438</v>
      </c>
    </row>
    <row r="258" spans="1:2" x14ac:dyDescent="0.2">
      <c r="A258" t="s">
        <v>897</v>
      </c>
      <c r="B258">
        <v>5442438</v>
      </c>
    </row>
    <row r="259" spans="1:2" x14ac:dyDescent="0.2">
      <c r="A259" t="s">
        <v>897</v>
      </c>
      <c r="B259">
        <v>5442438</v>
      </c>
    </row>
    <row r="260" spans="1:2" x14ac:dyDescent="0.2">
      <c r="A260" t="s">
        <v>897</v>
      </c>
      <c r="B260">
        <v>5442438</v>
      </c>
    </row>
    <row r="261" spans="1:2" x14ac:dyDescent="0.2">
      <c r="A261" t="s">
        <v>897</v>
      </c>
      <c r="B261">
        <v>5442438</v>
      </c>
    </row>
    <row r="262" spans="1:2" x14ac:dyDescent="0.2">
      <c r="A262" t="s">
        <v>897</v>
      </c>
      <c r="B262">
        <v>5442438</v>
      </c>
    </row>
    <row r="263" spans="1:2" x14ac:dyDescent="0.2">
      <c r="A263" t="s">
        <v>897</v>
      </c>
      <c r="B263">
        <v>5442438</v>
      </c>
    </row>
    <row r="264" spans="1:2" x14ac:dyDescent="0.2">
      <c r="A264" t="s">
        <v>897</v>
      </c>
      <c r="B264">
        <v>5442438</v>
      </c>
    </row>
    <row r="265" spans="1:2" x14ac:dyDescent="0.2">
      <c r="A265" t="s">
        <v>897</v>
      </c>
      <c r="B265">
        <v>5442438</v>
      </c>
    </row>
    <row r="266" spans="1:2" x14ac:dyDescent="0.2">
      <c r="A266" t="s">
        <v>897</v>
      </c>
      <c r="B266">
        <v>5442438</v>
      </c>
    </row>
    <row r="267" spans="1:2" x14ac:dyDescent="0.2">
      <c r="A267" t="s">
        <v>897</v>
      </c>
      <c r="B267">
        <v>5442438</v>
      </c>
    </row>
    <row r="268" spans="1:2" x14ac:dyDescent="0.2">
      <c r="A268" t="s">
        <v>897</v>
      </c>
      <c r="B268">
        <v>5442438</v>
      </c>
    </row>
    <row r="269" spans="1:2" x14ac:dyDescent="0.2">
      <c r="A269" t="s">
        <v>897</v>
      </c>
      <c r="B269">
        <v>5442438</v>
      </c>
    </row>
    <row r="270" spans="1:2" x14ac:dyDescent="0.2">
      <c r="A270" t="s">
        <v>897</v>
      </c>
      <c r="B270">
        <v>5442438</v>
      </c>
    </row>
    <row r="271" spans="1:2" x14ac:dyDescent="0.2">
      <c r="A271" t="s">
        <v>897</v>
      </c>
      <c r="B271">
        <v>5442438</v>
      </c>
    </row>
    <row r="272" spans="1:2" x14ac:dyDescent="0.2">
      <c r="A272" t="s">
        <v>897</v>
      </c>
      <c r="B272">
        <v>5442438</v>
      </c>
    </row>
    <row r="273" spans="1:2" x14ac:dyDescent="0.2">
      <c r="A273" t="s">
        <v>897</v>
      </c>
      <c r="B273">
        <v>5442438</v>
      </c>
    </row>
    <row r="274" spans="1:2" x14ac:dyDescent="0.2">
      <c r="A274" t="s">
        <v>897</v>
      </c>
      <c r="B274">
        <v>5442438</v>
      </c>
    </row>
    <row r="275" spans="1:2" x14ac:dyDescent="0.2">
      <c r="A275" t="s">
        <v>897</v>
      </c>
      <c r="B275">
        <v>5442438</v>
      </c>
    </row>
    <row r="276" spans="1:2" x14ac:dyDescent="0.2">
      <c r="A276" t="s">
        <v>897</v>
      </c>
      <c r="B276">
        <v>5442438</v>
      </c>
    </row>
    <row r="277" spans="1:2" x14ac:dyDescent="0.2">
      <c r="A277" s="12" t="s">
        <v>912</v>
      </c>
      <c r="B277">
        <v>18710070</v>
      </c>
    </row>
    <row r="278" spans="1:2" x14ac:dyDescent="0.2">
      <c r="A278" s="12" t="s">
        <v>912</v>
      </c>
      <c r="B278">
        <v>18710070</v>
      </c>
    </row>
    <row r="279" spans="1:2" x14ac:dyDescent="0.2">
      <c r="A279" s="12" t="s">
        <v>912</v>
      </c>
      <c r="B279">
        <v>18710070</v>
      </c>
    </row>
    <row r="280" spans="1:2" x14ac:dyDescent="0.2">
      <c r="A280" s="12" t="s">
        <v>912</v>
      </c>
      <c r="B280">
        <v>18710070</v>
      </c>
    </row>
    <row r="281" spans="1:2" x14ac:dyDescent="0.2">
      <c r="A281" s="12" t="s">
        <v>912</v>
      </c>
      <c r="B281">
        <v>18710070</v>
      </c>
    </row>
    <row r="282" spans="1:2" x14ac:dyDescent="0.2">
      <c r="A282" s="12" t="s">
        <v>912</v>
      </c>
      <c r="B282">
        <v>18710070</v>
      </c>
    </row>
    <row r="283" spans="1:2" x14ac:dyDescent="0.2">
      <c r="A283" s="12" t="s">
        <v>912</v>
      </c>
      <c r="B283">
        <v>18710070</v>
      </c>
    </row>
    <row r="284" spans="1:2" x14ac:dyDescent="0.2">
      <c r="A284" s="12" t="s">
        <v>912</v>
      </c>
      <c r="B284">
        <v>18710070</v>
      </c>
    </row>
    <row r="285" spans="1:2" x14ac:dyDescent="0.2">
      <c r="A285" s="12" t="s">
        <v>912</v>
      </c>
      <c r="B285">
        <v>18710070</v>
      </c>
    </row>
    <row r="286" spans="1:2" x14ac:dyDescent="0.2">
      <c r="A286" s="12" t="s">
        <v>913</v>
      </c>
      <c r="B286">
        <v>17554531</v>
      </c>
    </row>
    <row r="287" spans="1:2" x14ac:dyDescent="0.2">
      <c r="A287" s="12" t="s">
        <v>913</v>
      </c>
      <c r="B287">
        <v>17554531</v>
      </c>
    </row>
    <row r="288" spans="1:2" x14ac:dyDescent="0.2">
      <c r="A288" s="12" t="s">
        <v>913</v>
      </c>
      <c r="B288">
        <v>17554531</v>
      </c>
    </row>
    <row r="289" spans="1:2" x14ac:dyDescent="0.2">
      <c r="A289" s="12" t="s">
        <v>913</v>
      </c>
      <c r="B289">
        <v>17554531</v>
      </c>
    </row>
    <row r="290" spans="1:2" x14ac:dyDescent="0.2">
      <c r="A290" s="12" t="s">
        <v>913</v>
      </c>
      <c r="B290">
        <v>17554531</v>
      </c>
    </row>
    <row r="291" spans="1:2" x14ac:dyDescent="0.2">
      <c r="A291" s="12" t="s">
        <v>913</v>
      </c>
      <c r="B291">
        <v>17554531</v>
      </c>
    </row>
    <row r="292" spans="1:2" x14ac:dyDescent="0.2">
      <c r="A292" s="12" t="s">
        <v>913</v>
      </c>
      <c r="B292">
        <v>17554531</v>
      </c>
    </row>
    <row r="293" spans="1:2" x14ac:dyDescent="0.2">
      <c r="A293" s="12" t="s">
        <v>913</v>
      </c>
      <c r="B293">
        <v>17554531</v>
      </c>
    </row>
    <row r="294" spans="1:2" x14ac:dyDescent="0.2">
      <c r="A294" s="12" t="s">
        <v>913</v>
      </c>
      <c r="B294">
        <v>17554531</v>
      </c>
    </row>
    <row r="295" spans="1:2" x14ac:dyDescent="0.2">
      <c r="A295" s="12" t="s">
        <v>913</v>
      </c>
      <c r="B295">
        <v>17554531</v>
      </c>
    </row>
    <row r="296" spans="1:2" x14ac:dyDescent="0.2">
      <c r="A296" t="s">
        <v>898</v>
      </c>
      <c r="B296">
        <v>371819</v>
      </c>
    </row>
    <row r="297" spans="1:2" x14ac:dyDescent="0.2">
      <c r="A297" t="s">
        <v>898</v>
      </c>
      <c r="B297">
        <v>371819</v>
      </c>
    </row>
    <row r="298" spans="1:2" x14ac:dyDescent="0.2">
      <c r="A298" s="12" t="s">
        <v>914</v>
      </c>
      <c r="B298">
        <v>9213293</v>
      </c>
    </row>
    <row r="299" spans="1:2" x14ac:dyDescent="0.2">
      <c r="A299" s="12" t="s">
        <v>914</v>
      </c>
      <c r="B299">
        <v>9213293</v>
      </c>
    </row>
    <row r="300" spans="1:2" x14ac:dyDescent="0.2">
      <c r="A300" s="12" t="s">
        <v>914</v>
      </c>
      <c r="B300">
        <v>9213293</v>
      </c>
    </row>
    <row r="301" spans="1:2" x14ac:dyDescent="0.2">
      <c r="A301" s="12" t="s">
        <v>914</v>
      </c>
      <c r="B301">
        <v>9213293</v>
      </c>
    </row>
    <row r="302" spans="1:2" x14ac:dyDescent="0.2">
      <c r="A302" s="12" t="s">
        <v>914</v>
      </c>
      <c r="B302">
        <v>9213293</v>
      </c>
    </row>
    <row r="303" spans="1:2" x14ac:dyDescent="0.2">
      <c r="A303" s="12" t="s">
        <v>914</v>
      </c>
      <c r="B303">
        <v>9213293</v>
      </c>
    </row>
    <row r="304" spans="1:2" x14ac:dyDescent="0.2">
      <c r="A304" s="12" t="s">
        <v>914</v>
      </c>
      <c r="B304">
        <v>9213293</v>
      </c>
    </row>
    <row r="305" spans="1:2" x14ac:dyDescent="0.2">
      <c r="A305" s="12" t="s">
        <v>914</v>
      </c>
      <c r="B305">
        <v>9213293</v>
      </c>
    </row>
    <row r="306" spans="1:2" x14ac:dyDescent="0.2">
      <c r="A306" s="12" t="s">
        <v>914</v>
      </c>
      <c r="B306">
        <v>9213293</v>
      </c>
    </row>
    <row r="307" spans="1:2" x14ac:dyDescent="0.2">
      <c r="A307" s="12" t="s">
        <v>914</v>
      </c>
      <c r="B307">
        <v>9213293</v>
      </c>
    </row>
    <row r="308" spans="1:2" x14ac:dyDescent="0.2">
      <c r="A308" s="12" t="s">
        <v>914</v>
      </c>
      <c r="B308">
        <v>9213293</v>
      </c>
    </row>
    <row r="309" spans="1:2" x14ac:dyDescent="0.2">
      <c r="A309" s="12" t="s">
        <v>914</v>
      </c>
      <c r="B309">
        <v>9213293</v>
      </c>
    </row>
    <row r="310" spans="1:2" x14ac:dyDescent="0.2">
      <c r="A310" s="12" t="s">
        <v>914</v>
      </c>
      <c r="B310">
        <v>9213293</v>
      </c>
    </row>
    <row r="311" spans="1:2" x14ac:dyDescent="0.2">
      <c r="A311" s="12" t="s">
        <v>914</v>
      </c>
      <c r="B311">
        <v>9213293</v>
      </c>
    </row>
    <row r="312" spans="1:2" x14ac:dyDescent="0.2">
      <c r="A312" s="12" t="s">
        <v>914</v>
      </c>
      <c r="B312">
        <v>9213293</v>
      </c>
    </row>
    <row r="313" spans="1:2" x14ac:dyDescent="0.2">
      <c r="A313" t="s">
        <v>899</v>
      </c>
      <c r="B313">
        <v>9079571</v>
      </c>
    </row>
    <row r="314" spans="1:2" x14ac:dyDescent="0.2">
      <c r="A314" t="s">
        <v>899</v>
      </c>
      <c r="B314">
        <v>9079571</v>
      </c>
    </row>
    <row r="315" spans="1:2" x14ac:dyDescent="0.2">
      <c r="A315" t="s">
        <v>899</v>
      </c>
      <c r="B315">
        <v>9079571</v>
      </c>
    </row>
    <row r="316" spans="1:2" x14ac:dyDescent="0.2">
      <c r="A316" t="s">
        <v>899</v>
      </c>
      <c r="B316">
        <v>9079571</v>
      </c>
    </row>
    <row r="317" spans="1:2" x14ac:dyDescent="0.2">
      <c r="A317" t="s">
        <v>899</v>
      </c>
      <c r="B317">
        <v>9079571</v>
      </c>
    </row>
    <row r="318" spans="1:2" x14ac:dyDescent="0.2">
      <c r="A318" t="s">
        <v>899</v>
      </c>
      <c r="B318">
        <v>9079571</v>
      </c>
    </row>
    <row r="319" spans="1:2" x14ac:dyDescent="0.2">
      <c r="A319" t="s">
        <v>899</v>
      </c>
      <c r="B319">
        <v>9079571</v>
      </c>
    </row>
    <row r="320" spans="1:2" x14ac:dyDescent="0.2">
      <c r="A320" t="s">
        <v>899</v>
      </c>
      <c r="B320">
        <v>9079571</v>
      </c>
    </row>
    <row r="321" spans="1:2" x14ac:dyDescent="0.2">
      <c r="A321" t="s">
        <v>899</v>
      </c>
      <c r="B321">
        <v>9079571</v>
      </c>
    </row>
    <row r="322" spans="1:2" x14ac:dyDescent="0.2">
      <c r="A322" t="s">
        <v>899</v>
      </c>
      <c r="B322">
        <v>9079571</v>
      </c>
    </row>
    <row r="323" spans="1:2" x14ac:dyDescent="0.2">
      <c r="A323" t="s">
        <v>899</v>
      </c>
      <c r="B323">
        <v>9079571</v>
      </c>
    </row>
    <row r="324" spans="1:2" x14ac:dyDescent="0.2">
      <c r="A324" t="s">
        <v>899</v>
      </c>
      <c r="B324">
        <v>9079571</v>
      </c>
    </row>
    <row r="325" spans="1:2" x14ac:dyDescent="0.2">
      <c r="A325" t="s">
        <v>899</v>
      </c>
      <c r="B325">
        <v>9079571</v>
      </c>
    </row>
    <row r="326" spans="1:2" x14ac:dyDescent="0.2">
      <c r="A326" t="s">
        <v>899</v>
      </c>
      <c r="B326">
        <v>9079571</v>
      </c>
    </row>
    <row r="327" spans="1:2" x14ac:dyDescent="0.2">
      <c r="A327" t="s">
        <v>899</v>
      </c>
      <c r="B327">
        <v>9079571</v>
      </c>
    </row>
    <row r="328" spans="1:2" x14ac:dyDescent="0.2">
      <c r="A328" t="s">
        <v>899</v>
      </c>
      <c r="B328">
        <v>9079571</v>
      </c>
    </row>
    <row r="329" spans="1:2" x14ac:dyDescent="0.2">
      <c r="A329" t="s">
        <v>899</v>
      </c>
      <c r="B329">
        <v>9079571</v>
      </c>
    </row>
    <row r="330" spans="1:2" x14ac:dyDescent="0.2">
      <c r="A330" t="s">
        <v>899</v>
      </c>
      <c r="B330">
        <v>9079571</v>
      </c>
    </row>
    <row r="331" spans="1:2" x14ac:dyDescent="0.2">
      <c r="A331" t="s">
        <v>899</v>
      </c>
      <c r="B331">
        <v>9079571</v>
      </c>
    </row>
    <row r="332" spans="1:2" x14ac:dyDescent="0.2">
      <c r="A332" t="s">
        <v>899</v>
      </c>
      <c r="B332">
        <v>9079571</v>
      </c>
    </row>
    <row r="333" spans="1:2" x14ac:dyDescent="0.2">
      <c r="A333" t="s">
        <v>899</v>
      </c>
      <c r="B333">
        <v>9079571</v>
      </c>
    </row>
    <row r="334" spans="1:2" x14ac:dyDescent="0.2">
      <c r="A334" t="s">
        <v>899</v>
      </c>
      <c r="B334">
        <v>9079571</v>
      </c>
    </row>
    <row r="335" spans="1:2" x14ac:dyDescent="0.2">
      <c r="A335" t="s">
        <v>900</v>
      </c>
      <c r="B335">
        <v>16509456</v>
      </c>
    </row>
    <row r="336" spans="1:2" x14ac:dyDescent="0.2">
      <c r="A336" t="s">
        <v>900</v>
      </c>
      <c r="B336">
        <v>16509456</v>
      </c>
    </row>
    <row r="337" spans="1:2" x14ac:dyDescent="0.2">
      <c r="A337" t="s">
        <v>901</v>
      </c>
      <c r="B337">
        <v>6115727</v>
      </c>
    </row>
    <row r="338" spans="1:2" x14ac:dyDescent="0.2">
      <c r="A338" t="s">
        <v>901</v>
      </c>
      <c r="B338">
        <v>6115727</v>
      </c>
    </row>
    <row r="339" spans="1:2" x14ac:dyDescent="0.2">
      <c r="A339" t="s">
        <v>901</v>
      </c>
      <c r="B339">
        <v>6115727</v>
      </c>
    </row>
    <row r="340" spans="1:2" x14ac:dyDescent="0.2">
      <c r="A340" t="s">
        <v>901</v>
      </c>
      <c r="B340">
        <v>6115727</v>
      </c>
    </row>
    <row r="341" spans="1:2" x14ac:dyDescent="0.2">
      <c r="A341" t="s">
        <v>901</v>
      </c>
      <c r="B341">
        <v>6115727</v>
      </c>
    </row>
    <row r="342" spans="1:2" x14ac:dyDescent="0.2">
      <c r="A342" t="s">
        <v>901</v>
      </c>
      <c r="B342">
        <v>6115727</v>
      </c>
    </row>
    <row r="343" spans="1:2" x14ac:dyDescent="0.2">
      <c r="A343" t="s">
        <v>901</v>
      </c>
      <c r="B343">
        <v>6115727</v>
      </c>
    </row>
    <row r="344" spans="1:2" x14ac:dyDescent="0.2">
      <c r="A344" t="s">
        <v>901</v>
      </c>
      <c r="B344">
        <v>6115727</v>
      </c>
    </row>
    <row r="345" spans="1:2" x14ac:dyDescent="0.2">
      <c r="A345" t="s">
        <v>902</v>
      </c>
      <c r="B345">
        <v>19586992</v>
      </c>
    </row>
    <row r="346" spans="1:2" x14ac:dyDescent="0.2">
      <c r="A346" t="s">
        <v>902</v>
      </c>
      <c r="B346">
        <v>19586992</v>
      </c>
    </row>
    <row r="347" spans="1:2" x14ac:dyDescent="0.2">
      <c r="A347" t="s">
        <v>903</v>
      </c>
      <c r="B347">
        <v>18201929</v>
      </c>
    </row>
    <row r="348" spans="1:2" x14ac:dyDescent="0.2">
      <c r="A348" t="s">
        <v>903</v>
      </c>
      <c r="B348">
        <v>18201929</v>
      </c>
    </row>
    <row r="349" spans="1:2" x14ac:dyDescent="0.2">
      <c r="A349" t="s">
        <v>904</v>
      </c>
      <c r="B349">
        <v>20253958</v>
      </c>
    </row>
    <row r="350" spans="1:2" x14ac:dyDescent="0.2">
      <c r="A350" t="s">
        <v>904</v>
      </c>
      <c r="B350">
        <v>20253958</v>
      </c>
    </row>
    <row r="351" spans="1:2" x14ac:dyDescent="0.2">
      <c r="A351" s="12" t="s">
        <v>915</v>
      </c>
      <c r="B351">
        <v>16212649</v>
      </c>
    </row>
    <row r="352" spans="1:2" x14ac:dyDescent="0.2">
      <c r="A352" s="12" t="s">
        <v>915</v>
      </c>
      <c r="B352">
        <v>16212649</v>
      </c>
    </row>
    <row r="353" spans="1:2" x14ac:dyDescent="0.2">
      <c r="A353" s="12" t="s">
        <v>915</v>
      </c>
      <c r="B353">
        <v>16212649</v>
      </c>
    </row>
    <row r="354" spans="1:2" x14ac:dyDescent="0.2">
      <c r="A354" s="12" t="s">
        <v>915</v>
      </c>
      <c r="B354">
        <v>16212649</v>
      </c>
    </row>
    <row r="355" spans="1:2" x14ac:dyDescent="0.2">
      <c r="A355" s="12" t="s">
        <v>915</v>
      </c>
      <c r="B355">
        <v>16212649</v>
      </c>
    </row>
    <row r="356" spans="1:2" x14ac:dyDescent="0.2">
      <c r="A356" s="12" t="s">
        <v>915</v>
      </c>
      <c r="B356">
        <v>16212649</v>
      </c>
    </row>
    <row r="357" spans="1:2" x14ac:dyDescent="0.2">
      <c r="A357" s="12" t="s">
        <v>915</v>
      </c>
      <c r="B357">
        <v>16212649</v>
      </c>
    </row>
    <row r="358" spans="1:2" x14ac:dyDescent="0.2">
      <c r="A358" s="12" t="s">
        <v>915</v>
      </c>
      <c r="B358">
        <v>16212649</v>
      </c>
    </row>
    <row r="359" spans="1:2" x14ac:dyDescent="0.2">
      <c r="A359" s="12" t="s">
        <v>916</v>
      </c>
      <c r="B359">
        <v>19681796</v>
      </c>
    </row>
    <row r="360" spans="1:2" x14ac:dyDescent="0.2">
      <c r="A360" s="12" t="s">
        <v>916</v>
      </c>
      <c r="B360">
        <v>19681796</v>
      </c>
    </row>
    <row r="361" spans="1:2" x14ac:dyDescent="0.2">
      <c r="A361" s="12" t="s">
        <v>916</v>
      </c>
      <c r="B361">
        <v>19681796</v>
      </c>
    </row>
    <row r="362" spans="1:2" x14ac:dyDescent="0.2">
      <c r="A362" s="12" t="s">
        <v>916</v>
      </c>
      <c r="B362">
        <v>19681796</v>
      </c>
    </row>
    <row r="363" spans="1:2" x14ac:dyDescent="0.2">
      <c r="A363" s="12" t="s">
        <v>916</v>
      </c>
      <c r="B363">
        <v>19681796</v>
      </c>
    </row>
    <row r="364" spans="1:2" x14ac:dyDescent="0.2">
      <c r="A364" s="12" t="s">
        <v>916</v>
      </c>
      <c r="B364">
        <v>19681796</v>
      </c>
    </row>
    <row r="365" spans="1:2" x14ac:dyDescent="0.2">
      <c r="A365" s="12" t="s">
        <v>916</v>
      </c>
      <c r="B365">
        <v>19681796</v>
      </c>
    </row>
    <row r="366" spans="1:2" x14ac:dyDescent="0.2">
      <c r="A366" s="12" t="s">
        <v>916</v>
      </c>
      <c r="B366">
        <v>19681796</v>
      </c>
    </row>
    <row r="367" spans="1:2" x14ac:dyDescent="0.2">
      <c r="A367" s="12" t="s">
        <v>917</v>
      </c>
      <c r="B367">
        <v>20212926</v>
      </c>
    </row>
    <row r="368" spans="1:2" x14ac:dyDescent="0.2">
      <c r="A368" s="12" t="s">
        <v>917</v>
      </c>
      <c r="B368">
        <v>20212926</v>
      </c>
    </row>
    <row r="369" spans="1:2" x14ac:dyDescent="0.2">
      <c r="A369" t="s">
        <v>905</v>
      </c>
      <c r="B369">
        <v>8325282</v>
      </c>
    </row>
    <row r="370" spans="1:2" x14ac:dyDescent="0.2">
      <c r="A370" t="s">
        <v>905</v>
      </c>
      <c r="B370">
        <v>8325282</v>
      </c>
    </row>
    <row r="371" spans="1:2" x14ac:dyDescent="0.2">
      <c r="A371" t="s">
        <v>906</v>
      </c>
      <c r="B371">
        <v>18754354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Sheet0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2025-09-24T14:07:20Z</dcterms:created>
  <dcterms:modified xsi:type="dcterms:W3CDTF">2025-09-25T13:46:21Z</dcterms:modified>
</cp:coreProperties>
</file>