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MAPD 5-2-25 from Ritter\"/>
    </mc:Choice>
  </mc:AlternateContent>
  <xr:revisionPtr revIDLastSave="0" documentId="13_ncr:1_{E9BF03EB-3728-4481-9BEB-27B462DE88CD}" xr6:coauthVersionLast="47" xr6:coauthVersionMax="47" xr10:uidLastSave="{00000000-0000-0000-0000-000000000000}"/>
  <bookViews>
    <workbookView xWindow="-57720" yWindow="-45" windowWidth="29040" windowHeight="15720" xr2:uid="{891905C0-DF1C-482C-8BCE-47DD651C75E2}"/>
  </bookViews>
  <sheets>
    <sheet name="Sheet1" sheetId="1" r:id="rId1"/>
    <sheet name="Sheet2" sheetId="2" r:id="rId2"/>
  </sheets>
  <definedNames>
    <definedName name="_xlnm._FilterDatabase" localSheetId="0" hidden="1">Sheet1!$A$1:$K$27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G17" i="2"/>
  <c r="G16" i="2"/>
  <c r="G15" i="2"/>
  <c r="G14" i="2"/>
  <c r="G13" i="2"/>
  <c r="G12" i="2"/>
  <c r="G11" i="2"/>
  <c r="G10" i="2"/>
  <c r="G9" i="2"/>
  <c r="G8" i="2"/>
  <c r="G7" i="2"/>
  <c r="G6" i="2"/>
  <c r="G26" i="2"/>
  <c r="G25" i="2"/>
  <c r="G23" i="2"/>
  <c r="G22" i="2"/>
  <c r="G21" i="2"/>
  <c r="G20" i="2"/>
  <c r="G19" i="2"/>
  <c r="G5" i="2"/>
  <c r="G4" i="2"/>
  <c r="G3" i="2"/>
  <c r="G2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E5" i="2"/>
  <c r="E3" i="2"/>
  <c r="E21" i="2"/>
  <c r="E25" i="2"/>
  <c r="E26" i="2"/>
  <c r="E4" i="2"/>
  <c r="E22" i="2"/>
  <c r="E23" i="2"/>
  <c r="E24" i="2"/>
  <c r="E27" i="2"/>
  <c r="E6" i="2"/>
</calcChain>
</file>

<file path=xl/sharedStrings.xml><?xml version="1.0" encoding="utf-8"?>
<sst xmlns="http://schemas.openxmlformats.org/spreadsheetml/2006/main" count="334" uniqueCount="55">
  <si>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</si>
  <si>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</si>
  <si>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</si>
  <si>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</si>
  <si>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</si>
  <si>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</si>
  <si>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</si>
  <si>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</si>
  <si>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</si>
  <si>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</si>
  <si>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</si>
  <si>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</si>
  <si>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Phyllis</t>
  </si>
  <si>
    <t>Wade</t>
  </si>
  <si>
    <t>CareFirst</t>
  </si>
  <si>
    <t xml:space="preserve">CareFirst 2021-2025 Override Year 1 Premium Period: </t>
  </si>
  <si>
    <t>Kathleen</t>
  </si>
  <si>
    <t>Newton</t>
  </si>
  <si>
    <t>Adam Richter</t>
  </si>
  <si>
    <t>Catherine</t>
  </si>
  <si>
    <t>Adams</t>
  </si>
  <si>
    <t>Cathy Lemon</t>
  </si>
  <si>
    <t>Mark</t>
  </si>
  <si>
    <t>Mara</t>
  </si>
  <si>
    <t>Merry</t>
  </si>
  <si>
    <t>Donaway</t>
  </si>
  <si>
    <t>Michael</t>
  </si>
  <si>
    <t>Root</t>
  </si>
  <si>
    <t>Thomas Kucan</t>
  </si>
  <si>
    <t>Shantelle</t>
  </si>
  <si>
    <t>Jones</t>
  </si>
  <si>
    <t>Deborah</t>
  </si>
  <si>
    <t>Gamiz</t>
  </si>
  <si>
    <t>Michelle</t>
  </si>
  <si>
    <t>Lafalaise</t>
  </si>
  <si>
    <t>George</t>
  </si>
  <si>
    <t>Cooper</t>
  </si>
  <si>
    <t>CareFirstMA04302025036</t>
  </si>
  <si>
    <t>Myra</t>
  </si>
  <si>
    <t>Kourey</t>
  </si>
  <si>
    <t>CareFirstMA04302025037</t>
  </si>
  <si>
    <t>Thomas</t>
  </si>
  <si>
    <t>Keith</t>
  </si>
  <si>
    <t>CareFirstMA04302025038</t>
  </si>
  <si>
    <t xml:space="preserve">CareFirst 2025 Initial Street Premium Period: </t>
  </si>
  <si>
    <t>CareFirstMA04302025051</t>
  </si>
  <si>
    <t>CareFirstMA04302025052</t>
  </si>
  <si>
    <t xml:space="preserve">CareFirst 2025 Replace Street (ProRata: 9) Premium Period: </t>
  </si>
  <si>
    <t>CareFirstMA04302025053</t>
  </si>
  <si>
    <t>Main Line Benefits</t>
  </si>
  <si>
    <t>Carefirst MAPD 2025</t>
  </si>
  <si>
    <t>Carefirst MAPD 2025*</t>
  </si>
  <si>
    <t>[%/$=313][prorate=9/12]</t>
  </si>
  <si>
    <t>[%/$=626]</t>
  </si>
  <si>
    <t>CareFirst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</si>
</sst>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D944-91F4-4D6D-B885-DB1718B9982B}">
  <dimension ref="A1:K27"/>
  <sheetViews>
    <sheetView tabSelected="1" workbookViewId="0">
      <selection activeCell="L25" sqref="L25"/>
    </sheetView>
  </sheetViews>
  <sheetFormatPr defaultRowHeight="15" x14ac:dyDescent="0.25"/>
  <cols>
    <col min="1" max="1" width="13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23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</v>
      </c>
      <c r="B2">
        <v>9079571</v>
      </c>
      <c r="C2">
        <v>9079571</v>
      </c>
      <c r="D2" t="s">
        <v>19</v>
      </c>
      <c r="E2" t="s">
        <v>20</v>
      </c>
      <c r="F2">
        <v>904142299</v>
      </c>
      <c r="G2" s="1">
        <v>45748</v>
      </c>
      <c r="H2" s="1">
        <v>45779</v>
      </c>
      <c r="I2" t="s">
        <v>14</v>
      </c>
      <c r="J2" t="s">
        <v>15</v>
      </c>
      <c r="K2" s="2">
        <v>100</v>
      </c>
    </row>
    <row r="3" spans="1:11" x14ac:dyDescent="0.25">
      <c r="A3" t="s">
        <v>18</v>
      </c>
      <c r="B3">
        <v>9079571</v>
      </c>
      <c r="C3">
        <v>9079571</v>
      </c>
      <c r="D3" t="s">
        <v>24</v>
      </c>
      <c r="E3" t="s">
        <v>25</v>
      </c>
      <c r="F3">
        <v>929185482</v>
      </c>
      <c r="G3" s="1">
        <v>45748</v>
      </c>
      <c r="H3" s="1">
        <v>45779</v>
      </c>
      <c r="I3" t="s">
        <v>14</v>
      </c>
      <c r="J3" t="s">
        <v>15</v>
      </c>
      <c r="K3" s="2">
        <v>100</v>
      </c>
    </row>
    <row r="4" spans="1:11" x14ac:dyDescent="0.25">
      <c r="A4" t="s">
        <v>18</v>
      </c>
      <c r="B4">
        <v>9079571</v>
      </c>
      <c r="C4">
        <v>9079571</v>
      </c>
      <c r="D4" t="s">
        <v>22</v>
      </c>
      <c r="E4" t="s">
        <v>20</v>
      </c>
      <c r="F4">
        <v>929306832</v>
      </c>
      <c r="G4" s="1">
        <v>45748</v>
      </c>
      <c r="H4" s="1">
        <v>45779</v>
      </c>
      <c r="I4" t="s">
        <v>14</v>
      </c>
      <c r="J4" t="s">
        <v>15</v>
      </c>
      <c r="K4" s="2">
        <v>100</v>
      </c>
    </row>
    <row r="5" spans="1:11" x14ac:dyDescent="0.25">
      <c r="A5" t="s">
        <v>18</v>
      </c>
      <c r="B5">
        <v>9079571</v>
      </c>
      <c r="C5">
        <v>9079571</v>
      </c>
      <c r="D5" t="s">
        <v>19</v>
      </c>
      <c r="E5" t="s">
        <v>20</v>
      </c>
      <c r="F5">
        <v>904142299</v>
      </c>
      <c r="G5" s="1">
        <v>45748</v>
      </c>
      <c r="H5" s="1">
        <v>45779</v>
      </c>
      <c r="I5" t="s">
        <v>14</v>
      </c>
      <c r="J5" t="s">
        <v>44</v>
      </c>
      <c r="K5" s="2">
        <v>626</v>
      </c>
    </row>
    <row r="6" spans="1:11" x14ac:dyDescent="0.25">
      <c r="A6" t="s">
        <v>18</v>
      </c>
      <c r="B6">
        <v>9079571</v>
      </c>
      <c r="C6">
        <v>9079571</v>
      </c>
      <c r="D6" t="s">
        <v>24</v>
      </c>
      <c r="E6" t="s">
        <v>25</v>
      </c>
      <c r="F6">
        <v>929185482</v>
      </c>
      <c r="G6" s="1">
        <v>45748</v>
      </c>
      <c r="H6" s="1">
        <v>45779</v>
      </c>
      <c r="I6" t="s">
        <v>14</v>
      </c>
      <c r="J6" t="s">
        <v>44</v>
      </c>
      <c r="K6" s="2">
        <v>626</v>
      </c>
    </row>
    <row r="7" spans="1:11" x14ac:dyDescent="0.25">
      <c r="A7" t="s">
        <v>18</v>
      </c>
      <c r="B7">
        <v>9079571</v>
      </c>
      <c r="C7">
        <v>9079571</v>
      </c>
      <c r="D7" t="s">
        <v>22</v>
      </c>
      <c r="E7" t="s">
        <v>20</v>
      </c>
      <c r="F7">
        <v>929306832</v>
      </c>
      <c r="G7" s="1">
        <v>45748</v>
      </c>
      <c r="H7" s="1">
        <v>45779</v>
      </c>
      <c r="I7" t="s">
        <v>14</v>
      </c>
      <c r="J7" t="s">
        <v>44</v>
      </c>
      <c r="K7" s="2">
        <v>626</v>
      </c>
    </row>
    <row r="8" spans="1:11" x14ac:dyDescent="0.25">
      <c r="A8" t="s">
        <v>21</v>
      </c>
      <c r="B8">
        <v>17195620</v>
      </c>
      <c r="C8">
        <v>17195620</v>
      </c>
      <c r="D8" t="s">
        <v>22</v>
      </c>
      <c r="E8" t="s">
        <v>23</v>
      </c>
      <c r="F8">
        <v>905122087</v>
      </c>
      <c r="G8" s="1">
        <v>45748</v>
      </c>
      <c r="H8" s="1">
        <v>45779</v>
      </c>
      <c r="I8" t="s">
        <v>14</v>
      </c>
      <c r="J8" t="s">
        <v>15</v>
      </c>
      <c r="K8" s="2">
        <v>100</v>
      </c>
    </row>
    <row r="9" spans="1:11" x14ac:dyDescent="0.25">
      <c r="A9" t="s">
        <v>21</v>
      </c>
      <c r="B9">
        <v>17195620</v>
      </c>
      <c r="C9">
        <v>17195620</v>
      </c>
      <c r="D9" t="s">
        <v>22</v>
      </c>
      <c r="E9" t="s">
        <v>23</v>
      </c>
      <c r="F9">
        <v>905122087</v>
      </c>
      <c r="G9" s="1">
        <v>45748</v>
      </c>
      <c r="H9" s="1">
        <v>45779</v>
      </c>
      <c r="I9" t="s">
        <v>14</v>
      </c>
      <c r="J9" t="s">
        <v>44</v>
      </c>
      <c r="K9" s="2">
        <v>626</v>
      </c>
    </row>
    <row r="10" spans="1:11" x14ac:dyDescent="0.25">
      <c r="A10" t="s">
        <v>11</v>
      </c>
      <c r="C10">
        <v>5442438</v>
      </c>
      <c r="D10" t="s">
        <v>12</v>
      </c>
      <c r="E10" t="s">
        <v>13</v>
      </c>
      <c r="F10">
        <v>900667608</v>
      </c>
      <c r="G10" s="1">
        <v>45748</v>
      </c>
      <c r="H10" s="1">
        <v>45779</v>
      </c>
      <c r="I10" t="s">
        <v>14</v>
      </c>
      <c r="J10" t="s">
        <v>15</v>
      </c>
      <c r="K10" s="2">
        <v>100</v>
      </c>
    </row>
    <row r="11" spans="1:11" x14ac:dyDescent="0.25">
      <c r="A11" t="s">
        <v>11</v>
      </c>
      <c r="C11">
        <v>5442438</v>
      </c>
      <c r="D11" t="s">
        <v>16</v>
      </c>
      <c r="E11" t="s">
        <v>17</v>
      </c>
      <c r="F11">
        <v>900923468</v>
      </c>
      <c r="G11" s="1">
        <v>45748</v>
      </c>
      <c r="H11" s="1">
        <v>45779</v>
      </c>
      <c r="I11" t="s">
        <v>14</v>
      </c>
      <c r="J11" t="s">
        <v>15</v>
      </c>
      <c r="K11" s="2">
        <v>100</v>
      </c>
    </row>
    <row r="12" spans="1:11" x14ac:dyDescent="0.25">
      <c r="A12" t="s">
        <v>11</v>
      </c>
      <c r="C12">
        <v>5442438</v>
      </c>
      <c r="D12" t="s">
        <v>26</v>
      </c>
      <c r="E12" t="s">
        <v>27</v>
      </c>
      <c r="F12">
        <v>929265912</v>
      </c>
      <c r="G12" s="1">
        <v>45748</v>
      </c>
      <c r="H12" s="1">
        <v>45779</v>
      </c>
      <c r="I12" t="s">
        <v>14</v>
      </c>
      <c r="J12" t="s">
        <v>15</v>
      </c>
      <c r="K12" s="2">
        <v>100</v>
      </c>
    </row>
    <row r="13" spans="1:11" x14ac:dyDescent="0.25">
      <c r="A13" t="s">
        <v>11</v>
      </c>
      <c r="C13">
        <v>5442438</v>
      </c>
      <c r="D13" t="s">
        <v>33</v>
      </c>
      <c r="E13" t="s">
        <v>34</v>
      </c>
      <c r="F13">
        <v>979665001</v>
      </c>
      <c r="G13" s="1">
        <v>45748</v>
      </c>
      <c r="H13" s="1">
        <v>45779</v>
      </c>
      <c r="I13" t="s">
        <v>14</v>
      </c>
      <c r="J13" t="s">
        <v>15</v>
      </c>
      <c r="K13" s="2">
        <v>100</v>
      </c>
    </row>
    <row r="14" spans="1:11" x14ac:dyDescent="0.25">
      <c r="A14" t="s">
        <v>11</v>
      </c>
      <c r="C14">
        <v>5442438</v>
      </c>
      <c r="D14" t="s">
        <v>35</v>
      </c>
      <c r="E14" t="s">
        <v>36</v>
      </c>
      <c r="F14" t="s">
        <v>37</v>
      </c>
      <c r="G14" s="1">
        <v>45748</v>
      </c>
      <c r="H14" s="1">
        <v>45779</v>
      </c>
      <c r="I14" t="s">
        <v>14</v>
      </c>
      <c r="J14" t="s">
        <v>15</v>
      </c>
      <c r="K14" s="2">
        <v>100</v>
      </c>
    </row>
    <row r="15" spans="1:11" x14ac:dyDescent="0.25">
      <c r="A15" t="s">
        <v>11</v>
      </c>
      <c r="C15">
        <v>5442438</v>
      </c>
      <c r="D15" t="s">
        <v>38</v>
      </c>
      <c r="E15" t="s">
        <v>39</v>
      </c>
      <c r="F15" t="s">
        <v>40</v>
      </c>
      <c r="G15" s="1">
        <v>45748</v>
      </c>
      <c r="H15" s="1">
        <v>45779</v>
      </c>
      <c r="I15" t="s">
        <v>14</v>
      </c>
      <c r="J15" t="s">
        <v>15</v>
      </c>
      <c r="K15" s="2">
        <v>100</v>
      </c>
    </row>
    <row r="16" spans="1:11" x14ac:dyDescent="0.25">
      <c r="A16" t="s">
        <v>11</v>
      </c>
      <c r="C16">
        <v>5442438</v>
      </c>
      <c r="D16" t="s">
        <v>12</v>
      </c>
      <c r="E16" t="s">
        <v>13</v>
      </c>
      <c r="F16">
        <v>900667608</v>
      </c>
      <c r="G16" s="1">
        <v>45748</v>
      </c>
      <c r="H16" s="1">
        <v>45779</v>
      </c>
      <c r="I16" t="s">
        <v>14</v>
      </c>
      <c r="J16" t="s">
        <v>44</v>
      </c>
      <c r="K16" s="2">
        <v>626</v>
      </c>
    </row>
    <row r="17" spans="1:11" x14ac:dyDescent="0.25">
      <c r="A17" t="s">
        <v>11</v>
      </c>
      <c r="C17">
        <v>5442438</v>
      </c>
      <c r="D17" t="s">
        <v>16</v>
      </c>
      <c r="E17" t="s">
        <v>17</v>
      </c>
      <c r="F17">
        <v>900923468</v>
      </c>
      <c r="G17" s="1">
        <v>45748</v>
      </c>
      <c r="H17" s="1">
        <v>45779</v>
      </c>
      <c r="I17" t="s">
        <v>14</v>
      </c>
      <c r="J17" t="s">
        <v>44</v>
      </c>
      <c r="K17" s="2">
        <v>626</v>
      </c>
    </row>
    <row r="18" spans="1:11" x14ac:dyDescent="0.25">
      <c r="A18" t="s">
        <v>11</v>
      </c>
      <c r="C18">
        <v>5442438</v>
      </c>
      <c r="D18" t="s">
        <v>26</v>
      </c>
      <c r="E18" t="s">
        <v>27</v>
      </c>
      <c r="F18">
        <v>929265912</v>
      </c>
      <c r="G18" s="1">
        <v>45748</v>
      </c>
      <c r="H18" s="1">
        <v>45779</v>
      </c>
      <c r="I18" t="s">
        <v>14</v>
      </c>
      <c r="J18" t="s">
        <v>44</v>
      </c>
      <c r="K18" s="2">
        <v>626</v>
      </c>
    </row>
    <row r="19" spans="1:11" x14ac:dyDescent="0.25">
      <c r="A19" t="s">
        <v>11</v>
      </c>
      <c r="C19">
        <v>5442438</v>
      </c>
      <c r="D19" t="s">
        <v>33</v>
      </c>
      <c r="E19" t="s">
        <v>34</v>
      </c>
      <c r="F19">
        <v>979665001</v>
      </c>
      <c r="G19" s="1">
        <v>45748</v>
      </c>
      <c r="H19" s="1">
        <v>45779</v>
      </c>
      <c r="I19" t="s">
        <v>14</v>
      </c>
      <c r="J19" t="s">
        <v>44</v>
      </c>
      <c r="K19" s="2">
        <v>626</v>
      </c>
    </row>
    <row r="20" spans="1:11" x14ac:dyDescent="0.25">
      <c r="A20" t="s">
        <v>11</v>
      </c>
      <c r="C20">
        <v>5442438</v>
      </c>
      <c r="D20" t="s">
        <v>35</v>
      </c>
      <c r="E20" t="s">
        <v>36</v>
      </c>
      <c r="F20" t="s">
        <v>45</v>
      </c>
      <c r="G20" s="1">
        <v>45748</v>
      </c>
      <c r="H20" s="1">
        <v>45779</v>
      </c>
      <c r="I20" t="s">
        <v>14</v>
      </c>
      <c r="J20" t="s">
        <v>44</v>
      </c>
      <c r="K20" s="2">
        <v>626</v>
      </c>
    </row>
    <row r="21" spans="1:11" x14ac:dyDescent="0.25">
      <c r="A21" t="s">
        <v>11</v>
      </c>
      <c r="C21">
        <v>5442438</v>
      </c>
      <c r="D21" t="s">
        <v>38</v>
      </c>
      <c r="E21" t="s">
        <v>39</v>
      </c>
      <c r="F21" t="s">
        <v>46</v>
      </c>
      <c r="G21" s="1">
        <v>45748</v>
      </c>
      <c r="H21" s="1">
        <v>45779</v>
      </c>
      <c r="I21" t="s">
        <v>14</v>
      </c>
      <c r="J21" t="s">
        <v>47</v>
      </c>
      <c r="K21" s="2">
        <v>234.75</v>
      </c>
    </row>
    <row r="22" spans="1:11" x14ac:dyDescent="0.25">
      <c r="A22" t="s">
        <v>28</v>
      </c>
      <c r="C22">
        <v>16202925</v>
      </c>
      <c r="D22" t="s">
        <v>29</v>
      </c>
      <c r="E22" t="s">
        <v>30</v>
      </c>
      <c r="F22">
        <v>929273622</v>
      </c>
      <c r="G22" s="1">
        <v>45748</v>
      </c>
      <c r="H22" s="1">
        <v>45779</v>
      </c>
      <c r="I22" t="s">
        <v>14</v>
      </c>
      <c r="J22" t="s">
        <v>15</v>
      </c>
      <c r="K22" s="2">
        <v>100</v>
      </c>
    </row>
    <row r="23" spans="1:11" x14ac:dyDescent="0.25">
      <c r="A23" t="s">
        <v>28</v>
      </c>
      <c r="C23">
        <v>16202925</v>
      </c>
      <c r="D23" t="s">
        <v>31</v>
      </c>
      <c r="E23" t="s">
        <v>32</v>
      </c>
      <c r="F23">
        <v>929292932</v>
      </c>
      <c r="G23" s="1">
        <v>45748</v>
      </c>
      <c r="H23" s="1">
        <v>45779</v>
      </c>
      <c r="I23" t="s">
        <v>14</v>
      </c>
      <c r="J23" t="s">
        <v>15</v>
      </c>
      <c r="K23" s="2">
        <v>100</v>
      </c>
    </row>
    <row r="24" spans="1:11" x14ac:dyDescent="0.25">
      <c r="A24" t="s">
        <v>28</v>
      </c>
      <c r="C24">
        <v>16202925</v>
      </c>
      <c r="D24" t="s">
        <v>41</v>
      </c>
      <c r="E24" t="s">
        <v>42</v>
      </c>
      <c r="F24" t="s">
        <v>43</v>
      </c>
      <c r="G24" s="1">
        <v>45748</v>
      </c>
      <c r="H24" s="1">
        <v>45779</v>
      </c>
      <c r="I24" t="s">
        <v>14</v>
      </c>
      <c r="J24" t="s">
        <v>15</v>
      </c>
      <c r="K24" s="2">
        <v>100</v>
      </c>
    </row>
    <row r="25" spans="1:11" x14ac:dyDescent="0.25">
      <c r="A25" t="s">
        <v>28</v>
      </c>
      <c r="C25">
        <v>16202925</v>
      </c>
      <c r="D25" t="s">
        <v>29</v>
      </c>
      <c r="E25" t="s">
        <v>30</v>
      </c>
      <c r="F25">
        <v>929273622</v>
      </c>
      <c r="G25" s="1">
        <v>45748</v>
      </c>
      <c r="H25" s="1">
        <v>45779</v>
      </c>
      <c r="I25" t="s">
        <v>14</v>
      </c>
      <c r="J25" t="s">
        <v>44</v>
      </c>
      <c r="K25" s="2">
        <v>626</v>
      </c>
    </row>
    <row r="26" spans="1:11" x14ac:dyDescent="0.25">
      <c r="A26" t="s">
        <v>28</v>
      </c>
      <c r="C26">
        <v>16202925</v>
      </c>
      <c r="D26" t="s">
        <v>31</v>
      </c>
      <c r="E26" t="s">
        <v>32</v>
      </c>
      <c r="F26">
        <v>929292932</v>
      </c>
      <c r="G26" s="1">
        <v>45748</v>
      </c>
      <c r="H26" s="1">
        <v>45779</v>
      </c>
      <c r="I26" t="s">
        <v>14</v>
      </c>
      <c r="J26" t="s">
        <v>44</v>
      </c>
      <c r="K26" s="2">
        <v>626</v>
      </c>
    </row>
    <row r="27" spans="1:11" x14ac:dyDescent="0.25">
      <c r="A27" t="s">
        <v>28</v>
      </c>
      <c r="C27">
        <v>16202925</v>
      </c>
      <c r="D27" t="s">
        <v>41</v>
      </c>
      <c r="E27" t="s">
        <v>42</v>
      </c>
      <c r="F27" t="s">
        <v>48</v>
      </c>
      <c r="G27" s="1">
        <v>45748</v>
      </c>
      <c r="H27" s="1">
        <v>45779</v>
      </c>
      <c r="I27" t="s">
        <v>14</v>
      </c>
      <c r="J27" t="s">
        <v>47</v>
      </c>
      <c r="K27" s="2">
        <v>234.75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CD00-526E-4533-A8DF-2D556041B982}">
  <dimension ref="A1:N27"/>
  <sheetViews>
    <sheetView workbookViewId="0">
      <selection activeCell="K27" sqref="K27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2.42578125" bestFit="1" customWidth="1"/>
    <col min="6" max="6" width="23.28515625" bestFit="1" customWidth="1"/>
    <col min="7" max="7" width="23.2851562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4.7109375" bestFit="1" customWidth="1"/>
    <col min="12" max="12" width="15.7109375" bestFit="1" customWidth="1"/>
    <col min="13" max="13" width="19.140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s="3" customFormat="1" x14ac:dyDescent="0.25">
      <c r="A2" t="s">
        <v>18</v>
      </c>
      <c r="B2">
        <v>9079571</v>
      </c>
      <c r="C2" t="s">
        <v>19</v>
      </c>
      <c r="D2" t="s">
        <v>20</v>
      </c>
      <c r="E2" t="str">
        <f t="shared" ref="E2:E27" si="0">CONCATENATE(C2, " ",D2)</f>
        <v>Catherine Adams</v>
      </c>
      <c r="F2">
        <v>904142299</v>
      </c>
      <c r="G2" t="str">
        <f>CONCATENATE(F2,8)</f>
        <v>9041422998</v>
      </c>
      <c r="H2" s="1">
        <v>45748</v>
      </c>
      <c r="I2" s="1">
        <v>45779</v>
      </c>
      <c r="J2" t="s">
        <v>14</v>
      </c>
      <c r="K2" t="s">
        <v>44</v>
      </c>
      <c r="L2" s="2">
        <v>626</v>
      </c>
      <c r="M2" t="s">
        <v>50</v>
      </c>
      <c r="N2" t="s">
        <v>53</v>
      </c>
    </row>
    <row r="3" spans="1:14" s="3" customFormat="1" x14ac:dyDescent="0.25">
      <c r="A3" t="s">
        <v>18</v>
      </c>
      <c r="B3">
        <v>9079571</v>
      </c>
      <c r="C3" t="s">
        <v>24</v>
      </c>
      <c r="D3" t="s">
        <v>25</v>
      </c>
      <c r="E3" t="str">
        <f t="shared" si="0"/>
        <v>Merry Donaway</v>
      </c>
      <c r="F3">
        <v>929185482</v>
      </c>
      <c r="G3" t="str">
        <f t="shared" ref="G3:G5" si="1">CONCATENATE(F3,8)</f>
        <v>9291854828</v>
      </c>
      <c r="H3" s="1">
        <v>45748</v>
      </c>
      <c r="I3" s="1">
        <v>45779</v>
      </c>
      <c r="J3" t="s">
        <v>14</v>
      </c>
      <c r="K3" t="s">
        <v>44</v>
      </c>
      <c r="L3" s="2">
        <v>626</v>
      </c>
      <c r="M3" t="s">
        <v>50</v>
      </c>
      <c r="N3" t="s">
        <v>53</v>
      </c>
    </row>
    <row r="4" spans="1:14" s="3" customFormat="1" x14ac:dyDescent="0.25">
      <c r="A4" t="s">
        <v>18</v>
      </c>
      <c r="B4">
        <v>9079571</v>
      </c>
      <c r="C4" t="s">
        <v>22</v>
      </c>
      <c r="D4" t="s">
        <v>20</v>
      </c>
      <c r="E4" t="str">
        <f t="shared" si="0"/>
        <v>Mark Adams</v>
      </c>
      <c r="F4">
        <v>929306832</v>
      </c>
      <c r="G4" t="str">
        <f t="shared" si="1"/>
        <v>9293068328</v>
      </c>
      <c r="H4" s="1">
        <v>45748</v>
      </c>
      <c r="I4" s="1">
        <v>45779</v>
      </c>
      <c r="J4" t="s">
        <v>14</v>
      </c>
      <c r="K4" t="s">
        <v>44</v>
      </c>
      <c r="L4" s="2">
        <v>626</v>
      </c>
      <c r="M4" t="s">
        <v>50</v>
      </c>
      <c r="N4" t="s">
        <v>53</v>
      </c>
    </row>
    <row r="5" spans="1:14" s="3" customFormat="1" x14ac:dyDescent="0.25">
      <c r="A5" t="s">
        <v>21</v>
      </c>
      <c r="B5">
        <v>17195620</v>
      </c>
      <c r="C5" t="s">
        <v>22</v>
      </c>
      <c r="D5" t="s">
        <v>23</v>
      </c>
      <c r="E5" t="str">
        <f t="shared" si="0"/>
        <v>Mark Mara</v>
      </c>
      <c r="F5">
        <v>905122087</v>
      </c>
      <c r="G5" t="str">
        <f t="shared" si="1"/>
        <v>9051220878</v>
      </c>
      <c r="H5" s="1">
        <v>45748</v>
      </c>
      <c r="I5" s="1">
        <v>45779</v>
      </c>
      <c r="J5" t="s">
        <v>14</v>
      </c>
      <c r="K5" t="s">
        <v>44</v>
      </c>
      <c r="L5" s="2">
        <v>626</v>
      </c>
      <c r="M5" t="s">
        <v>50</v>
      </c>
      <c r="N5" t="s">
        <v>53</v>
      </c>
    </row>
    <row r="6" spans="1:14" s="3" customFormat="1" x14ac:dyDescent="0.25">
      <c r="A6" s="3" t="s">
        <v>49</v>
      </c>
      <c r="B6" s="3">
        <v>20411454</v>
      </c>
      <c r="C6" s="3" t="s">
        <v>12</v>
      </c>
      <c r="D6" s="3" t="s">
        <v>13</v>
      </c>
      <c r="E6" s="3" t="str">
        <f t="shared" si="0"/>
        <v>Phyllis Wade</v>
      </c>
      <c r="F6" s="3">
        <v>900667608</v>
      </c>
      <c r="G6" s="3" t="str">
        <f>CONCATENATE(F6,1)</f>
        <v>9006676081</v>
      </c>
      <c r="H6" s="4">
        <v>45748</v>
      </c>
      <c r="I6" s="4">
        <v>45779</v>
      </c>
      <c r="J6" s="3" t="s">
        <v>14</v>
      </c>
      <c r="K6" s="3" t="s">
        <v>15</v>
      </c>
      <c r="L6" s="5">
        <v>100</v>
      </c>
      <c r="M6" s="3" t="s">
        <v>54</v>
      </c>
    </row>
    <row r="7" spans="1:14" s="3" customFormat="1" x14ac:dyDescent="0.25">
      <c r="A7" s="3" t="s">
        <v>49</v>
      </c>
      <c r="B7" s="3">
        <v>20411454</v>
      </c>
      <c r="C7" s="3" t="s">
        <v>16</v>
      </c>
      <c r="D7" s="3" t="s">
        <v>17</v>
      </c>
      <c r="E7" s="3" t="str">
        <f t="shared" si="0"/>
        <v>Kathleen Newton</v>
      </c>
      <c r="F7" s="3">
        <v>900923468</v>
      </c>
      <c r="G7" s="3" t="str">
        <f t="shared" ref="G7:G18" si="2">CONCATENATE(F7,1)</f>
        <v>9009234681</v>
      </c>
      <c r="H7" s="4">
        <v>45748</v>
      </c>
      <c r="I7" s="4">
        <v>45779</v>
      </c>
      <c r="J7" s="3" t="s">
        <v>14</v>
      </c>
      <c r="K7" s="3" t="s">
        <v>15</v>
      </c>
      <c r="L7" s="5">
        <v>100</v>
      </c>
      <c r="M7" s="3" t="s">
        <v>54</v>
      </c>
    </row>
    <row r="8" spans="1:14" s="3" customFormat="1" x14ac:dyDescent="0.25">
      <c r="A8" s="3" t="s">
        <v>49</v>
      </c>
      <c r="B8" s="3">
        <v>20411454</v>
      </c>
      <c r="C8" s="3" t="s">
        <v>19</v>
      </c>
      <c r="D8" s="3" t="s">
        <v>20</v>
      </c>
      <c r="E8" s="3" t="str">
        <f t="shared" si="0"/>
        <v>Catherine Adams</v>
      </c>
      <c r="F8" s="3">
        <v>904142299</v>
      </c>
      <c r="G8" s="3" t="str">
        <f t="shared" si="2"/>
        <v>9041422991</v>
      </c>
      <c r="H8" s="4">
        <v>45748</v>
      </c>
      <c r="I8" s="4">
        <v>45779</v>
      </c>
      <c r="J8" s="3" t="s">
        <v>14</v>
      </c>
      <c r="K8" s="3" t="s">
        <v>15</v>
      </c>
      <c r="L8" s="5">
        <v>100</v>
      </c>
      <c r="M8" s="3" t="s">
        <v>54</v>
      </c>
    </row>
    <row r="9" spans="1:14" s="3" customFormat="1" x14ac:dyDescent="0.25">
      <c r="A9" s="3" t="s">
        <v>49</v>
      </c>
      <c r="B9" s="3">
        <v>20411454</v>
      </c>
      <c r="C9" s="3" t="s">
        <v>22</v>
      </c>
      <c r="D9" s="3" t="s">
        <v>23</v>
      </c>
      <c r="E9" s="3" t="str">
        <f t="shared" si="0"/>
        <v>Mark Mara</v>
      </c>
      <c r="F9" s="3">
        <v>905122087</v>
      </c>
      <c r="G9" s="3" t="str">
        <f t="shared" si="2"/>
        <v>9051220871</v>
      </c>
      <c r="H9" s="4">
        <v>45748</v>
      </c>
      <c r="I9" s="4">
        <v>45779</v>
      </c>
      <c r="J9" s="3" t="s">
        <v>14</v>
      </c>
      <c r="K9" s="3" t="s">
        <v>15</v>
      </c>
      <c r="L9" s="5">
        <v>100</v>
      </c>
      <c r="M9" s="3" t="s">
        <v>54</v>
      </c>
    </row>
    <row r="10" spans="1:14" s="3" customFormat="1" x14ac:dyDescent="0.25">
      <c r="A10" s="3" t="s">
        <v>49</v>
      </c>
      <c r="B10" s="3">
        <v>20411454</v>
      </c>
      <c r="C10" s="3" t="s">
        <v>24</v>
      </c>
      <c r="D10" s="3" t="s">
        <v>25</v>
      </c>
      <c r="E10" s="3" t="str">
        <f t="shared" si="0"/>
        <v>Merry Donaway</v>
      </c>
      <c r="F10" s="3">
        <v>929185482</v>
      </c>
      <c r="G10" s="3" t="str">
        <f t="shared" si="2"/>
        <v>9291854821</v>
      </c>
      <c r="H10" s="4">
        <v>45748</v>
      </c>
      <c r="I10" s="4">
        <v>45779</v>
      </c>
      <c r="J10" s="3" t="s">
        <v>14</v>
      </c>
      <c r="K10" s="3" t="s">
        <v>15</v>
      </c>
      <c r="L10" s="5">
        <v>100</v>
      </c>
      <c r="M10" s="3" t="s">
        <v>54</v>
      </c>
    </row>
    <row r="11" spans="1:14" s="3" customFormat="1" x14ac:dyDescent="0.25">
      <c r="A11" s="3" t="s">
        <v>49</v>
      </c>
      <c r="B11" s="3">
        <v>20411454</v>
      </c>
      <c r="C11" s="3" t="s">
        <v>26</v>
      </c>
      <c r="D11" s="3" t="s">
        <v>27</v>
      </c>
      <c r="E11" s="3" t="str">
        <f t="shared" si="0"/>
        <v>Michael Root</v>
      </c>
      <c r="F11" s="3">
        <v>929265912</v>
      </c>
      <c r="G11" s="3" t="str">
        <f t="shared" si="2"/>
        <v>9292659121</v>
      </c>
      <c r="H11" s="4">
        <v>45748</v>
      </c>
      <c r="I11" s="4">
        <v>45779</v>
      </c>
      <c r="J11" s="3" t="s">
        <v>14</v>
      </c>
      <c r="K11" s="3" t="s">
        <v>15</v>
      </c>
      <c r="L11" s="5">
        <v>100</v>
      </c>
      <c r="M11" s="3" t="s">
        <v>54</v>
      </c>
    </row>
    <row r="12" spans="1:14" s="3" customFormat="1" x14ac:dyDescent="0.25">
      <c r="A12" s="3" t="s">
        <v>49</v>
      </c>
      <c r="B12" s="3">
        <v>20411454</v>
      </c>
      <c r="C12" s="3" t="s">
        <v>29</v>
      </c>
      <c r="D12" s="3" t="s">
        <v>30</v>
      </c>
      <c r="E12" s="3" t="str">
        <f t="shared" si="0"/>
        <v>Shantelle Jones</v>
      </c>
      <c r="F12" s="3">
        <v>929273622</v>
      </c>
      <c r="G12" s="3" t="str">
        <f t="shared" si="2"/>
        <v>9292736221</v>
      </c>
      <c r="H12" s="4">
        <v>45748</v>
      </c>
      <c r="I12" s="4">
        <v>45779</v>
      </c>
      <c r="J12" s="3" t="s">
        <v>14</v>
      </c>
      <c r="K12" s="3" t="s">
        <v>15</v>
      </c>
      <c r="L12" s="5">
        <v>100</v>
      </c>
      <c r="M12" s="3" t="s">
        <v>54</v>
      </c>
    </row>
    <row r="13" spans="1:14" s="3" customFormat="1" x14ac:dyDescent="0.25">
      <c r="A13" s="3" t="s">
        <v>49</v>
      </c>
      <c r="B13" s="3">
        <v>20411454</v>
      </c>
      <c r="C13" s="3" t="s">
        <v>31</v>
      </c>
      <c r="D13" s="3" t="s">
        <v>32</v>
      </c>
      <c r="E13" s="3" t="str">
        <f t="shared" si="0"/>
        <v>Deborah Gamiz</v>
      </c>
      <c r="F13" s="3">
        <v>929292932</v>
      </c>
      <c r="G13" s="3" t="str">
        <f t="shared" si="2"/>
        <v>9292929321</v>
      </c>
      <c r="H13" s="4">
        <v>45748</v>
      </c>
      <c r="I13" s="4">
        <v>45779</v>
      </c>
      <c r="J13" s="3" t="s">
        <v>14</v>
      </c>
      <c r="K13" s="3" t="s">
        <v>15</v>
      </c>
      <c r="L13" s="5">
        <v>100</v>
      </c>
      <c r="M13" s="3" t="s">
        <v>54</v>
      </c>
    </row>
    <row r="14" spans="1:14" s="3" customFormat="1" x14ac:dyDescent="0.25">
      <c r="A14" s="3" t="s">
        <v>49</v>
      </c>
      <c r="B14" s="3">
        <v>20411454</v>
      </c>
      <c r="C14" s="3" t="s">
        <v>22</v>
      </c>
      <c r="D14" s="3" t="s">
        <v>20</v>
      </c>
      <c r="E14" s="3" t="str">
        <f t="shared" si="0"/>
        <v>Mark Adams</v>
      </c>
      <c r="F14" s="3">
        <v>929306832</v>
      </c>
      <c r="G14" s="3" t="str">
        <f t="shared" si="2"/>
        <v>9293068321</v>
      </c>
      <c r="H14" s="4">
        <v>45748</v>
      </c>
      <c r="I14" s="4">
        <v>45779</v>
      </c>
      <c r="J14" s="3" t="s">
        <v>14</v>
      </c>
      <c r="K14" s="3" t="s">
        <v>15</v>
      </c>
      <c r="L14" s="5">
        <v>100</v>
      </c>
      <c r="M14" s="3" t="s">
        <v>54</v>
      </c>
    </row>
    <row r="15" spans="1:14" x14ac:dyDescent="0.25">
      <c r="A15" s="3" t="s">
        <v>49</v>
      </c>
      <c r="B15" s="3">
        <v>20411454</v>
      </c>
      <c r="C15" s="3" t="s">
        <v>33</v>
      </c>
      <c r="D15" s="3" t="s">
        <v>34</v>
      </c>
      <c r="E15" s="3" t="str">
        <f t="shared" si="0"/>
        <v>Michelle Lafalaise</v>
      </c>
      <c r="F15" s="3">
        <v>979665001</v>
      </c>
      <c r="G15" s="3" t="str">
        <f t="shared" si="2"/>
        <v>9796650011</v>
      </c>
      <c r="H15" s="4">
        <v>45748</v>
      </c>
      <c r="I15" s="4">
        <v>45779</v>
      </c>
      <c r="J15" s="3" t="s">
        <v>14</v>
      </c>
      <c r="K15" s="3" t="s">
        <v>15</v>
      </c>
      <c r="L15" s="5">
        <v>100</v>
      </c>
      <c r="M15" s="3" t="s">
        <v>54</v>
      </c>
      <c r="N15" s="3"/>
    </row>
    <row r="16" spans="1:14" x14ac:dyDescent="0.25">
      <c r="A16" s="3" t="s">
        <v>49</v>
      </c>
      <c r="B16" s="3">
        <v>20411454</v>
      </c>
      <c r="C16" s="3" t="s">
        <v>35</v>
      </c>
      <c r="D16" s="3" t="s">
        <v>36</v>
      </c>
      <c r="E16" s="3" t="str">
        <f t="shared" si="0"/>
        <v>George Cooper</v>
      </c>
      <c r="F16" s="3" t="s">
        <v>37</v>
      </c>
      <c r="G16" s="3" t="str">
        <f t="shared" si="2"/>
        <v>CareFirstMA043020250361</v>
      </c>
      <c r="H16" s="4">
        <v>45748</v>
      </c>
      <c r="I16" s="4">
        <v>45779</v>
      </c>
      <c r="J16" s="3" t="s">
        <v>14</v>
      </c>
      <c r="K16" s="3" t="s">
        <v>15</v>
      </c>
      <c r="L16" s="5">
        <v>100</v>
      </c>
      <c r="M16" s="3" t="s">
        <v>54</v>
      </c>
      <c r="N16" s="3"/>
    </row>
    <row r="17" spans="1:14" x14ac:dyDescent="0.25">
      <c r="A17" s="3" t="s">
        <v>49</v>
      </c>
      <c r="B17" s="3">
        <v>20411454</v>
      </c>
      <c r="C17" s="3" t="s">
        <v>38</v>
      </c>
      <c r="D17" s="3" t="s">
        <v>39</v>
      </c>
      <c r="E17" s="3" t="str">
        <f t="shared" si="0"/>
        <v>Myra Kourey</v>
      </c>
      <c r="F17" s="3" t="s">
        <v>40</v>
      </c>
      <c r="G17" s="3" t="str">
        <f t="shared" si="2"/>
        <v>CareFirstMA043020250371</v>
      </c>
      <c r="H17" s="4">
        <v>45748</v>
      </c>
      <c r="I17" s="4">
        <v>45779</v>
      </c>
      <c r="J17" s="3" t="s">
        <v>14</v>
      </c>
      <c r="K17" s="3" t="s">
        <v>15</v>
      </c>
      <c r="L17" s="5">
        <v>100</v>
      </c>
      <c r="M17" s="3" t="s">
        <v>54</v>
      </c>
      <c r="N17" s="3"/>
    </row>
    <row r="18" spans="1:14" x14ac:dyDescent="0.25">
      <c r="A18" s="3" t="s">
        <v>49</v>
      </c>
      <c r="B18" s="3">
        <v>20411454</v>
      </c>
      <c r="C18" s="3" t="s">
        <v>41</v>
      </c>
      <c r="D18" s="3" t="s">
        <v>42</v>
      </c>
      <c r="E18" s="3" t="str">
        <f t="shared" si="0"/>
        <v>Thomas Keith</v>
      </c>
      <c r="F18" s="3" t="s">
        <v>43</v>
      </c>
      <c r="G18" s="3" t="str">
        <f t="shared" si="2"/>
        <v>CareFirstMA043020250381</v>
      </c>
      <c r="H18" s="4">
        <v>45748</v>
      </c>
      <c r="I18" s="4">
        <v>45779</v>
      </c>
      <c r="J18" s="3" t="s">
        <v>14</v>
      </c>
      <c r="K18" s="3" t="s">
        <v>15</v>
      </c>
      <c r="L18" s="5">
        <v>100</v>
      </c>
      <c r="M18" s="3" t="s">
        <v>54</v>
      </c>
      <c r="N18" s="3"/>
    </row>
    <row r="19" spans="1:14" x14ac:dyDescent="0.25">
      <c r="A19" t="s">
        <v>11</v>
      </c>
      <c r="B19">
        <v>5442438</v>
      </c>
      <c r="C19" t="s">
        <v>12</v>
      </c>
      <c r="D19" t="s">
        <v>13</v>
      </c>
      <c r="E19" t="str">
        <f t="shared" si="0"/>
        <v>Phyllis Wade</v>
      </c>
      <c r="F19">
        <v>900667608</v>
      </c>
      <c r="G19" t="str">
        <f t="shared" ref="G19:G23" si="3">CONCATENATE(F19,8)</f>
        <v>9006676088</v>
      </c>
      <c r="H19" s="1">
        <v>45748</v>
      </c>
      <c r="I19" s="1">
        <v>45779</v>
      </c>
      <c r="J19" t="s">
        <v>14</v>
      </c>
      <c r="K19" t="s">
        <v>44</v>
      </c>
      <c r="L19" s="2">
        <v>626</v>
      </c>
      <c r="M19" t="s">
        <v>50</v>
      </c>
      <c r="N19" t="s">
        <v>53</v>
      </c>
    </row>
    <row r="20" spans="1:14" x14ac:dyDescent="0.25">
      <c r="A20" t="s">
        <v>11</v>
      </c>
      <c r="B20">
        <v>5442438</v>
      </c>
      <c r="C20" t="s">
        <v>16</v>
      </c>
      <c r="D20" t="s">
        <v>17</v>
      </c>
      <c r="E20" t="str">
        <f t="shared" si="0"/>
        <v>Kathleen Newton</v>
      </c>
      <c r="F20">
        <v>900923468</v>
      </c>
      <c r="G20" t="str">
        <f t="shared" si="3"/>
        <v>9009234688</v>
      </c>
      <c r="H20" s="1">
        <v>45748</v>
      </c>
      <c r="I20" s="1">
        <v>45779</v>
      </c>
      <c r="J20" t="s">
        <v>14</v>
      </c>
      <c r="K20" t="s">
        <v>44</v>
      </c>
      <c r="L20" s="2">
        <v>626</v>
      </c>
      <c r="M20" t="s">
        <v>50</v>
      </c>
      <c r="N20" t="s">
        <v>53</v>
      </c>
    </row>
    <row r="21" spans="1:14" x14ac:dyDescent="0.25">
      <c r="A21" t="s">
        <v>11</v>
      </c>
      <c r="B21">
        <v>5442438</v>
      </c>
      <c r="C21" t="s">
        <v>26</v>
      </c>
      <c r="D21" t="s">
        <v>27</v>
      </c>
      <c r="E21" t="str">
        <f t="shared" si="0"/>
        <v>Michael Root</v>
      </c>
      <c r="F21">
        <v>929265912</v>
      </c>
      <c r="G21" t="str">
        <f t="shared" si="3"/>
        <v>9292659128</v>
      </c>
      <c r="H21" s="1">
        <v>45748</v>
      </c>
      <c r="I21" s="1">
        <v>45779</v>
      </c>
      <c r="J21" t="s">
        <v>14</v>
      </c>
      <c r="K21" t="s">
        <v>44</v>
      </c>
      <c r="L21" s="2">
        <v>626</v>
      </c>
      <c r="M21" t="s">
        <v>50</v>
      </c>
      <c r="N21" t="s">
        <v>53</v>
      </c>
    </row>
    <row r="22" spans="1:14" x14ac:dyDescent="0.25">
      <c r="A22" t="s">
        <v>11</v>
      </c>
      <c r="B22">
        <v>5442438</v>
      </c>
      <c r="C22" t="s">
        <v>33</v>
      </c>
      <c r="D22" t="s">
        <v>34</v>
      </c>
      <c r="E22" t="str">
        <f t="shared" si="0"/>
        <v>Michelle Lafalaise</v>
      </c>
      <c r="F22">
        <v>979665001</v>
      </c>
      <c r="G22" t="str">
        <f t="shared" si="3"/>
        <v>9796650018</v>
      </c>
      <c r="H22" s="1">
        <v>45748</v>
      </c>
      <c r="I22" s="1">
        <v>45779</v>
      </c>
      <c r="J22" t="s">
        <v>14</v>
      </c>
      <c r="K22" t="s">
        <v>44</v>
      </c>
      <c r="L22" s="2">
        <v>626</v>
      </c>
      <c r="M22" t="s">
        <v>50</v>
      </c>
      <c r="N22" t="s">
        <v>53</v>
      </c>
    </row>
    <row r="23" spans="1:14" x14ac:dyDescent="0.25">
      <c r="A23" t="s">
        <v>11</v>
      </c>
      <c r="B23">
        <v>5442438</v>
      </c>
      <c r="C23" t="s">
        <v>35</v>
      </c>
      <c r="D23" t="s">
        <v>36</v>
      </c>
      <c r="E23" t="str">
        <f t="shared" si="0"/>
        <v>George Cooper</v>
      </c>
      <c r="F23" t="s">
        <v>45</v>
      </c>
      <c r="G23" t="str">
        <f t="shared" si="3"/>
        <v>CareFirstMA043020250518</v>
      </c>
      <c r="H23" s="1">
        <v>45748</v>
      </c>
      <c r="I23" s="1">
        <v>45779</v>
      </c>
      <c r="J23" t="s">
        <v>14</v>
      </c>
      <c r="K23" t="s">
        <v>44</v>
      </c>
      <c r="L23" s="2">
        <v>626</v>
      </c>
      <c r="M23" t="s">
        <v>50</v>
      </c>
      <c r="N23" t="s">
        <v>53</v>
      </c>
    </row>
    <row r="24" spans="1:14" x14ac:dyDescent="0.25">
      <c r="A24" t="s">
        <v>11</v>
      </c>
      <c r="B24">
        <v>5442438</v>
      </c>
      <c r="C24" t="s">
        <v>38</v>
      </c>
      <c r="D24" t="s">
        <v>39</v>
      </c>
      <c r="E24" t="str">
        <f t="shared" si="0"/>
        <v>Myra Kourey</v>
      </c>
      <c r="F24" t="s">
        <v>46</v>
      </c>
      <c r="G24" t="s">
        <v>46</v>
      </c>
      <c r="H24" s="1">
        <v>45748</v>
      </c>
      <c r="I24" s="1">
        <v>45779</v>
      </c>
      <c r="J24" t="s">
        <v>14</v>
      </c>
      <c r="K24" t="s">
        <v>47</v>
      </c>
      <c r="L24" s="2">
        <v>234.75</v>
      </c>
      <c r="M24" t="s">
        <v>51</v>
      </c>
      <c r="N24" t="s">
        <v>52</v>
      </c>
    </row>
    <row r="25" spans="1:14" x14ac:dyDescent="0.25">
      <c r="A25" t="s">
        <v>28</v>
      </c>
      <c r="B25">
        <v>16202925</v>
      </c>
      <c r="C25" t="s">
        <v>29</v>
      </c>
      <c r="D25" t="s">
        <v>30</v>
      </c>
      <c r="E25" t="str">
        <f t="shared" si="0"/>
        <v>Shantelle Jones</v>
      </c>
      <c r="F25">
        <v>929273622</v>
      </c>
      <c r="G25" t="str">
        <f t="shared" ref="G25:G26" si="4">CONCATENATE(F25,8)</f>
        <v>9292736228</v>
      </c>
      <c r="H25" s="1">
        <v>45748</v>
      </c>
      <c r="I25" s="1">
        <v>45779</v>
      </c>
      <c r="J25" t="s">
        <v>14</v>
      </c>
      <c r="K25" t="s">
        <v>44</v>
      </c>
      <c r="L25" s="2">
        <v>626</v>
      </c>
      <c r="M25" t="s">
        <v>50</v>
      </c>
      <c r="N25" t="s">
        <v>53</v>
      </c>
    </row>
    <row r="26" spans="1:14" x14ac:dyDescent="0.25">
      <c r="A26" t="s">
        <v>28</v>
      </c>
      <c r="B26">
        <v>16202925</v>
      </c>
      <c r="C26" t="s">
        <v>31</v>
      </c>
      <c r="D26" t="s">
        <v>32</v>
      </c>
      <c r="E26" t="str">
        <f t="shared" si="0"/>
        <v>Deborah Gamiz</v>
      </c>
      <c r="F26">
        <v>929292932</v>
      </c>
      <c r="G26" t="str">
        <f t="shared" si="4"/>
        <v>9292929328</v>
      </c>
      <c r="H26" s="1">
        <v>45748</v>
      </c>
      <c r="I26" s="1">
        <v>45779</v>
      </c>
      <c r="J26" t="s">
        <v>14</v>
      </c>
      <c r="K26" t="s">
        <v>44</v>
      </c>
      <c r="L26" s="2">
        <v>626</v>
      </c>
      <c r="M26" t="s">
        <v>50</v>
      </c>
      <c r="N26" t="s">
        <v>53</v>
      </c>
    </row>
    <row r="27" spans="1:14" x14ac:dyDescent="0.25">
      <c r="A27" t="s">
        <v>28</v>
      </c>
      <c r="B27">
        <v>16202925</v>
      </c>
      <c r="C27" t="s">
        <v>41</v>
      </c>
      <c r="D27" t="s">
        <v>42</v>
      </c>
      <c r="E27" t="str">
        <f t="shared" si="0"/>
        <v>Thomas Keith</v>
      </c>
      <c r="F27" t="s">
        <v>48</v>
      </c>
      <c r="G27" t="s">
        <v>48</v>
      </c>
      <c r="H27" s="1">
        <v>45748</v>
      </c>
      <c r="I27" s="1">
        <v>45779</v>
      </c>
      <c r="J27" t="s">
        <v>14</v>
      </c>
      <c r="K27" t="s">
        <v>47</v>
      </c>
      <c r="L27" s="2">
        <v>234.75</v>
      </c>
      <c r="M27" t="s">
        <v>51</v>
      </c>
      <c r="N27" t="s">
        <v>52</v>
      </c>
    </row>
  </sheetData>
  <sortState xmlns:xlrd2="http://schemas.microsoft.com/office/spreadsheetml/2017/richdata2" ref="A2:N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2025-05-02T17:21:04Z</dcterms:created>
  <dcterms:modified xsi:type="dcterms:W3CDTF">2025-05-07T02:15:48Z</dcterms:modified>
</cp:coreProperties>
</file>