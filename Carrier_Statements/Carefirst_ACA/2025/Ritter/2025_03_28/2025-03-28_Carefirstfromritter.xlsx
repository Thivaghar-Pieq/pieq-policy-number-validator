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3-28-25 from Ritter\"/>
    </mc:Choice>
  </mc:AlternateContent>
  <xr:revisionPtr revIDLastSave="0" documentId="13_ncr:1_{49605165-3F08-47B1-A6C4-C25E2D28BB4F}" xr6:coauthVersionLast="47" xr6:coauthVersionMax="47" xr10:uidLastSave="{00000000-0000-0000-0000-000000000000}"/>
  <bookViews>
    <workbookView xWindow="-57720" yWindow="-45" windowWidth="29040" windowHeight="15720" activeTab="2" xr2:uid="{F7039531-2231-4300-A418-D8ECDCC32687}"/>
  </bookViews>
  <sheets>
    <sheet name="Sheet1" sheetId="1" r:id="rId1"/>
    <sheet name="Sheet2" sheetId="2" r:id="rId2"/>
    <sheet name="H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4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89" i="2"/>
  <c r="E24" i="2"/>
  <c r="E3" i="2"/>
  <c r="E2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56" i="2"/>
  <c r="E54" i="2"/>
  <c r="E55" i="2"/>
  <c r="E58" i="2"/>
  <c r="E59" i="2"/>
  <c r="E60" i="2"/>
  <c r="E61" i="2"/>
  <c r="E62" i="2"/>
  <c r="E63" i="2"/>
  <c r="E64" i="2"/>
  <c r="E65" i="2"/>
  <c r="E66" i="2"/>
  <c r="E67" i="2"/>
  <c r="E89" i="2"/>
  <c r="E90" i="2"/>
  <c r="E91" i="2"/>
  <c r="E92" i="2"/>
  <c r="E93" i="2"/>
  <c r="E94" i="2"/>
  <c r="E95" i="2"/>
  <c r="E96" i="2"/>
  <c r="E97" i="2"/>
  <c r="E5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98" i="2"/>
  <c r="E99" i="2"/>
  <c r="E100" i="2"/>
  <c r="E101" i="2"/>
  <c r="E102" i="2"/>
  <c r="E103" i="2"/>
  <c r="E104" i="2"/>
  <c r="E105" i="2"/>
  <c r="E4" i="2"/>
</calcChain>
</file>

<file path=xl/sharedStrings.xml><?xml version="1.0" encoding="utf-8"?>
<sst xmlns="http://schemas.openxmlformats.org/spreadsheetml/2006/main" count="1261" uniqueCount="187">
  <si>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</si>
  <si>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</si>
  <si>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</si>
  <si>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</si>
  <si>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</si>
  <si>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</si>
  <si>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</si>
  <si>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</si>
  <si>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</si>
  <si>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</si>
  <si>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</si>
  <si>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Ronald Max</t>
  </si>
  <si>
    <t>Anne</t>
  </si>
  <si>
    <t>Johnson</t>
  </si>
  <si>
    <t>CareFirstMA013120250228</t>
  </si>
  <si>
    <t>CareFirst</t>
  </si>
  <si>
    <t xml:space="preserve">CareFirst 2021-2025 Override Year 1 Premium Period: </t>
  </si>
  <si>
    <t>Christopher</t>
  </si>
  <si>
    <t>Malstrom</t>
  </si>
  <si>
    <t>CareFirstMA013120250229</t>
  </si>
  <si>
    <t>Curtis</t>
  </si>
  <si>
    <t>Mclaughlin</t>
  </si>
  <si>
    <t>CareFirstMA013120250230</t>
  </si>
  <si>
    <t>Cynthia</t>
  </si>
  <si>
    <t>Hensley</t>
  </si>
  <si>
    <t>CareFirstMA013120250231</t>
  </si>
  <si>
    <t>Debra</t>
  </si>
  <si>
    <t>King</t>
  </si>
  <si>
    <t>CareFirstMA013120250232</t>
  </si>
  <si>
    <t>Donald</t>
  </si>
  <si>
    <t>Pistorio</t>
  </si>
  <si>
    <t>CareFirstMA013120250233</t>
  </si>
  <si>
    <t>Donna</t>
  </si>
  <si>
    <t>Chang</t>
  </si>
  <si>
    <t>CareFirstMA013120250234</t>
  </si>
  <si>
    <t>Gregory</t>
  </si>
  <si>
    <t>Arbutus</t>
  </si>
  <si>
    <t>CareFirstMA013120250235</t>
  </si>
  <si>
    <t>Jeannie</t>
  </si>
  <si>
    <t>Bartlett</t>
  </si>
  <si>
    <t>CareFirstMA013120250236</t>
  </si>
  <si>
    <t>Kathleen</t>
  </si>
  <si>
    <t>Leeds</t>
  </si>
  <si>
    <t>CareFirstMA013120250237</t>
  </si>
  <si>
    <t>Mary</t>
  </si>
  <si>
    <t>Baxter</t>
  </si>
  <si>
    <t>CareFirstMA013120250238</t>
  </si>
  <si>
    <t>Paul</t>
  </si>
  <si>
    <t>Long</t>
  </si>
  <si>
    <t>CareFirstMA013120250239</t>
  </si>
  <si>
    <t>Paula</t>
  </si>
  <si>
    <t>Gieron</t>
  </si>
  <si>
    <t>CareFirstMA013120250240</t>
  </si>
  <si>
    <t>Wanda</t>
  </si>
  <si>
    <t>Paduano</t>
  </si>
  <si>
    <t>CareFirstMA013120250241</t>
  </si>
  <si>
    <t>CareFirstMA013120250242</t>
  </si>
  <si>
    <t xml:space="preserve">CareFirst 2025 Initial Street Premium Period: </t>
  </si>
  <si>
    <t>CareFirstMA013120250243</t>
  </si>
  <si>
    <t>CareFirstMA013120250244</t>
  </si>
  <si>
    <t xml:space="preserve">CareFirst 2025 Replace Street Premium Period: </t>
  </si>
  <si>
    <t>CareFirstMA013120250245</t>
  </si>
  <si>
    <t>CareFirstMA013120250246</t>
  </si>
  <si>
    <t>CareFirstMA013120250247</t>
  </si>
  <si>
    <t>CareFirstMA013120250248</t>
  </si>
  <si>
    <t>CareFirstMA013120250249</t>
  </si>
  <si>
    <t>CareFirstMA013120250250</t>
  </si>
  <si>
    <t>CareFirstMA013120250251</t>
  </si>
  <si>
    <t>CareFirstMA013120250252</t>
  </si>
  <si>
    <t>CareFirstMA013120250253</t>
  </si>
  <si>
    <t>CareFirstMA013120250254</t>
  </si>
  <si>
    <t>CareFirstMA013120250255</t>
  </si>
  <si>
    <t>Thomas Kucan</t>
  </si>
  <si>
    <t>Deborah</t>
  </si>
  <si>
    <t>Lashinsky</t>
  </si>
  <si>
    <t xml:space="preserve">CareFirst 2025 Full Replacement Premium Period: </t>
  </si>
  <si>
    <t>Barbara</t>
  </si>
  <si>
    <t>Dorsey</t>
  </si>
  <si>
    <t>CareFirstMA013120251871</t>
  </si>
  <si>
    <t xml:space="preserve">CareFirst 2025 Initial Full Premium Period: </t>
  </si>
  <si>
    <t>Cheryl</t>
  </si>
  <si>
    <t>Harbaugh</t>
  </si>
  <si>
    <t>CareFirstMA013120251872</t>
  </si>
  <si>
    <t>Dunn</t>
  </si>
  <si>
    <t>CareFirstMA013120251873</t>
  </si>
  <si>
    <t>Singley</t>
  </si>
  <si>
    <t>CareFirstMA013120251874</t>
  </si>
  <si>
    <t>Almoney</t>
  </si>
  <si>
    <t>CareFirstMA013120251875</t>
  </si>
  <si>
    <t>Franklin</t>
  </si>
  <si>
    <t>Sass</t>
  </si>
  <si>
    <t>CareFirstMA013120251876</t>
  </si>
  <si>
    <t>George</t>
  </si>
  <si>
    <t>Shanholtz</t>
  </si>
  <si>
    <t>CareFirstMA013120251877</t>
  </si>
  <si>
    <t>Grace</t>
  </si>
  <si>
    <t>Thomas</t>
  </si>
  <si>
    <t>CareFirstMA013120251878</t>
  </si>
  <si>
    <t>Karen</t>
  </si>
  <si>
    <t>Crutchfield</t>
  </si>
  <si>
    <t>CareFirstMA013120251879</t>
  </si>
  <si>
    <t>Katherine</t>
  </si>
  <si>
    <t>Van De Wal</t>
  </si>
  <si>
    <t>CareFirstMA013120251880</t>
  </si>
  <si>
    <t>Rozario</t>
  </si>
  <si>
    <t>CareFirstMA013120251881</t>
  </si>
  <si>
    <t>Patrick</t>
  </si>
  <si>
    <t>Wooten</t>
  </si>
  <si>
    <t>CareFirstMA013120251882</t>
  </si>
  <si>
    <t>Retha</t>
  </si>
  <si>
    <t>CareFirstMA013120251883</t>
  </si>
  <si>
    <t>Robert</t>
  </si>
  <si>
    <t>Goldsmith</t>
  </si>
  <si>
    <t>CareFirstMA013120251884</t>
  </si>
  <si>
    <t>Williams</t>
  </si>
  <si>
    <t>CareFirstMA013120251885</t>
  </si>
  <si>
    <t>Salona</t>
  </si>
  <si>
    <t>Bensonewing</t>
  </si>
  <si>
    <t>CareFirstMA013120251886</t>
  </si>
  <si>
    <t>Sarah</t>
  </si>
  <si>
    <t>Morris</t>
  </si>
  <si>
    <t>CareFirstMA013120251887</t>
  </si>
  <si>
    <t>Sheila</t>
  </si>
  <si>
    <t>Billups</t>
  </si>
  <si>
    <t>CareFirstMA013120251888</t>
  </si>
  <si>
    <t>Steven</t>
  </si>
  <si>
    <t>Argabright</t>
  </si>
  <si>
    <t>CareFirstMA013120251889</t>
  </si>
  <si>
    <t>Sukumar</t>
  </si>
  <si>
    <t>CareFirstMA013120251890</t>
  </si>
  <si>
    <t>Susan</t>
  </si>
  <si>
    <t>Killeen</t>
  </si>
  <si>
    <t>CareFirstMA013120251891</t>
  </si>
  <si>
    <t>Terry</t>
  </si>
  <si>
    <t>Stanholtz</t>
  </si>
  <si>
    <t>CareFirstMA013120251892</t>
  </si>
  <si>
    <t>Thelma</t>
  </si>
  <si>
    <t>CareFirstMA013120251893</t>
  </si>
  <si>
    <t>Victoria</t>
  </si>
  <si>
    <t>Jasinski</t>
  </si>
  <si>
    <t>CareFirstMA013120251894</t>
  </si>
  <si>
    <t>Mark</t>
  </si>
  <si>
    <t>Farrington</t>
  </si>
  <si>
    <t>Timothy</t>
  </si>
  <si>
    <t>Miskimon</t>
  </si>
  <si>
    <t xml:space="preserve">CareFirst 2025 Replace Street (ProRata: 11) Premium Period: </t>
  </si>
  <si>
    <t>Andrew</t>
  </si>
  <si>
    <t>Markopoulos</t>
  </si>
  <si>
    <t>Patricia</t>
  </si>
  <si>
    <t>Sheckells</t>
  </si>
  <si>
    <t>Charmon</t>
  </si>
  <si>
    <t xml:space="preserve">CareFirst 2025 True Up 2/1 Premium Period: </t>
  </si>
  <si>
    <t>Robinson</t>
  </si>
  <si>
    <t>CareFirstMA033120250060</t>
  </si>
  <si>
    <t>Debora</t>
  </si>
  <si>
    <t>CareFirstMA033120250061</t>
  </si>
  <si>
    <t>Adam Richter</t>
  </si>
  <si>
    <t>Herrington</t>
  </si>
  <si>
    <t>CareFirstMA033120250062</t>
  </si>
  <si>
    <t>Scott</t>
  </si>
  <si>
    <t>Hunter</t>
  </si>
  <si>
    <t>CareFirstMA033120250063</t>
  </si>
  <si>
    <t>CareFirstMA033120250080</t>
  </si>
  <si>
    <t xml:space="preserve">CareFirst 2025 Replace Street (ProRata: 10) Premium Period: </t>
  </si>
  <si>
    <t>CareFirstMA033120250081</t>
  </si>
  <si>
    <t>CareFirstMA033120250082</t>
  </si>
  <si>
    <t>CareFirstMA033120250137</t>
  </si>
  <si>
    <t>Notes: CareFirst HRA Payment. JB</t>
  </si>
  <si>
    <t>MLB16202925</t>
  </si>
  <si>
    <t>Elaise</t>
  </si>
  <si>
    <t>Mister</t>
  </si>
  <si>
    <t>CareFirstDSNP022820250043</t>
  </si>
  <si>
    <t>Carefirst DSNP</t>
  </si>
  <si>
    <t>CareFirst DSNP 2025 Initial Full</t>
  </si>
  <si>
    <t>Denise</t>
  </si>
  <si>
    <t>Kinsey</t>
  </si>
  <si>
    <t>CareFirstDSNP03312025013</t>
  </si>
  <si>
    <t>CareFirst DSNP 2025 3/1 Pro-Rated Full</t>
  </si>
  <si>
    <t>Main Line Benefits</t>
  </si>
  <si>
    <t>Carefirst MAPD 2025*</t>
  </si>
  <si>
    <t>CareFirst Ovr</t>
  </si>
  <si>
    <t>Carefirst MAPD 2025</t>
  </si>
  <si>
    <t>[%/$=313][prorate=1/12]</t>
  </si>
  <si>
    <t>[%/$=313][prorate=10/12]</t>
  </si>
  <si>
    <t>[%/$=313][prorate=11/12]</t>
  </si>
  <si>
    <t>[%/$=313][prorate=12/12]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</si>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</sst>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FD08-175E-4A8E-A982-743D36EF1E3C}">
  <dimension ref="A1:K75"/>
  <sheetViews>
    <sheetView topLeftCell="A37" workbookViewId="0">
      <selection activeCell="F37" sqref="F1:F1048576"/>
    </sheetView>
  </sheetViews>
  <sheetFormatPr defaultRowHeight="15" x14ac:dyDescent="0.25"/>
  <cols>
    <col min="6" max="6" width="26.28515625" style="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5442438</v>
      </c>
      <c r="D2" t="s">
        <v>12</v>
      </c>
      <c r="E2" t="s">
        <v>13</v>
      </c>
      <c r="F2" s="3" t="s">
        <v>14</v>
      </c>
      <c r="G2" s="1">
        <v>45658</v>
      </c>
      <c r="H2" s="1">
        <v>45744</v>
      </c>
      <c r="I2" t="s">
        <v>15</v>
      </c>
      <c r="J2" t="s">
        <v>16</v>
      </c>
      <c r="K2" s="2">
        <v>100</v>
      </c>
    </row>
    <row r="3" spans="1:11" x14ac:dyDescent="0.25">
      <c r="A3" t="s">
        <v>11</v>
      </c>
      <c r="C3">
        <v>5442438</v>
      </c>
      <c r="D3" t="s">
        <v>17</v>
      </c>
      <c r="E3" t="s">
        <v>18</v>
      </c>
      <c r="F3" s="3" t="s">
        <v>19</v>
      </c>
      <c r="G3" s="1">
        <v>45658</v>
      </c>
      <c r="H3" s="1">
        <v>45744</v>
      </c>
      <c r="I3" t="s">
        <v>15</v>
      </c>
      <c r="J3" t="s">
        <v>16</v>
      </c>
      <c r="K3" s="2">
        <v>100</v>
      </c>
    </row>
    <row r="4" spans="1:11" x14ac:dyDescent="0.25">
      <c r="A4" t="s">
        <v>11</v>
      </c>
      <c r="C4">
        <v>5442438</v>
      </c>
      <c r="D4" t="s">
        <v>20</v>
      </c>
      <c r="E4" t="s">
        <v>21</v>
      </c>
      <c r="F4" s="3" t="s">
        <v>22</v>
      </c>
      <c r="G4" s="1">
        <v>45658</v>
      </c>
      <c r="H4" s="1">
        <v>45744</v>
      </c>
      <c r="I4" t="s">
        <v>15</v>
      </c>
      <c r="J4" t="s">
        <v>16</v>
      </c>
      <c r="K4" s="2">
        <v>100</v>
      </c>
    </row>
    <row r="5" spans="1:11" x14ac:dyDescent="0.25">
      <c r="A5" t="s">
        <v>11</v>
      </c>
      <c r="C5">
        <v>5442438</v>
      </c>
      <c r="D5" t="s">
        <v>23</v>
      </c>
      <c r="E5" t="s">
        <v>24</v>
      </c>
      <c r="F5" s="3" t="s">
        <v>25</v>
      </c>
      <c r="G5" s="1">
        <v>45658</v>
      </c>
      <c r="H5" s="1">
        <v>45744</v>
      </c>
      <c r="I5" t="s">
        <v>15</v>
      </c>
      <c r="J5" t="s">
        <v>16</v>
      </c>
      <c r="K5" s="2">
        <v>100</v>
      </c>
    </row>
    <row r="6" spans="1:11" x14ac:dyDescent="0.25">
      <c r="A6" t="s">
        <v>11</v>
      </c>
      <c r="C6">
        <v>5442438</v>
      </c>
      <c r="D6" t="s">
        <v>26</v>
      </c>
      <c r="E6" t="s">
        <v>27</v>
      </c>
      <c r="F6" s="3" t="s">
        <v>28</v>
      </c>
      <c r="G6" s="1">
        <v>45658</v>
      </c>
      <c r="H6" s="1">
        <v>45744</v>
      </c>
      <c r="I6" t="s">
        <v>15</v>
      </c>
      <c r="J6" t="s">
        <v>16</v>
      </c>
      <c r="K6" s="2">
        <v>100</v>
      </c>
    </row>
    <row r="7" spans="1:11" x14ac:dyDescent="0.25">
      <c r="A7" t="s">
        <v>11</v>
      </c>
      <c r="C7">
        <v>5442438</v>
      </c>
      <c r="D7" t="s">
        <v>29</v>
      </c>
      <c r="E7" t="s">
        <v>30</v>
      </c>
      <c r="F7" s="3" t="s">
        <v>31</v>
      </c>
      <c r="G7" s="1">
        <v>45658</v>
      </c>
      <c r="H7" s="1">
        <v>45744</v>
      </c>
      <c r="I7" t="s">
        <v>15</v>
      </c>
      <c r="J7" t="s">
        <v>16</v>
      </c>
      <c r="K7" s="2">
        <v>100</v>
      </c>
    </row>
    <row r="8" spans="1:11" x14ac:dyDescent="0.25">
      <c r="A8" t="s">
        <v>11</v>
      </c>
      <c r="C8">
        <v>5442438</v>
      </c>
      <c r="D8" t="s">
        <v>32</v>
      </c>
      <c r="E8" t="s">
        <v>33</v>
      </c>
      <c r="F8" s="3" t="s">
        <v>34</v>
      </c>
      <c r="G8" s="1">
        <v>45658</v>
      </c>
      <c r="H8" s="1">
        <v>45744</v>
      </c>
      <c r="I8" t="s">
        <v>15</v>
      </c>
      <c r="J8" t="s">
        <v>16</v>
      </c>
      <c r="K8" s="2">
        <v>100</v>
      </c>
    </row>
    <row r="9" spans="1:11" x14ac:dyDescent="0.25">
      <c r="A9" t="s">
        <v>11</v>
      </c>
      <c r="C9">
        <v>5442438</v>
      </c>
      <c r="D9" t="s">
        <v>35</v>
      </c>
      <c r="E9" t="s">
        <v>36</v>
      </c>
      <c r="F9" s="3" t="s">
        <v>37</v>
      </c>
      <c r="G9" s="1">
        <v>45658</v>
      </c>
      <c r="H9" s="1">
        <v>45744</v>
      </c>
      <c r="I9" t="s">
        <v>15</v>
      </c>
      <c r="J9" t="s">
        <v>16</v>
      </c>
      <c r="K9" s="2">
        <v>100</v>
      </c>
    </row>
    <row r="10" spans="1:11" x14ac:dyDescent="0.25">
      <c r="A10" t="s">
        <v>11</v>
      </c>
      <c r="C10">
        <v>5442438</v>
      </c>
      <c r="D10" t="s">
        <v>38</v>
      </c>
      <c r="E10" t="s">
        <v>39</v>
      </c>
      <c r="F10" s="3" t="s">
        <v>40</v>
      </c>
      <c r="G10" s="1">
        <v>45658</v>
      </c>
      <c r="H10" s="1">
        <v>45744</v>
      </c>
      <c r="I10" t="s">
        <v>15</v>
      </c>
      <c r="J10" t="s">
        <v>16</v>
      </c>
      <c r="K10" s="2">
        <v>100</v>
      </c>
    </row>
    <row r="11" spans="1:11" x14ac:dyDescent="0.25">
      <c r="A11" t="s">
        <v>11</v>
      </c>
      <c r="C11">
        <v>5442438</v>
      </c>
      <c r="D11" t="s">
        <v>41</v>
      </c>
      <c r="E11" t="s">
        <v>42</v>
      </c>
      <c r="F11" s="3" t="s">
        <v>43</v>
      </c>
      <c r="G11" s="1">
        <v>45658</v>
      </c>
      <c r="H11" s="1">
        <v>45744</v>
      </c>
      <c r="I11" t="s">
        <v>15</v>
      </c>
      <c r="J11" t="s">
        <v>16</v>
      </c>
      <c r="K11" s="2">
        <v>100</v>
      </c>
    </row>
    <row r="12" spans="1:11" x14ac:dyDescent="0.25">
      <c r="A12" t="s">
        <v>11</v>
      </c>
      <c r="C12">
        <v>5442438</v>
      </c>
      <c r="D12" t="s">
        <v>44</v>
      </c>
      <c r="E12" t="s">
        <v>45</v>
      </c>
      <c r="F12" s="3" t="s">
        <v>46</v>
      </c>
      <c r="G12" s="1">
        <v>45658</v>
      </c>
      <c r="H12" s="1">
        <v>45744</v>
      </c>
      <c r="I12" t="s">
        <v>15</v>
      </c>
      <c r="J12" t="s">
        <v>16</v>
      </c>
      <c r="K12" s="2">
        <v>100</v>
      </c>
    </row>
    <row r="13" spans="1:11" x14ac:dyDescent="0.25">
      <c r="A13" t="s">
        <v>11</v>
      </c>
      <c r="C13">
        <v>5442438</v>
      </c>
      <c r="D13" t="s">
        <v>47</v>
      </c>
      <c r="E13" t="s">
        <v>48</v>
      </c>
      <c r="F13" s="3" t="s">
        <v>49</v>
      </c>
      <c r="G13" s="1">
        <v>45658</v>
      </c>
      <c r="H13" s="1">
        <v>45744</v>
      </c>
      <c r="I13" t="s">
        <v>15</v>
      </c>
      <c r="J13" t="s">
        <v>16</v>
      </c>
      <c r="K13" s="2">
        <v>100</v>
      </c>
    </row>
    <row r="14" spans="1:11" x14ac:dyDescent="0.25">
      <c r="A14" t="s">
        <v>11</v>
      </c>
      <c r="C14">
        <v>5442438</v>
      </c>
      <c r="D14" t="s">
        <v>50</v>
      </c>
      <c r="E14" t="s">
        <v>51</v>
      </c>
      <c r="F14" s="3" t="s">
        <v>52</v>
      </c>
      <c r="G14" s="1">
        <v>45658</v>
      </c>
      <c r="H14" s="1">
        <v>45744</v>
      </c>
      <c r="I14" t="s">
        <v>15</v>
      </c>
      <c r="J14" t="s">
        <v>16</v>
      </c>
      <c r="K14" s="2">
        <v>100</v>
      </c>
    </row>
    <row r="15" spans="1:11" x14ac:dyDescent="0.25">
      <c r="A15" t="s">
        <v>11</v>
      </c>
      <c r="C15">
        <v>5442438</v>
      </c>
      <c r="D15" t="s">
        <v>53</v>
      </c>
      <c r="E15" t="s">
        <v>54</v>
      </c>
      <c r="F15" s="3" t="s">
        <v>55</v>
      </c>
      <c r="G15" s="1">
        <v>45658</v>
      </c>
      <c r="H15" s="1">
        <v>45744</v>
      </c>
      <c r="I15" t="s">
        <v>15</v>
      </c>
      <c r="J15" t="s">
        <v>16</v>
      </c>
      <c r="K15" s="2">
        <v>100</v>
      </c>
    </row>
    <row r="16" spans="1:11" x14ac:dyDescent="0.25">
      <c r="A16" t="s">
        <v>11</v>
      </c>
      <c r="C16">
        <v>5442438</v>
      </c>
      <c r="D16" t="s">
        <v>12</v>
      </c>
      <c r="E16" t="s">
        <v>13</v>
      </c>
      <c r="F16" s="3" t="s">
        <v>56</v>
      </c>
      <c r="G16" s="1">
        <v>45658</v>
      </c>
      <c r="H16" s="1">
        <v>45744</v>
      </c>
      <c r="I16" t="s">
        <v>15</v>
      </c>
      <c r="J16" t="s">
        <v>57</v>
      </c>
      <c r="K16" s="2">
        <v>626</v>
      </c>
    </row>
    <row r="17" spans="1:11" x14ac:dyDescent="0.25">
      <c r="A17" t="s">
        <v>11</v>
      </c>
      <c r="C17">
        <v>5442438</v>
      </c>
      <c r="D17" t="s">
        <v>17</v>
      </c>
      <c r="E17" t="s">
        <v>18</v>
      </c>
      <c r="F17" s="3" t="s">
        <v>58</v>
      </c>
      <c r="G17" s="1">
        <v>45658</v>
      </c>
      <c r="H17" s="1">
        <v>45744</v>
      </c>
      <c r="I17" t="s">
        <v>15</v>
      </c>
      <c r="J17" t="s">
        <v>57</v>
      </c>
      <c r="K17" s="2">
        <v>626</v>
      </c>
    </row>
    <row r="18" spans="1:11" x14ac:dyDescent="0.25">
      <c r="A18" t="s">
        <v>11</v>
      </c>
      <c r="C18">
        <v>5442438</v>
      </c>
      <c r="D18" t="s">
        <v>20</v>
      </c>
      <c r="E18" t="s">
        <v>21</v>
      </c>
      <c r="F18" s="3" t="s">
        <v>59</v>
      </c>
      <c r="G18" s="1">
        <v>45658</v>
      </c>
      <c r="H18" s="1">
        <v>45744</v>
      </c>
      <c r="I18" t="s">
        <v>15</v>
      </c>
      <c r="J18" t="s">
        <v>60</v>
      </c>
      <c r="K18" s="2">
        <v>313</v>
      </c>
    </row>
    <row r="19" spans="1:11" x14ac:dyDescent="0.25">
      <c r="A19" t="s">
        <v>11</v>
      </c>
      <c r="C19">
        <v>5442438</v>
      </c>
      <c r="D19" t="s">
        <v>23</v>
      </c>
      <c r="E19" t="s">
        <v>24</v>
      </c>
      <c r="F19" s="3" t="s">
        <v>61</v>
      </c>
      <c r="G19" s="1">
        <v>45658</v>
      </c>
      <c r="H19" s="1">
        <v>45744</v>
      </c>
      <c r="I19" t="s">
        <v>15</v>
      </c>
      <c r="J19" t="s">
        <v>60</v>
      </c>
      <c r="K19" s="2">
        <v>313</v>
      </c>
    </row>
    <row r="20" spans="1:11" x14ac:dyDescent="0.25">
      <c r="A20" t="s">
        <v>11</v>
      </c>
      <c r="C20">
        <v>5442438</v>
      </c>
      <c r="D20" t="s">
        <v>26</v>
      </c>
      <c r="E20" t="s">
        <v>27</v>
      </c>
      <c r="F20" s="3" t="s">
        <v>62</v>
      </c>
      <c r="G20" s="1">
        <v>45658</v>
      </c>
      <c r="H20" s="1">
        <v>45744</v>
      </c>
      <c r="I20" t="s">
        <v>15</v>
      </c>
      <c r="J20" t="s">
        <v>57</v>
      </c>
      <c r="K20" s="2">
        <v>626</v>
      </c>
    </row>
    <row r="21" spans="1:11" x14ac:dyDescent="0.25">
      <c r="A21" t="s">
        <v>11</v>
      </c>
      <c r="C21">
        <v>5442438</v>
      </c>
      <c r="D21" t="s">
        <v>29</v>
      </c>
      <c r="E21" t="s">
        <v>30</v>
      </c>
      <c r="F21" s="3" t="s">
        <v>63</v>
      </c>
      <c r="G21" s="1">
        <v>45658</v>
      </c>
      <c r="H21" s="1">
        <v>45744</v>
      </c>
      <c r="I21" t="s">
        <v>15</v>
      </c>
      <c r="J21" t="s">
        <v>57</v>
      </c>
      <c r="K21" s="2">
        <v>626</v>
      </c>
    </row>
    <row r="22" spans="1:11" x14ac:dyDescent="0.25">
      <c r="A22" t="s">
        <v>11</v>
      </c>
      <c r="C22">
        <v>5442438</v>
      </c>
      <c r="D22" t="s">
        <v>32</v>
      </c>
      <c r="E22" t="s">
        <v>33</v>
      </c>
      <c r="F22" s="3" t="s">
        <v>64</v>
      </c>
      <c r="G22" s="1">
        <v>45658</v>
      </c>
      <c r="H22" s="1">
        <v>45744</v>
      </c>
      <c r="I22" t="s">
        <v>15</v>
      </c>
      <c r="J22" t="s">
        <v>57</v>
      </c>
      <c r="K22" s="2">
        <v>626</v>
      </c>
    </row>
    <row r="23" spans="1:11" x14ac:dyDescent="0.25">
      <c r="A23" t="s">
        <v>11</v>
      </c>
      <c r="C23">
        <v>5442438</v>
      </c>
      <c r="D23" t="s">
        <v>35</v>
      </c>
      <c r="E23" t="s">
        <v>36</v>
      </c>
      <c r="F23" s="3" t="s">
        <v>65</v>
      </c>
      <c r="G23" s="1">
        <v>45658</v>
      </c>
      <c r="H23" s="1">
        <v>45744</v>
      </c>
      <c r="I23" t="s">
        <v>15</v>
      </c>
      <c r="J23" t="s">
        <v>57</v>
      </c>
      <c r="K23" s="2">
        <v>626</v>
      </c>
    </row>
    <row r="24" spans="1:11" x14ac:dyDescent="0.25">
      <c r="A24" t="s">
        <v>11</v>
      </c>
      <c r="C24">
        <v>5442438</v>
      </c>
      <c r="D24" t="s">
        <v>38</v>
      </c>
      <c r="E24" t="s">
        <v>39</v>
      </c>
      <c r="F24" s="3" t="s">
        <v>66</v>
      </c>
      <c r="G24" s="1">
        <v>45658</v>
      </c>
      <c r="H24" s="1">
        <v>45744</v>
      </c>
      <c r="I24" t="s">
        <v>15</v>
      </c>
      <c r="J24" t="s">
        <v>60</v>
      </c>
      <c r="K24" s="2">
        <v>313</v>
      </c>
    </row>
    <row r="25" spans="1:11" x14ac:dyDescent="0.25">
      <c r="A25" t="s">
        <v>11</v>
      </c>
      <c r="C25">
        <v>5442438</v>
      </c>
      <c r="D25" t="s">
        <v>41</v>
      </c>
      <c r="E25" t="s">
        <v>42</v>
      </c>
      <c r="F25" s="3" t="s">
        <v>67</v>
      </c>
      <c r="G25" s="1">
        <v>45658</v>
      </c>
      <c r="H25" s="1">
        <v>45744</v>
      </c>
      <c r="I25" t="s">
        <v>15</v>
      </c>
      <c r="J25" t="s">
        <v>60</v>
      </c>
      <c r="K25" s="2">
        <v>313</v>
      </c>
    </row>
    <row r="26" spans="1:11" x14ac:dyDescent="0.25">
      <c r="A26" t="s">
        <v>11</v>
      </c>
      <c r="C26">
        <v>5442438</v>
      </c>
      <c r="D26" t="s">
        <v>44</v>
      </c>
      <c r="E26" t="s">
        <v>45</v>
      </c>
      <c r="F26" s="3" t="s">
        <v>68</v>
      </c>
      <c r="G26" s="1">
        <v>45658</v>
      </c>
      <c r="H26" s="1">
        <v>45744</v>
      </c>
      <c r="I26" t="s">
        <v>15</v>
      </c>
      <c r="J26" t="s">
        <v>57</v>
      </c>
      <c r="K26" s="2">
        <v>626</v>
      </c>
    </row>
    <row r="27" spans="1:11" x14ac:dyDescent="0.25">
      <c r="A27" t="s">
        <v>11</v>
      </c>
      <c r="C27">
        <v>5442438</v>
      </c>
      <c r="D27" t="s">
        <v>47</v>
      </c>
      <c r="E27" t="s">
        <v>48</v>
      </c>
      <c r="F27" s="3" t="s">
        <v>69</v>
      </c>
      <c r="G27" s="1">
        <v>45658</v>
      </c>
      <c r="H27" s="1">
        <v>45744</v>
      </c>
      <c r="I27" t="s">
        <v>15</v>
      </c>
      <c r="J27" t="s">
        <v>60</v>
      </c>
      <c r="K27" s="2">
        <v>313</v>
      </c>
    </row>
    <row r="28" spans="1:11" x14ac:dyDescent="0.25">
      <c r="A28" t="s">
        <v>11</v>
      </c>
      <c r="C28">
        <v>5442438</v>
      </c>
      <c r="D28" t="s">
        <v>50</v>
      </c>
      <c r="E28" t="s">
        <v>51</v>
      </c>
      <c r="F28" s="3" t="s">
        <v>70</v>
      </c>
      <c r="G28" s="1">
        <v>45658</v>
      </c>
      <c r="H28" s="1">
        <v>45744</v>
      </c>
      <c r="I28" t="s">
        <v>15</v>
      </c>
      <c r="J28" t="s">
        <v>60</v>
      </c>
      <c r="K28" s="2">
        <v>313</v>
      </c>
    </row>
    <row r="29" spans="1:11" x14ac:dyDescent="0.25">
      <c r="A29" t="s">
        <v>11</v>
      </c>
      <c r="C29">
        <v>5442438</v>
      </c>
      <c r="D29" t="s">
        <v>53</v>
      </c>
      <c r="E29" t="s">
        <v>54</v>
      </c>
      <c r="F29" s="3" t="s">
        <v>71</v>
      </c>
      <c r="G29" s="1">
        <v>45658</v>
      </c>
      <c r="H29" s="1">
        <v>45744</v>
      </c>
      <c r="I29" t="s">
        <v>15</v>
      </c>
      <c r="J29" t="s">
        <v>57</v>
      </c>
      <c r="K29" s="2">
        <v>626</v>
      </c>
    </row>
    <row r="30" spans="1:11" x14ac:dyDescent="0.25">
      <c r="A30" t="s">
        <v>72</v>
      </c>
      <c r="C30">
        <v>16202925</v>
      </c>
      <c r="D30" t="s">
        <v>73</v>
      </c>
      <c r="E30" t="s">
        <v>74</v>
      </c>
      <c r="F30" s="3">
        <v>916462022</v>
      </c>
      <c r="G30" s="1">
        <v>45658</v>
      </c>
      <c r="H30" s="1">
        <v>45744</v>
      </c>
      <c r="I30" t="s">
        <v>15</v>
      </c>
      <c r="J30" t="s">
        <v>75</v>
      </c>
      <c r="K30" s="2">
        <v>413</v>
      </c>
    </row>
    <row r="31" spans="1:11" x14ac:dyDescent="0.25">
      <c r="A31" t="s">
        <v>72</v>
      </c>
      <c r="C31">
        <v>16202925</v>
      </c>
      <c r="D31" t="s">
        <v>76</v>
      </c>
      <c r="E31" t="s">
        <v>77</v>
      </c>
      <c r="F31" s="3" t="s">
        <v>78</v>
      </c>
      <c r="G31" s="1">
        <v>45658</v>
      </c>
      <c r="H31" s="1">
        <v>45744</v>
      </c>
      <c r="I31" t="s">
        <v>15</v>
      </c>
      <c r="J31" t="s">
        <v>79</v>
      </c>
      <c r="K31" s="2">
        <v>726</v>
      </c>
    </row>
    <row r="32" spans="1:11" x14ac:dyDescent="0.25">
      <c r="A32" t="s">
        <v>72</v>
      </c>
      <c r="C32">
        <v>16202925</v>
      </c>
      <c r="D32" t="s">
        <v>80</v>
      </c>
      <c r="E32" t="s">
        <v>81</v>
      </c>
      <c r="F32" s="3" t="s">
        <v>82</v>
      </c>
      <c r="G32" s="1">
        <v>45658</v>
      </c>
      <c r="H32" s="1">
        <v>45744</v>
      </c>
      <c r="I32" t="s">
        <v>15</v>
      </c>
      <c r="J32" t="s">
        <v>75</v>
      </c>
      <c r="K32" s="2">
        <v>413</v>
      </c>
    </row>
    <row r="33" spans="1:11" x14ac:dyDescent="0.25">
      <c r="A33" t="s">
        <v>72</v>
      </c>
      <c r="C33">
        <v>16202925</v>
      </c>
      <c r="D33" t="s">
        <v>23</v>
      </c>
      <c r="E33" t="s">
        <v>83</v>
      </c>
      <c r="F33" s="3" t="s">
        <v>84</v>
      </c>
      <c r="G33" s="1">
        <v>45658</v>
      </c>
      <c r="H33" s="1">
        <v>45744</v>
      </c>
      <c r="I33" t="s">
        <v>15</v>
      </c>
      <c r="J33" t="s">
        <v>75</v>
      </c>
      <c r="K33" s="2">
        <v>413</v>
      </c>
    </row>
    <row r="34" spans="1:11" x14ac:dyDescent="0.25">
      <c r="A34" t="s">
        <v>72</v>
      </c>
      <c r="C34">
        <v>16202925</v>
      </c>
      <c r="D34" t="s">
        <v>26</v>
      </c>
      <c r="E34" t="s">
        <v>85</v>
      </c>
      <c r="F34" s="3" t="s">
        <v>86</v>
      </c>
      <c r="G34" s="1">
        <v>45658</v>
      </c>
      <c r="H34" s="1">
        <v>45744</v>
      </c>
      <c r="I34" t="s">
        <v>15</v>
      </c>
      <c r="J34" t="s">
        <v>79</v>
      </c>
      <c r="K34" s="2">
        <v>726</v>
      </c>
    </row>
    <row r="35" spans="1:11" x14ac:dyDescent="0.25">
      <c r="A35" t="s">
        <v>72</v>
      </c>
      <c r="C35">
        <v>16202925</v>
      </c>
      <c r="D35" t="s">
        <v>29</v>
      </c>
      <c r="E35" t="s">
        <v>87</v>
      </c>
      <c r="F35" s="3" t="s">
        <v>88</v>
      </c>
      <c r="G35" s="1">
        <v>45658</v>
      </c>
      <c r="H35" s="1">
        <v>45744</v>
      </c>
      <c r="I35" t="s">
        <v>15</v>
      </c>
      <c r="J35" t="s">
        <v>75</v>
      </c>
      <c r="K35" s="2">
        <v>413</v>
      </c>
    </row>
    <row r="36" spans="1:11" x14ac:dyDescent="0.25">
      <c r="A36" t="s">
        <v>72</v>
      </c>
      <c r="C36">
        <v>16202925</v>
      </c>
      <c r="D36" t="s">
        <v>89</v>
      </c>
      <c r="E36" t="s">
        <v>90</v>
      </c>
      <c r="F36" s="3" t="s">
        <v>91</v>
      </c>
      <c r="G36" s="1">
        <v>45658</v>
      </c>
      <c r="H36" s="1">
        <v>45744</v>
      </c>
      <c r="I36" t="s">
        <v>15</v>
      </c>
      <c r="J36" t="s">
        <v>75</v>
      </c>
      <c r="K36" s="2">
        <v>413</v>
      </c>
    </row>
    <row r="37" spans="1:11" x14ac:dyDescent="0.25">
      <c r="A37" t="s">
        <v>72</v>
      </c>
      <c r="C37">
        <v>16202925</v>
      </c>
      <c r="D37" t="s">
        <v>92</v>
      </c>
      <c r="E37" t="s">
        <v>93</v>
      </c>
      <c r="F37" s="3" t="s">
        <v>94</v>
      </c>
      <c r="G37" s="1">
        <v>45658</v>
      </c>
      <c r="H37" s="1">
        <v>45744</v>
      </c>
      <c r="I37" t="s">
        <v>15</v>
      </c>
      <c r="J37" t="s">
        <v>75</v>
      </c>
      <c r="K37" s="2">
        <v>413</v>
      </c>
    </row>
    <row r="38" spans="1:11" x14ac:dyDescent="0.25">
      <c r="A38" t="s">
        <v>72</v>
      </c>
      <c r="C38">
        <v>16202925</v>
      </c>
      <c r="D38" t="s">
        <v>95</v>
      </c>
      <c r="E38" t="s">
        <v>96</v>
      </c>
      <c r="F38" s="3" t="s">
        <v>97</v>
      </c>
      <c r="G38" s="1">
        <v>45658</v>
      </c>
      <c r="H38" s="1">
        <v>45744</v>
      </c>
      <c r="I38" t="s">
        <v>15</v>
      </c>
      <c r="J38" t="s">
        <v>75</v>
      </c>
      <c r="K38" s="2">
        <v>413</v>
      </c>
    </row>
    <row r="39" spans="1:11" x14ac:dyDescent="0.25">
      <c r="A39" t="s">
        <v>72</v>
      </c>
      <c r="C39">
        <v>16202925</v>
      </c>
      <c r="D39" t="s">
        <v>98</v>
      </c>
      <c r="E39" t="s">
        <v>99</v>
      </c>
      <c r="F39" s="3" t="s">
        <v>100</v>
      </c>
      <c r="G39" s="1">
        <v>45658</v>
      </c>
      <c r="H39" s="1">
        <v>45744</v>
      </c>
      <c r="I39" t="s">
        <v>15</v>
      </c>
      <c r="J39" t="s">
        <v>75</v>
      </c>
      <c r="K39" s="2">
        <v>413</v>
      </c>
    </row>
    <row r="40" spans="1:11" x14ac:dyDescent="0.25">
      <c r="A40" t="s">
        <v>72</v>
      </c>
      <c r="C40">
        <v>16202925</v>
      </c>
      <c r="D40" t="s">
        <v>101</v>
      </c>
      <c r="E40" t="s">
        <v>102</v>
      </c>
      <c r="F40" s="3" t="s">
        <v>103</v>
      </c>
      <c r="G40" s="1">
        <v>45658</v>
      </c>
      <c r="H40" s="1">
        <v>45744</v>
      </c>
      <c r="I40" t="s">
        <v>15</v>
      </c>
      <c r="J40" t="s">
        <v>75</v>
      </c>
      <c r="K40" s="2">
        <v>413</v>
      </c>
    </row>
    <row r="41" spans="1:11" x14ac:dyDescent="0.25">
      <c r="A41" t="s">
        <v>72</v>
      </c>
      <c r="C41">
        <v>16202925</v>
      </c>
      <c r="D41" t="s">
        <v>44</v>
      </c>
      <c r="E41" t="s">
        <v>104</v>
      </c>
      <c r="F41" s="3" t="s">
        <v>105</v>
      </c>
      <c r="G41" s="1">
        <v>45658</v>
      </c>
      <c r="H41" s="1">
        <v>45744</v>
      </c>
      <c r="I41" t="s">
        <v>15</v>
      </c>
      <c r="J41" t="s">
        <v>75</v>
      </c>
      <c r="K41" s="2">
        <v>413</v>
      </c>
    </row>
    <row r="42" spans="1:11" x14ac:dyDescent="0.25">
      <c r="A42" t="s">
        <v>72</v>
      </c>
      <c r="C42">
        <v>16202925</v>
      </c>
      <c r="D42" t="s">
        <v>106</v>
      </c>
      <c r="E42" t="s">
        <v>107</v>
      </c>
      <c r="F42" s="3" t="s">
        <v>108</v>
      </c>
      <c r="G42" s="1">
        <v>45658</v>
      </c>
      <c r="H42" s="1">
        <v>45744</v>
      </c>
      <c r="I42" t="s">
        <v>15</v>
      </c>
      <c r="J42" t="s">
        <v>79</v>
      </c>
      <c r="K42" s="2">
        <v>726</v>
      </c>
    </row>
    <row r="43" spans="1:11" x14ac:dyDescent="0.25">
      <c r="A43" t="s">
        <v>72</v>
      </c>
      <c r="C43">
        <v>16202925</v>
      </c>
      <c r="D43" t="s">
        <v>109</v>
      </c>
      <c r="E43" t="s">
        <v>77</v>
      </c>
      <c r="F43" s="3" t="s">
        <v>110</v>
      </c>
      <c r="G43" s="1">
        <v>45658</v>
      </c>
      <c r="H43" s="1">
        <v>45744</v>
      </c>
      <c r="I43" t="s">
        <v>15</v>
      </c>
      <c r="J43" t="s">
        <v>75</v>
      </c>
      <c r="K43" s="2">
        <v>413</v>
      </c>
    </row>
    <row r="44" spans="1:11" x14ac:dyDescent="0.25">
      <c r="A44" t="s">
        <v>72</v>
      </c>
      <c r="C44">
        <v>16202925</v>
      </c>
      <c r="D44" t="s">
        <v>111</v>
      </c>
      <c r="E44" t="s">
        <v>112</v>
      </c>
      <c r="F44" s="3" t="s">
        <v>113</v>
      </c>
      <c r="G44" s="1">
        <v>45658</v>
      </c>
      <c r="H44" s="1">
        <v>45744</v>
      </c>
      <c r="I44" t="s">
        <v>15</v>
      </c>
      <c r="J44" t="s">
        <v>79</v>
      </c>
      <c r="K44" s="2">
        <v>726</v>
      </c>
    </row>
    <row r="45" spans="1:11" x14ac:dyDescent="0.25">
      <c r="A45" t="s">
        <v>72</v>
      </c>
      <c r="C45">
        <v>16202925</v>
      </c>
      <c r="D45" t="s">
        <v>111</v>
      </c>
      <c r="E45" t="s">
        <v>114</v>
      </c>
      <c r="F45" s="3" t="s">
        <v>115</v>
      </c>
      <c r="G45" s="1">
        <v>45658</v>
      </c>
      <c r="H45" s="1">
        <v>45744</v>
      </c>
      <c r="I45" t="s">
        <v>15</v>
      </c>
      <c r="J45" t="s">
        <v>75</v>
      </c>
      <c r="K45" s="2">
        <v>413</v>
      </c>
    </row>
    <row r="46" spans="1:11" x14ac:dyDescent="0.25">
      <c r="A46" t="s">
        <v>72</v>
      </c>
      <c r="C46">
        <v>16202925</v>
      </c>
      <c r="D46" t="s">
        <v>116</v>
      </c>
      <c r="E46" t="s">
        <v>117</v>
      </c>
      <c r="F46" s="3" t="s">
        <v>118</v>
      </c>
      <c r="G46" s="1">
        <v>45658</v>
      </c>
      <c r="H46" s="1">
        <v>45744</v>
      </c>
      <c r="I46" t="s">
        <v>15</v>
      </c>
      <c r="J46" t="s">
        <v>75</v>
      </c>
      <c r="K46" s="2">
        <v>413</v>
      </c>
    </row>
    <row r="47" spans="1:11" x14ac:dyDescent="0.25">
      <c r="A47" t="s">
        <v>72</v>
      </c>
      <c r="C47">
        <v>16202925</v>
      </c>
      <c r="D47" t="s">
        <v>119</v>
      </c>
      <c r="E47" t="s">
        <v>120</v>
      </c>
      <c r="F47" s="3" t="s">
        <v>121</v>
      </c>
      <c r="G47" s="1">
        <v>45658</v>
      </c>
      <c r="H47" s="1">
        <v>45744</v>
      </c>
      <c r="I47" t="s">
        <v>15</v>
      </c>
      <c r="J47" t="s">
        <v>75</v>
      </c>
      <c r="K47" s="2">
        <v>413</v>
      </c>
    </row>
    <row r="48" spans="1:11" x14ac:dyDescent="0.25">
      <c r="A48" t="s">
        <v>72</v>
      </c>
      <c r="C48">
        <v>16202925</v>
      </c>
      <c r="D48" t="s">
        <v>122</v>
      </c>
      <c r="E48" t="s">
        <v>123</v>
      </c>
      <c r="F48" s="3" t="s">
        <v>124</v>
      </c>
      <c r="G48" s="1">
        <v>45658</v>
      </c>
      <c r="H48" s="1">
        <v>45744</v>
      </c>
      <c r="I48" t="s">
        <v>15</v>
      </c>
      <c r="J48" t="s">
        <v>75</v>
      </c>
      <c r="K48" s="2">
        <v>413</v>
      </c>
    </row>
    <row r="49" spans="1:11" x14ac:dyDescent="0.25">
      <c r="A49" t="s">
        <v>72</v>
      </c>
      <c r="C49">
        <v>16202925</v>
      </c>
      <c r="D49" t="s">
        <v>125</v>
      </c>
      <c r="E49" t="s">
        <v>126</v>
      </c>
      <c r="F49" s="3" t="s">
        <v>127</v>
      </c>
      <c r="G49" s="1">
        <v>45658</v>
      </c>
      <c r="H49" s="1">
        <v>45744</v>
      </c>
      <c r="I49" t="s">
        <v>15</v>
      </c>
      <c r="J49" t="s">
        <v>75</v>
      </c>
      <c r="K49" s="2">
        <v>413</v>
      </c>
    </row>
    <row r="50" spans="1:11" x14ac:dyDescent="0.25">
      <c r="A50" t="s">
        <v>72</v>
      </c>
      <c r="C50">
        <v>16202925</v>
      </c>
      <c r="D50" t="s">
        <v>128</v>
      </c>
      <c r="E50" t="s">
        <v>104</v>
      </c>
      <c r="F50" s="3" t="s">
        <v>129</v>
      </c>
      <c r="G50" s="1">
        <v>45658</v>
      </c>
      <c r="H50" s="1">
        <v>45744</v>
      </c>
      <c r="I50" t="s">
        <v>15</v>
      </c>
      <c r="J50" t="s">
        <v>75</v>
      </c>
      <c r="K50" s="2">
        <v>413</v>
      </c>
    </row>
    <row r="51" spans="1:11" x14ac:dyDescent="0.25">
      <c r="A51" t="s">
        <v>72</v>
      </c>
      <c r="C51">
        <v>16202925</v>
      </c>
      <c r="D51" t="s">
        <v>130</v>
      </c>
      <c r="E51" t="s">
        <v>131</v>
      </c>
      <c r="F51" s="3" t="s">
        <v>132</v>
      </c>
      <c r="G51" s="1">
        <v>45658</v>
      </c>
      <c r="H51" s="1">
        <v>45744</v>
      </c>
      <c r="I51" t="s">
        <v>15</v>
      </c>
      <c r="J51" t="s">
        <v>75</v>
      </c>
      <c r="K51" s="2">
        <v>413</v>
      </c>
    </row>
    <row r="52" spans="1:11" x14ac:dyDescent="0.25">
      <c r="A52" t="s">
        <v>72</v>
      </c>
      <c r="C52">
        <v>16202925</v>
      </c>
      <c r="D52" t="s">
        <v>133</v>
      </c>
      <c r="E52" t="s">
        <v>134</v>
      </c>
      <c r="F52" s="3" t="s">
        <v>135</v>
      </c>
      <c r="G52" s="1">
        <v>45658</v>
      </c>
      <c r="H52" s="1">
        <v>45744</v>
      </c>
      <c r="I52" t="s">
        <v>15</v>
      </c>
      <c r="J52" t="s">
        <v>75</v>
      </c>
      <c r="K52" s="2">
        <v>413</v>
      </c>
    </row>
    <row r="53" spans="1:11" x14ac:dyDescent="0.25">
      <c r="A53" t="s">
        <v>72</v>
      </c>
      <c r="C53">
        <v>16202925</v>
      </c>
      <c r="D53" t="s">
        <v>136</v>
      </c>
      <c r="E53" t="s">
        <v>87</v>
      </c>
      <c r="F53" s="3" t="s">
        <v>137</v>
      </c>
      <c r="G53" s="1">
        <v>45658</v>
      </c>
      <c r="H53" s="1">
        <v>45744</v>
      </c>
      <c r="I53" t="s">
        <v>15</v>
      </c>
      <c r="J53" t="s">
        <v>75</v>
      </c>
      <c r="K53" s="2">
        <v>413</v>
      </c>
    </row>
    <row r="54" spans="1:11" x14ac:dyDescent="0.25">
      <c r="A54" t="s">
        <v>72</v>
      </c>
      <c r="C54">
        <v>16202925</v>
      </c>
      <c r="D54" t="s">
        <v>138</v>
      </c>
      <c r="E54" t="s">
        <v>139</v>
      </c>
      <c r="F54" s="3" t="s">
        <v>140</v>
      </c>
      <c r="G54" s="1">
        <v>45658</v>
      </c>
      <c r="H54" s="1">
        <v>45744</v>
      </c>
      <c r="I54" t="s">
        <v>15</v>
      </c>
      <c r="J54" t="s">
        <v>75</v>
      </c>
      <c r="K54" s="2">
        <v>413</v>
      </c>
    </row>
    <row r="55" spans="1:11" x14ac:dyDescent="0.25">
      <c r="A55" t="s">
        <v>11</v>
      </c>
      <c r="C55">
        <v>5442438</v>
      </c>
      <c r="D55" t="s">
        <v>141</v>
      </c>
      <c r="E55" t="s">
        <v>142</v>
      </c>
      <c r="F55" s="3">
        <v>900481888</v>
      </c>
      <c r="G55" s="1">
        <v>45689</v>
      </c>
      <c r="H55" s="1">
        <v>45744</v>
      </c>
      <c r="I55" t="s">
        <v>15</v>
      </c>
      <c r="J55" t="s">
        <v>16</v>
      </c>
      <c r="K55" s="2">
        <v>100</v>
      </c>
    </row>
    <row r="56" spans="1:11" x14ac:dyDescent="0.25">
      <c r="A56" t="s">
        <v>11</v>
      </c>
      <c r="C56">
        <v>5442438</v>
      </c>
      <c r="D56" t="s">
        <v>143</v>
      </c>
      <c r="E56" t="s">
        <v>144</v>
      </c>
      <c r="F56" s="3">
        <v>927618442</v>
      </c>
      <c r="G56" s="1">
        <v>45689</v>
      </c>
      <c r="H56" s="1">
        <v>45744</v>
      </c>
      <c r="I56" t="s">
        <v>15</v>
      </c>
      <c r="J56" t="s">
        <v>16</v>
      </c>
      <c r="K56" s="2">
        <v>100</v>
      </c>
    </row>
    <row r="57" spans="1:11" x14ac:dyDescent="0.25">
      <c r="A57" t="s">
        <v>11</v>
      </c>
      <c r="C57">
        <v>5442438</v>
      </c>
      <c r="D57" t="s">
        <v>141</v>
      </c>
      <c r="E57" t="s">
        <v>142</v>
      </c>
      <c r="F57" s="3">
        <v>900481888</v>
      </c>
      <c r="G57" s="1">
        <v>45689</v>
      </c>
      <c r="H57" s="1">
        <v>45744</v>
      </c>
      <c r="I57" t="s">
        <v>15</v>
      </c>
      <c r="J57" t="s">
        <v>145</v>
      </c>
      <c r="K57" s="2">
        <v>286.91000000000003</v>
      </c>
    </row>
    <row r="58" spans="1:11" x14ac:dyDescent="0.25">
      <c r="A58" t="s">
        <v>11</v>
      </c>
      <c r="C58">
        <v>5442438</v>
      </c>
      <c r="D58" t="s">
        <v>143</v>
      </c>
      <c r="E58" t="s">
        <v>144</v>
      </c>
      <c r="F58" s="3">
        <v>927618442</v>
      </c>
      <c r="G58" s="1">
        <v>45689</v>
      </c>
      <c r="H58" s="1">
        <v>45744</v>
      </c>
      <c r="I58" t="s">
        <v>15</v>
      </c>
      <c r="J58" t="s">
        <v>145</v>
      </c>
      <c r="K58" s="2">
        <v>286.91000000000003</v>
      </c>
    </row>
    <row r="59" spans="1:11" x14ac:dyDescent="0.25">
      <c r="A59" t="s">
        <v>72</v>
      </c>
      <c r="C59">
        <v>16202925</v>
      </c>
      <c r="D59" t="s">
        <v>146</v>
      </c>
      <c r="E59" t="s">
        <v>147</v>
      </c>
      <c r="F59" s="3">
        <v>904427090</v>
      </c>
      <c r="G59" s="1">
        <v>45689</v>
      </c>
      <c r="H59" s="1">
        <v>45744</v>
      </c>
      <c r="I59" t="s">
        <v>15</v>
      </c>
      <c r="J59" t="s">
        <v>79</v>
      </c>
      <c r="K59" s="2">
        <v>726</v>
      </c>
    </row>
    <row r="60" spans="1:11" x14ac:dyDescent="0.25">
      <c r="A60" t="s">
        <v>72</v>
      </c>
      <c r="C60">
        <v>16202925</v>
      </c>
      <c r="D60" t="s">
        <v>148</v>
      </c>
      <c r="E60" t="s">
        <v>149</v>
      </c>
      <c r="F60" s="3">
        <v>919944932</v>
      </c>
      <c r="G60" s="1">
        <v>45689</v>
      </c>
      <c r="H60" s="1">
        <v>45744</v>
      </c>
      <c r="I60" t="s">
        <v>15</v>
      </c>
      <c r="J60" t="s">
        <v>79</v>
      </c>
      <c r="K60" s="2">
        <v>726</v>
      </c>
    </row>
    <row r="61" spans="1:11" x14ac:dyDescent="0.25">
      <c r="A61" t="s">
        <v>72</v>
      </c>
      <c r="C61">
        <v>16202925</v>
      </c>
      <c r="D61" t="s">
        <v>150</v>
      </c>
      <c r="E61" t="s">
        <v>112</v>
      </c>
      <c r="F61" s="3">
        <v>928103752</v>
      </c>
      <c r="G61" s="1">
        <v>45689</v>
      </c>
      <c r="H61" s="1">
        <v>45744</v>
      </c>
      <c r="I61" t="s">
        <v>15</v>
      </c>
      <c r="J61" t="s">
        <v>79</v>
      </c>
      <c r="K61" s="2">
        <v>726</v>
      </c>
    </row>
    <row r="62" spans="1:11" x14ac:dyDescent="0.25">
      <c r="A62" t="s">
        <v>11</v>
      </c>
      <c r="C62">
        <v>5442438</v>
      </c>
      <c r="D62" t="s">
        <v>141</v>
      </c>
      <c r="E62" t="s">
        <v>142</v>
      </c>
      <c r="F62" s="3">
        <v>900481888</v>
      </c>
      <c r="G62" s="1">
        <v>45689</v>
      </c>
      <c r="H62" s="1">
        <v>45744</v>
      </c>
      <c r="I62" t="s">
        <v>15</v>
      </c>
      <c r="J62" t="s">
        <v>151</v>
      </c>
      <c r="K62" s="2">
        <v>339.08</v>
      </c>
    </row>
    <row r="63" spans="1:11" x14ac:dyDescent="0.25">
      <c r="A63" t="s">
        <v>11</v>
      </c>
      <c r="C63">
        <v>5442438</v>
      </c>
      <c r="D63" t="s">
        <v>143</v>
      </c>
      <c r="E63" t="s">
        <v>144</v>
      </c>
      <c r="F63" s="3">
        <v>927618442</v>
      </c>
      <c r="G63" s="1">
        <v>45689</v>
      </c>
      <c r="H63" s="1">
        <v>45744</v>
      </c>
      <c r="I63" t="s">
        <v>15</v>
      </c>
      <c r="J63" t="s">
        <v>151</v>
      </c>
      <c r="K63" s="2">
        <v>339.08</v>
      </c>
    </row>
    <row r="64" spans="1:11" x14ac:dyDescent="0.25">
      <c r="A64" t="s">
        <v>11</v>
      </c>
      <c r="C64">
        <v>5442438</v>
      </c>
      <c r="D64" t="s">
        <v>122</v>
      </c>
      <c r="E64" t="s">
        <v>152</v>
      </c>
      <c r="F64" s="3" t="s">
        <v>153</v>
      </c>
      <c r="G64" s="1">
        <v>45717</v>
      </c>
      <c r="H64" s="1">
        <v>45744</v>
      </c>
      <c r="I64" t="s">
        <v>15</v>
      </c>
      <c r="J64" t="s">
        <v>16</v>
      </c>
      <c r="K64" s="2">
        <v>100</v>
      </c>
    </row>
    <row r="65" spans="1:11" x14ac:dyDescent="0.25">
      <c r="A65" t="s">
        <v>11</v>
      </c>
      <c r="C65">
        <v>5442438</v>
      </c>
      <c r="D65" t="s">
        <v>154</v>
      </c>
      <c r="E65" t="s">
        <v>48</v>
      </c>
      <c r="F65" s="3" t="s">
        <v>155</v>
      </c>
      <c r="G65" s="1">
        <v>45717</v>
      </c>
      <c r="H65" s="1">
        <v>45744</v>
      </c>
      <c r="I65" t="s">
        <v>15</v>
      </c>
      <c r="J65" t="s">
        <v>16</v>
      </c>
      <c r="K65" s="2">
        <v>100</v>
      </c>
    </row>
    <row r="66" spans="1:11" x14ac:dyDescent="0.25">
      <c r="A66" t="s">
        <v>156</v>
      </c>
      <c r="B66">
        <v>9079571</v>
      </c>
      <c r="C66">
        <v>9079571</v>
      </c>
      <c r="D66" t="s">
        <v>148</v>
      </c>
      <c r="E66" t="s">
        <v>157</v>
      </c>
      <c r="F66" s="3" t="s">
        <v>158</v>
      </c>
      <c r="G66" s="1">
        <v>45717</v>
      </c>
      <c r="H66" s="1">
        <v>45744</v>
      </c>
      <c r="I66" t="s">
        <v>15</v>
      </c>
      <c r="J66" t="s">
        <v>16</v>
      </c>
      <c r="K66" s="2">
        <v>100</v>
      </c>
    </row>
    <row r="67" spans="1:11" x14ac:dyDescent="0.25">
      <c r="A67" t="s">
        <v>156</v>
      </c>
      <c r="B67">
        <v>9079571</v>
      </c>
      <c r="C67">
        <v>9079571</v>
      </c>
      <c r="D67" t="s">
        <v>159</v>
      </c>
      <c r="E67" t="s">
        <v>160</v>
      </c>
      <c r="F67" s="3" t="s">
        <v>161</v>
      </c>
      <c r="G67" s="1">
        <v>45717</v>
      </c>
      <c r="H67" s="1">
        <v>45744</v>
      </c>
      <c r="I67" t="s">
        <v>15</v>
      </c>
      <c r="J67" t="s">
        <v>16</v>
      </c>
      <c r="K67" s="2">
        <v>100</v>
      </c>
    </row>
    <row r="68" spans="1:11" x14ac:dyDescent="0.25">
      <c r="A68" t="s">
        <v>11</v>
      </c>
      <c r="C68">
        <v>5442438</v>
      </c>
      <c r="D68" t="s">
        <v>154</v>
      </c>
      <c r="E68" t="s">
        <v>48</v>
      </c>
      <c r="F68" s="3" t="s">
        <v>162</v>
      </c>
      <c r="G68" s="1">
        <v>45717</v>
      </c>
      <c r="H68" s="1">
        <v>45744</v>
      </c>
      <c r="I68" t="s">
        <v>15</v>
      </c>
      <c r="J68" t="s">
        <v>163</v>
      </c>
      <c r="K68" s="2">
        <v>260.83</v>
      </c>
    </row>
    <row r="69" spans="1:11" x14ac:dyDescent="0.25">
      <c r="A69" t="s">
        <v>156</v>
      </c>
      <c r="B69">
        <v>9079571</v>
      </c>
      <c r="C69">
        <v>9079571</v>
      </c>
      <c r="D69" t="s">
        <v>148</v>
      </c>
      <c r="E69" t="s">
        <v>157</v>
      </c>
      <c r="F69" s="3" t="s">
        <v>164</v>
      </c>
      <c r="G69" s="1">
        <v>45717</v>
      </c>
      <c r="H69" s="1">
        <v>45744</v>
      </c>
      <c r="I69" t="s">
        <v>15</v>
      </c>
      <c r="J69" t="s">
        <v>163</v>
      </c>
      <c r="K69" s="2">
        <v>260.83</v>
      </c>
    </row>
    <row r="70" spans="1:11" x14ac:dyDescent="0.25">
      <c r="A70" t="s">
        <v>156</v>
      </c>
      <c r="B70">
        <v>9079571</v>
      </c>
      <c r="C70">
        <v>9079571</v>
      </c>
      <c r="D70" t="s">
        <v>159</v>
      </c>
      <c r="E70" t="s">
        <v>160</v>
      </c>
      <c r="F70" s="3" t="s">
        <v>165</v>
      </c>
      <c r="G70" s="1">
        <v>45717</v>
      </c>
      <c r="H70" s="1">
        <v>45744</v>
      </c>
      <c r="I70" t="s">
        <v>15</v>
      </c>
      <c r="J70" t="s">
        <v>163</v>
      </c>
      <c r="K70" s="2">
        <v>260.83</v>
      </c>
    </row>
    <row r="71" spans="1:11" x14ac:dyDescent="0.25">
      <c r="A71" t="s">
        <v>11</v>
      </c>
      <c r="C71">
        <v>5442438</v>
      </c>
      <c r="D71" t="s">
        <v>122</v>
      </c>
      <c r="E71" t="s">
        <v>152</v>
      </c>
      <c r="F71" s="3" t="s">
        <v>166</v>
      </c>
      <c r="G71" s="1">
        <v>45717</v>
      </c>
      <c r="H71" s="1">
        <v>45744</v>
      </c>
      <c r="I71" t="s">
        <v>15</v>
      </c>
      <c r="J71" t="s">
        <v>57</v>
      </c>
      <c r="K71" s="2">
        <v>626</v>
      </c>
    </row>
    <row r="72" spans="1:11" x14ac:dyDescent="0.25">
      <c r="A72" t="s">
        <v>156</v>
      </c>
      <c r="C72">
        <v>9079571</v>
      </c>
      <c r="D72" t="s">
        <v>148</v>
      </c>
      <c r="E72" t="s">
        <v>157</v>
      </c>
      <c r="G72" s="1">
        <v>45717</v>
      </c>
      <c r="H72" s="1">
        <v>45744</v>
      </c>
      <c r="I72" t="s">
        <v>15</v>
      </c>
      <c r="J72" t="s">
        <v>167</v>
      </c>
      <c r="K72" s="2">
        <v>100</v>
      </c>
    </row>
    <row r="73" spans="1:11" x14ac:dyDescent="0.25">
      <c r="A73" t="s">
        <v>156</v>
      </c>
      <c r="C73">
        <v>9079571</v>
      </c>
      <c r="D73" t="s">
        <v>159</v>
      </c>
      <c r="E73" t="s">
        <v>160</v>
      </c>
      <c r="G73" s="1">
        <v>45717</v>
      </c>
      <c r="H73" s="1">
        <v>45744</v>
      </c>
      <c r="I73" t="s">
        <v>15</v>
      </c>
      <c r="J73" t="s">
        <v>167</v>
      </c>
      <c r="K73" s="2">
        <v>100</v>
      </c>
    </row>
    <row r="74" spans="1:11" x14ac:dyDescent="0.25">
      <c r="A74" t="s">
        <v>72</v>
      </c>
      <c r="B74" t="s">
        <v>168</v>
      </c>
      <c r="C74">
        <v>16202925</v>
      </c>
      <c r="D74" t="s">
        <v>169</v>
      </c>
      <c r="E74" t="s">
        <v>170</v>
      </c>
      <c r="F74" s="3" t="s">
        <v>171</v>
      </c>
      <c r="G74" s="1">
        <v>45689</v>
      </c>
      <c r="H74" s="1">
        <v>45744</v>
      </c>
      <c r="I74" t="s">
        <v>172</v>
      </c>
      <c r="J74" t="s">
        <v>173</v>
      </c>
      <c r="K74" s="2">
        <v>726</v>
      </c>
    </row>
    <row r="75" spans="1:11" x14ac:dyDescent="0.25">
      <c r="A75" t="s">
        <v>72</v>
      </c>
      <c r="B75" t="s">
        <v>168</v>
      </c>
      <c r="C75">
        <v>16202925</v>
      </c>
      <c r="D75" t="s">
        <v>174</v>
      </c>
      <c r="E75" t="s">
        <v>175</v>
      </c>
      <c r="F75" s="3" t="s">
        <v>176</v>
      </c>
      <c r="G75" s="1">
        <v>45717</v>
      </c>
      <c r="H75" s="1">
        <v>45744</v>
      </c>
      <c r="I75" t="s">
        <v>172</v>
      </c>
      <c r="J75" t="s">
        <v>177</v>
      </c>
      <c r="K75" s="2">
        <v>360.83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FF2D-2F99-4AD0-8976-70561EF6170B}">
  <dimension ref="A1:O105"/>
  <sheetViews>
    <sheetView topLeftCell="C16" workbookViewId="0">
      <selection activeCell="J88" sqref="J88"/>
    </sheetView>
  </sheetViews>
  <sheetFormatPr defaultRowHeight="15" x14ac:dyDescent="0.25"/>
  <cols>
    <col min="1" max="1" width="17.7109375" style="4" bestFit="1" customWidth="1"/>
    <col min="2" max="2" width="10.7109375" style="4" bestFit="1" customWidth="1"/>
    <col min="3" max="3" width="11.42578125" style="4" bestFit="1" customWidth="1"/>
    <col min="4" max="4" width="13.140625" style="4" bestFit="1" customWidth="1"/>
    <col min="5" max="5" width="20.5703125" style="4" bestFit="1" customWidth="1"/>
    <col min="6" max="6" width="26.28515625" style="5" bestFit="1" customWidth="1"/>
    <col min="7" max="7" width="27.28515625" style="5" bestFit="1" customWidth="1"/>
    <col min="8" max="8" width="11.85546875" style="4" bestFit="1" customWidth="1"/>
    <col min="9" max="9" width="14.7109375" style="4" bestFit="1" customWidth="1"/>
    <col min="10" max="10" width="14" style="4" bestFit="1" customWidth="1"/>
    <col min="11" max="11" width="55.7109375" style="4" bestFit="1" customWidth="1"/>
    <col min="12" max="12" width="15.7109375" style="4" bestFit="1" customWidth="1"/>
    <col min="13" max="13" width="8.28515625" style="4" bestFit="1" customWidth="1"/>
    <col min="14" max="14" width="20.140625" style="4" bestFit="1" customWidth="1"/>
    <col min="15" max="15" width="24.140625" style="4" bestFit="1" customWidth="1"/>
    <col min="16" max="16384" width="9.140625" style="4"/>
  </cols>
  <sheetData>
    <row r="1" spans="1:15" x14ac:dyDescent="0.25">
      <c r="A1" s="4" t="s">
        <v>0</v>
      </c>
      <c r="B1" s="4" t="s">
        <v>2</v>
      </c>
      <c r="C1" s="4" t="s">
        <v>3</v>
      </c>
      <c r="D1" s="4" t="s">
        <v>4</v>
      </c>
      <c r="F1" s="5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5" x14ac:dyDescent="0.25">
      <c r="A2" s="4" t="s">
        <v>11</v>
      </c>
      <c r="B2" s="4">
        <v>5442438</v>
      </c>
      <c r="C2" s="4" t="s">
        <v>141</v>
      </c>
      <c r="D2" s="4" t="s">
        <v>142</v>
      </c>
      <c r="E2" s="4" t="str">
        <f t="shared" ref="E2:E33" si="0">CONCATENATE(C2, " ",D2)</f>
        <v>Mark Farrington</v>
      </c>
      <c r="F2" s="5">
        <v>900481888</v>
      </c>
      <c r="G2" s="5">
        <v>900481888</v>
      </c>
      <c r="H2" s="6">
        <v>45689</v>
      </c>
      <c r="I2" s="6">
        <v>45744</v>
      </c>
      <c r="J2" s="4" t="s">
        <v>15</v>
      </c>
      <c r="K2" s="4" t="s">
        <v>151</v>
      </c>
      <c r="L2" s="7">
        <v>339.08</v>
      </c>
      <c r="M2" s="7">
        <v>26.08</v>
      </c>
      <c r="N2" s="4" t="s">
        <v>179</v>
      </c>
      <c r="O2" s="4" t="s">
        <v>182</v>
      </c>
    </row>
    <row r="3" spans="1:15" x14ac:dyDescent="0.25">
      <c r="A3" s="4" t="s">
        <v>11</v>
      </c>
      <c r="B3" s="4">
        <v>5442438</v>
      </c>
      <c r="C3" s="4" t="s">
        <v>143</v>
      </c>
      <c r="D3" s="4" t="s">
        <v>144</v>
      </c>
      <c r="E3" s="4" t="str">
        <f t="shared" si="0"/>
        <v>Timothy Miskimon</v>
      </c>
      <c r="F3" s="5">
        <v>927618442</v>
      </c>
      <c r="G3" s="5">
        <v>927618442</v>
      </c>
      <c r="H3" s="6">
        <v>45689</v>
      </c>
      <c r="I3" s="6">
        <v>45744</v>
      </c>
      <c r="J3" s="4" t="s">
        <v>15</v>
      </c>
      <c r="K3" s="4" t="s">
        <v>151</v>
      </c>
      <c r="L3" s="7">
        <v>339.08</v>
      </c>
      <c r="M3" s="7">
        <v>26.08</v>
      </c>
      <c r="N3" s="4" t="s">
        <v>179</v>
      </c>
      <c r="O3" s="4" t="s">
        <v>182</v>
      </c>
    </row>
    <row r="4" spans="1:15" x14ac:dyDescent="0.25">
      <c r="A4" s="4" t="s">
        <v>178</v>
      </c>
      <c r="B4" s="4">
        <v>20411454</v>
      </c>
      <c r="C4" s="4" t="s">
        <v>12</v>
      </c>
      <c r="D4" s="4" t="s">
        <v>13</v>
      </c>
      <c r="E4" s="4" t="str">
        <f t="shared" si="0"/>
        <v>Anne Johnson</v>
      </c>
      <c r="F4" s="5" t="s">
        <v>14</v>
      </c>
      <c r="G4" s="5" t="str">
        <f>CONCATENATE(F4,1)</f>
        <v>CareFirstMA0131202502281</v>
      </c>
      <c r="H4" s="6">
        <v>45658</v>
      </c>
      <c r="I4" s="6">
        <v>45744</v>
      </c>
      <c r="J4" s="4" t="s">
        <v>15</v>
      </c>
      <c r="K4" s="4" t="s">
        <v>16</v>
      </c>
      <c r="L4" s="7">
        <v>100</v>
      </c>
      <c r="M4" s="7">
        <v>100</v>
      </c>
      <c r="N4" s="4" t="s">
        <v>180</v>
      </c>
    </row>
    <row r="5" spans="1:15" x14ac:dyDescent="0.25">
      <c r="A5" s="4" t="s">
        <v>178</v>
      </c>
      <c r="B5" s="4">
        <v>20411454</v>
      </c>
      <c r="C5" s="4" t="s">
        <v>17</v>
      </c>
      <c r="D5" s="4" t="s">
        <v>18</v>
      </c>
      <c r="E5" s="4" t="str">
        <f t="shared" si="0"/>
        <v>Christopher Malstrom</v>
      </c>
      <c r="F5" s="5" t="s">
        <v>19</v>
      </c>
      <c r="G5" s="5" t="str">
        <f t="shared" ref="G5:G53" si="1">CONCATENATE(F5,1)</f>
        <v>CareFirstMA0131202502291</v>
      </c>
      <c r="H5" s="6">
        <v>45658</v>
      </c>
      <c r="I5" s="6">
        <v>45744</v>
      </c>
      <c r="J5" s="4" t="s">
        <v>15</v>
      </c>
      <c r="K5" s="4" t="s">
        <v>16</v>
      </c>
      <c r="L5" s="7">
        <v>100</v>
      </c>
      <c r="M5" s="7">
        <v>100</v>
      </c>
      <c r="N5" s="4" t="s">
        <v>180</v>
      </c>
    </row>
    <row r="6" spans="1:15" x14ac:dyDescent="0.25">
      <c r="A6" s="4" t="s">
        <v>178</v>
      </c>
      <c r="B6" s="4">
        <v>20411454</v>
      </c>
      <c r="C6" s="4" t="s">
        <v>20</v>
      </c>
      <c r="D6" s="4" t="s">
        <v>21</v>
      </c>
      <c r="E6" s="4" t="str">
        <f t="shared" si="0"/>
        <v>Curtis Mclaughlin</v>
      </c>
      <c r="F6" s="5" t="s">
        <v>22</v>
      </c>
      <c r="G6" s="5" t="str">
        <f t="shared" si="1"/>
        <v>CareFirstMA0131202502301</v>
      </c>
      <c r="H6" s="6">
        <v>45658</v>
      </c>
      <c r="I6" s="6">
        <v>45744</v>
      </c>
      <c r="J6" s="4" t="s">
        <v>15</v>
      </c>
      <c r="K6" s="4" t="s">
        <v>16</v>
      </c>
      <c r="L6" s="7">
        <v>100</v>
      </c>
      <c r="M6" s="7">
        <v>100</v>
      </c>
      <c r="N6" s="4" t="s">
        <v>180</v>
      </c>
    </row>
    <row r="7" spans="1:15" x14ac:dyDescent="0.25">
      <c r="A7" s="4" t="s">
        <v>178</v>
      </c>
      <c r="B7" s="4">
        <v>20411454</v>
      </c>
      <c r="C7" s="4" t="s">
        <v>23</v>
      </c>
      <c r="D7" s="4" t="s">
        <v>24</v>
      </c>
      <c r="E7" s="4" t="str">
        <f t="shared" si="0"/>
        <v>Cynthia Hensley</v>
      </c>
      <c r="F7" s="5" t="s">
        <v>25</v>
      </c>
      <c r="G7" s="5" t="str">
        <f t="shared" si="1"/>
        <v>CareFirstMA0131202502311</v>
      </c>
      <c r="H7" s="6">
        <v>45658</v>
      </c>
      <c r="I7" s="6">
        <v>45744</v>
      </c>
      <c r="J7" s="4" t="s">
        <v>15</v>
      </c>
      <c r="K7" s="4" t="s">
        <v>16</v>
      </c>
      <c r="L7" s="7">
        <v>100</v>
      </c>
      <c r="M7" s="7">
        <v>100</v>
      </c>
      <c r="N7" s="4" t="s">
        <v>180</v>
      </c>
    </row>
    <row r="8" spans="1:15" x14ac:dyDescent="0.25">
      <c r="A8" s="4" t="s">
        <v>178</v>
      </c>
      <c r="B8" s="4">
        <v>20411454</v>
      </c>
      <c r="C8" s="4" t="s">
        <v>26</v>
      </c>
      <c r="D8" s="4" t="s">
        <v>27</v>
      </c>
      <c r="E8" s="4" t="str">
        <f t="shared" si="0"/>
        <v>Debra King</v>
      </c>
      <c r="F8" s="5" t="s">
        <v>28</v>
      </c>
      <c r="G8" s="5" t="str">
        <f t="shared" si="1"/>
        <v>CareFirstMA0131202502321</v>
      </c>
      <c r="H8" s="6">
        <v>45658</v>
      </c>
      <c r="I8" s="6">
        <v>45744</v>
      </c>
      <c r="J8" s="4" t="s">
        <v>15</v>
      </c>
      <c r="K8" s="4" t="s">
        <v>16</v>
      </c>
      <c r="L8" s="7">
        <v>100</v>
      </c>
      <c r="M8" s="7">
        <v>100</v>
      </c>
      <c r="N8" s="4" t="s">
        <v>180</v>
      </c>
    </row>
    <row r="9" spans="1:15" x14ac:dyDescent="0.25">
      <c r="A9" s="4" t="s">
        <v>178</v>
      </c>
      <c r="B9" s="4">
        <v>20411454</v>
      </c>
      <c r="C9" s="4" t="s">
        <v>29</v>
      </c>
      <c r="D9" s="4" t="s">
        <v>30</v>
      </c>
      <c r="E9" s="4" t="str">
        <f t="shared" si="0"/>
        <v>Donald Pistorio</v>
      </c>
      <c r="F9" s="5" t="s">
        <v>31</v>
      </c>
      <c r="G9" s="5" t="str">
        <f t="shared" si="1"/>
        <v>CareFirstMA0131202502331</v>
      </c>
      <c r="H9" s="6">
        <v>45658</v>
      </c>
      <c r="I9" s="6">
        <v>45744</v>
      </c>
      <c r="J9" s="4" t="s">
        <v>15</v>
      </c>
      <c r="K9" s="4" t="s">
        <v>16</v>
      </c>
      <c r="L9" s="7">
        <v>100</v>
      </c>
      <c r="M9" s="7">
        <v>100</v>
      </c>
      <c r="N9" s="4" t="s">
        <v>180</v>
      </c>
    </row>
    <row r="10" spans="1:15" x14ac:dyDescent="0.25">
      <c r="A10" s="4" t="s">
        <v>178</v>
      </c>
      <c r="B10" s="4">
        <v>20411454</v>
      </c>
      <c r="C10" s="4" t="s">
        <v>32</v>
      </c>
      <c r="D10" s="4" t="s">
        <v>33</v>
      </c>
      <c r="E10" s="4" t="str">
        <f t="shared" si="0"/>
        <v>Donna Chang</v>
      </c>
      <c r="F10" s="5" t="s">
        <v>34</v>
      </c>
      <c r="G10" s="5" t="str">
        <f t="shared" si="1"/>
        <v>CareFirstMA0131202502341</v>
      </c>
      <c r="H10" s="6">
        <v>45658</v>
      </c>
      <c r="I10" s="6">
        <v>45744</v>
      </c>
      <c r="J10" s="4" t="s">
        <v>15</v>
      </c>
      <c r="K10" s="4" t="s">
        <v>16</v>
      </c>
      <c r="L10" s="7">
        <v>100</v>
      </c>
      <c r="M10" s="7">
        <v>100</v>
      </c>
      <c r="N10" s="4" t="s">
        <v>180</v>
      </c>
    </row>
    <row r="11" spans="1:15" x14ac:dyDescent="0.25">
      <c r="A11" s="4" t="s">
        <v>178</v>
      </c>
      <c r="B11" s="4">
        <v>20411454</v>
      </c>
      <c r="C11" s="4" t="s">
        <v>35</v>
      </c>
      <c r="D11" s="4" t="s">
        <v>36</v>
      </c>
      <c r="E11" s="4" t="str">
        <f t="shared" si="0"/>
        <v>Gregory Arbutus</v>
      </c>
      <c r="F11" s="5" t="s">
        <v>37</v>
      </c>
      <c r="G11" s="5" t="str">
        <f t="shared" si="1"/>
        <v>CareFirstMA0131202502351</v>
      </c>
      <c r="H11" s="6">
        <v>45658</v>
      </c>
      <c r="I11" s="6">
        <v>45744</v>
      </c>
      <c r="J11" s="4" t="s">
        <v>15</v>
      </c>
      <c r="K11" s="4" t="s">
        <v>16</v>
      </c>
      <c r="L11" s="7">
        <v>100</v>
      </c>
      <c r="M11" s="7">
        <v>100</v>
      </c>
      <c r="N11" s="4" t="s">
        <v>180</v>
      </c>
    </row>
    <row r="12" spans="1:15" x14ac:dyDescent="0.25">
      <c r="A12" s="4" t="s">
        <v>178</v>
      </c>
      <c r="B12" s="4">
        <v>20411454</v>
      </c>
      <c r="C12" s="4" t="s">
        <v>38</v>
      </c>
      <c r="D12" s="4" t="s">
        <v>39</v>
      </c>
      <c r="E12" s="4" t="str">
        <f t="shared" si="0"/>
        <v>Jeannie Bartlett</v>
      </c>
      <c r="F12" s="5" t="s">
        <v>40</v>
      </c>
      <c r="G12" s="5" t="str">
        <f t="shared" si="1"/>
        <v>CareFirstMA0131202502361</v>
      </c>
      <c r="H12" s="6">
        <v>45658</v>
      </c>
      <c r="I12" s="6">
        <v>45744</v>
      </c>
      <c r="J12" s="4" t="s">
        <v>15</v>
      </c>
      <c r="K12" s="4" t="s">
        <v>16</v>
      </c>
      <c r="L12" s="7">
        <v>100</v>
      </c>
      <c r="M12" s="7">
        <v>100</v>
      </c>
      <c r="N12" s="4" t="s">
        <v>180</v>
      </c>
    </row>
    <row r="13" spans="1:15" x14ac:dyDescent="0.25">
      <c r="A13" s="4" t="s">
        <v>178</v>
      </c>
      <c r="B13" s="4">
        <v>20411454</v>
      </c>
      <c r="C13" s="4" t="s">
        <v>41</v>
      </c>
      <c r="D13" s="4" t="s">
        <v>42</v>
      </c>
      <c r="E13" s="4" t="str">
        <f t="shared" si="0"/>
        <v>Kathleen Leeds</v>
      </c>
      <c r="F13" s="5" t="s">
        <v>43</v>
      </c>
      <c r="G13" s="5" t="str">
        <f t="shared" si="1"/>
        <v>CareFirstMA0131202502371</v>
      </c>
      <c r="H13" s="6">
        <v>45658</v>
      </c>
      <c r="I13" s="6">
        <v>45744</v>
      </c>
      <c r="J13" s="4" t="s">
        <v>15</v>
      </c>
      <c r="K13" s="4" t="s">
        <v>16</v>
      </c>
      <c r="L13" s="7">
        <v>100</v>
      </c>
      <c r="M13" s="7">
        <v>100</v>
      </c>
      <c r="N13" s="4" t="s">
        <v>180</v>
      </c>
    </row>
    <row r="14" spans="1:15" x14ac:dyDescent="0.25">
      <c r="A14" s="4" t="s">
        <v>178</v>
      </c>
      <c r="B14" s="4">
        <v>20411454</v>
      </c>
      <c r="C14" s="4" t="s">
        <v>44</v>
      </c>
      <c r="D14" s="4" t="s">
        <v>45</v>
      </c>
      <c r="E14" s="4" t="str">
        <f t="shared" si="0"/>
        <v>Mary Baxter</v>
      </c>
      <c r="F14" s="5" t="s">
        <v>46</v>
      </c>
      <c r="G14" s="5" t="str">
        <f t="shared" si="1"/>
        <v>CareFirstMA0131202502381</v>
      </c>
      <c r="H14" s="6">
        <v>45658</v>
      </c>
      <c r="I14" s="6">
        <v>45744</v>
      </c>
      <c r="J14" s="4" t="s">
        <v>15</v>
      </c>
      <c r="K14" s="4" t="s">
        <v>16</v>
      </c>
      <c r="L14" s="7">
        <v>100</v>
      </c>
      <c r="M14" s="7">
        <v>100</v>
      </c>
      <c r="N14" s="4" t="s">
        <v>180</v>
      </c>
    </row>
    <row r="15" spans="1:15" x14ac:dyDescent="0.25">
      <c r="A15" s="4" t="s">
        <v>178</v>
      </c>
      <c r="B15" s="4">
        <v>20411454</v>
      </c>
      <c r="C15" s="4" t="s">
        <v>47</v>
      </c>
      <c r="D15" s="4" t="s">
        <v>48</v>
      </c>
      <c r="E15" s="4" t="str">
        <f t="shared" si="0"/>
        <v>Paul Long</v>
      </c>
      <c r="F15" s="5" t="s">
        <v>49</v>
      </c>
      <c r="G15" s="5" t="str">
        <f t="shared" si="1"/>
        <v>CareFirstMA0131202502391</v>
      </c>
      <c r="H15" s="6">
        <v>45658</v>
      </c>
      <c r="I15" s="6">
        <v>45744</v>
      </c>
      <c r="J15" s="4" t="s">
        <v>15</v>
      </c>
      <c r="K15" s="4" t="s">
        <v>16</v>
      </c>
      <c r="L15" s="7">
        <v>100</v>
      </c>
      <c r="M15" s="7">
        <v>100</v>
      </c>
      <c r="N15" s="4" t="s">
        <v>180</v>
      </c>
    </row>
    <row r="16" spans="1:15" x14ac:dyDescent="0.25">
      <c r="A16" s="4" t="s">
        <v>178</v>
      </c>
      <c r="B16" s="4">
        <v>20411454</v>
      </c>
      <c r="C16" s="4" t="s">
        <v>50</v>
      </c>
      <c r="D16" s="4" t="s">
        <v>51</v>
      </c>
      <c r="E16" s="4" t="str">
        <f t="shared" si="0"/>
        <v>Paula Gieron</v>
      </c>
      <c r="F16" s="5" t="s">
        <v>52</v>
      </c>
      <c r="G16" s="5" t="str">
        <f t="shared" si="1"/>
        <v>CareFirstMA0131202502401</v>
      </c>
      <c r="H16" s="6">
        <v>45658</v>
      </c>
      <c r="I16" s="6">
        <v>45744</v>
      </c>
      <c r="J16" s="4" t="s">
        <v>15</v>
      </c>
      <c r="K16" s="4" t="s">
        <v>16</v>
      </c>
      <c r="L16" s="7">
        <v>100</v>
      </c>
      <c r="M16" s="7">
        <v>100</v>
      </c>
      <c r="N16" s="4" t="s">
        <v>180</v>
      </c>
    </row>
    <row r="17" spans="1:14" x14ac:dyDescent="0.25">
      <c r="A17" s="4" t="s">
        <v>178</v>
      </c>
      <c r="B17" s="4">
        <v>20411454</v>
      </c>
      <c r="C17" s="4" t="s">
        <v>53</v>
      </c>
      <c r="D17" s="4" t="s">
        <v>54</v>
      </c>
      <c r="E17" s="4" t="str">
        <f t="shared" si="0"/>
        <v>Wanda Paduano</v>
      </c>
      <c r="F17" s="5" t="s">
        <v>55</v>
      </c>
      <c r="G17" s="5" t="str">
        <f t="shared" si="1"/>
        <v>CareFirstMA0131202502411</v>
      </c>
      <c r="H17" s="6">
        <v>45658</v>
      </c>
      <c r="I17" s="6">
        <v>45744</v>
      </c>
      <c r="J17" s="4" t="s">
        <v>15</v>
      </c>
      <c r="K17" s="4" t="s">
        <v>16</v>
      </c>
      <c r="L17" s="7">
        <v>100</v>
      </c>
      <c r="M17" s="7">
        <v>100</v>
      </c>
      <c r="N17" s="4" t="s">
        <v>180</v>
      </c>
    </row>
    <row r="18" spans="1:14" x14ac:dyDescent="0.25">
      <c r="A18" s="4" t="s">
        <v>178</v>
      </c>
      <c r="B18" s="4">
        <v>20411454</v>
      </c>
      <c r="C18" s="4" t="s">
        <v>141</v>
      </c>
      <c r="D18" s="4" t="s">
        <v>142</v>
      </c>
      <c r="E18" s="4" t="str">
        <f t="shared" si="0"/>
        <v>Mark Farrington</v>
      </c>
      <c r="F18" s="5">
        <v>900481888</v>
      </c>
      <c r="G18" s="5" t="str">
        <f t="shared" si="1"/>
        <v>9004818881</v>
      </c>
      <c r="H18" s="6">
        <v>45689</v>
      </c>
      <c r="I18" s="6">
        <v>45744</v>
      </c>
      <c r="J18" s="4" t="s">
        <v>15</v>
      </c>
      <c r="K18" s="4" t="s">
        <v>16</v>
      </c>
      <c r="L18" s="7">
        <v>100</v>
      </c>
      <c r="M18" s="7">
        <v>100</v>
      </c>
      <c r="N18" s="4" t="s">
        <v>180</v>
      </c>
    </row>
    <row r="19" spans="1:14" x14ac:dyDescent="0.25">
      <c r="A19" s="4" t="s">
        <v>178</v>
      </c>
      <c r="B19" s="4">
        <v>20411454</v>
      </c>
      <c r="C19" s="4" t="s">
        <v>143</v>
      </c>
      <c r="D19" s="4" t="s">
        <v>144</v>
      </c>
      <c r="E19" s="4" t="str">
        <f t="shared" si="0"/>
        <v>Timothy Miskimon</v>
      </c>
      <c r="F19" s="5">
        <v>927618442</v>
      </c>
      <c r="G19" s="5" t="str">
        <f t="shared" si="1"/>
        <v>9276184421</v>
      </c>
      <c r="H19" s="6">
        <v>45689</v>
      </c>
      <c r="I19" s="6">
        <v>45744</v>
      </c>
      <c r="J19" s="4" t="s">
        <v>15</v>
      </c>
      <c r="K19" s="4" t="s">
        <v>16</v>
      </c>
      <c r="L19" s="7">
        <v>100</v>
      </c>
      <c r="M19" s="7">
        <v>100</v>
      </c>
      <c r="N19" s="4" t="s">
        <v>180</v>
      </c>
    </row>
    <row r="20" spans="1:14" x14ac:dyDescent="0.25">
      <c r="A20" s="4" t="s">
        <v>178</v>
      </c>
      <c r="B20" s="4">
        <v>20411454</v>
      </c>
      <c r="C20" s="4" t="s">
        <v>122</v>
      </c>
      <c r="D20" s="4" t="s">
        <v>152</v>
      </c>
      <c r="E20" s="4" t="str">
        <f t="shared" si="0"/>
        <v>Sheila Robinson</v>
      </c>
      <c r="F20" s="5" t="s">
        <v>153</v>
      </c>
      <c r="G20" s="5" t="str">
        <f t="shared" si="1"/>
        <v>CareFirstMA0331202500601</v>
      </c>
      <c r="H20" s="6">
        <v>45717</v>
      </c>
      <c r="I20" s="6">
        <v>45744</v>
      </c>
      <c r="J20" s="4" t="s">
        <v>15</v>
      </c>
      <c r="K20" s="4" t="s">
        <v>16</v>
      </c>
      <c r="L20" s="7">
        <v>100</v>
      </c>
      <c r="M20" s="7">
        <v>100</v>
      </c>
      <c r="N20" s="4" t="s">
        <v>180</v>
      </c>
    </row>
    <row r="21" spans="1:14" x14ac:dyDescent="0.25">
      <c r="A21" s="4" t="s">
        <v>178</v>
      </c>
      <c r="B21" s="4">
        <v>20411454</v>
      </c>
      <c r="C21" s="4" t="s">
        <v>154</v>
      </c>
      <c r="D21" s="4" t="s">
        <v>48</v>
      </c>
      <c r="E21" s="4" t="str">
        <f t="shared" si="0"/>
        <v>Debora Long</v>
      </c>
      <c r="F21" s="5" t="s">
        <v>155</v>
      </c>
      <c r="G21" s="5" t="str">
        <f t="shared" si="1"/>
        <v>CareFirstMA0331202500611</v>
      </c>
      <c r="H21" s="6">
        <v>45717</v>
      </c>
      <c r="I21" s="6">
        <v>45744</v>
      </c>
      <c r="J21" s="4" t="s">
        <v>15</v>
      </c>
      <c r="K21" s="4" t="s">
        <v>16</v>
      </c>
      <c r="L21" s="7">
        <v>100</v>
      </c>
      <c r="M21" s="7">
        <v>100</v>
      </c>
      <c r="N21" s="4" t="s">
        <v>180</v>
      </c>
    </row>
    <row r="22" spans="1:14" x14ac:dyDescent="0.25">
      <c r="A22" s="4" t="s">
        <v>178</v>
      </c>
      <c r="B22" s="4">
        <v>20411454</v>
      </c>
      <c r="C22" s="4" t="s">
        <v>148</v>
      </c>
      <c r="D22" s="4" t="s">
        <v>157</v>
      </c>
      <c r="E22" s="4" t="str">
        <f t="shared" si="0"/>
        <v>Patricia Herrington</v>
      </c>
      <c r="F22" s="5" t="s">
        <v>158</v>
      </c>
      <c r="G22" s="5" t="str">
        <f t="shared" si="1"/>
        <v>CareFirstMA0331202500621</v>
      </c>
      <c r="H22" s="6">
        <v>45717</v>
      </c>
      <c r="I22" s="6">
        <v>45744</v>
      </c>
      <c r="J22" s="4" t="s">
        <v>15</v>
      </c>
      <c r="K22" s="4" t="s">
        <v>16</v>
      </c>
      <c r="L22" s="7">
        <v>100</v>
      </c>
      <c r="M22" s="7">
        <v>100</v>
      </c>
      <c r="N22" s="4" t="s">
        <v>180</v>
      </c>
    </row>
    <row r="23" spans="1:14" x14ac:dyDescent="0.25">
      <c r="A23" s="4" t="s">
        <v>178</v>
      </c>
      <c r="B23" s="4">
        <v>20411454</v>
      </c>
      <c r="C23" s="4" t="s">
        <v>159</v>
      </c>
      <c r="D23" s="4" t="s">
        <v>160</v>
      </c>
      <c r="E23" s="4" t="str">
        <f t="shared" si="0"/>
        <v>Scott Hunter</v>
      </c>
      <c r="F23" s="5" t="s">
        <v>161</v>
      </c>
      <c r="G23" s="5" t="str">
        <f t="shared" si="1"/>
        <v>CareFirstMA0331202500631</v>
      </c>
      <c r="H23" s="6">
        <v>45717</v>
      </c>
      <c r="I23" s="6">
        <v>45744</v>
      </c>
      <c r="J23" s="4" t="s">
        <v>15</v>
      </c>
      <c r="K23" s="4" t="s">
        <v>16</v>
      </c>
      <c r="L23" s="7">
        <v>100</v>
      </c>
      <c r="M23" s="7">
        <v>100</v>
      </c>
      <c r="N23" s="4" t="s">
        <v>180</v>
      </c>
    </row>
    <row r="24" spans="1:14" x14ac:dyDescent="0.25">
      <c r="A24" s="4" t="s">
        <v>178</v>
      </c>
      <c r="B24" s="4">
        <v>20411454</v>
      </c>
      <c r="C24" s="4" t="s">
        <v>174</v>
      </c>
      <c r="D24" s="4" t="s">
        <v>175</v>
      </c>
      <c r="E24" s="4" t="str">
        <f t="shared" si="0"/>
        <v>Denise Kinsey</v>
      </c>
      <c r="F24" s="5" t="s">
        <v>176</v>
      </c>
      <c r="G24" s="5" t="str">
        <f t="shared" si="1"/>
        <v>CareFirstDSNP033120250131</v>
      </c>
      <c r="H24" s="6">
        <v>45717</v>
      </c>
      <c r="I24" s="6">
        <v>45744</v>
      </c>
      <c r="J24" s="4" t="s">
        <v>172</v>
      </c>
      <c r="K24" s="4" t="s">
        <v>177</v>
      </c>
      <c r="L24" s="7">
        <v>360.83</v>
      </c>
      <c r="M24" s="7">
        <v>100</v>
      </c>
      <c r="N24" s="4" t="s">
        <v>180</v>
      </c>
    </row>
    <row r="25" spans="1:14" x14ac:dyDescent="0.25">
      <c r="A25" s="4" t="s">
        <v>178</v>
      </c>
      <c r="B25" s="4">
        <v>20411454</v>
      </c>
      <c r="C25" s="4" t="s">
        <v>73</v>
      </c>
      <c r="D25" s="4" t="s">
        <v>74</v>
      </c>
      <c r="E25" s="4" t="str">
        <f t="shared" si="0"/>
        <v>Deborah Lashinsky</v>
      </c>
      <c r="F25" s="5">
        <v>916462022</v>
      </c>
      <c r="G25" s="5" t="str">
        <f t="shared" si="1"/>
        <v>9164620221</v>
      </c>
      <c r="H25" s="6">
        <v>45658</v>
      </c>
      <c r="I25" s="6">
        <v>45744</v>
      </c>
      <c r="J25" s="4" t="s">
        <v>15</v>
      </c>
      <c r="K25" s="4" t="s">
        <v>75</v>
      </c>
      <c r="L25" s="7">
        <v>413</v>
      </c>
      <c r="M25" s="7">
        <v>100</v>
      </c>
      <c r="N25" s="4" t="s">
        <v>180</v>
      </c>
    </row>
    <row r="26" spans="1:14" x14ac:dyDescent="0.25">
      <c r="A26" s="4" t="s">
        <v>178</v>
      </c>
      <c r="B26" s="4">
        <v>20411454</v>
      </c>
      <c r="C26" s="4" t="s">
        <v>80</v>
      </c>
      <c r="D26" s="4" t="s">
        <v>81</v>
      </c>
      <c r="E26" s="4" t="str">
        <f t="shared" si="0"/>
        <v>Cheryl Harbaugh</v>
      </c>
      <c r="F26" s="5" t="s">
        <v>82</v>
      </c>
      <c r="G26" s="5" t="str">
        <f t="shared" si="1"/>
        <v>CareFirstMA0131202518721</v>
      </c>
      <c r="H26" s="6">
        <v>45658</v>
      </c>
      <c r="I26" s="6">
        <v>45744</v>
      </c>
      <c r="J26" s="4" t="s">
        <v>15</v>
      </c>
      <c r="K26" s="4" t="s">
        <v>75</v>
      </c>
      <c r="L26" s="7">
        <v>413</v>
      </c>
      <c r="M26" s="7">
        <v>100</v>
      </c>
      <c r="N26" s="4" t="s">
        <v>180</v>
      </c>
    </row>
    <row r="27" spans="1:14" x14ac:dyDescent="0.25">
      <c r="A27" s="4" t="s">
        <v>178</v>
      </c>
      <c r="B27" s="4">
        <v>20411454</v>
      </c>
      <c r="C27" s="4" t="s">
        <v>23</v>
      </c>
      <c r="D27" s="4" t="s">
        <v>83</v>
      </c>
      <c r="E27" s="4" t="str">
        <f t="shared" si="0"/>
        <v>Cynthia Dunn</v>
      </c>
      <c r="F27" s="5" t="s">
        <v>84</v>
      </c>
      <c r="G27" s="5" t="str">
        <f t="shared" si="1"/>
        <v>CareFirstMA0131202518731</v>
      </c>
      <c r="H27" s="6">
        <v>45658</v>
      </c>
      <c r="I27" s="6">
        <v>45744</v>
      </c>
      <c r="J27" s="4" t="s">
        <v>15</v>
      </c>
      <c r="K27" s="4" t="s">
        <v>75</v>
      </c>
      <c r="L27" s="7">
        <v>413</v>
      </c>
      <c r="M27" s="7">
        <v>100</v>
      </c>
      <c r="N27" s="4" t="s">
        <v>180</v>
      </c>
    </row>
    <row r="28" spans="1:14" x14ac:dyDescent="0.25">
      <c r="A28" s="4" t="s">
        <v>178</v>
      </c>
      <c r="B28" s="4">
        <v>20411454</v>
      </c>
      <c r="C28" s="4" t="s">
        <v>29</v>
      </c>
      <c r="D28" s="4" t="s">
        <v>87</v>
      </c>
      <c r="E28" s="4" t="str">
        <f t="shared" si="0"/>
        <v>Donald Almoney</v>
      </c>
      <c r="F28" s="5" t="s">
        <v>88</v>
      </c>
      <c r="G28" s="5" t="str">
        <f t="shared" si="1"/>
        <v>CareFirstMA0131202518751</v>
      </c>
      <c r="H28" s="6">
        <v>45658</v>
      </c>
      <c r="I28" s="6">
        <v>45744</v>
      </c>
      <c r="J28" s="4" t="s">
        <v>15</v>
      </c>
      <c r="K28" s="4" t="s">
        <v>75</v>
      </c>
      <c r="L28" s="7">
        <v>413</v>
      </c>
      <c r="M28" s="7">
        <v>100</v>
      </c>
      <c r="N28" s="4" t="s">
        <v>180</v>
      </c>
    </row>
    <row r="29" spans="1:14" x14ac:dyDescent="0.25">
      <c r="A29" s="4" t="s">
        <v>178</v>
      </c>
      <c r="B29" s="4">
        <v>20411454</v>
      </c>
      <c r="C29" s="4" t="s">
        <v>89</v>
      </c>
      <c r="D29" s="4" t="s">
        <v>90</v>
      </c>
      <c r="E29" s="4" t="str">
        <f t="shared" si="0"/>
        <v>Franklin Sass</v>
      </c>
      <c r="F29" s="5" t="s">
        <v>91</v>
      </c>
      <c r="G29" s="5" t="str">
        <f t="shared" si="1"/>
        <v>CareFirstMA0131202518761</v>
      </c>
      <c r="H29" s="6">
        <v>45658</v>
      </c>
      <c r="I29" s="6">
        <v>45744</v>
      </c>
      <c r="J29" s="4" t="s">
        <v>15</v>
      </c>
      <c r="K29" s="4" t="s">
        <v>75</v>
      </c>
      <c r="L29" s="7">
        <v>413</v>
      </c>
      <c r="M29" s="7">
        <v>100</v>
      </c>
      <c r="N29" s="4" t="s">
        <v>180</v>
      </c>
    </row>
    <row r="30" spans="1:14" x14ac:dyDescent="0.25">
      <c r="A30" s="4" t="s">
        <v>178</v>
      </c>
      <c r="B30" s="4">
        <v>20411454</v>
      </c>
      <c r="C30" s="4" t="s">
        <v>92</v>
      </c>
      <c r="D30" s="4" t="s">
        <v>93</v>
      </c>
      <c r="E30" s="4" t="str">
        <f t="shared" si="0"/>
        <v>George Shanholtz</v>
      </c>
      <c r="F30" s="5" t="s">
        <v>94</v>
      </c>
      <c r="G30" s="5" t="str">
        <f t="shared" si="1"/>
        <v>CareFirstMA0131202518771</v>
      </c>
      <c r="H30" s="6">
        <v>45658</v>
      </c>
      <c r="I30" s="6">
        <v>45744</v>
      </c>
      <c r="J30" s="4" t="s">
        <v>15</v>
      </c>
      <c r="K30" s="4" t="s">
        <v>75</v>
      </c>
      <c r="L30" s="7">
        <v>413</v>
      </c>
      <c r="M30" s="7">
        <v>100</v>
      </c>
      <c r="N30" s="4" t="s">
        <v>180</v>
      </c>
    </row>
    <row r="31" spans="1:14" x14ac:dyDescent="0.25">
      <c r="A31" s="4" t="s">
        <v>178</v>
      </c>
      <c r="B31" s="4">
        <v>20411454</v>
      </c>
      <c r="C31" s="4" t="s">
        <v>95</v>
      </c>
      <c r="D31" s="4" t="s">
        <v>96</v>
      </c>
      <c r="E31" s="4" t="str">
        <f t="shared" si="0"/>
        <v>Grace Thomas</v>
      </c>
      <c r="F31" s="5" t="s">
        <v>97</v>
      </c>
      <c r="G31" s="5" t="str">
        <f t="shared" si="1"/>
        <v>CareFirstMA0131202518781</v>
      </c>
      <c r="H31" s="6">
        <v>45658</v>
      </c>
      <c r="I31" s="6">
        <v>45744</v>
      </c>
      <c r="J31" s="4" t="s">
        <v>15</v>
      </c>
      <c r="K31" s="4" t="s">
        <v>75</v>
      </c>
      <c r="L31" s="7">
        <v>413</v>
      </c>
      <c r="M31" s="7">
        <v>100</v>
      </c>
      <c r="N31" s="4" t="s">
        <v>180</v>
      </c>
    </row>
    <row r="32" spans="1:14" x14ac:dyDescent="0.25">
      <c r="A32" s="4" t="s">
        <v>178</v>
      </c>
      <c r="B32" s="4">
        <v>20411454</v>
      </c>
      <c r="C32" s="4" t="s">
        <v>98</v>
      </c>
      <c r="D32" s="4" t="s">
        <v>99</v>
      </c>
      <c r="E32" s="4" t="str">
        <f t="shared" si="0"/>
        <v>Karen Crutchfield</v>
      </c>
      <c r="F32" s="5" t="s">
        <v>100</v>
      </c>
      <c r="G32" s="5" t="str">
        <f t="shared" si="1"/>
        <v>CareFirstMA0131202518791</v>
      </c>
      <c r="H32" s="6">
        <v>45658</v>
      </c>
      <c r="I32" s="6">
        <v>45744</v>
      </c>
      <c r="J32" s="4" t="s">
        <v>15</v>
      </c>
      <c r="K32" s="4" t="s">
        <v>75</v>
      </c>
      <c r="L32" s="7">
        <v>413</v>
      </c>
      <c r="M32" s="7">
        <v>100</v>
      </c>
      <c r="N32" s="4" t="s">
        <v>180</v>
      </c>
    </row>
    <row r="33" spans="1:14" x14ac:dyDescent="0.25">
      <c r="A33" s="4" t="s">
        <v>178</v>
      </c>
      <c r="B33" s="4">
        <v>20411454</v>
      </c>
      <c r="C33" s="4" t="s">
        <v>101</v>
      </c>
      <c r="D33" s="4" t="s">
        <v>102</v>
      </c>
      <c r="E33" s="4" t="str">
        <f t="shared" si="0"/>
        <v>Katherine Van De Wal</v>
      </c>
      <c r="F33" s="5" t="s">
        <v>103</v>
      </c>
      <c r="G33" s="5" t="str">
        <f t="shared" si="1"/>
        <v>CareFirstMA0131202518801</v>
      </c>
      <c r="H33" s="6">
        <v>45658</v>
      </c>
      <c r="I33" s="6">
        <v>45744</v>
      </c>
      <c r="J33" s="4" t="s">
        <v>15</v>
      </c>
      <c r="K33" s="4" t="s">
        <v>75</v>
      </c>
      <c r="L33" s="7">
        <v>413</v>
      </c>
      <c r="M33" s="7">
        <v>100</v>
      </c>
      <c r="N33" s="4" t="s">
        <v>180</v>
      </c>
    </row>
    <row r="34" spans="1:14" x14ac:dyDescent="0.25">
      <c r="A34" s="4" t="s">
        <v>178</v>
      </c>
      <c r="B34" s="4">
        <v>20411454</v>
      </c>
      <c r="C34" s="4" t="s">
        <v>44</v>
      </c>
      <c r="D34" s="4" t="s">
        <v>104</v>
      </c>
      <c r="E34" s="4" t="str">
        <f t="shared" ref="E34:E65" si="2">CONCATENATE(C34, " ",D34)</f>
        <v>Mary Rozario</v>
      </c>
      <c r="F34" s="5" t="s">
        <v>105</v>
      </c>
      <c r="G34" s="5" t="str">
        <f t="shared" si="1"/>
        <v>CareFirstMA0131202518811</v>
      </c>
      <c r="H34" s="6">
        <v>45658</v>
      </c>
      <c r="I34" s="6">
        <v>45744</v>
      </c>
      <c r="J34" s="4" t="s">
        <v>15</v>
      </c>
      <c r="K34" s="4" t="s">
        <v>75</v>
      </c>
      <c r="L34" s="7">
        <v>413</v>
      </c>
      <c r="M34" s="7">
        <v>100</v>
      </c>
      <c r="N34" s="4" t="s">
        <v>180</v>
      </c>
    </row>
    <row r="35" spans="1:14" x14ac:dyDescent="0.25">
      <c r="A35" s="4" t="s">
        <v>178</v>
      </c>
      <c r="B35" s="4">
        <v>20411454</v>
      </c>
      <c r="C35" s="4" t="s">
        <v>109</v>
      </c>
      <c r="D35" s="4" t="s">
        <v>77</v>
      </c>
      <c r="E35" s="4" t="str">
        <f t="shared" si="2"/>
        <v>Retha Dorsey</v>
      </c>
      <c r="F35" s="5" t="s">
        <v>110</v>
      </c>
      <c r="G35" s="5" t="str">
        <f t="shared" si="1"/>
        <v>CareFirstMA0131202518831</v>
      </c>
      <c r="H35" s="6">
        <v>45658</v>
      </c>
      <c r="I35" s="6">
        <v>45744</v>
      </c>
      <c r="J35" s="4" t="s">
        <v>15</v>
      </c>
      <c r="K35" s="4" t="s">
        <v>75</v>
      </c>
      <c r="L35" s="7">
        <v>413</v>
      </c>
      <c r="M35" s="7">
        <v>100</v>
      </c>
      <c r="N35" s="4" t="s">
        <v>180</v>
      </c>
    </row>
    <row r="36" spans="1:14" x14ac:dyDescent="0.25">
      <c r="A36" s="4" t="s">
        <v>178</v>
      </c>
      <c r="B36" s="4">
        <v>20411454</v>
      </c>
      <c r="C36" s="4" t="s">
        <v>111</v>
      </c>
      <c r="D36" s="4" t="s">
        <v>114</v>
      </c>
      <c r="E36" s="4" t="str">
        <f t="shared" si="2"/>
        <v>Robert Williams</v>
      </c>
      <c r="F36" s="5" t="s">
        <v>115</v>
      </c>
      <c r="G36" s="5" t="str">
        <f t="shared" si="1"/>
        <v>CareFirstMA0131202518851</v>
      </c>
      <c r="H36" s="6">
        <v>45658</v>
      </c>
      <c r="I36" s="6">
        <v>45744</v>
      </c>
      <c r="J36" s="4" t="s">
        <v>15</v>
      </c>
      <c r="K36" s="4" t="s">
        <v>75</v>
      </c>
      <c r="L36" s="7">
        <v>413</v>
      </c>
      <c r="M36" s="7">
        <v>100</v>
      </c>
      <c r="N36" s="4" t="s">
        <v>180</v>
      </c>
    </row>
    <row r="37" spans="1:14" x14ac:dyDescent="0.25">
      <c r="A37" s="4" t="s">
        <v>178</v>
      </c>
      <c r="B37" s="4">
        <v>20411454</v>
      </c>
      <c r="C37" s="4" t="s">
        <v>116</v>
      </c>
      <c r="D37" s="4" t="s">
        <v>117</v>
      </c>
      <c r="E37" s="4" t="str">
        <f t="shared" si="2"/>
        <v>Salona Bensonewing</v>
      </c>
      <c r="F37" s="5" t="s">
        <v>118</v>
      </c>
      <c r="G37" s="5" t="str">
        <f t="shared" si="1"/>
        <v>CareFirstMA0131202518861</v>
      </c>
      <c r="H37" s="6">
        <v>45658</v>
      </c>
      <c r="I37" s="6">
        <v>45744</v>
      </c>
      <c r="J37" s="4" t="s">
        <v>15</v>
      </c>
      <c r="K37" s="4" t="s">
        <v>75</v>
      </c>
      <c r="L37" s="7">
        <v>413</v>
      </c>
      <c r="M37" s="7">
        <v>100</v>
      </c>
      <c r="N37" s="4" t="s">
        <v>180</v>
      </c>
    </row>
    <row r="38" spans="1:14" x14ac:dyDescent="0.25">
      <c r="A38" s="4" t="s">
        <v>178</v>
      </c>
      <c r="B38" s="4">
        <v>20411454</v>
      </c>
      <c r="C38" s="4" t="s">
        <v>119</v>
      </c>
      <c r="D38" s="4" t="s">
        <v>120</v>
      </c>
      <c r="E38" s="4" t="str">
        <f t="shared" si="2"/>
        <v>Sarah Morris</v>
      </c>
      <c r="F38" s="5" t="s">
        <v>121</v>
      </c>
      <c r="G38" s="5" t="str">
        <f t="shared" si="1"/>
        <v>CareFirstMA0131202518871</v>
      </c>
      <c r="H38" s="6">
        <v>45658</v>
      </c>
      <c r="I38" s="6">
        <v>45744</v>
      </c>
      <c r="J38" s="4" t="s">
        <v>15</v>
      </c>
      <c r="K38" s="4" t="s">
        <v>75</v>
      </c>
      <c r="L38" s="7">
        <v>413</v>
      </c>
      <c r="M38" s="7">
        <v>100</v>
      </c>
      <c r="N38" s="4" t="s">
        <v>180</v>
      </c>
    </row>
    <row r="39" spans="1:14" x14ac:dyDescent="0.25">
      <c r="A39" s="4" t="s">
        <v>178</v>
      </c>
      <c r="B39" s="4">
        <v>20411454</v>
      </c>
      <c r="C39" s="4" t="s">
        <v>122</v>
      </c>
      <c r="D39" s="4" t="s">
        <v>123</v>
      </c>
      <c r="E39" s="4" t="str">
        <f t="shared" si="2"/>
        <v>Sheila Billups</v>
      </c>
      <c r="F39" s="5" t="s">
        <v>124</v>
      </c>
      <c r="G39" s="5" t="str">
        <f t="shared" si="1"/>
        <v>CareFirstMA0131202518881</v>
      </c>
      <c r="H39" s="6">
        <v>45658</v>
      </c>
      <c r="I39" s="6">
        <v>45744</v>
      </c>
      <c r="J39" s="4" t="s">
        <v>15</v>
      </c>
      <c r="K39" s="4" t="s">
        <v>75</v>
      </c>
      <c r="L39" s="7">
        <v>413</v>
      </c>
      <c r="M39" s="7">
        <v>100</v>
      </c>
      <c r="N39" s="4" t="s">
        <v>180</v>
      </c>
    </row>
    <row r="40" spans="1:14" x14ac:dyDescent="0.25">
      <c r="A40" s="4" t="s">
        <v>178</v>
      </c>
      <c r="B40" s="4">
        <v>20411454</v>
      </c>
      <c r="C40" s="4" t="s">
        <v>125</v>
      </c>
      <c r="D40" s="4" t="s">
        <v>126</v>
      </c>
      <c r="E40" s="4" t="str">
        <f t="shared" si="2"/>
        <v>Steven Argabright</v>
      </c>
      <c r="F40" s="5" t="s">
        <v>127</v>
      </c>
      <c r="G40" s="5" t="str">
        <f t="shared" si="1"/>
        <v>CareFirstMA0131202518891</v>
      </c>
      <c r="H40" s="6">
        <v>45658</v>
      </c>
      <c r="I40" s="6">
        <v>45744</v>
      </c>
      <c r="J40" s="4" t="s">
        <v>15</v>
      </c>
      <c r="K40" s="4" t="s">
        <v>75</v>
      </c>
      <c r="L40" s="7">
        <v>413</v>
      </c>
      <c r="M40" s="7">
        <v>100</v>
      </c>
      <c r="N40" s="4" t="s">
        <v>180</v>
      </c>
    </row>
    <row r="41" spans="1:14" x14ac:dyDescent="0.25">
      <c r="A41" s="4" t="s">
        <v>178</v>
      </c>
      <c r="B41" s="4">
        <v>20411454</v>
      </c>
      <c r="C41" s="4" t="s">
        <v>128</v>
      </c>
      <c r="D41" s="4" t="s">
        <v>104</v>
      </c>
      <c r="E41" s="4" t="str">
        <f t="shared" si="2"/>
        <v>Sukumar Rozario</v>
      </c>
      <c r="F41" s="5" t="s">
        <v>129</v>
      </c>
      <c r="G41" s="5" t="str">
        <f t="shared" si="1"/>
        <v>CareFirstMA0131202518901</v>
      </c>
      <c r="H41" s="6">
        <v>45658</v>
      </c>
      <c r="I41" s="6">
        <v>45744</v>
      </c>
      <c r="J41" s="4" t="s">
        <v>15</v>
      </c>
      <c r="K41" s="4" t="s">
        <v>75</v>
      </c>
      <c r="L41" s="7">
        <v>413</v>
      </c>
      <c r="M41" s="7">
        <v>100</v>
      </c>
      <c r="N41" s="4" t="s">
        <v>180</v>
      </c>
    </row>
    <row r="42" spans="1:14" x14ac:dyDescent="0.25">
      <c r="A42" s="4" t="s">
        <v>178</v>
      </c>
      <c r="B42" s="4">
        <v>20411454</v>
      </c>
      <c r="C42" s="4" t="s">
        <v>130</v>
      </c>
      <c r="D42" s="4" t="s">
        <v>131</v>
      </c>
      <c r="E42" s="4" t="str">
        <f t="shared" si="2"/>
        <v>Susan Killeen</v>
      </c>
      <c r="F42" s="5" t="s">
        <v>132</v>
      </c>
      <c r="G42" s="5" t="str">
        <f t="shared" si="1"/>
        <v>CareFirstMA0131202518911</v>
      </c>
      <c r="H42" s="6">
        <v>45658</v>
      </c>
      <c r="I42" s="6">
        <v>45744</v>
      </c>
      <c r="J42" s="4" t="s">
        <v>15</v>
      </c>
      <c r="K42" s="4" t="s">
        <v>75</v>
      </c>
      <c r="L42" s="7">
        <v>413</v>
      </c>
      <c r="M42" s="7">
        <v>100</v>
      </c>
      <c r="N42" s="4" t="s">
        <v>180</v>
      </c>
    </row>
    <row r="43" spans="1:14" x14ac:dyDescent="0.25">
      <c r="A43" s="4" t="s">
        <v>178</v>
      </c>
      <c r="B43" s="4">
        <v>20411454</v>
      </c>
      <c r="C43" s="4" t="s">
        <v>133</v>
      </c>
      <c r="D43" s="4" t="s">
        <v>134</v>
      </c>
      <c r="E43" s="4" t="str">
        <f t="shared" si="2"/>
        <v>Terry Stanholtz</v>
      </c>
      <c r="F43" s="5" t="s">
        <v>135</v>
      </c>
      <c r="G43" s="5" t="str">
        <f t="shared" si="1"/>
        <v>CareFirstMA0131202518921</v>
      </c>
      <c r="H43" s="6">
        <v>45658</v>
      </c>
      <c r="I43" s="6">
        <v>45744</v>
      </c>
      <c r="J43" s="4" t="s">
        <v>15</v>
      </c>
      <c r="K43" s="4" t="s">
        <v>75</v>
      </c>
      <c r="L43" s="7">
        <v>413</v>
      </c>
      <c r="M43" s="7">
        <v>100</v>
      </c>
      <c r="N43" s="4" t="s">
        <v>180</v>
      </c>
    </row>
    <row r="44" spans="1:14" x14ac:dyDescent="0.25">
      <c r="A44" s="4" t="s">
        <v>178</v>
      </c>
      <c r="B44" s="4">
        <v>20411454</v>
      </c>
      <c r="C44" s="4" t="s">
        <v>136</v>
      </c>
      <c r="D44" s="4" t="s">
        <v>87</v>
      </c>
      <c r="E44" s="4" t="str">
        <f t="shared" si="2"/>
        <v>Thelma Almoney</v>
      </c>
      <c r="F44" s="5" t="s">
        <v>137</v>
      </c>
      <c r="G44" s="5" t="str">
        <f t="shared" si="1"/>
        <v>CareFirstMA0131202518931</v>
      </c>
      <c r="H44" s="6">
        <v>45658</v>
      </c>
      <c r="I44" s="6">
        <v>45744</v>
      </c>
      <c r="J44" s="4" t="s">
        <v>15</v>
      </c>
      <c r="K44" s="4" t="s">
        <v>75</v>
      </c>
      <c r="L44" s="7">
        <v>413</v>
      </c>
      <c r="M44" s="7">
        <v>100</v>
      </c>
      <c r="N44" s="4" t="s">
        <v>180</v>
      </c>
    </row>
    <row r="45" spans="1:14" x14ac:dyDescent="0.25">
      <c r="A45" s="4" t="s">
        <v>178</v>
      </c>
      <c r="B45" s="4">
        <v>20411454</v>
      </c>
      <c r="C45" s="4" t="s">
        <v>138</v>
      </c>
      <c r="D45" s="4" t="s">
        <v>139</v>
      </c>
      <c r="E45" s="4" t="str">
        <f t="shared" si="2"/>
        <v>Victoria Jasinski</v>
      </c>
      <c r="F45" s="5" t="s">
        <v>140</v>
      </c>
      <c r="G45" s="5" t="str">
        <f t="shared" si="1"/>
        <v>CareFirstMA0131202518941</v>
      </c>
      <c r="H45" s="6">
        <v>45658</v>
      </c>
      <c r="I45" s="6">
        <v>45744</v>
      </c>
      <c r="J45" s="4" t="s">
        <v>15</v>
      </c>
      <c r="K45" s="4" t="s">
        <v>75</v>
      </c>
      <c r="L45" s="7">
        <v>413</v>
      </c>
      <c r="M45" s="7">
        <v>100</v>
      </c>
      <c r="N45" s="4" t="s">
        <v>180</v>
      </c>
    </row>
    <row r="46" spans="1:14" x14ac:dyDescent="0.25">
      <c r="A46" s="4" t="s">
        <v>178</v>
      </c>
      <c r="B46" s="4">
        <v>20411454</v>
      </c>
      <c r="C46" s="4" t="s">
        <v>76</v>
      </c>
      <c r="D46" s="4" t="s">
        <v>77</v>
      </c>
      <c r="E46" s="4" t="str">
        <f t="shared" si="2"/>
        <v>Barbara Dorsey</v>
      </c>
      <c r="F46" s="5" t="s">
        <v>78</v>
      </c>
      <c r="G46" s="5" t="str">
        <f t="shared" si="1"/>
        <v>CareFirstMA0131202518711</v>
      </c>
      <c r="H46" s="6">
        <v>45658</v>
      </c>
      <c r="I46" s="6">
        <v>45744</v>
      </c>
      <c r="J46" s="4" t="s">
        <v>15</v>
      </c>
      <c r="K46" s="4" t="s">
        <v>79</v>
      </c>
      <c r="L46" s="7">
        <v>726</v>
      </c>
      <c r="M46" s="7">
        <v>100</v>
      </c>
      <c r="N46" s="4" t="s">
        <v>180</v>
      </c>
    </row>
    <row r="47" spans="1:14" x14ac:dyDescent="0.25">
      <c r="A47" s="4" t="s">
        <v>178</v>
      </c>
      <c r="B47" s="4">
        <v>20411454</v>
      </c>
      <c r="C47" s="4" t="s">
        <v>26</v>
      </c>
      <c r="D47" s="4" t="s">
        <v>85</v>
      </c>
      <c r="E47" s="4" t="str">
        <f t="shared" si="2"/>
        <v>Debra Singley</v>
      </c>
      <c r="F47" s="5" t="s">
        <v>86</v>
      </c>
      <c r="G47" s="5" t="str">
        <f t="shared" si="1"/>
        <v>CareFirstMA0131202518741</v>
      </c>
      <c r="H47" s="6">
        <v>45658</v>
      </c>
      <c r="I47" s="6">
        <v>45744</v>
      </c>
      <c r="J47" s="4" t="s">
        <v>15</v>
      </c>
      <c r="K47" s="4" t="s">
        <v>79</v>
      </c>
      <c r="L47" s="7">
        <v>726</v>
      </c>
      <c r="M47" s="7">
        <v>100</v>
      </c>
      <c r="N47" s="4" t="s">
        <v>180</v>
      </c>
    </row>
    <row r="48" spans="1:14" x14ac:dyDescent="0.25">
      <c r="A48" s="4" t="s">
        <v>178</v>
      </c>
      <c r="B48" s="4">
        <v>20411454</v>
      </c>
      <c r="C48" s="4" t="s">
        <v>106</v>
      </c>
      <c r="D48" s="4" t="s">
        <v>107</v>
      </c>
      <c r="E48" s="4" t="str">
        <f t="shared" si="2"/>
        <v>Patrick Wooten</v>
      </c>
      <c r="F48" s="5" t="s">
        <v>108</v>
      </c>
      <c r="G48" s="5" t="str">
        <f t="shared" si="1"/>
        <v>CareFirstMA0131202518821</v>
      </c>
      <c r="H48" s="6">
        <v>45658</v>
      </c>
      <c r="I48" s="6">
        <v>45744</v>
      </c>
      <c r="J48" s="4" t="s">
        <v>15</v>
      </c>
      <c r="K48" s="4" t="s">
        <v>79</v>
      </c>
      <c r="L48" s="7">
        <v>726</v>
      </c>
      <c r="M48" s="7">
        <v>100</v>
      </c>
      <c r="N48" s="4" t="s">
        <v>180</v>
      </c>
    </row>
    <row r="49" spans="1:15" x14ac:dyDescent="0.25">
      <c r="A49" s="4" t="s">
        <v>178</v>
      </c>
      <c r="B49" s="4">
        <v>20411454</v>
      </c>
      <c r="C49" s="4" t="s">
        <v>111</v>
      </c>
      <c r="D49" s="4" t="s">
        <v>112</v>
      </c>
      <c r="E49" s="4" t="str">
        <f t="shared" si="2"/>
        <v>Robert Goldsmith</v>
      </c>
      <c r="F49" s="5" t="s">
        <v>113</v>
      </c>
      <c r="G49" s="5" t="str">
        <f t="shared" si="1"/>
        <v>CareFirstMA0131202518841</v>
      </c>
      <c r="H49" s="6">
        <v>45658</v>
      </c>
      <c r="I49" s="6">
        <v>45744</v>
      </c>
      <c r="J49" s="4" t="s">
        <v>15</v>
      </c>
      <c r="K49" s="4" t="s">
        <v>79</v>
      </c>
      <c r="L49" s="7">
        <v>726</v>
      </c>
      <c r="M49" s="7">
        <v>100</v>
      </c>
      <c r="N49" s="4" t="s">
        <v>180</v>
      </c>
    </row>
    <row r="50" spans="1:15" x14ac:dyDescent="0.25">
      <c r="A50" s="4" t="s">
        <v>178</v>
      </c>
      <c r="B50" s="4">
        <v>20411454</v>
      </c>
      <c r="C50" s="4" t="s">
        <v>146</v>
      </c>
      <c r="D50" s="4" t="s">
        <v>147</v>
      </c>
      <c r="E50" s="4" t="str">
        <f t="shared" si="2"/>
        <v>Andrew Markopoulos</v>
      </c>
      <c r="F50" s="5">
        <v>904427090</v>
      </c>
      <c r="G50" s="5" t="str">
        <f t="shared" si="1"/>
        <v>9044270901</v>
      </c>
      <c r="H50" s="6">
        <v>45689</v>
      </c>
      <c r="I50" s="6">
        <v>45744</v>
      </c>
      <c r="J50" s="4" t="s">
        <v>15</v>
      </c>
      <c r="K50" s="4" t="s">
        <v>79</v>
      </c>
      <c r="L50" s="7">
        <v>726</v>
      </c>
      <c r="M50" s="7">
        <v>100</v>
      </c>
      <c r="N50" s="4" t="s">
        <v>180</v>
      </c>
    </row>
    <row r="51" spans="1:15" x14ac:dyDescent="0.25">
      <c r="A51" s="4" t="s">
        <v>178</v>
      </c>
      <c r="B51" s="4">
        <v>20411454</v>
      </c>
      <c r="C51" s="4" t="s">
        <v>148</v>
      </c>
      <c r="D51" s="4" t="s">
        <v>149</v>
      </c>
      <c r="E51" s="4" t="str">
        <f t="shared" si="2"/>
        <v>Patricia Sheckells</v>
      </c>
      <c r="F51" s="5">
        <v>919944932</v>
      </c>
      <c r="G51" s="5" t="str">
        <f t="shared" si="1"/>
        <v>9199449321</v>
      </c>
      <c r="H51" s="6">
        <v>45689</v>
      </c>
      <c r="I51" s="6">
        <v>45744</v>
      </c>
      <c r="J51" s="4" t="s">
        <v>15</v>
      </c>
      <c r="K51" s="4" t="s">
        <v>79</v>
      </c>
      <c r="L51" s="7">
        <v>726</v>
      </c>
      <c r="M51" s="7">
        <v>100</v>
      </c>
      <c r="N51" s="4" t="s">
        <v>180</v>
      </c>
    </row>
    <row r="52" spans="1:15" x14ac:dyDescent="0.25">
      <c r="A52" s="4" t="s">
        <v>178</v>
      </c>
      <c r="B52" s="4">
        <v>20411454</v>
      </c>
      <c r="C52" s="4" t="s">
        <v>150</v>
      </c>
      <c r="D52" s="4" t="s">
        <v>112</v>
      </c>
      <c r="E52" s="4" t="str">
        <f t="shared" si="2"/>
        <v>Charmon Goldsmith</v>
      </c>
      <c r="F52" s="5">
        <v>928103752</v>
      </c>
      <c r="G52" s="5" t="str">
        <f t="shared" si="1"/>
        <v>9281037521</v>
      </c>
      <c r="H52" s="6">
        <v>45689</v>
      </c>
      <c r="I52" s="6">
        <v>45744</v>
      </c>
      <c r="J52" s="4" t="s">
        <v>15</v>
      </c>
      <c r="K52" s="4" t="s">
        <v>79</v>
      </c>
      <c r="L52" s="7">
        <v>726</v>
      </c>
      <c r="M52" s="7">
        <v>100</v>
      </c>
      <c r="N52" s="4" t="s">
        <v>180</v>
      </c>
    </row>
    <row r="53" spans="1:15" x14ac:dyDescent="0.25">
      <c r="A53" s="4" t="s">
        <v>178</v>
      </c>
      <c r="B53" s="4">
        <v>20411454</v>
      </c>
      <c r="C53" s="4" t="s">
        <v>169</v>
      </c>
      <c r="D53" s="4" t="s">
        <v>170</v>
      </c>
      <c r="E53" s="4" t="str">
        <f t="shared" si="2"/>
        <v>Elaise Mister</v>
      </c>
      <c r="F53" s="5" t="s">
        <v>171</v>
      </c>
      <c r="G53" s="5" t="str">
        <f t="shared" si="1"/>
        <v>CareFirstDSNP0228202500431</v>
      </c>
      <c r="H53" s="6">
        <v>45689</v>
      </c>
      <c r="I53" s="6">
        <v>45744</v>
      </c>
      <c r="J53" s="4" t="s">
        <v>172</v>
      </c>
      <c r="K53" s="4" t="s">
        <v>173</v>
      </c>
      <c r="L53" s="7">
        <v>726</v>
      </c>
      <c r="M53" s="7">
        <v>100</v>
      </c>
      <c r="N53" s="4" t="s">
        <v>180</v>
      </c>
    </row>
    <row r="54" spans="1:15" x14ac:dyDescent="0.25">
      <c r="A54" s="4" t="s">
        <v>156</v>
      </c>
      <c r="B54" s="4">
        <v>9079571</v>
      </c>
      <c r="C54" s="4" t="s">
        <v>148</v>
      </c>
      <c r="D54" s="4" t="s">
        <v>157</v>
      </c>
      <c r="E54" s="4" t="str">
        <f t="shared" si="2"/>
        <v>Patricia Herrington</v>
      </c>
      <c r="F54" s="5" t="s">
        <v>164</v>
      </c>
      <c r="G54" s="5" t="s">
        <v>164</v>
      </c>
      <c r="H54" s="6">
        <v>45717</v>
      </c>
      <c r="I54" s="6">
        <v>45744</v>
      </c>
      <c r="J54" s="4" t="s">
        <v>15</v>
      </c>
      <c r="K54" s="4" t="s">
        <v>163</v>
      </c>
      <c r="L54" s="7">
        <v>260.83</v>
      </c>
      <c r="M54" s="7">
        <v>260.83</v>
      </c>
      <c r="N54" s="4" t="s">
        <v>179</v>
      </c>
      <c r="O54" s="4" t="s">
        <v>183</v>
      </c>
    </row>
    <row r="55" spans="1:15" x14ac:dyDescent="0.25">
      <c r="A55" s="4" t="s">
        <v>156</v>
      </c>
      <c r="B55" s="4">
        <v>9079571</v>
      </c>
      <c r="C55" s="4" t="s">
        <v>159</v>
      </c>
      <c r="D55" s="4" t="s">
        <v>160</v>
      </c>
      <c r="E55" s="4" t="str">
        <f t="shared" si="2"/>
        <v>Scott Hunter</v>
      </c>
      <c r="F55" s="5" t="s">
        <v>165</v>
      </c>
      <c r="G55" s="5" t="s">
        <v>165</v>
      </c>
      <c r="H55" s="6">
        <v>45717</v>
      </c>
      <c r="I55" s="6">
        <v>45744</v>
      </c>
      <c r="J55" s="4" t="s">
        <v>15</v>
      </c>
      <c r="K55" s="4" t="s">
        <v>163</v>
      </c>
      <c r="L55" s="7">
        <v>260.83</v>
      </c>
      <c r="M55" s="7">
        <v>260.83</v>
      </c>
      <c r="N55" s="4" t="s">
        <v>179</v>
      </c>
      <c r="O55" s="4" t="s">
        <v>183</v>
      </c>
    </row>
    <row r="56" spans="1:15" x14ac:dyDescent="0.25">
      <c r="A56" s="4" t="s">
        <v>11</v>
      </c>
      <c r="B56" s="4">
        <v>5442438</v>
      </c>
      <c r="C56" s="4" t="s">
        <v>154</v>
      </c>
      <c r="D56" s="4" t="s">
        <v>48</v>
      </c>
      <c r="E56" s="4" t="str">
        <f t="shared" si="2"/>
        <v>Debora Long</v>
      </c>
      <c r="F56" s="5" t="s">
        <v>162</v>
      </c>
      <c r="G56" s="5" t="s">
        <v>162</v>
      </c>
      <c r="H56" s="6">
        <v>45717</v>
      </c>
      <c r="I56" s="6">
        <v>45744</v>
      </c>
      <c r="J56" s="4" t="s">
        <v>15</v>
      </c>
      <c r="K56" s="4" t="s">
        <v>163</v>
      </c>
      <c r="L56" s="7">
        <v>260.83</v>
      </c>
      <c r="M56" s="7">
        <v>260.83</v>
      </c>
      <c r="N56" s="4" t="s">
        <v>179</v>
      </c>
      <c r="O56" s="4" t="s">
        <v>183</v>
      </c>
    </row>
    <row r="57" spans="1:15" x14ac:dyDescent="0.25">
      <c r="A57" s="4" t="s">
        <v>72</v>
      </c>
      <c r="B57" s="4">
        <v>16202925</v>
      </c>
      <c r="C57" s="4" t="s">
        <v>174</v>
      </c>
      <c r="D57" s="4" t="s">
        <v>175</v>
      </c>
      <c r="E57" s="4" t="str">
        <f t="shared" si="2"/>
        <v>Denise Kinsey</v>
      </c>
      <c r="F57" s="5" t="s">
        <v>176</v>
      </c>
      <c r="G57" s="5" t="s">
        <v>176</v>
      </c>
      <c r="H57" s="6">
        <v>45717</v>
      </c>
      <c r="I57" s="6">
        <v>45744</v>
      </c>
      <c r="J57" s="4" t="s">
        <v>172</v>
      </c>
      <c r="K57" s="4" t="s">
        <v>177</v>
      </c>
      <c r="L57" s="7">
        <v>360.83</v>
      </c>
      <c r="M57" s="7">
        <v>260.83</v>
      </c>
      <c r="N57" s="4" t="s">
        <v>179</v>
      </c>
      <c r="O57" s="4" t="s">
        <v>183</v>
      </c>
    </row>
    <row r="58" spans="1:15" x14ac:dyDescent="0.25">
      <c r="A58" s="4" t="s">
        <v>11</v>
      </c>
      <c r="B58" s="4">
        <v>5442438</v>
      </c>
      <c r="C58" s="4" t="s">
        <v>141</v>
      </c>
      <c r="D58" s="4" t="s">
        <v>142</v>
      </c>
      <c r="E58" s="4" t="str">
        <f t="shared" si="2"/>
        <v>Mark Farrington</v>
      </c>
      <c r="F58" s="5">
        <v>900481888</v>
      </c>
      <c r="G58" s="5">
        <v>900481888</v>
      </c>
      <c r="H58" s="6">
        <v>45689</v>
      </c>
      <c r="I58" s="6">
        <v>45744</v>
      </c>
      <c r="J58" s="4" t="s">
        <v>15</v>
      </c>
      <c r="K58" s="4" t="s">
        <v>145</v>
      </c>
      <c r="L58" s="7">
        <v>286.91000000000003</v>
      </c>
      <c r="M58" s="7">
        <v>286.91000000000003</v>
      </c>
      <c r="N58" s="4" t="s">
        <v>179</v>
      </c>
      <c r="O58" s="4" t="s">
        <v>184</v>
      </c>
    </row>
    <row r="59" spans="1:15" x14ac:dyDescent="0.25">
      <c r="A59" s="4" t="s">
        <v>11</v>
      </c>
      <c r="B59" s="4">
        <v>5442438</v>
      </c>
      <c r="C59" s="4" t="s">
        <v>143</v>
      </c>
      <c r="D59" s="4" t="s">
        <v>144</v>
      </c>
      <c r="E59" s="4" t="str">
        <f t="shared" si="2"/>
        <v>Timothy Miskimon</v>
      </c>
      <c r="F59" s="5">
        <v>927618442</v>
      </c>
      <c r="G59" s="5">
        <v>927618442</v>
      </c>
      <c r="H59" s="6">
        <v>45689</v>
      </c>
      <c r="I59" s="6">
        <v>45744</v>
      </c>
      <c r="J59" s="4" t="s">
        <v>15</v>
      </c>
      <c r="K59" s="4" t="s">
        <v>145</v>
      </c>
      <c r="L59" s="7">
        <v>286.91000000000003</v>
      </c>
      <c r="M59" s="7">
        <v>286.91000000000003</v>
      </c>
      <c r="N59" s="4" t="s">
        <v>179</v>
      </c>
      <c r="O59" s="4" t="s">
        <v>184</v>
      </c>
    </row>
    <row r="60" spans="1:15" x14ac:dyDescent="0.25">
      <c r="A60" s="4" t="s">
        <v>11</v>
      </c>
      <c r="B60" s="4">
        <v>5442438</v>
      </c>
      <c r="C60" s="4" t="s">
        <v>20</v>
      </c>
      <c r="D60" s="4" t="s">
        <v>21</v>
      </c>
      <c r="E60" s="4" t="str">
        <f t="shared" si="2"/>
        <v>Curtis Mclaughlin</v>
      </c>
      <c r="F60" s="5" t="s">
        <v>59</v>
      </c>
      <c r="G60" s="5" t="s">
        <v>59</v>
      </c>
      <c r="H60" s="6">
        <v>45658</v>
      </c>
      <c r="I60" s="6">
        <v>45744</v>
      </c>
      <c r="J60" s="4" t="s">
        <v>15</v>
      </c>
      <c r="K60" s="4" t="s">
        <v>60</v>
      </c>
      <c r="L60" s="7">
        <v>313</v>
      </c>
      <c r="M60" s="7">
        <v>313</v>
      </c>
      <c r="N60" s="4" t="s">
        <v>179</v>
      </c>
      <c r="O60" s="4" t="s">
        <v>185</v>
      </c>
    </row>
    <row r="61" spans="1:15" x14ac:dyDescent="0.25">
      <c r="A61" s="4" t="s">
        <v>11</v>
      </c>
      <c r="B61" s="4">
        <v>5442438</v>
      </c>
      <c r="C61" s="4" t="s">
        <v>23</v>
      </c>
      <c r="D61" s="4" t="s">
        <v>24</v>
      </c>
      <c r="E61" s="4" t="str">
        <f t="shared" si="2"/>
        <v>Cynthia Hensley</v>
      </c>
      <c r="F61" s="5" t="s">
        <v>61</v>
      </c>
      <c r="G61" s="5" t="s">
        <v>61</v>
      </c>
      <c r="H61" s="6">
        <v>45658</v>
      </c>
      <c r="I61" s="6">
        <v>45744</v>
      </c>
      <c r="J61" s="4" t="s">
        <v>15</v>
      </c>
      <c r="K61" s="4" t="s">
        <v>60</v>
      </c>
      <c r="L61" s="7">
        <v>313</v>
      </c>
      <c r="M61" s="7">
        <v>313</v>
      </c>
      <c r="N61" s="4" t="s">
        <v>179</v>
      </c>
      <c r="O61" s="4" t="s">
        <v>185</v>
      </c>
    </row>
    <row r="62" spans="1:15" x14ac:dyDescent="0.25">
      <c r="A62" s="4" t="s">
        <v>11</v>
      </c>
      <c r="B62" s="4">
        <v>5442438</v>
      </c>
      <c r="C62" s="4" t="s">
        <v>38</v>
      </c>
      <c r="D62" s="4" t="s">
        <v>39</v>
      </c>
      <c r="E62" s="4" t="str">
        <f t="shared" si="2"/>
        <v>Jeannie Bartlett</v>
      </c>
      <c r="F62" s="5" t="s">
        <v>66</v>
      </c>
      <c r="G62" s="5" t="s">
        <v>66</v>
      </c>
      <c r="H62" s="6">
        <v>45658</v>
      </c>
      <c r="I62" s="6">
        <v>45744</v>
      </c>
      <c r="J62" s="4" t="s">
        <v>15</v>
      </c>
      <c r="K62" s="4" t="s">
        <v>60</v>
      </c>
      <c r="L62" s="7">
        <v>313</v>
      </c>
      <c r="M62" s="7">
        <v>313</v>
      </c>
      <c r="N62" s="4" t="s">
        <v>179</v>
      </c>
      <c r="O62" s="4" t="s">
        <v>185</v>
      </c>
    </row>
    <row r="63" spans="1:15" x14ac:dyDescent="0.25">
      <c r="A63" s="4" t="s">
        <v>11</v>
      </c>
      <c r="B63" s="4">
        <v>5442438</v>
      </c>
      <c r="C63" s="4" t="s">
        <v>41</v>
      </c>
      <c r="D63" s="4" t="s">
        <v>42</v>
      </c>
      <c r="E63" s="4" t="str">
        <f t="shared" si="2"/>
        <v>Kathleen Leeds</v>
      </c>
      <c r="F63" s="5" t="s">
        <v>67</v>
      </c>
      <c r="G63" s="5" t="s">
        <v>67</v>
      </c>
      <c r="H63" s="6">
        <v>45658</v>
      </c>
      <c r="I63" s="6">
        <v>45744</v>
      </c>
      <c r="J63" s="4" t="s">
        <v>15</v>
      </c>
      <c r="K63" s="4" t="s">
        <v>60</v>
      </c>
      <c r="L63" s="7">
        <v>313</v>
      </c>
      <c r="M63" s="7">
        <v>313</v>
      </c>
      <c r="N63" s="4" t="s">
        <v>179</v>
      </c>
      <c r="O63" s="4" t="s">
        <v>185</v>
      </c>
    </row>
    <row r="64" spans="1:15" x14ac:dyDescent="0.25">
      <c r="A64" s="4" t="s">
        <v>11</v>
      </c>
      <c r="B64" s="4">
        <v>5442438</v>
      </c>
      <c r="C64" s="4" t="s">
        <v>47</v>
      </c>
      <c r="D64" s="4" t="s">
        <v>48</v>
      </c>
      <c r="E64" s="4" t="str">
        <f t="shared" si="2"/>
        <v>Paul Long</v>
      </c>
      <c r="F64" s="5" t="s">
        <v>69</v>
      </c>
      <c r="G64" s="5" t="s">
        <v>69</v>
      </c>
      <c r="H64" s="6">
        <v>45658</v>
      </c>
      <c r="I64" s="6">
        <v>45744</v>
      </c>
      <c r="J64" s="4" t="s">
        <v>15</v>
      </c>
      <c r="K64" s="4" t="s">
        <v>60</v>
      </c>
      <c r="L64" s="7">
        <v>313</v>
      </c>
      <c r="M64" s="7">
        <v>313</v>
      </c>
      <c r="N64" s="4" t="s">
        <v>179</v>
      </c>
      <c r="O64" s="4" t="s">
        <v>185</v>
      </c>
    </row>
    <row r="65" spans="1:15" x14ac:dyDescent="0.25">
      <c r="A65" s="4" t="s">
        <v>11</v>
      </c>
      <c r="B65" s="4">
        <v>5442438</v>
      </c>
      <c r="C65" s="4" t="s">
        <v>50</v>
      </c>
      <c r="D65" s="4" t="s">
        <v>51</v>
      </c>
      <c r="E65" s="4" t="str">
        <f t="shared" si="2"/>
        <v>Paula Gieron</v>
      </c>
      <c r="F65" s="5" t="s">
        <v>70</v>
      </c>
      <c r="G65" s="5" t="s">
        <v>70</v>
      </c>
      <c r="H65" s="6">
        <v>45658</v>
      </c>
      <c r="I65" s="6">
        <v>45744</v>
      </c>
      <c r="J65" s="4" t="s">
        <v>15</v>
      </c>
      <c r="K65" s="4" t="s">
        <v>60</v>
      </c>
      <c r="L65" s="7">
        <v>313</v>
      </c>
      <c r="M65" s="7">
        <v>313</v>
      </c>
      <c r="N65" s="4" t="s">
        <v>179</v>
      </c>
      <c r="O65" s="4" t="s">
        <v>185</v>
      </c>
    </row>
    <row r="66" spans="1:15" x14ac:dyDescent="0.25">
      <c r="A66" s="4" t="s">
        <v>11</v>
      </c>
      <c r="B66" s="4">
        <v>5442438</v>
      </c>
      <c r="C66" s="4" t="s">
        <v>141</v>
      </c>
      <c r="D66" s="4" t="s">
        <v>142</v>
      </c>
      <c r="E66" s="4" t="str">
        <f t="shared" ref="E66:E97" si="3">CONCATENATE(C66, " ",D66)</f>
        <v>Mark Farrington</v>
      </c>
      <c r="F66" s="5">
        <v>900481888</v>
      </c>
      <c r="G66" s="5">
        <v>900481888</v>
      </c>
      <c r="H66" s="6">
        <v>45689</v>
      </c>
      <c r="I66" s="6">
        <v>45744</v>
      </c>
      <c r="J66" s="4" t="s">
        <v>15</v>
      </c>
      <c r="K66" s="4" t="s">
        <v>151</v>
      </c>
      <c r="L66" s="7">
        <v>339.08</v>
      </c>
      <c r="M66" s="7">
        <v>313</v>
      </c>
      <c r="N66" s="4" t="s">
        <v>179</v>
      </c>
      <c r="O66" s="4" t="s">
        <v>185</v>
      </c>
    </row>
    <row r="67" spans="1:15" x14ac:dyDescent="0.25">
      <c r="A67" s="4" t="s">
        <v>11</v>
      </c>
      <c r="B67" s="4">
        <v>5442438</v>
      </c>
      <c r="C67" s="4" t="s">
        <v>143</v>
      </c>
      <c r="D67" s="4" t="s">
        <v>144</v>
      </c>
      <c r="E67" s="4" t="str">
        <f t="shared" si="3"/>
        <v>Timothy Miskimon</v>
      </c>
      <c r="F67" s="5">
        <v>927618442</v>
      </c>
      <c r="G67" s="5">
        <v>927618442</v>
      </c>
      <c r="H67" s="6">
        <v>45689</v>
      </c>
      <c r="I67" s="6">
        <v>45744</v>
      </c>
      <c r="J67" s="4" t="s">
        <v>15</v>
      </c>
      <c r="K67" s="4" t="s">
        <v>151</v>
      </c>
      <c r="L67" s="7">
        <v>339.08</v>
      </c>
      <c r="M67" s="7">
        <v>313</v>
      </c>
      <c r="N67" s="4" t="s">
        <v>179</v>
      </c>
      <c r="O67" s="4" t="s">
        <v>185</v>
      </c>
    </row>
    <row r="68" spans="1:15" x14ac:dyDescent="0.25">
      <c r="A68" s="4" t="s">
        <v>72</v>
      </c>
      <c r="B68" s="4">
        <v>16202925</v>
      </c>
      <c r="C68" s="4" t="s">
        <v>73</v>
      </c>
      <c r="D68" s="4" t="s">
        <v>74</v>
      </c>
      <c r="E68" s="4" t="str">
        <f t="shared" si="3"/>
        <v>Deborah Lashinsky</v>
      </c>
      <c r="F68" s="5">
        <v>916462022</v>
      </c>
      <c r="G68" s="5">
        <v>916462022</v>
      </c>
      <c r="H68" s="6">
        <v>45658</v>
      </c>
      <c r="I68" s="6">
        <v>45744</v>
      </c>
      <c r="J68" s="4" t="s">
        <v>15</v>
      </c>
      <c r="K68" s="4" t="s">
        <v>75</v>
      </c>
      <c r="L68" s="7">
        <v>413</v>
      </c>
      <c r="M68" s="7">
        <v>313</v>
      </c>
      <c r="N68" s="4" t="s">
        <v>179</v>
      </c>
      <c r="O68" s="4" t="s">
        <v>185</v>
      </c>
    </row>
    <row r="69" spans="1:15" x14ac:dyDescent="0.25">
      <c r="A69" s="4" t="s">
        <v>72</v>
      </c>
      <c r="B69" s="4">
        <v>16202925</v>
      </c>
      <c r="C69" s="4" t="s">
        <v>80</v>
      </c>
      <c r="D69" s="4" t="s">
        <v>81</v>
      </c>
      <c r="E69" s="4" t="str">
        <f t="shared" si="3"/>
        <v>Cheryl Harbaugh</v>
      </c>
      <c r="F69" s="5" t="s">
        <v>82</v>
      </c>
      <c r="G69" s="5" t="s">
        <v>82</v>
      </c>
      <c r="H69" s="6">
        <v>45658</v>
      </c>
      <c r="I69" s="6">
        <v>45744</v>
      </c>
      <c r="J69" s="4" t="s">
        <v>15</v>
      </c>
      <c r="K69" s="4" t="s">
        <v>75</v>
      </c>
      <c r="L69" s="7">
        <v>413</v>
      </c>
      <c r="M69" s="7">
        <v>313</v>
      </c>
      <c r="N69" s="4" t="s">
        <v>179</v>
      </c>
      <c r="O69" s="4" t="s">
        <v>185</v>
      </c>
    </row>
    <row r="70" spans="1:15" x14ac:dyDescent="0.25">
      <c r="A70" s="4" t="s">
        <v>72</v>
      </c>
      <c r="B70" s="4">
        <v>16202925</v>
      </c>
      <c r="C70" s="4" t="s">
        <v>23</v>
      </c>
      <c r="D70" s="4" t="s">
        <v>83</v>
      </c>
      <c r="E70" s="4" t="str">
        <f t="shared" si="3"/>
        <v>Cynthia Dunn</v>
      </c>
      <c r="F70" s="5" t="s">
        <v>84</v>
      </c>
      <c r="G70" s="5" t="s">
        <v>84</v>
      </c>
      <c r="H70" s="6">
        <v>45658</v>
      </c>
      <c r="I70" s="6">
        <v>45744</v>
      </c>
      <c r="J70" s="4" t="s">
        <v>15</v>
      </c>
      <c r="K70" s="4" t="s">
        <v>75</v>
      </c>
      <c r="L70" s="7">
        <v>413</v>
      </c>
      <c r="M70" s="7">
        <v>313</v>
      </c>
      <c r="N70" s="4" t="s">
        <v>179</v>
      </c>
      <c r="O70" s="4" t="s">
        <v>185</v>
      </c>
    </row>
    <row r="71" spans="1:15" x14ac:dyDescent="0.25">
      <c r="A71" s="4" t="s">
        <v>72</v>
      </c>
      <c r="B71" s="4">
        <v>16202925</v>
      </c>
      <c r="C71" s="4" t="s">
        <v>29</v>
      </c>
      <c r="D71" s="4" t="s">
        <v>87</v>
      </c>
      <c r="E71" s="4" t="str">
        <f t="shared" si="3"/>
        <v>Donald Almoney</v>
      </c>
      <c r="F71" s="5" t="s">
        <v>88</v>
      </c>
      <c r="G71" s="5" t="s">
        <v>88</v>
      </c>
      <c r="H71" s="6">
        <v>45658</v>
      </c>
      <c r="I71" s="6">
        <v>45744</v>
      </c>
      <c r="J71" s="4" t="s">
        <v>15</v>
      </c>
      <c r="K71" s="4" t="s">
        <v>75</v>
      </c>
      <c r="L71" s="7">
        <v>413</v>
      </c>
      <c r="M71" s="7">
        <v>313</v>
      </c>
      <c r="N71" s="4" t="s">
        <v>179</v>
      </c>
      <c r="O71" s="4" t="s">
        <v>185</v>
      </c>
    </row>
    <row r="72" spans="1:15" x14ac:dyDescent="0.25">
      <c r="A72" s="4" t="s">
        <v>72</v>
      </c>
      <c r="B72" s="4">
        <v>16202925</v>
      </c>
      <c r="C72" s="4" t="s">
        <v>89</v>
      </c>
      <c r="D72" s="4" t="s">
        <v>90</v>
      </c>
      <c r="E72" s="4" t="str">
        <f t="shared" si="3"/>
        <v>Franklin Sass</v>
      </c>
      <c r="F72" s="5" t="s">
        <v>91</v>
      </c>
      <c r="G72" s="5" t="s">
        <v>91</v>
      </c>
      <c r="H72" s="6">
        <v>45658</v>
      </c>
      <c r="I72" s="6">
        <v>45744</v>
      </c>
      <c r="J72" s="4" t="s">
        <v>15</v>
      </c>
      <c r="K72" s="4" t="s">
        <v>75</v>
      </c>
      <c r="L72" s="7">
        <v>413</v>
      </c>
      <c r="M72" s="7">
        <v>313</v>
      </c>
      <c r="N72" s="4" t="s">
        <v>179</v>
      </c>
      <c r="O72" s="4" t="s">
        <v>185</v>
      </c>
    </row>
    <row r="73" spans="1:15" x14ac:dyDescent="0.25">
      <c r="A73" s="4" t="s">
        <v>72</v>
      </c>
      <c r="B73" s="4">
        <v>16202925</v>
      </c>
      <c r="C73" s="4" t="s">
        <v>92</v>
      </c>
      <c r="D73" s="4" t="s">
        <v>93</v>
      </c>
      <c r="E73" s="4" t="str">
        <f t="shared" si="3"/>
        <v>George Shanholtz</v>
      </c>
      <c r="F73" s="5" t="s">
        <v>94</v>
      </c>
      <c r="G73" s="5" t="s">
        <v>94</v>
      </c>
      <c r="H73" s="6">
        <v>45658</v>
      </c>
      <c r="I73" s="6">
        <v>45744</v>
      </c>
      <c r="J73" s="4" t="s">
        <v>15</v>
      </c>
      <c r="K73" s="4" t="s">
        <v>75</v>
      </c>
      <c r="L73" s="7">
        <v>413</v>
      </c>
      <c r="M73" s="7">
        <v>313</v>
      </c>
      <c r="N73" s="4" t="s">
        <v>179</v>
      </c>
      <c r="O73" s="4" t="s">
        <v>185</v>
      </c>
    </row>
    <row r="74" spans="1:15" x14ac:dyDescent="0.25">
      <c r="A74" s="4" t="s">
        <v>72</v>
      </c>
      <c r="B74" s="4">
        <v>16202925</v>
      </c>
      <c r="C74" s="4" t="s">
        <v>95</v>
      </c>
      <c r="D74" s="4" t="s">
        <v>96</v>
      </c>
      <c r="E74" s="4" t="str">
        <f t="shared" si="3"/>
        <v>Grace Thomas</v>
      </c>
      <c r="F74" s="5" t="s">
        <v>97</v>
      </c>
      <c r="G74" s="5" t="s">
        <v>97</v>
      </c>
      <c r="H74" s="6">
        <v>45658</v>
      </c>
      <c r="I74" s="6">
        <v>45744</v>
      </c>
      <c r="J74" s="4" t="s">
        <v>15</v>
      </c>
      <c r="K74" s="4" t="s">
        <v>75</v>
      </c>
      <c r="L74" s="7">
        <v>413</v>
      </c>
      <c r="M74" s="7">
        <v>313</v>
      </c>
      <c r="N74" s="4" t="s">
        <v>179</v>
      </c>
      <c r="O74" s="4" t="s">
        <v>185</v>
      </c>
    </row>
    <row r="75" spans="1:15" x14ac:dyDescent="0.25">
      <c r="A75" s="4" t="s">
        <v>72</v>
      </c>
      <c r="B75" s="4">
        <v>16202925</v>
      </c>
      <c r="C75" s="4" t="s">
        <v>98</v>
      </c>
      <c r="D75" s="4" t="s">
        <v>99</v>
      </c>
      <c r="E75" s="4" t="str">
        <f t="shared" si="3"/>
        <v>Karen Crutchfield</v>
      </c>
      <c r="F75" s="5" t="s">
        <v>100</v>
      </c>
      <c r="G75" s="5" t="s">
        <v>100</v>
      </c>
      <c r="H75" s="6">
        <v>45658</v>
      </c>
      <c r="I75" s="6">
        <v>45744</v>
      </c>
      <c r="J75" s="4" t="s">
        <v>15</v>
      </c>
      <c r="K75" s="4" t="s">
        <v>75</v>
      </c>
      <c r="L75" s="7">
        <v>413</v>
      </c>
      <c r="M75" s="7">
        <v>313</v>
      </c>
      <c r="N75" s="4" t="s">
        <v>179</v>
      </c>
      <c r="O75" s="4" t="s">
        <v>185</v>
      </c>
    </row>
    <row r="76" spans="1:15" x14ac:dyDescent="0.25">
      <c r="A76" s="4" t="s">
        <v>72</v>
      </c>
      <c r="B76" s="4">
        <v>16202925</v>
      </c>
      <c r="C76" s="4" t="s">
        <v>101</v>
      </c>
      <c r="D76" s="4" t="s">
        <v>102</v>
      </c>
      <c r="E76" s="4" t="str">
        <f t="shared" si="3"/>
        <v>Katherine Van De Wal</v>
      </c>
      <c r="F76" s="5" t="s">
        <v>103</v>
      </c>
      <c r="G76" s="5" t="s">
        <v>103</v>
      </c>
      <c r="H76" s="6">
        <v>45658</v>
      </c>
      <c r="I76" s="6">
        <v>45744</v>
      </c>
      <c r="J76" s="4" t="s">
        <v>15</v>
      </c>
      <c r="K76" s="4" t="s">
        <v>75</v>
      </c>
      <c r="L76" s="7">
        <v>413</v>
      </c>
      <c r="M76" s="7">
        <v>313</v>
      </c>
      <c r="N76" s="4" t="s">
        <v>179</v>
      </c>
      <c r="O76" s="4" t="s">
        <v>185</v>
      </c>
    </row>
    <row r="77" spans="1:15" x14ac:dyDescent="0.25">
      <c r="A77" s="4" t="s">
        <v>72</v>
      </c>
      <c r="B77" s="4">
        <v>16202925</v>
      </c>
      <c r="C77" s="4" t="s">
        <v>44</v>
      </c>
      <c r="D77" s="4" t="s">
        <v>104</v>
      </c>
      <c r="E77" s="4" t="str">
        <f t="shared" si="3"/>
        <v>Mary Rozario</v>
      </c>
      <c r="F77" s="5" t="s">
        <v>105</v>
      </c>
      <c r="G77" s="5" t="s">
        <v>105</v>
      </c>
      <c r="H77" s="6">
        <v>45658</v>
      </c>
      <c r="I77" s="6">
        <v>45744</v>
      </c>
      <c r="J77" s="4" t="s">
        <v>15</v>
      </c>
      <c r="K77" s="4" t="s">
        <v>75</v>
      </c>
      <c r="L77" s="7">
        <v>413</v>
      </c>
      <c r="M77" s="7">
        <v>313</v>
      </c>
      <c r="N77" s="4" t="s">
        <v>179</v>
      </c>
      <c r="O77" s="4" t="s">
        <v>185</v>
      </c>
    </row>
    <row r="78" spans="1:15" x14ac:dyDescent="0.25">
      <c r="A78" s="4" t="s">
        <v>72</v>
      </c>
      <c r="B78" s="4">
        <v>16202925</v>
      </c>
      <c r="C78" s="4" t="s">
        <v>109</v>
      </c>
      <c r="D78" s="4" t="s">
        <v>77</v>
      </c>
      <c r="E78" s="4" t="str">
        <f t="shared" si="3"/>
        <v>Retha Dorsey</v>
      </c>
      <c r="F78" s="5" t="s">
        <v>110</v>
      </c>
      <c r="G78" s="5" t="s">
        <v>110</v>
      </c>
      <c r="H78" s="6">
        <v>45658</v>
      </c>
      <c r="I78" s="6">
        <v>45744</v>
      </c>
      <c r="J78" s="4" t="s">
        <v>15</v>
      </c>
      <c r="K78" s="4" t="s">
        <v>75</v>
      </c>
      <c r="L78" s="7">
        <v>413</v>
      </c>
      <c r="M78" s="7">
        <v>313</v>
      </c>
      <c r="N78" s="4" t="s">
        <v>179</v>
      </c>
      <c r="O78" s="4" t="s">
        <v>185</v>
      </c>
    </row>
    <row r="79" spans="1:15" x14ac:dyDescent="0.25">
      <c r="A79" s="4" t="s">
        <v>72</v>
      </c>
      <c r="B79" s="4">
        <v>16202925</v>
      </c>
      <c r="C79" s="4" t="s">
        <v>111</v>
      </c>
      <c r="D79" s="4" t="s">
        <v>114</v>
      </c>
      <c r="E79" s="4" t="str">
        <f t="shared" si="3"/>
        <v>Robert Williams</v>
      </c>
      <c r="F79" s="5" t="s">
        <v>115</v>
      </c>
      <c r="G79" s="5" t="s">
        <v>115</v>
      </c>
      <c r="H79" s="6">
        <v>45658</v>
      </c>
      <c r="I79" s="6">
        <v>45744</v>
      </c>
      <c r="J79" s="4" t="s">
        <v>15</v>
      </c>
      <c r="K79" s="4" t="s">
        <v>75</v>
      </c>
      <c r="L79" s="7">
        <v>413</v>
      </c>
      <c r="M79" s="7">
        <v>313</v>
      </c>
      <c r="N79" s="4" t="s">
        <v>179</v>
      </c>
      <c r="O79" s="4" t="s">
        <v>185</v>
      </c>
    </row>
    <row r="80" spans="1:15" x14ac:dyDescent="0.25">
      <c r="A80" s="4" t="s">
        <v>72</v>
      </c>
      <c r="B80" s="4">
        <v>16202925</v>
      </c>
      <c r="C80" s="4" t="s">
        <v>116</v>
      </c>
      <c r="D80" s="4" t="s">
        <v>117</v>
      </c>
      <c r="E80" s="4" t="str">
        <f t="shared" si="3"/>
        <v>Salona Bensonewing</v>
      </c>
      <c r="F80" s="5" t="s">
        <v>118</v>
      </c>
      <c r="G80" s="5" t="s">
        <v>118</v>
      </c>
      <c r="H80" s="6">
        <v>45658</v>
      </c>
      <c r="I80" s="6">
        <v>45744</v>
      </c>
      <c r="J80" s="4" t="s">
        <v>15</v>
      </c>
      <c r="K80" s="4" t="s">
        <v>75</v>
      </c>
      <c r="L80" s="7">
        <v>413</v>
      </c>
      <c r="M80" s="7">
        <v>313</v>
      </c>
      <c r="N80" s="4" t="s">
        <v>179</v>
      </c>
      <c r="O80" s="4" t="s">
        <v>185</v>
      </c>
    </row>
    <row r="81" spans="1:15" x14ac:dyDescent="0.25">
      <c r="A81" s="4" t="s">
        <v>72</v>
      </c>
      <c r="B81" s="4">
        <v>16202925</v>
      </c>
      <c r="C81" s="4" t="s">
        <v>119</v>
      </c>
      <c r="D81" s="4" t="s">
        <v>120</v>
      </c>
      <c r="E81" s="4" t="str">
        <f t="shared" si="3"/>
        <v>Sarah Morris</v>
      </c>
      <c r="F81" s="5" t="s">
        <v>121</v>
      </c>
      <c r="G81" s="5" t="s">
        <v>121</v>
      </c>
      <c r="H81" s="6">
        <v>45658</v>
      </c>
      <c r="I81" s="6">
        <v>45744</v>
      </c>
      <c r="J81" s="4" t="s">
        <v>15</v>
      </c>
      <c r="K81" s="4" t="s">
        <v>75</v>
      </c>
      <c r="L81" s="7">
        <v>413</v>
      </c>
      <c r="M81" s="7">
        <v>313</v>
      </c>
      <c r="N81" s="4" t="s">
        <v>179</v>
      </c>
      <c r="O81" s="4" t="s">
        <v>185</v>
      </c>
    </row>
    <row r="82" spans="1:15" x14ac:dyDescent="0.25">
      <c r="A82" s="4" t="s">
        <v>72</v>
      </c>
      <c r="B82" s="4">
        <v>16202925</v>
      </c>
      <c r="C82" s="4" t="s">
        <v>122</v>
      </c>
      <c r="D82" s="4" t="s">
        <v>123</v>
      </c>
      <c r="E82" s="4" t="str">
        <f t="shared" si="3"/>
        <v>Sheila Billups</v>
      </c>
      <c r="F82" s="5" t="s">
        <v>124</v>
      </c>
      <c r="G82" s="5" t="s">
        <v>124</v>
      </c>
      <c r="H82" s="6">
        <v>45658</v>
      </c>
      <c r="I82" s="6">
        <v>45744</v>
      </c>
      <c r="J82" s="4" t="s">
        <v>15</v>
      </c>
      <c r="K82" s="4" t="s">
        <v>75</v>
      </c>
      <c r="L82" s="7">
        <v>413</v>
      </c>
      <c r="M82" s="7">
        <v>313</v>
      </c>
      <c r="N82" s="4" t="s">
        <v>179</v>
      </c>
      <c r="O82" s="4" t="s">
        <v>185</v>
      </c>
    </row>
    <row r="83" spans="1:15" x14ac:dyDescent="0.25">
      <c r="A83" s="4" t="s">
        <v>72</v>
      </c>
      <c r="B83" s="4">
        <v>16202925</v>
      </c>
      <c r="C83" s="4" t="s">
        <v>125</v>
      </c>
      <c r="D83" s="4" t="s">
        <v>126</v>
      </c>
      <c r="E83" s="4" t="str">
        <f t="shared" si="3"/>
        <v>Steven Argabright</v>
      </c>
      <c r="F83" s="5" t="s">
        <v>127</v>
      </c>
      <c r="G83" s="5" t="s">
        <v>127</v>
      </c>
      <c r="H83" s="6">
        <v>45658</v>
      </c>
      <c r="I83" s="6">
        <v>45744</v>
      </c>
      <c r="J83" s="4" t="s">
        <v>15</v>
      </c>
      <c r="K83" s="4" t="s">
        <v>75</v>
      </c>
      <c r="L83" s="7">
        <v>413</v>
      </c>
      <c r="M83" s="7">
        <v>313</v>
      </c>
      <c r="N83" s="4" t="s">
        <v>179</v>
      </c>
      <c r="O83" s="4" t="s">
        <v>185</v>
      </c>
    </row>
    <row r="84" spans="1:15" x14ac:dyDescent="0.25">
      <c r="A84" s="4" t="s">
        <v>72</v>
      </c>
      <c r="B84" s="4">
        <v>16202925</v>
      </c>
      <c r="C84" s="4" t="s">
        <v>128</v>
      </c>
      <c r="D84" s="4" t="s">
        <v>104</v>
      </c>
      <c r="E84" s="4" t="str">
        <f t="shared" si="3"/>
        <v>Sukumar Rozario</v>
      </c>
      <c r="F84" s="5" t="s">
        <v>129</v>
      </c>
      <c r="G84" s="5" t="s">
        <v>129</v>
      </c>
      <c r="H84" s="6">
        <v>45658</v>
      </c>
      <c r="I84" s="6">
        <v>45744</v>
      </c>
      <c r="J84" s="4" t="s">
        <v>15</v>
      </c>
      <c r="K84" s="4" t="s">
        <v>75</v>
      </c>
      <c r="L84" s="7">
        <v>413</v>
      </c>
      <c r="M84" s="7">
        <v>313</v>
      </c>
      <c r="N84" s="4" t="s">
        <v>179</v>
      </c>
      <c r="O84" s="4" t="s">
        <v>185</v>
      </c>
    </row>
    <row r="85" spans="1:15" x14ac:dyDescent="0.25">
      <c r="A85" s="4" t="s">
        <v>72</v>
      </c>
      <c r="B85" s="4">
        <v>16202925</v>
      </c>
      <c r="C85" s="4" t="s">
        <v>130</v>
      </c>
      <c r="D85" s="4" t="s">
        <v>131</v>
      </c>
      <c r="E85" s="4" t="str">
        <f t="shared" si="3"/>
        <v>Susan Killeen</v>
      </c>
      <c r="F85" s="5" t="s">
        <v>132</v>
      </c>
      <c r="G85" s="5" t="s">
        <v>132</v>
      </c>
      <c r="H85" s="6">
        <v>45658</v>
      </c>
      <c r="I85" s="6">
        <v>45744</v>
      </c>
      <c r="J85" s="4" t="s">
        <v>15</v>
      </c>
      <c r="K85" s="4" t="s">
        <v>75</v>
      </c>
      <c r="L85" s="7">
        <v>413</v>
      </c>
      <c r="M85" s="7">
        <v>313</v>
      </c>
      <c r="N85" s="4" t="s">
        <v>179</v>
      </c>
      <c r="O85" s="4" t="s">
        <v>185</v>
      </c>
    </row>
    <row r="86" spans="1:15" x14ac:dyDescent="0.25">
      <c r="A86" s="4" t="s">
        <v>72</v>
      </c>
      <c r="B86" s="4">
        <v>16202925</v>
      </c>
      <c r="C86" s="4" t="s">
        <v>133</v>
      </c>
      <c r="D86" s="4" t="s">
        <v>134</v>
      </c>
      <c r="E86" s="4" t="str">
        <f t="shared" si="3"/>
        <v>Terry Stanholtz</v>
      </c>
      <c r="F86" s="5" t="s">
        <v>135</v>
      </c>
      <c r="G86" s="5" t="s">
        <v>135</v>
      </c>
      <c r="H86" s="6">
        <v>45658</v>
      </c>
      <c r="I86" s="6">
        <v>45744</v>
      </c>
      <c r="J86" s="4" t="s">
        <v>15</v>
      </c>
      <c r="K86" s="4" t="s">
        <v>75</v>
      </c>
      <c r="L86" s="7">
        <v>413</v>
      </c>
      <c r="M86" s="7">
        <v>313</v>
      </c>
      <c r="N86" s="4" t="s">
        <v>179</v>
      </c>
      <c r="O86" s="4" t="s">
        <v>185</v>
      </c>
    </row>
    <row r="87" spans="1:15" x14ac:dyDescent="0.25">
      <c r="A87" s="4" t="s">
        <v>72</v>
      </c>
      <c r="B87" s="4">
        <v>16202925</v>
      </c>
      <c r="C87" s="4" t="s">
        <v>136</v>
      </c>
      <c r="D87" s="4" t="s">
        <v>87</v>
      </c>
      <c r="E87" s="4" t="str">
        <f t="shared" si="3"/>
        <v>Thelma Almoney</v>
      </c>
      <c r="F87" s="5" t="s">
        <v>137</v>
      </c>
      <c r="G87" s="5" t="s">
        <v>137</v>
      </c>
      <c r="H87" s="6">
        <v>45658</v>
      </c>
      <c r="I87" s="6">
        <v>45744</v>
      </c>
      <c r="J87" s="4" t="s">
        <v>15</v>
      </c>
      <c r="K87" s="4" t="s">
        <v>75</v>
      </c>
      <c r="L87" s="7">
        <v>413</v>
      </c>
      <c r="M87" s="7">
        <v>313</v>
      </c>
      <c r="N87" s="4" t="s">
        <v>179</v>
      </c>
      <c r="O87" s="4" t="s">
        <v>185</v>
      </c>
    </row>
    <row r="88" spans="1:15" x14ac:dyDescent="0.25">
      <c r="A88" s="4" t="s">
        <v>72</v>
      </c>
      <c r="B88" s="4">
        <v>16202925</v>
      </c>
      <c r="C88" s="4" t="s">
        <v>138</v>
      </c>
      <c r="D88" s="4" t="s">
        <v>139</v>
      </c>
      <c r="E88" s="4" t="str">
        <f t="shared" si="3"/>
        <v>Victoria Jasinski</v>
      </c>
      <c r="F88" s="5" t="s">
        <v>140</v>
      </c>
      <c r="G88" s="5" t="s">
        <v>140</v>
      </c>
      <c r="H88" s="6">
        <v>45658</v>
      </c>
      <c r="I88" s="6">
        <v>45744</v>
      </c>
      <c r="J88" s="4" t="s">
        <v>15</v>
      </c>
      <c r="K88" s="4" t="s">
        <v>75</v>
      </c>
      <c r="L88" s="7">
        <v>413</v>
      </c>
      <c r="M88" s="7">
        <v>313</v>
      </c>
      <c r="N88" s="4" t="s">
        <v>179</v>
      </c>
      <c r="O88" s="4" t="s">
        <v>185</v>
      </c>
    </row>
    <row r="89" spans="1:15" x14ac:dyDescent="0.25">
      <c r="A89" s="4" t="s">
        <v>11</v>
      </c>
      <c r="B89" s="4">
        <v>5442438</v>
      </c>
      <c r="C89" s="4" t="s">
        <v>12</v>
      </c>
      <c r="D89" s="4" t="s">
        <v>13</v>
      </c>
      <c r="E89" s="4" t="str">
        <f t="shared" si="3"/>
        <v>Anne Johnson</v>
      </c>
      <c r="F89" s="5" t="s">
        <v>56</v>
      </c>
      <c r="G89" s="5" t="str">
        <f>CONCATENATE(F89,8)</f>
        <v>CareFirstMA0131202502428</v>
      </c>
      <c r="H89" s="6">
        <v>45658</v>
      </c>
      <c r="I89" s="6">
        <v>45744</v>
      </c>
      <c r="J89" s="4" t="s">
        <v>15</v>
      </c>
      <c r="K89" s="4" t="s">
        <v>57</v>
      </c>
      <c r="L89" s="7">
        <v>626</v>
      </c>
      <c r="M89" s="7">
        <v>626</v>
      </c>
      <c r="N89" s="4" t="s">
        <v>181</v>
      </c>
      <c r="O89" s="4" t="s">
        <v>186</v>
      </c>
    </row>
    <row r="90" spans="1:15" x14ac:dyDescent="0.25">
      <c r="A90" s="4" t="s">
        <v>11</v>
      </c>
      <c r="B90" s="4">
        <v>5442438</v>
      </c>
      <c r="C90" s="4" t="s">
        <v>17</v>
      </c>
      <c r="D90" s="4" t="s">
        <v>18</v>
      </c>
      <c r="E90" s="4" t="str">
        <f t="shared" si="3"/>
        <v>Christopher Malstrom</v>
      </c>
      <c r="F90" s="5" t="s">
        <v>58</v>
      </c>
      <c r="G90" s="5" t="str">
        <f t="shared" ref="G90:G105" si="4">CONCATENATE(F90,8)</f>
        <v>CareFirstMA0131202502438</v>
      </c>
      <c r="H90" s="6">
        <v>45658</v>
      </c>
      <c r="I90" s="6">
        <v>45744</v>
      </c>
      <c r="J90" s="4" t="s">
        <v>15</v>
      </c>
      <c r="K90" s="4" t="s">
        <v>57</v>
      </c>
      <c r="L90" s="7">
        <v>626</v>
      </c>
      <c r="M90" s="7">
        <v>626</v>
      </c>
      <c r="N90" s="4" t="s">
        <v>181</v>
      </c>
      <c r="O90" s="4" t="s">
        <v>186</v>
      </c>
    </row>
    <row r="91" spans="1:15" x14ac:dyDescent="0.25">
      <c r="A91" s="4" t="s">
        <v>11</v>
      </c>
      <c r="B91" s="4">
        <v>5442438</v>
      </c>
      <c r="C91" s="4" t="s">
        <v>26</v>
      </c>
      <c r="D91" s="4" t="s">
        <v>27</v>
      </c>
      <c r="E91" s="4" t="str">
        <f t="shared" si="3"/>
        <v>Debra King</v>
      </c>
      <c r="F91" s="5" t="s">
        <v>62</v>
      </c>
      <c r="G91" s="5" t="str">
        <f t="shared" si="4"/>
        <v>CareFirstMA0131202502468</v>
      </c>
      <c r="H91" s="6">
        <v>45658</v>
      </c>
      <c r="I91" s="6">
        <v>45744</v>
      </c>
      <c r="J91" s="4" t="s">
        <v>15</v>
      </c>
      <c r="K91" s="4" t="s">
        <v>57</v>
      </c>
      <c r="L91" s="7">
        <v>626</v>
      </c>
      <c r="M91" s="7">
        <v>626</v>
      </c>
      <c r="N91" s="4" t="s">
        <v>181</v>
      </c>
      <c r="O91" s="4" t="s">
        <v>186</v>
      </c>
    </row>
    <row r="92" spans="1:15" x14ac:dyDescent="0.25">
      <c r="A92" s="4" t="s">
        <v>11</v>
      </c>
      <c r="B92" s="4">
        <v>5442438</v>
      </c>
      <c r="C92" s="4" t="s">
        <v>29</v>
      </c>
      <c r="D92" s="4" t="s">
        <v>30</v>
      </c>
      <c r="E92" s="4" t="str">
        <f t="shared" si="3"/>
        <v>Donald Pistorio</v>
      </c>
      <c r="F92" s="5" t="s">
        <v>63</v>
      </c>
      <c r="G92" s="5" t="str">
        <f t="shared" si="4"/>
        <v>CareFirstMA0131202502478</v>
      </c>
      <c r="H92" s="6">
        <v>45658</v>
      </c>
      <c r="I92" s="6">
        <v>45744</v>
      </c>
      <c r="J92" s="4" t="s">
        <v>15</v>
      </c>
      <c r="K92" s="4" t="s">
        <v>57</v>
      </c>
      <c r="L92" s="7">
        <v>626</v>
      </c>
      <c r="M92" s="7">
        <v>626</v>
      </c>
      <c r="N92" s="4" t="s">
        <v>181</v>
      </c>
      <c r="O92" s="4" t="s">
        <v>186</v>
      </c>
    </row>
    <row r="93" spans="1:15" x14ac:dyDescent="0.25">
      <c r="A93" s="4" t="s">
        <v>11</v>
      </c>
      <c r="B93" s="4">
        <v>5442438</v>
      </c>
      <c r="C93" s="4" t="s">
        <v>32</v>
      </c>
      <c r="D93" s="4" t="s">
        <v>33</v>
      </c>
      <c r="E93" s="4" t="str">
        <f t="shared" si="3"/>
        <v>Donna Chang</v>
      </c>
      <c r="F93" s="5" t="s">
        <v>64</v>
      </c>
      <c r="G93" s="5" t="str">
        <f t="shared" si="4"/>
        <v>CareFirstMA0131202502488</v>
      </c>
      <c r="H93" s="6">
        <v>45658</v>
      </c>
      <c r="I93" s="6">
        <v>45744</v>
      </c>
      <c r="J93" s="4" t="s">
        <v>15</v>
      </c>
      <c r="K93" s="4" t="s">
        <v>57</v>
      </c>
      <c r="L93" s="7">
        <v>626</v>
      </c>
      <c r="M93" s="7">
        <v>626</v>
      </c>
      <c r="N93" s="4" t="s">
        <v>181</v>
      </c>
      <c r="O93" s="4" t="s">
        <v>186</v>
      </c>
    </row>
    <row r="94" spans="1:15" x14ac:dyDescent="0.25">
      <c r="A94" s="4" t="s">
        <v>11</v>
      </c>
      <c r="B94" s="4">
        <v>5442438</v>
      </c>
      <c r="C94" s="4" t="s">
        <v>35</v>
      </c>
      <c r="D94" s="4" t="s">
        <v>36</v>
      </c>
      <c r="E94" s="4" t="str">
        <f t="shared" si="3"/>
        <v>Gregory Arbutus</v>
      </c>
      <c r="F94" s="5" t="s">
        <v>65</v>
      </c>
      <c r="G94" s="5" t="str">
        <f t="shared" si="4"/>
        <v>CareFirstMA0131202502498</v>
      </c>
      <c r="H94" s="6">
        <v>45658</v>
      </c>
      <c r="I94" s="6">
        <v>45744</v>
      </c>
      <c r="J94" s="4" t="s">
        <v>15</v>
      </c>
      <c r="K94" s="4" t="s">
        <v>57</v>
      </c>
      <c r="L94" s="7">
        <v>626</v>
      </c>
      <c r="M94" s="7">
        <v>626</v>
      </c>
      <c r="N94" s="4" t="s">
        <v>181</v>
      </c>
      <c r="O94" s="4" t="s">
        <v>186</v>
      </c>
    </row>
    <row r="95" spans="1:15" x14ac:dyDescent="0.25">
      <c r="A95" s="4" t="s">
        <v>11</v>
      </c>
      <c r="B95" s="4">
        <v>5442438</v>
      </c>
      <c r="C95" s="4" t="s">
        <v>44</v>
      </c>
      <c r="D95" s="4" t="s">
        <v>45</v>
      </c>
      <c r="E95" s="4" t="str">
        <f t="shared" si="3"/>
        <v>Mary Baxter</v>
      </c>
      <c r="F95" s="5" t="s">
        <v>68</v>
      </c>
      <c r="G95" s="5" t="str">
        <f t="shared" si="4"/>
        <v>CareFirstMA0131202502528</v>
      </c>
      <c r="H95" s="6">
        <v>45658</v>
      </c>
      <c r="I95" s="6">
        <v>45744</v>
      </c>
      <c r="J95" s="4" t="s">
        <v>15</v>
      </c>
      <c r="K95" s="4" t="s">
        <v>57</v>
      </c>
      <c r="L95" s="7">
        <v>626</v>
      </c>
      <c r="M95" s="7">
        <v>626</v>
      </c>
      <c r="N95" s="4" t="s">
        <v>181</v>
      </c>
      <c r="O95" s="4" t="s">
        <v>186</v>
      </c>
    </row>
    <row r="96" spans="1:15" x14ac:dyDescent="0.25">
      <c r="A96" s="4" t="s">
        <v>11</v>
      </c>
      <c r="B96" s="4">
        <v>5442438</v>
      </c>
      <c r="C96" s="4" t="s">
        <v>53</v>
      </c>
      <c r="D96" s="4" t="s">
        <v>54</v>
      </c>
      <c r="E96" s="4" t="str">
        <f t="shared" si="3"/>
        <v>Wanda Paduano</v>
      </c>
      <c r="F96" s="5" t="s">
        <v>71</v>
      </c>
      <c r="G96" s="5" t="str">
        <f t="shared" si="4"/>
        <v>CareFirstMA0131202502558</v>
      </c>
      <c r="H96" s="6">
        <v>45658</v>
      </c>
      <c r="I96" s="6">
        <v>45744</v>
      </c>
      <c r="J96" s="4" t="s">
        <v>15</v>
      </c>
      <c r="K96" s="4" t="s">
        <v>57</v>
      </c>
      <c r="L96" s="7">
        <v>626</v>
      </c>
      <c r="M96" s="7">
        <v>626</v>
      </c>
      <c r="N96" s="4" t="s">
        <v>181</v>
      </c>
      <c r="O96" s="4" t="s">
        <v>186</v>
      </c>
    </row>
    <row r="97" spans="1:15" x14ac:dyDescent="0.25">
      <c r="A97" s="4" t="s">
        <v>11</v>
      </c>
      <c r="B97" s="4">
        <v>5442438</v>
      </c>
      <c r="C97" s="4" t="s">
        <v>122</v>
      </c>
      <c r="D97" s="4" t="s">
        <v>152</v>
      </c>
      <c r="E97" s="4" t="str">
        <f t="shared" si="3"/>
        <v>Sheila Robinson</v>
      </c>
      <c r="F97" s="5" t="s">
        <v>166</v>
      </c>
      <c r="G97" s="5" t="str">
        <f t="shared" si="4"/>
        <v>CareFirstMA0331202501378</v>
      </c>
      <c r="H97" s="6">
        <v>45717</v>
      </c>
      <c r="I97" s="6">
        <v>45744</v>
      </c>
      <c r="J97" s="4" t="s">
        <v>15</v>
      </c>
      <c r="K97" s="4" t="s">
        <v>57</v>
      </c>
      <c r="L97" s="7">
        <v>626</v>
      </c>
      <c r="M97" s="7">
        <v>626</v>
      </c>
      <c r="N97" s="4" t="s">
        <v>181</v>
      </c>
      <c r="O97" s="4" t="s">
        <v>186</v>
      </c>
    </row>
    <row r="98" spans="1:15" x14ac:dyDescent="0.25">
      <c r="A98" s="4" t="s">
        <v>72</v>
      </c>
      <c r="B98" s="4">
        <v>16202925</v>
      </c>
      <c r="C98" s="4" t="s">
        <v>76</v>
      </c>
      <c r="D98" s="4" t="s">
        <v>77</v>
      </c>
      <c r="E98" s="4" t="str">
        <f t="shared" ref="E98:E129" si="5">CONCATENATE(C98, " ",D98)</f>
        <v>Barbara Dorsey</v>
      </c>
      <c r="F98" s="5" t="s">
        <v>78</v>
      </c>
      <c r="G98" s="5" t="str">
        <f t="shared" si="4"/>
        <v>CareFirstMA0131202518718</v>
      </c>
      <c r="H98" s="6">
        <v>45658</v>
      </c>
      <c r="I98" s="6">
        <v>45744</v>
      </c>
      <c r="J98" s="4" t="s">
        <v>15</v>
      </c>
      <c r="K98" s="4" t="s">
        <v>79</v>
      </c>
      <c r="L98" s="7">
        <v>726</v>
      </c>
      <c r="M98" s="7">
        <v>626</v>
      </c>
      <c r="N98" s="4" t="s">
        <v>181</v>
      </c>
      <c r="O98" s="4" t="s">
        <v>186</v>
      </c>
    </row>
    <row r="99" spans="1:15" x14ac:dyDescent="0.25">
      <c r="A99" s="4" t="s">
        <v>72</v>
      </c>
      <c r="B99" s="4">
        <v>16202925</v>
      </c>
      <c r="C99" s="4" t="s">
        <v>26</v>
      </c>
      <c r="D99" s="4" t="s">
        <v>85</v>
      </c>
      <c r="E99" s="4" t="str">
        <f t="shared" si="5"/>
        <v>Debra Singley</v>
      </c>
      <c r="F99" s="5" t="s">
        <v>86</v>
      </c>
      <c r="G99" s="5" t="str">
        <f t="shared" si="4"/>
        <v>CareFirstMA0131202518748</v>
      </c>
      <c r="H99" s="6">
        <v>45658</v>
      </c>
      <c r="I99" s="6">
        <v>45744</v>
      </c>
      <c r="J99" s="4" t="s">
        <v>15</v>
      </c>
      <c r="K99" s="4" t="s">
        <v>79</v>
      </c>
      <c r="L99" s="7">
        <v>726</v>
      </c>
      <c r="M99" s="7">
        <v>626</v>
      </c>
      <c r="N99" s="4" t="s">
        <v>181</v>
      </c>
      <c r="O99" s="4" t="s">
        <v>186</v>
      </c>
    </row>
    <row r="100" spans="1:15" x14ac:dyDescent="0.25">
      <c r="A100" s="4" t="s">
        <v>72</v>
      </c>
      <c r="B100" s="4">
        <v>16202925</v>
      </c>
      <c r="C100" s="4" t="s">
        <v>106</v>
      </c>
      <c r="D100" s="4" t="s">
        <v>107</v>
      </c>
      <c r="E100" s="4" t="str">
        <f t="shared" si="5"/>
        <v>Patrick Wooten</v>
      </c>
      <c r="F100" s="5" t="s">
        <v>108</v>
      </c>
      <c r="G100" s="5" t="str">
        <f t="shared" si="4"/>
        <v>CareFirstMA0131202518828</v>
      </c>
      <c r="H100" s="6">
        <v>45658</v>
      </c>
      <c r="I100" s="6">
        <v>45744</v>
      </c>
      <c r="J100" s="4" t="s">
        <v>15</v>
      </c>
      <c r="K100" s="4" t="s">
        <v>79</v>
      </c>
      <c r="L100" s="7">
        <v>726</v>
      </c>
      <c r="M100" s="7">
        <v>626</v>
      </c>
      <c r="N100" s="4" t="s">
        <v>181</v>
      </c>
      <c r="O100" s="4" t="s">
        <v>186</v>
      </c>
    </row>
    <row r="101" spans="1:15" x14ac:dyDescent="0.25">
      <c r="A101" s="4" t="s">
        <v>72</v>
      </c>
      <c r="B101" s="4">
        <v>16202925</v>
      </c>
      <c r="C101" s="4" t="s">
        <v>111</v>
      </c>
      <c r="D101" s="4" t="s">
        <v>112</v>
      </c>
      <c r="E101" s="4" t="str">
        <f t="shared" si="5"/>
        <v>Robert Goldsmith</v>
      </c>
      <c r="F101" s="5" t="s">
        <v>113</v>
      </c>
      <c r="G101" s="5" t="str">
        <f t="shared" si="4"/>
        <v>CareFirstMA0131202518848</v>
      </c>
      <c r="H101" s="6">
        <v>45658</v>
      </c>
      <c r="I101" s="6">
        <v>45744</v>
      </c>
      <c r="J101" s="4" t="s">
        <v>15</v>
      </c>
      <c r="K101" s="4" t="s">
        <v>79</v>
      </c>
      <c r="L101" s="7">
        <v>726</v>
      </c>
      <c r="M101" s="7">
        <v>626</v>
      </c>
      <c r="N101" s="4" t="s">
        <v>181</v>
      </c>
      <c r="O101" s="4" t="s">
        <v>186</v>
      </c>
    </row>
    <row r="102" spans="1:15" x14ac:dyDescent="0.25">
      <c r="A102" s="4" t="s">
        <v>72</v>
      </c>
      <c r="B102" s="4">
        <v>16202925</v>
      </c>
      <c r="C102" s="4" t="s">
        <v>146</v>
      </c>
      <c r="D102" s="4" t="s">
        <v>147</v>
      </c>
      <c r="E102" s="4" t="str">
        <f t="shared" si="5"/>
        <v>Andrew Markopoulos</v>
      </c>
      <c r="F102" s="5">
        <v>904427090</v>
      </c>
      <c r="G102" s="5" t="str">
        <f t="shared" si="4"/>
        <v>9044270908</v>
      </c>
      <c r="H102" s="6">
        <v>45689</v>
      </c>
      <c r="I102" s="6">
        <v>45744</v>
      </c>
      <c r="J102" s="4" t="s">
        <v>15</v>
      </c>
      <c r="K102" s="4" t="s">
        <v>79</v>
      </c>
      <c r="L102" s="7">
        <v>726</v>
      </c>
      <c r="M102" s="7">
        <v>626</v>
      </c>
      <c r="N102" s="4" t="s">
        <v>181</v>
      </c>
      <c r="O102" s="4" t="s">
        <v>186</v>
      </c>
    </row>
    <row r="103" spans="1:15" x14ac:dyDescent="0.25">
      <c r="A103" s="4" t="s">
        <v>72</v>
      </c>
      <c r="B103" s="4">
        <v>16202925</v>
      </c>
      <c r="C103" s="4" t="s">
        <v>148</v>
      </c>
      <c r="D103" s="4" t="s">
        <v>149</v>
      </c>
      <c r="E103" s="4" t="str">
        <f t="shared" si="5"/>
        <v>Patricia Sheckells</v>
      </c>
      <c r="F103" s="5">
        <v>919944932</v>
      </c>
      <c r="G103" s="5" t="str">
        <f t="shared" si="4"/>
        <v>9199449328</v>
      </c>
      <c r="H103" s="6">
        <v>45689</v>
      </c>
      <c r="I103" s="6">
        <v>45744</v>
      </c>
      <c r="J103" s="4" t="s">
        <v>15</v>
      </c>
      <c r="K103" s="4" t="s">
        <v>79</v>
      </c>
      <c r="L103" s="7">
        <v>726</v>
      </c>
      <c r="M103" s="7">
        <v>626</v>
      </c>
      <c r="N103" s="4" t="s">
        <v>181</v>
      </c>
      <c r="O103" s="4" t="s">
        <v>186</v>
      </c>
    </row>
    <row r="104" spans="1:15" x14ac:dyDescent="0.25">
      <c r="A104" s="4" t="s">
        <v>72</v>
      </c>
      <c r="B104" s="4">
        <v>16202925</v>
      </c>
      <c r="C104" s="4" t="s">
        <v>150</v>
      </c>
      <c r="D104" s="4" t="s">
        <v>112</v>
      </c>
      <c r="E104" s="4" t="str">
        <f t="shared" si="5"/>
        <v>Charmon Goldsmith</v>
      </c>
      <c r="F104" s="5">
        <v>928103752</v>
      </c>
      <c r="G104" s="5" t="str">
        <f t="shared" si="4"/>
        <v>9281037528</v>
      </c>
      <c r="H104" s="6">
        <v>45689</v>
      </c>
      <c r="I104" s="6">
        <v>45744</v>
      </c>
      <c r="J104" s="4" t="s">
        <v>15</v>
      </c>
      <c r="K104" s="4" t="s">
        <v>79</v>
      </c>
      <c r="L104" s="7">
        <v>726</v>
      </c>
      <c r="M104" s="7">
        <v>626</v>
      </c>
      <c r="N104" s="4" t="s">
        <v>181</v>
      </c>
      <c r="O104" s="4" t="s">
        <v>186</v>
      </c>
    </row>
    <row r="105" spans="1:15" x14ac:dyDescent="0.25">
      <c r="A105" s="4" t="s">
        <v>72</v>
      </c>
      <c r="B105" s="4">
        <v>16202925</v>
      </c>
      <c r="C105" s="4" t="s">
        <v>169</v>
      </c>
      <c r="D105" s="4" t="s">
        <v>170</v>
      </c>
      <c r="E105" s="4" t="str">
        <f t="shared" si="5"/>
        <v>Elaise Mister</v>
      </c>
      <c r="F105" s="5" t="s">
        <v>171</v>
      </c>
      <c r="G105" s="5" t="str">
        <f t="shared" si="4"/>
        <v>CareFirstDSNP0228202500438</v>
      </c>
      <c r="H105" s="6">
        <v>45689</v>
      </c>
      <c r="I105" s="6">
        <v>45744</v>
      </c>
      <c r="J105" s="4" t="s">
        <v>172</v>
      </c>
      <c r="K105" s="4" t="s">
        <v>173</v>
      </c>
      <c r="L105" s="7">
        <v>726</v>
      </c>
      <c r="M105" s="7">
        <v>626</v>
      </c>
      <c r="N105" s="4" t="s">
        <v>181</v>
      </c>
      <c r="O105" s="4" t="s">
        <v>186</v>
      </c>
    </row>
  </sheetData>
  <sortState xmlns:xlrd2="http://schemas.microsoft.com/office/spreadsheetml/2017/richdata2" ref="A2:P110">
    <sortCondition ref="M2:M11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5601-CD3C-458F-9B78-7F46DE6E87AA}">
  <dimension ref="A1:J2"/>
  <sheetViews>
    <sheetView tabSelected="1" workbookViewId="0">
      <selection activeCell="C2" sqref="C2:D2"/>
    </sheetView>
  </sheetViews>
  <sheetFormatPr defaultRowHeight="15" x14ac:dyDescent="0.25"/>
  <cols>
    <col min="1" max="1" width="12.85546875" bestFit="1" customWidth="1"/>
    <col min="4" max="4" width="10.5703125" bestFit="1" customWidth="1"/>
    <col min="7" max="7" width="9.7109375" bestFit="1" customWidth="1"/>
    <col min="9" max="9" width="31.140625" bestFit="1" customWidth="1"/>
  </cols>
  <sheetData>
    <row r="1" spans="1:10" x14ac:dyDescent="0.25">
      <c r="A1" t="s">
        <v>156</v>
      </c>
      <c r="B1">
        <v>9079571</v>
      </c>
      <c r="C1" t="s">
        <v>148</v>
      </c>
      <c r="D1" t="s">
        <v>157</v>
      </c>
      <c r="F1" s="1">
        <v>45717</v>
      </c>
      <c r="G1" s="1">
        <v>45744</v>
      </c>
      <c r="H1" t="s">
        <v>15</v>
      </c>
      <c r="I1" t="s">
        <v>167</v>
      </c>
      <c r="J1" s="2">
        <v>100</v>
      </c>
    </row>
    <row r="2" spans="1:10" x14ac:dyDescent="0.25">
      <c r="A2" t="s">
        <v>156</v>
      </c>
      <c r="B2">
        <v>9079571</v>
      </c>
      <c r="C2" t="s">
        <v>159</v>
      </c>
      <c r="D2" t="s">
        <v>160</v>
      </c>
      <c r="F2" s="1">
        <v>45717</v>
      </c>
      <c r="G2" s="1">
        <v>45744</v>
      </c>
      <c r="H2" t="s">
        <v>15</v>
      </c>
      <c r="I2" t="s">
        <v>167</v>
      </c>
      <c r="J2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2025-03-31T13:28:03Z</dcterms:created>
  <dcterms:modified xsi:type="dcterms:W3CDTF">2025-03-31T20:18:01Z</dcterms:modified>
</cp:coreProperties>
</file>