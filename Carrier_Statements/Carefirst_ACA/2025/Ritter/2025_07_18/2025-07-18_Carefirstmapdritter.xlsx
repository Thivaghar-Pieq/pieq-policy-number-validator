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MAPD 07-18-25 Ritter\"/>
    </mc:Choice>
  </mc:AlternateContent>
  <xr:revisionPtr revIDLastSave="0" documentId="13_ncr:9_{7493EF26-AD29-44A5-91E0-CF2BDCF68B95}" xr6:coauthVersionLast="47" xr6:coauthVersionMax="47" xr10:uidLastSave="{00000000-0000-0000-0000-000000000000}"/>
  <bookViews>
    <workbookView xWindow="28680" yWindow="-120" windowWidth="29040" windowHeight="16440" activeTab="1" xr2:uid="{8625272A-FF35-4794-95F2-C9E2F076C584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11" i="2" l="1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<sst xmlns="http://schemas.openxmlformats.org/spreadsheetml/2006/main" count="161" uniqueCount="35">
  <si>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</si>
  <si>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</si>
  <si>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</si>
  <si>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</si>
  <si>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</si>
  <si>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</si>
  <si>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</si>
  <si>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</si>
  <si>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</si>
  <si>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</si>
  <si>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</si>
  <si>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</si>
  <si>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Ronald</t>
  </si>
  <si>
    <t>Michael</t>
  </si>
  <si>
    <t>Valerie</t>
  </si>
  <si>
    <t>Williams</t>
  </si>
  <si>
    <t>Roger</t>
  </si>
  <si>
    <t>Betty</t>
  </si>
  <si>
    <t>Thomas Kucan</t>
  </si>
  <si>
    <t>Copeland</t>
  </si>
  <si>
    <t>Carefirst</t>
  </si>
  <si>
    <t>CareFirst 2021-2025 Override Year 1</t>
  </si>
  <si>
    <t>Ronald Max</t>
  </si>
  <si>
    <t>Rayner</t>
  </si>
  <si>
    <t>Mcdonald</t>
  </si>
  <si>
    <t>Roger Jr</t>
  </si>
  <si>
    <t>Poole</t>
  </si>
  <si>
    <t>CareFirst 2025 Initial Street</t>
  </si>
  <si>
    <t>CareFirst</t>
  </si>
  <si>
    <t xml:space="preserve">CareFirst HRA Bonus Premium Period: </t>
  </si>
  <si>
    <t>Williams Jr</t>
  </si>
  <si>
    <t>CareFirst Ovr</t>
  </si>
  <si>
    <t>Carefirst MAPD 2025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</si>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</sst>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7698-B8EF-4289-8AE2-94F37CA5426D}">
  <dimension ref="A1:K631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9.57031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78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</v>
      </c>
      <c r="C2">
        <v>16202925</v>
      </c>
      <c r="D2" t="s">
        <v>13</v>
      </c>
      <c r="E2" t="s">
        <v>19</v>
      </c>
      <c r="F2">
        <v>900255109</v>
      </c>
      <c r="G2" s="1">
        <v>45839</v>
      </c>
      <c r="H2" s="1">
        <v>45856</v>
      </c>
      <c r="I2" t="s">
        <v>20</v>
      </c>
      <c r="J2" t="s">
        <v>21</v>
      </c>
      <c r="K2" s="2">
        <v>100</v>
      </c>
    </row>
    <row r="3" spans="1:11" x14ac:dyDescent="0.25">
      <c r="A3" t="s">
        <v>22</v>
      </c>
      <c r="C3">
        <v>5442438</v>
      </c>
      <c r="D3" t="s">
        <v>12</v>
      </c>
      <c r="E3" t="s">
        <v>23</v>
      </c>
      <c r="F3">
        <v>902805345</v>
      </c>
      <c r="G3" s="1">
        <v>45839</v>
      </c>
      <c r="H3" s="1">
        <v>45856</v>
      </c>
      <c r="I3" t="s">
        <v>20</v>
      </c>
      <c r="J3" t="s">
        <v>21</v>
      </c>
      <c r="K3" s="2">
        <v>100</v>
      </c>
    </row>
    <row r="4" spans="1:11" x14ac:dyDescent="0.25">
      <c r="A4" t="s">
        <v>11</v>
      </c>
      <c r="B4">
        <v>9079571</v>
      </c>
      <c r="C4">
        <v>9079571</v>
      </c>
      <c r="D4" t="s">
        <v>17</v>
      </c>
      <c r="E4" t="s">
        <v>24</v>
      </c>
      <c r="F4">
        <v>929856662</v>
      </c>
      <c r="G4" s="1">
        <v>45839</v>
      </c>
      <c r="H4" s="1">
        <v>45856</v>
      </c>
      <c r="I4" t="s">
        <v>20</v>
      </c>
      <c r="J4" t="s">
        <v>21</v>
      </c>
      <c r="K4" s="2">
        <v>100</v>
      </c>
    </row>
    <row r="5" spans="1:11" x14ac:dyDescent="0.25">
      <c r="A5" t="s">
        <v>18</v>
      </c>
      <c r="C5">
        <v>16202925</v>
      </c>
      <c r="D5" t="s">
        <v>15</v>
      </c>
      <c r="E5" t="s">
        <v>25</v>
      </c>
      <c r="F5">
        <v>929914682</v>
      </c>
      <c r="G5" s="1">
        <v>45839</v>
      </c>
      <c r="H5" s="1">
        <v>45856</v>
      </c>
      <c r="I5" t="s">
        <v>20</v>
      </c>
      <c r="J5" t="s">
        <v>21</v>
      </c>
      <c r="K5" s="2">
        <v>100</v>
      </c>
    </row>
    <row r="6" spans="1:11" x14ac:dyDescent="0.25">
      <c r="A6" t="s">
        <v>22</v>
      </c>
      <c r="C6">
        <v>5442438</v>
      </c>
      <c r="D6" t="s">
        <v>14</v>
      </c>
      <c r="E6" t="s">
        <v>26</v>
      </c>
      <c r="F6">
        <v>929953922</v>
      </c>
      <c r="G6" s="1">
        <v>45839</v>
      </c>
      <c r="H6" s="1">
        <v>45856</v>
      </c>
      <c r="I6" t="s">
        <v>20</v>
      </c>
      <c r="J6" t="s">
        <v>21</v>
      </c>
      <c r="K6" s="2">
        <v>100</v>
      </c>
    </row>
    <row r="7" spans="1:11" x14ac:dyDescent="0.25">
      <c r="A7" t="s">
        <v>18</v>
      </c>
      <c r="C7">
        <v>16202925</v>
      </c>
      <c r="D7" t="s">
        <v>13</v>
      </c>
      <c r="E7" t="s">
        <v>19</v>
      </c>
      <c r="F7">
        <v>900255109</v>
      </c>
      <c r="G7" s="1">
        <v>45839</v>
      </c>
      <c r="H7" s="1">
        <v>45856</v>
      </c>
      <c r="I7" t="s">
        <v>20</v>
      </c>
      <c r="J7" t="s">
        <v>27</v>
      </c>
      <c r="K7" s="2">
        <v>626</v>
      </c>
    </row>
    <row r="8" spans="1:11" x14ac:dyDescent="0.25">
      <c r="A8" t="s">
        <v>22</v>
      </c>
      <c r="C8">
        <v>5442438</v>
      </c>
      <c r="D8" t="s">
        <v>12</v>
      </c>
      <c r="E8" t="s">
        <v>23</v>
      </c>
      <c r="F8">
        <v>902805345</v>
      </c>
      <c r="G8" s="1">
        <v>45839</v>
      </c>
      <c r="H8" s="1">
        <v>45856</v>
      </c>
      <c r="I8" t="s">
        <v>20</v>
      </c>
      <c r="J8" t="s">
        <v>27</v>
      </c>
      <c r="K8" s="2">
        <v>626</v>
      </c>
    </row>
    <row r="9" spans="1:11" x14ac:dyDescent="0.25">
      <c r="A9" t="s">
        <v>11</v>
      </c>
      <c r="B9">
        <v>9079571</v>
      </c>
      <c r="C9">
        <v>9079571</v>
      </c>
      <c r="D9" t="s">
        <v>17</v>
      </c>
      <c r="E9" t="s">
        <v>24</v>
      </c>
      <c r="F9">
        <v>929856662</v>
      </c>
      <c r="G9" s="1">
        <v>45839</v>
      </c>
      <c r="H9" s="1">
        <v>45856</v>
      </c>
      <c r="I9" t="s">
        <v>20</v>
      </c>
      <c r="J9" t="s">
        <v>27</v>
      </c>
      <c r="K9" s="2">
        <v>626</v>
      </c>
    </row>
    <row r="10" spans="1:11" x14ac:dyDescent="0.25">
      <c r="A10" t="s">
        <v>18</v>
      </c>
      <c r="C10">
        <v>16202925</v>
      </c>
      <c r="D10" t="s">
        <v>15</v>
      </c>
      <c r="E10" t="s">
        <v>25</v>
      </c>
      <c r="F10">
        <v>929914682</v>
      </c>
      <c r="G10" s="1">
        <v>45839</v>
      </c>
      <c r="H10" s="1">
        <v>45856</v>
      </c>
      <c r="I10" t="s">
        <v>20</v>
      </c>
      <c r="J10" t="s">
        <v>27</v>
      </c>
      <c r="K10" s="2">
        <v>626</v>
      </c>
    </row>
    <row r="11" spans="1:11" x14ac:dyDescent="0.25">
      <c r="A11" t="s">
        <v>22</v>
      </c>
      <c r="C11">
        <v>5442438</v>
      </c>
      <c r="D11" t="s">
        <v>14</v>
      </c>
      <c r="E11" t="s">
        <v>26</v>
      </c>
      <c r="F11">
        <v>929953922</v>
      </c>
      <c r="G11" s="1">
        <v>45839</v>
      </c>
      <c r="H11" s="1">
        <v>45856</v>
      </c>
      <c r="I11" t="s">
        <v>20</v>
      </c>
      <c r="J11" t="s">
        <v>27</v>
      </c>
      <c r="K11" s="2">
        <v>626</v>
      </c>
    </row>
    <row r="12" spans="1:11" x14ac:dyDescent="0.25">
      <c r="A12" t="s">
        <v>18</v>
      </c>
      <c r="C12">
        <v>16202925</v>
      </c>
      <c r="D12" t="s">
        <v>13</v>
      </c>
      <c r="E12" t="s">
        <v>19</v>
      </c>
      <c r="F12">
        <v>900255109</v>
      </c>
      <c r="G12" s="1">
        <v>45839</v>
      </c>
      <c r="H12" s="1">
        <v>45856</v>
      </c>
      <c r="I12" t="s">
        <v>28</v>
      </c>
      <c r="J12" t="s">
        <v>29</v>
      </c>
      <c r="K12" s="2">
        <v>100</v>
      </c>
    </row>
    <row r="13" spans="1:11" x14ac:dyDescent="0.25">
      <c r="A13" t="s">
        <v>18</v>
      </c>
      <c r="C13">
        <v>16202925</v>
      </c>
      <c r="D13" t="s">
        <v>30</v>
      </c>
      <c r="E13" t="s">
        <v>16</v>
      </c>
      <c r="F13">
        <v>929914682</v>
      </c>
      <c r="G13" s="1">
        <v>45839</v>
      </c>
      <c r="H13" s="1">
        <v>45856</v>
      </c>
      <c r="I13" t="s">
        <v>28</v>
      </c>
      <c r="J13" t="s">
        <v>29</v>
      </c>
      <c r="K13" s="2">
        <v>100</v>
      </c>
    </row>
    <row r="14" spans="1:11" x14ac:dyDescent="0.25">
      <c r="A14" t="s">
        <v>11</v>
      </c>
      <c r="B14">
        <v>9079571</v>
      </c>
      <c r="C14">
        <v>9079571</v>
      </c>
      <c r="D14" t="s">
        <v>17</v>
      </c>
      <c r="E14" t="s">
        <v>24</v>
      </c>
      <c r="F14">
        <v>929856662</v>
      </c>
      <c r="G14" s="1">
        <v>45839</v>
      </c>
      <c r="H14" s="1">
        <v>45856</v>
      </c>
      <c r="I14" t="s">
        <v>28</v>
      </c>
      <c r="J14" t="s">
        <v>29</v>
      </c>
      <c r="K14" s="2">
        <v>100</v>
      </c>
    </row>
    <row r="15" spans="1:11" x14ac:dyDescent="0.25">
      <c r="A15" t="s">
        <v>22</v>
      </c>
      <c r="C15">
        <v>5442438</v>
      </c>
      <c r="D15" t="s">
        <v>12</v>
      </c>
      <c r="E15" t="s">
        <v>23</v>
      </c>
      <c r="F15">
        <v>902805345</v>
      </c>
      <c r="G15" s="1">
        <v>45839</v>
      </c>
      <c r="H15" s="1">
        <v>45856</v>
      </c>
      <c r="I15" t="s">
        <v>28</v>
      </c>
      <c r="J15" t="s">
        <v>29</v>
      </c>
      <c r="K15" s="2">
        <v>100</v>
      </c>
    </row>
    <row r="16" spans="1:11" x14ac:dyDescent="0.25">
      <c r="A16" t="s">
        <v>22</v>
      </c>
      <c r="C16">
        <v>5442438</v>
      </c>
      <c r="D16" t="s">
        <v>14</v>
      </c>
      <c r="E16" t="s">
        <v>26</v>
      </c>
      <c r="F16">
        <v>929953922</v>
      </c>
      <c r="G16" s="1">
        <v>45839</v>
      </c>
      <c r="H16" s="1">
        <v>45856</v>
      </c>
      <c r="I16" t="s">
        <v>28</v>
      </c>
      <c r="J16" t="s">
        <v>29</v>
      </c>
      <c r="K16" s="2">
        <v>100</v>
      </c>
    </row>
    <row r="17" spans="7:11" x14ac:dyDescent="0.25">
      <c r="G17" s="1"/>
      <c r="H17" s="1"/>
      <c r="K17" s="2"/>
    </row>
    <row r="18" spans="7:11" x14ac:dyDescent="0.25">
      <c r="G18" s="1"/>
      <c r="H18" s="1"/>
      <c r="K18" s="2"/>
    </row>
    <row r="572" spans="7:11" x14ac:dyDescent="0.25">
      <c r="G572" s="1"/>
      <c r="H572" s="1"/>
      <c r="K572" s="2"/>
    </row>
    <row r="573" spans="7:11" x14ac:dyDescent="0.25">
      <c r="G573" s="1"/>
      <c r="H573" s="1"/>
      <c r="K573" s="2"/>
    </row>
    <row r="602" spans="7:11" x14ac:dyDescent="0.25">
      <c r="G602" s="1"/>
      <c r="H602" s="1"/>
      <c r="K602" s="2"/>
    </row>
    <row r="603" spans="7:11" x14ac:dyDescent="0.25">
      <c r="G603" s="1"/>
      <c r="H603" s="1"/>
      <c r="K603" s="2"/>
    </row>
    <row r="630" spans="7:11" x14ac:dyDescent="0.25">
      <c r="G630" s="1"/>
      <c r="H630" s="1"/>
      <c r="K630" s="2"/>
    </row>
    <row r="631" spans="7:11" x14ac:dyDescent="0.25">
      <c r="G631" s="1"/>
      <c r="H631" s="1"/>
      <c r="K631" s="2"/>
    </row>
  </sheetData>
  <sortState xmlns:xlrd2="http://schemas.microsoft.com/office/spreadsheetml/2017/richdata2" ref="A2:K982">
    <sortCondition ref="I2:I9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36A7-56A9-45A4-9243-8F2216276ED7}">
  <dimension ref="A1:N626"/>
  <sheetViews>
    <sheetView tabSelected="1" workbookViewId="0">
      <selection activeCell="N2" sqref="N2:N11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3.28515625" style="3" bestFit="1" customWidth="1"/>
    <col min="4" max="4" width="19.5703125" style="3" bestFit="1" customWidth="1"/>
    <col min="5" max="5" width="19.5703125" style="3" customWidth="1"/>
    <col min="6" max="6" width="12" style="3" bestFit="1" customWidth="1"/>
    <col min="7" max="7" width="12" style="3" customWidth="1"/>
    <col min="8" max="8" width="11.85546875" style="3" bestFit="1" customWidth="1"/>
    <col min="9" max="9" width="14.7109375" style="3" bestFit="1" customWidth="1"/>
    <col min="10" max="10" width="8.7109375" style="3" customWidth="1"/>
    <col min="11" max="11" width="25.140625" style="3" customWidth="1"/>
    <col min="12" max="12" width="15.7109375" style="3" bestFit="1" customWidth="1"/>
    <col min="13" max="13" width="19.140625" style="3" bestFit="1" customWidth="1"/>
    <col min="14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4" x14ac:dyDescent="0.25">
      <c r="A2" s="3" t="s">
        <v>34</v>
      </c>
      <c r="B2" s="3">
        <v>20411454</v>
      </c>
      <c r="C2" s="3" t="s">
        <v>13</v>
      </c>
      <c r="D2" s="3" t="s">
        <v>19</v>
      </c>
      <c r="E2" s="3" t="str">
        <f>CONCATENATE(C2, " ", D2)</f>
        <v>Michael Copeland</v>
      </c>
      <c r="F2" s="3">
        <v>900255109</v>
      </c>
      <c r="G2" s="3" t="str">
        <f>CONCATENATE(F2,1)</f>
        <v>9002551091</v>
      </c>
      <c r="H2" s="4">
        <v>45839</v>
      </c>
      <c r="I2" s="4">
        <v>45856</v>
      </c>
      <c r="J2" s="3" t="s">
        <v>20</v>
      </c>
      <c r="K2" s="3" t="s">
        <v>21</v>
      </c>
      <c r="L2" s="5">
        <v>100</v>
      </c>
      <c r="M2" s="3" t="s">
        <v>31</v>
      </c>
    </row>
    <row r="3" spans="1:14" x14ac:dyDescent="0.25">
      <c r="A3" s="3" t="s">
        <v>34</v>
      </c>
      <c r="B3" s="3">
        <v>20411454</v>
      </c>
      <c r="C3" s="3" t="s">
        <v>12</v>
      </c>
      <c r="D3" s="3" t="s">
        <v>23</v>
      </c>
      <c r="E3" s="3" t="str">
        <f t="shared" ref="E3:E11" si="0">CONCATENATE(C3, " ", D3)</f>
        <v>Ronald Rayner</v>
      </c>
      <c r="F3" s="3">
        <v>902805345</v>
      </c>
      <c r="G3" s="3" t="str">
        <f t="shared" ref="G3:G6" si="1">CONCATENATE(F3,1)</f>
        <v>9028053451</v>
      </c>
      <c r="H3" s="4">
        <v>45839</v>
      </c>
      <c r="I3" s="4">
        <v>45856</v>
      </c>
      <c r="J3" s="3" t="s">
        <v>20</v>
      </c>
      <c r="K3" s="3" t="s">
        <v>21</v>
      </c>
      <c r="L3" s="5">
        <v>100</v>
      </c>
      <c r="M3" s="3" t="s">
        <v>31</v>
      </c>
    </row>
    <row r="4" spans="1:14" x14ac:dyDescent="0.25">
      <c r="A4" s="3" t="s">
        <v>34</v>
      </c>
      <c r="B4" s="3">
        <v>20411454</v>
      </c>
      <c r="C4" s="3" t="s">
        <v>17</v>
      </c>
      <c r="D4" s="3" t="s">
        <v>24</v>
      </c>
      <c r="E4" s="3" t="str">
        <f t="shared" si="0"/>
        <v>Betty Mcdonald</v>
      </c>
      <c r="F4" s="3">
        <v>929856662</v>
      </c>
      <c r="G4" s="3" t="str">
        <f t="shared" si="1"/>
        <v>9298566621</v>
      </c>
      <c r="H4" s="4">
        <v>45839</v>
      </c>
      <c r="I4" s="4">
        <v>45856</v>
      </c>
      <c r="J4" s="3" t="s">
        <v>20</v>
      </c>
      <c r="K4" s="3" t="s">
        <v>21</v>
      </c>
      <c r="L4" s="5">
        <v>100</v>
      </c>
      <c r="M4" s="3" t="s">
        <v>31</v>
      </c>
    </row>
    <row r="5" spans="1:14" x14ac:dyDescent="0.25">
      <c r="A5" s="3" t="s">
        <v>34</v>
      </c>
      <c r="B5" s="3">
        <v>20411454</v>
      </c>
      <c r="C5" s="3" t="s">
        <v>15</v>
      </c>
      <c r="D5" s="3" t="s">
        <v>25</v>
      </c>
      <c r="E5" s="3" t="str">
        <f t="shared" si="0"/>
        <v>Williams Roger Jr</v>
      </c>
      <c r="F5" s="3">
        <v>929914682</v>
      </c>
      <c r="G5" s="3" t="str">
        <f t="shared" si="1"/>
        <v>9299146821</v>
      </c>
      <c r="H5" s="4">
        <v>45839</v>
      </c>
      <c r="I5" s="4">
        <v>45856</v>
      </c>
      <c r="J5" s="3" t="s">
        <v>20</v>
      </c>
      <c r="K5" s="3" t="s">
        <v>21</v>
      </c>
      <c r="L5" s="5">
        <v>100</v>
      </c>
      <c r="M5" s="3" t="s">
        <v>31</v>
      </c>
    </row>
    <row r="6" spans="1:14" x14ac:dyDescent="0.25">
      <c r="A6" s="3" t="s">
        <v>34</v>
      </c>
      <c r="B6" s="3">
        <v>20411454</v>
      </c>
      <c r="C6" s="3" t="s">
        <v>14</v>
      </c>
      <c r="D6" s="3" t="s">
        <v>26</v>
      </c>
      <c r="E6" s="3" t="str">
        <f t="shared" si="0"/>
        <v>Valerie Poole</v>
      </c>
      <c r="F6" s="3">
        <v>929953922</v>
      </c>
      <c r="G6" s="3" t="str">
        <f t="shared" si="1"/>
        <v>9299539221</v>
      </c>
      <c r="H6" s="4">
        <v>45839</v>
      </c>
      <c r="I6" s="4">
        <v>45856</v>
      </c>
      <c r="J6" s="3" t="s">
        <v>20</v>
      </c>
      <c r="K6" s="3" t="s">
        <v>21</v>
      </c>
      <c r="L6" s="5">
        <v>100</v>
      </c>
      <c r="M6" s="3" t="s">
        <v>31</v>
      </c>
    </row>
    <row r="7" spans="1:14" x14ac:dyDescent="0.25">
      <c r="A7" s="3" t="s">
        <v>18</v>
      </c>
      <c r="B7" s="3">
        <v>16202925</v>
      </c>
      <c r="C7" s="3" t="s">
        <v>13</v>
      </c>
      <c r="D7" s="3" t="s">
        <v>19</v>
      </c>
      <c r="E7" s="3" t="str">
        <f t="shared" si="0"/>
        <v>Michael Copeland</v>
      </c>
      <c r="F7" s="3">
        <v>900255109</v>
      </c>
      <c r="G7" s="3" t="str">
        <f>CONCATENATE(F7,8)</f>
        <v>9002551098</v>
      </c>
      <c r="H7" s="4">
        <v>45839</v>
      </c>
      <c r="I7" s="4">
        <v>45856</v>
      </c>
      <c r="J7" s="3" t="s">
        <v>20</v>
      </c>
      <c r="K7" s="3" t="s">
        <v>27</v>
      </c>
      <c r="L7" s="5">
        <v>626</v>
      </c>
      <c r="M7" s="3" t="s">
        <v>32</v>
      </c>
      <c r="N7" s="3" t="s">
        <v>33</v>
      </c>
    </row>
    <row r="8" spans="1:14" x14ac:dyDescent="0.25">
      <c r="A8" s="3" t="s">
        <v>22</v>
      </c>
      <c r="B8" s="3">
        <v>5442438</v>
      </c>
      <c r="C8" s="3" t="s">
        <v>12</v>
      </c>
      <c r="D8" s="3" t="s">
        <v>23</v>
      </c>
      <c r="E8" s="3" t="str">
        <f t="shared" si="0"/>
        <v>Ronald Rayner</v>
      </c>
      <c r="F8" s="3">
        <v>902805345</v>
      </c>
      <c r="G8" s="3" t="str">
        <f t="shared" ref="G8:G11" si="2">CONCATENATE(F8,8)</f>
        <v>9028053458</v>
      </c>
      <c r="H8" s="4">
        <v>45839</v>
      </c>
      <c r="I8" s="4">
        <v>45856</v>
      </c>
      <c r="J8" s="3" t="s">
        <v>20</v>
      </c>
      <c r="K8" s="3" t="s">
        <v>27</v>
      </c>
      <c r="L8" s="5">
        <v>626</v>
      </c>
      <c r="M8" s="3" t="s">
        <v>32</v>
      </c>
      <c r="N8" s="3" t="s">
        <v>33</v>
      </c>
    </row>
    <row r="9" spans="1:14" x14ac:dyDescent="0.25">
      <c r="A9" s="3" t="s">
        <v>11</v>
      </c>
      <c r="B9" s="3">
        <v>9079571</v>
      </c>
      <c r="C9" s="3" t="s">
        <v>17</v>
      </c>
      <c r="D9" s="3" t="s">
        <v>24</v>
      </c>
      <c r="E9" s="3" t="str">
        <f t="shared" si="0"/>
        <v>Betty Mcdonald</v>
      </c>
      <c r="F9" s="3">
        <v>929856662</v>
      </c>
      <c r="G9" s="3" t="str">
        <f t="shared" si="2"/>
        <v>9298566628</v>
      </c>
      <c r="H9" s="4">
        <v>45839</v>
      </c>
      <c r="I9" s="4">
        <v>45856</v>
      </c>
      <c r="J9" s="3" t="s">
        <v>20</v>
      </c>
      <c r="K9" s="3" t="s">
        <v>27</v>
      </c>
      <c r="L9" s="5">
        <v>626</v>
      </c>
      <c r="M9" s="3" t="s">
        <v>32</v>
      </c>
      <c r="N9" s="3" t="s">
        <v>33</v>
      </c>
    </row>
    <row r="10" spans="1:14" x14ac:dyDescent="0.25">
      <c r="A10" s="3" t="s">
        <v>18</v>
      </c>
      <c r="B10" s="3">
        <v>16202925</v>
      </c>
      <c r="C10" s="3" t="s">
        <v>15</v>
      </c>
      <c r="D10" s="3" t="s">
        <v>25</v>
      </c>
      <c r="E10" s="3" t="str">
        <f t="shared" si="0"/>
        <v>Williams Roger Jr</v>
      </c>
      <c r="F10" s="3">
        <v>929914682</v>
      </c>
      <c r="G10" s="3" t="str">
        <f t="shared" si="2"/>
        <v>9299146828</v>
      </c>
      <c r="H10" s="4">
        <v>45839</v>
      </c>
      <c r="I10" s="4">
        <v>45856</v>
      </c>
      <c r="J10" s="3" t="s">
        <v>20</v>
      </c>
      <c r="K10" s="3" t="s">
        <v>27</v>
      </c>
      <c r="L10" s="5">
        <v>626</v>
      </c>
      <c r="M10" s="3" t="s">
        <v>32</v>
      </c>
      <c r="N10" s="3" t="s">
        <v>33</v>
      </c>
    </row>
    <row r="11" spans="1:14" ht="14.25" customHeight="1" x14ac:dyDescent="0.25">
      <c r="A11" s="3" t="s">
        <v>22</v>
      </c>
      <c r="B11" s="3">
        <v>5442438</v>
      </c>
      <c r="C11" s="3" t="s">
        <v>14</v>
      </c>
      <c r="D11" s="3" t="s">
        <v>26</v>
      </c>
      <c r="E11" s="3" t="str">
        <f t="shared" si="0"/>
        <v>Valerie Poole</v>
      </c>
      <c r="F11" s="3">
        <v>929953922</v>
      </c>
      <c r="G11" s="3" t="str">
        <f t="shared" si="2"/>
        <v>9299539228</v>
      </c>
      <c r="H11" s="4">
        <v>45839</v>
      </c>
      <c r="I11" s="4">
        <v>45856</v>
      </c>
      <c r="J11" s="3" t="s">
        <v>20</v>
      </c>
      <c r="K11" s="3" t="s">
        <v>27</v>
      </c>
      <c r="L11" s="5">
        <v>626</v>
      </c>
      <c r="M11" s="3" t="s">
        <v>32</v>
      </c>
      <c r="N11" s="3" t="s">
        <v>33</v>
      </c>
    </row>
    <row r="12" spans="1:14" x14ac:dyDescent="0.25">
      <c r="H12" s="4"/>
      <c r="I12" s="4"/>
      <c r="L12" s="5"/>
    </row>
    <row r="13" spans="1:14" x14ac:dyDescent="0.25">
      <c r="H13" s="4"/>
      <c r="I13" s="4"/>
      <c r="L13" s="5"/>
    </row>
    <row r="567" spans="8:12" x14ac:dyDescent="0.25">
      <c r="H567" s="4"/>
      <c r="I567" s="4"/>
      <c r="L567" s="5"/>
    </row>
    <row r="568" spans="8:12" x14ac:dyDescent="0.25">
      <c r="H568" s="4"/>
      <c r="I568" s="4"/>
      <c r="L568" s="5"/>
    </row>
    <row r="597" spans="8:12" x14ac:dyDescent="0.25">
      <c r="H597" s="4"/>
      <c r="I597" s="4"/>
      <c r="L597" s="5"/>
    </row>
    <row r="598" spans="8:12" x14ac:dyDescent="0.25">
      <c r="H598" s="4"/>
      <c r="I598" s="4"/>
      <c r="L598" s="5"/>
    </row>
    <row r="625" spans="8:12" x14ac:dyDescent="0.25">
      <c r="H625" s="4"/>
      <c r="I625" s="4"/>
      <c r="L625" s="5"/>
    </row>
    <row r="626" spans="8:12" x14ac:dyDescent="0.25">
      <c r="H626" s="4"/>
      <c r="I626" s="4"/>
      <c r="L626" s="5"/>
    </row>
  </sheetData>
  <sortState xmlns:xlrd2="http://schemas.microsoft.com/office/spreadsheetml/2017/richdata2" ref="A2:M11">
    <sortCondition ref="K2:K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2025-07-18T16:36:21Z</dcterms:created>
  <dcterms:modified xsi:type="dcterms:W3CDTF">2025-07-18T18:30:15Z</dcterms:modified>
</cp:coreProperties>
</file>