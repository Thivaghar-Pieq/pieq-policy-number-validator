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Ritter\Carefirst MAPD 10-03-25 Ritter\"/>
    </mc:Choice>
  </mc:AlternateContent>
  <xr:revisionPtr revIDLastSave="0" documentId="13_ncr:1_{1913062E-8886-4F32-85A8-85734C24F7D6}" xr6:coauthVersionLast="47" xr6:coauthVersionMax="47" xr10:uidLastSave="{00000000-0000-0000-0000-000000000000}"/>
  <bookViews>
    <workbookView xWindow="28680" yWindow="-120" windowWidth="29040" windowHeight="16440" activeTab="1" xr2:uid="{4678559E-CB74-4273-B991-36083E0B0E0F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  <c r="G9" i="2"/>
  <c r="G10" i="2"/>
  <c r="G11" i="2"/>
  <c r="G12" i="2"/>
  <c r="G13" i="2"/>
  <c r="G8" i="2"/>
  <c r="G3" i="2"/>
  <c r="G2" i="2"/>
  <c r="O4" i="2"/>
  <c r="O7" i="2"/>
</calcChain>
</file>

<file path=xl/sharedStrings.xml><?xml version="1.0" encoding="utf-8"?>
<sst xmlns="http://schemas.openxmlformats.org/spreadsheetml/2006/main" count="190" uniqueCount="44">
  <si>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</si>
  <si>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</si>
  <si>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</si>
  <si>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</si>
  <si>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</si>
  <si>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</si>
  <si>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</si>
  <si>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</si>
  <si>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</si>
  <si>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</si>
  <si>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</si>
  <si>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Thomas Kucan</t>
  </si>
  <si>
    <t>Warren</t>
  </si>
  <si>
    <t>Frizzell</t>
  </si>
  <si>
    <t>Carefirst</t>
  </si>
  <si>
    <t>CareFirst 2025 Replace Street (ProRata: 4)</t>
  </si>
  <si>
    <t>CareFirst 2021-2026 Override Year 1</t>
  </si>
  <si>
    <t>Ronald Max</t>
  </si>
  <si>
    <t>Michele</t>
  </si>
  <si>
    <t>Tucker</t>
  </si>
  <si>
    <t>John</t>
  </si>
  <si>
    <t>Nash</t>
  </si>
  <si>
    <t>Adam Richter</t>
  </si>
  <si>
    <t>Diane</t>
  </si>
  <si>
    <t>Nelson</t>
  </si>
  <si>
    <t>Matchell</t>
  </si>
  <si>
    <t>Lysic</t>
  </si>
  <si>
    <t>CareFirst09302025012</t>
  </si>
  <si>
    <t>CareFirst09302025013</t>
  </si>
  <si>
    <t>CareFirst 2025 Initial Street</t>
  </si>
  <si>
    <t>Irene</t>
  </si>
  <si>
    <t>Meng</t>
  </si>
  <si>
    <t>CareFirst 2025 Initial Street (ProRata: -4)</t>
  </si>
  <si>
    <t>CareFirst 2021-2026 Override Year 1 (ProRata: -4)</t>
  </si>
  <si>
    <t>CareFirst</t>
  </si>
  <si>
    <t xml:space="preserve">CareFirst HRA Bonus Premium Period: </t>
  </si>
  <si>
    <t>CareFirstHRA09302025003</t>
  </si>
  <si>
    <t>CareFirst Ovr</t>
  </si>
  <si>
    <t>Carefirst MAPD 2025*</t>
  </si>
  <si>
    <t>Carefirst MAPD 2025</t>
  </si>
  <si>
    <t>[%/$=313][prorate=4/12]</t>
  </si>
  <si>
    <t>[%/$=313][prorate=8/12]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</si>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</sst>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4016F-C890-433A-A2FC-EF5BDFA54A1D}">
  <dimension ref="A1:K18"/>
  <sheetViews>
    <sheetView workbookViewId="0">
      <selection sqref="A1:XFD1048576"/>
    </sheetView>
  </sheetViews>
  <sheetFormatPr defaultRowHeight="15" x14ac:dyDescent="0.25"/>
  <cols>
    <col min="9" max="9" width="12.7109375" bestFit="1" customWidth="1"/>
    <col min="10" max="10" width="4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16202925</v>
      </c>
      <c r="D2" t="s">
        <v>12</v>
      </c>
      <c r="E2" t="s">
        <v>13</v>
      </c>
      <c r="F2">
        <v>900245527</v>
      </c>
      <c r="G2" s="1">
        <v>45901</v>
      </c>
      <c r="H2" s="1">
        <v>45933</v>
      </c>
      <c r="I2" t="s">
        <v>14</v>
      </c>
      <c r="J2" t="s">
        <v>15</v>
      </c>
      <c r="K2" s="2">
        <v>104.33</v>
      </c>
    </row>
    <row r="3" spans="1:11" x14ac:dyDescent="0.25">
      <c r="A3" t="s">
        <v>11</v>
      </c>
      <c r="C3">
        <v>16202925</v>
      </c>
      <c r="D3" t="s">
        <v>12</v>
      </c>
      <c r="E3" t="s">
        <v>13</v>
      </c>
      <c r="F3">
        <v>900245527</v>
      </c>
      <c r="G3" s="1">
        <v>45901</v>
      </c>
      <c r="H3" s="1">
        <v>45933</v>
      </c>
      <c r="I3" t="s">
        <v>14</v>
      </c>
      <c r="J3" t="s">
        <v>16</v>
      </c>
      <c r="K3" s="2">
        <v>150</v>
      </c>
    </row>
    <row r="4" spans="1:11" x14ac:dyDescent="0.25">
      <c r="A4" t="s">
        <v>17</v>
      </c>
      <c r="C4">
        <v>5442438</v>
      </c>
      <c r="D4" t="s">
        <v>18</v>
      </c>
      <c r="E4" t="s">
        <v>19</v>
      </c>
      <c r="F4">
        <v>900925930</v>
      </c>
      <c r="G4" s="1">
        <v>45901</v>
      </c>
      <c r="H4" s="1">
        <v>45933</v>
      </c>
      <c r="I4" t="s">
        <v>14</v>
      </c>
      <c r="J4" t="s">
        <v>16</v>
      </c>
      <c r="K4" s="2">
        <v>150</v>
      </c>
    </row>
    <row r="5" spans="1:11" x14ac:dyDescent="0.25">
      <c r="A5" t="s">
        <v>11</v>
      </c>
      <c r="C5">
        <v>16202925</v>
      </c>
      <c r="D5" t="s">
        <v>20</v>
      </c>
      <c r="E5" t="s">
        <v>21</v>
      </c>
      <c r="F5">
        <v>930186402</v>
      </c>
      <c r="G5" s="1">
        <v>45901</v>
      </c>
      <c r="H5" s="1">
        <v>45933</v>
      </c>
      <c r="I5" t="s">
        <v>14</v>
      </c>
      <c r="J5" t="s">
        <v>16</v>
      </c>
      <c r="K5" s="2">
        <v>150</v>
      </c>
    </row>
    <row r="6" spans="1:11" x14ac:dyDescent="0.25">
      <c r="A6" t="s">
        <v>22</v>
      </c>
      <c r="C6">
        <v>9079571</v>
      </c>
      <c r="D6" t="s">
        <v>23</v>
      </c>
      <c r="E6" t="s">
        <v>24</v>
      </c>
      <c r="F6">
        <v>930327172</v>
      </c>
      <c r="G6" s="1">
        <v>45901</v>
      </c>
      <c r="H6" s="1">
        <v>45933</v>
      </c>
      <c r="I6" t="s">
        <v>14</v>
      </c>
      <c r="J6" t="s">
        <v>15</v>
      </c>
      <c r="K6" s="2">
        <v>104.33</v>
      </c>
    </row>
    <row r="7" spans="1:11" x14ac:dyDescent="0.25">
      <c r="A7" t="s">
        <v>22</v>
      </c>
      <c r="C7">
        <v>9079571</v>
      </c>
      <c r="D7" t="s">
        <v>23</v>
      </c>
      <c r="E7" t="s">
        <v>24</v>
      </c>
      <c r="F7">
        <v>930327172</v>
      </c>
      <c r="G7" s="1">
        <v>45901</v>
      </c>
      <c r="H7" s="1">
        <v>45933</v>
      </c>
      <c r="I7" t="s">
        <v>14</v>
      </c>
      <c r="J7" t="s">
        <v>16</v>
      </c>
      <c r="K7" s="2">
        <v>150</v>
      </c>
    </row>
    <row r="8" spans="1:11" x14ac:dyDescent="0.25">
      <c r="A8" t="s">
        <v>22</v>
      </c>
      <c r="C8">
        <v>9079571</v>
      </c>
      <c r="D8" t="s">
        <v>25</v>
      </c>
      <c r="E8" t="s">
        <v>26</v>
      </c>
      <c r="F8" t="s">
        <v>27</v>
      </c>
      <c r="G8" s="1">
        <v>45901</v>
      </c>
      <c r="H8" s="1">
        <v>45933</v>
      </c>
      <c r="I8" t="s">
        <v>14</v>
      </c>
      <c r="J8" t="s">
        <v>16</v>
      </c>
      <c r="K8" s="2">
        <v>150</v>
      </c>
    </row>
    <row r="9" spans="1:11" x14ac:dyDescent="0.25">
      <c r="A9" t="s">
        <v>22</v>
      </c>
      <c r="C9">
        <v>9079571</v>
      </c>
      <c r="D9" t="s">
        <v>25</v>
      </c>
      <c r="E9" t="s">
        <v>26</v>
      </c>
      <c r="F9" t="s">
        <v>28</v>
      </c>
      <c r="G9" s="1">
        <v>45901</v>
      </c>
      <c r="H9" s="1">
        <v>45933</v>
      </c>
      <c r="I9" t="s">
        <v>14</v>
      </c>
      <c r="J9" t="s">
        <v>15</v>
      </c>
      <c r="K9" s="2">
        <v>104.33</v>
      </c>
    </row>
    <row r="10" spans="1:11" x14ac:dyDescent="0.25">
      <c r="A10" t="s">
        <v>17</v>
      </c>
      <c r="C10">
        <v>5442438</v>
      </c>
      <c r="D10" t="s">
        <v>18</v>
      </c>
      <c r="E10" t="s">
        <v>19</v>
      </c>
      <c r="F10">
        <v>900925930</v>
      </c>
      <c r="G10" s="1">
        <v>45901</v>
      </c>
      <c r="H10" s="1">
        <v>45933</v>
      </c>
      <c r="I10" t="s">
        <v>14</v>
      </c>
      <c r="J10" t="s">
        <v>29</v>
      </c>
      <c r="K10" s="2">
        <v>626</v>
      </c>
    </row>
    <row r="11" spans="1:11" x14ac:dyDescent="0.25">
      <c r="A11" t="s">
        <v>22</v>
      </c>
      <c r="B11">
        <v>9079571</v>
      </c>
      <c r="C11">
        <v>9079571</v>
      </c>
      <c r="D11" t="s">
        <v>30</v>
      </c>
      <c r="E11" t="s">
        <v>31</v>
      </c>
      <c r="F11">
        <v>928650672</v>
      </c>
      <c r="G11" s="1">
        <v>45658</v>
      </c>
      <c r="H11" s="1">
        <v>45933</v>
      </c>
      <c r="I11" t="s">
        <v>14</v>
      </c>
      <c r="J11" t="s">
        <v>32</v>
      </c>
      <c r="K11" s="2">
        <v>-208.66</v>
      </c>
    </row>
    <row r="12" spans="1:11" x14ac:dyDescent="0.25">
      <c r="A12" t="s">
        <v>22</v>
      </c>
      <c r="B12">
        <v>9079571</v>
      </c>
      <c r="C12">
        <v>9079571</v>
      </c>
      <c r="D12" t="s">
        <v>30</v>
      </c>
      <c r="E12" t="s">
        <v>31</v>
      </c>
      <c r="F12">
        <v>928650672</v>
      </c>
      <c r="G12" s="1">
        <v>45658</v>
      </c>
      <c r="H12" s="1">
        <v>45933</v>
      </c>
      <c r="I12" t="s">
        <v>14</v>
      </c>
      <c r="J12" t="s">
        <v>33</v>
      </c>
      <c r="K12" s="2">
        <v>-33.33</v>
      </c>
    </row>
    <row r="13" spans="1:11" x14ac:dyDescent="0.25">
      <c r="A13" t="s">
        <v>11</v>
      </c>
      <c r="C13">
        <v>16202925</v>
      </c>
      <c r="D13" t="s">
        <v>20</v>
      </c>
      <c r="E13" t="s">
        <v>21</v>
      </c>
      <c r="F13">
        <v>930186402</v>
      </c>
      <c r="G13" s="1">
        <v>45901</v>
      </c>
      <c r="H13" s="1">
        <v>45933</v>
      </c>
      <c r="I13" t="s">
        <v>14</v>
      </c>
      <c r="J13" t="s">
        <v>29</v>
      </c>
      <c r="K13" s="2">
        <v>626</v>
      </c>
    </row>
    <row r="14" spans="1:11" x14ac:dyDescent="0.25">
      <c r="A14" t="s">
        <v>11</v>
      </c>
      <c r="C14">
        <v>16202925</v>
      </c>
      <c r="D14" t="s">
        <v>12</v>
      </c>
      <c r="E14" t="s">
        <v>13</v>
      </c>
      <c r="F14">
        <v>900245527</v>
      </c>
      <c r="G14" s="1">
        <v>45901</v>
      </c>
      <c r="H14" s="1">
        <v>45933</v>
      </c>
      <c r="I14" t="s">
        <v>34</v>
      </c>
      <c r="J14" t="s">
        <v>35</v>
      </c>
      <c r="K14" s="2">
        <v>100</v>
      </c>
    </row>
    <row r="15" spans="1:11" x14ac:dyDescent="0.25">
      <c r="A15" t="s">
        <v>17</v>
      </c>
      <c r="C15">
        <v>5442438</v>
      </c>
      <c r="D15" t="s">
        <v>18</v>
      </c>
      <c r="E15" t="s">
        <v>19</v>
      </c>
      <c r="F15">
        <v>900925930</v>
      </c>
      <c r="G15" s="1">
        <v>45901</v>
      </c>
      <c r="H15" s="1">
        <v>45933</v>
      </c>
      <c r="I15" t="s">
        <v>34</v>
      </c>
      <c r="J15" t="s">
        <v>35</v>
      </c>
      <c r="K15" s="2">
        <v>100</v>
      </c>
    </row>
    <row r="16" spans="1:11" x14ac:dyDescent="0.25">
      <c r="A16" t="s">
        <v>11</v>
      </c>
      <c r="C16">
        <v>16202925</v>
      </c>
      <c r="D16" t="s">
        <v>20</v>
      </c>
      <c r="E16" t="s">
        <v>21</v>
      </c>
      <c r="F16">
        <v>930186402</v>
      </c>
      <c r="G16" s="1">
        <v>45901</v>
      </c>
      <c r="H16" s="1">
        <v>45933</v>
      </c>
      <c r="I16" t="s">
        <v>34</v>
      </c>
      <c r="J16" t="s">
        <v>35</v>
      </c>
      <c r="K16" s="2">
        <v>100</v>
      </c>
    </row>
    <row r="17" spans="1:11" x14ac:dyDescent="0.25">
      <c r="A17" t="s">
        <v>22</v>
      </c>
      <c r="C17">
        <v>9079571</v>
      </c>
      <c r="D17" t="s">
        <v>23</v>
      </c>
      <c r="E17" t="s">
        <v>24</v>
      </c>
      <c r="F17">
        <v>930327172</v>
      </c>
      <c r="G17" s="1">
        <v>45901</v>
      </c>
      <c r="H17" s="1">
        <v>45933</v>
      </c>
      <c r="I17" t="s">
        <v>34</v>
      </c>
      <c r="J17" t="s">
        <v>35</v>
      </c>
      <c r="K17" s="2">
        <v>100</v>
      </c>
    </row>
    <row r="18" spans="1:11" x14ac:dyDescent="0.25">
      <c r="A18" t="s">
        <v>22</v>
      </c>
      <c r="C18">
        <v>9079571</v>
      </c>
      <c r="D18" t="s">
        <v>25</v>
      </c>
      <c r="E18" t="s">
        <v>26</v>
      </c>
      <c r="F18" t="s">
        <v>36</v>
      </c>
      <c r="G18" s="1">
        <v>45901</v>
      </c>
      <c r="H18" s="1">
        <v>45933</v>
      </c>
      <c r="I18" t="s">
        <v>34</v>
      </c>
      <c r="J18" t="s">
        <v>35</v>
      </c>
      <c r="K18" s="2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E141-D93D-47A3-BEE3-349DACC2554A}">
  <dimension ref="A1:O18"/>
  <sheetViews>
    <sheetView tabSelected="1" workbookViewId="0">
      <selection activeCell="N2" sqref="N2:N13"/>
    </sheetView>
  </sheetViews>
  <sheetFormatPr defaultRowHeight="15" x14ac:dyDescent="0.25"/>
  <cols>
    <col min="1" max="1" width="17.7109375" bestFit="1" customWidth="1"/>
    <col min="2" max="2" width="10.7109375" bestFit="1" customWidth="1"/>
    <col min="5" max="5" width="14.5703125" bestFit="1" customWidth="1"/>
    <col min="6" max="6" width="24" style="3" bestFit="1" customWidth="1"/>
    <col min="7" max="7" width="24" style="3" customWidth="1"/>
    <col min="9" max="9" width="14.7109375" bestFit="1" customWidth="1"/>
    <col min="10" max="10" width="12.7109375" bestFit="1" customWidth="1"/>
    <col min="11" max="11" width="44.5703125" bestFit="1" customWidth="1"/>
    <col min="13" max="13" width="28.85546875" bestFit="1" customWidth="1"/>
    <col min="14" max="14" width="23.1406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F1" s="3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5" x14ac:dyDescent="0.25">
      <c r="A2" t="s">
        <v>17</v>
      </c>
      <c r="B2">
        <v>5442438</v>
      </c>
      <c r="C2" t="s">
        <v>18</v>
      </c>
      <c r="D2" t="s">
        <v>19</v>
      </c>
      <c r="E2" t="str">
        <f>CONCATENATE(C2, " ",D2)</f>
        <v>Michele Tucker</v>
      </c>
      <c r="F2" s="3">
        <v>900925930</v>
      </c>
      <c r="G2" s="3" t="str">
        <f>CONCATENATE(F2,8)</f>
        <v>9009259308</v>
      </c>
      <c r="H2" s="1">
        <v>45901</v>
      </c>
      <c r="I2" s="1">
        <v>45933</v>
      </c>
      <c r="J2" t="s">
        <v>14</v>
      </c>
      <c r="K2" t="s">
        <v>29</v>
      </c>
      <c r="L2" s="2">
        <v>626</v>
      </c>
      <c r="M2" t="s">
        <v>39</v>
      </c>
      <c r="N2" t="s">
        <v>42</v>
      </c>
    </row>
    <row r="3" spans="1:15" x14ac:dyDescent="0.25">
      <c r="A3" t="s">
        <v>11</v>
      </c>
      <c r="B3">
        <v>16202925</v>
      </c>
      <c r="C3" t="s">
        <v>20</v>
      </c>
      <c r="D3" t="s">
        <v>21</v>
      </c>
      <c r="E3" t="str">
        <f t="shared" ref="E3:E13" si="0">CONCATENATE(C3, " ",D3)</f>
        <v>John Nash</v>
      </c>
      <c r="F3" s="3">
        <v>930186402</v>
      </c>
      <c r="G3" s="3" t="str">
        <f>CONCATENATE(F3,8)</f>
        <v>9301864028</v>
      </c>
      <c r="H3" s="1">
        <v>45901</v>
      </c>
      <c r="I3" s="1">
        <v>45933</v>
      </c>
      <c r="J3" t="s">
        <v>14</v>
      </c>
      <c r="K3" t="s">
        <v>29</v>
      </c>
      <c r="L3" s="2">
        <v>626</v>
      </c>
      <c r="M3" t="s">
        <v>39</v>
      </c>
      <c r="N3" t="s">
        <v>42</v>
      </c>
    </row>
    <row r="4" spans="1:15" x14ac:dyDescent="0.25">
      <c r="A4" t="s">
        <v>11</v>
      </c>
      <c r="B4">
        <v>16202925</v>
      </c>
      <c r="C4" t="s">
        <v>12</v>
      </c>
      <c r="D4" t="s">
        <v>13</v>
      </c>
      <c r="E4" t="str">
        <f t="shared" si="0"/>
        <v>Warren Frizzell</v>
      </c>
      <c r="F4" s="3">
        <v>900245527</v>
      </c>
      <c r="G4" s="3">
        <v>900245527</v>
      </c>
      <c r="H4" s="1">
        <v>45901</v>
      </c>
      <c r="I4" s="1">
        <v>45933</v>
      </c>
      <c r="J4" t="s">
        <v>14</v>
      </c>
      <c r="K4" t="s">
        <v>15</v>
      </c>
      <c r="L4" s="2">
        <v>104.33</v>
      </c>
      <c r="M4" t="s">
        <v>38</v>
      </c>
      <c r="N4" t="s">
        <v>40</v>
      </c>
      <c r="O4">
        <f>313/12*4</f>
        <v>104.33333333333333</v>
      </c>
    </row>
    <row r="5" spans="1:15" x14ac:dyDescent="0.25">
      <c r="A5" t="s">
        <v>22</v>
      </c>
      <c r="B5">
        <v>9079571</v>
      </c>
      <c r="C5" t="s">
        <v>23</v>
      </c>
      <c r="D5" t="s">
        <v>24</v>
      </c>
      <c r="E5" t="str">
        <f t="shared" si="0"/>
        <v>Diane Nelson</v>
      </c>
      <c r="F5" s="3">
        <v>930327172</v>
      </c>
      <c r="G5" s="3">
        <v>930327172</v>
      </c>
      <c r="H5" s="1">
        <v>45901</v>
      </c>
      <c r="I5" s="1">
        <v>45933</v>
      </c>
      <c r="J5" t="s">
        <v>14</v>
      </c>
      <c r="K5" t="s">
        <v>15</v>
      </c>
      <c r="L5" s="2">
        <v>104.33</v>
      </c>
      <c r="M5" t="s">
        <v>38</v>
      </c>
      <c r="N5" t="s">
        <v>40</v>
      </c>
    </row>
    <row r="6" spans="1:15" x14ac:dyDescent="0.25">
      <c r="A6" t="s">
        <v>22</v>
      </c>
      <c r="B6">
        <v>9079571</v>
      </c>
      <c r="C6" t="s">
        <v>25</v>
      </c>
      <c r="D6" t="s">
        <v>26</v>
      </c>
      <c r="E6" t="str">
        <f t="shared" si="0"/>
        <v>Matchell Lysic</v>
      </c>
      <c r="F6" s="3" t="s">
        <v>28</v>
      </c>
      <c r="G6" s="3" t="s">
        <v>28</v>
      </c>
      <c r="H6" s="1">
        <v>45901</v>
      </c>
      <c r="I6" s="1">
        <v>45933</v>
      </c>
      <c r="J6" t="s">
        <v>14</v>
      </c>
      <c r="K6" t="s">
        <v>15</v>
      </c>
      <c r="L6" s="2">
        <v>104.33</v>
      </c>
      <c r="M6" t="s">
        <v>38</v>
      </c>
      <c r="N6" t="s">
        <v>40</v>
      </c>
    </row>
    <row r="7" spans="1:15" x14ac:dyDescent="0.25">
      <c r="A7" t="s">
        <v>22</v>
      </c>
      <c r="B7">
        <v>9079571</v>
      </c>
      <c r="C7" t="s">
        <v>30</v>
      </c>
      <c r="D7" t="s">
        <v>31</v>
      </c>
      <c r="E7" t="str">
        <f t="shared" si="0"/>
        <v>Irene Meng</v>
      </c>
      <c r="F7" s="3">
        <v>928650672</v>
      </c>
      <c r="G7" s="3">
        <v>928650672</v>
      </c>
      <c r="H7" s="1">
        <v>45658</v>
      </c>
      <c r="I7" s="1">
        <v>45933</v>
      </c>
      <c r="J7" t="s">
        <v>14</v>
      </c>
      <c r="K7" t="s">
        <v>32</v>
      </c>
      <c r="L7" s="2">
        <v>-208.66</v>
      </c>
      <c r="M7" t="s">
        <v>38</v>
      </c>
      <c r="N7" t="s">
        <v>41</v>
      </c>
      <c r="O7">
        <f>313/12*8</f>
        <v>208.66666666666666</v>
      </c>
    </row>
    <row r="8" spans="1:15" x14ac:dyDescent="0.25">
      <c r="A8" t="s">
        <v>43</v>
      </c>
      <c r="B8">
        <v>20411454</v>
      </c>
      <c r="C8" t="s">
        <v>12</v>
      </c>
      <c r="D8" t="s">
        <v>13</v>
      </c>
      <c r="E8" t="str">
        <f t="shared" si="0"/>
        <v>Warren Frizzell</v>
      </c>
      <c r="F8" s="3">
        <v>900245527</v>
      </c>
      <c r="G8" s="3" t="str">
        <f>CONCATENATE(F8,"OVR")</f>
        <v>900245527OVR</v>
      </c>
      <c r="H8" s="1">
        <v>45901</v>
      </c>
      <c r="I8" s="1">
        <v>45933</v>
      </c>
      <c r="J8" t="s">
        <v>14</v>
      </c>
      <c r="K8" t="s">
        <v>16</v>
      </c>
      <c r="L8" s="2">
        <v>150</v>
      </c>
      <c r="M8" t="s">
        <v>37</v>
      </c>
    </row>
    <row r="9" spans="1:15" x14ac:dyDescent="0.25">
      <c r="A9" t="s">
        <v>43</v>
      </c>
      <c r="B9">
        <v>20411454</v>
      </c>
      <c r="C9" t="s">
        <v>18</v>
      </c>
      <c r="D9" t="s">
        <v>19</v>
      </c>
      <c r="E9" t="str">
        <f t="shared" si="0"/>
        <v>Michele Tucker</v>
      </c>
      <c r="F9" s="3">
        <v>900925930</v>
      </c>
      <c r="G9" s="3" t="str">
        <f t="shared" ref="G9:G13" si="1">CONCATENATE(F9,"OVR")</f>
        <v>900925930OVR</v>
      </c>
      <c r="H9" s="1">
        <v>45901</v>
      </c>
      <c r="I9" s="1">
        <v>45933</v>
      </c>
      <c r="J9" t="s">
        <v>14</v>
      </c>
      <c r="K9" t="s">
        <v>16</v>
      </c>
      <c r="L9" s="2">
        <v>150</v>
      </c>
      <c r="M9" t="s">
        <v>37</v>
      </c>
    </row>
    <row r="10" spans="1:15" x14ac:dyDescent="0.25">
      <c r="A10" t="s">
        <v>43</v>
      </c>
      <c r="B10">
        <v>20411454</v>
      </c>
      <c r="C10" t="s">
        <v>20</v>
      </c>
      <c r="D10" t="s">
        <v>21</v>
      </c>
      <c r="E10" t="str">
        <f t="shared" si="0"/>
        <v>John Nash</v>
      </c>
      <c r="F10" s="3">
        <v>930186402</v>
      </c>
      <c r="G10" s="3" t="str">
        <f t="shared" si="1"/>
        <v>930186402OVR</v>
      </c>
      <c r="H10" s="1">
        <v>45901</v>
      </c>
      <c r="I10" s="1">
        <v>45933</v>
      </c>
      <c r="J10" t="s">
        <v>14</v>
      </c>
      <c r="K10" t="s">
        <v>16</v>
      </c>
      <c r="L10" s="2">
        <v>150</v>
      </c>
      <c r="M10" t="s">
        <v>37</v>
      </c>
    </row>
    <row r="11" spans="1:15" x14ac:dyDescent="0.25">
      <c r="A11" t="s">
        <v>43</v>
      </c>
      <c r="B11">
        <v>20411454</v>
      </c>
      <c r="C11" t="s">
        <v>23</v>
      </c>
      <c r="D11" t="s">
        <v>24</v>
      </c>
      <c r="E11" t="str">
        <f t="shared" si="0"/>
        <v>Diane Nelson</v>
      </c>
      <c r="F11" s="3">
        <v>930327172</v>
      </c>
      <c r="G11" s="3" t="str">
        <f t="shared" si="1"/>
        <v>930327172OVR</v>
      </c>
      <c r="H11" s="1">
        <v>45901</v>
      </c>
      <c r="I11" s="1">
        <v>45933</v>
      </c>
      <c r="J11" t="s">
        <v>14</v>
      </c>
      <c r="K11" t="s">
        <v>16</v>
      </c>
      <c r="L11" s="2">
        <v>150</v>
      </c>
      <c r="M11" t="s">
        <v>37</v>
      </c>
    </row>
    <row r="12" spans="1:15" x14ac:dyDescent="0.25">
      <c r="A12" t="s">
        <v>43</v>
      </c>
      <c r="B12">
        <v>20411454</v>
      </c>
      <c r="C12" t="s">
        <v>25</v>
      </c>
      <c r="D12" t="s">
        <v>26</v>
      </c>
      <c r="E12" t="str">
        <f t="shared" si="0"/>
        <v>Matchell Lysic</v>
      </c>
      <c r="F12" s="3" t="s">
        <v>27</v>
      </c>
      <c r="G12" s="3" t="str">
        <f t="shared" si="1"/>
        <v>CareFirst09302025012OVR</v>
      </c>
      <c r="H12" s="1">
        <v>45901</v>
      </c>
      <c r="I12" s="1">
        <v>45933</v>
      </c>
      <c r="J12" t="s">
        <v>14</v>
      </c>
      <c r="K12" t="s">
        <v>16</v>
      </c>
      <c r="L12" s="2">
        <v>150</v>
      </c>
      <c r="M12" t="s">
        <v>37</v>
      </c>
    </row>
    <row r="13" spans="1:15" x14ac:dyDescent="0.25">
      <c r="A13" t="s">
        <v>43</v>
      </c>
      <c r="B13">
        <v>20411454</v>
      </c>
      <c r="C13" t="s">
        <v>30</v>
      </c>
      <c r="D13" t="s">
        <v>31</v>
      </c>
      <c r="E13" t="str">
        <f t="shared" si="0"/>
        <v>Irene Meng</v>
      </c>
      <c r="F13" s="3">
        <v>928650672</v>
      </c>
      <c r="G13" s="3" t="str">
        <f t="shared" si="1"/>
        <v>928650672OVR</v>
      </c>
      <c r="H13" s="1">
        <v>45658</v>
      </c>
      <c r="I13" s="1">
        <v>45933</v>
      </c>
      <c r="J13" t="s">
        <v>14</v>
      </c>
      <c r="K13" t="s">
        <v>33</v>
      </c>
      <c r="L13" s="2">
        <v>-33.33</v>
      </c>
      <c r="M13" t="s">
        <v>37</v>
      </c>
    </row>
    <row r="14" spans="1:15" x14ac:dyDescent="0.25">
      <c r="H14" s="1"/>
      <c r="I14" s="1"/>
      <c r="L14" s="2"/>
    </row>
    <row r="15" spans="1:15" x14ac:dyDescent="0.25">
      <c r="H15" s="1"/>
      <c r="I15" s="1"/>
      <c r="L15" s="2"/>
    </row>
    <row r="16" spans="1:15" x14ac:dyDescent="0.25">
      <c r="H16" s="1"/>
      <c r="I16" s="1"/>
      <c r="L16" s="2"/>
    </row>
    <row r="17" spans="8:12" x14ac:dyDescent="0.25">
      <c r="H17" s="1"/>
      <c r="I17" s="1"/>
      <c r="L17" s="2"/>
    </row>
    <row r="18" spans="8:12" x14ac:dyDescent="0.25">
      <c r="H18" s="1"/>
      <c r="I18" s="1"/>
      <c r="L18" s="2"/>
    </row>
  </sheetData>
  <sortState xmlns:xlrd2="http://schemas.microsoft.com/office/spreadsheetml/2017/richdata2" ref="A2:O13">
    <sortCondition ref="M2:M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2025-10-03T18:26:51Z</dcterms:created>
  <dcterms:modified xsi:type="dcterms:W3CDTF">2025-10-03T21:37:27Z</dcterms:modified>
</cp:coreProperties>
</file>