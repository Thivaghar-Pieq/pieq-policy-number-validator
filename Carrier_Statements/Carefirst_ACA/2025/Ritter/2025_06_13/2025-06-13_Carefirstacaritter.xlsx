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ACA 06-13-25 Ritter\"/>
    </mc:Choice>
  </mc:AlternateContent>
  <xr:revisionPtr revIDLastSave="0" documentId="13_ncr:1_{FE3DC696-9E92-443D-AEF0-6FDB3688B162}" xr6:coauthVersionLast="47" xr6:coauthVersionMax="47" xr10:uidLastSave="{00000000-0000-0000-0000-000000000000}"/>
  <bookViews>
    <workbookView xWindow="28680" yWindow="-120" windowWidth="29040" windowHeight="16440" activeTab="1" xr2:uid="{EF1B6EA5-645D-4FB7-BF98-7A9C88C06AB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E14" i="2"/>
  <c r="E15" i="2"/>
  <c r="E21" i="2"/>
  <c r="E37" i="2"/>
  <c r="E47" i="2"/>
  <c r="E19" i="2"/>
  <c r="E29" i="2"/>
  <c r="E30" i="2"/>
  <c r="E20" i="2"/>
  <c r="E40" i="2"/>
  <c r="E5" i="2"/>
  <c r="E7" i="2"/>
  <c r="E8" i="2"/>
  <c r="E42" i="2"/>
  <c r="E2" i="2"/>
  <c r="E3" i="2"/>
  <c r="E26" i="2"/>
  <c r="E34" i="2"/>
  <c r="E17" i="2"/>
  <c r="E35" i="2"/>
  <c r="E4" i="2"/>
  <c r="E57" i="2"/>
  <c r="E54" i="2"/>
  <c r="E12" i="2"/>
  <c r="E13" i="2"/>
  <c r="E46" i="2"/>
  <c r="E50" i="2"/>
  <c r="E10" i="2"/>
  <c r="E56" i="2"/>
  <c r="E53" i="2"/>
  <c r="E22" i="2"/>
  <c r="E38" i="2"/>
  <c r="E39" i="2"/>
  <c r="E41" i="2"/>
  <c r="E25" i="2"/>
  <c r="E23" i="2"/>
  <c r="E11" i="2"/>
  <c r="E48" i="2"/>
  <c r="E32" i="2"/>
  <c r="E24" i="2"/>
  <c r="E6" i="2"/>
  <c r="E9" i="2"/>
  <c r="E51" i="2"/>
  <c r="E44" i="2"/>
  <c r="E45" i="2"/>
  <c r="E28" i="2"/>
  <c r="E36" i="2"/>
  <c r="E33" i="2"/>
  <c r="E43" i="2"/>
  <c r="E31" i="2"/>
  <c r="E49" i="2"/>
  <c r="E58" i="2"/>
  <c r="E52" i="2"/>
  <c r="E27" i="2"/>
  <c r="E55" i="2"/>
  <c r="E18" i="2"/>
  <c r="G57" i="2"/>
  <c r="G55" i="2"/>
  <c r="G27" i="2"/>
  <c r="G52" i="2"/>
  <c r="G58" i="2"/>
  <c r="G49" i="2"/>
  <c r="G31" i="2"/>
  <c r="G43" i="2"/>
  <c r="G33" i="2"/>
  <c r="G36" i="2"/>
  <c r="G28" i="2"/>
  <c r="G45" i="2"/>
  <c r="G44" i="2"/>
  <c r="G51" i="2"/>
  <c r="G9" i="2"/>
  <c r="G6" i="2"/>
  <c r="G24" i="2"/>
  <c r="G17" i="2"/>
  <c r="G34" i="2"/>
  <c r="G26" i="2"/>
  <c r="G3" i="2"/>
  <c r="G2" i="2"/>
  <c r="G42" i="2"/>
  <c r="G8" i="2"/>
  <c r="G7" i="2"/>
  <c r="G5" i="2"/>
  <c r="G40" i="2"/>
  <c r="G20" i="2"/>
  <c r="G30" i="2"/>
  <c r="G29" i="2"/>
  <c r="G19" i="2"/>
  <c r="G47" i="2"/>
  <c r="G37" i="2"/>
  <c r="G21" i="2"/>
  <c r="G15" i="2"/>
  <c r="G14" i="2"/>
  <c r="G16" i="2"/>
  <c r="G32" i="2"/>
  <c r="G48" i="2"/>
  <c r="G11" i="2"/>
  <c r="G23" i="2"/>
  <c r="G25" i="2"/>
  <c r="G41" i="2"/>
  <c r="G39" i="2"/>
  <c r="G38" i="2"/>
  <c r="G10" i="2"/>
  <c r="G50" i="2"/>
  <c r="G46" i="2"/>
  <c r="G13" i="2"/>
  <c r="G12" i="2"/>
  <c r="G54" i="2"/>
  <c r="G22" i="2"/>
  <c r="G4" i="2"/>
  <c r="G53" i="2"/>
  <c r="G35" i="2"/>
  <c r="G56" i="2"/>
  <c r="G18" i="2"/>
</calcChain>
</file>

<file path=xl/sharedStrings.xml><?xml version="1.0" encoding="utf-8"?>
<sst xmlns="http://schemas.openxmlformats.org/spreadsheetml/2006/main" count="876" uniqueCount="127">
  <si>
    <t>CareFirst U65 2022-2023 Ovr 65 Eff Prior 2/18 ST (ProRata: 1) Premium Period: 6/1/2025</t>
  </si>
  <si>
    <t>CareFirst U65</t>
  </si>
  <si>
    <t>Moody</t>
  </si>
  <si>
    <t>Victor</t>
  </si>
  <si>
    <t>Carolyn Wilson Smith</t>
  </si>
  <si>
    <t>CareFirst U65 2022-2025 ST (ProRata: 1) Premium Period: 5/1/2025</t>
  </si>
  <si>
    <t>Abro</t>
  </si>
  <si>
    <t>Subata</t>
  </si>
  <si>
    <t>Kimberly Dickerson</t>
  </si>
  <si>
    <t>Ashley</t>
  </si>
  <si>
    <t>George</t>
  </si>
  <si>
    <t>CareFirst U65 2022-2025 ST (ProRata: 1) Premium Period: 6/1/2025</t>
  </si>
  <si>
    <t>Barnes</t>
  </si>
  <si>
    <t>Stanley</t>
  </si>
  <si>
    <t>Ediwe</t>
  </si>
  <si>
    <t>Victoria</t>
  </si>
  <si>
    <t>Fields</t>
  </si>
  <si>
    <t>Rhonda</t>
  </si>
  <si>
    <t>Fuller</t>
  </si>
  <si>
    <t>James</t>
  </si>
  <si>
    <t>Gregory</t>
  </si>
  <si>
    <t>Mark</t>
  </si>
  <si>
    <t>Le</t>
  </si>
  <si>
    <t>Jimmy</t>
  </si>
  <si>
    <t>Mcgann</t>
  </si>
  <si>
    <t>Kathleen</t>
  </si>
  <si>
    <t>Pinna</t>
  </si>
  <si>
    <t>Giulietta</t>
  </si>
  <si>
    <t>Rodriguez</t>
  </si>
  <si>
    <t>Oscar</t>
  </si>
  <si>
    <t>Singh</t>
  </si>
  <si>
    <t>Sharon</t>
  </si>
  <si>
    <t>Tijerina</t>
  </si>
  <si>
    <t>Anna</t>
  </si>
  <si>
    <t>White</t>
  </si>
  <si>
    <t>Amy</t>
  </si>
  <si>
    <t>Williams</t>
  </si>
  <si>
    <t>Derek</t>
  </si>
  <si>
    <t>Rose Zein</t>
  </si>
  <si>
    <t>Dani</t>
  </si>
  <si>
    <t>Adam Richter</t>
  </si>
  <si>
    <t>Douglas</t>
  </si>
  <si>
    <t>Jordan</t>
  </si>
  <si>
    <t>Gatewood</t>
  </si>
  <si>
    <t>Emily</t>
  </si>
  <si>
    <t>Pearce</t>
  </si>
  <si>
    <t>Adrienne</t>
  </si>
  <si>
    <t>Garner</t>
  </si>
  <si>
    <t>Maranda</t>
  </si>
  <si>
    <t>Hailey</t>
  </si>
  <si>
    <t>Angil</t>
  </si>
  <si>
    <t>Amar</t>
  </si>
  <si>
    <t>Taylor</t>
  </si>
  <si>
    <t>Lindsay</t>
  </si>
  <si>
    <t>Gillespie</t>
  </si>
  <si>
    <t>Darchelle</t>
  </si>
  <si>
    <t>Collins</t>
  </si>
  <si>
    <t>Hampton</t>
  </si>
  <si>
    <t>Daniel</t>
  </si>
  <si>
    <t>Dunston</t>
  </si>
  <si>
    <t>Patrice</t>
  </si>
  <si>
    <t>Rose</t>
  </si>
  <si>
    <t>Laura</t>
  </si>
  <si>
    <t>Stogsdill</t>
  </si>
  <si>
    <t>Darlene</t>
  </si>
  <si>
    <t>Bailey</t>
  </si>
  <si>
    <t>Charles</t>
  </si>
  <si>
    <t>Graham</t>
  </si>
  <si>
    <t>Carol</t>
  </si>
  <si>
    <t>Foos</t>
  </si>
  <si>
    <t>Spalding</t>
  </si>
  <si>
    <t>Jennifer</t>
  </si>
  <si>
    <t>Owens</t>
  </si>
  <si>
    <t>Rand</t>
  </si>
  <si>
    <t>Hancock</t>
  </si>
  <si>
    <t>Barbara</t>
  </si>
  <si>
    <t>Fregly</t>
  </si>
  <si>
    <t>David</t>
  </si>
  <si>
    <t>Capuano</t>
  </si>
  <si>
    <t>Domenico</t>
  </si>
  <si>
    <t>Blas</t>
  </si>
  <si>
    <t>Lorena</t>
  </si>
  <si>
    <t>Wilson</t>
  </si>
  <si>
    <t>Leza</t>
  </si>
  <si>
    <t>Dorsey</t>
  </si>
  <si>
    <t>April</t>
  </si>
  <si>
    <t>Cathy Lemon</t>
  </si>
  <si>
    <t>Gibson</t>
  </si>
  <si>
    <t>Sandra</t>
  </si>
  <si>
    <t>Harman</t>
  </si>
  <si>
    <t>Pamela</t>
  </si>
  <si>
    <t>Bernadine</t>
  </si>
  <si>
    <t>Foncham</t>
  </si>
  <si>
    <t>Stephen</t>
  </si>
  <si>
    <t>Snyder</t>
  </si>
  <si>
    <t>Darrell</t>
  </si>
  <si>
    <t>Jared Kinyua</t>
  </si>
  <si>
    <t>Adkins</t>
  </si>
  <si>
    <t>Alexis</t>
  </si>
  <si>
    <t>Brittany Oliver</t>
  </si>
  <si>
    <t>Santiago</t>
  </si>
  <si>
    <t>Stephanie</t>
  </si>
  <si>
    <t>Ahn</t>
  </si>
  <si>
    <t>Julie</t>
  </si>
  <si>
    <t>Tammy</t>
  </si>
  <si>
    <t>CareFirst U65 2022-2025 Dental ST (ProRata: 1) Premium Period: 6/1/2025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</si>
  <si>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</si>
  <si>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</si>
  <si>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</si>
  <si>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</si>
  <si>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</si>
  <si>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</si>
  <si>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</si>
  <si>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</si>
  <si>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</si>
  <si>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</si>
  <si>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</si>
  <si>
    <t>CareFirst - MD, VA</t>
  </si>
  <si>
    <t>CareFirst Dental- MD, VA</t>
  </si>
  <si>
    <t>CareFirst Ovr</t>
  </si>
  <si>
    <t>Main Line Benefits</t>
  </si>
  <si>
    <t>CareFirst U65 2022-2025 Dental ST (ProRata</t>
  </si>
  <si>
    <t xml:space="preserve"> 1) Premium Period</t>
  </si>
  <si>
    <t xml:space="preserve"> 6/1/2025</t>
  </si>
  <si>
    <t>CareFirst U65 2022-2025 ST (ProRata</t>
  </si>
  <si>
    <t xml:space="preserve"> 5/1/2025</t>
  </si>
  <si>
    <t>CareFirst U65 2022-2023 Ovr 65 Eff Prior 2/18 ST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</si>
</sst>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0" borderId="0" xfId="0" applyFont="1" applyFill="1"/>
    <xf numFmtId="14" fontId="1" fillId="0" borderId="0" xfId="0" applyNumberFormat="1" applyFont="1" applyFill="1"/>
    <xf numFmtId="8" fontId="1" fillId="0" borderId="0" xfId="0" applyNumberFormat="1" applyFon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E5CC-B8B5-4E2D-BD10-964E050838B1}">
  <dimension ref="A1:K58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116</v>
      </c>
      <c r="B1" t="s">
        <v>115</v>
      </c>
      <c r="C1" t="s">
        <v>114</v>
      </c>
      <c r="D1" t="s">
        <v>113</v>
      </c>
      <c r="E1" t="s">
        <v>112</v>
      </c>
      <c r="F1" t="s">
        <v>111</v>
      </c>
      <c r="G1" t="s">
        <v>110</v>
      </c>
      <c r="H1" t="s">
        <v>109</v>
      </c>
      <c r="I1" t="s">
        <v>108</v>
      </c>
      <c r="J1" t="s">
        <v>107</v>
      </c>
      <c r="K1" t="s">
        <v>106</v>
      </c>
    </row>
    <row r="2" spans="1:11" x14ac:dyDescent="0.25">
      <c r="A2" t="s">
        <v>40</v>
      </c>
      <c r="C2">
        <v>9079571</v>
      </c>
      <c r="D2" t="s">
        <v>58</v>
      </c>
      <c r="E2" t="s">
        <v>57</v>
      </c>
      <c r="F2">
        <v>903477729</v>
      </c>
      <c r="G2" s="2">
        <v>42736</v>
      </c>
      <c r="H2" s="2">
        <v>45821</v>
      </c>
      <c r="I2" t="s">
        <v>1</v>
      </c>
      <c r="J2" t="s">
        <v>105</v>
      </c>
      <c r="K2" s="1">
        <v>6</v>
      </c>
    </row>
    <row r="3" spans="1:11" x14ac:dyDescent="0.25">
      <c r="A3" t="s">
        <v>96</v>
      </c>
      <c r="C3">
        <v>19279958</v>
      </c>
      <c r="D3" t="s">
        <v>104</v>
      </c>
      <c r="E3" t="s">
        <v>36</v>
      </c>
      <c r="F3">
        <v>902360083</v>
      </c>
      <c r="G3" s="2">
        <v>43466</v>
      </c>
      <c r="H3" s="2">
        <v>45821</v>
      </c>
      <c r="I3" t="s">
        <v>1</v>
      </c>
      <c r="J3" t="s">
        <v>11</v>
      </c>
      <c r="K3" s="1">
        <v>12</v>
      </c>
    </row>
    <row r="4" spans="1:11" x14ac:dyDescent="0.25">
      <c r="A4" t="s">
        <v>99</v>
      </c>
      <c r="C4">
        <v>17554531</v>
      </c>
      <c r="D4" t="s">
        <v>103</v>
      </c>
      <c r="E4" t="s">
        <v>102</v>
      </c>
      <c r="F4">
        <v>904983311</v>
      </c>
      <c r="G4" s="2">
        <v>45809</v>
      </c>
      <c r="H4" s="2">
        <v>45821</v>
      </c>
      <c r="I4" t="s">
        <v>1</v>
      </c>
      <c r="J4" t="s">
        <v>11</v>
      </c>
      <c r="K4" s="1">
        <v>12</v>
      </c>
    </row>
    <row r="5" spans="1:11" x14ac:dyDescent="0.25">
      <c r="A5" t="s">
        <v>96</v>
      </c>
      <c r="C5">
        <v>19279958</v>
      </c>
      <c r="D5" t="s">
        <v>101</v>
      </c>
      <c r="E5" t="s">
        <v>100</v>
      </c>
      <c r="F5">
        <v>917936542</v>
      </c>
      <c r="G5" s="2">
        <v>45597</v>
      </c>
      <c r="H5" s="2">
        <v>45821</v>
      </c>
      <c r="I5" t="s">
        <v>1</v>
      </c>
      <c r="J5" t="s">
        <v>5</v>
      </c>
      <c r="K5" s="1">
        <v>12</v>
      </c>
    </row>
    <row r="6" spans="1:11" x14ac:dyDescent="0.25">
      <c r="A6" t="s">
        <v>99</v>
      </c>
      <c r="C6">
        <v>17554531</v>
      </c>
      <c r="D6" t="s">
        <v>98</v>
      </c>
      <c r="E6" t="s">
        <v>97</v>
      </c>
      <c r="F6">
        <v>929050362</v>
      </c>
      <c r="G6" s="2">
        <v>45717</v>
      </c>
      <c r="H6" s="2">
        <v>45821</v>
      </c>
      <c r="I6" t="s">
        <v>1</v>
      </c>
      <c r="J6" t="s">
        <v>5</v>
      </c>
      <c r="K6" s="1">
        <v>12</v>
      </c>
    </row>
    <row r="7" spans="1:11" x14ac:dyDescent="0.25">
      <c r="A7" t="s">
        <v>96</v>
      </c>
      <c r="C7">
        <v>19279958</v>
      </c>
      <c r="D7" t="s">
        <v>95</v>
      </c>
      <c r="E7" t="s">
        <v>94</v>
      </c>
      <c r="F7">
        <v>951374301</v>
      </c>
      <c r="G7" s="2">
        <v>45261</v>
      </c>
      <c r="H7" s="2">
        <v>45821</v>
      </c>
      <c r="I7" t="s">
        <v>1</v>
      </c>
      <c r="J7" t="s">
        <v>11</v>
      </c>
      <c r="K7" s="1">
        <v>12</v>
      </c>
    </row>
    <row r="8" spans="1:11" x14ac:dyDescent="0.25">
      <c r="A8" t="s">
        <v>86</v>
      </c>
      <c r="C8">
        <v>17195620</v>
      </c>
      <c r="D8" t="s">
        <v>93</v>
      </c>
      <c r="E8" t="s">
        <v>92</v>
      </c>
      <c r="F8">
        <v>904519579</v>
      </c>
      <c r="G8" s="2">
        <v>43831</v>
      </c>
      <c r="H8" s="2">
        <v>45821</v>
      </c>
      <c r="I8" t="s">
        <v>1</v>
      </c>
      <c r="J8" t="s">
        <v>11</v>
      </c>
      <c r="K8" s="1">
        <v>12</v>
      </c>
    </row>
    <row r="9" spans="1:11" x14ac:dyDescent="0.25">
      <c r="A9" t="s">
        <v>86</v>
      </c>
      <c r="C9">
        <v>17195620</v>
      </c>
      <c r="D9" t="s">
        <v>91</v>
      </c>
      <c r="E9" t="s">
        <v>84</v>
      </c>
      <c r="F9">
        <v>900259774</v>
      </c>
      <c r="G9" s="2">
        <v>44927</v>
      </c>
      <c r="H9" s="2">
        <v>45821</v>
      </c>
      <c r="I9" t="s">
        <v>1</v>
      </c>
      <c r="J9" t="s">
        <v>5</v>
      </c>
      <c r="K9" s="1">
        <v>12</v>
      </c>
    </row>
    <row r="10" spans="1:11" x14ac:dyDescent="0.25">
      <c r="A10" t="s">
        <v>86</v>
      </c>
      <c r="C10">
        <v>17195620</v>
      </c>
      <c r="D10" t="s">
        <v>91</v>
      </c>
      <c r="E10" t="s">
        <v>84</v>
      </c>
      <c r="F10">
        <v>900259774</v>
      </c>
      <c r="G10" s="2">
        <v>44927</v>
      </c>
      <c r="H10" s="2">
        <v>45821</v>
      </c>
      <c r="I10" t="s">
        <v>1</v>
      </c>
      <c r="J10" t="s">
        <v>11</v>
      </c>
      <c r="K10" s="1">
        <v>12</v>
      </c>
    </row>
    <row r="11" spans="1:11" x14ac:dyDescent="0.25">
      <c r="A11" t="s">
        <v>86</v>
      </c>
      <c r="C11">
        <v>17195620</v>
      </c>
      <c r="D11" t="s">
        <v>90</v>
      </c>
      <c r="E11" t="s">
        <v>89</v>
      </c>
      <c r="F11">
        <v>905132448</v>
      </c>
      <c r="G11" s="2">
        <v>42156</v>
      </c>
      <c r="H11" s="2">
        <v>45821</v>
      </c>
      <c r="I11" t="s">
        <v>1</v>
      </c>
      <c r="J11" t="s">
        <v>11</v>
      </c>
      <c r="K11" s="1">
        <v>12</v>
      </c>
    </row>
    <row r="12" spans="1:11" x14ac:dyDescent="0.25">
      <c r="A12" t="s">
        <v>86</v>
      </c>
      <c r="C12">
        <v>17195620</v>
      </c>
      <c r="D12" t="s">
        <v>88</v>
      </c>
      <c r="E12" t="s">
        <v>87</v>
      </c>
      <c r="F12">
        <v>909723701</v>
      </c>
      <c r="G12" s="2">
        <v>42736</v>
      </c>
      <c r="H12" s="2">
        <v>45821</v>
      </c>
      <c r="I12" t="s">
        <v>1</v>
      </c>
      <c r="J12" t="s">
        <v>11</v>
      </c>
      <c r="K12" s="1">
        <v>12</v>
      </c>
    </row>
    <row r="13" spans="1:11" x14ac:dyDescent="0.25">
      <c r="A13" t="s">
        <v>86</v>
      </c>
      <c r="C13">
        <v>17195620</v>
      </c>
      <c r="D13" t="s">
        <v>85</v>
      </c>
      <c r="E13" t="s">
        <v>84</v>
      </c>
      <c r="F13">
        <v>929517882</v>
      </c>
      <c r="G13" s="2">
        <v>45778</v>
      </c>
      <c r="H13" s="2">
        <v>45821</v>
      </c>
      <c r="I13" t="s">
        <v>1</v>
      </c>
      <c r="J13" t="s">
        <v>5</v>
      </c>
      <c r="K13" s="1">
        <v>12</v>
      </c>
    </row>
    <row r="14" spans="1:11" x14ac:dyDescent="0.25">
      <c r="A14" t="s">
        <v>8</v>
      </c>
      <c r="B14">
        <v>16243811</v>
      </c>
      <c r="C14">
        <v>16243811</v>
      </c>
      <c r="D14" t="s">
        <v>83</v>
      </c>
      <c r="E14" t="s">
        <v>82</v>
      </c>
      <c r="F14">
        <v>900340035</v>
      </c>
      <c r="G14" s="2">
        <v>42064</v>
      </c>
      <c r="H14" s="2">
        <v>45821</v>
      </c>
      <c r="I14" t="s">
        <v>1</v>
      </c>
      <c r="J14" t="s">
        <v>5</v>
      </c>
      <c r="K14" s="1">
        <v>12</v>
      </c>
    </row>
    <row r="15" spans="1:11" x14ac:dyDescent="0.25">
      <c r="A15" t="s">
        <v>8</v>
      </c>
      <c r="B15">
        <v>16243811</v>
      </c>
      <c r="C15">
        <v>16243811</v>
      </c>
      <c r="D15" t="s">
        <v>83</v>
      </c>
      <c r="E15" t="s">
        <v>82</v>
      </c>
      <c r="F15">
        <v>900340035</v>
      </c>
      <c r="G15" s="2">
        <v>42064</v>
      </c>
      <c r="H15" s="2">
        <v>45821</v>
      </c>
      <c r="I15" t="s">
        <v>1</v>
      </c>
      <c r="J15" t="s">
        <v>11</v>
      </c>
      <c r="K15" s="1">
        <v>12</v>
      </c>
    </row>
    <row r="16" spans="1:11" x14ac:dyDescent="0.25">
      <c r="A16" t="s">
        <v>8</v>
      </c>
      <c r="C16">
        <v>16243811</v>
      </c>
      <c r="D16" t="s">
        <v>81</v>
      </c>
      <c r="E16" t="s">
        <v>80</v>
      </c>
      <c r="F16">
        <v>901182035</v>
      </c>
      <c r="G16" s="2">
        <v>45778</v>
      </c>
      <c r="H16" s="2">
        <v>45821</v>
      </c>
      <c r="I16" t="s">
        <v>1</v>
      </c>
      <c r="J16" t="s">
        <v>5</v>
      </c>
      <c r="K16" s="1">
        <v>12</v>
      </c>
    </row>
    <row r="17" spans="1:11" x14ac:dyDescent="0.25">
      <c r="A17" t="s">
        <v>8</v>
      </c>
      <c r="B17">
        <v>16243811</v>
      </c>
      <c r="C17">
        <v>16243811</v>
      </c>
      <c r="D17" t="s">
        <v>79</v>
      </c>
      <c r="E17" t="s">
        <v>78</v>
      </c>
      <c r="F17">
        <v>905527323</v>
      </c>
      <c r="G17" s="2">
        <v>42736</v>
      </c>
      <c r="H17" s="2">
        <v>45821</v>
      </c>
      <c r="I17" t="s">
        <v>1</v>
      </c>
      <c r="J17" t="s">
        <v>11</v>
      </c>
      <c r="K17" s="1">
        <v>12</v>
      </c>
    </row>
    <row r="18" spans="1:11" x14ac:dyDescent="0.25">
      <c r="A18" t="s">
        <v>8</v>
      </c>
      <c r="B18">
        <v>16243811</v>
      </c>
      <c r="C18">
        <v>16243811</v>
      </c>
      <c r="D18" t="s">
        <v>77</v>
      </c>
      <c r="E18" t="s">
        <v>76</v>
      </c>
      <c r="F18">
        <v>923170842</v>
      </c>
      <c r="G18" s="2">
        <v>44958</v>
      </c>
      <c r="H18" s="2">
        <v>45821</v>
      </c>
      <c r="I18" t="s">
        <v>1</v>
      </c>
      <c r="J18" t="s">
        <v>11</v>
      </c>
      <c r="K18" s="1">
        <v>12</v>
      </c>
    </row>
    <row r="19" spans="1:11" x14ac:dyDescent="0.25">
      <c r="A19" t="s">
        <v>8</v>
      </c>
      <c r="C19">
        <v>16243811</v>
      </c>
      <c r="D19" t="s">
        <v>75</v>
      </c>
      <c r="E19" t="s">
        <v>74</v>
      </c>
      <c r="F19">
        <v>929615662</v>
      </c>
      <c r="G19" s="2">
        <v>45809</v>
      </c>
      <c r="H19" s="2">
        <v>45821</v>
      </c>
      <c r="I19" t="s">
        <v>1</v>
      </c>
      <c r="J19" t="s">
        <v>11</v>
      </c>
      <c r="K19" s="1">
        <v>12</v>
      </c>
    </row>
    <row r="20" spans="1:11" x14ac:dyDescent="0.25">
      <c r="A20" t="s">
        <v>8</v>
      </c>
      <c r="B20">
        <v>16243811</v>
      </c>
      <c r="C20">
        <v>16243811</v>
      </c>
      <c r="D20" t="s">
        <v>73</v>
      </c>
      <c r="E20" t="s">
        <v>72</v>
      </c>
      <c r="F20">
        <v>961648101</v>
      </c>
      <c r="G20" s="2">
        <v>43466</v>
      </c>
      <c r="H20" s="2">
        <v>45821</v>
      </c>
      <c r="I20" t="s">
        <v>1</v>
      </c>
      <c r="J20" t="s">
        <v>11</v>
      </c>
      <c r="K20" s="1">
        <v>12</v>
      </c>
    </row>
    <row r="21" spans="1:11" x14ac:dyDescent="0.25">
      <c r="A21" t="s">
        <v>8</v>
      </c>
      <c r="C21">
        <v>16243811</v>
      </c>
      <c r="D21" t="s">
        <v>71</v>
      </c>
      <c r="E21" t="s">
        <v>70</v>
      </c>
      <c r="F21">
        <v>965296001</v>
      </c>
      <c r="G21" s="2">
        <v>45809</v>
      </c>
      <c r="H21" s="2">
        <v>45821</v>
      </c>
      <c r="I21" t="s">
        <v>1</v>
      </c>
      <c r="J21" t="s">
        <v>11</v>
      </c>
      <c r="K21" s="1">
        <v>12</v>
      </c>
    </row>
    <row r="22" spans="1:11" x14ac:dyDescent="0.25">
      <c r="A22" t="s">
        <v>40</v>
      </c>
      <c r="C22">
        <v>9079571</v>
      </c>
      <c r="D22" t="s">
        <v>66</v>
      </c>
      <c r="E22" t="s">
        <v>69</v>
      </c>
      <c r="F22">
        <v>900251043</v>
      </c>
      <c r="G22" s="2">
        <v>43101</v>
      </c>
      <c r="H22" s="2">
        <v>45821</v>
      </c>
      <c r="I22" t="s">
        <v>1</v>
      </c>
      <c r="J22" t="s">
        <v>11</v>
      </c>
      <c r="K22" s="1">
        <v>12</v>
      </c>
    </row>
    <row r="23" spans="1:11" x14ac:dyDescent="0.25">
      <c r="A23" t="s">
        <v>40</v>
      </c>
      <c r="C23">
        <v>9079571</v>
      </c>
      <c r="D23" t="s">
        <v>68</v>
      </c>
      <c r="E23" t="s">
        <v>67</v>
      </c>
      <c r="F23">
        <v>900433048</v>
      </c>
      <c r="G23" s="2">
        <v>45809</v>
      </c>
      <c r="H23" s="2">
        <v>45821</v>
      </c>
      <c r="I23" t="s">
        <v>1</v>
      </c>
      <c r="J23" t="s">
        <v>11</v>
      </c>
      <c r="K23" s="1">
        <v>12</v>
      </c>
    </row>
    <row r="24" spans="1:11" x14ac:dyDescent="0.25">
      <c r="A24" t="s">
        <v>40</v>
      </c>
      <c r="C24">
        <v>9079571</v>
      </c>
      <c r="D24" t="s">
        <v>66</v>
      </c>
      <c r="E24" t="s">
        <v>65</v>
      </c>
      <c r="F24">
        <v>900505057</v>
      </c>
      <c r="G24" s="2">
        <v>42736</v>
      </c>
      <c r="H24" s="2">
        <v>45821</v>
      </c>
      <c r="I24" t="s">
        <v>1</v>
      </c>
      <c r="J24" t="s">
        <v>11</v>
      </c>
      <c r="K24" s="1">
        <v>12</v>
      </c>
    </row>
    <row r="25" spans="1:11" x14ac:dyDescent="0.25">
      <c r="A25" t="s">
        <v>40</v>
      </c>
      <c r="C25">
        <v>9079571</v>
      </c>
      <c r="D25" t="s">
        <v>64</v>
      </c>
      <c r="E25" t="s">
        <v>63</v>
      </c>
      <c r="F25">
        <v>900781883</v>
      </c>
      <c r="G25" s="2">
        <v>43831</v>
      </c>
      <c r="H25" s="2">
        <v>45821</v>
      </c>
      <c r="I25" t="s">
        <v>1</v>
      </c>
      <c r="J25" t="s">
        <v>11</v>
      </c>
      <c r="K25" s="1">
        <v>12</v>
      </c>
    </row>
    <row r="26" spans="1:11" x14ac:dyDescent="0.25">
      <c r="A26" t="s">
        <v>40</v>
      </c>
      <c r="C26">
        <v>9079571</v>
      </c>
      <c r="D26" t="s">
        <v>62</v>
      </c>
      <c r="E26" t="s">
        <v>61</v>
      </c>
      <c r="F26">
        <v>902935830</v>
      </c>
      <c r="G26" s="2">
        <v>44562</v>
      </c>
      <c r="H26" s="2">
        <v>45821</v>
      </c>
      <c r="I26" t="s">
        <v>1</v>
      </c>
      <c r="J26" t="s">
        <v>5</v>
      </c>
      <c r="K26" s="1">
        <v>12</v>
      </c>
    </row>
    <row r="27" spans="1:11" x14ac:dyDescent="0.25">
      <c r="A27" t="s">
        <v>40</v>
      </c>
      <c r="C27">
        <v>9079571</v>
      </c>
      <c r="D27" t="s">
        <v>60</v>
      </c>
      <c r="E27" t="s">
        <v>59</v>
      </c>
      <c r="F27">
        <v>903135254</v>
      </c>
      <c r="G27" s="2">
        <v>45108</v>
      </c>
      <c r="H27" s="2">
        <v>45821</v>
      </c>
      <c r="I27" t="s">
        <v>1</v>
      </c>
      <c r="J27" t="s">
        <v>11</v>
      </c>
      <c r="K27" s="1">
        <v>12</v>
      </c>
    </row>
    <row r="28" spans="1:11" x14ac:dyDescent="0.25">
      <c r="A28" t="s">
        <v>40</v>
      </c>
      <c r="C28">
        <v>9079571</v>
      </c>
      <c r="D28" t="s">
        <v>58</v>
      </c>
      <c r="E28" t="s">
        <v>57</v>
      </c>
      <c r="F28">
        <v>903477729</v>
      </c>
      <c r="G28" s="2">
        <v>44927</v>
      </c>
      <c r="H28" s="2">
        <v>45821</v>
      </c>
      <c r="I28" t="s">
        <v>1</v>
      </c>
      <c r="J28" t="s">
        <v>11</v>
      </c>
      <c r="K28" s="1">
        <v>12</v>
      </c>
    </row>
    <row r="29" spans="1:11" x14ac:dyDescent="0.25">
      <c r="A29" t="s">
        <v>40</v>
      </c>
      <c r="C29">
        <v>9079571</v>
      </c>
      <c r="D29" t="s">
        <v>19</v>
      </c>
      <c r="E29" t="s">
        <v>56</v>
      </c>
      <c r="F29">
        <v>905356499</v>
      </c>
      <c r="G29" s="2">
        <v>45200</v>
      </c>
      <c r="H29" s="2">
        <v>45821</v>
      </c>
      <c r="I29" t="s">
        <v>1</v>
      </c>
      <c r="J29" t="s">
        <v>5</v>
      </c>
      <c r="K29" s="1">
        <v>12</v>
      </c>
    </row>
    <row r="30" spans="1:11" x14ac:dyDescent="0.25">
      <c r="A30" t="s">
        <v>40</v>
      </c>
      <c r="C30">
        <v>9079571</v>
      </c>
      <c r="D30" t="s">
        <v>19</v>
      </c>
      <c r="E30" t="s">
        <v>56</v>
      </c>
      <c r="F30">
        <v>905356499</v>
      </c>
      <c r="G30" s="2">
        <v>45200</v>
      </c>
      <c r="H30" s="2">
        <v>45821</v>
      </c>
      <c r="I30" t="s">
        <v>1</v>
      </c>
      <c r="J30" t="s">
        <v>11</v>
      </c>
      <c r="K30" s="1">
        <v>12</v>
      </c>
    </row>
    <row r="31" spans="1:11" x14ac:dyDescent="0.25">
      <c r="A31" t="s">
        <v>40</v>
      </c>
      <c r="C31">
        <v>9079571</v>
      </c>
      <c r="D31" t="s">
        <v>55</v>
      </c>
      <c r="E31" t="s">
        <v>54</v>
      </c>
      <c r="F31">
        <v>905364833</v>
      </c>
      <c r="G31" s="2">
        <v>45809</v>
      </c>
      <c r="H31" s="2">
        <v>45821</v>
      </c>
      <c r="I31" t="s">
        <v>1</v>
      </c>
      <c r="J31" t="s">
        <v>11</v>
      </c>
      <c r="K31" s="1">
        <v>12</v>
      </c>
    </row>
    <row r="32" spans="1:11" x14ac:dyDescent="0.25">
      <c r="A32" t="s">
        <v>40</v>
      </c>
      <c r="C32">
        <v>9079571</v>
      </c>
      <c r="D32" t="s">
        <v>53</v>
      </c>
      <c r="E32" t="s">
        <v>52</v>
      </c>
      <c r="F32">
        <v>917598262</v>
      </c>
      <c r="G32" s="2">
        <v>45809</v>
      </c>
      <c r="H32" s="2">
        <v>45821</v>
      </c>
      <c r="I32" t="s">
        <v>1</v>
      </c>
      <c r="J32" t="s">
        <v>11</v>
      </c>
      <c r="K32" s="1">
        <v>12</v>
      </c>
    </row>
    <row r="33" spans="1:11" x14ac:dyDescent="0.25">
      <c r="A33" t="s">
        <v>40</v>
      </c>
      <c r="C33">
        <v>9079571</v>
      </c>
      <c r="D33" t="s">
        <v>51</v>
      </c>
      <c r="E33" t="s">
        <v>30</v>
      </c>
      <c r="F33">
        <v>921884962</v>
      </c>
      <c r="G33" s="2">
        <v>45809</v>
      </c>
      <c r="H33" s="2">
        <v>45821</v>
      </c>
      <c r="I33" t="s">
        <v>1</v>
      </c>
      <c r="J33" t="s">
        <v>11</v>
      </c>
      <c r="K33" s="1">
        <v>12</v>
      </c>
    </row>
    <row r="34" spans="1:11" x14ac:dyDescent="0.25">
      <c r="A34" t="s">
        <v>40</v>
      </c>
      <c r="C34">
        <v>9079571</v>
      </c>
      <c r="D34" t="s">
        <v>50</v>
      </c>
      <c r="E34" t="s">
        <v>49</v>
      </c>
      <c r="F34">
        <v>924117682</v>
      </c>
      <c r="G34" s="2">
        <v>45108</v>
      </c>
      <c r="H34" s="2">
        <v>45821</v>
      </c>
      <c r="I34" t="s">
        <v>1</v>
      </c>
      <c r="J34" t="s">
        <v>5</v>
      </c>
      <c r="K34" s="1">
        <v>12</v>
      </c>
    </row>
    <row r="35" spans="1:11" x14ac:dyDescent="0.25">
      <c r="A35" t="s">
        <v>40</v>
      </c>
      <c r="C35">
        <v>9079571</v>
      </c>
      <c r="D35" t="s">
        <v>50</v>
      </c>
      <c r="E35" t="s">
        <v>49</v>
      </c>
      <c r="F35">
        <v>924117682</v>
      </c>
      <c r="G35" s="2">
        <v>45108</v>
      </c>
      <c r="H35" s="2">
        <v>45821</v>
      </c>
      <c r="I35" t="s">
        <v>1</v>
      </c>
      <c r="J35" t="s">
        <v>11</v>
      </c>
      <c r="K35" s="1">
        <v>12</v>
      </c>
    </row>
    <row r="36" spans="1:11" x14ac:dyDescent="0.25">
      <c r="A36" t="s">
        <v>40</v>
      </c>
      <c r="C36">
        <v>9079571</v>
      </c>
      <c r="D36" t="s">
        <v>48</v>
      </c>
      <c r="E36" t="s">
        <v>47</v>
      </c>
      <c r="F36">
        <v>924167362</v>
      </c>
      <c r="G36" s="2">
        <v>45108</v>
      </c>
      <c r="H36" s="2">
        <v>45821</v>
      </c>
      <c r="I36" t="s">
        <v>1</v>
      </c>
      <c r="J36" t="s">
        <v>5</v>
      </c>
      <c r="K36" s="1">
        <v>12</v>
      </c>
    </row>
    <row r="37" spans="1:11" x14ac:dyDescent="0.25">
      <c r="A37" t="s">
        <v>40</v>
      </c>
      <c r="C37">
        <v>9079571</v>
      </c>
      <c r="D37" t="s">
        <v>46</v>
      </c>
      <c r="E37" t="s">
        <v>45</v>
      </c>
      <c r="F37">
        <v>924294622</v>
      </c>
      <c r="G37" s="2">
        <v>45139</v>
      </c>
      <c r="H37" s="2">
        <v>45821</v>
      </c>
      <c r="I37" t="s">
        <v>1</v>
      </c>
      <c r="J37" t="s">
        <v>5</v>
      </c>
      <c r="K37" s="1">
        <v>12</v>
      </c>
    </row>
    <row r="38" spans="1:11" x14ac:dyDescent="0.25">
      <c r="A38" t="s">
        <v>40</v>
      </c>
      <c r="C38">
        <v>9079571</v>
      </c>
      <c r="D38" t="s">
        <v>46</v>
      </c>
      <c r="E38" t="s">
        <v>45</v>
      </c>
      <c r="F38">
        <v>924294622</v>
      </c>
      <c r="G38" s="2">
        <v>45139</v>
      </c>
      <c r="H38" s="2">
        <v>45821</v>
      </c>
      <c r="I38" t="s">
        <v>1</v>
      </c>
      <c r="J38" t="s">
        <v>11</v>
      </c>
      <c r="K38" s="1">
        <v>12</v>
      </c>
    </row>
    <row r="39" spans="1:11" x14ac:dyDescent="0.25">
      <c r="A39" t="s">
        <v>40</v>
      </c>
      <c r="C39">
        <v>9079571</v>
      </c>
      <c r="D39" t="s">
        <v>44</v>
      </c>
      <c r="E39" t="s">
        <v>43</v>
      </c>
      <c r="F39">
        <v>927382902</v>
      </c>
      <c r="G39" s="2">
        <v>45809</v>
      </c>
      <c r="H39" s="2">
        <v>45821</v>
      </c>
      <c r="I39" t="s">
        <v>1</v>
      </c>
      <c r="J39" t="s">
        <v>11</v>
      </c>
      <c r="K39" s="1">
        <v>12</v>
      </c>
    </row>
    <row r="40" spans="1:11" x14ac:dyDescent="0.25">
      <c r="A40" t="s">
        <v>40</v>
      </c>
      <c r="C40">
        <v>9079571</v>
      </c>
      <c r="D40" t="s">
        <v>42</v>
      </c>
      <c r="E40" t="s">
        <v>41</v>
      </c>
      <c r="F40">
        <v>929641802</v>
      </c>
      <c r="G40" s="2">
        <v>45809</v>
      </c>
      <c r="H40" s="2">
        <v>45821</v>
      </c>
      <c r="I40" t="s">
        <v>1</v>
      </c>
      <c r="J40" t="s">
        <v>11</v>
      </c>
      <c r="K40" s="1">
        <v>12</v>
      </c>
    </row>
    <row r="41" spans="1:11" x14ac:dyDescent="0.25">
      <c r="A41" t="s">
        <v>40</v>
      </c>
      <c r="C41">
        <v>9079571</v>
      </c>
      <c r="D41" t="s">
        <v>39</v>
      </c>
      <c r="E41" t="s">
        <v>38</v>
      </c>
      <c r="F41">
        <v>942566601</v>
      </c>
      <c r="G41" s="2">
        <v>45474</v>
      </c>
      <c r="H41" s="2">
        <v>45821</v>
      </c>
      <c r="I41" t="s">
        <v>1</v>
      </c>
      <c r="J41" t="s">
        <v>5</v>
      </c>
      <c r="K41" s="1">
        <v>12</v>
      </c>
    </row>
    <row r="42" spans="1:11" x14ac:dyDescent="0.25">
      <c r="A42" t="s">
        <v>8</v>
      </c>
      <c r="B42">
        <v>16243811</v>
      </c>
      <c r="C42">
        <v>16243811</v>
      </c>
      <c r="D42" t="s">
        <v>37</v>
      </c>
      <c r="E42" t="s">
        <v>36</v>
      </c>
      <c r="F42">
        <v>905637129</v>
      </c>
      <c r="G42" s="2">
        <v>42430</v>
      </c>
      <c r="H42" s="2">
        <v>45821</v>
      </c>
      <c r="I42" t="s">
        <v>1</v>
      </c>
      <c r="J42" t="s">
        <v>5</v>
      </c>
      <c r="K42" s="1">
        <v>12</v>
      </c>
    </row>
    <row r="43" spans="1:11" x14ac:dyDescent="0.25">
      <c r="A43" t="s">
        <v>8</v>
      </c>
      <c r="B43">
        <v>16243811</v>
      </c>
      <c r="C43">
        <v>16243811</v>
      </c>
      <c r="D43" t="s">
        <v>35</v>
      </c>
      <c r="E43" t="s">
        <v>34</v>
      </c>
      <c r="F43">
        <v>960619701</v>
      </c>
      <c r="G43" s="2">
        <v>43466</v>
      </c>
      <c r="H43" s="2">
        <v>45821</v>
      </c>
      <c r="I43" t="s">
        <v>1</v>
      </c>
      <c r="J43" t="s">
        <v>11</v>
      </c>
      <c r="K43" s="1">
        <v>12</v>
      </c>
    </row>
    <row r="44" spans="1:11" x14ac:dyDescent="0.25">
      <c r="A44" t="s">
        <v>8</v>
      </c>
      <c r="B44">
        <v>16243811</v>
      </c>
      <c r="C44">
        <v>16243811</v>
      </c>
      <c r="D44" t="s">
        <v>33</v>
      </c>
      <c r="E44" t="s">
        <v>32</v>
      </c>
      <c r="F44">
        <v>923052412</v>
      </c>
      <c r="G44" s="2">
        <v>44927</v>
      </c>
      <c r="H44" s="2">
        <v>45821</v>
      </c>
      <c r="I44" t="s">
        <v>1</v>
      </c>
      <c r="J44" t="s">
        <v>5</v>
      </c>
      <c r="K44" s="1">
        <v>12</v>
      </c>
    </row>
    <row r="45" spans="1:11" x14ac:dyDescent="0.25">
      <c r="A45" t="s">
        <v>8</v>
      </c>
      <c r="B45">
        <v>16243811</v>
      </c>
      <c r="C45">
        <v>16243811</v>
      </c>
      <c r="D45" t="s">
        <v>31</v>
      </c>
      <c r="E45" t="s">
        <v>30</v>
      </c>
      <c r="F45">
        <v>934281401</v>
      </c>
      <c r="G45" s="2">
        <v>43983</v>
      </c>
      <c r="H45" s="2">
        <v>45821</v>
      </c>
      <c r="I45" t="s">
        <v>1</v>
      </c>
      <c r="J45" t="s">
        <v>5</v>
      </c>
      <c r="K45" s="1">
        <v>12</v>
      </c>
    </row>
    <row r="46" spans="1:11" x14ac:dyDescent="0.25">
      <c r="A46" t="s">
        <v>8</v>
      </c>
      <c r="B46">
        <v>16243811</v>
      </c>
      <c r="C46">
        <v>16243811</v>
      </c>
      <c r="D46" t="s">
        <v>29</v>
      </c>
      <c r="E46" t="s">
        <v>28</v>
      </c>
      <c r="F46">
        <v>905210375</v>
      </c>
      <c r="G46" s="2">
        <v>42005</v>
      </c>
      <c r="H46" s="2">
        <v>45821</v>
      </c>
      <c r="I46" t="s">
        <v>1</v>
      </c>
      <c r="J46" t="s">
        <v>5</v>
      </c>
      <c r="K46" s="1">
        <v>12</v>
      </c>
    </row>
    <row r="47" spans="1:11" x14ac:dyDescent="0.25">
      <c r="A47" t="s">
        <v>8</v>
      </c>
      <c r="B47">
        <v>16243811</v>
      </c>
      <c r="C47">
        <v>16243811</v>
      </c>
      <c r="D47" t="s">
        <v>29</v>
      </c>
      <c r="E47" t="s">
        <v>28</v>
      </c>
      <c r="F47">
        <v>905210375</v>
      </c>
      <c r="G47" s="2">
        <v>42005</v>
      </c>
      <c r="H47" s="2">
        <v>45821</v>
      </c>
      <c r="I47" t="s">
        <v>1</v>
      </c>
      <c r="J47" t="s">
        <v>11</v>
      </c>
      <c r="K47" s="1">
        <v>12</v>
      </c>
    </row>
    <row r="48" spans="1:11" x14ac:dyDescent="0.25">
      <c r="A48" t="s">
        <v>8</v>
      </c>
      <c r="B48">
        <v>16243811</v>
      </c>
      <c r="C48">
        <v>16243811</v>
      </c>
      <c r="D48" t="s">
        <v>27</v>
      </c>
      <c r="E48" t="s">
        <v>26</v>
      </c>
      <c r="F48">
        <v>905639045</v>
      </c>
      <c r="G48" s="2">
        <v>44927</v>
      </c>
      <c r="H48" s="2">
        <v>45821</v>
      </c>
      <c r="I48" t="s">
        <v>1</v>
      </c>
      <c r="J48" t="s">
        <v>5</v>
      </c>
      <c r="K48" s="1">
        <v>12</v>
      </c>
    </row>
    <row r="49" spans="1:11" x14ac:dyDescent="0.25">
      <c r="A49" t="s">
        <v>8</v>
      </c>
      <c r="B49">
        <v>16243811</v>
      </c>
      <c r="C49">
        <v>16243811</v>
      </c>
      <c r="D49" t="s">
        <v>25</v>
      </c>
      <c r="E49" t="s">
        <v>24</v>
      </c>
      <c r="F49">
        <v>900273454</v>
      </c>
      <c r="G49" s="2">
        <v>42736</v>
      </c>
      <c r="H49" s="2">
        <v>45821</v>
      </c>
      <c r="I49" t="s">
        <v>1</v>
      </c>
      <c r="J49" t="s">
        <v>5</v>
      </c>
      <c r="K49" s="1">
        <v>12</v>
      </c>
    </row>
    <row r="50" spans="1:11" x14ac:dyDescent="0.25">
      <c r="A50" t="s">
        <v>8</v>
      </c>
      <c r="B50">
        <v>16243811</v>
      </c>
      <c r="C50">
        <v>16243811</v>
      </c>
      <c r="D50" t="s">
        <v>23</v>
      </c>
      <c r="E50" t="s">
        <v>22</v>
      </c>
      <c r="F50">
        <v>903983529</v>
      </c>
      <c r="G50" s="2">
        <v>44197</v>
      </c>
      <c r="H50" s="2">
        <v>45821</v>
      </c>
      <c r="I50" t="s">
        <v>1</v>
      </c>
      <c r="J50" t="s">
        <v>5</v>
      </c>
      <c r="K50" s="1">
        <v>12</v>
      </c>
    </row>
    <row r="51" spans="1:11" x14ac:dyDescent="0.25">
      <c r="A51" t="s">
        <v>8</v>
      </c>
      <c r="B51">
        <v>16243811</v>
      </c>
      <c r="C51">
        <v>16243811</v>
      </c>
      <c r="D51" t="s">
        <v>21</v>
      </c>
      <c r="E51" t="s">
        <v>20</v>
      </c>
      <c r="F51">
        <v>902076554</v>
      </c>
      <c r="G51" s="2">
        <v>44896</v>
      </c>
      <c r="H51" s="2">
        <v>45821</v>
      </c>
      <c r="I51" t="s">
        <v>1</v>
      </c>
      <c r="J51" t="s">
        <v>5</v>
      </c>
      <c r="K51" s="1">
        <v>12</v>
      </c>
    </row>
    <row r="52" spans="1:11" x14ac:dyDescent="0.25">
      <c r="A52" t="s">
        <v>8</v>
      </c>
      <c r="B52">
        <v>16243811</v>
      </c>
      <c r="C52">
        <v>16243811</v>
      </c>
      <c r="D52" t="s">
        <v>19</v>
      </c>
      <c r="E52" t="s">
        <v>18</v>
      </c>
      <c r="F52">
        <v>900507046</v>
      </c>
      <c r="G52" s="2">
        <v>44501</v>
      </c>
      <c r="H52" s="2">
        <v>45821</v>
      </c>
      <c r="I52" t="s">
        <v>1</v>
      </c>
      <c r="J52" t="s">
        <v>11</v>
      </c>
      <c r="K52" s="1">
        <v>12</v>
      </c>
    </row>
    <row r="53" spans="1:11" x14ac:dyDescent="0.25">
      <c r="A53" t="s">
        <v>8</v>
      </c>
      <c r="B53">
        <v>16243811</v>
      </c>
      <c r="C53">
        <v>16243811</v>
      </c>
      <c r="D53" t="s">
        <v>17</v>
      </c>
      <c r="E53" t="s">
        <v>16</v>
      </c>
      <c r="F53">
        <v>900928294</v>
      </c>
      <c r="G53" s="2">
        <v>43221</v>
      </c>
      <c r="H53" s="2">
        <v>45821</v>
      </c>
      <c r="I53" t="s">
        <v>1</v>
      </c>
      <c r="J53" t="s">
        <v>11</v>
      </c>
      <c r="K53" s="1">
        <v>12</v>
      </c>
    </row>
    <row r="54" spans="1:11" x14ac:dyDescent="0.25">
      <c r="A54" t="s">
        <v>8</v>
      </c>
      <c r="B54">
        <v>16243811</v>
      </c>
      <c r="C54">
        <v>16243811</v>
      </c>
      <c r="D54" t="s">
        <v>15</v>
      </c>
      <c r="E54" t="s">
        <v>14</v>
      </c>
      <c r="F54">
        <v>917448901</v>
      </c>
      <c r="G54" s="2">
        <v>42795</v>
      </c>
      <c r="H54" s="2">
        <v>45821</v>
      </c>
      <c r="I54" t="s">
        <v>1</v>
      </c>
      <c r="J54" t="s">
        <v>5</v>
      </c>
      <c r="K54" s="1">
        <v>12</v>
      </c>
    </row>
    <row r="55" spans="1:11" x14ac:dyDescent="0.25">
      <c r="A55" t="s">
        <v>8</v>
      </c>
      <c r="B55">
        <v>16243811</v>
      </c>
      <c r="C55">
        <v>16243811</v>
      </c>
      <c r="D55" t="s">
        <v>13</v>
      </c>
      <c r="E55" t="s">
        <v>12</v>
      </c>
      <c r="F55">
        <v>905548273</v>
      </c>
      <c r="G55" s="2">
        <v>42370</v>
      </c>
      <c r="H55" s="2">
        <v>45821</v>
      </c>
      <c r="I55" t="s">
        <v>1</v>
      </c>
      <c r="J55" t="s">
        <v>11</v>
      </c>
      <c r="K55" s="1">
        <v>12</v>
      </c>
    </row>
    <row r="56" spans="1:11" x14ac:dyDescent="0.25">
      <c r="A56" t="s">
        <v>8</v>
      </c>
      <c r="B56">
        <v>16243811</v>
      </c>
      <c r="C56">
        <v>16243811</v>
      </c>
      <c r="D56" t="s">
        <v>10</v>
      </c>
      <c r="E56" t="s">
        <v>9</v>
      </c>
      <c r="F56">
        <v>901116019</v>
      </c>
      <c r="G56" s="2">
        <v>43132</v>
      </c>
      <c r="H56" s="2">
        <v>45821</v>
      </c>
      <c r="I56" t="s">
        <v>1</v>
      </c>
      <c r="J56" t="s">
        <v>5</v>
      </c>
      <c r="K56" s="1">
        <v>12</v>
      </c>
    </row>
    <row r="57" spans="1:11" x14ac:dyDescent="0.25">
      <c r="A57" t="s">
        <v>8</v>
      </c>
      <c r="B57">
        <v>16243811</v>
      </c>
      <c r="C57">
        <v>16243811</v>
      </c>
      <c r="D57" t="s">
        <v>7</v>
      </c>
      <c r="E57" t="s">
        <v>6</v>
      </c>
      <c r="F57">
        <v>905147602</v>
      </c>
      <c r="G57" s="2">
        <v>42736</v>
      </c>
      <c r="H57" s="2">
        <v>45821</v>
      </c>
      <c r="I57" t="s">
        <v>1</v>
      </c>
      <c r="J57" t="s">
        <v>5</v>
      </c>
      <c r="K57" s="1">
        <v>12</v>
      </c>
    </row>
    <row r="58" spans="1:11" x14ac:dyDescent="0.25">
      <c r="A58" t="s">
        <v>4</v>
      </c>
      <c r="C58">
        <v>7387433</v>
      </c>
      <c r="D58" t="s">
        <v>3</v>
      </c>
      <c r="E58" t="s">
        <v>2</v>
      </c>
      <c r="F58">
        <v>900652175</v>
      </c>
      <c r="G58" s="2">
        <v>42917</v>
      </c>
      <c r="H58" s="2">
        <v>45821</v>
      </c>
      <c r="I58" t="s">
        <v>1</v>
      </c>
      <c r="J58" t="s">
        <v>0</v>
      </c>
      <c r="K58" s="1">
        <v>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66FB-5934-4F08-BC82-0EE8396D1EDB}">
  <dimension ref="A1:N58"/>
  <sheetViews>
    <sheetView tabSelected="1" topLeftCell="A28" workbookViewId="0">
      <selection activeCell="G57" sqref="G57"/>
    </sheetView>
  </sheetViews>
  <sheetFormatPr defaultRowHeight="15" x14ac:dyDescent="0.25"/>
  <cols>
    <col min="1" max="1" width="20.140625" style="7" bestFit="1" customWidth="1"/>
    <col min="2" max="2" width="10.7109375" style="7" bestFit="1" customWidth="1"/>
    <col min="3" max="3" width="10.5703125" style="7" bestFit="1" customWidth="1"/>
    <col min="4" max="4" width="10.140625" style="7" bestFit="1" customWidth="1"/>
    <col min="5" max="5" width="15.42578125" style="7" bestFit="1" customWidth="1"/>
    <col min="6" max="6" width="10.85546875" style="7" bestFit="1" customWidth="1"/>
    <col min="7" max="7" width="10.85546875" style="7" customWidth="1"/>
    <col min="8" max="8" width="11.85546875" style="7" bestFit="1" customWidth="1"/>
    <col min="9" max="9" width="14.7109375" style="7" bestFit="1" customWidth="1"/>
    <col min="10" max="10" width="12.7109375" style="7" bestFit="1" customWidth="1"/>
    <col min="11" max="11" width="78.5703125" style="7" bestFit="1" customWidth="1"/>
    <col min="12" max="12" width="15.7109375" style="7" bestFit="1" customWidth="1"/>
    <col min="13" max="13" width="23.28515625" style="7" bestFit="1" customWidth="1"/>
    <col min="14" max="16384" width="9.140625" style="7"/>
  </cols>
  <sheetData>
    <row r="1" spans="1:14" x14ac:dyDescent="0.25">
      <c r="A1" s="7" t="s">
        <v>116</v>
      </c>
      <c r="B1" s="7" t="s">
        <v>114</v>
      </c>
      <c r="C1" s="7" t="s">
        <v>113</v>
      </c>
      <c r="D1" s="7" t="s">
        <v>112</v>
      </c>
      <c r="F1" s="7" t="s">
        <v>111</v>
      </c>
      <c r="H1" s="7" t="s">
        <v>110</v>
      </c>
      <c r="I1" s="7" t="s">
        <v>109</v>
      </c>
      <c r="J1" s="7" t="s">
        <v>108</v>
      </c>
      <c r="K1" s="7" t="s">
        <v>107</v>
      </c>
      <c r="L1" s="7" t="s">
        <v>106</v>
      </c>
    </row>
    <row r="2" spans="1:14" x14ac:dyDescent="0.25">
      <c r="A2" s="7" t="s">
        <v>40</v>
      </c>
      <c r="B2" s="7">
        <v>9079571</v>
      </c>
      <c r="C2" s="7" t="s">
        <v>46</v>
      </c>
      <c r="D2" s="7" t="s">
        <v>45</v>
      </c>
      <c r="E2" s="7" t="str">
        <f>CONCATENATE(C2, " ",D2)</f>
        <v>Adrienne Pearce</v>
      </c>
      <c r="F2" s="7">
        <v>924294622</v>
      </c>
      <c r="G2" s="7" t="str">
        <f>CONCATENATE(F2,2025)</f>
        <v>9242946222025</v>
      </c>
      <c r="H2" s="8">
        <v>45139</v>
      </c>
      <c r="I2" s="8">
        <v>45821</v>
      </c>
      <c r="J2" s="7" t="s">
        <v>1</v>
      </c>
      <c r="K2" s="7" t="s">
        <v>5</v>
      </c>
      <c r="L2" s="9">
        <v>12</v>
      </c>
      <c r="M2" s="7" t="s">
        <v>117</v>
      </c>
      <c r="N2" s="7" t="s">
        <v>125</v>
      </c>
    </row>
    <row r="3" spans="1:14" x14ac:dyDescent="0.25">
      <c r="A3" s="7" t="s">
        <v>40</v>
      </c>
      <c r="B3" s="7">
        <v>9079571</v>
      </c>
      <c r="C3" s="7" t="s">
        <v>46</v>
      </c>
      <c r="D3" s="7" t="s">
        <v>45</v>
      </c>
      <c r="E3" s="7" t="str">
        <f>CONCATENATE(C3, " ",D3)</f>
        <v>Adrienne Pearce</v>
      </c>
      <c r="F3" s="7">
        <v>924294622</v>
      </c>
      <c r="G3" s="7" t="str">
        <f>CONCATENATE(F3,2025)</f>
        <v>9242946222025</v>
      </c>
      <c r="H3" s="8">
        <v>45139</v>
      </c>
      <c r="I3" s="8">
        <v>45821</v>
      </c>
      <c r="J3" s="7" t="s">
        <v>1</v>
      </c>
      <c r="K3" s="7" t="s">
        <v>11</v>
      </c>
      <c r="L3" s="9">
        <v>12</v>
      </c>
      <c r="M3" s="7" t="s">
        <v>117</v>
      </c>
      <c r="N3" s="7" t="s">
        <v>123</v>
      </c>
    </row>
    <row r="4" spans="1:14" x14ac:dyDescent="0.25">
      <c r="A4" s="7" t="s">
        <v>99</v>
      </c>
      <c r="B4" s="7">
        <v>17554531</v>
      </c>
      <c r="C4" s="7" t="s">
        <v>98</v>
      </c>
      <c r="D4" s="7" t="s">
        <v>97</v>
      </c>
      <c r="E4" s="7" t="str">
        <f>CONCATENATE(C4, " ",D4)</f>
        <v>Alexis Adkins</v>
      </c>
      <c r="F4" s="7">
        <v>929050362</v>
      </c>
      <c r="G4" s="7" t="str">
        <f>CONCATENATE(F4,2025)</f>
        <v>9290503622025</v>
      </c>
      <c r="H4" s="8">
        <v>45717</v>
      </c>
      <c r="I4" s="8">
        <v>45821</v>
      </c>
      <c r="J4" s="7" t="s">
        <v>1</v>
      </c>
      <c r="K4" s="7" t="s">
        <v>5</v>
      </c>
      <c r="L4" s="9">
        <v>12</v>
      </c>
      <c r="M4" s="7" t="s">
        <v>117</v>
      </c>
      <c r="N4" s="7" t="s">
        <v>125</v>
      </c>
    </row>
    <row r="5" spans="1:14" x14ac:dyDescent="0.25">
      <c r="A5" s="7" t="s">
        <v>40</v>
      </c>
      <c r="B5" s="7">
        <v>9079571</v>
      </c>
      <c r="C5" s="7" t="s">
        <v>51</v>
      </c>
      <c r="D5" s="7" t="s">
        <v>30</v>
      </c>
      <c r="E5" s="7" t="str">
        <f>CONCATENATE(C5, " ",D5)</f>
        <v>Amar Singh</v>
      </c>
      <c r="F5" s="7">
        <v>921884962</v>
      </c>
      <c r="G5" s="7" t="str">
        <f>CONCATENATE(F5,2025)</f>
        <v>9218849622025</v>
      </c>
      <c r="H5" s="8">
        <v>45809</v>
      </c>
      <c r="I5" s="8">
        <v>45821</v>
      </c>
      <c r="J5" s="7" t="s">
        <v>1</v>
      </c>
      <c r="K5" s="7" t="s">
        <v>11</v>
      </c>
      <c r="L5" s="9">
        <v>12</v>
      </c>
      <c r="M5" s="7" t="s">
        <v>117</v>
      </c>
      <c r="N5" s="7" t="s">
        <v>123</v>
      </c>
    </row>
    <row r="6" spans="1:14" x14ac:dyDescent="0.25">
      <c r="A6" s="7" t="s">
        <v>8</v>
      </c>
      <c r="B6" s="7">
        <v>16243811</v>
      </c>
      <c r="C6" s="7" t="s">
        <v>35</v>
      </c>
      <c r="D6" s="7" t="s">
        <v>34</v>
      </c>
      <c r="E6" s="7" t="str">
        <f>CONCATENATE(C6, " ",D6)</f>
        <v>Amy White</v>
      </c>
      <c r="F6" s="7">
        <v>960619701</v>
      </c>
      <c r="G6" s="7" t="str">
        <f>CONCATENATE(F6,2025)</f>
        <v>9606197012025</v>
      </c>
      <c r="H6" s="8">
        <v>43466</v>
      </c>
      <c r="I6" s="8">
        <v>45821</v>
      </c>
      <c r="J6" s="7" t="s">
        <v>1</v>
      </c>
      <c r="K6" s="7" t="s">
        <v>11</v>
      </c>
      <c r="L6" s="9">
        <v>12</v>
      </c>
      <c r="M6" s="7" t="s">
        <v>117</v>
      </c>
      <c r="N6" s="7" t="s">
        <v>123</v>
      </c>
    </row>
    <row r="7" spans="1:14" x14ac:dyDescent="0.25">
      <c r="A7" s="7" t="s">
        <v>40</v>
      </c>
      <c r="B7" s="7">
        <v>9079571</v>
      </c>
      <c r="C7" s="7" t="s">
        <v>50</v>
      </c>
      <c r="D7" s="7" t="s">
        <v>49</v>
      </c>
      <c r="E7" s="7" t="str">
        <f>CONCATENATE(C7, " ",D7)</f>
        <v>Angil Hailey</v>
      </c>
      <c r="F7" s="7">
        <v>924117682</v>
      </c>
      <c r="G7" s="7" t="str">
        <f>CONCATENATE(F7,2025)</f>
        <v>9241176822025</v>
      </c>
      <c r="H7" s="8">
        <v>45108</v>
      </c>
      <c r="I7" s="8">
        <v>45821</v>
      </c>
      <c r="J7" s="7" t="s">
        <v>1</v>
      </c>
      <c r="K7" s="7" t="s">
        <v>5</v>
      </c>
      <c r="L7" s="9">
        <v>12</v>
      </c>
      <c r="M7" s="7" t="s">
        <v>117</v>
      </c>
      <c r="N7" s="7" t="s">
        <v>125</v>
      </c>
    </row>
    <row r="8" spans="1:14" x14ac:dyDescent="0.25">
      <c r="A8" s="7" t="s">
        <v>40</v>
      </c>
      <c r="B8" s="7">
        <v>9079571</v>
      </c>
      <c r="C8" s="7" t="s">
        <v>50</v>
      </c>
      <c r="D8" s="7" t="s">
        <v>49</v>
      </c>
      <c r="E8" s="7" t="str">
        <f>CONCATENATE(C8, " ",D8)</f>
        <v>Angil Hailey</v>
      </c>
      <c r="F8" s="7">
        <v>924117682</v>
      </c>
      <c r="G8" s="7" t="str">
        <f>CONCATENATE(F8,2025)</f>
        <v>9241176822025</v>
      </c>
      <c r="H8" s="8">
        <v>45108</v>
      </c>
      <c r="I8" s="8">
        <v>45821</v>
      </c>
      <c r="J8" s="7" t="s">
        <v>1</v>
      </c>
      <c r="K8" s="7" t="s">
        <v>11</v>
      </c>
      <c r="L8" s="9">
        <v>12</v>
      </c>
      <c r="M8" s="7" t="s">
        <v>117</v>
      </c>
      <c r="N8" s="7" t="s">
        <v>123</v>
      </c>
    </row>
    <row r="9" spans="1:14" x14ac:dyDescent="0.25">
      <c r="A9" s="7" t="s">
        <v>8</v>
      </c>
      <c r="B9" s="7">
        <v>16243811</v>
      </c>
      <c r="C9" s="7" t="s">
        <v>33</v>
      </c>
      <c r="D9" s="7" t="s">
        <v>32</v>
      </c>
      <c r="E9" s="7" t="str">
        <f>CONCATENATE(C9, " ",D9)</f>
        <v>Anna Tijerina</v>
      </c>
      <c r="F9" s="7">
        <v>923052412</v>
      </c>
      <c r="G9" s="7" t="str">
        <f>CONCATENATE(F9,2025)</f>
        <v>9230524122025</v>
      </c>
      <c r="H9" s="8">
        <v>44927</v>
      </c>
      <c r="I9" s="8">
        <v>45821</v>
      </c>
      <c r="J9" s="7" t="s">
        <v>1</v>
      </c>
      <c r="K9" s="7" t="s">
        <v>5</v>
      </c>
      <c r="L9" s="9">
        <v>12</v>
      </c>
      <c r="M9" s="7" t="s">
        <v>117</v>
      </c>
      <c r="N9" s="7" t="s">
        <v>125</v>
      </c>
    </row>
    <row r="10" spans="1:14" x14ac:dyDescent="0.25">
      <c r="A10" s="7" t="s">
        <v>86</v>
      </c>
      <c r="B10" s="7">
        <v>17195620</v>
      </c>
      <c r="C10" s="7" t="s">
        <v>85</v>
      </c>
      <c r="D10" s="7" t="s">
        <v>84</v>
      </c>
      <c r="E10" s="7" t="str">
        <f>CONCATENATE(C10, " ",D10)</f>
        <v>April Dorsey</v>
      </c>
      <c r="F10" s="7">
        <v>929517882</v>
      </c>
      <c r="G10" s="7" t="str">
        <f>CONCATENATE(F10,2025)</f>
        <v>9295178822025</v>
      </c>
      <c r="H10" s="8">
        <v>45778</v>
      </c>
      <c r="I10" s="8">
        <v>45821</v>
      </c>
      <c r="J10" s="7" t="s">
        <v>1</v>
      </c>
      <c r="K10" s="7" t="s">
        <v>5</v>
      </c>
      <c r="L10" s="9">
        <v>12</v>
      </c>
      <c r="M10" s="7" t="s">
        <v>117</v>
      </c>
      <c r="N10" s="7" t="s">
        <v>125</v>
      </c>
    </row>
    <row r="11" spans="1:14" x14ac:dyDescent="0.25">
      <c r="A11" s="7" t="s">
        <v>8</v>
      </c>
      <c r="B11" s="7">
        <v>16243811</v>
      </c>
      <c r="C11" s="7" t="s">
        <v>75</v>
      </c>
      <c r="D11" s="7" t="s">
        <v>74</v>
      </c>
      <c r="E11" s="7" t="str">
        <f>CONCATENATE(C11, " ",D11)</f>
        <v>Barbara Hancock</v>
      </c>
      <c r="F11" s="7">
        <v>929615662</v>
      </c>
      <c r="G11" s="7" t="str">
        <f>CONCATENATE(F11,2025)</f>
        <v>9296156622025</v>
      </c>
      <c r="H11" s="8">
        <v>45809</v>
      </c>
      <c r="I11" s="8">
        <v>45821</v>
      </c>
      <c r="J11" s="7" t="s">
        <v>1</v>
      </c>
      <c r="K11" s="7" t="s">
        <v>11</v>
      </c>
      <c r="L11" s="9">
        <v>12</v>
      </c>
      <c r="M11" s="7" t="s">
        <v>117</v>
      </c>
      <c r="N11" s="7" t="s">
        <v>123</v>
      </c>
    </row>
    <row r="12" spans="1:14" x14ac:dyDescent="0.25">
      <c r="A12" s="7" t="s">
        <v>86</v>
      </c>
      <c r="B12" s="7">
        <v>17195620</v>
      </c>
      <c r="C12" s="7" t="s">
        <v>91</v>
      </c>
      <c r="D12" s="7" t="s">
        <v>84</v>
      </c>
      <c r="E12" s="7" t="str">
        <f>CONCATENATE(C12, " ",D12)</f>
        <v>Bernadine Dorsey</v>
      </c>
      <c r="F12" s="7">
        <v>900259774</v>
      </c>
      <c r="G12" s="7" t="str">
        <f>CONCATENATE(F12,2025)</f>
        <v>9002597742025</v>
      </c>
      <c r="H12" s="8">
        <v>44927</v>
      </c>
      <c r="I12" s="8">
        <v>45821</v>
      </c>
      <c r="J12" s="7" t="s">
        <v>1</v>
      </c>
      <c r="K12" s="7" t="s">
        <v>5</v>
      </c>
      <c r="L12" s="9">
        <v>12</v>
      </c>
      <c r="M12" s="7" t="s">
        <v>117</v>
      </c>
      <c r="N12" s="7" t="s">
        <v>125</v>
      </c>
    </row>
    <row r="13" spans="1:14" x14ac:dyDescent="0.25">
      <c r="A13" s="7" t="s">
        <v>86</v>
      </c>
      <c r="B13" s="7">
        <v>17195620</v>
      </c>
      <c r="C13" s="7" t="s">
        <v>91</v>
      </c>
      <c r="D13" s="7" t="s">
        <v>84</v>
      </c>
      <c r="E13" s="7" t="str">
        <f>CONCATENATE(C13, " ",D13)</f>
        <v>Bernadine Dorsey</v>
      </c>
      <c r="F13" s="7">
        <v>900259774</v>
      </c>
      <c r="G13" s="7" t="str">
        <f>CONCATENATE(F13,2025)</f>
        <v>9002597742025</v>
      </c>
      <c r="H13" s="8">
        <v>44927</v>
      </c>
      <c r="I13" s="8">
        <v>45821</v>
      </c>
      <c r="J13" s="7" t="s">
        <v>1</v>
      </c>
      <c r="K13" s="7" t="s">
        <v>11</v>
      </c>
      <c r="L13" s="9">
        <v>12</v>
      </c>
      <c r="M13" s="7" t="s">
        <v>117</v>
      </c>
      <c r="N13" s="7" t="s">
        <v>123</v>
      </c>
    </row>
    <row r="14" spans="1:14" x14ac:dyDescent="0.25">
      <c r="A14" s="7" t="s">
        <v>40</v>
      </c>
      <c r="B14" s="7">
        <v>9079571</v>
      </c>
      <c r="C14" s="7" t="s">
        <v>68</v>
      </c>
      <c r="D14" s="7" t="s">
        <v>67</v>
      </c>
      <c r="E14" s="7" t="str">
        <f>CONCATENATE(C14, " ",D14)</f>
        <v>Carol Graham</v>
      </c>
      <c r="F14" s="7">
        <v>900433048</v>
      </c>
      <c r="G14" s="7" t="str">
        <f>CONCATENATE(F14,2025)</f>
        <v>9004330482025</v>
      </c>
      <c r="H14" s="8">
        <v>45809</v>
      </c>
      <c r="I14" s="8">
        <v>45821</v>
      </c>
      <c r="J14" s="7" t="s">
        <v>1</v>
      </c>
      <c r="K14" s="7" t="s">
        <v>11</v>
      </c>
      <c r="L14" s="9">
        <v>12</v>
      </c>
      <c r="M14" s="7" t="s">
        <v>117</v>
      </c>
      <c r="N14" s="7" t="s">
        <v>123</v>
      </c>
    </row>
    <row r="15" spans="1:14" x14ac:dyDescent="0.25">
      <c r="A15" s="7" t="s">
        <v>40</v>
      </c>
      <c r="B15" s="7">
        <v>9079571</v>
      </c>
      <c r="C15" s="7" t="s">
        <v>66</v>
      </c>
      <c r="D15" s="7" t="s">
        <v>65</v>
      </c>
      <c r="E15" s="7" t="str">
        <f>CONCATENATE(C15, " ",D15)</f>
        <v>Charles Bailey</v>
      </c>
      <c r="F15" s="7">
        <v>900505057</v>
      </c>
      <c r="G15" s="7" t="str">
        <f>CONCATENATE(F15,2025)</f>
        <v>9005050572025</v>
      </c>
      <c r="H15" s="8">
        <v>42736</v>
      </c>
      <c r="I15" s="8">
        <v>45821</v>
      </c>
      <c r="J15" s="7" t="s">
        <v>1</v>
      </c>
      <c r="K15" s="7" t="s">
        <v>11</v>
      </c>
      <c r="L15" s="9">
        <v>12</v>
      </c>
      <c r="M15" s="7" t="s">
        <v>117</v>
      </c>
      <c r="N15" s="7" t="s">
        <v>123</v>
      </c>
    </row>
    <row r="16" spans="1:14" x14ac:dyDescent="0.25">
      <c r="A16" s="7" t="s">
        <v>40</v>
      </c>
      <c r="B16" s="7">
        <v>9079571</v>
      </c>
      <c r="C16" s="7" t="s">
        <v>66</v>
      </c>
      <c r="D16" s="7" t="s">
        <v>69</v>
      </c>
      <c r="E16" s="7" t="str">
        <f>CONCATENATE(C16, " ",D16)</f>
        <v>Charles Foos</v>
      </c>
      <c r="F16" s="7">
        <v>900251043</v>
      </c>
      <c r="G16" s="7" t="str">
        <f>CONCATENATE(F16,2025)</f>
        <v>9002510432025</v>
      </c>
      <c r="H16" s="8">
        <v>43101</v>
      </c>
      <c r="I16" s="8">
        <v>45821</v>
      </c>
      <c r="J16" s="7" t="s">
        <v>1</v>
      </c>
      <c r="K16" s="7" t="s">
        <v>11</v>
      </c>
      <c r="L16" s="9">
        <v>12</v>
      </c>
      <c r="M16" s="7" t="s">
        <v>117</v>
      </c>
      <c r="N16" s="7" t="s">
        <v>123</v>
      </c>
    </row>
    <row r="17" spans="1:14" x14ac:dyDescent="0.25">
      <c r="A17" s="7" t="s">
        <v>40</v>
      </c>
      <c r="B17" s="7">
        <v>9079571</v>
      </c>
      <c r="C17" s="7" t="s">
        <v>39</v>
      </c>
      <c r="D17" s="7" t="s">
        <v>38</v>
      </c>
      <c r="E17" s="7" t="str">
        <f>CONCATENATE(C17, " ",D17)</f>
        <v>Dani Rose Zein</v>
      </c>
      <c r="F17" s="7">
        <v>942566601</v>
      </c>
      <c r="G17" s="7" t="str">
        <f>CONCATENATE(F17,2025)</f>
        <v>9425666012025</v>
      </c>
      <c r="H17" s="8">
        <v>45474</v>
      </c>
      <c r="I17" s="8">
        <v>45821</v>
      </c>
      <c r="J17" s="7" t="s">
        <v>1</v>
      </c>
      <c r="K17" s="7" t="s">
        <v>5</v>
      </c>
      <c r="L17" s="9">
        <v>12</v>
      </c>
      <c r="M17" s="7" t="s">
        <v>117</v>
      </c>
      <c r="N17" s="7" t="s">
        <v>125</v>
      </c>
    </row>
    <row r="18" spans="1:14" x14ac:dyDescent="0.25">
      <c r="A18" s="7" t="s">
        <v>40</v>
      </c>
      <c r="B18" s="7">
        <v>9079571</v>
      </c>
      <c r="C18" s="7" t="s">
        <v>58</v>
      </c>
      <c r="D18" s="7" t="s">
        <v>57</v>
      </c>
      <c r="E18" s="7" t="str">
        <f>CONCATENATE(C18, " ",D18)</f>
        <v>Daniel Hampton</v>
      </c>
      <c r="F18" s="7">
        <v>903477729</v>
      </c>
      <c r="G18" s="7" t="str">
        <f>CONCATENATE(F18,20253)</f>
        <v>90347772920253</v>
      </c>
      <c r="H18" s="8">
        <v>42736</v>
      </c>
      <c r="I18" s="8">
        <v>45821</v>
      </c>
      <c r="J18" s="7" t="s">
        <v>1</v>
      </c>
      <c r="K18" s="7" t="s">
        <v>105</v>
      </c>
      <c r="L18" s="9">
        <v>6</v>
      </c>
      <c r="M18" s="7" t="s">
        <v>118</v>
      </c>
      <c r="N18" s="7" t="s">
        <v>123</v>
      </c>
    </row>
    <row r="19" spans="1:14" x14ac:dyDescent="0.25">
      <c r="A19" s="7" t="s">
        <v>40</v>
      </c>
      <c r="B19" s="7">
        <v>9079571</v>
      </c>
      <c r="C19" s="7" t="s">
        <v>58</v>
      </c>
      <c r="D19" s="7" t="s">
        <v>57</v>
      </c>
      <c r="E19" s="7" t="str">
        <f>CONCATENATE(C19, " ",D19)</f>
        <v>Daniel Hampton</v>
      </c>
      <c r="F19" s="7">
        <v>903477729</v>
      </c>
      <c r="G19" s="7" t="str">
        <f>CONCATENATE(F19,2025)</f>
        <v>9034777292025</v>
      </c>
      <c r="H19" s="8">
        <v>44927</v>
      </c>
      <c r="I19" s="8">
        <v>45821</v>
      </c>
      <c r="J19" s="7" t="s">
        <v>1</v>
      </c>
      <c r="K19" s="7" t="s">
        <v>11</v>
      </c>
      <c r="L19" s="9">
        <v>12</v>
      </c>
      <c r="M19" s="7" t="s">
        <v>117</v>
      </c>
      <c r="N19" s="7" t="s">
        <v>123</v>
      </c>
    </row>
    <row r="20" spans="1:14" x14ac:dyDescent="0.25">
      <c r="A20" s="7" t="s">
        <v>40</v>
      </c>
      <c r="B20" s="7">
        <v>9079571</v>
      </c>
      <c r="C20" s="7" t="s">
        <v>55</v>
      </c>
      <c r="D20" s="7" t="s">
        <v>54</v>
      </c>
      <c r="E20" s="7" t="str">
        <f>CONCATENATE(C20, " ",D20)</f>
        <v>Darchelle Gillespie</v>
      </c>
      <c r="F20" s="7">
        <v>905364833</v>
      </c>
      <c r="G20" s="7" t="str">
        <f>CONCATENATE(F20,2025)</f>
        <v>9053648332025</v>
      </c>
      <c r="H20" s="8">
        <v>45809</v>
      </c>
      <c r="I20" s="8">
        <v>45821</v>
      </c>
      <c r="J20" s="7" t="s">
        <v>1</v>
      </c>
      <c r="K20" s="7" t="s">
        <v>11</v>
      </c>
      <c r="L20" s="9">
        <v>12</v>
      </c>
      <c r="M20" s="7" t="s">
        <v>117</v>
      </c>
      <c r="N20" s="7" t="s">
        <v>123</v>
      </c>
    </row>
    <row r="21" spans="1:14" x14ac:dyDescent="0.25">
      <c r="A21" s="7" t="s">
        <v>40</v>
      </c>
      <c r="B21" s="7">
        <v>9079571</v>
      </c>
      <c r="C21" s="7" t="s">
        <v>64</v>
      </c>
      <c r="D21" s="7" t="s">
        <v>63</v>
      </c>
      <c r="E21" s="7" t="str">
        <f>CONCATENATE(C21, " ",D21)</f>
        <v>Darlene Stogsdill</v>
      </c>
      <c r="F21" s="7">
        <v>900781883</v>
      </c>
      <c r="G21" s="7" t="str">
        <f>CONCATENATE(F21,2025)</f>
        <v>9007818832025</v>
      </c>
      <c r="H21" s="8">
        <v>43831</v>
      </c>
      <c r="I21" s="8">
        <v>45821</v>
      </c>
      <c r="J21" s="7" t="s">
        <v>1</v>
      </c>
      <c r="K21" s="7" t="s">
        <v>11</v>
      </c>
      <c r="L21" s="9">
        <v>12</v>
      </c>
      <c r="M21" s="7" t="s">
        <v>117</v>
      </c>
      <c r="N21" s="7" t="s">
        <v>123</v>
      </c>
    </row>
    <row r="22" spans="1:14" x14ac:dyDescent="0.25">
      <c r="A22" s="7" t="s">
        <v>96</v>
      </c>
      <c r="B22" s="7">
        <v>19279958</v>
      </c>
      <c r="C22" s="7" t="s">
        <v>95</v>
      </c>
      <c r="D22" s="7" t="s">
        <v>94</v>
      </c>
      <c r="E22" s="7" t="str">
        <f>CONCATENATE(C22, " ",D22)</f>
        <v>Darrell Snyder</v>
      </c>
      <c r="F22" s="7">
        <v>951374301</v>
      </c>
      <c r="G22" s="7" t="str">
        <f>CONCATENATE(F22,2025)</f>
        <v>9513743012025</v>
      </c>
      <c r="H22" s="8">
        <v>45261</v>
      </c>
      <c r="I22" s="8">
        <v>45821</v>
      </c>
      <c r="J22" s="7" t="s">
        <v>1</v>
      </c>
      <c r="K22" s="7" t="s">
        <v>11</v>
      </c>
      <c r="L22" s="9">
        <v>12</v>
      </c>
      <c r="M22" s="7" t="s">
        <v>117</v>
      </c>
      <c r="N22" s="7" t="s">
        <v>123</v>
      </c>
    </row>
    <row r="23" spans="1:14" x14ac:dyDescent="0.25">
      <c r="A23" s="7" t="s">
        <v>8</v>
      </c>
      <c r="B23" s="7">
        <v>16243811</v>
      </c>
      <c r="C23" s="7" t="s">
        <v>77</v>
      </c>
      <c r="D23" s="7" t="s">
        <v>76</v>
      </c>
      <c r="E23" s="7" t="str">
        <f>CONCATENATE(C23, " ",D23)</f>
        <v>David Fregly</v>
      </c>
      <c r="F23" s="7">
        <v>923170842</v>
      </c>
      <c r="G23" s="7" t="str">
        <f>CONCATENATE(F23,2025)</f>
        <v>9231708422025</v>
      </c>
      <c r="H23" s="8">
        <v>44958</v>
      </c>
      <c r="I23" s="8">
        <v>45821</v>
      </c>
      <c r="J23" s="7" t="s">
        <v>1</v>
      </c>
      <c r="K23" s="7" t="s">
        <v>11</v>
      </c>
      <c r="L23" s="9">
        <v>12</v>
      </c>
      <c r="M23" s="7" t="s">
        <v>117</v>
      </c>
      <c r="N23" s="7" t="s">
        <v>123</v>
      </c>
    </row>
    <row r="24" spans="1:14" x14ac:dyDescent="0.25">
      <c r="A24" s="7" t="s">
        <v>8</v>
      </c>
      <c r="B24" s="7">
        <v>16243811</v>
      </c>
      <c r="C24" s="7" t="s">
        <v>37</v>
      </c>
      <c r="D24" s="7" t="s">
        <v>36</v>
      </c>
      <c r="E24" s="7" t="str">
        <f>CONCATENATE(C24, " ",D24)</f>
        <v>Derek Williams</v>
      </c>
      <c r="F24" s="7">
        <v>905637129</v>
      </c>
      <c r="G24" s="7" t="str">
        <f>CONCATENATE(F24,2025)</f>
        <v>9056371292025</v>
      </c>
      <c r="H24" s="8">
        <v>42430</v>
      </c>
      <c r="I24" s="8">
        <v>45821</v>
      </c>
      <c r="J24" s="7" t="s">
        <v>1</v>
      </c>
      <c r="K24" s="7" t="s">
        <v>5</v>
      </c>
      <c r="L24" s="9">
        <v>12</v>
      </c>
      <c r="M24" s="7" t="s">
        <v>117</v>
      </c>
      <c r="N24" s="7" t="s">
        <v>125</v>
      </c>
    </row>
    <row r="25" spans="1:14" s="4" customFormat="1" x14ac:dyDescent="0.25">
      <c r="A25" s="7" t="s">
        <v>8</v>
      </c>
      <c r="B25" s="7">
        <v>16243811</v>
      </c>
      <c r="C25" s="7" t="s">
        <v>79</v>
      </c>
      <c r="D25" s="7" t="s">
        <v>78</v>
      </c>
      <c r="E25" s="7" t="str">
        <f>CONCATENATE(C25, " ",D25)</f>
        <v>Domenico Capuano</v>
      </c>
      <c r="F25" s="7">
        <v>905527323</v>
      </c>
      <c r="G25" s="7" t="str">
        <f>CONCATENATE(F25,2025)</f>
        <v>9055273232025</v>
      </c>
      <c r="H25" s="8">
        <v>42736</v>
      </c>
      <c r="I25" s="8">
        <v>45821</v>
      </c>
      <c r="J25" s="7" t="s">
        <v>1</v>
      </c>
      <c r="K25" s="7" t="s">
        <v>11</v>
      </c>
      <c r="L25" s="9">
        <v>12</v>
      </c>
      <c r="M25" s="7" t="s">
        <v>117</v>
      </c>
      <c r="N25" s="7" t="s">
        <v>123</v>
      </c>
    </row>
    <row r="26" spans="1:14" x14ac:dyDescent="0.25">
      <c r="A26" s="7" t="s">
        <v>40</v>
      </c>
      <c r="B26" s="7">
        <v>9079571</v>
      </c>
      <c r="C26" s="7" t="s">
        <v>44</v>
      </c>
      <c r="D26" s="7" t="s">
        <v>43</v>
      </c>
      <c r="E26" s="7" t="str">
        <f>CONCATENATE(C26, " ",D26)</f>
        <v>Emily Gatewood</v>
      </c>
      <c r="F26" s="7">
        <v>927382902</v>
      </c>
      <c r="G26" s="7" t="str">
        <f>CONCATENATE(F26,2025)</f>
        <v>9273829022025</v>
      </c>
      <c r="H26" s="8">
        <v>45809</v>
      </c>
      <c r="I26" s="8">
        <v>45821</v>
      </c>
      <c r="J26" s="7" t="s">
        <v>1</v>
      </c>
      <c r="K26" s="7" t="s">
        <v>11</v>
      </c>
      <c r="L26" s="9">
        <v>12</v>
      </c>
      <c r="M26" s="7" t="s">
        <v>117</v>
      </c>
      <c r="N26" s="7" t="s">
        <v>123</v>
      </c>
    </row>
    <row r="27" spans="1:14" x14ac:dyDescent="0.25">
      <c r="A27" s="7" t="s">
        <v>8</v>
      </c>
      <c r="B27" s="7">
        <v>16243811</v>
      </c>
      <c r="C27" s="7" t="s">
        <v>10</v>
      </c>
      <c r="D27" s="7" t="s">
        <v>9</v>
      </c>
      <c r="E27" s="7" t="str">
        <f>CONCATENATE(C27, " ",D27)</f>
        <v>George Ashley</v>
      </c>
      <c r="F27" s="7">
        <v>901116019</v>
      </c>
      <c r="G27" s="7" t="str">
        <f>CONCATENATE(F27,2025)</f>
        <v>9011160192025</v>
      </c>
      <c r="H27" s="8">
        <v>43132</v>
      </c>
      <c r="I27" s="8">
        <v>45821</v>
      </c>
      <c r="J27" s="7" t="s">
        <v>1</v>
      </c>
      <c r="K27" s="7" t="s">
        <v>5</v>
      </c>
      <c r="L27" s="9">
        <v>12</v>
      </c>
      <c r="M27" s="7" t="s">
        <v>117</v>
      </c>
      <c r="N27" s="7" t="s">
        <v>125</v>
      </c>
    </row>
    <row r="28" spans="1:14" x14ac:dyDescent="0.25">
      <c r="A28" s="7" t="s">
        <v>8</v>
      </c>
      <c r="B28" s="7">
        <v>16243811</v>
      </c>
      <c r="C28" s="7" t="s">
        <v>27</v>
      </c>
      <c r="D28" s="7" t="s">
        <v>26</v>
      </c>
      <c r="E28" s="7" t="str">
        <f>CONCATENATE(C28, " ",D28)</f>
        <v>Giulietta Pinna</v>
      </c>
      <c r="F28" s="7">
        <v>905639045</v>
      </c>
      <c r="G28" s="7" t="str">
        <f>CONCATENATE(F28,2025)</f>
        <v>9056390452025</v>
      </c>
      <c r="H28" s="8">
        <v>44927</v>
      </c>
      <c r="I28" s="8">
        <v>45821</v>
      </c>
      <c r="J28" s="7" t="s">
        <v>1</v>
      </c>
      <c r="K28" s="7" t="s">
        <v>5</v>
      </c>
      <c r="L28" s="9">
        <v>12</v>
      </c>
      <c r="M28" s="7" t="s">
        <v>117</v>
      </c>
      <c r="N28" s="7" t="s">
        <v>125</v>
      </c>
    </row>
    <row r="29" spans="1:14" x14ac:dyDescent="0.25">
      <c r="A29" s="7" t="s">
        <v>40</v>
      </c>
      <c r="B29" s="7">
        <v>9079571</v>
      </c>
      <c r="C29" s="7" t="s">
        <v>19</v>
      </c>
      <c r="D29" s="7" t="s">
        <v>56</v>
      </c>
      <c r="E29" s="7" t="str">
        <f>CONCATENATE(C29, " ",D29)</f>
        <v>James Collins</v>
      </c>
      <c r="F29" s="7">
        <v>905356499</v>
      </c>
      <c r="G29" s="7" t="str">
        <f>CONCATENATE(F29,2025)</f>
        <v>9053564992025</v>
      </c>
      <c r="H29" s="8">
        <v>45200</v>
      </c>
      <c r="I29" s="8">
        <v>45821</v>
      </c>
      <c r="J29" s="7" t="s">
        <v>1</v>
      </c>
      <c r="K29" s="7" t="s">
        <v>5</v>
      </c>
      <c r="L29" s="9">
        <v>12</v>
      </c>
      <c r="M29" s="7" t="s">
        <v>117</v>
      </c>
      <c r="N29" s="7" t="s">
        <v>125</v>
      </c>
    </row>
    <row r="30" spans="1:14" x14ac:dyDescent="0.25">
      <c r="A30" s="7" t="s">
        <v>40</v>
      </c>
      <c r="B30" s="7">
        <v>9079571</v>
      </c>
      <c r="C30" s="7" t="s">
        <v>19</v>
      </c>
      <c r="D30" s="7" t="s">
        <v>56</v>
      </c>
      <c r="E30" s="7" t="str">
        <f>CONCATENATE(C30, " ",D30)</f>
        <v>James Collins</v>
      </c>
      <c r="F30" s="7">
        <v>905356499</v>
      </c>
      <c r="G30" s="7" t="str">
        <f>CONCATENATE(F30,2025)</f>
        <v>9053564992025</v>
      </c>
      <c r="H30" s="8">
        <v>45200</v>
      </c>
      <c r="I30" s="8">
        <v>45821</v>
      </c>
      <c r="J30" s="7" t="s">
        <v>1</v>
      </c>
      <c r="K30" s="7" t="s">
        <v>11</v>
      </c>
      <c r="L30" s="9">
        <v>12</v>
      </c>
      <c r="M30" s="7" t="s">
        <v>117</v>
      </c>
      <c r="N30" s="7" t="s">
        <v>123</v>
      </c>
    </row>
    <row r="31" spans="1:14" x14ac:dyDescent="0.25">
      <c r="A31" s="7" t="s">
        <v>8</v>
      </c>
      <c r="B31" s="7">
        <v>16243811</v>
      </c>
      <c r="C31" s="7" t="s">
        <v>19</v>
      </c>
      <c r="D31" s="7" t="s">
        <v>18</v>
      </c>
      <c r="E31" s="7" t="str">
        <f>CONCATENATE(C31, " ",D31)</f>
        <v>James Fuller</v>
      </c>
      <c r="F31" s="7">
        <v>900507046</v>
      </c>
      <c r="G31" s="7" t="str">
        <f>CONCATENATE(F31,2025)</f>
        <v>9005070462025</v>
      </c>
      <c r="H31" s="8">
        <v>44501</v>
      </c>
      <c r="I31" s="8">
        <v>45821</v>
      </c>
      <c r="J31" s="7" t="s">
        <v>1</v>
      </c>
      <c r="K31" s="7" t="s">
        <v>11</v>
      </c>
      <c r="L31" s="9">
        <v>12</v>
      </c>
      <c r="M31" s="7" t="s">
        <v>117</v>
      </c>
      <c r="N31" s="7" t="s">
        <v>123</v>
      </c>
    </row>
    <row r="32" spans="1:14" x14ac:dyDescent="0.25">
      <c r="A32" s="7" t="s">
        <v>8</v>
      </c>
      <c r="B32" s="7">
        <v>16243811</v>
      </c>
      <c r="C32" s="7" t="s">
        <v>71</v>
      </c>
      <c r="D32" s="7" t="s">
        <v>70</v>
      </c>
      <c r="E32" s="7" t="str">
        <f>CONCATENATE(C32, " ",D32)</f>
        <v>Jennifer Spalding</v>
      </c>
      <c r="F32" s="7">
        <v>965296001</v>
      </c>
      <c r="G32" s="7" t="str">
        <f>CONCATENATE(F32,2025)</f>
        <v>9652960012025</v>
      </c>
      <c r="H32" s="8">
        <v>45809</v>
      </c>
      <c r="I32" s="8">
        <v>45821</v>
      </c>
      <c r="J32" s="7" t="s">
        <v>1</v>
      </c>
      <c r="K32" s="7" t="s">
        <v>11</v>
      </c>
      <c r="L32" s="9">
        <v>12</v>
      </c>
      <c r="M32" s="7" t="s">
        <v>117</v>
      </c>
      <c r="N32" s="7" t="s">
        <v>123</v>
      </c>
    </row>
    <row r="33" spans="1:14" x14ac:dyDescent="0.25">
      <c r="A33" s="7" t="s">
        <v>8</v>
      </c>
      <c r="B33" s="7">
        <v>16243811</v>
      </c>
      <c r="C33" s="7" t="s">
        <v>23</v>
      </c>
      <c r="D33" s="7" t="s">
        <v>22</v>
      </c>
      <c r="E33" s="7" t="str">
        <f>CONCATENATE(C33, " ",D33)</f>
        <v>Jimmy Le</v>
      </c>
      <c r="F33" s="7">
        <v>903983529</v>
      </c>
      <c r="G33" s="7" t="str">
        <f>CONCATENATE(F33,2025)</f>
        <v>9039835292025</v>
      </c>
      <c r="H33" s="8">
        <v>44197</v>
      </c>
      <c r="I33" s="8">
        <v>45821</v>
      </c>
      <c r="J33" s="7" t="s">
        <v>1</v>
      </c>
      <c r="K33" s="7" t="s">
        <v>5</v>
      </c>
      <c r="L33" s="9">
        <v>12</v>
      </c>
      <c r="M33" s="7" t="s">
        <v>117</v>
      </c>
      <c r="N33" s="7" t="s">
        <v>125</v>
      </c>
    </row>
    <row r="34" spans="1:14" x14ac:dyDescent="0.25">
      <c r="A34" s="7" t="s">
        <v>40</v>
      </c>
      <c r="B34" s="7">
        <v>9079571</v>
      </c>
      <c r="C34" s="7" t="s">
        <v>42</v>
      </c>
      <c r="D34" s="7" t="s">
        <v>41</v>
      </c>
      <c r="E34" s="7" t="str">
        <f>CONCATENATE(C34, " ",D34)</f>
        <v>Jordan Douglas</v>
      </c>
      <c r="F34" s="7">
        <v>929641802</v>
      </c>
      <c r="G34" s="7" t="str">
        <f>CONCATENATE(F34,2025)</f>
        <v>9296418022025</v>
      </c>
      <c r="H34" s="8">
        <v>45809</v>
      </c>
      <c r="I34" s="8">
        <v>45821</v>
      </c>
      <c r="J34" s="7" t="s">
        <v>1</v>
      </c>
      <c r="K34" s="7" t="s">
        <v>11</v>
      </c>
      <c r="L34" s="9">
        <v>12</v>
      </c>
      <c r="M34" s="7" t="s">
        <v>117</v>
      </c>
      <c r="N34" s="7" t="s">
        <v>123</v>
      </c>
    </row>
    <row r="35" spans="1:14" x14ac:dyDescent="0.25">
      <c r="A35" s="7" t="s">
        <v>99</v>
      </c>
      <c r="B35" s="7">
        <v>17554531</v>
      </c>
      <c r="C35" s="7" t="s">
        <v>103</v>
      </c>
      <c r="D35" s="7" t="s">
        <v>102</v>
      </c>
      <c r="E35" s="7" t="str">
        <f>CONCATENATE(C35, " ",D35)</f>
        <v>Julie Ahn</v>
      </c>
      <c r="F35" s="7">
        <v>904983311</v>
      </c>
      <c r="G35" s="7" t="str">
        <f>CONCATENATE(F35,2025)</f>
        <v>9049833112025</v>
      </c>
      <c r="H35" s="8">
        <v>45809</v>
      </c>
      <c r="I35" s="8">
        <v>45821</v>
      </c>
      <c r="J35" s="7" t="s">
        <v>1</v>
      </c>
      <c r="K35" s="7" t="s">
        <v>11</v>
      </c>
      <c r="L35" s="9">
        <v>12</v>
      </c>
      <c r="M35" s="7" t="s">
        <v>117</v>
      </c>
      <c r="N35" s="7" t="s">
        <v>123</v>
      </c>
    </row>
    <row r="36" spans="1:14" x14ac:dyDescent="0.25">
      <c r="A36" s="7" t="s">
        <v>8</v>
      </c>
      <c r="B36" s="7">
        <v>16243811</v>
      </c>
      <c r="C36" s="7" t="s">
        <v>25</v>
      </c>
      <c r="D36" s="7" t="s">
        <v>24</v>
      </c>
      <c r="E36" s="7" t="str">
        <f>CONCATENATE(C36, " ",D36)</f>
        <v>Kathleen Mcgann</v>
      </c>
      <c r="F36" s="7">
        <v>900273454</v>
      </c>
      <c r="G36" s="7" t="str">
        <f>CONCATENATE(F36,2025)</f>
        <v>9002734542025</v>
      </c>
      <c r="H36" s="8">
        <v>42736</v>
      </c>
      <c r="I36" s="8">
        <v>45821</v>
      </c>
      <c r="J36" s="7" t="s">
        <v>1</v>
      </c>
      <c r="K36" s="7" t="s">
        <v>5</v>
      </c>
      <c r="L36" s="9">
        <v>12</v>
      </c>
      <c r="M36" s="7" t="s">
        <v>117</v>
      </c>
      <c r="N36" s="7" t="s">
        <v>125</v>
      </c>
    </row>
    <row r="37" spans="1:14" x14ac:dyDescent="0.25">
      <c r="A37" s="7" t="s">
        <v>40</v>
      </c>
      <c r="B37" s="7">
        <v>9079571</v>
      </c>
      <c r="C37" s="7" t="s">
        <v>62</v>
      </c>
      <c r="D37" s="7" t="s">
        <v>61</v>
      </c>
      <c r="E37" s="7" t="str">
        <f>CONCATENATE(C37, " ",D37)</f>
        <v>Laura Rose</v>
      </c>
      <c r="F37" s="7">
        <v>902935830</v>
      </c>
      <c r="G37" s="7" t="str">
        <f>CONCATENATE(F37,2025)</f>
        <v>9029358302025</v>
      </c>
      <c r="H37" s="8">
        <v>44562</v>
      </c>
      <c r="I37" s="8">
        <v>45821</v>
      </c>
      <c r="J37" s="7" t="s">
        <v>1</v>
      </c>
      <c r="K37" s="7" t="s">
        <v>5</v>
      </c>
      <c r="L37" s="9">
        <v>12</v>
      </c>
      <c r="M37" s="7" t="s">
        <v>117</v>
      </c>
      <c r="N37" s="7" t="s">
        <v>125</v>
      </c>
    </row>
    <row r="38" spans="1:14" x14ac:dyDescent="0.25">
      <c r="A38" s="7" t="s">
        <v>8</v>
      </c>
      <c r="B38" s="7">
        <v>16243811</v>
      </c>
      <c r="C38" s="7" t="s">
        <v>83</v>
      </c>
      <c r="D38" s="7" t="s">
        <v>82</v>
      </c>
      <c r="E38" s="7" t="str">
        <f>CONCATENATE(C38, " ",D38)</f>
        <v>Leza Wilson</v>
      </c>
      <c r="F38" s="7">
        <v>900340035</v>
      </c>
      <c r="G38" s="7" t="str">
        <f>CONCATENATE(F38,2025)</f>
        <v>9003400352025</v>
      </c>
      <c r="H38" s="8">
        <v>42064</v>
      </c>
      <c r="I38" s="8">
        <v>45821</v>
      </c>
      <c r="J38" s="7" t="s">
        <v>1</v>
      </c>
      <c r="K38" s="7" t="s">
        <v>5</v>
      </c>
      <c r="L38" s="9">
        <v>12</v>
      </c>
      <c r="M38" s="7" t="s">
        <v>117</v>
      </c>
      <c r="N38" s="7" t="s">
        <v>125</v>
      </c>
    </row>
    <row r="39" spans="1:14" x14ac:dyDescent="0.25">
      <c r="A39" s="7" t="s">
        <v>8</v>
      </c>
      <c r="B39" s="7">
        <v>16243811</v>
      </c>
      <c r="C39" s="7" t="s">
        <v>83</v>
      </c>
      <c r="D39" s="7" t="s">
        <v>82</v>
      </c>
      <c r="E39" s="7" t="str">
        <f>CONCATENATE(C39, " ",D39)</f>
        <v>Leza Wilson</v>
      </c>
      <c r="F39" s="7">
        <v>900340035</v>
      </c>
      <c r="G39" s="7" t="str">
        <f>CONCATENATE(F39,2025)</f>
        <v>9003400352025</v>
      </c>
      <c r="H39" s="8">
        <v>42064</v>
      </c>
      <c r="I39" s="8">
        <v>45821</v>
      </c>
      <c r="J39" s="7" t="s">
        <v>1</v>
      </c>
      <c r="K39" s="7" t="s">
        <v>11</v>
      </c>
      <c r="L39" s="9">
        <v>12</v>
      </c>
      <c r="M39" s="7" t="s">
        <v>117</v>
      </c>
      <c r="N39" s="7" t="s">
        <v>123</v>
      </c>
    </row>
    <row r="40" spans="1:14" x14ac:dyDescent="0.25">
      <c r="A40" s="7" t="s">
        <v>40</v>
      </c>
      <c r="B40" s="7">
        <v>9079571</v>
      </c>
      <c r="C40" s="7" t="s">
        <v>53</v>
      </c>
      <c r="D40" s="7" t="s">
        <v>52</v>
      </c>
      <c r="E40" s="7" t="str">
        <f>CONCATENATE(C40, " ",D40)</f>
        <v>Lindsay Taylor</v>
      </c>
      <c r="F40" s="7">
        <v>917598262</v>
      </c>
      <c r="G40" s="7" t="str">
        <f>CONCATENATE(F40,2025)</f>
        <v>9175982622025</v>
      </c>
      <c r="H40" s="8">
        <v>45809</v>
      </c>
      <c r="I40" s="8">
        <v>45821</v>
      </c>
      <c r="J40" s="7" t="s">
        <v>1</v>
      </c>
      <c r="K40" s="7" t="s">
        <v>11</v>
      </c>
      <c r="L40" s="9">
        <v>12</v>
      </c>
      <c r="M40" s="7" t="s">
        <v>117</v>
      </c>
      <c r="N40" s="7" t="s">
        <v>123</v>
      </c>
    </row>
    <row r="41" spans="1:14" x14ac:dyDescent="0.25">
      <c r="A41" s="7" t="s">
        <v>8</v>
      </c>
      <c r="B41" s="7">
        <v>16243811</v>
      </c>
      <c r="C41" s="7" t="s">
        <v>81</v>
      </c>
      <c r="D41" s="7" t="s">
        <v>80</v>
      </c>
      <c r="E41" s="7" t="str">
        <f>CONCATENATE(C41, " ",D41)</f>
        <v>Lorena Blas</v>
      </c>
      <c r="F41" s="7">
        <v>901182035</v>
      </c>
      <c r="G41" s="7" t="str">
        <f>CONCATENATE(F41,2025)</f>
        <v>9011820352025</v>
      </c>
      <c r="H41" s="8">
        <v>45778</v>
      </c>
      <c r="I41" s="8">
        <v>45821</v>
      </c>
      <c r="J41" s="7" t="s">
        <v>1</v>
      </c>
      <c r="K41" s="7" t="s">
        <v>5</v>
      </c>
      <c r="L41" s="9">
        <v>12</v>
      </c>
      <c r="M41" s="7" t="s">
        <v>117</v>
      </c>
      <c r="N41" s="7" t="s">
        <v>125</v>
      </c>
    </row>
    <row r="42" spans="1:14" x14ac:dyDescent="0.25">
      <c r="A42" s="7" t="s">
        <v>40</v>
      </c>
      <c r="B42" s="7">
        <v>9079571</v>
      </c>
      <c r="C42" s="7" t="s">
        <v>48</v>
      </c>
      <c r="D42" s="7" t="s">
        <v>47</v>
      </c>
      <c r="E42" s="7" t="str">
        <f>CONCATENATE(C42, " ",D42)</f>
        <v>Maranda Garner</v>
      </c>
      <c r="F42" s="7">
        <v>924167362</v>
      </c>
      <c r="G42" s="7" t="str">
        <f>CONCATENATE(F42,2025)</f>
        <v>9241673622025</v>
      </c>
      <c r="H42" s="8">
        <v>45108</v>
      </c>
      <c r="I42" s="8">
        <v>45821</v>
      </c>
      <c r="J42" s="7" t="s">
        <v>1</v>
      </c>
      <c r="K42" s="7" t="s">
        <v>5</v>
      </c>
      <c r="L42" s="9">
        <v>12</v>
      </c>
      <c r="M42" s="7" t="s">
        <v>117</v>
      </c>
      <c r="N42" s="7" t="s">
        <v>125</v>
      </c>
    </row>
    <row r="43" spans="1:14" x14ac:dyDescent="0.25">
      <c r="A43" s="7" t="s">
        <v>8</v>
      </c>
      <c r="B43" s="7">
        <v>16243811</v>
      </c>
      <c r="C43" s="7" t="s">
        <v>21</v>
      </c>
      <c r="D43" s="7" t="s">
        <v>20</v>
      </c>
      <c r="E43" s="7" t="str">
        <f>CONCATENATE(C43, " ",D43)</f>
        <v>Mark Gregory</v>
      </c>
      <c r="F43" s="7">
        <v>902076554</v>
      </c>
      <c r="G43" s="7" t="str">
        <f>CONCATENATE(F43,2025)</f>
        <v>9020765542025</v>
      </c>
      <c r="H43" s="8">
        <v>44896</v>
      </c>
      <c r="I43" s="8">
        <v>45821</v>
      </c>
      <c r="J43" s="7" t="s">
        <v>1</v>
      </c>
      <c r="K43" s="7" t="s">
        <v>5</v>
      </c>
      <c r="L43" s="9">
        <v>12</v>
      </c>
      <c r="M43" s="7" t="s">
        <v>117</v>
      </c>
      <c r="N43" s="7" t="s">
        <v>125</v>
      </c>
    </row>
    <row r="44" spans="1:14" x14ac:dyDescent="0.25">
      <c r="A44" s="7" t="s">
        <v>8</v>
      </c>
      <c r="B44" s="7">
        <v>16243811</v>
      </c>
      <c r="C44" s="7" t="s">
        <v>29</v>
      </c>
      <c r="D44" s="7" t="s">
        <v>28</v>
      </c>
      <c r="E44" s="7" t="str">
        <f>CONCATENATE(C44, " ",D44)</f>
        <v>Oscar Rodriguez</v>
      </c>
      <c r="F44" s="7">
        <v>905210375</v>
      </c>
      <c r="G44" s="7" t="str">
        <f>CONCATENATE(F44,2025)</f>
        <v>9052103752025</v>
      </c>
      <c r="H44" s="8">
        <v>42005</v>
      </c>
      <c r="I44" s="8">
        <v>45821</v>
      </c>
      <c r="J44" s="7" t="s">
        <v>1</v>
      </c>
      <c r="K44" s="7" t="s">
        <v>5</v>
      </c>
      <c r="L44" s="9">
        <v>12</v>
      </c>
      <c r="M44" s="7" t="s">
        <v>117</v>
      </c>
      <c r="N44" s="7" t="s">
        <v>125</v>
      </c>
    </row>
    <row r="45" spans="1:14" x14ac:dyDescent="0.25">
      <c r="A45" s="7" t="s">
        <v>8</v>
      </c>
      <c r="B45" s="7">
        <v>16243811</v>
      </c>
      <c r="C45" s="7" t="s">
        <v>29</v>
      </c>
      <c r="D45" s="7" t="s">
        <v>28</v>
      </c>
      <c r="E45" s="7" t="str">
        <f>CONCATENATE(C45, " ",D45)</f>
        <v>Oscar Rodriguez</v>
      </c>
      <c r="F45" s="7">
        <v>905210375</v>
      </c>
      <c r="G45" s="7" t="str">
        <f>CONCATENATE(F45,2025)</f>
        <v>9052103752025</v>
      </c>
      <c r="H45" s="8">
        <v>42005</v>
      </c>
      <c r="I45" s="8">
        <v>45821</v>
      </c>
      <c r="J45" s="7" t="s">
        <v>1</v>
      </c>
      <c r="K45" s="7" t="s">
        <v>11</v>
      </c>
      <c r="L45" s="9">
        <v>12</v>
      </c>
      <c r="M45" s="7" t="s">
        <v>117</v>
      </c>
      <c r="N45" s="7" t="s">
        <v>123</v>
      </c>
    </row>
    <row r="46" spans="1:14" x14ac:dyDescent="0.25">
      <c r="A46" s="7" t="s">
        <v>86</v>
      </c>
      <c r="B46" s="7">
        <v>17195620</v>
      </c>
      <c r="C46" s="7" t="s">
        <v>90</v>
      </c>
      <c r="D46" s="7" t="s">
        <v>89</v>
      </c>
      <c r="E46" s="7" t="str">
        <f>CONCATENATE(C46, " ",D46)</f>
        <v>Pamela Harman</v>
      </c>
      <c r="F46" s="7">
        <v>905132448</v>
      </c>
      <c r="G46" s="7" t="str">
        <f>CONCATENATE(F46,2025)</f>
        <v>9051324482025</v>
      </c>
      <c r="H46" s="8">
        <v>42156</v>
      </c>
      <c r="I46" s="8">
        <v>45821</v>
      </c>
      <c r="J46" s="7" t="s">
        <v>1</v>
      </c>
      <c r="K46" s="7" t="s">
        <v>11</v>
      </c>
      <c r="L46" s="9">
        <v>12</v>
      </c>
      <c r="M46" s="7" t="s">
        <v>117</v>
      </c>
      <c r="N46" s="7" t="s">
        <v>123</v>
      </c>
    </row>
    <row r="47" spans="1:14" x14ac:dyDescent="0.25">
      <c r="A47" s="7" t="s">
        <v>40</v>
      </c>
      <c r="B47" s="7">
        <v>9079571</v>
      </c>
      <c r="C47" s="7" t="s">
        <v>60</v>
      </c>
      <c r="D47" s="7" t="s">
        <v>59</v>
      </c>
      <c r="E47" s="7" t="str">
        <f>CONCATENATE(C47, " ",D47)</f>
        <v>Patrice Dunston</v>
      </c>
      <c r="F47" s="7">
        <v>903135254</v>
      </c>
      <c r="G47" s="7" t="str">
        <f>CONCATENATE(F47,2025)</f>
        <v>9031352542025</v>
      </c>
      <c r="H47" s="8">
        <v>45108</v>
      </c>
      <c r="I47" s="8">
        <v>45821</v>
      </c>
      <c r="J47" s="7" t="s">
        <v>1</v>
      </c>
      <c r="K47" s="7" t="s">
        <v>11</v>
      </c>
      <c r="L47" s="9">
        <v>12</v>
      </c>
      <c r="M47" s="7" t="s">
        <v>117</v>
      </c>
      <c r="N47" s="7" t="s">
        <v>123</v>
      </c>
    </row>
    <row r="48" spans="1:14" x14ac:dyDescent="0.25">
      <c r="A48" s="7" t="s">
        <v>8</v>
      </c>
      <c r="B48" s="7">
        <v>16243811</v>
      </c>
      <c r="C48" s="7" t="s">
        <v>73</v>
      </c>
      <c r="D48" s="7" t="s">
        <v>72</v>
      </c>
      <c r="E48" s="7" t="str">
        <f>CONCATENATE(C48, " ",D48)</f>
        <v>Rand Owens</v>
      </c>
      <c r="F48" s="7">
        <v>961648101</v>
      </c>
      <c r="G48" s="7" t="str">
        <f>CONCATENATE(F48,2025)</f>
        <v>9616481012025</v>
      </c>
      <c r="H48" s="8">
        <v>43466</v>
      </c>
      <c r="I48" s="8">
        <v>45821</v>
      </c>
      <c r="J48" s="7" t="s">
        <v>1</v>
      </c>
      <c r="K48" s="7" t="s">
        <v>11</v>
      </c>
      <c r="L48" s="9">
        <v>12</v>
      </c>
      <c r="M48" s="7" t="s">
        <v>117</v>
      </c>
      <c r="N48" s="7" t="s">
        <v>123</v>
      </c>
    </row>
    <row r="49" spans="1:14" x14ac:dyDescent="0.25">
      <c r="A49" s="7" t="s">
        <v>8</v>
      </c>
      <c r="B49" s="7">
        <v>16243811</v>
      </c>
      <c r="C49" s="7" t="s">
        <v>17</v>
      </c>
      <c r="D49" s="7" t="s">
        <v>16</v>
      </c>
      <c r="E49" s="7" t="str">
        <f>CONCATENATE(C49, " ",D49)</f>
        <v>Rhonda Fields</v>
      </c>
      <c r="F49" s="7">
        <v>900928294</v>
      </c>
      <c r="G49" s="7" t="str">
        <f>CONCATENATE(F49,2025)</f>
        <v>9009282942025</v>
      </c>
      <c r="H49" s="8">
        <v>43221</v>
      </c>
      <c r="I49" s="8">
        <v>45821</v>
      </c>
      <c r="J49" s="7" t="s">
        <v>1</v>
      </c>
      <c r="K49" s="7" t="s">
        <v>11</v>
      </c>
      <c r="L49" s="9">
        <v>12</v>
      </c>
      <c r="M49" s="7" t="s">
        <v>117</v>
      </c>
      <c r="N49" s="7" t="s">
        <v>123</v>
      </c>
    </row>
    <row r="50" spans="1:14" x14ac:dyDescent="0.25">
      <c r="A50" s="7" t="s">
        <v>86</v>
      </c>
      <c r="B50" s="7">
        <v>17195620</v>
      </c>
      <c r="C50" s="7" t="s">
        <v>88</v>
      </c>
      <c r="D50" s="7" t="s">
        <v>87</v>
      </c>
      <c r="E50" s="7" t="str">
        <f>CONCATENATE(C50, " ",D50)</f>
        <v>Sandra Gibson</v>
      </c>
      <c r="F50" s="7">
        <v>909723701</v>
      </c>
      <c r="G50" s="7" t="str">
        <f>CONCATENATE(F50,2025)</f>
        <v>9097237012025</v>
      </c>
      <c r="H50" s="8">
        <v>42736</v>
      </c>
      <c r="I50" s="8">
        <v>45821</v>
      </c>
      <c r="J50" s="7" t="s">
        <v>1</v>
      </c>
      <c r="K50" s="7" t="s">
        <v>11</v>
      </c>
      <c r="L50" s="9">
        <v>12</v>
      </c>
      <c r="M50" s="7" t="s">
        <v>117</v>
      </c>
      <c r="N50" s="7" t="s">
        <v>123</v>
      </c>
    </row>
    <row r="51" spans="1:14" x14ac:dyDescent="0.25">
      <c r="A51" s="7" t="s">
        <v>8</v>
      </c>
      <c r="B51" s="7">
        <v>16243811</v>
      </c>
      <c r="C51" s="7" t="s">
        <v>31</v>
      </c>
      <c r="D51" s="7" t="s">
        <v>30</v>
      </c>
      <c r="E51" s="7" t="str">
        <f>CONCATENATE(C51, " ",D51)</f>
        <v>Sharon Singh</v>
      </c>
      <c r="F51" s="7">
        <v>934281401</v>
      </c>
      <c r="G51" s="7" t="str">
        <f>CONCATENATE(F51,2025)</f>
        <v>9342814012025</v>
      </c>
      <c r="H51" s="8">
        <v>43983</v>
      </c>
      <c r="I51" s="8">
        <v>45821</v>
      </c>
      <c r="J51" s="7" t="s">
        <v>1</v>
      </c>
      <c r="K51" s="7" t="s">
        <v>5</v>
      </c>
      <c r="L51" s="9">
        <v>12</v>
      </c>
      <c r="M51" s="7" t="s">
        <v>117</v>
      </c>
      <c r="N51" s="7" t="s">
        <v>125</v>
      </c>
    </row>
    <row r="52" spans="1:14" x14ac:dyDescent="0.25">
      <c r="A52" s="7" t="s">
        <v>8</v>
      </c>
      <c r="B52" s="7">
        <v>16243811</v>
      </c>
      <c r="C52" s="7" t="s">
        <v>13</v>
      </c>
      <c r="D52" s="7" t="s">
        <v>12</v>
      </c>
      <c r="E52" s="7" t="str">
        <f>CONCATENATE(C52, " ",D52)</f>
        <v>Stanley Barnes</v>
      </c>
      <c r="F52" s="7">
        <v>905548273</v>
      </c>
      <c r="G52" s="7" t="str">
        <f>CONCATENATE(F52,2025)</f>
        <v>9055482732025</v>
      </c>
      <c r="H52" s="8">
        <v>42370</v>
      </c>
      <c r="I52" s="8">
        <v>45821</v>
      </c>
      <c r="J52" s="7" t="s">
        <v>1</v>
      </c>
      <c r="K52" s="7" t="s">
        <v>11</v>
      </c>
      <c r="L52" s="9">
        <v>12</v>
      </c>
      <c r="M52" s="7" t="s">
        <v>117</v>
      </c>
      <c r="N52" s="7" t="s">
        <v>123</v>
      </c>
    </row>
    <row r="53" spans="1:14" x14ac:dyDescent="0.25">
      <c r="A53" s="7" t="s">
        <v>96</v>
      </c>
      <c r="B53" s="7">
        <v>19279958</v>
      </c>
      <c r="C53" s="7" t="s">
        <v>101</v>
      </c>
      <c r="D53" s="7" t="s">
        <v>100</v>
      </c>
      <c r="E53" s="7" t="str">
        <f>CONCATENATE(C53, " ",D53)</f>
        <v>Stephanie Santiago</v>
      </c>
      <c r="F53" s="7">
        <v>917936542</v>
      </c>
      <c r="G53" s="7" t="str">
        <f>CONCATENATE(F53,2025)</f>
        <v>9179365422025</v>
      </c>
      <c r="H53" s="8">
        <v>45597</v>
      </c>
      <c r="I53" s="8">
        <v>45821</v>
      </c>
      <c r="J53" s="7" t="s">
        <v>1</v>
      </c>
      <c r="K53" s="7" t="s">
        <v>5</v>
      </c>
      <c r="L53" s="9">
        <v>12</v>
      </c>
      <c r="M53" s="7" t="s">
        <v>117</v>
      </c>
      <c r="N53" s="7" t="s">
        <v>125</v>
      </c>
    </row>
    <row r="54" spans="1:14" x14ac:dyDescent="0.25">
      <c r="A54" s="7" t="s">
        <v>86</v>
      </c>
      <c r="B54" s="7">
        <v>17195620</v>
      </c>
      <c r="C54" s="7" t="s">
        <v>93</v>
      </c>
      <c r="D54" s="7" t="s">
        <v>92</v>
      </c>
      <c r="E54" s="7" t="str">
        <f>CONCATENATE(C54, " ",D54)</f>
        <v>Stephen Foncham</v>
      </c>
      <c r="F54" s="7">
        <v>904519579</v>
      </c>
      <c r="G54" s="7" t="str">
        <f>CONCATENATE(F54,2025)</f>
        <v>9045195792025</v>
      </c>
      <c r="H54" s="8">
        <v>43831</v>
      </c>
      <c r="I54" s="8">
        <v>45821</v>
      </c>
      <c r="J54" s="7" t="s">
        <v>1</v>
      </c>
      <c r="K54" s="7" t="s">
        <v>11</v>
      </c>
      <c r="L54" s="9">
        <v>12</v>
      </c>
      <c r="M54" s="7" t="s">
        <v>117</v>
      </c>
      <c r="N54" s="7" t="s">
        <v>123</v>
      </c>
    </row>
    <row r="55" spans="1:14" x14ac:dyDescent="0.25">
      <c r="A55" s="7" t="s">
        <v>8</v>
      </c>
      <c r="B55" s="7">
        <v>16243811</v>
      </c>
      <c r="C55" s="7" t="s">
        <v>7</v>
      </c>
      <c r="D55" s="7" t="s">
        <v>6</v>
      </c>
      <c r="E55" s="7" t="str">
        <f>CONCATENATE(C55, " ",D55)</f>
        <v>Subata Abro</v>
      </c>
      <c r="F55" s="7">
        <v>905147602</v>
      </c>
      <c r="G55" s="7" t="str">
        <f>CONCATENATE(F55,2025)</f>
        <v>9051476022025</v>
      </c>
      <c r="H55" s="8">
        <v>42736</v>
      </c>
      <c r="I55" s="8">
        <v>45821</v>
      </c>
      <c r="J55" s="7" t="s">
        <v>1</v>
      </c>
      <c r="K55" s="7" t="s">
        <v>5</v>
      </c>
      <c r="L55" s="9">
        <v>12</v>
      </c>
      <c r="M55" s="7" t="s">
        <v>117</v>
      </c>
      <c r="N55" s="7" t="s">
        <v>125</v>
      </c>
    </row>
    <row r="56" spans="1:14" x14ac:dyDescent="0.25">
      <c r="A56" s="7" t="s">
        <v>96</v>
      </c>
      <c r="B56" s="7">
        <v>19279958</v>
      </c>
      <c r="C56" s="7" t="s">
        <v>104</v>
      </c>
      <c r="D56" s="7" t="s">
        <v>36</v>
      </c>
      <c r="E56" s="7" t="str">
        <f>CONCATENATE(C56, " ",D56)</f>
        <v>Tammy Williams</v>
      </c>
      <c r="F56" s="7">
        <v>902360083</v>
      </c>
      <c r="G56" s="7" t="str">
        <f>CONCATENATE(F56,2025)</f>
        <v>9023600832025</v>
      </c>
      <c r="H56" s="8">
        <v>43466</v>
      </c>
      <c r="I56" s="8">
        <v>45821</v>
      </c>
      <c r="J56" s="7" t="s">
        <v>1</v>
      </c>
      <c r="K56" s="7" t="s">
        <v>11</v>
      </c>
      <c r="L56" s="9">
        <v>12</v>
      </c>
      <c r="M56" s="7" t="s">
        <v>117</v>
      </c>
      <c r="N56" s="7" t="s">
        <v>123</v>
      </c>
    </row>
    <row r="57" spans="1:14" x14ac:dyDescent="0.25">
      <c r="A57" s="4" t="s">
        <v>120</v>
      </c>
      <c r="B57" s="4">
        <v>20411454</v>
      </c>
      <c r="C57" s="4" t="s">
        <v>3</v>
      </c>
      <c r="D57" s="4" t="s">
        <v>2</v>
      </c>
      <c r="E57" s="7" t="str">
        <f>CONCATENATE(C57, " ",D57)</f>
        <v>Victor Moody</v>
      </c>
      <c r="F57" s="4">
        <v>900652175</v>
      </c>
      <c r="G57" s="4" t="str">
        <f>CONCATENATE(F57,202533)</f>
        <v>900652175202533</v>
      </c>
      <c r="H57" s="5">
        <v>42917</v>
      </c>
      <c r="I57" s="5">
        <v>45821</v>
      </c>
      <c r="J57" s="4" t="s">
        <v>1</v>
      </c>
      <c r="K57" s="4" t="s">
        <v>0</v>
      </c>
      <c r="L57" s="6">
        <v>17.5</v>
      </c>
      <c r="M57" s="4" t="s">
        <v>119</v>
      </c>
      <c r="N57" s="7" t="s">
        <v>123</v>
      </c>
    </row>
    <row r="58" spans="1:14" x14ac:dyDescent="0.25">
      <c r="A58" s="7" t="s">
        <v>8</v>
      </c>
      <c r="B58" s="7">
        <v>16243811</v>
      </c>
      <c r="C58" s="7" t="s">
        <v>15</v>
      </c>
      <c r="D58" s="7" t="s">
        <v>14</v>
      </c>
      <c r="E58" s="7" t="str">
        <f>CONCATENATE(C58, " ",D58)</f>
        <v>Victoria Ediwe</v>
      </c>
      <c r="F58" s="7">
        <v>917448901</v>
      </c>
      <c r="G58" s="7" t="str">
        <f>CONCATENATE(F58,2025)</f>
        <v>9174489012025</v>
      </c>
      <c r="H58" s="8">
        <v>42795</v>
      </c>
      <c r="I58" s="8">
        <v>45821</v>
      </c>
      <c r="J58" s="7" t="s">
        <v>1</v>
      </c>
      <c r="K58" s="7" t="s">
        <v>5</v>
      </c>
      <c r="L58" s="9">
        <v>12</v>
      </c>
      <c r="M58" s="7" t="s">
        <v>117</v>
      </c>
      <c r="N58" s="7" t="s">
        <v>125</v>
      </c>
    </row>
  </sheetData>
  <sortState xmlns:xlrd2="http://schemas.microsoft.com/office/spreadsheetml/2017/richdata2" ref="A2:N61">
    <sortCondition ref="E2:E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2C4A-6EA1-4B54-B05B-8243B96FDB5E}">
  <dimension ref="A1:C57"/>
  <sheetViews>
    <sheetView topLeftCell="A18" workbookViewId="0">
      <selection activeCell="C1" sqref="C1:C57"/>
    </sheetView>
  </sheetViews>
  <sheetFormatPr defaultRowHeight="15" x14ac:dyDescent="0.25"/>
  <sheetData>
    <row r="1" spans="1:3" x14ac:dyDescent="0.25">
      <c r="A1" t="s">
        <v>121</v>
      </c>
      <c r="B1" t="s">
        <v>122</v>
      </c>
      <c r="C1" t="s">
        <v>123</v>
      </c>
    </row>
    <row r="2" spans="1:3" x14ac:dyDescent="0.25">
      <c r="A2" t="s">
        <v>124</v>
      </c>
      <c r="B2" t="s">
        <v>122</v>
      </c>
      <c r="C2" t="s">
        <v>123</v>
      </c>
    </row>
    <row r="3" spans="1:3" x14ac:dyDescent="0.25">
      <c r="A3" t="s">
        <v>124</v>
      </c>
      <c r="B3" t="s">
        <v>122</v>
      </c>
      <c r="C3" t="s">
        <v>123</v>
      </c>
    </row>
    <row r="4" spans="1:3" x14ac:dyDescent="0.25">
      <c r="A4" t="s">
        <v>124</v>
      </c>
      <c r="B4" t="s">
        <v>122</v>
      </c>
      <c r="C4" t="s">
        <v>123</v>
      </c>
    </row>
    <row r="5" spans="1:3" x14ac:dyDescent="0.25">
      <c r="A5" t="s">
        <v>124</v>
      </c>
      <c r="B5" t="s">
        <v>122</v>
      </c>
      <c r="C5" t="s">
        <v>123</v>
      </c>
    </row>
    <row r="6" spans="1:3" x14ac:dyDescent="0.25">
      <c r="A6" t="s">
        <v>124</v>
      </c>
      <c r="B6" t="s">
        <v>122</v>
      </c>
      <c r="C6" t="s">
        <v>125</v>
      </c>
    </row>
    <row r="7" spans="1:3" x14ac:dyDescent="0.25">
      <c r="A7" t="s">
        <v>124</v>
      </c>
      <c r="B7" t="s">
        <v>122</v>
      </c>
      <c r="C7" t="s">
        <v>123</v>
      </c>
    </row>
    <row r="8" spans="1:3" x14ac:dyDescent="0.25">
      <c r="A8" t="s">
        <v>124</v>
      </c>
      <c r="B8" t="s">
        <v>122</v>
      </c>
      <c r="C8" t="s">
        <v>123</v>
      </c>
    </row>
    <row r="9" spans="1:3" x14ac:dyDescent="0.25">
      <c r="A9" t="s">
        <v>124</v>
      </c>
      <c r="B9" t="s">
        <v>122</v>
      </c>
      <c r="C9" t="s">
        <v>125</v>
      </c>
    </row>
    <row r="10" spans="1:3" x14ac:dyDescent="0.25">
      <c r="A10" t="s">
        <v>124</v>
      </c>
      <c r="B10" t="s">
        <v>122</v>
      </c>
      <c r="C10" t="s">
        <v>123</v>
      </c>
    </row>
    <row r="11" spans="1:3" x14ac:dyDescent="0.25">
      <c r="A11" t="s">
        <v>124</v>
      </c>
      <c r="B11" t="s">
        <v>122</v>
      </c>
      <c r="C11" t="s">
        <v>123</v>
      </c>
    </row>
    <row r="12" spans="1:3" x14ac:dyDescent="0.25">
      <c r="A12" t="s">
        <v>124</v>
      </c>
      <c r="B12" t="s">
        <v>122</v>
      </c>
      <c r="C12" t="s">
        <v>123</v>
      </c>
    </row>
    <row r="13" spans="1:3" x14ac:dyDescent="0.25">
      <c r="A13" t="s">
        <v>124</v>
      </c>
      <c r="B13" t="s">
        <v>122</v>
      </c>
      <c r="C13" t="s">
        <v>123</v>
      </c>
    </row>
    <row r="14" spans="1:3" x14ac:dyDescent="0.25">
      <c r="A14" t="s">
        <v>124</v>
      </c>
      <c r="B14" t="s">
        <v>122</v>
      </c>
      <c r="C14" t="s">
        <v>125</v>
      </c>
    </row>
    <row r="15" spans="1:3" x14ac:dyDescent="0.25">
      <c r="A15" t="s">
        <v>124</v>
      </c>
      <c r="B15" t="s">
        <v>122</v>
      </c>
      <c r="C15" t="s">
        <v>123</v>
      </c>
    </row>
    <row r="16" spans="1:3" x14ac:dyDescent="0.25">
      <c r="A16" t="s">
        <v>124</v>
      </c>
      <c r="B16" t="s">
        <v>122</v>
      </c>
      <c r="C16" t="s">
        <v>125</v>
      </c>
    </row>
    <row r="17" spans="1:3" x14ac:dyDescent="0.25">
      <c r="A17" t="s">
        <v>124</v>
      </c>
      <c r="B17" t="s">
        <v>122</v>
      </c>
      <c r="C17" t="s">
        <v>125</v>
      </c>
    </row>
    <row r="18" spans="1:3" x14ac:dyDescent="0.25">
      <c r="A18" t="s">
        <v>124</v>
      </c>
      <c r="B18" t="s">
        <v>122</v>
      </c>
      <c r="C18" t="s">
        <v>123</v>
      </c>
    </row>
    <row r="19" spans="1:3" x14ac:dyDescent="0.25">
      <c r="A19" t="s">
        <v>124</v>
      </c>
      <c r="B19" t="s">
        <v>122</v>
      </c>
      <c r="C19" t="s">
        <v>123</v>
      </c>
    </row>
    <row r="20" spans="1:3" x14ac:dyDescent="0.25">
      <c r="A20" t="s">
        <v>124</v>
      </c>
      <c r="B20" t="s">
        <v>122</v>
      </c>
      <c r="C20" t="s">
        <v>123</v>
      </c>
    </row>
    <row r="21" spans="1:3" x14ac:dyDescent="0.25">
      <c r="A21" t="s">
        <v>124</v>
      </c>
      <c r="B21" t="s">
        <v>122</v>
      </c>
      <c r="C21" t="s">
        <v>125</v>
      </c>
    </row>
    <row r="22" spans="1:3" x14ac:dyDescent="0.25">
      <c r="A22" t="s">
        <v>124</v>
      </c>
      <c r="B22" t="s">
        <v>122</v>
      </c>
      <c r="C22" t="s">
        <v>123</v>
      </c>
    </row>
    <row r="23" spans="1:3" x14ac:dyDescent="0.25">
      <c r="A23" t="s">
        <v>124</v>
      </c>
      <c r="B23" t="s">
        <v>122</v>
      </c>
      <c r="C23" t="s">
        <v>125</v>
      </c>
    </row>
    <row r="24" spans="1:3" x14ac:dyDescent="0.25">
      <c r="A24" s="4" t="s">
        <v>126</v>
      </c>
      <c r="B24" t="s">
        <v>122</v>
      </c>
      <c r="C24" t="s">
        <v>123</v>
      </c>
    </row>
    <row r="25" spans="1:3" x14ac:dyDescent="0.25">
      <c r="A25" s="7" t="s">
        <v>124</v>
      </c>
      <c r="B25" t="s">
        <v>122</v>
      </c>
      <c r="C25" t="s">
        <v>123</v>
      </c>
    </row>
    <row r="26" spans="1:3" x14ac:dyDescent="0.25">
      <c r="A26" s="7" t="s">
        <v>124</v>
      </c>
      <c r="B26" t="s">
        <v>122</v>
      </c>
      <c r="C26" t="s">
        <v>125</v>
      </c>
    </row>
    <row r="27" spans="1:3" x14ac:dyDescent="0.25">
      <c r="A27" s="7" t="s">
        <v>124</v>
      </c>
      <c r="B27" t="s">
        <v>122</v>
      </c>
      <c r="C27" t="s">
        <v>123</v>
      </c>
    </row>
    <row r="28" spans="1:3" x14ac:dyDescent="0.25">
      <c r="A28" s="7" t="s">
        <v>124</v>
      </c>
      <c r="B28" t="s">
        <v>122</v>
      </c>
      <c r="C28" t="s">
        <v>123</v>
      </c>
    </row>
    <row r="29" spans="1:3" x14ac:dyDescent="0.25">
      <c r="A29" s="7" t="s">
        <v>124</v>
      </c>
      <c r="B29" t="s">
        <v>122</v>
      </c>
      <c r="C29" t="s">
        <v>123</v>
      </c>
    </row>
    <row r="30" spans="1:3" x14ac:dyDescent="0.25">
      <c r="A30" s="3" t="s">
        <v>124</v>
      </c>
      <c r="B30" t="s">
        <v>122</v>
      </c>
      <c r="C30" t="s">
        <v>125</v>
      </c>
    </row>
    <row r="31" spans="1:3" x14ac:dyDescent="0.25">
      <c r="A31" s="7" t="s">
        <v>124</v>
      </c>
      <c r="B31" t="s">
        <v>122</v>
      </c>
      <c r="C31" t="s">
        <v>123</v>
      </c>
    </row>
    <row r="32" spans="1:3" x14ac:dyDescent="0.25">
      <c r="A32" s="3" t="s">
        <v>124</v>
      </c>
      <c r="B32" t="s">
        <v>122</v>
      </c>
      <c r="C32" t="s">
        <v>125</v>
      </c>
    </row>
    <row r="33" spans="1:3" x14ac:dyDescent="0.25">
      <c r="A33" s="7" t="s">
        <v>124</v>
      </c>
      <c r="B33" t="s">
        <v>122</v>
      </c>
      <c r="C33" t="s">
        <v>123</v>
      </c>
    </row>
    <row r="34" spans="1:3" x14ac:dyDescent="0.25">
      <c r="A34" t="s">
        <v>124</v>
      </c>
      <c r="B34" t="s">
        <v>122</v>
      </c>
      <c r="C34" t="s">
        <v>125</v>
      </c>
    </row>
    <row r="35" spans="1:3" x14ac:dyDescent="0.25">
      <c r="A35" t="s">
        <v>124</v>
      </c>
      <c r="B35" t="s">
        <v>122</v>
      </c>
      <c r="C35" t="s">
        <v>123</v>
      </c>
    </row>
    <row r="36" spans="1:3" x14ac:dyDescent="0.25">
      <c r="A36" t="s">
        <v>124</v>
      </c>
      <c r="B36" t="s">
        <v>122</v>
      </c>
      <c r="C36" t="s">
        <v>125</v>
      </c>
    </row>
    <row r="37" spans="1:3" x14ac:dyDescent="0.25">
      <c r="A37" t="s">
        <v>124</v>
      </c>
      <c r="B37" t="s">
        <v>122</v>
      </c>
      <c r="C37" t="s">
        <v>123</v>
      </c>
    </row>
    <row r="38" spans="1:3" x14ac:dyDescent="0.25">
      <c r="A38" t="s">
        <v>124</v>
      </c>
      <c r="B38" t="s">
        <v>122</v>
      </c>
      <c r="C38" t="s">
        <v>123</v>
      </c>
    </row>
    <row r="39" spans="1:3" x14ac:dyDescent="0.25">
      <c r="A39" t="s">
        <v>124</v>
      </c>
      <c r="B39" t="s">
        <v>122</v>
      </c>
      <c r="C39" t="s">
        <v>123</v>
      </c>
    </row>
    <row r="40" spans="1:3" x14ac:dyDescent="0.25">
      <c r="A40" t="s">
        <v>124</v>
      </c>
      <c r="B40" t="s">
        <v>122</v>
      </c>
      <c r="C40" t="s">
        <v>123</v>
      </c>
    </row>
    <row r="41" spans="1:3" x14ac:dyDescent="0.25">
      <c r="A41" t="s">
        <v>124</v>
      </c>
      <c r="B41" t="s">
        <v>122</v>
      </c>
      <c r="C41" t="s">
        <v>123</v>
      </c>
    </row>
    <row r="42" spans="1:3" x14ac:dyDescent="0.25">
      <c r="A42" t="s">
        <v>124</v>
      </c>
      <c r="B42" t="s">
        <v>122</v>
      </c>
      <c r="C42" t="s">
        <v>125</v>
      </c>
    </row>
    <row r="43" spans="1:3" x14ac:dyDescent="0.25">
      <c r="A43" t="s">
        <v>124</v>
      </c>
      <c r="B43" t="s">
        <v>122</v>
      </c>
      <c r="C43" t="s">
        <v>123</v>
      </c>
    </row>
    <row r="44" spans="1:3" x14ac:dyDescent="0.25">
      <c r="A44" t="s">
        <v>124</v>
      </c>
      <c r="B44" t="s">
        <v>122</v>
      </c>
      <c r="C44" t="s">
        <v>125</v>
      </c>
    </row>
    <row r="45" spans="1:3" x14ac:dyDescent="0.25">
      <c r="A45" t="s">
        <v>124</v>
      </c>
      <c r="B45" t="s">
        <v>122</v>
      </c>
      <c r="C45" t="s">
        <v>125</v>
      </c>
    </row>
    <row r="46" spans="1:3" x14ac:dyDescent="0.25">
      <c r="A46" t="s">
        <v>124</v>
      </c>
      <c r="B46" t="s">
        <v>122</v>
      </c>
      <c r="C46" t="s">
        <v>125</v>
      </c>
    </row>
    <row r="47" spans="1:3" x14ac:dyDescent="0.25">
      <c r="A47" t="s">
        <v>124</v>
      </c>
      <c r="B47" t="s">
        <v>122</v>
      </c>
      <c r="C47" t="s">
        <v>123</v>
      </c>
    </row>
    <row r="48" spans="1:3" x14ac:dyDescent="0.25">
      <c r="A48" t="s">
        <v>124</v>
      </c>
      <c r="B48" t="s">
        <v>122</v>
      </c>
      <c r="C48" t="s">
        <v>125</v>
      </c>
    </row>
    <row r="49" spans="1:3" x14ac:dyDescent="0.25">
      <c r="A49" t="s">
        <v>124</v>
      </c>
      <c r="B49" t="s">
        <v>122</v>
      </c>
      <c r="C49" t="s">
        <v>125</v>
      </c>
    </row>
    <row r="50" spans="1:3" x14ac:dyDescent="0.25">
      <c r="A50" t="s">
        <v>124</v>
      </c>
      <c r="B50" t="s">
        <v>122</v>
      </c>
      <c r="C50" t="s">
        <v>125</v>
      </c>
    </row>
    <row r="51" spans="1:3" x14ac:dyDescent="0.25">
      <c r="A51" t="s">
        <v>124</v>
      </c>
      <c r="B51" t="s">
        <v>122</v>
      </c>
      <c r="C51" t="s">
        <v>125</v>
      </c>
    </row>
    <row r="52" spans="1:3" x14ac:dyDescent="0.25">
      <c r="A52" t="s">
        <v>124</v>
      </c>
      <c r="B52" t="s">
        <v>122</v>
      </c>
      <c r="C52" t="s">
        <v>123</v>
      </c>
    </row>
    <row r="53" spans="1:3" x14ac:dyDescent="0.25">
      <c r="A53" t="s">
        <v>124</v>
      </c>
      <c r="B53" t="s">
        <v>122</v>
      </c>
      <c r="C53" t="s">
        <v>123</v>
      </c>
    </row>
    <row r="54" spans="1:3" x14ac:dyDescent="0.25">
      <c r="A54" t="s">
        <v>124</v>
      </c>
      <c r="B54" t="s">
        <v>122</v>
      </c>
      <c r="C54" t="s">
        <v>125</v>
      </c>
    </row>
    <row r="55" spans="1:3" x14ac:dyDescent="0.25">
      <c r="A55" t="s">
        <v>124</v>
      </c>
      <c r="B55" t="s">
        <v>122</v>
      </c>
      <c r="C55" t="s">
        <v>123</v>
      </c>
    </row>
    <row r="56" spans="1:3" x14ac:dyDescent="0.25">
      <c r="A56" t="s">
        <v>124</v>
      </c>
      <c r="B56" t="s">
        <v>122</v>
      </c>
      <c r="C56" t="s">
        <v>125</v>
      </c>
    </row>
    <row r="57" spans="1:3" x14ac:dyDescent="0.25">
      <c r="A57" t="s">
        <v>124</v>
      </c>
      <c r="B57" t="s">
        <v>122</v>
      </c>
      <c r="C5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2025-06-13T14:48:13Z</dcterms:created>
  <dcterms:modified xsi:type="dcterms:W3CDTF">2025-06-13T20:51:37Z</dcterms:modified>
</cp:coreProperties>
</file>