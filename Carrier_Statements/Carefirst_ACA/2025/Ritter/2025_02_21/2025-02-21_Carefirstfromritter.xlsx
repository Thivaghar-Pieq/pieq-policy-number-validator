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2-21-25 from Ritter\"/>
    </mc:Choice>
  </mc:AlternateContent>
  <xr:revisionPtr revIDLastSave="0" documentId="13_ncr:1_{CD711087-7A9E-49D3-8414-303C4F224C1D}" xr6:coauthVersionLast="47" xr6:coauthVersionMax="47" xr10:uidLastSave="{00000000-0000-0000-0000-000000000000}"/>
  <bookViews>
    <workbookView xWindow="-120" yWindow="-120" windowWidth="29040" windowHeight="16440" activeTab="1" xr2:uid="{4E2DEB0B-123E-4674-9E95-8050A41262C0}"/>
  </bookViews>
  <sheets>
    <sheet name="Sheet1" sheetId="1" r:id="rId1"/>
    <sheet name="HRA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" i="3"/>
  <c r="H3" i="3"/>
  <c r="H4" i="3"/>
  <c r="H5" i="3"/>
  <c r="H6" i="3"/>
  <c r="H7" i="3"/>
  <c r="H8" i="3"/>
  <c r="H9" i="3"/>
  <c r="H2" i="3"/>
</calcChain>
</file>

<file path=xl/sharedStrings.xml><?xml version="1.0" encoding="utf-8"?>
<sst xmlns="http://schemas.openxmlformats.org/spreadsheetml/2006/main" count="242" uniqueCount="50">
  <si>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</si>
  <si>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</si>
  <si>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</si>
  <si>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</si>
  <si>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</si>
  <si>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</si>
  <si>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</si>
  <si>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</si>
  <si>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</si>
  <si>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</si>
  <si>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</si>
  <si>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</si>
  <si>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Angela</t>
  </si>
  <si>
    <t>Moore</t>
  </si>
  <si>
    <t>CareFirst</t>
  </si>
  <si>
    <t xml:space="preserve">CareFirst 2021-2025 Override Year 1 Premium Period: </t>
  </si>
  <si>
    <t>David</t>
  </si>
  <si>
    <t>Evans</t>
  </si>
  <si>
    <t>Carnita</t>
  </si>
  <si>
    <t>Gibbs</t>
  </si>
  <si>
    <t>Deborah</t>
  </si>
  <si>
    <t>Griffith</t>
  </si>
  <si>
    <t>Dimitrios</t>
  </si>
  <si>
    <t>Primikirios</t>
  </si>
  <si>
    <t>Daris</t>
  </si>
  <si>
    <t>Purinton</t>
  </si>
  <si>
    <t>George</t>
  </si>
  <si>
    <t>Donaway</t>
  </si>
  <si>
    <t>Mary</t>
  </si>
  <si>
    <t>Ellen Childs</t>
  </si>
  <si>
    <t xml:space="preserve">CareFirst 2025 Replace Street (ProRata: 11) Premium Period: </t>
  </si>
  <si>
    <t xml:space="preserve">CareFirst 2025 Initial Street Premium Period: </t>
  </si>
  <si>
    <t>Jason Hoffmann</t>
  </si>
  <si>
    <t>Marilyn</t>
  </si>
  <si>
    <t>Campbell</t>
  </si>
  <si>
    <t>CareFirst022820250067</t>
  </si>
  <si>
    <t>CareFirst DSNP</t>
  </si>
  <si>
    <t>Notes: CareFirst DSNP HRA Payment. JB</t>
  </si>
  <si>
    <t>Thomas Kucan</t>
  </si>
  <si>
    <t>Andrew</t>
  </si>
  <si>
    <t>Markopoulos</t>
  </si>
  <si>
    <t>Elaise</t>
  </si>
  <si>
    <t>Mister</t>
  </si>
  <si>
    <t>Patricia</t>
  </si>
  <si>
    <t>Sheckells</t>
  </si>
  <si>
    <t>Carefirst MAPD 2025</t>
  </si>
  <si>
    <t>Carefirst MAPD 2025*</t>
  </si>
  <si>
    <t>[%/$=313][prorate=11/12]</t>
  </si>
  <si>
    <t>Main Line Benefits</t>
  </si>
  <si>
    <t>CareFirst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</si>
</sst>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1A50-143A-4691-80F6-356B47F0E89B}">
  <dimension ref="A1:K18"/>
  <sheetViews>
    <sheetView workbookViewId="0">
      <selection sqref="A1:XFD1048576"/>
    </sheetView>
  </sheetViews>
  <sheetFormatPr defaultRowHeight="15" x14ac:dyDescent="0.25"/>
  <cols>
    <col min="8" max="8" width="14.7109375" bestFit="1" customWidth="1"/>
    <col min="10" max="10" width="5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9079571</v>
      </c>
      <c r="C2">
        <v>9079571</v>
      </c>
      <c r="D2" t="s">
        <v>12</v>
      </c>
      <c r="E2" t="s">
        <v>13</v>
      </c>
      <c r="F2">
        <v>900504472</v>
      </c>
      <c r="G2" s="1">
        <v>45689</v>
      </c>
      <c r="H2" s="1">
        <v>45709</v>
      </c>
      <c r="I2" t="s">
        <v>14</v>
      </c>
      <c r="J2" t="s">
        <v>15</v>
      </c>
      <c r="K2" s="2">
        <v>100</v>
      </c>
    </row>
    <row r="3" spans="1:11" x14ac:dyDescent="0.25">
      <c r="A3" t="s">
        <v>11</v>
      </c>
      <c r="B3">
        <v>9079571</v>
      </c>
      <c r="C3">
        <v>9079571</v>
      </c>
      <c r="D3" t="s">
        <v>16</v>
      </c>
      <c r="E3" t="s">
        <v>17</v>
      </c>
      <c r="F3">
        <v>902142977</v>
      </c>
      <c r="G3" s="1">
        <v>45689</v>
      </c>
      <c r="H3" s="1">
        <v>45709</v>
      </c>
      <c r="I3" t="s">
        <v>14</v>
      </c>
      <c r="J3" t="s">
        <v>15</v>
      </c>
      <c r="K3" s="2">
        <v>100</v>
      </c>
    </row>
    <row r="4" spans="1:11" x14ac:dyDescent="0.25">
      <c r="A4" t="s">
        <v>11</v>
      </c>
      <c r="B4">
        <v>9079571</v>
      </c>
      <c r="C4">
        <v>9079571</v>
      </c>
      <c r="D4" t="s">
        <v>18</v>
      </c>
      <c r="E4" t="s">
        <v>19</v>
      </c>
      <c r="F4">
        <v>902953507</v>
      </c>
      <c r="G4" s="1">
        <v>45689</v>
      </c>
      <c r="H4" s="1">
        <v>45709</v>
      </c>
      <c r="I4" t="s">
        <v>14</v>
      </c>
      <c r="J4" t="s">
        <v>15</v>
      </c>
      <c r="K4" s="2">
        <v>100</v>
      </c>
    </row>
    <row r="5" spans="1:11" x14ac:dyDescent="0.25">
      <c r="A5" t="s">
        <v>11</v>
      </c>
      <c r="B5">
        <v>9079571</v>
      </c>
      <c r="C5">
        <v>9079571</v>
      </c>
      <c r="D5" t="s">
        <v>20</v>
      </c>
      <c r="E5" t="s">
        <v>21</v>
      </c>
      <c r="F5">
        <v>903376101</v>
      </c>
      <c r="G5" s="1">
        <v>45689</v>
      </c>
      <c r="H5" s="1">
        <v>45709</v>
      </c>
      <c r="I5" t="s">
        <v>14</v>
      </c>
      <c r="J5" t="s">
        <v>15</v>
      </c>
      <c r="K5" s="2">
        <v>100</v>
      </c>
    </row>
    <row r="6" spans="1:11" x14ac:dyDescent="0.25">
      <c r="A6" t="s">
        <v>11</v>
      </c>
      <c r="B6">
        <v>9079571</v>
      </c>
      <c r="C6">
        <v>9079571</v>
      </c>
      <c r="D6" t="s">
        <v>22</v>
      </c>
      <c r="E6" t="s">
        <v>23</v>
      </c>
      <c r="F6">
        <v>928620512</v>
      </c>
      <c r="G6" s="1">
        <v>45689</v>
      </c>
      <c r="H6" s="1">
        <v>45709</v>
      </c>
      <c r="I6" t="s">
        <v>14</v>
      </c>
      <c r="J6" t="s">
        <v>15</v>
      </c>
      <c r="K6" s="2">
        <v>100</v>
      </c>
    </row>
    <row r="7" spans="1:11" x14ac:dyDescent="0.25">
      <c r="A7" t="s">
        <v>11</v>
      </c>
      <c r="B7">
        <v>9079571</v>
      </c>
      <c r="C7">
        <v>9079571</v>
      </c>
      <c r="D7" t="s">
        <v>24</v>
      </c>
      <c r="E7" t="s">
        <v>25</v>
      </c>
      <c r="F7">
        <v>928862362</v>
      </c>
      <c r="G7" s="1">
        <v>45689</v>
      </c>
      <c r="H7" s="1">
        <v>45709</v>
      </c>
      <c r="I7" t="s">
        <v>14</v>
      </c>
      <c r="J7" t="s">
        <v>15</v>
      </c>
      <c r="K7" s="2">
        <v>100</v>
      </c>
    </row>
    <row r="8" spans="1:11" x14ac:dyDescent="0.25">
      <c r="A8" t="s">
        <v>11</v>
      </c>
      <c r="B8">
        <v>9079571</v>
      </c>
      <c r="C8">
        <v>9079571</v>
      </c>
      <c r="D8" t="s">
        <v>26</v>
      </c>
      <c r="E8" t="s">
        <v>27</v>
      </c>
      <c r="F8">
        <v>928964832</v>
      </c>
      <c r="G8" s="1">
        <v>45689</v>
      </c>
      <c r="H8" s="1">
        <v>45709</v>
      </c>
      <c r="I8" t="s">
        <v>14</v>
      </c>
      <c r="J8" t="s">
        <v>15</v>
      </c>
      <c r="K8" s="2">
        <v>100</v>
      </c>
    </row>
    <row r="9" spans="1:11" x14ac:dyDescent="0.25">
      <c r="A9" t="s">
        <v>11</v>
      </c>
      <c r="B9">
        <v>9079571</v>
      </c>
      <c r="C9">
        <v>9079571</v>
      </c>
      <c r="D9" t="s">
        <v>28</v>
      </c>
      <c r="E9" t="s">
        <v>29</v>
      </c>
      <c r="F9">
        <v>929014972</v>
      </c>
      <c r="G9" s="1">
        <v>45689</v>
      </c>
      <c r="H9" s="1">
        <v>45709</v>
      </c>
      <c r="I9" t="s">
        <v>14</v>
      </c>
      <c r="J9" t="s">
        <v>15</v>
      </c>
      <c r="K9" s="2">
        <v>100</v>
      </c>
    </row>
    <row r="10" spans="1:11" x14ac:dyDescent="0.25">
      <c r="A10" t="s">
        <v>11</v>
      </c>
      <c r="B10">
        <v>9079571</v>
      </c>
      <c r="C10">
        <v>9079571</v>
      </c>
      <c r="D10" t="s">
        <v>28</v>
      </c>
      <c r="E10" t="s">
        <v>29</v>
      </c>
      <c r="F10">
        <v>929014972</v>
      </c>
      <c r="G10" s="1">
        <v>45689</v>
      </c>
      <c r="H10" s="1">
        <v>45709</v>
      </c>
      <c r="I10" t="s">
        <v>14</v>
      </c>
      <c r="J10" t="s">
        <v>30</v>
      </c>
      <c r="K10" s="2">
        <v>286.91000000000003</v>
      </c>
    </row>
    <row r="11" spans="1:11" x14ac:dyDescent="0.25">
      <c r="A11" t="s">
        <v>11</v>
      </c>
      <c r="B11">
        <v>9079571</v>
      </c>
      <c r="C11">
        <v>9079571</v>
      </c>
      <c r="D11" t="s">
        <v>12</v>
      </c>
      <c r="E11" t="s">
        <v>13</v>
      </c>
      <c r="F11">
        <v>900504472</v>
      </c>
      <c r="G11" s="1">
        <v>45689</v>
      </c>
      <c r="H11" s="1">
        <v>45709</v>
      </c>
      <c r="I11" t="s">
        <v>14</v>
      </c>
      <c r="J11" t="s">
        <v>31</v>
      </c>
      <c r="K11" s="2">
        <v>626</v>
      </c>
    </row>
    <row r="12" spans="1:11" x14ac:dyDescent="0.25">
      <c r="A12" t="s">
        <v>11</v>
      </c>
      <c r="B12">
        <v>9079571</v>
      </c>
      <c r="C12">
        <v>9079571</v>
      </c>
      <c r="D12" t="s">
        <v>16</v>
      </c>
      <c r="E12" t="s">
        <v>17</v>
      </c>
      <c r="F12">
        <v>902142977</v>
      </c>
      <c r="G12" s="1">
        <v>45689</v>
      </c>
      <c r="H12" s="1">
        <v>45709</v>
      </c>
      <c r="I12" t="s">
        <v>14</v>
      </c>
      <c r="J12" t="s">
        <v>31</v>
      </c>
      <c r="K12" s="2">
        <v>626</v>
      </c>
    </row>
    <row r="13" spans="1:11" x14ac:dyDescent="0.25">
      <c r="A13" t="s">
        <v>11</v>
      </c>
      <c r="B13">
        <v>9079571</v>
      </c>
      <c r="C13">
        <v>9079571</v>
      </c>
      <c r="D13" t="s">
        <v>18</v>
      </c>
      <c r="E13" t="s">
        <v>19</v>
      </c>
      <c r="F13">
        <v>902953507</v>
      </c>
      <c r="G13" s="1">
        <v>45689</v>
      </c>
      <c r="H13" s="1">
        <v>45709</v>
      </c>
      <c r="I13" t="s">
        <v>14</v>
      </c>
      <c r="J13" t="s">
        <v>31</v>
      </c>
      <c r="K13" s="2">
        <v>626</v>
      </c>
    </row>
    <row r="14" spans="1:11" x14ac:dyDescent="0.25">
      <c r="A14" t="s">
        <v>11</v>
      </c>
      <c r="B14">
        <v>9079571</v>
      </c>
      <c r="C14">
        <v>9079571</v>
      </c>
      <c r="D14" t="s">
        <v>20</v>
      </c>
      <c r="E14" t="s">
        <v>21</v>
      </c>
      <c r="F14">
        <v>903376101</v>
      </c>
      <c r="G14" s="1">
        <v>45689</v>
      </c>
      <c r="H14" s="1">
        <v>45709</v>
      </c>
      <c r="I14" t="s">
        <v>14</v>
      </c>
      <c r="J14" t="s">
        <v>31</v>
      </c>
      <c r="K14" s="2">
        <v>626</v>
      </c>
    </row>
    <row r="15" spans="1:11" x14ac:dyDescent="0.25">
      <c r="A15" t="s">
        <v>11</v>
      </c>
      <c r="B15">
        <v>9079571</v>
      </c>
      <c r="C15">
        <v>9079571</v>
      </c>
      <c r="D15" t="s">
        <v>22</v>
      </c>
      <c r="E15" t="s">
        <v>23</v>
      </c>
      <c r="F15">
        <v>928620512</v>
      </c>
      <c r="G15" s="1">
        <v>45689</v>
      </c>
      <c r="H15" s="1">
        <v>45709</v>
      </c>
      <c r="I15" t="s">
        <v>14</v>
      </c>
      <c r="J15" t="s">
        <v>31</v>
      </c>
      <c r="K15" s="2">
        <v>626</v>
      </c>
    </row>
    <row r="16" spans="1:11" x14ac:dyDescent="0.25">
      <c r="A16" t="s">
        <v>11</v>
      </c>
      <c r="B16">
        <v>9079571</v>
      </c>
      <c r="C16">
        <v>9079571</v>
      </c>
      <c r="D16" t="s">
        <v>24</v>
      </c>
      <c r="E16" t="s">
        <v>25</v>
      </c>
      <c r="F16">
        <v>928862362</v>
      </c>
      <c r="G16" s="1">
        <v>45689</v>
      </c>
      <c r="H16" s="1">
        <v>45709</v>
      </c>
      <c r="I16" t="s">
        <v>14</v>
      </c>
      <c r="J16" t="s">
        <v>31</v>
      </c>
      <c r="K16" s="2">
        <v>626</v>
      </c>
    </row>
    <row r="17" spans="1:11" x14ac:dyDescent="0.25">
      <c r="A17" t="s">
        <v>11</v>
      </c>
      <c r="B17">
        <v>9079571</v>
      </c>
      <c r="C17">
        <v>9079571</v>
      </c>
      <c r="D17" t="s">
        <v>26</v>
      </c>
      <c r="E17" t="s">
        <v>27</v>
      </c>
      <c r="F17">
        <v>928964832</v>
      </c>
      <c r="G17" s="1">
        <v>45689</v>
      </c>
      <c r="H17" s="1">
        <v>45709</v>
      </c>
      <c r="I17" t="s">
        <v>14</v>
      </c>
      <c r="J17" t="s">
        <v>31</v>
      </c>
      <c r="K17" s="2">
        <v>626</v>
      </c>
    </row>
    <row r="18" spans="1:11" x14ac:dyDescent="0.25">
      <c r="A18" t="s">
        <v>32</v>
      </c>
      <c r="C18">
        <v>15278437</v>
      </c>
      <c r="D18" t="s">
        <v>33</v>
      </c>
      <c r="E18" t="s">
        <v>34</v>
      </c>
      <c r="F18" t="s">
        <v>35</v>
      </c>
      <c r="G18" s="1">
        <v>45658</v>
      </c>
      <c r="H18" s="1">
        <v>45709</v>
      </c>
      <c r="I18" t="s">
        <v>14</v>
      </c>
      <c r="J18" t="s">
        <v>30</v>
      </c>
      <c r="K18" s="2">
        <v>286.91000000000003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D1E1-7B1F-4CD9-BDC2-BBCB5AFF8CE2}">
  <dimension ref="A1:K6"/>
  <sheetViews>
    <sheetView tabSelected="1" workbookViewId="0">
      <selection activeCell="E28" sqref="E28"/>
    </sheetView>
  </sheetViews>
  <sheetFormatPr defaultRowHeight="15" x14ac:dyDescent="0.25"/>
  <sheetData>
    <row r="1" spans="1:11" x14ac:dyDescent="0.25">
      <c r="A1" t="s">
        <v>11</v>
      </c>
      <c r="C1">
        <v>9079571</v>
      </c>
      <c r="D1" t="s">
        <v>12</v>
      </c>
      <c r="E1" t="s">
        <v>13</v>
      </c>
      <c r="G1" s="1">
        <v>45689</v>
      </c>
      <c r="H1" s="1">
        <v>45709</v>
      </c>
      <c r="I1" t="s">
        <v>36</v>
      </c>
      <c r="J1" t="s">
        <v>37</v>
      </c>
      <c r="K1" s="2">
        <v>100</v>
      </c>
    </row>
    <row r="2" spans="1:11" x14ac:dyDescent="0.25">
      <c r="A2" t="s">
        <v>11</v>
      </c>
      <c r="C2">
        <v>9079571</v>
      </c>
      <c r="D2" t="s">
        <v>24</v>
      </c>
      <c r="E2" t="s">
        <v>25</v>
      </c>
      <c r="G2" s="1">
        <v>45689</v>
      </c>
      <c r="H2" s="1">
        <v>45709</v>
      </c>
      <c r="I2" t="s">
        <v>36</v>
      </c>
      <c r="J2" t="s">
        <v>37</v>
      </c>
      <c r="K2" s="2">
        <v>100</v>
      </c>
    </row>
    <row r="3" spans="1:11" x14ac:dyDescent="0.25">
      <c r="A3" t="s">
        <v>11</v>
      </c>
      <c r="C3">
        <v>9079571</v>
      </c>
      <c r="D3" t="s">
        <v>26</v>
      </c>
      <c r="E3" t="s">
        <v>27</v>
      </c>
      <c r="G3" s="1">
        <v>45689</v>
      </c>
      <c r="H3" s="1">
        <v>45709</v>
      </c>
      <c r="I3" t="s">
        <v>36</v>
      </c>
      <c r="J3" t="s">
        <v>37</v>
      </c>
      <c r="K3" s="2">
        <v>100</v>
      </c>
    </row>
    <row r="4" spans="1:11" x14ac:dyDescent="0.25">
      <c r="A4" t="s">
        <v>38</v>
      </c>
      <c r="C4">
        <v>16202925</v>
      </c>
      <c r="D4" t="s">
        <v>39</v>
      </c>
      <c r="E4" t="s">
        <v>40</v>
      </c>
      <c r="G4" s="1">
        <v>45689</v>
      </c>
      <c r="H4" s="1">
        <v>45709</v>
      </c>
      <c r="I4" t="s">
        <v>36</v>
      </c>
      <c r="J4" t="s">
        <v>37</v>
      </c>
      <c r="K4" s="2">
        <v>100</v>
      </c>
    </row>
    <row r="5" spans="1:11" x14ac:dyDescent="0.25">
      <c r="A5" t="s">
        <v>38</v>
      </c>
      <c r="C5">
        <v>16202925</v>
      </c>
      <c r="D5" t="s">
        <v>41</v>
      </c>
      <c r="E5" t="s">
        <v>42</v>
      </c>
      <c r="G5" s="1">
        <v>45689</v>
      </c>
      <c r="H5" s="1">
        <v>45709</v>
      </c>
      <c r="I5" t="s">
        <v>36</v>
      </c>
      <c r="J5" t="s">
        <v>37</v>
      </c>
      <c r="K5" s="2">
        <v>100</v>
      </c>
    </row>
    <row r="6" spans="1:11" x14ac:dyDescent="0.25">
      <c r="A6" t="s">
        <v>38</v>
      </c>
      <c r="C6">
        <v>16202925</v>
      </c>
      <c r="D6" t="s">
        <v>43</v>
      </c>
      <c r="E6" t="s">
        <v>44</v>
      </c>
      <c r="G6" s="1">
        <v>45689</v>
      </c>
      <c r="H6" s="1">
        <v>45709</v>
      </c>
      <c r="I6" t="s">
        <v>36</v>
      </c>
      <c r="J6" t="s">
        <v>37</v>
      </c>
      <c r="K6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4E82-5527-46F6-88DC-5D6A2AB7DA8A}">
  <dimension ref="A1:O18"/>
  <sheetViews>
    <sheetView workbookViewId="0">
      <selection activeCell="O2" sqref="O2:O18"/>
    </sheetView>
  </sheetViews>
  <sheetFormatPr defaultRowHeight="15" x14ac:dyDescent="0.25"/>
  <cols>
    <col min="1" max="1" width="17.7109375" bestFit="1" customWidth="1"/>
    <col min="6" max="6" width="13.5703125" bestFit="1" customWidth="1"/>
    <col min="7" max="7" width="21.140625" bestFit="1" customWidth="1"/>
    <col min="8" max="8" width="21.140625" customWidth="1"/>
    <col min="10" max="10" width="14.7109375" bestFit="1" customWidth="1"/>
    <col min="12" max="12" width="55.7109375" bestFit="1" customWidth="1"/>
    <col min="14" max="14" width="20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5" x14ac:dyDescent="0.25">
      <c r="A2" t="s">
        <v>48</v>
      </c>
      <c r="B2">
        <v>20411454</v>
      </c>
      <c r="C2">
        <v>9079571</v>
      </c>
      <c r="D2" t="s">
        <v>12</v>
      </c>
      <c r="E2" t="s">
        <v>13</v>
      </c>
      <c r="F2" t="str">
        <f>CONCATENATE(D2, " ",E2)</f>
        <v>Angela Moore</v>
      </c>
      <c r="G2">
        <v>900504472</v>
      </c>
      <c r="H2" t="str">
        <f>CONCATENATE(G2,33)</f>
        <v>90050447233</v>
      </c>
      <c r="I2" s="1">
        <v>45689</v>
      </c>
      <c r="J2" s="1">
        <v>45709</v>
      </c>
      <c r="K2" t="s">
        <v>14</v>
      </c>
      <c r="L2" t="s">
        <v>15</v>
      </c>
      <c r="M2" s="2">
        <v>100</v>
      </c>
      <c r="N2" t="s">
        <v>49</v>
      </c>
    </row>
    <row r="3" spans="1:15" x14ac:dyDescent="0.25">
      <c r="A3" t="s">
        <v>48</v>
      </c>
      <c r="B3">
        <v>20411454</v>
      </c>
      <c r="C3">
        <v>9079571</v>
      </c>
      <c r="D3" t="s">
        <v>16</v>
      </c>
      <c r="E3" t="s">
        <v>17</v>
      </c>
      <c r="F3" t="str">
        <f t="shared" ref="F3:F18" si="0">CONCATENATE(D3, " ",E3)</f>
        <v>David Evans</v>
      </c>
      <c r="G3">
        <v>902142977</v>
      </c>
      <c r="H3" t="str">
        <f t="shared" ref="H3:H9" si="1">CONCATENATE(G3,33)</f>
        <v>90214297733</v>
      </c>
      <c r="I3" s="1">
        <v>45689</v>
      </c>
      <c r="J3" s="1">
        <v>45709</v>
      </c>
      <c r="K3" t="s">
        <v>14</v>
      </c>
      <c r="L3" t="s">
        <v>15</v>
      </c>
      <c r="M3" s="2">
        <v>100</v>
      </c>
      <c r="N3" t="s">
        <v>49</v>
      </c>
    </row>
    <row r="4" spans="1:15" x14ac:dyDescent="0.25">
      <c r="A4" t="s">
        <v>48</v>
      </c>
      <c r="B4">
        <v>20411454</v>
      </c>
      <c r="C4">
        <v>9079571</v>
      </c>
      <c r="D4" t="s">
        <v>18</v>
      </c>
      <c r="E4" t="s">
        <v>19</v>
      </c>
      <c r="F4" t="str">
        <f t="shared" si="0"/>
        <v>Carnita Gibbs</v>
      </c>
      <c r="G4">
        <v>902953507</v>
      </c>
      <c r="H4" t="str">
        <f t="shared" si="1"/>
        <v>90295350733</v>
      </c>
      <c r="I4" s="1">
        <v>45689</v>
      </c>
      <c r="J4" s="1">
        <v>45709</v>
      </c>
      <c r="K4" t="s">
        <v>14</v>
      </c>
      <c r="L4" t="s">
        <v>15</v>
      </c>
      <c r="M4" s="2">
        <v>100</v>
      </c>
      <c r="N4" t="s">
        <v>49</v>
      </c>
    </row>
    <row r="5" spans="1:15" x14ac:dyDescent="0.25">
      <c r="A5" t="s">
        <v>48</v>
      </c>
      <c r="B5">
        <v>20411454</v>
      </c>
      <c r="C5">
        <v>9079571</v>
      </c>
      <c r="D5" t="s">
        <v>20</v>
      </c>
      <c r="E5" t="s">
        <v>21</v>
      </c>
      <c r="F5" t="str">
        <f t="shared" si="0"/>
        <v>Deborah Griffith</v>
      </c>
      <c r="G5">
        <v>903376101</v>
      </c>
      <c r="H5" t="str">
        <f t="shared" si="1"/>
        <v>90337610133</v>
      </c>
      <c r="I5" s="1">
        <v>45689</v>
      </c>
      <c r="J5" s="1">
        <v>45709</v>
      </c>
      <c r="K5" t="s">
        <v>14</v>
      </c>
      <c r="L5" t="s">
        <v>15</v>
      </c>
      <c r="M5" s="2">
        <v>100</v>
      </c>
      <c r="N5" t="s">
        <v>49</v>
      </c>
    </row>
    <row r="6" spans="1:15" x14ac:dyDescent="0.25">
      <c r="A6" t="s">
        <v>48</v>
      </c>
      <c r="B6">
        <v>20411454</v>
      </c>
      <c r="C6">
        <v>9079571</v>
      </c>
      <c r="D6" t="s">
        <v>22</v>
      </c>
      <c r="E6" t="s">
        <v>23</v>
      </c>
      <c r="F6" t="str">
        <f t="shared" si="0"/>
        <v>Dimitrios Primikirios</v>
      </c>
      <c r="G6">
        <v>928620512</v>
      </c>
      <c r="H6" t="str">
        <f t="shared" si="1"/>
        <v>92862051233</v>
      </c>
      <c r="I6" s="1">
        <v>45689</v>
      </c>
      <c r="J6" s="1">
        <v>45709</v>
      </c>
      <c r="K6" t="s">
        <v>14</v>
      </c>
      <c r="L6" t="s">
        <v>15</v>
      </c>
      <c r="M6" s="2">
        <v>100</v>
      </c>
      <c r="N6" t="s">
        <v>49</v>
      </c>
    </row>
    <row r="7" spans="1:15" x14ac:dyDescent="0.25">
      <c r="A7" t="s">
        <v>48</v>
      </c>
      <c r="B7">
        <v>20411454</v>
      </c>
      <c r="C7">
        <v>9079571</v>
      </c>
      <c r="D7" t="s">
        <v>24</v>
      </c>
      <c r="E7" t="s">
        <v>25</v>
      </c>
      <c r="F7" t="str">
        <f t="shared" si="0"/>
        <v>Daris Purinton</v>
      </c>
      <c r="G7">
        <v>928862362</v>
      </c>
      <c r="H7" t="str">
        <f t="shared" si="1"/>
        <v>92886236233</v>
      </c>
      <c r="I7" s="1">
        <v>45689</v>
      </c>
      <c r="J7" s="1">
        <v>45709</v>
      </c>
      <c r="K7" t="s">
        <v>14</v>
      </c>
      <c r="L7" t="s">
        <v>15</v>
      </c>
      <c r="M7" s="2">
        <v>100</v>
      </c>
      <c r="N7" t="s">
        <v>49</v>
      </c>
    </row>
    <row r="8" spans="1:15" x14ac:dyDescent="0.25">
      <c r="A8" t="s">
        <v>48</v>
      </c>
      <c r="B8">
        <v>20411454</v>
      </c>
      <c r="C8">
        <v>9079571</v>
      </c>
      <c r="D8" t="s">
        <v>26</v>
      </c>
      <c r="E8" t="s">
        <v>27</v>
      </c>
      <c r="F8" t="str">
        <f t="shared" si="0"/>
        <v>George Donaway</v>
      </c>
      <c r="G8">
        <v>928964832</v>
      </c>
      <c r="H8" t="str">
        <f t="shared" si="1"/>
        <v>92896483233</v>
      </c>
      <c r="I8" s="1">
        <v>45689</v>
      </c>
      <c r="J8" s="1">
        <v>45709</v>
      </c>
      <c r="K8" t="s">
        <v>14</v>
      </c>
      <c r="L8" t="s">
        <v>15</v>
      </c>
      <c r="M8" s="2">
        <v>100</v>
      </c>
      <c r="N8" t="s">
        <v>49</v>
      </c>
    </row>
    <row r="9" spans="1:15" x14ac:dyDescent="0.25">
      <c r="A9" t="s">
        <v>48</v>
      </c>
      <c r="B9">
        <v>20411454</v>
      </c>
      <c r="C9">
        <v>9079571</v>
      </c>
      <c r="D9" t="s">
        <v>28</v>
      </c>
      <c r="E9" t="s">
        <v>29</v>
      </c>
      <c r="F9" t="str">
        <f t="shared" si="0"/>
        <v>Mary Ellen Childs</v>
      </c>
      <c r="G9">
        <v>929014972</v>
      </c>
      <c r="H9" t="str">
        <f t="shared" si="1"/>
        <v>92901497233</v>
      </c>
      <c r="I9" s="1">
        <v>45689</v>
      </c>
      <c r="J9" s="1">
        <v>45709</v>
      </c>
      <c r="K9" t="s">
        <v>14</v>
      </c>
      <c r="L9" t="s">
        <v>15</v>
      </c>
      <c r="M9" s="2">
        <v>100</v>
      </c>
      <c r="N9" t="s">
        <v>49</v>
      </c>
    </row>
    <row r="10" spans="1:15" x14ac:dyDescent="0.25">
      <c r="A10" t="s">
        <v>11</v>
      </c>
      <c r="B10">
        <v>9079571</v>
      </c>
      <c r="C10">
        <v>9079571</v>
      </c>
      <c r="D10" t="s">
        <v>28</v>
      </c>
      <c r="E10" t="s">
        <v>29</v>
      </c>
      <c r="F10" t="str">
        <f t="shared" si="0"/>
        <v>Mary Ellen Childs</v>
      </c>
      <c r="G10">
        <v>929014972</v>
      </c>
      <c r="H10" s="3">
        <v>929014972</v>
      </c>
      <c r="I10" s="1">
        <v>45689</v>
      </c>
      <c r="J10" s="1">
        <v>45709</v>
      </c>
      <c r="K10" t="s">
        <v>14</v>
      </c>
      <c r="L10" t="s">
        <v>30</v>
      </c>
      <c r="M10" s="2">
        <v>286.91000000000003</v>
      </c>
      <c r="N10" t="s">
        <v>46</v>
      </c>
      <c r="O10" t="s">
        <v>47</v>
      </c>
    </row>
    <row r="11" spans="1:15" x14ac:dyDescent="0.25">
      <c r="A11" t="s">
        <v>11</v>
      </c>
      <c r="B11">
        <v>9079571</v>
      </c>
      <c r="C11">
        <v>9079571</v>
      </c>
      <c r="D11" t="s">
        <v>12</v>
      </c>
      <c r="E11" t="s">
        <v>13</v>
      </c>
      <c r="F11" t="str">
        <f t="shared" si="0"/>
        <v>Angela Moore</v>
      </c>
      <c r="G11">
        <v>900504472</v>
      </c>
      <c r="H11" s="3">
        <v>900504472</v>
      </c>
      <c r="I11" s="1">
        <v>45689</v>
      </c>
      <c r="J11" s="1">
        <v>45709</v>
      </c>
      <c r="K11" t="s">
        <v>14</v>
      </c>
      <c r="L11" t="s">
        <v>31</v>
      </c>
      <c r="M11" s="2">
        <v>626</v>
      </c>
      <c r="N11" t="s">
        <v>45</v>
      </c>
    </row>
    <row r="12" spans="1:15" x14ac:dyDescent="0.25">
      <c r="A12" t="s">
        <v>11</v>
      </c>
      <c r="B12">
        <v>9079571</v>
      </c>
      <c r="C12">
        <v>9079571</v>
      </c>
      <c r="D12" t="s">
        <v>16</v>
      </c>
      <c r="E12" t="s">
        <v>17</v>
      </c>
      <c r="F12" t="str">
        <f t="shared" si="0"/>
        <v>David Evans</v>
      </c>
      <c r="G12">
        <v>902142977</v>
      </c>
      <c r="H12" s="3">
        <v>902142977</v>
      </c>
      <c r="I12" s="1">
        <v>45689</v>
      </c>
      <c r="J12" s="1">
        <v>45709</v>
      </c>
      <c r="K12" t="s">
        <v>14</v>
      </c>
      <c r="L12" t="s">
        <v>31</v>
      </c>
      <c r="M12" s="2">
        <v>626</v>
      </c>
      <c r="N12" t="s">
        <v>45</v>
      </c>
    </row>
    <row r="13" spans="1:15" x14ac:dyDescent="0.25">
      <c r="A13" t="s">
        <v>11</v>
      </c>
      <c r="B13">
        <v>9079571</v>
      </c>
      <c r="C13">
        <v>9079571</v>
      </c>
      <c r="D13" t="s">
        <v>18</v>
      </c>
      <c r="E13" t="s">
        <v>19</v>
      </c>
      <c r="F13" t="str">
        <f t="shared" si="0"/>
        <v>Carnita Gibbs</v>
      </c>
      <c r="G13">
        <v>902953507</v>
      </c>
      <c r="H13" s="3">
        <v>902953507</v>
      </c>
      <c r="I13" s="1">
        <v>45689</v>
      </c>
      <c r="J13" s="1">
        <v>45709</v>
      </c>
      <c r="K13" t="s">
        <v>14</v>
      </c>
      <c r="L13" t="s">
        <v>31</v>
      </c>
      <c r="M13" s="2">
        <v>626</v>
      </c>
      <c r="N13" t="s">
        <v>45</v>
      </c>
    </row>
    <row r="14" spans="1:15" x14ac:dyDescent="0.25">
      <c r="A14" t="s">
        <v>11</v>
      </c>
      <c r="B14">
        <v>9079571</v>
      </c>
      <c r="C14">
        <v>9079571</v>
      </c>
      <c r="D14" t="s">
        <v>20</v>
      </c>
      <c r="E14" t="s">
        <v>21</v>
      </c>
      <c r="F14" t="str">
        <f t="shared" si="0"/>
        <v>Deborah Griffith</v>
      </c>
      <c r="G14">
        <v>903376101</v>
      </c>
      <c r="H14" s="3">
        <v>903376101</v>
      </c>
      <c r="I14" s="1">
        <v>45689</v>
      </c>
      <c r="J14" s="1">
        <v>45709</v>
      </c>
      <c r="K14" t="s">
        <v>14</v>
      </c>
      <c r="L14" t="s">
        <v>31</v>
      </c>
      <c r="M14" s="2">
        <v>626</v>
      </c>
      <c r="N14" t="s">
        <v>45</v>
      </c>
    </row>
    <row r="15" spans="1:15" x14ac:dyDescent="0.25">
      <c r="A15" t="s">
        <v>11</v>
      </c>
      <c r="B15">
        <v>9079571</v>
      </c>
      <c r="C15">
        <v>9079571</v>
      </c>
      <c r="D15" t="s">
        <v>22</v>
      </c>
      <c r="E15" t="s">
        <v>23</v>
      </c>
      <c r="F15" t="str">
        <f t="shared" si="0"/>
        <v>Dimitrios Primikirios</v>
      </c>
      <c r="G15">
        <v>928620512</v>
      </c>
      <c r="H15" s="3">
        <v>928620512</v>
      </c>
      <c r="I15" s="1">
        <v>45689</v>
      </c>
      <c r="J15" s="1">
        <v>45709</v>
      </c>
      <c r="K15" t="s">
        <v>14</v>
      </c>
      <c r="L15" t="s">
        <v>31</v>
      </c>
      <c r="M15" s="2">
        <v>626</v>
      </c>
      <c r="N15" t="s">
        <v>45</v>
      </c>
    </row>
    <row r="16" spans="1:15" x14ac:dyDescent="0.25">
      <c r="A16" t="s">
        <v>11</v>
      </c>
      <c r="B16">
        <v>9079571</v>
      </c>
      <c r="C16">
        <v>9079571</v>
      </c>
      <c r="D16" t="s">
        <v>24</v>
      </c>
      <c r="E16" t="s">
        <v>25</v>
      </c>
      <c r="F16" t="str">
        <f t="shared" si="0"/>
        <v>Daris Purinton</v>
      </c>
      <c r="G16">
        <v>928862362</v>
      </c>
      <c r="H16" s="3">
        <v>928862362</v>
      </c>
      <c r="I16" s="1">
        <v>45689</v>
      </c>
      <c r="J16" s="1">
        <v>45709</v>
      </c>
      <c r="K16" t="s">
        <v>14</v>
      </c>
      <c r="L16" t="s">
        <v>31</v>
      </c>
      <c r="M16" s="2">
        <v>626</v>
      </c>
      <c r="N16" t="s">
        <v>45</v>
      </c>
    </row>
    <row r="17" spans="1:15" x14ac:dyDescent="0.25">
      <c r="A17" t="s">
        <v>11</v>
      </c>
      <c r="B17">
        <v>9079571</v>
      </c>
      <c r="C17">
        <v>9079571</v>
      </c>
      <c r="D17" t="s">
        <v>26</v>
      </c>
      <c r="E17" t="s">
        <v>27</v>
      </c>
      <c r="F17" t="str">
        <f t="shared" si="0"/>
        <v>George Donaway</v>
      </c>
      <c r="G17">
        <v>928964832</v>
      </c>
      <c r="H17" s="3">
        <v>928964832</v>
      </c>
      <c r="I17" s="1">
        <v>45689</v>
      </c>
      <c r="J17" s="1">
        <v>45709</v>
      </c>
      <c r="K17" t="s">
        <v>14</v>
      </c>
      <c r="L17" t="s">
        <v>31</v>
      </c>
      <c r="M17" s="2">
        <v>626</v>
      </c>
      <c r="N17" t="s">
        <v>45</v>
      </c>
    </row>
    <row r="18" spans="1:15" x14ac:dyDescent="0.25">
      <c r="A18" t="s">
        <v>32</v>
      </c>
      <c r="B18">
        <v>15278437</v>
      </c>
      <c r="C18">
        <v>15278437</v>
      </c>
      <c r="D18" t="s">
        <v>33</v>
      </c>
      <c r="E18" t="s">
        <v>34</v>
      </c>
      <c r="F18" t="str">
        <f t="shared" si="0"/>
        <v>Marilyn Campbell</v>
      </c>
      <c r="G18">
        <v>22820250067</v>
      </c>
      <c r="H18" s="3">
        <v>22820250067</v>
      </c>
      <c r="I18" s="1">
        <v>45658</v>
      </c>
      <c r="J18" s="1">
        <v>45709</v>
      </c>
      <c r="K18" t="s">
        <v>14</v>
      </c>
      <c r="L18" t="s">
        <v>30</v>
      </c>
      <c r="M18" s="2">
        <v>286.91000000000003</v>
      </c>
      <c r="N18" t="s">
        <v>46</v>
      </c>
      <c r="O18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HRA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2025-02-21T16:20:59Z</dcterms:created>
  <dcterms:modified xsi:type="dcterms:W3CDTF">2025-02-21T19:52:38Z</dcterms:modified>
</cp:coreProperties>
</file>