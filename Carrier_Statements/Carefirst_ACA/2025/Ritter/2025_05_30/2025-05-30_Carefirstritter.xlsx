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 First\2025\Carefirst 05-30-25 Ritter\"/>
    </mc:Choice>
  </mc:AlternateContent>
  <xr:revisionPtr revIDLastSave="0" documentId="13_ncr:1_{18D56439-74B7-4C81-82C1-9CF5F6BA679C}" xr6:coauthVersionLast="47" xr6:coauthVersionMax="47" xr10:uidLastSave="{00000000-0000-0000-0000-000000000000}"/>
  <bookViews>
    <workbookView xWindow="28680" yWindow="-120" windowWidth="29040" windowHeight="16440" xr2:uid="{E5871261-9A75-40C6-BAB6-C787E429529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2" i="2"/>
  <c r="G11" i="2"/>
  <c r="G7" i="2"/>
  <c r="G3" i="2"/>
  <c r="G2" i="2"/>
  <c r="G10" i="2"/>
  <c r="G6" i="2"/>
</calcChain>
</file>

<file path=xl/sharedStrings.xml><?xml version="1.0" encoding="utf-8"?>
<sst xmlns="http://schemas.openxmlformats.org/spreadsheetml/2006/main" count="166" uniqueCount="47">
  <si>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</si>
  <si>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</si>
  <si>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</si>
  <si>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</si>
  <si>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</si>
  <si>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</si>
  <si>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</si>
  <si>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</si>
  <si>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</si>
  <si>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</si>
  <si>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</si>
  <si>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Carolyn Wilson Smith</t>
  </si>
  <si>
    <t>Veronica</t>
  </si>
  <si>
    <t>Jarrett</t>
  </si>
  <si>
    <t>CareFirst</t>
  </si>
  <si>
    <t xml:space="preserve">CareFirst 2021-2025 Override Year 1 (ProRata: -8) Premium Period: </t>
  </si>
  <si>
    <t xml:space="preserve">CareFirst 2025 Initial Street (ProRata: -8) Premium Period: </t>
  </si>
  <si>
    <t>Ronald Max</t>
  </si>
  <si>
    <t>Myra</t>
  </si>
  <si>
    <t>Kourey</t>
  </si>
  <si>
    <t>CareFirstMA05312025009</t>
  </si>
  <si>
    <t xml:space="preserve">CareFirst 2025 True Up 4/1 Premium Period: </t>
  </si>
  <si>
    <t>Loris</t>
  </si>
  <si>
    <t>Huffman</t>
  </si>
  <si>
    <t>CareFirstMA05312025075</t>
  </si>
  <si>
    <t xml:space="preserve">CareFirst 2021-2025 Override Year 1 Premium Period: </t>
  </si>
  <si>
    <t>Adam Richter</t>
  </si>
  <si>
    <t>Cynthia</t>
  </si>
  <si>
    <t>Eaves</t>
  </si>
  <si>
    <t>CareFirstMA05312025076</t>
  </si>
  <si>
    <t>Laura</t>
  </si>
  <si>
    <t>Winterling</t>
  </si>
  <si>
    <t>CareFirstMA05312025077</t>
  </si>
  <si>
    <t>CareFirstMA05312025095</t>
  </si>
  <si>
    <t xml:space="preserve">CareFirst 2025 Initial Street Premium Period: </t>
  </si>
  <si>
    <t>CareFirstMA05312025096</t>
  </si>
  <si>
    <t xml:space="preserve">CareFirst 2025 Replace Street (ProRata: 8) Premium Period: </t>
  </si>
  <si>
    <t>CareFirstMA05312025097</t>
  </si>
  <si>
    <t xml:space="preserve">CareFirst HRA Bonus Premium Period: </t>
  </si>
  <si>
    <t>CareFirst Ovr</t>
  </si>
  <si>
    <t>Carefirst MAPD 2025</t>
  </si>
  <si>
    <t>Carefirst MAPD 2025*</t>
  </si>
  <si>
    <t>[%/$=626][prorate=8/12]</t>
  </si>
  <si>
    <t>[%/$=626][prorate=12/12]</t>
  </si>
  <si>
    <t>[%/$=313][prorate=8/12]</t>
  </si>
  <si>
    <t>[%/$=313][prorate=12/12]</t>
  </si>
  <si>
    <t>[%/$=313][prorate=3/12]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</si>
</sst>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F572-E905-44BA-B869-E9B056C67F87}">
  <dimension ref="A1:K13"/>
  <sheetViews>
    <sheetView tabSelected="1" workbookViewId="0">
      <selection activeCell="A8" sqref="A8:XFD8"/>
    </sheetView>
  </sheetViews>
  <sheetFormatPr defaultRowHeight="15" x14ac:dyDescent="0.25"/>
  <cols>
    <col min="4" max="4" width="12.7109375" customWidth="1"/>
    <col min="5" max="5" width="14.5703125" customWidth="1"/>
    <col min="10" max="10" width="61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7387433</v>
      </c>
      <c r="D2" t="s">
        <v>12</v>
      </c>
      <c r="E2" t="s">
        <v>13</v>
      </c>
      <c r="F2">
        <v>904394669</v>
      </c>
      <c r="G2" s="1">
        <v>45658</v>
      </c>
      <c r="H2" s="1">
        <v>45807</v>
      </c>
      <c r="I2" t="s">
        <v>14</v>
      </c>
      <c r="J2" t="s">
        <v>15</v>
      </c>
      <c r="K2" s="2">
        <v>-66.66</v>
      </c>
    </row>
    <row r="3" spans="1:11" x14ac:dyDescent="0.25">
      <c r="A3" t="s">
        <v>11</v>
      </c>
      <c r="C3">
        <v>7387433</v>
      </c>
      <c r="D3" t="s">
        <v>12</v>
      </c>
      <c r="E3" t="s">
        <v>13</v>
      </c>
      <c r="F3">
        <v>904394669</v>
      </c>
      <c r="G3" s="1">
        <v>45658</v>
      </c>
      <c r="H3" s="1">
        <v>45807</v>
      </c>
      <c r="I3" t="s">
        <v>14</v>
      </c>
      <c r="J3" t="s">
        <v>16</v>
      </c>
      <c r="K3" s="2">
        <v>-417.33</v>
      </c>
    </row>
    <row r="4" spans="1:11" x14ac:dyDescent="0.25">
      <c r="A4" t="s">
        <v>17</v>
      </c>
      <c r="C4">
        <v>5442438</v>
      </c>
      <c r="D4" t="s">
        <v>18</v>
      </c>
      <c r="E4" t="s">
        <v>19</v>
      </c>
      <c r="F4" t="s">
        <v>20</v>
      </c>
      <c r="G4" s="1">
        <v>45748</v>
      </c>
      <c r="H4" s="1">
        <v>45807</v>
      </c>
      <c r="I4" t="s">
        <v>14</v>
      </c>
      <c r="J4" t="s">
        <v>21</v>
      </c>
      <c r="K4" s="2">
        <v>391.25</v>
      </c>
    </row>
    <row r="5" spans="1:11" x14ac:dyDescent="0.25">
      <c r="A5" t="s">
        <v>17</v>
      </c>
      <c r="C5">
        <v>5442438</v>
      </c>
      <c r="D5" t="s">
        <v>22</v>
      </c>
      <c r="E5" t="s">
        <v>23</v>
      </c>
      <c r="F5" t="s">
        <v>24</v>
      </c>
      <c r="G5" s="1">
        <v>45778</v>
      </c>
      <c r="H5" s="1">
        <v>45807</v>
      </c>
      <c r="I5" t="s">
        <v>14</v>
      </c>
      <c r="J5" t="s">
        <v>25</v>
      </c>
      <c r="K5" s="2">
        <v>100</v>
      </c>
    </row>
    <row r="6" spans="1:11" x14ac:dyDescent="0.25">
      <c r="A6" t="s">
        <v>26</v>
      </c>
      <c r="B6">
        <v>9079571</v>
      </c>
      <c r="C6">
        <v>9079571</v>
      </c>
      <c r="D6" t="s">
        <v>27</v>
      </c>
      <c r="E6" t="s">
        <v>28</v>
      </c>
      <c r="F6" t="s">
        <v>29</v>
      </c>
      <c r="G6" s="1">
        <v>45778</v>
      </c>
      <c r="H6" s="1">
        <v>45807</v>
      </c>
      <c r="I6" t="s">
        <v>14</v>
      </c>
      <c r="J6" t="s">
        <v>25</v>
      </c>
      <c r="K6" s="2">
        <v>100</v>
      </c>
    </row>
    <row r="7" spans="1:11" x14ac:dyDescent="0.25">
      <c r="A7" t="s">
        <v>26</v>
      </c>
      <c r="B7">
        <v>9079571</v>
      </c>
      <c r="C7">
        <v>9079571</v>
      </c>
      <c r="D7" t="s">
        <v>30</v>
      </c>
      <c r="E7" t="s">
        <v>31</v>
      </c>
      <c r="F7" t="s">
        <v>32</v>
      </c>
      <c r="G7" s="1">
        <v>45778</v>
      </c>
      <c r="H7" s="1">
        <v>45807</v>
      </c>
      <c r="I7" t="s">
        <v>14</v>
      </c>
      <c r="J7" t="s">
        <v>25</v>
      </c>
      <c r="K7" s="2">
        <v>100</v>
      </c>
    </row>
    <row r="8" spans="1:11" x14ac:dyDescent="0.25">
      <c r="A8" t="s">
        <v>17</v>
      </c>
      <c r="C8">
        <v>5442438</v>
      </c>
      <c r="D8" t="s">
        <v>22</v>
      </c>
      <c r="E8" t="s">
        <v>23</v>
      </c>
      <c r="F8" t="s">
        <v>33</v>
      </c>
      <c r="G8" s="1">
        <v>45778</v>
      </c>
      <c r="H8" s="1">
        <v>45807</v>
      </c>
      <c r="I8" t="s">
        <v>14</v>
      </c>
      <c r="J8" t="s">
        <v>34</v>
      </c>
      <c r="K8" s="2">
        <v>626</v>
      </c>
    </row>
    <row r="9" spans="1:11" x14ac:dyDescent="0.25">
      <c r="A9" t="s">
        <v>26</v>
      </c>
      <c r="B9">
        <v>9079571</v>
      </c>
      <c r="C9">
        <v>9079571</v>
      </c>
      <c r="D9" t="s">
        <v>27</v>
      </c>
      <c r="E9" t="s">
        <v>28</v>
      </c>
      <c r="F9" t="s">
        <v>35</v>
      </c>
      <c r="G9" s="1">
        <v>45778</v>
      </c>
      <c r="H9" s="1">
        <v>45807</v>
      </c>
      <c r="I9" t="s">
        <v>14</v>
      </c>
      <c r="J9" t="s">
        <v>36</v>
      </c>
      <c r="K9" s="2">
        <v>208.66</v>
      </c>
    </row>
    <row r="10" spans="1:11" x14ac:dyDescent="0.25">
      <c r="A10" t="s">
        <v>26</v>
      </c>
      <c r="B10">
        <v>9079571</v>
      </c>
      <c r="C10">
        <v>9079571</v>
      </c>
      <c r="D10" t="s">
        <v>30</v>
      </c>
      <c r="E10" t="s">
        <v>31</v>
      </c>
      <c r="F10" t="s">
        <v>37</v>
      </c>
      <c r="G10" s="1">
        <v>45778</v>
      </c>
      <c r="H10" s="1">
        <v>45807</v>
      </c>
      <c r="I10" t="s">
        <v>14</v>
      </c>
      <c r="J10" t="s">
        <v>36</v>
      </c>
      <c r="K10" s="2">
        <v>208.66</v>
      </c>
    </row>
    <row r="11" spans="1:11" x14ac:dyDescent="0.25">
      <c r="A11" t="s">
        <v>26</v>
      </c>
      <c r="B11">
        <v>9079571</v>
      </c>
      <c r="C11">
        <v>9079571</v>
      </c>
      <c r="D11" t="s">
        <v>27</v>
      </c>
      <c r="E11" t="s">
        <v>28</v>
      </c>
      <c r="G11" s="1">
        <v>45778</v>
      </c>
      <c r="H11" s="1">
        <v>45807</v>
      </c>
      <c r="I11" t="s">
        <v>14</v>
      </c>
      <c r="J11" t="s">
        <v>38</v>
      </c>
      <c r="K11" s="2">
        <v>100</v>
      </c>
    </row>
    <row r="12" spans="1:11" x14ac:dyDescent="0.25">
      <c r="A12" t="s">
        <v>26</v>
      </c>
      <c r="B12">
        <v>9079571</v>
      </c>
      <c r="C12">
        <v>9079571</v>
      </c>
      <c r="D12" t="s">
        <v>30</v>
      </c>
      <c r="E12" t="s">
        <v>31</v>
      </c>
      <c r="G12" s="1">
        <v>45778</v>
      </c>
      <c r="H12" s="1">
        <v>45807</v>
      </c>
      <c r="I12" t="s">
        <v>14</v>
      </c>
      <c r="J12" t="s">
        <v>38</v>
      </c>
      <c r="K12" s="2">
        <v>100</v>
      </c>
    </row>
    <row r="13" spans="1:11" x14ac:dyDescent="0.25">
      <c r="A13" t="s">
        <v>17</v>
      </c>
      <c r="C13">
        <v>5442438</v>
      </c>
      <c r="D13" t="s">
        <v>22</v>
      </c>
      <c r="E13" t="s">
        <v>23</v>
      </c>
      <c r="G13" s="1">
        <v>45778</v>
      </c>
      <c r="H13" s="1">
        <v>45807</v>
      </c>
      <c r="I13" t="s">
        <v>14</v>
      </c>
      <c r="J13" t="s">
        <v>38</v>
      </c>
      <c r="K13" s="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600D7-1680-4E97-89EC-00CAA15A11C7}">
  <dimension ref="A1:N11"/>
  <sheetViews>
    <sheetView workbookViewId="0">
      <selection activeCell="A4" sqref="A4:XFD5"/>
    </sheetView>
  </sheetViews>
  <sheetFormatPr defaultRowHeight="15" x14ac:dyDescent="0.25"/>
  <cols>
    <col min="1" max="1" width="20.140625" bestFit="1" customWidth="1"/>
    <col min="2" max="2" width="10.7109375" bestFit="1" customWidth="1"/>
    <col min="3" max="3" width="10.5703125" bestFit="1" customWidth="1"/>
    <col min="4" max="4" width="10.42578125" bestFit="1" customWidth="1"/>
    <col min="5" max="5" width="15.7109375" bestFit="1" customWidth="1"/>
    <col min="6" max="6" width="23.28515625" style="3" bestFit="1" customWidth="1"/>
    <col min="7" max="7" width="24.28515625" style="3" bestFit="1" customWidth="1"/>
    <col min="8" max="8" width="11.85546875" bestFit="1" customWidth="1"/>
    <col min="9" max="9" width="14.7109375" bestFit="1" customWidth="1"/>
    <col min="10" max="10" width="12.7109375" bestFit="1" customWidth="1"/>
    <col min="11" max="11" width="61" bestFit="1" customWidth="1"/>
    <col min="12" max="12" width="15.7109375" bestFit="1" customWidth="1"/>
    <col min="13" max="13" width="20.140625" bestFit="1" customWidth="1"/>
    <col min="14" max="14" width="23.140625" bestFit="1" customWidth="1"/>
  </cols>
  <sheetData>
    <row r="1" spans="1:14" x14ac:dyDescent="0.25">
      <c r="A1" t="s">
        <v>0</v>
      </c>
      <c r="B1" t="s">
        <v>2</v>
      </c>
      <c r="C1" t="s">
        <v>3</v>
      </c>
      <c r="D1" t="s">
        <v>4</v>
      </c>
      <c r="F1" s="3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4" x14ac:dyDescent="0.25">
      <c r="A2" t="s">
        <v>26</v>
      </c>
      <c r="B2">
        <v>9079571</v>
      </c>
      <c r="C2" t="s">
        <v>27</v>
      </c>
      <c r="D2" t="s">
        <v>28</v>
      </c>
      <c r="E2" t="str">
        <f>CONCATENATE(C2, " ",D2)</f>
        <v>Cynthia Eaves</v>
      </c>
      <c r="F2" s="3" t="s">
        <v>29</v>
      </c>
      <c r="G2" s="3" t="str">
        <f>CONCATENATE(F2,1)</f>
        <v>CareFirstMA053120250761</v>
      </c>
      <c r="H2" s="1">
        <v>45778</v>
      </c>
      <c r="I2" s="1">
        <v>45807</v>
      </c>
      <c r="J2" t="s">
        <v>14</v>
      </c>
      <c r="K2" t="s">
        <v>25</v>
      </c>
      <c r="L2" s="2">
        <v>100</v>
      </c>
      <c r="M2" t="s">
        <v>39</v>
      </c>
    </row>
    <row r="3" spans="1:14" x14ac:dyDescent="0.25">
      <c r="A3" t="s">
        <v>26</v>
      </c>
      <c r="B3">
        <v>9079571</v>
      </c>
      <c r="C3" t="s">
        <v>30</v>
      </c>
      <c r="D3" t="s">
        <v>31</v>
      </c>
      <c r="E3" t="str">
        <f t="shared" ref="E3:E11" si="0">CONCATENATE(C3, " ",D3)</f>
        <v>Laura Winterling</v>
      </c>
      <c r="F3" s="3" t="s">
        <v>32</v>
      </c>
      <c r="G3" s="3" t="str">
        <f>CONCATENATE(F3,1)</f>
        <v>CareFirstMA053120250771</v>
      </c>
      <c r="H3" s="1">
        <v>45778</v>
      </c>
      <c r="I3" s="1">
        <v>45807</v>
      </c>
      <c r="J3" t="s">
        <v>14</v>
      </c>
      <c r="K3" t="s">
        <v>25</v>
      </c>
      <c r="L3" s="2">
        <v>100</v>
      </c>
      <c r="M3" t="s">
        <v>39</v>
      </c>
    </row>
    <row r="4" spans="1:14" x14ac:dyDescent="0.25">
      <c r="A4" t="s">
        <v>26</v>
      </c>
      <c r="B4">
        <v>9079571</v>
      </c>
      <c r="C4" t="s">
        <v>27</v>
      </c>
      <c r="D4" t="s">
        <v>28</v>
      </c>
      <c r="E4" t="str">
        <f t="shared" si="0"/>
        <v>Cynthia Eaves</v>
      </c>
      <c r="F4" s="3" t="s">
        <v>35</v>
      </c>
      <c r="G4" s="3" t="s">
        <v>35</v>
      </c>
      <c r="H4" s="1">
        <v>45778</v>
      </c>
      <c r="I4" s="1">
        <v>45807</v>
      </c>
      <c r="J4" t="s">
        <v>14</v>
      </c>
      <c r="K4" t="s">
        <v>36</v>
      </c>
      <c r="L4" s="2">
        <v>208.66</v>
      </c>
      <c r="M4" t="s">
        <v>41</v>
      </c>
      <c r="N4" t="s">
        <v>44</v>
      </c>
    </row>
    <row r="5" spans="1:14" x14ac:dyDescent="0.25">
      <c r="A5" t="s">
        <v>26</v>
      </c>
      <c r="B5">
        <v>9079571</v>
      </c>
      <c r="C5" t="s">
        <v>30</v>
      </c>
      <c r="D5" t="s">
        <v>31</v>
      </c>
      <c r="E5" t="str">
        <f t="shared" si="0"/>
        <v>Laura Winterling</v>
      </c>
      <c r="F5" s="3" t="s">
        <v>37</v>
      </c>
      <c r="G5" s="3" t="s">
        <v>37</v>
      </c>
      <c r="H5" s="1">
        <v>45778</v>
      </c>
      <c r="I5" s="1">
        <v>45807</v>
      </c>
      <c r="J5" t="s">
        <v>14</v>
      </c>
      <c r="K5" t="s">
        <v>36</v>
      </c>
      <c r="L5" s="2">
        <v>208.66</v>
      </c>
      <c r="M5" t="s">
        <v>41</v>
      </c>
      <c r="N5" t="s">
        <v>44</v>
      </c>
    </row>
    <row r="6" spans="1:14" x14ac:dyDescent="0.25">
      <c r="A6" t="s">
        <v>11</v>
      </c>
      <c r="B6">
        <v>7387433</v>
      </c>
      <c r="C6" t="s">
        <v>12</v>
      </c>
      <c r="D6" t="s">
        <v>13</v>
      </c>
      <c r="E6" t="str">
        <f t="shared" si="0"/>
        <v>Veronica Jarrett</v>
      </c>
      <c r="F6" s="3">
        <v>904394669</v>
      </c>
      <c r="G6" s="3" t="str">
        <f>CONCATENATE(F6,1)</f>
        <v>9043946691</v>
      </c>
      <c r="H6" s="1">
        <v>45658</v>
      </c>
      <c r="I6" s="1">
        <v>45807</v>
      </c>
      <c r="J6" t="s">
        <v>14</v>
      </c>
      <c r="K6" t="s">
        <v>15</v>
      </c>
      <c r="L6" s="2">
        <v>-66.66</v>
      </c>
      <c r="M6" t="s">
        <v>39</v>
      </c>
    </row>
    <row r="7" spans="1:14" x14ac:dyDescent="0.25">
      <c r="A7" t="s">
        <v>11</v>
      </c>
      <c r="B7">
        <v>7387433</v>
      </c>
      <c r="C7" t="s">
        <v>12</v>
      </c>
      <c r="D7" t="s">
        <v>13</v>
      </c>
      <c r="E7" t="str">
        <f t="shared" si="0"/>
        <v>Veronica Jarrett</v>
      </c>
      <c r="F7" s="3">
        <v>904394669</v>
      </c>
      <c r="G7" s="3" t="str">
        <f>CONCATENATE(F7,8)</f>
        <v>9043946698</v>
      </c>
      <c r="H7" s="1">
        <v>45658</v>
      </c>
      <c r="I7" s="1">
        <v>45807</v>
      </c>
      <c r="J7" t="s">
        <v>14</v>
      </c>
      <c r="K7" t="s">
        <v>16</v>
      </c>
      <c r="L7" s="2">
        <v>-417.33</v>
      </c>
      <c r="M7" t="s">
        <v>40</v>
      </c>
      <c r="N7" t="s">
        <v>42</v>
      </c>
    </row>
    <row r="8" spans="1:14" x14ac:dyDescent="0.25">
      <c r="A8" t="s">
        <v>17</v>
      </c>
      <c r="B8">
        <v>5442438</v>
      </c>
      <c r="C8" t="s">
        <v>18</v>
      </c>
      <c r="D8" t="s">
        <v>19</v>
      </c>
      <c r="E8" t="str">
        <f t="shared" si="0"/>
        <v>Myra Kourey</v>
      </c>
      <c r="F8" s="3" t="s">
        <v>20</v>
      </c>
      <c r="G8" s="3" t="s">
        <v>20</v>
      </c>
      <c r="H8" s="1">
        <v>45748</v>
      </c>
      <c r="I8" s="1">
        <v>45807</v>
      </c>
      <c r="J8" t="s">
        <v>14</v>
      </c>
      <c r="K8" t="s">
        <v>21</v>
      </c>
      <c r="L8" s="2">
        <v>313</v>
      </c>
      <c r="M8" t="s">
        <v>41</v>
      </c>
      <c r="N8" t="s">
        <v>45</v>
      </c>
    </row>
    <row r="9" spans="1:14" x14ac:dyDescent="0.25">
      <c r="A9" t="s">
        <v>17</v>
      </c>
      <c r="B9">
        <v>5442438</v>
      </c>
      <c r="C9" t="s">
        <v>18</v>
      </c>
      <c r="D9" t="s">
        <v>19</v>
      </c>
      <c r="E9" t="str">
        <f t="shared" si="0"/>
        <v>Myra Kourey</v>
      </c>
      <c r="F9" s="3" t="s">
        <v>20</v>
      </c>
      <c r="G9" s="3" t="s">
        <v>20</v>
      </c>
      <c r="H9" s="1">
        <v>45748</v>
      </c>
      <c r="I9" s="1">
        <v>45807</v>
      </c>
      <c r="J9" t="s">
        <v>14</v>
      </c>
      <c r="K9" t="s">
        <v>21</v>
      </c>
      <c r="L9" s="2">
        <v>78.25</v>
      </c>
      <c r="M9" t="s">
        <v>41</v>
      </c>
      <c r="N9" t="s">
        <v>46</v>
      </c>
    </row>
    <row r="10" spans="1:14" x14ac:dyDescent="0.25">
      <c r="A10" t="s">
        <v>17</v>
      </c>
      <c r="B10">
        <v>5442438</v>
      </c>
      <c r="C10" t="s">
        <v>22</v>
      </c>
      <c r="D10" t="s">
        <v>23</v>
      </c>
      <c r="E10" t="str">
        <f t="shared" si="0"/>
        <v>Loris Huffman</v>
      </c>
      <c r="F10" s="3" t="s">
        <v>24</v>
      </c>
      <c r="G10" s="3" t="str">
        <f>CONCATENATE(F10,1)</f>
        <v>CareFirstMA053120250751</v>
      </c>
      <c r="H10" s="1">
        <v>45778</v>
      </c>
      <c r="I10" s="1">
        <v>45807</v>
      </c>
      <c r="J10" t="s">
        <v>14</v>
      </c>
      <c r="K10" t="s">
        <v>25</v>
      </c>
      <c r="L10" s="2">
        <v>100</v>
      </c>
      <c r="M10" t="s">
        <v>39</v>
      </c>
    </row>
    <row r="11" spans="1:14" x14ac:dyDescent="0.25">
      <c r="A11" t="s">
        <v>17</v>
      </c>
      <c r="B11">
        <v>5442438</v>
      </c>
      <c r="C11" t="s">
        <v>22</v>
      </c>
      <c r="D11" t="s">
        <v>23</v>
      </c>
      <c r="E11" t="str">
        <f t="shared" si="0"/>
        <v>Loris Huffman</v>
      </c>
      <c r="F11" s="3" t="s">
        <v>33</v>
      </c>
      <c r="G11" s="3" t="str">
        <f>CONCATENATE(F11,8)</f>
        <v>CareFirstMA053120250958</v>
      </c>
      <c r="H11" s="1">
        <v>45778</v>
      </c>
      <c r="I11" s="1">
        <v>45807</v>
      </c>
      <c r="J11" t="s">
        <v>14</v>
      </c>
      <c r="K11" t="s">
        <v>34</v>
      </c>
      <c r="L11" s="2">
        <v>626</v>
      </c>
      <c r="M11" t="s">
        <v>40</v>
      </c>
      <c r="N11" t="s">
        <v>43</v>
      </c>
    </row>
  </sheetData>
  <sortState xmlns:xlrd2="http://schemas.microsoft.com/office/spreadsheetml/2017/richdata2" ref="A2:O11">
    <sortCondition ref="A2:A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2025-05-30T15:56:06Z</dcterms:created>
  <dcterms:modified xsi:type="dcterms:W3CDTF">2025-06-02T15:15:15Z</dcterms:modified>
</cp:coreProperties>
</file>