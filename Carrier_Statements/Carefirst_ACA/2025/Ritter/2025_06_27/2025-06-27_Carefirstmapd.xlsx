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rst MAPD 06-27-25 Ritter\"/>
    </mc:Choice>
  </mc:AlternateContent>
  <xr:revisionPtr revIDLastSave="0" documentId="13_ncr:9_{26C8F918-A65D-434D-96B5-063EBDDB4FD2}" xr6:coauthVersionLast="47" xr6:coauthVersionMax="47" xr10:uidLastSave="{00000000-0000-0000-0000-000000000000}"/>
  <bookViews>
    <workbookView xWindow="28680" yWindow="-120" windowWidth="29040" windowHeight="16440" activeTab="1" xr2:uid="{9CAFE6F1-41EE-4B8F-A79D-42F3A805C7D9}"/>
  </bookViews>
  <sheets>
    <sheet name="Commissions_Main Line Benefits,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8" i="2" l="1"/>
  <c r="G7" i="2"/>
  <c r="G6" i="2"/>
  <c r="G5" i="2"/>
  <c r="G4" i="2"/>
  <c r="G3" i="2"/>
  <c r="G2" i="2"/>
  <c r="E2" i="2"/>
  <c r="E3" i="2"/>
  <c r="E4" i="2"/>
  <c r="E5" i="2"/>
  <c r="E6" i="2"/>
  <c r="E7" i="2"/>
  <c r="E8" i="2"/>
  <c r="E9" i="2"/>
</calcChain>
</file>

<file path=xl/sharedStrings.xml><?xml version="1.0" encoding="utf-8"?>
<sst xmlns="http://schemas.openxmlformats.org/spreadsheetml/2006/main" count="140" uniqueCount="43">
  <si>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</si>
  <si>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</si>
  <si>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</si>
  <si>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</si>
  <si>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</si>
  <si>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</si>
  <si>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</si>
  <si>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</si>
  <si>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</si>
  <si>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</si>
  <si>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</si>
  <si>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</si>
  <si>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Robert</t>
  </si>
  <si>
    <t>Emery</t>
  </si>
  <si>
    <t>CareFirst</t>
  </si>
  <si>
    <t xml:space="preserve">CareFirst HRA Bonus Premium Period: </t>
  </si>
  <si>
    <t>Ronald Max</t>
  </si>
  <si>
    <t>Verna</t>
  </si>
  <si>
    <t>Bartholomew</t>
  </si>
  <si>
    <t>CareFirstHRA06302025002</t>
  </si>
  <si>
    <t>Kimberly</t>
  </si>
  <si>
    <t>Amos</t>
  </si>
  <si>
    <t>CareFirstHRA06302025003</t>
  </si>
  <si>
    <t>Carefirst</t>
  </si>
  <si>
    <t>CareFirst 2021-2025 Override Year 1</t>
  </si>
  <si>
    <t>CareFirst 2025 Initial Street</t>
  </si>
  <si>
    <t>Cynthia</t>
  </si>
  <si>
    <t>Eaves</t>
  </si>
  <si>
    <t>CareFirstMA06302025021</t>
  </si>
  <si>
    <t>CareFirst 2025 Initial Street (ProRata: 8)</t>
  </si>
  <si>
    <t>Laura</t>
  </si>
  <si>
    <t>Winterling</t>
  </si>
  <si>
    <t>CareFirstMA06302025022</t>
  </si>
  <si>
    <t>CareFirstMA06302025023</t>
  </si>
  <si>
    <t>CareFirstMA06302025024</t>
  </si>
  <si>
    <t>CareFirst 2025 Replace Street (ProRata: 7)</t>
  </si>
  <si>
    <t>Main Line Benefits</t>
  </si>
  <si>
    <t>Carefirst MAPD 2025*</t>
  </si>
  <si>
    <t>Carefirst MAPD 2025</t>
  </si>
  <si>
    <t>CareFirst Ovr</t>
  </si>
  <si>
    <t>[%/$=626][prorate=8/12]</t>
  </si>
  <si>
    <t>[%/$=626]</t>
  </si>
  <si>
    <t>[%/$=313][prorate=7/12]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</si>
</sst>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4E05-3F9B-48FF-A051-46632615D676}">
  <dimension ref="A1:K31"/>
  <sheetViews>
    <sheetView workbookViewId="0">
      <selection sqref="A1:XFD1048576"/>
    </sheetView>
  </sheetViews>
  <sheetFormatPr defaultRowHeight="15" x14ac:dyDescent="0.25"/>
  <cols>
    <col min="8" max="8" width="14.7109375" bestFit="1" customWidth="1"/>
    <col min="10" max="10" width="3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9079571</v>
      </c>
      <c r="C2">
        <v>9079571</v>
      </c>
      <c r="D2" t="s">
        <v>12</v>
      </c>
      <c r="E2" t="s">
        <v>13</v>
      </c>
      <c r="F2">
        <v>929267172</v>
      </c>
      <c r="G2" s="1">
        <v>45809</v>
      </c>
      <c r="H2" s="1">
        <v>45835</v>
      </c>
      <c r="I2" t="s">
        <v>14</v>
      </c>
      <c r="J2" t="s">
        <v>15</v>
      </c>
      <c r="K2" s="2">
        <v>100</v>
      </c>
    </row>
    <row r="3" spans="1:11" x14ac:dyDescent="0.25">
      <c r="A3" t="s">
        <v>16</v>
      </c>
      <c r="C3">
        <v>5442438</v>
      </c>
      <c r="D3" t="s">
        <v>17</v>
      </c>
      <c r="E3" t="s">
        <v>18</v>
      </c>
      <c r="F3" t="s">
        <v>19</v>
      </c>
      <c r="G3" s="1">
        <v>45809</v>
      </c>
      <c r="H3" s="1">
        <v>45835</v>
      </c>
      <c r="I3" t="s">
        <v>14</v>
      </c>
      <c r="J3" t="s">
        <v>15</v>
      </c>
      <c r="K3" s="2">
        <v>100</v>
      </c>
    </row>
    <row r="4" spans="1:11" x14ac:dyDescent="0.25">
      <c r="A4" t="s">
        <v>16</v>
      </c>
      <c r="C4">
        <v>5442438</v>
      </c>
      <c r="D4" t="s">
        <v>20</v>
      </c>
      <c r="E4" t="s">
        <v>21</v>
      </c>
      <c r="F4" t="s">
        <v>22</v>
      </c>
      <c r="G4" s="1">
        <v>45809</v>
      </c>
      <c r="H4" s="1">
        <v>45835</v>
      </c>
      <c r="I4" t="s">
        <v>14</v>
      </c>
      <c r="J4" t="s">
        <v>15</v>
      </c>
      <c r="K4" s="2">
        <v>100</v>
      </c>
    </row>
    <row r="5" spans="1:11" x14ac:dyDescent="0.25">
      <c r="A5" t="s">
        <v>16</v>
      </c>
      <c r="C5">
        <v>5442438</v>
      </c>
      <c r="D5" t="s">
        <v>17</v>
      </c>
      <c r="E5" t="s">
        <v>18</v>
      </c>
      <c r="F5">
        <v>916787732</v>
      </c>
      <c r="G5" s="1">
        <v>45809</v>
      </c>
      <c r="H5" s="1">
        <v>45835</v>
      </c>
      <c r="I5" t="s">
        <v>23</v>
      </c>
      <c r="J5" t="s">
        <v>24</v>
      </c>
      <c r="K5" s="2">
        <v>100</v>
      </c>
    </row>
    <row r="6" spans="1:11" x14ac:dyDescent="0.25">
      <c r="A6" t="s">
        <v>16</v>
      </c>
      <c r="C6">
        <v>5442438</v>
      </c>
      <c r="D6" t="s">
        <v>20</v>
      </c>
      <c r="E6" t="s">
        <v>21</v>
      </c>
      <c r="F6">
        <v>924798922</v>
      </c>
      <c r="G6" s="1">
        <v>45809</v>
      </c>
      <c r="H6" s="1">
        <v>45835</v>
      </c>
      <c r="I6" t="s">
        <v>23</v>
      </c>
      <c r="J6" t="s">
        <v>24</v>
      </c>
      <c r="K6" s="2">
        <v>100</v>
      </c>
    </row>
    <row r="7" spans="1:11" x14ac:dyDescent="0.25">
      <c r="A7" t="s">
        <v>11</v>
      </c>
      <c r="B7">
        <v>9079571</v>
      </c>
      <c r="C7">
        <v>9079571</v>
      </c>
      <c r="D7" t="s">
        <v>12</v>
      </c>
      <c r="E7" t="s">
        <v>13</v>
      </c>
      <c r="F7">
        <v>929267172</v>
      </c>
      <c r="G7" s="1">
        <v>45809</v>
      </c>
      <c r="H7" s="1">
        <v>45835</v>
      </c>
      <c r="I7" t="s">
        <v>23</v>
      </c>
      <c r="J7" t="s">
        <v>24</v>
      </c>
      <c r="K7" s="2">
        <v>100</v>
      </c>
    </row>
    <row r="8" spans="1:11" x14ac:dyDescent="0.25">
      <c r="A8" t="s">
        <v>11</v>
      </c>
      <c r="B8">
        <v>9079571</v>
      </c>
      <c r="C8">
        <v>9079571</v>
      </c>
      <c r="D8" t="s">
        <v>12</v>
      </c>
      <c r="E8" t="s">
        <v>13</v>
      </c>
      <c r="F8">
        <v>929267172</v>
      </c>
      <c r="G8" s="1">
        <v>45809</v>
      </c>
      <c r="H8" s="1">
        <v>45835</v>
      </c>
      <c r="I8" t="s">
        <v>23</v>
      </c>
      <c r="J8" t="s">
        <v>25</v>
      </c>
      <c r="K8" s="2">
        <v>626</v>
      </c>
    </row>
    <row r="9" spans="1:11" x14ac:dyDescent="0.25">
      <c r="A9" t="s">
        <v>11</v>
      </c>
      <c r="B9">
        <v>9079571</v>
      </c>
      <c r="C9">
        <v>9079571</v>
      </c>
      <c r="D9" t="s">
        <v>26</v>
      </c>
      <c r="E9" t="s">
        <v>27</v>
      </c>
      <c r="F9" t="s">
        <v>28</v>
      </c>
      <c r="G9" s="1">
        <v>45778</v>
      </c>
      <c r="H9" s="1">
        <v>45835</v>
      </c>
      <c r="I9" t="s">
        <v>23</v>
      </c>
      <c r="J9" t="s">
        <v>29</v>
      </c>
      <c r="K9" s="2">
        <v>417.33</v>
      </c>
    </row>
    <row r="10" spans="1:11" x14ac:dyDescent="0.25">
      <c r="A10" t="s">
        <v>11</v>
      </c>
      <c r="B10">
        <v>9079571</v>
      </c>
      <c r="C10">
        <v>9079571</v>
      </c>
      <c r="D10" t="s">
        <v>30</v>
      </c>
      <c r="E10" t="s">
        <v>31</v>
      </c>
      <c r="F10" t="s">
        <v>32</v>
      </c>
      <c r="G10" s="1">
        <v>45778</v>
      </c>
      <c r="H10" s="1">
        <v>45835</v>
      </c>
      <c r="I10" t="s">
        <v>23</v>
      </c>
      <c r="J10" t="s">
        <v>29</v>
      </c>
      <c r="K10" s="2">
        <v>417.33</v>
      </c>
    </row>
    <row r="11" spans="1:11" x14ac:dyDescent="0.25">
      <c r="A11" t="s">
        <v>16</v>
      </c>
      <c r="C11">
        <v>5442438</v>
      </c>
      <c r="D11" t="s">
        <v>17</v>
      </c>
      <c r="E11" t="s">
        <v>18</v>
      </c>
      <c r="F11" t="s">
        <v>33</v>
      </c>
      <c r="G11" s="1">
        <v>45809</v>
      </c>
      <c r="H11" s="1">
        <v>45835</v>
      </c>
      <c r="I11" t="s">
        <v>23</v>
      </c>
      <c r="J11" t="s">
        <v>25</v>
      </c>
      <c r="K11" s="2">
        <v>626</v>
      </c>
    </row>
    <row r="12" spans="1:11" x14ac:dyDescent="0.25">
      <c r="A12" t="s">
        <v>16</v>
      </c>
      <c r="C12">
        <v>5442438</v>
      </c>
      <c r="D12" t="s">
        <v>20</v>
      </c>
      <c r="E12" t="s">
        <v>21</v>
      </c>
      <c r="F12" t="s">
        <v>34</v>
      </c>
      <c r="G12" s="1">
        <v>45809</v>
      </c>
      <c r="H12" s="1">
        <v>45835</v>
      </c>
      <c r="I12" t="s">
        <v>23</v>
      </c>
      <c r="J12" t="s">
        <v>35</v>
      </c>
      <c r="K12" s="2">
        <v>182.58</v>
      </c>
    </row>
    <row r="13" spans="1:11" x14ac:dyDescent="0.25">
      <c r="G13" s="1"/>
      <c r="H13" s="1"/>
      <c r="K13" s="2"/>
    </row>
    <row r="14" spans="1:11" x14ac:dyDescent="0.25">
      <c r="G14" s="1"/>
      <c r="H14" s="1"/>
      <c r="K14" s="2"/>
    </row>
    <row r="30" spans="7:11" x14ac:dyDescent="0.25">
      <c r="G30" s="1"/>
      <c r="H30" s="1"/>
      <c r="K30" s="2"/>
    </row>
    <row r="31" spans="7:11" x14ac:dyDescent="0.25">
      <c r="G31" s="1"/>
      <c r="H31" s="1"/>
      <c r="K31" s="2"/>
    </row>
  </sheetData>
  <sortState xmlns:xlrd2="http://schemas.microsoft.com/office/spreadsheetml/2017/richdata2" ref="A2:K34">
    <sortCondition ref="I2:I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506F-36F1-4963-BB0E-0F9D1489A24F}">
  <dimension ref="A1:N28"/>
  <sheetViews>
    <sheetView tabSelected="1" workbookViewId="0">
      <selection activeCell="N2" sqref="N2:N9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0.5703125" bestFit="1" customWidth="1"/>
    <col min="4" max="4" width="13.140625" bestFit="1" customWidth="1"/>
    <col min="5" max="5" width="23.85546875" customWidth="1"/>
    <col min="6" max="6" width="24" style="3" bestFit="1" customWidth="1"/>
    <col min="7" max="7" width="24" style="3" customWidth="1"/>
    <col min="8" max="8" width="11.85546875" bestFit="1" customWidth="1"/>
    <col min="9" max="9" width="14.7109375" bestFit="1" customWidth="1"/>
    <col min="10" max="10" width="12.7109375" bestFit="1" customWidth="1"/>
    <col min="11" max="11" width="38.28515625" bestFit="1" customWidth="1"/>
    <col min="12" max="12" width="15.7109375" bestFit="1" customWidth="1"/>
    <col min="13" max="13" width="20.14062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s="4" customFormat="1" x14ac:dyDescent="0.25">
      <c r="A2" s="4" t="s">
        <v>36</v>
      </c>
      <c r="B2" s="4">
        <v>20411454</v>
      </c>
      <c r="C2" s="4" t="s">
        <v>17</v>
      </c>
      <c r="D2" s="4" t="s">
        <v>18</v>
      </c>
      <c r="E2" s="4" t="str">
        <f t="shared" ref="E2:E9" si="0">CONCATENATE(C2, " ",D2)</f>
        <v>Verna Bartholomew</v>
      </c>
      <c r="F2" s="5">
        <v>916787732</v>
      </c>
      <c r="G2" s="5" t="str">
        <f>CONCATENATE(F2,1)</f>
        <v>9167877321</v>
      </c>
      <c r="H2" s="6">
        <v>45809</v>
      </c>
      <c r="I2" s="6">
        <v>45835</v>
      </c>
      <c r="J2" s="4" t="s">
        <v>23</v>
      </c>
      <c r="K2" s="4" t="s">
        <v>24</v>
      </c>
      <c r="L2" s="7">
        <v>100</v>
      </c>
      <c r="M2" s="4" t="s">
        <v>39</v>
      </c>
    </row>
    <row r="3" spans="1:14" s="4" customFormat="1" x14ac:dyDescent="0.25">
      <c r="A3" s="4" t="s">
        <v>36</v>
      </c>
      <c r="B3" s="4">
        <v>20411454</v>
      </c>
      <c r="C3" s="4" t="s">
        <v>20</v>
      </c>
      <c r="D3" s="4" t="s">
        <v>21</v>
      </c>
      <c r="E3" s="4" t="str">
        <f t="shared" si="0"/>
        <v>Kimberly Amos</v>
      </c>
      <c r="F3" s="5">
        <v>924798922</v>
      </c>
      <c r="G3" s="5" t="str">
        <f t="shared" ref="G3:G4" si="1">CONCATENATE(F3,1)</f>
        <v>9247989221</v>
      </c>
      <c r="H3" s="6">
        <v>45809</v>
      </c>
      <c r="I3" s="6">
        <v>45835</v>
      </c>
      <c r="J3" s="4" t="s">
        <v>23</v>
      </c>
      <c r="K3" s="4" t="s">
        <v>24</v>
      </c>
      <c r="L3" s="7">
        <v>100</v>
      </c>
      <c r="M3" s="4" t="s">
        <v>39</v>
      </c>
    </row>
    <row r="4" spans="1:14" s="4" customFormat="1" x14ac:dyDescent="0.25">
      <c r="A4" s="4" t="s">
        <v>36</v>
      </c>
      <c r="B4" s="4">
        <v>20411454</v>
      </c>
      <c r="C4" s="4" t="s">
        <v>12</v>
      </c>
      <c r="D4" s="4" t="s">
        <v>13</v>
      </c>
      <c r="E4" s="4" t="str">
        <f t="shared" si="0"/>
        <v>Robert Emery</v>
      </c>
      <c r="F4" s="5">
        <v>929267172</v>
      </c>
      <c r="G4" s="5" t="str">
        <f t="shared" si="1"/>
        <v>9292671721</v>
      </c>
      <c r="H4" s="6">
        <v>45809</v>
      </c>
      <c r="I4" s="6">
        <v>45835</v>
      </c>
      <c r="J4" s="4" t="s">
        <v>23</v>
      </c>
      <c r="K4" s="4" t="s">
        <v>24</v>
      </c>
      <c r="L4" s="7">
        <v>100</v>
      </c>
      <c r="M4" s="4" t="s">
        <v>39</v>
      </c>
    </row>
    <row r="5" spans="1:14" s="4" customFormat="1" x14ac:dyDescent="0.25">
      <c r="A5" s="4" t="s">
        <v>11</v>
      </c>
      <c r="B5" s="4">
        <v>9079571</v>
      </c>
      <c r="C5" s="4" t="s">
        <v>12</v>
      </c>
      <c r="D5" s="4" t="s">
        <v>13</v>
      </c>
      <c r="E5" s="4" t="str">
        <f t="shared" si="0"/>
        <v>Robert Emery</v>
      </c>
      <c r="F5" s="5">
        <v>929267172</v>
      </c>
      <c r="G5" s="5" t="str">
        <f>CONCATENATE(F5,8)</f>
        <v>9292671728</v>
      </c>
      <c r="H5" s="6">
        <v>45809</v>
      </c>
      <c r="I5" s="6">
        <v>45835</v>
      </c>
      <c r="J5" s="4" t="s">
        <v>23</v>
      </c>
      <c r="K5" s="4" t="s">
        <v>25</v>
      </c>
      <c r="L5" s="7">
        <v>626</v>
      </c>
      <c r="M5" s="4" t="s">
        <v>38</v>
      </c>
      <c r="N5" s="4" t="s">
        <v>41</v>
      </c>
    </row>
    <row r="6" spans="1:14" s="4" customFormat="1" x14ac:dyDescent="0.25">
      <c r="A6" s="4" t="s">
        <v>11</v>
      </c>
      <c r="B6" s="4">
        <v>9079571</v>
      </c>
      <c r="C6" s="4" t="s">
        <v>26</v>
      </c>
      <c r="D6" s="4" t="s">
        <v>27</v>
      </c>
      <c r="E6" s="4" t="str">
        <f t="shared" si="0"/>
        <v>Cynthia Eaves</v>
      </c>
      <c r="F6" s="5" t="s">
        <v>28</v>
      </c>
      <c r="G6" s="5" t="str">
        <f t="shared" ref="G6:G8" si="2">CONCATENATE(F6,8)</f>
        <v>CareFirstMA063020250218</v>
      </c>
      <c r="H6" s="6">
        <v>45778</v>
      </c>
      <c r="I6" s="6">
        <v>45835</v>
      </c>
      <c r="J6" s="4" t="s">
        <v>23</v>
      </c>
      <c r="K6" s="4" t="s">
        <v>29</v>
      </c>
      <c r="L6" s="7">
        <v>417.33</v>
      </c>
      <c r="M6" s="4" t="s">
        <v>38</v>
      </c>
      <c r="N6" s="4" t="s">
        <v>40</v>
      </c>
    </row>
    <row r="7" spans="1:14" s="4" customFormat="1" x14ac:dyDescent="0.25">
      <c r="A7" s="4" t="s">
        <v>11</v>
      </c>
      <c r="B7" s="4">
        <v>9079571</v>
      </c>
      <c r="C7" s="4" t="s">
        <v>30</v>
      </c>
      <c r="D7" s="4" t="s">
        <v>31</v>
      </c>
      <c r="E7" s="4" t="str">
        <f t="shared" si="0"/>
        <v>Laura Winterling</v>
      </c>
      <c r="F7" s="5" t="s">
        <v>32</v>
      </c>
      <c r="G7" s="5" t="str">
        <f t="shared" si="2"/>
        <v>CareFirstMA063020250228</v>
      </c>
      <c r="H7" s="6">
        <v>45778</v>
      </c>
      <c r="I7" s="6">
        <v>45835</v>
      </c>
      <c r="J7" s="4" t="s">
        <v>23</v>
      </c>
      <c r="K7" s="4" t="s">
        <v>29</v>
      </c>
      <c r="L7" s="7">
        <v>417.33</v>
      </c>
      <c r="M7" s="4" t="s">
        <v>38</v>
      </c>
      <c r="N7" s="4" t="s">
        <v>40</v>
      </c>
    </row>
    <row r="8" spans="1:14" s="4" customFormat="1" x14ac:dyDescent="0.25">
      <c r="A8" s="4" t="s">
        <v>16</v>
      </c>
      <c r="B8" s="4">
        <v>5442438</v>
      </c>
      <c r="C8" s="4" t="s">
        <v>17</v>
      </c>
      <c r="D8" s="4" t="s">
        <v>18</v>
      </c>
      <c r="E8" s="4" t="str">
        <f t="shared" si="0"/>
        <v>Verna Bartholomew</v>
      </c>
      <c r="F8" s="5" t="s">
        <v>33</v>
      </c>
      <c r="G8" s="5" t="str">
        <f t="shared" si="2"/>
        <v>CareFirstMA063020250238</v>
      </c>
      <c r="H8" s="6">
        <v>45809</v>
      </c>
      <c r="I8" s="6">
        <v>45835</v>
      </c>
      <c r="J8" s="4" t="s">
        <v>23</v>
      </c>
      <c r="K8" s="4" t="s">
        <v>25</v>
      </c>
      <c r="L8" s="7">
        <v>626</v>
      </c>
      <c r="M8" s="4" t="s">
        <v>38</v>
      </c>
      <c r="N8" s="4" t="s">
        <v>41</v>
      </c>
    </row>
    <row r="9" spans="1:14" s="4" customFormat="1" x14ac:dyDescent="0.25">
      <c r="A9" s="4" t="s">
        <v>16</v>
      </c>
      <c r="B9" s="4">
        <v>5442438</v>
      </c>
      <c r="C9" s="4" t="s">
        <v>20</v>
      </c>
      <c r="D9" s="4" t="s">
        <v>21</v>
      </c>
      <c r="E9" s="4" t="str">
        <f t="shared" si="0"/>
        <v>Kimberly Amos</v>
      </c>
      <c r="F9" s="5" t="s">
        <v>34</v>
      </c>
      <c r="G9" s="5" t="s">
        <v>34</v>
      </c>
      <c r="H9" s="6">
        <v>45809</v>
      </c>
      <c r="I9" s="6">
        <v>45835</v>
      </c>
      <c r="J9" s="4" t="s">
        <v>23</v>
      </c>
      <c r="K9" s="4" t="s">
        <v>35</v>
      </c>
      <c r="L9" s="7">
        <v>182.58</v>
      </c>
      <c r="M9" s="4" t="s">
        <v>37</v>
      </c>
      <c r="N9" s="4" t="s">
        <v>42</v>
      </c>
    </row>
    <row r="10" spans="1:14" x14ac:dyDescent="0.25">
      <c r="H10" s="1"/>
      <c r="I10" s="1"/>
      <c r="L10" s="2"/>
    </row>
    <row r="11" spans="1:14" x14ac:dyDescent="0.25">
      <c r="H11" s="1"/>
      <c r="I11" s="1"/>
      <c r="L11" s="2"/>
    </row>
    <row r="27" spans="8:12" x14ac:dyDescent="0.25">
      <c r="H27" s="1"/>
      <c r="I27" s="1"/>
      <c r="L27" s="2"/>
    </row>
    <row r="28" spans="8:12" x14ac:dyDescent="0.25">
      <c r="H28" s="1"/>
      <c r="I28" s="1"/>
      <c r="L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2025-06-27T15:46:45Z</dcterms:created>
  <dcterms:modified xsi:type="dcterms:W3CDTF">2025-06-27T21:04:43Z</dcterms:modified>
</cp:coreProperties>
</file>