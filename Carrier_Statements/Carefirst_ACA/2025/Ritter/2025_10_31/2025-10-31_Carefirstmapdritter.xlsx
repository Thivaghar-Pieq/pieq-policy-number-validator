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Ritter\CareFirst MAPD 10-31-2025 Ritter\"/>
    </mc:Choice>
  </mc:AlternateContent>
  <xr:revisionPtr revIDLastSave="0" documentId="13_ncr:1_{81F18F1D-2D29-4D2B-8840-CD7CA2B24340}" xr6:coauthVersionLast="47" xr6:coauthVersionMax="47" xr10:uidLastSave="{00000000-0000-0000-0000-000000000000}"/>
  <bookViews>
    <workbookView xWindow="28680" yWindow="-120" windowWidth="29040" windowHeight="16440" xr2:uid="{A6DCE631-4526-469B-B73C-2775561CAC4D}"/>
  </bookViews>
  <sheets>
    <sheet name="Sheet1" sheetId="1" r:id="rId1"/>
    <sheet name="Sheet2" sheetId="2" r:id="rId2"/>
    <sheet name="HR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G12" i="2"/>
  <c r="G11" i="2"/>
  <c r="G10" i="2"/>
  <c r="G9" i="2"/>
  <c r="G8" i="2"/>
  <c r="G7" i="2"/>
  <c r="G6" i="2"/>
  <c r="G5" i="2"/>
  <c r="G2" i="2"/>
  <c r="O9" i="2"/>
  <c r="O4" i="2"/>
  <c r="O3" i="2"/>
  <c r="E5" i="3"/>
  <c r="M5" i="3" s="1"/>
  <c r="E4" i="3"/>
  <c r="M4" i="3" s="1"/>
  <c r="E3" i="3"/>
  <c r="M3" i="3" s="1"/>
  <c r="E2" i="3"/>
  <c r="M2" i="3" s="1"/>
  <c r="E3" i="2"/>
  <c r="E4" i="2"/>
  <c r="E5" i="2"/>
  <c r="E6" i="2"/>
  <c r="E7" i="2"/>
  <c r="E8" i="2"/>
  <c r="E9" i="2"/>
  <c r="E10" i="2"/>
  <c r="E11" i="2"/>
  <c r="E12" i="2"/>
  <c r="E13" i="2"/>
  <c r="E2" i="2"/>
</calcChain>
</file>

<file path=xl/sharedStrings.xml><?xml version="1.0" encoding="utf-8"?>
<sst xmlns="http://schemas.openxmlformats.org/spreadsheetml/2006/main" count="220" uniqueCount="50">
  <si>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</si>
  <si>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</si>
  <si>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</si>
  <si>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</si>
  <si>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</si>
  <si>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</si>
  <si>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</si>
  <si>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</si>
  <si>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</si>
  <si>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</si>
  <si>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</si>
  <si>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</si>
  <si>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Matchell</t>
  </si>
  <si>
    <t>Lysic</t>
  </si>
  <si>
    <t>Carefirst</t>
  </si>
  <si>
    <t>CareFirst 2021-2026 Override Year 1 (ProRata: -12)</t>
  </si>
  <si>
    <t>CareFirst 2025 Replace Street (ProRata: -4)</t>
  </si>
  <si>
    <t>Jerry</t>
  </si>
  <si>
    <t>Lembach</t>
  </si>
  <si>
    <t>CareFirst 2025 Replace Street (ProRata: 3)</t>
  </si>
  <si>
    <t>CareFirst 2021-2026 Override Year 1</t>
  </si>
  <si>
    <t>Thomas Kucan</t>
  </si>
  <si>
    <t>Kelly</t>
  </si>
  <si>
    <t>Pentz</t>
  </si>
  <si>
    <t>Ronald Max</t>
  </si>
  <si>
    <t>Robert</t>
  </si>
  <si>
    <t>Mcdonnell</t>
  </si>
  <si>
    <t>Cathy Lemon</t>
  </si>
  <si>
    <t>Lisa</t>
  </si>
  <si>
    <t>Simonetti</t>
  </si>
  <si>
    <t>CareFirst10312025012</t>
  </si>
  <si>
    <t>Diane</t>
  </si>
  <si>
    <t>Nelson</t>
  </si>
  <si>
    <t>CareFirst 2025 Initial Street (ProRata: 10)</t>
  </si>
  <si>
    <t>Warren</t>
  </si>
  <si>
    <t>Frizzell</t>
  </si>
  <si>
    <t>CareFirst 2025 Initial Street</t>
  </si>
  <si>
    <t>CareFirst10312025013</t>
  </si>
  <si>
    <t>CareFirst</t>
  </si>
  <si>
    <t xml:space="preserve">CareFirst HRA Bonus Premium Period: </t>
  </si>
  <si>
    <t>CareFirstHRA10312025002</t>
  </si>
  <si>
    <t>CareFirst HRA Bonus</t>
  </si>
  <si>
    <t>Carefirst MAPD 2025*</t>
  </si>
  <si>
    <t>CareFirst Ovr</t>
  </si>
  <si>
    <t>Carefirst MAPD 2025</t>
  </si>
  <si>
    <t>[%/$=313][prorate=4/12]</t>
  </si>
  <si>
    <t>[%/$=313][prorate=3/12]</t>
  </si>
  <si>
    <t>[%/$=626][prorate=10/12]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</si>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</sst>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47F0-0296-43F3-A54F-3A3D63728497}">
  <dimension ref="A1:K17"/>
  <sheetViews>
    <sheetView tabSelected="1" workbookViewId="0">
      <selection activeCell="O20" sqref="O20"/>
    </sheetView>
  </sheetViews>
  <sheetFormatPr defaultColWidth="9.28515625" defaultRowHeight="15" x14ac:dyDescent="0.25"/>
  <cols>
    <col min="1" max="1" width="13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42578125" bestFit="1" customWidth="1"/>
    <col min="6" max="6" width="24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5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9079571</v>
      </c>
      <c r="D2" t="s">
        <v>12</v>
      </c>
      <c r="E2" t="s">
        <v>13</v>
      </c>
      <c r="F2">
        <v>930346862</v>
      </c>
      <c r="G2" s="1">
        <v>45901</v>
      </c>
      <c r="H2" s="1">
        <v>45961</v>
      </c>
      <c r="I2" t="s">
        <v>14</v>
      </c>
      <c r="J2" t="s">
        <v>15</v>
      </c>
      <c r="K2" s="2">
        <v>-150</v>
      </c>
    </row>
    <row r="3" spans="1:11" x14ac:dyDescent="0.25">
      <c r="A3" t="s">
        <v>11</v>
      </c>
      <c r="C3">
        <v>9079571</v>
      </c>
      <c r="D3" t="s">
        <v>12</v>
      </c>
      <c r="E3" t="s">
        <v>13</v>
      </c>
      <c r="F3">
        <v>930346862</v>
      </c>
      <c r="G3" s="1">
        <v>45901</v>
      </c>
      <c r="H3" s="1">
        <v>45961</v>
      </c>
      <c r="I3" t="s">
        <v>14</v>
      </c>
      <c r="J3" t="s">
        <v>16</v>
      </c>
      <c r="K3" s="2">
        <v>-104.33</v>
      </c>
    </row>
    <row r="4" spans="1:11" x14ac:dyDescent="0.25">
      <c r="A4" t="s">
        <v>11</v>
      </c>
      <c r="C4">
        <v>9079571</v>
      </c>
      <c r="D4" t="s">
        <v>17</v>
      </c>
      <c r="E4" t="s">
        <v>18</v>
      </c>
      <c r="F4">
        <v>903360813</v>
      </c>
      <c r="G4" s="1">
        <v>45931</v>
      </c>
      <c r="H4" s="1">
        <v>45961</v>
      </c>
      <c r="I4" t="s">
        <v>14</v>
      </c>
      <c r="J4" t="s">
        <v>19</v>
      </c>
      <c r="K4" s="2">
        <v>78.25</v>
      </c>
    </row>
    <row r="5" spans="1:11" x14ac:dyDescent="0.25">
      <c r="A5" t="s">
        <v>11</v>
      </c>
      <c r="C5">
        <v>9079571</v>
      </c>
      <c r="D5" t="s">
        <v>17</v>
      </c>
      <c r="E5" t="s">
        <v>18</v>
      </c>
      <c r="F5">
        <v>903360813</v>
      </c>
      <c r="G5" s="1">
        <v>45931</v>
      </c>
      <c r="H5" s="1">
        <v>45961</v>
      </c>
      <c r="I5" t="s">
        <v>14</v>
      </c>
      <c r="J5" t="s">
        <v>20</v>
      </c>
      <c r="K5" s="2">
        <v>150</v>
      </c>
    </row>
    <row r="6" spans="1:11" x14ac:dyDescent="0.25">
      <c r="A6" t="s">
        <v>21</v>
      </c>
      <c r="C6">
        <v>16202925</v>
      </c>
      <c r="D6" t="s">
        <v>22</v>
      </c>
      <c r="E6" t="s">
        <v>23</v>
      </c>
      <c r="F6">
        <v>930311492</v>
      </c>
      <c r="G6" s="1">
        <v>45931</v>
      </c>
      <c r="H6" s="1">
        <v>45961</v>
      </c>
      <c r="I6" t="s">
        <v>14</v>
      </c>
      <c r="J6" t="s">
        <v>20</v>
      </c>
      <c r="K6" s="2">
        <v>150</v>
      </c>
    </row>
    <row r="7" spans="1:11" x14ac:dyDescent="0.25">
      <c r="A7" t="s">
        <v>24</v>
      </c>
      <c r="C7">
        <v>5442438</v>
      </c>
      <c r="D7" t="s">
        <v>25</v>
      </c>
      <c r="E7" t="s">
        <v>26</v>
      </c>
      <c r="F7">
        <v>930394322</v>
      </c>
      <c r="G7" s="1">
        <v>45931</v>
      </c>
      <c r="H7" s="1">
        <v>45961</v>
      </c>
      <c r="I7" t="s">
        <v>14</v>
      </c>
      <c r="J7" t="s">
        <v>20</v>
      </c>
      <c r="K7" s="2">
        <v>150</v>
      </c>
    </row>
    <row r="8" spans="1:11" x14ac:dyDescent="0.25">
      <c r="A8" t="s">
        <v>27</v>
      </c>
      <c r="C8">
        <v>17195620</v>
      </c>
      <c r="D8" t="s">
        <v>28</v>
      </c>
      <c r="E8" t="s">
        <v>29</v>
      </c>
      <c r="F8" t="s">
        <v>30</v>
      </c>
      <c r="G8" s="1">
        <v>45931</v>
      </c>
      <c r="H8" s="1">
        <v>45961</v>
      </c>
      <c r="I8" t="s">
        <v>14</v>
      </c>
      <c r="J8" t="s">
        <v>20</v>
      </c>
      <c r="K8" s="2">
        <v>150</v>
      </c>
    </row>
    <row r="9" spans="1:11" x14ac:dyDescent="0.25">
      <c r="A9" t="s">
        <v>11</v>
      </c>
      <c r="C9">
        <v>9079571</v>
      </c>
      <c r="D9" t="s">
        <v>31</v>
      </c>
      <c r="E9" t="s">
        <v>32</v>
      </c>
      <c r="F9">
        <v>930327172</v>
      </c>
      <c r="G9" s="1">
        <v>45901</v>
      </c>
      <c r="H9" s="1">
        <v>45961</v>
      </c>
      <c r="I9" t="s">
        <v>14</v>
      </c>
      <c r="J9" t="s">
        <v>33</v>
      </c>
      <c r="K9" s="2">
        <v>521.66</v>
      </c>
    </row>
    <row r="10" spans="1:11" x14ac:dyDescent="0.25">
      <c r="A10" t="s">
        <v>21</v>
      </c>
      <c r="C10">
        <v>16202925</v>
      </c>
      <c r="D10" t="s">
        <v>34</v>
      </c>
      <c r="E10" t="s">
        <v>35</v>
      </c>
      <c r="F10">
        <v>900245527</v>
      </c>
      <c r="G10" s="1">
        <v>45901</v>
      </c>
      <c r="H10" s="1">
        <v>45961</v>
      </c>
      <c r="I10" t="s">
        <v>14</v>
      </c>
      <c r="J10" t="s">
        <v>33</v>
      </c>
      <c r="K10" s="2">
        <v>521.66</v>
      </c>
    </row>
    <row r="11" spans="1:11" x14ac:dyDescent="0.25">
      <c r="A11" t="s">
        <v>21</v>
      </c>
      <c r="C11">
        <v>16202925</v>
      </c>
      <c r="D11" t="s">
        <v>22</v>
      </c>
      <c r="E11" t="s">
        <v>23</v>
      </c>
      <c r="F11">
        <v>930311492</v>
      </c>
      <c r="G11" s="1">
        <v>45931</v>
      </c>
      <c r="H11" s="1">
        <v>45961</v>
      </c>
      <c r="I11" t="s">
        <v>14</v>
      </c>
      <c r="J11" t="s">
        <v>36</v>
      </c>
      <c r="K11" s="2">
        <v>626</v>
      </c>
    </row>
    <row r="12" spans="1:11" x14ac:dyDescent="0.25">
      <c r="A12" t="s">
        <v>24</v>
      </c>
      <c r="C12">
        <v>5442438</v>
      </c>
      <c r="D12" t="s">
        <v>25</v>
      </c>
      <c r="E12" t="s">
        <v>26</v>
      </c>
      <c r="F12">
        <v>930394322</v>
      </c>
      <c r="G12" s="1">
        <v>45931</v>
      </c>
      <c r="H12" s="1">
        <v>45961</v>
      </c>
      <c r="I12" t="s">
        <v>14</v>
      </c>
      <c r="J12" t="s">
        <v>36</v>
      </c>
      <c r="K12" s="2">
        <v>626</v>
      </c>
    </row>
    <row r="13" spans="1:11" x14ac:dyDescent="0.25">
      <c r="A13" t="s">
        <v>27</v>
      </c>
      <c r="C13">
        <v>17195620</v>
      </c>
      <c r="D13" t="s">
        <v>28</v>
      </c>
      <c r="E13" t="s">
        <v>29</v>
      </c>
      <c r="F13" t="s">
        <v>37</v>
      </c>
      <c r="G13" s="1">
        <v>45931</v>
      </c>
      <c r="H13" s="1">
        <v>45961</v>
      </c>
      <c r="I13" t="s">
        <v>14</v>
      </c>
      <c r="J13" t="s">
        <v>36</v>
      </c>
      <c r="K13" s="2">
        <v>626</v>
      </c>
    </row>
    <row r="14" spans="1:11" x14ac:dyDescent="0.25">
      <c r="A14" t="s">
        <v>11</v>
      </c>
      <c r="C14">
        <v>9079571</v>
      </c>
      <c r="D14" t="s">
        <v>17</v>
      </c>
      <c r="E14" t="s">
        <v>18</v>
      </c>
      <c r="F14">
        <v>903360813</v>
      </c>
      <c r="G14" s="1">
        <v>45931</v>
      </c>
      <c r="H14" s="1">
        <v>45961</v>
      </c>
      <c r="I14" t="s">
        <v>38</v>
      </c>
      <c r="J14" t="s">
        <v>39</v>
      </c>
      <c r="K14" s="2">
        <v>100</v>
      </c>
    </row>
    <row r="15" spans="1:11" x14ac:dyDescent="0.25">
      <c r="A15" t="s">
        <v>21</v>
      </c>
      <c r="C15">
        <v>16202925</v>
      </c>
      <c r="D15" t="s">
        <v>22</v>
      </c>
      <c r="E15" t="s">
        <v>23</v>
      </c>
      <c r="F15">
        <v>930311492</v>
      </c>
      <c r="G15" s="1">
        <v>45931</v>
      </c>
      <c r="H15" s="1">
        <v>45961</v>
      </c>
      <c r="I15" t="s">
        <v>38</v>
      </c>
      <c r="J15" t="s">
        <v>39</v>
      </c>
      <c r="K15" s="2">
        <v>100</v>
      </c>
    </row>
    <row r="16" spans="1:11" x14ac:dyDescent="0.25">
      <c r="A16" t="s">
        <v>24</v>
      </c>
      <c r="C16">
        <v>5442438</v>
      </c>
      <c r="D16" t="s">
        <v>25</v>
      </c>
      <c r="E16" t="s">
        <v>26</v>
      </c>
      <c r="F16">
        <v>930394322</v>
      </c>
      <c r="G16" s="1">
        <v>45931</v>
      </c>
      <c r="H16" s="1">
        <v>45961</v>
      </c>
      <c r="I16" t="s">
        <v>38</v>
      </c>
      <c r="J16" t="s">
        <v>39</v>
      </c>
      <c r="K16" s="2">
        <v>100</v>
      </c>
    </row>
    <row r="17" spans="1:11" x14ac:dyDescent="0.25">
      <c r="A17" t="s">
        <v>27</v>
      </c>
      <c r="C17">
        <v>17195620</v>
      </c>
      <c r="D17" t="s">
        <v>28</v>
      </c>
      <c r="E17" t="s">
        <v>29</v>
      </c>
      <c r="F17" t="s">
        <v>40</v>
      </c>
      <c r="G17" s="1">
        <v>45931</v>
      </c>
      <c r="H17" s="1">
        <v>45961</v>
      </c>
      <c r="I17" t="s">
        <v>38</v>
      </c>
      <c r="J17" t="s">
        <v>39</v>
      </c>
      <c r="K17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315E-F9FC-445A-9D05-12ECD85D3F28}">
  <dimension ref="A1:O13"/>
  <sheetViews>
    <sheetView workbookViewId="0">
      <selection activeCell="N2" sqref="N2:N13"/>
    </sheetView>
  </sheetViews>
  <sheetFormatPr defaultColWidth="9.28515625" defaultRowHeight="15" x14ac:dyDescent="0.25"/>
  <cols>
    <col min="1" max="1" width="13.7109375" bestFit="1" customWidth="1"/>
    <col min="2" max="2" width="10.7109375" bestFit="1" customWidth="1"/>
    <col min="3" max="3" width="10.5703125" bestFit="1" customWidth="1"/>
    <col min="4" max="4" width="10.42578125" bestFit="1" customWidth="1"/>
    <col min="5" max="5" width="13.42578125" bestFit="1" customWidth="1"/>
    <col min="6" max="6" width="24" bestFit="1" customWidth="1"/>
    <col min="7" max="7" width="24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5.5703125" bestFit="1" customWidth="1"/>
    <col min="12" max="12" width="15.7109375" bestFit="1" customWidth="1"/>
    <col min="13" max="13" width="20.140625" bestFit="1" customWidth="1"/>
    <col min="14" max="14" width="43.42578125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5" s="3" customFormat="1" x14ac:dyDescent="0.25">
      <c r="A2" s="3" t="s">
        <v>49</v>
      </c>
      <c r="B2" s="3">
        <v>20411454</v>
      </c>
      <c r="C2" s="3" t="s">
        <v>12</v>
      </c>
      <c r="D2" s="3" t="s">
        <v>13</v>
      </c>
      <c r="E2" s="3" t="str">
        <f>CONCATENATE(C2, " ",D2)</f>
        <v>Matchell Lysic</v>
      </c>
      <c r="F2" s="3">
        <v>930346862</v>
      </c>
      <c r="G2" s="3" t="str">
        <f>CONCATENATE(F2,"OVR")</f>
        <v>930346862OVR</v>
      </c>
      <c r="H2" s="4">
        <v>45901</v>
      </c>
      <c r="I2" s="4">
        <v>45961</v>
      </c>
      <c r="J2" s="3" t="s">
        <v>14</v>
      </c>
      <c r="K2" s="3" t="s">
        <v>15</v>
      </c>
      <c r="L2" s="5">
        <v>-150</v>
      </c>
      <c r="M2" s="3" t="s">
        <v>43</v>
      </c>
    </row>
    <row r="3" spans="1:15" x14ac:dyDescent="0.25">
      <c r="A3" t="s">
        <v>11</v>
      </c>
      <c r="B3">
        <v>9079571</v>
      </c>
      <c r="C3" t="s">
        <v>12</v>
      </c>
      <c r="D3" t="s">
        <v>13</v>
      </c>
      <c r="E3" t="str">
        <f>CONCATENATE(C3, " ",D3)</f>
        <v>Matchell Lysic</v>
      </c>
      <c r="F3">
        <v>930346862</v>
      </c>
      <c r="G3">
        <v>930346862</v>
      </c>
      <c r="H3" s="1">
        <v>45901</v>
      </c>
      <c r="I3" s="1">
        <v>45961</v>
      </c>
      <c r="J3" t="s">
        <v>14</v>
      </c>
      <c r="K3" t="s">
        <v>16</v>
      </c>
      <c r="L3" s="2">
        <v>-104.33</v>
      </c>
      <c r="M3" t="s">
        <v>42</v>
      </c>
      <c r="N3" t="s">
        <v>45</v>
      </c>
      <c r="O3">
        <f>313/12*4</f>
        <v>104.33333333333333</v>
      </c>
    </row>
    <row r="4" spans="1:15" x14ac:dyDescent="0.25">
      <c r="A4" t="s">
        <v>11</v>
      </c>
      <c r="B4">
        <v>9079571</v>
      </c>
      <c r="C4" t="s">
        <v>17</v>
      </c>
      <c r="D4" t="s">
        <v>18</v>
      </c>
      <c r="E4" t="str">
        <f>CONCATENATE(C4, " ",D4)</f>
        <v>Jerry Lembach</v>
      </c>
      <c r="F4">
        <v>903360813</v>
      </c>
      <c r="G4">
        <v>903360813</v>
      </c>
      <c r="H4" s="1">
        <v>45931</v>
      </c>
      <c r="I4" s="1">
        <v>45961</v>
      </c>
      <c r="J4" t="s">
        <v>14</v>
      </c>
      <c r="K4" t="s">
        <v>19</v>
      </c>
      <c r="L4" s="2">
        <v>78.25</v>
      </c>
      <c r="M4" t="s">
        <v>42</v>
      </c>
      <c r="N4" t="s">
        <v>46</v>
      </c>
      <c r="O4">
        <f>313/12*3</f>
        <v>78.25</v>
      </c>
    </row>
    <row r="5" spans="1:15" s="3" customFormat="1" x14ac:dyDescent="0.25">
      <c r="A5" s="3" t="s">
        <v>49</v>
      </c>
      <c r="B5" s="3">
        <v>20411454</v>
      </c>
      <c r="C5" s="3" t="s">
        <v>17</v>
      </c>
      <c r="D5" s="3" t="s">
        <v>18</v>
      </c>
      <c r="E5" s="3" t="str">
        <f>CONCATENATE(C5, " ",D5)</f>
        <v>Jerry Lembach</v>
      </c>
      <c r="F5" s="3">
        <v>903360813</v>
      </c>
      <c r="G5" s="3" t="str">
        <f t="shared" ref="G5:G8" si="0">CONCATENATE(F5,"OVR")</f>
        <v>903360813OVR</v>
      </c>
      <c r="H5" s="4">
        <v>45931</v>
      </c>
      <c r="I5" s="4">
        <v>45961</v>
      </c>
      <c r="J5" s="3" t="s">
        <v>14</v>
      </c>
      <c r="K5" s="3" t="s">
        <v>20</v>
      </c>
      <c r="L5" s="5">
        <v>150</v>
      </c>
      <c r="M5" s="3" t="s">
        <v>43</v>
      </c>
    </row>
    <row r="6" spans="1:15" s="3" customFormat="1" x14ac:dyDescent="0.25">
      <c r="A6" s="3" t="s">
        <v>49</v>
      </c>
      <c r="B6" s="3">
        <v>20411454</v>
      </c>
      <c r="C6" s="3" t="s">
        <v>22</v>
      </c>
      <c r="D6" s="3" t="s">
        <v>23</v>
      </c>
      <c r="E6" s="3" t="str">
        <f>CONCATENATE(C6, " ",D6)</f>
        <v>Kelly Pentz</v>
      </c>
      <c r="F6" s="3">
        <v>930311492</v>
      </c>
      <c r="G6" s="3" t="str">
        <f t="shared" si="0"/>
        <v>930311492OVR</v>
      </c>
      <c r="H6" s="4">
        <v>45931</v>
      </c>
      <c r="I6" s="4">
        <v>45961</v>
      </c>
      <c r="J6" s="3" t="s">
        <v>14</v>
      </c>
      <c r="K6" s="3" t="s">
        <v>20</v>
      </c>
      <c r="L6" s="5">
        <v>150</v>
      </c>
      <c r="M6" s="3" t="s">
        <v>43</v>
      </c>
    </row>
    <row r="7" spans="1:15" s="3" customFormat="1" x14ac:dyDescent="0.25">
      <c r="A7" s="3" t="s">
        <v>49</v>
      </c>
      <c r="B7" s="3">
        <v>20411454</v>
      </c>
      <c r="C7" s="3" t="s">
        <v>25</v>
      </c>
      <c r="D7" s="3" t="s">
        <v>26</v>
      </c>
      <c r="E7" s="3" t="str">
        <f>CONCATENATE(C7, " ",D7)</f>
        <v>Robert Mcdonnell</v>
      </c>
      <c r="F7" s="3">
        <v>930394322</v>
      </c>
      <c r="G7" s="3" t="str">
        <f t="shared" si="0"/>
        <v>930394322OVR</v>
      </c>
      <c r="H7" s="4">
        <v>45931</v>
      </c>
      <c r="I7" s="4">
        <v>45961</v>
      </c>
      <c r="J7" s="3" t="s">
        <v>14</v>
      </c>
      <c r="K7" s="3" t="s">
        <v>20</v>
      </c>
      <c r="L7" s="5">
        <v>150</v>
      </c>
      <c r="M7" s="3" t="s">
        <v>43</v>
      </c>
    </row>
    <row r="8" spans="1:15" s="3" customFormat="1" x14ac:dyDescent="0.25">
      <c r="A8" s="3" t="s">
        <v>49</v>
      </c>
      <c r="B8" s="3">
        <v>20411454</v>
      </c>
      <c r="C8" s="3" t="s">
        <v>28</v>
      </c>
      <c r="D8" s="3" t="s">
        <v>29</v>
      </c>
      <c r="E8" s="3" t="str">
        <f>CONCATENATE(C8, " ",D8)</f>
        <v>Lisa Simonetti</v>
      </c>
      <c r="F8" s="3" t="s">
        <v>30</v>
      </c>
      <c r="G8" s="3" t="str">
        <f t="shared" si="0"/>
        <v>CareFirst10312025012OVR</v>
      </c>
      <c r="H8" s="4">
        <v>45931</v>
      </c>
      <c r="I8" s="4">
        <v>45961</v>
      </c>
      <c r="J8" s="3" t="s">
        <v>14</v>
      </c>
      <c r="K8" s="3" t="s">
        <v>20</v>
      </c>
      <c r="L8" s="5">
        <v>150</v>
      </c>
      <c r="M8" s="3" t="s">
        <v>43</v>
      </c>
    </row>
    <row r="9" spans="1:15" s="6" customFormat="1" x14ac:dyDescent="0.25">
      <c r="A9" s="6" t="s">
        <v>11</v>
      </c>
      <c r="B9" s="6">
        <v>9079571</v>
      </c>
      <c r="C9" s="6" t="s">
        <v>31</v>
      </c>
      <c r="D9" s="6" t="s">
        <v>32</v>
      </c>
      <c r="E9" s="6" t="str">
        <f>CONCATENATE(C9, " ",D9)</f>
        <v>Diane Nelson</v>
      </c>
      <c r="F9" s="6">
        <v>930327172</v>
      </c>
      <c r="G9" s="6" t="str">
        <f>CONCATENATE(F9,8)</f>
        <v>9303271728</v>
      </c>
      <c r="H9" s="7">
        <v>45901</v>
      </c>
      <c r="I9" s="7">
        <v>45961</v>
      </c>
      <c r="J9" s="6" t="s">
        <v>14</v>
      </c>
      <c r="K9" s="6" t="s">
        <v>33</v>
      </c>
      <c r="L9" s="8">
        <v>521.66</v>
      </c>
      <c r="M9" s="6" t="s">
        <v>44</v>
      </c>
      <c r="N9" s="6" t="s">
        <v>47</v>
      </c>
      <c r="O9" s="6">
        <f>626/12*10</f>
        <v>521.66666666666663</v>
      </c>
    </row>
    <row r="10" spans="1:15" s="6" customFormat="1" x14ac:dyDescent="0.25">
      <c r="A10" s="6" t="s">
        <v>21</v>
      </c>
      <c r="B10" s="6">
        <v>16202925</v>
      </c>
      <c r="C10" s="6" t="s">
        <v>34</v>
      </c>
      <c r="D10" s="6" t="s">
        <v>35</v>
      </c>
      <c r="E10" s="6" t="str">
        <f>CONCATENATE(C10, " ",D10)</f>
        <v>Warren Frizzell</v>
      </c>
      <c r="F10" s="6">
        <v>900245527</v>
      </c>
      <c r="G10" s="6" t="str">
        <f t="shared" ref="G10:G13" si="1">CONCATENATE(F10,8)</f>
        <v>9002455278</v>
      </c>
      <c r="H10" s="7">
        <v>45901</v>
      </c>
      <c r="I10" s="7">
        <v>45961</v>
      </c>
      <c r="J10" s="6" t="s">
        <v>14</v>
      </c>
      <c r="K10" s="6" t="s">
        <v>33</v>
      </c>
      <c r="L10" s="8">
        <v>521.66</v>
      </c>
      <c r="M10" s="6" t="s">
        <v>44</v>
      </c>
      <c r="N10" s="6" t="s">
        <v>47</v>
      </c>
    </row>
    <row r="11" spans="1:15" s="6" customFormat="1" x14ac:dyDescent="0.25">
      <c r="A11" s="6" t="s">
        <v>21</v>
      </c>
      <c r="B11" s="6">
        <v>16202925</v>
      </c>
      <c r="C11" s="6" t="s">
        <v>22</v>
      </c>
      <c r="D11" s="6" t="s">
        <v>23</v>
      </c>
      <c r="E11" s="6" t="str">
        <f>CONCATENATE(C11, " ",D11)</f>
        <v>Kelly Pentz</v>
      </c>
      <c r="F11" s="6">
        <v>930311492</v>
      </c>
      <c r="G11" s="6" t="str">
        <f t="shared" si="1"/>
        <v>9303114928</v>
      </c>
      <c r="H11" s="7">
        <v>45931</v>
      </c>
      <c r="I11" s="7">
        <v>45961</v>
      </c>
      <c r="J11" s="6" t="s">
        <v>14</v>
      </c>
      <c r="K11" s="6" t="s">
        <v>36</v>
      </c>
      <c r="L11" s="8">
        <v>626</v>
      </c>
      <c r="M11" s="6" t="s">
        <v>44</v>
      </c>
      <c r="N11" s="6" t="s">
        <v>48</v>
      </c>
    </row>
    <row r="12" spans="1:15" s="6" customFormat="1" x14ac:dyDescent="0.25">
      <c r="A12" s="6" t="s">
        <v>24</v>
      </c>
      <c r="B12" s="6">
        <v>5442438</v>
      </c>
      <c r="C12" s="6" t="s">
        <v>25</v>
      </c>
      <c r="D12" s="6" t="s">
        <v>26</v>
      </c>
      <c r="E12" s="6" t="str">
        <f>CONCATENATE(C12, " ",D12)</f>
        <v>Robert Mcdonnell</v>
      </c>
      <c r="F12" s="6">
        <v>930394322</v>
      </c>
      <c r="G12" s="6" t="str">
        <f t="shared" si="1"/>
        <v>9303943228</v>
      </c>
      <c r="H12" s="7">
        <v>45931</v>
      </c>
      <c r="I12" s="7">
        <v>45961</v>
      </c>
      <c r="J12" s="6" t="s">
        <v>14</v>
      </c>
      <c r="K12" s="6" t="s">
        <v>36</v>
      </c>
      <c r="L12" s="8">
        <v>626</v>
      </c>
      <c r="M12" s="6" t="s">
        <v>44</v>
      </c>
      <c r="N12" s="6" t="s">
        <v>48</v>
      </c>
    </row>
    <row r="13" spans="1:15" s="6" customFormat="1" x14ac:dyDescent="0.25">
      <c r="A13" s="6" t="s">
        <v>27</v>
      </c>
      <c r="B13" s="6">
        <v>17195620</v>
      </c>
      <c r="C13" s="6" t="s">
        <v>28</v>
      </c>
      <c r="D13" s="6" t="s">
        <v>29</v>
      </c>
      <c r="E13" s="6" t="str">
        <f>CONCATENATE(C13, " ",D13)</f>
        <v>Lisa Simonetti</v>
      </c>
      <c r="F13" s="6" t="s">
        <v>37</v>
      </c>
      <c r="G13" s="6" t="str">
        <f t="shared" si="1"/>
        <v>CareFirst103120250138</v>
      </c>
      <c r="H13" s="7">
        <v>45931</v>
      </c>
      <c r="I13" s="7">
        <v>45961</v>
      </c>
      <c r="J13" s="6" t="s">
        <v>14</v>
      </c>
      <c r="K13" s="6" t="s">
        <v>36</v>
      </c>
      <c r="L13" s="8">
        <v>626</v>
      </c>
      <c r="M13" s="6" t="s">
        <v>44</v>
      </c>
      <c r="N13" s="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8290-5AAD-4BC5-862B-99EAA71DC8F4}">
  <dimension ref="A1:M5"/>
  <sheetViews>
    <sheetView workbookViewId="0">
      <selection activeCell="E12" sqref="E12"/>
    </sheetView>
  </sheetViews>
  <sheetFormatPr defaultRowHeight="15" x14ac:dyDescent="0.25"/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 t="s">
        <v>11</v>
      </c>
      <c r="B2">
        <v>9079571</v>
      </c>
      <c r="C2" t="s">
        <v>17</v>
      </c>
      <c r="D2" t="s">
        <v>18</v>
      </c>
      <c r="E2" t="str">
        <f>CONCATENATE(C2, " ",D2)</f>
        <v>Jerry Lembach</v>
      </c>
      <c r="F2">
        <v>903360813</v>
      </c>
      <c r="G2" s="1">
        <v>45931</v>
      </c>
      <c r="H2" s="1">
        <v>45961</v>
      </c>
      <c r="I2" t="s">
        <v>38</v>
      </c>
      <c r="J2" t="s">
        <v>39</v>
      </c>
      <c r="K2" s="2">
        <v>100</v>
      </c>
      <c r="L2" t="s">
        <v>41</v>
      </c>
      <c r="M2" t="str">
        <f>CONCATENATE(L2, " ", "-",E2,"-",F2)</f>
        <v>CareFirst HRA Bonus -Jerry Lembach-903360813</v>
      </c>
    </row>
    <row r="3" spans="1:13" x14ac:dyDescent="0.25">
      <c r="A3" t="s">
        <v>21</v>
      </c>
      <c r="B3">
        <v>16202925</v>
      </c>
      <c r="C3" t="s">
        <v>22</v>
      </c>
      <c r="D3" t="s">
        <v>23</v>
      </c>
      <c r="E3" t="str">
        <f>CONCATENATE(C3, " ",D3)</f>
        <v>Kelly Pentz</v>
      </c>
      <c r="F3">
        <v>930311492</v>
      </c>
      <c r="G3" s="1">
        <v>45931</v>
      </c>
      <c r="H3" s="1">
        <v>45961</v>
      </c>
      <c r="I3" t="s">
        <v>38</v>
      </c>
      <c r="J3" t="s">
        <v>39</v>
      </c>
      <c r="K3" s="2">
        <v>100</v>
      </c>
      <c r="L3" t="s">
        <v>41</v>
      </c>
      <c r="M3" t="str">
        <f>CONCATENATE(L3, " ", "-",E3,"-",F3)</f>
        <v>CareFirst HRA Bonus -Kelly Pentz-930311492</v>
      </c>
    </row>
    <row r="4" spans="1:13" x14ac:dyDescent="0.25">
      <c r="A4" t="s">
        <v>24</v>
      </c>
      <c r="B4">
        <v>5442438</v>
      </c>
      <c r="C4" t="s">
        <v>25</v>
      </c>
      <c r="D4" t="s">
        <v>26</v>
      </c>
      <c r="E4" t="str">
        <f>CONCATENATE(C4, " ",D4)</f>
        <v>Robert Mcdonnell</v>
      </c>
      <c r="F4">
        <v>930394322</v>
      </c>
      <c r="G4" s="1">
        <v>45931</v>
      </c>
      <c r="H4" s="1">
        <v>45961</v>
      </c>
      <c r="I4" t="s">
        <v>38</v>
      </c>
      <c r="J4" t="s">
        <v>39</v>
      </c>
      <c r="K4" s="2">
        <v>100</v>
      </c>
      <c r="L4" t="s">
        <v>41</v>
      </c>
      <c r="M4" t="str">
        <f>CONCATENATE(L4, " ", "-",E4,"-",F4)</f>
        <v>CareFirst HRA Bonus -Robert Mcdonnell-930394322</v>
      </c>
    </row>
    <row r="5" spans="1:13" x14ac:dyDescent="0.25">
      <c r="A5" t="s">
        <v>27</v>
      </c>
      <c r="B5">
        <v>17195620</v>
      </c>
      <c r="C5" t="s">
        <v>28</v>
      </c>
      <c r="D5" t="s">
        <v>29</v>
      </c>
      <c r="E5" t="str">
        <f>CONCATENATE(C5, " ",D5)</f>
        <v>Lisa Simonetti</v>
      </c>
      <c r="F5" t="s">
        <v>40</v>
      </c>
      <c r="G5" s="1">
        <v>45931</v>
      </c>
      <c r="H5" s="1">
        <v>45961</v>
      </c>
      <c r="I5" t="s">
        <v>38</v>
      </c>
      <c r="J5" t="s">
        <v>39</v>
      </c>
      <c r="K5" s="2">
        <v>100</v>
      </c>
      <c r="L5" t="s">
        <v>41</v>
      </c>
      <c r="M5" t="str">
        <f>CONCATENATE(L5, " ", "-",E5,"-",F5)</f>
        <v>CareFirst HRA Bonus -Lisa Simonetti-CareFirstHRA10312025002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2025-10-31T15:05:15Z</dcterms:created>
  <dcterms:modified xsi:type="dcterms:W3CDTF">2025-11-03T19:54:49Z</dcterms:modified>
</cp:coreProperties>
</file>