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Ritter\Carefirst MAPD 12-05-25 Ritter\"/>
    </mc:Choice>
  </mc:AlternateContent>
  <xr:revisionPtr revIDLastSave="0" documentId="13_ncr:1_{4D56A2F0-6042-4640-B22F-46971E4F1E91}" xr6:coauthVersionLast="47" xr6:coauthVersionMax="47" xr10:uidLastSave="{00000000-0000-0000-0000-000000000000}"/>
  <bookViews>
    <workbookView xWindow="28680" yWindow="-120" windowWidth="29040" windowHeight="16440" activeTab="1" xr2:uid="{DC433207-8670-4C9C-B96D-457581B0EE3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G20" i="2"/>
  <c r="G19" i="2"/>
  <c r="G18" i="2"/>
  <c r="G17" i="2"/>
  <c r="G16" i="2"/>
  <c r="G15" i="2"/>
  <c r="G14" i="2"/>
  <c r="G13" i="2"/>
  <c r="G12" i="2"/>
  <c r="G6" i="2"/>
  <c r="G5" i="2"/>
  <c r="G4" i="2"/>
  <c r="G3" i="2"/>
  <c r="G2" i="2"/>
  <c r="E21" i="2"/>
  <c r="E20" i="2"/>
  <c r="E19" i="2"/>
  <c r="E13" i="2"/>
  <c r="E14" i="2"/>
  <c r="E15" i="2"/>
  <c r="E16" i="2"/>
  <c r="E17" i="2"/>
  <c r="E18" i="2"/>
  <c r="E7" i="2"/>
  <c r="E2" i="2"/>
  <c r="E3" i="2"/>
  <c r="E4" i="2"/>
  <c r="E5" i="2"/>
  <c r="E6" i="2"/>
  <c r="E8" i="2"/>
  <c r="E9" i="2"/>
  <c r="E10" i="2"/>
  <c r="E11" i="2"/>
  <c r="E12" i="2"/>
</calcChain>
</file>

<file path=xl/sharedStrings.xml><?xml version="1.0" encoding="utf-8"?>
<sst xmlns="http://schemas.openxmlformats.org/spreadsheetml/2006/main" count="255" uniqueCount="62">
  <si>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</si>
  <si>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</si>
  <si>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</si>
  <si>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</si>
  <si>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</si>
  <si>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</si>
  <si>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</si>
  <si>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</si>
  <si>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</si>
  <si>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</si>
  <si>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</si>
  <si>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</si>
  <si>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Williams</t>
  </si>
  <si>
    <t>Roger</t>
  </si>
  <si>
    <t>Carefirst</t>
  </si>
  <si>
    <t>CareFirst 2025 Initial Street (ProRata: -12)</t>
  </si>
  <si>
    <t>Elaise</t>
  </si>
  <si>
    <t>Mister</t>
  </si>
  <si>
    <t>CareFirst 2025 Initial Full (ProRata: -4)</t>
  </si>
  <si>
    <t>Charmon</t>
  </si>
  <si>
    <t>Goldsmith</t>
  </si>
  <si>
    <t>CareFirst 2025 Initial Full (ProRata: -3)</t>
  </si>
  <si>
    <t>CareFirst 2021-2026 Override Year 1 (ProRata: -12)</t>
  </si>
  <si>
    <t>Adam Richter</t>
  </si>
  <si>
    <t>Deborah</t>
  </si>
  <si>
    <t>Griffith</t>
  </si>
  <si>
    <t>CareFirst 2025 Initial Street (ProRata: -2)</t>
  </si>
  <si>
    <t>Ronald Max</t>
  </si>
  <si>
    <t>Kathleen</t>
  </si>
  <si>
    <t>Leeds</t>
  </si>
  <si>
    <t>CareFirst 2025 Replace Street (ProRata: -3)</t>
  </si>
  <si>
    <t>CareFirst 2021-2026 Override Year 1 (ProRata: -3)</t>
  </si>
  <si>
    <t>CareFirst 2021-2026 Override Year 1 (ProRata: -2)</t>
  </si>
  <si>
    <t>Anna</t>
  </si>
  <si>
    <t>Biebl</t>
  </si>
  <si>
    <t>CareFirst 2025 Replace Street (ProRata: 2)</t>
  </si>
  <si>
    <t>Ethel</t>
  </si>
  <si>
    <t>Moore</t>
  </si>
  <si>
    <t>CareFirst 2021-2026 Override Year 1</t>
  </si>
  <si>
    <t>Vimala</t>
  </si>
  <si>
    <t>Tabron</t>
  </si>
  <si>
    <t>Carolyn Wilson Smith</t>
  </si>
  <si>
    <t>Sheila</t>
  </si>
  <si>
    <t>Kearson</t>
  </si>
  <si>
    <t>Michael</t>
  </si>
  <si>
    <t>Pyatt</t>
  </si>
  <si>
    <t>CareFirst11302025003</t>
  </si>
  <si>
    <t>CareFirst 2025 3/1 Pro-Rated Full</t>
  </si>
  <si>
    <t>CareFirst 2025 Initial Street</t>
  </si>
  <si>
    <t>CareFirst</t>
  </si>
  <si>
    <t xml:space="preserve">CareFirst HRA Bonus Premium Period: </t>
  </si>
  <si>
    <t>CareFirst Ovr</t>
  </si>
  <si>
    <t>Carefirst MAPD 2025</t>
  </si>
  <si>
    <t>Carefirst MAPD 2025*</t>
  </si>
  <si>
    <t>[%/$=626][prorate=3/12]</t>
  </si>
  <si>
    <t>[%/$=626][prorate=4/12]</t>
  </si>
  <si>
    <t>[%/$=313][prorate=10/12]</t>
  </si>
  <si>
    <t>[%/$=626]</t>
  </si>
  <si>
    <t>[%/$=313][prorate=4/12]</t>
  </si>
  <si>
    <t>[%/$=313][prorate=2/12]</t>
  </si>
  <si>
    <t>[%/$=313][prorate=3/12]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</si>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</sst>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41D3-FE8C-4D41-9A3A-642FC9C305B9}">
  <dimension ref="A1:K21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20.140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5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16202925</v>
      </c>
      <c r="D2" t="s">
        <v>12</v>
      </c>
      <c r="E2" t="s">
        <v>13</v>
      </c>
      <c r="F2">
        <v>929914682</v>
      </c>
      <c r="G2" s="1">
        <v>45839</v>
      </c>
      <c r="H2" s="1">
        <v>45996</v>
      </c>
      <c r="I2" t="s">
        <v>14</v>
      </c>
      <c r="J2" t="s">
        <v>15</v>
      </c>
      <c r="K2" s="2">
        <v>-626</v>
      </c>
    </row>
    <row r="3" spans="1:11" x14ac:dyDescent="0.25">
      <c r="A3" t="s">
        <v>11</v>
      </c>
      <c r="C3">
        <v>16202925</v>
      </c>
      <c r="D3" t="s">
        <v>16</v>
      </c>
      <c r="E3" t="s">
        <v>17</v>
      </c>
      <c r="F3">
        <v>961454301</v>
      </c>
      <c r="G3" s="1">
        <v>45689</v>
      </c>
      <c r="H3" s="1">
        <v>45996</v>
      </c>
      <c r="I3" t="s">
        <v>14</v>
      </c>
      <c r="J3" t="s">
        <v>18</v>
      </c>
      <c r="K3" s="2">
        <v>-242</v>
      </c>
    </row>
    <row r="4" spans="1:11" x14ac:dyDescent="0.25">
      <c r="A4" t="s">
        <v>11</v>
      </c>
      <c r="C4">
        <v>16202925</v>
      </c>
      <c r="D4" t="s">
        <v>19</v>
      </c>
      <c r="E4" t="s">
        <v>20</v>
      </c>
      <c r="F4">
        <v>928103752</v>
      </c>
      <c r="G4" s="1">
        <v>45689</v>
      </c>
      <c r="H4" s="1">
        <v>45996</v>
      </c>
      <c r="I4" t="s">
        <v>14</v>
      </c>
      <c r="J4" t="s">
        <v>21</v>
      </c>
      <c r="K4" s="2">
        <v>-181.5</v>
      </c>
    </row>
    <row r="5" spans="1:11" x14ac:dyDescent="0.25">
      <c r="A5" t="s">
        <v>11</v>
      </c>
      <c r="C5">
        <v>16202925</v>
      </c>
      <c r="D5" t="s">
        <v>12</v>
      </c>
      <c r="E5" t="s">
        <v>13</v>
      </c>
      <c r="F5">
        <v>929914682</v>
      </c>
      <c r="G5" s="1">
        <v>45839</v>
      </c>
      <c r="H5" s="1">
        <v>45996</v>
      </c>
      <c r="I5" t="s">
        <v>14</v>
      </c>
      <c r="J5" t="s">
        <v>22</v>
      </c>
      <c r="K5" s="2">
        <v>-100</v>
      </c>
    </row>
    <row r="6" spans="1:11" x14ac:dyDescent="0.25">
      <c r="A6" t="s">
        <v>23</v>
      </c>
      <c r="B6">
        <v>9079571</v>
      </c>
      <c r="C6">
        <v>9079571</v>
      </c>
      <c r="D6" t="s">
        <v>24</v>
      </c>
      <c r="E6" t="s">
        <v>25</v>
      </c>
      <c r="F6">
        <v>903376101</v>
      </c>
      <c r="G6" s="1">
        <v>45689</v>
      </c>
      <c r="H6" s="1">
        <v>45996</v>
      </c>
      <c r="I6" t="s">
        <v>14</v>
      </c>
      <c r="J6" t="s">
        <v>26</v>
      </c>
      <c r="K6" s="2">
        <v>-104.33</v>
      </c>
    </row>
    <row r="7" spans="1:11" x14ac:dyDescent="0.25">
      <c r="A7" t="s">
        <v>27</v>
      </c>
      <c r="C7">
        <v>5442438</v>
      </c>
      <c r="D7" t="s">
        <v>28</v>
      </c>
      <c r="E7" t="s">
        <v>29</v>
      </c>
      <c r="F7">
        <v>928217732</v>
      </c>
      <c r="G7" s="1">
        <v>45658</v>
      </c>
      <c r="H7" s="1">
        <v>45996</v>
      </c>
      <c r="I7" t="s">
        <v>14</v>
      </c>
      <c r="J7" t="s">
        <v>30</v>
      </c>
      <c r="K7" s="2">
        <v>-78.25</v>
      </c>
    </row>
    <row r="8" spans="1:11" x14ac:dyDescent="0.25">
      <c r="A8" t="s">
        <v>27</v>
      </c>
      <c r="C8">
        <v>5442438</v>
      </c>
      <c r="D8" t="s">
        <v>28</v>
      </c>
      <c r="E8" t="s">
        <v>29</v>
      </c>
      <c r="F8">
        <v>928217732</v>
      </c>
      <c r="G8" s="1">
        <v>45658</v>
      </c>
      <c r="H8" s="1">
        <v>45996</v>
      </c>
      <c r="I8" t="s">
        <v>14</v>
      </c>
      <c r="J8" t="s">
        <v>31</v>
      </c>
      <c r="K8" s="2">
        <v>-25</v>
      </c>
    </row>
    <row r="9" spans="1:11" x14ac:dyDescent="0.25">
      <c r="A9" t="s">
        <v>23</v>
      </c>
      <c r="B9">
        <v>9079571</v>
      </c>
      <c r="C9">
        <v>9079571</v>
      </c>
      <c r="D9" t="s">
        <v>24</v>
      </c>
      <c r="E9" t="s">
        <v>25</v>
      </c>
      <c r="F9">
        <v>903376101</v>
      </c>
      <c r="G9" s="1">
        <v>45689</v>
      </c>
      <c r="H9" s="1">
        <v>45996</v>
      </c>
      <c r="I9" t="s">
        <v>14</v>
      </c>
      <c r="J9" t="s">
        <v>32</v>
      </c>
      <c r="K9" s="2">
        <v>-16.66</v>
      </c>
    </row>
    <row r="10" spans="1:11" x14ac:dyDescent="0.25">
      <c r="A10" t="s">
        <v>11</v>
      </c>
      <c r="C10">
        <v>16202925</v>
      </c>
      <c r="D10" t="s">
        <v>33</v>
      </c>
      <c r="E10" t="s">
        <v>34</v>
      </c>
      <c r="F10">
        <v>900506611</v>
      </c>
      <c r="G10" s="1">
        <v>45962</v>
      </c>
      <c r="H10" s="1">
        <v>45996</v>
      </c>
      <c r="I10" t="s">
        <v>14</v>
      </c>
      <c r="J10" t="s">
        <v>35</v>
      </c>
      <c r="K10" s="2">
        <v>52.16</v>
      </c>
    </row>
    <row r="11" spans="1:11" x14ac:dyDescent="0.25">
      <c r="A11" t="s">
        <v>23</v>
      </c>
      <c r="C11">
        <v>9079571</v>
      </c>
      <c r="D11" t="s">
        <v>36</v>
      </c>
      <c r="E11" t="s">
        <v>37</v>
      </c>
      <c r="F11">
        <v>930718892</v>
      </c>
      <c r="G11" s="1">
        <v>45962</v>
      </c>
      <c r="H11" s="1">
        <v>45996</v>
      </c>
      <c r="I11" t="s">
        <v>14</v>
      </c>
      <c r="J11" t="s">
        <v>35</v>
      </c>
      <c r="K11" s="2">
        <v>52.16</v>
      </c>
    </row>
    <row r="12" spans="1:11" x14ac:dyDescent="0.25">
      <c r="A12" t="s">
        <v>11</v>
      </c>
      <c r="C12">
        <v>16202925</v>
      </c>
      <c r="D12" t="s">
        <v>33</v>
      </c>
      <c r="E12" t="s">
        <v>34</v>
      </c>
      <c r="F12">
        <v>900506611</v>
      </c>
      <c r="G12" s="1">
        <v>45962</v>
      </c>
      <c r="H12" s="1">
        <v>45996</v>
      </c>
      <c r="I12" t="s">
        <v>14</v>
      </c>
      <c r="J12" t="s">
        <v>38</v>
      </c>
      <c r="K12" s="2">
        <v>150</v>
      </c>
    </row>
    <row r="13" spans="1:11" x14ac:dyDescent="0.25">
      <c r="A13" t="s">
        <v>11</v>
      </c>
      <c r="C13">
        <v>16202925</v>
      </c>
      <c r="D13" t="s">
        <v>39</v>
      </c>
      <c r="E13" t="s">
        <v>40</v>
      </c>
      <c r="F13">
        <v>930673092</v>
      </c>
      <c r="G13" s="1">
        <v>45962</v>
      </c>
      <c r="H13" s="1">
        <v>45996</v>
      </c>
      <c r="I13" t="s">
        <v>14</v>
      </c>
      <c r="J13" t="s">
        <v>38</v>
      </c>
      <c r="K13" s="2">
        <v>150</v>
      </c>
    </row>
    <row r="14" spans="1:11" x14ac:dyDescent="0.25">
      <c r="A14" t="s">
        <v>41</v>
      </c>
      <c r="C14">
        <v>7387433</v>
      </c>
      <c r="D14" t="s">
        <v>42</v>
      </c>
      <c r="E14" t="s">
        <v>43</v>
      </c>
      <c r="F14">
        <v>930682592</v>
      </c>
      <c r="G14" s="1">
        <v>45962</v>
      </c>
      <c r="H14" s="1">
        <v>45996</v>
      </c>
      <c r="I14" t="s">
        <v>14</v>
      </c>
      <c r="J14" t="s">
        <v>38</v>
      </c>
      <c r="K14" s="2">
        <v>150</v>
      </c>
    </row>
    <row r="15" spans="1:11" x14ac:dyDescent="0.25">
      <c r="A15" t="s">
        <v>23</v>
      </c>
      <c r="C15">
        <v>9079571</v>
      </c>
      <c r="D15" t="s">
        <v>36</v>
      </c>
      <c r="E15" t="s">
        <v>37</v>
      </c>
      <c r="F15">
        <v>930718892</v>
      </c>
      <c r="G15" s="1">
        <v>45962</v>
      </c>
      <c r="H15" s="1">
        <v>45996</v>
      </c>
      <c r="I15" t="s">
        <v>14</v>
      </c>
      <c r="J15" t="s">
        <v>38</v>
      </c>
      <c r="K15" s="2">
        <v>150</v>
      </c>
    </row>
    <row r="16" spans="1:11" x14ac:dyDescent="0.25">
      <c r="A16" t="s">
        <v>11</v>
      </c>
      <c r="C16">
        <v>16202925</v>
      </c>
      <c r="D16" t="s">
        <v>44</v>
      </c>
      <c r="E16" t="s">
        <v>45</v>
      </c>
      <c r="F16" t="s">
        <v>46</v>
      </c>
      <c r="G16" s="1">
        <v>45717</v>
      </c>
      <c r="H16" s="1">
        <v>45996</v>
      </c>
      <c r="I16" t="s">
        <v>14</v>
      </c>
      <c r="J16" t="s">
        <v>47</v>
      </c>
      <c r="K16" s="2">
        <v>360.83</v>
      </c>
    </row>
    <row r="17" spans="1:11" x14ac:dyDescent="0.25">
      <c r="A17" t="s">
        <v>11</v>
      </c>
      <c r="C17">
        <v>16202925</v>
      </c>
      <c r="D17" t="s">
        <v>39</v>
      </c>
      <c r="E17" t="s">
        <v>40</v>
      </c>
      <c r="F17">
        <v>930673092</v>
      </c>
      <c r="G17" s="1">
        <v>45962</v>
      </c>
      <c r="H17" s="1">
        <v>45996</v>
      </c>
      <c r="I17" t="s">
        <v>14</v>
      </c>
      <c r="J17" t="s">
        <v>48</v>
      </c>
      <c r="K17" s="2">
        <v>626</v>
      </c>
    </row>
    <row r="18" spans="1:11" x14ac:dyDescent="0.25">
      <c r="A18" t="s">
        <v>41</v>
      </c>
      <c r="C18">
        <v>7387433</v>
      </c>
      <c r="D18" t="s">
        <v>42</v>
      </c>
      <c r="E18" t="s">
        <v>43</v>
      </c>
      <c r="F18">
        <v>930682592</v>
      </c>
      <c r="G18" s="1">
        <v>45962</v>
      </c>
      <c r="H18" s="1">
        <v>45996</v>
      </c>
      <c r="I18" t="s">
        <v>14</v>
      </c>
      <c r="J18" t="s">
        <v>48</v>
      </c>
      <c r="K18" s="2">
        <v>626</v>
      </c>
    </row>
    <row r="19" spans="1:11" x14ac:dyDescent="0.25">
      <c r="A19" t="s">
        <v>11</v>
      </c>
      <c r="C19">
        <v>16202925</v>
      </c>
      <c r="D19" t="s">
        <v>33</v>
      </c>
      <c r="E19" t="s">
        <v>34</v>
      </c>
      <c r="F19">
        <v>900506611</v>
      </c>
      <c r="G19" s="1">
        <v>45962</v>
      </c>
      <c r="H19" s="1">
        <v>45996</v>
      </c>
      <c r="I19" t="s">
        <v>49</v>
      </c>
      <c r="J19" t="s">
        <v>50</v>
      </c>
      <c r="K19" s="2">
        <v>100</v>
      </c>
    </row>
    <row r="20" spans="1:11" x14ac:dyDescent="0.25">
      <c r="A20" t="s">
        <v>11</v>
      </c>
      <c r="C20">
        <v>16202925</v>
      </c>
      <c r="D20" t="s">
        <v>39</v>
      </c>
      <c r="E20" t="s">
        <v>40</v>
      </c>
      <c r="F20">
        <v>930673092</v>
      </c>
      <c r="G20" s="1">
        <v>45962</v>
      </c>
      <c r="H20" s="1">
        <v>45996</v>
      </c>
      <c r="I20" t="s">
        <v>49</v>
      </c>
      <c r="J20" t="s">
        <v>50</v>
      </c>
      <c r="K20" s="2">
        <v>100</v>
      </c>
    </row>
    <row r="21" spans="1:11" x14ac:dyDescent="0.25">
      <c r="A21" t="s">
        <v>23</v>
      </c>
      <c r="C21">
        <v>9079571</v>
      </c>
      <c r="D21" t="s">
        <v>36</v>
      </c>
      <c r="E21" t="s">
        <v>37</v>
      </c>
      <c r="F21">
        <v>930718892</v>
      </c>
      <c r="G21" s="1">
        <v>45962</v>
      </c>
      <c r="H21" s="1">
        <v>45996</v>
      </c>
      <c r="I21" t="s">
        <v>49</v>
      </c>
      <c r="J21" t="s">
        <v>50</v>
      </c>
      <c r="K21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645D-B4F4-4B11-A688-459E52B83649}">
  <dimension ref="A1:P24"/>
  <sheetViews>
    <sheetView tabSelected="1" workbookViewId="0">
      <selection activeCell="N2" sqref="N2:N21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0.140625" customWidth="1"/>
    <col min="6" max="6" width="20.140625" bestFit="1" customWidth="1"/>
    <col min="7" max="7" width="20.14062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5.5703125" bestFit="1" customWidth="1"/>
    <col min="12" max="12" width="15.7109375" bestFit="1" customWidth="1"/>
    <col min="13" max="13" width="41.140625" bestFit="1" customWidth="1"/>
    <col min="14" max="14" width="41.140625" customWidth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6" s="9" customFormat="1" x14ac:dyDescent="0.25">
      <c r="A2" s="9" t="s">
        <v>11</v>
      </c>
      <c r="B2" s="9">
        <v>16202925</v>
      </c>
      <c r="C2" s="9" t="s">
        <v>19</v>
      </c>
      <c r="D2" s="9" t="s">
        <v>20</v>
      </c>
      <c r="E2" s="9" t="str">
        <f>CONCATENATE(C2, " ",D2)</f>
        <v>Charmon Goldsmith</v>
      </c>
      <c r="F2" s="9">
        <v>928103752</v>
      </c>
      <c r="G2" s="9" t="str">
        <f>CONCATENATE(F2,8)</f>
        <v>9281037528</v>
      </c>
      <c r="H2" s="10">
        <v>45689</v>
      </c>
      <c r="I2" s="10">
        <v>45996</v>
      </c>
      <c r="J2" s="9" t="s">
        <v>14</v>
      </c>
      <c r="K2" s="9" t="s">
        <v>21</v>
      </c>
      <c r="L2" s="11">
        <v>-156.5</v>
      </c>
      <c r="M2" s="9" t="s">
        <v>52</v>
      </c>
      <c r="N2" s="9" t="s">
        <v>54</v>
      </c>
    </row>
    <row r="3" spans="1:16" s="9" customFormat="1" x14ac:dyDescent="0.25">
      <c r="A3" s="9" t="s">
        <v>11</v>
      </c>
      <c r="B3" s="9">
        <v>16202925</v>
      </c>
      <c r="C3" s="9" t="s">
        <v>16</v>
      </c>
      <c r="D3" s="9" t="s">
        <v>17</v>
      </c>
      <c r="E3" s="9" t="str">
        <f>CONCATENATE(C3, " ",D3)</f>
        <v>Elaise Mister</v>
      </c>
      <c r="F3" s="9">
        <v>961454301</v>
      </c>
      <c r="G3" s="9" t="str">
        <f t="shared" ref="G3:G6" si="0">CONCATENATE(F3,8)</f>
        <v>9614543018</v>
      </c>
      <c r="H3" s="10">
        <v>45689</v>
      </c>
      <c r="I3" s="10">
        <v>45996</v>
      </c>
      <c r="J3" s="9" t="s">
        <v>14</v>
      </c>
      <c r="K3" s="9" t="s">
        <v>18</v>
      </c>
      <c r="L3" s="11">
        <v>-208.67</v>
      </c>
      <c r="M3" s="9" t="s">
        <v>52</v>
      </c>
      <c r="N3" s="9" t="s">
        <v>55</v>
      </c>
    </row>
    <row r="4" spans="1:16" s="9" customFormat="1" x14ac:dyDescent="0.25">
      <c r="A4" s="9" t="s">
        <v>11</v>
      </c>
      <c r="B4" s="9">
        <v>16202925</v>
      </c>
      <c r="C4" s="9" t="s">
        <v>39</v>
      </c>
      <c r="D4" s="9" t="s">
        <v>40</v>
      </c>
      <c r="E4" s="9" t="str">
        <f>CONCATENATE(C4, " ",D4)</f>
        <v>Vimala Tabron</v>
      </c>
      <c r="F4" s="9">
        <v>930673092</v>
      </c>
      <c r="G4" s="9" t="str">
        <f t="shared" si="0"/>
        <v>9306730928</v>
      </c>
      <c r="H4" s="10">
        <v>45962</v>
      </c>
      <c r="I4" s="10">
        <v>45996</v>
      </c>
      <c r="J4" s="9" t="s">
        <v>14</v>
      </c>
      <c r="K4" s="9" t="s">
        <v>48</v>
      </c>
      <c r="L4" s="11">
        <v>626</v>
      </c>
      <c r="M4" s="9" t="s">
        <v>52</v>
      </c>
      <c r="N4" s="9" t="s">
        <v>57</v>
      </c>
    </row>
    <row r="5" spans="1:16" s="9" customFormat="1" x14ac:dyDescent="0.25">
      <c r="A5" s="9" t="s">
        <v>41</v>
      </c>
      <c r="B5" s="9">
        <v>7387433</v>
      </c>
      <c r="C5" s="9" t="s">
        <v>42</v>
      </c>
      <c r="D5" s="9" t="s">
        <v>43</v>
      </c>
      <c r="E5" s="9" t="str">
        <f>CONCATENATE(C5, " ",D5)</f>
        <v>Sheila Kearson</v>
      </c>
      <c r="F5" s="9">
        <v>930682592</v>
      </c>
      <c r="G5" s="9" t="str">
        <f t="shared" si="0"/>
        <v>9306825928</v>
      </c>
      <c r="H5" s="10">
        <v>45962</v>
      </c>
      <c r="I5" s="10">
        <v>45996</v>
      </c>
      <c r="J5" s="9" t="s">
        <v>14</v>
      </c>
      <c r="K5" s="9" t="s">
        <v>48</v>
      </c>
      <c r="L5" s="11">
        <v>626</v>
      </c>
      <c r="M5" s="9" t="s">
        <v>52</v>
      </c>
      <c r="N5" s="9" t="s">
        <v>57</v>
      </c>
    </row>
    <row r="6" spans="1:16" s="9" customFormat="1" x14ac:dyDescent="0.25">
      <c r="A6" s="9" t="s">
        <v>11</v>
      </c>
      <c r="B6" s="9">
        <v>16202925</v>
      </c>
      <c r="C6" s="9" t="s">
        <v>12</v>
      </c>
      <c r="D6" s="9" t="s">
        <v>13</v>
      </c>
      <c r="E6" s="9" t="str">
        <f>CONCATENATE(C6, " ",D6)</f>
        <v>Williams Roger</v>
      </c>
      <c r="F6" s="9">
        <v>929914682</v>
      </c>
      <c r="G6" s="9" t="str">
        <f t="shared" si="0"/>
        <v>9299146828</v>
      </c>
      <c r="H6" s="10">
        <v>45839</v>
      </c>
      <c r="I6" s="10">
        <v>45996</v>
      </c>
      <c r="J6" s="9" t="s">
        <v>14</v>
      </c>
      <c r="K6" s="9" t="s">
        <v>15</v>
      </c>
      <c r="L6" s="11">
        <v>-626</v>
      </c>
      <c r="M6" s="9" t="s">
        <v>52</v>
      </c>
      <c r="N6" s="9" t="s">
        <v>57</v>
      </c>
    </row>
    <row r="7" spans="1:16" x14ac:dyDescent="0.25">
      <c r="A7" s="6" t="s">
        <v>11</v>
      </c>
      <c r="B7" s="6">
        <v>16202925</v>
      </c>
      <c r="C7" s="6" t="s">
        <v>44</v>
      </c>
      <c r="D7" s="6" t="s">
        <v>45</v>
      </c>
      <c r="E7" s="6" t="str">
        <f>CONCATENATE(C7, " ",D7)</f>
        <v>Michael Pyatt</v>
      </c>
      <c r="F7" s="6" t="s">
        <v>46</v>
      </c>
      <c r="G7" s="6" t="s">
        <v>46</v>
      </c>
      <c r="H7" s="7">
        <v>45717</v>
      </c>
      <c r="I7" s="7">
        <v>45996</v>
      </c>
      <c r="J7" s="6" t="s">
        <v>14</v>
      </c>
      <c r="K7" s="6" t="s">
        <v>47</v>
      </c>
      <c r="L7" s="8">
        <v>260.83</v>
      </c>
      <c r="M7" s="6" t="s">
        <v>53</v>
      </c>
      <c r="N7" t="s">
        <v>56</v>
      </c>
      <c r="O7" s="6"/>
      <c r="P7" s="8"/>
    </row>
    <row r="8" spans="1:16" x14ac:dyDescent="0.25">
      <c r="A8" t="s">
        <v>23</v>
      </c>
      <c r="B8">
        <v>9079571</v>
      </c>
      <c r="C8" t="s">
        <v>24</v>
      </c>
      <c r="D8" t="s">
        <v>25</v>
      </c>
      <c r="E8" t="str">
        <f>CONCATENATE(C8, " ",D8)</f>
        <v>Deborah Griffith</v>
      </c>
      <c r="F8">
        <v>903376101</v>
      </c>
      <c r="G8">
        <v>903376101</v>
      </c>
      <c r="H8" s="1">
        <v>45689</v>
      </c>
      <c r="I8" s="1">
        <v>45996</v>
      </c>
      <c r="J8" t="s">
        <v>14</v>
      </c>
      <c r="K8" t="s">
        <v>26</v>
      </c>
      <c r="L8" s="2">
        <v>-104.33</v>
      </c>
      <c r="M8" s="6" t="s">
        <v>53</v>
      </c>
      <c r="N8" t="s">
        <v>58</v>
      </c>
    </row>
    <row r="9" spans="1:16" s="6" customFormat="1" x14ac:dyDescent="0.25">
      <c r="A9" t="s">
        <v>11</v>
      </c>
      <c r="B9">
        <v>16202925</v>
      </c>
      <c r="C9" t="s">
        <v>33</v>
      </c>
      <c r="D9" t="s">
        <v>34</v>
      </c>
      <c r="E9" t="str">
        <f>CONCATENATE(C9, " ",D9)</f>
        <v>Anna Biebl</v>
      </c>
      <c r="F9">
        <v>900506611</v>
      </c>
      <c r="G9">
        <v>900506611</v>
      </c>
      <c r="H9" s="1">
        <v>45962</v>
      </c>
      <c r="I9" s="1">
        <v>45996</v>
      </c>
      <c r="J9" t="s">
        <v>14</v>
      </c>
      <c r="K9" t="s">
        <v>35</v>
      </c>
      <c r="L9" s="2">
        <v>52.16</v>
      </c>
      <c r="M9" s="6" t="s">
        <v>53</v>
      </c>
      <c r="N9" t="s">
        <v>59</v>
      </c>
      <c r="O9"/>
      <c r="P9"/>
    </row>
    <row r="10" spans="1:16" s="6" customFormat="1" x14ac:dyDescent="0.25">
      <c r="A10" t="s">
        <v>23</v>
      </c>
      <c r="B10">
        <v>9079571</v>
      </c>
      <c r="C10" t="s">
        <v>36</v>
      </c>
      <c r="D10" t="s">
        <v>37</v>
      </c>
      <c r="E10" t="str">
        <f>CONCATENATE(C10, " ",D10)</f>
        <v>Ethel Moore</v>
      </c>
      <c r="F10">
        <v>930718892</v>
      </c>
      <c r="G10">
        <v>930718892</v>
      </c>
      <c r="H10" s="1">
        <v>45962</v>
      </c>
      <c r="I10" s="1">
        <v>45996</v>
      </c>
      <c r="J10" t="s">
        <v>14</v>
      </c>
      <c r="K10" t="s">
        <v>35</v>
      </c>
      <c r="L10" s="2">
        <v>52.16</v>
      </c>
      <c r="M10" s="6" t="s">
        <v>53</v>
      </c>
      <c r="N10" t="s">
        <v>59</v>
      </c>
      <c r="O10"/>
      <c r="P10"/>
    </row>
    <row r="11" spans="1:16" x14ac:dyDescent="0.25">
      <c r="A11" t="s">
        <v>27</v>
      </c>
      <c r="B11">
        <v>5442438</v>
      </c>
      <c r="C11" t="s">
        <v>28</v>
      </c>
      <c r="D11" t="s">
        <v>29</v>
      </c>
      <c r="E11" t="str">
        <f>CONCATENATE(C11, " ",D11)</f>
        <v>Kathleen Leeds</v>
      </c>
      <c r="F11">
        <v>928217732</v>
      </c>
      <c r="G11">
        <v>928217732</v>
      </c>
      <c r="H11" s="1">
        <v>45658</v>
      </c>
      <c r="I11" s="1">
        <v>45996</v>
      </c>
      <c r="J11" t="s">
        <v>14</v>
      </c>
      <c r="K11" t="s">
        <v>30</v>
      </c>
      <c r="L11" s="2">
        <v>-78.25</v>
      </c>
      <c r="M11" s="6" t="s">
        <v>53</v>
      </c>
      <c r="N11" t="s">
        <v>60</v>
      </c>
    </row>
    <row r="12" spans="1:16" s="3" customFormat="1" x14ac:dyDescent="0.25">
      <c r="A12" s="3" t="s">
        <v>61</v>
      </c>
      <c r="B12" s="3">
        <v>20411454</v>
      </c>
      <c r="C12" s="3" t="s">
        <v>33</v>
      </c>
      <c r="D12" s="3" t="s">
        <v>34</v>
      </c>
      <c r="E12" s="3" t="str">
        <f>CONCATENATE(C12, " ",D12)</f>
        <v>Anna Biebl</v>
      </c>
      <c r="F12" s="3">
        <v>900506611</v>
      </c>
      <c r="G12" s="3" t="str">
        <f>CONCATENATE(F12,"OVR")</f>
        <v>900506611OVR</v>
      </c>
      <c r="H12" s="4">
        <v>45962</v>
      </c>
      <c r="I12" s="4">
        <v>45996</v>
      </c>
      <c r="J12" s="3" t="s">
        <v>14</v>
      </c>
      <c r="K12" s="3" t="s">
        <v>38</v>
      </c>
      <c r="L12" s="5">
        <v>150</v>
      </c>
      <c r="M12" s="3" t="s">
        <v>51</v>
      </c>
    </row>
    <row r="13" spans="1:16" s="3" customFormat="1" x14ac:dyDescent="0.25">
      <c r="A13" s="3" t="s">
        <v>61</v>
      </c>
      <c r="B13" s="3">
        <v>20411454</v>
      </c>
      <c r="C13" s="3" t="s">
        <v>39</v>
      </c>
      <c r="D13" s="3" t="s">
        <v>40</v>
      </c>
      <c r="E13" s="3" t="str">
        <f>CONCATENATE(C13, " ",D13)</f>
        <v>Vimala Tabron</v>
      </c>
      <c r="F13" s="3">
        <v>930673092</v>
      </c>
      <c r="G13" s="3" t="str">
        <f t="shared" ref="G13:G21" si="1">CONCATENATE(F13,"OVR")</f>
        <v>930673092OVR</v>
      </c>
      <c r="H13" s="4">
        <v>45962</v>
      </c>
      <c r="I13" s="4">
        <v>45996</v>
      </c>
      <c r="J13" s="3" t="s">
        <v>14</v>
      </c>
      <c r="K13" s="3" t="s">
        <v>38</v>
      </c>
      <c r="L13" s="5">
        <v>150</v>
      </c>
      <c r="M13" s="3" t="s">
        <v>51</v>
      </c>
    </row>
    <row r="14" spans="1:16" s="3" customFormat="1" x14ac:dyDescent="0.25">
      <c r="A14" s="3" t="s">
        <v>61</v>
      </c>
      <c r="B14" s="3">
        <v>20411454</v>
      </c>
      <c r="C14" s="3" t="s">
        <v>42</v>
      </c>
      <c r="D14" s="3" t="s">
        <v>43</v>
      </c>
      <c r="E14" s="3" t="str">
        <f>CONCATENATE(C14, " ",D14)</f>
        <v>Sheila Kearson</v>
      </c>
      <c r="F14" s="3">
        <v>930682592</v>
      </c>
      <c r="G14" s="3" t="str">
        <f t="shared" si="1"/>
        <v>930682592OVR</v>
      </c>
      <c r="H14" s="4">
        <v>45962</v>
      </c>
      <c r="I14" s="4">
        <v>45996</v>
      </c>
      <c r="J14" s="3" t="s">
        <v>14</v>
      </c>
      <c r="K14" s="3" t="s">
        <v>38</v>
      </c>
      <c r="L14" s="5">
        <v>150</v>
      </c>
      <c r="M14" s="3" t="s">
        <v>51</v>
      </c>
    </row>
    <row r="15" spans="1:16" s="3" customFormat="1" x14ac:dyDescent="0.25">
      <c r="A15" s="3" t="s">
        <v>61</v>
      </c>
      <c r="B15" s="3">
        <v>20411454</v>
      </c>
      <c r="C15" s="3" t="s">
        <v>36</v>
      </c>
      <c r="D15" s="3" t="s">
        <v>37</v>
      </c>
      <c r="E15" s="3" t="str">
        <f>CONCATENATE(C15, " ",D15)</f>
        <v>Ethel Moore</v>
      </c>
      <c r="F15" s="3">
        <v>930718892</v>
      </c>
      <c r="G15" s="3" t="str">
        <f t="shared" si="1"/>
        <v>930718892OVR</v>
      </c>
      <c r="H15" s="4">
        <v>45962</v>
      </c>
      <c r="I15" s="4">
        <v>45996</v>
      </c>
      <c r="J15" s="3" t="s">
        <v>14</v>
      </c>
      <c r="K15" s="3" t="s">
        <v>38</v>
      </c>
      <c r="L15" s="5">
        <v>150</v>
      </c>
      <c r="M15" s="3" t="s">
        <v>51</v>
      </c>
    </row>
    <row r="16" spans="1:16" s="3" customFormat="1" x14ac:dyDescent="0.25">
      <c r="A16" s="3" t="s">
        <v>61</v>
      </c>
      <c r="B16" s="3">
        <v>20411454</v>
      </c>
      <c r="C16" s="3" t="s">
        <v>12</v>
      </c>
      <c r="D16" s="3" t="s">
        <v>13</v>
      </c>
      <c r="E16" s="3" t="str">
        <f>CONCATENATE(C16, " ",D16)</f>
        <v>Williams Roger</v>
      </c>
      <c r="F16" s="3">
        <v>929914682</v>
      </c>
      <c r="G16" s="3" t="str">
        <f t="shared" si="1"/>
        <v>929914682OVR</v>
      </c>
      <c r="H16" s="4">
        <v>45839</v>
      </c>
      <c r="I16" s="4">
        <v>45996</v>
      </c>
      <c r="J16" s="3" t="s">
        <v>14</v>
      </c>
      <c r="K16" s="3" t="s">
        <v>22</v>
      </c>
      <c r="L16" s="5">
        <v>-100</v>
      </c>
      <c r="M16" s="3" t="s">
        <v>51</v>
      </c>
    </row>
    <row r="17" spans="1:16" s="3" customFormat="1" x14ac:dyDescent="0.25">
      <c r="A17" s="3" t="s">
        <v>61</v>
      </c>
      <c r="B17" s="3">
        <v>20411454</v>
      </c>
      <c r="C17" s="3" t="s">
        <v>24</v>
      </c>
      <c r="D17" s="3" t="s">
        <v>25</v>
      </c>
      <c r="E17" s="3" t="str">
        <f>CONCATENATE(C17, " ",D17)</f>
        <v>Deborah Griffith</v>
      </c>
      <c r="F17" s="3">
        <v>903376101</v>
      </c>
      <c r="G17" s="3" t="str">
        <f t="shared" si="1"/>
        <v>903376101OVR</v>
      </c>
      <c r="H17" s="4">
        <v>45689</v>
      </c>
      <c r="I17" s="4">
        <v>45996</v>
      </c>
      <c r="J17" s="3" t="s">
        <v>14</v>
      </c>
      <c r="K17" s="3" t="s">
        <v>32</v>
      </c>
      <c r="L17" s="5">
        <v>-16.66</v>
      </c>
      <c r="M17" s="3" t="s">
        <v>51</v>
      </c>
    </row>
    <row r="18" spans="1:16" s="3" customFormat="1" x14ac:dyDescent="0.25">
      <c r="A18" s="3" t="s">
        <v>61</v>
      </c>
      <c r="B18" s="3">
        <v>20411454</v>
      </c>
      <c r="C18" s="3" t="s">
        <v>28</v>
      </c>
      <c r="D18" s="3" t="s">
        <v>29</v>
      </c>
      <c r="E18" s="3" t="str">
        <f>CONCATENATE(C18, " ",D18)</f>
        <v>Kathleen Leeds</v>
      </c>
      <c r="F18" s="3">
        <v>928217732</v>
      </c>
      <c r="G18" s="3" t="str">
        <f t="shared" si="1"/>
        <v>928217732OVR</v>
      </c>
      <c r="H18" s="4">
        <v>45658</v>
      </c>
      <c r="I18" s="4">
        <v>45996</v>
      </c>
      <c r="J18" s="3" t="s">
        <v>14</v>
      </c>
      <c r="K18" s="3" t="s">
        <v>31</v>
      </c>
      <c r="L18" s="5">
        <v>-25</v>
      </c>
      <c r="M18" s="3" t="s">
        <v>51</v>
      </c>
    </row>
    <row r="19" spans="1:16" s="3" customFormat="1" x14ac:dyDescent="0.25">
      <c r="A19" s="3" t="s">
        <v>61</v>
      </c>
      <c r="B19" s="3">
        <v>20411454</v>
      </c>
      <c r="C19" s="3" t="s">
        <v>44</v>
      </c>
      <c r="D19" s="3" t="s">
        <v>45</v>
      </c>
      <c r="E19" s="3" t="str">
        <f>CONCATENATE(C19, " ",D19)</f>
        <v>Michael Pyatt</v>
      </c>
      <c r="F19" s="3" t="s">
        <v>46</v>
      </c>
      <c r="G19" s="3" t="str">
        <f t="shared" si="1"/>
        <v>CareFirst11302025003OVR</v>
      </c>
      <c r="H19" s="4">
        <v>45717</v>
      </c>
      <c r="I19" s="4">
        <v>45996</v>
      </c>
      <c r="J19" s="3" t="s">
        <v>14</v>
      </c>
      <c r="K19" s="3" t="s">
        <v>47</v>
      </c>
      <c r="L19" s="5">
        <v>100</v>
      </c>
      <c r="M19" s="3" t="s">
        <v>51</v>
      </c>
      <c r="P19" s="5"/>
    </row>
    <row r="20" spans="1:16" s="3" customFormat="1" x14ac:dyDescent="0.25">
      <c r="A20" s="3" t="s">
        <v>61</v>
      </c>
      <c r="B20" s="3">
        <v>20411454</v>
      </c>
      <c r="C20" s="3" t="s">
        <v>19</v>
      </c>
      <c r="D20" s="3" t="s">
        <v>20</v>
      </c>
      <c r="E20" s="3" t="str">
        <f>CONCATENATE(C20, " ",D20)</f>
        <v>Charmon Goldsmith</v>
      </c>
      <c r="F20" s="3">
        <v>928103752</v>
      </c>
      <c r="G20" s="3" t="str">
        <f t="shared" si="1"/>
        <v>928103752OVR</v>
      </c>
      <c r="H20" s="4">
        <v>45689</v>
      </c>
      <c r="I20" s="4">
        <v>45996</v>
      </c>
      <c r="J20" s="3" t="s">
        <v>14</v>
      </c>
      <c r="K20" s="3" t="s">
        <v>21</v>
      </c>
      <c r="L20" s="5">
        <v>-25</v>
      </c>
      <c r="M20" s="3" t="s">
        <v>51</v>
      </c>
    </row>
    <row r="21" spans="1:16" s="3" customFormat="1" x14ac:dyDescent="0.25">
      <c r="A21" s="3" t="s">
        <v>61</v>
      </c>
      <c r="B21" s="3">
        <v>20411454</v>
      </c>
      <c r="C21" s="3" t="s">
        <v>16</v>
      </c>
      <c r="D21" s="3" t="s">
        <v>17</v>
      </c>
      <c r="E21" s="3" t="str">
        <f>CONCATENATE(C21, " ",D21)</f>
        <v>Elaise Mister</v>
      </c>
      <c r="F21" s="3">
        <v>961454301</v>
      </c>
      <c r="G21" s="3" t="str">
        <f t="shared" si="1"/>
        <v>961454301OVR</v>
      </c>
      <c r="H21" s="4">
        <v>45689</v>
      </c>
      <c r="I21" s="4">
        <v>45996</v>
      </c>
      <c r="J21" s="3" t="s">
        <v>14</v>
      </c>
      <c r="K21" s="3" t="s">
        <v>18</v>
      </c>
      <c r="L21" s="5">
        <v>-33.33</v>
      </c>
      <c r="M21" s="3" t="s">
        <v>51</v>
      </c>
    </row>
    <row r="22" spans="1:16" x14ac:dyDescent="0.25">
      <c r="H22" s="1"/>
      <c r="I22" s="1"/>
      <c r="L22" s="2"/>
    </row>
    <row r="23" spans="1:16" x14ac:dyDescent="0.25">
      <c r="H23" s="1"/>
      <c r="I23" s="1"/>
      <c r="L23" s="2"/>
    </row>
    <row r="24" spans="1:16" x14ac:dyDescent="0.25">
      <c r="H24" s="1"/>
      <c r="I24" s="1"/>
      <c r="L24" s="2"/>
    </row>
  </sheetData>
  <sortState xmlns:xlrd2="http://schemas.microsoft.com/office/spreadsheetml/2017/richdata2" ref="A2:P25">
    <sortCondition ref="M2:M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2025-12-05T16:51:47Z</dcterms:created>
  <dcterms:modified xsi:type="dcterms:W3CDTF">2025-12-05T20:51:11Z</dcterms:modified>
</cp:coreProperties>
</file>