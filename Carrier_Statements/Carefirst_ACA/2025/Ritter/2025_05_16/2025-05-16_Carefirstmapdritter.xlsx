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mvKz5IHHR13hsEfbMYE8L8tarke61vbg/nL2fgUbEw="/>
    </ext>
  </extLst>
</workbook>
</file>

<file path=xl/sharedStrings.xml><?xml version="1.0" encoding="utf-8"?>
<sst xmlns="http://schemas.openxmlformats.org/spreadsheetml/2006/main" count="677" uniqueCount="118">
  <si>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</si>
  <si>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</si>
  <si>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</si>
  <si>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</si>
  <si>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</si>
  <si>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</si>
  <si>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</si>
  <si>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</si>
  <si>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</si>
  <si>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</si>
  <si>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</si>
  <si>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Carolyn Wilson Smith</t>
  </si>
  <si>
    <t>Janet</t>
  </si>
  <si>
    <t>Dempsey</t>
  </si>
  <si>
    <t>CareFirst</t>
  </si>
  <si>
    <t xml:space="preserve">CareFirst 2021-2025 Override Year 1 (ProRata: -8) Premium Period: </t>
  </si>
  <si>
    <t>Cathy Lemon</t>
  </si>
  <si>
    <t>Nicholas</t>
  </si>
  <si>
    <t>Amponsah</t>
  </si>
  <si>
    <t>CareFirstMA013120252013</t>
  </si>
  <si>
    <t xml:space="preserve">CareFirst 2021-2025 Override Year 1 Premium Period: </t>
  </si>
  <si>
    <t>Andrew</t>
  </si>
  <si>
    <t>Arnold</t>
  </si>
  <si>
    <t>CareFirstMA013120252007</t>
  </si>
  <si>
    <t>Cheryl</t>
  </si>
  <si>
    <t>Bailey</t>
  </si>
  <si>
    <t>CareFirstMA013120250422</t>
  </si>
  <si>
    <t>Soeurette</t>
  </si>
  <si>
    <t>Cyprien</t>
  </si>
  <si>
    <t>CareFirstMA013120250428</t>
  </si>
  <si>
    <t>Arron</t>
  </si>
  <si>
    <t>Davis</t>
  </si>
  <si>
    <t>CareFirstMA013120252009</t>
  </si>
  <si>
    <t>CareFirstMA013120250425</t>
  </si>
  <si>
    <t>John</t>
  </si>
  <si>
    <t>Green</t>
  </si>
  <si>
    <t>CareFirstMA013120250426</t>
  </si>
  <si>
    <t>Veronica</t>
  </si>
  <si>
    <t>Jarrett</t>
  </si>
  <si>
    <t>CareFirstMA013120250429</t>
  </si>
  <si>
    <t>Annmarie</t>
  </si>
  <si>
    <t>Kearse</t>
  </si>
  <si>
    <t>CareFirstMA013120252008</t>
  </si>
  <si>
    <t>Eastlynne</t>
  </si>
  <si>
    <t>Murray</t>
  </si>
  <si>
    <t>CareFirstMA013120250424</t>
  </si>
  <si>
    <t>Nkemakonam</t>
  </si>
  <si>
    <t>Okeke</t>
  </si>
  <si>
    <t>CareFirstMA013120252014</t>
  </si>
  <si>
    <t>Stephanie</t>
  </si>
  <si>
    <t>Phillips</t>
  </si>
  <si>
    <t>CareFirstMA013120252015</t>
  </si>
  <si>
    <t>Darlene</t>
  </si>
  <si>
    <t>Porter</t>
  </si>
  <si>
    <t>CareFirstMA013120250423</t>
  </si>
  <si>
    <t>Alfreedia</t>
  </si>
  <si>
    <t>Rogers</t>
  </si>
  <si>
    <t>CareFirstMA013120252006</t>
  </si>
  <si>
    <t>Kofi</t>
  </si>
  <si>
    <t>Shaw Taylor</t>
  </si>
  <si>
    <t>CareFirstMA013120252012</t>
  </si>
  <si>
    <t>Keith</t>
  </si>
  <si>
    <t>Thompson</t>
  </si>
  <si>
    <t>CareFirstMA013120250427</t>
  </si>
  <si>
    <t>Herbert</t>
  </si>
  <si>
    <t>Ward</t>
  </si>
  <si>
    <t>CareFirstMA013120252010</t>
  </si>
  <si>
    <t>Jennifer</t>
  </si>
  <si>
    <t>CareFirstMA013120252011</t>
  </si>
  <si>
    <t>Kathleen</t>
  </si>
  <si>
    <t>France</t>
  </si>
  <si>
    <t>Steve</t>
  </si>
  <si>
    <t>Reid</t>
  </si>
  <si>
    <t>Theresa</t>
  </si>
  <si>
    <t>Butler</t>
  </si>
  <si>
    <t>CareFirst022820250066</t>
  </si>
  <si>
    <t>Chris</t>
  </si>
  <si>
    <t>Resh</t>
  </si>
  <si>
    <t>CareFirstMA033120250064</t>
  </si>
  <si>
    <t>Brian</t>
  </si>
  <si>
    <t>Crabill</t>
  </si>
  <si>
    <t xml:space="preserve">CareFirst 2025 Initial Street (ProRata: -8) Premium Period: </t>
  </si>
  <si>
    <t>CareFirstMA013120252017</t>
  </si>
  <si>
    <t xml:space="preserve">CareFirst 2025 Initial Street Premium Period: </t>
  </si>
  <si>
    <t>CareFirstMA013120250430</t>
  </si>
  <si>
    <t>CareFirstMA013120250433</t>
  </si>
  <si>
    <t>CareFirstMA013120250437</t>
  </si>
  <si>
    <t>CareFirstMA013120252024</t>
  </si>
  <si>
    <t>CareFirstMA013120250431</t>
  </si>
  <si>
    <t>CareFirstMA033120250083</t>
  </si>
  <si>
    <t xml:space="preserve">CareFirst 2025 Replace Street (ProRata: 10) Premium Period: </t>
  </si>
  <si>
    <t xml:space="preserve">CareFirst 2025 Replace Street (ProRata: 11) Premium Period: </t>
  </si>
  <si>
    <t xml:space="preserve">CareFirst 2025 Replace Street (ProRata: 9) Premium Period: </t>
  </si>
  <si>
    <t>CareFirstMA013120252023</t>
  </si>
  <si>
    <t xml:space="preserve">CareFirst 2025 Replace Street Premium Period: </t>
  </si>
  <si>
    <t>CareFirstMA013120250436</t>
  </si>
  <si>
    <t>CareFirstMA013120252019</t>
  </si>
  <si>
    <t>CareFirstMA013120250434</t>
  </si>
  <si>
    <t>CareFirstMA013120252018</t>
  </si>
  <si>
    <t>CareFirstMA013120250432</t>
  </si>
  <si>
    <t>CareFirstMA013120252025</t>
  </si>
  <si>
    <t>CareFirstMA013120252016</t>
  </si>
  <si>
    <t>CareFirstMA013120252022</t>
  </si>
  <si>
    <t>CareFirstMA013120250435</t>
  </si>
  <si>
    <t>CareFirstMA013120252020</t>
  </si>
  <si>
    <t>CareFirst022820250068</t>
  </si>
  <si>
    <t>CareFirst DSNP</t>
  </si>
  <si>
    <t>Notes: CareFirst HRA Payment. AZ</t>
  </si>
  <si>
    <t>Main Line Benefits</t>
  </si>
  <si>
    <t>CareFirst Ovr</t>
  </si>
  <si>
    <t>Carefirst MAPD 2025*</t>
  </si>
  <si>
    <t>[%/$=313][prorate=12/12]</t>
  </si>
  <si>
    <t>Carefirst MAPD 2025</t>
  </si>
  <si>
    <t>[%/$=626]</t>
  </si>
  <si>
    <t>[%/$=313][prorate=9/12]</t>
  </si>
  <si>
    <t>[%/$=313][prorate=10/12]</t>
  </si>
  <si>
    <t>[%/$=626][prorate=8/12]</t>
  </si>
  <si>
    <t>[%/$=313][prorate=11/12]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</si>
</sst>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5.43"/>
    <col customWidth="1" min="3" max="3" width="10.71"/>
    <col customWidth="1" min="4" max="4" width="13.43"/>
    <col customWidth="1" min="5" max="5" width="11.57"/>
    <col customWidth="1" min="6" max="6" width="24.29"/>
    <col customWidth="1" min="7" max="7" width="11.86"/>
    <col customWidth="1" min="8" max="8" width="14.71"/>
    <col customWidth="1" min="9" max="9" width="14.29"/>
    <col customWidth="1" min="10" max="10" width="61.0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7387433.0</v>
      </c>
      <c r="D2" s="1" t="s">
        <v>12</v>
      </c>
      <c r="E2" s="1" t="s">
        <v>13</v>
      </c>
      <c r="F2" s="1">
        <v>9.30230701E8</v>
      </c>
      <c r="G2" s="2">
        <v>45658.0</v>
      </c>
      <c r="H2" s="2">
        <v>45793.0</v>
      </c>
      <c r="I2" s="1" t="s">
        <v>14</v>
      </c>
      <c r="J2" s="1" t="s">
        <v>15</v>
      </c>
      <c r="K2" s="3">
        <v>-66.66</v>
      </c>
    </row>
    <row r="3">
      <c r="A3" s="1" t="s">
        <v>16</v>
      </c>
      <c r="B3" s="1">
        <v>1.719562E7</v>
      </c>
      <c r="C3" s="1">
        <v>1.719562E7</v>
      </c>
      <c r="D3" s="1" t="s">
        <v>17</v>
      </c>
      <c r="E3" s="1" t="s">
        <v>18</v>
      </c>
      <c r="F3" s="1" t="s">
        <v>19</v>
      </c>
      <c r="G3" s="2">
        <v>45658.0</v>
      </c>
      <c r="H3" s="2">
        <v>45793.0</v>
      </c>
      <c r="I3" s="1" t="s">
        <v>14</v>
      </c>
      <c r="J3" s="1" t="s">
        <v>20</v>
      </c>
      <c r="K3" s="3">
        <v>100.0</v>
      </c>
    </row>
    <row r="4">
      <c r="A4" s="1" t="s">
        <v>16</v>
      </c>
      <c r="B4" s="1">
        <v>1.719562E7</v>
      </c>
      <c r="C4" s="1">
        <v>1.719562E7</v>
      </c>
      <c r="D4" s="1" t="s">
        <v>21</v>
      </c>
      <c r="E4" s="1" t="s">
        <v>22</v>
      </c>
      <c r="F4" s="1" t="s">
        <v>23</v>
      </c>
      <c r="G4" s="2">
        <v>45658.0</v>
      </c>
      <c r="H4" s="2">
        <v>45793.0</v>
      </c>
      <c r="I4" s="1" t="s">
        <v>14</v>
      </c>
      <c r="J4" s="1" t="s">
        <v>20</v>
      </c>
      <c r="K4" s="3">
        <v>100.0</v>
      </c>
    </row>
    <row r="5">
      <c r="A5" s="1" t="s">
        <v>11</v>
      </c>
      <c r="C5" s="1">
        <v>7387433.0</v>
      </c>
      <c r="D5" s="1" t="s">
        <v>24</v>
      </c>
      <c r="E5" s="1" t="s">
        <v>25</v>
      </c>
      <c r="F5" s="1" t="s">
        <v>26</v>
      </c>
      <c r="G5" s="2">
        <v>45658.0</v>
      </c>
      <c r="H5" s="2">
        <v>45793.0</v>
      </c>
      <c r="I5" s="1" t="s">
        <v>14</v>
      </c>
      <c r="J5" s="1" t="s">
        <v>20</v>
      </c>
      <c r="K5" s="3">
        <v>100.0</v>
      </c>
    </row>
    <row r="6">
      <c r="A6" s="1" t="s">
        <v>11</v>
      </c>
      <c r="C6" s="1">
        <v>7387433.0</v>
      </c>
      <c r="D6" s="1" t="s">
        <v>27</v>
      </c>
      <c r="E6" s="1" t="s">
        <v>28</v>
      </c>
      <c r="F6" s="1" t="s">
        <v>29</v>
      </c>
      <c r="G6" s="2">
        <v>45658.0</v>
      </c>
      <c r="H6" s="2">
        <v>45793.0</v>
      </c>
      <c r="I6" s="1" t="s">
        <v>14</v>
      </c>
      <c r="J6" s="1" t="s">
        <v>20</v>
      </c>
      <c r="K6" s="3">
        <v>100.0</v>
      </c>
    </row>
    <row r="7">
      <c r="A7" s="1" t="s">
        <v>16</v>
      </c>
      <c r="B7" s="1">
        <v>1.719562E7</v>
      </c>
      <c r="C7" s="1">
        <v>1.719562E7</v>
      </c>
      <c r="D7" s="1" t="s">
        <v>30</v>
      </c>
      <c r="E7" s="1" t="s">
        <v>31</v>
      </c>
      <c r="F7" s="1" t="s">
        <v>32</v>
      </c>
      <c r="G7" s="2">
        <v>45658.0</v>
      </c>
      <c r="H7" s="2">
        <v>45793.0</v>
      </c>
      <c r="I7" s="1" t="s">
        <v>14</v>
      </c>
      <c r="J7" s="1" t="s">
        <v>20</v>
      </c>
      <c r="K7" s="3">
        <v>100.0</v>
      </c>
    </row>
    <row r="8">
      <c r="A8" s="1" t="s">
        <v>11</v>
      </c>
      <c r="C8" s="1">
        <v>7387433.0</v>
      </c>
      <c r="D8" s="1" t="s">
        <v>12</v>
      </c>
      <c r="E8" s="1" t="s">
        <v>13</v>
      </c>
      <c r="F8" s="1" t="s">
        <v>33</v>
      </c>
      <c r="G8" s="2">
        <v>45658.0</v>
      </c>
      <c r="H8" s="2">
        <v>45793.0</v>
      </c>
      <c r="I8" s="1" t="s">
        <v>14</v>
      </c>
      <c r="J8" s="1" t="s">
        <v>20</v>
      </c>
      <c r="K8" s="3">
        <v>100.0</v>
      </c>
    </row>
    <row r="9">
      <c r="A9" s="1" t="s">
        <v>11</v>
      </c>
      <c r="C9" s="1">
        <v>7387433.0</v>
      </c>
      <c r="D9" s="1" t="s">
        <v>34</v>
      </c>
      <c r="E9" s="1" t="s">
        <v>35</v>
      </c>
      <c r="F9" s="1" t="s">
        <v>36</v>
      </c>
      <c r="G9" s="2">
        <v>45658.0</v>
      </c>
      <c r="H9" s="2">
        <v>45793.0</v>
      </c>
      <c r="I9" s="1" t="s">
        <v>14</v>
      </c>
      <c r="J9" s="1" t="s">
        <v>20</v>
      </c>
      <c r="K9" s="3">
        <v>100.0</v>
      </c>
    </row>
    <row r="10">
      <c r="A10" s="1" t="s">
        <v>11</v>
      </c>
      <c r="C10" s="1">
        <v>7387433.0</v>
      </c>
      <c r="D10" s="1" t="s">
        <v>37</v>
      </c>
      <c r="E10" s="1" t="s">
        <v>38</v>
      </c>
      <c r="F10" s="1" t="s">
        <v>39</v>
      </c>
      <c r="G10" s="2">
        <v>45658.0</v>
      </c>
      <c r="H10" s="2">
        <v>45793.0</v>
      </c>
      <c r="I10" s="1" t="s">
        <v>14</v>
      </c>
      <c r="J10" s="1" t="s">
        <v>20</v>
      </c>
      <c r="K10" s="3">
        <v>100.0</v>
      </c>
    </row>
    <row r="11">
      <c r="A11" s="1" t="s">
        <v>16</v>
      </c>
      <c r="B11" s="1">
        <v>1.719562E7</v>
      </c>
      <c r="C11" s="1">
        <v>1.719562E7</v>
      </c>
      <c r="D11" s="1" t="s">
        <v>40</v>
      </c>
      <c r="E11" s="1" t="s">
        <v>41</v>
      </c>
      <c r="F11" s="1" t="s">
        <v>42</v>
      </c>
      <c r="G11" s="2">
        <v>45658.0</v>
      </c>
      <c r="H11" s="2">
        <v>45793.0</v>
      </c>
      <c r="I11" s="1" t="s">
        <v>14</v>
      </c>
      <c r="J11" s="1" t="s">
        <v>20</v>
      </c>
      <c r="K11" s="3">
        <v>100.0</v>
      </c>
    </row>
    <row r="12">
      <c r="A12" s="1" t="s">
        <v>11</v>
      </c>
      <c r="C12" s="1">
        <v>7387433.0</v>
      </c>
      <c r="D12" s="1" t="s">
        <v>43</v>
      </c>
      <c r="E12" s="1" t="s">
        <v>44</v>
      </c>
      <c r="F12" s="1" t="s">
        <v>45</v>
      </c>
      <c r="G12" s="2">
        <v>45658.0</v>
      </c>
      <c r="H12" s="2">
        <v>45793.0</v>
      </c>
      <c r="I12" s="1" t="s">
        <v>14</v>
      </c>
      <c r="J12" s="1" t="s">
        <v>20</v>
      </c>
      <c r="K12" s="3">
        <v>100.0</v>
      </c>
    </row>
    <row r="13">
      <c r="A13" s="1" t="s">
        <v>16</v>
      </c>
      <c r="B13" s="1">
        <v>1.719562E7</v>
      </c>
      <c r="C13" s="1">
        <v>1.719562E7</v>
      </c>
      <c r="D13" s="1" t="s">
        <v>46</v>
      </c>
      <c r="E13" s="1" t="s">
        <v>47</v>
      </c>
      <c r="F13" s="1" t="s">
        <v>48</v>
      </c>
      <c r="G13" s="2">
        <v>45658.0</v>
      </c>
      <c r="H13" s="2">
        <v>45793.0</v>
      </c>
      <c r="I13" s="1" t="s">
        <v>14</v>
      </c>
      <c r="J13" s="1" t="s">
        <v>20</v>
      </c>
      <c r="K13" s="3">
        <v>100.0</v>
      </c>
    </row>
    <row r="14">
      <c r="A14" s="1" t="s">
        <v>16</v>
      </c>
      <c r="B14" s="1">
        <v>1.719562E7</v>
      </c>
      <c r="C14" s="1">
        <v>1.719562E7</v>
      </c>
      <c r="D14" s="1" t="s">
        <v>49</v>
      </c>
      <c r="E14" s="1" t="s">
        <v>50</v>
      </c>
      <c r="F14" s="1" t="s">
        <v>51</v>
      </c>
      <c r="G14" s="2">
        <v>45658.0</v>
      </c>
      <c r="H14" s="2">
        <v>45793.0</v>
      </c>
      <c r="I14" s="1" t="s">
        <v>14</v>
      </c>
      <c r="J14" s="1" t="s">
        <v>20</v>
      </c>
      <c r="K14" s="3">
        <v>100.0</v>
      </c>
    </row>
    <row r="15">
      <c r="A15" s="1" t="s">
        <v>11</v>
      </c>
      <c r="C15" s="1">
        <v>7387433.0</v>
      </c>
      <c r="D15" s="1" t="s">
        <v>52</v>
      </c>
      <c r="E15" s="1" t="s">
        <v>53</v>
      </c>
      <c r="F15" s="1" t="s">
        <v>54</v>
      </c>
      <c r="G15" s="2">
        <v>45658.0</v>
      </c>
      <c r="H15" s="2">
        <v>45793.0</v>
      </c>
      <c r="I15" s="1" t="s">
        <v>14</v>
      </c>
      <c r="J15" s="1" t="s">
        <v>20</v>
      </c>
      <c r="K15" s="3">
        <v>100.0</v>
      </c>
    </row>
    <row r="16">
      <c r="A16" s="1" t="s">
        <v>16</v>
      </c>
      <c r="B16" s="1">
        <v>1.719562E7</v>
      </c>
      <c r="C16" s="1">
        <v>1.719562E7</v>
      </c>
      <c r="D16" s="1" t="s">
        <v>55</v>
      </c>
      <c r="E16" s="1" t="s">
        <v>56</v>
      </c>
      <c r="F16" s="1" t="s">
        <v>57</v>
      </c>
      <c r="G16" s="2">
        <v>45658.0</v>
      </c>
      <c r="H16" s="2">
        <v>45793.0</v>
      </c>
      <c r="I16" s="1" t="s">
        <v>14</v>
      </c>
      <c r="J16" s="1" t="s">
        <v>20</v>
      </c>
      <c r="K16" s="3">
        <v>100.0</v>
      </c>
    </row>
    <row r="17">
      <c r="A17" s="1" t="s">
        <v>16</v>
      </c>
      <c r="B17" s="1">
        <v>1.719562E7</v>
      </c>
      <c r="C17" s="1">
        <v>1.719562E7</v>
      </c>
      <c r="D17" s="1" t="s">
        <v>58</v>
      </c>
      <c r="E17" s="1" t="s">
        <v>59</v>
      </c>
      <c r="F17" s="1" t="s">
        <v>60</v>
      </c>
      <c r="G17" s="2">
        <v>45658.0</v>
      </c>
      <c r="H17" s="2">
        <v>45793.0</v>
      </c>
      <c r="I17" s="1" t="s">
        <v>14</v>
      </c>
      <c r="J17" s="1" t="s">
        <v>20</v>
      </c>
      <c r="K17" s="3">
        <v>100.0</v>
      </c>
    </row>
    <row r="18">
      <c r="A18" s="1" t="s">
        <v>11</v>
      </c>
      <c r="C18" s="1">
        <v>7387433.0</v>
      </c>
      <c r="D18" s="1" t="s">
        <v>61</v>
      </c>
      <c r="E18" s="1" t="s">
        <v>62</v>
      </c>
      <c r="F18" s="1" t="s">
        <v>63</v>
      </c>
      <c r="G18" s="2">
        <v>45658.0</v>
      </c>
      <c r="H18" s="2">
        <v>45793.0</v>
      </c>
      <c r="I18" s="1" t="s">
        <v>14</v>
      </c>
      <c r="J18" s="1" t="s">
        <v>20</v>
      </c>
      <c r="K18" s="3">
        <v>100.0</v>
      </c>
    </row>
    <row r="19">
      <c r="A19" s="1" t="s">
        <v>16</v>
      </c>
      <c r="B19" s="1">
        <v>1.719562E7</v>
      </c>
      <c r="C19" s="1">
        <v>1.719562E7</v>
      </c>
      <c r="D19" s="1" t="s">
        <v>64</v>
      </c>
      <c r="E19" s="1" t="s">
        <v>65</v>
      </c>
      <c r="F19" s="1" t="s">
        <v>66</v>
      </c>
      <c r="G19" s="2">
        <v>45658.0</v>
      </c>
      <c r="H19" s="2">
        <v>45793.0</v>
      </c>
      <c r="I19" s="1" t="s">
        <v>14</v>
      </c>
      <c r="J19" s="1" t="s">
        <v>20</v>
      </c>
      <c r="K19" s="3">
        <v>100.0</v>
      </c>
    </row>
    <row r="20">
      <c r="A20" s="1" t="s">
        <v>16</v>
      </c>
      <c r="B20" s="1">
        <v>1.719562E7</v>
      </c>
      <c r="C20" s="1">
        <v>1.719562E7</v>
      </c>
      <c r="D20" s="1" t="s">
        <v>67</v>
      </c>
      <c r="E20" s="1" t="s">
        <v>65</v>
      </c>
      <c r="F20" s="1" t="s">
        <v>68</v>
      </c>
      <c r="G20" s="2">
        <v>45658.0</v>
      </c>
      <c r="H20" s="2">
        <v>45793.0</v>
      </c>
      <c r="I20" s="1" t="s">
        <v>14</v>
      </c>
      <c r="J20" s="1" t="s">
        <v>20</v>
      </c>
      <c r="K20" s="3">
        <v>100.0</v>
      </c>
    </row>
    <row r="21" ht="15.75" customHeight="1">
      <c r="A21" s="1" t="s">
        <v>16</v>
      </c>
      <c r="B21" s="1">
        <v>1.719562E7</v>
      </c>
      <c r="C21" s="1">
        <v>1.719562E7</v>
      </c>
      <c r="D21" s="1" t="s">
        <v>69</v>
      </c>
      <c r="E21" s="1" t="s">
        <v>70</v>
      </c>
      <c r="F21" s="1">
        <v>9.02802643E8</v>
      </c>
      <c r="G21" s="2">
        <v>45658.0</v>
      </c>
      <c r="H21" s="2">
        <v>45793.0</v>
      </c>
      <c r="I21" s="1" t="s">
        <v>14</v>
      </c>
      <c r="J21" s="1" t="s">
        <v>20</v>
      </c>
      <c r="K21" s="3">
        <v>100.0</v>
      </c>
    </row>
    <row r="22" ht="15.75" customHeight="1">
      <c r="A22" s="1" t="s">
        <v>16</v>
      </c>
      <c r="B22" s="1">
        <v>1.719562E7</v>
      </c>
      <c r="C22" s="1">
        <v>1.719562E7</v>
      </c>
      <c r="D22" s="1" t="s">
        <v>71</v>
      </c>
      <c r="E22" s="1" t="s">
        <v>72</v>
      </c>
      <c r="F22" s="1">
        <v>9.28964792E8</v>
      </c>
      <c r="G22" s="2">
        <v>45689.0</v>
      </c>
      <c r="H22" s="2">
        <v>45793.0</v>
      </c>
      <c r="I22" s="1" t="s">
        <v>14</v>
      </c>
      <c r="J22" s="1" t="s">
        <v>20</v>
      </c>
      <c r="K22" s="3">
        <v>100.0</v>
      </c>
    </row>
    <row r="23" ht="15.75" customHeight="1">
      <c r="A23" s="1" t="s">
        <v>16</v>
      </c>
      <c r="B23" s="1">
        <v>1.719562E7</v>
      </c>
      <c r="C23" s="1">
        <v>1.719562E7</v>
      </c>
      <c r="D23" s="1" t="s">
        <v>73</v>
      </c>
      <c r="E23" s="1" t="s">
        <v>74</v>
      </c>
      <c r="F23" s="1" t="s">
        <v>75</v>
      </c>
      <c r="G23" s="2">
        <v>45658.0</v>
      </c>
      <c r="H23" s="2">
        <v>45793.0</v>
      </c>
      <c r="I23" s="1" t="s">
        <v>14</v>
      </c>
      <c r="J23" s="1" t="s">
        <v>20</v>
      </c>
      <c r="K23" s="3">
        <v>100.0</v>
      </c>
    </row>
    <row r="24" ht="15.75" customHeight="1">
      <c r="A24" s="1" t="s">
        <v>16</v>
      </c>
      <c r="B24" s="1">
        <v>1.719562E7</v>
      </c>
      <c r="C24" s="1">
        <v>1.719562E7</v>
      </c>
      <c r="D24" s="1" t="s">
        <v>76</v>
      </c>
      <c r="E24" s="1" t="s">
        <v>77</v>
      </c>
      <c r="F24" s="1" t="s">
        <v>78</v>
      </c>
      <c r="G24" s="2">
        <v>45717.0</v>
      </c>
      <c r="H24" s="2">
        <v>45793.0</v>
      </c>
      <c r="I24" s="1" t="s">
        <v>14</v>
      </c>
      <c r="J24" s="1" t="s">
        <v>20</v>
      </c>
      <c r="K24" s="3">
        <v>100.0</v>
      </c>
    </row>
    <row r="25" ht="15.75" customHeight="1">
      <c r="A25" s="1" t="s">
        <v>11</v>
      </c>
      <c r="C25" s="1">
        <v>7387433.0</v>
      </c>
      <c r="D25" s="1" t="s">
        <v>79</v>
      </c>
      <c r="E25" s="1" t="s">
        <v>80</v>
      </c>
      <c r="F25" s="1">
        <v>9.02811667E8</v>
      </c>
      <c r="G25" s="2">
        <v>45748.0</v>
      </c>
      <c r="H25" s="2">
        <v>45793.0</v>
      </c>
      <c r="I25" s="1" t="s">
        <v>14</v>
      </c>
      <c r="J25" s="1" t="s">
        <v>20</v>
      </c>
      <c r="K25" s="3">
        <v>100.0</v>
      </c>
    </row>
    <row r="26" ht="15.75" customHeight="1">
      <c r="A26" s="1" t="s">
        <v>11</v>
      </c>
      <c r="C26" s="1">
        <v>7387433.0</v>
      </c>
      <c r="D26" s="1" t="s">
        <v>12</v>
      </c>
      <c r="E26" s="1" t="s">
        <v>13</v>
      </c>
      <c r="F26" s="1">
        <v>9.30230701E8</v>
      </c>
      <c r="G26" s="2">
        <v>45658.0</v>
      </c>
      <c r="H26" s="2">
        <v>45793.0</v>
      </c>
      <c r="I26" s="1" t="s">
        <v>14</v>
      </c>
      <c r="J26" s="1" t="s">
        <v>81</v>
      </c>
      <c r="K26" s="3">
        <v>-417.33</v>
      </c>
    </row>
    <row r="27" ht="15.75" customHeight="1">
      <c r="A27" s="1" t="s">
        <v>16</v>
      </c>
      <c r="B27" s="1">
        <v>1.719562E7</v>
      </c>
      <c r="C27" s="1">
        <v>1.719562E7</v>
      </c>
      <c r="D27" s="1" t="s">
        <v>21</v>
      </c>
      <c r="E27" s="1" t="s">
        <v>22</v>
      </c>
      <c r="F27" s="1" t="s">
        <v>82</v>
      </c>
      <c r="G27" s="2">
        <v>45658.0</v>
      </c>
      <c r="H27" s="2">
        <v>45793.0</v>
      </c>
      <c r="I27" s="1" t="s">
        <v>14</v>
      </c>
      <c r="J27" s="1" t="s">
        <v>83</v>
      </c>
      <c r="K27" s="3">
        <v>626.0</v>
      </c>
    </row>
    <row r="28" ht="15.75" customHeight="1">
      <c r="A28" s="1" t="s">
        <v>11</v>
      </c>
      <c r="C28" s="1">
        <v>7387433.0</v>
      </c>
      <c r="D28" s="1" t="s">
        <v>24</v>
      </c>
      <c r="E28" s="1" t="s">
        <v>25</v>
      </c>
      <c r="F28" s="1" t="s">
        <v>84</v>
      </c>
      <c r="G28" s="2">
        <v>45658.0</v>
      </c>
      <c r="H28" s="2">
        <v>45793.0</v>
      </c>
      <c r="I28" s="1" t="s">
        <v>14</v>
      </c>
      <c r="J28" s="1" t="s">
        <v>83</v>
      </c>
      <c r="K28" s="3">
        <v>626.0</v>
      </c>
    </row>
    <row r="29" ht="15.75" customHeight="1">
      <c r="A29" s="1" t="s">
        <v>11</v>
      </c>
      <c r="C29" s="1">
        <v>7387433.0</v>
      </c>
      <c r="D29" s="1" t="s">
        <v>12</v>
      </c>
      <c r="E29" s="1" t="s">
        <v>13</v>
      </c>
      <c r="F29" s="1" t="s">
        <v>85</v>
      </c>
      <c r="G29" s="2">
        <v>45658.0</v>
      </c>
      <c r="H29" s="2">
        <v>45793.0</v>
      </c>
      <c r="I29" s="1" t="s">
        <v>14</v>
      </c>
      <c r="J29" s="1" t="s">
        <v>83</v>
      </c>
      <c r="K29" s="3">
        <v>626.0</v>
      </c>
    </row>
    <row r="30" ht="15.75" customHeight="1">
      <c r="A30" s="1" t="s">
        <v>11</v>
      </c>
      <c r="C30" s="1">
        <v>7387433.0</v>
      </c>
      <c r="D30" s="1" t="s">
        <v>37</v>
      </c>
      <c r="E30" s="1" t="s">
        <v>38</v>
      </c>
      <c r="F30" s="1" t="s">
        <v>86</v>
      </c>
      <c r="G30" s="2">
        <v>45658.0</v>
      </c>
      <c r="H30" s="2">
        <v>45793.0</v>
      </c>
      <c r="I30" s="1" t="s">
        <v>14</v>
      </c>
      <c r="J30" s="1" t="s">
        <v>83</v>
      </c>
      <c r="K30" s="3">
        <v>626.0</v>
      </c>
    </row>
    <row r="31" ht="15.75" customHeight="1">
      <c r="A31" s="1" t="s">
        <v>16</v>
      </c>
      <c r="B31" s="1">
        <v>1.719562E7</v>
      </c>
      <c r="C31" s="1">
        <v>1.719562E7</v>
      </c>
      <c r="D31" s="1" t="s">
        <v>46</v>
      </c>
      <c r="E31" s="1" t="s">
        <v>47</v>
      </c>
      <c r="F31" s="1" t="s">
        <v>87</v>
      </c>
      <c r="G31" s="2">
        <v>45658.0</v>
      </c>
      <c r="H31" s="2">
        <v>45793.0</v>
      </c>
      <c r="I31" s="1" t="s">
        <v>14</v>
      </c>
      <c r="J31" s="1" t="s">
        <v>83</v>
      </c>
      <c r="K31" s="3">
        <v>626.0</v>
      </c>
    </row>
    <row r="32" ht="15.75" customHeight="1">
      <c r="A32" s="1" t="s">
        <v>11</v>
      </c>
      <c r="C32" s="1">
        <v>7387433.0</v>
      </c>
      <c r="D32" s="1" t="s">
        <v>52</v>
      </c>
      <c r="E32" s="1" t="s">
        <v>53</v>
      </c>
      <c r="F32" s="1" t="s">
        <v>88</v>
      </c>
      <c r="G32" s="2">
        <v>45658.0</v>
      </c>
      <c r="H32" s="2">
        <v>45793.0</v>
      </c>
      <c r="I32" s="1" t="s">
        <v>14</v>
      </c>
      <c r="J32" s="1" t="s">
        <v>83</v>
      </c>
      <c r="K32" s="3">
        <v>626.0</v>
      </c>
    </row>
    <row r="33" ht="15.75" customHeight="1">
      <c r="A33" s="1" t="s">
        <v>16</v>
      </c>
      <c r="B33" s="1">
        <v>1.719562E7</v>
      </c>
      <c r="C33" s="1">
        <v>1.719562E7</v>
      </c>
      <c r="D33" s="1" t="s">
        <v>76</v>
      </c>
      <c r="E33" s="1" t="s">
        <v>77</v>
      </c>
      <c r="F33" s="1" t="s">
        <v>89</v>
      </c>
      <c r="G33" s="2">
        <v>45717.0</v>
      </c>
      <c r="H33" s="2">
        <v>45793.0</v>
      </c>
      <c r="I33" s="1" t="s">
        <v>14</v>
      </c>
      <c r="J33" s="1" t="s">
        <v>90</v>
      </c>
      <c r="K33" s="3">
        <v>260.83</v>
      </c>
    </row>
    <row r="34" ht="15.75" customHeight="1">
      <c r="A34" s="1" t="s">
        <v>16</v>
      </c>
      <c r="B34" s="1">
        <v>1.719562E7</v>
      </c>
      <c r="C34" s="1">
        <v>1.719562E7</v>
      </c>
      <c r="D34" s="1" t="s">
        <v>71</v>
      </c>
      <c r="E34" s="1" t="s">
        <v>72</v>
      </c>
      <c r="F34" s="1">
        <v>9.28964792E8</v>
      </c>
      <c r="G34" s="2">
        <v>45689.0</v>
      </c>
      <c r="H34" s="2">
        <v>45793.0</v>
      </c>
      <c r="I34" s="1" t="s">
        <v>14</v>
      </c>
      <c r="J34" s="1" t="s">
        <v>91</v>
      </c>
      <c r="K34" s="3">
        <v>286.91</v>
      </c>
    </row>
    <row r="35" ht="15.75" customHeight="1">
      <c r="A35" s="1" t="s">
        <v>11</v>
      </c>
      <c r="C35" s="1">
        <v>7387433.0</v>
      </c>
      <c r="D35" s="1" t="s">
        <v>79</v>
      </c>
      <c r="E35" s="1" t="s">
        <v>80</v>
      </c>
      <c r="F35" s="1">
        <v>9.02811667E8</v>
      </c>
      <c r="G35" s="2">
        <v>45748.0</v>
      </c>
      <c r="H35" s="2">
        <v>45793.0</v>
      </c>
      <c r="I35" s="1" t="s">
        <v>14</v>
      </c>
      <c r="J35" s="1" t="s">
        <v>92</v>
      </c>
      <c r="K35" s="3">
        <v>234.75</v>
      </c>
    </row>
    <row r="36" ht="15.75" customHeight="1">
      <c r="A36" s="1" t="s">
        <v>16</v>
      </c>
      <c r="B36" s="1">
        <v>1.719562E7</v>
      </c>
      <c r="C36" s="1">
        <v>1.719562E7</v>
      </c>
      <c r="D36" s="1" t="s">
        <v>17</v>
      </c>
      <c r="E36" s="1" t="s">
        <v>18</v>
      </c>
      <c r="F36" s="1" t="s">
        <v>93</v>
      </c>
      <c r="G36" s="2">
        <v>45658.0</v>
      </c>
      <c r="H36" s="2">
        <v>45793.0</v>
      </c>
      <c r="I36" s="1" t="s">
        <v>14</v>
      </c>
      <c r="J36" s="1" t="s">
        <v>94</v>
      </c>
      <c r="K36" s="3">
        <v>313.0</v>
      </c>
    </row>
    <row r="37" ht="15.75" customHeight="1">
      <c r="A37" s="1" t="s">
        <v>11</v>
      </c>
      <c r="C37" s="1">
        <v>7387433.0</v>
      </c>
      <c r="D37" s="1" t="s">
        <v>27</v>
      </c>
      <c r="E37" s="1" t="s">
        <v>28</v>
      </c>
      <c r="F37" s="1" t="s">
        <v>95</v>
      </c>
      <c r="G37" s="2">
        <v>45658.0</v>
      </c>
      <c r="H37" s="2">
        <v>45793.0</v>
      </c>
      <c r="I37" s="1" t="s">
        <v>14</v>
      </c>
      <c r="J37" s="1" t="s">
        <v>94</v>
      </c>
      <c r="K37" s="3">
        <v>313.0</v>
      </c>
    </row>
    <row r="38" ht="15.75" customHeight="1">
      <c r="A38" s="1" t="s">
        <v>16</v>
      </c>
      <c r="B38" s="1">
        <v>1.719562E7</v>
      </c>
      <c r="C38" s="1">
        <v>1.719562E7</v>
      </c>
      <c r="D38" s="1" t="s">
        <v>30</v>
      </c>
      <c r="E38" s="1" t="s">
        <v>31</v>
      </c>
      <c r="F38" s="1" t="s">
        <v>96</v>
      </c>
      <c r="G38" s="2">
        <v>45658.0</v>
      </c>
      <c r="H38" s="2">
        <v>45793.0</v>
      </c>
      <c r="I38" s="1" t="s">
        <v>14</v>
      </c>
      <c r="J38" s="1" t="s">
        <v>94</v>
      </c>
      <c r="K38" s="3">
        <v>313.0</v>
      </c>
    </row>
    <row r="39" ht="15.75" customHeight="1">
      <c r="A39" s="1" t="s">
        <v>11</v>
      </c>
      <c r="C39" s="1">
        <v>7387433.0</v>
      </c>
      <c r="D39" s="1" t="s">
        <v>34</v>
      </c>
      <c r="E39" s="1" t="s">
        <v>35</v>
      </c>
      <c r="F39" s="1" t="s">
        <v>97</v>
      </c>
      <c r="G39" s="2">
        <v>45658.0</v>
      </c>
      <c r="H39" s="2">
        <v>45793.0</v>
      </c>
      <c r="I39" s="1" t="s">
        <v>14</v>
      </c>
      <c r="J39" s="1" t="s">
        <v>94</v>
      </c>
      <c r="K39" s="3">
        <v>313.0</v>
      </c>
    </row>
    <row r="40" ht="15.75" customHeight="1">
      <c r="A40" s="1" t="s">
        <v>16</v>
      </c>
      <c r="B40" s="1">
        <v>1.719562E7</v>
      </c>
      <c r="C40" s="1">
        <v>1.719562E7</v>
      </c>
      <c r="D40" s="1" t="s">
        <v>40</v>
      </c>
      <c r="E40" s="1" t="s">
        <v>41</v>
      </c>
      <c r="F40" s="1" t="s">
        <v>98</v>
      </c>
      <c r="G40" s="2">
        <v>45658.0</v>
      </c>
      <c r="H40" s="2">
        <v>45793.0</v>
      </c>
      <c r="I40" s="1" t="s">
        <v>14</v>
      </c>
      <c r="J40" s="1" t="s">
        <v>94</v>
      </c>
      <c r="K40" s="3">
        <v>313.0</v>
      </c>
    </row>
    <row r="41" ht="15.75" customHeight="1">
      <c r="A41" s="1" t="s">
        <v>11</v>
      </c>
      <c r="C41" s="1">
        <v>7387433.0</v>
      </c>
      <c r="D41" s="1" t="s">
        <v>43</v>
      </c>
      <c r="E41" s="1" t="s">
        <v>44</v>
      </c>
      <c r="F41" s="1" t="s">
        <v>99</v>
      </c>
      <c r="G41" s="2">
        <v>45658.0</v>
      </c>
      <c r="H41" s="2">
        <v>45793.0</v>
      </c>
      <c r="I41" s="1" t="s">
        <v>14</v>
      </c>
      <c r="J41" s="1" t="s">
        <v>94</v>
      </c>
      <c r="K41" s="3">
        <v>313.0</v>
      </c>
    </row>
    <row r="42" ht="15.75" customHeight="1">
      <c r="A42" s="1" t="s">
        <v>16</v>
      </c>
      <c r="B42" s="1">
        <v>1.719562E7</v>
      </c>
      <c r="C42" s="1">
        <v>1.719562E7</v>
      </c>
      <c r="D42" s="1" t="s">
        <v>49</v>
      </c>
      <c r="E42" s="1" t="s">
        <v>50</v>
      </c>
      <c r="F42" s="1" t="s">
        <v>100</v>
      </c>
      <c r="G42" s="2">
        <v>45658.0</v>
      </c>
      <c r="H42" s="2">
        <v>45793.0</v>
      </c>
      <c r="I42" s="1" t="s">
        <v>14</v>
      </c>
      <c r="J42" s="1" t="s">
        <v>94</v>
      </c>
      <c r="K42" s="3">
        <v>313.0</v>
      </c>
    </row>
    <row r="43" ht="15.75" customHeight="1">
      <c r="A43" s="1" t="s">
        <v>16</v>
      </c>
      <c r="B43" s="1">
        <v>1.719562E7</v>
      </c>
      <c r="C43" s="1">
        <v>1.719562E7</v>
      </c>
      <c r="D43" s="1" t="s">
        <v>55</v>
      </c>
      <c r="E43" s="1" t="s">
        <v>56</v>
      </c>
      <c r="F43" s="1" t="s">
        <v>101</v>
      </c>
      <c r="G43" s="2">
        <v>45658.0</v>
      </c>
      <c r="H43" s="2">
        <v>45793.0</v>
      </c>
      <c r="I43" s="1" t="s">
        <v>14</v>
      </c>
      <c r="J43" s="1" t="s">
        <v>94</v>
      </c>
      <c r="K43" s="3">
        <v>313.0</v>
      </c>
    </row>
    <row r="44" ht="15.75" customHeight="1">
      <c r="A44" s="1" t="s">
        <v>16</v>
      </c>
      <c r="B44" s="1">
        <v>1.719562E7</v>
      </c>
      <c r="C44" s="1">
        <v>1.719562E7</v>
      </c>
      <c r="D44" s="1" t="s">
        <v>58</v>
      </c>
      <c r="E44" s="1" t="s">
        <v>59</v>
      </c>
      <c r="F44" s="1" t="s">
        <v>102</v>
      </c>
      <c r="G44" s="2">
        <v>45658.0</v>
      </c>
      <c r="H44" s="2">
        <v>45793.0</v>
      </c>
      <c r="I44" s="1" t="s">
        <v>14</v>
      </c>
      <c r="J44" s="1" t="s">
        <v>94</v>
      </c>
      <c r="K44" s="3">
        <v>313.0</v>
      </c>
    </row>
    <row r="45" ht="15.75" customHeight="1">
      <c r="A45" s="1" t="s">
        <v>11</v>
      </c>
      <c r="C45" s="1">
        <v>7387433.0</v>
      </c>
      <c r="D45" s="1" t="s">
        <v>61</v>
      </c>
      <c r="E45" s="1" t="s">
        <v>62</v>
      </c>
      <c r="F45" s="1" t="s">
        <v>103</v>
      </c>
      <c r="G45" s="2">
        <v>45658.0</v>
      </c>
      <c r="H45" s="2">
        <v>45793.0</v>
      </c>
      <c r="I45" s="1" t="s">
        <v>14</v>
      </c>
      <c r="J45" s="1" t="s">
        <v>94</v>
      </c>
      <c r="K45" s="3">
        <v>313.0</v>
      </c>
    </row>
    <row r="46" ht="15.75" customHeight="1">
      <c r="A46" s="1" t="s">
        <v>16</v>
      </c>
      <c r="B46" s="1">
        <v>1.719562E7</v>
      </c>
      <c r="C46" s="1">
        <v>1.719562E7</v>
      </c>
      <c r="D46" s="1" t="s">
        <v>64</v>
      </c>
      <c r="E46" s="1" t="s">
        <v>65</v>
      </c>
      <c r="F46" s="1" t="s">
        <v>104</v>
      </c>
      <c r="G46" s="2">
        <v>45658.0</v>
      </c>
      <c r="H46" s="2">
        <v>45793.0</v>
      </c>
      <c r="I46" s="1" t="s">
        <v>14</v>
      </c>
      <c r="J46" s="1" t="s">
        <v>94</v>
      </c>
      <c r="K46" s="3">
        <v>313.0</v>
      </c>
    </row>
    <row r="47" ht="15.75" customHeight="1">
      <c r="A47" s="1" t="s">
        <v>16</v>
      </c>
      <c r="B47" s="1">
        <v>1.719562E7</v>
      </c>
      <c r="C47" s="1">
        <v>1.719562E7</v>
      </c>
      <c r="D47" s="1" t="s">
        <v>67</v>
      </c>
      <c r="E47" s="1" t="s">
        <v>65</v>
      </c>
      <c r="F47" s="1" t="s">
        <v>104</v>
      </c>
      <c r="G47" s="2">
        <v>45658.0</v>
      </c>
      <c r="H47" s="2">
        <v>45793.0</v>
      </c>
      <c r="I47" s="1" t="s">
        <v>14</v>
      </c>
      <c r="J47" s="1" t="s">
        <v>94</v>
      </c>
      <c r="K47" s="3">
        <v>313.0</v>
      </c>
    </row>
    <row r="48" ht="15.75" customHeight="1">
      <c r="A48" s="1" t="s">
        <v>16</v>
      </c>
      <c r="B48" s="1">
        <v>1.719562E7</v>
      </c>
      <c r="C48" s="1">
        <v>1.719562E7</v>
      </c>
      <c r="D48" s="1" t="s">
        <v>69</v>
      </c>
      <c r="E48" s="1" t="s">
        <v>70</v>
      </c>
      <c r="F48" s="1">
        <v>9.02802643E8</v>
      </c>
      <c r="G48" s="2">
        <v>45658.0</v>
      </c>
      <c r="H48" s="2">
        <v>45793.0</v>
      </c>
      <c r="I48" s="1" t="s">
        <v>14</v>
      </c>
      <c r="J48" s="1" t="s">
        <v>94</v>
      </c>
      <c r="K48" s="3">
        <v>313.0</v>
      </c>
    </row>
    <row r="49" ht="15.75" customHeight="1">
      <c r="A49" s="1" t="s">
        <v>16</v>
      </c>
      <c r="B49" s="1">
        <v>1.719562E7</v>
      </c>
      <c r="C49" s="1">
        <v>1.719562E7</v>
      </c>
      <c r="D49" s="1" t="s">
        <v>73</v>
      </c>
      <c r="E49" s="1" t="s">
        <v>74</v>
      </c>
      <c r="F49" s="1" t="s">
        <v>105</v>
      </c>
      <c r="G49" s="2">
        <v>45658.0</v>
      </c>
      <c r="H49" s="2">
        <v>45793.0</v>
      </c>
      <c r="I49" s="1" t="s">
        <v>14</v>
      </c>
      <c r="J49" s="1" t="s">
        <v>94</v>
      </c>
      <c r="K49" s="3">
        <v>313.0</v>
      </c>
    </row>
    <row r="50" ht="15.75" customHeight="1">
      <c r="A50" s="4" t="s">
        <v>16</v>
      </c>
      <c r="B50" s="4"/>
      <c r="C50" s="4">
        <v>1.719562E7</v>
      </c>
      <c r="D50" s="4" t="s">
        <v>58</v>
      </c>
      <c r="E50" s="4" t="s">
        <v>59</v>
      </c>
      <c r="F50" s="4"/>
      <c r="G50" s="5">
        <v>45658.0</v>
      </c>
      <c r="H50" s="5">
        <v>45793.0</v>
      </c>
      <c r="I50" s="4" t="s">
        <v>106</v>
      </c>
      <c r="J50" s="4" t="s">
        <v>107</v>
      </c>
      <c r="K50" s="6">
        <v>100.0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16</v>
      </c>
      <c r="B51" s="4"/>
      <c r="C51" s="4">
        <v>1.719562E7</v>
      </c>
      <c r="D51" s="4" t="s">
        <v>49</v>
      </c>
      <c r="E51" s="4" t="s">
        <v>50</v>
      </c>
      <c r="F51" s="4"/>
      <c r="G51" s="5">
        <v>45658.0</v>
      </c>
      <c r="H51" s="5">
        <v>45793.0</v>
      </c>
      <c r="I51" s="4" t="s">
        <v>106</v>
      </c>
      <c r="J51" s="4" t="s">
        <v>107</v>
      </c>
      <c r="K51" s="6">
        <v>100.0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0.71"/>
    <col customWidth="1" min="3" max="3" width="13.43"/>
    <col customWidth="1" min="4" max="4" width="11.57"/>
    <col customWidth="1" min="5" max="5" width="14.57"/>
    <col customWidth="1" min="6" max="6" width="24.29"/>
    <col customWidth="1" min="7" max="7" width="25.29"/>
    <col customWidth="1" min="8" max="8" width="11.86"/>
    <col customWidth="1" min="9" max="9" width="14.71"/>
    <col customWidth="1" min="10" max="10" width="14.29"/>
    <col customWidth="1" min="11" max="11" width="61.0"/>
    <col customWidth="1" min="12" max="12" width="15.71"/>
    <col customWidth="1" min="13" max="13" width="20.14"/>
    <col customWidth="1" min="14" max="14" width="24.14"/>
    <col customWidth="1" min="15" max="15" width="9.14"/>
    <col customWidth="1" min="16" max="26" width="8.71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/>
      <c r="F1" s="7" t="s">
        <v>5</v>
      </c>
      <c r="G1" s="7"/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108</v>
      </c>
      <c r="B2" s="7">
        <v>2.0411454E7</v>
      </c>
      <c r="C2" s="7" t="s">
        <v>55</v>
      </c>
      <c r="D2" s="7" t="s">
        <v>56</v>
      </c>
      <c r="E2" s="7" t="str">
        <f t="shared" ref="E2:E49" si="1">CONCATENATE(C2, " ",D2)</f>
        <v>Alfreedia Rogers</v>
      </c>
      <c r="F2" s="7" t="s">
        <v>57</v>
      </c>
      <c r="G2" s="7" t="str">
        <f>CONCATENATE(F2,1)</f>
        <v>CareFirstMA0131202520061</v>
      </c>
      <c r="H2" s="8">
        <v>45658.0</v>
      </c>
      <c r="I2" s="8">
        <v>45793.0</v>
      </c>
      <c r="J2" s="7" t="s">
        <v>14</v>
      </c>
      <c r="K2" s="7" t="s">
        <v>20</v>
      </c>
      <c r="L2" s="9">
        <v>100.0</v>
      </c>
      <c r="M2" s="7" t="s">
        <v>109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16</v>
      </c>
      <c r="B3" s="7">
        <v>1.719562E7</v>
      </c>
      <c r="C3" s="7" t="s">
        <v>55</v>
      </c>
      <c r="D3" s="7" t="s">
        <v>56</v>
      </c>
      <c r="E3" s="7" t="str">
        <f t="shared" si="1"/>
        <v>Alfreedia Rogers</v>
      </c>
      <c r="F3" s="7" t="s">
        <v>101</v>
      </c>
      <c r="G3" s="7" t="s">
        <v>101</v>
      </c>
      <c r="H3" s="8">
        <v>45658.0</v>
      </c>
      <c r="I3" s="8">
        <v>45793.0</v>
      </c>
      <c r="J3" s="7" t="s">
        <v>14</v>
      </c>
      <c r="K3" s="7" t="s">
        <v>94</v>
      </c>
      <c r="L3" s="9">
        <v>313.0</v>
      </c>
      <c r="M3" s="7" t="s">
        <v>110</v>
      </c>
      <c r="N3" s="7" t="s">
        <v>111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108</v>
      </c>
      <c r="B4" s="7">
        <v>2.0411454E7</v>
      </c>
      <c r="C4" s="7" t="s">
        <v>21</v>
      </c>
      <c r="D4" s="7" t="s">
        <v>22</v>
      </c>
      <c r="E4" s="7" t="str">
        <f t="shared" si="1"/>
        <v>Andrew Arnold</v>
      </c>
      <c r="F4" s="7" t="s">
        <v>23</v>
      </c>
      <c r="G4" s="7" t="str">
        <f>CONCATENATE(F4,1)</f>
        <v>CareFirstMA0131202520071</v>
      </c>
      <c r="H4" s="8">
        <v>45658.0</v>
      </c>
      <c r="I4" s="8">
        <v>45793.0</v>
      </c>
      <c r="J4" s="7" t="s">
        <v>14</v>
      </c>
      <c r="K4" s="7" t="s">
        <v>20</v>
      </c>
      <c r="L4" s="9">
        <v>100.0</v>
      </c>
      <c r="M4" s="7" t="s">
        <v>109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16</v>
      </c>
      <c r="B5" s="7">
        <v>1.719562E7</v>
      </c>
      <c r="C5" s="7" t="s">
        <v>21</v>
      </c>
      <c r="D5" s="7" t="s">
        <v>22</v>
      </c>
      <c r="E5" s="7" t="str">
        <f t="shared" si="1"/>
        <v>Andrew Arnold</v>
      </c>
      <c r="F5" s="7" t="s">
        <v>82</v>
      </c>
      <c r="G5" s="7" t="str">
        <f>CONCATENATE(F5,8)</f>
        <v>CareFirstMA0131202520178</v>
      </c>
      <c r="H5" s="8">
        <v>45658.0</v>
      </c>
      <c r="I5" s="8">
        <v>45793.0</v>
      </c>
      <c r="J5" s="7" t="s">
        <v>14</v>
      </c>
      <c r="K5" s="7" t="s">
        <v>83</v>
      </c>
      <c r="L5" s="9">
        <v>626.0</v>
      </c>
      <c r="M5" s="7" t="s">
        <v>112</v>
      </c>
      <c r="N5" s="7" t="s">
        <v>113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108</v>
      </c>
      <c r="B6" s="7">
        <v>2.0411454E7</v>
      </c>
      <c r="C6" s="7" t="s">
        <v>40</v>
      </c>
      <c r="D6" s="7" t="s">
        <v>41</v>
      </c>
      <c r="E6" s="7" t="str">
        <f t="shared" si="1"/>
        <v>Annmarie Kearse</v>
      </c>
      <c r="F6" s="7" t="s">
        <v>42</v>
      </c>
      <c r="G6" s="7" t="str">
        <f>CONCATENATE(F6,1)</f>
        <v>CareFirstMA0131202520081</v>
      </c>
      <c r="H6" s="8">
        <v>45658.0</v>
      </c>
      <c r="I6" s="8">
        <v>45793.0</v>
      </c>
      <c r="J6" s="7" t="s">
        <v>14</v>
      </c>
      <c r="K6" s="7" t="s">
        <v>20</v>
      </c>
      <c r="L6" s="9">
        <v>100.0</v>
      </c>
      <c r="M6" s="7" t="s">
        <v>109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16</v>
      </c>
      <c r="B7" s="7">
        <v>1.719562E7</v>
      </c>
      <c r="C7" s="7" t="s">
        <v>40</v>
      </c>
      <c r="D7" s="7" t="s">
        <v>41</v>
      </c>
      <c r="E7" s="7" t="str">
        <f t="shared" si="1"/>
        <v>Annmarie Kearse</v>
      </c>
      <c r="F7" s="7" t="s">
        <v>98</v>
      </c>
      <c r="G7" s="7" t="s">
        <v>98</v>
      </c>
      <c r="H7" s="8">
        <v>45658.0</v>
      </c>
      <c r="I7" s="8">
        <v>45793.0</v>
      </c>
      <c r="J7" s="7" t="s">
        <v>14</v>
      </c>
      <c r="K7" s="7" t="s">
        <v>94</v>
      </c>
      <c r="L7" s="9">
        <v>313.0</v>
      </c>
      <c r="M7" s="7" t="s">
        <v>110</v>
      </c>
      <c r="N7" s="7" t="s">
        <v>111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108</v>
      </c>
      <c r="B8" s="7">
        <v>2.0411454E7</v>
      </c>
      <c r="C8" s="7" t="s">
        <v>30</v>
      </c>
      <c r="D8" s="7" t="s">
        <v>31</v>
      </c>
      <c r="E8" s="7" t="str">
        <f t="shared" si="1"/>
        <v>Arron Davis</v>
      </c>
      <c r="F8" s="7" t="s">
        <v>32</v>
      </c>
      <c r="G8" s="7" t="str">
        <f>CONCATENATE(F8,1)</f>
        <v>CareFirstMA0131202520091</v>
      </c>
      <c r="H8" s="8">
        <v>45658.0</v>
      </c>
      <c r="I8" s="8">
        <v>45793.0</v>
      </c>
      <c r="J8" s="7" t="s">
        <v>14</v>
      </c>
      <c r="K8" s="7" t="s">
        <v>20</v>
      </c>
      <c r="L8" s="9">
        <v>100.0</v>
      </c>
      <c r="M8" s="7" t="s">
        <v>109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16</v>
      </c>
      <c r="B9" s="7">
        <v>1.719562E7</v>
      </c>
      <c r="C9" s="7" t="s">
        <v>30</v>
      </c>
      <c r="D9" s="7" t="s">
        <v>31</v>
      </c>
      <c r="E9" s="7" t="str">
        <f t="shared" si="1"/>
        <v>Arron Davis</v>
      </c>
      <c r="F9" s="7" t="s">
        <v>96</v>
      </c>
      <c r="G9" s="7" t="s">
        <v>96</v>
      </c>
      <c r="H9" s="8">
        <v>45658.0</v>
      </c>
      <c r="I9" s="8">
        <v>45793.0</v>
      </c>
      <c r="J9" s="7" t="s">
        <v>14</v>
      </c>
      <c r="K9" s="7" t="s">
        <v>94</v>
      </c>
      <c r="L9" s="9">
        <v>313.0</v>
      </c>
      <c r="M9" s="7" t="s">
        <v>110</v>
      </c>
      <c r="N9" s="7" t="s">
        <v>111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108</v>
      </c>
      <c r="B10" s="7">
        <v>2.0411454E7</v>
      </c>
      <c r="C10" s="7" t="s">
        <v>79</v>
      </c>
      <c r="D10" s="7" t="s">
        <v>80</v>
      </c>
      <c r="E10" s="7" t="str">
        <f t="shared" si="1"/>
        <v>Brian Crabill</v>
      </c>
      <c r="F10" s="7">
        <v>9.02811667E8</v>
      </c>
      <c r="G10" s="7" t="str">
        <f>CONCATENATE(F10,1)</f>
        <v>9028116671</v>
      </c>
      <c r="H10" s="8">
        <v>45748.0</v>
      </c>
      <c r="I10" s="8">
        <v>45793.0</v>
      </c>
      <c r="J10" s="7" t="s">
        <v>14</v>
      </c>
      <c r="K10" s="7" t="s">
        <v>20</v>
      </c>
      <c r="L10" s="9">
        <v>100.0</v>
      </c>
      <c r="M10" s="7" t="s">
        <v>109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11</v>
      </c>
      <c r="B11" s="7">
        <v>7387433.0</v>
      </c>
      <c r="C11" s="7" t="s">
        <v>79</v>
      </c>
      <c r="D11" s="7" t="s">
        <v>80</v>
      </c>
      <c r="E11" s="7" t="str">
        <f t="shared" si="1"/>
        <v>Brian Crabill</v>
      </c>
      <c r="F11" s="7">
        <v>9.02811667E8</v>
      </c>
      <c r="G11" s="7">
        <v>9.02811667E8</v>
      </c>
      <c r="H11" s="8">
        <v>45748.0</v>
      </c>
      <c r="I11" s="8">
        <v>45793.0</v>
      </c>
      <c r="J11" s="7" t="s">
        <v>14</v>
      </c>
      <c r="K11" s="7" t="s">
        <v>92</v>
      </c>
      <c r="L11" s="9">
        <v>234.75</v>
      </c>
      <c r="M11" s="7" t="s">
        <v>110</v>
      </c>
      <c r="N11" s="7" t="s">
        <v>114</v>
      </c>
      <c r="O11" s="7">
        <f>313/12*9</f>
        <v>234.75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108</v>
      </c>
      <c r="B12" s="7">
        <v>2.0411454E7</v>
      </c>
      <c r="C12" s="7" t="s">
        <v>24</v>
      </c>
      <c r="D12" s="7" t="s">
        <v>25</v>
      </c>
      <c r="E12" s="7" t="str">
        <f t="shared" si="1"/>
        <v>Cheryl Bailey</v>
      </c>
      <c r="F12" s="7" t="s">
        <v>26</v>
      </c>
      <c r="G12" s="7" t="str">
        <f>CONCATENATE(F12,1)</f>
        <v>CareFirstMA0131202504221</v>
      </c>
      <c r="H12" s="8">
        <v>45658.0</v>
      </c>
      <c r="I12" s="8">
        <v>45793.0</v>
      </c>
      <c r="J12" s="7" t="s">
        <v>14</v>
      </c>
      <c r="K12" s="7" t="s">
        <v>20</v>
      </c>
      <c r="L12" s="9">
        <v>100.0</v>
      </c>
      <c r="M12" s="7" t="s">
        <v>109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11</v>
      </c>
      <c r="B13" s="7">
        <v>7387433.0</v>
      </c>
      <c r="C13" s="7" t="s">
        <v>24</v>
      </c>
      <c r="D13" s="7" t="s">
        <v>25</v>
      </c>
      <c r="E13" s="7" t="str">
        <f t="shared" si="1"/>
        <v>Cheryl Bailey</v>
      </c>
      <c r="F13" s="7" t="s">
        <v>84</v>
      </c>
      <c r="G13" s="7" t="str">
        <f>CONCATENATE(F13,8)</f>
        <v>CareFirstMA0131202504308</v>
      </c>
      <c r="H13" s="8">
        <v>45658.0</v>
      </c>
      <c r="I13" s="8">
        <v>45793.0</v>
      </c>
      <c r="J13" s="7" t="s">
        <v>14</v>
      </c>
      <c r="K13" s="7" t="s">
        <v>83</v>
      </c>
      <c r="L13" s="9">
        <v>626.0</v>
      </c>
      <c r="M13" s="7" t="s">
        <v>112</v>
      </c>
      <c r="N13" s="7" t="s">
        <v>113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108</v>
      </c>
      <c r="B14" s="7">
        <v>2.0411454E7</v>
      </c>
      <c r="C14" s="7" t="s">
        <v>76</v>
      </c>
      <c r="D14" s="7" t="s">
        <v>77</v>
      </c>
      <c r="E14" s="7" t="str">
        <f t="shared" si="1"/>
        <v>Chris Resh</v>
      </c>
      <c r="F14" s="7" t="s">
        <v>78</v>
      </c>
      <c r="G14" s="7" t="str">
        <f>CONCATENATE(F14,1)</f>
        <v>CareFirstMA0331202500641</v>
      </c>
      <c r="H14" s="8">
        <v>45717.0</v>
      </c>
      <c r="I14" s="8">
        <v>45793.0</v>
      </c>
      <c r="J14" s="7" t="s">
        <v>14</v>
      </c>
      <c r="K14" s="7" t="s">
        <v>20</v>
      </c>
      <c r="L14" s="9">
        <v>100.0</v>
      </c>
      <c r="M14" s="7" t="s">
        <v>109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16</v>
      </c>
      <c r="B15" s="7">
        <v>1.719562E7</v>
      </c>
      <c r="C15" s="7" t="s">
        <v>76</v>
      </c>
      <c r="D15" s="7" t="s">
        <v>77</v>
      </c>
      <c r="E15" s="7" t="str">
        <f t="shared" si="1"/>
        <v>Chris Resh</v>
      </c>
      <c r="F15" s="7" t="s">
        <v>89</v>
      </c>
      <c r="G15" s="7" t="s">
        <v>89</v>
      </c>
      <c r="H15" s="8">
        <v>45717.0</v>
      </c>
      <c r="I15" s="8">
        <v>45793.0</v>
      </c>
      <c r="J15" s="7" t="s">
        <v>14</v>
      </c>
      <c r="K15" s="7" t="s">
        <v>90</v>
      </c>
      <c r="L15" s="9">
        <v>260.83</v>
      </c>
      <c r="M15" s="7" t="s">
        <v>110</v>
      </c>
      <c r="N15" s="7" t="s">
        <v>115</v>
      </c>
      <c r="O15" s="7">
        <f>313/12*10</f>
        <v>260.8333333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108</v>
      </c>
      <c r="B16" s="7">
        <v>2.0411454E7</v>
      </c>
      <c r="C16" s="7" t="s">
        <v>52</v>
      </c>
      <c r="D16" s="7" t="s">
        <v>53</v>
      </c>
      <c r="E16" s="7" t="str">
        <f t="shared" si="1"/>
        <v>Darlene Porter</v>
      </c>
      <c r="F16" s="7" t="s">
        <v>54</v>
      </c>
      <c r="G16" s="7" t="str">
        <f>CONCATENATE(F16,1)</f>
        <v>CareFirstMA0131202504231</v>
      </c>
      <c r="H16" s="8">
        <v>45658.0</v>
      </c>
      <c r="I16" s="8">
        <v>45793.0</v>
      </c>
      <c r="J16" s="7" t="s">
        <v>14</v>
      </c>
      <c r="K16" s="7" t="s">
        <v>20</v>
      </c>
      <c r="L16" s="9">
        <v>100.0</v>
      </c>
      <c r="M16" s="7" t="s">
        <v>109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11</v>
      </c>
      <c r="B17" s="7">
        <v>7387433.0</v>
      </c>
      <c r="C17" s="7" t="s">
        <v>52</v>
      </c>
      <c r="D17" s="7" t="s">
        <v>53</v>
      </c>
      <c r="E17" s="7" t="str">
        <f t="shared" si="1"/>
        <v>Darlene Porter</v>
      </c>
      <c r="F17" s="7" t="s">
        <v>88</v>
      </c>
      <c r="G17" s="7" t="str">
        <f>CONCATENATE(F17,8)</f>
        <v>CareFirstMA0131202504318</v>
      </c>
      <c r="H17" s="8">
        <v>45658.0</v>
      </c>
      <c r="I17" s="8">
        <v>45793.0</v>
      </c>
      <c r="J17" s="7" t="s">
        <v>14</v>
      </c>
      <c r="K17" s="7" t="s">
        <v>83</v>
      </c>
      <c r="L17" s="9">
        <v>626.0</v>
      </c>
      <c r="M17" s="7" t="s">
        <v>112</v>
      </c>
      <c r="N17" s="7" t="s">
        <v>113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">
        <v>108</v>
      </c>
      <c r="B18" s="7">
        <v>2.0411454E7</v>
      </c>
      <c r="C18" s="7" t="s">
        <v>43</v>
      </c>
      <c r="D18" s="7" t="s">
        <v>44</v>
      </c>
      <c r="E18" s="7" t="str">
        <f t="shared" si="1"/>
        <v>Eastlynne Murray</v>
      </c>
      <c r="F18" s="7" t="s">
        <v>45</v>
      </c>
      <c r="G18" s="7" t="str">
        <f>CONCATENATE(F18,1)</f>
        <v>CareFirstMA0131202504241</v>
      </c>
      <c r="H18" s="8">
        <v>45658.0</v>
      </c>
      <c r="I18" s="8">
        <v>45793.0</v>
      </c>
      <c r="J18" s="7" t="s">
        <v>14</v>
      </c>
      <c r="K18" s="7" t="s">
        <v>20</v>
      </c>
      <c r="L18" s="9">
        <v>100.0</v>
      </c>
      <c r="M18" s="7" t="s">
        <v>109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">
        <v>11</v>
      </c>
      <c r="B19" s="7">
        <v>7387433.0</v>
      </c>
      <c r="C19" s="7" t="s">
        <v>43</v>
      </c>
      <c r="D19" s="7" t="s">
        <v>44</v>
      </c>
      <c r="E19" s="7" t="str">
        <f t="shared" si="1"/>
        <v>Eastlynne Murray</v>
      </c>
      <c r="F19" s="7" t="s">
        <v>99</v>
      </c>
      <c r="G19" s="7" t="s">
        <v>99</v>
      </c>
      <c r="H19" s="8">
        <v>45658.0</v>
      </c>
      <c r="I19" s="8">
        <v>45793.0</v>
      </c>
      <c r="J19" s="7" t="s">
        <v>14</v>
      </c>
      <c r="K19" s="7" t="s">
        <v>94</v>
      </c>
      <c r="L19" s="9">
        <v>313.0</v>
      </c>
      <c r="M19" s="7" t="s">
        <v>110</v>
      </c>
      <c r="N19" s="7" t="s">
        <v>111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108</v>
      </c>
      <c r="B20" s="7">
        <v>2.0411454E7</v>
      </c>
      <c r="C20" s="7" t="s">
        <v>64</v>
      </c>
      <c r="D20" s="7" t="s">
        <v>65</v>
      </c>
      <c r="E20" s="7" t="str">
        <f t="shared" si="1"/>
        <v>Herbert Ward</v>
      </c>
      <c r="F20" s="7" t="s">
        <v>66</v>
      </c>
      <c r="G20" s="7" t="str">
        <f>CONCATENATE(F20,1)</f>
        <v>CareFirstMA0131202520101</v>
      </c>
      <c r="H20" s="8">
        <v>45658.0</v>
      </c>
      <c r="I20" s="8">
        <v>45793.0</v>
      </c>
      <c r="J20" s="7" t="s">
        <v>14</v>
      </c>
      <c r="K20" s="7" t="s">
        <v>20</v>
      </c>
      <c r="L20" s="9">
        <v>100.0</v>
      </c>
      <c r="M20" s="7" t="s">
        <v>109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 t="s">
        <v>16</v>
      </c>
      <c r="B21" s="7">
        <v>1.719562E7</v>
      </c>
      <c r="C21" s="7" t="s">
        <v>64</v>
      </c>
      <c r="D21" s="7" t="s">
        <v>65</v>
      </c>
      <c r="E21" s="7" t="str">
        <f t="shared" si="1"/>
        <v>Herbert Ward</v>
      </c>
      <c r="F21" s="7" t="s">
        <v>104</v>
      </c>
      <c r="G21" s="7" t="s">
        <v>104</v>
      </c>
      <c r="H21" s="8">
        <v>45658.0</v>
      </c>
      <c r="I21" s="8">
        <v>45793.0</v>
      </c>
      <c r="J21" s="7" t="s">
        <v>14</v>
      </c>
      <c r="K21" s="7" t="s">
        <v>94</v>
      </c>
      <c r="L21" s="9">
        <v>313.0</v>
      </c>
      <c r="M21" s="7" t="s">
        <v>110</v>
      </c>
      <c r="N21" s="7" t="s">
        <v>111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108</v>
      </c>
      <c r="B22" s="7">
        <v>2.0411454E7</v>
      </c>
      <c r="C22" s="7" t="s">
        <v>12</v>
      </c>
      <c r="D22" s="7" t="s">
        <v>13</v>
      </c>
      <c r="E22" s="7" t="str">
        <f t="shared" si="1"/>
        <v>Janet Dempsey</v>
      </c>
      <c r="F22" s="7">
        <v>9.30230701E8</v>
      </c>
      <c r="G22" s="7" t="str">
        <f t="shared" ref="G22:G23" si="2">CONCATENATE(F22,1)</f>
        <v>9302307011</v>
      </c>
      <c r="H22" s="8">
        <v>45658.0</v>
      </c>
      <c r="I22" s="8">
        <v>45793.0</v>
      </c>
      <c r="J22" s="7" t="s">
        <v>14</v>
      </c>
      <c r="K22" s="7" t="s">
        <v>15</v>
      </c>
      <c r="L22" s="9">
        <v>-66.66</v>
      </c>
      <c r="M22" s="7" t="s">
        <v>109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108</v>
      </c>
      <c r="B23" s="7">
        <v>2.0411454E7</v>
      </c>
      <c r="C23" s="7" t="s">
        <v>12</v>
      </c>
      <c r="D23" s="7" t="s">
        <v>13</v>
      </c>
      <c r="E23" s="7" t="str">
        <f t="shared" si="1"/>
        <v>Janet Dempsey</v>
      </c>
      <c r="F23" s="7" t="s">
        <v>33</v>
      </c>
      <c r="G23" s="7" t="str">
        <f t="shared" si="2"/>
        <v>CareFirstMA0131202504251</v>
      </c>
      <c r="H23" s="8">
        <v>45658.0</v>
      </c>
      <c r="I23" s="8">
        <v>45793.0</v>
      </c>
      <c r="J23" s="7" t="s">
        <v>14</v>
      </c>
      <c r="K23" s="7" t="s">
        <v>20</v>
      </c>
      <c r="L23" s="9">
        <v>100.0</v>
      </c>
      <c r="M23" s="7" t="s">
        <v>109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11</v>
      </c>
      <c r="B24" s="7">
        <v>7387433.0</v>
      </c>
      <c r="C24" s="7" t="s">
        <v>12</v>
      </c>
      <c r="D24" s="7" t="s">
        <v>13</v>
      </c>
      <c r="E24" s="7" t="str">
        <f t="shared" si="1"/>
        <v>Janet Dempsey</v>
      </c>
      <c r="F24" s="7">
        <v>9.30230701E8</v>
      </c>
      <c r="G24" s="7" t="str">
        <f t="shared" ref="G24:G25" si="3">CONCATENATE(F24,8)</f>
        <v>9302307018</v>
      </c>
      <c r="H24" s="8">
        <v>45658.0</v>
      </c>
      <c r="I24" s="8">
        <v>45793.0</v>
      </c>
      <c r="J24" s="7" t="s">
        <v>14</v>
      </c>
      <c r="K24" s="7" t="s">
        <v>81</v>
      </c>
      <c r="L24" s="9">
        <v>-417.33</v>
      </c>
      <c r="M24" s="7" t="s">
        <v>112</v>
      </c>
      <c r="N24" s="7" t="s">
        <v>116</v>
      </c>
      <c r="O24" s="7">
        <f>626/12*8</f>
        <v>417.3333333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11</v>
      </c>
      <c r="B25" s="7">
        <v>7387433.0</v>
      </c>
      <c r="C25" s="7" t="s">
        <v>12</v>
      </c>
      <c r="D25" s="7" t="s">
        <v>13</v>
      </c>
      <c r="E25" s="7" t="str">
        <f t="shared" si="1"/>
        <v>Janet Dempsey</v>
      </c>
      <c r="F25" s="7" t="s">
        <v>85</v>
      </c>
      <c r="G25" s="7" t="str">
        <f t="shared" si="3"/>
        <v>CareFirstMA0131202504338</v>
      </c>
      <c r="H25" s="8">
        <v>45658.0</v>
      </c>
      <c r="I25" s="8">
        <v>45793.0</v>
      </c>
      <c r="J25" s="7" t="s">
        <v>14</v>
      </c>
      <c r="K25" s="7" t="s">
        <v>83</v>
      </c>
      <c r="L25" s="9">
        <v>626.0</v>
      </c>
      <c r="M25" s="7" t="s">
        <v>112</v>
      </c>
      <c r="N25" s="7" t="s">
        <v>113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108</v>
      </c>
      <c r="B26" s="7">
        <v>2.0411454E7</v>
      </c>
      <c r="C26" s="7" t="s">
        <v>67</v>
      </c>
      <c r="D26" s="7" t="s">
        <v>65</v>
      </c>
      <c r="E26" s="7" t="str">
        <f t="shared" si="1"/>
        <v>Jennifer Ward</v>
      </c>
      <c r="F26" s="7" t="s">
        <v>68</v>
      </c>
      <c r="G26" s="7" t="str">
        <f>CONCATENATE(F26,1)</f>
        <v>CareFirstMA0131202520111</v>
      </c>
      <c r="H26" s="8">
        <v>45658.0</v>
      </c>
      <c r="I26" s="8">
        <v>45793.0</v>
      </c>
      <c r="J26" s="7" t="s">
        <v>14</v>
      </c>
      <c r="K26" s="7" t="s">
        <v>20</v>
      </c>
      <c r="L26" s="9">
        <v>100.0</v>
      </c>
      <c r="M26" s="7" t="s">
        <v>109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16</v>
      </c>
      <c r="B27" s="7">
        <v>1.719562E7</v>
      </c>
      <c r="C27" s="7" t="s">
        <v>67</v>
      </c>
      <c r="D27" s="7" t="s">
        <v>65</v>
      </c>
      <c r="E27" s="7" t="str">
        <f t="shared" si="1"/>
        <v>Jennifer Ward</v>
      </c>
      <c r="F27" s="7" t="s">
        <v>104</v>
      </c>
      <c r="G27" s="7" t="s">
        <v>104</v>
      </c>
      <c r="H27" s="8">
        <v>45658.0</v>
      </c>
      <c r="I27" s="8">
        <v>45793.0</v>
      </c>
      <c r="J27" s="7" t="s">
        <v>14</v>
      </c>
      <c r="K27" s="7" t="s">
        <v>94</v>
      </c>
      <c r="L27" s="9">
        <v>313.0</v>
      </c>
      <c r="M27" s="7" t="s">
        <v>110</v>
      </c>
      <c r="N27" s="7" t="s">
        <v>111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108</v>
      </c>
      <c r="B28" s="7">
        <v>2.0411454E7</v>
      </c>
      <c r="C28" s="7" t="s">
        <v>34</v>
      </c>
      <c r="D28" s="7" t="s">
        <v>35</v>
      </c>
      <c r="E28" s="7" t="str">
        <f t="shared" si="1"/>
        <v>John Green</v>
      </c>
      <c r="F28" s="7" t="s">
        <v>36</v>
      </c>
      <c r="G28" s="7" t="str">
        <f>CONCATENATE(F28,1)</f>
        <v>CareFirstMA0131202504261</v>
      </c>
      <c r="H28" s="8">
        <v>45658.0</v>
      </c>
      <c r="I28" s="8">
        <v>45793.0</v>
      </c>
      <c r="J28" s="7" t="s">
        <v>14</v>
      </c>
      <c r="K28" s="7" t="s">
        <v>20</v>
      </c>
      <c r="L28" s="9">
        <v>100.0</v>
      </c>
      <c r="M28" s="7" t="s">
        <v>109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11</v>
      </c>
      <c r="B29" s="7">
        <v>7387433.0</v>
      </c>
      <c r="C29" s="7" t="s">
        <v>34</v>
      </c>
      <c r="D29" s="7" t="s">
        <v>35</v>
      </c>
      <c r="E29" s="7" t="str">
        <f t="shared" si="1"/>
        <v>John Green</v>
      </c>
      <c r="F29" s="7" t="s">
        <v>97</v>
      </c>
      <c r="G29" s="7" t="s">
        <v>97</v>
      </c>
      <c r="H29" s="8">
        <v>45658.0</v>
      </c>
      <c r="I29" s="8">
        <v>45793.0</v>
      </c>
      <c r="J29" s="7" t="s">
        <v>14</v>
      </c>
      <c r="K29" s="7" t="s">
        <v>94</v>
      </c>
      <c r="L29" s="9">
        <v>313.0</v>
      </c>
      <c r="M29" s="7" t="s">
        <v>110</v>
      </c>
      <c r="N29" s="7" t="s">
        <v>111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108</v>
      </c>
      <c r="B30" s="7">
        <v>2.0411454E7</v>
      </c>
      <c r="C30" s="7" t="s">
        <v>69</v>
      </c>
      <c r="D30" s="7" t="s">
        <v>70</v>
      </c>
      <c r="E30" s="7" t="str">
        <f t="shared" si="1"/>
        <v>Kathleen France</v>
      </c>
      <c r="F30" s="7">
        <v>9.02802643E8</v>
      </c>
      <c r="G30" s="7" t="str">
        <f>CONCATENATE(F30,1)</f>
        <v>9028026431</v>
      </c>
      <c r="H30" s="8">
        <v>45658.0</v>
      </c>
      <c r="I30" s="8">
        <v>45793.0</v>
      </c>
      <c r="J30" s="7" t="s">
        <v>14</v>
      </c>
      <c r="K30" s="7" t="s">
        <v>20</v>
      </c>
      <c r="L30" s="9">
        <v>100.0</v>
      </c>
      <c r="M30" s="7" t="s">
        <v>109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16</v>
      </c>
      <c r="B31" s="7">
        <v>1.719562E7</v>
      </c>
      <c r="C31" s="7" t="s">
        <v>69</v>
      </c>
      <c r="D31" s="7" t="s">
        <v>70</v>
      </c>
      <c r="E31" s="7" t="str">
        <f t="shared" si="1"/>
        <v>Kathleen France</v>
      </c>
      <c r="F31" s="7">
        <v>9.02802643E8</v>
      </c>
      <c r="G31" s="7">
        <v>9.02802643E8</v>
      </c>
      <c r="H31" s="8">
        <v>45658.0</v>
      </c>
      <c r="I31" s="8">
        <v>45793.0</v>
      </c>
      <c r="J31" s="7" t="s">
        <v>14</v>
      </c>
      <c r="K31" s="7" t="s">
        <v>94</v>
      </c>
      <c r="L31" s="9">
        <v>313.0</v>
      </c>
      <c r="M31" s="7" t="s">
        <v>110</v>
      </c>
      <c r="N31" s="7" t="s">
        <v>111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108</v>
      </c>
      <c r="B32" s="7">
        <v>2.0411454E7</v>
      </c>
      <c r="C32" s="7" t="s">
        <v>61</v>
      </c>
      <c r="D32" s="7" t="s">
        <v>62</v>
      </c>
      <c r="E32" s="7" t="str">
        <f t="shared" si="1"/>
        <v>Keith Thompson</v>
      </c>
      <c r="F32" s="7" t="s">
        <v>63</v>
      </c>
      <c r="G32" s="7" t="str">
        <f>CONCATENATE(F32,1)</f>
        <v>CareFirstMA0131202504271</v>
      </c>
      <c r="H32" s="8">
        <v>45658.0</v>
      </c>
      <c r="I32" s="8">
        <v>45793.0</v>
      </c>
      <c r="J32" s="7" t="s">
        <v>14</v>
      </c>
      <c r="K32" s="7" t="s">
        <v>20</v>
      </c>
      <c r="L32" s="9">
        <v>100.0</v>
      </c>
      <c r="M32" s="7" t="s">
        <v>109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11</v>
      </c>
      <c r="B33" s="7">
        <v>7387433.0</v>
      </c>
      <c r="C33" s="7" t="s">
        <v>61</v>
      </c>
      <c r="D33" s="7" t="s">
        <v>62</v>
      </c>
      <c r="E33" s="7" t="str">
        <f t="shared" si="1"/>
        <v>Keith Thompson</v>
      </c>
      <c r="F33" s="7" t="s">
        <v>103</v>
      </c>
      <c r="G33" s="7" t="s">
        <v>103</v>
      </c>
      <c r="H33" s="8">
        <v>45658.0</v>
      </c>
      <c r="I33" s="8">
        <v>45793.0</v>
      </c>
      <c r="J33" s="7" t="s">
        <v>14</v>
      </c>
      <c r="K33" s="7" t="s">
        <v>94</v>
      </c>
      <c r="L33" s="9">
        <v>313.0</v>
      </c>
      <c r="M33" s="7" t="s">
        <v>110</v>
      </c>
      <c r="N33" s="7" t="s">
        <v>111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108</v>
      </c>
      <c r="B34" s="7">
        <v>2.0411454E7</v>
      </c>
      <c r="C34" s="7" t="s">
        <v>58</v>
      </c>
      <c r="D34" s="7" t="s">
        <v>59</v>
      </c>
      <c r="E34" s="7" t="str">
        <f t="shared" si="1"/>
        <v>Kofi Shaw Taylor</v>
      </c>
      <c r="F34" s="7" t="s">
        <v>60</v>
      </c>
      <c r="G34" s="7" t="str">
        <f>CONCATENATE(F34,1)</f>
        <v>CareFirstMA0131202520121</v>
      </c>
      <c r="H34" s="8">
        <v>45658.0</v>
      </c>
      <c r="I34" s="8">
        <v>45793.0</v>
      </c>
      <c r="J34" s="7" t="s">
        <v>14</v>
      </c>
      <c r="K34" s="7" t="s">
        <v>20</v>
      </c>
      <c r="L34" s="9">
        <v>100.0</v>
      </c>
      <c r="M34" s="7" t="s">
        <v>109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16</v>
      </c>
      <c r="B35" s="7">
        <v>1.719562E7</v>
      </c>
      <c r="C35" s="7" t="s">
        <v>58</v>
      </c>
      <c r="D35" s="7" t="s">
        <v>59</v>
      </c>
      <c r="E35" s="7" t="str">
        <f t="shared" si="1"/>
        <v>Kofi Shaw Taylor</v>
      </c>
      <c r="F35" s="7" t="s">
        <v>102</v>
      </c>
      <c r="G35" s="7" t="s">
        <v>102</v>
      </c>
      <c r="H35" s="8">
        <v>45658.0</v>
      </c>
      <c r="I35" s="8">
        <v>45793.0</v>
      </c>
      <c r="J35" s="7" t="s">
        <v>14</v>
      </c>
      <c r="K35" s="7" t="s">
        <v>94</v>
      </c>
      <c r="L35" s="9">
        <v>313.0</v>
      </c>
      <c r="M35" s="7" t="s">
        <v>110</v>
      </c>
      <c r="N35" s="7" t="s">
        <v>111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108</v>
      </c>
      <c r="B36" s="7">
        <v>2.0411454E7</v>
      </c>
      <c r="C36" s="7" t="s">
        <v>17</v>
      </c>
      <c r="D36" s="7" t="s">
        <v>18</v>
      </c>
      <c r="E36" s="7" t="str">
        <f t="shared" si="1"/>
        <v>Nicholas Amponsah</v>
      </c>
      <c r="F36" s="7" t="s">
        <v>19</v>
      </c>
      <c r="G36" s="7" t="str">
        <f>CONCATENATE(F36,1)</f>
        <v>CareFirstMA0131202520131</v>
      </c>
      <c r="H36" s="8">
        <v>45658.0</v>
      </c>
      <c r="I36" s="8">
        <v>45793.0</v>
      </c>
      <c r="J36" s="7" t="s">
        <v>14</v>
      </c>
      <c r="K36" s="7" t="s">
        <v>20</v>
      </c>
      <c r="L36" s="9">
        <v>100.0</v>
      </c>
      <c r="M36" s="7" t="s">
        <v>109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16</v>
      </c>
      <c r="B37" s="7">
        <v>1.719562E7</v>
      </c>
      <c r="C37" s="7" t="s">
        <v>17</v>
      </c>
      <c r="D37" s="7" t="s">
        <v>18</v>
      </c>
      <c r="E37" s="7" t="str">
        <f t="shared" si="1"/>
        <v>Nicholas Amponsah</v>
      </c>
      <c r="F37" s="7" t="s">
        <v>93</v>
      </c>
      <c r="G37" s="7" t="s">
        <v>93</v>
      </c>
      <c r="H37" s="8">
        <v>45658.0</v>
      </c>
      <c r="I37" s="8">
        <v>45793.0</v>
      </c>
      <c r="J37" s="7" t="s">
        <v>14</v>
      </c>
      <c r="K37" s="7" t="s">
        <v>94</v>
      </c>
      <c r="L37" s="9">
        <v>313.0</v>
      </c>
      <c r="M37" s="7" t="s">
        <v>110</v>
      </c>
      <c r="N37" s="7" t="s">
        <v>111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108</v>
      </c>
      <c r="B38" s="7">
        <v>2.0411454E7</v>
      </c>
      <c r="C38" s="7" t="s">
        <v>46</v>
      </c>
      <c r="D38" s="7" t="s">
        <v>47</v>
      </c>
      <c r="E38" s="7" t="str">
        <f t="shared" si="1"/>
        <v>Nkemakonam Okeke</v>
      </c>
      <c r="F38" s="7" t="s">
        <v>48</v>
      </c>
      <c r="G38" s="7" t="str">
        <f>CONCATENATE(F38,1)</f>
        <v>CareFirstMA0131202520141</v>
      </c>
      <c r="H38" s="8">
        <v>45658.0</v>
      </c>
      <c r="I38" s="8">
        <v>45793.0</v>
      </c>
      <c r="J38" s="7" t="s">
        <v>14</v>
      </c>
      <c r="K38" s="7" t="s">
        <v>20</v>
      </c>
      <c r="L38" s="9">
        <v>100.0</v>
      </c>
      <c r="M38" s="7" t="s">
        <v>109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16</v>
      </c>
      <c r="B39" s="7">
        <v>1.719562E7</v>
      </c>
      <c r="C39" s="7" t="s">
        <v>46</v>
      </c>
      <c r="D39" s="7" t="s">
        <v>47</v>
      </c>
      <c r="E39" s="7" t="str">
        <f t="shared" si="1"/>
        <v>Nkemakonam Okeke</v>
      </c>
      <c r="F39" s="7" t="s">
        <v>87</v>
      </c>
      <c r="G39" s="7" t="str">
        <f>CONCATENATE(F39,8)</f>
        <v>CareFirstMA0131202520248</v>
      </c>
      <c r="H39" s="8">
        <v>45658.0</v>
      </c>
      <c r="I39" s="8">
        <v>45793.0</v>
      </c>
      <c r="J39" s="7" t="s">
        <v>14</v>
      </c>
      <c r="K39" s="7" t="s">
        <v>83</v>
      </c>
      <c r="L39" s="9">
        <v>626.0</v>
      </c>
      <c r="M39" s="7" t="s">
        <v>112</v>
      </c>
      <c r="N39" s="7" t="s">
        <v>113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 t="s">
        <v>108</v>
      </c>
      <c r="B40" s="7">
        <v>2.0411454E7</v>
      </c>
      <c r="C40" s="7" t="s">
        <v>27</v>
      </c>
      <c r="D40" s="7" t="s">
        <v>28</v>
      </c>
      <c r="E40" s="7" t="str">
        <f t="shared" si="1"/>
        <v>Soeurette Cyprien</v>
      </c>
      <c r="F40" s="7" t="s">
        <v>29</v>
      </c>
      <c r="G40" s="7" t="str">
        <f>CONCATENATE(F40,1)</f>
        <v>CareFirstMA0131202504281</v>
      </c>
      <c r="H40" s="8">
        <v>45658.0</v>
      </c>
      <c r="I40" s="8">
        <v>45793.0</v>
      </c>
      <c r="J40" s="7" t="s">
        <v>14</v>
      </c>
      <c r="K40" s="7" t="s">
        <v>20</v>
      </c>
      <c r="L40" s="9">
        <v>100.0</v>
      </c>
      <c r="M40" s="7" t="s">
        <v>109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 t="s">
        <v>11</v>
      </c>
      <c r="B41" s="7">
        <v>7387433.0</v>
      </c>
      <c r="C41" s="7" t="s">
        <v>27</v>
      </c>
      <c r="D41" s="7" t="s">
        <v>28</v>
      </c>
      <c r="E41" s="7" t="str">
        <f t="shared" si="1"/>
        <v>Soeurette Cyprien</v>
      </c>
      <c r="F41" s="7" t="s">
        <v>95</v>
      </c>
      <c r="G41" s="7" t="s">
        <v>95</v>
      </c>
      <c r="H41" s="8">
        <v>45658.0</v>
      </c>
      <c r="I41" s="8">
        <v>45793.0</v>
      </c>
      <c r="J41" s="7" t="s">
        <v>14</v>
      </c>
      <c r="K41" s="7" t="s">
        <v>94</v>
      </c>
      <c r="L41" s="9">
        <v>313.0</v>
      </c>
      <c r="M41" s="7" t="s">
        <v>110</v>
      </c>
      <c r="N41" s="7" t="s">
        <v>111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 t="s">
        <v>108</v>
      </c>
      <c r="B42" s="7">
        <v>2.0411454E7</v>
      </c>
      <c r="C42" s="7" t="s">
        <v>49</v>
      </c>
      <c r="D42" s="7" t="s">
        <v>50</v>
      </c>
      <c r="E42" s="7" t="str">
        <f t="shared" si="1"/>
        <v>Stephanie Phillips</v>
      </c>
      <c r="F42" s="7" t="s">
        <v>51</v>
      </c>
      <c r="G42" s="7" t="str">
        <f>CONCATENATE(F42,1)</f>
        <v>CareFirstMA0131202520151</v>
      </c>
      <c r="H42" s="8">
        <v>45658.0</v>
      </c>
      <c r="I42" s="8">
        <v>45793.0</v>
      </c>
      <c r="J42" s="7" t="s">
        <v>14</v>
      </c>
      <c r="K42" s="7" t="s">
        <v>20</v>
      </c>
      <c r="L42" s="9">
        <v>100.0</v>
      </c>
      <c r="M42" s="7" t="s">
        <v>109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16</v>
      </c>
      <c r="B43" s="7">
        <v>1.719562E7</v>
      </c>
      <c r="C43" s="7" t="s">
        <v>49</v>
      </c>
      <c r="D43" s="7" t="s">
        <v>50</v>
      </c>
      <c r="E43" s="7" t="str">
        <f t="shared" si="1"/>
        <v>Stephanie Phillips</v>
      </c>
      <c r="F43" s="7" t="s">
        <v>100</v>
      </c>
      <c r="G43" s="7" t="s">
        <v>100</v>
      </c>
      <c r="H43" s="8">
        <v>45658.0</v>
      </c>
      <c r="I43" s="8">
        <v>45793.0</v>
      </c>
      <c r="J43" s="7" t="s">
        <v>14</v>
      </c>
      <c r="K43" s="7" t="s">
        <v>94</v>
      </c>
      <c r="L43" s="9">
        <v>313.0</v>
      </c>
      <c r="M43" s="7" t="s">
        <v>110</v>
      </c>
      <c r="N43" s="7" t="s">
        <v>111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 t="s">
        <v>108</v>
      </c>
      <c r="B44" s="7">
        <v>2.0411454E7</v>
      </c>
      <c r="C44" s="7" t="s">
        <v>71</v>
      </c>
      <c r="D44" s="7" t="s">
        <v>72</v>
      </c>
      <c r="E44" s="7" t="str">
        <f t="shared" si="1"/>
        <v>Steve Reid</v>
      </c>
      <c r="F44" s="7">
        <v>9.28964792E8</v>
      </c>
      <c r="G44" s="7" t="str">
        <f>CONCATENATE(F44,1)</f>
        <v>9289647921</v>
      </c>
      <c r="H44" s="8">
        <v>45689.0</v>
      </c>
      <c r="I44" s="8">
        <v>45793.0</v>
      </c>
      <c r="J44" s="7" t="s">
        <v>14</v>
      </c>
      <c r="K44" s="7" t="s">
        <v>20</v>
      </c>
      <c r="L44" s="9">
        <v>100.0</v>
      </c>
      <c r="M44" s="7" t="s">
        <v>109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 t="s">
        <v>16</v>
      </c>
      <c r="B45" s="7">
        <v>1.719562E7</v>
      </c>
      <c r="C45" s="7" t="s">
        <v>71</v>
      </c>
      <c r="D45" s="7" t="s">
        <v>72</v>
      </c>
      <c r="E45" s="7" t="str">
        <f t="shared" si="1"/>
        <v>Steve Reid</v>
      </c>
      <c r="F45" s="7">
        <v>9.28964792E8</v>
      </c>
      <c r="G45" s="7">
        <v>9.28964792E8</v>
      </c>
      <c r="H45" s="8">
        <v>45689.0</v>
      </c>
      <c r="I45" s="8">
        <v>45793.0</v>
      </c>
      <c r="J45" s="7" t="s">
        <v>14</v>
      </c>
      <c r="K45" s="7" t="s">
        <v>91</v>
      </c>
      <c r="L45" s="9">
        <v>286.91</v>
      </c>
      <c r="M45" s="7" t="s">
        <v>110</v>
      </c>
      <c r="N45" s="7" t="s">
        <v>117</v>
      </c>
      <c r="O45" s="7">
        <f>313/12*11</f>
        <v>286.9166667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 t="s">
        <v>108</v>
      </c>
      <c r="B46" s="7">
        <v>2.0411454E7</v>
      </c>
      <c r="C46" s="7" t="s">
        <v>73</v>
      </c>
      <c r="D46" s="7" t="s">
        <v>74</v>
      </c>
      <c r="E46" s="7" t="str">
        <f t="shared" si="1"/>
        <v>Theresa Butler</v>
      </c>
      <c r="F46" s="7" t="s">
        <v>75</v>
      </c>
      <c r="G46" s="7" t="str">
        <f>CONCATENATE(F46,1)</f>
        <v>CareFirst0228202500661</v>
      </c>
      <c r="H46" s="8">
        <v>45658.0</v>
      </c>
      <c r="I46" s="8">
        <v>45793.0</v>
      </c>
      <c r="J46" s="7" t="s">
        <v>14</v>
      </c>
      <c r="K46" s="7" t="s">
        <v>20</v>
      </c>
      <c r="L46" s="9">
        <v>100.0</v>
      </c>
      <c r="M46" s="7" t="s">
        <v>109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16</v>
      </c>
      <c r="B47" s="7">
        <v>1.719562E7</v>
      </c>
      <c r="C47" s="7" t="s">
        <v>73</v>
      </c>
      <c r="D47" s="7" t="s">
        <v>74</v>
      </c>
      <c r="E47" s="7" t="str">
        <f t="shared" si="1"/>
        <v>Theresa Butler</v>
      </c>
      <c r="F47" s="7" t="s">
        <v>105</v>
      </c>
      <c r="G47" s="7" t="s">
        <v>105</v>
      </c>
      <c r="H47" s="8">
        <v>45658.0</v>
      </c>
      <c r="I47" s="8">
        <v>45793.0</v>
      </c>
      <c r="J47" s="7" t="s">
        <v>14</v>
      </c>
      <c r="K47" s="7" t="s">
        <v>94</v>
      </c>
      <c r="L47" s="9">
        <v>313.0</v>
      </c>
      <c r="M47" s="7" t="s">
        <v>110</v>
      </c>
      <c r="N47" s="7" t="s">
        <v>111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108</v>
      </c>
      <c r="B48" s="7">
        <v>2.0411454E7</v>
      </c>
      <c r="C48" s="7" t="s">
        <v>37</v>
      </c>
      <c r="D48" s="7" t="s">
        <v>38</v>
      </c>
      <c r="E48" s="7" t="str">
        <f t="shared" si="1"/>
        <v>Veronica Jarrett</v>
      </c>
      <c r="F48" s="7" t="s">
        <v>39</v>
      </c>
      <c r="G48" s="7" t="str">
        <f>CONCATENATE(F48,1)</f>
        <v>CareFirstMA0131202504291</v>
      </c>
      <c r="H48" s="8">
        <v>45658.0</v>
      </c>
      <c r="I48" s="8">
        <v>45793.0</v>
      </c>
      <c r="J48" s="7" t="s">
        <v>14</v>
      </c>
      <c r="K48" s="7" t="s">
        <v>20</v>
      </c>
      <c r="L48" s="9">
        <v>100.0</v>
      </c>
      <c r="M48" s="7" t="s">
        <v>109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11</v>
      </c>
      <c r="B49" s="7">
        <v>7387433.0</v>
      </c>
      <c r="C49" s="7" t="s">
        <v>37</v>
      </c>
      <c r="D49" s="7" t="s">
        <v>38</v>
      </c>
      <c r="E49" s="7" t="str">
        <f t="shared" si="1"/>
        <v>Veronica Jarrett</v>
      </c>
      <c r="F49" s="7" t="s">
        <v>86</v>
      </c>
      <c r="G49" s="7" t="str">
        <f>CONCATENATE(F49,8)</f>
        <v>CareFirstMA0131202504378</v>
      </c>
      <c r="H49" s="8">
        <v>45658.0</v>
      </c>
      <c r="I49" s="8">
        <v>45793.0</v>
      </c>
      <c r="J49" s="7" t="s">
        <v>14</v>
      </c>
      <c r="K49" s="7" t="s">
        <v>83</v>
      </c>
      <c r="L49" s="9">
        <v>626.0</v>
      </c>
      <c r="M49" s="7" t="s">
        <v>112</v>
      </c>
      <c r="N49" s="7" t="s">
        <v>113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2025-05-19T14:31:29Z</dcterms:created>
  <dc:creator>Cabel, Denisse Raeka</dc:creator>
</cp:coreProperties>
</file>