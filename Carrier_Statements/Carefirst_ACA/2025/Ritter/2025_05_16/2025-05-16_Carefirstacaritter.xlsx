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MAPD 05-16-25 Ritter\"/>
    </mc:Choice>
  </mc:AlternateContent>
  <xr:revisionPtr revIDLastSave="0" documentId="13_ncr:1_{A433EDB0-8E3D-4A31-9434-64383D46FBE0}" xr6:coauthVersionLast="47" xr6:coauthVersionMax="47" xr10:uidLastSave="{00000000-0000-0000-0000-000000000000}"/>
  <bookViews>
    <workbookView xWindow="28680" yWindow="-120" windowWidth="29040" windowHeight="16440" activeTab="1" xr2:uid="{2D69778F-BDB7-439A-AD67-2DD03DA34EB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2" i="2"/>
  <c r="E3" i="2"/>
  <c r="E4" i="2"/>
  <c r="E5" i="2"/>
  <c r="E6" i="2"/>
  <c r="E7" i="2"/>
  <c r="E8" i="2"/>
  <c r="E9" i="2"/>
  <c r="E10" i="2"/>
  <c r="E11" i="2"/>
  <c r="E12" i="2"/>
  <c r="E2" i="2"/>
</calcChain>
</file>

<file path=xl/sharedStrings.xml><?xml version="1.0" encoding="utf-8"?>
<sst xmlns="http://schemas.openxmlformats.org/spreadsheetml/2006/main" count="142" uniqueCount="39">
  <si>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</si>
  <si>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</si>
  <si>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</si>
  <si>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</si>
  <si>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</si>
  <si>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</si>
  <si>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</si>
  <si>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</si>
  <si>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</si>
  <si>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</si>
  <si>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</si>
  <si>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Kimberly Dickerson</t>
  </si>
  <si>
    <t>Subata</t>
  </si>
  <si>
    <t>Abro</t>
  </si>
  <si>
    <t>CareFirst U65</t>
  </si>
  <si>
    <t>CareFirst U65 2022-2025 ST (ProRata: 1) Premium Period: 4/1/2025</t>
  </si>
  <si>
    <t>George</t>
  </si>
  <si>
    <t>Ashley</t>
  </si>
  <si>
    <t>Mark</t>
  </si>
  <si>
    <t>Gregory</t>
  </si>
  <si>
    <t>Jimmy</t>
  </si>
  <si>
    <t>Le</t>
  </si>
  <si>
    <t>Kathleen</t>
  </si>
  <si>
    <t>Mcgann</t>
  </si>
  <si>
    <t>Giulietta</t>
  </si>
  <si>
    <t>Pinna</t>
  </si>
  <si>
    <t>Anna</t>
  </si>
  <si>
    <t>Tijerina</t>
  </si>
  <si>
    <t>Derek</t>
  </si>
  <si>
    <t>Williams</t>
  </si>
  <si>
    <t>Stanley</t>
  </si>
  <si>
    <t>Barnes</t>
  </si>
  <si>
    <t>CareFirst U65 2022-2025 ST (ProRata: 1) Premium Period: 5/1/2025</t>
  </si>
  <si>
    <t>Rhonda</t>
  </si>
  <si>
    <t>Fields</t>
  </si>
  <si>
    <t>Cathy Lemon</t>
  </si>
  <si>
    <t>Leon</t>
  </si>
  <si>
    <t>Fleet Jr</t>
  </si>
  <si>
    <t>CareFirst - MD,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</si>
</sst>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F840-E042-46D3-9CB7-EC57C42D89DF}">
  <dimension ref="A1:K12"/>
  <sheetViews>
    <sheetView workbookViewId="0">
      <selection sqref="A1:XFD1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16243811</v>
      </c>
      <c r="C2">
        <v>16243811</v>
      </c>
      <c r="D2" t="s">
        <v>12</v>
      </c>
      <c r="E2" t="s">
        <v>13</v>
      </c>
      <c r="F2">
        <v>905147602</v>
      </c>
      <c r="G2" s="1">
        <v>42736</v>
      </c>
      <c r="H2" s="1">
        <v>45793</v>
      </c>
      <c r="I2" t="s">
        <v>14</v>
      </c>
      <c r="J2" t="s">
        <v>15</v>
      </c>
      <c r="K2" s="2">
        <v>12</v>
      </c>
    </row>
    <row r="3" spans="1:11" x14ac:dyDescent="0.25">
      <c r="A3" t="s">
        <v>11</v>
      </c>
      <c r="B3">
        <v>16243811</v>
      </c>
      <c r="C3">
        <v>16243811</v>
      </c>
      <c r="D3" t="s">
        <v>16</v>
      </c>
      <c r="E3" t="s">
        <v>17</v>
      </c>
      <c r="F3">
        <v>901116019</v>
      </c>
      <c r="G3" s="1">
        <v>43132</v>
      </c>
      <c r="H3" s="1">
        <v>45793</v>
      </c>
      <c r="I3" t="s">
        <v>14</v>
      </c>
      <c r="J3" t="s">
        <v>15</v>
      </c>
      <c r="K3" s="2">
        <v>12</v>
      </c>
    </row>
    <row r="4" spans="1:11" x14ac:dyDescent="0.25">
      <c r="A4" t="s">
        <v>11</v>
      </c>
      <c r="B4">
        <v>16243811</v>
      </c>
      <c r="C4">
        <v>16243811</v>
      </c>
      <c r="D4" t="s">
        <v>18</v>
      </c>
      <c r="E4" t="s">
        <v>19</v>
      </c>
      <c r="F4">
        <v>902076554</v>
      </c>
      <c r="G4" s="1">
        <v>44896</v>
      </c>
      <c r="H4" s="1">
        <v>45793</v>
      </c>
      <c r="I4" t="s">
        <v>14</v>
      </c>
      <c r="J4" t="s">
        <v>15</v>
      </c>
      <c r="K4" s="2">
        <v>12</v>
      </c>
    </row>
    <row r="5" spans="1:11" x14ac:dyDescent="0.25">
      <c r="A5" t="s">
        <v>11</v>
      </c>
      <c r="B5">
        <v>16243811</v>
      </c>
      <c r="C5">
        <v>16243811</v>
      </c>
      <c r="D5" t="s">
        <v>20</v>
      </c>
      <c r="E5" t="s">
        <v>21</v>
      </c>
      <c r="F5">
        <v>903983529</v>
      </c>
      <c r="G5" s="1">
        <v>44197</v>
      </c>
      <c r="H5" s="1">
        <v>45793</v>
      </c>
      <c r="I5" t="s">
        <v>14</v>
      </c>
      <c r="J5" t="s">
        <v>15</v>
      </c>
      <c r="K5" s="2">
        <v>12</v>
      </c>
    </row>
    <row r="6" spans="1:11" x14ac:dyDescent="0.25">
      <c r="A6" t="s">
        <v>11</v>
      </c>
      <c r="B6">
        <v>16243811</v>
      </c>
      <c r="C6">
        <v>16243811</v>
      </c>
      <c r="D6" t="s">
        <v>22</v>
      </c>
      <c r="E6" t="s">
        <v>23</v>
      </c>
      <c r="F6">
        <v>900273454</v>
      </c>
      <c r="G6" s="1">
        <v>42736</v>
      </c>
      <c r="H6" s="1">
        <v>45793</v>
      </c>
      <c r="I6" t="s">
        <v>14</v>
      </c>
      <c r="J6" t="s">
        <v>15</v>
      </c>
      <c r="K6" s="2">
        <v>12</v>
      </c>
    </row>
    <row r="7" spans="1:11" x14ac:dyDescent="0.25">
      <c r="A7" t="s">
        <v>11</v>
      </c>
      <c r="B7">
        <v>16243811</v>
      </c>
      <c r="C7">
        <v>16243811</v>
      </c>
      <c r="D7" t="s">
        <v>24</v>
      </c>
      <c r="E7" t="s">
        <v>25</v>
      </c>
      <c r="F7">
        <v>905639045</v>
      </c>
      <c r="G7" s="1">
        <v>44927</v>
      </c>
      <c r="H7" s="1">
        <v>45793</v>
      </c>
      <c r="I7" t="s">
        <v>14</v>
      </c>
      <c r="J7" t="s">
        <v>15</v>
      </c>
      <c r="K7" s="2">
        <v>12</v>
      </c>
    </row>
    <row r="8" spans="1:11" x14ac:dyDescent="0.25">
      <c r="A8" t="s">
        <v>11</v>
      </c>
      <c r="B8">
        <v>16243811</v>
      </c>
      <c r="C8">
        <v>16243811</v>
      </c>
      <c r="D8" t="s">
        <v>26</v>
      </c>
      <c r="E8" t="s">
        <v>27</v>
      </c>
      <c r="F8">
        <v>923052412</v>
      </c>
      <c r="G8" s="1">
        <v>44927</v>
      </c>
      <c r="H8" s="1">
        <v>45793</v>
      </c>
      <c r="I8" t="s">
        <v>14</v>
      </c>
      <c r="J8" t="s">
        <v>15</v>
      </c>
      <c r="K8" s="2">
        <v>12</v>
      </c>
    </row>
    <row r="9" spans="1:11" x14ac:dyDescent="0.25">
      <c r="A9" t="s">
        <v>11</v>
      </c>
      <c r="B9">
        <v>16243811</v>
      </c>
      <c r="C9">
        <v>16243811</v>
      </c>
      <c r="D9" t="s">
        <v>28</v>
      </c>
      <c r="E9" t="s">
        <v>29</v>
      </c>
      <c r="F9">
        <v>905637129</v>
      </c>
      <c r="G9" s="1">
        <v>42430</v>
      </c>
      <c r="H9" s="1">
        <v>45793</v>
      </c>
      <c r="I9" t="s">
        <v>14</v>
      </c>
      <c r="J9" t="s">
        <v>15</v>
      </c>
      <c r="K9" s="2">
        <v>12</v>
      </c>
    </row>
    <row r="10" spans="1:11" x14ac:dyDescent="0.25">
      <c r="A10" t="s">
        <v>11</v>
      </c>
      <c r="B10">
        <v>16243811</v>
      </c>
      <c r="C10">
        <v>16243811</v>
      </c>
      <c r="D10" t="s">
        <v>30</v>
      </c>
      <c r="E10" t="s">
        <v>31</v>
      </c>
      <c r="F10">
        <v>905548273</v>
      </c>
      <c r="G10" s="1">
        <v>42370</v>
      </c>
      <c r="H10" s="1">
        <v>45793</v>
      </c>
      <c r="I10" t="s">
        <v>14</v>
      </c>
      <c r="J10" t="s">
        <v>32</v>
      </c>
      <c r="K10" s="2">
        <v>12</v>
      </c>
    </row>
    <row r="11" spans="1:11" x14ac:dyDescent="0.25">
      <c r="A11" t="s">
        <v>11</v>
      </c>
      <c r="B11">
        <v>16243811</v>
      </c>
      <c r="C11">
        <v>16243811</v>
      </c>
      <c r="D11" t="s">
        <v>33</v>
      </c>
      <c r="E11" t="s">
        <v>34</v>
      </c>
      <c r="F11">
        <v>900928294</v>
      </c>
      <c r="G11" s="1">
        <v>43221</v>
      </c>
      <c r="H11" s="1">
        <v>45793</v>
      </c>
      <c r="I11" t="s">
        <v>14</v>
      </c>
      <c r="J11" t="s">
        <v>32</v>
      </c>
      <c r="K11" s="2">
        <v>12</v>
      </c>
    </row>
    <row r="12" spans="1:11" x14ac:dyDescent="0.25">
      <c r="A12" t="s">
        <v>35</v>
      </c>
      <c r="C12">
        <v>17195620</v>
      </c>
      <c r="D12" t="s">
        <v>36</v>
      </c>
      <c r="E12" t="s">
        <v>37</v>
      </c>
      <c r="F12">
        <v>915995202</v>
      </c>
      <c r="G12" s="1">
        <v>45778</v>
      </c>
      <c r="H12" s="1">
        <v>45793</v>
      </c>
      <c r="I12" t="s">
        <v>14</v>
      </c>
      <c r="J12" t="s">
        <v>32</v>
      </c>
      <c r="K12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C88B-37E2-4B92-BCDE-8D66DF271B2D}">
  <dimension ref="A1:M12"/>
  <sheetViews>
    <sheetView tabSelected="1" workbookViewId="0">
      <selection activeCell="L2" sqref="L2:L12"/>
    </sheetView>
  </sheetViews>
  <sheetFormatPr defaultRowHeight="15" x14ac:dyDescent="0.25"/>
  <cols>
    <col min="1" max="1" width="18.4257812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1.7109375" bestFit="1" customWidth="1"/>
    <col min="6" max="6" width="10.85546875" bestFit="1" customWidth="1"/>
    <col min="7" max="7" width="14.14062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60.140625" bestFit="1" customWidth="1"/>
    <col min="12" max="12" width="15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11</v>
      </c>
      <c r="B2">
        <v>16243811</v>
      </c>
      <c r="C2" t="s">
        <v>12</v>
      </c>
      <c r="D2" t="s">
        <v>13</v>
      </c>
      <c r="E2" t="str">
        <f>CONCATENATE(C2, " ",D2)</f>
        <v>Subata Abro</v>
      </c>
      <c r="F2">
        <v>905147602</v>
      </c>
      <c r="G2" t="str">
        <f>CONCATENATE(F2,2025)</f>
        <v>9051476022025</v>
      </c>
      <c r="H2" s="1">
        <v>42736</v>
      </c>
      <c r="I2" s="1">
        <v>45793</v>
      </c>
      <c r="J2" t="s">
        <v>14</v>
      </c>
      <c r="K2" t="s">
        <v>15</v>
      </c>
      <c r="L2" s="2">
        <v>12</v>
      </c>
      <c r="M2" t="s">
        <v>38</v>
      </c>
    </row>
    <row r="3" spans="1:13" x14ac:dyDescent="0.25">
      <c r="A3" t="s">
        <v>11</v>
      </c>
      <c r="B3">
        <v>16243811</v>
      </c>
      <c r="C3" t="s">
        <v>16</v>
      </c>
      <c r="D3" t="s">
        <v>17</v>
      </c>
      <c r="E3" t="str">
        <f t="shared" ref="E3:E12" si="0">CONCATENATE(C3, " ",D3)</f>
        <v>George Ashley</v>
      </c>
      <c r="F3">
        <v>901116019</v>
      </c>
      <c r="G3" t="str">
        <f t="shared" ref="G3:G12" si="1">CONCATENATE(F3,2025)</f>
        <v>9011160192025</v>
      </c>
      <c r="H3" s="1">
        <v>43132</v>
      </c>
      <c r="I3" s="1">
        <v>45793</v>
      </c>
      <c r="J3" t="s">
        <v>14</v>
      </c>
      <c r="K3" t="s">
        <v>15</v>
      </c>
      <c r="L3" s="2">
        <v>12</v>
      </c>
      <c r="M3" t="s">
        <v>38</v>
      </c>
    </row>
    <row r="4" spans="1:13" x14ac:dyDescent="0.25">
      <c r="A4" t="s">
        <v>11</v>
      </c>
      <c r="B4">
        <v>16243811</v>
      </c>
      <c r="C4" t="s">
        <v>18</v>
      </c>
      <c r="D4" t="s">
        <v>19</v>
      </c>
      <c r="E4" t="str">
        <f t="shared" si="0"/>
        <v>Mark Gregory</v>
      </c>
      <c r="F4">
        <v>902076554</v>
      </c>
      <c r="G4" t="str">
        <f t="shared" si="1"/>
        <v>9020765542025</v>
      </c>
      <c r="H4" s="1">
        <v>44896</v>
      </c>
      <c r="I4" s="1">
        <v>45793</v>
      </c>
      <c r="J4" t="s">
        <v>14</v>
      </c>
      <c r="K4" t="s">
        <v>15</v>
      </c>
      <c r="L4" s="2">
        <v>12</v>
      </c>
      <c r="M4" t="s">
        <v>38</v>
      </c>
    </row>
    <row r="5" spans="1:13" x14ac:dyDescent="0.25">
      <c r="A5" t="s">
        <v>11</v>
      </c>
      <c r="B5">
        <v>16243811</v>
      </c>
      <c r="C5" t="s">
        <v>20</v>
      </c>
      <c r="D5" t="s">
        <v>21</v>
      </c>
      <c r="E5" t="str">
        <f t="shared" si="0"/>
        <v>Jimmy Le</v>
      </c>
      <c r="F5">
        <v>903983529</v>
      </c>
      <c r="G5" t="str">
        <f t="shared" si="1"/>
        <v>9039835292025</v>
      </c>
      <c r="H5" s="1">
        <v>44197</v>
      </c>
      <c r="I5" s="1">
        <v>45793</v>
      </c>
      <c r="J5" t="s">
        <v>14</v>
      </c>
      <c r="K5" t="s">
        <v>15</v>
      </c>
      <c r="L5" s="2">
        <v>12</v>
      </c>
      <c r="M5" t="s">
        <v>38</v>
      </c>
    </row>
    <row r="6" spans="1:13" x14ac:dyDescent="0.25">
      <c r="A6" t="s">
        <v>11</v>
      </c>
      <c r="B6">
        <v>16243811</v>
      </c>
      <c r="C6" t="s">
        <v>22</v>
      </c>
      <c r="D6" t="s">
        <v>23</v>
      </c>
      <c r="E6" t="str">
        <f t="shared" si="0"/>
        <v>Kathleen Mcgann</v>
      </c>
      <c r="F6">
        <v>900273454</v>
      </c>
      <c r="G6" t="str">
        <f t="shared" si="1"/>
        <v>9002734542025</v>
      </c>
      <c r="H6" s="1">
        <v>42736</v>
      </c>
      <c r="I6" s="1">
        <v>45793</v>
      </c>
      <c r="J6" t="s">
        <v>14</v>
      </c>
      <c r="K6" t="s">
        <v>15</v>
      </c>
      <c r="L6" s="2">
        <v>12</v>
      </c>
      <c r="M6" t="s">
        <v>38</v>
      </c>
    </row>
    <row r="7" spans="1:13" x14ac:dyDescent="0.25">
      <c r="A7" t="s">
        <v>11</v>
      </c>
      <c r="B7">
        <v>16243811</v>
      </c>
      <c r="C7" t="s">
        <v>24</v>
      </c>
      <c r="D7" t="s">
        <v>25</v>
      </c>
      <c r="E7" t="str">
        <f t="shared" si="0"/>
        <v>Giulietta Pinna</v>
      </c>
      <c r="F7">
        <v>905639045</v>
      </c>
      <c r="G7" t="str">
        <f t="shared" si="1"/>
        <v>9056390452025</v>
      </c>
      <c r="H7" s="1">
        <v>44927</v>
      </c>
      <c r="I7" s="1">
        <v>45793</v>
      </c>
      <c r="J7" t="s">
        <v>14</v>
      </c>
      <c r="K7" t="s">
        <v>15</v>
      </c>
      <c r="L7" s="2">
        <v>12</v>
      </c>
      <c r="M7" t="s">
        <v>38</v>
      </c>
    </row>
    <row r="8" spans="1:13" x14ac:dyDescent="0.25">
      <c r="A8" t="s">
        <v>11</v>
      </c>
      <c r="B8">
        <v>16243811</v>
      </c>
      <c r="C8" t="s">
        <v>26</v>
      </c>
      <c r="D8" t="s">
        <v>27</v>
      </c>
      <c r="E8" t="str">
        <f t="shared" si="0"/>
        <v>Anna Tijerina</v>
      </c>
      <c r="F8">
        <v>923052412</v>
      </c>
      <c r="G8" t="str">
        <f t="shared" si="1"/>
        <v>9230524122025</v>
      </c>
      <c r="H8" s="1">
        <v>44927</v>
      </c>
      <c r="I8" s="1">
        <v>45793</v>
      </c>
      <c r="J8" t="s">
        <v>14</v>
      </c>
      <c r="K8" t="s">
        <v>15</v>
      </c>
      <c r="L8" s="2">
        <v>12</v>
      </c>
      <c r="M8" t="s">
        <v>38</v>
      </c>
    </row>
    <row r="9" spans="1:13" x14ac:dyDescent="0.25">
      <c r="A9" t="s">
        <v>11</v>
      </c>
      <c r="B9">
        <v>16243811</v>
      </c>
      <c r="C9" t="s">
        <v>28</v>
      </c>
      <c r="D9" t="s">
        <v>29</v>
      </c>
      <c r="E9" t="str">
        <f t="shared" si="0"/>
        <v>Derek Williams</v>
      </c>
      <c r="F9">
        <v>905637129</v>
      </c>
      <c r="G9" t="str">
        <f t="shared" si="1"/>
        <v>9056371292025</v>
      </c>
      <c r="H9" s="1">
        <v>42430</v>
      </c>
      <c r="I9" s="1">
        <v>45793</v>
      </c>
      <c r="J9" t="s">
        <v>14</v>
      </c>
      <c r="K9" t="s">
        <v>15</v>
      </c>
      <c r="L9" s="2">
        <v>12</v>
      </c>
      <c r="M9" t="s">
        <v>38</v>
      </c>
    </row>
    <row r="10" spans="1:13" x14ac:dyDescent="0.25">
      <c r="A10" t="s">
        <v>11</v>
      </c>
      <c r="B10">
        <v>16243811</v>
      </c>
      <c r="C10" t="s">
        <v>30</v>
      </c>
      <c r="D10" t="s">
        <v>31</v>
      </c>
      <c r="E10" t="str">
        <f t="shared" si="0"/>
        <v>Stanley Barnes</v>
      </c>
      <c r="F10">
        <v>905548273</v>
      </c>
      <c r="G10" t="str">
        <f t="shared" si="1"/>
        <v>9055482732025</v>
      </c>
      <c r="H10" s="1">
        <v>42370</v>
      </c>
      <c r="I10" s="1">
        <v>45793</v>
      </c>
      <c r="J10" t="s">
        <v>14</v>
      </c>
      <c r="K10" t="s">
        <v>32</v>
      </c>
      <c r="L10" s="2">
        <v>12</v>
      </c>
      <c r="M10" t="s">
        <v>38</v>
      </c>
    </row>
    <row r="11" spans="1:13" x14ac:dyDescent="0.25">
      <c r="A11" t="s">
        <v>11</v>
      </c>
      <c r="B11">
        <v>16243811</v>
      </c>
      <c r="C11" t="s">
        <v>33</v>
      </c>
      <c r="D11" t="s">
        <v>34</v>
      </c>
      <c r="E11" t="str">
        <f t="shared" si="0"/>
        <v>Rhonda Fields</v>
      </c>
      <c r="F11">
        <v>900928294</v>
      </c>
      <c r="G11" t="str">
        <f t="shared" si="1"/>
        <v>9009282942025</v>
      </c>
      <c r="H11" s="1">
        <v>43221</v>
      </c>
      <c r="I11" s="1">
        <v>45793</v>
      </c>
      <c r="J11" t="s">
        <v>14</v>
      </c>
      <c r="K11" t="s">
        <v>32</v>
      </c>
      <c r="L11" s="2">
        <v>12</v>
      </c>
      <c r="M11" t="s">
        <v>38</v>
      </c>
    </row>
    <row r="12" spans="1:13" x14ac:dyDescent="0.25">
      <c r="A12" t="s">
        <v>35</v>
      </c>
      <c r="B12">
        <v>17195620</v>
      </c>
      <c r="C12" t="s">
        <v>36</v>
      </c>
      <c r="D12" t="s">
        <v>37</v>
      </c>
      <c r="E12" t="str">
        <f t="shared" si="0"/>
        <v>Leon Fleet Jr</v>
      </c>
      <c r="F12">
        <v>915995202</v>
      </c>
      <c r="G12" t="str">
        <f t="shared" si="1"/>
        <v>9159952022025</v>
      </c>
      <c r="H12" s="1">
        <v>45778</v>
      </c>
      <c r="I12" s="1">
        <v>45793</v>
      </c>
      <c r="J12" t="s">
        <v>14</v>
      </c>
      <c r="K12" t="s">
        <v>32</v>
      </c>
      <c r="L12" s="2">
        <v>12</v>
      </c>
      <c r="M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2025-05-19T14:29:31Z</dcterms:created>
  <dcterms:modified xsi:type="dcterms:W3CDTF">2025-05-20T14:51:45Z</dcterms:modified>
</cp:coreProperties>
</file>