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Carefirst Ritter 9-20-24\"/>
    </mc:Choice>
  </mc:AlternateContent>
  <xr:revisionPtr revIDLastSave="0" documentId="13_ncr:1_{F3B54EEA-143F-407B-A16D-405078EAF6BF}" xr6:coauthVersionLast="47" xr6:coauthVersionMax="47" xr10:uidLastSave="{00000000-0000-0000-0000-000000000000}"/>
  <bookViews>
    <workbookView xWindow="-57720" yWindow="-120" windowWidth="29040" windowHeight="15720" xr2:uid="{554C2141-CD60-4DEE-8132-79344F9AE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F2" i="1"/>
  <c r="F12" i="1"/>
  <c r="F6" i="1"/>
  <c r="F10" i="1"/>
  <c r="F5" i="1"/>
  <c r="F8" i="1"/>
  <c r="F15" i="1"/>
  <c r="F11" i="1"/>
  <c r="F3" i="1"/>
  <c r="F14" i="1"/>
  <c r="F4" i="1"/>
  <c r="F7" i="1"/>
  <c r="F16" i="1"/>
  <c r="F13" i="1"/>
  <c r="F9" i="1"/>
</calcChain>
</file>

<file path=xl/sharedStrings.xml><?xml version="1.0" encoding="utf-8"?>
<sst xmlns="http://schemas.openxmlformats.org/spreadsheetml/2006/main" count="87" uniqueCount="46">
  <si>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</si>
  <si>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</si>
  <si>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</si>
  <si>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</si>
  <si>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</si>
  <si>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</si>
  <si>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</si>
  <si>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</si>
  <si>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</si>
  <si>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</si>
  <si>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</si>
  <si>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</si>
  <si>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Kathleen</t>
  </si>
  <si>
    <t>Mcgann</t>
  </si>
  <si>
    <t>CareFirst U65</t>
  </si>
  <si>
    <t>CareFirst U65 2022-2024 ST (ProRata: 1) Premium Period: 8/1/2024</t>
  </si>
  <si>
    <t>Rhonda</t>
  </si>
  <si>
    <t>Fields</t>
  </si>
  <si>
    <t>CareFirst U65 2022-2024 ST (ProRata: 1) Premium Period: 9/1/2024</t>
  </si>
  <si>
    <t>George</t>
  </si>
  <si>
    <t>Ashley</t>
  </si>
  <si>
    <t>Mark</t>
  </si>
  <si>
    <t>Gregory</t>
  </si>
  <si>
    <t>Gary</t>
  </si>
  <si>
    <t>Wisneski</t>
  </si>
  <si>
    <t>Jimmy</t>
  </si>
  <si>
    <t>Le</t>
  </si>
  <si>
    <t>Subata</t>
  </si>
  <si>
    <t>Abro</t>
  </si>
  <si>
    <t>Oscar</t>
  </si>
  <si>
    <t>Rodriguez</t>
  </si>
  <si>
    <t>Debra</t>
  </si>
  <si>
    <t>Gaydos</t>
  </si>
  <si>
    <t>Stanley</t>
  </si>
  <si>
    <t>Barnes</t>
  </si>
  <si>
    <t>Derek</t>
  </si>
  <si>
    <t>Williams</t>
  </si>
  <si>
    <t>Giulietta</t>
  </si>
  <si>
    <t>Pinna</t>
  </si>
  <si>
    <t>Victoria</t>
  </si>
  <si>
    <t>Ediwe</t>
  </si>
  <si>
    <t>Anna</t>
  </si>
  <si>
    <t>Tijerina</t>
  </si>
  <si>
    <t>Sharon</t>
  </si>
  <si>
    <t>Singh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</si>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</sst>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C6AC-9008-4455-8DCD-7E53C16CD9B6}">
  <dimension ref="A1:L17"/>
  <sheetViews>
    <sheetView tabSelected="1" workbookViewId="0">
      <selection activeCell="L18" sqref="L18"/>
    </sheetView>
  </sheetViews>
  <sheetFormatPr defaultRowHeight="15" x14ac:dyDescent="0.25"/>
  <cols>
    <col min="1" max="1" width="18.28515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9.7109375" customWidth="1"/>
    <col min="7" max="7" width="10.42578125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59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16243811</v>
      </c>
      <c r="C2">
        <v>16243811</v>
      </c>
      <c r="D2" t="s">
        <v>41</v>
      </c>
      <c r="E2" t="s">
        <v>42</v>
      </c>
      <c r="F2" t="str">
        <f>CONCATENATE(D2, " ", E2)</f>
        <v>Anna Tijerina</v>
      </c>
      <c r="G2">
        <v>923052412</v>
      </c>
      <c r="H2" s="1">
        <v>44927</v>
      </c>
      <c r="I2" s="1">
        <v>45555</v>
      </c>
      <c r="J2" t="s">
        <v>14</v>
      </c>
      <c r="K2" t="s">
        <v>15</v>
      </c>
      <c r="L2" s="2">
        <v>12</v>
      </c>
    </row>
    <row r="3" spans="1:12" x14ac:dyDescent="0.25">
      <c r="A3" t="s">
        <v>11</v>
      </c>
      <c r="B3">
        <v>16243811</v>
      </c>
      <c r="C3">
        <v>16243811</v>
      </c>
      <c r="D3" t="s">
        <v>31</v>
      </c>
      <c r="E3" t="s">
        <v>32</v>
      </c>
      <c r="F3" t="str">
        <f>CONCATENATE(D3, " ", E3)</f>
        <v>Debra Gaydos</v>
      </c>
      <c r="G3">
        <v>905335292</v>
      </c>
      <c r="H3" s="1">
        <v>42736</v>
      </c>
      <c r="I3" s="1">
        <v>45555</v>
      </c>
      <c r="J3" t="s">
        <v>14</v>
      </c>
      <c r="K3" t="s">
        <v>15</v>
      </c>
      <c r="L3" s="2">
        <v>12</v>
      </c>
    </row>
    <row r="4" spans="1:12" x14ac:dyDescent="0.25">
      <c r="A4" t="s">
        <v>11</v>
      </c>
      <c r="B4">
        <v>16243811</v>
      </c>
      <c r="C4">
        <v>16243811</v>
      </c>
      <c r="D4" t="s">
        <v>35</v>
      </c>
      <c r="E4" t="s">
        <v>36</v>
      </c>
      <c r="F4" t="str">
        <f>CONCATENATE(D4, " ", E4)</f>
        <v>Derek Williams</v>
      </c>
      <c r="G4">
        <v>905637129</v>
      </c>
      <c r="H4" s="1">
        <v>42430</v>
      </c>
      <c r="I4" s="1">
        <v>45555</v>
      </c>
      <c r="J4" t="s">
        <v>14</v>
      </c>
      <c r="K4" t="s">
        <v>15</v>
      </c>
      <c r="L4" s="2">
        <v>12</v>
      </c>
    </row>
    <row r="5" spans="1:12" x14ac:dyDescent="0.25">
      <c r="A5" t="s">
        <v>11</v>
      </c>
      <c r="B5">
        <v>16243811</v>
      </c>
      <c r="C5">
        <v>16243811</v>
      </c>
      <c r="D5" t="s">
        <v>23</v>
      </c>
      <c r="E5" t="s">
        <v>24</v>
      </c>
      <c r="F5" t="str">
        <f>CONCATENATE(D5, " ", E5)</f>
        <v>Gary Wisneski</v>
      </c>
      <c r="G5">
        <v>903828134</v>
      </c>
      <c r="H5" s="1">
        <v>44593</v>
      </c>
      <c r="I5" s="1">
        <v>45555</v>
      </c>
      <c r="J5" t="s">
        <v>14</v>
      </c>
      <c r="K5" t="s">
        <v>15</v>
      </c>
      <c r="L5" s="2">
        <v>12</v>
      </c>
    </row>
    <row r="6" spans="1:12" x14ac:dyDescent="0.25">
      <c r="A6" t="s">
        <v>11</v>
      </c>
      <c r="B6">
        <v>16243811</v>
      </c>
      <c r="C6">
        <v>16243811</v>
      </c>
      <c r="D6" t="s">
        <v>19</v>
      </c>
      <c r="E6" t="s">
        <v>20</v>
      </c>
      <c r="F6" t="str">
        <f>CONCATENATE(D6, " ", E6)</f>
        <v>George Ashley</v>
      </c>
      <c r="G6">
        <v>901116019</v>
      </c>
      <c r="H6" s="1">
        <v>43132</v>
      </c>
      <c r="I6" s="1">
        <v>45555</v>
      </c>
      <c r="J6" t="s">
        <v>14</v>
      </c>
      <c r="K6" t="s">
        <v>15</v>
      </c>
      <c r="L6" s="2">
        <v>12</v>
      </c>
    </row>
    <row r="7" spans="1:12" x14ac:dyDescent="0.25">
      <c r="A7" t="s">
        <v>11</v>
      </c>
      <c r="B7">
        <v>16243811</v>
      </c>
      <c r="C7">
        <v>16243811</v>
      </c>
      <c r="D7" t="s">
        <v>37</v>
      </c>
      <c r="E7" t="s">
        <v>38</v>
      </c>
      <c r="F7" t="str">
        <f>CONCATENATE(D7, " ", E7)</f>
        <v>Giulietta Pinna</v>
      </c>
      <c r="G7">
        <v>905639045</v>
      </c>
      <c r="H7" s="1">
        <v>44927</v>
      </c>
      <c r="I7" s="1">
        <v>45555</v>
      </c>
      <c r="J7" t="s">
        <v>14</v>
      </c>
      <c r="K7" t="s">
        <v>15</v>
      </c>
      <c r="L7" s="2">
        <v>12</v>
      </c>
    </row>
    <row r="8" spans="1:12" x14ac:dyDescent="0.25">
      <c r="A8" t="s">
        <v>11</v>
      </c>
      <c r="B8">
        <v>16243811</v>
      </c>
      <c r="C8">
        <v>16243811</v>
      </c>
      <c r="D8" t="s">
        <v>25</v>
      </c>
      <c r="E8" t="s">
        <v>26</v>
      </c>
      <c r="F8" t="str">
        <f>CONCATENATE(D8, " ", E8)</f>
        <v>Jimmy Le</v>
      </c>
      <c r="G8">
        <v>903983529</v>
      </c>
      <c r="H8" s="1">
        <v>44197</v>
      </c>
      <c r="I8" s="1">
        <v>45555</v>
      </c>
      <c r="J8" t="s">
        <v>14</v>
      </c>
      <c r="K8" t="s">
        <v>15</v>
      </c>
      <c r="L8" s="2">
        <v>12</v>
      </c>
    </row>
    <row r="9" spans="1:12" x14ac:dyDescent="0.25">
      <c r="A9" t="s">
        <v>11</v>
      </c>
      <c r="B9">
        <v>16243811</v>
      </c>
      <c r="C9">
        <v>16243811</v>
      </c>
      <c r="D9" t="s">
        <v>12</v>
      </c>
      <c r="E9" t="s">
        <v>13</v>
      </c>
      <c r="F9" t="str">
        <f>CONCATENATE(D9, " ", E9)</f>
        <v>Kathleen Mcgann</v>
      </c>
      <c r="G9">
        <v>900273454</v>
      </c>
      <c r="H9" s="1">
        <v>42736</v>
      </c>
      <c r="I9" s="1">
        <v>45555</v>
      </c>
      <c r="J9" t="s">
        <v>14</v>
      </c>
      <c r="K9" t="s">
        <v>15</v>
      </c>
      <c r="L9" s="2">
        <v>12</v>
      </c>
    </row>
    <row r="10" spans="1:12" x14ac:dyDescent="0.25">
      <c r="A10" t="s">
        <v>11</v>
      </c>
      <c r="B10">
        <v>16243811</v>
      </c>
      <c r="C10">
        <v>16243811</v>
      </c>
      <c r="D10" t="s">
        <v>21</v>
      </c>
      <c r="E10" t="s">
        <v>22</v>
      </c>
      <c r="F10" t="str">
        <f>CONCATENATE(D10, " ", E10)</f>
        <v>Mark Gregory</v>
      </c>
      <c r="G10">
        <v>902076554</v>
      </c>
      <c r="H10" s="1">
        <v>44896</v>
      </c>
      <c r="I10" s="1">
        <v>45555</v>
      </c>
      <c r="J10" t="s">
        <v>14</v>
      </c>
      <c r="K10" t="s">
        <v>15</v>
      </c>
      <c r="L10" s="2">
        <v>12</v>
      </c>
    </row>
    <row r="11" spans="1:12" x14ac:dyDescent="0.25">
      <c r="A11" t="s">
        <v>11</v>
      </c>
      <c r="B11">
        <v>16243811</v>
      </c>
      <c r="C11">
        <v>16243811</v>
      </c>
      <c r="D11" t="s">
        <v>29</v>
      </c>
      <c r="E11" t="s">
        <v>30</v>
      </c>
      <c r="F11" t="str">
        <f>CONCATENATE(D11, " ", E11)</f>
        <v>Oscar Rodriguez</v>
      </c>
      <c r="G11">
        <v>905210375</v>
      </c>
      <c r="H11" s="1">
        <v>42005</v>
      </c>
      <c r="I11" s="1">
        <v>45555</v>
      </c>
      <c r="J11" t="s">
        <v>14</v>
      </c>
      <c r="K11" t="s">
        <v>15</v>
      </c>
      <c r="L11" s="2">
        <v>12</v>
      </c>
    </row>
    <row r="12" spans="1:12" x14ac:dyDescent="0.25">
      <c r="A12" t="s">
        <v>11</v>
      </c>
      <c r="B12">
        <v>16243811</v>
      </c>
      <c r="C12">
        <v>16243811</v>
      </c>
      <c r="D12" t="s">
        <v>16</v>
      </c>
      <c r="E12" t="s">
        <v>17</v>
      </c>
      <c r="F12" t="str">
        <f>CONCATENATE(D12, " ", E12)</f>
        <v>Rhonda Fields</v>
      </c>
      <c r="G12">
        <v>900928294</v>
      </c>
      <c r="H12" s="1">
        <v>43221</v>
      </c>
      <c r="I12" s="1">
        <v>45555</v>
      </c>
      <c r="J12" t="s">
        <v>14</v>
      </c>
      <c r="K12" t="s">
        <v>18</v>
      </c>
      <c r="L12" s="2">
        <v>12</v>
      </c>
    </row>
    <row r="13" spans="1:12" x14ac:dyDescent="0.25">
      <c r="A13" t="s">
        <v>11</v>
      </c>
      <c r="B13">
        <v>16243811</v>
      </c>
      <c r="C13">
        <v>16243811</v>
      </c>
      <c r="D13" t="s">
        <v>43</v>
      </c>
      <c r="E13" t="s">
        <v>44</v>
      </c>
      <c r="F13" t="str">
        <f>CONCATENATE(D13, " ", E13)</f>
        <v>Sharon Singh</v>
      </c>
      <c r="G13">
        <v>934281401</v>
      </c>
      <c r="H13" s="1">
        <v>43983</v>
      </c>
      <c r="I13" s="1">
        <v>45555</v>
      </c>
      <c r="J13" t="s">
        <v>14</v>
      </c>
      <c r="K13" t="s">
        <v>15</v>
      </c>
      <c r="L13" s="2">
        <v>12</v>
      </c>
    </row>
    <row r="14" spans="1:12" x14ac:dyDescent="0.25">
      <c r="A14" t="s">
        <v>11</v>
      </c>
      <c r="B14">
        <v>16243811</v>
      </c>
      <c r="C14">
        <v>16243811</v>
      </c>
      <c r="D14" t="s">
        <v>33</v>
      </c>
      <c r="E14" t="s">
        <v>34</v>
      </c>
      <c r="F14" t="str">
        <f>CONCATENATE(D14, " ", E14)</f>
        <v>Stanley Barnes</v>
      </c>
      <c r="G14">
        <v>905548273</v>
      </c>
      <c r="H14" s="1">
        <v>42370</v>
      </c>
      <c r="I14" s="1">
        <v>45555</v>
      </c>
      <c r="J14" t="s">
        <v>14</v>
      </c>
      <c r="K14" t="s">
        <v>18</v>
      </c>
      <c r="L14" s="2">
        <v>12</v>
      </c>
    </row>
    <row r="15" spans="1:12" x14ac:dyDescent="0.25">
      <c r="A15" t="s">
        <v>11</v>
      </c>
      <c r="B15">
        <v>16243811</v>
      </c>
      <c r="C15">
        <v>16243811</v>
      </c>
      <c r="D15" t="s">
        <v>27</v>
      </c>
      <c r="E15" t="s">
        <v>28</v>
      </c>
      <c r="F15" t="str">
        <f>CONCATENATE(D15, " ", E15)</f>
        <v>Subata Abro</v>
      </c>
      <c r="G15">
        <v>905147602</v>
      </c>
      <c r="H15" s="1">
        <v>42736</v>
      </c>
      <c r="I15" s="1">
        <v>45555</v>
      </c>
      <c r="J15" t="s">
        <v>14</v>
      </c>
      <c r="K15" t="s">
        <v>15</v>
      </c>
      <c r="L15" s="2">
        <v>12</v>
      </c>
    </row>
    <row r="16" spans="1:12" x14ac:dyDescent="0.25">
      <c r="A16" t="s">
        <v>11</v>
      </c>
      <c r="B16">
        <v>16243811</v>
      </c>
      <c r="C16">
        <v>16243811</v>
      </c>
      <c r="D16" t="s">
        <v>39</v>
      </c>
      <c r="E16" t="s">
        <v>40</v>
      </c>
      <c r="F16" t="str">
        <f>CONCATENATE(D16, " ", E16)</f>
        <v>Victoria Ediwe</v>
      </c>
      <c r="G16">
        <v>917448901</v>
      </c>
      <c r="H16" s="1">
        <v>42795</v>
      </c>
      <c r="I16" s="1">
        <v>45555</v>
      </c>
      <c r="J16" t="s">
        <v>14</v>
      </c>
      <c r="K16" t="s">
        <v>15</v>
      </c>
      <c r="L16" s="2">
        <v>12</v>
      </c>
    </row>
    <row r="17" spans="12:12" x14ac:dyDescent="0.25">
      <c r="L17" s="2">
        <f>SUM(L2:L16)</f>
        <v>180</v>
      </c>
    </row>
  </sheetData>
  <sortState xmlns:xlrd2="http://schemas.microsoft.com/office/spreadsheetml/2017/richdata2" ref="A2:L16">
    <sortCondition ref="F2:F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2024-09-20T15:39:58Z</dcterms:created>
  <dcterms:modified xsi:type="dcterms:W3CDTF">2024-09-25T14:52:16Z</dcterms:modified>
</cp:coreProperties>
</file>