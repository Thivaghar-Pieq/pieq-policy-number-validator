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Kaiser Permanente MAPD\2026\2026-06-18\"/>
    </mc:Choice>
  </mc:AlternateContent>
  <xr:revisionPtr revIDLastSave="0" documentId="13_ncr:1_{C20B7D64-C62E-4FF0-91E9-A90365312CBF}" xr6:coauthVersionLast="47" xr6:coauthVersionMax="47" xr10:uidLastSave="{00000000-0000-0000-0000-000000000000}"/>
  <bookViews>
    <workbookView xWindow="-120" yWindow="-120" windowWidth="29040" windowHeight="15720" activeTab="1" xr2:uid="{08DC00D7-8F14-4A9B-BCD9-DA8F7950A526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8" i="2"/>
</calcChain>
</file>

<file path=xl/sharedStrings.xml><?xml version="1.0" encoding="utf-8"?>
<sst xmlns="http://schemas.openxmlformats.org/spreadsheetml/2006/main" count="797" uniqueCount="127">
  <si>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</si>
  <si>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</si>
  <si>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</si>
  <si>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</si>
  <si>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</si>
  <si>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</si>
  <si>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</si>
  <si>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</si>
  <si>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</si>
  <si>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</si>
  <si>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</si>
  <si>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</si>
  <si>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</si>
  <si>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</si>
  <si>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</si>
  <si>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</si>
  <si>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</si>
  <si>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</si>
  <si>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</si>
  <si>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</si>
  <si>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</si>
  <si>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</si>
  <si>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</si>
  <si>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</si>
  <si>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</si>
  <si>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</si>
  <si>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</si>
  <si>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</si>
  <si>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</si>
  <si>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</si>
  <si>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</si>
  <si>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</si>
  <si>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</si>
  <si>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</si>
  <si>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</si>
  <si>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</si>
  <si>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</si>
  <si>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</si>
  <si>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</si>
  <si>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</si>
  <si>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</si>
  <si>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</si>
  <si>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</si>
  <si>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</si>
  <si>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</si>
  <si>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</si>
  <si>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</si>
  <si>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</si>
  <si>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</si>
  <si>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</si>
  <si>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RY</t>
  </si>
  <si>
    <t>'11345120-ADM</t>
  </si>
  <si>
    <t>KP MAPD OVR</t>
  </si>
  <si>
    <t>'16212335</t>
  </si>
  <si>
    <t>MAGDALENA AGUSTIN</t>
  </si>
  <si>
    <t>FY</t>
  </si>
  <si>
    <t>'16212335-ADM</t>
  </si>
  <si>
    <t>'32284182</t>
  </si>
  <si>
    <t>WILLIAM CUSTER</t>
  </si>
  <si>
    <t>'32284182-ADM</t>
  </si>
  <si>
    <t>'46204886</t>
  </si>
  <si>
    <t>LUIS CHUMPITAZ FLORES</t>
  </si>
  <si>
    <t>'46204886-ADM</t>
  </si>
  <si>
    <t>'49292665</t>
  </si>
  <si>
    <t>JAMES PETR</t>
  </si>
  <si>
    <t>'9079571-KP</t>
  </si>
  <si>
    <t>ADAM RICHTER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</si>
  <si>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</si>
  <si>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</si>
  <si>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</si>
  <si>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</si>
  <si>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</si>
  <si>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</si>
  <si>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</si>
  <si>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</si>
  <si>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</si>
  <si>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</si>
  <si>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</si>
  <si>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</si>
  <si>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</si>
  <si>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</si>
  <si>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</si>
  <si>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</si>
  <si>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</si>
  <si>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</si>
  <si>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</si>
  <si>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</si>
  <si>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</si>
  <si>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</si>
  <si>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'79351833</t>
  </si>
  <si>
    <t>RANDY SLACK</t>
  </si>
  <si>
    <t>'17195620-KP</t>
  </si>
  <si>
    <t>CATHY LEMON</t>
  </si>
  <si>
    <t>'79351833-ADM</t>
  </si>
  <si>
    <t>'85180647</t>
  </si>
  <si>
    <t>MICHAEL FOWLER</t>
  </si>
  <si>
    <t>'85180647-ADM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</si>
  <si>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</si>
  <si>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</si>
  <si>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</si>
  <si>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</si>
  <si>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</si>
  <si>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</si>
  <si>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</si>
  <si>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</si>
  <si>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</si>
  <si>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11345120OVR</t>
  </si>
  <si>
    <t>16212335OVR</t>
  </si>
  <si>
    <t>32284182OVR</t>
  </si>
  <si>
    <t>46204886OVR</t>
  </si>
  <si>
    <t>49292665OVR</t>
  </si>
  <si>
    <t>53180938OVR</t>
  </si>
  <si>
    <t>541060318OVR</t>
  </si>
  <si>
    <t>64251138OVR</t>
  </si>
  <si>
    <t>65337557OVR</t>
  </si>
  <si>
    <t>68344375OVR</t>
  </si>
  <si>
    <t>69202132OVR</t>
  </si>
  <si>
    <t>721041450OVR</t>
  </si>
  <si>
    <t>79351833OVR</t>
  </si>
  <si>
    <t>85180647OVR</t>
  </si>
  <si>
    <t>901118311OVR</t>
  </si>
  <si>
    <t>99350531OVR</t>
  </si>
  <si>
    <t>Kaiser 2026</t>
  </si>
  <si>
    <t>[%/$=347][prorate=1/12]</t>
  </si>
  <si>
    <t>Kaiser MAPD 2026*</t>
  </si>
  <si>
    <t>Kasier MAPD OVR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</si>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</sst>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NumberForma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3" borderId="0" xfId="0" quotePrefix="1" applyNumberFormat="1" applyFill="1" applyAlignment="1">
      <alignment horizontal="left"/>
    </xf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17FB-6378-4A90-9FF5-BD708EFE9754}">
  <dimension ref="A1:AI33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2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46191</v>
      </c>
      <c r="B2" s="1">
        <v>46191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46174</v>
      </c>
      <c r="U2" t="s">
        <v>48</v>
      </c>
      <c r="V2">
        <v>1</v>
      </c>
      <c r="W2" s="1">
        <v>46190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4958797</v>
      </c>
      <c r="AI2" t="s">
        <v>50</v>
      </c>
    </row>
    <row r="3" spans="1:35" x14ac:dyDescent="0.25">
      <c r="A3" s="1">
        <v>46191</v>
      </c>
      <c r="B3" s="1">
        <v>46191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45901</v>
      </c>
      <c r="T3" s="1">
        <v>46174</v>
      </c>
      <c r="U3" t="s">
        <v>48</v>
      </c>
      <c r="V3">
        <v>1</v>
      </c>
      <c r="W3" s="1">
        <v>46190</v>
      </c>
      <c r="X3" t="s">
        <v>49</v>
      </c>
      <c r="Z3" s="2">
        <v>2.19</v>
      </c>
      <c r="AD3" s="2">
        <v>2.19</v>
      </c>
      <c r="AE3" s="2">
        <v>0</v>
      </c>
      <c r="AF3" s="2">
        <v>0</v>
      </c>
      <c r="AH3">
        <v>4958798</v>
      </c>
      <c r="AI3" t="s">
        <v>50</v>
      </c>
    </row>
    <row r="4" spans="1:35" x14ac:dyDescent="0.25">
      <c r="A4" s="1">
        <v>46191</v>
      </c>
      <c r="B4" s="1">
        <v>46191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K4" t="s">
        <v>43</v>
      </c>
      <c r="O4" t="s">
        <v>44</v>
      </c>
      <c r="P4" t="s">
        <v>45</v>
      </c>
      <c r="Q4" t="s">
        <v>46</v>
      </c>
      <c r="R4" t="s">
        <v>47</v>
      </c>
      <c r="S4" s="1">
        <v>46174</v>
      </c>
      <c r="T4" s="1">
        <v>46174</v>
      </c>
      <c r="U4" t="s">
        <v>48</v>
      </c>
      <c r="V4">
        <v>1</v>
      </c>
      <c r="W4" s="1">
        <v>46190</v>
      </c>
      <c r="X4" t="s">
        <v>49</v>
      </c>
      <c r="Z4" s="2">
        <v>694</v>
      </c>
      <c r="AD4" s="2">
        <v>694</v>
      </c>
      <c r="AE4" s="2">
        <v>0</v>
      </c>
      <c r="AF4" s="2">
        <v>0</v>
      </c>
      <c r="AH4">
        <v>4954921</v>
      </c>
      <c r="AI4" t="s">
        <v>55</v>
      </c>
    </row>
    <row r="5" spans="1:35" x14ac:dyDescent="0.25">
      <c r="A5" s="1">
        <v>46191</v>
      </c>
      <c r="B5" s="1">
        <v>46191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56</v>
      </c>
      <c r="J5" t="s">
        <v>54</v>
      </c>
      <c r="K5" t="s">
        <v>43</v>
      </c>
      <c r="O5" t="s">
        <v>44</v>
      </c>
      <c r="P5" t="s">
        <v>45</v>
      </c>
      <c r="Q5" t="s">
        <v>46</v>
      </c>
      <c r="R5" t="s">
        <v>52</v>
      </c>
      <c r="S5" s="1">
        <v>46174</v>
      </c>
      <c r="T5" s="1">
        <v>46174</v>
      </c>
      <c r="U5" t="s">
        <v>48</v>
      </c>
      <c r="V5">
        <v>1</v>
      </c>
      <c r="W5" s="1">
        <v>46190</v>
      </c>
      <c r="X5" t="s">
        <v>49</v>
      </c>
      <c r="Z5" s="2">
        <v>70</v>
      </c>
      <c r="AD5" s="2">
        <v>70</v>
      </c>
      <c r="AE5" s="2">
        <v>0</v>
      </c>
      <c r="AF5" s="2">
        <v>0</v>
      </c>
      <c r="AH5">
        <v>4954922</v>
      </c>
      <c r="AI5" t="s">
        <v>55</v>
      </c>
    </row>
    <row r="6" spans="1:35" x14ac:dyDescent="0.25">
      <c r="A6" s="1">
        <v>46191</v>
      </c>
      <c r="B6" s="1">
        <v>46191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57</v>
      </c>
      <c r="J6" t="s">
        <v>58</v>
      </c>
      <c r="K6" t="s">
        <v>43</v>
      </c>
      <c r="O6" t="s">
        <v>44</v>
      </c>
      <c r="P6" t="s">
        <v>45</v>
      </c>
      <c r="Q6" t="s">
        <v>46</v>
      </c>
      <c r="R6" t="s">
        <v>47</v>
      </c>
      <c r="S6" s="1">
        <v>45689</v>
      </c>
      <c r="T6" s="1">
        <v>46174</v>
      </c>
      <c r="U6" t="s">
        <v>48</v>
      </c>
      <c r="V6">
        <v>1</v>
      </c>
      <c r="W6" s="1">
        <v>46190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4958795</v>
      </c>
      <c r="AI6" t="s">
        <v>50</v>
      </c>
    </row>
    <row r="7" spans="1:35" x14ac:dyDescent="0.25">
      <c r="A7" s="1">
        <v>46191</v>
      </c>
      <c r="B7" s="1">
        <v>46191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58</v>
      </c>
      <c r="K7" t="s">
        <v>43</v>
      </c>
      <c r="O7" t="s">
        <v>44</v>
      </c>
      <c r="P7" t="s">
        <v>45</v>
      </c>
      <c r="Q7" t="s">
        <v>46</v>
      </c>
      <c r="R7" t="s">
        <v>52</v>
      </c>
      <c r="S7" s="1">
        <v>45689</v>
      </c>
      <c r="T7" s="1">
        <v>46174</v>
      </c>
      <c r="U7" t="s">
        <v>48</v>
      </c>
      <c r="V7">
        <v>1</v>
      </c>
      <c r="W7" s="1">
        <v>46190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4958796</v>
      </c>
      <c r="AI7" t="s">
        <v>50</v>
      </c>
    </row>
    <row r="8" spans="1:35" x14ac:dyDescent="0.25">
      <c r="A8" s="1">
        <v>46191</v>
      </c>
      <c r="B8" s="1">
        <v>46191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K8" t="s">
        <v>43</v>
      </c>
      <c r="O8" t="s">
        <v>44</v>
      </c>
      <c r="P8" t="s">
        <v>45</v>
      </c>
      <c r="Q8" t="s">
        <v>46</v>
      </c>
      <c r="R8" t="s">
        <v>47</v>
      </c>
      <c r="S8" s="1">
        <v>45689</v>
      </c>
      <c r="T8" s="1">
        <v>46174</v>
      </c>
      <c r="U8" t="s">
        <v>48</v>
      </c>
      <c r="V8">
        <v>1</v>
      </c>
      <c r="W8" s="1">
        <v>46190</v>
      </c>
      <c r="X8" t="s">
        <v>49</v>
      </c>
      <c r="Z8" s="2">
        <v>28.92</v>
      </c>
      <c r="AD8" s="2">
        <v>28.92</v>
      </c>
      <c r="AE8" s="2">
        <v>0</v>
      </c>
      <c r="AF8" s="2">
        <v>0</v>
      </c>
      <c r="AH8">
        <v>4958801</v>
      </c>
      <c r="AI8" t="s">
        <v>50</v>
      </c>
    </row>
    <row r="9" spans="1:35" x14ac:dyDescent="0.25">
      <c r="A9" s="1">
        <v>46191</v>
      </c>
      <c r="B9" s="1">
        <v>46191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K9" t="s">
        <v>43</v>
      </c>
      <c r="O9" t="s">
        <v>44</v>
      </c>
      <c r="P9" t="s">
        <v>45</v>
      </c>
      <c r="Q9" t="s">
        <v>46</v>
      </c>
      <c r="R9" t="s">
        <v>52</v>
      </c>
      <c r="S9" s="1">
        <v>45689</v>
      </c>
      <c r="T9" s="1">
        <v>46174</v>
      </c>
      <c r="U9" t="s">
        <v>48</v>
      </c>
      <c r="V9">
        <v>1</v>
      </c>
      <c r="W9" s="1">
        <v>46190</v>
      </c>
      <c r="X9" t="s">
        <v>49</v>
      </c>
      <c r="Z9" s="2">
        <v>2.19</v>
      </c>
      <c r="AD9" s="2">
        <v>2.19</v>
      </c>
      <c r="AE9" s="2">
        <v>0</v>
      </c>
      <c r="AF9" s="2">
        <v>0</v>
      </c>
      <c r="AH9">
        <v>4958802</v>
      </c>
      <c r="AI9" t="s">
        <v>50</v>
      </c>
    </row>
    <row r="10" spans="1:35" x14ac:dyDescent="0.25">
      <c r="A10" s="1">
        <v>46191</v>
      </c>
      <c r="B10" s="1">
        <v>46191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63</v>
      </c>
      <c r="J10" t="s">
        <v>64</v>
      </c>
      <c r="K10" t="s">
        <v>43</v>
      </c>
      <c r="O10" t="s">
        <v>65</v>
      </c>
      <c r="P10" t="s">
        <v>66</v>
      </c>
      <c r="Q10" t="s">
        <v>46</v>
      </c>
      <c r="R10" t="s">
        <v>47</v>
      </c>
      <c r="S10" s="1">
        <v>45323</v>
      </c>
      <c r="T10" s="1">
        <v>46174</v>
      </c>
      <c r="U10" t="s">
        <v>48</v>
      </c>
      <c r="V10">
        <v>1</v>
      </c>
      <c r="W10" s="1">
        <v>46190</v>
      </c>
      <c r="X10" t="s">
        <v>49</v>
      </c>
      <c r="Z10" s="2">
        <v>28.92</v>
      </c>
      <c r="AD10" s="2">
        <v>28.92</v>
      </c>
      <c r="AE10" s="2">
        <v>0</v>
      </c>
      <c r="AF10" s="2">
        <v>0</v>
      </c>
      <c r="AH10">
        <v>4957803</v>
      </c>
      <c r="AI10" t="s">
        <v>50</v>
      </c>
    </row>
    <row r="11" spans="1:35" x14ac:dyDescent="0.25">
      <c r="A11" s="1">
        <v>46191</v>
      </c>
      <c r="B11" s="1">
        <v>46191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64</v>
      </c>
      <c r="K11" t="s">
        <v>43</v>
      </c>
      <c r="O11" t="s">
        <v>65</v>
      </c>
      <c r="P11" t="s">
        <v>66</v>
      </c>
      <c r="Q11" t="s">
        <v>46</v>
      </c>
      <c r="R11" t="s">
        <v>52</v>
      </c>
      <c r="S11" s="1">
        <v>45323</v>
      </c>
      <c r="T11" s="1">
        <v>46174</v>
      </c>
      <c r="U11" t="s">
        <v>48</v>
      </c>
      <c r="V11">
        <v>1</v>
      </c>
      <c r="W11" s="1">
        <v>46190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4957804</v>
      </c>
      <c r="AI11" t="s">
        <v>50</v>
      </c>
    </row>
    <row r="12" spans="1:35" x14ac:dyDescent="0.25">
      <c r="A12" s="1">
        <v>46191</v>
      </c>
      <c r="B12" s="1">
        <v>46191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K12" t="s">
        <v>43</v>
      </c>
      <c r="O12" t="s">
        <v>65</v>
      </c>
      <c r="P12" t="s">
        <v>66</v>
      </c>
      <c r="Q12" t="s">
        <v>46</v>
      </c>
      <c r="R12" t="s">
        <v>47</v>
      </c>
      <c r="S12" s="1">
        <v>45261</v>
      </c>
      <c r="T12" s="1">
        <v>46174</v>
      </c>
      <c r="U12" t="s">
        <v>48</v>
      </c>
      <c r="V12">
        <v>1</v>
      </c>
      <c r="W12" s="1">
        <v>46190</v>
      </c>
      <c r="X12" t="s">
        <v>49</v>
      </c>
      <c r="Z12" s="2">
        <v>28.92</v>
      </c>
      <c r="AD12" s="2">
        <v>28.92</v>
      </c>
      <c r="AE12" s="2">
        <v>0</v>
      </c>
      <c r="AF12" s="2">
        <v>0</v>
      </c>
      <c r="AH12">
        <v>4957813</v>
      </c>
      <c r="AI12" t="s">
        <v>50</v>
      </c>
    </row>
    <row r="13" spans="1:35" x14ac:dyDescent="0.25">
      <c r="A13" s="1">
        <v>46191</v>
      </c>
      <c r="B13" s="1">
        <v>46191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70</v>
      </c>
      <c r="J13" t="s">
        <v>69</v>
      </c>
      <c r="K13" t="s">
        <v>43</v>
      </c>
      <c r="O13" t="s">
        <v>65</v>
      </c>
      <c r="P13" t="s">
        <v>66</v>
      </c>
      <c r="Q13" t="s">
        <v>46</v>
      </c>
      <c r="R13" t="s">
        <v>52</v>
      </c>
      <c r="S13" s="1">
        <v>45261</v>
      </c>
      <c r="T13" s="1">
        <v>46174</v>
      </c>
      <c r="U13" t="s">
        <v>48</v>
      </c>
      <c r="V13">
        <v>1</v>
      </c>
      <c r="W13" s="1">
        <v>46190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4957814</v>
      </c>
      <c r="AI13" t="s">
        <v>50</v>
      </c>
    </row>
    <row r="14" spans="1:35" x14ac:dyDescent="0.25">
      <c r="A14" s="1">
        <v>46191</v>
      </c>
      <c r="B14" s="1">
        <v>46191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71</v>
      </c>
      <c r="J14" t="s">
        <v>72</v>
      </c>
      <c r="K14" t="s">
        <v>43</v>
      </c>
      <c r="O14" t="s">
        <v>65</v>
      </c>
      <c r="P14" t="s">
        <v>66</v>
      </c>
      <c r="Q14" t="s">
        <v>46</v>
      </c>
      <c r="R14" t="s">
        <v>47</v>
      </c>
      <c r="S14" s="1">
        <v>45474</v>
      </c>
      <c r="T14" s="1">
        <v>46174</v>
      </c>
      <c r="U14" t="s">
        <v>48</v>
      </c>
      <c r="V14">
        <v>1</v>
      </c>
      <c r="W14" s="1">
        <v>46190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4957797</v>
      </c>
      <c r="AI14" t="s">
        <v>50</v>
      </c>
    </row>
    <row r="15" spans="1:35" x14ac:dyDescent="0.25">
      <c r="A15" s="1">
        <v>46191</v>
      </c>
      <c r="B15" s="1">
        <v>46191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73</v>
      </c>
      <c r="J15" t="s">
        <v>72</v>
      </c>
      <c r="K15" t="s">
        <v>43</v>
      </c>
      <c r="O15" t="s">
        <v>65</v>
      </c>
      <c r="P15" t="s">
        <v>66</v>
      </c>
      <c r="Q15" t="s">
        <v>46</v>
      </c>
      <c r="R15" t="s">
        <v>52</v>
      </c>
      <c r="S15" s="1">
        <v>45474</v>
      </c>
      <c r="T15" s="1">
        <v>46174</v>
      </c>
      <c r="U15" t="s">
        <v>48</v>
      </c>
      <c r="V15">
        <v>1</v>
      </c>
      <c r="W15" s="1">
        <v>46190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4957798</v>
      </c>
      <c r="AI15" t="s">
        <v>50</v>
      </c>
    </row>
    <row r="16" spans="1:35" x14ac:dyDescent="0.25">
      <c r="A16" s="1">
        <v>46191</v>
      </c>
      <c r="B16" s="1">
        <v>46191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74</v>
      </c>
      <c r="J16" t="s">
        <v>75</v>
      </c>
      <c r="K16" t="s">
        <v>43</v>
      </c>
      <c r="O16" t="s">
        <v>65</v>
      </c>
      <c r="P16" t="s">
        <v>66</v>
      </c>
      <c r="Q16" t="s">
        <v>46</v>
      </c>
      <c r="R16" t="s">
        <v>47</v>
      </c>
      <c r="S16" s="1">
        <v>45689</v>
      </c>
      <c r="T16" s="1">
        <v>46174</v>
      </c>
      <c r="U16" t="s">
        <v>48</v>
      </c>
      <c r="V16">
        <v>1</v>
      </c>
      <c r="W16" s="1">
        <v>46190</v>
      </c>
      <c r="X16" t="s">
        <v>49</v>
      </c>
      <c r="Z16" s="2">
        <v>28.92</v>
      </c>
      <c r="AD16" s="2">
        <v>28.92</v>
      </c>
      <c r="AE16" s="2">
        <v>0</v>
      </c>
      <c r="AF16" s="2">
        <v>0</v>
      </c>
      <c r="AH16">
        <v>4957807</v>
      </c>
      <c r="AI16" t="s">
        <v>50</v>
      </c>
    </row>
    <row r="17" spans="1:35" x14ac:dyDescent="0.25">
      <c r="A17" s="1">
        <v>46191</v>
      </c>
      <c r="B17" s="1">
        <v>46191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76</v>
      </c>
      <c r="J17" t="s">
        <v>75</v>
      </c>
      <c r="K17" t="s">
        <v>43</v>
      </c>
      <c r="O17" t="s">
        <v>65</v>
      </c>
      <c r="P17" t="s">
        <v>66</v>
      </c>
      <c r="Q17" t="s">
        <v>46</v>
      </c>
      <c r="R17" t="s">
        <v>52</v>
      </c>
      <c r="S17" s="1">
        <v>45689</v>
      </c>
      <c r="T17" s="1">
        <v>46174</v>
      </c>
      <c r="U17" t="s">
        <v>48</v>
      </c>
      <c r="V17">
        <v>1</v>
      </c>
      <c r="W17" s="1">
        <v>46190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4957808</v>
      </c>
      <c r="AI17" t="s">
        <v>50</v>
      </c>
    </row>
    <row r="18" spans="1:35" x14ac:dyDescent="0.25">
      <c r="A18" s="1">
        <v>46191</v>
      </c>
      <c r="B18" s="1">
        <v>46191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77</v>
      </c>
      <c r="J18" t="s">
        <v>78</v>
      </c>
      <c r="K18" t="s">
        <v>43</v>
      </c>
      <c r="O18" t="s">
        <v>65</v>
      </c>
      <c r="P18" t="s">
        <v>66</v>
      </c>
      <c r="Q18" t="s">
        <v>46</v>
      </c>
      <c r="R18" t="s">
        <v>47</v>
      </c>
      <c r="S18" s="1">
        <v>45323</v>
      </c>
      <c r="T18" s="1">
        <v>46174</v>
      </c>
      <c r="U18" t="s">
        <v>48</v>
      </c>
      <c r="V18">
        <v>1</v>
      </c>
      <c r="W18" s="1">
        <v>46190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4957801</v>
      </c>
      <c r="AI18" t="s">
        <v>50</v>
      </c>
    </row>
    <row r="19" spans="1:35" x14ac:dyDescent="0.25">
      <c r="A19" s="1">
        <v>46191</v>
      </c>
      <c r="B19" s="1">
        <v>46191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79</v>
      </c>
      <c r="J19" t="s">
        <v>78</v>
      </c>
      <c r="K19" t="s">
        <v>43</v>
      </c>
      <c r="O19" t="s">
        <v>65</v>
      </c>
      <c r="P19" t="s">
        <v>66</v>
      </c>
      <c r="Q19" t="s">
        <v>46</v>
      </c>
      <c r="R19" t="s">
        <v>52</v>
      </c>
      <c r="S19" s="1">
        <v>45323</v>
      </c>
      <c r="T19" s="1">
        <v>46174</v>
      </c>
      <c r="U19" t="s">
        <v>48</v>
      </c>
      <c r="V19">
        <v>1</v>
      </c>
      <c r="W19" s="1">
        <v>46190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4957802</v>
      </c>
      <c r="AI19" t="s">
        <v>50</v>
      </c>
    </row>
    <row r="20" spans="1:35" x14ac:dyDescent="0.25">
      <c r="A20" s="1">
        <v>46191</v>
      </c>
      <c r="B20" s="1">
        <v>46191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80</v>
      </c>
      <c r="J20" t="s">
        <v>81</v>
      </c>
      <c r="K20" t="s">
        <v>43</v>
      </c>
      <c r="O20" t="s">
        <v>44</v>
      </c>
      <c r="P20" t="s">
        <v>45</v>
      </c>
      <c r="Q20" t="s">
        <v>46</v>
      </c>
      <c r="R20" t="s">
        <v>47</v>
      </c>
      <c r="S20" s="1">
        <v>45505</v>
      </c>
      <c r="T20" s="1">
        <v>46174</v>
      </c>
      <c r="U20" t="s">
        <v>48</v>
      </c>
      <c r="V20">
        <v>1</v>
      </c>
      <c r="W20" s="1">
        <v>46190</v>
      </c>
      <c r="X20" t="s">
        <v>49</v>
      </c>
      <c r="Z20" s="2">
        <v>28.92</v>
      </c>
      <c r="AD20" s="2">
        <v>28.92</v>
      </c>
      <c r="AE20" s="2">
        <v>0</v>
      </c>
      <c r="AF20" s="2">
        <v>0</v>
      </c>
      <c r="AH20">
        <v>4958799</v>
      </c>
      <c r="AI20" t="s">
        <v>50</v>
      </c>
    </row>
    <row r="21" spans="1:35" x14ac:dyDescent="0.25">
      <c r="A21" s="1">
        <v>46191</v>
      </c>
      <c r="B21" s="1">
        <v>46191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82</v>
      </c>
      <c r="J21" t="s">
        <v>81</v>
      </c>
      <c r="K21" t="s">
        <v>43</v>
      </c>
      <c r="O21" t="s">
        <v>44</v>
      </c>
      <c r="P21" t="s">
        <v>45</v>
      </c>
      <c r="Q21" t="s">
        <v>46</v>
      </c>
      <c r="R21" t="s">
        <v>52</v>
      </c>
      <c r="S21" s="1">
        <v>45505</v>
      </c>
      <c r="T21" s="1">
        <v>46174</v>
      </c>
      <c r="U21" t="s">
        <v>48</v>
      </c>
      <c r="V21">
        <v>1</v>
      </c>
      <c r="W21" s="1">
        <v>46190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4958800</v>
      </c>
      <c r="AI21" t="s">
        <v>50</v>
      </c>
    </row>
    <row r="22" spans="1:35" x14ac:dyDescent="0.25">
      <c r="A22" s="1">
        <v>46191</v>
      </c>
      <c r="B22" s="1">
        <v>46191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83</v>
      </c>
      <c r="J22" t="s">
        <v>84</v>
      </c>
      <c r="K22" t="s">
        <v>43</v>
      </c>
      <c r="O22" t="s">
        <v>65</v>
      </c>
      <c r="P22" t="s">
        <v>66</v>
      </c>
      <c r="Q22" t="s">
        <v>46</v>
      </c>
      <c r="R22" t="s">
        <v>47</v>
      </c>
      <c r="S22" s="1">
        <v>45017</v>
      </c>
      <c r="T22" s="1">
        <v>46174</v>
      </c>
      <c r="U22" t="s">
        <v>48</v>
      </c>
      <c r="V22">
        <v>1</v>
      </c>
      <c r="W22" s="1">
        <v>46190</v>
      </c>
      <c r="X22" t="s">
        <v>49</v>
      </c>
      <c r="Z22" s="2">
        <v>28.92</v>
      </c>
      <c r="AD22" s="2">
        <v>28.92</v>
      </c>
      <c r="AE22" s="2">
        <v>0</v>
      </c>
      <c r="AF22" s="2">
        <v>0</v>
      </c>
      <c r="AH22">
        <v>4957805</v>
      </c>
      <c r="AI22" t="s">
        <v>50</v>
      </c>
    </row>
    <row r="23" spans="1:35" x14ac:dyDescent="0.25">
      <c r="A23" s="1">
        <v>46191</v>
      </c>
      <c r="B23" s="1">
        <v>46191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85</v>
      </c>
      <c r="J23" t="s">
        <v>84</v>
      </c>
      <c r="K23" t="s">
        <v>43</v>
      </c>
      <c r="O23" t="s">
        <v>65</v>
      </c>
      <c r="P23" t="s">
        <v>66</v>
      </c>
      <c r="Q23" t="s">
        <v>46</v>
      </c>
      <c r="R23" t="s">
        <v>52</v>
      </c>
      <c r="S23" s="1">
        <v>45017</v>
      </c>
      <c r="T23" s="1">
        <v>46174</v>
      </c>
      <c r="U23" t="s">
        <v>48</v>
      </c>
      <c r="V23">
        <v>1</v>
      </c>
      <c r="W23" s="1">
        <v>46190</v>
      </c>
      <c r="X23" t="s">
        <v>49</v>
      </c>
      <c r="Z23" s="2">
        <v>2.19</v>
      </c>
      <c r="AD23" s="2">
        <v>2.19</v>
      </c>
      <c r="AE23" s="2">
        <v>0</v>
      </c>
      <c r="AF23" s="2">
        <v>0</v>
      </c>
      <c r="AH23">
        <v>4957806</v>
      </c>
      <c r="AI23" t="s">
        <v>50</v>
      </c>
    </row>
    <row r="24" spans="1:35" x14ac:dyDescent="0.25">
      <c r="A24" s="1">
        <v>46191</v>
      </c>
      <c r="B24" s="1">
        <v>46191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86</v>
      </c>
      <c r="J24" t="s">
        <v>87</v>
      </c>
      <c r="K24" t="s">
        <v>43</v>
      </c>
      <c r="O24" t="s">
        <v>65</v>
      </c>
      <c r="P24" t="s">
        <v>66</v>
      </c>
      <c r="Q24" t="s">
        <v>46</v>
      </c>
      <c r="R24" t="s">
        <v>47</v>
      </c>
      <c r="S24" s="1">
        <v>45566</v>
      </c>
      <c r="T24" s="1">
        <v>46174</v>
      </c>
      <c r="U24" t="s">
        <v>48</v>
      </c>
      <c r="V24">
        <v>1</v>
      </c>
      <c r="W24" s="1">
        <v>46190</v>
      </c>
      <c r="X24" t="s">
        <v>49</v>
      </c>
      <c r="Z24" s="2">
        <v>28.92</v>
      </c>
      <c r="AD24" s="2">
        <v>28.92</v>
      </c>
      <c r="AE24" s="2">
        <v>0</v>
      </c>
      <c r="AF24" s="2">
        <v>0</v>
      </c>
      <c r="AH24">
        <v>4957809</v>
      </c>
      <c r="AI24" t="s">
        <v>50</v>
      </c>
    </row>
    <row r="25" spans="1:35" x14ac:dyDescent="0.25">
      <c r="A25" s="1">
        <v>46191</v>
      </c>
      <c r="B25" s="1">
        <v>46191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88</v>
      </c>
      <c r="J25" t="s">
        <v>87</v>
      </c>
      <c r="K25" t="s">
        <v>43</v>
      </c>
      <c r="O25" t="s">
        <v>65</v>
      </c>
      <c r="P25" t="s">
        <v>66</v>
      </c>
      <c r="Q25" t="s">
        <v>46</v>
      </c>
      <c r="R25" t="s">
        <v>52</v>
      </c>
      <c r="S25" s="1">
        <v>45566</v>
      </c>
      <c r="T25" s="1">
        <v>46174</v>
      </c>
      <c r="U25" t="s">
        <v>48</v>
      </c>
      <c r="V25">
        <v>1</v>
      </c>
      <c r="W25" s="1">
        <v>46190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4957810</v>
      </c>
      <c r="AI25" t="s">
        <v>50</v>
      </c>
    </row>
    <row r="26" spans="1:35" x14ac:dyDescent="0.25">
      <c r="A26" s="1">
        <v>46191</v>
      </c>
      <c r="B26" s="1">
        <v>46191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89</v>
      </c>
      <c r="J26" t="s">
        <v>90</v>
      </c>
      <c r="K26" t="s">
        <v>43</v>
      </c>
      <c r="O26" t="s">
        <v>91</v>
      </c>
      <c r="P26" t="s">
        <v>92</v>
      </c>
      <c r="Q26" t="s">
        <v>46</v>
      </c>
      <c r="R26" t="s">
        <v>47</v>
      </c>
      <c r="S26" s="1">
        <v>45809</v>
      </c>
      <c r="T26" s="1">
        <v>46174</v>
      </c>
      <c r="U26" t="s">
        <v>48</v>
      </c>
      <c r="V26">
        <v>1</v>
      </c>
      <c r="W26" s="1">
        <v>46190</v>
      </c>
      <c r="X26" t="s">
        <v>49</v>
      </c>
      <c r="Z26" s="2">
        <v>28.92</v>
      </c>
      <c r="AD26" s="2">
        <v>28.92</v>
      </c>
      <c r="AE26" s="2">
        <v>0</v>
      </c>
      <c r="AF26" s="2">
        <v>0</v>
      </c>
      <c r="AH26">
        <v>4959785</v>
      </c>
      <c r="AI26" t="s">
        <v>50</v>
      </c>
    </row>
    <row r="27" spans="1:35" x14ac:dyDescent="0.25">
      <c r="A27" s="1">
        <v>46191</v>
      </c>
      <c r="B27" s="1">
        <v>46191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93</v>
      </c>
      <c r="J27" t="s">
        <v>90</v>
      </c>
      <c r="K27" t="s">
        <v>43</v>
      </c>
      <c r="O27" t="s">
        <v>91</v>
      </c>
      <c r="P27" t="s">
        <v>92</v>
      </c>
      <c r="Q27" t="s">
        <v>46</v>
      </c>
      <c r="R27" t="s">
        <v>52</v>
      </c>
      <c r="S27" s="1">
        <v>45809</v>
      </c>
      <c r="T27" s="1">
        <v>46174</v>
      </c>
      <c r="U27" t="s">
        <v>48</v>
      </c>
      <c r="V27">
        <v>1</v>
      </c>
      <c r="W27" s="1">
        <v>46190</v>
      </c>
      <c r="X27" t="s">
        <v>49</v>
      </c>
      <c r="Z27" s="2">
        <v>2.19</v>
      </c>
      <c r="AD27" s="2">
        <v>2.19</v>
      </c>
      <c r="AE27" s="2">
        <v>0</v>
      </c>
      <c r="AF27" s="2">
        <v>0</v>
      </c>
      <c r="AH27">
        <v>4959786</v>
      </c>
      <c r="AI27" t="s">
        <v>50</v>
      </c>
    </row>
    <row r="28" spans="1:35" x14ac:dyDescent="0.25">
      <c r="A28" s="1">
        <v>46191</v>
      </c>
      <c r="B28" s="1">
        <v>46191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94</v>
      </c>
      <c r="J28" t="s">
        <v>95</v>
      </c>
      <c r="K28" t="s">
        <v>43</v>
      </c>
      <c r="O28" t="s">
        <v>65</v>
      </c>
      <c r="P28" t="s">
        <v>66</v>
      </c>
      <c r="Q28" t="s">
        <v>46</v>
      </c>
      <c r="R28" t="s">
        <v>47</v>
      </c>
      <c r="S28" s="1">
        <v>45108</v>
      </c>
      <c r="T28" s="1">
        <v>46174</v>
      </c>
      <c r="U28" t="s">
        <v>48</v>
      </c>
      <c r="V28">
        <v>1</v>
      </c>
      <c r="W28" s="1">
        <v>46190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4957811</v>
      </c>
      <c r="AI28" t="s">
        <v>50</v>
      </c>
    </row>
    <row r="29" spans="1:35" x14ac:dyDescent="0.25">
      <c r="A29" s="1">
        <v>46191</v>
      </c>
      <c r="B29" s="1">
        <v>46191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96</v>
      </c>
      <c r="J29" t="s">
        <v>95</v>
      </c>
      <c r="K29" t="s">
        <v>43</v>
      </c>
      <c r="O29" t="s">
        <v>65</v>
      </c>
      <c r="P29" t="s">
        <v>66</v>
      </c>
      <c r="Q29" t="s">
        <v>46</v>
      </c>
      <c r="R29" t="s">
        <v>52</v>
      </c>
      <c r="S29" s="1">
        <v>45108</v>
      </c>
      <c r="T29" s="1">
        <v>46174</v>
      </c>
      <c r="U29" t="s">
        <v>48</v>
      </c>
      <c r="V29">
        <v>1</v>
      </c>
      <c r="W29" s="1">
        <v>46190</v>
      </c>
      <c r="X29" t="s">
        <v>49</v>
      </c>
      <c r="Z29" s="2">
        <v>2.19</v>
      </c>
      <c r="AD29" s="2">
        <v>2.19</v>
      </c>
      <c r="AE29" s="2">
        <v>0</v>
      </c>
      <c r="AF29" s="2">
        <v>0</v>
      </c>
      <c r="AH29">
        <v>4957812</v>
      </c>
      <c r="AI29" t="s">
        <v>50</v>
      </c>
    </row>
    <row r="30" spans="1:35" x14ac:dyDescent="0.25">
      <c r="A30" s="1">
        <v>46191</v>
      </c>
      <c r="B30" s="1">
        <v>46191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97</v>
      </c>
      <c r="J30" t="s">
        <v>98</v>
      </c>
      <c r="K30" t="s">
        <v>99</v>
      </c>
      <c r="O30" t="s">
        <v>100</v>
      </c>
      <c r="P30" t="s">
        <v>101</v>
      </c>
      <c r="Q30" t="s">
        <v>46</v>
      </c>
      <c r="R30" t="s">
        <v>47</v>
      </c>
      <c r="S30" s="1">
        <v>45717</v>
      </c>
      <c r="T30" s="1">
        <v>46174</v>
      </c>
      <c r="U30" t="s">
        <v>48</v>
      </c>
      <c r="V30">
        <v>1</v>
      </c>
      <c r="W30" s="1">
        <v>46190</v>
      </c>
      <c r="X30" t="s">
        <v>49</v>
      </c>
      <c r="Z30" s="2">
        <v>28.92</v>
      </c>
      <c r="AD30" s="2">
        <v>28.92</v>
      </c>
      <c r="AE30" s="2">
        <v>0</v>
      </c>
      <c r="AF30" s="2">
        <v>0</v>
      </c>
      <c r="AH30">
        <v>4959487</v>
      </c>
      <c r="AI30" t="s">
        <v>50</v>
      </c>
    </row>
    <row r="31" spans="1:35" x14ac:dyDescent="0.25">
      <c r="A31" s="1">
        <v>46191</v>
      </c>
      <c r="B31" s="1">
        <v>46191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102</v>
      </c>
      <c r="J31" t="s">
        <v>98</v>
      </c>
      <c r="K31" t="s">
        <v>99</v>
      </c>
      <c r="O31" t="s">
        <v>100</v>
      </c>
      <c r="P31" t="s">
        <v>101</v>
      </c>
      <c r="Q31" t="s">
        <v>46</v>
      </c>
      <c r="R31" t="s">
        <v>52</v>
      </c>
      <c r="S31" s="1">
        <v>45717</v>
      </c>
      <c r="T31" s="1">
        <v>46174</v>
      </c>
      <c r="U31" t="s">
        <v>48</v>
      </c>
      <c r="V31">
        <v>1</v>
      </c>
      <c r="W31" s="1">
        <v>46190</v>
      </c>
      <c r="X31" t="s">
        <v>49</v>
      </c>
      <c r="Z31" s="2">
        <v>2.19</v>
      </c>
      <c r="AD31" s="2">
        <v>2.19</v>
      </c>
      <c r="AE31" s="2">
        <v>0</v>
      </c>
      <c r="AF31" s="2">
        <v>0</v>
      </c>
      <c r="AH31">
        <v>4959488</v>
      </c>
      <c r="AI31" t="s">
        <v>50</v>
      </c>
    </row>
    <row r="32" spans="1:35" x14ac:dyDescent="0.25">
      <c r="A32" s="1">
        <v>46191</v>
      </c>
      <c r="B32" s="1">
        <v>46191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103</v>
      </c>
      <c r="J32" t="s">
        <v>104</v>
      </c>
      <c r="K32" t="s">
        <v>43</v>
      </c>
      <c r="O32" t="s">
        <v>65</v>
      </c>
      <c r="P32" t="s">
        <v>66</v>
      </c>
      <c r="Q32" t="s">
        <v>46</v>
      </c>
      <c r="R32" t="s">
        <v>47</v>
      </c>
      <c r="S32" s="1">
        <v>45717</v>
      </c>
      <c r="T32" s="1">
        <v>46174</v>
      </c>
      <c r="U32" t="s">
        <v>48</v>
      </c>
      <c r="V32">
        <v>1</v>
      </c>
      <c r="W32" s="1">
        <v>46190</v>
      </c>
      <c r="X32" t="s">
        <v>49</v>
      </c>
      <c r="Z32" s="2">
        <v>28.92</v>
      </c>
      <c r="AD32" s="2">
        <v>28.92</v>
      </c>
      <c r="AE32" s="2">
        <v>0</v>
      </c>
      <c r="AF32" s="2">
        <v>0</v>
      </c>
      <c r="AH32">
        <v>4957799</v>
      </c>
      <c r="AI32" t="s">
        <v>50</v>
      </c>
    </row>
    <row r="33" spans="1:35" x14ac:dyDescent="0.25">
      <c r="A33" s="1">
        <v>46191</v>
      </c>
      <c r="B33" s="1">
        <v>46191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105</v>
      </c>
      <c r="J33" t="s">
        <v>104</v>
      </c>
      <c r="K33" t="s">
        <v>43</v>
      </c>
      <c r="O33" t="s">
        <v>65</v>
      </c>
      <c r="P33" t="s">
        <v>66</v>
      </c>
      <c r="Q33" t="s">
        <v>46</v>
      </c>
      <c r="R33" t="s">
        <v>52</v>
      </c>
      <c r="S33" s="1">
        <v>45717</v>
      </c>
      <c r="T33" s="1">
        <v>46174</v>
      </c>
      <c r="U33" t="s">
        <v>48</v>
      </c>
      <c r="V33">
        <v>1</v>
      </c>
      <c r="W33" s="1">
        <v>46190</v>
      </c>
      <c r="X33" t="s">
        <v>49</v>
      </c>
      <c r="Z33" s="2">
        <v>2.19</v>
      </c>
      <c r="AD33" s="2">
        <v>2.19</v>
      </c>
      <c r="AE33" s="2">
        <v>0</v>
      </c>
      <c r="AF33" s="2">
        <v>0</v>
      </c>
      <c r="AH33">
        <v>4957800</v>
      </c>
      <c r="AI3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349D-5A54-459A-B11C-57CD41A73FB7}">
  <dimension ref="A1:N33"/>
  <sheetViews>
    <sheetView tabSelected="1" workbookViewId="0">
      <selection activeCell="A12" sqref="A12"/>
    </sheetView>
  </sheetViews>
  <sheetFormatPr defaultRowHeight="15" x14ac:dyDescent="0.25"/>
  <cols>
    <col min="1" max="1" width="15.5703125" bestFit="1" customWidth="1"/>
    <col min="2" max="2" width="15.5703125" customWidth="1"/>
    <col min="3" max="3" width="22.85546875" bestFit="1" customWidth="1"/>
    <col min="4" max="4" width="8.140625" bestFit="1" customWidth="1"/>
    <col min="5" max="5" width="15.7109375" bestFit="1" customWidth="1"/>
    <col min="6" max="6" width="15.7109375" customWidth="1"/>
    <col min="7" max="7" width="19.28515625" bestFit="1" customWidth="1"/>
    <col min="8" max="8" width="12.140625" bestFit="1" customWidth="1"/>
    <col min="9" max="9" width="13.5703125" bestFit="1" customWidth="1"/>
    <col min="10" max="10" width="10.140625" bestFit="1" customWidth="1"/>
    <col min="11" max="11" width="12.28515625" bestFit="1" customWidth="1"/>
    <col min="12" max="12" width="17.42578125" bestFit="1" customWidth="1"/>
    <col min="13" max="13" width="18" bestFit="1" customWidth="1"/>
    <col min="14" max="14" width="23.140625" bestFit="1" customWidth="1"/>
  </cols>
  <sheetData>
    <row r="1" spans="1:14" x14ac:dyDescent="0.25">
      <c r="A1" t="s">
        <v>8</v>
      </c>
      <c r="C1" t="s">
        <v>9</v>
      </c>
      <c r="D1" t="s">
        <v>10</v>
      </c>
      <c r="E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25</v>
      </c>
    </row>
    <row r="2" spans="1:14" x14ac:dyDescent="0.25">
      <c r="A2" s="3">
        <v>11345120</v>
      </c>
      <c r="B2" s="3" t="str">
        <f>CONCATENATE(A2,99)</f>
        <v>1134512099</v>
      </c>
      <c r="C2" t="s">
        <v>42</v>
      </c>
      <c r="D2" t="s">
        <v>43</v>
      </c>
      <c r="E2" s="4">
        <v>16202925</v>
      </c>
      <c r="F2" s="4">
        <v>16202925</v>
      </c>
      <c r="G2" t="s">
        <v>45</v>
      </c>
      <c r="H2" t="s">
        <v>46</v>
      </c>
      <c r="I2" t="s">
        <v>47</v>
      </c>
      <c r="J2" s="1">
        <v>45901</v>
      </c>
      <c r="K2" s="1">
        <v>46174</v>
      </c>
      <c r="L2" s="2">
        <v>28.92</v>
      </c>
      <c r="M2" t="s">
        <v>124</v>
      </c>
      <c r="N2" t="s">
        <v>123</v>
      </c>
    </row>
    <row r="3" spans="1:14" x14ac:dyDescent="0.25">
      <c r="A3" s="3">
        <v>16212335</v>
      </c>
      <c r="B3" s="3" t="str">
        <f>CONCATENATE(A3,55)</f>
        <v>1621233555</v>
      </c>
      <c r="C3" t="s">
        <v>54</v>
      </c>
      <c r="D3" t="s">
        <v>43</v>
      </c>
      <c r="E3" s="4">
        <v>16202925</v>
      </c>
      <c r="F3" s="4">
        <v>16202925</v>
      </c>
      <c r="G3" t="s">
        <v>45</v>
      </c>
      <c r="H3" t="s">
        <v>46</v>
      </c>
      <c r="I3" t="s">
        <v>47</v>
      </c>
      <c r="J3" s="1">
        <v>46174</v>
      </c>
      <c r="K3" s="1">
        <v>46387</v>
      </c>
      <c r="L3" s="2">
        <v>694</v>
      </c>
      <c r="M3" t="s">
        <v>122</v>
      </c>
      <c r="N3" t="s">
        <v>126</v>
      </c>
    </row>
    <row r="4" spans="1:14" x14ac:dyDescent="0.25">
      <c r="A4" s="3">
        <v>32284182</v>
      </c>
      <c r="B4" s="3" t="str">
        <f t="shared" ref="B3:B17" si="0">CONCATENATE(A4,99)</f>
        <v>3228418299</v>
      </c>
      <c r="C4" t="s">
        <v>58</v>
      </c>
      <c r="D4" t="s">
        <v>43</v>
      </c>
      <c r="E4" s="4">
        <v>16202925</v>
      </c>
      <c r="F4" s="4">
        <v>16202925</v>
      </c>
      <c r="G4" t="s">
        <v>45</v>
      </c>
      <c r="H4" t="s">
        <v>46</v>
      </c>
      <c r="I4" t="s">
        <v>47</v>
      </c>
      <c r="J4" s="1">
        <v>45689</v>
      </c>
      <c r="K4" s="1">
        <v>46174</v>
      </c>
      <c r="L4" s="2">
        <v>28.92</v>
      </c>
      <c r="M4" t="s">
        <v>124</v>
      </c>
      <c r="N4" t="s">
        <v>123</v>
      </c>
    </row>
    <row r="5" spans="1:14" x14ac:dyDescent="0.25">
      <c r="A5" s="3">
        <v>46204886</v>
      </c>
      <c r="B5" s="3" t="str">
        <f t="shared" si="0"/>
        <v>4620488699</v>
      </c>
      <c r="C5" t="s">
        <v>61</v>
      </c>
      <c r="D5" t="s">
        <v>43</v>
      </c>
      <c r="E5" s="4">
        <v>16202925</v>
      </c>
      <c r="F5" s="4">
        <v>16202925</v>
      </c>
      <c r="G5" t="s">
        <v>45</v>
      </c>
      <c r="H5" t="s">
        <v>46</v>
      </c>
      <c r="I5" t="s">
        <v>47</v>
      </c>
      <c r="J5" s="1">
        <v>45689</v>
      </c>
      <c r="K5" s="1">
        <v>46174</v>
      </c>
      <c r="L5" s="2">
        <v>28.92</v>
      </c>
      <c r="M5" t="s">
        <v>124</v>
      </c>
      <c r="N5" t="s">
        <v>123</v>
      </c>
    </row>
    <row r="6" spans="1:14" x14ac:dyDescent="0.25">
      <c r="A6" s="3">
        <v>49292665</v>
      </c>
      <c r="B6" s="3" t="str">
        <f t="shared" si="0"/>
        <v>4929266599</v>
      </c>
      <c r="C6" t="s">
        <v>64</v>
      </c>
      <c r="D6" t="s">
        <v>43</v>
      </c>
      <c r="E6" s="4">
        <v>9079571</v>
      </c>
      <c r="F6" s="4">
        <v>9079571</v>
      </c>
      <c r="G6" t="s">
        <v>66</v>
      </c>
      <c r="H6" t="s">
        <v>46</v>
      </c>
      <c r="I6" t="s">
        <v>47</v>
      </c>
      <c r="J6" s="1">
        <v>45323</v>
      </c>
      <c r="K6" s="1">
        <v>46174</v>
      </c>
      <c r="L6" s="2">
        <v>28.92</v>
      </c>
      <c r="M6" t="s">
        <v>124</v>
      </c>
      <c r="N6" t="s">
        <v>123</v>
      </c>
    </row>
    <row r="7" spans="1:14" x14ac:dyDescent="0.25">
      <c r="A7" s="3">
        <v>53180938</v>
      </c>
      <c r="B7" s="3" t="str">
        <f t="shared" si="0"/>
        <v>5318093899</v>
      </c>
      <c r="C7" t="s">
        <v>69</v>
      </c>
      <c r="D7" t="s">
        <v>43</v>
      </c>
      <c r="E7" s="4">
        <v>9079571</v>
      </c>
      <c r="F7" s="4">
        <v>9079571</v>
      </c>
      <c r="G7" t="s">
        <v>66</v>
      </c>
      <c r="H7" t="s">
        <v>46</v>
      </c>
      <c r="I7" t="s">
        <v>47</v>
      </c>
      <c r="J7" s="1">
        <v>45261</v>
      </c>
      <c r="K7" s="1">
        <v>46174</v>
      </c>
      <c r="L7" s="2">
        <v>28.92</v>
      </c>
      <c r="M7" t="s">
        <v>124</v>
      </c>
      <c r="N7" t="s">
        <v>123</v>
      </c>
    </row>
    <row r="8" spans="1:14" x14ac:dyDescent="0.25">
      <c r="A8" s="3">
        <v>64251138</v>
      </c>
      <c r="B8" s="3" t="str">
        <f t="shared" si="0"/>
        <v>6425113899</v>
      </c>
      <c r="C8" t="s">
        <v>75</v>
      </c>
      <c r="D8" t="s">
        <v>43</v>
      </c>
      <c r="E8" s="4">
        <v>9079571</v>
      </c>
      <c r="F8" s="4">
        <v>9079571</v>
      </c>
      <c r="G8" t="s">
        <v>66</v>
      </c>
      <c r="H8" t="s">
        <v>46</v>
      </c>
      <c r="I8" t="s">
        <v>47</v>
      </c>
      <c r="J8" s="1">
        <v>45689</v>
      </c>
      <c r="K8" s="1">
        <v>46174</v>
      </c>
      <c r="L8" s="2">
        <v>28.92</v>
      </c>
      <c r="M8" t="s">
        <v>124</v>
      </c>
      <c r="N8" t="s">
        <v>123</v>
      </c>
    </row>
    <row r="9" spans="1:14" x14ac:dyDescent="0.25">
      <c r="A9" s="3">
        <v>65337557</v>
      </c>
      <c r="B9" s="3" t="str">
        <f t="shared" si="0"/>
        <v>6533755799</v>
      </c>
      <c r="C9" t="s">
        <v>78</v>
      </c>
      <c r="D9" t="s">
        <v>43</v>
      </c>
      <c r="E9" s="4">
        <v>9079571</v>
      </c>
      <c r="F9" s="4">
        <v>9079571</v>
      </c>
      <c r="G9" t="s">
        <v>66</v>
      </c>
      <c r="H9" t="s">
        <v>46</v>
      </c>
      <c r="I9" t="s">
        <v>47</v>
      </c>
      <c r="J9" s="1">
        <v>45323</v>
      </c>
      <c r="K9" s="1">
        <v>46174</v>
      </c>
      <c r="L9" s="2">
        <v>28.92</v>
      </c>
      <c r="M9" t="s">
        <v>124</v>
      </c>
      <c r="N9" t="s">
        <v>123</v>
      </c>
    </row>
    <row r="10" spans="1:14" x14ac:dyDescent="0.25">
      <c r="A10" s="3">
        <v>68344375</v>
      </c>
      <c r="B10" s="3" t="str">
        <f t="shared" si="0"/>
        <v>6834437599</v>
      </c>
      <c r="C10" t="s">
        <v>81</v>
      </c>
      <c r="D10" t="s">
        <v>43</v>
      </c>
      <c r="E10" s="4">
        <v>16202925</v>
      </c>
      <c r="F10" s="4">
        <v>16202925</v>
      </c>
      <c r="G10" t="s">
        <v>45</v>
      </c>
      <c r="H10" t="s">
        <v>46</v>
      </c>
      <c r="I10" t="s">
        <v>47</v>
      </c>
      <c r="J10" s="1">
        <v>45505</v>
      </c>
      <c r="K10" s="1">
        <v>46174</v>
      </c>
      <c r="L10" s="2">
        <v>28.92</v>
      </c>
      <c r="M10" t="s">
        <v>124</v>
      </c>
      <c r="N10" t="s">
        <v>123</v>
      </c>
    </row>
    <row r="11" spans="1:14" x14ac:dyDescent="0.25">
      <c r="A11" s="3">
        <v>69202132</v>
      </c>
      <c r="B11" s="3" t="str">
        <f t="shared" si="0"/>
        <v>6920213299</v>
      </c>
      <c r="C11" t="s">
        <v>84</v>
      </c>
      <c r="D11" t="s">
        <v>43</v>
      </c>
      <c r="E11" s="4">
        <v>9079571</v>
      </c>
      <c r="F11" s="4">
        <v>9079571</v>
      </c>
      <c r="G11" t="s">
        <v>66</v>
      </c>
      <c r="H11" t="s">
        <v>46</v>
      </c>
      <c r="I11" t="s">
        <v>47</v>
      </c>
      <c r="J11" s="1">
        <v>45017</v>
      </c>
      <c r="K11" s="1">
        <v>46174</v>
      </c>
      <c r="L11" s="2">
        <v>28.92</v>
      </c>
      <c r="M11" t="s">
        <v>124</v>
      </c>
      <c r="N11" t="s">
        <v>123</v>
      </c>
    </row>
    <row r="12" spans="1:14" x14ac:dyDescent="0.25">
      <c r="A12" s="3">
        <v>79351833</v>
      </c>
      <c r="B12" s="3" t="str">
        <f t="shared" si="0"/>
        <v>7935183399</v>
      </c>
      <c r="C12" t="s">
        <v>90</v>
      </c>
      <c r="D12" t="s">
        <v>43</v>
      </c>
      <c r="E12" s="4">
        <v>17195620</v>
      </c>
      <c r="F12" s="4">
        <v>17195620</v>
      </c>
      <c r="G12" t="s">
        <v>92</v>
      </c>
      <c r="H12" t="s">
        <v>46</v>
      </c>
      <c r="I12" t="s">
        <v>47</v>
      </c>
      <c r="J12" s="1">
        <v>45809</v>
      </c>
      <c r="K12" s="1">
        <v>46174</v>
      </c>
      <c r="L12" s="2">
        <v>28.92</v>
      </c>
      <c r="M12" t="s">
        <v>124</v>
      </c>
      <c r="N12" t="s">
        <v>123</v>
      </c>
    </row>
    <row r="13" spans="1:14" x14ac:dyDescent="0.25">
      <c r="A13" s="3">
        <v>85180647</v>
      </c>
      <c r="B13" s="3" t="str">
        <f t="shared" si="0"/>
        <v>8518064799</v>
      </c>
      <c r="C13" t="s">
        <v>95</v>
      </c>
      <c r="D13" t="s">
        <v>43</v>
      </c>
      <c r="E13" s="4">
        <v>9079571</v>
      </c>
      <c r="F13" s="4">
        <v>9079571</v>
      </c>
      <c r="G13" t="s">
        <v>66</v>
      </c>
      <c r="H13" t="s">
        <v>46</v>
      </c>
      <c r="I13" t="s">
        <v>47</v>
      </c>
      <c r="J13" s="1">
        <v>45108</v>
      </c>
      <c r="K13" s="1">
        <v>46174</v>
      </c>
      <c r="L13" s="2">
        <v>28.92</v>
      </c>
      <c r="M13" t="s">
        <v>124</v>
      </c>
      <c r="N13" t="s">
        <v>123</v>
      </c>
    </row>
    <row r="14" spans="1:14" x14ac:dyDescent="0.25">
      <c r="A14" s="3">
        <v>99350531</v>
      </c>
      <c r="B14" s="3" t="str">
        <f t="shared" si="0"/>
        <v>9935053199</v>
      </c>
      <c r="C14" t="s">
        <v>104</v>
      </c>
      <c r="D14" t="s">
        <v>43</v>
      </c>
      <c r="E14" s="4">
        <v>9079571</v>
      </c>
      <c r="F14" s="4">
        <v>9079571</v>
      </c>
      <c r="G14" t="s">
        <v>66</v>
      </c>
      <c r="H14" t="s">
        <v>46</v>
      </c>
      <c r="I14" t="s">
        <v>47</v>
      </c>
      <c r="J14" s="1">
        <v>45717</v>
      </c>
      <c r="K14" s="1">
        <v>46174</v>
      </c>
      <c r="L14" s="2">
        <v>28.92</v>
      </c>
      <c r="M14" t="s">
        <v>124</v>
      </c>
      <c r="N14" t="s">
        <v>123</v>
      </c>
    </row>
    <row r="15" spans="1:14" x14ac:dyDescent="0.25">
      <c r="A15" s="3">
        <v>541060318</v>
      </c>
      <c r="B15" s="3" t="str">
        <f t="shared" si="0"/>
        <v>54106031899</v>
      </c>
      <c r="C15" t="s">
        <v>72</v>
      </c>
      <c r="D15" t="s">
        <v>43</v>
      </c>
      <c r="E15" s="4">
        <v>9079571</v>
      </c>
      <c r="F15" s="4">
        <v>9079571</v>
      </c>
      <c r="G15" t="s">
        <v>66</v>
      </c>
      <c r="H15" t="s">
        <v>46</v>
      </c>
      <c r="I15" t="s">
        <v>47</v>
      </c>
      <c r="J15" s="1">
        <v>45474</v>
      </c>
      <c r="K15" s="1">
        <v>46174</v>
      </c>
      <c r="L15" s="2">
        <v>28.92</v>
      </c>
      <c r="M15" t="s">
        <v>124</v>
      </c>
      <c r="N15" t="s">
        <v>123</v>
      </c>
    </row>
    <row r="16" spans="1:14" x14ac:dyDescent="0.25">
      <c r="A16" s="3">
        <v>721041450</v>
      </c>
      <c r="B16" s="3" t="str">
        <f t="shared" si="0"/>
        <v>72104145099</v>
      </c>
      <c r="C16" t="s">
        <v>87</v>
      </c>
      <c r="D16" t="s">
        <v>43</v>
      </c>
      <c r="E16" s="4">
        <v>9079571</v>
      </c>
      <c r="F16" s="4">
        <v>9079571</v>
      </c>
      <c r="G16" t="s">
        <v>66</v>
      </c>
      <c r="H16" t="s">
        <v>46</v>
      </c>
      <c r="I16" t="s">
        <v>47</v>
      </c>
      <c r="J16" s="1">
        <v>45566</v>
      </c>
      <c r="K16" s="1">
        <v>46174</v>
      </c>
      <c r="L16" s="2">
        <v>28.92</v>
      </c>
      <c r="M16" t="s">
        <v>124</v>
      </c>
      <c r="N16" t="s">
        <v>123</v>
      </c>
    </row>
    <row r="17" spans="1:14" x14ac:dyDescent="0.25">
      <c r="A17" s="3">
        <v>901118311</v>
      </c>
      <c r="B17" s="3" t="str">
        <f t="shared" si="0"/>
        <v>90111831199</v>
      </c>
      <c r="C17" t="s">
        <v>98</v>
      </c>
      <c r="D17" t="s">
        <v>99</v>
      </c>
      <c r="E17" s="4">
        <v>16865615</v>
      </c>
      <c r="F17" s="4">
        <v>16865615</v>
      </c>
      <c r="G17" t="s">
        <v>101</v>
      </c>
      <c r="H17" t="s">
        <v>46</v>
      </c>
      <c r="I17" t="s">
        <v>47</v>
      </c>
      <c r="J17" s="1">
        <v>45717</v>
      </c>
      <c r="K17" s="1">
        <v>46174</v>
      </c>
      <c r="L17" s="2">
        <v>28.92</v>
      </c>
      <c r="M17" t="s">
        <v>124</v>
      </c>
      <c r="N17" t="s">
        <v>123</v>
      </c>
    </row>
    <row r="18" spans="1:14" s="6" customFormat="1" x14ac:dyDescent="0.25">
      <c r="A18" s="5" t="s">
        <v>106</v>
      </c>
      <c r="B18" s="5" t="s">
        <v>106</v>
      </c>
      <c r="C18" s="6" t="s">
        <v>42</v>
      </c>
      <c r="D18" s="6" t="s">
        <v>43</v>
      </c>
      <c r="E18" s="7">
        <v>16202925</v>
      </c>
      <c r="F18" s="7" t="str">
        <f>CONCATENATE(E18,"OVR")</f>
        <v>16202925OVR</v>
      </c>
      <c r="G18" s="6" t="s">
        <v>45</v>
      </c>
      <c r="H18" s="6" t="s">
        <v>46</v>
      </c>
      <c r="I18" s="6" t="s">
        <v>52</v>
      </c>
      <c r="J18" s="8">
        <v>45901</v>
      </c>
      <c r="K18" s="8">
        <v>46174</v>
      </c>
      <c r="L18" s="9">
        <v>2.19</v>
      </c>
      <c r="M18" s="6" t="s">
        <v>125</v>
      </c>
    </row>
    <row r="19" spans="1:14" s="6" customFormat="1" x14ac:dyDescent="0.25">
      <c r="A19" s="5" t="s">
        <v>107</v>
      </c>
      <c r="B19" s="5" t="s">
        <v>107</v>
      </c>
      <c r="C19" s="6" t="s">
        <v>54</v>
      </c>
      <c r="D19" s="6" t="s">
        <v>43</v>
      </c>
      <c r="E19" s="7">
        <v>16202925</v>
      </c>
      <c r="F19" s="7" t="str">
        <f t="shared" ref="F19:F33" si="1">CONCATENATE(E19,"OVR")</f>
        <v>16202925OVR</v>
      </c>
      <c r="G19" s="6" t="s">
        <v>45</v>
      </c>
      <c r="H19" s="6" t="s">
        <v>46</v>
      </c>
      <c r="I19" s="6" t="s">
        <v>52</v>
      </c>
      <c r="J19" s="8">
        <v>46174</v>
      </c>
      <c r="K19" s="8">
        <v>46387</v>
      </c>
      <c r="L19" s="9">
        <v>70</v>
      </c>
      <c r="M19" s="6" t="s">
        <v>125</v>
      </c>
    </row>
    <row r="20" spans="1:14" s="6" customFormat="1" x14ac:dyDescent="0.25">
      <c r="A20" s="5" t="s">
        <v>108</v>
      </c>
      <c r="B20" s="5" t="s">
        <v>108</v>
      </c>
      <c r="C20" s="6" t="s">
        <v>58</v>
      </c>
      <c r="D20" s="6" t="s">
        <v>43</v>
      </c>
      <c r="E20" s="7">
        <v>16202925</v>
      </c>
      <c r="F20" s="7" t="str">
        <f t="shared" si="1"/>
        <v>16202925OVR</v>
      </c>
      <c r="G20" s="6" t="s">
        <v>45</v>
      </c>
      <c r="H20" s="6" t="s">
        <v>46</v>
      </c>
      <c r="I20" s="6" t="s">
        <v>52</v>
      </c>
      <c r="J20" s="8">
        <v>45689</v>
      </c>
      <c r="K20" s="8">
        <v>46174</v>
      </c>
      <c r="L20" s="9">
        <v>2.19</v>
      </c>
      <c r="M20" s="6" t="s">
        <v>125</v>
      </c>
    </row>
    <row r="21" spans="1:14" s="6" customFormat="1" x14ac:dyDescent="0.25">
      <c r="A21" s="5" t="s">
        <v>109</v>
      </c>
      <c r="B21" s="5" t="s">
        <v>109</v>
      </c>
      <c r="C21" s="6" t="s">
        <v>61</v>
      </c>
      <c r="D21" s="6" t="s">
        <v>43</v>
      </c>
      <c r="E21" s="7">
        <v>16202925</v>
      </c>
      <c r="F21" s="7" t="str">
        <f t="shared" si="1"/>
        <v>16202925OVR</v>
      </c>
      <c r="G21" s="6" t="s">
        <v>45</v>
      </c>
      <c r="H21" s="6" t="s">
        <v>46</v>
      </c>
      <c r="I21" s="6" t="s">
        <v>52</v>
      </c>
      <c r="J21" s="8">
        <v>45689</v>
      </c>
      <c r="K21" s="8">
        <v>46174</v>
      </c>
      <c r="L21" s="9">
        <v>2.19</v>
      </c>
      <c r="M21" s="6" t="s">
        <v>125</v>
      </c>
    </row>
    <row r="22" spans="1:14" s="6" customFormat="1" x14ac:dyDescent="0.25">
      <c r="A22" s="5" t="s">
        <v>110</v>
      </c>
      <c r="B22" s="5" t="s">
        <v>110</v>
      </c>
      <c r="C22" s="6" t="s">
        <v>64</v>
      </c>
      <c r="D22" s="6" t="s">
        <v>43</v>
      </c>
      <c r="E22" s="7">
        <v>9079571</v>
      </c>
      <c r="F22" s="7" t="str">
        <f t="shared" si="1"/>
        <v>9079571OVR</v>
      </c>
      <c r="G22" s="6" t="s">
        <v>66</v>
      </c>
      <c r="H22" s="6" t="s">
        <v>46</v>
      </c>
      <c r="I22" s="6" t="s">
        <v>52</v>
      </c>
      <c r="J22" s="8">
        <v>45323</v>
      </c>
      <c r="K22" s="8">
        <v>46174</v>
      </c>
      <c r="L22" s="9">
        <v>2.19</v>
      </c>
      <c r="M22" s="6" t="s">
        <v>125</v>
      </c>
    </row>
    <row r="23" spans="1:14" s="6" customFormat="1" x14ac:dyDescent="0.25">
      <c r="A23" s="5" t="s">
        <v>111</v>
      </c>
      <c r="B23" s="5" t="s">
        <v>111</v>
      </c>
      <c r="C23" s="6" t="s">
        <v>69</v>
      </c>
      <c r="D23" s="6" t="s">
        <v>43</v>
      </c>
      <c r="E23" s="7">
        <v>9079571</v>
      </c>
      <c r="F23" s="7" t="str">
        <f t="shared" si="1"/>
        <v>9079571OVR</v>
      </c>
      <c r="G23" s="6" t="s">
        <v>66</v>
      </c>
      <c r="H23" s="6" t="s">
        <v>46</v>
      </c>
      <c r="I23" s="6" t="s">
        <v>52</v>
      </c>
      <c r="J23" s="8">
        <v>45261</v>
      </c>
      <c r="K23" s="8">
        <v>46174</v>
      </c>
      <c r="L23" s="9">
        <v>2.19</v>
      </c>
      <c r="M23" s="6" t="s">
        <v>125</v>
      </c>
    </row>
    <row r="24" spans="1:14" s="6" customFormat="1" x14ac:dyDescent="0.25">
      <c r="A24" s="5" t="s">
        <v>112</v>
      </c>
      <c r="B24" s="5" t="s">
        <v>112</v>
      </c>
      <c r="C24" s="6" t="s">
        <v>72</v>
      </c>
      <c r="D24" s="6" t="s">
        <v>43</v>
      </c>
      <c r="E24" s="7">
        <v>9079571</v>
      </c>
      <c r="F24" s="7" t="str">
        <f t="shared" si="1"/>
        <v>9079571OVR</v>
      </c>
      <c r="G24" s="6" t="s">
        <v>66</v>
      </c>
      <c r="H24" s="6" t="s">
        <v>46</v>
      </c>
      <c r="I24" s="6" t="s">
        <v>52</v>
      </c>
      <c r="J24" s="8">
        <v>45474</v>
      </c>
      <c r="K24" s="8">
        <v>46174</v>
      </c>
      <c r="L24" s="9">
        <v>2.19</v>
      </c>
      <c r="M24" s="6" t="s">
        <v>125</v>
      </c>
    </row>
    <row r="25" spans="1:14" s="6" customFormat="1" x14ac:dyDescent="0.25">
      <c r="A25" s="5" t="s">
        <v>113</v>
      </c>
      <c r="B25" s="5" t="s">
        <v>113</v>
      </c>
      <c r="C25" s="6" t="s">
        <v>75</v>
      </c>
      <c r="D25" s="6" t="s">
        <v>43</v>
      </c>
      <c r="E25" s="7">
        <v>9079571</v>
      </c>
      <c r="F25" s="7" t="str">
        <f t="shared" si="1"/>
        <v>9079571OVR</v>
      </c>
      <c r="G25" s="6" t="s">
        <v>66</v>
      </c>
      <c r="H25" s="6" t="s">
        <v>46</v>
      </c>
      <c r="I25" s="6" t="s">
        <v>52</v>
      </c>
      <c r="J25" s="8">
        <v>45689</v>
      </c>
      <c r="K25" s="8">
        <v>46174</v>
      </c>
      <c r="L25" s="9">
        <v>2.19</v>
      </c>
      <c r="M25" s="6" t="s">
        <v>125</v>
      </c>
    </row>
    <row r="26" spans="1:14" s="6" customFormat="1" x14ac:dyDescent="0.25">
      <c r="A26" s="5" t="s">
        <v>114</v>
      </c>
      <c r="B26" s="5" t="s">
        <v>114</v>
      </c>
      <c r="C26" s="6" t="s">
        <v>78</v>
      </c>
      <c r="D26" s="6" t="s">
        <v>43</v>
      </c>
      <c r="E26" s="7">
        <v>9079571</v>
      </c>
      <c r="F26" s="7" t="str">
        <f t="shared" si="1"/>
        <v>9079571OVR</v>
      </c>
      <c r="G26" s="6" t="s">
        <v>66</v>
      </c>
      <c r="H26" s="6" t="s">
        <v>46</v>
      </c>
      <c r="I26" s="6" t="s">
        <v>52</v>
      </c>
      <c r="J26" s="8">
        <v>45323</v>
      </c>
      <c r="K26" s="8">
        <v>46174</v>
      </c>
      <c r="L26" s="9">
        <v>2.19</v>
      </c>
      <c r="M26" s="6" t="s">
        <v>125</v>
      </c>
    </row>
    <row r="27" spans="1:14" s="6" customFormat="1" x14ac:dyDescent="0.25">
      <c r="A27" s="5" t="s">
        <v>115</v>
      </c>
      <c r="B27" s="5" t="s">
        <v>115</v>
      </c>
      <c r="C27" s="6" t="s">
        <v>81</v>
      </c>
      <c r="D27" s="6" t="s">
        <v>43</v>
      </c>
      <c r="E27" s="7">
        <v>16202925</v>
      </c>
      <c r="F27" s="7" t="str">
        <f t="shared" si="1"/>
        <v>16202925OVR</v>
      </c>
      <c r="G27" s="6" t="s">
        <v>45</v>
      </c>
      <c r="H27" s="6" t="s">
        <v>46</v>
      </c>
      <c r="I27" s="6" t="s">
        <v>52</v>
      </c>
      <c r="J27" s="8">
        <v>45505</v>
      </c>
      <c r="K27" s="8">
        <v>46174</v>
      </c>
      <c r="L27" s="9">
        <v>2.19</v>
      </c>
      <c r="M27" s="6" t="s">
        <v>125</v>
      </c>
    </row>
    <row r="28" spans="1:14" s="6" customFormat="1" x14ac:dyDescent="0.25">
      <c r="A28" s="5" t="s">
        <v>116</v>
      </c>
      <c r="B28" s="5" t="s">
        <v>116</v>
      </c>
      <c r="C28" s="6" t="s">
        <v>84</v>
      </c>
      <c r="D28" s="6" t="s">
        <v>43</v>
      </c>
      <c r="E28" s="7">
        <v>9079571</v>
      </c>
      <c r="F28" s="7" t="str">
        <f t="shared" si="1"/>
        <v>9079571OVR</v>
      </c>
      <c r="G28" s="6" t="s">
        <v>66</v>
      </c>
      <c r="H28" s="6" t="s">
        <v>46</v>
      </c>
      <c r="I28" s="6" t="s">
        <v>52</v>
      </c>
      <c r="J28" s="8">
        <v>45017</v>
      </c>
      <c r="K28" s="8">
        <v>46174</v>
      </c>
      <c r="L28" s="9">
        <v>2.19</v>
      </c>
      <c r="M28" s="6" t="s">
        <v>125</v>
      </c>
    </row>
    <row r="29" spans="1:14" s="6" customFormat="1" x14ac:dyDescent="0.25">
      <c r="A29" s="5" t="s">
        <v>117</v>
      </c>
      <c r="B29" s="5" t="s">
        <v>117</v>
      </c>
      <c r="C29" s="6" t="s">
        <v>87</v>
      </c>
      <c r="D29" s="6" t="s">
        <v>43</v>
      </c>
      <c r="E29" s="7">
        <v>9079571</v>
      </c>
      <c r="F29" s="7" t="str">
        <f t="shared" si="1"/>
        <v>9079571OVR</v>
      </c>
      <c r="G29" s="6" t="s">
        <v>66</v>
      </c>
      <c r="H29" s="6" t="s">
        <v>46</v>
      </c>
      <c r="I29" s="6" t="s">
        <v>52</v>
      </c>
      <c r="J29" s="8">
        <v>45566</v>
      </c>
      <c r="K29" s="8">
        <v>46174</v>
      </c>
      <c r="L29" s="9">
        <v>2.19</v>
      </c>
      <c r="M29" s="6" t="s">
        <v>125</v>
      </c>
    </row>
    <row r="30" spans="1:14" s="6" customFormat="1" x14ac:dyDescent="0.25">
      <c r="A30" s="5" t="s">
        <v>118</v>
      </c>
      <c r="B30" s="5" t="s">
        <v>118</v>
      </c>
      <c r="C30" s="6" t="s">
        <v>90</v>
      </c>
      <c r="D30" s="6" t="s">
        <v>43</v>
      </c>
      <c r="E30" s="7">
        <v>17195620</v>
      </c>
      <c r="F30" s="7" t="str">
        <f t="shared" si="1"/>
        <v>17195620OVR</v>
      </c>
      <c r="G30" s="6" t="s">
        <v>92</v>
      </c>
      <c r="H30" s="6" t="s">
        <v>46</v>
      </c>
      <c r="I30" s="6" t="s">
        <v>52</v>
      </c>
      <c r="J30" s="8">
        <v>45809</v>
      </c>
      <c r="K30" s="8">
        <v>46174</v>
      </c>
      <c r="L30" s="9">
        <v>2.19</v>
      </c>
      <c r="M30" s="6" t="s">
        <v>125</v>
      </c>
    </row>
    <row r="31" spans="1:14" s="6" customFormat="1" x14ac:dyDescent="0.25">
      <c r="A31" s="5" t="s">
        <v>119</v>
      </c>
      <c r="B31" s="5" t="s">
        <v>119</v>
      </c>
      <c r="C31" s="6" t="s">
        <v>95</v>
      </c>
      <c r="D31" s="6" t="s">
        <v>43</v>
      </c>
      <c r="E31" s="7">
        <v>9079571</v>
      </c>
      <c r="F31" s="7" t="str">
        <f t="shared" si="1"/>
        <v>9079571OVR</v>
      </c>
      <c r="G31" s="6" t="s">
        <v>66</v>
      </c>
      <c r="H31" s="6" t="s">
        <v>46</v>
      </c>
      <c r="I31" s="6" t="s">
        <v>52</v>
      </c>
      <c r="J31" s="8">
        <v>45108</v>
      </c>
      <c r="K31" s="8">
        <v>46174</v>
      </c>
      <c r="L31" s="9">
        <v>2.19</v>
      </c>
      <c r="M31" s="6" t="s">
        <v>125</v>
      </c>
    </row>
    <row r="32" spans="1:14" s="6" customFormat="1" x14ac:dyDescent="0.25">
      <c r="A32" s="5" t="s">
        <v>120</v>
      </c>
      <c r="B32" s="5" t="s">
        <v>120</v>
      </c>
      <c r="C32" s="6" t="s">
        <v>98</v>
      </c>
      <c r="D32" s="6" t="s">
        <v>99</v>
      </c>
      <c r="E32" s="7">
        <v>16865615</v>
      </c>
      <c r="F32" s="7" t="str">
        <f t="shared" si="1"/>
        <v>16865615OVR</v>
      </c>
      <c r="G32" s="6" t="s">
        <v>101</v>
      </c>
      <c r="H32" s="6" t="s">
        <v>46</v>
      </c>
      <c r="I32" s="6" t="s">
        <v>52</v>
      </c>
      <c r="J32" s="8">
        <v>45717</v>
      </c>
      <c r="K32" s="8">
        <v>46174</v>
      </c>
      <c r="L32" s="9">
        <v>2.19</v>
      </c>
      <c r="M32" s="6" t="s">
        <v>125</v>
      </c>
    </row>
    <row r="33" spans="1:13" s="6" customFormat="1" x14ac:dyDescent="0.25">
      <c r="A33" s="5" t="s">
        <v>121</v>
      </c>
      <c r="B33" s="5" t="s">
        <v>121</v>
      </c>
      <c r="C33" s="6" t="s">
        <v>104</v>
      </c>
      <c r="D33" s="6" t="s">
        <v>43</v>
      </c>
      <c r="E33" s="7">
        <v>9079571</v>
      </c>
      <c r="F33" s="7" t="str">
        <f t="shared" si="1"/>
        <v>9079571OVR</v>
      </c>
      <c r="G33" s="6" t="s">
        <v>66</v>
      </c>
      <c r="H33" s="6" t="s">
        <v>46</v>
      </c>
      <c r="I33" s="6" t="s">
        <v>52</v>
      </c>
      <c r="J33" s="8">
        <v>45717</v>
      </c>
      <c r="K33" s="8">
        <v>46174</v>
      </c>
      <c r="L33" s="9">
        <v>2.19</v>
      </c>
      <c r="M33" s="6" t="s">
        <v>125</v>
      </c>
    </row>
  </sheetData>
  <sortState xmlns:xlrd2="http://schemas.microsoft.com/office/spreadsheetml/2017/richdata2" ref="A2:AK33">
    <sortCondition ref="A2:A33"/>
  </sortState>
  <pageMargins left="0.7" right="0.7" top="0.75" bottom="0.75" header="0.3" footer="0.3"/>
  <ignoredErrors>
    <ignoredError sqref="B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2026-06-20T07:11:54Z</dcterms:created>
  <dcterms:modified xsi:type="dcterms:W3CDTF">2026-06-23T13:06:08Z</dcterms:modified>
</cp:coreProperties>
</file>