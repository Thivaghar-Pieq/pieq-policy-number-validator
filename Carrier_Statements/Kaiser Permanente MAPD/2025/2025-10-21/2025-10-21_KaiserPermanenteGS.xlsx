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Kaiser Permanente MAPD\2025\10-21-25\"/>
    </mc:Choice>
  </mc:AlternateContent>
  <xr:revisionPtr revIDLastSave="0" documentId="13_ncr:1_{17E49BB0-391B-4718-9543-E6ECC02B4634}" xr6:coauthVersionLast="47" xr6:coauthVersionMax="47" xr10:uidLastSave="{00000000-0000-0000-0000-000000000000}"/>
  <bookViews>
    <workbookView xWindow="28680" yWindow="-120" windowWidth="29040" windowHeight="16440" activeTab="1" xr2:uid="{027FC3F2-6683-48B5-AD1E-AEEEECA819CA}"/>
  </bookViews>
  <sheets>
    <sheet name="Renewal Agent Statement - 2025-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B10" i="2" l="1"/>
  <c r="B9" i="2"/>
  <c r="B8" i="2"/>
  <c r="B7" i="2"/>
  <c r="B6" i="2"/>
  <c r="B5" i="2"/>
  <c r="B4" i="2"/>
  <c r="B3" i="2"/>
  <c r="B2" i="2"/>
</calcChain>
</file>

<file path=xl/sharedStrings.xml><?xml version="1.0" encoding="utf-8"?>
<sst xmlns="http://schemas.openxmlformats.org/spreadsheetml/2006/main" count="439" uniqueCount="103">
  <si>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</si>
  <si>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</si>
  <si>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</si>
  <si>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</si>
  <si>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</si>
  <si>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</si>
  <si>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</si>
  <si>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</si>
  <si>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</si>
  <si>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</si>
  <si>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</si>
  <si>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</si>
  <si>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</si>
  <si>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</si>
  <si>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</si>
  <si>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</si>
  <si>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</si>
  <si>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</si>
  <si>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</si>
  <si>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</si>
  <si>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</si>
  <si>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</si>
  <si>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</si>
  <si>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</si>
  <si>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Months Advanced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</si>
  <si>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</si>
  <si>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</si>
  <si>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</si>
  <si>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</si>
  <si>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</si>
  <si>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</si>
  <si>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</si>
  <si>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</si>
  <si>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</si>
  <si>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</si>
  <si>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RN</t>
  </si>
  <si>
    <t>GS-DM</t>
  </si>
  <si>
    <t>GS-NATIONAL</t>
  </si>
  <si>
    <t>'20411454-A-KP</t>
  </si>
  <si>
    <t>'20411454-A</t>
  </si>
  <si>
    <t>MAIN LINE BENEFITS LLC</t>
  </si>
  <si>
    <t>'19159934</t>
  </si>
  <si>
    <t>JOSEPHINE KPOTO</t>
  </si>
  <si>
    <t>MD</t>
  </si>
  <si>
    <t>'17195620-KP</t>
  </si>
  <si>
    <t>CATHY LEMON</t>
  </si>
  <si>
    <t>Active</t>
  </si>
  <si>
    <t>KP MAPD</t>
  </si>
  <si>
    <t>Monthly</t>
  </si>
  <si>
    <t>AE</t>
  </si>
  <si>
    <t>FY</t>
  </si>
  <si>
    <t>'19159934-ADM</t>
  </si>
  <si>
    <t>KP MAPD OVR</t>
  </si>
  <si>
    <t>'49292665</t>
  </si>
  <si>
    <t>JAMES PETR</t>
  </si>
  <si>
    <t>'9079571-KP</t>
  </si>
  <si>
    <t>ADAM RICHTER</t>
  </si>
  <si>
    <t>RY</t>
  </si>
  <si>
    <t>'49292665-ADM</t>
  </si>
  <si>
    <t>'53180938</t>
  </si>
  <si>
    <t>SHARON FOWLER</t>
  </si>
  <si>
    <t>'53180938-ADM</t>
  </si>
  <si>
    <t>'541060318</t>
  </si>
  <si>
    <t>JAMES FIELDS</t>
  </si>
  <si>
    <t>'541060318-ADM</t>
  </si>
  <si>
    <t>'65337557</t>
  </si>
  <si>
    <t>MEGAN MCDONALD</t>
  </si>
  <si>
    <t>'65337557-ADM</t>
  </si>
  <si>
    <t>'68344375</t>
  </si>
  <si>
    <t>JOYCE ANAZONWU</t>
  </si>
  <si>
    <t>'68344375-ADM</t>
  </si>
  <si>
    <t>'69202132</t>
  </si>
  <si>
    <t>PAULINE JOHNSON</t>
  </si>
  <si>
    <t>'69202132-ADM</t>
  </si>
  <si>
    <t>'721041450</t>
  </si>
  <si>
    <t>JACKIE HILL</t>
  </si>
  <si>
    <t>'721041450-ADM</t>
  </si>
  <si>
    <t>'85180647</t>
  </si>
  <si>
    <t>MICHAEL FOWLER</t>
  </si>
  <si>
    <t>'85180647-ADM</t>
  </si>
  <si>
    <t>19159934-ADM</t>
  </si>
  <si>
    <t>49292665-ADM</t>
  </si>
  <si>
    <t>53180938-ADM</t>
  </si>
  <si>
    <t>541060318-ADM</t>
  </si>
  <si>
    <t>65337557-ADM</t>
  </si>
  <si>
    <t>68344375-ADM</t>
  </si>
  <si>
    <t>69202132-ADM</t>
  </si>
  <si>
    <t>721041450-ADM</t>
  </si>
  <si>
    <t>85180647-ADM</t>
  </si>
  <si>
    <t>Kaiser MAPD 2025</t>
  </si>
  <si>
    <t>Kasier MAPD OVR</t>
  </si>
  <si>
    <t>19159934OVR</t>
  </si>
  <si>
    <t>49292665OVR</t>
  </si>
  <si>
    <t>53180938OVR</t>
  </si>
  <si>
    <t>541060318OVR</t>
  </si>
  <si>
    <t>65337557OVR</t>
  </si>
  <si>
    <t>68344375OVR</t>
  </si>
  <si>
    <t>69202132OVR</t>
  </si>
  <si>
    <t>721041450OVR</t>
  </si>
  <si>
    <t>85180647OVR</t>
  </si>
  <si>
    <t>Main Line Benefits</t>
  </si>
  <si>
    <t>[%/$=313][prorate=1/12]</t>
  </si>
  <si>
    <t>[%/$=626]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</si>
</sst>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8" fontId="0" fillId="0" borderId="0" xfId="0" applyNumberFormat="1"/>
    <xf numFmtId="0" fontId="0" fillId="0" borderId="0" xfId="0" applyAlignment="1">
      <alignment horizontal="left"/>
    </xf>
    <xf numFmtId="0" fontId="0" fillId="33" borderId="0" xfId="0" applyFill="1" applyAlignment="1">
      <alignment horizontal="left"/>
    </xf>
    <xf numFmtId="0" fontId="0" fillId="33" borderId="0" xfId="0" applyFill="1"/>
    <xf numFmtId="14" fontId="0" fillId="33" borderId="0" xfId="0" applyNumberFormat="1" applyFill="1"/>
    <xf numFmtId="8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E6679-D7D4-4836-B9A8-6372A9BFFFB2}">
  <dimension ref="A1:AI19"/>
  <sheetViews>
    <sheetView topLeftCell="G1" workbookViewId="0">
      <selection activeCell="G1" sqref="A1:XFD1048576"/>
    </sheetView>
  </sheetViews>
  <sheetFormatPr defaultRowHeight="15" x14ac:dyDescent="0.25"/>
  <cols>
    <col min="1" max="1" width="10.7109375" bestFit="1" customWidth="1"/>
    <col min="2" max="2" width="16.140625" bestFit="1" customWidth="1"/>
    <col min="3" max="3" width="15.140625" bestFit="1" customWidth="1"/>
    <col min="4" max="4" width="11.5703125" bestFit="1" customWidth="1"/>
    <col min="5" max="5" width="13.42578125" bestFit="1" customWidth="1"/>
    <col min="6" max="6" width="14.5703125" bestFit="1" customWidth="1"/>
    <col min="7" max="7" width="11.42578125" bestFit="1" customWidth="1"/>
    <col min="8" max="8" width="22.5703125" bestFit="1" customWidth="1"/>
    <col min="9" max="9" width="15.5703125" bestFit="1" customWidth="1"/>
    <col min="10" max="10" width="18.85546875" bestFit="1" customWidth="1"/>
    <col min="11" max="11" width="8.140625" bestFit="1" customWidth="1"/>
    <col min="12" max="12" width="4.42578125" bestFit="1" customWidth="1"/>
    <col min="13" max="13" width="5.5703125" bestFit="1" customWidth="1"/>
    <col min="14" max="14" width="8.7109375" bestFit="1" customWidth="1"/>
    <col min="15" max="15" width="15.7109375" bestFit="1" customWidth="1"/>
    <col min="16" max="16" width="19.28515625" bestFit="1" customWidth="1"/>
    <col min="17" max="17" width="12.140625" bestFit="1" customWidth="1"/>
    <col min="18" max="18" width="13.5703125" bestFit="1" customWidth="1"/>
    <col min="19" max="19" width="10.140625" bestFit="1" customWidth="1"/>
    <col min="20" max="20" width="12.28515625" bestFit="1" customWidth="1"/>
    <col min="21" max="21" width="14.5703125" bestFit="1" customWidth="1"/>
    <col min="22" max="22" width="12" bestFit="1" customWidth="1"/>
    <col min="23" max="23" width="15.85546875" bestFit="1" customWidth="1"/>
    <col min="25" max="25" width="17" bestFit="1" customWidth="1"/>
    <col min="26" max="26" width="17.42578125" bestFit="1" customWidth="1"/>
    <col min="27" max="27" width="11.5703125" bestFit="1" customWidth="1"/>
    <col min="28" max="28" width="14.85546875" bestFit="1" customWidth="1"/>
    <col min="29" max="29" width="9.7109375" bestFit="1" customWidth="1"/>
    <col min="30" max="30" width="13.140625" bestFit="1" customWidth="1"/>
    <col min="31" max="31" width="18.7109375" bestFit="1" customWidth="1"/>
    <col min="32" max="32" width="18.28515625" bestFit="1" customWidth="1"/>
    <col min="33" max="33" width="11.140625" bestFit="1" customWidth="1"/>
    <col min="34" max="34" width="13.5703125" bestFit="1" customWidth="1"/>
    <col min="35" max="35" width="16.140625" bestFit="1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 s="1">
        <v>45951</v>
      </c>
      <c r="B2" s="1">
        <v>45951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  <c r="J2" t="s">
        <v>42</v>
      </c>
      <c r="K2" t="s">
        <v>43</v>
      </c>
      <c r="O2" t="s">
        <v>44</v>
      </c>
      <c r="P2" t="s">
        <v>45</v>
      </c>
      <c r="Q2" t="s">
        <v>46</v>
      </c>
      <c r="R2" t="s">
        <v>47</v>
      </c>
      <c r="S2" s="1">
        <v>45931</v>
      </c>
      <c r="T2" s="1">
        <v>45931</v>
      </c>
      <c r="U2" t="s">
        <v>48</v>
      </c>
      <c r="V2">
        <v>1</v>
      </c>
      <c r="W2" s="1">
        <v>45950</v>
      </c>
      <c r="X2" t="s">
        <v>49</v>
      </c>
      <c r="Z2" s="2">
        <v>626</v>
      </c>
      <c r="AD2" s="2">
        <v>626</v>
      </c>
      <c r="AE2" s="2">
        <v>0</v>
      </c>
      <c r="AF2" s="2">
        <v>0</v>
      </c>
      <c r="AH2">
        <v>4274973</v>
      </c>
      <c r="AI2" t="s">
        <v>50</v>
      </c>
    </row>
    <row r="3" spans="1:35" x14ac:dyDescent="0.25">
      <c r="A3" s="1">
        <v>45951</v>
      </c>
      <c r="B3" s="1">
        <v>45951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 t="s">
        <v>51</v>
      </c>
      <c r="J3" t="s">
        <v>42</v>
      </c>
      <c r="K3" t="s">
        <v>43</v>
      </c>
      <c r="O3" t="s">
        <v>44</v>
      </c>
      <c r="P3" t="s">
        <v>45</v>
      </c>
      <c r="Q3" t="s">
        <v>46</v>
      </c>
      <c r="R3" t="s">
        <v>52</v>
      </c>
      <c r="S3" s="1">
        <v>45931</v>
      </c>
      <c r="T3" s="1">
        <v>45931</v>
      </c>
      <c r="U3" t="s">
        <v>48</v>
      </c>
      <c r="V3">
        <v>1</v>
      </c>
      <c r="W3" s="1">
        <v>45950</v>
      </c>
      <c r="X3" t="s">
        <v>49</v>
      </c>
      <c r="Z3" s="2">
        <v>70</v>
      </c>
      <c r="AD3" s="2">
        <v>70</v>
      </c>
      <c r="AE3" s="2">
        <v>0</v>
      </c>
      <c r="AF3" s="2">
        <v>0</v>
      </c>
      <c r="AH3">
        <v>4274974</v>
      </c>
      <c r="AI3" t="s">
        <v>50</v>
      </c>
    </row>
    <row r="4" spans="1:35" x14ac:dyDescent="0.25">
      <c r="A4" s="1">
        <v>45951</v>
      </c>
      <c r="B4" s="1">
        <v>45951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53</v>
      </c>
      <c r="J4" t="s">
        <v>54</v>
      </c>
      <c r="O4" t="s">
        <v>55</v>
      </c>
      <c r="P4" t="s">
        <v>56</v>
      </c>
      <c r="Q4" t="s">
        <v>46</v>
      </c>
      <c r="R4" t="s">
        <v>47</v>
      </c>
      <c r="S4" s="1">
        <v>45323</v>
      </c>
      <c r="T4" s="1">
        <v>45931</v>
      </c>
      <c r="U4" t="s">
        <v>48</v>
      </c>
      <c r="V4">
        <v>1</v>
      </c>
      <c r="W4" s="1">
        <v>45950</v>
      </c>
      <c r="X4" t="s">
        <v>49</v>
      </c>
      <c r="Z4" s="2">
        <v>26.08</v>
      </c>
      <c r="AD4" s="2">
        <v>26.08</v>
      </c>
      <c r="AE4" s="2">
        <v>0</v>
      </c>
      <c r="AF4" s="2">
        <v>0</v>
      </c>
      <c r="AH4">
        <v>4278090</v>
      </c>
      <c r="AI4" t="s">
        <v>57</v>
      </c>
    </row>
    <row r="5" spans="1:35" x14ac:dyDescent="0.25">
      <c r="A5" s="1">
        <v>45951</v>
      </c>
      <c r="B5" s="1">
        <v>45951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  <c r="I5" t="s">
        <v>58</v>
      </c>
      <c r="J5" t="s">
        <v>54</v>
      </c>
      <c r="O5" t="s">
        <v>55</v>
      </c>
      <c r="P5" t="s">
        <v>56</v>
      </c>
      <c r="Q5" t="s">
        <v>46</v>
      </c>
      <c r="R5" t="s">
        <v>52</v>
      </c>
      <c r="S5" s="1">
        <v>45323</v>
      </c>
      <c r="T5" s="1">
        <v>45931</v>
      </c>
      <c r="U5" t="s">
        <v>48</v>
      </c>
      <c r="V5">
        <v>1</v>
      </c>
      <c r="W5" s="1">
        <v>45950</v>
      </c>
      <c r="X5" t="s">
        <v>49</v>
      </c>
      <c r="Z5" s="2">
        <v>2.19</v>
      </c>
      <c r="AD5" s="2">
        <v>2.19</v>
      </c>
      <c r="AE5" s="2">
        <v>0</v>
      </c>
      <c r="AF5" s="2">
        <v>0</v>
      </c>
      <c r="AH5">
        <v>4278091</v>
      </c>
      <c r="AI5" t="s">
        <v>57</v>
      </c>
    </row>
    <row r="6" spans="1:35" x14ac:dyDescent="0.25">
      <c r="A6" s="1">
        <v>45951</v>
      </c>
      <c r="B6" s="1">
        <v>45951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59</v>
      </c>
      <c r="J6" t="s">
        <v>60</v>
      </c>
      <c r="O6" t="s">
        <v>55</v>
      </c>
      <c r="P6" t="s">
        <v>56</v>
      </c>
      <c r="Q6" t="s">
        <v>46</v>
      </c>
      <c r="R6" t="s">
        <v>47</v>
      </c>
      <c r="S6" s="1">
        <v>45261</v>
      </c>
      <c r="T6" s="1">
        <v>45931</v>
      </c>
      <c r="U6" t="s">
        <v>48</v>
      </c>
      <c r="V6">
        <v>1</v>
      </c>
      <c r="W6" s="1">
        <v>45950</v>
      </c>
      <c r="X6" t="s">
        <v>49</v>
      </c>
      <c r="Z6" s="2">
        <v>26.08</v>
      </c>
      <c r="AD6" s="2">
        <v>26.08</v>
      </c>
      <c r="AE6" s="2">
        <v>0</v>
      </c>
      <c r="AF6" s="2">
        <v>0</v>
      </c>
      <c r="AH6">
        <v>4278242</v>
      </c>
      <c r="AI6" t="s">
        <v>57</v>
      </c>
    </row>
    <row r="7" spans="1:35" x14ac:dyDescent="0.25">
      <c r="A7" s="1">
        <v>45951</v>
      </c>
      <c r="B7" s="1">
        <v>45951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  <c r="H7" t="s">
        <v>40</v>
      </c>
      <c r="I7" t="s">
        <v>61</v>
      </c>
      <c r="J7" t="s">
        <v>60</v>
      </c>
      <c r="O7" t="s">
        <v>55</v>
      </c>
      <c r="P7" t="s">
        <v>56</v>
      </c>
      <c r="Q7" t="s">
        <v>46</v>
      </c>
      <c r="R7" t="s">
        <v>52</v>
      </c>
      <c r="S7" s="1">
        <v>45261</v>
      </c>
      <c r="T7" s="1">
        <v>45931</v>
      </c>
      <c r="U7" t="s">
        <v>48</v>
      </c>
      <c r="V7">
        <v>1</v>
      </c>
      <c r="W7" s="1">
        <v>45950</v>
      </c>
      <c r="X7" t="s">
        <v>49</v>
      </c>
      <c r="Z7" s="2">
        <v>2.19</v>
      </c>
      <c r="AD7" s="2">
        <v>2.19</v>
      </c>
      <c r="AE7" s="2">
        <v>0</v>
      </c>
      <c r="AF7" s="2">
        <v>0</v>
      </c>
      <c r="AH7">
        <v>4278243</v>
      </c>
      <c r="AI7" t="s">
        <v>57</v>
      </c>
    </row>
    <row r="8" spans="1:35" x14ac:dyDescent="0.25">
      <c r="A8" s="1">
        <v>45951</v>
      </c>
      <c r="B8" s="1">
        <v>45951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  <c r="H8" t="s">
        <v>40</v>
      </c>
      <c r="I8" t="s">
        <v>62</v>
      </c>
      <c r="J8" t="s">
        <v>63</v>
      </c>
      <c r="O8" t="s">
        <v>55</v>
      </c>
      <c r="P8" t="s">
        <v>56</v>
      </c>
      <c r="Q8" t="s">
        <v>46</v>
      </c>
      <c r="R8" t="s">
        <v>47</v>
      </c>
      <c r="S8" s="1">
        <v>45474</v>
      </c>
      <c r="T8" s="1">
        <v>45931</v>
      </c>
      <c r="U8" t="s">
        <v>48</v>
      </c>
      <c r="V8">
        <v>1</v>
      </c>
      <c r="W8" s="1">
        <v>45950</v>
      </c>
      <c r="X8" t="s">
        <v>49</v>
      </c>
      <c r="Z8" s="2">
        <v>26.08</v>
      </c>
      <c r="AD8" s="2">
        <v>26.08</v>
      </c>
      <c r="AE8" s="2">
        <v>0</v>
      </c>
      <c r="AF8" s="2">
        <v>0</v>
      </c>
      <c r="AH8">
        <v>4282584</v>
      </c>
      <c r="AI8" t="s">
        <v>57</v>
      </c>
    </row>
    <row r="9" spans="1:35" x14ac:dyDescent="0.25">
      <c r="A9" s="1">
        <v>45951</v>
      </c>
      <c r="B9" s="1">
        <v>45951</v>
      </c>
      <c r="C9" t="s">
        <v>35</v>
      </c>
      <c r="D9" t="s">
        <v>36</v>
      </c>
      <c r="E9" t="s">
        <v>37</v>
      </c>
      <c r="F9" t="s">
        <v>38</v>
      </c>
      <c r="G9" t="s">
        <v>39</v>
      </c>
      <c r="H9" t="s">
        <v>40</v>
      </c>
      <c r="I9" t="s">
        <v>64</v>
      </c>
      <c r="J9" t="s">
        <v>63</v>
      </c>
      <c r="O9" t="s">
        <v>55</v>
      </c>
      <c r="P9" t="s">
        <v>56</v>
      </c>
      <c r="Q9" t="s">
        <v>46</v>
      </c>
      <c r="R9" t="s">
        <v>52</v>
      </c>
      <c r="S9" s="1">
        <v>45474</v>
      </c>
      <c r="T9" s="1">
        <v>45931</v>
      </c>
      <c r="U9" t="s">
        <v>48</v>
      </c>
      <c r="V9">
        <v>1</v>
      </c>
      <c r="W9" s="1">
        <v>45950</v>
      </c>
      <c r="X9" t="s">
        <v>49</v>
      </c>
      <c r="Z9" s="2">
        <v>2.19</v>
      </c>
      <c r="AD9" s="2">
        <v>2.19</v>
      </c>
      <c r="AE9" s="2">
        <v>0</v>
      </c>
      <c r="AF9" s="2">
        <v>0</v>
      </c>
      <c r="AH9">
        <v>4282585</v>
      </c>
      <c r="AI9" t="s">
        <v>57</v>
      </c>
    </row>
    <row r="10" spans="1:35" x14ac:dyDescent="0.25">
      <c r="A10" s="1">
        <v>45951</v>
      </c>
      <c r="B10" s="1">
        <v>45951</v>
      </c>
      <c r="C10" t="s">
        <v>35</v>
      </c>
      <c r="D10" t="s">
        <v>36</v>
      </c>
      <c r="E10" t="s">
        <v>37</v>
      </c>
      <c r="F10" t="s">
        <v>38</v>
      </c>
      <c r="G10" t="s">
        <v>39</v>
      </c>
      <c r="H10" t="s">
        <v>40</v>
      </c>
      <c r="I10" t="s">
        <v>65</v>
      </c>
      <c r="J10" t="s">
        <v>66</v>
      </c>
      <c r="O10" t="s">
        <v>55</v>
      </c>
      <c r="P10" t="s">
        <v>56</v>
      </c>
      <c r="Q10" t="s">
        <v>46</v>
      </c>
      <c r="R10" t="s">
        <v>47</v>
      </c>
      <c r="S10" s="1">
        <v>45323</v>
      </c>
      <c r="T10" s="1">
        <v>45931</v>
      </c>
      <c r="U10" t="s">
        <v>48</v>
      </c>
      <c r="V10">
        <v>1</v>
      </c>
      <c r="W10" s="1">
        <v>45950</v>
      </c>
      <c r="X10" t="s">
        <v>49</v>
      </c>
      <c r="Z10" s="2">
        <v>26.08</v>
      </c>
      <c r="AD10" s="2">
        <v>26.08</v>
      </c>
      <c r="AE10" s="2">
        <v>0</v>
      </c>
      <c r="AF10" s="2">
        <v>0</v>
      </c>
      <c r="AH10">
        <v>4278766</v>
      </c>
      <c r="AI10" t="s">
        <v>57</v>
      </c>
    </row>
    <row r="11" spans="1:35" x14ac:dyDescent="0.25">
      <c r="A11" s="1">
        <v>45951</v>
      </c>
      <c r="B11" s="1">
        <v>45951</v>
      </c>
      <c r="C11" t="s">
        <v>35</v>
      </c>
      <c r="D11" t="s">
        <v>36</v>
      </c>
      <c r="E11" t="s">
        <v>37</v>
      </c>
      <c r="F11" t="s">
        <v>38</v>
      </c>
      <c r="G11" t="s">
        <v>39</v>
      </c>
      <c r="H11" t="s">
        <v>40</v>
      </c>
      <c r="I11" t="s">
        <v>67</v>
      </c>
      <c r="J11" t="s">
        <v>66</v>
      </c>
      <c r="O11" t="s">
        <v>55</v>
      </c>
      <c r="P11" t="s">
        <v>56</v>
      </c>
      <c r="Q11" t="s">
        <v>46</v>
      </c>
      <c r="R11" t="s">
        <v>52</v>
      </c>
      <c r="S11" s="1">
        <v>45323</v>
      </c>
      <c r="T11" s="1">
        <v>45931</v>
      </c>
      <c r="U11" t="s">
        <v>48</v>
      </c>
      <c r="V11">
        <v>1</v>
      </c>
      <c r="W11" s="1">
        <v>45950</v>
      </c>
      <c r="X11" t="s">
        <v>49</v>
      </c>
      <c r="Z11" s="2">
        <v>2.19</v>
      </c>
      <c r="AD11" s="2">
        <v>2.19</v>
      </c>
      <c r="AE11" s="2">
        <v>0</v>
      </c>
      <c r="AF11" s="2">
        <v>0</v>
      </c>
      <c r="AH11">
        <v>4278767</v>
      </c>
      <c r="AI11" t="s">
        <v>57</v>
      </c>
    </row>
    <row r="12" spans="1:35" x14ac:dyDescent="0.25">
      <c r="A12" s="1">
        <v>45951</v>
      </c>
      <c r="B12" s="1">
        <v>45951</v>
      </c>
      <c r="C12" t="s">
        <v>35</v>
      </c>
      <c r="D12" t="s">
        <v>36</v>
      </c>
      <c r="E12" t="s">
        <v>37</v>
      </c>
      <c r="F12" t="s">
        <v>38</v>
      </c>
      <c r="G12" t="s">
        <v>39</v>
      </c>
      <c r="H12" t="s">
        <v>40</v>
      </c>
      <c r="I12" t="s">
        <v>68</v>
      </c>
      <c r="J12" t="s">
        <v>69</v>
      </c>
      <c r="O12" t="s">
        <v>55</v>
      </c>
      <c r="P12" t="s">
        <v>56</v>
      </c>
      <c r="Q12" t="s">
        <v>46</v>
      </c>
      <c r="R12" t="s">
        <v>47</v>
      </c>
      <c r="S12" s="1">
        <v>45505</v>
      </c>
      <c r="T12" s="1">
        <v>45931</v>
      </c>
      <c r="U12" t="s">
        <v>48</v>
      </c>
      <c r="V12">
        <v>1</v>
      </c>
      <c r="W12" s="1">
        <v>45950</v>
      </c>
      <c r="X12" t="s">
        <v>49</v>
      </c>
      <c r="Z12" s="2">
        <v>26.08</v>
      </c>
      <c r="AD12" s="2">
        <v>26.08</v>
      </c>
      <c r="AE12" s="2">
        <v>0</v>
      </c>
      <c r="AF12" s="2">
        <v>0</v>
      </c>
      <c r="AH12">
        <v>4278908</v>
      </c>
      <c r="AI12" t="s">
        <v>57</v>
      </c>
    </row>
    <row r="13" spans="1:35" x14ac:dyDescent="0.25">
      <c r="A13" s="1">
        <v>45951</v>
      </c>
      <c r="B13" s="1">
        <v>45951</v>
      </c>
      <c r="C13" t="s">
        <v>35</v>
      </c>
      <c r="D13" t="s">
        <v>36</v>
      </c>
      <c r="E13" t="s">
        <v>37</v>
      </c>
      <c r="F13" t="s">
        <v>38</v>
      </c>
      <c r="G13" t="s">
        <v>39</v>
      </c>
      <c r="H13" t="s">
        <v>40</v>
      </c>
      <c r="I13" t="s">
        <v>70</v>
      </c>
      <c r="J13" t="s">
        <v>69</v>
      </c>
      <c r="O13" t="s">
        <v>55</v>
      </c>
      <c r="P13" t="s">
        <v>56</v>
      </c>
      <c r="Q13" t="s">
        <v>46</v>
      </c>
      <c r="R13" t="s">
        <v>52</v>
      </c>
      <c r="S13" s="1">
        <v>45505</v>
      </c>
      <c r="T13" s="1">
        <v>45931</v>
      </c>
      <c r="U13" t="s">
        <v>48</v>
      </c>
      <c r="V13">
        <v>1</v>
      </c>
      <c r="W13" s="1">
        <v>45950</v>
      </c>
      <c r="X13" t="s">
        <v>49</v>
      </c>
      <c r="Z13" s="2">
        <v>2.19</v>
      </c>
      <c r="AD13" s="2">
        <v>2.19</v>
      </c>
      <c r="AE13" s="2">
        <v>0</v>
      </c>
      <c r="AF13" s="2">
        <v>0</v>
      </c>
      <c r="AH13">
        <v>4278909</v>
      </c>
      <c r="AI13" t="s">
        <v>57</v>
      </c>
    </row>
    <row r="14" spans="1:35" x14ac:dyDescent="0.25">
      <c r="A14" s="1">
        <v>45951</v>
      </c>
      <c r="B14" s="1">
        <v>45951</v>
      </c>
      <c r="C14" t="s">
        <v>35</v>
      </c>
      <c r="D14" t="s">
        <v>36</v>
      </c>
      <c r="E14" t="s">
        <v>37</v>
      </c>
      <c r="F14" t="s">
        <v>38</v>
      </c>
      <c r="G14" t="s">
        <v>39</v>
      </c>
      <c r="H14" t="s">
        <v>40</v>
      </c>
      <c r="I14" t="s">
        <v>71</v>
      </c>
      <c r="J14" t="s">
        <v>72</v>
      </c>
      <c r="O14" t="s">
        <v>55</v>
      </c>
      <c r="P14" t="s">
        <v>56</v>
      </c>
      <c r="Q14" t="s">
        <v>46</v>
      </c>
      <c r="R14" t="s">
        <v>47</v>
      </c>
      <c r="S14" s="1">
        <v>45017</v>
      </c>
      <c r="T14" s="1">
        <v>45931</v>
      </c>
      <c r="U14" t="s">
        <v>48</v>
      </c>
      <c r="V14">
        <v>1</v>
      </c>
      <c r="W14" s="1">
        <v>45950</v>
      </c>
      <c r="X14" t="s">
        <v>49</v>
      </c>
      <c r="Z14" s="2">
        <v>26.08</v>
      </c>
      <c r="AD14" s="2">
        <v>26.08</v>
      </c>
      <c r="AE14" s="2">
        <v>0</v>
      </c>
      <c r="AF14" s="2">
        <v>0</v>
      </c>
      <c r="AH14">
        <v>4278926</v>
      </c>
      <c r="AI14" t="s">
        <v>57</v>
      </c>
    </row>
    <row r="15" spans="1:35" x14ac:dyDescent="0.25">
      <c r="A15" s="1">
        <v>45951</v>
      </c>
      <c r="B15" s="1">
        <v>45951</v>
      </c>
      <c r="C15" t="s">
        <v>35</v>
      </c>
      <c r="D15" t="s">
        <v>36</v>
      </c>
      <c r="E15" t="s">
        <v>37</v>
      </c>
      <c r="F15" t="s">
        <v>38</v>
      </c>
      <c r="G15" t="s">
        <v>39</v>
      </c>
      <c r="H15" t="s">
        <v>40</v>
      </c>
      <c r="I15" t="s">
        <v>73</v>
      </c>
      <c r="J15" t="s">
        <v>72</v>
      </c>
      <c r="O15" t="s">
        <v>55</v>
      </c>
      <c r="P15" t="s">
        <v>56</v>
      </c>
      <c r="Q15" t="s">
        <v>46</v>
      </c>
      <c r="R15" t="s">
        <v>52</v>
      </c>
      <c r="S15" s="1">
        <v>45017</v>
      </c>
      <c r="T15" s="1">
        <v>45931</v>
      </c>
      <c r="U15" t="s">
        <v>48</v>
      </c>
      <c r="V15">
        <v>1</v>
      </c>
      <c r="W15" s="1">
        <v>45950</v>
      </c>
      <c r="X15" t="s">
        <v>49</v>
      </c>
      <c r="Z15" s="2">
        <v>2.19</v>
      </c>
      <c r="AD15" s="2">
        <v>2.19</v>
      </c>
      <c r="AE15" s="2">
        <v>0</v>
      </c>
      <c r="AF15" s="2">
        <v>0</v>
      </c>
      <c r="AH15">
        <v>4278927</v>
      </c>
      <c r="AI15" t="s">
        <v>57</v>
      </c>
    </row>
    <row r="16" spans="1:35" x14ac:dyDescent="0.25">
      <c r="A16" s="1">
        <v>45951</v>
      </c>
      <c r="B16" s="1">
        <v>45951</v>
      </c>
      <c r="C16" t="s">
        <v>35</v>
      </c>
      <c r="D16" t="s">
        <v>36</v>
      </c>
      <c r="E16" t="s">
        <v>37</v>
      </c>
      <c r="F16" t="s">
        <v>38</v>
      </c>
      <c r="G16" t="s">
        <v>39</v>
      </c>
      <c r="H16" t="s">
        <v>40</v>
      </c>
      <c r="I16" t="s">
        <v>74</v>
      </c>
      <c r="J16" t="s">
        <v>75</v>
      </c>
      <c r="O16" t="s">
        <v>55</v>
      </c>
      <c r="P16" t="s">
        <v>56</v>
      </c>
      <c r="Q16" t="s">
        <v>46</v>
      </c>
      <c r="R16" t="s">
        <v>47</v>
      </c>
      <c r="S16" s="1">
        <v>45566</v>
      </c>
      <c r="T16" s="1">
        <v>45931</v>
      </c>
      <c r="U16" t="s">
        <v>48</v>
      </c>
      <c r="V16">
        <v>1</v>
      </c>
      <c r="W16" s="1">
        <v>45950</v>
      </c>
      <c r="X16" t="s">
        <v>49</v>
      </c>
      <c r="Z16" s="2">
        <v>26.08</v>
      </c>
      <c r="AD16" s="2">
        <v>26.08</v>
      </c>
      <c r="AE16" s="2">
        <v>0</v>
      </c>
      <c r="AF16" s="2">
        <v>0</v>
      </c>
      <c r="AH16">
        <v>4281818</v>
      </c>
      <c r="AI16" t="s">
        <v>57</v>
      </c>
    </row>
    <row r="17" spans="1:35" x14ac:dyDescent="0.25">
      <c r="A17" s="1">
        <v>45951</v>
      </c>
      <c r="B17" s="1">
        <v>45951</v>
      </c>
      <c r="C17" t="s">
        <v>35</v>
      </c>
      <c r="D17" t="s">
        <v>36</v>
      </c>
      <c r="E17" t="s">
        <v>37</v>
      </c>
      <c r="F17" t="s">
        <v>38</v>
      </c>
      <c r="G17" t="s">
        <v>39</v>
      </c>
      <c r="H17" t="s">
        <v>40</v>
      </c>
      <c r="I17" t="s">
        <v>76</v>
      </c>
      <c r="J17" t="s">
        <v>75</v>
      </c>
      <c r="O17" t="s">
        <v>55</v>
      </c>
      <c r="P17" t="s">
        <v>56</v>
      </c>
      <c r="Q17" t="s">
        <v>46</v>
      </c>
      <c r="R17" t="s">
        <v>52</v>
      </c>
      <c r="S17" s="1">
        <v>45566</v>
      </c>
      <c r="T17" s="1">
        <v>45931</v>
      </c>
      <c r="U17" t="s">
        <v>48</v>
      </c>
      <c r="V17">
        <v>1</v>
      </c>
      <c r="W17" s="1">
        <v>45950</v>
      </c>
      <c r="X17" t="s">
        <v>49</v>
      </c>
      <c r="Z17" s="2">
        <v>2.19</v>
      </c>
      <c r="AD17" s="2">
        <v>2.19</v>
      </c>
      <c r="AE17" s="2">
        <v>0</v>
      </c>
      <c r="AF17" s="2">
        <v>0</v>
      </c>
      <c r="AH17">
        <v>4281819</v>
      </c>
      <c r="AI17" t="s">
        <v>57</v>
      </c>
    </row>
    <row r="18" spans="1:35" x14ac:dyDescent="0.25">
      <c r="A18" s="1">
        <v>45951</v>
      </c>
      <c r="B18" s="1">
        <v>45951</v>
      </c>
      <c r="C18" t="s">
        <v>35</v>
      </c>
      <c r="D18" t="s">
        <v>36</v>
      </c>
      <c r="E18" t="s">
        <v>37</v>
      </c>
      <c r="F18" t="s">
        <v>38</v>
      </c>
      <c r="G18" t="s">
        <v>39</v>
      </c>
      <c r="H18" t="s">
        <v>40</v>
      </c>
      <c r="I18" t="s">
        <v>77</v>
      </c>
      <c r="J18" t="s">
        <v>78</v>
      </c>
      <c r="O18" t="s">
        <v>55</v>
      </c>
      <c r="P18" t="s">
        <v>56</v>
      </c>
      <c r="Q18" t="s">
        <v>46</v>
      </c>
      <c r="R18" t="s">
        <v>47</v>
      </c>
      <c r="S18" s="1">
        <v>45108</v>
      </c>
      <c r="T18" s="1">
        <v>45931</v>
      </c>
      <c r="U18" t="s">
        <v>48</v>
      </c>
      <c r="V18">
        <v>1</v>
      </c>
      <c r="W18" s="1">
        <v>45950</v>
      </c>
      <c r="X18" t="s">
        <v>49</v>
      </c>
      <c r="Z18" s="2">
        <v>26.08</v>
      </c>
      <c r="AD18" s="2">
        <v>26.08</v>
      </c>
      <c r="AE18" s="2">
        <v>0</v>
      </c>
      <c r="AF18" s="2">
        <v>0</v>
      </c>
      <c r="AH18">
        <v>4279594</v>
      </c>
      <c r="AI18" t="s">
        <v>57</v>
      </c>
    </row>
    <row r="19" spans="1:35" x14ac:dyDescent="0.25">
      <c r="A19" s="1">
        <v>45951</v>
      </c>
      <c r="B19" s="1">
        <v>45951</v>
      </c>
      <c r="C19" t="s">
        <v>35</v>
      </c>
      <c r="D19" t="s">
        <v>36</v>
      </c>
      <c r="E19" t="s">
        <v>37</v>
      </c>
      <c r="F19" t="s">
        <v>38</v>
      </c>
      <c r="G19" t="s">
        <v>39</v>
      </c>
      <c r="H19" t="s">
        <v>40</v>
      </c>
      <c r="I19" t="s">
        <v>79</v>
      </c>
      <c r="J19" t="s">
        <v>78</v>
      </c>
      <c r="O19" t="s">
        <v>55</v>
      </c>
      <c r="P19" t="s">
        <v>56</v>
      </c>
      <c r="Q19" t="s">
        <v>46</v>
      </c>
      <c r="R19" t="s">
        <v>52</v>
      </c>
      <c r="S19" s="1">
        <v>45108</v>
      </c>
      <c r="T19" s="1">
        <v>45931</v>
      </c>
      <c r="U19" t="s">
        <v>48</v>
      </c>
      <c r="V19">
        <v>1</v>
      </c>
      <c r="W19" s="1">
        <v>45950</v>
      </c>
      <c r="X19" t="s">
        <v>49</v>
      </c>
      <c r="Z19" s="2">
        <v>2.19</v>
      </c>
      <c r="AD19" s="2">
        <v>2.19</v>
      </c>
      <c r="AE19" s="2">
        <v>0</v>
      </c>
      <c r="AF19" s="2">
        <v>0</v>
      </c>
      <c r="AH19">
        <v>4279595</v>
      </c>
      <c r="AI19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EED9F-2C2B-42E9-B510-BD317904F6CC}">
  <dimension ref="A1:AJ19"/>
  <sheetViews>
    <sheetView tabSelected="1" workbookViewId="0">
      <selection activeCell="P2" sqref="P2:P10"/>
    </sheetView>
  </sheetViews>
  <sheetFormatPr defaultRowHeight="15" x14ac:dyDescent="0.25"/>
  <cols>
    <col min="1" max="1" width="15.5703125" bestFit="1" customWidth="1"/>
    <col min="2" max="2" width="15.5703125" customWidth="1"/>
    <col min="3" max="3" width="18.85546875" bestFit="1" customWidth="1"/>
    <col min="4" max="4" width="8.140625" bestFit="1" customWidth="1"/>
    <col min="5" max="5" width="4.42578125" bestFit="1" customWidth="1"/>
    <col min="6" max="6" width="5.5703125" bestFit="1" customWidth="1"/>
    <col min="7" max="7" width="8.7109375" bestFit="1" customWidth="1"/>
    <col min="8" max="8" width="15.7109375" bestFit="1" customWidth="1"/>
    <col min="9" max="9" width="19.28515625" bestFit="1" customWidth="1"/>
    <col min="10" max="10" width="12.140625" bestFit="1" customWidth="1"/>
    <col min="11" max="11" width="13.5703125" bestFit="1" customWidth="1"/>
    <col min="12" max="12" width="10.140625" bestFit="1" customWidth="1"/>
    <col min="13" max="13" width="12.28515625" bestFit="1" customWidth="1"/>
    <col min="14" max="14" width="17.42578125" bestFit="1" customWidth="1"/>
    <col min="15" max="15" width="16.85546875" bestFit="1" customWidth="1"/>
  </cols>
  <sheetData>
    <row r="1" spans="1:36" x14ac:dyDescent="0.25">
      <c r="A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25</v>
      </c>
    </row>
    <row r="2" spans="1:36" x14ac:dyDescent="0.25">
      <c r="A2" s="3">
        <v>19159934</v>
      </c>
      <c r="B2" s="3" t="str">
        <f>CONCATENATE(A2,5)</f>
        <v>191599345</v>
      </c>
      <c r="C2" t="s">
        <v>42</v>
      </c>
      <c r="D2" t="s">
        <v>43</v>
      </c>
      <c r="H2">
        <v>17195620</v>
      </c>
      <c r="I2" t="s">
        <v>45</v>
      </c>
      <c r="J2" t="s">
        <v>46</v>
      </c>
      <c r="K2" t="s">
        <v>47</v>
      </c>
      <c r="L2" s="1">
        <v>45931</v>
      </c>
      <c r="M2" s="1">
        <v>45962</v>
      </c>
      <c r="N2" s="2">
        <v>626</v>
      </c>
      <c r="O2" t="s">
        <v>89</v>
      </c>
      <c r="P2" t="s">
        <v>102</v>
      </c>
    </row>
    <row r="3" spans="1:36" s="5" customFormat="1" x14ac:dyDescent="0.25">
      <c r="A3" s="3">
        <v>49292665</v>
      </c>
      <c r="B3" s="3" t="str">
        <f>CONCATENATE(A3,9)</f>
        <v>492926659</v>
      </c>
      <c r="C3" t="s">
        <v>54</v>
      </c>
      <c r="D3"/>
      <c r="E3"/>
      <c r="F3"/>
      <c r="G3"/>
      <c r="H3">
        <v>9079571</v>
      </c>
      <c r="I3" t="s">
        <v>56</v>
      </c>
      <c r="J3" t="s">
        <v>46</v>
      </c>
      <c r="K3" t="s">
        <v>47</v>
      </c>
      <c r="L3" s="1">
        <v>45323</v>
      </c>
      <c r="M3" s="1">
        <v>45931</v>
      </c>
      <c r="N3" s="2">
        <v>26.08</v>
      </c>
      <c r="O3" t="s">
        <v>89</v>
      </c>
      <c r="P3" t="s">
        <v>101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</row>
    <row r="4" spans="1:36" x14ac:dyDescent="0.25">
      <c r="A4" s="3">
        <v>53180938</v>
      </c>
      <c r="B4" s="3" t="str">
        <f t="shared" ref="B4:B10" si="0">CONCATENATE(A4,9)</f>
        <v>531809389</v>
      </c>
      <c r="C4" t="s">
        <v>60</v>
      </c>
      <c r="H4">
        <v>9079571</v>
      </c>
      <c r="I4" t="s">
        <v>56</v>
      </c>
      <c r="J4" t="s">
        <v>46</v>
      </c>
      <c r="K4" t="s">
        <v>47</v>
      </c>
      <c r="L4" s="1">
        <v>45261</v>
      </c>
      <c r="M4" s="1">
        <v>45931</v>
      </c>
      <c r="N4" s="2">
        <v>26.08</v>
      </c>
      <c r="O4" t="s">
        <v>89</v>
      </c>
      <c r="P4" t="s">
        <v>101</v>
      </c>
    </row>
    <row r="5" spans="1:36" s="5" customFormat="1" x14ac:dyDescent="0.25">
      <c r="A5" s="3">
        <v>541060318</v>
      </c>
      <c r="B5" s="3" t="str">
        <f t="shared" si="0"/>
        <v>5410603189</v>
      </c>
      <c r="C5" t="s">
        <v>63</v>
      </c>
      <c r="D5"/>
      <c r="E5"/>
      <c r="F5"/>
      <c r="G5"/>
      <c r="H5">
        <v>9079571</v>
      </c>
      <c r="I5" t="s">
        <v>56</v>
      </c>
      <c r="J5" t="s">
        <v>46</v>
      </c>
      <c r="K5" t="s">
        <v>47</v>
      </c>
      <c r="L5" s="1">
        <v>45474</v>
      </c>
      <c r="M5" s="1">
        <v>45931</v>
      </c>
      <c r="N5" s="2">
        <v>26.08</v>
      </c>
      <c r="O5" t="s">
        <v>89</v>
      </c>
      <c r="P5" t="s">
        <v>101</v>
      </c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</row>
    <row r="6" spans="1:36" x14ac:dyDescent="0.25">
      <c r="A6" s="3">
        <v>65337557</v>
      </c>
      <c r="B6" s="3" t="str">
        <f t="shared" si="0"/>
        <v>653375579</v>
      </c>
      <c r="C6" t="s">
        <v>66</v>
      </c>
      <c r="H6">
        <v>9079571</v>
      </c>
      <c r="I6" t="s">
        <v>56</v>
      </c>
      <c r="J6" t="s">
        <v>46</v>
      </c>
      <c r="K6" t="s">
        <v>47</v>
      </c>
      <c r="L6" s="1">
        <v>45323</v>
      </c>
      <c r="M6" s="1">
        <v>45931</v>
      </c>
      <c r="N6" s="2">
        <v>26.08</v>
      </c>
      <c r="O6" t="s">
        <v>89</v>
      </c>
      <c r="P6" t="s">
        <v>101</v>
      </c>
    </row>
    <row r="7" spans="1:36" s="5" customFormat="1" x14ac:dyDescent="0.25">
      <c r="A7" s="3">
        <v>68344375</v>
      </c>
      <c r="B7" s="3" t="str">
        <f t="shared" si="0"/>
        <v>683443759</v>
      </c>
      <c r="C7" t="s">
        <v>69</v>
      </c>
      <c r="D7"/>
      <c r="E7"/>
      <c r="F7"/>
      <c r="G7"/>
      <c r="H7">
        <v>9079571</v>
      </c>
      <c r="I7" t="s">
        <v>56</v>
      </c>
      <c r="J7" t="s">
        <v>46</v>
      </c>
      <c r="K7" t="s">
        <v>47</v>
      </c>
      <c r="L7" s="1">
        <v>45505</v>
      </c>
      <c r="M7" s="1">
        <v>45931</v>
      </c>
      <c r="N7" s="2">
        <v>26.08</v>
      </c>
      <c r="O7" t="s">
        <v>89</v>
      </c>
      <c r="P7" t="s">
        <v>101</v>
      </c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</row>
    <row r="8" spans="1:36" x14ac:dyDescent="0.25">
      <c r="A8" s="3">
        <v>69202132</v>
      </c>
      <c r="B8" s="3" t="str">
        <f t="shared" si="0"/>
        <v>692021329</v>
      </c>
      <c r="C8" t="s">
        <v>72</v>
      </c>
      <c r="H8">
        <v>9079571</v>
      </c>
      <c r="I8" t="s">
        <v>56</v>
      </c>
      <c r="J8" t="s">
        <v>46</v>
      </c>
      <c r="K8" t="s">
        <v>47</v>
      </c>
      <c r="L8" s="1">
        <v>45017</v>
      </c>
      <c r="M8" s="1">
        <v>45931</v>
      </c>
      <c r="N8" s="2">
        <v>26.08</v>
      </c>
      <c r="O8" t="s">
        <v>89</v>
      </c>
      <c r="P8" t="s">
        <v>101</v>
      </c>
    </row>
    <row r="9" spans="1:36" s="5" customFormat="1" x14ac:dyDescent="0.25">
      <c r="A9" s="3">
        <v>721041450</v>
      </c>
      <c r="B9" s="3" t="str">
        <f t="shared" si="0"/>
        <v>7210414509</v>
      </c>
      <c r="C9" t="s">
        <v>75</v>
      </c>
      <c r="D9"/>
      <c r="E9"/>
      <c r="F9"/>
      <c r="G9"/>
      <c r="H9">
        <v>9079571</v>
      </c>
      <c r="I9" t="s">
        <v>56</v>
      </c>
      <c r="J9" t="s">
        <v>46</v>
      </c>
      <c r="K9" t="s">
        <v>47</v>
      </c>
      <c r="L9" s="1">
        <v>45566</v>
      </c>
      <c r="M9" s="1">
        <v>45931</v>
      </c>
      <c r="N9" s="2">
        <v>26.08</v>
      </c>
      <c r="O9" t="s">
        <v>89</v>
      </c>
      <c r="P9" t="s">
        <v>101</v>
      </c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</row>
    <row r="10" spans="1:36" x14ac:dyDescent="0.25">
      <c r="A10" s="3">
        <v>85180647</v>
      </c>
      <c r="B10" s="3" t="str">
        <f t="shared" si="0"/>
        <v>851806479</v>
      </c>
      <c r="C10" t="s">
        <v>78</v>
      </c>
      <c r="H10">
        <v>9079571</v>
      </c>
      <c r="I10" t="s">
        <v>56</v>
      </c>
      <c r="J10" t="s">
        <v>46</v>
      </c>
      <c r="K10" t="s">
        <v>47</v>
      </c>
      <c r="L10" s="1">
        <v>45108</v>
      </c>
      <c r="M10" s="1">
        <v>45931</v>
      </c>
      <c r="N10" s="2">
        <v>26.08</v>
      </c>
      <c r="O10" t="s">
        <v>89</v>
      </c>
      <c r="P10" t="s">
        <v>101</v>
      </c>
    </row>
    <row r="11" spans="1:36" s="5" customFormat="1" x14ac:dyDescent="0.25">
      <c r="A11" s="4" t="s">
        <v>80</v>
      </c>
      <c r="B11" s="4" t="s">
        <v>91</v>
      </c>
      <c r="C11" s="5" t="s">
        <v>42</v>
      </c>
      <c r="D11" s="5" t="s">
        <v>43</v>
      </c>
      <c r="H11" s="5">
        <v>20411454</v>
      </c>
      <c r="I11" s="5" t="s">
        <v>100</v>
      </c>
      <c r="J11" s="5" t="s">
        <v>46</v>
      </c>
      <c r="K11" s="5" t="s">
        <v>52</v>
      </c>
      <c r="L11" s="6">
        <v>45931</v>
      </c>
      <c r="M11" s="6">
        <v>45962</v>
      </c>
      <c r="N11" s="7">
        <v>70</v>
      </c>
      <c r="O11" s="5" t="s">
        <v>90</v>
      </c>
    </row>
    <row r="12" spans="1:36" x14ac:dyDescent="0.25">
      <c r="A12" s="4" t="s">
        <v>81</v>
      </c>
      <c r="B12" s="4" t="s">
        <v>92</v>
      </c>
      <c r="C12" s="5" t="s">
        <v>54</v>
      </c>
      <c r="D12" s="5"/>
      <c r="E12" s="5"/>
      <c r="F12" s="5"/>
      <c r="G12" s="5"/>
      <c r="H12" s="5">
        <v>20411454</v>
      </c>
      <c r="I12" s="5" t="s">
        <v>100</v>
      </c>
      <c r="J12" s="5" t="s">
        <v>46</v>
      </c>
      <c r="K12" s="5" t="s">
        <v>52</v>
      </c>
      <c r="L12" s="6">
        <v>45323</v>
      </c>
      <c r="M12" s="6">
        <v>45931</v>
      </c>
      <c r="N12" s="7">
        <v>2.19</v>
      </c>
      <c r="O12" s="5" t="s">
        <v>90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</row>
    <row r="13" spans="1:36" s="5" customFormat="1" x14ac:dyDescent="0.25">
      <c r="A13" s="4" t="s">
        <v>82</v>
      </c>
      <c r="B13" s="4" t="s">
        <v>93</v>
      </c>
      <c r="C13" s="5" t="s">
        <v>60</v>
      </c>
      <c r="H13" s="5">
        <v>20411454</v>
      </c>
      <c r="I13" s="5" t="s">
        <v>100</v>
      </c>
      <c r="J13" s="5" t="s">
        <v>46</v>
      </c>
      <c r="K13" s="5" t="s">
        <v>52</v>
      </c>
      <c r="L13" s="6">
        <v>45261</v>
      </c>
      <c r="M13" s="6">
        <v>45931</v>
      </c>
      <c r="N13" s="7">
        <v>2.19</v>
      </c>
      <c r="O13" s="5" t="s">
        <v>90</v>
      </c>
    </row>
    <row r="14" spans="1:36" x14ac:dyDescent="0.25">
      <c r="A14" s="4" t="s">
        <v>83</v>
      </c>
      <c r="B14" s="4" t="s">
        <v>94</v>
      </c>
      <c r="C14" s="5" t="s">
        <v>63</v>
      </c>
      <c r="D14" s="5"/>
      <c r="E14" s="5"/>
      <c r="F14" s="5"/>
      <c r="G14" s="5"/>
      <c r="H14" s="5">
        <v>20411454</v>
      </c>
      <c r="I14" s="5" t="s">
        <v>100</v>
      </c>
      <c r="J14" s="5" t="s">
        <v>46</v>
      </c>
      <c r="K14" s="5" t="s">
        <v>52</v>
      </c>
      <c r="L14" s="6">
        <v>45474</v>
      </c>
      <c r="M14" s="6">
        <v>45931</v>
      </c>
      <c r="N14" s="7">
        <v>2.19</v>
      </c>
      <c r="O14" s="5" t="s">
        <v>90</v>
      </c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</row>
    <row r="15" spans="1:36" s="5" customFormat="1" x14ac:dyDescent="0.25">
      <c r="A15" s="4" t="s">
        <v>84</v>
      </c>
      <c r="B15" s="4" t="s">
        <v>95</v>
      </c>
      <c r="C15" s="5" t="s">
        <v>66</v>
      </c>
      <c r="H15" s="5">
        <v>20411454</v>
      </c>
      <c r="I15" s="5" t="s">
        <v>100</v>
      </c>
      <c r="J15" s="5" t="s">
        <v>46</v>
      </c>
      <c r="K15" s="5" t="s">
        <v>52</v>
      </c>
      <c r="L15" s="6">
        <v>45323</v>
      </c>
      <c r="M15" s="6">
        <v>45931</v>
      </c>
      <c r="N15" s="7">
        <v>2.19</v>
      </c>
      <c r="O15" s="5" t="s">
        <v>90</v>
      </c>
    </row>
    <row r="16" spans="1:36" x14ac:dyDescent="0.25">
      <c r="A16" s="4" t="s">
        <v>85</v>
      </c>
      <c r="B16" s="4" t="s">
        <v>96</v>
      </c>
      <c r="C16" s="5" t="s">
        <v>69</v>
      </c>
      <c r="D16" s="5"/>
      <c r="E16" s="5"/>
      <c r="F16" s="5"/>
      <c r="G16" s="5"/>
      <c r="H16" s="5">
        <v>20411454</v>
      </c>
      <c r="I16" s="5" t="s">
        <v>100</v>
      </c>
      <c r="J16" s="5" t="s">
        <v>46</v>
      </c>
      <c r="K16" s="5" t="s">
        <v>52</v>
      </c>
      <c r="L16" s="6">
        <v>45505</v>
      </c>
      <c r="M16" s="6">
        <v>45931</v>
      </c>
      <c r="N16" s="7">
        <v>2.19</v>
      </c>
      <c r="O16" s="5" t="s">
        <v>90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</row>
    <row r="17" spans="1:36" s="5" customFormat="1" x14ac:dyDescent="0.25">
      <c r="A17" s="4" t="s">
        <v>86</v>
      </c>
      <c r="B17" s="4" t="s">
        <v>97</v>
      </c>
      <c r="C17" s="5" t="s">
        <v>72</v>
      </c>
      <c r="H17" s="5">
        <v>20411454</v>
      </c>
      <c r="I17" s="5" t="s">
        <v>100</v>
      </c>
      <c r="J17" s="5" t="s">
        <v>46</v>
      </c>
      <c r="K17" s="5" t="s">
        <v>52</v>
      </c>
      <c r="L17" s="6">
        <v>45017</v>
      </c>
      <c r="M17" s="6">
        <v>45931</v>
      </c>
      <c r="N17" s="7">
        <v>2.19</v>
      </c>
      <c r="O17" s="5" t="s">
        <v>90</v>
      </c>
    </row>
    <row r="18" spans="1:36" x14ac:dyDescent="0.25">
      <c r="A18" s="4" t="s">
        <v>87</v>
      </c>
      <c r="B18" s="4" t="s">
        <v>98</v>
      </c>
      <c r="C18" s="5" t="s">
        <v>75</v>
      </c>
      <c r="D18" s="5"/>
      <c r="E18" s="5"/>
      <c r="F18" s="5"/>
      <c r="G18" s="5"/>
      <c r="H18" s="5">
        <v>20411454</v>
      </c>
      <c r="I18" s="5" t="s">
        <v>100</v>
      </c>
      <c r="J18" s="5" t="s">
        <v>46</v>
      </c>
      <c r="K18" s="5" t="s">
        <v>52</v>
      </c>
      <c r="L18" s="6">
        <v>45566</v>
      </c>
      <c r="M18" s="6">
        <v>45931</v>
      </c>
      <c r="N18" s="7">
        <v>2.19</v>
      </c>
      <c r="O18" s="5" t="s">
        <v>90</v>
      </c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</row>
    <row r="19" spans="1:36" s="5" customFormat="1" x14ac:dyDescent="0.25">
      <c r="A19" s="4" t="s">
        <v>88</v>
      </c>
      <c r="B19" s="4" t="s">
        <v>99</v>
      </c>
      <c r="C19" s="5" t="s">
        <v>78</v>
      </c>
      <c r="H19" s="5">
        <v>20411454</v>
      </c>
      <c r="I19" s="5" t="s">
        <v>100</v>
      </c>
      <c r="J19" s="5" t="s">
        <v>46</v>
      </c>
      <c r="K19" s="5" t="s">
        <v>52</v>
      </c>
      <c r="L19" s="6">
        <v>45108</v>
      </c>
      <c r="M19" s="6">
        <v>45931</v>
      </c>
      <c r="N19" s="7">
        <v>2.19</v>
      </c>
      <c r="O19" s="5" t="s">
        <v>90</v>
      </c>
    </row>
  </sheetData>
  <sortState xmlns:xlrd2="http://schemas.microsoft.com/office/spreadsheetml/2017/richdata2" ref="A2:AJ19">
    <sortCondition ref="O2:O1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Renewal Agent Statement - 2025-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95</dc:creator>
  <cp:lastModifiedBy>Loula Irene Cabel</cp:lastModifiedBy>
  <dcterms:created xsi:type="dcterms:W3CDTF">2025-10-23T13:48:00Z</dcterms:created>
  <dcterms:modified xsi:type="dcterms:W3CDTF">2025-10-27T17:39:12Z</dcterms:modified>
</cp:coreProperties>
</file>