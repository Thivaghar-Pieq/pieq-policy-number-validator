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03-18-25\"/>
    </mc:Choice>
  </mc:AlternateContent>
  <xr:revisionPtr revIDLastSave="0" documentId="13_ncr:1_{8874EB89-7FD6-4F51-911B-75896319CA9C}" xr6:coauthVersionLast="47" xr6:coauthVersionMax="47" xr10:uidLastSave="{00000000-0000-0000-0000-000000000000}"/>
  <bookViews>
    <workbookView xWindow="28680" yWindow="-120" windowWidth="29040" windowHeight="16440" activeTab="1" xr2:uid="{035E7A1D-22E4-445C-B9BA-9BCFDE03D22E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3" i="2"/>
  <c r="B2" i="2"/>
</calcChain>
</file>

<file path=xl/sharedStrings.xml><?xml version="1.0" encoding="utf-8"?>
<sst xmlns="http://schemas.openxmlformats.org/spreadsheetml/2006/main" count="498" uniqueCount="97">
  <si>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</si>
  <si>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</si>
  <si>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</si>
  <si>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</si>
  <si>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</si>
  <si>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</si>
  <si>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</si>
  <si>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</si>
  <si>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</si>
  <si>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</si>
  <si>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</si>
  <si>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</si>
  <si>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</si>
  <si>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</si>
  <si>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</si>
  <si>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</si>
  <si>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</si>
  <si>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</si>
  <si>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</si>
  <si>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</si>
  <si>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</si>
  <si>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</si>
  <si>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</si>
  <si>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</si>
  <si>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</si>
  <si>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</si>
  <si>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</si>
  <si>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</si>
  <si>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</si>
  <si>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</si>
  <si>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</si>
  <si>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</si>
  <si>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</si>
  <si>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</si>
  <si>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</si>
  <si>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</si>
  <si>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</si>
  <si>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</si>
  <si>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</si>
  <si>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</si>
  <si>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</si>
  <si>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'49292665</t>
  </si>
  <si>
    <t>JAMES PETR</t>
  </si>
  <si>
    <t>'9079571-KP</t>
  </si>
  <si>
    <t>ADAM RICHTER</t>
  </si>
  <si>
    <t>Active</t>
  </si>
  <si>
    <t>KP MAPD</t>
  </si>
  <si>
    <t>Monthly</t>
  </si>
  <si>
    <t>AE</t>
  </si>
  <si>
    <t>RY</t>
  </si>
  <si>
    <t>'49292665-ADM</t>
  </si>
  <si>
    <t>KP MAPD OVR</t>
  </si>
  <si>
    <t>'53180938</t>
  </si>
  <si>
    <t>SHARON FOWLER</t>
  </si>
  <si>
    <t>'53180938-ADM</t>
  </si>
  <si>
    <t>'541060318</t>
  </si>
  <si>
    <t>JAMES FIELDS</t>
  </si>
  <si>
    <t>FY</t>
  </si>
  <si>
    <t>'541060318-ADM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</si>
  <si>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</si>
  <si>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</si>
  <si>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</si>
  <si>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</si>
  <si>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</si>
  <si>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</si>
  <si>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</si>
  <si>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</si>
  <si>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</si>
  <si>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</si>
  <si>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</si>
  <si>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</si>
  <si>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'85180647</t>
  </si>
  <si>
    <t>MICHAEL FOWLER</t>
  </si>
  <si>
    <t>'85180647-ADM</t>
  </si>
  <si>
    <t>'901118311</t>
  </si>
  <si>
    <t>JANET KUCKS</t>
  </si>
  <si>
    <t>'16865615-KP</t>
  </si>
  <si>
    <t>HEATHER GESKE</t>
  </si>
  <si>
    <t>'901118311-ADM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</si>
  <si>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</si>
  <si>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</si>
  <si>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</si>
  <si>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</si>
  <si>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</si>
  <si>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</si>
  <si>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</si>
  <si>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85180647-ADM</t>
  </si>
  <si>
    <t>901118311-ADM</t>
  </si>
  <si>
    <t>Main Line Benefits</t>
  </si>
  <si>
    <t>Kaiser MAPD 2025*</t>
  </si>
  <si>
    <t>Kaiser MAPD 2025</t>
  </si>
  <si>
    <t>Kasier MAPD OVR</t>
  </si>
  <si>
    <t>Kaiser MAPD NAT2024</t>
  </si>
  <si>
    <t>[%/$=313][prorate=1/12]</t>
  </si>
  <si>
    <t>[%/$=313][prorate=3/12]</t>
  </si>
  <si>
    <t>[%/$=306][prorate=6/12]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</si>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</sst>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EAD1-C152-4C40-8FB3-DABA240FB057}">
  <dimension ref="A1:AI21"/>
  <sheetViews>
    <sheetView workbookViewId="0">
      <selection activeCell="F8" sqref="F8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45734</v>
      </c>
      <c r="B2" s="1">
        <v>45734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45323</v>
      </c>
      <c r="T2" s="1">
        <v>45717</v>
      </c>
      <c r="U2" t="s">
        <v>47</v>
      </c>
      <c r="V2">
        <v>1</v>
      </c>
      <c r="W2" s="1">
        <v>45733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3726125</v>
      </c>
      <c r="AI2" t="s">
        <v>49</v>
      </c>
    </row>
    <row r="3" spans="1:35" x14ac:dyDescent="0.25">
      <c r="A3" s="1">
        <v>45734</v>
      </c>
      <c r="B3" s="1">
        <v>45734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45323</v>
      </c>
      <c r="T3" s="1">
        <v>45717</v>
      </c>
      <c r="U3" t="s">
        <v>47</v>
      </c>
      <c r="V3">
        <v>1</v>
      </c>
      <c r="W3" s="1">
        <v>45733</v>
      </c>
      <c r="X3" t="s">
        <v>48</v>
      </c>
      <c r="Z3" s="2">
        <v>2.19</v>
      </c>
      <c r="AD3" s="2">
        <v>2.19</v>
      </c>
      <c r="AE3" s="2">
        <v>0</v>
      </c>
      <c r="AF3" s="2">
        <v>0</v>
      </c>
      <c r="AH3">
        <v>3726126</v>
      </c>
      <c r="AI3" t="s">
        <v>49</v>
      </c>
    </row>
    <row r="4" spans="1:35" x14ac:dyDescent="0.25">
      <c r="A4" s="1">
        <v>45734</v>
      </c>
      <c r="B4" s="1">
        <v>45734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45261</v>
      </c>
      <c r="T4" s="1">
        <v>45717</v>
      </c>
      <c r="U4" t="s">
        <v>47</v>
      </c>
      <c r="V4">
        <v>1</v>
      </c>
      <c r="W4" s="1">
        <v>45733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3726281</v>
      </c>
      <c r="AI4" t="s">
        <v>49</v>
      </c>
    </row>
    <row r="5" spans="1:35" x14ac:dyDescent="0.25">
      <c r="A5" s="1">
        <v>45734</v>
      </c>
      <c r="B5" s="1">
        <v>45734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45261</v>
      </c>
      <c r="T5" s="1">
        <v>45717</v>
      </c>
      <c r="U5" t="s">
        <v>47</v>
      </c>
      <c r="V5">
        <v>1</v>
      </c>
      <c r="W5" s="1">
        <v>45733</v>
      </c>
      <c r="X5" t="s">
        <v>48</v>
      </c>
      <c r="Z5" s="2">
        <v>2.19</v>
      </c>
      <c r="AD5" s="2">
        <v>2.19</v>
      </c>
      <c r="AE5" s="2">
        <v>0</v>
      </c>
      <c r="AF5" s="2">
        <v>0</v>
      </c>
      <c r="AH5">
        <v>3726282</v>
      </c>
      <c r="AI5" t="s">
        <v>49</v>
      </c>
    </row>
    <row r="6" spans="1:35" x14ac:dyDescent="0.25">
      <c r="A6" s="1">
        <v>45734</v>
      </c>
      <c r="B6" s="1">
        <v>45734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43</v>
      </c>
      <c r="P6" t="s">
        <v>44</v>
      </c>
      <c r="Q6" t="s">
        <v>45</v>
      </c>
      <c r="R6" t="s">
        <v>46</v>
      </c>
      <c r="S6" s="1">
        <v>45474</v>
      </c>
      <c r="T6" s="1">
        <v>45474</v>
      </c>
      <c r="U6" t="s">
        <v>47</v>
      </c>
      <c r="V6">
        <v>1</v>
      </c>
      <c r="W6" s="1">
        <v>45733</v>
      </c>
      <c r="X6" t="s">
        <v>48</v>
      </c>
      <c r="Z6" s="2">
        <v>153</v>
      </c>
      <c r="AD6" s="2">
        <v>153</v>
      </c>
      <c r="AE6" s="2">
        <v>0</v>
      </c>
      <c r="AF6" s="2">
        <v>0</v>
      </c>
      <c r="AH6">
        <v>3722987</v>
      </c>
      <c r="AI6" t="s">
        <v>57</v>
      </c>
    </row>
    <row r="7" spans="1:35" x14ac:dyDescent="0.25">
      <c r="A7" s="1">
        <v>45734</v>
      </c>
      <c r="B7" s="1">
        <v>45734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55</v>
      </c>
      <c r="J7" t="s">
        <v>56</v>
      </c>
      <c r="O7" t="s">
        <v>43</v>
      </c>
      <c r="P7" t="s">
        <v>44</v>
      </c>
      <c r="Q7" t="s">
        <v>45</v>
      </c>
      <c r="R7" t="s">
        <v>46</v>
      </c>
      <c r="S7" s="1">
        <v>45474</v>
      </c>
      <c r="T7" s="1">
        <v>45717</v>
      </c>
      <c r="U7" t="s">
        <v>47</v>
      </c>
      <c r="V7">
        <v>1</v>
      </c>
      <c r="W7" s="1">
        <v>45733</v>
      </c>
      <c r="X7" t="s">
        <v>48</v>
      </c>
      <c r="Z7" s="2">
        <v>78.25</v>
      </c>
      <c r="AD7" s="2">
        <v>78.25</v>
      </c>
      <c r="AE7" s="2">
        <v>0</v>
      </c>
      <c r="AF7" s="2">
        <v>0</v>
      </c>
      <c r="AH7">
        <v>3730767</v>
      </c>
      <c r="AI7" t="s">
        <v>49</v>
      </c>
    </row>
    <row r="8" spans="1:35" x14ac:dyDescent="0.25">
      <c r="A8" s="1">
        <v>45734</v>
      </c>
      <c r="B8" s="1">
        <v>45734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58</v>
      </c>
      <c r="J8" t="s">
        <v>56</v>
      </c>
      <c r="O8" t="s">
        <v>43</v>
      </c>
      <c r="P8" t="s">
        <v>44</v>
      </c>
      <c r="Q8" t="s">
        <v>45</v>
      </c>
      <c r="R8" t="s">
        <v>51</v>
      </c>
      <c r="S8" s="1">
        <v>45474</v>
      </c>
      <c r="T8" s="1">
        <v>45474</v>
      </c>
      <c r="U8" t="s">
        <v>47</v>
      </c>
      <c r="V8">
        <v>1</v>
      </c>
      <c r="W8" s="1">
        <v>45733</v>
      </c>
      <c r="X8" t="s">
        <v>48</v>
      </c>
      <c r="Z8" s="2">
        <v>70</v>
      </c>
      <c r="AD8" s="2">
        <v>70</v>
      </c>
      <c r="AE8" s="2">
        <v>0</v>
      </c>
      <c r="AF8" s="2">
        <v>0</v>
      </c>
      <c r="AH8">
        <v>3722986</v>
      </c>
      <c r="AI8" t="s">
        <v>57</v>
      </c>
    </row>
    <row r="9" spans="1:35" x14ac:dyDescent="0.25">
      <c r="A9" s="1">
        <v>45734</v>
      </c>
      <c r="B9" s="1">
        <v>45734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58</v>
      </c>
      <c r="J9" t="s">
        <v>56</v>
      </c>
      <c r="O9" t="s">
        <v>43</v>
      </c>
      <c r="P9" t="s">
        <v>44</v>
      </c>
      <c r="Q9" t="s">
        <v>45</v>
      </c>
      <c r="R9" t="s">
        <v>51</v>
      </c>
      <c r="S9" s="1">
        <v>45474</v>
      </c>
      <c r="T9" s="1">
        <v>45717</v>
      </c>
      <c r="U9" t="s">
        <v>47</v>
      </c>
      <c r="V9">
        <v>1</v>
      </c>
      <c r="W9" s="1">
        <v>45733</v>
      </c>
      <c r="X9" t="s">
        <v>48</v>
      </c>
      <c r="Z9" s="2">
        <v>6.56</v>
      </c>
      <c r="AD9" s="2">
        <v>6.56</v>
      </c>
      <c r="AE9" s="2">
        <v>0</v>
      </c>
      <c r="AF9" s="2">
        <v>0</v>
      </c>
      <c r="AH9">
        <v>3730768</v>
      </c>
      <c r="AI9" t="s">
        <v>49</v>
      </c>
    </row>
    <row r="10" spans="1:35" x14ac:dyDescent="0.25">
      <c r="A10" s="1">
        <v>45734</v>
      </c>
      <c r="B10" s="1">
        <v>45734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59</v>
      </c>
      <c r="J10" t="s">
        <v>60</v>
      </c>
      <c r="O10" t="s">
        <v>43</v>
      </c>
      <c r="P10" t="s">
        <v>44</v>
      </c>
      <c r="Q10" t="s">
        <v>45</v>
      </c>
      <c r="R10" t="s">
        <v>46</v>
      </c>
      <c r="S10" s="1">
        <v>45323</v>
      </c>
      <c r="T10" s="1">
        <v>45717</v>
      </c>
      <c r="U10" t="s">
        <v>47</v>
      </c>
      <c r="V10">
        <v>1</v>
      </c>
      <c r="W10" s="1">
        <v>45733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3726835</v>
      </c>
      <c r="AI10" t="s">
        <v>49</v>
      </c>
    </row>
    <row r="11" spans="1:35" x14ac:dyDescent="0.25">
      <c r="A11" s="1">
        <v>45734</v>
      </c>
      <c r="B11" s="1">
        <v>45734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61</v>
      </c>
      <c r="J11" t="s">
        <v>60</v>
      </c>
      <c r="O11" t="s">
        <v>43</v>
      </c>
      <c r="P11" t="s">
        <v>44</v>
      </c>
      <c r="Q11" t="s">
        <v>45</v>
      </c>
      <c r="R11" t="s">
        <v>51</v>
      </c>
      <c r="S11" s="1">
        <v>45323</v>
      </c>
      <c r="T11" s="1">
        <v>45717</v>
      </c>
      <c r="U11" t="s">
        <v>47</v>
      </c>
      <c r="V11">
        <v>1</v>
      </c>
      <c r="W11" s="1">
        <v>45733</v>
      </c>
      <c r="X11" t="s">
        <v>48</v>
      </c>
      <c r="Z11" s="2">
        <v>2.19</v>
      </c>
      <c r="AD11" s="2">
        <v>2.19</v>
      </c>
      <c r="AE11" s="2">
        <v>0</v>
      </c>
      <c r="AF11" s="2">
        <v>0</v>
      </c>
      <c r="AH11">
        <v>3726836</v>
      </c>
      <c r="AI11" t="s">
        <v>49</v>
      </c>
    </row>
    <row r="12" spans="1:35" x14ac:dyDescent="0.25">
      <c r="A12" s="1">
        <v>45734</v>
      </c>
      <c r="B12" s="1">
        <v>45734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62</v>
      </c>
      <c r="J12" t="s">
        <v>63</v>
      </c>
      <c r="O12" t="s">
        <v>43</v>
      </c>
      <c r="P12" t="s">
        <v>44</v>
      </c>
      <c r="Q12" t="s">
        <v>45</v>
      </c>
      <c r="R12" t="s">
        <v>46</v>
      </c>
      <c r="S12" s="1">
        <v>45505</v>
      </c>
      <c r="T12" s="1">
        <v>45717</v>
      </c>
      <c r="U12" t="s">
        <v>47</v>
      </c>
      <c r="V12">
        <v>1</v>
      </c>
      <c r="W12" s="1">
        <v>45733</v>
      </c>
      <c r="X12" t="s">
        <v>48</v>
      </c>
      <c r="Z12" s="2">
        <v>26.08</v>
      </c>
      <c r="AD12" s="2">
        <v>26.08</v>
      </c>
      <c r="AE12" s="2">
        <v>0</v>
      </c>
      <c r="AF12" s="2">
        <v>0</v>
      </c>
      <c r="AH12">
        <v>3726981</v>
      </c>
      <c r="AI12" t="s">
        <v>49</v>
      </c>
    </row>
    <row r="13" spans="1:35" x14ac:dyDescent="0.25">
      <c r="A13" s="1">
        <v>45734</v>
      </c>
      <c r="B13" s="1">
        <v>45734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64</v>
      </c>
      <c r="J13" t="s">
        <v>63</v>
      </c>
      <c r="O13" t="s">
        <v>43</v>
      </c>
      <c r="P13" t="s">
        <v>44</v>
      </c>
      <c r="Q13" t="s">
        <v>45</v>
      </c>
      <c r="R13" t="s">
        <v>51</v>
      </c>
      <c r="S13" s="1">
        <v>45505</v>
      </c>
      <c r="T13" s="1">
        <v>45717</v>
      </c>
      <c r="U13" t="s">
        <v>47</v>
      </c>
      <c r="V13">
        <v>1</v>
      </c>
      <c r="W13" s="1">
        <v>45733</v>
      </c>
      <c r="X13" t="s">
        <v>48</v>
      </c>
      <c r="Z13" s="2">
        <v>2.19</v>
      </c>
      <c r="AD13" s="2">
        <v>2.19</v>
      </c>
      <c r="AE13" s="2">
        <v>0</v>
      </c>
      <c r="AF13" s="2">
        <v>0</v>
      </c>
      <c r="AH13">
        <v>3726982</v>
      </c>
      <c r="AI13" t="s">
        <v>49</v>
      </c>
    </row>
    <row r="14" spans="1:35" x14ac:dyDescent="0.25">
      <c r="A14" s="1">
        <v>45734</v>
      </c>
      <c r="B14" s="1">
        <v>45734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65</v>
      </c>
      <c r="J14" t="s">
        <v>66</v>
      </c>
      <c r="O14" t="s">
        <v>43</v>
      </c>
      <c r="P14" t="s">
        <v>44</v>
      </c>
      <c r="Q14" t="s">
        <v>45</v>
      </c>
      <c r="R14" t="s">
        <v>46</v>
      </c>
      <c r="S14" s="1">
        <v>45017</v>
      </c>
      <c r="T14" s="1">
        <v>45717</v>
      </c>
      <c r="U14" t="s">
        <v>47</v>
      </c>
      <c r="V14">
        <v>1</v>
      </c>
      <c r="W14" s="1">
        <v>45733</v>
      </c>
      <c r="X14" t="s">
        <v>48</v>
      </c>
      <c r="Z14" s="2">
        <v>26.08</v>
      </c>
      <c r="AD14" s="2">
        <v>26.08</v>
      </c>
      <c r="AE14" s="2">
        <v>0</v>
      </c>
      <c r="AF14" s="2">
        <v>0</v>
      </c>
      <c r="AH14">
        <v>3726999</v>
      </c>
      <c r="AI14" t="s">
        <v>49</v>
      </c>
    </row>
    <row r="15" spans="1:35" x14ac:dyDescent="0.25">
      <c r="A15" s="1">
        <v>45734</v>
      </c>
      <c r="B15" s="1">
        <v>45734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67</v>
      </c>
      <c r="J15" t="s">
        <v>66</v>
      </c>
      <c r="O15" t="s">
        <v>43</v>
      </c>
      <c r="P15" t="s">
        <v>44</v>
      </c>
      <c r="Q15" t="s">
        <v>45</v>
      </c>
      <c r="R15" t="s">
        <v>51</v>
      </c>
      <c r="S15" s="1">
        <v>45017</v>
      </c>
      <c r="T15" s="1">
        <v>45717</v>
      </c>
      <c r="U15" t="s">
        <v>47</v>
      </c>
      <c r="V15">
        <v>1</v>
      </c>
      <c r="W15" s="1">
        <v>45733</v>
      </c>
      <c r="X15" t="s">
        <v>48</v>
      </c>
      <c r="Z15" s="2">
        <v>2.19</v>
      </c>
      <c r="AD15" s="2">
        <v>2.19</v>
      </c>
      <c r="AE15" s="2">
        <v>0</v>
      </c>
      <c r="AF15" s="2">
        <v>0</v>
      </c>
      <c r="AH15">
        <v>3727000</v>
      </c>
      <c r="AI15" t="s">
        <v>49</v>
      </c>
    </row>
    <row r="16" spans="1:35" x14ac:dyDescent="0.25">
      <c r="A16" s="1">
        <v>45734</v>
      </c>
      <c r="B16" s="1">
        <v>45734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68</v>
      </c>
      <c r="J16" t="s">
        <v>69</v>
      </c>
      <c r="O16" t="s">
        <v>43</v>
      </c>
      <c r="P16" t="s">
        <v>44</v>
      </c>
      <c r="Q16" t="s">
        <v>45</v>
      </c>
      <c r="R16" t="s">
        <v>46</v>
      </c>
      <c r="S16" s="1">
        <v>45566</v>
      </c>
      <c r="T16" s="1">
        <v>45717</v>
      </c>
      <c r="U16" t="s">
        <v>47</v>
      </c>
      <c r="V16">
        <v>1</v>
      </c>
      <c r="W16" s="1">
        <v>45733</v>
      </c>
      <c r="X16" t="s">
        <v>48</v>
      </c>
      <c r="Z16" s="2">
        <v>26.08</v>
      </c>
      <c r="AD16" s="2">
        <v>26.08</v>
      </c>
      <c r="AE16" s="2">
        <v>0</v>
      </c>
      <c r="AF16" s="2">
        <v>0</v>
      </c>
      <c r="AH16">
        <v>3729977</v>
      </c>
      <c r="AI16" t="s">
        <v>49</v>
      </c>
    </row>
    <row r="17" spans="1:35" x14ac:dyDescent="0.25">
      <c r="A17" s="1">
        <v>45734</v>
      </c>
      <c r="B17" s="1">
        <v>45734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70</v>
      </c>
      <c r="J17" t="s">
        <v>69</v>
      </c>
      <c r="O17" t="s">
        <v>43</v>
      </c>
      <c r="P17" t="s">
        <v>44</v>
      </c>
      <c r="Q17" t="s">
        <v>45</v>
      </c>
      <c r="R17" t="s">
        <v>51</v>
      </c>
      <c r="S17" s="1">
        <v>45566</v>
      </c>
      <c r="T17" s="1">
        <v>45717</v>
      </c>
      <c r="U17" t="s">
        <v>47</v>
      </c>
      <c r="V17">
        <v>1</v>
      </c>
      <c r="W17" s="1">
        <v>45733</v>
      </c>
      <c r="X17" t="s">
        <v>48</v>
      </c>
      <c r="Z17" s="2">
        <v>2.19</v>
      </c>
      <c r="AD17" s="2">
        <v>2.19</v>
      </c>
      <c r="AE17" s="2">
        <v>0</v>
      </c>
      <c r="AF17" s="2">
        <v>0</v>
      </c>
      <c r="AH17">
        <v>3729978</v>
      </c>
      <c r="AI17" t="s">
        <v>49</v>
      </c>
    </row>
    <row r="18" spans="1:35" x14ac:dyDescent="0.25">
      <c r="A18" s="1">
        <v>45734</v>
      </c>
      <c r="B18" s="1">
        <v>45734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71</v>
      </c>
      <c r="J18" t="s">
        <v>72</v>
      </c>
      <c r="O18" t="s">
        <v>43</v>
      </c>
      <c r="P18" t="s">
        <v>44</v>
      </c>
      <c r="Q18" t="s">
        <v>45</v>
      </c>
      <c r="R18" t="s">
        <v>46</v>
      </c>
      <c r="S18" s="1">
        <v>45108</v>
      </c>
      <c r="T18" s="1">
        <v>45717</v>
      </c>
      <c r="U18" t="s">
        <v>47</v>
      </c>
      <c r="V18">
        <v>1</v>
      </c>
      <c r="W18" s="1">
        <v>45733</v>
      </c>
      <c r="X18" t="s">
        <v>48</v>
      </c>
      <c r="Z18" s="2">
        <v>26.08</v>
      </c>
      <c r="AD18" s="2">
        <v>26.08</v>
      </c>
      <c r="AE18" s="2">
        <v>0</v>
      </c>
      <c r="AF18" s="2">
        <v>0</v>
      </c>
      <c r="AH18">
        <v>3727691</v>
      </c>
      <c r="AI18" t="s">
        <v>49</v>
      </c>
    </row>
    <row r="19" spans="1:35" x14ac:dyDescent="0.25">
      <c r="A19" s="1">
        <v>45734</v>
      </c>
      <c r="B19" s="1">
        <v>45734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73</v>
      </c>
      <c r="J19" t="s">
        <v>72</v>
      </c>
      <c r="O19" t="s">
        <v>43</v>
      </c>
      <c r="P19" t="s">
        <v>44</v>
      </c>
      <c r="Q19" t="s">
        <v>45</v>
      </c>
      <c r="R19" t="s">
        <v>51</v>
      </c>
      <c r="S19" s="1">
        <v>45108</v>
      </c>
      <c r="T19" s="1">
        <v>45717</v>
      </c>
      <c r="U19" t="s">
        <v>47</v>
      </c>
      <c r="V19">
        <v>1</v>
      </c>
      <c r="W19" s="1">
        <v>45733</v>
      </c>
      <c r="X19" t="s">
        <v>48</v>
      </c>
      <c r="Z19" s="2">
        <v>2.19</v>
      </c>
      <c r="AD19" s="2">
        <v>2.19</v>
      </c>
      <c r="AE19" s="2">
        <v>0</v>
      </c>
      <c r="AF19" s="2">
        <v>0</v>
      </c>
      <c r="AH19">
        <v>3727692</v>
      </c>
      <c r="AI19" t="s">
        <v>49</v>
      </c>
    </row>
    <row r="20" spans="1:35" x14ac:dyDescent="0.25">
      <c r="A20" s="1">
        <v>45734</v>
      </c>
      <c r="B20" s="1">
        <v>45734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74</v>
      </c>
      <c r="J20" t="s">
        <v>75</v>
      </c>
      <c r="O20" t="s">
        <v>76</v>
      </c>
      <c r="P20" t="s">
        <v>77</v>
      </c>
      <c r="Q20" t="s">
        <v>45</v>
      </c>
      <c r="R20" t="s">
        <v>46</v>
      </c>
      <c r="S20" s="1">
        <v>45717</v>
      </c>
      <c r="T20" s="1">
        <v>45717</v>
      </c>
      <c r="U20" t="s">
        <v>47</v>
      </c>
      <c r="V20">
        <v>1</v>
      </c>
      <c r="W20" s="1">
        <v>45733</v>
      </c>
      <c r="X20" t="s">
        <v>48</v>
      </c>
      <c r="Z20" s="2">
        <v>626</v>
      </c>
      <c r="AD20" s="2">
        <v>626</v>
      </c>
      <c r="AE20" s="2">
        <v>0</v>
      </c>
      <c r="AF20" s="2">
        <v>0</v>
      </c>
      <c r="AH20">
        <v>3723006</v>
      </c>
      <c r="AI20" t="s">
        <v>57</v>
      </c>
    </row>
    <row r="21" spans="1:35" x14ac:dyDescent="0.25">
      <c r="A21" s="1">
        <v>45734</v>
      </c>
      <c r="B21" s="1">
        <v>45734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78</v>
      </c>
      <c r="J21" t="s">
        <v>75</v>
      </c>
      <c r="O21" t="s">
        <v>76</v>
      </c>
      <c r="P21" t="s">
        <v>77</v>
      </c>
      <c r="Q21" t="s">
        <v>45</v>
      </c>
      <c r="R21" t="s">
        <v>51</v>
      </c>
      <c r="S21" s="1">
        <v>45717</v>
      </c>
      <c r="T21" s="1">
        <v>45717</v>
      </c>
      <c r="U21" t="s">
        <v>47</v>
      </c>
      <c r="V21">
        <v>1</v>
      </c>
      <c r="W21" s="1">
        <v>45733</v>
      </c>
      <c r="X21" t="s">
        <v>48</v>
      </c>
      <c r="Z21" s="2">
        <v>70</v>
      </c>
      <c r="AD21" s="2">
        <v>70</v>
      </c>
      <c r="AE21" s="2">
        <v>0</v>
      </c>
      <c r="AF21" s="2">
        <v>0</v>
      </c>
      <c r="AH21">
        <v>3723007</v>
      </c>
      <c r="AI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76AC-53E0-406F-97E4-ED6BF17C049D}">
  <dimension ref="A1:Q21"/>
  <sheetViews>
    <sheetView tabSelected="1" workbookViewId="0">
      <selection activeCell="Q2" sqref="Q2:Q11"/>
    </sheetView>
  </sheetViews>
  <sheetFormatPr defaultRowHeight="15" x14ac:dyDescent="0.25"/>
  <cols>
    <col min="1" max="1" width="15.5703125" style="3" bestFit="1" customWidth="1"/>
    <col min="2" max="2" width="15.5703125" style="3" customWidth="1"/>
    <col min="3" max="3" width="18.85546875" bestFit="1" customWidth="1"/>
    <col min="4" max="4" width="15.7109375" bestFit="1" customWidth="1"/>
    <col min="5" max="5" width="19.28515625" bestFit="1" customWidth="1"/>
    <col min="6" max="6" width="13.5703125" bestFit="1" customWidth="1"/>
    <col min="7" max="7" width="10.140625" bestFit="1" customWidth="1"/>
    <col min="8" max="8" width="12.28515625" bestFit="1" customWidth="1"/>
    <col min="11" max="11" width="15.85546875" bestFit="1" customWidth="1"/>
    <col min="15" max="15" width="20.7109375" bestFit="1" customWidth="1"/>
  </cols>
  <sheetData>
    <row r="1" spans="1:17" x14ac:dyDescent="0.25">
      <c r="A1" s="3" t="s">
        <v>8</v>
      </c>
      <c r="C1" t="s">
        <v>9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25</v>
      </c>
      <c r="N1" t="s">
        <v>29</v>
      </c>
    </row>
    <row r="2" spans="1:17" x14ac:dyDescent="0.25">
      <c r="A2" s="3">
        <v>49292665</v>
      </c>
      <c r="B2" s="3" t="str">
        <f>CONCATENATE(A2,9)</f>
        <v>492926659</v>
      </c>
      <c r="C2" t="s">
        <v>42</v>
      </c>
      <c r="D2">
        <v>9079571</v>
      </c>
      <c r="E2" t="s">
        <v>44</v>
      </c>
      <c r="F2" t="s">
        <v>46</v>
      </c>
      <c r="G2" s="1">
        <v>45323</v>
      </c>
      <c r="H2" s="1">
        <v>45717</v>
      </c>
      <c r="I2" t="s">
        <v>47</v>
      </c>
      <c r="J2">
        <v>1</v>
      </c>
      <c r="K2" s="1">
        <v>45733</v>
      </c>
      <c r="L2" t="s">
        <v>48</v>
      </c>
      <c r="M2" s="2">
        <v>26.08</v>
      </c>
      <c r="N2" s="2">
        <v>26.08</v>
      </c>
      <c r="O2" t="s">
        <v>89</v>
      </c>
      <c r="P2">
        <v>1</v>
      </c>
      <c r="Q2" t="s">
        <v>93</v>
      </c>
    </row>
    <row r="3" spans="1:17" x14ac:dyDescent="0.25">
      <c r="A3" s="3">
        <v>53180938</v>
      </c>
      <c r="B3" s="3" t="str">
        <f>CONCATENATE(A3,9)</f>
        <v>531809389</v>
      </c>
      <c r="C3" t="s">
        <v>53</v>
      </c>
      <c r="D3">
        <v>9079571</v>
      </c>
      <c r="E3" t="s">
        <v>44</v>
      </c>
      <c r="F3" t="s">
        <v>46</v>
      </c>
      <c r="G3" s="1">
        <v>45261</v>
      </c>
      <c r="H3" s="1">
        <v>45717</v>
      </c>
      <c r="I3" t="s">
        <v>47</v>
      </c>
      <c r="J3">
        <v>1</v>
      </c>
      <c r="K3" s="1">
        <v>45733</v>
      </c>
      <c r="L3" t="s">
        <v>48</v>
      </c>
      <c r="M3" s="2">
        <v>26.08</v>
      </c>
      <c r="N3" s="2">
        <v>26.08</v>
      </c>
      <c r="O3" t="s">
        <v>89</v>
      </c>
      <c r="P3">
        <v>1</v>
      </c>
      <c r="Q3" t="s">
        <v>93</v>
      </c>
    </row>
    <row r="4" spans="1:17" s="5" customFormat="1" x14ac:dyDescent="0.25">
      <c r="A4" s="4">
        <v>541060318</v>
      </c>
      <c r="B4" s="4">
        <v>541060318</v>
      </c>
      <c r="C4" s="5" t="s">
        <v>56</v>
      </c>
      <c r="D4" s="5">
        <v>9079571</v>
      </c>
      <c r="E4" s="5" t="s">
        <v>44</v>
      </c>
      <c r="F4" s="5" t="s">
        <v>46</v>
      </c>
      <c r="G4" s="6">
        <v>45474</v>
      </c>
      <c r="H4" s="6">
        <v>45474</v>
      </c>
      <c r="I4" s="5" t="s">
        <v>47</v>
      </c>
      <c r="J4" s="5">
        <v>1</v>
      </c>
      <c r="K4" s="6">
        <v>45733</v>
      </c>
      <c r="L4" s="5" t="s">
        <v>48</v>
      </c>
      <c r="M4" s="7">
        <v>153</v>
      </c>
      <c r="N4" s="7">
        <v>153</v>
      </c>
      <c r="O4" s="5" t="s">
        <v>92</v>
      </c>
      <c r="P4" s="5">
        <v>6</v>
      </c>
      <c r="Q4" t="s">
        <v>95</v>
      </c>
    </row>
    <row r="5" spans="1:17" x14ac:dyDescent="0.25">
      <c r="A5" s="3">
        <v>541060318</v>
      </c>
      <c r="B5" s="3" t="str">
        <f t="shared" ref="B5:B10" si="0">CONCATENATE(A5,9)</f>
        <v>5410603189</v>
      </c>
      <c r="C5" t="s">
        <v>56</v>
      </c>
      <c r="D5">
        <v>9079571</v>
      </c>
      <c r="E5" t="s">
        <v>44</v>
      </c>
      <c r="F5" t="s">
        <v>46</v>
      </c>
      <c r="G5" s="1">
        <v>45474</v>
      </c>
      <c r="H5" s="1">
        <v>45717</v>
      </c>
      <c r="I5" t="s">
        <v>47</v>
      </c>
      <c r="J5">
        <v>1</v>
      </c>
      <c r="K5" s="1">
        <v>45733</v>
      </c>
      <c r="L5" t="s">
        <v>48</v>
      </c>
      <c r="M5" s="2">
        <v>78.25</v>
      </c>
      <c r="N5" s="2">
        <v>78.25</v>
      </c>
      <c r="O5" t="s">
        <v>89</v>
      </c>
      <c r="P5">
        <v>3</v>
      </c>
      <c r="Q5" t="s">
        <v>94</v>
      </c>
    </row>
    <row r="6" spans="1:17" x14ac:dyDescent="0.25">
      <c r="A6" s="3">
        <v>65337557</v>
      </c>
      <c r="B6" s="3" t="str">
        <f t="shared" si="0"/>
        <v>653375579</v>
      </c>
      <c r="C6" t="s">
        <v>60</v>
      </c>
      <c r="D6">
        <v>9079571</v>
      </c>
      <c r="E6" t="s">
        <v>44</v>
      </c>
      <c r="F6" t="s">
        <v>46</v>
      </c>
      <c r="G6" s="1">
        <v>45323</v>
      </c>
      <c r="H6" s="1">
        <v>45717</v>
      </c>
      <c r="I6" t="s">
        <v>47</v>
      </c>
      <c r="J6">
        <v>1</v>
      </c>
      <c r="K6" s="1">
        <v>45733</v>
      </c>
      <c r="L6" t="s">
        <v>48</v>
      </c>
      <c r="M6" s="2">
        <v>26.08</v>
      </c>
      <c r="N6" s="2">
        <v>26.08</v>
      </c>
      <c r="O6" t="s">
        <v>89</v>
      </c>
      <c r="P6">
        <v>1</v>
      </c>
      <c r="Q6" t="s">
        <v>93</v>
      </c>
    </row>
    <row r="7" spans="1:17" x14ac:dyDescent="0.25">
      <c r="A7" s="3">
        <v>68344375</v>
      </c>
      <c r="B7" s="3" t="str">
        <f t="shared" si="0"/>
        <v>683443759</v>
      </c>
      <c r="C7" t="s">
        <v>63</v>
      </c>
      <c r="D7">
        <v>9079571</v>
      </c>
      <c r="E7" t="s">
        <v>44</v>
      </c>
      <c r="F7" t="s">
        <v>46</v>
      </c>
      <c r="G7" s="1">
        <v>45505</v>
      </c>
      <c r="H7" s="1">
        <v>45717</v>
      </c>
      <c r="I7" t="s">
        <v>47</v>
      </c>
      <c r="J7">
        <v>1</v>
      </c>
      <c r="K7" s="1">
        <v>45733</v>
      </c>
      <c r="L7" t="s">
        <v>48</v>
      </c>
      <c r="M7" s="2">
        <v>26.08</v>
      </c>
      <c r="N7" s="2">
        <v>26.08</v>
      </c>
      <c r="O7" t="s">
        <v>89</v>
      </c>
      <c r="P7">
        <v>1</v>
      </c>
      <c r="Q7" t="s">
        <v>93</v>
      </c>
    </row>
    <row r="8" spans="1:17" x14ac:dyDescent="0.25">
      <c r="A8" s="3">
        <v>69202132</v>
      </c>
      <c r="B8" s="3" t="str">
        <f t="shared" si="0"/>
        <v>692021329</v>
      </c>
      <c r="C8" t="s">
        <v>66</v>
      </c>
      <c r="D8">
        <v>9079571</v>
      </c>
      <c r="E8" t="s">
        <v>44</v>
      </c>
      <c r="F8" t="s">
        <v>46</v>
      </c>
      <c r="G8" s="1">
        <v>45017</v>
      </c>
      <c r="H8" s="1">
        <v>45717</v>
      </c>
      <c r="I8" t="s">
        <v>47</v>
      </c>
      <c r="J8">
        <v>1</v>
      </c>
      <c r="K8" s="1">
        <v>45733</v>
      </c>
      <c r="L8" t="s">
        <v>48</v>
      </c>
      <c r="M8" s="2">
        <v>26.08</v>
      </c>
      <c r="N8" s="2">
        <v>26.08</v>
      </c>
      <c r="O8" t="s">
        <v>89</v>
      </c>
      <c r="P8">
        <v>1</v>
      </c>
      <c r="Q8" t="s">
        <v>93</v>
      </c>
    </row>
    <row r="9" spans="1:17" x14ac:dyDescent="0.25">
      <c r="A9" s="3">
        <v>721041450</v>
      </c>
      <c r="B9" s="3" t="str">
        <f t="shared" si="0"/>
        <v>7210414509</v>
      </c>
      <c r="C9" t="s">
        <v>69</v>
      </c>
      <c r="D9">
        <v>9079571</v>
      </c>
      <c r="E9" t="s">
        <v>44</v>
      </c>
      <c r="F9" t="s">
        <v>46</v>
      </c>
      <c r="G9" s="1">
        <v>45566</v>
      </c>
      <c r="H9" s="1">
        <v>45717</v>
      </c>
      <c r="I9" t="s">
        <v>47</v>
      </c>
      <c r="J9">
        <v>1</v>
      </c>
      <c r="K9" s="1">
        <v>45733</v>
      </c>
      <c r="L9" t="s">
        <v>48</v>
      </c>
      <c r="M9" s="2">
        <v>26.08</v>
      </c>
      <c r="N9" s="2">
        <v>26.08</v>
      </c>
      <c r="O9" t="s">
        <v>89</v>
      </c>
      <c r="P9">
        <v>1</v>
      </c>
      <c r="Q9" t="s">
        <v>93</v>
      </c>
    </row>
    <row r="10" spans="1:17" x14ac:dyDescent="0.25">
      <c r="A10" s="3">
        <v>85180647</v>
      </c>
      <c r="B10" s="3" t="str">
        <f t="shared" si="0"/>
        <v>851806479</v>
      </c>
      <c r="C10" t="s">
        <v>72</v>
      </c>
      <c r="D10">
        <v>9079571</v>
      </c>
      <c r="E10" t="s">
        <v>44</v>
      </c>
      <c r="F10" t="s">
        <v>46</v>
      </c>
      <c r="G10" s="1">
        <v>45108</v>
      </c>
      <c r="H10" s="1">
        <v>45717</v>
      </c>
      <c r="I10" t="s">
        <v>47</v>
      </c>
      <c r="J10">
        <v>1</v>
      </c>
      <c r="K10" s="1">
        <v>45733</v>
      </c>
      <c r="L10" t="s">
        <v>48</v>
      </c>
      <c r="M10" s="2">
        <v>26.08</v>
      </c>
      <c r="N10" s="2">
        <v>26.08</v>
      </c>
      <c r="O10" t="s">
        <v>89</v>
      </c>
      <c r="P10">
        <v>1</v>
      </c>
      <c r="Q10" t="s">
        <v>93</v>
      </c>
    </row>
    <row r="11" spans="1:17" s="5" customFormat="1" x14ac:dyDescent="0.25">
      <c r="A11" s="4">
        <v>901118311</v>
      </c>
      <c r="B11" s="4" t="str">
        <f>CONCATENATE(A11,5)</f>
        <v>9011183115</v>
      </c>
      <c r="C11" s="5" t="s">
        <v>75</v>
      </c>
      <c r="D11" s="5">
        <v>16865615</v>
      </c>
      <c r="E11" s="5" t="s">
        <v>77</v>
      </c>
      <c r="F11" s="5" t="s">
        <v>46</v>
      </c>
      <c r="G11" s="6">
        <v>45717</v>
      </c>
      <c r="H11" s="6">
        <v>45717</v>
      </c>
      <c r="I11" s="5" t="s">
        <v>47</v>
      </c>
      <c r="J11" s="5">
        <v>1</v>
      </c>
      <c r="K11" s="6">
        <v>45733</v>
      </c>
      <c r="L11" s="5" t="s">
        <v>48</v>
      </c>
      <c r="M11" s="7">
        <v>626</v>
      </c>
      <c r="N11" s="7">
        <v>626</v>
      </c>
      <c r="O11" s="5" t="s">
        <v>90</v>
      </c>
      <c r="Q11" t="s">
        <v>96</v>
      </c>
    </row>
    <row r="12" spans="1:17" x14ac:dyDescent="0.25">
      <c r="A12" s="3" t="s">
        <v>79</v>
      </c>
      <c r="B12" s="3" t="s">
        <v>79</v>
      </c>
      <c r="C12" t="s">
        <v>42</v>
      </c>
      <c r="D12">
        <v>20411454</v>
      </c>
      <c r="E12" t="s">
        <v>88</v>
      </c>
      <c r="F12" t="s">
        <v>51</v>
      </c>
      <c r="G12" s="1">
        <v>45323</v>
      </c>
      <c r="H12" s="1">
        <v>45717</v>
      </c>
      <c r="I12" t="s">
        <v>47</v>
      </c>
      <c r="J12">
        <v>1</v>
      </c>
      <c r="K12" s="1">
        <v>45733</v>
      </c>
      <c r="L12" t="s">
        <v>48</v>
      </c>
      <c r="M12" s="2">
        <v>2.19</v>
      </c>
      <c r="N12" s="2">
        <v>2.19</v>
      </c>
      <c r="O12" t="s">
        <v>91</v>
      </c>
    </row>
    <row r="13" spans="1:17" x14ac:dyDescent="0.25">
      <c r="A13" s="3" t="s">
        <v>80</v>
      </c>
      <c r="B13" s="3" t="s">
        <v>80</v>
      </c>
      <c r="C13" t="s">
        <v>53</v>
      </c>
      <c r="D13">
        <v>20411454</v>
      </c>
      <c r="E13" t="s">
        <v>88</v>
      </c>
      <c r="F13" t="s">
        <v>51</v>
      </c>
      <c r="G13" s="1">
        <v>45261</v>
      </c>
      <c r="H13" s="1">
        <v>45717</v>
      </c>
      <c r="I13" t="s">
        <v>47</v>
      </c>
      <c r="J13">
        <v>1</v>
      </c>
      <c r="K13" s="1">
        <v>45733</v>
      </c>
      <c r="L13" t="s">
        <v>48</v>
      </c>
      <c r="M13" s="2">
        <v>2.19</v>
      </c>
      <c r="N13" s="2">
        <v>2.19</v>
      </c>
      <c r="O13" t="s">
        <v>91</v>
      </c>
    </row>
    <row r="14" spans="1:17" x14ac:dyDescent="0.25">
      <c r="A14" s="3" t="s">
        <v>81</v>
      </c>
      <c r="B14" s="3" t="s">
        <v>81</v>
      </c>
      <c r="C14" t="s">
        <v>56</v>
      </c>
      <c r="D14">
        <v>20411454</v>
      </c>
      <c r="E14" t="s">
        <v>88</v>
      </c>
      <c r="F14" t="s">
        <v>51</v>
      </c>
      <c r="G14" s="1">
        <v>45474</v>
      </c>
      <c r="H14" s="1">
        <v>45474</v>
      </c>
      <c r="I14" t="s">
        <v>47</v>
      </c>
      <c r="J14">
        <v>1</v>
      </c>
      <c r="K14" s="1">
        <v>45733</v>
      </c>
      <c r="L14" t="s">
        <v>48</v>
      </c>
      <c r="M14" s="2">
        <v>70</v>
      </c>
      <c r="N14" s="2">
        <v>70</v>
      </c>
      <c r="O14" t="s">
        <v>91</v>
      </c>
    </row>
    <row r="15" spans="1:17" x14ac:dyDescent="0.25">
      <c r="A15" s="3" t="s">
        <v>81</v>
      </c>
      <c r="B15" s="3" t="s">
        <v>81</v>
      </c>
      <c r="C15" t="s">
        <v>56</v>
      </c>
      <c r="D15">
        <v>20411454</v>
      </c>
      <c r="E15" t="s">
        <v>88</v>
      </c>
      <c r="F15" t="s">
        <v>51</v>
      </c>
      <c r="G15" s="1">
        <v>45474</v>
      </c>
      <c r="H15" s="1">
        <v>45717</v>
      </c>
      <c r="I15" t="s">
        <v>47</v>
      </c>
      <c r="J15">
        <v>1</v>
      </c>
      <c r="K15" s="1">
        <v>45733</v>
      </c>
      <c r="L15" t="s">
        <v>48</v>
      </c>
      <c r="M15" s="2">
        <v>6.56</v>
      </c>
      <c r="N15" s="2">
        <v>6.56</v>
      </c>
      <c r="O15" t="s">
        <v>91</v>
      </c>
    </row>
    <row r="16" spans="1:17" x14ac:dyDescent="0.25">
      <c r="A16" s="3" t="s">
        <v>82</v>
      </c>
      <c r="B16" s="3" t="s">
        <v>82</v>
      </c>
      <c r="C16" t="s">
        <v>60</v>
      </c>
      <c r="D16">
        <v>20411454</v>
      </c>
      <c r="E16" t="s">
        <v>88</v>
      </c>
      <c r="F16" t="s">
        <v>51</v>
      </c>
      <c r="G16" s="1">
        <v>45323</v>
      </c>
      <c r="H16" s="1">
        <v>45717</v>
      </c>
      <c r="I16" t="s">
        <v>47</v>
      </c>
      <c r="J16">
        <v>1</v>
      </c>
      <c r="K16" s="1">
        <v>45733</v>
      </c>
      <c r="L16" t="s">
        <v>48</v>
      </c>
      <c r="M16" s="2">
        <v>2.19</v>
      </c>
      <c r="N16" s="2">
        <v>2.19</v>
      </c>
      <c r="O16" t="s">
        <v>91</v>
      </c>
    </row>
    <row r="17" spans="1:15" x14ac:dyDescent="0.25">
      <c r="A17" s="3" t="s">
        <v>83</v>
      </c>
      <c r="B17" s="3" t="s">
        <v>83</v>
      </c>
      <c r="C17" t="s">
        <v>63</v>
      </c>
      <c r="D17">
        <v>20411454</v>
      </c>
      <c r="E17" t="s">
        <v>88</v>
      </c>
      <c r="F17" t="s">
        <v>51</v>
      </c>
      <c r="G17" s="1">
        <v>45505</v>
      </c>
      <c r="H17" s="1">
        <v>45717</v>
      </c>
      <c r="I17" t="s">
        <v>47</v>
      </c>
      <c r="J17">
        <v>1</v>
      </c>
      <c r="K17" s="1">
        <v>45733</v>
      </c>
      <c r="L17" t="s">
        <v>48</v>
      </c>
      <c r="M17" s="2">
        <v>2.19</v>
      </c>
      <c r="N17" s="2">
        <v>2.19</v>
      </c>
      <c r="O17" t="s">
        <v>91</v>
      </c>
    </row>
    <row r="18" spans="1:15" x14ac:dyDescent="0.25">
      <c r="A18" s="3" t="s">
        <v>84</v>
      </c>
      <c r="B18" s="3" t="s">
        <v>84</v>
      </c>
      <c r="C18" t="s">
        <v>66</v>
      </c>
      <c r="D18">
        <v>20411454</v>
      </c>
      <c r="E18" t="s">
        <v>88</v>
      </c>
      <c r="F18" t="s">
        <v>51</v>
      </c>
      <c r="G18" s="1">
        <v>45017</v>
      </c>
      <c r="H18" s="1">
        <v>45717</v>
      </c>
      <c r="I18" t="s">
        <v>47</v>
      </c>
      <c r="J18">
        <v>1</v>
      </c>
      <c r="K18" s="1">
        <v>45733</v>
      </c>
      <c r="L18" t="s">
        <v>48</v>
      </c>
      <c r="M18" s="2">
        <v>2.19</v>
      </c>
      <c r="N18" s="2">
        <v>2.19</v>
      </c>
      <c r="O18" t="s">
        <v>91</v>
      </c>
    </row>
    <row r="19" spans="1:15" x14ac:dyDescent="0.25">
      <c r="A19" s="3" t="s">
        <v>85</v>
      </c>
      <c r="B19" s="3" t="s">
        <v>85</v>
      </c>
      <c r="C19" t="s">
        <v>69</v>
      </c>
      <c r="D19">
        <v>20411454</v>
      </c>
      <c r="E19" t="s">
        <v>88</v>
      </c>
      <c r="F19" t="s">
        <v>51</v>
      </c>
      <c r="G19" s="1">
        <v>45566</v>
      </c>
      <c r="H19" s="1">
        <v>45717</v>
      </c>
      <c r="I19" t="s">
        <v>47</v>
      </c>
      <c r="J19">
        <v>1</v>
      </c>
      <c r="K19" s="1">
        <v>45733</v>
      </c>
      <c r="L19" t="s">
        <v>48</v>
      </c>
      <c r="M19" s="2">
        <v>2.19</v>
      </c>
      <c r="N19" s="2">
        <v>2.19</v>
      </c>
      <c r="O19" t="s">
        <v>91</v>
      </c>
    </row>
    <row r="20" spans="1:15" x14ac:dyDescent="0.25">
      <c r="A20" s="3" t="s">
        <v>86</v>
      </c>
      <c r="B20" s="3" t="s">
        <v>86</v>
      </c>
      <c r="C20" t="s">
        <v>72</v>
      </c>
      <c r="D20">
        <v>20411454</v>
      </c>
      <c r="E20" t="s">
        <v>88</v>
      </c>
      <c r="F20" t="s">
        <v>51</v>
      </c>
      <c r="G20" s="1">
        <v>45108</v>
      </c>
      <c r="H20" s="1">
        <v>45717</v>
      </c>
      <c r="I20" t="s">
        <v>47</v>
      </c>
      <c r="J20">
        <v>1</v>
      </c>
      <c r="K20" s="1">
        <v>45733</v>
      </c>
      <c r="L20" t="s">
        <v>48</v>
      </c>
      <c r="M20" s="2">
        <v>2.19</v>
      </c>
      <c r="N20" s="2">
        <v>2.19</v>
      </c>
      <c r="O20" t="s">
        <v>91</v>
      </c>
    </row>
    <row r="21" spans="1:15" x14ac:dyDescent="0.25">
      <c r="A21" s="3" t="s">
        <v>87</v>
      </c>
      <c r="B21" s="3" t="s">
        <v>87</v>
      </c>
      <c r="C21" t="s">
        <v>75</v>
      </c>
      <c r="D21">
        <v>20411454</v>
      </c>
      <c r="E21" t="s">
        <v>88</v>
      </c>
      <c r="F21" t="s">
        <v>51</v>
      </c>
      <c r="G21" s="1">
        <v>45717</v>
      </c>
      <c r="H21" s="1">
        <v>45717</v>
      </c>
      <c r="I21" t="s">
        <v>47</v>
      </c>
      <c r="J21">
        <v>1</v>
      </c>
      <c r="K21" s="1">
        <v>45733</v>
      </c>
      <c r="L21" t="s">
        <v>48</v>
      </c>
      <c r="M21" s="2">
        <v>70</v>
      </c>
      <c r="N21" s="2">
        <v>70</v>
      </c>
      <c r="O21" t="s">
        <v>91</v>
      </c>
    </row>
  </sheetData>
  <sortState xmlns:xlrd2="http://schemas.microsoft.com/office/spreadsheetml/2017/richdata2" ref="A2:AJ21">
    <sortCondition ref="F2:F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2025-03-19T14:54:09Z</dcterms:created>
  <dcterms:modified xsi:type="dcterms:W3CDTF">2025-03-24T13:47:10Z</dcterms:modified>
</cp:coreProperties>
</file>