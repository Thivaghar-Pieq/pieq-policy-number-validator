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apital Blue Cross MAPD\2026\2-20-26 to 3-6-26\"/>
    </mc:Choice>
  </mc:AlternateContent>
  <xr:revisionPtr revIDLastSave="0" documentId="13_ncr:1_{DEADD38A-EE30-436B-9B58-86BBCACAF73E}" xr6:coauthVersionLast="47" xr6:coauthVersionMax="47" xr10:uidLastSave="{00000000-0000-0000-0000-000000000000}"/>
  <bookViews>
    <workbookView xWindow="28680" yWindow="-30" windowWidth="29040" windowHeight="16440" activeTab="3" xr2:uid="{00000000-000D-0000-FFFF-FFFF00000000}"/>
  </bookViews>
  <sheets>
    <sheet name="Summary" sheetId="1" r:id="rId1"/>
    <sheet name="Config" sheetId="2" state="hidden" r:id="rId2"/>
    <sheet name="Jan_30_2026_to_Feb_12_2026" sheetId="3" r:id="rId3"/>
    <sheet name="Sheet1" sheetId="4" r:id="rId4"/>
  </sheets>
  <definedNames>
    <definedName name="GeneratedCell">#REF!</definedName>
    <definedName name="PayPeriodCell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2">
      <go:sheetsCustomData xmlns:go="http://customooxmlschemas.google.com/" r:id="rId7" roundtripDataChecksum="pOm64S3Brh2SZbG9tnzVqM22aZj4qyG/YeCEcBZc+A8="/>
    </ext>
  </extLst>
</workbook>
</file>

<file path=xl/calcChain.xml><?xml version="1.0" encoding="utf-8"?>
<calcChain xmlns="http://schemas.openxmlformats.org/spreadsheetml/2006/main">
  <c r="E3" i="4" l="1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2" i="4"/>
  <c r="G3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2" i="4"/>
  <c r="B5" i="1"/>
</calcChain>
</file>

<file path=xl/sharedStrings.xml><?xml version="1.0" encoding="utf-8"?>
<sst xmlns="http://schemas.openxmlformats.org/spreadsheetml/2006/main" count="1617" uniqueCount="293">
  <si>
    <t>Carrier</t>
  </si>
  <si>
    <t>TotalPaymentAmount</t>
  </si>
  <si>
    <t>Oscar ACA</t>
  </si>
  <si>
    <t>Capital BC MAPD</t>
  </si>
  <si>
    <t>Capital Blue Cross</t>
  </si>
  <si>
    <t>Total</t>
  </si>
  <si>
    <t>Contact:</t>
  </si>
  <si>
    <t>commissions@teamifg.com</t>
  </si>
  <si>
    <t>Agentwritingnumber</t>
  </si>
  <si>
    <t>AgentNPN</t>
  </si>
  <si>
    <t>AgentName</t>
  </si>
  <si>
    <t>PrimaryAgency</t>
  </si>
  <si>
    <t>TopofHierarchy</t>
  </si>
  <si>
    <t>MemberName</t>
  </si>
  <si>
    <t>MBI</t>
  </si>
  <si>
    <t>PolicyNumber</t>
  </si>
  <si>
    <t>StatementDate</t>
  </si>
  <si>
    <t>PaymentAmount</t>
  </si>
  <si>
    <t>PaidDate</t>
  </si>
  <si>
    <t>PlanType</t>
  </si>
  <si>
    <t>MemberState</t>
  </si>
  <si>
    <t>EffectiveDate</t>
  </si>
  <si>
    <t>CommissionType</t>
  </si>
  <si>
    <t>Column1</t>
  </si>
  <si>
    <t>Column2</t>
  </si>
  <si>
    <t>Long, Patricia M</t>
  </si>
  <si>
    <t>Main Line Benefits</t>
  </si>
  <si>
    <t>Migdalia Santos</t>
  </si>
  <si>
    <t>2026 Medicare Advantage (MA/MAPD)</t>
  </si>
  <si>
    <t>CT</t>
  </si>
  <si>
    <t>Replacement commissions</t>
  </si>
  <si>
    <t>Steven R Stastny</t>
  </si>
  <si>
    <t>Mary L Stastny</t>
  </si>
  <si>
    <t>Deborah A Hill</t>
  </si>
  <si>
    <t>William D Baughman</t>
  </si>
  <si>
    <t>Carolyn J Morley-Odonnell</t>
  </si>
  <si>
    <t>Christopher B Peluso</t>
  </si>
  <si>
    <t>Lori A Sensinger</t>
  </si>
  <si>
    <t>Jeffrey J Parise</t>
  </si>
  <si>
    <t>Bill A Dieruff Jr</t>
  </si>
  <si>
    <t>Sharon Dieruff</t>
  </si>
  <si>
    <t>Mary A Csencsits</t>
  </si>
  <si>
    <t>Richard L Stoisits</t>
  </si>
  <si>
    <t>Maani W Nemeh</t>
  </si>
  <si>
    <t>Carmen D Rosario</t>
  </si>
  <si>
    <t>Joseph F Ruggeri</t>
  </si>
  <si>
    <t>Yvonne A Barrett</t>
  </si>
  <si>
    <t>Jesus J Trevezo</t>
  </si>
  <si>
    <t>Leslie A Trevezo</t>
  </si>
  <si>
    <t>Keith E Bryfogle</t>
  </si>
  <si>
    <t>Cheryl A Bryfogle</t>
  </si>
  <si>
    <t>Barbara Ansfree</t>
  </si>
  <si>
    <t>Dean E Tegyi</t>
  </si>
  <si>
    <t>Gregory A Geiger</t>
  </si>
  <si>
    <t>Nancy L Geiger</t>
  </si>
  <si>
    <t>John B Moyer Jr</t>
  </si>
  <si>
    <t>Catherine A Minns</t>
  </si>
  <si>
    <t>Quentin Minns</t>
  </si>
  <si>
    <t>Susan M Panasik</t>
  </si>
  <si>
    <t>Gary B Panasik</t>
  </si>
  <si>
    <t>Roberta L Valerio</t>
  </si>
  <si>
    <t>Deborah A Ehret</t>
  </si>
  <si>
    <t>Maria Finamore</t>
  </si>
  <si>
    <t>Doris F Lendin</t>
  </si>
  <si>
    <t>Barry L Drumheller</t>
  </si>
  <si>
    <t>Diane L Drumheller</t>
  </si>
  <si>
    <t>Edward T Aranki</t>
  </si>
  <si>
    <t>Jaime G Dutra</t>
  </si>
  <si>
    <t>Flavia M Dutra</t>
  </si>
  <si>
    <t>Afifeh H Safi</t>
  </si>
  <si>
    <t>Diane L Reinhart</t>
  </si>
  <si>
    <t>Dennis P Reinhart</t>
  </si>
  <si>
    <t>William H Hyrowich Jr</t>
  </si>
  <si>
    <t>Louis Ojeil</t>
  </si>
  <si>
    <t>Leila N Ojeil</t>
  </si>
  <si>
    <t>Diane W Zeoli</t>
  </si>
  <si>
    <t>Peter A Zeoli</t>
  </si>
  <si>
    <t>MARIA I DUARTE</t>
  </si>
  <si>
    <t>CYNTHIA M HOPPES</t>
  </si>
  <si>
    <t>Melitza Martinez</t>
  </si>
  <si>
    <t>Richard P Becker Jr</t>
  </si>
  <si>
    <t>Deborah A Emes</t>
  </si>
  <si>
    <t>Michael B Ottovich</t>
  </si>
  <si>
    <t>Dolores R Riek</t>
  </si>
  <si>
    <t>Marie P Azar</t>
  </si>
  <si>
    <t>Karen R Berghold</t>
  </si>
  <si>
    <t>Frank A Berghold</t>
  </si>
  <si>
    <t>Jacalyn L Tercha</t>
  </si>
  <si>
    <t>Robert J Smith</t>
  </si>
  <si>
    <t>Mae Atiyeh</t>
  </si>
  <si>
    <t>Alfred K Jett</t>
  </si>
  <si>
    <t>Patricia Jett</t>
  </si>
  <si>
    <t>Theresa K Kerns</t>
  </si>
  <si>
    <t>Michelle A Bleiler</t>
  </si>
  <si>
    <t>Michael C Bleiler</t>
  </si>
  <si>
    <t>Craig R Spragle</t>
  </si>
  <si>
    <t>Merry L Roman</t>
  </si>
  <si>
    <t>Porfirio Roman</t>
  </si>
  <si>
    <t>Jay T Bell</t>
  </si>
  <si>
    <t>Soon C Roscioli Bell</t>
  </si>
  <si>
    <t>Joseph R Palladino</t>
  </si>
  <si>
    <t>Frances L Palladino</t>
  </si>
  <si>
    <t>Wail I Nesheiwat</t>
  </si>
  <si>
    <t>Nuha W Nesheiwat</t>
  </si>
  <si>
    <t>Annmarie Stobb</t>
  </si>
  <si>
    <t>Irene C Hayward</t>
  </si>
  <si>
    <t>Jennifer H Roesch</t>
  </si>
  <si>
    <t>Eric C Kuder</t>
  </si>
  <si>
    <t>Pamela S Calabrese</t>
  </si>
  <si>
    <t>George Saadeh</t>
  </si>
  <si>
    <t>Richard D Snyder</t>
  </si>
  <si>
    <t>Lucy E Diaz</t>
  </si>
  <si>
    <t>Randy L Dalrymple</t>
  </si>
  <si>
    <t>Angel Diaz</t>
  </si>
  <si>
    <t>Valerie A Freeman</t>
  </si>
  <si>
    <t>Nancy L Brophy</t>
  </si>
  <si>
    <t>Initial commissions</t>
  </si>
  <si>
    <t>Frank E Pahler</t>
  </si>
  <si>
    <t>Sheron E Pahler</t>
  </si>
  <si>
    <t>Eleanor E Kline</t>
  </si>
  <si>
    <t>Daniel O Kerns</t>
  </si>
  <si>
    <t>Carol A Baus</t>
  </si>
  <si>
    <t>Robert L Baus</t>
  </si>
  <si>
    <t>Renee J Hendricks</t>
  </si>
  <si>
    <t>Marilyn E Scheetz</t>
  </si>
  <si>
    <t>Jay D Schuster</t>
  </si>
  <si>
    <t>Lisa J Schuster</t>
  </si>
  <si>
    <t>Frederick R Moyer Jr</t>
  </si>
  <si>
    <t>Capital Blue Cross Medicare Advantage PPO</t>
  </si>
  <si>
    <t>New Administration Fee</t>
  </si>
  <si>
    <t>Replacement Commissions</t>
  </si>
  <si>
    <t>Initial Commissions</t>
  </si>
  <si>
    <t>Capital BC 2026 CT, PA, DC *</t>
  </si>
  <si>
    <t>Capital BC 2026 CT, PA, DC</t>
  </si>
  <si>
    <t>Capital BC MAPD OVR</t>
  </si>
  <si>
    <t>[%/$=391][prorate=12/12]</t>
  </si>
  <si>
    <t>[%/$=781]</t>
  </si>
  <si>
    <t>[%/$=391][prorate=11/12]</t>
  </si>
  <si>
    <t>John</t>
  </si>
  <si>
    <t>Moyer</t>
  </si>
  <si>
    <t>Frederick</t>
  </si>
  <si>
    <t>Afifeh</t>
  </si>
  <si>
    <t>Safi</t>
  </si>
  <si>
    <t>Alfred</t>
  </si>
  <si>
    <t>Jett</t>
  </si>
  <si>
    <t>Angel</t>
  </si>
  <si>
    <t>Diaz</t>
  </si>
  <si>
    <t>Annmarie</t>
  </si>
  <si>
    <t>Stobb</t>
  </si>
  <si>
    <t>Barbara</t>
  </si>
  <si>
    <t>Ansfree</t>
  </si>
  <si>
    <t>Barry</t>
  </si>
  <si>
    <t>Drumheller</t>
  </si>
  <si>
    <t>Bill</t>
  </si>
  <si>
    <t>Dieruff</t>
  </si>
  <si>
    <t>Carmen</t>
  </si>
  <si>
    <t>Rosario</t>
  </si>
  <si>
    <t>Carolyn</t>
  </si>
  <si>
    <t>Morley-Odonnell</t>
  </si>
  <si>
    <t>Catherine</t>
  </si>
  <si>
    <t>Minns</t>
  </si>
  <si>
    <t>Cheryl</t>
  </si>
  <si>
    <t>Bryfogle</t>
  </si>
  <si>
    <t>Christopher</t>
  </si>
  <si>
    <t>Peluso</t>
  </si>
  <si>
    <t>Craig</t>
  </si>
  <si>
    <t>Spragle</t>
  </si>
  <si>
    <t>CYNTHIA</t>
  </si>
  <si>
    <t>HOPPES</t>
  </si>
  <si>
    <t>Dean</t>
  </si>
  <si>
    <t>Tegyi</t>
  </si>
  <si>
    <t>Deborah</t>
  </si>
  <si>
    <t>Ehret</t>
  </si>
  <si>
    <t>Emes</t>
  </si>
  <si>
    <t>Hill</t>
  </si>
  <si>
    <t>Dennis</t>
  </si>
  <si>
    <t>Reinhart</t>
  </si>
  <si>
    <t>Diane</t>
  </si>
  <si>
    <t>Zeoli</t>
  </si>
  <si>
    <t>Dolores</t>
  </si>
  <si>
    <t>Riek</t>
  </si>
  <si>
    <t>Doris</t>
  </si>
  <si>
    <t>Lendin</t>
  </si>
  <si>
    <t>Edward</t>
  </si>
  <si>
    <t>Aranki</t>
  </si>
  <si>
    <t>Eric</t>
  </si>
  <si>
    <t>Kuder</t>
  </si>
  <si>
    <t>Flavia</t>
  </si>
  <si>
    <t>Dutra</t>
  </si>
  <si>
    <t>Frances</t>
  </si>
  <si>
    <t>Palladino</t>
  </si>
  <si>
    <t>Frank</t>
  </si>
  <si>
    <t>Berghold</t>
  </si>
  <si>
    <t>Gary</t>
  </si>
  <si>
    <t>Panasik</t>
  </si>
  <si>
    <t>George</t>
  </si>
  <si>
    <t>Saadeh</t>
  </si>
  <si>
    <t>Gregory</t>
  </si>
  <si>
    <t>Geiger</t>
  </si>
  <si>
    <t>Irene</t>
  </si>
  <si>
    <t>Hayward</t>
  </si>
  <si>
    <t>Jacalyn</t>
  </si>
  <si>
    <t>Tercha</t>
  </si>
  <si>
    <t>Jaime</t>
  </si>
  <si>
    <t>Jay</t>
  </si>
  <si>
    <t>Bell</t>
  </si>
  <si>
    <t>Jeffrey</t>
  </si>
  <si>
    <t>Parise</t>
  </si>
  <si>
    <t>Jennifer</t>
  </si>
  <si>
    <t>Roesch</t>
  </si>
  <si>
    <t>Jesus</t>
  </si>
  <si>
    <t>Trevezo</t>
  </si>
  <si>
    <t>Joseph</t>
  </si>
  <si>
    <t>Ruggeri</t>
  </si>
  <si>
    <t>Karen</t>
  </si>
  <si>
    <t>Keith</t>
  </si>
  <si>
    <t>Leila</t>
  </si>
  <si>
    <t>Ojeil</t>
  </si>
  <si>
    <t>Leslie</t>
  </si>
  <si>
    <t>Lori</t>
  </si>
  <si>
    <t>Sensinger</t>
  </si>
  <si>
    <t>Louis</t>
  </si>
  <si>
    <t>Lucy</t>
  </si>
  <si>
    <t>Maani</t>
  </si>
  <si>
    <t>Nemeh</t>
  </si>
  <si>
    <t>Mae</t>
  </si>
  <si>
    <t>Atiyeh</t>
  </si>
  <si>
    <t>Maria</t>
  </si>
  <si>
    <t>Finamore</t>
  </si>
  <si>
    <t>MARIA</t>
  </si>
  <si>
    <t>DUARTE</t>
  </si>
  <si>
    <t>Marie</t>
  </si>
  <si>
    <t>Azar</t>
  </si>
  <si>
    <t>Mary</t>
  </si>
  <si>
    <t>Csencsits</t>
  </si>
  <si>
    <t>Stastny</t>
  </si>
  <si>
    <t>Melitza</t>
  </si>
  <si>
    <t>Martinez</t>
  </si>
  <si>
    <t>Merry</t>
  </si>
  <si>
    <t>Roman</t>
  </si>
  <si>
    <t>Michael</t>
  </si>
  <si>
    <t>Ottovich</t>
  </si>
  <si>
    <t>Bleiler</t>
  </si>
  <si>
    <t>Michelle</t>
  </si>
  <si>
    <t>Migdalia</t>
  </si>
  <si>
    <t>Santos</t>
  </si>
  <si>
    <t>Nancy</t>
  </si>
  <si>
    <t>Nuha</t>
  </si>
  <si>
    <t>Nesheiwat</t>
  </si>
  <si>
    <t>Pamela</t>
  </si>
  <si>
    <t>Calabrese</t>
  </si>
  <si>
    <t>Patricia</t>
  </si>
  <si>
    <t>Peter</t>
  </si>
  <si>
    <t>Porfirio</t>
  </si>
  <si>
    <t>Quentin</t>
  </si>
  <si>
    <t>Randy</t>
  </si>
  <si>
    <t>Dalrymple</t>
  </si>
  <si>
    <t>Richard</t>
  </si>
  <si>
    <t>Snyder</t>
  </si>
  <si>
    <t>Stoisits</t>
  </si>
  <si>
    <t>Becker</t>
  </si>
  <si>
    <t>Robert</t>
  </si>
  <si>
    <t>Smith</t>
  </si>
  <si>
    <t>Roberta</t>
  </si>
  <si>
    <t>Valerio</t>
  </si>
  <si>
    <t>Sharon</t>
  </si>
  <si>
    <t>Soon</t>
  </si>
  <si>
    <t>Steven</t>
  </si>
  <si>
    <t>Susan</t>
  </si>
  <si>
    <t>Theresa</t>
  </si>
  <si>
    <t>Kerns</t>
  </si>
  <si>
    <t>Valerie</t>
  </si>
  <si>
    <t>Freeman</t>
  </si>
  <si>
    <t>Wail</t>
  </si>
  <si>
    <t>William</t>
  </si>
  <si>
    <t>Baughman</t>
  </si>
  <si>
    <t>Hyrowich</t>
  </si>
  <si>
    <t>Yvonne</t>
  </si>
  <si>
    <t>Barrett</t>
  </si>
  <si>
    <t>Carol</t>
  </si>
  <si>
    <t>Baus</t>
  </si>
  <si>
    <t>Daniel</t>
  </si>
  <si>
    <t>Eleanor</t>
  </si>
  <si>
    <t>Kline</t>
  </si>
  <si>
    <t>Pahler</t>
  </si>
  <si>
    <t>Schuster</t>
  </si>
  <si>
    <t>Lisa</t>
  </si>
  <si>
    <t>Marilyn</t>
  </si>
  <si>
    <t>Scheetz</t>
  </si>
  <si>
    <t>Brophy</t>
  </si>
  <si>
    <t>Renee</t>
  </si>
  <si>
    <t>Hendricks</t>
  </si>
  <si>
    <t>Sheron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</si>
</sst>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mm/dd/yyyy"/>
  </numFmts>
  <fonts count="13"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  <scheme val="minor"/>
    </font>
    <font>
      <sz val="11"/>
      <color theme="1"/>
      <name val="Aptos Narrow"/>
    </font>
    <font>
      <sz val="14"/>
      <color theme="1"/>
      <name val="Arial"/>
    </font>
    <font>
      <b/>
      <sz val="14"/>
      <color theme="1"/>
      <name val="Arial"/>
    </font>
    <font>
      <u/>
      <sz val="14"/>
      <color theme="10"/>
      <name val="Arial"/>
    </font>
    <font>
      <u/>
      <sz val="11"/>
      <color theme="10"/>
      <name val="Aptos Narrow"/>
    </font>
    <font>
      <sz val="11"/>
      <color rgb="FFFFFFFF"/>
      <name val="Aptos Narrow"/>
      <scheme val="minor"/>
    </font>
    <font>
      <sz val="11"/>
      <color rgb="FF000000"/>
      <name val="&quot;Aptos Narrow&quot;"/>
    </font>
    <font>
      <sz val="11"/>
      <name val="Aptos Narrow"/>
    </font>
    <font>
      <sz val="11"/>
      <name val="Aptos Narrow"/>
      <family val="2"/>
      <scheme val="minor"/>
    </font>
    <font>
      <sz val="11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C1E4F5"/>
        <bgColor rgb="FFC1E4F5"/>
      </patternFill>
    </fill>
    <fill>
      <patternFill patternType="solid">
        <fgColor theme="0"/>
        <bgColor theme="0"/>
      </patternFill>
    </fill>
    <fill>
      <patternFill patternType="solid">
        <fgColor rgb="FFC0E6F5"/>
        <bgColor rgb="FFC0E6F5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164" fontId="3" fillId="0" borderId="0" xfId="0" applyNumberFormat="1" applyFont="1"/>
    <xf numFmtId="164" fontId="1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2" borderId="0" xfId="0" applyFont="1" applyFill="1"/>
    <xf numFmtId="0" fontId="2" fillId="3" borderId="0" xfId="0" applyFont="1" applyFill="1"/>
    <xf numFmtId="165" fontId="3" fillId="3" borderId="0" xfId="0" applyNumberFormat="1" applyFont="1" applyFill="1"/>
    <xf numFmtId="14" fontId="3" fillId="3" borderId="0" xfId="0" applyNumberFormat="1" applyFont="1" applyFill="1"/>
    <xf numFmtId="0" fontId="2" fillId="4" borderId="0" xfId="0" applyFont="1" applyFill="1"/>
    <xf numFmtId="165" fontId="3" fillId="4" borderId="0" xfId="0" applyNumberFormat="1" applyFont="1" applyFill="1"/>
    <xf numFmtId="14" fontId="3" fillId="4" borderId="0" xfId="0" applyNumberFormat="1" applyFont="1" applyFill="1"/>
    <xf numFmtId="0" fontId="9" fillId="5" borderId="1" xfId="0" applyFont="1" applyFill="1" applyBorder="1"/>
    <xf numFmtId="0" fontId="9" fillId="5" borderId="2" xfId="0" applyFont="1" applyFill="1" applyBorder="1" applyAlignment="1">
      <alignment horizontal="right"/>
    </xf>
    <xf numFmtId="0" fontId="9" fillId="5" borderId="2" xfId="0" applyFont="1" applyFill="1" applyBorder="1"/>
    <xf numFmtId="165" fontId="9" fillId="5" borderId="2" xfId="0" applyNumberFormat="1" applyFont="1" applyFill="1" applyBorder="1" applyAlignment="1">
      <alignment horizontal="right"/>
    </xf>
    <xf numFmtId="0" fontId="9" fillId="5" borderId="3" xfId="0" applyFont="1" applyFill="1" applyBorder="1"/>
    <xf numFmtId="0" fontId="3" fillId="4" borderId="0" xfId="0" applyFont="1" applyFill="1"/>
    <xf numFmtId="0" fontId="9" fillId="3" borderId="1" xfId="0" applyFont="1" applyFill="1" applyBorder="1"/>
    <xf numFmtId="0" fontId="9" fillId="3" borderId="2" xfId="0" applyFont="1" applyFill="1" applyBorder="1" applyAlignment="1">
      <alignment horizontal="right"/>
    </xf>
    <xf numFmtId="0" fontId="9" fillId="3" borderId="2" xfId="0" applyFont="1" applyFill="1" applyBorder="1"/>
    <xf numFmtId="165" fontId="9" fillId="3" borderId="2" xfId="0" applyNumberFormat="1" applyFont="1" applyFill="1" applyBorder="1" applyAlignment="1">
      <alignment horizontal="right"/>
    </xf>
    <xf numFmtId="0" fontId="9" fillId="3" borderId="3" xfId="0" applyFont="1" applyFill="1" applyBorder="1"/>
    <xf numFmtId="0" fontId="3" fillId="3" borderId="0" xfId="0" applyFont="1" applyFill="1"/>
    <xf numFmtId="0" fontId="9" fillId="3" borderId="2" xfId="0" applyFont="1" applyFill="1" applyBorder="1"/>
    <xf numFmtId="0" fontId="10" fillId="3" borderId="2" xfId="0" applyFont="1" applyFill="1" applyBorder="1"/>
    <xf numFmtId="0" fontId="11" fillId="0" borderId="0" xfId="0" applyFont="1" applyFill="1"/>
    <xf numFmtId="165" fontId="12" fillId="0" borderId="0" xfId="0" applyNumberFormat="1" applyFont="1" applyFill="1"/>
    <xf numFmtId="0" fontId="11" fillId="6" borderId="0" xfId="0" applyFont="1" applyFill="1"/>
    <xf numFmtId="165" fontId="12" fillId="6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0</xdr:row>
      <xdr:rowOff>38100</xdr:rowOff>
    </xdr:from>
    <xdr:ext cx="9734550" cy="21145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commissions@teamifg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workbookViewId="0"/>
  </sheetViews>
  <sheetFormatPr defaultColWidth="12.59765625" defaultRowHeight="15" customHeight="1"/>
  <cols>
    <col min="1" max="1" width="16.8984375" customWidth="1"/>
    <col min="2" max="2" width="20.59765625" customWidth="1"/>
    <col min="3" max="26" width="8.59765625" customWidth="1"/>
  </cols>
  <sheetData>
    <row r="1" spans="1:2" ht="13.8">
      <c r="A1" s="1" t="s">
        <v>0</v>
      </c>
      <c r="B1" s="1" t="s">
        <v>1</v>
      </c>
    </row>
    <row r="2" spans="1:2" ht="13.8">
      <c r="A2" s="2" t="s">
        <v>2</v>
      </c>
      <c r="B2" s="3">
        <v>7.5</v>
      </c>
    </row>
    <row r="3" spans="1:2" ht="13.8">
      <c r="A3" s="2" t="s">
        <v>3</v>
      </c>
      <c r="B3" s="3">
        <v>41826</v>
      </c>
    </row>
    <row r="4" spans="1:2" ht="13.8">
      <c r="A4" s="2" t="s">
        <v>4</v>
      </c>
      <c r="B4" s="3">
        <v>175</v>
      </c>
    </row>
    <row r="5" spans="1:2" ht="13.8">
      <c r="A5" s="1" t="s">
        <v>5</v>
      </c>
      <c r="B5" s="4">
        <f>SUM(B2:B4)</f>
        <v>42008.5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1:A1000"/>
  <sheetViews>
    <sheetView workbookViewId="0"/>
  </sheetViews>
  <sheetFormatPr defaultColWidth="12.59765625" defaultRowHeight="15" customHeight="1"/>
  <cols>
    <col min="1" max="26" width="8.5976562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R1000"/>
  <sheetViews>
    <sheetView workbookViewId="0">
      <selection sqref="A1:XFD1048576"/>
    </sheetView>
  </sheetViews>
  <sheetFormatPr defaultColWidth="12.59765625" defaultRowHeight="15" customHeight="1"/>
  <cols>
    <col min="1" max="1" width="16.09765625" customWidth="1"/>
    <col min="2" max="2" width="21.69921875" customWidth="1"/>
    <col min="3" max="3" width="12.19921875" customWidth="1"/>
    <col min="4" max="4" width="13.59765625" customWidth="1"/>
    <col min="5" max="5" width="16.3984375" customWidth="1"/>
    <col min="6" max="6" width="17" customWidth="1"/>
    <col min="7" max="7" width="15.8984375" customWidth="1"/>
    <col min="8" max="8" width="8.59765625" customWidth="1"/>
    <col min="9" max="9" width="15.8984375" customWidth="1"/>
    <col min="10" max="10" width="16.8984375" customWidth="1"/>
    <col min="11" max="11" width="12.09765625" customWidth="1"/>
    <col min="12" max="13" width="11.19921875" customWidth="1"/>
    <col min="14" max="14" width="15.19921875" customWidth="1"/>
    <col min="15" max="15" width="15.59765625" customWidth="1"/>
    <col min="16" max="16" width="18.8984375" customWidth="1"/>
    <col min="17" max="26" width="8.59765625" customWidth="1"/>
  </cols>
  <sheetData>
    <row r="4" spans="1:18" ht="17.399999999999999">
      <c r="J4" s="5"/>
    </row>
    <row r="5" spans="1:18" ht="17.399999999999999">
      <c r="J5" s="5"/>
      <c r="K5" s="6" t="s">
        <v>6</v>
      </c>
      <c r="L5" s="7" t="s">
        <v>7</v>
      </c>
    </row>
    <row r="6" spans="1:18" ht="17.399999999999999">
      <c r="J6" s="5"/>
      <c r="K6" s="8"/>
    </row>
    <row r="12" spans="1:18" ht="13.8">
      <c r="A12" s="9" t="s">
        <v>0</v>
      </c>
      <c r="B12" s="9" t="s">
        <v>8</v>
      </c>
      <c r="C12" s="9" t="s">
        <v>9</v>
      </c>
      <c r="D12" s="9" t="s">
        <v>10</v>
      </c>
      <c r="E12" s="9" t="s">
        <v>11</v>
      </c>
      <c r="F12" s="9" t="s">
        <v>12</v>
      </c>
      <c r="G12" s="9" t="s">
        <v>13</v>
      </c>
      <c r="H12" s="9" t="s">
        <v>14</v>
      </c>
      <c r="I12" s="9" t="s">
        <v>15</v>
      </c>
      <c r="J12" s="9" t="s">
        <v>16</v>
      </c>
      <c r="K12" s="9" t="s">
        <v>17</v>
      </c>
      <c r="L12" s="9" t="s">
        <v>18</v>
      </c>
      <c r="M12" s="9" t="s">
        <v>19</v>
      </c>
      <c r="N12" s="9" t="s">
        <v>20</v>
      </c>
      <c r="O12" s="9" t="s">
        <v>21</v>
      </c>
      <c r="P12" s="9" t="s">
        <v>22</v>
      </c>
      <c r="Q12" s="9" t="s">
        <v>23</v>
      </c>
      <c r="R12" s="9" t="s">
        <v>24</v>
      </c>
    </row>
    <row r="13" spans="1:18" ht="13.8">
      <c r="A13" s="10" t="s">
        <v>3</v>
      </c>
      <c r="B13" s="10">
        <v>18794740</v>
      </c>
      <c r="C13" s="10"/>
      <c r="D13" s="10" t="s">
        <v>25</v>
      </c>
      <c r="E13" s="10" t="s">
        <v>26</v>
      </c>
      <c r="F13" s="10" t="s">
        <v>26</v>
      </c>
      <c r="G13" s="10" t="s">
        <v>27</v>
      </c>
      <c r="H13" s="10"/>
      <c r="I13" s="10">
        <v>87000978500</v>
      </c>
      <c r="J13" s="11">
        <v>46046</v>
      </c>
      <c r="K13" s="10">
        <v>391</v>
      </c>
      <c r="L13" s="11">
        <v>46073</v>
      </c>
      <c r="M13" s="10" t="s">
        <v>28</v>
      </c>
      <c r="N13" s="10" t="s">
        <v>29</v>
      </c>
      <c r="O13" s="11">
        <v>46023</v>
      </c>
      <c r="P13" s="10" t="s">
        <v>30</v>
      </c>
      <c r="Q13" s="12"/>
      <c r="R13" s="10"/>
    </row>
    <row r="14" spans="1:18" ht="13.8">
      <c r="A14" s="13" t="s">
        <v>3</v>
      </c>
      <c r="B14" s="13">
        <v>18794740</v>
      </c>
      <c r="C14" s="13"/>
      <c r="D14" s="13" t="s">
        <v>25</v>
      </c>
      <c r="E14" s="13" t="s">
        <v>26</v>
      </c>
      <c r="F14" s="13" t="s">
        <v>26</v>
      </c>
      <c r="G14" s="13" t="s">
        <v>31</v>
      </c>
      <c r="H14" s="13"/>
      <c r="I14" s="13">
        <v>87207517100</v>
      </c>
      <c r="J14" s="14">
        <v>46046</v>
      </c>
      <c r="K14" s="13">
        <v>391</v>
      </c>
      <c r="L14" s="14">
        <v>46073</v>
      </c>
      <c r="M14" s="13" t="s">
        <v>28</v>
      </c>
      <c r="N14" s="13" t="s">
        <v>29</v>
      </c>
      <c r="O14" s="14">
        <v>46023</v>
      </c>
      <c r="P14" s="13" t="s">
        <v>30</v>
      </c>
      <c r="Q14" s="15"/>
      <c r="R14" s="13"/>
    </row>
    <row r="15" spans="1:18" ht="13.8">
      <c r="A15" s="10" t="s">
        <v>3</v>
      </c>
      <c r="B15" s="10">
        <v>18794740</v>
      </c>
      <c r="C15" s="10"/>
      <c r="D15" s="10" t="s">
        <v>25</v>
      </c>
      <c r="E15" s="10" t="s">
        <v>26</v>
      </c>
      <c r="F15" s="10" t="s">
        <v>26</v>
      </c>
      <c r="G15" s="10" t="s">
        <v>32</v>
      </c>
      <c r="H15" s="10"/>
      <c r="I15" s="10">
        <v>87207517300</v>
      </c>
      <c r="J15" s="11">
        <v>46046</v>
      </c>
      <c r="K15" s="10">
        <v>391</v>
      </c>
      <c r="L15" s="11">
        <v>46073</v>
      </c>
      <c r="M15" s="10" t="s">
        <v>28</v>
      </c>
      <c r="N15" s="10" t="s">
        <v>29</v>
      </c>
      <c r="O15" s="11">
        <v>46023</v>
      </c>
      <c r="P15" s="10" t="s">
        <v>30</v>
      </c>
      <c r="Q15" s="12"/>
      <c r="R15" s="10"/>
    </row>
    <row r="16" spans="1:18" ht="13.8">
      <c r="A16" s="13" t="s">
        <v>3</v>
      </c>
      <c r="B16" s="13">
        <v>18794740</v>
      </c>
      <c r="C16" s="13"/>
      <c r="D16" s="13" t="s">
        <v>25</v>
      </c>
      <c r="E16" s="13" t="s">
        <v>26</v>
      </c>
      <c r="F16" s="13" t="s">
        <v>26</v>
      </c>
      <c r="G16" s="13" t="s">
        <v>33</v>
      </c>
      <c r="H16" s="13"/>
      <c r="I16" s="13">
        <v>87207593400</v>
      </c>
      <c r="J16" s="14">
        <v>46046</v>
      </c>
      <c r="K16" s="13">
        <v>391</v>
      </c>
      <c r="L16" s="14">
        <v>46073</v>
      </c>
      <c r="M16" s="13" t="s">
        <v>28</v>
      </c>
      <c r="N16" s="13" t="s">
        <v>29</v>
      </c>
      <c r="O16" s="14">
        <v>46023</v>
      </c>
      <c r="P16" s="13" t="s">
        <v>30</v>
      </c>
      <c r="Q16" s="15"/>
      <c r="R16" s="13"/>
    </row>
    <row r="17" spans="1:18" ht="13.8">
      <c r="A17" s="10" t="s">
        <v>3</v>
      </c>
      <c r="B17" s="10">
        <v>18794740</v>
      </c>
      <c r="C17" s="10"/>
      <c r="D17" s="10" t="s">
        <v>25</v>
      </c>
      <c r="E17" s="10" t="s">
        <v>26</v>
      </c>
      <c r="F17" s="10" t="s">
        <v>26</v>
      </c>
      <c r="G17" s="10" t="s">
        <v>34</v>
      </c>
      <c r="H17" s="10"/>
      <c r="I17" s="10">
        <v>87207593500</v>
      </c>
      <c r="J17" s="11">
        <v>46046</v>
      </c>
      <c r="K17" s="10">
        <v>391</v>
      </c>
      <c r="L17" s="11">
        <v>46073</v>
      </c>
      <c r="M17" s="10" t="s">
        <v>28</v>
      </c>
      <c r="N17" s="10" t="s">
        <v>29</v>
      </c>
      <c r="O17" s="11">
        <v>46023</v>
      </c>
      <c r="P17" s="10" t="s">
        <v>30</v>
      </c>
      <c r="Q17" s="12"/>
      <c r="R17" s="10"/>
    </row>
    <row r="18" spans="1:18" ht="13.8">
      <c r="A18" s="13" t="s">
        <v>3</v>
      </c>
      <c r="B18" s="13">
        <v>18794740</v>
      </c>
      <c r="C18" s="13"/>
      <c r="D18" s="13" t="s">
        <v>25</v>
      </c>
      <c r="E18" s="13" t="s">
        <v>26</v>
      </c>
      <c r="F18" s="13" t="s">
        <v>26</v>
      </c>
      <c r="G18" s="13" t="s">
        <v>35</v>
      </c>
      <c r="H18" s="13"/>
      <c r="I18" s="13">
        <v>87207593600</v>
      </c>
      <c r="J18" s="14">
        <v>46046</v>
      </c>
      <c r="K18" s="13">
        <v>391</v>
      </c>
      <c r="L18" s="14">
        <v>46073</v>
      </c>
      <c r="M18" s="13" t="s">
        <v>28</v>
      </c>
      <c r="N18" s="13" t="s">
        <v>29</v>
      </c>
      <c r="O18" s="14">
        <v>46023</v>
      </c>
      <c r="P18" s="13" t="s">
        <v>30</v>
      </c>
      <c r="Q18" s="15"/>
      <c r="R18" s="13"/>
    </row>
    <row r="19" spans="1:18" ht="13.8">
      <c r="A19" s="10" t="s">
        <v>3</v>
      </c>
      <c r="B19" s="10">
        <v>18794740</v>
      </c>
      <c r="C19" s="10"/>
      <c r="D19" s="10" t="s">
        <v>25</v>
      </c>
      <c r="E19" s="10" t="s">
        <v>26</v>
      </c>
      <c r="F19" s="10" t="s">
        <v>26</v>
      </c>
      <c r="G19" s="10" t="s">
        <v>36</v>
      </c>
      <c r="H19" s="10"/>
      <c r="I19" s="10">
        <v>87207593800</v>
      </c>
      <c r="J19" s="11">
        <v>46046</v>
      </c>
      <c r="K19" s="10">
        <v>391</v>
      </c>
      <c r="L19" s="11">
        <v>46073</v>
      </c>
      <c r="M19" s="10" t="s">
        <v>28</v>
      </c>
      <c r="N19" s="10" t="s">
        <v>29</v>
      </c>
      <c r="O19" s="11">
        <v>46023</v>
      </c>
      <c r="P19" s="10" t="s">
        <v>30</v>
      </c>
      <c r="Q19" s="12"/>
      <c r="R19" s="10"/>
    </row>
    <row r="20" spans="1:18" ht="13.8">
      <c r="A20" s="13" t="s">
        <v>3</v>
      </c>
      <c r="B20" s="13">
        <v>18794740</v>
      </c>
      <c r="C20" s="13"/>
      <c r="D20" s="13" t="s">
        <v>25</v>
      </c>
      <c r="E20" s="13" t="s">
        <v>26</v>
      </c>
      <c r="F20" s="13" t="s">
        <v>26</v>
      </c>
      <c r="G20" s="13" t="s">
        <v>37</v>
      </c>
      <c r="H20" s="13"/>
      <c r="I20" s="13">
        <v>87207593900</v>
      </c>
      <c r="J20" s="14">
        <v>46046</v>
      </c>
      <c r="K20" s="13">
        <v>391</v>
      </c>
      <c r="L20" s="14">
        <v>46073</v>
      </c>
      <c r="M20" s="13" t="s">
        <v>28</v>
      </c>
      <c r="N20" s="13" t="s">
        <v>29</v>
      </c>
      <c r="O20" s="14">
        <v>46023</v>
      </c>
      <c r="P20" s="13" t="s">
        <v>30</v>
      </c>
      <c r="Q20" s="15"/>
      <c r="R20" s="13"/>
    </row>
    <row r="21" spans="1:18" ht="15.75" customHeight="1">
      <c r="A21" s="10" t="s">
        <v>3</v>
      </c>
      <c r="B21" s="10">
        <v>18794740</v>
      </c>
      <c r="C21" s="10"/>
      <c r="D21" s="10" t="s">
        <v>25</v>
      </c>
      <c r="E21" s="10" t="s">
        <v>26</v>
      </c>
      <c r="F21" s="10" t="s">
        <v>26</v>
      </c>
      <c r="G21" s="10" t="s">
        <v>38</v>
      </c>
      <c r="H21" s="10"/>
      <c r="I21" s="10">
        <v>87207594200</v>
      </c>
      <c r="J21" s="11">
        <v>46046</v>
      </c>
      <c r="K21" s="10">
        <v>391</v>
      </c>
      <c r="L21" s="11">
        <v>46073</v>
      </c>
      <c r="M21" s="10" t="s">
        <v>28</v>
      </c>
      <c r="N21" s="10" t="s">
        <v>29</v>
      </c>
      <c r="O21" s="11">
        <v>46023</v>
      </c>
      <c r="P21" s="10" t="s">
        <v>30</v>
      </c>
      <c r="Q21" s="12"/>
      <c r="R21" s="10"/>
    </row>
    <row r="22" spans="1:18" ht="15.75" customHeight="1">
      <c r="A22" s="13" t="s">
        <v>3</v>
      </c>
      <c r="B22" s="13">
        <v>18794740</v>
      </c>
      <c r="C22" s="13"/>
      <c r="D22" s="13" t="s">
        <v>25</v>
      </c>
      <c r="E22" s="13" t="s">
        <v>26</v>
      </c>
      <c r="F22" s="13" t="s">
        <v>26</v>
      </c>
      <c r="G22" s="13" t="s">
        <v>39</v>
      </c>
      <c r="H22" s="13"/>
      <c r="I22" s="13">
        <v>87207594300</v>
      </c>
      <c r="J22" s="14">
        <v>46046</v>
      </c>
      <c r="K22" s="13">
        <v>391</v>
      </c>
      <c r="L22" s="14">
        <v>46073</v>
      </c>
      <c r="M22" s="13" t="s">
        <v>28</v>
      </c>
      <c r="N22" s="13" t="s">
        <v>29</v>
      </c>
      <c r="O22" s="14">
        <v>46023</v>
      </c>
      <c r="P22" s="13" t="s">
        <v>30</v>
      </c>
      <c r="Q22" s="15"/>
      <c r="R22" s="13"/>
    </row>
    <row r="23" spans="1:18" ht="15.75" customHeight="1">
      <c r="A23" s="10" t="s">
        <v>3</v>
      </c>
      <c r="B23" s="10">
        <v>18794740</v>
      </c>
      <c r="C23" s="10"/>
      <c r="D23" s="10" t="s">
        <v>25</v>
      </c>
      <c r="E23" s="10" t="s">
        <v>26</v>
      </c>
      <c r="F23" s="10" t="s">
        <v>26</v>
      </c>
      <c r="G23" s="10" t="s">
        <v>40</v>
      </c>
      <c r="H23" s="10"/>
      <c r="I23" s="10">
        <v>87207594400</v>
      </c>
      <c r="J23" s="11">
        <v>46046</v>
      </c>
      <c r="K23" s="10">
        <v>391</v>
      </c>
      <c r="L23" s="11">
        <v>46073</v>
      </c>
      <c r="M23" s="10" t="s">
        <v>28</v>
      </c>
      <c r="N23" s="10" t="s">
        <v>29</v>
      </c>
      <c r="O23" s="11">
        <v>46023</v>
      </c>
      <c r="P23" s="10" t="s">
        <v>30</v>
      </c>
      <c r="Q23" s="12"/>
      <c r="R23" s="10"/>
    </row>
    <row r="24" spans="1:18" ht="15.75" customHeight="1">
      <c r="A24" s="13" t="s">
        <v>3</v>
      </c>
      <c r="B24" s="13">
        <v>18794740</v>
      </c>
      <c r="C24" s="13"/>
      <c r="D24" s="13" t="s">
        <v>25</v>
      </c>
      <c r="E24" s="13" t="s">
        <v>26</v>
      </c>
      <c r="F24" s="13" t="s">
        <v>26</v>
      </c>
      <c r="G24" s="13" t="s">
        <v>41</v>
      </c>
      <c r="H24" s="13"/>
      <c r="I24" s="13">
        <v>87207594500</v>
      </c>
      <c r="J24" s="14">
        <v>46046</v>
      </c>
      <c r="K24" s="13">
        <v>391</v>
      </c>
      <c r="L24" s="14">
        <v>46073</v>
      </c>
      <c r="M24" s="13" t="s">
        <v>28</v>
      </c>
      <c r="N24" s="13" t="s">
        <v>29</v>
      </c>
      <c r="O24" s="14">
        <v>46023</v>
      </c>
      <c r="P24" s="13" t="s">
        <v>30</v>
      </c>
      <c r="Q24" s="15"/>
      <c r="R24" s="13"/>
    </row>
    <row r="25" spans="1:18" ht="15.75" customHeight="1">
      <c r="A25" s="10" t="s">
        <v>3</v>
      </c>
      <c r="B25" s="10">
        <v>18794740</v>
      </c>
      <c r="C25" s="10"/>
      <c r="D25" s="10" t="s">
        <v>25</v>
      </c>
      <c r="E25" s="10" t="s">
        <v>26</v>
      </c>
      <c r="F25" s="10" t="s">
        <v>26</v>
      </c>
      <c r="G25" s="10" t="s">
        <v>42</v>
      </c>
      <c r="H25" s="10"/>
      <c r="I25" s="10">
        <v>87207594600</v>
      </c>
      <c r="J25" s="11">
        <v>46046</v>
      </c>
      <c r="K25" s="10">
        <v>391</v>
      </c>
      <c r="L25" s="11">
        <v>46073</v>
      </c>
      <c r="M25" s="10" t="s">
        <v>28</v>
      </c>
      <c r="N25" s="10" t="s">
        <v>29</v>
      </c>
      <c r="O25" s="11">
        <v>46023</v>
      </c>
      <c r="P25" s="10" t="s">
        <v>30</v>
      </c>
      <c r="Q25" s="12"/>
      <c r="R25" s="10"/>
    </row>
    <row r="26" spans="1:18" ht="15.75" customHeight="1">
      <c r="A26" s="13" t="s">
        <v>3</v>
      </c>
      <c r="B26" s="13">
        <v>18794740</v>
      </c>
      <c r="C26" s="13"/>
      <c r="D26" s="13" t="s">
        <v>25</v>
      </c>
      <c r="E26" s="13" t="s">
        <v>26</v>
      </c>
      <c r="F26" s="13" t="s">
        <v>26</v>
      </c>
      <c r="G26" s="13" t="s">
        <v>43</v>
      </c>
      <c r="H26" s="13"/>
      <c r="I26" s="13">
        <v>87207594700</v>
      </c>
      <c r="J26" s="14">
        <v>46046</v>
      </c>
      <c r="K26" s="13">
        <v>391</v>
      </c>
      <c r="L26" s="14">
        <v>46073</v>
      </c>
      <c r="M26" s="13" t="s">
        <v>28</v>
      </c>
      <c r="N26" s="13" t="s">
        <v>29</v>
      </c>
      <c r="O26" s="14">
        <v>46023</v>
      </c>
      <c r="P26" s="13" t="s">
        <v>30</v>
      </c>
      <c r="Q26" s="15"/>
      <c r="R26" s="13"/>
    </row>
    <row r="27" spans="1:18" ht="15.75" customHeight="1">
      <c r="A27" s="10" t="s">
        <v>3</v>
      </c>
      <c r="B27" s="10">
        <v>18794740</v>
      </c>
      <c r="C27" s="10"/>
      <c r="D27" s="10" t="s">
        <v>25</v>
      </c>
      <c r="E27" s="10" t="s">
        <v>26</v>
      </c>
      <c r="F27" s="10" t="s">
        <v>26</v>
      </c>
      <c r="G27" s="10" t="s">
        <v>44</v>
      </c>
      <c r="H27" s="10"/>
      <c r="I27" s="10">
        <v>87207594800</v>
      </c>
      <c r="J27" s="11">
        <v>46046</v>
      </c>
      <c r="K27" s="10">
        <v>391</v>
      </c>
      <c r="L27" s="11">
        <v>46073</v>
      </c>
      <c r="M27" s="10" t="s">
        <v>28</v>
      </c>
      <c r="N27" s="10" t="s">
        <v>29</v>
      </c>
      <c r="O27" s="11">
        <v>46023</v>
      </c>
      <c r="P27" s="10" t="s">
        <v>30</v>
      </c>
      <c r="Q27" s="12"/>
      <c r="R27" s="10"/>
    </row>
    <row r="28" spans="1:18" ht="15.75" customHeight="1">
      <c r="A28" s="13" t="s">
        <v>3</v>
      </c>
      <c r="B28" s="13">
        <v>18794740</v>
      </c>
      <c r="C28" s="13"/>
      <c r="D28" s="13" t="s">
        <v>25</v>
      </c>
      <c r="E28" s="13" t="s">
        <v>26</v>
      </c>
      <c r="F28" s="13" t="s">
        <v>26</v>
      </c>
      <c r="G28" s="13" t="s">
        <v>45</v>
      </c>
      <c r="H28" s="13"/>
      <c r="I28" s="13">
        <v>87207594900</v>
      </c>
      <c r="J28" s="14">
        <v>46046</v>
      </c>
      <c r="K28" s="13">
        <v>391</v>
      </c>
      <c r="L28" s="14">
        <v>46073</v>
      </c>
      <c r="M28" s="13" t="s">
        <v>28</v>
      </c>
      <c r="N28" s="13" t="s">
        <v>29</v>
      </c>
      <c r="O28" s="14">
        <v>46023</v>
      </c>
      <c r="P28" s="13" t="s">
        <v>30</v>
      </c>
      <c r="Q28" s="15"/>
      <c r="R28" s="13"/>
    </row>
    <row r="29" spans="1:18" ht="15.75" customHeight="1">
      <c r="A29" s="10" t="s">
        <v>3</v>
      </c>
      <c r="B29" s="10">
        <v>18794740</v>
      </c>
      <c r="C29" s="10"/>
      <c r="D29" s="10" t="s">
        <v>25</v>
      </c>
      <c r="E29" s="10" t="s">
        <v>26</v>
      </c>
      <c r="F29" s="10" t="s">
        <v>26</v>
      </c>
      <c r="G29" s="10" t="s">
        <v>46</v>
      </c>
      <c r="H29" s="10"/>
      <c r="I29" s="10">
        <v>87207595000</v>
      </c>
      <c r="J29" s="11">
        <v>46046</v>
      </c>
      <c r="K29" s="10">
        <v>391</v>
      </c>
      <c r="L29" s="11">
        <v>46073</v>
      </c>
      <c r="M29" s="10" t="s">
        <v>28</v>
      </c>
      <c r="N29" s="10" t="s">
        <v>29</v>
      </c>
      <c r="O29" s="11">
        <v>46023</v>
      </c>
      <c r="P29" s="10" t="s">
        <v>30</v>
      </c>
      <c r="Q29" s="12"/>
      <c r="R29" s="10"/>
    </row>
    <row r="30" spans="1:18" ht="15.75" customHeight="1">
      <c r="A30" s="13" t="s">
        <v>3</v>
      </c>
      <c r="B30" s="13">
        <v>18794740</v>
      </c>
      <c r="C30" s="13"/>
      <c r="D30" s="13" t="s">
        <v>25</v>
      </c>
      <c r="E30" s="13" t="s">
        <v>26</v>
      </c>
      <c r="F30" s="13" t="s">
        <v>26</v>
      </c>
      <c r="G30" s="13" t="s">
        <v>47</v>
      </c>
      <c r="H30" s="13"/>
      <c r="I30" s="13">
        <v>87207641800</v>
      </c>
      <c r="J30" s="14">
        <v>46046</v>
      </c>
      <c r="K30" s="13">
        <v>391</v>
      </c>
      <c r="L30" s="14">
        <v>46073</v>
      </c>
      <c r="M30" s="13" t="s">
        <v>28</v>
      </c>
      <c r="N30" s="13" t="s">
        <v>29</v>
      </c>
      <c r="O30" s="14">
        <v>46023</v>
      </c>
      <c r="P30" s="13" t="s">
        <v>30</v>
      </c>
      <c r="Q30" s="15"/>
      <c r="R30" s="13"/>
    </row>
    <row r="31" spans="1:18" ht="15.75" customHeight="1">
      <c r="A31" s="10" t="s">
        <v>3</v>
      </c>
      <c r="B31" s="10">
        <v>18794740</v>
      </c>
      <c r="C31" s="10"/>
      <c r="D31" s="10" t="s">
        <v>25</v>
      </c>
      <c r="E31" s="10" t="s">
        <v>26</v>
      </c>
      <c r="F31" s="10" t="s">
        <v>26</v>
      </c>
      <c r="G31" s="10" t="s">
        <v>48</v>
      </c>
      <c r="H31" s="10"/>
      <c r="I31" s="10">
        <v>87207641900</v>
      </c>
      <c r="J31" s="11">
        <v>46046</v>
      </c>
      <c r="K31" s="10">
        <v>391</v>
      </c>
      <c r="L31" s="11">
        <v>46073</v>
      </c>
      <c r="M31" s="10" t="s">
        <v>28</v>
      </c>
      <c r="N31" s="10" t="s">
        <v>29</v>
      </c>
      <c r="O31" s="11">
        <v>46023</v>
      </c>
      <c r="P31" s="10" t="s">
        <v>30</v>
      </c>
      <c r="Q31" s="12"/>
      <c r="R31" s="10"/>
    </row>
    <row r="32" spans="1:18" ht="15.75" customHeight="1">
      <c r="A32" s="13" t="s">
        <v>3</v>
      </c>
      <c r="B32" s="13">
        <v>18794740</v>
      </c>
      <c r="C32" s="13"/>
      <c r="D32" s="13" t="s">
        <v>25</v>
      </c>
      <c r="E32" s="13" t="s">
        <v>26</v>
      </c>
      <c r="F32" s="13" t="s">
        <v>26</v>
      </c>
      <c r="G32" s="13" t="s">
        <v>49</v>
      </c>
      <c r="H32" s="13"/>
      <c r="I32" s="13">
        <v>87207642000</v>
      </c>
      <c r="J32" s="14">
        <v>46046</v>
      </c>
      <c r="K32" s="13">
        <v>391</v>
      </c>
      <c r="L32" s="14">
        <v>46073</v>
      </c>
      <c r="M32" s="13" t="s">
        <v>28</v>
      </c>
      <c r="N32" s="13" t="s">
        <v>29</v>
      </c>
      <c r="O32" s="14">
        <v>46023</v>
      </c>
      <c r="P32" s="13" t="s">
        <v>30</v>
      </c>
      <c r="Q32" s="15"/>
      <c r="R32" s="13"/>
    </row>
    <row r="33" spans="1:18" ht="15.75" customHeight="1">
      <c r="A33" s="10" t="s">
        <v>3</v>
      </c>
      <c r="B33" s="10">
        <v>18794740</v>
      </c>
      <c r="C33" s="10"/>
      <c r="D33" s="10" t="s">
        <v>25</v>
      </c>
      <c r="E33" s="10" t="s">
        <v>26</v>
      </c>
      <c r="F33" s="10" t="s">
        <v>26</v>
      </c>
      <c r="G33" s="10" t="s">
        <v>50</v>
      </c>
      <c r="H33" s="10"/>
      <c r="I33" s="10">
        <v>87207642100</v>
      </c>
      <c r="J33" s="11">
        <v>46046</v>
      </c>
      <c r="K33" s="10">
        <v>391</v>
      </c>
      <c r="L33" s="11">
        <v>46073</v>
      </c>
      <c r="M33" s="10" t="s">
        <v>28</v>
      </c>
      <c r="N33" s="10" t="s">
        <v>29</v>
      </c>
      <c r="O33" s="11">
        <v>46023</v>
      </c>
      <c r="P33" s="10" t="s">
        <v>30</v>
      </c>
      <c r="Q33" s="12"/>
      <c r="R33" s="10"/>
    </row>
    <row r="34" spans="1:18" ht="15.75" customHeight="1">
      <c r="A34" s="13" t="s">
        <v>3</v>
      </c>
      <c r="B34" s="13">
        <v>18794740</v>
      </c>
      <c r="C34" s="13"/>
      <c r="D34" s="13" t="s">
        <v>25</v>
      </c>
      <c r="E34" s="13" t="s">
        <v>26</v>
      </c>
      <c r="F34" s="13" t="s">
        <v>26</v>
      </c>
      <c r="G34" s="13" t="s">
        <v>51</v>
      </c>
      <c r="H34" s="13"/>
      <c r="I34" s="13">
        <v>87207642200</v>
      </c>
      <c r="J34" s="14">
        <v>46046</v>
      </c>
      <c r="K34" s="13">
        <v>391</v>
      </c>
      <c r="L34" s="14">
        <v>46073</v>
      </c>
      <c r="M34" s="13" t="s">
        <v>28</v>
      </c>
      <c r="N34" s="13" t="s">
        <v>29</v>
      </c>
      <c r="O34" s="14">
        <v>46023</v>
      </c>
      <c r="P34" s="13" t="s">
        <v>30</v>
      </c>
      <c r="Q34" s="15"/>
      <c r="R34" s="13"/>
    </row>
    <row r="35" spans="1:18" ht="15.75" customHeight="1">
      <c r="A35" s="10" t="s">
        <v>3</v>
      </c>
      <c r="B35" s="10">
        <v>18794740</v>
      </c>
      <c r="C35" s="10"/>
      <c r="D35" s="10" t="s">
        <v>25</v>
      </c>
      <c r="E35" s="10" t="s">
        <v>26</v>
      </c>
      <c r="F35" s="10" t="s">
        <v>26</v>
      </c>
      <c r="G35" s="10" t="s">
        <v>52</v>
      </c>
      <c r="H35" s="10"/>
      <c r="I35" s="10">
        <v>87207914700</v>
      </c>
      <c r="J35" s="11">
        <v>46046</v>
      </c>
      <c r="K35" s="10">
        <v>391</v>
      </c>
      <c r="L35" s="11">
        <v>46073</v>
      </c>
      <c r="M35" s="10" t="s">
        <v>28</v>
      </c>
      <c r="N35" s="10" t="s">
        <v>29</v>
      </c>
      <c r="O35" s="11">
        <v>46023</v>
      </c>
      <c r="P35" s="10" t="s">
        <v>30</v>
      </c>
      <c r="Q35" s="12"/>
      <c r="R35" s="10"/>
    </row>
    <row r="36" spans="1:18" ht="15.75" customHeight="1">
      <c r="A36" s="13" t="s">
        <v>3</v>
      </c>
      <c r="B36" s="13">
        <v>18794740</v>
      </c>
      <c r="C36" s="13"/>
      <c r="D36" s="13" t="s">
        <v>25</v>
      </c>
      <c r="E36" s="13" t="s">
        <v>26</v>
      </c>
      <c r="F36" s="13" t="s">
        <v>26</v>
      </c>
      <c r="G36" s="13" t="s">
        <v>53</v>
      </c>
      <c r="H36" s="13"/>
      <c r="I36" s="13">
        <v>87207914800</v>
      </c>
      <c r="J36" s="14">
        <v>46046</v>
      </c>
      <c r="K36" s="13">
        <v>391</v>
      </c>
      <c r="L36" s="14">
        <v>46073</v>
      </c>
      <c r="M36" s="13" t="s">
        <v>28</v>
      </c>
      <c r="N36" s="13" t="s">
        <v>29</v>
      </c>
      <c r="O36" s="14">
        <v>46023</v>
      </c>
      <c r="P36" s="13" t="s">
        <v>30</v>
      </c>
      <c r="Q36" s="15"/>
      <c r="R36" s="13"/>
    </row>
    <row r="37" spans="1:18" ht="15.75" customHeight="1">
      <c r="A37" s="10" t="s">
        <v>3</v>
      </c>
      <c r="B37" s="10">
        <v>18794740</v>
      </c>
      <c r="C37" s="10"/>
      <c r="D37" s="10" t="s">
        <v>25</v>
      </c>
      <c r="E37" s="10" t="s">
        <v>26</v>
      </c>
      <c r="F37" s="10" t="s">
        <v>26</v>
      </c>
      <c r="G37" s="10" t="s">
        <v>54</v>
      </c>
      <c r="H37" s="10"/>
      <c r="I37" s="10">
        <v>87207914900</v>
      </c>
      <c r="J37" s="11">
        <v>46046</v>
      </c>
      <c r="K37" s="10">
        <v>391</v>
      </c>
      <c r="L37" s="11">
        <v>46073</v>
      </c>
      <c r="M37" s="10" t="s">
        <v>28</v>
      </c>
      <c r="N37" s="10" t="s">
        <v>29</v>
      </c>
      <c r="O37" s="11">
        <v>46023</v>
      </c>
      <c r="P37" s="10" t="s">
        <v>30</v>
      </c>
      <c r="Q37" s="12"/>
      <c r="R37" s="10"/>
    </row>
    <row r="38" spans="1:18" ht="15.75" customHeight="1">
      <c r="A38" s="13" t="s">
        <v>3</v>
      </c>
      <c r="B38" s="13">
        <v>18794740</v>
      </c>
      <c r="C38" s="13"/>
      <c r="D38" s="13" t="s">
        <v>25</v>
      </c>
      <c r="E38" s="13" t="s">
        <v>26</v>
      </c>
      <c r="F38" s="13" t="s">
        <v>26</v>
      </c>
      <c r="G38" s="13" t="s">
        <v>55</v>
      </c>
      <c r="H38" s="13"/>
      <c r="I38" s="13">
        <v>87207915100</v>
      </c>
      <c r="J38" s="14">
        <v>46046</v>
      </c>
      <c r="K38" s="13">
        <v>391</v>
      </c>
      <c r="L38" s="14">
        <v>46073</v>
      </c>
      <c r="M38" s="13" t="s">
        <v>28</v>
      </c>
      <c r="N38" s="13" t="s">
        <v>29</v>
      </c>
      <c r="O38" s="14">
        <v>46023</v>
      </c>
      <c r="P38" s="13" t="s">
        <v>30</v>
      </c>
      <c r="Q38" s="15"/>
      <c r="R38" s="13"/>
    </row>
    <row r="39" spans="1:18" ht="15.75" customHeight="1">
      <c r="A39" s="10" t="s">
        <v>3</v>
      </c>
      <c r="B39" s="10">
        <v>18794740</v>
      </c>
      <c r="C39" s="10"/>
      <c r="D39" s="10" t="s">
        <v>25</v>
      </c>
      <c r="E39" s="10" t="s">
        <v>26</v>
      </c>
      <c r="F39" s="10" t="s">
        <v>26</v>
      </c>
      <c r="G39" s="10" t="s">
        <v>56</v>
      </c>
      <c r="H39" s="10"/>
      <c r="I39" s="10">
        <v>87207915700</v>
      </c>
      <c r="J39" s="11">
        <v>46046</v>
      </c>
      <c r="K39" s="10">
        <v>391</v>
      </c>
      <c r="L39" s="11">
        <v>46073</v>
      </c>
      <c r="M39" s="10" t="s">
        <v>28</v>
      </c>
      <c r="N39" s="10" t="s">
        <v>29</v>
      </c>
      <c r="O39" s="11">
        <v>46023</v>
      </c>
      <c r="P39" s="10" t="s">
        <v>30</v>
      </c>
      <c r="Q39" s="12"/>
      <c r="R39" s="10"/>
    </row>
    <row r="40" spans="1:18" ht="15.75" customHeight="1">
      <c r="A40" s="13" t="s">
        <v>3</v>
      </c>
      <c r="B40" s="13">
        <v>18794740</v>
      </c>
      <c r="C40" s="13"/>
      <c r="D40" s="13" t="s">
        <v>25</v>
      </c>
      <c r="E40" s="13" t="s">
        <v>26</v>
      </c>
      <c r="F40" s="13" t="s">
        <v>26</v>
      </c>
      <c r="G40" s="13" t="s">
        <v>57</v>
      </c>
      <c r="H40" s="13"/>
      <c r="I40" s="13">
        <v>87207915800</v>
      </c>
      <c r="J40" s="14">
        <v>46046</v>
      </c>
      <c r="K40" s="13">
        <v>391</v>
      </c>
      <c r="L40" s="14">
        <v>46073</v>
      </c>
      <c r="M40" s="13" t="s">
        <v>28</v>
      </c>
      <c r="N40" s="13" t="s">
        <v>29</v>
      </c>
      <c r="O40" s="14">
        <v>46023</v>
      </c>
      <c r="P40" s="13" t="s">
        <v>30</v>
      </c>
      <c r="Q40" s="15"/>
      <c r="R40" s="13"/>
    </row>
    <row r="41" spans="1:18" ht="15.75" customHeight="1">
      <c r="A41" s="10" t="s">
        <v>3</v>
      </c>
      <c r="B41" s="10">
        <v>18794740</v>
      </c>
      <c r="C41" s="10"/>
      <c r="D41" s="10" t="s">
        <v>25</v>
      </c>
      <c r="E41" s="10" t="s">
        <v>26</v>
      </c>
      <c r="F41" s="10" t="s">
        <v>26</v>
      </c>
      <c r="G41" s="10" t="s">
        <v>58</v>
      </c>
      <c r="H41" s="10"/>
      <c r="I41" s="10">
        <v>87207915900</v>
      </c>
      <c r="J41" s="11">
        <v>46046</v>
      </c>
      <c r="K41" s="10">
        <v>391</v>
      </c>
      <c r="L41" s="11">
        <v>46073</v>
      </c>
      <c r="M41" s="10" t="s">
        <v>28</v>
      </c>
      <c r="N41" s="10" t="s">
        <v>29</v>
      </c>
      <c r="O41" s="11">
        <v>46023</v>
      </c>
      <c r="P41" s="10" t="s">
        <v>30</v>
      </c>
      <c r="Q41" s="12"/>
      <c r="R41" s="10"/>
    </row>
    <row r="42" spans="1:18" ht="15.75" customHeight="1">
      <c r="A42" s="13" t="s">
        <v>3</v>
      </c>
      <c r="B42" s="13">
        <v>18794740</v>
      </c>
      <c r="C42" s="13"/>
      <c r="D42" s="13" t="s">
        <v>25</v>
      </c>
      <c r="E42" s="13" t="s">
        <v>26</v>
      </c>
      <c r="F42" s="13" t="s">
        <v>26</v>
      </c>
      <c r="G42" s="13" t="s">
        <v>59</v>
      </c>
      <c r="H42" s="13"/>
      <c r="I42" s="13">
        <v>87207916000</v>
      </c>
      <c r="J42" s="14">
        <v>46046</v>
      </c>
      <c r="K42" s="13">
        <v>391</v>
      </c>
      <c r="L42" s="14">
        <v>46073</v>
      </c>
      <c r="M42" s="13" t="s">
        <v>28</v>
      </c>
      <c r="N42" s="13" t="s">
        <v>29</v>
      </c>
      <c r="O42" s="14">
        <v>46023</v>
      </c>
      <c r="P42" s="13" t="s">
        <v>30</v>
      </c>
      <c r="Q42" s="15"/>
      <c r="R42" s="13"/>
    </row>
    <row r="43" spans="1:18" ht="15.75" customHeight="1">
      <c r="A43" s="10" t="s">
        <v>3</v>
      </c>
      <c r="B43" s="10">
        <v>18794740</v>
      </c>
      <c r="C43" s="10"/>
      <c r="D43" s="10" t="s">
        <v>25</v>
      </c>
      <c r="E43" s="10" t="s">
        <v>26</v>
      </c>
      <c r="F43" s="10" t="s">
        <v>26</v>
      </c>
      <c r="G43" s="10" t="s">
        <v>60</v>
      </c>
      <c r="H43" s="10"/>
      <c r="I43" s="10">
        <v>87207916200</v>
      </c>
      <c r="J43" s="11">
        <v>46046</v>
      </c>
      <c r="K43" s="10">
        <v>391</v>
      </c>
      <c r="L43" s="11">
        <v>46073</v>
      </c>
      <c r="M43" s="10" t="s">
        <v>28</v>
      </c>
      <c r="N43" s="10" t="s">
        <v>29</v>
      </c>
      <c r="O43" s="11">
        <v>46023</v>
      </c>
      <c r="P43" s="10" t="s">
        <v>30</v>
      </c>
      <c r="Q43" s="12"/>
      <c r="R43" s="10"/>
    </row>
    <row r="44" spans="1:18" ht="15.75" customHeight="1">
      <c r="A44" s="13" t="s">
        <v>3</v>
      </c>
      <c r="B44" s="13">
        <v>18794740</v>
      </c>
      <c r="C44" s="13"/>
      <c r="D44" s="13" t="s">
        <v>25</v>
      </c>
      <c r="E44" s="13" t="s">
        <v>26</v>
      </c>
      <c r="F44" s="13" t="s">
        <v>26</v>
      </c>
      <c r="G44" s="13" t="s">
        <v>61</v>
      </c>
      <c r="H44" s="13"/>
      <c r="I44" s="13">
        <v>87208024600</v>
      </c>
      <c r="J44" s="14">
        <v>46046</v>
      </c>
      <c r="K44" s="13">
        <v>391</v>
      </c>
      <c r="L44" s="14">
        <v>46073</v>
      </c>
      <c r="M44" s="13" t="s">
        <v>28</v>
      </c>
      <c r="N44" s="13" t="s">
        <v>29</v>
      </c>
      <c r="O44" s="14">
        <v>46023</v>
      </c>
      <c r="P44" s="13" t="s">
        <v>30</v>
      </c>
      <c r="Q44" s="15"/>
      <c r="R44" s="13"/>
    </row>
    <row r="45" spans="1:18" ht="15.75" customHeight="1">
      <c r="A45" s="10" t="s">
        <v>3</v>
      </c>
      <c r="B45" s="10">
        <v>18794740</v>
      </c>
      <c r="C45" s="10"/>
      <c r="D45" s="10" t="s">
        <v>25</v>
      </c>
      <c r="E45" s="10" t="s">
        <v>26</v>
      </c>
      <c r="F45" s="10" t="s">
        <v>26</v>
      </c>
      <c r="G45" s="10" t="s">
        <v>62</v>
      </c>
      <c r="H45" s="10"/>
      <c r="I45" s="10">
        <v>87208024900</v>
      </c>
      <c r="J45" s="11">
        <v>46046</v>
      </c>
      <c r="K45" s="10">
        <v>391</v>
      </c>
      <c r="L45" s="11">
        <v>46073</v>
      </c>
      <c r="M45" s="10" t="s">
        <v>28</v>
      </c>
      <c r="N45" s="10" t="s">
        <v>29</v>
      </c>
      <c r="O45" s="11">
        <v>46023</v>
      </c>
      <c r="P45" s="10" t="s">
        <v>30</v>
      </c>
      <c r="Q45" s="12"/>
      <c r="R45" s="10"/>
    </row>
    <row r="46" spans="1:18" ht="15.75" customHeight="1">
      <c r="A46" s="13" t="s">
        <v>3</v>
      </c>
      <c r="B46" s="13">
        <v>18794740</v>
      </c>
      <c r="C46" s="13"/>
      <c r="D46" s="13" t="s">
        <v>25</v>
      </c>
      <c r="E46" s="13" t="s">
        <v>26</v>
      </c>
      <c r="F46" s="13" t="s">
        <v>26</v>
      </c>
      <c r="G46" s="13" t="s">
        <v>63</v>
      </c>
      <c r="H46" s="13"/>
      <c r="I46" s="13">
        <v>87208025000</v>
      </c>
      <c r="J46" s="14">
        <v>46046</v>
      </c>
      <c r="K46" s="13">
        <v>391</v>
      </c>
      <c r="L46" s="14">
        <v>46073</v>
      </c>
      <c r="M46" s="13" t="s">
        <v>28</v>
      </c>
      <c r="N46" s="13" t="s">
        <v>29</v>
      </c>
      <c r="O46" s="14">
        <v>46023</v>
      </c>
      <c r="P46" s="13" t="s">
        <v>30</v>
      </c>
      <c r="Q46" s="15"/>
      <c r="R46" s="13"/>
    </row>
    <row r="47" spans="1:18" ht="15.75" customHeight="1">
      <c r="A47" s="10" t="s">
        <v>3</v>
      </c>
      <c r="B47" s="10">
        <v>18794740</v>
      </c>
      <c r="C47" s="10"/>
      <c r="D47" s="10" t="s">
        <v>25</v>
      </c>
      <c r="E47" s="10" t="s">
        <v>26</v>
      </c>
      <c r="F47" s="10" t="s">
        <v>26</v>
      </c>
      <c r="G47" s="10" t="s">
        <v>64</v>
      </c>
      <c r="H47" s="10"/>
      <c r="I47" s="10">
        <v>87208080400</v>
      </c>
      <c r="J47" s="11">
        <v>46046</v>
      </c>
      <c r="K47" s="10">
        <v>391</v>
      </c>
      <c r="L47" s="11">
        <v>46073</v>
      </c>
      <c r="M47" s="10" t="s">
        <v>28</v>
      </c>
      <c r="N47" s="10" t="s">
        <v>29</v>
      </c>
      <c r="O47" s="11">
        <v>46023</v>
      </c>
      <c r="P47" s="10" t="s">
        <v>30</v>
      </c>
      <c r="Q47" s="12"/>
      <c r="R47" s="10"/>
    </row>
    <row r="48" spans="1:18" ht="15.75" customHeight="1">
      <c r="A48" s="13" t="s">
        <v>3</v>
      </c>
      <c r="B48" s="13">
        <v>18794740</v>
      </c>
      <c r="C48" s="13"/>
      <c r="D48" s="13" t="s">
        <v>25</v>
      </c>
      <c r="E48" s="13" t="s">
        <v>26</v>
      </c>
      <c r="F48" s="13" t="s">
        <v>26</v>
      </c>
      <c r="G48" s="13" t="s">
        <v>65</v>
      </c>
      <c r="H48" s="13"/>
      <c r="I48" s="13">
        <v>87208080500</v>
      </c>
      <c r="J48" s="14">
        <v>46046</v>
      </c>
      <c r="K48" s="13">
        <v>391</v>
      </c>
      <c r="L48" s="14">
        <v>46073</v>
      </c>
      <c r="M48" s="13" t="s">
        <v>28</v>
      </c>
      <c r="N48" s="13" t="s">
        <v>29</v>
      </c>
      <c r="O48" s="14">
        <v>46023</v>
      </c>
      <c r="P48" s="13" t="s">
        <v>30</v>
      </c>
      <c r="Q48" s="15"/>
      <c r="R48" s="13"/>
    </row>
    <row r="49" spans="1:18" ht="15.75" customHeight="1">
      <c r="A49" s="10" t="s">
        <v>3</v>
      </c>
      <c r="B49" s="10">
        <v>18794740</v>
      </c>
      <c r="C49" s="10"/>
      <c r="D49" s="10" t="s">
        <v>25</v>
      </c>
      <c r="E49" s="10" t="s">
        <v>26</v>
      </c>
      <c r="F49" s="10" t="s">
        <v>26</v>
      </c>
      <c r="G49" s="10" t="s">
        <v>66</v>
      </c>
      <c r="H49" s="10"/>
      <c r="I49" s="10">
        <v>87208080600</v>
      </c>
      <c r="J49" s="11">
        <v>46046</v>
      </c>
      <c r="K49" s="10">
        <v>391</v>
      </c>
      <c r="L49" s="11">
        <v>46073</v>
      </c>
      <c r="M49" s="10" t="s">
        <v>28</v>
      </c>
      <c r="N49" s="10" t="s">
        <v>29</v>
      </c>
      <c r="O49" s="11">
        <v>46023</v>
      </c>
      <c r="P49" s="10" t="s">
        <v>30</v>
      </c>
      <c r="Q49" s="12"/>
      <c r="R49" s="10"/>
    </row>
    <row r="50" spans="1:18" ht="15.75" customHeight="1">
      <c r="A50" s="13" t="s">
        <v>3</v>
      </c>
      <c r="B50" s="13">
        <v>18794740</v>
      </c>
      <c r="C50" s="13"/>
      <c r="D50" s="13" t="s">
        <v>25</v>
      </c>
      <c r="E50" s="13" t="s">
        <v>26</v>
      </c>
      <c r="F50" s="13" t="s">
        <v>26</v>
      </c>
      <c r="G50" s="13" t="s">
        <v>67</v>
      </c>
      <c r="H50" s="13"/>
      <c r="I50" s="13">
        <v>87208080700</v>
      </c>
      <c r="J50" s="14">
        <v>46046</v>
      </c>
      <c r="K50" s="13">
        <v>391</v>
      </c>
      <c r="L50" s="14">
        <v>46073</v>
      </c>
      <c r="M50" s="13" t="s">
        <v>28</v>
      </c>
      <c r="N50" s="13" t="s">
        <v>29</v>
      </c>
      <c r="O50" s="14">
        <v>46023</v>
      </c>
      <c r="P50" s="13" t="s">
        <v>30</v>
      </c>
      <c r="Q50" s="15"/>
      <c r="R50" s="13"/>
    </row>
    <row r="51" spans="1:18" ht="15.75" customHeight="1">
      <c r="A51" s="10" t="s">
        <v>3</v>
      </c>
      <c r="B51" s="10">
        <v>18794740</v>
      </c>
      <c r="C51" s="10"/>
      <c r="D51" s="10" t="s">
        <v>25</v>
      </c>
      <c r="E51" s="10" t="s">
        <v>26</v>
      </c>
      <c r="F51" s="10" t="s">
        <v>26</v>
      </c>
      <c r="G51" s="10" t="s">
        <v>68</v>
      </c>
      <c r="H51" s="10"/>
      <c r="I51" s="10">
        <v>87208080800</v>
      </c>
      <c r="J51" s="11">
        <v>46046</v>
      </c>
      <c r="K51" s="10">
        <v>391</v>
      </c>
      <c r="L51" s="11">
        <v>46073</v>
      </c>
      <c r="M51" s="10" t="s">
        <v>28</v>
      </c>
      <c r="N51" s="10" t="s">
        <v>29</v>
      </c>
      <c r="O51" s="11">
        <v>46023</v>
      </c>
      <c r="P51" s="10" t="s">
        <v>30</v>
      </c>
      <c r="Q51" s="12"/>
      <c r="R51" s="10"/>
    </row>
    <row r="52" spans="1:18" ht="15.75" customHeight="1">
      <c r="A52" s="13" t="s">
        <v>3</v>
      </c>
      <c r="B52" s="13">
        <v>18794740</v>
      </c>
      <c r="C52" s="13"/>
      <c r="D52" s="13" t="s">
        <v>25</v>
      </c>
      <c r="E52" s="13" t="s">
        <v>26</v>
      </c>
      <c r="F52" s="13" t="s">
        <v>26</v>
      </c>
      <c r="G52" s="13" t="s">
        <v>69</v>
      </c>
      <c r="H52" s="13"/>
      <c r="I52" s="13">
        <v>87208080900</v>
      </c>
      <c r="J52" s="14">
        <v>46046</v>
      </c>
      <c r="K52" s="13">
        <v>391</v>
      </c>
      <c r="L52" s="14">
        <v>46073</v>
      </c>
      <c r="M52" s="13" t="s">
        <v>28</v>
      </c>
      <c r="N52" s="13" t="s">
        <v>29</v>
      </c>
      <c r="O52" s="14">
        <v>46023</v>
      </c>
      <c r="P52" s="13" t="s">
        <v>30</v>
      </c>
      <c r="Q52" s="15"/>
      <c r="R52" s="13"/>
    </row>
    <row r="53" spans="1:18" ht="15.75" customHeight="1">
      <c r="A53" s="10" t="s">
        <v>3</v>
      </c>
      <c r="B53" s="10">
        <v>18794740</v>
      </c>
      <c r="C53" s="10"/>
      <c r="D53" s="10" t="s">
        <v>25</v>
      </c>
      <c r="E53" s="10" t="s">
        <v>26</v>
      </c>
      <c r="F53" s="10" t="s">
        <v>26</v>
      </c>
      <c r="G53" s="10" t="s">
        <v>70</v>
      </c>
      <c r="H53" s="10"/>
      <c r="I53" s="10">
        <v>87208081000</v>
      </c>
      <c r="J53" s="11">
        <v>46046</v>
      </c>
      <c r="K53" s="10">
        <v>391</v>
      </c>
      <c r="L53" s="11">
        <v>46073</v>
      </c>
      <c r="M53" s="10" t="s">
        <v>28</v>
      </c>
      <c r="N53" s="10" t="s">
        <v>29</v>
      </c>
      <c r="O53" s="11">
        <v>46023</v>
      </c>
      <c r="P53" s="10" t="s">
        <v>30</v>
      </c>
      <c r="Q53" s="12"/>
      <c r="R53" s="10"/>
    </row>
    <row r="54" spans="1:18" ht="15.75" customHeight="1">
      <c r="A54" s="13" t="s">
        <v>3</v>
      </c>
      <c r="B54" s="13">
        <v>18794740</v>
      </c>
      <c r="C54" s="13"/>
      <c r="D54" s="13" t="s">
        <v>25</v>
      </c>
      <c r="E54" s="13" t="s">
        <v>26</v>
      </c>
      <c r="F54" s="13" t="s">
        <v>26</v>
      </c>
      <c r="G54" s="13" t="s">
        <v>71</v>
      </c>
      <c r="H54" s="13"/>
      <c r="I54" s="13">
        <v>87208081200</v>
      </c>
      <c r="J54" s="14">
        <v>46046</v>
      </c>
      <c r="K54" s="13">
        <v>391</v>
      </c>
      <c r="L54" s="14">
        <v>46073</v>
      </c>
      <c r="M54" s="13" t="s">
        <v>28</v>
      </c>
      <c r="N54" s="13" t="s">
        <v>29</v>
      </c>
      <c r="O54" s="14">
        <v>46023</v>
      </c>
      <c r="P54" s="13" t="s">
        <v>30</v>
      </c>
      <c r="Q54" s="15"/>
      <c r="R54" s="13"/>
    </row>
    <row r="55" spans="1:18" ht="15.75" customHeight="1">
      <c r="A55" s="10" t="s">
        <v>3</v>
      </c>
      <c r="B55" s="10">
        <v>18794740</v>
      </c>
      <c r="C55" s="10"/>
      <c r="D55" s="10" t="s">
        <v>25</v>
      </c>
      <c r="E55" s="10" t="s">
        <v>26</v>
      </c>
      <c r="F55" s="10" t="s">
        <v>26</v>
      </c>
      <c r="G55" s="10" t="s">
        <v>72</v>
      </c>
      <c r="H55" s="10"/>
      <c r="I55" s="10">
        <v>87208258400</v>
      </c>
      <c r="J55" s="11">
        <v>46046</v>
      </c>
      <c r="K55" s="10">
        <v>391</v>
      </c>
      <c r="L55" s="11">
        <v>46073</v>
      </c>
      <c r="M55" s="10" t="s">
        <v>28</v>
      </c>
      <c r="N55" s="10" t="s">
        <v>29</v>
      </c>
      <c r="O55" s="11">
        <v>46023</v>
      </c>
      <c r="P55" s="10" t="s">
        <v>30</v>
      </c>
      <c r="Q55" s="12"/>
      <c r="R55" s="10"/>
    </row>
    <row r="56" spans="1:18" ht="15.75" customHeight="1">
      <c r="A56" s="13" t="s">
        <v>3</v>
      </c>
      <c r="B56" s="13">
        <v>18794740</v>
      </c>
      <c r="C56" s="13"/>
      <c r="D56" s="13" t="s">
        <v>25</v>
      </c>
      <c r="E56" s="13" t="s">
        <v>26</v>
      </c>
      <c r="F56" s="13" t="s">
        <v>26</v>
      </c>
      <c r="G56" s="13" t="s">
        <v>73</v>
      </c>
      <c r="H56" s="13"/>
      <c r="I56" s="13">
        <v>87208258600</v>
      </c>
      <c r="J56" s="14">
        <v>46046</v>
      </c>
      <c r="K56" s="13">
        <v>391</v>
      </c>
      <c r="L56" s="14">
        <v>46073</v>
      </c>
      <c r="M56" s="13" t="s">
        <v>28</v>
      </c>
      <c r="N56" s="13" t="s">
        <v>29</v>
      </c>
      <c r="O56" s="14">
        <v>46023</v>
      </c>
      <c r="P56" s="13" t="s">
        <v>30</v>
      </c>
      <c r="Q56" s="15"/>
      <c r="R56" s="13"/>
    </row>
    <row r="57" spans="1:18" ht="15.75" customHeight="1">
      <c r="A57" s="10" t="s">
        <v>3</v>
      </c>
      <c r="B57" s="10">
        <v>18794740</v>
      </c>
      <c r="C57" s="10"/>
      <c r="D57" s="10" t="s">
        <v>25</v>
      </c>
      <c r="E57" s="10" t="s">
        <v>26</v>
      </c>
      <c r="F57" s="10" t="s">
        <v>26</v>
      </c>
      <c r="G57" s="10" t="s">
        <v>74</v>
      </c>
      <c r="H57" s="10"/>
      <c r="I57" s="10">
        <v>87208258700</v>
      </c>
      <c r="J57" s="11">
        <v>46046</v>
      </c>
      <c r="K57" s="10">
        <v>391</v>
      </c>
      <c r="L57" s="11">
        <v>46073</v>
      </c>
      <c r="M57" s="10" t="s">
        <v>28</v>
      </c>
      <c r="N57" s="10" t="s">
        <v>29</v>
      </c>
      <c r="O57" s="11">
        <v>46023</v>
      </c>
      <c r="P57" s="10" t="s">
        <v>30</v>
      </c>
      <c r="Q57" s="12"/>
      <c r="R57" s="10"/>
    </row>
    <row r="58" spans="1:18" ht="15.75" customHeight="1">
      <c r="A58" s="13" t="s">
        <v>3</v>
      </c>
      <c r="B58" s="13">
        <v>18794740</v>
      </c>
      <c r="C58" s="13"/>
      <c r="D58" s="13" t="s">
        <v>25</v>
      </c>
      <c r="E58" s="13" t="s">
        <v>26</v>
      </c>
      <c r="F58" s="13" t="s">
        <v>26</v>
      </c>
      <c r="G58" s="13" t="s">
        <v>75</v>
      </c>
      <c r="H58" s="13"/>
      <c r="I58" s="13">
        <v>87208258800</v>
      </c>
      <c r="J58" s="14">
        <v>46046</v>
      </c>
      <c r="K58" s="13">
        <v>391</v>
      </c>
      <c r="L58" s="14">
        <v>46073</v>
      </c>
      <c r="M58" s="13" t="s">
        <v>28</v>
      </c>
      <c r="N58" s="13" t="s">
        <v>29</v>
      </c>
      <c r="O58" s="14">
        <v>46023</v>
      </c>
      <c r="P58" s="13" t="s">
        <v>30</v>
      </c>
      <c r="Q58" s="15"/>
      <c r="R58" s="13"/>
    </row>
    <row r="59" spans="1:18" ht="15.75" customHeight="1">
      <c r="A59" s="10" t="s">
        <v>3</v>
      </c>
      <c r="B59" s="10">
        <v>18794740</v>
      </c>
      <c r="C59" s="10"/>
      <c r="D59" s="10" t="s">
        <v>25</v>
      </c>
      <c r="E59" s="10" t="s">
        <v>26</v>
      </c>
      <c r="F59" s="10" t="s">
        <v>26</v>
      </c>
      <c r="G59" s="10" t="s">
        <v>76</v>
      </c>
      <c r="H59" s="10"/>
      <c r="I59" s="10">
        <v>87208259000</v>
      </c>
      <c r="J59" s="11">
        <v>46046</v>
      </c>
      <c r="K59" s="10">
        <v>391</v>
      </c>
      <c r="L59" s="11">
        <v>46073</v>
      </c>
      <c r="M59" s="10" t="s">
        <v>28</v>
      </c>
      <c r="N59" s="10" t="s">
        <v>29</v>
      </c>
      <c r="O59" s="11">
        <v>46023</v>
      </c>
      <c r="P59" s="10" t="s">
        <v>30</v>
      </c>
      <c r="Q59" s="12"/>
      <c r="R59" s="10"/>
    </row>
    <row r="60" spans="1:18" ht="15.75" customHeight="1">
      <c r="A60" s="13" t="s">
        <v>3</v>
      </c>
      <c r="B60" s="13">
        <v>18794740</v>
      </c>
      <c r="C60" s="13"/>
      <c r="D60" s="13" t="s">
        <v>25</v>
      </c>
      <c r="E60" s="13" t="s">
        <v>26</v>
      </c>
      <c r="F60" s="13" t="s">
        <v>26</v>
      </c>
      <c r="G60" s="13" t="s">
        <v>77</v>
      </c>
      <c r="H60" s="13"/>
      <c r="I60" s="13">
        <v>87208259300</v>
      </c>
      <c r="J60" s="14">
        <v>46046</v>
      </c>
      <c r="K60" s="13">
        <v>391</v>
      </c>
      <c r="L60" s="14">
        <v>46073</v>
      </c>
      <c r="M60" s="13" t="s">
        <v>28</v>
      </c>
      <c r="N60" s="13" t="s">
        <v>29</v>
      </c>
      <c r="O60" s="14">
        <v>46023</v>
      </c>
      <c r="P60" s="13" t="s">
        <v>30</v>
      </c>
      <c r="Q60" s="15"/>
      <c r="R60" s="13"/>
    </row>
    <row r="61" spans="1:18" ht="15.75" customHeight="1">
      <c r="A61" s="10" t="s">
        <v>3</v>
      </c>
      <c r="B61" s="10">
        <v>18794740</v>
      </c>
      <c r="C61" s="10"/>
      <c r="D61" s="10" t="s">
        <v>25</v>
      </c>
      <c r="E61" s="10" t="s">
        <v>26</v>
      </c>
      <c r="F61" s="10" t="s">
        <v>26</v>
      </c>
      <c r="G61" s="10" t="s">
        <v>78</v>
      </c>
      <c r="H61" s="10"/>
      <c r="I61" s="10">
        <v>87208259500</v>
      </c>
      <c r="J61" s="11">
        <v>46046</v>
      </c>
      <c r="K61" s="10">
        <v>391</v>
      </c>
      <c r="L61" s="11">
        <v>46073</v>
      </c>
      <c r="M61" s="10" t="s">
        <v>28</v>
      </c>
      <c r="N61" s="10" t="s">
        <v>29</v>
      </c>
      <c r="O61" s="11">
        <v>46023</v>
      </c>
      <c r="P61" s="10" t="s">
        <v>30</v>
      </c>
      <c r="Q61" s="12"/>
      <c r="R61" s="10"/>
    </row>
    <row r="62" spans="1:18" ht="15.75" customHeight="1">
      <c r="A62" s="13" t="s">
        <v>3</v>
      </c>
      <c r="B62" s="13">
        <v>18794740</v>
      </c>
      <c r="C62" s="13"/>
      <c r="D62" s="13" t="s">
        <v>25</v>
      </c>
      <c r="E62" s="13" t="s">
        <v>26</v>
      </c>
      <c r="F62" s="13" t="s">
        <v>26</v>
      </c>
      <c r="G62" s="13" t="s">
        <v>79</v>
      </c>
      <c r="H62" s="13"/>
      <c r="I62" s="13">
        <v>87208259600</v>
      </c>
      <c r="J62" s="14">
        <v>46046</v>
      </c>
      <c r="K62" s="13">
        <v>391</v>
      </c>
      <c r="L62" s="14">
        <v>46073</v>
      </c>
      <c r="M62" s="13" t="s">
        <v>28</v>
      </c>
      <c r="N62" s="13" t="s">
        <v>29</v>
      </c>
      <c r="O62" s="14">
        <v>46023</v>
      </c>
      <c r="P62" s="13" t="s">
        <v>30</v>
      </c>
      <c r="Q62" s="15"/>
      <c r="R62" s="13"/>
    </row>
    <row r="63" spans="1:18" ht="15.75" customHeight="1">
      <c r="A63" s="10" t="s">
        <v>3</v>
      </c>
      <c r="B63" s="10">
        <v>18794740</v>
      </c>
      <c r="C63" s="10"/>
      <c r="D63" s="10" t="s">
        <v>25</v>
      </c>
      <c r="E63" s="10" t="s">
        <v>26</v>
      </c>
      <c r="F63" s="10" t="s">
        <v>26</v>
      </c>
      <c r="G63" s="10" t="s">
        <v>80</v>
      </c>
      <c r="H63" s="10"/>
      <c r="I63" s="10">
        <v>87208259700</v>
      </c>
      <c r="J63" s="11">
        <v>46046</v>
      </c>
      <c r="K63" s="10">
        <v>391</v>
      </c>
      <c r="L63" s="11">
        <v>46073</v>
      </c>
      <c r="M63" s="10" t="s">
        <v>28</v>
      </c>
      <c r="N63" s="10" t="s">
        <v>29</v>
      </c>
      <c r="O63" s="11">
        <v>46023</v>
      </c>
      <c r="P63" s="10" t="s">
        <v>30</v>
      </c>
      <c r="Q63" s="12"/>
      <c r="R63" s="10"/>
    </row>
    <row r="64" spans="1:18" ht="15.75" customHeight="1">
      <c r="A64" s="13" t="s">
        <v>3</v>
      </c>
      <c r="B64" s="13">
        <v>18794740</v>
      </c>
      <c r="C64" s="13"/>
      <c r="D64" s="13" t="s">
        <v>25</v>
      </c>
      <c r="E64" s="13" t="s">
        <v>26</v>
      </c>
      <c r="F64" s="13" t="s">
        <v>26</v>
      </c>
      <c r="G64" s="13" t="s">
        <v>81</v>
      </c>
      <c r="H64" s="13"/>
      <c r="I64" s="13">
        <v>87208259800</v>
      </c>
      <c r="J64" s="14">
        <v>46046</v>
      </c>
      <c r="K64" s="13">
        <v>391</v>
      </c>
      <c r="L64" s="14">
        <v>46073</v>
      </c>
      <c r="M64" s="13" t="s">
        <v>28</v>
      </c>
      <c r="N64" s="13" t="s">
        <v>29</v>
      </c>
      <c r="O64" s="14">
        <v>46023</v>
      </c>
      <c r="P64" s="13" t="s">
        <v>30</v>
      </c>
      <c r="Q64" s="15"/>
      <c r="R64" s="13"/>
    </row>
    <row r="65" spans="1:18" ht="15.75" customHeight="1">
      <c r="A65" s="10" t="s">
        <v>3</v>
      </c>
      <c r="B65" s="10">
        <v>18794740</v>
      </c>
      <c r="C65" s="10"/>
      <c r="D65" s="10" t="s">
        <v>25</v>
      </c>
      <c r="E65" s="10" t="s">
        <v>26</v>
      </c>
      <c r="F65" s="10" t="s">
        <v>26</v>
      </c>
      <c r="G65" s="10" t="s">
        <v>82</v>
      </c>
      <c r="H65" s="10"/>
      <c r="I65" s="10">
        <v>87208304500</v>
      </c>
      <c r="J65" s="11">
        <v>46046</v>
      </c>
      <c r="K65" s="10">
        <v>391</v>
      </c>
      <c r="L65" s="11">
        <v>46073</v>
      </c>
      <c r="M65" s="10" t="s">
        <v>28</v>
      </c>
      <c r="N65" s="10" t="s">
        <v>29</v>
      </c>
      <c r="O65" s="11">
        <v>46023</v>
      </c>
      <c r="P65" s="10" t="s">
        <v>30</v>
      </c>
      <c r="Q65" s="12"/>
      <c r="R65" s="10"/>
    </row>
    <row r="66" spans="1:18" ht="15.75" customHeight="1">
      <c r="A66" s="13" t="s">
        <v>3</v>
      </c>
      <c r="B66" s="13">
        <v>18794740</v>
      </c>
      <c r="C66" s="13"/>
      <c r="D66" s="13" t="s">
        <v>25</v>
      </c>
      <c r="E66" s="13" t="s">
        <v>26</v>
      </c>
      <c r="F66" s="13" t="s">
        <v>26</v>
      </c>
      <c r="G66" s="13" t="s">
        <v>83</v>
      </c>
      <c r="H66" s="13"/>
      <c r="I66" s="13">
        <v>87208304600</v>
      </c>
      <c r="J66" s="14">
        <v>46046</v>
      </c>
      <c r="K66" s="13">
        <v>391</v>
      </c>
      <c r="L66" s="14">
        <v>46073</v>
      </c>
      <c r="M66" s="13" t="s">
        <v>28</v>
      </c>
      <c r="N66" s="13" t="s">
        <v>29</v>
      </c>
      <c r="O66" s="14">
        <v>46023</v>
      </c>
      <c r="P66" s="13" t="s">
        <v>30</v>
      </c>
      <c r="Q66" s="15"/>
      <c r="R66" s="13"/>
    </row>
    <row r="67" spans="1:18" ht="15.75" customHeight="1">
      <c r="A67" s="10" t="s">
        <v>3</v>
      </c>
      <c r="B67" s="10">
        <v>18794740</v>
      </c>
      <c r="C67" s="10"/>
      <c r="D67" s="10" t="s">
        <v>25</v>
      </c>
      <c r="E67" s="10" t="s">
        <v>26</v>
      </c>
      <c r="F67" s="10" t="s">
        <v>26</v>
      </c>
      <c r="G67" s="10" t="s">
        <v>84</v>
      </c>
      <c r="H67" s="10"/>
      <c r="I67" s="10">
        <v>87208304800</v>
      </c>
      <c r="J67" s="11">
        <v>46046</v>
      </c>
      <c r="K67" s="10">
        <v>391</v>
      </c>
      <c r="L67" s="11">
        <v>46073</v>
      </c>
      <c r="M67" s="10" t="s">
        <v>28</v>
      </c>
      <c r="N67" s="10" t="s">
        <v>29</v>
      </c>
      <c r="O67" s="11">
        <v>46023</v>
      </c>
      <c r="P67" s="10" t="s">
        <v>30</v>
      </c>
      <c r="Q67" s="12"/>
      <c r="R67" s="10"/>
    </row>
    <row r="68" spans="1:18" ht="15.75" customHeight="1">
      <c r="A68" s="13" t="s">
        <v>3</v>
      </c>
      <c r="B68" s="13">
        <v>18794740</v>
      </c>
      <c r="C68" s="13"/>
      <c r="D68" s="13" t="s">
        <v>25</v>
      </c>
      <c r="E68" s="13" t="s">
        <v>26</v>
      </c>
      <c r="F68" s="13" t="s">
        <v>26</v>
      </c>
      <c r="G68" s="13" t="s">
        <v>85</v>
      </c>
      <c r="H68" s="13"/>
      <c r="I68" s="13">
        <v>87208368100</v>
      </c>
      <c r="J68" s="14">
        <v>46046</v>
      </c>
      <c r="K68" s="13">
        <v>391</v>
      </c>
      <c r="L68" s="14">
        <v>46073</v>
      </c>
      <c r="M68" s="13" t="s">
        <v>28</v>
      </c>
      <c r="N68" s="13" t="s">
        <v>29</v>
      </c>
      <c r="O68" s="14">
        <v>46023</v>
      </c>
      <c r="P68" s="13" t="s">
        <v>30</v>
      </c>
      <c r="Q68" s="15"/>
      <c r="R68" s="13"/>
    </row>
    <row r="69" spans="1:18" ht="15.75" customHeight="1">
      <c r="A69" s="10" t="s">
        <v>3</v>
      </c>
      <c r="B69" s="10">
        <v>18794740</v>
      </c>
      <c r="C69" s="10"/>
      <c r="D69" s="10" t="s">
        <v>25</v>
      </c>
      <c r="E69" s="10" t="s">
        <v>26</v>
      </c>
      <c r="F69" s="10" t="s">
        <v>26</v>
      </c>
      <c r="G69" s="10" t="s">
        <v>86</v>
      </c>
      <c r="H69" s="10"/>
      <c r="I69" s="10">
        <v>87208368200</v>
      </c>
      <c r="J69" s="11">
        <v>46046</v>
      </c>
      <c r="K69" s="10">
        <v>391</v>
      </c>
      <c r="L69" s="11">
        <v>46073</v>
      </c>
      <c r="M69" s="10" t="s">
        <v>28</v>
      </c>
      <c r="N69" s="10" t="s">
        <v>29</v>
      </c>
      <c r="O69" s="11">
        <v>46023</v>
      </c>
      <c r="P69" s="10" t="s">
        <v>30</v>
      </c>
      <c r="Q69" s="12"/>
      <c r="R69" s="10"/>
    </row>
    <row r="70" spans="1:18" ht="15.75" customHeight="1">
      <c r="A70" s="13" t="s">
        <v>3</v>
      </c>
      <c r="B70" s="13">
        <v>18794740</v>
      </c>
      <c r="C70" s="13"/>
      <c r="D70" s="13" t="s">
        <v>25</v>
      </c>
      <c r="E70" s="13" t="s">
        <v>26</v>
      </c>
      <c r="F70" s="13" t="s">
        <v>26</v>
      </c>
      <c r="G70" s="13" t="s">
        <v>87</v>
      </c>
      <c r="H70" s="13"/>
      <c r="I70" s="13">
        <v>87208368300</v>
      </c>
      <c r="J70" s="14">
        <v>46046</v>
      </c>
      <c r="K70" s="13">
        <v>391</v>
      </c>
      <c r="L70" s="14">
        <v>46073</v>
      </c>
      <c r="M70" s="13" t="s">
        <v>28</v>
      </c>
      <c r="N70" s="13" t="s">
        <v>29</v>
      </c>
      <c r="O70" s="14">
        <v>46023</v>
      </c>
      <c r="P70" s="13" t="s">
        <v>30</v>
      </c>
      <c r="Q70" s="15"/>
      <c r="R70" s="13"/>
    </row>
    <row r="71" spans="1:18" ht="15.75" customHeight="1">
      <c r="A71" s="10" t="s">
        <v>3</v>
      </c>
      <c r="B71" s="10">
        <v>18794740</v>
      </c>
      <c r="C71" s="10"/>
      <c r="D71" s="10" t="s">
        <v>25</v>
      </c>
      <c r="E71" s="10" t="s">
        <v>26</v>
      </c>
      <c r="F71" s="10" t="s">
        <v>26</v>
      </c>
      <c r="G71" s="10" t="s">
        <v>88</v>
      </c>
      <c r="H71" s="10"/>
      <c r="I71" s="10">
        <v>87208368400</v>
      </c>
      <c r="J71" s="11">
        <v>46046</v>
      </c>
      <c r="K71" s="10">
        <v>391</v>
      </c>
      <c r="L71" s="11">
        <v>46073</v>
      </c>
      <c r="M71" s="10" t="s">
        <v>28</v>
      </c>
      <c r="N71" s="10" t="s">
        <v>29</v>
      </c>
      <c r="O71" s="11">
        <v>46023</v>
      </c>
      <c r="P71" s="10" t="s">
        <v>30</v>
      </c>
      <c r="Q71" s="12"/>
      <c r="R71" s="10"/>
    </row>
    <row r="72" spans="1:18" ht="15.75" customHeight="1">
      <c r="A72" s="13" t="s">
        <v>3</v>
      </c>
      <c r="B72" s="13">
        <v>18794740</v>
      </c>
      <c r="C72" s="13"/>
      <c r="D72" s="13" t="s">
        <v>25</v>
      </c>
      <c r="E72" s="13" t="s">
        <v>26</v>
      </c>
      <c r="F72" s="13" t="s">
        <v>26</v>
      </c>
      <c r="G72" s="13" t="s">
        <v>89</v>
      </c>
      <c r="H72" s="13"/>
      <c r="I72" s="13">
        <v>87208368500</v>
      </c>
      <c r="J72" s="14">
        <v>46046</v>
      </c>
      <c r="K72" s="13">
        <v>391</v>
      </c>
      <c r="L72" s="14">
        <v>46073</v>
      </c>
      <c r="M72" s="13" t="s">
        <v>28</v>
      </c>
      <c r="N72" s="13" t="s">
        <v>29</v>
      </c>
      <c r="O72" s="14">
        <v>46023</v>
      </c>
      <c r="P72" s="13" t="s">
        <v>30</v>
      </c>
      <c r="Q72" s="15"/>
      <c r="R72" s="13"/>
    </row>
    <row r="73" spans="1:18" ht="15.75" customHeight="1">
      <c r="A73" s="10" t="s">
        <v>3</v>
      </c>
      <c r="B73" s="10">
        <v>18794740</v>
      </c>
      <c r="C73" s="10"/>
      <c r="D73" s="10" t="s">
        <v>25</v>
      </c>
      <c r="E73" s="10" t="s">
        <v>26</v>
      </c>
      <c r="F73" s="10" t="s">
        <v>26</v>
      </c>
      <c r="G73" s="10" t="s">
        <v>90</v>
      </c>
      <c r="H73" s="10"/>
      <c r="I73" s="10">
        <v>87208368600</v>
      </c>
      <c r="J73" s="11">
        <v>46046</v>
      </c>
      <c r="K73" s="10">
        <v>391</v>
      </c>
      <c r="L73" s="11">
        <v>46073</v>
      </c>
      <c r="M73" s="10" t="s">
        <v>28</v>
      </c>
      <c r="N73" s="10" t="s">
        <v>29</v>
      </c>
      <c r="O73" s="11">
        <v>46023</v>
      </c>
      <c r="P73" s="10" t="s">
        <v>30</v>
      </c>
      <c r="Q73" s="12"/>
      <c r="R73" s="10"/>
    </row>
    <row r="74" spans="1:18" ht="15.75" customHeight="1">
      <c r="A74" s="13" t="s">
        <v>3</v>
      </c>
      <c r="B74" s="13">
        <v>18794740</v>
      </c>
      <c r="C74" s="13"/>
      <c r="D74" s="13" t="s">
        <v>25</v>
      </c>
      <c r="E74" s="13" t="s">
        <v>26</v>
      </c>
      <c r="F74" s="13" t="s">
        <v>26</v>
      </c>
      <c r="G74" s="13" t="s">
        <v>91</v>
      </c>
      <c r="H74" s="13"/>
      <c r="I74" s="13">
        <v>87208368700</v>
      </c>
      <c r="J74" s="14">
        <v>46046</v>
      </c>
      <c r="K74" s="13">
        <v>391</v>
      </c>
      <c r="L74" s="14">
        <v>46073</v>
      </c>
      <c r="M74" s="13" t="s">
        <v>28</v>
      </c>
      <c r="N74" s="13" t="s">
        <v>29</v>
      </c>
      <c r="O74" s="14">
        <v>46023</v>
      </c>
      <c r="P74" s="13" t="s">
        <v>30</v>
      </c>
      <c r="Q74" s="15"/>
      <c r="R74" s="13"/>
    </row>
    <row r="75" spans="1:18" ht="15.75" customHeight="1">
      <c r="A75" s="10" t="s">
        <v>3</v>
      </c>
      <c r="B75" s="10">
        <v>18794740</v>
      </c>
      <c r="C75" s="10"/>
      <c r="D75" s="10" t="s">
        <v>25</v>
      </c>
      <c r="E75" s="10" t="s">
        <v>26</v>
      </c>
      <c r="F75" s="10" t="s">
        <v>26</v>
      </c>
      <c r="G75" s="10" t="s">
        <v>92</v>
      </c>
      <c r="H75" s="10"/>
      <c r="I75" s="10">
        <v>87208368800</v>
      </c>
      <c r="J75" s="11">
        <v>46046</v>
      </c>
      <c r="K75" s="10">
        <v>391</v>
      </c>
      <c r="L75" s="11">
        <v>46073</v>
      </c>
      <c r="M75" s="10" t="s">
        <v>28</v>
      </c>
      <c r="N75" s="10" t="s">
        <v>29</v>
      </c>
      <c r="O75" s="11">
        <v>46023</v>
      </c>
      <c r="P75" s="10" t="s">
        <v>30</v>
      </c>
      <c r="Q75" s="12"/>
      <c r="R75" s="10"/>
    </row>
    <row r="76" spans="1:18" ht="15.75" customHeight="1">
      <c r="A76" s="13" t="s">
        <v>3</v>
      </c>
      <c r="B76" s="13">
        <v>18794740</v>
      </c>
      <c r="C76" s="13"/>
      <c r="D76" s="13" t="s">
        <v>25</v>
      </c>
      <c r="E76" s="13" t="s">
        <v>26</v>
      </c>
      <c r="F76" s="13" t="s">
        <v>26</v>
      </c>
      <c r="G76" s="13" t="s">
        <v>93</v>
      </c>
      <c r="H76" s="13"/>
      <c r="I76" s="13">
        <v>87208492300</v>
      </c>
      <c r="J76" s="14">
        <v>46046</v>
      </c>
      <c r="K76" s="13">
        <v>391</v>
      </c>
      <c r="L76" s="14">
        <v>46073</v>
      </c>
      <c r="M76" s="13" t="s">
        <v>28</v>
      </c>
      <c r="N76" s="13" t="s">
        <v>29</v>
      </c>
      <c r="O76" s="14">
        <v>46023</v>
      </c>
      <c r="P76" s="13" t="s">
        <v>30</v>
      </c>
      <c r="Q76" s="15"/>
      <c r="R76" s="13"/>
    </row>
    <row r="77" spans="1:18" ht="15.75" customHeight="1">
      <c r="A77" s="10" t="s">
        <v>3</v>
      </c>
      <c r="B77" s="10">
        <v>18794740</v>
      </c>
      <c r="C77" s="10"/>
      <c r="D77" s="10" t="s">
        <v>25</v>
      </c>
      <c r="E77" s="10" t="s">
        <v>26</v>
      </c>
      <c r="F77" s="10" t="s">
        <v>26</v>
      </c>
      <c r="G77" s="10" t="s">
        <v>94</v>
      </c>
      <c r="H77" s="10"/>
      <c r="I77" s="10">
        <v>87208492400</v>
      </c>
      <c r="J77" s="11">
        <v>46046</v>
      </c>
      <c r="K77" s="10">
        <v>391</v>
      </c>
      <c r="L77" s="11">
        <v>46073</v>
      </c>
      <c r="M77" s="10" t="s">
        <v>28</v>
      </c>
      <c r="N77" s="10" t="s">
        <v>29</v>
      </c>
      <c r="O77" s="11">
        <v>46023</v>
      </c>
      <c r="P77" s="10" t="s">
        <v>30</v>
      </c>
      <c r="Q77" s="12"/>
      <c r="R77" s="10"/>
    </row>
    <row r="78" spans="1:18" ht="15.75" customHeight="1">
      <c r="A78" s="13" t="s">
        <v>3</v>
      </c>
      <c r="B78" s="13">
        <v>18794740</v>
      </c>
      <c r="C78" s="13"/>
      <c r="D78" s="13" t="s">
        <v>25</v>
      </c>
      <c r="E78" s="13" t="s">
        <v>26</v>
      </c>
      <c r="F78" s="13" t="s">
        <v>26</v>
      </c>
      <c r="G78" s="13" t="s">
        <v>95</v>
      </c>
      <c r="H78" s="13"/>
      <c r="I78" s="13">
        <v>87208492500</v>
      </c>
      <c r="J78" s="14">
        <v>46046</v>
      </c>
      <c r="K78" s="13">
        <v>391</v>
      </c>
      <c r="L78" s="14">
        <v>46073</v>
      </c>
      <c r="M78" s="13" t="s">
        <v>28</v>
      </c>
      <c r="N78" s="13" t="s">
        <v>29</v>
      </c>
      <c r="O78" s="14">
        <v>46023</v>
      </c>
      <c r="P78" s="13" t="s">
        <v>30</v>
      </c>
      <c r="Q78" s="15"/>
      <c r="R78" s="13"/>
    </row>
    <row r="79" spans="1:18" ht="15.75" customHeight="1">
      <c r="A79" s="10" t="s">
        <v>3</v>
      </c>
      <c r="B79" s="10">
        <v>18794740</v>
      </c>
      <c r="C79" s="10"/>
      <c r="D79" s="10" t="s">
        <v>25</v>
      </c>
      <c r="E79" s="10" t="s">
        <v>26</v>
      </c>
      <c r="F79" s="10" t="s">
        <v>26</v>
      </c>
      <c r="G79" s="10" t="s">
        <v>96</v>
      </c>
      <c r="H79" s="10"/>
      <c r="I79" s="10">
        <v>87208492600</v>
      </c>
      <c r="J79" s="11">
        <v>46046</v>
      </c>
      <c r="K79" s="10">
        <v>391</v>
      </c>
      <c r="L79" s="11">
        <v>46073</v>
      </c>
      <c r="M79" s="10" t="s">
        <v>28</v>
      </c>
      <c r="N79" s="10" t="s">
        <v>29</v>
      </c>
      <c r="O79" s="11">
        <v>46023</v>
      </c>
      <c r="P79" s="10" t="s">
        <v>30</v>
      </c>
      <c r="Q79" s="12"/>
      <c r="R79" s="10"/>
    </row>
    <row r="80" spans="1:18" ht="15.75" customHeight="1">
      <c r="A80" s="13" t="s">
        <v>3</v>
      </c>
      <c r="B80" s="13">
        <v>18794740</v>
      </c>
      <c r="C80" s="13"/>
      <c r="D80" s="13" t="s">
        <v>25</v>
      </c>
      <c r="E80" s="13" t="s">
        <v>26</v>
      </c>
      <c r="F80" s="13" t="s">
        <v>26</v>
      </c>
      <c r="G80" s="13" t="s">
        <v>97</v>
      </c>
      <c r="H80" s="13"/>
      <c r="I80" s="13">
        <v>87208492700</v>
      </c>
      <c r="J80" s="14">
        <v>46046</v>
      </c>
      <c r="K80" s="13">
        <v>391</v>
      </c>
      <c r="L80" s="14">
        <v>46073</v>
      </c>
      <c r="M80" s="13" t="s">
        <v>28</v>
      </c>
      <c r="N80" s="13" t="s">
        <v>29</v>
      </c>
      <c r="O80" s="14">
        <v>46023</v>
      </c>
      <c r="P80" s="13" t="s">
        <v>30</v>
      </c>
      <c r="Q80" s="15"/>
      <c r="R80" s="13"/>
    </row>
    <row r="81" spans="1:18" ht="15.75" customHeight="1">
      <c r="A81" s="10" t="s">
        <v>3</v>
      </c>
      <c r="B81" s="10">
        <v>18794740</v>
      </c>
      <c r="C81" s="10"/>
      <c r="D81" s="10" t="s">
        <v>25</v>
      </c>
      <c r="E81" s="10" t="s">
        <v>26</v>
      </c>
      <c r="F81" s="10" t="s">
        <v>26</v>
      </c>
      <c r="G81" s="10" t="s">
        <v>98</v>
      </c>
      <c r="H81" s="10"/>
      <c r="I81" s="10">
        <v>87208492800</v>
      </c>
      <c r="J81" s="11">
        <v>46046</v>
      </c>
      <c r="K81" s="10">
        <v>391</v>
      </c>
      <c r="L81" s="11">
        <v>46073</v>
      </c>
      <c r="M81" s="10" t="s">
        <v>28</v>
      </c>
      <c r="N81" s="10" t="s">
        <v>29</v>
      </c>
      <c r="O81" s="11">
        <v>46023</v>
      </c>
      <c r="P81" s="10" t="s">
        <v>30</v>
      </c>
      <c r="Q81" s="12"/>
      <c r="R81" s="10"/>
    </row>
    <row r="82" spans="1:18" ht="15.75" customHeight="1">
      <c r="A82" s="13" t="s">
        <v>3</v>
      </c>
      <c r="B82" s="13">
        <v>18794740</v>
      </c>
      <c r="C82" s="13"/>
      <c r="D82" s="13" t="s">
        <v>25</v>
      </c>
      <c r="E82" s="13" t="s">
        <v>26</v>
      </c>
      <c r="F82" s="13" t="s">
        <v>26</v>
      </c>
      <c r="G82" s="13" t="s">
        <v>99</v>
      </c>
      <c r="H82" s="13"/>
      <c r="I82" s="13">
        <v>87208492900</v>
      </c>
      <c r="J82" s="14">
        <v>46046</v>
      </c>
      <c r="K82" s="13">
        <v>391</v>
      </c>
      <c r="L82" s="14">
        <v>46073</v>
      </c>
      <c r="M82" s="13" t="s">
        <v>28</v>
      </c>
      <c r="N82" s="13" t="s">
        <v>29</v>
      </c>
      <c r="O82" s="14">
        <v>46023</v>
      </c>
      <c r="P82" s="13" t="s">
        <v>30</v>
      </c>
      <c r="Q82" s="15"/>
      <c r="R82" s="13"/>
    </row>
    <row r="83" spans="1:18" ht="15.75" customHeight="1">
      <c r="A83" s="10" t="s">
        <v>3</v>
      </c>
      <c r="B83" s="10">
        <v>18794740</v>
      </c>
      <c r="C83" s="10"/>
      <c r="D83" s="10" t="s">
        <v>25</v>
      </c>
      <c r="E83" s="10" t="s">
        <v>26</v>
      </c>
      <c r="F83" s="10" t="s">
        <v>26</v>
      </c>
      <c r="G83" s="10" t="s">
        <v>100</v>
      </c>
      <c r="H83" s="10"/>
      <c r="I83" s="10">
        <v>87208530900</v>
      </c>
      <c r="J83" s="11">
        <v>46046</v>
      </c>
      <c r="K83" s="10">
        <v>391</v>
      </c>
      <c r="L83" s="11">
        <v>46073</v>
      </c>
      <c r="M83" s="10" t="s">
        <v>28</v>
      </c>
      <c r="N83" s="10" t="s">
        <v>29</v>
      </c>
      <c r="O83" s="11">
        <v>46023</v>
      </c>
      <c r="P83" s="10" t="s">
        <v>30</v>
      </c>
      <c r="Q83" s="12"/>
      <c r="R83" s="10"/>
    </row>
    <row r="84" spans="1:18" ht="15.75" customHeight="1">
      <c r="A84" s="13" t="s">
        <v>3</v>
      </c>
      <c r="B84" s="13">
        <v>18794740</v>
      </c>
      <c r="C84" s="13"/>
      <c r="D84" s="13" t="s">
        <v>25</v>
      </c>
      <c r="E84" s="13" t="s">
        <v>26</v>
      </c>
      <c r="F84" s="13" t="s">
        <v>26</v>
      </c>
      <c r="G84" s="13" t="s">
        <v>101</v>
      </c>
      <c r="H84" s="13"/>
      <c r="I84" s="13">
        <v>87208531000</v>
      </c>
      <c r="J84" s="14">
        <v>46046</v>
      </c>
      <c r="K84" s="13">
        <v>391</v>
      </c>
      <c r="L84" s="14">
        <v>46073</v>
      </c>
      <c r="M84" s="13" t="s">
        <v>28</v>
      </c>
      <c r="N84" s="13" t="s">
        <v>29</v>
      </c>
      <c r="O84" s="14">
        <v>46023</v>
      </c>
      <c r="P84" s="13" t="s">
        <v>30</v>
      </c>
      <c r="Q84" s="15"/>
      <c r="R84" s="13"/>
    </row>
    <row r="85" spans="1:18" ht="15.75" customHeight="1">
      <c r="A85" s="10" t="s">
        <v>3</v>
      </c>
      <c r="B85" s="10">
        <v>18794740</v>
      </c>
      <c r="C85" s="10"/>
      <c r="D85" s="10" t="s">
        <v>25</v>
      </c>
      <c r="E85" s="10" t="s">
        <v>26</v>
      </c>
      <c r="F85" s="10" t="s">
        <v>26</v>
      </c>
      <c r="G85" s="10" t="s">
        <v>102</v>
      </c>
      <c r="H85" s="10"/>
      <c r="I85" s="10">
        <v>87208568300</v>
      </c>
      <c r="J85" s="11">
        <v>46046</v>
      </c>
      <c r="K85" s="10">
        <v>391</v>
      </c>
      <c r="L85" s="11">
        <v>46073</v>
      </c>
      <c r="M85" s="10" t="s">
        <v>28</v>
      </c>
      <c r="N85" s="10" t="s">
        <v>29</v>
      </c>
      <c r="O85" s="11">
        <v>46023</v>
      </c>
      <c r="P85" s="10" t="s">
        <v>30</v>
      </c>
      <c r="Q85" s="12"/>
      <c r="R85" s="10"/>
    </row>
    <row r="86" spans="1:18" ht="15.75" customHeight="1">
      <c r="A86" s="13" t="s">
        <v>3</v>
      </c>
      <c r="B86" s="13">
        <v>18794740</v>
      </c>
      <c r="C86" s="13"/>
      <c r="D86" s="13" t="s">
        <v>25</v>
      </c>
      <c r="E86" s="13" t="s">
        <v>26</v>
      </c>
      <c r="F86" s="13" t="s">
        <v>26</v>
      </c>
      <c r="G86" s="13" t="s">
        <v>103</v>
      </c>
      <c r="H86" s="13"/>
      <c r="I86" s="13">
        <v>87208568400</v>
      </c>
      <c r="J86" s="14">
        <v>46046</v>
      </c>
      <c r="K86" s="13">
        <v>391</v>
      </c>
      <c r="L86" s="14">
        <v>46073</v>
      </c>
      <c r="M86" s="13" t="s">
        <v>28</v>
      </c>
      <c r="N86" s="13" t="s">
        <v>29</v>
      </c>
      <c r="O86" s="14">
        <v>46023</v>
      </c>
      <c r="P86" s="13" t="s">
        <v>30</v>
      </c>
      <c r="Q86" s="15"/>
      <c r="R86" s="13"/>
    </row>
    <row r="87" spans="1:18" ht="15.75" customHeight="1">
      <c r="A87" s="10" t="s">
        <v>3</v>
      </c>
      <c r="B87" s="10">
        <v>18794740</v>
      </c>
      <c r="C87" s="10"/>
      <c r="D87" s="10" t="s">
        <v>25</v>
      </c>
      <c r="E87" s="10" t="s">
        <v>26</v>
      </c>
      <c r="F87" s="10" t="s">
        <v>26</v>
      </c>
      <c r="G87" s="10" t="s">
        <v>104</v>
      </c>
      <c r="H87" s="10"/>
      <c r="I87" s="10">
        <v>87208583800</v>
      </c>
      <c r="J87" s="11">
        <v>46046</v>
      </c>
      <c r="K87" s="10">
        <v>391</v>
      </c>
      <c r="L87" s="11">
        <v>46073</v>
      </c>
      <c r="M87" s="10" t="s">
        <v>28</v>
      </c>
      <c r="N87" s="10" t="s">
        <v>29</v>
      </c>
      <c r="O87" s="11">
        <v>46023</v>
      </c>
      <c r="P87" s="10" t="s">
        <v>30</v>
      </c>
      <c r="Q87" s="12"/>
      <c r="R87" s="10"/>
    </row>
    <row r="88" spans="1:18" ht="15.75" customHeight="1">
      <c r="A88" s="13" t="s">
        <v>3</v>
      </c>
      <c r="B88" s="13">
        <v>18794740</v>
      </c>
      <c r="C88" s="13"/>
      <c r="D88" s="13" t="s">
        <v>25</v>
      </c>
      <c r="E88" s="13" t="s">
        <v>26</v>
      </c>
      <c r="F88" s="13" t="s">
        <v>26</v>
      </c>
      <c r="G88" s="13" t="s">
        <v>105</v>
      </c>
      <c r="H88" s="13"/>
      <c r="I88" s="13">
        <v>87208606600</v>
      </c>
      <c r="J88" s="14">
        <v>46046</v>
      </c>
      <c r="K88" s="13">
        <v>391</v>
      </c>
      <c r="L88" s="14">
        <v>46073</v>
      </c>
      <c r="M88" s="13" t="s">
        <v>28</v>
      </c>
      <c r="N88" s="13" t="s">
        <v>29</v>
      </c>
      <c r="O88" s="14">
        <v>46023</v>
      </c>
      <c r="P88" s="13" t="s">
        <v>30</v>
      </c>
      <c r="Q88" s="15"/>
      <c r="R88" s="13"/>
    </row>
    <row r="89" spans="1:18" ht="15.75" customHeight="1">
      <c r="A89" s="10" t="s">
        <v>3</v>
      </c>
      <c r="B89" s="10">
        <v>18794740</v>
      </c>
      <c r="C89" s="10"/>
      <c r="D89" s="10" t="s">
        <v>25</v>
      </c>
      <c r="E89" s="10" t="s">
        <v>26</v>
      </c>
      <c r="F89" s="10" t="s">
        <v>26</v>
      </c>
      <c r="G89" s="10" t="s">
        <v>106</v>
      </c>
      <c r="H89" s="10"/>
      <c r="I89" s="10">
        <v>87208653300</v>
      </c>
      <c r="J89" s="11">
        <v>46046</v>
      </c>
      <c r="K89" s="10">
        <v>391</v>
      </c>
      <c r="L89" s="11">
        <v>46073</v>
      </c>
      <c r="M89" s="10" t="s">
        <v>28</v>
      </c>
      <c r="N89" s="10" t="s">
        <v>29</v>
      </c>
      <c r="O89" s="11">
        <v>46023</v>
      </c>
      <c r="P89" s="10" t="s">
        <v>30</v>
      </c>
      <c r="Q89" s="12"/>
      <c r="R89" s="10"/>
    </row>
    <row r="90" spans="1:18" ht="15.75" customHeight="1">
      <c r="A90" s="13" t="s">
        <v>3</v>
      </c>
      <c r="B90" s="13">
        <v>18794740</v>
      </c>
      <c r="C90" s="13"/>
      <c r="D90" s="13" t="s">
        <v>25</v>
      </c>
      <c r="E90" s="13" t="s">
        <v>26</v>
      </c>
      <c r="F90" s="13" t="s">
        <v>26</v>
      </c>
      <c r="G90" s="13" t="s">
        <v>107</v>
      </c>
      <c r="H90" s="13"/>
      <c r="I90" s="13">
        <v>87208653400</v>
      </c>
      <c r="J90" s="14">
        <v>46046</v>
      </c>
      <c r="K90" s="13">
        <v>391</v>
      </c>
      <c r="L90" s="14">
        <v>46073</v>
      </c>
      <c r="M90" s="13" t="s">
        <v>28</v>
      </c>
      <c r="N90" s="13" t="s">
        <v>29</v>
      </c>
      <c r="O90" s="14">
        <v>46023</v>
      </c>
      <c r="P90" s="13" t="s">
        <v>30</v>
      </c>
      <c r="Q90" s="15"/>
      <c r="R90" s="13"/>
    </row>
    <row r="91" spans="1:18" ht="15.75" customHeight="1">
      <c r="A91" s="10" t="s">
        <v>3</v>
      </c>
      <c r="B91" s="10">
        <v>18794740</v>
      </c>
      <c r="C91" s="10"/>
      <c r="D91" s="10" t="s">
        <v>25</v>
      </c>
      <c r="E91" s="10" t="s">
        <v>26</v>
      </c>
      <c r="F91" s="10" t="s">
        <v>26</v>
      </c>
      <c r="G91" s="10" t="s">
        <v>108</v>
      </c>
      <c r="H91" s="10"/>
      <c r="I91" s="10">
        <v>87208653500</v>
      </c>
      <c r="J91" s="11">
        <v>46046</v>
      </c>
      <c r="K91" s="10">
        <v>391</v>
      </c>
      <c r="L91" s="11">
        <v>46073</v>
      </c>
      <c r="M91" s="10" t="s">
        <v>28</v>
      </c>
      <c r="N91" s="10" t="s">
        <v>29</v>
      </c>
      <c r="O91" s="11">
        <v>46023</v>
      </c>
      <c r="P91" s="10" t="s">
        <v>30</v>
      </c>
      <c r="Q91" s="12"/>
      <c r="R91" s="10"/>
    </row>
    <row r="92" spans="1:18" ht="15.75" customHeight="1">
      <c r="A92" s="13" t="s">
        <v>3</v>
      </c>
      <c r="B92" s="13">
        <v>18794740</v>
      </c>
      <c r="C92" s="13"/>
      <c r="D92" s="13" t="s">
        <v>25</v>
      </c>
      <c r="E92" s="13" t="s">
        <v>26</v>
      </c>
      <c r="F92" s="13" t="s">
        <v>26</v>
      </c>
      <c r="G92" s="13" t="s">
        <v>109</v>
      </c>
      <c r="H92" s="13"/>
      <c r="I92" s="13">
        <v>87208738400</v>
      </c>
      <c r="J92" s="14">
        <v>46046</v>
      </c>
      <c r="K92" s="13">
        <v>391</v>
      </c>
      <c r="L92" s="14">
        <v>46073</v>
      </c>
      <c r="M92" s="13" t="s">
        <v>28</v>
      </c>
      <c r="N92" s="13" t="s">
        <v>29</v>
      </c>
      <c r="O92" s="14">
        <v>46023</v>
      </c>
      <c r="P92" s="13" t="s">
        <v>30</v>
      </c>
      <c r="Q92" s="15"/>
      <c r="R92" s="13"/>
    </row>
    <row r="93" spans="1:18" ht="15.75" customHeight="1">
      <c r="A93" s="10" t="s">
        <v>3</v>
      </c>
      <c r="B93" s="10">
        <v>18794740</v>
      </c>
      <c r="C93" s="10"/>
      <c r="D93" s="10" t="s">
        <v>25</v>
      </c>
      <c r="E93" s="10" t="s">
        <v>26</v>
      </c>
      <c r="F93" s="10" t="s">
        <v>26</v>
      </c>
      <c r="G93" s="10" t="s">
        <v>110</v>
      </c>
      <c r="H93" s="10"/>
      <c r="I93" s="10">
        <v>87209216000</v>
      </c>
      <c r="J93" s="11">
        <v>46046</v>
      </c>
      <c r="K93" s="10">
        <v>391</v>
      </c>
      <c r="L93" s="11">
        <v>46073</v>
      </c>
      <c r="M93" s="10" t="s">
        <v>28</v>
      </c>
      <c r="N93" s="10" t="s">
        <v>29</v>
      </c>
      <c r="O93" s="11">
        <v>46023</v>
      </c>
      <c r="P93" s="10" t="s">
        <v>30</v>
      </c>
      <c r="Q93" s="12"/>
      <c r="R93" s="10"/>
    </row>
    <row r="94" spans="1:18" ht="15.75" customHeight="1">
      <c r="A94" s="13" t="s">
        <v>3</v>
      </c>
      <c r="B94" s="13">
        <v>18794740</v>
      </c>
      <c r="C94" s="13"/>
      <c r="D94" s="13" t="s">
        <v>25</v>
      </c>
      <c r="E94" s="13" t="s">
        <v>26</v>
      </c>
      <c r="F94" s="13" t="s">
        <v>26</v>
      </c>
      <c r="G94" s="13" t="s">
        <v>111</v>
      </c>
      <c r="H94" s="13"/>
      <c r="I94" s="13">
        <v>87209218000</v>
      </c>
      <c r="J94" s="14">
        <v>46046</v>
      </c>
      <c r="K94" s="13">
        <v>391</v>
      </c>
      <c r="L94" s="14">
        <v>46073</v>
      </c>
      <c r="M94" s="13" t="s">
        <v>28</v>
      </c>
      <c r="N94" s="13" t="s">
        <v>29</v>
      </c>
      <c r="O94" s="14">
        <v>46023</v>
      </c>
      <c r="P94" s="13" t="s">
        <v>30</v>
      </c>
      <c r="Q94" s="15"/>
      <c r="R94" s="13"/>
    </row>
    <row r="95" spans="1:18" ht="15.75" customHeight="1">
      <c r="A95" s="10" t="s">
        <v>3</v>
      </c>
      <c r="B95" s="10">
        <v>18794740</v>
      </c>
      <c r="C95" s="10"/>
      <c r="D95" s="10" t="s">
        <v>25</v>
      </c>
      <c r="E95" s="10" t="s">
        <v>26</v>
      </c>
      <c r="F95" s="10" t="s">
        <v>26</v>
      </c>
      <c r="G95" s="10" t="s">
        <v>112</v>
      </c>
      <c r="H95" s="10"/>
      <c r="I95" s="10">
        <v>87209238200</v>
      </c>
      <c r="J95" s="11">
        <v>46046</v>
      </c>
      <c r="K95" s="10">
        <v>391</v>
      </c>
      <c r="L95" s="11">
        <v>46073</v>
      </c>
      <c r="M95" s="10" t="s">
        <v>28</v>
      </c>
      <c r="N95" s="10" t="s">
        <v>29</v>
      </c>
      <c r="O95" s="11">
        <v>46023</v>
      </c>
      <c r="P95" s="10" t="s">
        <v>30</v>
      </c>
      <c r="Q95" s="12"/>
      <c r="R95" s="10"/>
    </row>
    <row r="96" spans="1:18" ht="15.75" customHeight="1">
      <c r="A96" s="13" t="s">
        <v>3</v>
      </c>
      <c r="B96" s="13">
        <v>18794740</v>
      </c>
      <c r="C96" s="13"/>
      <c r="D96" s="13" t="s">
        <v>25</v>
      </c>
      <c r="E96" s="13" t="s">
        <v>26</v>
      </c>
      <c r="F96" s="13" t="s">
        <v>26</v>
      </c>
      <c r="G96" s="13" t="s">
        <v>113</v>
      </c>
      <c r="H96" s="13"/>
      <c r="I96" s="13">
        <v>87209244800</v>
      </c>
      <c r="J96" s="14">
        <v>46046</v>
      </c>
      <c r="K96" s="13">
        <v>391</v>
      </c>
      <c r="L96" s="14">
        <v>46073</v>
      </c>
      <c r="M96" s="13" t="s">
        <v>28</v>
      </c>
      <c r="N96" s="13" t="s">
        <v>29</v>
      </c>
      <c r="O96" s="14">
        <v>46023</v>
      </c>
      <c r="P96" s="13" t="s">
        <v>30</v>
      </c>
      <c r="Q96" s="15"/>
      <c r="R96" s="13"/>
    </row>
    <row r="97" spans="1:18" ht="15.75" customHeight="1">
      <c r="A97" s="10" t="s">
        <v>3</v>
      </c>
      <c r="B97" s="10">
        <v>18794740</v>
      </c>
      <c r="C97" s="10"/>
      <c r="D97" s="10" t="s">
        <v>25</v>
      </c>
      <c r="E97" s="10" t="s">
        <v>26</v>
      </c>
      <c r="F97" s="10" t="s">
        <v>26</v>
      </c>
      <c r="G97" s="10" t="s">
        <v>114</v>
      </c>
      <c r="H97" s="10"/>
      <c r="I97" s="10">
        <v>87209324700</v>
      </c>
      <c r="J97" s="11">
        <v>46046</v>
      </c>
      <c r="K97" s="10">
        <v>391</v>
      </c>
      <c r="L97" s="11">
        <v>46073</v>
      </c>
      <c r="M97" s="10" t="s">
        <v>28</v>
      </c>
      <c r="N97" s="10" t="s">
        <v>29</v>
      </c>
      <c r="O97" s="11">
        <v>46023</v>
      </c>
      <c r="P97" s="10" t="s">
        <v>30</v>
      </c>
      <c r="Q97" s="12"/>
      <c r="R97" s="10"/>
    </row>
    <row r="98" spans="1:18" ht="15.75" customHeight="1">
      <c r="A98" s="13" t="s">
        <v>3</v>
      </c>
      <c r="B98" s="13">
        <v>18794740</v>
      </c>
      <c r="C98" s="13"/>
      <c r="D98" s="13" t="s">
        <v>25</v>
      </c>
      <c r="E98" s="13" t="s">
        <v>26</v>
      </c>
      <c r="F98" s="13" t="s">
        <v>26</v>
      </c>
      <c r="G98" s="13" t="s">
        <v>115</v>
      </c>
      <c r="H98" s="13"/>
      <c r="I98" s="13">
        <v>87207594000</v>
      </c>
      <c r="J98" s="14">
        <v>46046</v>
      </c>
      <c r="K98" s="13">
        <v>781</v>
      </c>
      <c r="L98" s="14">
        <v>46073</v>
      </c>
      <c r="M98" s="13" t="s">
        <v>28</v>
      </c>
      <c r="N98" s="13" t="s">
        <v>29</v>
      </c>
      <c r="O98" s="14">
        <v>46023</v>
      </c>
      <c r="P98" s="13" t="s">
        <v>116</v>
      </c>
      <c r="Q98" s="15"/>
      <c r="R98" s="13"/>
    </row>
    <row r="99" spans="1:18" ht="15.75" customHeight="1">
      <c r="A99" s="10" t="s">
        <v>3</v>
      </c>
      <c r="B99" s="10">
        <v>18794740</v>
      </c>
      <c r="C99" s="10"/>
      <c r="D99" s="10" t="s">
        <v>25</v>
      </c>
      <c r="E99" s="10" t="s">
        <v>26</v>
      </c>
      <c r="F99" s="10" t="s">
        <v>26</v>
      </c>
      <c r="G99" s="10" t="s">
        <v>117</v>
      </c>
      <c r="H99" s="10"/>
      <c r="I99" s="10">
        <v>87208259100</v>
      </c>
      <c r="J99" s="11">
        <v>46046</v>
      </c>
      <c r="K99" s="10">
        <v>781</v>
      </c>
      <c r="L99" s="11">
        <v>46073</v>
      </c>
      <c r="M99" s="10" t="s">
        <v>28</v>
      </c>
      <c r="N99" s="10" t="s">
        <v>29</v>
      </c>
      <c r="O99" s="11">
        <v>46023</v>
      </c>
      <c r="P99" s="10" t="s">
        <v>116</v>
      </c>
      <c r="Q99" s="12"/>
      <c r="R99" s="10"/>
    </row>
    <row r="100" spans="1:18" ht="15.75" customHeight="1">
      <c r="A100" s="13" t="s">
        <v>3</v>
      </c>
      <c r="B100" s="13">
        <v>18794740</v>
      </c>
      <c r="C100" s="13"/>
      <c r="D100" s="13" t="s">
        <v>25</v>
      </c>
      <c r="E100" s="13" t="s">
        <v>26</v>
      </c>
      <c r="F100" s="13" t="s">
        <v>26</v>
      </c>
      <c r="G100" s="13" t="s">
        <v>118</v>
      </c>
      <c r="H100" s="13"/>
      <c r="I100" s="13">
        <v>87208259200</v>
      </c>
      <c r="J100" s="14">
        <v>46046</v>
      </c>
      <c r="K100" s="13">
        <v>781</v>
      </c>
      <c r="L100" s="14">
        <v>46073</v>
      </c>
      <c r="M100" s="13" t="s">
        <v>28</v>
      </c>
      <c r="N100" s="13" t="s">
        <v>29</v>
      </c>
      <c r="O100" s="14">
        <v>46023</v>
      </c>
      <c r="P100" s="13" t="s">
        <v>116</v>
      </c>
      <c r="Q100" s="15"/>
      <c r="R100" s="13"/>
    </row>
    <row r="101" spans="1:18" ht="15.75" customHeight="1">
      <c r="A101" s="10" t="s">
        <v>3</v>
      </c>
      <c r="B101" s="10">
        <v>18794740</v>
      </c>
      <c r="C101" s="10"/>
      <c r="D101" s="10" t="s">
        <v>25</v>
      </c>
      <c r="E101" s="10" t="s">
        <v>26</v>
      </c>
      <c r="F101" s="10" t="s">
        <v>26</v>
      </c>
      <c r="G101" s="10" t="s">
        <v>119</v>
      </c>
      <c r="H101" s="10"/>
      <c r="I101" s="10">
        <v>87208304700</v>
      </c>
      <c r="J101" s="11">
        <v>46046</v>
      </c>
      <c r="K101" s="10">
        <v>781</v>
      </c>
      <c r="L101" s="11">
        <v>46073</v>
      </c>
      <c r="M101" s="10" t="s">
        <v>28</v>
      </c>
      <c r="N101" s="10" t="s">
        <v>29</v>
      </c>
      <c r="O101" s="11">
        <v>46023</v>
      </c>
      <c r="P101" s="10" t="s">
        <v>116</v>
      </c>
      <c r="Q101" s="12"/>
      <c r="R101" s="10"/>
    </row>
    <row r="102" spans="1:18" ht="15.75" customHeight="1">
      <c r="A102" s="13" t="s">
        <v>3</v>
      </c>
      <c r="B102" s="13">
        <v>18794740</v>
      </c>
      <c r="C102" s="13"/>
      <c r="D102" s="13" t="s">
        <v>25</v>
      </c>
      <c r="E102" s="13" t="s">
        <v>26</v>
      </c>
      <c r="F102" s="13" t="s">
        <v>26</v>
      </c>
      <c r="G102" s="13" t="s">
        <v>120</v>
      </c>
      <c r="H102" s="13"/>
      <c r="I102" s="13">
        <v>87208368900</v>
      </c>
      <c r="J102" s="14">
        <v>46046</v>
      </c>
      <c r="K102" s="13">
        <v>781</v>
      </c>
      <c r="L102" s="14">
        <v>46073</v>
      </c>
      <c r="M102" s="13" t="s">
        <v>28</v>
      </c>
      <c r="N102" s="13" t="s">
        <v>29</v>
      </c>
      <c r="O102" s="14">
        <v>46023</v>
      </c>
      <c r="P102" s="13" t="s">
        <v>116</v>
      </c>
      <c r="Q102" s="15"/>
      <c r="R102" s="13"/>
    </row>
    <row r="103" spans="1:18" ht="15.75" customHeight="1">
      <c r="A103" s="10" t="s">
        <v>3</v>
      </c>
      <c r="B103" s="10">
        <v>18794740</v>
      </c>
      <c r="C103" s="10"/>
      <c r="D103" s="10" t="s">
        <v>25</v>
      </c>
      <c r="E103" s="10" t="s">
        <v>26</v>
      </c>
      <c r="F103" s="10" t="s">
        <v>26</v>
      </c>
      <c r="G103" s="10" t="s">
        <v>121</v>
      </c>
      <c r="H103" s="10"/>
      <c r="I103" s="10">
        <v>87208492000</v>
      </c>
      <c r="J103" s="11">
        <v>46046</v>
      </c>
      <c r="K103" s="10">
        <v>781</v>
      </c>
      <c r="L103" s="11">
        <v>46073</v>
      </c>
      <c r="M103" s="10" t="s">
        <v>28</v>
      </c>
      <c r="N103" s="10" t="s">
        <v>29</v>
      </c>
      <c r="O103" s="11">
        <v>46023</v>
      </c>
      <c r="P103" s="10" t="s">
        <v>116</v>
      </c>
      <c r="Q103" s="12"/>
      <c r="R103" s="10"/>
    </row>
    <row r="104" spans="1:18" ht="15.75" customHeight="1">
      <c r="A104" s="13" t="s">
        <v>3</v>
      </c>
      <c r="B104" s="13">
        <v>18794740</v>
      </c>
      <c r="C104" s="13"/>
      <c r="D104" s="13" t="s">
        <v>25</v>
      </c>
      <c r="E104" s="13" t="s">
        <v>26</v>
      </c>
      <c r="F104" s="13" t="s">
        <v>26</v>
      </c>
      <c r="G104" s="13" t="s">
        <v>122</v>
      </c>
      <c r="H104" s="13"/>
      <c r="I104" s="13">
        <v>87208492200</v>
      </c>
      <c r="J104" s="14">
        <v>46046</v>
      </c>
      <c r="K104" s="13">
        <v>781</v>
      </c>
      <c r="L104" s="14">
        <v>46073</v>
      </c>
      <c r="M104" s="13" t="s">
        <v>28</v>
      </c>
      <c r="N104" s="13" t="s">
        <v>29</v>
      </c>
      <c r="O104" s="14">
        <v>46023</v>
      </c>
      <c r="P104" s="13" t="s">
        <v>116</v>
      </c>
      <c r="Q104" s="15"/>
      <c r="R104" s="13"/>
    </row>
    <row r="105" spans="1:18" ht="15.75" customHeight="1">
      <c r="A105" s="10" t="s">
        <v>3</v>
      </c>
      <c r="B105" s="10">
        <v>18794740</v>
      </c>
      <c r="C105" s="10"/>
      <c r="D105" s="10" t="s">
        <v>25</v>
      </c>
      <c r="E105" s="10" t="s">
        <v>26</v>
      </c>
      <c r="F105" s="10" t="s">
        <v>26</v>
      </c>
      <c r="G105" s="10" t="s">
        <v>123</v>
      </c>
      <c r="H105" s="10"/>
      <c r="I105" s="10">
        <v>87208653600</v>
      </c>
      <c r="J105" s="11">
        <v>46046</v>
      </c>
      <c r="K105" s="10">
        <v>781</v>
      </c>
      <c r="L105" s="11">
        <v>46073</v>
      </c>
      <c r="M105" s="10" t="s">
        <v>28</v>
      </c>
      <c r="N105" s="10" t="s">
        <v>29</v>
      </c>
      <c r="O105" s="11">
        <v>46023</v>
      </c>
      <c r="P105" s="10" t="s">
        <v>116</v>
      </c>
      <c r="Q105" s="12"/>
      <c r="R105" s="10"/>
    </row>
    <row r="106" spans="1:18" ht="15.75" customHeight="1">
      <c r="A106" s="13" t="s">
        <v>3</v>
      </c>
      <c r="B106" s="13">
        <v>18794740</v>
      </c>
      <c r="C106" s="13"/>
      <c r="D106" s="13" t="s">
        <v>25</v>
      </c>
      <c r="E106" s="13" t="s">
        <v>26</v>
      </c>
      <c r="F106" s="13" t="s">
        <v>26</v>
      </c>
      <c r="G106" s="13" t="s">
        <v>124</v>
      </c>
      <c r="H106" s="13"/>
      <c r="I106" s="13">
        <v>87208803200</v>
      </c>
      <c r="J106" s="14">
        <v>46046</v>
      </c>
      <c r="K106" s="13">
        <v>781</v>
      </c>
      <c r="L106" s="14">
        <v>46073</v>
      </c>
      <c r="M106" s="13" t="s">
        <v>28</v>
      </c>
      <c r="N106" s="13" t="s">
        <v>29</v>
      </c>
      <c r="O106" s="14">
        <v>46023</v>
      </c>
      <c r="P106" s="13" t="s">
        <v>116</v>
      </c>
      <c r="Q106" s="15"/>
      <c r="R106" s="13"/>
    </row>
    <row r="107" spans="1:18" ht="15.75" customHeight="1">
      <c r="A107" s="10" t="s">
        <v>3</v>
      </c>
      <c r="B107" s="10">
        <v>18794740</v>
      </c>
      <c r="C107" s="10"/>
      <c r="D107" s="10" t="s">
        <v>25</v>
      </c>
      <c r="E107" s="10" t="s">
        <v>26</v>
      </c>
      <c r="F107" s="10" t="s">
        <v>26</v>
      </c>
      <c r="G107" s="10" t="s">
        <v>125</v>
      </c>
      <c r="H107" s="10"/>
      <c r="I107" s="10">
        <v>87208895900</v>
      </c>
      <c r="J107" s="11">
        <v>46046</v>
      </c>
      <c r="K107" s="10">
        <v>781</v>
      </c>
      <c r="L107" s="11">
        <v>46073</v>
      </c>
      <c r="M107" s="10" t="s">
        <v>28</v>
      </c>
      <c r="N107" s="10" t="s">
        <v>29</v>
      </c>
      <c r="O107" s="11">
        <v>46023</v>
      </c>
      <c r="P107" s="10" t="s">
        <v>116</v>
      </c>
      <c r="Q107" s="12"/>
      <c r="R107" s="10"/>
    </row>
    <row r="108" spans="1:18" ht="15.75" customHeight="1">
      <c r="A108" s="13" t="s">
        <v>3</v>
      </c>
      <c r="B108" s="13">
        <v>18794740</v>
      </c>
      <c r="C108" s="13"/>
      <c r="D108" s="13" t="s">
        <v>25</v>
      </c>
      <c r="E108" s="13" t="s">
        <v>26</v>
      </c>
      <c r="F108" s="13" t="s">
        <v>26</v>
      </c>
      <c r="G108" s="13" t="s">
        <v>126</v>
      </c>
      <c r="H108" s="13"/>
      <c r="I108" s="13">
        <v>87208896000</v>
      </c>
      <c r="J108" s="14">
        <v>46046</v>
      </c>
      <c r="K108" s="13">
        <v>781</v>
      </c>
      <c r="L108" s="14">
        <v>46073</v>
      </c>
      <c r="M108" s="13" t="s">
        <v>28</v>
      </c>
      <c r="N108" s="13" t="s">
        <v>29</v>
      </c>
      <c r="O108" s="14">
        <v>46023</v>
      </c>
      <c r="P108" s="13" t="s">
        <v>116</v>
      </c>
      <c r="Q108" s="15"/>
      <c r="R108" s="13"/>
    </row>
    <row r="109" spans="1:18" ht="15.75" customHeight="1">
      <c r="A109" s="10" t="s">
        <v>4</v>
      </c>
      <c r="B109" s="10"/>
      <c r="C109" s="10">
        <v>18794740</v>
      </c>
      <c r="D109" s="10" t="s">
        <v>25</v>
      </c>
      <c r="E109" s="10"/>
      <c r="F109" s="10" t="s">
        <v>26</v>
      </c>
      <c r="G109" s="10" t="s">
        <v>127</v>
      </c>
      <c r="H109" s="10"/>
      <c r="I109" s="10">
        <v>87208668800</v>
      </c>
      <c r="J109" s="11">
        <v>46063</v>
      </c>
      <c r="K109" s="10">
        <v>175</v>
      </c>
      <c r="L109" s="11">
        <v>46073</v>
      </c>
      <c r="M109" s="10" t="s">
        <v>128</v>
      </c>
      <c r="N109" s="10"/>
      <c r="O109" s="11">
        <v>2</v>
      </c>
      <c r="P109" s="10" t="s">
        <v>129</v>
      </c>
      <c r="Q109" s="12"/>
      <c r="R109" s="10"/>
    </row>
    <row r="110" spans="1:18" ht="15.75" customHeight="1">
      <c r="A110" s="16" t="s">
        <v>3</v>
      </c>
      <c r="B110" s="17">
        <v>18794740</v>
      </c>
      <c r="C110" s="18"/>
      <c r="D110" s="18" t="s">
        <v>25</v>
      </c>
      <c r="E110" s="18" t="s">
        <v>26</v>
      </c>
      <c r="F110" s="18" t="s">
        <v>26</v>
      </c>
      <c r="G110" s="18" t="s">
        <v>55</v>
      </c>
      <c r="H110" s="18"/>
      <c r="I110" s="17">
        <v>87207915100</v>
      </c>
      <c r="J110" s="19">
        <v>46063</v>
      </c>
      <c r="K110" s="17">
        <v>-358.42</v>
      </c>
      <c r="L110" s="19">
        <v>46087</v>
      </c>
      <c r="M110" s="18" t="s">
        <v>28</v>
      </c>
      <c r="N110" s="18" t="s">
        <v>29</v>
      </c>
      <c r="O110" s="19">
        <v>46023</v>
      </c>
      <c r="P110" s="20" t="s">
        <v>130</v>
      </c>
      <c r="Q110" s="21"/>
      <c r="R110" s="13"/>
    </row>
    <row r="111" spans="1:18" ht="15.75" customHeight="1">
      <c r="A111" s="22" t="s">
        <v>3</v>
      </c>
      <c r="B111" s="23">
        <v>18794740</v>
      </c>
      <c r="C111" s="24"/>
      <c r="D111" s="24" t="s">
        <v>25</v>
      </c>
      <c r="E111" s="24" t="s">
        <v>26</v>
      </c>
      <c r="F111" s="24" t="s">
        <v>26</v>
      </c>
      <c r="G111" s="28" t="s">
        <v>127</v>
      </c>
      <c r="H111" s="29"/>
      <c r="I111" s="23">
        <v>87208668800</v>
      </c>
      <c r="J111" s="25">
        <v>46063</v>
      </c>
      <c r="K111" s="23">
        <v>781</v>
      </c>
      <c r="L111" s="25">
        <v>46087</v>
      </c>
      <c r="M111" s="24" t="s">
        <v>28</v>
      </c>
      <c r="N111" s="24" t="s">
        <v>29</v>
      </c>
      <c r="O111" s="25">
        <v>46054</v>
      </c>
      <c r="P111" s="26" t="s">
        <v>131</v>
      </c>
      <c r="Q111" s="27"/>
      <c r="R111" s="10"/>
    </row>
    <row r="112" spans="1:18" ht="15.75" customHeight="1"/>
    <row r="113" customFormat="1" ht="15.75" customHeight="1"/>
    <row r="114" customFormat="1" ht="15.75" customHeight="1"/>
    <row r="115" customFormat="1" ht="15.75" customHeight="1"/>
    <row r="116" customFormat="1" ht="15.75" customHeight="1"/>
    <row r="117" customFormat="1" ht="15.75" customHeight="1"/>
    <row r="118" customFormat="1" ht="15.75" customHeight="1"/>
    <row r="119" customFormat="1" ht="15.75" customHeight="1"/>
    <row r="120" customFormat="1" ht="15.75" customHeight="1"/>
    <row r="121" customFormat="1" ht="15.75" customHeight="1"/>
    <row r="122" customFormat="1" ht="15.75" customHeight="1"/>
    <row r="123" customFormat="1" ht="15.75" customHeight="1"/>
    <row r="124" customFormat="1" ht="15.75" customHeight="1"/>
    <row r="125" customFormat="1" ht="15.75" customHeight="1"/>
    <row r="126" customFormat="1" ht="15.75" customHeight="1"/>
    <row r="127" customFormat="1" ht="15.75" customHeight="1"/>
    <row r="128" customFormat="1" ht="15.75" customHeight="1"/>
    <row r="129" customFormat="1" ht="15.75" customHeight="1"/>
    <row r="130" customFormat="1" ht="15.75" customHeight="1"/>
    <row r="131" customFormat="1" ht="15.75" customHeight="1"/>
    <row r="132" customFormat="1" ht="15.75" customHeight="1"/>
    <row r="133" customFormat="1" ht="15.75" customHeight="1"/>
    <row r="134" customFormat="1" ht="15.75" customHeight="1"/>
    <row r="135" customFormat="1" ht="15.75" customHeight="1"/>
    <row r="136" customFormat="1" ht="15.75" customHeight="1"/>
    <row r="137" customFormat="1" ht="15.75" customHeight="1"/>
    <row r="138" customFormat="1" ht="15.75" customHeight="1"/>
    <row r="139" customFormat="1" ht="15.75" customHeight="1"/>
    <row r="140" customFormat="1" ht="15.75" customHeight="1"/>
    <row r="141" customFormat="1" ht="15.75" customHeight="1"/>
    <row r="142" customFormat="1" ht="15.75" customHeight="1"/>
    <row r="143" customFormat="1" ht="15.75" customHeight="1"/>
    <row r="144" customFormat="1" ht="15.75" customHeight="1"/>
    <row r="145" customFormat="1" ht="15.75" customHeight="1"/>
    <row r="146" customFormat="1" ht="15.75" customHeight="1"/>
    <row r="147" customFormat="1" ht="15.75" customHeight="1"/>
    <row r="148" customFormat="1" ht="15.75" customHeight="1"/>
    <row r="149" customFormat="1" ht="15.75" customHeight="1"/>
    <row r="150" customFormat="1" ht="15.75" customHeight="1"/>
    <row r="151" customFormat="1" ht="15.75" customHeight="1"/>
    <row r="152" customFormat="1" ht="15.75" customHeight="1"/>
    <row r="153" customFormat="1" ht="15.75" customHeight="1"/>
    <row r="154" customFormat="1" ht="15.75" customHeight="1"/>
    <row r="155" customFormat="1" ht="15.75" customHeight="1"/>
    <row r="156" customFormat="1" ht="15.75" customHeight="1"/>
    <row r="157" customFormat="1" ht="15.75" customHeight="1"/>
    <row r="158" customFormat="1" ht="15.75" customHeight="1"/>
    <row r="159" customFormat="1" ht="15.75" customHeight="1"/>
    <row r="160" customFormat="1" ht="15.75" customHeight="1"/>
    <row r="161" customFormat="1" ht="15.75" customHeight="1"/>
    <row r="162" customFormat="1" ht="15.75" customHeight="1"/>
    <row r="163" customFormat="1" ht="15.75" customHeight="1"/>
    <row r="164" customFormat="1" ht="15.75" customHeight="1"/>
    <row r="165" customFormat="1" ht="15.75" customHeight="1"/>
    <row r="166" customFormat="1" ht="15.75" customHeight="1"/>
    <row r="167" customFormat="1" ht="15.75" customHeight="1"/>
    <row r="168" customFormat="1" ht="15.75" customHeight="1"/>
    <row r="169" customFormat="1" ht="15.75" customHeight="1"/>
    <row r="170" customFormat="1" ht="15.75" customHeight="1"/>
    <row r="171" customFormat="1" ht="15.75" customHeight="1"/>
    <row r="172" customFormat="1" ht="15.75" customHeight="1"/>
    <row r="173" customFormat="1" ht="15.75" customHeight="1"/>
    <row r="174" customFormat="1" ht="15.75" customHeight="1"/>
    <row r="175" customFormat="1" ht="15.75" customHeight="1"/>
    <row r="176" customFormat="1" ht="15.75" customHeight="1"/>
    <row r="177" customFormat="1" ht="15.75" customHeight="1"/>
    <row r="178" customFormat="1" ht="15.75" customHeight="1"/>
    <row r="179" customFormat="1" ht="15.75" customHeight="1"/>
    <row r="180" customFormat="1" ht="15.75" customHeight="1"/>
    <row r="181" customFormat="1" ht="15.75" customHeight="1"/>
    <row r="182" customFormat="1" ht="15.75" customHeight="1"/>
    <row r="183" customFormat="1" ht="15.75" customHeight="1"/>
    <row r="184" customFormat="1" ht="15.75" customHeight="1"/>
    <row r="185" customFormat="1" ht="15.75" customHeight="1"/>
    <row r="186" customFormat="1" ht="15.75" customHeight="1"/>
    <row r="187" customFormat="1" ht="15.75" customHeight="1"/>
    <row r="188" customFormat="1" ht="15.75" customHeight="1"/>
    <row r="189" customFormat="1" ht="15.75" customHeight="1"/>
    <row r="190" customFormat="1" ht="15.75" customHeight="1"/>
    <row r="191" customFormat="1" ht="15.75" customHeight="1"/>
    <row r="192" customFormat="1" ht="15.75" customHeight="1"/>
    <row r="193" customFormat="1" ht="15.75" customHeight="1"/>
    <row r="194" customFormat="1" ht="15.75" customHeight="1"/>
    <row r="195" customFormat="1" ht="15.75" customHeight="1"/>
    <row r="196" customFormat="1" ht="15.75" customHeight="1"/>
    <row r="197" customFormat="1" ht="15.75" customHeight="1"/>
    <row r="198" customFormat="1" ht="15.75" customHeight="1"/>
    <row r="199" customFormat="1" ht="15.75" customHeight="1"/>
    <row r="200" customFormat="1" ht="15.75" customHeight="1"/>
    <row r="201" customFormat="1" ht="15.75" customHeight="1"/>
    <row r="202" customFormat="1" ht="15.75" customHeight="1"/>
    <row r="203" customFormat="1" ht="15.75" customHeight="1"/>
    <row r="204" customFormat="1" ht="15.75" customHeight="1"/>
    <row r="205" customFormat="1" ht="15.75" customHeight="1"/>
    <row r="206" customFormat="1" ht="15.75" customHeight="1"/>
    <row r="207" customFormat="1" ht="15.75" customHeight="1"/>
    <row r="208" customFormat="1" ht="15.75" customHeight="1"/>
    <row r="209" customFormat="1" ht="15.75" customHeight="1"/>
    <row r="210" customFormat="1" ht="15.75" customHeight="1"/>
    <row r="211" customFormat="1" ht="15.75" customHeight="1"/>
    <row r="212" customFormat="1" ht="15.75" customHeight="1"/>
    <row r="213" customFormat="1" ht="15.75" customHeight="1"/>
    <row r="214" customFormat="1" ht="15.75" customHeight="1"/>
    <row r="215" customFormat="1" ht="15.75" customHeight="1"/>
    <row r="216" customFormat="1" ht="15.75" customHeight="1"/>
    <row r="217" customFormat="1" ht="15.75" customHeight="1"/>
    <row r="218" customFormat="1" ht="15.75" customHeight="1"/>
    <row r="219" customFormat="1" ht="15.75" customHeight="1"/>
    <row r="220" customFormat="1" ht="15.75" customHeight="1"/>
    <row r="221" customFormat="1" ht="15.75" customHeight="1"/>
    <row r="222" customFormat="1" ht="15.75" customHeight="1"/>
    <row r="223" customFormat="1" ht="15.75" customHeight="1"/>
    <row r="224" customFormat="1" ht="15.75" customHeight="1"/>
    <row r="225" customFormat="1" ht="15.75" customHeight="1"/>
    <row r="226" customFormat="1" ht="15.75" customHeight="1"/>
    <row r="227" customFormat="1" ht="15.75" customHeight="1"/>
    <row r="228" customFormat="1" ht="15.75" customHeight="1"/>
    <row r="229" customFormat="1" ht="15.75" customHeight="1"/>
    <row r="230" customFormat="1" ht="15.75" customHeight="1"/>
    <row r="231" customFormat="1" ht="15.75" customHeight="1"/>
    <row r="232" customFormat="1" ht="15.75" customHeight="1"/>
    <row r="233" customFormat="1" ht="15.75" customHeight="1"/>
    <row r="234" customFormat="1" ht="15.75" customHeight="1"/>
    <row r="235" customFormat="1" ht="15.75" customHeight="1"/>
    <row r="236" customFormat="1" ht="15.75" customHeight="1"/>
    <row r="237" customFormat="1" ht="15.75" customHeight="1"/>
    <row r="238" customFormat="1" ht="15.75" customHeight="1"/>
    <row r="239" customFormat="1" ht="15.75" customHeight="1"/>
    <row r="240" customFormat="1" ht="15.75" customHeight="1"/>
    <row r="241" customFormat="1" ht="15.75" customHeight="1"/>
    <row r="242" customFormat="1" ht="15.75" customHeight="1"/>
    <row r="243" customFormat="1" ht="15.75" customHeight="1"/>
    <row r="244" customFormat="1" ht="15.75" customHeight="1"/>
    <row r="245" customFormat="1" ht="15.75" customHeight="1"/>
    <row r="246" customFormat="1" ht="15.75" customHeight="1"/>
    <row r="247" customFormat="1" ht="15.75" customHeight="1"/>
    <row r="248" customFormat="1" ht="15.75" customHeight="1"/>
    <row r="249" customFormat="1" ht="15.75" customHeight="1"/>
    <row r="250" customFormat="1" ht="15.75" customHeight="1"/>
    <row r="251" customFormat="1" ht="15.75" customHeight="1"/>
    <row r="252" customFormat="1" ht="15.75" customHeight="1"/>
    <row r="253" customFormat="1" ht="15.75" customHeight="1"/>
    <row r="254" customFormat="1" ht="15.75" customHeight="1"/>
    <row r="255" customFormat="1" ht="15.75" customHeight="1"/>
    <row r="256" customFormat="1" ht="15.75" customHeight="1"/>
    <row r="257" customFormat="1" ht="15.75" customHeight="1"/>
    <row r="258" customFormat="1" ht="15.75" customHeight="1"/>
    <row r="259" customFormat="1" ht="15.75" customHeight="1"/>
    <row r="260" customFormat="1" ht="15.75" customHeight="1"/>
    <row r="261" customFormat="1" ht="15.75" customHeight="1"/>
    <row r="262" customFormat="1" ht="15.75" customHeight="1"/>
    <row r="263" customFormat="1" ht="15.75" customHeight="1"/>
    <row r="264" customFormat="1" ht="15.75" customHeight="1"/>
    <row r="265" customFormat="1" ht="15.75" customHeight="1"/>
    <row r="266" customFormat="1" ht="15.75" customHeight="1"/>
    <row r="267" customFormat="1" ht="15.75" customHeight="1"/>
    <row r="268" customFormat="1" ht="15.75" customHeight="1"/>
    <row r="269" customFormat="1" ht="15.75" customHeight="1"/>
    <row r="270" customFormat="1" ht="15.75" customHeight="1"/>
    <row r="271" customFormat="1" ht="15.75" customHeight="1"/>
    <row r="272" customFormat="1" ht="15.75" customHeight="1"/>
    <row r="273" customFormat="1" ht="15.75" customHeight="1"/>
    <row r="274" customFormat="1" ht="15.75" customHeight="1"/>
    <row r="275" customFormat="1" ht="15.75" customHeight="1"/>
    <row r="276" customFormat="1" ht="15.75" customHeight="1"/>
    <row r="277" customFormat="1" ht="15.75" customHeight="1"/>
    <row r="278" customFormat="1" ht="15.75" customHeight="1"/>
    <row r="279" customFormat="1" ht="15.75" customHeight="1"/>
    <row r="280" customFormat="1" ht="15.75" customHeight="1"/>
    <row r="281" customFormat="1" ht="15.75" customHeight="1"/>
    <row r="282" customFormat="1" ht="15.75" customHeight="1"/>
    <row r="283" customFormat="1" ht="15.75" customHeight="1"/>
    <row r="284" customFormat="1" ht="15.75" customHeight="1"/>
    <row r="285" customFormat="1" ht="15.75" customHeight="1"/>
    <row r="286" customFormat="1" ht="15.75" customHeight="1"/>
    <row r="287" customFormat="1" ht="15.75" customHeight="1"/>
    <row r="288" customFormat="1" ht="15.75" customHeight="1"/>
    <row r="289" customFormat="1" ht="15.75" customHeight="1"/>
    <row r="290" customFormat="1" ht="15.75" customHeight="1"/>
    <row r="291" customFormat="1" ht="15.75" customHeight="1"/>
    <row r="292" customFormat="1" ht="15.75" customHeight="1"/>
    <row r="293" customFormat="1" ht="15.75" customHeight="1"/>
    <row r="294" customFormat="1" ht="15.75" customHeight="1"/>
    <row r="295" customFormat="1" ht="15.75" customHeight="1"/>
    <row r="296" customFormat="1" ht="15.75" customHeight="1"/>
    <row r="297" customFormat="1" ht="15.75" customHeight="1"/>
    <row r="298" customFormat="1" ht="15.75" customHeight="1"/>
    <row r="299" customFormat="1" ht="15.75" customHeight="1"/>
    <row r="300" customFormat="1" ht="15.75" customHeight="1"/>
    <row r="301" customFormat="1" ht="15.75" customHeight="1"/>
    <row r="302" customFormat="1" ht="15.75" customHeight="1"/>
    <row r="303" customFormat="1" ht="15.75" customHeight="1"/>
    <row r="304" customFormat="1" ht="15.75" customHeight="1"/>
    <row r="305" customFormat="1" ht="15.75" customHeight="1"/>
    <row r="306" customFormat="1" ht="15.75" customHeight="1"/>
    <row r="307" customFormat="1" ht="15.75" customHeight="1"/>
    <row r="308" customFormat="1" ht="15.75" customHeight="1"/>
    <row r="309" customFormat="1" ht="15.75" customHeight="1"/>
    <row r="310" customFormat="1" ht="15.75" customHeight="1"/>
    <row r="311" customFormat="1" ht="15.75" customHeight="1"/>
    <row r="312" customFormat="1" ht="15.75" customHeight="1"/>
    <row r="313" customFormat="1" ht="15.75" customHeight="1"/>
    <row r="314" customFormat="1" ht="15.75" customHeight="1"/>
    <row r="315" customFormat="1" ht="15.75" customHeight="1"/>
    <row r="316" customFormat="1" ht="15.75" customHeight="1"/>
    <row r="317" customFormat="1" ht="15.75" customHeight="1"/>
    <row r="318" customFormat="1" ht="15.75" customHeight="1"/>
    <row r="319" customFormat="1" ht="15.75" customHeight="1"/>
    <row r="320" customFormat="1" ht="15.75" customHeight="1"/>
    <row r="321" customFormat="1" ht="15.75" customHeight="1"/>
    <row r="322" customFormat="1" ht="15.75" customHeight="1"/>
    <row r="323" customFormat="1" ht="15.75" customHeight="1"/>
    <row r="324" customFormat="1" ht="15.75" customHeight="1"/>
    <row r="325" customFormat="1" ht="15.75" customHeight="1"/>
    <row r="326" customFormat="1" ht="15.75" customHeight="1"/>
    <row r="327" customFormat="1" ht="15.75" customHeight="1"/>
    <row r="328" customFormat="1" ht="15.75" customHeight="1"/>
    <row r="329" customFormat="1" ht="15.75" customHeight="1"/>
    <row r="330" customFormat="1" ht="15.75" customHeight="1"/>
    <row r="331" customFormat="1" ht="15.75" customHeight="1"/>
    <row r="332" customFormat="1" ht="15.75" customHeight="1"/>
    <row r="333" customFormat="1" ht="15.75" customHeight="1"/>
    <row r="334" customFormat="1" ht="15.75" customHeight="1"/>
    <row r="335" customFormat="1" ht="15.75" customHeight="1"/>
    <row r="336" customFormat="1" ht="15.75" customHeight="1"/>
    <row r="337" customFormat="1" ht="15.75" customHeight="1"/>
    <row r="338" customFormat="1" ht="15.75" customHeight="1"/>
    <row r="339" customFormat="1" ht="15.75" customHeight="1"/>
    <row r="340" customFormat="1" ht="15.75" customHeight="1"/>
    <row r="341" customFormat="1" ht="15.75" customHeight="1"/>
    <row r="342" customFormat="1" ht="15.75" customHeight="1"/>
    <row r="343" customFormat="1" ht="15.75" customHeight="1"/>
    <row r="344" customFormat="1" ht="15.75" customHeight="1"/>
    <row r="345" customFormat="1" ht="15.75" customHeight="1"/>
    <row r="346" customFormat="1" ht="15.75" customHeight="1"/>
    <row r="347" customFormat="1" ht="15.75" customHeight="1"/>
    <row r="348" customFormat="1" ht="15.75" customHeight="1"/>
    <row r="349" customFormat="1" ht="15.75" customHeight="1"/>
    <row r="350" customFormat="1" ht="15.75" customHeight="1"/>
    <row r="351" customFormat="1" ht="15.75" customHeight="1"/>
    <row r="352" customFormat="1" ht="15.75" customHeight="1"/>
    <row r="353" customFormat="1" ht="15.75" customHeight="1"/>
    <row r="354" customFormat="1" ht="15.75" customHeight="1"/>
    <row r="355" customFormat="1" ht="15.75" customHeight="1"/>
    <row r="356" customFormat="1" ht="15.75" customHeight="1"/>
    <row r="357" customFormat="1" ht="15.75" customHeight="1"/>
    <row r="358" customFormat="1" ht="15.75" customHeight="1"/>
    <row r="359" customFormat="1" ht="15.75" customHeight="1"/>
    <row r="360" customFormat="1" ht="15.75" customHeight="1"/>
    <row r="361" customFormat="1" ht="15.75" customHeight="1"/>
    <row r="362" customFormat="1" ht="15.75" customHeight="1"/>
    <row r="363" customFormat="1" ht="15.75" customHeight="1"/>
    <row r="364" customFormat="1" ht="15.75" customHeight="1"/>
    <row r="365" customFormat="1" ht="15.75" customHeight="1"/>
    <row r="366" customFormat="1" ht="15.75" customHeight="1"/>
    <row r="367" customFormat="1" ht="15.75" customHeight="1"/>
    <row r="368" customFormat="1" ht="15.75" customHeight="1"/>
    <row r="369" customFormat="1" ht="15.75" customHeight="1"/>
    <row r="370" customFormat="1" ht="15.75" customHeight="1"/>
    <row r="371" customFormat="1" ht="15.75" customHeight="1"/>
    <row r="372" customFormat="1" ht="15.75" customHeight="1"/>
    <row r="373" customFormat="1" ht="15.75" customHeight="1"/>
    <row r="374" customFormat="1" ht="15.75" customHeight="1"/>
    <row r="375" customFormat="1" ht="15.75" customHeight="1"/>
    <row r="376" customFormat="1" ht="15.75" customHeight="1"/>
    <row r="377" customFormat="1" ht="15.75" customHeight="1"/>
    <row r="378" customFormat="1" ht="15.75" customHeight="1"/>
    <row r="379" customFormat="1" ht="15.75" customHeight="1"/>
    <row r="380" customFormat="1" ht="15.75" customHeight="1"/>
    <row r="381" customFormat="1" ht="15.75" customHeight="1"/>
    <row r="382" customFormat="1" ht="15.75" customHeight="1"/>
    <row r="383" customFormat="1" ht="15.75" customHeight="1"/>
    <row r="384" customFormat="1" ht="15.75" customHeight="1"/>
    <row r="385" customFormat="1" ht="15.75" customHeight="1"/>
    <row r="386" customFormat="1" ht="15.75" customHeight="1"/>
    <row r="387" customFormat="1" ht="15.75" customHeight="1"/>
    <row r="388" customFormat="1" ht="15.75" customHeight="1"/>
    <row r="389" customFormat="1" ht="15.75" customHeight="1"/>
    <row r="390" customFormat="1" ht="15.75" customHeight="1"/>
    <row r="391" customFormat="1" ht="15.75" customHeight="1"/>
    <row r="392" customFormat="1" ht="15.75" customHeight="1"/>
    <row r="393" customFormat="1" ht="15.75" customHeight="1"/>
    <row r="394" customFormat="1" ht="15.75" customHeight="1"/>
    <row r="395" customFormat="1" ht="15.75" customHeight="1"/>
    <row r="396" customFormat="1" ht="15.75" customHeight="1"/>
    <row r="397" customFormat="1" ht="15.75" customHeight="1"/>
    <row r="398" customFormat="1" ht="15.75" customHeight="1"/>
    <row r="399" customFormat="1" ht="15.75" customHeight="1"/>
    <row r="400" customFormat="1" ht="15.75" customHeight="1"/>
    <row r="401" customFormat="1" ht="15.75" customHeight="1"/>
    <row r="402" customFormat="1" ht="15.75" customHeight="1"/>
    <row r="403" customFormat="1" ht="15.75" customHeight="1"/>
    <row r="404" customFormat="1" ht="15.75" customHeight="1"/>
    <row r="405" customFormat="1" ht="15.75" customHeight="1"/>
    <row r="406" customFormat="1" ht="15.75" customHeight="1"/>
    <row r="407" customFormat="1" ht="15.75" customHeight="1"/>
    <row r="408" customFormat="1" ht="15.75" customHeight="1"/>
    <row r="409" customFormat="1" ht="15.75" customHeight="1"/>
    <row r="410" customFormat="1" ht="15.75" customHeight="1"/>
    <row r="411" customFormat="1" ht="15.75" customHeight="1"/>
    <row r="412" customFormat="1" ht="15.75" customHeight="1"/>
    <row r="413" customFormat="1" ht="15.75" customHeight="1"/>
    <row r="414" customFormat="1" ht="15.75" customHeight="1"/>
    <row r="415" customFormat="1" ht="15.75" customHeight="1"/>
    <row r="416" customFormat="1" ht="15.75" customHeight="1"/>
    <row r="417" customFormat="1" ht="15.75" customHeight="1"/>
    <row r="418" customFormat="1" ht="15.75" customHeight="1"/>
    <row r="419" customFormat="1" ht="15.75" customHeight="1"/>
    <row r="420" customFormat="1" ht="15.75" customHeight="1"/>
    <row r="421" customFormat="1" ht="15.75" customHeight="1"/>
    <row r="422" customFormat="1" ht="15.75" customHeight="1"/>
    <row r="423" customFormat="1" ht="15.75" customHeight="1"/>
    <row r="424" customFormat="1" ht="15.75" customHeight="1"/>
    <row r="425" customFormat="1" ht="15.75" customHeight="1"/>
    <row r="426" customFormat="1" ht="15.75" customHeight="1"/>
    <row r="427" customFormat="1" ht="15.75" customHeight="1"/>
    <row r="428" customFormat="1" ht="15.75" customHeight="1"/>
    <row r="429" customFormat="1" ht="15.75" customHeight="1"/>
    <row r="430" customFormat="1" ht="15.75" customHeight="1"/>
    <row r="431" customFormat="1" ht="15.75" customHeight="1"/>
    <row r="432" customFormat="1" ht="15.75" customHeight="1"/>
    <row r="433" customFormat="1" ht="15.75" customHeight="1"/>
    <row r="434" customFormat="1" ht="15.75" customHeight="1"/>
    <row r="435" customFormat="1" ht="15.75" customHeight="1"/>
    <row r="436" customFormat="1" ht="15.75" customHeight="1"/>
    <row r="437" customFormat="1" ht="15.75" customHeight="1"/>
    <row r="438" customFormat="1" ht="15.75" customHeight="1"/>
    <row r="439" customFormat="1" ht="15.75" customHeight="1"/>
    <row r="440" customFormat="1" ht="15.75" customHeight="1"/>
    <row r="441" customFormat="1" ht="15.75" customHeight="1"/>
    <row r="442" customFormat="1" ht="15.75" customHeight="1"/>
    <row r="443" customFormat="1" ht="15.75" customHeight="1"/>
    <row r="444" customFormat="1" ht="15.75" customHeight="1"/>
    <row r="445" customFormat="1" ht="15.75" customHeight="1"/>
    <row r="446" customFormat="1" ht="15.75" customHeight="1"/>
    <row r="447" customFormat="1" ht="15.75" customHeight="1"/>
    <row r="448" customFormat="1" ht="15.75" customHeight="1"/>
    <row r="449" customFormat="1" ht="15.75" customHeight="1"/>
    <row r="450" customFormat="1" ht="15.75" customHeight="1"/>
    <row r="451" customFormat="1" ht="15.75" customHeight="1"/>
    <row r="452" customFormat="1" ht="15.75" customHeight="1"/>
    <row r="453" customFormat="1" ht="15.75" customHeight="1"/>
    <row r="454" customFormat="1" ht="15.75" customHeight="1"/>
    <row r="455" customFormat="1" ht="15.75" customHeight="1"/>
    <row r="456" customFormat="1" ht="15.75" customHeight="1"/>
    <row r="457" customFormat="1" ht="15.75" customHeight="1"/>
    <row r="458" customFormat="1" ht="15.75" customHeight="1"/>
    <row r="459" customFormat="1" ht="15.75" customHeight="1"/>
    <row r="460" customFormat="1" ht="15.75" customHeight="1"/>
    <row r="461" customFormat="1" ht="15.75" customHeight="1"/>
    <row r="462" customFormat="1" ht="15.75" customHeight="1"/>
    <row r="463" customFormat="1" ht="15.75" customHeight="1"/>
    <row r="464" customFormat="1" ht="15.75" customHeight="1"/>
    <row r="465" customFormat="1" ht="15.75" customHeight="1"/>
    <row r="466" customFormat="1" ht="15.75" customHeight="1"/>
    <row r="467" customFormat="1" ht="15.75" customHeight="1"/>
    <row r="468" customFormat="1" ht="15.75" customHeight="1"/>
    <row r="469" customFormat="1" ht="15.75" customHeight="1"/>
    <row r="470" customFormat="1" ht="15.75" customHeight="1"/>
    <row r="471" customFormat="1" ht="15.75" customHeight="1"/>
    <row r="472" customFormat="1" ht="15.75" customHeight="1"/>
    <row r="473" customFormat="1" ht="15.75" customHeight="1"/>
    <row r="474" customFormat="1" ht="15.75" customHeight="1"/>
    <row r="475" customFormat="1" ht="15.75" customHeight="1"/>
    <row r="476" customFormat="1" ht="15.75" customHeight="1"/>
    <row r="477" customFormat="1" ht="15.75" customHeight="1"/>
    <row r="478" customFormat="1" ht="15.75" customHeight="1"/>
    <row r="479" customFormat="1" ht="15.75" customHeight="1"/>
    <row r="480" customFormat="1" ht="15.75" customHeight="1"/>
    <row r="481" customFormat="1" ht="15.75" customHeight="1"/>
    <row r="482" customFormat="1" ht="15.75" customHeight="1"/>
    <row r="483" customFormat="1" ht="15.75" customHeight="1"/>
    <row r="484" customFormat="1" ht="15.75" customHeight="1"/>
    <row r="485" customFormat="1" ht="15.75" customHeight="1"/>
    <row r="486" customFormat="1" ht="15.75" customHeight="1"/>
    <row r="487" customFormat="1" ht="15.75" customHeight="1"/>
    <row r="488" customFormat="1" ht="15.75" customHeight="1"/>
    <row r="489" customFormat="1" ht="15.75" customHeight="1"/>
    <row r="490" customFormat="1" ht="15.75" customHeight="1"/>
    <row r="491" customFormat="1" ht="15.75" customHeight="1"/>
    <row r="492" customFormat="1" ht="15.75" customHeight="1"/>
    <row r="493" customFormat="1" ht="15.75" customHeight="1"/>
    <row r="494" customFormat="1" ht="15.75" customHeight="1"/>
    <row r="495" customFormat="1" ht="15.75" customHeight="1"/>
    <row r="496" customFormat="1" ht="15.75" customHeight="1"/>
    <row r="497" customFormat="1" ht="15.75" customHeight="1"/>
    <row r="498" customFormat="1" ht="15.75" customHeight="1"/>
    <row r="499" customFormat="1" ht="15.75" customHeight="1"/>
    <row r="500" customFormat="1" ht="15.75" customHeight="1"/>
    <row r="501" customFormat="1" ht="15.75" customHeight="1"/>
    <row r="502" customFormat="1" ht="15.75" customHeight="1"/>
    <row r="503" customFormat="1" ht="15.75" customHeight="1"/>
    <row r="504" customFormat="1" ht="15.75" customHeight="1"/>
    <row r="505" customFormat="1" ht="15.75" customHeight="1"/>
    <row r="506" customFormat="1" ht="15.75" customHeight="1"/>
    <row r="507" customFormat="1" ht="15.75" customHeight="1"/>
    <row r="508" customFormat="1" ht="15.75" customHeight="1"/>
    <row r="509" customFormat="1" ht="15.75" customHeight="1"/>
    <row r="510" customFormat="1" ht="15.75" customHeight="1"/>
    <row r="511" customFormat="1" ht="15.75" customHeight="1"/>
    <row r="512" customFormat="1" ht="15.75" customHeight="1"/>
    <row r="513" customFormat="1" ht="15.75" customHeight="1"/>
    <row r="514" customFormat="1" ht="15.75" customHeight="1"/>
    <row r="515" customFormat="1" ht="15.75" customHeight="1"/>
    <row r="516" customFormat="1" ht="15.75" customHeight="1"/>
    <row r="517" customFormat="1" ht="15.75" customHeight="1"/>
    <row r="518" customFormat="1" ht="15.75" customHeight="1"/>
    <row r="519" customFormat="1" ht="15.75" customHeight="1"/>
    <row r="520" customFormat="1" ht="15.75" customHeight="1"/>
    <row r="521" customFormat="1" ht="15.75" customHeight="1"/>
    <row r="522" customFormat="1" ht="15.75" customHeight="1"/>
    <row r="523" customFormat="1" ht="15.75" customHeight="1"/>
    <row r="524" customFormat="1" ht="15.75" customHeight="1"/>
    <row r="525" customFormat="1" ht="15.75" customHeight="1"/>
    <row r="526" customFormat="1" ht="15.75" customHeight="1"/>
    <row r="527" customFormat="1" ht="15.75" customHeight="1"/>
    <row r="528" customFormat="1" ht="15.75" customHeight="1"/>
    <row r="529" customFormat="1" ht="15.75" customHeight="1"/>
    <row r="530" customFormat="1" ht="15.75" customHeight="1"/>
    <row r="531" customFormat="1" ht="15.75" customHeight="1"/>
    <row r="532" customFormat="1" ht="15.75" customHeight="1"/>
    <row r="533" customFormat="1" ht="15.75" customHeight="1"/>
    <row r="534" customFormat="1" ht="15.75" customHeight="1"/>
    <row r="535" customFormat="1" ht="15.75" customHeight="1"/>
    <row r="536" customFormat="1" ht="15.75" customHeight="1"/>
    <row r="537" customFormat="1" ht="15.75" customHeight="1"/>
    <row r="538" customFormat="1" ht="15.75" customHeight="1"/>
    <row r="539" customFormat="1" ht="15.75" customHeight="1"/>
    <row r="540" customFormat="1" ht="15.75" customHeight="1"/>
    <row r="541" customFormat="1" ht="15.75" customHeight="1"/>
    <row r="542" customFormat="1" ht="15.75" customHeight="1"/>
    <row r="543" customFormat="1" ht="15.75" customHeight="1"/>
    <row r="544" customFormat="1" ht="15.75" customHeight="1"/>
    <row r="545" customFormat="1" ht="15.75" customHeight="1"/>
    <row r="546" customFormat="1" ht="15.75" customHeight="1"/>
    <row r="547" customFormat="1" ht="15.75" customHeight="1"/>
    <row r="548" customFormat="1" ht="15.75" customHeight="1"/>
    <row r="549" customFormat="1" ht="15.75" customHeight="1"/>
    <row r="550" customFormat="1" ht="15.75" customHeight="1"/>
    <row r="551" customFormat="1" ht="15.75" customHeight="1"/>
    <row r="552" customFormat="1" ht="15.75" customHeight="1"/>
    <row r="553" customFormat="1" ht="15.75" customHeight="1"/>
    <row r="554" customFormat="1" ht="15.75" customHeight="1"/>
    <row r="555" customFormat="1" ht="15.75" customHeight="1"/>
    <row r="556" customFormat="1" ht="15.75" customHeight="1"/>
    <row r="557" customFormat="1" ht="15.75" customHeight="1"/>
    <row r="558" customFormat="1" ht="15.75" customHeight="1"/>
    <row r="559" customFormat="1" ht="15.75" customHeight="1"/>
    <row r="560" customFormat="1" ht="15.75" customHeight="1"/>
    <row r="561" customFormat="1" ht="15.75" customHeight="1"/>
    <row r="562" customFormat="1" ht="15.75" customHeight="1"/>
    <row r="563" customFormat="1" ht="15.75" customHeight="1"/>
    <row r="564" customFormat="1" ht="15.75" customHeight="1"/>
    <row r="565" customFormat="1" ht="15.75" customHeight="1"/>
    <row r="566" customFormat="1" ht="15.75" customHeight="1"/>
    <row r="567" customFormat="1" ht="15.75" customHeight="1"/>
    <row r="568" customFormat="1" ht="15.75" customHeight="1"/>
    <row r="569" customFormat="1" ht="15.75" customHeight="1"/>
    <row r="570" customFormat="1" ht="15.75" customHeight="1"/>
    <row r="571" customFormat="1" ht="15.75" customHeight="1"/>
    <row r="572" customFormat="1" ht="15.75" customHeight="1"/>
    <row r="573" customFormat="1" ht="15.75" customHeight="1"/>
    <row r="574" customFormat="1" ht="15.75" customHeight="1"/>
    <row r="575" customFormat="1" ht="15.75" customHeight="1"/>
    <row r="576" customFormat="1" ht="15.75" customHeight="1"/>
    <row r="577" customFormat="1" ht="15.75" customHeight="1"/>
    <row r="578" customFormat="1" ht="15.75" customHeight="1"/>
    <row r="579" customFormat="1" ht="15.75" customHeight="1"/>
    <row r="580" customFormat="1" ht="15.75" customHeight="1"/>
    <row r="581" customFormat="1" ht="15.75" customHeight="1"/>
    <row r="582" customFormat="1" ht="15.75" customHeight="1"/>
    <row r="583" customFormat="1" ht="15.75" customHeight="1"/>
    <row r="584" customFormat="1" ht="15.75" customHeight="1"/>
    <row r="585" customFormat="1" ht="15.75" customHeight="1"/>
    <row r="586" customFormat="1" ht="15.75" customHeight="1"/>
    <row r="587" customFormat="1" ht="15.75" customHeight="1"/>
    <row r="588" customFormat="1" ht="15.75" customHeight="1"/>
    <row r="589" customFormat="1" ht="15.75" customHeight="1"/>
    <row r="590" customFormat="1" ht="15.75" customHeight="1"/>
    <row r="591" customFormat="1" ht="15.75" customHeight="1"/>
    <row r="592" customFormat="1" ht="15.75" customHeight="1"/>
    <row r="593" customFormat="1" ht="15.75" customHeight="1"/>
    <row r="594" customFormat="1" ht="15.75" customHeight="1"/>
    <row r="595" customFormat="1" ht="15.75" customHeight="1"/>
    <row r="596" customFormat="1" ht="15.75" customHeight="1"/>
    <row r="597" customFormat="1" ht="15.75" customHeight="1"/>
    <row r="598" customFormat="1" ht="15.75" customHeight="1"/>
    <row r="599" customFormat="1" ht="15.75" customHeight="1"/>
    <row r="600" customFormat="1" ht="15.75" customHeight="1"/>
    <row r="601" customFormat="1" ht="15.75" customHeight="1"/>
    <row r="602" customFormat="1" ht="15.75" customHeight="1"/>
    <row r="603" customFormat="1" ht="15.75" customHeight="1"/>
    <row r="604" customFormat="1" ht="15.75" customHeight="1"/>
    <row r="605" customFormat="1" ht="15.75" customHeight="1"/>
    <row r="606" customFormat="1" ht="15.75" customHeight="1"/>
    <row r="607" customFormat="1" ht="15.75" customHeight="1"/>
    <row r="608" customFormat="1" ht="15.75" customHeight="1"/>
    <row r="609" customFormat="1" ht="15.75" customHeight="1"/>
    <row r="610" customFormat="1" ht="15.75" customHeight="1"/>
    <row r="611" customFormat="1" ht="15.75" customHeight="1"/>
    <row r="612" customFormat="1" ht="15.75" customHeight="1"/>
    <row r="613" customFormat="1" ht="15.75" customHeight="1"/>
    <row r="614" customFormat="1" ht="15.75" customHeight="1"/>
    <row r="615" customFormat="1" ht="15.75" customHeight="1"/>
    <row r="616" customFormat="1" ht="15.75" customHeight="1"/>
    <row r="617" customFormat="1" ht="15.75" customHeight="1"/>
    <row r="618" customFormat="1" ht="15.75" customHeight="1"/>
    <row r="619" customFormat="1" ht="15.75" customHeight="1"/>
    <row r="620" customFormat="1" ht="15.75" customHeight="1"/>
    <row r="621" customFormat="1" ht="15.75" customHeight="1"/>
    <row r="622" customFormat="1" ht="15.75" customHeight="1"/>
    <row r="623" customFormat="1" ht="15.75" customHeight="1"/>
    <row r="624" customFormat="1" ht="15.75" customHeight="1"/>
    <row r="625" customFormat="1" ht="15.75" customHeight="1"/>
    <row r="626" customFormat="1" ht="15.75" customHeight="1"/>
    <row r="627" customFormat="1" ht="15.75" customHeight="1"/>
    <row r="628" customFormat="1" ht="15.75" customHeight="1"/>
    <row r="629" customFormat="1" ht="15.75" customHeight="1"/>
    <row r="630" customFormat="1" ht="15.75" customHeight="1"/>
    <row r="631" customFormat="1" ht="15.75" customHeight="1"/>
    <row r="632" customFormat="1" ht="15.75" customHeight="1"/>
    <row r="633" customFormat="1" ht="15.75" customHeight="1"/>
    <row r="634" customFormat="1" ht="15.75" customHeight="1"/>
    <row r="635" customFormat="1" ht="15.75" customHeight="1"/>
    <row r="636" customFormat="1" ht="15.75" customHeight="1"/>
    <row r="637" customFormat="1" ht="15.75" customHeight="1"/>
    <row r="638" customFormat="1" ht="15.75" customHeight="1"/>
    <row r="639" customFormat="1" ht="15.75" customHeight="1"/>
    <row r="640" customFormat="1" ht="15.75" customHeight="1"/>
    <row r="641" customFormat="1" ht="15.75" customHeight="1"/>
    <row r="642" customFormat="1" ht="15.75" customHeight="1"/>
    <row r="643" customFormat="1" ht="15.75" customHeight="1"/>
    <row r="644" customFormat="1" ht="15.75" customHeight="1"/>
    <row r="645" customFormat="1" ht="15.75" customHeight="1"/>
    <row r="646" customFormat="1" ht="15.75" customHeight="1"/>
    <row r="647" customFormat="1" ht="15.75" customHeight="1"/>
    <row r="648" customFormat="1" ht="15.75" customHeight="1"/>
    <row r="649" customFormat="1" ht="15.75" customHeight="1"/>
    <row r="650" customFormat="1" ht="15.75" customHeight="1"/>
    <row r="651" customFormat="1" ht="15.75" customHeight="1"/>
    <row r="652" customFormat="1" ht="15.75" customHeight="1"/>
    <row r="653" customFormat="1" ht="15.75" customHeight="1"/>
    <row r="654" customFormat="1" ht="15.75" customHeight="1"/>
    <row r="655" customFormat="1" ht="15.75" customHeight="1"/>
    <row r="656" customFormat="1" ht="15.75" customHeight="1"/>
    <row r="657" customFormat="1" ht="15.75" customHeight="1"/>
    <row r="658" customFormat="1" ht="15.75" customHeight="1"/>
    <row r="659" customFormat="1" ht="15.75" customHeight="1"/>
    <row r="660" customFormat="1" ht="15.75" customHeight="1"/>
    <row r="661" customFormat="1" ht="15.75" customHeight="1"/>
    <row r="662" customFormat="1" ht="15.75" customHeight="1"/>
    <row r="663" customFormat="1" ht="15.75" customHeight="1"/>
    <row r="664" customFormat="1" ht="15.75" customHeight="1"/>
    <row r="665" customFormat="1" ht="15.75" customHeight="1"/>
    <row r="666" customFormat="1" ht="15.75" customHeight="1"/>
    <row r="667" customFormat="1" ht="15.75" customHeight="1"/>
    <row r="668" customFormat="1" ht="15.75" customHeight="1"/>
    <row r="669" customFormat="1" ht="15.75" customHeight="1"/>
    <row r="670" customFormat="1" ht="15.75" customHeight="1"/>
    <row r="671" customFormat="1" ht="15.75" customHeight="1"/>
    <row r="672" customFormat="1" ht="15.75" customHeight="1"/>
    <row r="673" customFormat="1" ht="15.75" customHeight="1"/>
    <row r="674" customFormat="1" ht="15.75" customHeight="1"/>
    <row r="675" customFormat="1" ht="15.75" customHeight="1"/>
    <row r="676" customFormat="1" ht="15.75" customHeight="1"/>
    <row r="677" customFormat="1" ht="15.75" customHeight="1"/>
    <row r="678" customFormat="1" ht="15.75" customHeight="1"/>
    <row r="679" customFormat="1" ht="15.75" customHeight="1"/>
    <row r="680" customFormat="1" ht="15.75" customHeight="1"/>
    <row r="681" customFormat="1" ht="15.75" customHeight="1"/>
    <row r="682" customFormat="1" ht="15.75" customHeight="1"/>
    <row r="683" customFormat="1" ht="15.75" customHeight="1"/>
    <row r="684" customFormat="1" ht="15.75" customHeight="1"/>
    <row r="685" customFormat="1" ht="15.75" customHeight="1"/>
    <row r="686" customFormat="1" ht="15.75" customHeight="1"/>
    <row r="687" customFormat="1" ht="15.75" customHeight="1"/>
    <row r="688" customFormat="1" ht="15.75" customHeight="1"/>
    <row r="689" customFormat="1" ht="15.75" customHeight="1"/>
    <row r="690" customFormat="1" ht="15.75" customHeight="1"/>
    <row r="691" customFormat="1" ht="15.75" customHeight="1"/>
    <row r="692" customFormat="1" ht="15.75" customHeight="1"/>
    <row r="693" customFormat="1" ht="15.75" customHeight="1"/>
    <row r="694" customFormat="1" ht="15.75" customHeight="1"/>
    <row r="695" customFormat="1" ht="15.75" customHeight="1"/>
    <row r="696" customFormat="1" ht="15.75" customHeight="1"/>
    <row r="697" customFormat="1" ht="15.75" customHeight="1"/>
    <row r="698" customFormat="1" ht="15.75" customHeight="1"/>
    <row r="699" customFormat="1" ht="15.75" customHeight="1"/>
    <row r="700" customFormat="1" ht="15.75" customHeight="1"/>
    <row r="701" customFormat="1" ht="15.75" customHeight="1"/>
    <row r="702" customFormat="1" ht="15.75" customHeight="1"/>
    <row r="703" customFormat="1" ht="15.75" customHeight="1"/>
    <row r="704" customFormat="1" ht="15.75" customHeight="1"/>
    <row r="705" customFormat="1" ht="15.75" customHeight="1"/>
    <row r="706" customFormat="1" ht="15.75" customHeight="1"/>
    <row r="707" customFormat="1" ht="15.75" customHeight="1"/>
    <row r="708" customFormat="1" ht="15.75" customHeight="1"/>
    <row r="709" customFormat="1" ht="15.75" customHeight="1"/>
    <row r="710" customFormat="1" ht="15.75" customHeight="1"/>
    <row r="711" customFormat="1" ht="15.75" customHeight="1"/>
    <row r="712" customFormat="1" ht="15.75" customHeight="1"/>
    <row r="713" customFormat="1" ht="15.75" customHeight="1"/>
    <row r="714" customFormat="1" ht="15.75" customHeight="1"/>
    <row r="715" customFormat="1" ht="15.75" customHeight="1"/>
    <row r="716" customFormat="1" ht="15.75" customHeight="1"/>
    <row r="717" customFormat="1" ht="15.75" customHeight="1"/>
    <row r="718" customFormat="1" ht="15.75" customHeight="1"/>
    <row r="719" customFormat="1" ht="15.75" customHeight="1"/>
    <row r="720" customFormat="1" ht="15.75" customHeight="1"/>
    <row r="721" customFormat="1" ht="15.75" customHeight="1"/>
    <row r="722" customFormat="1" ht="15.75" customHeight="1"/>
    <row r="723" customFormat="1" ht="15.75" customHeight="1"/>
    <row r="724" customFormat="1" ht="15.75" customHeight="1"/>
    <row r="725" customFormat="1" ht="15.75" customHeight="1"/>
    <row r="726" customFormat="1" ht="15.75" customHeight="1"/>
    <row r="727" customFormat="1" ht="15.75" customHeight="1"/>
    <row r="728" customFormat="1" ht="15.75" customHeight="1"/>
    <row r="729" customFormat="1" ht="15.75" customHeight="1"/>
    <row r="730" customFormat="1" ht="15.75" customHeight="1"/>
    <row r="731" customFormat="1" ht="15.75" customHeight="1"/>
    <row r="732" customFormat="1" ht="15.75" customHeight="1"/>
    <row r="733" customFormat="1" ht="15.75" customHeight="1"/>
    <row r="734" customFormat="1" ht="15.75" customHeight="1"/>
    <row r="735" customFormat="1" ht="15.75" customHeight="1"/>
    <row r="736" customFormat="1" ht="15.75" customHeight="1"/>
    <row r="737" customFormat="1" ht="15.75" customHeight="1"/>
    <row r="738" customFormat="1" ht="15.75" customHeight="1"/>
    <row r="739" customFormat="1" ht="15.75" customHeight="1"/>
    <row r="740" customFormat="1" ht="15.75" customHeight="1"/>
    <row r="741" customFormat="1" ht="15.75" customHeight="1"/>
    <row r="742" customFormat="1" ht="15.75" customHeight="1"/>
    <row r="743" customFormat="1" ht="15.75" customHeight="1"/>
    <row r="744" customFormat="1" ht="15.75" customHeight="1"/>
    <row r="745" customFormat="1" ht="15.75" customHeight="1"/>
    <row r="746" customFormat="1" ht="15.75" customHeight="1"/>
    <row r="747" customFormat="1" ht="15.75" customHeight="1"/>
    <row r="748" customFormat="1" ht="15.75" customHeight="1"/>
    <row r="749" customFormat="1" ht="15.75" customHeight="1"/>
    <row r="750" customFormat="1" ht="15.75" customHeight="1"/>
    <row r="751" customFormat="1" ht="15.75" customHeight="1"/>
    <row r="752" customFormat="1" ht="15.75" customHeight="1"/>
    <row r="753" customFormat="1" ht="15.75" customHeight="1"/>
    <row r="754" customFormat="1" ht="15.75" customHeight="1"/>
    <row r="755" customFormat="1" ht="15.75" customHeight="1"/>
    <row r="756" customFormat="1" ht="15.75" customHeight="1"/>
    <row r="757" customFormat="1" ht="15.75" customHeight="1"/>
    <row r="758" customFormat="1" ht="15.75" customHeight="1"/>
    <row r="759" customFormat="1" ht="15.75" customHeight="1"/>
    <row r="760" customFormat="1" ht="15.75" customHeight="1"/>
    <row r="761" customFormat="1" ht="15.75" customHeight="1"/>
    <row r="762" customFormat="1" ht="15.75" customHeight="1"/>
    <row r="763" customFormat="1" ht="15.75" customHeight="1"/>
    <row r="764" customFormat="1" ht="15.75" customHeight="1"/>
    <row r="765" customFormat="1" ht="15.75" customHeight="1"/>
    <row r="766" customFormat="1" ht="15.75" customHeight="1"/>
    <row r="767" customFormat="1" ht="15.75" customHeight="1"/>
    <row r="768" customFormat="1" ht="15.75" customHeight="1"/>
    <row r="769" customFormat="1" ht="15.75" customHeight="1"/>
    <row r="770" customFormat="1" ht="15.75" customHeight="1"/>
    <row r="771" customFormat="1" ht="15.75" customHeight="1"/>
    <row r="772" customFormat="1" ht="15.75" customHeight="1"/>
    <row r="773" customFormat="1" ht="15.75" customHeight="1"/>
    <row r="774" customFormat="1" ht="15.75" customHeight="1"/>
    <row r="775" customFormat="1" ht="15.75" customHeight="1"/>
    <row r="776" customFormat="1" ht="15.75" customHeight="1"/>
    <row r="777" customFormat="1" ht="15.75" customHeight="1"/>
    <row r="778" customFormat="1" ht="15.75" customHeight="1"/>
    <row r="779" customFormat="1" ht="15.75" customHeight="1"/>
    <row r="780" customFormat="1" ht="15.75" customHeight="1"/>
    <row r="781" customFormat="1" ht="15.75" customHeight="1"/>
    <row r="782" customFormat="1" ht="15.75" customHeight="1"/>
    <row r="783" customFormat="1" ht="15.75" customHeight="1"/>
    <row r="784" customFormat="1" ht="15.75" customHeight="1"/>
    <row r="785" customFormat="1" ht="15.75" customHeight="1"/>
    <row r="786" customFormat="1" ht="15.75" customHeight="1"/>
    <row r="787" customFormat="1" ht="15.75" customHeight="1"/>
    <row r="788" customFormat="1" ht="15.75" customHeight="1"/>
    <row r="789" customFormat="1" ht="15.75" customHeight="1"/>
    <row r="790" customFormat="1" ht="15.75" customHeight="1"/>
    <row r="791" customFormat="1" ht="15.75" customHeight="1"/>
    <row r="792" customFormat="1" ht="15.75" customHeight="1"/>
    <row r="793" customFormat="1" ht="15.75" customHeight="1"/>
    <row r="794" customFormat="1" ht="15.75" customHeight="1"/>
    <row r="795" customFormat="1" ht="15.75" customHeight="1"/>
    <row r="796" customFormat="1" ht="15.75" customHeight="1"/>
    <row r="797" customFormat="1" ht="15.75" customHeight="1"/>
    <row r="798" customFormat="1" ht="15.75" customHeight="1"/>
    <row r="799" customFormat="1" ht="15.75" customHeight="1"/>
    <row r="800" customFormat="1" ht="15.75" customHeight="1"/>
    <row r="801" customFormat="1" ht="15.75" customHeight="1"/>
    <row r="802" customFormat="1" ht="15.75" customHeight="1"/>
    <row r="803" customFormat="1" ht="15.75" customHeight="1"/>
    <row r="804" customFormat="1" ht="15.75" customHeight="1"/>
    <row r="805" customFormat="1" ht="15.75" customHeight="1"/>
    <row r="806" customFormat="1" ht="15.75" customHeight="1"/>
    <row r="807" customFormat="1" ht="15.75" customHeight="1"/>
    <row r="808" customFormat="1" ht="15.75" customHeight="1"/>
    <row r="809" customFormat="1" ht="15.75" customHeight="1"/>
    <row r="810" customFormat="1" ht="15.75" customHeight="1"/>
    <row r="811" customFormat="1" ht="15.75" customHeight="1"/>
    <row r="812" customFormat="1" ht="15.75" customHeight="1"/>
    <row r="813" customFormat="1" ht="15.75" customHeight="1"/>
    <row r="814" customFormat="1" ht="15.75" customHeight="1"/>
    <row r="815" customFormat="1" ht="15.75" customHeight="1"/>
    <row r="816" customFormat="1" ht="15.75" customHeight="1"/>
    <row r="817" customFormat="1" ht="15.75" customHeight="1"/>
    <row r="818" customFormat="1" ht="15.75" customHeight="1"/>
    <row r="819" customFormat="1" ht="15.75" customHeight="1"/>
    <row r="820" customFormat="1" ht="15.75" customHeight="1"/>
    <row r="821" customFormat="1" ht="15.75" customHeight="1"/>
    <row r="822" customFormat="1" ht="15.75" customHeight="1"/>
    <row r="823" customFormat="1" ht="15.75" customHeight="1"/>
    <row r="824" customFormat="1" ht="15.75" customHeight="1"/>
    <row r="825" customFormat="1" ht="15.75" customHeight="1"/>
    <row r="826" customFormat="1" ht="15.75" customHeight="1"/>
    <row r="827" customFormat="1" ht="15.75" customHeight="1"/>
    <row r="828" customFormat="1" ht="15.75" customHeight="1"/>
    <row r="829" customFormat="1" ht="15.75" customHeight="1"/>
    <row r="830" customFormat="1" ht="15.75" customHeight="1"/>
    <row r="831" customFormat="1" ht="15.75" customHeight="1"/>
    <row r="832" customFormat="1" ht="15.75" customHeight="1"/>
    <row r="833" customFormat="1" ht="15.75" customHeight="1"/>
    <row r="834" customFormat="1" ht="15.75" customHeight="1"/>
    <row r="835" customFormat="1" ht="15.75" customHeight="1"/>
    <row r="836" customFormat="1" ht="15.75" customHeight="1"/>
    <row r="837" customFormat="1" ht="15.75" customHeight="1"/>
    <row r="838" customFormat="1" ht="15.75" customHeight="1"/>
    <row r="839" customFormat="1" ht="15.75" customHeight="1"/>
    <row r="840" customFormat="1" ht="15.75" customHeight="1"/>
    <row r="841" customFormat="1" ht="15.75" customHeight="1"/>
    <row r="842" customFormat="1" ht="15.75" customHeight="1"/>
    <row r="843" customFormat="1" ht="15.75" customHeight="1"/>
    <row r="844" customFormat="1" ht="15.75" customHeight="1"/>
    <row r="845" customFormat="1" ht="15.75" customHeight="1"/>
    <row r="846" customFormat="1" ht="15.75" customHeight="1"/>
    <row r="847" customFormat="1" ht="15.75" customHeight="1"/>
    <row r="848" customFormat="1" ht="15.75" customHeight="1"/>
    <row r="849" customFormat="1" ht="15.75" customHeight="1"/>
    <row r="850" customFormat="1" ht="15.75" customHeight="1"/>
    <row r="851" customFormat="1" ht="15.75" customHeight="1"/>
    <row r="852" customFormat="1" ht="15.75" customHeight="1"/>
    <row r="853" customFormat="1" ht="15.75" customHeight="1"/>
    <row r="854" customFormat="1" ht="15.75" customHeight="1"/>
    <row r="855" customFormat="1" ht="15.75" customHeight="1"/>
    <row r="856" customFormat="1" ht="15.75" customHeight="1"/>
    <row r="857" customFormat="1" ht="15.75" customHeight="1"/>
    <row r="858" customFormat="1" ht="15.75" customHeight="1"/>
    <row r="859" customFormat="1" ht="15.75" customHeight="1"/>
    <row r="860" customFormat="1" ht="15.75" customHeight="1"/>
    <row r="861" customFormat="1" ht="15.75" customHeight="1"/>
    <row r="862" customFormat="1" ht="15.75" customHeight="1"/>
    <row r="863" customFormat="1" ht="15.75" customHeight="1"/>
    <row r="864" customFormat="1" ht="15.75" customHeight="1"/>
    <row r="865" customFormat="1" ht="15.75" customHeight="1"/>
    <row r="866" customFormat="1" ht="15.75" customHeight="1"/>
    <row r="867" customFormat="1" ht="15.75" customHeight="1"/>
    <row r="868" customFormat="1" ht="15.75" customHeight="1"/>
    <row r="869" customFormat="1" ht="15.75" customHeight="1"/>
    <row r="870" customFormat="1" ht="15.75" customHeight="1"/>
    <row r="871" customFormat="1" ht="15.75" customHeight="1"/>
    <row r="872" customFormat="1" ht="15.75" customHeight="1"/>
    <row r="873" customFormat="1" ht="15.75" customHeight="1"/>
    <row r="874" customFormat="1" ht="15.75" customHeight="1"/>
    <row r="875" customFormat="1" ht="15.75" customHeight="1"/>
    <row r="876" customFormat="1" ht="15.75" customHeight="1"/>
    <row r="877" customFormat="1" ht="15.75" customHeight="1"/>
    <row r="878" customFormat="1" ht="15.75" customHeight="1"/>
    <row r="879" customFormat="1" ht="15.75" customHeight="1"/>
    <row r="880" customFormat="1" ht="15.75" customHeight="1"/>
    <row r="881" customFormat="1" ht="15.75" customHeight="1"/>
    <row r="882" customFormat="1" ht="15.75" customHeight="1"/>
    <row r="883" customFormat="1" ht="15.75" customHeight="1"/>
    <row r="884" customFormat="1" ht="15.75" customHeight="1"/>
    <row r="885" customFormat="1" ht="15.75" customHeight="1"/>
    <row r="886" customFormat="1" ht="15.75" customHeight="1"/>
    <row r="887" customFormat="1" ht="15.75" customHeight="1"/>
    <row r="888" customFormat="1" ht="15.75" customHeight="1"/>
    <row r="889" customFormat="1" ht="15.75" customHeight="1"/>
    <row r="890" customFormat="1" ht="15.75" customHeight="1"/>
    <row r="891" customFormat="1" ht="15.75" customHeight="1"/>
    <row r="892" customFormat="1" ht="15.75" customHeight="1"/>
    <row r="893" customFormat="1" ht="15.75" customHeight="1"/>
    <row r="894" customFormat="1" ht="15.75" customHeight="1"/>
    <row r="895" customFormat="1" ht="15.75" customHeight="1"/>
    <row r="896" customFormat="1" ht="15.75" customHeight="1"/>
    <row r="897" customFormat="1" ht="15.75" customHeight="1"/>
    <row r="898" customFormat="1" ht="15.75" customHeight="1"/>
    <row r="899" customFormat="1" ht="15.75" customHeight="1"/>
    <row r="900" customFormat="1" ht="15.75" customHeight="1"/>
    <row r="901" customFormat="1" ht="15.75" customHeight="1"/>
    <row r="902" customFormat="1" ht="15.75" customHeight="1"/>
    <row r="903" customFormat="1" ht="15.75" customHeight="1"/>
    <row r="904" customFormat="1" ht="15.75" customHeight="1"/>
    <row r="905" customFormat="1" ht="15.75" customHeight="1"/>
    <row r="906" customFormat="1" ht="15.75" customHeight="1"/>
    <row r="907" customFormat="1" ht="15.75" customHeight="1"/>
    <row r="908" customFormat="1" ht="15.75" customHeight="1"/>
    <row r="909" customFormat="1" ht="15.75" customHeight="1"/>
    <row r="910" customFormat="1" ht="15.75" customHeight="1"/>
    <row r="911" customFormat="1" ht="15.75" customHeight="1"/>
    <row r="912" customFormat="1" ht="15.75" customHeight="1"/>
    <row r="913" customFormat="1" ht="15.75" customHeight="1"/>
    <row r="914" customFormat="1" ht="15.75" customHeight="1"/>
    <row r="915" customFormat="1" ht="15.75" customHeight="1"/>
    <row r="916" customFormat="1" ht="15.75" customHeight="1"/>
    <row r="917" customFormat="1" ht="15.75" customHeight="1"/>
    <row r="918" customFormat="1" ht="15.75" customHeight="1"/>
    <row r="919" customFormat="1" ht="15.75" customHeight="1"/>
    <row r="920" customFormat="1" ht="15.75" customHeight="1"/>
    <row r="921" customFormat="1" ht="15.75" customHeight="1"/>
    <row r="922" customFormat="1" ht="15.75" customHeight="1"/>
    <row r="923" customFormat="1" ht="15.75" customHeight="1"/>
    <row r="924" customFormat="1" ht="15.75" customHeight="1"/>
    <row r="925" customFormat="1" ht="15.75" customHeight="1"/>
    <row r="926" customFormat="1" ht="15.75" customHeight="1"/>
    <row r="927" customFormat="1" ht="15.75" customHeight="1"/>
    <row r="928" customFormat="1" ht="15.75" customHeight="1"/>
    <row r="929" customFormat="1" ht="15.75" customHeight="1"/>
    <row r="930" customFormat="1" ht="15.75" customHeight="1"/>
    <row r="931" customFormat="1" ht="15.75" customHeight="1"/>
    <row r="932" customFormat="1" ht="15.75" customHeight="1"/>
    <row r="933" customFormat="1" ht="15.75" customHeight="1"/>
    <row r="934" customFormat="1" ht="15.75" customHeight="1"/>
    <row r="935" customFormat="1" ht="15.75" customHeight="1"/>
    <row r="936" customFormat="1" ht="15.75" customHeight="1"/>
    <row r="937" customFormat="1" ht="15.75" customHeight="1"/>
    <row r="938" customFormat="1" ht="15.75" customHeight="1"/>
    <row r="939" customFormat="1" ht="15.75" customHeight="1"/>
    <row r="940" customFormat="1" ht="15.75" customHeight="1"/>
    <row r="941" customFormat="1" ht="15.75" customHeight="1"/>
    <row r="942" customFormat="1" ht="15.75" customHeight="1"/>
    <row r="943" customFormat="1" ht="15.75" customHeight="1"/>
    <row r="944" customFormat="1" ht="15.75" customHeight="1"/>
    <row r="945" customFormat="1" ht="15.75" customHeight="1"/>
    <row r="946" customFormat="1" ht="15.75" customHeight="1"/>
    <row r="947" customFormat="1" ht="15.75" customHeight="1"/>
    <row r="948" customFormat="1" ht="15.75" customHeight="1"/>
    <row r="949" customFormat="1" ht="15.75" customHeight="1"/>
    <row r="950" customFormat="1" ht="15.75" customHeight="1"/>
    <row r="951" customFormat="1" ht="15.75" customHeight="1"/>
    <row r="952" customFormat="1" ht="15.75" customHeight="1"/>
    <row r="953" customFormat="1" ht="15.75" customHeight="1"/>
    <row r="954" customFormat="1" ht="15.75" customHeight="1"/>
    <row r="955" customFormat="1" ht="15.75" customHeight="1"/>
    <row r="956" customFormat="1" ht="15.75" customHeight="1"/>
    <row r="957" customFormat="1" ht="15.75" customHeight="1"/>
    <row r="958" customFormat="1" ht="15.75" customHeight="1"/>
    <row r="959" customFormat="1" ht="15.75" customHeight="1"/>
    <row r="960" customFormat="1" ht="15.75" customHeight="1"/>
    <row r="961" customFormat="1" ht="15.75" customHeight="1"/>
    <row r="962" customFormat="1" ht="15.75" customHeight="1"/>
    <row r="963" customFormat="1" ht="15.75" customHeight="1"/>
    <row r="964" customFormat="1" ht="15.75" customHeight="1"/>
    <row r="965" customFormat="1" ht="15.75" customHeight="1"/>
    <row r="966" customFormat="1" ht="15.75" customHeight="1"/>
    <row r="967" customFormat="1" ht="15.75" customHeight="1"/>
    <row r="968" customFormat="1" ht="15.75" customHeight="1"/>
    <row r="969" customFormat="1" ht="15.75" customHeight="1"/>
    <row r="970" customFormat="1" ht="15.75" customHeight="1"/>
    <row r="971" customFormat="1" ht="15.75" customHeight="1"/>
    <row r="972" customFormat="1" ht="15.75" customHeight="1"/>
    <row r="973" customFormat="1" ht="15.75" customHeight="1"/>
    <row r="974" customFormat="1" ht="15.75" customHeight="1"/>
    <row r="975" customFormat="1" ht="15.75" customHeight="1"/>
    <row r="976" customFormat="1" ht="15.75" customHeight="1"/>
    <row r="977" customFormat="1" ht="15.75" customHeight="1"/>
    <row r="978" customFormat="1" ht="15.75" customHeight="1"/>
    <row r="979" customFormat="1" ht="15.75" customHeight="1"/>
    <row r="980" customFormat="1" ht="15.75" customHeight="1"/>
    <row r="981" customFormat="1" ht="15.75" customHeight="1"/>
    <row r="982" customFormat="1" ht="15.75" customHeight="1"/>
    <row r="983" customFormat="1" ht="15.75" customHeight="1"/>
    <row r="984" customFormat="1" ht="15.75" customHeight="1"/>
    <row r="985" customFormat="1" ht="15.75" customHeight="1"/>
    <row r="986" customFormat="1" ht="15.75" customHeight="1"/>
    <row r="987" customFormat="1" ht="15.75" customHeight="1"/>
    <row r="988" customFormat="1" ht="15.75" customHeight="1"/>
    <row r="989" customFormat="1" ht="15.75" customHeight="1"/>
    <row r="990" customFormat="1" ht="15.75" customHeight="1"/>
    <row r="991" customFormat="1" ht="15.75" customHeight="1"/>
    <row r="992" customFormat="1" ht="15.75" customHeight="1"/>
    <row r="993" customFormat="1" ht="15.75" customHeight="1"/>
    <row r="994" customFormat="1" ht="15.75" customHeight="1"/>
    <row r="995" customFormat="1" ht="15.75" customHeight="1"/>
    <row r="996" customFormat="1" ht="15.75" customHeight="1"/>
    <row r="997" customFormat="1" ht="15.75" customHeight="1"/>
    <row r="998" customFormat="1" ht="15.75" customHeight="1"/>
    <row r="999" customFormat="1" ht="15.75" customHeight="1"/>
    <row r="1000" customFormat="1" ht="15.75" customHeight="1"/>
  </sheetData>
  <mergeCells count="1">
    <mergeCell ref="G111:H111"/>
  </mergeCells>
  <hyperlinks>
    <hyperlink ref="L5" r:id="rId1" xr:uid="{00000000-0004-0000-0200-000000000000}"/>
  </hyperlinks>
  <pageMargins left="0.7" right="0.7" top="0.75" bottom="0.75" header="0" footer="0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FA67D-D6A1-44AA-A99A-DCBBEA8F1057}">
  <dimension ref="A1:T989"/>
  <sheetViews>
    <sheetView tabSelected="1" topLeftCell="A64" workbookViewId="0">
      <selection activeCell="G2" sqref="G2:G100"/>
    </sheetView>
  </sheetViews>
  <sheetFormatPr defaultColWidth="12.59765625" defaultRowHeight="15" customHeight="1"/>
  <cols>
    <col min="1" max="1" width="10.8984375" style="30" customWidth="1"/>
    <col min="2" max="2" width="13.59765625" style="30" customWidth="1"/>
    <col min="3" max="3" width="10" style="30" customWidth="1"/>
    <col min="4" max="4" width="11.09765625" style="30" customWidth="1"/>
    <col min="5" max="5" width="10.09765625" style="30" bestFit="1" customWidth="1"/>
    <col min="6" max="7" width="15.8984375" style="30" customWidth="1"/>
    <col min="8" max="8" width="12.09765625" style="30" customWidth="1"/>
    <col min="9" max="10" width="11.19921875" style="30" customWidth="1"/>
    <col min="11" max="11" width="6.796875" style="30" customWidth="1"/>
    <col min="12" max="12" width="15.59765625" style="30" customWidth="1"/>
    <col min="13" max="13" width="24" style="30" bestFit="1" customWidth="1"/>
    <col min="14" max="14" width="26" style="30" bestFit="1" customWidth="1"/>
    <col min="15" max="21" width="8.59765625" style="30" customWidth="1"/>
    <col min="22" max="16384" width="12.59765625" style="30"/>
  </cols>
  <sheetData>
    <row r="1" spans="1:15" ht="13.8">
      <c r="A1" s="30" t="s">
        <v>8</v>
      </c>
      <c r="B1" s="30" t="s">
        <v>10</v>
      </c>
      <c r="C1" s="30" t="s">
        <v>13</v>
      </c>
      <c r="E1" s="30" t="s">
        <v>14</v>
      </c>
      <c r="F1" s="30" t="s">
        <v>15</v>
      </c>
      <c r="H1" s="30" t="s">
        <v>17</v>
      </c>
      <c r="I1" s="30" t="s">
        <v>18</v>
      </c>
      <c r="J1" s="30" t="s">
        <v>19</v>
      </c>
      <c r="K1" s="30" t="s">
        <v>20</v>
      </c>
      <c r="L1" s="30" t="s">
        <v>21</v>
      </c>
      <c r="M1" s="30" t="s">
        <v>22</v>
      </c>
    </row>
    <row r="2" spans="1:15" ht="13.8">
      <c r="A2" s="30">
        <v>18794740</v>
      </c>
      <c r="B2" s="30" t="s">
        <v>25</v>
      </c>
      <c r="C2" s="30" t="s">
        <v>138</v>
      </c>
      <c r="D2" s="30" t="s">
        <v>139</v>
      </c>
      <c r="E2" s="30" t="str">
        <f>_xlfn.CONCAT(C2," ",D2)</f>
        <v>John Moyer</v>
      </c>
      <c r="F2" s="30">
        <v>87207915100</v>
      </c>
      <c r="G2" s="30" t="str">
        <f>_xlfn.CONCAT(F2,2)</f>
        <v>872079151002</v>
      </c>
      <c r="H2" s="30">
        <v>-358.42</v>
      </c>
      <c r="I2" s="31">
        <v>46087</v>
      </c>
      <c r="J2" s="30" t="s">
        <v>28</v>
      </c>
      <c r="K2" s="30" t="s">
        <v>29</v>
      </c>
      <c r="L2" s="31">
        <v>46023</v>
      </c>
      <c r="M2" s="30" t="s">
        <v>130</v>
      </c>
      <c r="N2" s="30" t="s">
        <v>132</v>
      </c>
      <c r="O2" s="30" t="s">
        <v>137</v>
      </c>
    </row>
    <row r="3" spans="1:15" s="32" customFormat="1" ht="13.8">
      <c r="A3" s="32">
        <v>20411454</v>
      </c>
      <c r="B3" s="32" t="s">
        <v>26</v>
      </c>
      <c r="C3" s="32" t="s">
        <v>140</v>
      </c>
      <c r="D3" s="32" t="s">
        <v>139</v>
      </c>
      <c r="E3" s="32" t="str">
        <f t="shared" ref="E3:E66" si="0">_xlfn.CONCAT(C3," ",D3)</f>
        <v>Frederick Moyer</v>
      </c>
      <c r="F3" s="32">
        <v>87208668800</v>
      </c>
      <c r="G3" s="32" t="str">
        <f>_xlfn.CONCAT(F3,"OVR")</f>
        <v>87208668800OVR</v>
      </c>
      <c r="H3" s="32">
        <v>175</v>
      </c>
      <c r="I3" s="33">
        <v>46073</v>
      </c>
      <c r="J3" s="32" t="s">
        <v>128</v>
      </c>
      <c r="L3" s="33">
        <v>2</v>
      </c>
      <c r="M3" s="32" t="s">
        <v>129</v>
      </c>
      <c r="N3" s="32" t="s">
        <v>134</v>
      </c>
    </row>
    <row r="4" spans="1:15" ht="13.8">
      <c r="A4" s="30">
        <v>18794740</v>
      </c>
      <c r="B4" s="30" t="s">
        <v>25</v>
      </c>
      <c r="C4" s="30" t="s">
        <v>141</v>
      </c>
      <c r="D4" s="30" t="s">
        <v>142</v>
      </c>
      <c r="E4" s="30" t="str">
        <f t="shared" si="0"/>
        <v>Afifeh Safi</v>
      </c>
      <c r="F4" s="30">
        <v>87208080900</v>
      </c>
      <c r="G4" s="30" t="str">
        <f t="shared" ref="G4:G67" si="1">_xlfn.CONCAT(F4,2)</f>
        <v>872080809002</v>
      </c>
      <c r="H4" s="30">
        <v>391</v>
      </c>
      <c r="I4" s="31">
        <v>46073</v>
      </c>
      <c r="J4" s="30" t="s">
        <v>28</v>
      </c>
      <c r="K4" s="30" t="s">
        <v>29</v>
      </c>
      <c r="L4" s="31">
        <v>46023</v>
      </c>
      <c r="M4" s="30" t="s">
        <v>30</v>
      </c>
      <c r="N4" s="30" t="s">
        <v>132</v>
      </c>
      <c r="O4" s="30" t="s">
        <v>135</v>
      </c>
    </row>
    <row r="5" spans="1:15" ht="13.8">
      <c r="A5" s="30">
        <v>18794740</v>
      </c>
      <c r="B5" s="30" t="s">
        <v>25</v>
      </c>
      <c r="C5" s="30" t="s">
        <v>143</v>
      </c>
      <c r="D5" s="30" t="s">
        <v>144</v>
      </c>
      <c r="E5" s="30" t="str">
        <f t="shared" si="0"/>
        <v>Alfred Jett</v>
      </c>
      <c r="F5" s="30">
        <v>87208368600</v>
      </c>
      <c r="G5" s="30" t="str">
        <f t="shared" si="1"/>
        <v>872083686002</v>
      </c>
      <c r="H5" s="30">
        <v>391</v>
      </c>
      <c r="I5" s="31">
        <v>46073</v>
      </c>
      <c r="J5" s="30" t="s">
        <v>28</v>
      </c>
      <c r="K5" s="30" t="s">
        <v>29</v>
      </c>
      <c r="L5" s="31">
        <v>46023</v>
      </c>
      <c r="M5" s="30" t="s">
        <v>30</v>
      </c>
      <c r="N5" s="30" t="s">
        <v>132</v>
      </c>
      <c r="O5" s="30" t="s">
        <v>135</v>
      </c>
    </row>
    <row r="6" spans="1:15" ht="13.8">
      <c r="A6" s="30">
        <v>18794740</v>
      </c>
      <c r="B6" s="30" t="s">
        <v>25</v>
      </c>
      <c r="C6" s="30" t="s">
        <v>145</v>
      </c>
      <c r="D6" s="30" t="s">
        <v>146</v>
      </c>
      <c r="E6" s="30" t="str">
        <f t="shared" si="0"/>
        <v>Angel Diaz</v>
      </c>
      <c r="F6" s="30">
        <v>87209244800</v>
      </c>
      <c r="G6" s="30" t="str">
        <f t="shared" si="1"/>
        <v>872092448002</v>
      </c>
      <c r="H6" s="30">
        <v>391</v>
      </c>
      <c r="I6" s="31">
        <v>46073</v>
      </c>
      <c r="J6" s="30" t="s">
        <v>28</v>
      </c>
      <c r="K6" s="30" t="s">
        <v>29</v>
      </c>
      <c r="L6" s="31">
        <v>46023</v>
      </c>
      <c r="M6" s="30" t="s">
        <v>30</v>
      </c>
      <c r="N6" s="30" t="s">
        <v>132</v>
      </c>
      <c r="O6" s="30" t="s">
        <v>135</v>
      </c>
    </row>
    <row r="7" spans="1:15" ht="13.8">
      <c r="A7" s="30">
        <v>18794740</v>
      </c>
      <c r="B7" s="30" t="s">
        <v>25</v>
      </c>
      <c r="C7" s="30" t="s">
        <v>147</v>
      </c>
      <c r="D7" s="30" t="s">
        <v>148</v>
      </c>
      <c r="E7" s="30" t="str">
        <f t="shared" si="0"/>
        <v>Annmarie Stobb</v>
      </c>
      <c r="F7" s="30">
        <v>87208583800</v>
      </c>
      <c r="G7" s="30" t="str">
        <f t="shared" si="1"/>
        <v>872085838002</v>
      </c>
      <c r="H7" s="30">
        <v>391</v>
      </c>
      <c r="I7" s="31">
        <v>46073</v>
      </c>
      <c r="J7" s="30" t="s">
        <v>28</v>
      </c>
      <c r="K7" s="30" t="s">
        <v>29</v>
      </c>
      <c r="L7" s="31">
        <v>46023</v>
      </c>
      <c r="M7" s="30" t="s">
        <v>30</v>
      </c>
      <c r="N7" s="30" t="s">
        <v>132</v>
      </c>
      <c r="O7" s="30" t="s">
        <v>135</v>
      </c>
    </row>
    <row r="8" spans="1:15" ht="13.8">
      <c r="A8" s="30">
        <v>18794740</v>
      </c>
      <c r="B8" s="30" t="s">
        <v>25</v>
      </c>
      <c r="C8" s="30" t="s">
        <v>149</v>
      </c>
      <c r="D8" s="30" t="s">
        <v>150</v>
      </c>
      <c r="E8" s="30" t="str">
        <f t="shared" si="0"/>
        <v>Barbara Ansfree</v>
      </c>
      <c r="F8" s="30">
        <v>87207642200</v>
      </c>
      <c r="G8" s="30" t="str">
        <f t="shared" si="1"/>
        <v>872076422002</v>
      </c>
      <c r="H8" s="30">
        <v>391</v>
      </c>
      <c r="I8" s="31">
        <v>46073</v>
      </c>
      <c r="J8" s="30" t="s">
        <v>28</v>
      </c>
      <c r="K8" s="30" t="s">
        <v>29</v>
      </c>
      <c r="L8" s="31">
        <v>46023</v>
      </c>
      <c r="M8" s="30" t="s">
        <v>30</v>
      </c>
      <c r="N8" s="30" t="s">
        <v>132</v>
      </c>
      <c r="O8" s="30" t="s">
        <v>135</v>
      </c>
    </row>
    <row r="9" spans="1:15" ht="13.8">
      <c r="A9" s="30">
        <v>18794740</v>
      </c>
      <c r="B9" s="30" t="s">
        <v>25</v>
      </c>
      <c r="C9" s="30" t="s">
        <v>151</v>
      </c>
      <c r="D9" s="30" t="s">
        <v>152</v>
      </c>
      <c r="E9" s="30" t="str">
        <f t="shared" si="0"/>
        <v>Barry Drumheller</v>
      </c>
      <c r="F9" s="30">
        <v>87208080400</v>
      </c>
      <c r="G9" s="30" t="str">
        <f t="shared" si="1"/>
        <v>872080804002</v>
      </c>
      <c r="H9" s="30">
        <v>391</v>
      </c>
      <c r="I9" s="31">
        <v>46073</v>
      </c>
      <c r="J9" s="30" t="s">
        <v>28</v>
      </c>
      <c r="K9" s="30" t="s">
        <v>29</v>
      </c>
      <c r="L9" s="31">
        <v>46023</v>
      </c>
      <c r="M9" s="30" t="s">
        <v>30</v>
      </c>
      <c r="N9" s="30" t="s">
        <v>132</v>
      </c>
      <c r="O9" s="30" t="s">
        <v>135</v>
      </c>
    </row>
    <row r="10" spans="1:15" ht="15.75" customHeight="1">
      <c r="A10" s="30">
        <v>18794740</v>
      </c>
      <c r="B10" s="30" t="s">
        <v>25</v>
      </c>
      <c r="C10" s="30" t="s">
        <v>153</v>
      </c>
      <c r="D10" s="30" t="s">
        <v>154</v>
      </c>
      <c r="E10" s="30" t="str">
        <f t="shared" si="0"/>
        <v>Bill Dieruff</v>
      </c>
      <c r="F10" s="30">
        <v>87207594300</v>
      </c>
      <c r="G10" s="30" t="str">
        <f t="shared" si="1"/>
        <v>872075943002</v>
      </c>
      <c r="H10" s="30">
        <v>391</v>
      </c>
      <c r="I10" s="31">
        <v>46073</v>
      </c>
      <c r="J10" s="30" t="s">
        <v>28</v>
      </c>
      <c r="K10" s="30" t="s">
        <v>29</v>
      </c>
      <c r="L10" s="31">
        <v>46023</v>
      </c>
      <c r="M10" s="30" t="s">
        <v>30</v>
      </c>
      <c r="N10" s="30" t="s">
        <v>132</v>
      </c>
      <c r="O10" s="30" t="s">
        <v>135</v>
      </c>
    </row>
    <row r="11" spans="1:15" ht="15.75" customHeight="1">
      <c r="A11" s="30">
        <v>18794740</v>
      </c>
      <c r="B11" s="30" t="s">
        <v>25</v>
      </c>
      <c r="C11" s="30" t="s">
        <v>155</v>
      </c>
      <c r="D11" s="30" t="s">
        <v>156</v>
      </c>
      <c r="E11" s="30" t="str">
        <f t="shared" si="0"/>
        <v>Carmen Rosario</v>
      </c>
      <c r="F11" s="30">
        <v>87207594800</v>
      </c>
      <c r="G11" s="30" t="str">
        <f t="shared" si="1"/>
        <v>872075948002</v>
      </c>
      <c r="H11" s="30">
        <v>391</v>
      </c>
      <c r="I11" s="31">
        <v>46073</v>
      </c>
      <c r="J11" s="30" t="s">
        <v>28</v>
      </c>
      <c r="K11" s="30" t="s">
        <v>29</v>
      </c>
      <c r="L11" s="31">
        <v>46023</v>
      </c>
      <c r="M11" s="30" t="s">
        <v>30</v>
      </c>
      <c r="N11" s="30" t="s">
        <v>132</v>
      </c>
      <c r="O11" s="30" t="s">
        <v>135</v>
      </c>
    </row>
    <row r="12" spans="1:15" ht="15.75" customHeight="1">
      <c r="A12" s="30">
        <v>18794740</v>
      </c>
      <c r="B12" s="30" t="s">
        <v>25</v>
      </c>
      <c r="C12" s="30" t="s">
        <v>157</v>
      </c>
      <c r="D12" s="30" t="s">
        <v>158</v>
      </c>
      <c r="E12" s="30" t="str">
        <f t="shared" si="0"/>
        <v>Carolyn Morley-Odonnell</v>
      </c>
      <c r="F12" s="30">
        <v>87207593600</v>
      </c>
      <c r="G12" s="30" t="str">
        <f t="shared" si="1"/>
        <v>872075936002</v>
      </c>
      <c r="H12" s="30">
        <v>391</v>
      </c>
      <c r="I12" s="31">
        <v>46073</v>
      </c>
      <c r="J12" s="30" t="s">
        <v>28</v>
      </c>
      <c r="K12" s="30" t="s">
        <v>29</v>
      </c>
      <c r="L12" s="31">
        <v>46023</v>
      </c>
      <c r="M12" s="30" t="s">
        <v>30</v>
      </c>
      <c r="N12" s="30" t="s">
        <v>132</v>
      </c>
      <c r="O12" s="30" t="s">
        <v>135</v>
      </c>
    </row>
    <row r="13" spans="1:15" ht="15.75" customHeight="1">
      <c r="A13" s="30">
        <v>18794740</v>
      </c>
      <c r="B13" s="30" t="s">
        <v>25</v>
      </c>
      <c r="C13" s="30" t="s">
        <v>159</v>
      </c>
      <c r="D13" s="30" t="s">
        <v>160</v>
      </c>
      <c r="E13" s="30" t="str">
        <f t="shared" si="0"/>
        <v>Catherine Minns</v>
      </c>
      <c r="F13" s="30">
        <v>87207915700</v>
      </c>
      <c r="G13" s="30" t="str">
        <f t="shared" si="1"/>
        <v>872079157002</v>
      </c>
      <c r="H13" s="30">
        <v>391</v>
      </c>
      <c r="I13" s="31">
        <v>46073</v>
      </c>
      <c r="J13" s="30" t="s">
        <v>28</v>
      </c>
      <c r="K13" s="30" t="s">
        <v>29</v>
      </c>
      <c r="L13" s="31">
        <v>46023</v>
      </c>
      <c r="M13" s="30" t="s">
        <v>30</v>
      </c>
      <c r="N13" s="30" t="s">
        <v>132</v>
      </c>
      <c r="O13" s="30" t="s">
        <v>135</v>
      </c>
    </row>
    <row r="14" spans="1:15" ht="15.75" customHeight="1">
      <c r="A14" s="30">
        <v>18794740</v>
      </c>
      <c r="B14" s="30" t="s">
        <v>25</v>
      </c>
      <c r="C14" s="30" t="s">
        <v>161</v>
      </c>
      <c r="D14" s="30" t="s">
        <v>162</v>
      </c>
      <c r="E14" s="30" t="str">
        <f t="shared" si="0"/>
        <v>Cheryl Bryfogle</v>
      </c>
      <c r="F14" s="30">
        <v>87207642100</v>
      </c>
      <c r="G14" s="30" t="str">
        <f t="shared" si="1"/>
        <v>872076421002</v>
      </c>
      <c r="H14" s="30">
        <v>391</v>
      </c>
      <c r="I14" s="31">
        <v>46073</v>
      </c>
      <c r="J14" s="30" t="s">
        <v>28</v>
      </c>
      <c r="K14" s="30" t="s">
        <v>29</v>
      </c>
      <c r="L14" s="31">
        <v>46023</v>
      </c>
      <c r="M14" s="30" t="s">
        <v>30</v>
      </c>
      <c r="N14" s="30" t="s">
        <v>132</v>
      </c>
      <c r="O14" s="30" t="s">
        <v>135</v>
      </c>
    </row>
    <row r="15" spans="1:15" ht="15.75" customHeight="1">
      <c r="A15" s="30">
        <v>18794740</v>
      </c>
      <c r="B15" s="30" t="s">
        <v>25</v>
      </c>
      <c r="C15" s="30" t="s">
        <v>163</v>
      </c>
      <c r="D15" s="30" t="s">
        <v>164</v>
      </c>
      <c r="E15" s="30" t="str">
        <f t="shared" si="0"/>
        <v>Christopher Peluso</v>
      </c>
      <c r="F15" s="30">
        <v>87207593800</v>
      </c>
      <c r="G15" s="30" t="str">
        <f t="shared" si="1"/>
        <v>872075938002</v>
      </c>
      <c r="H15" s="30">
        <v>391</v>
      </c>
      <c r="I15" s="31">
        <v>46073</v>
      </c>
      <c r="J15" s="30" t="s">
        <v>28</v>
      </c>
      <c r="K15" s="30" t="s">
        <v>29</v>
      </c>
      <c r="L15" s="31">
        <v>46023</v>
      </c>
      <c r="M15" s="30" t="s">
        <v>30</v>
      </c>
      <c r="N15" s="30" t="s">
        <v>132</v>
      </c>
      <c r="O15" s="30" t="s">
        <v>135</v>
      </c>
    </row>
    <row r="16" spans="1:15" ht="15.75" customHeight="1">
      <c r="A16" s="30">
        <v>18794740</v>
      </c>
      <c r="B16" s="30" t="s">
        <v>25</v>
      </c>
      <c r="C16" s="30" t="s">
        <v>165</v>
      </c>
      <c r="D16" s="30" t="s">
        <v>166</v>
      </c>
      <c r="E16" s="30" t="str">
        <f t="shared" si="0"/>
        <v>Craig Spragle</v>
      </c>
      <c r="F16" s="30">
        <v>87208492500</v>
      </c>
      <c r="G16" s="30" t="str">
        <f t="shared" si="1"/>
        <v>872084925002</v>
      </c>
      <c r="H16" s="30">
        <v>391</v>
      </c>
      <c r="I16" s="31">
        <v>46073</v>
      </c>
      <c r="J16" s="30" t="s">
        <v>28</v>
      </c>
      <c r="K16" s="30" t="s">
        <v>29</v>
      </c>
      <c r="L16" s="31">
        <v>46023</v>
      </c>
      <c r="M16" s="30" t="s">
        <v>30</v>
      </c>
      <c r="N16" s="30" t="s">
        <v>132</v>
      </c>
      <c r="O16" s="30" t="s">
        <v>135</v>
      </c>
    </row>
    <row r="17" spans="1:15" ht="15.75" customHeight="1">
      <c r="A17" s="30">
        <v>18794740</v>
      </c>
      <c r="B17" s="30" t="s">
        <v>25</v>
      </c>
      <c r="C17" s="30" t="s">
        <v>167</v>
      </c>
      <c r="D17" s="30" t="s">
        <v>168</v>
      </c>
      <c r="E17" s="30" t="str">
        <f t="shared" si="0"/>
        <v>CYNTHIA HOPPES</v>
      </c>
      <c r="F17" s="30">
        <v>87208259500</v>
      </c>
      <c r="G17" s="30" t="str">
        <f t="shared" si="1"/>
        <v>872082595002</v>
      </c>
      <c r="H17" s="30">
        <v>391</v>
      </c>
      <c r="I17" s="31">
        <v>46073</v>
      </c>
      <c r="J17" s="30" t="s">
        <v>28</v>
      </c>
      <c r="K17" s="30" t="s">
        <v>29</v>
      </c>
      <c r="L17" s="31">
        <v>46023</v>
      </c>
      <c r="M17" s="30" t="s">
        <v>30</v>
      </c>
      <c r="N17" s="30" t="s">
        <v>132</v>
      </c>
      <c r="O17" s="30" t="s">
        <v>135</v>
      </c>
    </row>
    <row r="18" spans="1:15" ht="15.75" customHeight="1">
      <c r="A18" s="30">
        <v>18794740</v>
      </c>
      <c r="B18" s="30" t="s">
        <v>25</v>
      </c>
      <c r="C18" s="30" t="s">
        <v>169</v>
      </c>
      <c r="D18" s="30" t="s">
        <v>170</v>
      </c>
      <c r="E18" s="30" t="str">
        <f t="shared" si="0"/>
        <v>Dean Tegyi</v>
      </c>
      <c r="F18" s="30">
        <v>87207914700</v>
      </c>
      <c r="G18" s="30" t="str">
        <f t="shared" si="1"/>
        <v>872079147002</v>
      </c>
      <c r="H18" s="30">
        <v>391</v>
      </c>
      <c r="I18" s="31">
        <v>46073</v>
      </c>
      <c r="J18" s="30" t="s">
        <v>28</v>
      </c>
      <c r="K18" s="30" t="s">
        <v>29</v>
      </c>
      <c r="L18" s="31">
        <v>46023</v>
      </c>
      <c r="M18" s="30" t="s">
        <v>30</v>
      </c>
      <c r="N18" s="30" t="s">
        <v>132</v>
      </c>
      <c r="O18" s="30" t="s">
        <v>135</v>
      </c>
    </row>
    <row r="19" spans="1:15" ht="15.75" customHeight="1">
      <c r="A19" s="30">
        <v>18794740</v>
      </c>
      <c r="B19" s="30" t="s">
        <v>25</v>
      </c>
      <c r="C19" s="30" t="s">
        <v>171</v>
      </c>
      <c r="D19" s="30" t="s">
        <v>172</v>
      </c>
      <c r="E19" s="30" t="str">
        <f t="shared" si="0"/>
        <v>Deborah Ehret</v>
      </c>
      <c r="F19" s="30">
        <v>87208024600</v>
      </c>
      <c r="G19" s="30" t="str">
        <f t="shared" si="1"/>
        <v>872080246002</v>
      </c>
      <c r="H19" s="30">
        <v>391</v>
      </c>
      <c r="I19" s="31">
        <v>46073</v>
      </c>
      <c r="J19" s="30" t="s">
        <v>28</v>
      </c>
      <c r="K19" s="30" t="s">
        <v>29</v>
      </c>
      <c r="L19" s="31">
        <v>46023</v>
      </c>
      <c r="M19" s="30" t="s">
        <v>30</v>
      </c>
      <c r="N19" s="30" t="s">
        <v>132</v>
      </c>
      <c r="O19" s="30" t="s">
        <v>135</v>
      </c>
    </row>
    <row r="20" spans="1:15" ht="15.75" customHeight="1">
      <c r="A20" s="30">
        <v>18794740</v>
      </c>
      <c r="B20" s="30" t="s">
        <v>25</v>
      </c>
      <c r="C20" s="30" t="s">
        <v>171</v>
      </c>
      <c r="D20" s="30" t="s">
        <v>173</v>
      </c>
      <c r="E20" s="30" t="str">
        <f t="shared" si="0"/>
        <v>Deborah Emes</v>
      </c>
      <c r="F20" s="30">
        <v>87208259800</v>
      </c>
      <c r="G20" s="30" t="str">
        <f t="shared" si="1"/>
        <v>872082598002</v>
      </c>
      <c r="H20" s="30">
        <v>391</v>
      </c>
      <c r="I20" s="31">
        <v>46073</v>
      </c>
      <c r="J20" s="30" t="s">
        <v>28</v>
      </c>
      <c r="K20" s="30" t="s">
        <v>29</v>
      </c>
      <c r="L20" s="31">
        <v>46023</v>
      </c>
      <c r="M20" s="30" t="s">
        <v>30</v>
      </c>
      <c r="N20" s="30" t="s">
        <v>132</v>
      </c>
      <c r="O20" s="30" t="s">
        <v>135</v>
      </c>
    </row>
    <row r="21" spans="1:15" ht="15.75" customHeight="1">
      <c r="A21" s="30">
        <v>18794740</v>
      </c>
      <c r="B21" s="30" t="s">
        <v>25</v>
      </c>
      <c r="C21" s="30" t="s">
        <v>171</v>
      </c>
      <c r="D21" s="30" t="s">
        <v>174</v>
      </c>
      <c r="E21" s="30" t="str">
        <f t="shared" si="0"/>
        <v>Deborah Hill</v>
      </c>
      <c r="F21" s="30">
        <v>87207593400</v>
      </c>
      <c r="G21" s="30" t="str">
        <f t="shared" si="1"/>
        <v>872075934002</v>
      </c>
      <c r="H21" s="30">
        <v>391</v>
      </c>
      <c r="I21" s="31">
        <v>46073</v>
      </c>
      <c r="J21" s="30" t="s">
        <v>28</v>
      </c>
      <c r="K21" s="30" t="s">
        <v>29</v>
      </c>
      <c r="L21" s="31">
        <v>46023</v>
      </c>
      <c r="M21" s="30" t="s">
        <v>30</v>
      </c>
      <c r="N21" s="30" t="s">
        <v>132</v>
      </c>
      <c r="O21" s="30" t="s">
        <v>135</v>
      </c>
    </row>
    <row r="22" spans="1:15" ht="15.75" customHeight="1">
      <c r="A22" s="30">
        <v>18794740</v>
      </c>
      <c r="B22" s="30" t="s">
        <v>25</v>
      </c>
      <c r="C22" s="30" t="s">
        <v>175</v>
      </c>
      <c r="D22" s="30" t="s">
        <v>176</v>
      </c>
      <c r="E22" s="30" t="str">
        <f t="shared" si="0"/>
        <v>Dennis Reinhart</v>
      </c>
      <c r="F22" s="30">
        <v>87208081200</v>
      </c>
      <c r="G22" s="30" t="str">
        <f t="shared" si="1"/>
        <v>872080812002</v>
      </c>
      <c r="H22" s="30">
        <v>391</v>
      </c>
      <c r="I22" s="31">
        <v>46073</v>
      </c>
      <c r="J22" s="30" t="s">
        <v>28</v>
      </c>
      <c r="K22" s="30" t="s">
        <v>29</v>
      </c>
      <c r="L22" s="31">
        <v>46023</v>
      </c>
      <c r="M22" s="30" t="s">
        <v>30</v>
      </c>
      <c r="N22" s="30" t="s">
        <v>132</v>
      </c>
      <c r="O22" s="30" t="s">
        <v>135</v>
      </c>
    </row>
    <row r="23" spans="1:15" ht="15.75" customHeight="1">
      <c r="A23" s="30">
        <v>18794740</v>
      </c>
      <c r="B23" s="30" t="s">
        <v>25</v>
      </c>
      <c r="C23" s="30" t="s">
        <v>177</v>
      </c>
      <c r="D23" s="30" t="s">
        <v>152</v>
      </c>
      <c r="E23" s="30" t="str">
        <f t="shared" si="0"/>
        <v>Diane Drumheller</v>
      </c>
      <c r="F23" s="30">
        <v>87208080500</v>
      </c>
      <c r="G23" s="30" t="str">
        <f t="shared" si="1"/>
        <v>872080805002</v>
      </c>
      <c r="H23" s="30">
        <v>391</v>
      </c>
      <c r="I23" s="31">
        <v>46073</v>
      </c>
      <c r="J23" s="30" t="s">
        <v>28</v>
      </c>
      <c r="K23" s="30" t="s">
        <v>29</v>
      </c>
      <c r="L23" s="31">
        <v>46023</v>
      </c>
      <c r="M23" s="30" t="s">
        <v>30</v>
      </c>
      <c r="N23" s="30" t="s">
        <v>132</v>
      </c>
      <c r="O23" s="30" t="s">
        <v>135</v>
      </c>
    </row>
    <row r="24" spans="1:15" ht="15.75" customHeight="1">
      <c r="A24" s="30">
        <v>18794740</v>
      </c>
      <c r="B24" s="30" t="s">
        <v>25</v>
      </c>
      <c r="C24" s="30" t="s">
        <v>177</v>
      </c>
      <c r="D24" s="30" t="s">
        <v>176</v>
      </c>
      <c r="E24" s="30" t="str">
        <f t="shared" si="0"/>
        <v>Diane Reinhart</v>
      </c>
      <c r="F24" s="30">
        <v>87208081000</v>
      </c>
      <c r="G24" s="30" t="str">
        <f t="shared" si="1"/>
        <v>872080810002</v>
      </c>
      <c r="H24" s="30">
        <v>391</v>
      </c>
      <c r="I24" s="31">
        <v>46073</v>
      </c>
      <c r="J24" s="30" t="s">
        <v>28</v>
      </c>
      <c r="K24" s="30" t="s">
        <v>29</v>
      </c>
      <c r="L24" s="31">
        <v>46023</v>
      </c>
      <c r="M24" s="30" t="s">
        <v>30</v>
      </c>
      <c r="N24" s="30" t="s">
        <v>132</v>
      </c>
      <c r="O24" s="30" t="s">
        <v>135</v>
      </c>
    </row>
    <row r="25" spans="1:15" ht="15.75" customHeight="1">
      <c r="A25" s="30">
        <v>18794740</v>
      </c>
      <c r="B25" s="30" t="s">
        <v>25</v>
      </c>
      <c r="C25" s="30" t="s">
        <v>177</v>
      </c>
      <c r="D25" s="30" t="s">
        <v>178</v>
      </c>
      <c r="E25" s="30" t="str">
        <f t="shared" si="0"/>
        <v>Diane Zeoli</v>
      </c>
      <c r="F25" s="30">
        <v>87208258800</v>
      </c>
      <c r="G25" s="30" t="str">
        <f t="shared" si="1"/>
        <v>872082588002</v>
      </c>
      <c r="H25" s="30">
        <v>391</v>
      </c>
      <c r="I25" s="31">
        <v>46073</v>
      </c>
      <c r="J25" s="30" t="s">
        <v>28</v>
      </c>
      <c r="K25" s="30" t="s">
        <v>29</v>
      </c>
      <c r="L25" s="31">
        <v>46023</v>
      </c>
      <c r="M25" s="30" t="s">
        <v>30</v>
      </c>
      <c r="N25" s="30" t="s">
        <v>132</v>
      </c>
      <c r="O25" s="30" t="s">
        <v>135</v>
      </c>
    </row>
    <row r="26" spans="1:15" ht="15.75" customHeight="1">
      <c r="A26" s="30">
        <v>18794740</v>
      </c>
      <c r="B26" s="30" t="s">
        <v>25</v>
      </c>
      <c r="C26" s="30" t="s">
        <v>179</v>
      </c>
      <c r="D26" s="30" t="s">
        <v>180</v>
      </c>
      <c r="E26" s="30" t="str">
        <f t="shared" si="0"/>
        <v>Dolores Riek</v>
      </c>
      <c r="F26" s="30">
        <v>87208304600</v>
      </c>
      <c r="G26" s="30" t="str">
        <f t="shared" si="1"/>
        <v>872083046002</v>
      </c>
      <c r="H26" s="30">
        <v>391</v>
      </c>
      <c r="I26" s="31">
        <v>46073</v>
      </c>
      <c r="J26" s="30" t="s">
        <v>28</v>
      </c>
      <c r="K26" s="30" t="s">
        <v>29</v>
      </c>
      <c r="L26" s="31">
        <v>46023</v>
      </c>
      <c r="M26" s="30" t="s">
        <v>30</v>
      </c>
      <c r="N26" s="30" t="s">
        <v>132</v>
      </c>
      <c r="O26" s="30" t="s">
        <v>135</v>
      </c>
    </row>
    <row r="27" spans="1:15" ht="15.75" customHeight="1">
      <c r="A27" s="30">
        <v>18794740</v>
      </c>
      <c r="B27" s="30" t="s">
        <v>25</v>
      </c>
      <c r="C27" s="30" t="s">
        <v>181</v>
      </c>
      <c r="D27" s="30" t="s">
        <v>182</v>
      </c>
      <c r="E27" s="30" t="str">
        <f t="shared" si="0"/>
        <v>Doris Lendin</v>
      </c>
      <c r="F27" s="30">
        <v>87208025000</v>
      </c>
      <c r="G27" s="30" t="str">
        <f t="shared" si="1"/>
        <v>872080250002</v>
      </c>
      <c r="H27" s="30">
        <v>391</v>
      </c>
      <c r="I27" s="31">
        <v>46073</v>
      </c>
      <c r="J27" s="30" t="s">
        <v>28</v>
      </c>
      <c r="K27" s="30" t="s">
        <v>29</v>
      </c>
      <c r="L27" s="31">
        <v>46023</v>
      </c>
      <c r="M27" s="30" t="s">
        <v>30</v>
      </c>
      <c r="N27" s="30" t="s">
        <v>132</v>
      </c>
      <c r="O27" s="30" t="s">
        <v>135</v>
      </c>
    </row>
    <row r="28" spans="1:15" ht="15.75" customHeight="1">
      <c r="A28" s="30">
        <v>18794740</v>
      </c>
      <c r="B28" s="30" t="s">
        <v>25</v>
      </c>
      <c r="C28" s="30" t="s">
        <v>183</v>
      </c>
      <c r="D28" s="30" t="s">
        <v>184</v>
      </c>
      <c r="E28" s="30" t="str">
        <f t="shared" si="0"/>
        <v>Edward Aranki</v>
      </c>
      <c r="F28" s="30">
        <v>87208080600</v>
      </c>
      <c r="G28" s="30" t="str">
        <f t="shared" si="1"/>
        <v>872080806002</v>
      </c>
      <c r="H28" s="30">
        <v>391</v>
      </c>
      <c r="I28" s="31">
        <v>46073</v>
      </c>
      <c r="J28" s="30" t="s">
        <v>28</v>
      </c>
      <c r="K28" s="30" t="s">
        <v>29</v>
      </c>
      <c r="L28" s="31">
        <v>46023</v>
      </c>
      <c r="M28" s="30" t="s">
        <v>30</v>
      </c>
      <c r="N28" s="30" t="s">
        <v>132</v>
      </c>
      <c r="O28" s="30" t="s">
        <v>135</v>
      </c>
    </row>
    <row r="29" spans="1:15" ht="15.75" customHeight="1">
      <c r="A29" s="30">
        <v>18794740</v>
      </c>
      <c r="B29" s="30" t="s">
        <v>25</v>
      </c>
      <c r="C29" s="30" t="s">
        <v>185</v>
      </c>
      <c r="D29" s="30" t="s">
        <v>186</v>
      </c>
      <c r="E29" s="30" t="str">
        <f t="shared" si="0"/>
        <v>Eric Kuder</v>
      </c>
      <c r="F29" s="30">
        <v>87208653400</v>
      </c>
      <c r="G29" s="30" t="str">
        <f t="shared" si="1"/>
        <v>872086534002</v>
      </c>
      <c r="H29" s="30">
        <v>391</v>
      </c>
      <c r="I29" s="31">
        <v>46073</v>
      </c>
      <c r="J29" s="30" t="s">
        <v>28</v>
      </c>
      <c r="K29" s="30" t="s">
        <v>29</v>
      </c>
      <c r="L29" s="31">
        <v>46023</v>
      </c>
      <c r="M29" s="30" t="s">
        <v>30</v>
      </c>
      <c r="N29" s="30" t="s">
        <v>132</v>
      </c>
      <c r="O29" s="30" t="s">
        <v>135</v>
      </c>
    </row>
    <row r="30" spans="1:15" ht="15.75" customHeight="1">
      <c r="A30" s="30">
        <v>18794740</v>
      </c>
      <c r="B30" s="30" t="s">
        <v>25</v>
      </c>
      <c r="C30" s="30" t="s">
        <v>187</v>
      </c>
      <c r="D30" s="30" t="s">
        <v>188</v>
      </c>
      <c r="E30" s="30" t="str">
        <f t="shared" si="0"/>
        <v>Flavia Dutra</v>
      </c>
      <c r="F30" s="30">
        <v>87208080800</v>
      </c>
      <c r="G30" s="30" t="str">
        <f t="shared" si="1"/>
        <v>872080808002</v>
      </c>
      <c r="H30" s="30">
        <v>391</v>
      </c>
      <c r="I30" s="31">
        <v>46073</v>
      </c>
      <c r="J30" s="30" t="s">
        <v>28</v>
      </c>
      <c r="K30" s="30" t="s">
        <v>29</v>
      </c>
      <c r="L30" s="31">
        <v>46023</v>
      </c>
      <c r="M30" s="30" t="s">
        <v>30</v>
      </c>
      <c r="N30" s="30" t="s">
        <v>132</v>
      </c>
      <c r="O30" s="30" t="s">
        <v>135</v>
      </c>
    </row>
    <row r="31" spans="1:15" ht="15.75" customHeight="1">
      <c r="A31" s="30">
        <v>18794740</v>
      </c>
      <c r="B31" s="30" t="s">
        <v>25</v>
      </c>
      <c r="C31" s="30" t="s">
        <v>189</v>
      </c>
      <c r="D31" s="30" t="s">
        <v>190</v>
      </c>
      <c r="E31" s="30" t="str">
        <f t="shared" si="0"/>
        <v>Frances Palladino</v>
      </c>
      <c r="F31" s="30">
        <v>87208531000</v>
      </c>
      <c r="G31" s="30" t="str">
        <f t="shared" si="1"/>
        <v>872085310002</v>
      </c>
      <c r="H31" s="30">
        <v>391</v>
      </c>
      <c r="I31" s="31">
        <v>46073</v>
      </c>
      <c r="J31" s="30" t="s">
        <v>28</v>
      </c>
      <c r="K31" s="30" t="s">
        <v>29</v>
      </c>
      <c r="L31" s="31">
        <v>46023</v>
      </c>
      <c r="M31" s="30" t="s">
        <v>30</v>
      </c>
      <c r="N31" s="30" t="s">
        <v>132</v>
      </c>
      <c r="O31" s="30" t="s">
        <v>135</v>
      </c>
    </row>
    <row r="32" spans="1:15" ht="15.75" customHeight="1">
      <c r="A32" s="30">
        <v>18794740</v>
      </c>
      <c r="B32" s="30" t="s">
        <v>25</v>
      </c>
      <c r="C32" s="30" t="s">
        <v>191</v>
      </c>
      <c r="D32" s="30" t="s">
        <v>192</v>
      </c>
      <c r="E32" s="30" t="str">
        <f t="shared" si="0"/>
        <v>Frank Berghold</v>
      </c>
      <c r="F32" s="30">
        <v>87208368200</v>
      </c>
      <c r="G32" s="30" t="str">
        <f t="shared" si="1"/>
        <v>872083682002</v>
      </c>
      <c r="H32" s="30">
        <v>391</v>
      </c>
      <c r="I32" s="31">
        <v>46073</v>
      </c>
      <c r="J32" s="30" t="s">
        <v>28</v>
      </c>
      <c r="K32" s="30" t="s">
        <v>29</v>
      </c>
      <c r="L32" s="31">
        <v>46023</v>
      </c>
      <c r="M32" s="30" t="s">
        <v>30</v>
      </c>
      <c r="N32" s="30" t="s">
        <v>132</v>
      </c>
      <c r="O32" s="30" t="s">
        <v>135</v>
      </c>
    </row>
    <row r="33" spans="1:15" ht="15.75" customHeight="1">
      <c r="A33" s="30">
        <v>18794740</v>
      </c>
      <c r="B33" s="30" t="s">
        <v>25</v>
      </c>
      <c r="C33" s="30" t="s">
        <v>193</v>
      </c>
      <c r="D33" s="30" t="s">
        <v>194</v>
      </c>
      <c r="E33" s="30" t="str">
        <f t="shared" si="0"/>
        <v>Gary Panasik</v>
      </c>
      <c r="F33" s="30">
        <v>87207916000</v>
      </c>
      <c r="G33" s="30" t="str">
        <f t="shared" si="1"/>
        <v>872079160002</v>
      </c>
      <c r="H33" s="30">
        <v>391</v>
      </c>
      <c r="I33" s="31">
        <v>46073</v>
      </c>
      <c r="J33" s="30" t="s">
        <v>28</v>
      </c>
      <c r="K33" s="30" t="s">
        <v>29</v>
      </c>
      <c r="L33" s="31">
        <v>46023</v>
      </c>
      <c r="M33" s="30" t="s">
        <v>30</v>
      </c>
      <c r="N33" s="30" t="s">
        <v>132</v>
      </c>
      <c r="O33" s="30" t="s">
        <v>135</v>
      </c>
    </row>
    <row r="34" spans="1:15" ht="15.75" customHeight="1">
      <c r="A34" s="30">
        <v>18794740</v>
      </c>
      <c r="B34" s="30" t="s">
        <v>25</v>
      </c>
      <c r="C34" s="30" t="s">
        <v>195</v>
      </c>
      <c r="D34" s="30" t="s">
        <v>196</v>
      </c>
      <c r="E34" s="30" t="str">
        <f t="shared" si="0"/>
        <v>George Saadeh</v>
      </c>
      <c r="F34" s="30">
        <v>87208738400</v>
      </c>
      <c r="G34" s="30" t="str">
        <f t="shared" si="1"/>
        <v>872087384002</v>
      </c>
      <c r="H34" s="30">
        <v>391</v>
      </c>
      <c r="I34" s="31">
        <v>46073</v>
      </c>
      <c r="J34" s="30" t="s">
        <v>28</v>
      </c>
      <c r="K34" s="30" t="s">
        <v>29</v>
      </c>
      <c r="L34" s="31">
        <v>46023</v>
      </c>
      <c r="M34" s="30" t="s">
        <v>30</v>
      </c>
      <c r="N34" s="30" t="s">
        <v>132</v>
      </c>
      <c r="O34" s="30" t="s">
        <v>135</v>
      </c>
    </row>
    <row r="35" spans="1:15" ht="15.75" customHeight="1">
      <c r="A35" s="30">
        <v>18794740</v>
      </c>
      <c r="B35" s="30" t="s">
        <v>25</v>
      </c>
      <c r="C35" s="30" t="s">
        <v>197</v>
      </c>
      <c r="D35" s="30" t="s">
        <v>198</v>
      </c>
      <c r="E35" s="30" t="str">
        <f t="shared" si="0"/>
        <v>Gregory Geiger</v>
      </c>
      <c r="F35" s="30">
        <v>87207914800</v>
      </c>
      <c r="G35" s="30" t="str">
        <f t="shared" si="1"/>
        <v>872079148002</v>
      </c>
      <c r="H35" s="30">
        <v>391</v>
      </c>
      <c r="I35" s="31">
        <v>46073</v>
      </c>
      <c r="J35" s="30" t="s">
        <v>28</v>
      </c>
      <c r="K35" s="30" t="s">
        <v>29</v>
      </c>
      <c r="L35" s="31">
        <v>46023</v>
      </c>
      <c r="M35" s="30" t="s">
        <v>30</v>
      </c>
      <c r="N35" s="30" t="s">
        <v>132</v>
      </c>
      <c r="O35" s="30" t="s">
        <v>135</v>
      </c>
    </row>
    <row r="36" spans="1:15" ht="15.75" customHeight="1">
      <c r="A36" s="30">
        <v>18794740</v>
      </c>
      <c r="B36" s="30" t="s">
        <v>25</v>
      </c>
      <c r="C36" s="30" t="s">
        <v>199</v>
      </c>
      <c r="D36" s="30" t="s">
        <v>200</v>
      </c>
      <c r="E36" s="30" t="str">
        <f t="shared" si="0"/>
        <v>Irene Hayward</v>
      </c>
      <c r="F36" s="30">
        <v>87208606600</v>
      </c>
      <c r="G36" s="30" t="str">
        <f t="shared" si="1"/>
        <v>872086066002</v>
      </c>
      <c r="H36" s="30">
        <v>391</v>
      </c>
      <c r="I36" s="31">
        <v>46073</v>
      </c>
      <c r="J36" s="30" t="s">
        <v>28</v>
      </c>
      <c r="K36" s="30" t="s">
        <v>29</v>
      </c>
      <c r="L36" s="31">
        <v>46023</v>
      </c>
      <c r="M36" s="30" t="s">
        <v>30</v>
      </c>
      <c r="N36" s="30" t="s">
        <v>132</v>
      </c>
      <c r="O36" s="30" t="s">
        <v>135</v>
      </c>
    </row>
    <row r="37" spans="1:15" ht="15.75" customHeight="1">
      <c r="A37" s="30">
        <v>18794740</v>
      </c>
      <c r="B37" s="30" t="s">
        <v>25</v>
      </c>
      <c r="C37" s="30" t="s">
        <v>201</v>
      </c>
      <c r="D37" s="30" t="s">
        <v>202</v>
      </c>
      <c r="E37" s="30" t="str">
        <f t="shared" si="0"/>
        <v>Jacalyn Tercha</v>
      </c>
      <c r="F37" s="30">
        <v>87208368300</v>
      </c>
      <c r="G37" s="30" t="str">
        <f t="shared" si="1"/>
        <v>872083683002</v>
      </c>
      <c r="H37" s="30">
        <v>391</v>
      </c>
      <c r="I37" s="31">
        <v>46073</v>
      </c>
      <c r="J37" s="30" t="s">
        <v>28</v>
      </c>
      <c r="K37" s="30" t="s">
        <v>29</v>
      </c>
      <c r="L37" s="31">
        <v>46023</v>
      </c>
      <c r="M37" s="30" t="s">
        <v>30</v>
      </c>
      <c r="N37" s="30" t="s">
        <v>132</v>
      </c>
      <c r="O37" s="30" t="s">
        <v>135</v>
      </c>
    </row>
    <row r="38" spans="1:15" ht="15.75" customHeight="1">
      <c r="A38" s="30">
        <v>18794740</v>
      </c>
      <c r="B38" s="30" t="s">
        <v>25</v>
      </c>
      <c r="C38" s="30" t="s">
        <v>203</v>
      </c>
      <c r="D38" s="30" t="s">
        <v>188</v>
      </c>
      <c r="E38" s="30" t="str">
        <f t="shared" si="0"/>
        <v>Jaime Dutra</v>
      </c>
      <c r="F38" s="30">
        <v>87208080700</v>
      </c>
      <c r="G38" s="30" t="str">
        <f t="shared" si="1"/>
        <v>872080807002</v>
      </c>
      <c r="H38" s="30">
        <v>391</v>
      </c>
      <c r="I38" s="31">
        <v>46073</v>
      </c>
      <c r="J38" s="30" t="s">
        <v>28</v>
      </c>
      <c r="K38" s="30" t="s">
        <v>29</v>
      </c>
      <c r="L38" s="31">
        <v>46023</v>
      </c>
      <c r="M38" s="30" t="s">
        <v>30</v>
      </c>
      <c r="N38" s="30" t="s">
        <v>132</v>
      </c>
      <c r="O38" s="30" t="s">
        <v>135</v>
      </c>
    </row>
    <row r="39" spans="1:15" ht="15.75" customHeight="1">
      <c r="A39" s="30">
        <v>18794740</v>
      </c>
      <c r="B39" s="30" t="s">
        <v>25</v>
      </c>
      <c r="C39" s="30" t="s">
        <v>204</v>
      </c>
      <c r="D39" s="30" t="s">
        <v>205</v>
      </c>
      <c r="E39" s="30" t="str">
        <f t="shared" si="0"/>
        <v>Jay Bell</v>
      </c>
      <c r="F39" s="30">
        <v>87208492800</v>
      </c>
      <c r="G39" s="30" t="str">
        <f t="shared" si="1"/>
        <v>872084928002</v>
      </c>
      <c r="H39" s="30">
        <v>391</v>
      </c>
      <c r="I39" s="31">
        <v>46073</v>
      </c>
      <c r="J39" s="30" t="s">
        <v>28</v>
      </c>
      <c r="K39" s="30" t="s">
        <v>29</v>
      </c>
      <c r="L39" s="31">
        <v>46023</v>
      </c>
      <c r="M39" s="30" t="s">
        <v>30</v>
      </c>
      <c r="N39" s="30" t="s">
        <v>132</v>
      </c>
      <c r="O39" s="30" t="s">
        <v>135</v>
      </c>
    </row>
    <row r="40" spans="1:15" ht="15.75" customHeight="1">
      <c r="A40" s="30">
        <v>18794740</v>
      </c>
      <c r="B40" s="30" t="s">
        <v>25</v>
      </c>
      <c r="C40" s="30" t="s">
        <v>206</v>
      </c>
      <c r="D40" s="30" t="s">
        <v>207</v>
      </c>
      <c r="E40" s="30" t="str">
        <f t="shared" si="0"/>
        <v>Jeffrey Parise</v>
      </c>
      <c r="F40" s="30">
        <v>87207594200</v>
      </c>
      <c r="G40" s="30" t="str">
        <f t="shared" si="1"/>
        <v>872075942002</v>
      </c>
      <c r="H40" s="30">
        <v>391</v>
      </c>
      <c r="I40" s="31">
        <v>46073</v>
      </c>
      <c r="J40" s="30" t="s">
        <v>28</v>
      </c>
      <c r="K40" s="30" t="s">
        <v>29</v>
      </c>
      <c r="L40" s="31">
        <v>46023</v>
      </c>
      <c r="M40" s="30" t="s">
        <v>30</v>
      </c>
      <c r="N40" s="30" t="s">
        <v>132</v>
      </c>
      <c r="O40" s="30" t="s">
        <v>135</v>
      </c>
    </row>
    <row r="41" spans="1:15" ht="15.75" customHeight="1">
      <c r="A41" s="30">
        <v>18794740</v>
      </c>
      <c r="B41" s="30" t="s">
        <v>25</v>
      </c>
      <c r="C41" s="30" t="s">
        <v>208</v>
      </c>
      <c r="D41" s="30" t="s">
        <v>209</v>
      </c>
      <c r="E41" s="30" t="str">
        <f t="shared" si="0"/>
        <v>Jennifer Roesch</v>
      </c>
      <c r="F41" s="30">
        <v>87208653300</v>
      </c>
      <c r="G41" s="30" t="str">
        <f t="shared" si="1"/>
        <v>872086533002</v>
      </c>
      <c r="H41" s="30">
        <v>391</v>
      </c>
      <c r="I41" s="31">
        <v>46073</v>
      </c>
      <c r="J41" s="30" t="s">
        <v>28</v>
      </c>
      <c r="K41" s="30" t="s">
        <v>29</v>
      </c>
      <c r="L41" s="31">
        <v>46023</v>
      </c>
      <c r="M41" s="30" t="s">
        <v>30</v>
      </c>
      <c r="N41" s="30" t="s">
        <v>132</v>
      </c>
      <c r="O41" s="30" t="s">
        <v>135</v>
      </c>
    </row>
    <row r="42" spans="1:15" ht="15.75" customHeight="1">
      <c r="A42" s="30">
        <v>18794740</v>
      </c>
      <c r="B42" s="30" t="s">
        <v>25</v>
      </c>
      <c r="C42" s="30" t="s">
        <v>210</v>
      </c>
      <c r="D42" s="30" t="s">
        <v>211</v>
      </c>
      <c r="E42" s="30" t="str">
        <f t="shared" si="0"/>
        <v>Jesus Trevezo</v>
      </c>
      <c r="F42" s="30">
        <v>87207641800</v>
      </c>
      <c r="G42" s="30" t="str">
        <f t="shared" si="1"/>
        <v>872076418002</v>
      </c>
      <c r="H42" s="30">
        <v>391</v>
      </c>
      <c r="I42" s="31">
        <v>46073</v>
      </c>
      <c r="J42" s="30" t="s">
        <v>28</v>
      </c>
      <c r="K42" s="30" t="s">
        <v>29</v>
      </c>
      <c r="L42" s="31">
        <v>46023</v>
      </c>
      <c r="M42" s="30" t="s">
        <v>30</v>
      </c>
      <c r="N42" s="30" t="s">
        <v>132</v>
      </c>
      <c r="O42" s="30" t="s">
        <v>135</v>
      </c>
    </row>
    <row r="43" spans="1:15" ht="15.75" customHeight="1">
      <c r="A43" s="30">
        <v>18794740</v>
      </c>
      <c r="B43" s="30" t="s">
        <v>25</v>
      </c>
      <c r="C43" s="30" t="s">
        <v>138</v>
      </c>
      <c r="D43" s="30" t="s">
        <v>139</v>
      </c>
      <c r="E43" s="30" t="str">
        <f t="shared" si="0"/>
        <v>John Moyer</v>
      </c>
      <c r="F43" s="30">
        <v>87207915100</v>
      </c>
      <c r="G43" s="30" t="str">
        <f t="shared" si="1"/>
        <v>872079151002</v>
      </c>
      <c r="H43" s="30">
        <v>391</v>
      </c>
      <c r="I43" s="31">
        <v>46073</v>
      </c>
      <c r="J43" s="30" t="s">
        <v>28</v>
      </c>
      <c r="K43" s="30" t="s">
        <v>29</v>
      </c>
      <c r="L43" s="31">
        <v>46023</v>
      </c>
      <c r="M43" s="30" t="s">
        <v>30</v>
      </c>
      <c r="N43" s="30" t="s">
        <v>132</v>
      </c>
      <c r="O43" s="30" t="s">
        <v>135</v>
      </c>
    </row>
    <row r="44" spans="1:15" ht="15.75" customHeight="1">
      <c r="A44" s="30">
        <v>18794740</v>
      </c>
      <c r="B44" s="30" t="s">
        <v>25</v>
      </c>
      <c r="C44" s="30" t="s">
        <v>212</v>
      </c>
      <c r="D44" s="30" t="s">
        <v>213</v>
      </c>
      <c r="E44" s="30" t="str">
        <f t="shared" si="0"/>
        <v>Joseph Ruggeri</v>
      </c>
      <c r="F44" s="30">
        <v>87207594900</v>
      </c>
      <c r="G44" s="30" t="str">
        <f t="shared" si="1"/>
        <v>872075949002</v>
      </c>
      <c r="H44" s="30">
        <v>391</v>
      </c>
      <c r="I44" s="31">
        <v>46073</v>
      </c>
      <c r="J44" s="30" t="s">
        <v>28</v>
      </c>
      <c r="K44" s="30" t="s">
        <v>29</v>
      </c>
      <c r="L44" s="31">
        <v>46023</v>
      </c>
      <c r="M44" s="30" t="s">
        <v>30</v>
      </c>
      <c r="N44" s="30" t="s">
        <v>132</v>
      </c>
      <c r="O44" s="30" t="s">
        <v>135</v>
      </c>
    </row>
    <row r="45" spans="1:15" ht="15.75" customHeight="1">
      <c r="A45" s="30">
        <v>18794740</v>
      </c>
      <c r="B45" s="30" t="s">
        <v>25</v>
      </c>
      <c r="C45" s="30" t="s">
        <v>212</v>
      </c>
      <c r="D45" s="30" t="s">
        <v>190</v>
      </c>
      <c r="E45" s="30" t="str">
        <f t="shared" si="0"/>
        <v>Joseph Palladino</v>
      </c>
      <c r="F45" s="30">
        <v>87208530900</v>
      </c>
      <c r="G45" s="30" t="str">
        <f t="shared" si="1"/>
        <v>872085309002</v>
      </c>
      <c r="H45" s="30">
        <v>391</v>
      </c>
      <c r="I45" s="31">
        <v>46073</v>
      </c>
      <c r="J45" s="30" t="s">
        <v>28</v>
      </c>
      <c r="K45" s="30" t="s">
        <v>29</v>
      </c>
      <c r="L45" s="31">
        <v>46023</v>
      </c>
      <c r="M45" s="30" t="s">
        <v>30</v>
      </c>
      <c r="N45" s="30" t="s">
        <v>132</v>
      </c>
      <c r="O45" s="30" t="s">
        <v>135</v>
      </c>
    </row>
    <row r="46" spans="1:15" ht="15.75" customHeight="1">
      <c r="A46" s="30">
        <v>18794740</v>
      </c>
      <c r="B46" s="30" t="s">
        <v>25</v>
      </c>
      <c r="C46" s="30" t="s">
        <v>214</v>
      </c>
      <c r="D46" s="30" t="s">
        <v>192</v>
      </c>
      <c r="E46" s="30" t="str">
        <f t="shared" si="0"/>
        <v>Karen Berghold</v>
      </c>
      <c r="F46" s="30">
        <v>87208368100</v>
      </c>
      <c r="G46" s="30" t="str">
        <f t="shared" si="1"/>
        <v>872083681002</v>
      </c>
      <c r="H46" s="30">
        <v>391</v>
      </c>
      <c r="I46" s="31">
        <v>46073</v>
      </c>
      <c r="J46" s="30" t="s">
        <v>28</v>
      </c>
      <c r="K46" s="30" t="s">
        <v>29</v>
      </c>
      <c r="L46" s="31">
        <v>46023</v>
      </c>
      <c r="M46" s="30" t="s">
        <v>30</v>
      </c>
      <c r="N46" s="30" t="s">
        <v>132</v>
      </c>
      <c r="O46" s="30" t="s">
        <v>135</v>
      </c>
    </row>
    <row r="47" spans="1:15" ht="15.75" customHeight="1">
      <c r="A47" s="30">
        <v>18794740</v>
      </c>
      <c r="B47" s="30" t="s">
        <v>25</v>
      </c>
      <c r="C47" s="30" t="s">
        <v>215</v>
      </c>
      <c r="D47" s="30" t="s">
        <v>162</v>
      </c>
      <c r="E47" s="30" t="str">
        <f t="shared" si="0"/>
        <v>Keith Bryfogle</v>
      </c>
      <c r="F47" s="30">
        <v>87207642000</v>
      </c>
      <c r="G47" s="30" t="str">
        <f t="shared" si="1"/>
        <v>872076420002</v>
      </c>
      <c r="H47" s="30">
        <v>391</v>
      </c>
      <c r="I47" s="31">
        <v>46073</v>
      </c>
      <c r="J47" s="30" t="s">
        <v>28</v>
      </c>
      <c r="K47" s="30" t="s">
        <v>29</v>
      </c>
      <c r="L47" s="31">
        <v>46023</v>
      </c>
      <c r="M47" s="30" t="s">
        <v>30</v>
      </c>
      <c r="N47" s="30" t="s">
        <v>132</v>
      </c>
      <c r="O47" s="30" t="s">
        <v>135</v>
      </c>
    </row>
    <row r="48" spans="1:15" ht="15.75" customHeight="1">
      <c r="A48" s="30">
        <v>18794740</v>
      </c>
      <c r="B48" s="30" t="s">
        <v>25</v>
      </c>
      <c r="C48" s="30" t="s">
        <v>216</v>
      </c>
      <c r="D48" s="30" t="s">
        <v>217</v>
      </c>
      <c r="E48" s="30" t="str">
        <f t="shared" si="0"/>
        <v>Leila Ojeil</v>
      </c>
      <c r="F48" s="30">
        <v>87208258700</v>
      </c>
      <c r="G48" s="30" t="str">
        <f t="shared" si="1"/>
        <v>872082587002</v>
      </c>
      <c r="H48" s="30">
        <v>391</v>
      </c>
      <c r="I48" s="31">
        <v>46073</v>
      </c>
      <c r="J48" s="30" t="s">
        <v>28</v>
      </c>
      <c r="K48" s="30" t="s">
        <v>29</v>
      </c>
      <c r="L48" s="31">
        <v>46023</v>
      </c>
      <c r="M48" s="30" t="s">
        <v>30</v>
      </c>
      <c r="N48" s="30" t="s">
        <v>132</v>
      </c>
      <c r="O48" s="30" t="s">
        <v>135</v>
      </c>
    </row>
    <row r="49" spans="1:15" ht="15.75" customHeight="1">
      <c r="A49" s="30">
        <v>18794740</v>
      </c>
      <c r="B49" s="30" t="s">
        <v>25</v>
      </c>
      <c r="C49" s="30" t="s">
        <v>218</v>
      </c>
      <c r="D49" s="30" t="s">
        <v>211</v>
      </c>
      <c r="E49" s="30" t="str">
        <f t="shared" si="0"/>
        <v>Leslie Trevezo</v>
      </c>
      <c r="F49" s="30">
        <v>87207641900</v>
      </c>
      <c r="G49" s="30" t="str">
        <f t="shared" si="1"/>
        <v>872076419002</v>
      </c>
      <c r="H49" s="30">
        <v>391</v>
      </c>
      <c r="I49" s="31">
        <v>46073</v>
      </c>
      <c r="J49" s="30" t="s">
        <v>28</v>
      </c>
      <c r="K49" s="30" t="s">
        <v>29</v>
      </c>
      <c r="L49" s="31">
        <v>46023</v>
      </c>
      <c r="M49" s="30" t="s">
        <v>30</v>
      </c>
      <c r="N49" s="30" t="s">
        <v>132</v>
      </c>
      <c r="O49" s="30" t="s">
        <v>135</v>
      </c>
    </row>
    <row r="50" spans="1:15" ht="15.75" customHeight="1">
      <c r="A50" s="30">
        <v>18794740</v>
      </c>
      <c r="B50" s="30" t="s">
        <v>25</v>
      </c>
      <c r="C50" s="30" t="s">
        <v>219</v>
      </c>
      <c r="D50" s="30" t="s">
        <v>220</v>
      </c>
      <c r="E50" s="30" t="str">
        <f t="shared" si="0"/>
        <v>Lori Sensinger</v>
      </c>
      <c r="F50" s="30">
        <v>87207593900</v>
      </c>
      <c r="G50" s="30" t="str">
        <f t="shared" si="1"/>
        <v>872075939002</v>
      </c>
      <c r="H50" s="30">
        <v>391</v>
      </c>
      <c r="I50" s="31">
        <v>46073</v>
      </c>
      <c r="J50" s="30" t="s">
        <v>28</v>
      </c>
      <c r="K50" s="30" t="s">
        <v>29</v>
      </c>
      <c r="L50" s="31">
        <v>46023</v>
      </c>
      <c r="M50" s="30" t="s">
        <v>30</v>
      </c>
      <c r="N50" s="30" t="s">
        <v>132</v>
      </c>
      <c r="O50" s="30" t="s">
        <v>135</v>
      </c>
    </row>
    <row r="51" spans="1:15" ht="15.75" customHeight="1">
      <c r="A51" s="30">
        <v>18794740</v>
      </c>
      <c r="B51" s="30" t="s">
        <v>25</v>
      </c>
      <c r="C51" s="30" t="s">
        <v>221</v>
      </c>
      <c r="D51" s="30" t="s">
        <v>217</v>
      </c>
      <c r="E51" s="30" t="str">
        <f t="shared" si="0"/>
        <v>Louis Ojeil</v>
      </c>
      <c r="F51" s="30">
        <v>87208258600</v>
      </c>
      <c r="G51" s="30" t="str">
        <f t="shared" si="1"/>
        <v>872082586002</v>
      </c>
      <c r="H51" s="30">
        <v>391</v>
      </c>
      <c r="I51" s="31">
        <v>46073</v>
      </c>
      <c r="J51" s="30" t="s">
        <v>28</v>
      </c>
      <c r="K51" s="30" t="s">
        <v>29</v>
      </c>
      <c r="L51" s="31">
        <v>46023</v>
      </c>
      <c r="M51" s="30" t="s">
        <v>30</v>
      </c>
      <c r="N51" s="30" t="s">
        <v>132</v>
      </c>
      <c r="O51" s="30" t="s">
        <v>135</v>
      </c>
    </row>
    <row r="52" spans="1:15" ht="15.75" customHeight="1">
      <c r="A52" s="30">
        <v>18794740</v>
      </c>
      <c r="B52" s="30" t="s">
        <v>25</v>
      </c>
      <c r="C52" s="30" t="s">
        <v>222</v>
      </c>
      <c r="D52" s="30" t="s">
        <v>146</v>
      </c>
      <c r="E52" s="30" t="str">
        <f t="shared" si="0"/>
        <v>Lucy Diaz</v>
      </c>
      <c r="F52" s="30">
        <v>87209218000</v>
      </c>
      <c r="G52" s="30" t="str">
        <f t="shared" si="1"/>
        <v>872092180002</v>
      </c>
      <c r="H52" s="30">
        <v>391</v>
      </c>
      <c r="I52" s="31">
        <v>46073</v>
      </c>
      <c r="J52" s="30" t="s">
        <v>28</v>
      </c>
      <c r="K52" s="30" t="s">
        <v>29</v>
      </c>
      <c r="L52" s="31">
        <v>46023</v>
      </c>
      <c r="M52" s="30" t="s">
        <v>30</v>
      </c>
      <c r="N52" s="30" t="s">
        <v>132</v>
      </c>
      <c r="O52" s="30" t="s">
        <v>135</v>
      </c>
    </row>
    <row r="53" spans="1:15" ht="15.75" customHeight="1">
      <c r="A53" s="30">
        <v>18794740</v>
      </c>
      <c r="B53" s="30" t="s">
        <v>25</v>
      </c>
      <c r="C53" s="30" t="s">
        <v>223</v>
      </c>
      <c r="D53" s="30" t="s">
        <v>224</v>
      </c>
      <c r="E53" s="30" t="str">
        <f t="shared" si="0"/>
        <v>Maani Nemeh</v>
      </c>
      <c r="F53" s="30">
        <v>87207594700</v>
      </c>
      <c r="G53" s="30" t="str">
        <f t="shared" si="1"/>
        <v>872075947002</v>
      </c>
      <c r="H53" s="30">
        <v>391</v>
      </c>
      <c r="I53" s="31">
        <v>46073</v>
      </c>
      <c r="J53" s="30" t="s">
        <v>28</v>
      </c>
      <c r="K53" s="30" t="s">
        <v>29</v>
      </c>
      <c r="L53" s="31">
        <v>46023</v>
      </c>
      <c r="M53" s="30" t="s">
        <v>30</v>
      </c>
      <c r="N53" s="30" t="s">
        <v>132</v>
      </c>
      <c r="O53" s="30" t="s">
        <v>135</v>
      </c>
    </row>
    <row r="54" spans="1:15" ht="15.75" customHeight="1">
      <c r="A54" s="30">
        <v>18794740</v>
      </c>
      <c r="B54" s="30" t="s">
        <v>25</v>
      </c>
      <c r="C54" s="30" t="s">
        <v>225</v>
      </c>
      <c r="D54" s="30" t="s">
        <v>226</v>
      </c>
      <c r="E54" s="30" t="str">
        <f t="shared" si="0"/>
        <v>Mae Atiyeh</v>
      </c>
      <c r="F54" s="30">
        <v>87208368500</v>
      </c>
      <c r="G54" s="30" t="str">
        <f t="shared" si="1"/>
        <v>872083685002</v>
      </c>
      <c r="H54" s="30">
        <v>391</v>
      </c>
      <c r="I54" s="31">
        <v>46073</v>
      </c>
      <c r="J54" s="30" t="s">
        <v>28</v>
      </c>
      <c r="K54" s="30" t="s">
        <v>29</v>
      </c>
      <c r="L54" s="31">
        <v>46023</v>
      </c>
      <c r="M54" s="30" t="s">
        <v>30</v>
      </c>
      <c r="N54" s="30" t="s">
        <v>132</v>
      </c>
      <c r="O54" s="30" t="s">
        <v>135</v>
      </c>
    </row>
    <row r="55" spans="1:15" ht="15.75" customHeight="1">
      <c r="A55" s="30">
        <v>18794740</v>
      </c>
      <c r="B55" s="30" t="s">
        <v>25</v>
      </c>
      <c r="C55" s="30" t="s">
        <v>227</v>
      </c>
      <c r="D55" s="30" t="s">
        <v>228</v>
      </c>
      <c r="E55" s="30" t="str">
        <f t="shared" si="0"/>
        <v>Maria Finamore</v>
      </c>
      <c r="F55" s="30">
        <v>87208024900</v>
      </c>
      <c r="G55" s="30" t="str">
        <f t="shared" si="1"/>
        <v>872080249002</v>
      </c>
      <c r="H55" s="30">
        <v>391</v>
      </c>
      <c r="I55" s="31">
        <v>46073</v>
      </c>
      <c r="J55" s="30" t="s">
        <v>28</v>
      </c>
      <c r="K55" s="30" t="s">
        <v>29</v>
      </c>
      <c r="L55" s="31">
        <v>46023</v>
      </c>
      <c r="M55" s="30" t="s">
        <v>30</v>
      </c>
      <c r="N55" s="30" t="s">
        <v>132</v>
      </c>
      <c r="O55" s="30" t="s">
        <v>135</v>
      </c>
    </row>
    <row r="56" spans="1:15" ht="15.75" customHeight="1">
      <c r="A56" s="30">
        <v>18794740</v>
      </c>
      <c r="B56" s="30" t="s">
        <v>25</v>
      </c>
      <c r="C56" s="30" t="s">
        <v>229</v>
      </c>
      <c r="D56" s="30" t="s">
        <v>230</v>
      </c>
      <c r="E56" s="30" t="str">
        <f t="shared" si="0"/>
        <v>MARIA DUARTE</v>
      </c>
      <c r="F56" s="30">
        <v>87208259300</v>
      </c>
      <c r="G56" s="30" t="str">
        <f t="shared" si="1"/>
        <v>872082593002</v>
      </c>
      <c r="H56" s="30">
        <v>391</v>
      </c>
      <c r="I56" s="31">
        <v>46073</v>
      </c>
      <c r="J56" s="30" t="s">
        <v>28</v>
      </c>
      <c r="K56" s="30" t="s">
        <v>29</v>
      </c>
      <c r="L56" s="31">
        <v>46023</v>
      </c>
      <c r="M56" s="30" t="s">
        <v>30</v>
      </c>
      <c r="N56" s="30" t="s">
        <v>132</v>
      </c>
      <c r="O56" s="30" t="s">
        <v>135</v>
      </c>
    </row>
    <row r="57" spans="1:15" ht="15.75" customHeight="1">
      <c r="A57" s="30">
        <v>18794740</v>
      </c>
      <c r="B57" s="30" t="s">
        <v>25</v>
      </c>
      <c r="C57" s="30" t="s">
        <v>231</v>
      </c>
      <c r="D57" s="30" t="s">
        <v>232</v>
      </c>
      <c r="E57" s="30" t="str">
        <f t="shared" si="0"/>
        <v>Marie Azar</v>
      </c>
      <c r="F57" s="30">
        <v>87208304800</v>
      </c>
      <c r="G57" s="30" t="str">
        <f t="shared" si="1"/>
        <v>872083048002</v>
      </c>
      <c r="H57" s="30">
        <v>391</v>
      </c>
      <c r="I57" s="31">
        <v>46073</v>
      </c>
      <c r="J57" s="30" t="s">
        <v>28</v>
      </c>
      <c r="K57" s="30" t="s">
        <v>29</v>
      </c>
      <c r="L57" s="31">
        <v>46023</v>
      </c>
      <c r="M57" s="30" t="s">
        <v>30</v>
      </c>
      <c r="N57" s="30" t="s">
        <v>132</v>
      </c>
      <c r="O57" s="30" t="s">
        <v>135</v>
      </c>
    </row>
    <row r="58" spans="1:15" ht="15.75" customHeight="1">
      <c r="A58" s="30">
        <v>18794740</v>
      </c>
      <c r="B58" s="30" t="s">
        <v>25</v>
      </c>
      <c r="C58" s="30" t="s">
        <v>233</v>
      </c>
      <c r="D58" s="30" t="s">
        <v>234</v>
      </c>
      <c r="E58" s="30" t="str">
        <f t="shared" si="0"/>
        <v>Mary Csencsits</v>
      </c>
      <c r="F58" s="30">
        <v>87207594500</v>
      </c>
      <c r="G58" s="30" t="str">
        <f t="shared" si="1"/>
        <v>872075945002</v>
      </c>
      <c r="H58" s="30">
        <v>391</v>
      </c>
      <c r="I58" s="31">
        <v>46073</v>
      </c>
      <c r="J58" s="30" t="s">
        <v>28</v>
      </c>
      <c r="K58" s="30" t="s">
        <v>29</v>
      </c>
      <c r="L58" s="31">
        <v>46023</v>
      </c>
      <c r="M58" s="30" t="s">
        <v>30</v>
      </c>
      <c r="N58" s="30" t="s">
        <v>132</v>
      </c>
      <c r="O58" s="30" t="s">
        <v>135</v>
      </c>
    </row>
    <row r="59" spans="1:15" ht="15.75" customHeight="1">
      <c r="A59" s="30">
        <v>18794740</v>
      </c>
      <c r="B59" s="30" t="s">
        <v>25</v>
      </c>
      <c r="C59" s="30" t="s">
        <v>233</v>
      </c>
      <c r="D59" s="30" t="s">
        <v>235</v>
      </c>
      <c r="E59" s="30" t="str">
        <f t="shared" si="0"/>
        <v>Mary Stastny</v>
      </c>
      <c r="F59" s="30">
        <v>87207517300</v>
      </c>
      <c r="G59" s="30" t="str">
        <f t="shared" si="1"/>
        <v>872075173002</v>
      </c>
      <c r="H59" s="30">
        <v>391</v>
      </c>
      <c r="I59" s="31">
        <v>46073</v>
      </c>
      <c r="J59" s="30" t="s">
        <v>28</v>
      </c>
      <c r="K59" s="30" t="s">
        <v>29</v>
      </c>
      <c r="L59" s="31">
        <v>46023</v>
      </c>
      <c r="M59" s="30" t="s">
        <v>30</v>
      </c>
      <c r="N59" s="30" t="s">
        <v>132</v>
      </c>
      <c r="O59" s="30" t="s">
        <v>135</v>
      </c>
    </row>
    <row r="60" spans="1:15" ht="15.75" customHeight="1">
      <c r="A60" s="30">
        <v>18794740</v>
      </c>
      <c r="B60" s="30" t="s">
        <v>25</v>
      </c>
      <c r="C60" s="30" t="s">
        <v>236</v>
      </c>
      <c r="D60" s="30" t="s">
        <v>237</v>
      </c>
      <c r="E60" s="30" t="str">
        <f t="shared" si="0"/>
        <v>Melitza Martinez</v>
      </c>
      <c r="F60" s="30">
        <v>87208259600</v>
      </c>
      <c r="G60" s="30" t="str">
        <f t="shared" si="1"/>
        <v>872082596002</v>
      </c>
      <c r="H60" s="30">
        <v>391</v>
      </c>
      <c r="I60" s="31">
        <v>46073</v>
      </c>
      <c r="J60" s="30" t="s">
        <v>28</v>
      </c>
      <c r="K60" s="30" t="s">
        <v>29</v>
      </c>
      <c r="L60" s="31">
        <v>46023</v>
      </c>
      <c r="M60" s="30" t="s">
        <v>30</v>
      </c>
      <c r="N60" s="30" t="s">
        <v>132</v>
      </c>
      <c r="O60" s="30" t="s">
        <v>135</v>
      </c>
    </row>
    <row r="61" spans="1:15" ht="15.75" customHeight="1">
      <c r="A61" s="30">
        <v>18794740</v>
      </c>
      <c r="B61" s="30" t="s">
        <v>25</v>
      </c>
      <c r="C61" s="30" t="s">
        <v>238</v>
      </c>
      <c r="D61" s="30" t="s">
        <v>239</v>
      </c>
      <c r="E61" s="30" t="str">
        <f t="shared" si="0"/>
        <v>Merry Roman</v>
      </c>
      <c r="F61" s="30">
        <v>87208492600</v>
      </c>
      <c r="G61" s="30" t="str">
        <f t="shared" si="1"/>
        <v>872084926002</v>
      </c>
      <c r="H61" s="30">
        <v>391</v>
      </c>
      <c r="I61" s="31">
        <v>46073</v>
      </c>
      <c r="J61" s="30" t="s">
        <v>28</v>
      </c>
      <c r="K61" s="30" t="s">
        <v>29</v>
      </c>
      <c r="L61" s="31">
        <v>46023</v>
      </c>
      <c r="M61" s="30" t="s">
        <v>30</v>
      </c>
      <c r="N61" s="30" t="s">
        <v>132</v>
      </c>
      <c r="O61" s="30" t="s">
        <v>135</v>
      </c>
    </row>
    <row r="62" spans="1:15" ht="15.75" customHeight="1">
      <c r="A62" s="30">
        <v>18794740</v>
      </c>
      <c r="B62" s="30" t="s">
        <v>25</v>
      </c>
      <c r="C62" s="30" t="s">
        <v>240</v>
      </c>
      <c r="D62" s="30" t="s">
        <v>241</v>
      </c>
      <c r="E62" s="30" t="str">
        <f t="shared" si="0"/>
        <v>Michael Ottovich</v>
      </c>
      <c r="F62" s="30">
        <v>87208304500</v>
      </c>
      <c r="G62" s="30" t="str">
        <f t="shared" si="1"/>
        <v>872083045002</v>
      </c>
      <c r="H62" s="30">
        <v>391</v>
      </c>
      <c r="I62" s="31">
        <v>46073</v>
      </c>
      <c r="J62" s="30" t="s">
        <v>28</v>
      </c>
      <c r="K62" s="30" t="s">
        <v>29</v>
      </c>
      <c r="L62" s="31">
        <v>46023</v>
      </c>
      <c r="M62" s="30" t="s">
        <v>30</v>
      </c>
      <c r="N62" s="30" t="s">
        <v>132</v>
      </c>
      <c r="O62" s="30" t="s">
        <v>135</v>
      </c>
    </row>
    <row r="63" spans="1:15" ht="15.75" customHeight="1">
      <c r="A63" s="30">
        <v>18794740</v>
      </c>
      <c r="B63" s="30" t="s">
        <v>25</v>
      </c>
      <c r="C63" s="30" t="s">
        <v>240</v>
      </c>
      <c r="D63" s="30" t="s">
        <v>242</v>
      </c>
      <c r="E63" s="30" t="str">
        <f t="shared" si="0"/>
        <v>Michael Bleiler</v>
      </c>
      <c r="F63" s="30">
        <v>87208492400</v>
      </c>
      <c r="G63" s="30" t="str">
        <f t="shared" si="1"/>
        <v>872084924002</v>
      </c>
      <c r="H63" s="30">
        <v>391</v>
      </c>
      <c r="I63" s="31">
        <v>46073</v>
      </c>
      <c r="J63" s="30" t="s">
        <v>28</v>
      </c>
      <c r="K63" s="30" t="s">
        <v>29</v>
      </c>
      <c r="L63" s="31">
        <v>46023</v>
      </c>
      <c r="M63" s="30" t="s">
        <v>30</v>
      </c>
      <c r="N63" s="30" t="s">
        <v>132</v>
      </c>
      <c r="O63" s="30" t="s">
        <v>135</v>
      </c>
    </row>
    <row r="64" spans="1:15" ht="15.75" customHeight="1">
      <c r="A64" s="30">
        <v>18794740</v>
      </c>
      <c r="B64" s="30" t="s">
        <v>25</v>
      </c>
      <c r="C64" s="30" t="s">
        <v>243</v>
      </c>
      <c r="D64" s="30" t="s">
        <v>242</v>
      </c>
      <c r="E64" s="30" t="str">
        <f t="shared" si="0"/>
        <v>Michelle Bleiler</v>
      </c>
      <c r="F64" s="30">
        <v>87208492300</v>
      </c>
      <c r="G64" s="30" t="str">
        <f t="shared" si="1"/>
        <v>872084923002</v>
      </c>
      <c r="H64" s="30">
        <v>391</v>
      </c>
      <c r="I64" s="31">
        <v>46073</v>
      </c>
      <c r="J64" s="30" t="s">
        <v>28</v>
      </c>
      <c r="K64" s="30" t="s">
        <v>29</v>
      </c>
      <c r="L64" s="31">
        <v>46023</v>
      </c>
      <c r="M64" s="30" t="s">
        <v>30</v>
      </c>
      <c r="N64" s="30" t="s">
        <v>132</v>
      </c>
      <c r="O64" s="30" t="s">
        <v>135</v>
      </c>
    </row>
    <row r="65" spans="1:15" ht="15.75" customHeight="1">
      <c r="A65" s="30">
        <v>18794740</v>
      </c>
      <c r="B65" s="30" t="s">
        <v>25</v>
      </c>
      <c r="C65" s="30" t="s">
        <v>244</v>
      </c>
      <c r="D65" s="30" t="s">
        <v>245</v>
      </c>
      <c r="E65" s="30" t="str">
        <f t="shared" si="0"/>
        <v>Migdalia Santos</v>
      </c>
      <c r="F65" s="30">
        <v>87000978500</v>
      </c>
      <c r="G65" s="30" t="str">
        <f t="shared" si="1"/>
        <v>870009785002</v>
      </c>
      <c r="H65" s="30">
        <v>391</v>
      </c>
      <c r="I65" s="31">
        <v>46073</v>
      </c>
      <c r="J65" s="30" t="s">
        <v>28</v>
      </c>
      <c r="K65" s="30" t="s">
        <v>29</v>
      </c>
      <c r="L65" s="31">
        <v>46023</v>
      </c>
      <c r="M65" s="30" t="s">
        <v>30</v>
      </c>
      <c r="N65" s="30" t="s">
        <v>132</v>
      </c>
      <c r="O65" s="30" t="s">
        <v>135</v>
      </c>
    </row>
    <row r="66" spans="1:15" ht="15.75" customHeight="1">
      <c r="A66" s="30">
        <v>18794740</v>
      </c>
      <c r="B66" s="30" t="s">
        <v>25</v>
      </c>
      <c r="C66" s="30" t="s">
        <v>246</v>
      </c>
      <c r="D66" s="30" t="s">
        <v>198</v>
      </c>
      <c r="E66" s="30" t="str">
        <f t="shared" si="0"/>
        <v>Nancy Geiger</v>
      </c>
      <c r="F66" s="30">
        <v>87207914900</v>
      </c>
      <c r="G66" s="30" t="str">
        <f t="shared" si="1"/>
        <v>872079149002</v>
      </c>
      <c r="H66" s="30">
        <v>391</v>
      </c>
      <c r="I66" s="31">
        <v>46073</v>
      </c>
      <c r="J66" s="30" t="s">
        <v>28</v>
      </c>
      <c r="K66" s="30" t="s">
        <v>29</v>
      </c>
      <c r="L66" s="31">
        <v>46023</v>
      </c>
      <c r="M66" s="30" t="s">
        <v>30</v>
      </c>
      <c r="N66" s="30" t="s">
        <v>132</v>
      </c>
      <c r="O66" s="30" t="s">
        <v>135</v>
      </c>
    </row>
    <row r="67" spans="1:15" ht="15.75" customHeight="1">
      <c r="A67" s="30">
        <v>18794740</v>
      </c>
      <c r="B67" s="30" t="s">
        <v>25</v>
      </c>
      <c r="C67" s="30" t="s">
        <v>247</v>
      </c>
      <c r="D67" s="30" t="s">
        <v>248</v>
      </c>
      <c r="E67" s="30" t="str">
        <f t="shared" ref="E67:E100" si="2">_xlfn.CONCAT(C67," ",D67)</f>
        <v>Nuha Nesheiwat</v>
      </c>
      <c r="F67" s="30">
        <v>87208568400</v>
      </c>
      <c r="G67" s="30" t="str">
        <f t="shared" si="1"/>
        <v>872085684002</v>
      </c>
      <c r="H67" s="30">
        <v>391</v>
      </c>
      <c r="I67" s="31">
        <v>46073</v>
      </c>
      <c r="J67" s="30" t="s">
        <v>28</v>
      </c>
      <c r="K67" s="30" t="s">
        <v>29</v>
      </c>
      <c r="L67" s="31">
        <v>46023</v>
      </c>
      <c r="M67" s="30" t="s">
        <v>30</v>
      </c>
      <c r="N67" s="30" t="s">
        <v>132</v>
      </c>
      <c r="O67" s="30" t="s">
        <v>135</v>
      </c>
    </row>
    <row r="68" spans="1:15" ht="15.75" customHeight="1">
      <c r="A68" s="30">
        <v>18794740</v>
      </c>
      <c r="B68" s="30" t="s">
        <v>25</v>
      </c>
      <c r="C68" s="30" t="s">
        <v>249</v>
      </c>
      <c r="D68" s="30" t="s">
        <v>250</v>
      </c>
      <c r="E68" s="30" t="str">
        <f t="shared" si="2"/>
        <v>Pamela Calabrese</v>
      </c>
      <c r="F68" s="30">
        <v>87208653500</v>
      </c>
      <c r="G68" s="30" t="str">
        <f t="shared" ref="G68:G88" si="3">_xlfn.CONCAT(F68,2)</f>
        <v>872086535002</v>
      </c>
      <c r="H68" s="30">
        <v>391</v>
      </c>
      <c r="I68" s="31">
        <v>46073</v>
      </c>
      <c r="J68" s="30" t="s">
        <v>28</v>
      </c>
      <c r="K68" s="30" t="s">
        <v>29</v>
      </c>
      <c r="L68" s="31">
        <v>46023</v>
      </c>
      <c r="M68" s="30" t="s">
        <v>30</v>
      </c>
      <c r="N68" s="30" t="s">
        <v>132</v>
      </c>
      <c r="O68" s="30" t="s">
        <v>135</v>
      </c>
    </row>
    <row r="69" spans="1:15" ht="15.75" customHeight="1">
      <c r="A69" s="30">
        <v>18794740</v>
      </c>
      <c r="B69" s="30" t="s">
        <v>25</v>
      </c>
      <c r="C69" s="30" t="s">
        <v>251</v>
      </c>
      <c r="D69" s="30" t="s">
        <v>144</v>
      </c>
      <c r="E69" s="30" t="str">
        <f t="shared" si="2"/>
        <v>Patricia Jett</v>
      </c>
      <c r="F69" s="30">
        <v>87208368700</v>
      </c>
      <c r="G69" s="30" t="str">
        <f t="shared" si="3"/>
        <v>872083687002</v>
      </c>
      <c r="H69" s="30">
        <v>391</v>
      </c>
      <c r="I69" s="31">
        <v>46073</v>
      </c>
      <c r="J69" s="30" t="s">
        <v>28</v>
      </c>
      <c r="K69" s="30" t="s">
        <v>29</v>
      </c>
      <c r="L69" s="31">
        <v>46023</v>
      </c>
      <c r="M69" s="30" t="s">
        <v>30</v>
      </c>
      <c r="N69" s="30" t="s">
        <v>132</v>
      </c>
      <c r="O69" s="30" t="s">
        <v>135</v>
      </c>
    </row>
    <row r="70" spans="1:15" ht="15.75" customHeight="1">
      <c r="A70" s="30">
        <v>18794740</v>
      </c>
      <c r="B70" s="30" t="s">
        <v>25</v>
      </c>
      <c r="C70" s="30" t="s">
        <v>252</v>
      </c>
      <c r="D70" s="30" t="s">
        <v>178</v>
      </c>
      <c r="E70" s="30" t="str">
        <f t="shared" si="2"/>
        <v>Peter Zeoli</v>
      </c>
      <c r="F70" s="30">
        <v>87208259000</v>
      </c>
      <c r="G70" s="30" t="str">
        <f t="shared" si="3"/>
        <v>872082590002</v>
      </c>
      <c r="H70" s="30">
        <v>391</v>
      </c>
      <c r="I70" s="31">
        <v>46073</v>
      </c>
      <c r="J70" s="30" t="s">
        <v>28</v>
      </c>
      <c r="K70" s="30" t="s">
        <v>29</v>
      </c>
      <c r="L70" s="31">
        <v>46023</v>
      </c>
      <c r="M70" s="30" t="s">
        <v>30</v>
      </c>
      <c r="N70" s="30" t="s">
        <v>132</v>
      </c>
      <c r="O70" s="30" t="s">
        <v>135</v>
      </c>
    </row>
    <row r="71" spans="1:15" ht="15.75" customHeight="1">
      <c r="A71" s="30">
        <v>18794740</v>
      </c>
      <c r="B71" s="30" t="s">
        <v>25</v>
      </c>
      <c r="C71" s="30" t="s">
        <v>253</v>
      </c>
      <c r="D71" s="30" t="s">
        <v>239</v>
      </c>
      <c r="E71" s="30" t="str">
        <f t="shared" si="2"/>
        <v>Porfirio Roman</v>
      </c>
      <c r="F71" s="30">
        <v>87208492700</v>
      </c>
      <c r="G71" s="30" t="str">
        <f t="shared" si="3"/>
        <v>872084927002</v>
      </c>
      <c r="H71" s="30">
        <v>391</v>
      </c>
      <c r="I71" s="31">
        <v>46073</v>
      </c>
      <c r="J71" s="30" t="s">
        <v>28</v>
      </c>
      <c r="K71" s="30" t="s">
        <v>29</v>
      </c>
      <c r="L71" s="31">
        <v>46023</v>
      </c>
      <c r="M71" s="30" t="s">
        <v>30</v>
      </c>
      <c r="N71" s="30" t="s">
        <v>132</v>
      </c>
      <c r="O71" s="30" t="s">
        <v>135</v>
      </c>
    </row>
    <row r="72" spans="1:15" ht="15.75" customHeight="1">
      <c r="A72" s="30">
        <v>18794740</v>
      </c>
      <c r="B72" s="30" t="s">
        <v>25</v>
      </c>
      <c r="C72" s="30" t="s">
        <v>254</v>
      </c>
      <c r="D72" s="30" t="s">
        <v>160</v>
      </c>
      <c r="E72" s="30" t="str">
        <f t="shared" si="2"/>
        <v>Quentin Minns</v>
      </c>
      <c r="F72" s="30">
        <v>87207915800</v>
      </c>
      <c r="G72" s="30" t="str">
        <f t="shared" si="3"/>
        <v>872079158002</v>
      </c>
      <c r="H72" s="30">
        <v>391</v>
      </c>
      <c r="I72" s="31">
        <v>46073</v>
      </c>
      <c r="J72" s="30" t="s">
        <v>28</v>
      </c>
      <c r="K72" s="30" t="s">
        <v>29</v>
      </c>
      <c r="L72" s="31">
        <v>46023</v>
      </c>
      <c r="M72" s="30" t="s">
        <v>30</v>
      </c>
      <c r="N72" s="30" t="s">
        <v>132</v>
      </c>
      <c r="O72" s="30" t="s">
        <v>135</v>
      </c>
    </row>
    <row r="73" spans="1:15" ht="15.75" customHeight="1">
      <c r="A73" s="30">
        <v>18794740</v>
      </c>
      <c r="B73" s="30" t="s">
        <v>25</v>
      </c>
      <c r="C73" s="30" t="s">
        <v>255</v>
      </c>
      <c r="D73" s="30" t="s">
        <v>256</v>
      </c>
      <c r="E73" s="30" t="str">
        <f t="shared" si="2"/>
        <v>Randy Dalrymple</v>
      </c>
      <c r="F73" s="30">
        <v>87209238200</v>
      </c>
      <c r="G73" s="30" t="str">
        <f t="shared" si="3"/>
        <v>872092382002</v>
      </c>
      <c r="H73" s="30">
        <v>391</v>
      </c>
      <c r="I73" s="31">
        <v>46073</v>
      </c>
      <c r="J73" s="30" t="s">
        <v>28</v>
      </c>
      <c r="K73" s="30" t="s">
        <v>29</v>
      </c>
      <c r="L73" s="31">
        <v>46023</v>
      </c>
      <c r="M73" s="30" t="s">
        <v>30</v>
      </c>
      <c r="N73" s="30" t="s">
        <v>132</v>
      </c>
      <c r="O73" s="30" t="s">
        <v>135</v>
      </c>
    </row>
    <row r="74" spans="1:15" ht="15.75" customHeight="1">
      <c r="A74" s="30">
        <v>18794740</v>
      </c>
      <c r="B74" s="30" t="s">
        <v>25</v>
      </c>
      <c r="C74" s="30" t="s">
        <v>257</v>
      </c>
      <c r="D74" s="30" t="s">
        <v>258</v>
      </c>
      <c r="E74" s="30" t="str">
        <f t="shared" si="2"/>
        <v>Richard Snyder</v>
      </c>
      <c r="F74" s="30">
        <v>87209216000</v>
      </c>
      <c r="G74" s="30" t="str">
        <f t="shared" si="3"/>
        <v>872092160002</v>
      </c>
      <c r="H74" s="30">
        <v>391</v>
      </c>
      <c r="I74" s="31">
        <v>46073</v>
      </c>
      <c r="J74" s="30" t="s">
        <v>28</v>
      </c>
      <c r="K74" s="30" t="s">
        <v>29</v>
      </c>
      <c r="L74" s="31">
        <v>46023</v>
      </c>
      <c r="M74" s="30" t="s">
        <v>30</v>
      </c>
      <c r="N74" s="30" t="s">
        <v>132</v>
      </c>
      <c r="O74" s="30" t="s">
        <v>135</v>
      </c>
    </row>
    <row r="75" spans="1:15" ht="15.75" customHeight="1">
      <c r="A75" s="30">
        <v>18794740</v>
      </c>
      <c r="B75" s="30" t="s">
        <v>25</v>
      </c>
      <c r="C75" s="30" t="s">
        <v>257</v>
      </c>
      <c r="D75" s="30" t="s">
        <v>259</v>
      </c>
      <c r="E75" s="30" t="str">
        <f t="shared" si="2"/>
        <v>Richard Stoisits</v>
      </c>
      <c r="F75" s="30">
        <v>87207594600</v>
      </c>
      <c r="G75" s="30" t="str">
        <f t="shared" si="3"/>
        <v>872075946002</v>
      </c>
      <c r="H75" s="30">
        <v>391</v>
      </c>
      <c r="I75" s="31">
        <v>46073</v>
      </c>
      <c r="J75" s="30" t="s">
        <v>28</v>
      </c>
      <c r="K75" s="30" t="s">
        <v>29</v>
      </c>
      <c r="L75" s="31">
        <v>46023</v>
      </c>
      <c r="M75" s="30" t="s">
        <v>30</v>
      </c>
      <c r="N75" s="30" t="s">
        <v>132</v>
      </c>
      <c r="O75" s="30" t="s">
        <v>135</v>
      </c>
    </row>
    <row r="76" spans="1:15" ht="15.75" customHeight="1">
      <c r="A76" s="30">
        <v>18794740</v>
      </c>
      <c r="B76" s="30" t="s">
        <v>25</v>
      </c>
      <c r="C76" s="30" t="s">
        <v>257</v>
      </c>
      <c r="D76" s="30" t="s">
        <v>260</v>
      </c>
      <c r="E76" s="30" t="str">
        <f t="shared" si="2"/>
        <v>Richard Becker</v>
      </c>
      <c r="F76" s="30">
        <v>87208259700</v>
      </c>
      <c r="G76" s="30" t="str">
        <f t="shared" si="3"/>
        <v>872082597002</v>
      </c>
      <c r="H76" s="30">
        <v>391</v>
      </c>
      <c r="I76" s="31">
        <v>46073</v>
      </c>
      <c r="J76" s="30" t="s">
        <v>28</v>
      </c>
      <c r="K76" s="30" t="s">
        <v>29</v>
      </c>
      <c r="L76" s="31">
        <v>46023</v>
      </c>
      <c r="M76" s="30" t="s">
        <v>30</v>
      </c>
      <c r="N76" s="30" t="s">
        <v>132</v>
      </c>
      <c r="O76" s="30" t="s">
        <v>135</v>
      </c>
    </row>
    <row r="77" spans="1:15" ht="15.75" customHeight="1">
      <c r="A77" s="30">
        <v>18794740</v>
      </c>
      <c r="B77" s="30" t="s">
        <v>25</v>
      </c>
      <c r="C77" s="30" t="s">
        <v>261</v>
      </c>
      <c r="D77" s="30" t="s">
        <v>262</v>
      </c>
      <c r="E77" s="30" t="str">
        <f t="shared" si="2"/>
        <v>Robert Smith</v>
      </c>
      <c r="F77" s="30">
        <v>87208368400</v>
      </c>
      <c r="G77" s="30" t="str">
        <f t="shared" si="3"/>
        <v>872083684002</v>
      </c>
      <c r="H77" s="30">
        <v>391</v>
      </c>
      <c r="I77" s="31">
        <v>46073</v>
      </c>
      <c r="J77" s="30" t="s">
        <v>28</v>
      </c>
      <c r="K77" s="30" t="s">
        <v>29</v>
      </c>
      <c r="L77" s="31">
        <v>46023</v>
      </c>
      <c r="M77" s="30" t="s">
        <v>30</v>
      </c>
      <c r="N77" s="30" t="s">
        <v>132</v>
      </c>
      <c r="O77" s="30" t="s">
        <v>135</v>
      </c>
    </row>
    <row r="78" spans="1:15" ht="15.75" customHeight="1">
      <c r="A78" s="30">
        <v>18794740</v>
      </c>
      <c r="B78" s="30" t="s">
        <v>25</v>
      </c>
      <c r="C78" s="30" t="s">
        <v>263</v>
      </c>
      <c r="D78" s="30" t="s">
        <v>264</v>
      </c>
      <c r="E78" s="30" t="str">
        <f t="shared" si="2"/>
        <v>Roberta Valerio</v>
      </c>
      <c r="F78" s="30">
        <v>87207916200</v>
      </c>
      <c r="G78" s="30" t="str">
        <f t="shared" si="3"/>
        <v>872079162002</v>
      </c>
      <c r="H78" s="30">
        <v>391</v>
      </c>
      <c r="I78" s="31">
        <v>46073</v>
      </c>
      <c r="J78" s="30" t="s">
        <v>28</v>
      </c>
      <c r="K78" s="30" t="s">
        <v>29</v>
      </c>
      <c r="L78" s="31">
        <v>46023</v>
      </c>
      <c r="M78" s="30" t="s">
        <v>30</v>
      </c>
      <c r="N78" s="30" t="s">
        <v>132</v>
      </c>
      <c r="O78" s="30" t="s">
        <v>135</v>
      </c>
    </row>
    <row r="79" spans="1:15" ht="15.75" customHeight="1">
      <c r="A79" s="30">
        <v>18794740</v>
      </c>
      <c r="B79" s="30" t="s">
        <v>25</v>
      </c>
      <c r="C79" s="30" t="s">
        <v>265</v>
      </c>
      <c r="D79" s="30" t="s">
        <v>154</v>
      </c>
      <c r="E79" s="30" t="str">
        <f t="shared" si="2"/>
        <v>Sharon Dieruff</v>
      </c>
      <c r="F79" s="30">
        <v>87207594400</v>
      </c>
      <c r="G79" s="30" t="str">
        <f t="shared" si="3"/>
        <v>872075944002</v>
      </c>
      <c r="H79" s="30">
        <v>391</v>
      </c>
      <c r="I79" s="31">
        <v>46073</v>
      </c>
      <c r="J79" s="30" t="s">
        <v>28</v>
      </c>
      <c r="K79" s="30" t="s">
        <v>29</v>
      </c>
      <c r="L79" s="31">
        <v>46023</v>
      </c>
      <c r="M79" s="30" t="s">
        <v>30</v>
      </c>
      <c r="N79" s="30" t="s">
        <v>132</v>
      </c>
      <c r="O79" s="30" t="s">
        <v>135</v>
      </c>
    </row>
    <row r="80" spans="1:15" ht="15.75" customHeight="1">
      <c r="A80" s="30">
        <v>18794740</v>
      </c>
      <c r="B80" s="30" t="s">
        <v>25</v>
      </c>
      <c r="C80" s="30" t="s">
        <v>266</v>
      </c>
      <c r="D80" s="30" t="s">
        <v>205</v>
      </c>
      <c r="E80" s="30" t="str">
        <f t="shared" si="2"/>
        <v>Soon Bell</v>
      </c>
      <c r="F80" s="30">
        <v>87208492900</v>
      </c>
      <c r="G80" s="30" t="str">
        <f t="shared" si="3"/>
        <v>872084929002</v>
      </c>
      <c r="H80" s="30">
        <v>391</v>
      </c>
      <c r="I80" s="31">
        <v>46073</v>
      </c>
      <c r="J80" s="30" t="s">
        <v>28</v>
      </c>
      <c r="K80" s="30" t="s">
        <v>29</v>
      </c>
      <c r="L80" s="31">
        <v>46023</v>
      </c>
      <c r="M80" s="30" t="s">
        <v>30</v>
      </c>
      <c r="N80" s="30" t="s">
        <v>132</v>
      </c>
      <c r="O80" s="30" t="s">
        <v>135</v>
      </c>
    </row>
    <row r="81" spans="1:15" ht="15.75" customHeight="1">
      <c r="A81" s="30">
        <v>18794740</v>
      </c>
      <c r="B81" s="30" t="s">
        <v>25</v>
      </c>
      <c r="C81" s="30" t="s">
        <v>267</v>
      </c>
      <c r="D81" s="30" t="s">
        <v>235</v>
      </c>
      <c r="E81" s="30" t="str">
        <f t="shared" si="2"/>
        <v>Steven Stastny</v>
      </c>
      <c r="F81" s="30">
        <v>87207517100</v>
      </c>
      <c r="G81" s="30" t="str">
        <f t="shared" si="3"/>
        <v>872075171002</v>
      </c>
      <c r="H81" s="30">
        <v>391</v>
      </c>
      <c r="I81" s="31">
        <v>46073</v>
      </c>
      <c r="J81" s="30" t="s">
        <v>28</v>
      </c>
      <c r="K81" s="30" t="s">
        <v>29</v>
      </c>
      <c r="L81" s="31">
        <v>46023</v>
      </c>
      <c r="M81" s="30" t="s">
        <v>30</v>
      </c>
      <c r="N81" s="30" t="s">
        <v>132</v>
      </c>
      <c r="O81" s="30" t="s">
        <v>135</v>
      </c>
    </row>
    <row r="82" spans="1:15" ht="15.75" customHeight="1">
      <c r="A82" s="30">
        <v>18794740</v>
      </c>
      <c r="B82" s="30" t="s">
        <v>25</v>
      </c>
      <c r="C82" s="30" t="s">
        <v>268</v>
      </c>
      <c r="D82" s="30" t="s">
        <v>194</v>
      </c>
      <c r="E82" s="30" t="str">
        <f t="shared" si="2"/>
        <v>Susan Panasik</v>
      </c>
      <c r="F82" s="30">
        <v>87207915900</v>
      </c>
      <c r="G82" s="30" t="str">
        <f t="shared" si="3"/>
        <v>872079159002</v>
      </c>
      <c r="H82" s="30">
        <v>391</v>
      </c>
      <c r="I82" s="31">
        <v>46073</v>
      </c>
      <c r="J82" s="30" t="s">
        <v>28</v>
      </c>
      <c r="K82" s="30" t="s">
        <v>29</v>
      </c>
      <c r="L82" s="31">
        <v>46023</v>
      </c>
      <c r="M82" s="30" t="s">
        <v>30</v>
      </c>
      <c r="N82" s="30" t="s">
        <v>132</v>
      </c>
      <c r="O82" s="30" t="s">
        <v>135</v>
      </c>
    </row>
    <row r="83" spans="1:15" ht="15.75" customHeight="1">
      <c r="A83" s="30">
        <v>18794740</v>
      </c>
      <c r="B83" s="30" t="s">
        <v>25</v>
      </c>
      <c r="C83" s="30" t="s">
        <v>269</v>
      </c>
      <c r="D83" s="30" t="s">
        <v>270</v>
      </c>
      <c r="E83" s="30" t="str">
        <f t="shared" si="2"/>
        <v>Theresa Kerns</v>
      </c>
      <c r="F83" s="30">
        <v>87208368800</v>
      </c>
      <c r="G83" s="30" t="str">
        <f t="shared" si="3"/>
        <v>872083688002</v>
      </c>
      <c r="H83" s="30">
        <v>391</v>
      </c>
      <c r="I83" s="31">
        <v>46073</v>
      </c>
      <c r="J83" s="30" t="s">
        <v>28</v>
      </c>
      <c r="K83" s="30" t="s">
        <v>29</v>
      </c>
      <c r="L83" s="31">
        <v>46023</v>
      </c>
      <c r="M83" s="30" t="s">
        <v>30</v>
      </c>
      <c r="N83" s="30" t="s">
        <v>132</v>
      </c>
      <c r="O83" s="30" t="s">
        <v>135</v>
      </c>
    </row>
    <row r="84" spans="1:15" ht="15.75" customHeight="1">
      <c r="A84" s="30">
        <v>18794740</v>
      </c>
      <c r="B84" s="30" t="s">
        <v>25</v>
      </c>
      <c r="C84" s="30" t="s">
        <v>271</v>
      </c>
      <c r="D84" s="30" t="s">
        <v>272</v>
      </c>
      <c r="E84" s="30" t="str">
        <f t="shared" si="2"/>
        <v>Valerie Freeman</v>
      </c>
      <c r="F84" s="30">
        <v>87209324700</v>
      </c>
      <c r="G84" s="30" t="str">
        <f t="shared" si="3"/>
        <v>872093247002</v>
      </c>
      <c r="H84" s="30">
        <v>391</v>
      </c>
      <c r="I84" s="31">
        <v>46073</v>
      </c>
      <c r="J84" s="30" t="s">
        <v>28</v>
      </c>
      <c r="K84" s="30" t="s">
        <v>29</v>
      </c>
      <c r="L84" s="31">
        <v>46023</v>
      </c>
      <c r="M84" s="30" t="s">
        <v>30</v>
      </c>
      <c r="N84" s="30" t="s">
        <v>132</v>
      </c>
      <c r="O84" s="30" t="s">
        <v>135</v>
      </c>
    </row>
    <row r="85" spans="1:15" ht="15.75" customHeight="1">
      <c r="A85" s="30">
        <v>18794740</v>
      </c>
      <c r="B85" s="30" t="s">
        <v>25</v>
      </c>
      <c r="C85" s="30" t="s">
        <v>273</v>
      </c>
      <c r="D85" s="30" t="s">
        <v>248</v>
      </c>
      <c r="E85" s="30" t="str">
        <f t="shared" si="2"/>
        <v>Wail Nesheiwat</v>
      </c>
      <c r="F85" s="30">
        <v>87208568300</v>
      </c>
      <c r="G85" s="30" t="str">
        <f t="shared" si="3"/>
        <v>872085683002</v>
      </c>
      <c r="H85" s="30">
        <v>391</v>
      </c>
      <c r="I85" s="31">
        <v>46073</v>
      </c>
      <c r="J85" s="30" t="s">
        <v>28</v>
      </c>
      <c r="K85" s="30" t="s">
        <v>29</v>
      </c>
      <c r="L85" s="31">
        <v>46023</v>
      </c>
      <c r="M85" s="30" t="s">
        <v>30</v>
      </c>
      <c r="N85" s="30" t="s">
        <v>132</v>
      </c>
      <c r="O85" s="30" t="s">
        <v>135</v>
      </c>
    </row>
    <row r="86" spans="1:15" ht="15.75" customHeight="1">
      <c r="A86" s="30">
        <v>18794740</v>
      </c>
      <c r="B86" s="30" t="s">
        <v>25</v>
      </c>
      <c r="C86" s="30" t="s">
        <v>274</v>
      </c>
      <c r="D86" s="30" t="s">
        <v>275</v>
      </c>
      <c r="E86" s="30" t="str">
        <f t="shared" si="2"/>
        <v>William Baughman</v>
      </c>
      <c r="F86" s="30">
        <v>87207593500</v>
      </c>
      <c r="G86" s="30" t="str">
        <f t="shared" si="3"/>
        <v>872075935002</v>
      </c>
      <c r="H86" s="30">
        <v>391</v>
      </c>
      <c r="I86" s="31">
        <v>46073</v>
      </c>
      <c r="J86" s="30" t="s">
        <v>28</v>
      </c>
      <c r="K86" s="30" t="s">
        <v>29</v>
      </c>
      <c r="L86" s="31">
        <v>46023</v>
      </c>
      <c r="M86" s="30" t="s">
        <v>30</v>
      </c>
      <c r="N86" s="30" t="s">
        <v>132</v>
      </c>
      <c r="O86" s="30" t="s">
        <v>135</v>
      </c>
    </row>
    <row r="87" spans="1:15" ht="15.75" customHeight="1">
      <c r="A87" s="30">
        <v>18794740</v>
      </c>
      <c r="B87" s="30" t="s">
        <v>25</v>
      </c>
      <c r="C87" s="30" t="s">
        <v>274</v>
      </c>
      <c r="D87" s="30" t="s">
        <v>276</v>
      </c>
      <c r="E87" s="30" t="str">
        <f t="shared" si="2"/>
        <v>William Hyrowich</v>
      </c>
      <c r="F87" s="30">
        <v>87208258400</v>
      </c>
      <c r="G87" s="30" t="str">
        <f t="shared" si="3"/>
        <v>872082584002</v>
      </c>
      <c r="H87" s="30">
        <v>391</v>
      </c>
      <c r="I87" s="31">
        <v>46073</v>
      </c>
      <c r="J87" s="30" t="s">
        <v>28</v>
      </c>
      <c r="K87" s="30" t="s">
        <v>29</v>
      </c>
      <c r="L87" s="31">
        <v>46023</v>
      </c>
      <c r="M87" s="30" t="s">
        <v>30</v>
      </c>
      <c r="N87" s="30" t="s">
        <v>132</v>
      </c>
      <c r="O87" s="30" t="s">
        <v>135</v>
      </c>
    </row>
    <row r="88" spans="1:15" ht="15.75" customHeight="1">
      <c r="A88" s="30">
        <v>18794740</v>
      </c>
      <c r="B88" s="30" t="s">
        <v>25</v>
      </c>
      <c r="C88" s="30" t="s">
        <v>277</v>
      </c>
      <c r="D88" s="30" t="s">
        <v>278</v>
      </c>
      <c r="E88" s="30" t="str">
        <f t="shared" si="2"/>
        <v>Yvonne Barrett</v>
      </c>
      <c r="F88" s="30">
        <v>87207595000</v>
      </c>
      <c r="G88" s="30" t="str">
        <f t="shared" si="3"/>
        <v>872075950002</v>
      </c>
      <c r="H88" s="30">
        <v>391</v>
      </c>
      <c r="I88" s="31">
        <v>46073</v>
      </c>
      <c r="J88" s="30" t="s">
        <v>28</v>
      </c>
      <c r="K88" s="30" t="s">
        <v>29</v>
      </c>
      <c r="L88" s="31">
        <v>46023</v>
      </c>
      <c r="M88" s="30" t="s">
        <v>30</v>
      </c>
      <c r="N88" s="30" t="s">
        <v>132</v>
      </c>
      <c r="O88" s="30" t="s">
        <v>135</v>
      </c>
    </row>
    <row r="89" spans="1:15" ht="15.75" customHeight="1">
      <c r="A89" s="30">
        <v>18794740</v>
      </c>
      <c r="B89" s="30" t="s">
        <v>25</v>
      </c>
      <c r="C89" s="30" t="s">
        <v>279</v>
      </c>
      <c r="D89" s="30" t="s">
        <v>280</v>
      </c>
      <c r="E89" s="30" t="str">
        <f t="shared" si="2"/>
        <v>Carol Baus</v>
      </c>
      <c r="F89" s="30">
        <v>87208492000</v>
      </c>
      <c r="G89" s="30" t="str">
        <f>_xlfn.CONCAT(F89,22)</f>
        <v>8720849200022</v>
      </c>
      <c r="H89" s="30">
        <v>781</v>
      </c>
      <c r="I89" s="31">
        <v>46073</v>
      </c>
      <c r="J89" s="30" t="s">
        <v>28</v>
      </c>
      <c r="K89" s="30" t="s">
        <v>29</v>
      </c>
      <c r="L89" s="31">
        <v>46023</v>
      </c>
      <c r="M89" s="30" t="s">
        <v>116</v>
      </c>
      <c r="N89" s="30" t="s">
        <v>133</v>
      </c>
      <c r="O89" s="30" t="s">
        <v>136</v>
      </c>
    </row>
    <row r="90" spans="1:15" ht="15.75" customHeight="1">
      <c r="A90" s="30">
        <v>18794740</v>
      </c>
      <c r="B90" s="30" t="s">
        <v>25</v>
      </c>
      <c r="C90" s="30" t="s">
        <v>281</v>
      </c>
      <c r="D90" s="30" t="s">
        <v>270</v>
      </c>
      <c r="E90" s="30" t="str">
        <f t="shared" si="2"/>
        <v>Daniel Kerns</v>
      </c>
      <c r="F90" s="30">
        <v>87208368900</v>
      </c>
      <c r="G90" s="30" t="str">
        <f t="shared" ref="G90:G100" si="4">_xlfn.CONCAT(F90,22)</f>
        <v>8720836890022</v>
      </c>
      <c r="H90" s="30">
        <v>781</v>
      </c>
      <c r="I90" s="31">
        <v>46073</v>
      </c>
      <c r="J90" s="30" t="s">
        <v>28</v>
      </c>
      <c r="K90" s="30" t="s">
        <v>29</v>
      </c>
      <c r="L90" s="31">
        <v>46023</v>
      </c>
      <c r="M90" s="30" t="s">
        <v>116</v>
      </c>
      <c r="N90" s="30" t="s">
        <v>133</v>
      </c>
      <c r="O90" s="30" t="s">
        <v>136</v>
      </c>
    </row>
    <row r="91" spans="1:15" ht="15.75" customHeight="1">
      <c r="A91" s="30">
        <v>18794740</v>
      </c>
      <c r="B91" s="30" t="s">
        <v>25</v>
      </c>
      <c r="C91" s="30" t="s">
        <v>282</v>
      </c>
      <c r="D91" s="30" t="s">
        <v>283</v>
      </c>
      <c r="E91" s="30" t="str">
        <f t="shared" si="2"/>
        <v>Eleanor Kline</v>
      </c>
      <c r="F91" s="30">
        <v>87208304700</v>
      </c>
      <c r="G91" s="30" t="str">
        <f t="shared" si="4"/>
        <v>8720830470022</v>
      </c>
      <c r="H91" s="30">
        <v>781</v>
      </c>
      <c r="I91" s="31">
        <v>46073</v>
      </c>
      <c r="J91" s="30" t="s">
        <v>28</v>
      </c>
      <c r="K91" s="30" t="s">
        <v>29</v>
      </c>
      <c r="L91" s="31">
        <v>46023</v>
      </c>
      <c r="M91" s="30" t="s">
        <v>116</v>
      </c>
      <c r="N91" s="30" t="s">
        <v>133</v>
      </c>
      <c r="O91" s="30" t="s">
        <v>136</v>
      </c>
    </row>
    <row r="92" spans="1:15" ht="15.75" customHeight="1">
      <c r="A92" s="30">
        <v>18794740</v>
      </c>
      <c r="B92" s="30" t="s">
        <v>25</v>
      </c>
      <c r="C92" s="30" t="s">
        <v>191</v>
      </c>
      <c r="D92" s="30" t="s">
        <v>284</v>
      </c>
      <c r="E92" s="30" t="str">
        <f t="shared" si="2"/>
        <v>Frank Pahler</v>
      </c>
      <c r="F92" s="30">
        <v>87208259100</v>
      </c>
      <c r="G92" s="30" t="str">
        <f t="shared" si="4"/>
        <v>8720825910022</v>
      </c>
      <c r="H92" s="30">
        <v>781</v>
      </c>
      <c r="I92" s="31">
        <v>46073</v>
      </c>
      <c r="J92" s="30" t="s">
        <v>28</v>
      </c>
      <c r="K92" s="30" t="s">
        <v>29</v>
      </c>
      <c r="L92" s="31">
        <v>46023</v>
      </c>
      <c r="M92" s="30" t="s">
        <v>116</v>
      </c>
      <c r="N92" s="30" t="s">
        <v>133</v>
      </c>
      <c r="O92" s="30" t="s">
        <v>136</v>
      </c>
    </row>
    <row r="93" spans="1:15" ht="15.75" customHeight="1">
      <c r="A93" s="30">
        <v>18794740</v>
      </c>
      <c r="B93" s="30" t="s">
        <v>25</v>
      </c>
      <c r="C93" s="30" t="s">
        <v>140</v>
      </c>
      <c r="D93" s="30" t="s">
        <v>139</v>
      </c>
      <c r="E93" s="30" t="str">
        <f t="shared" si="2"/>
        <v>Frederick Moyer</v>
      </c>
      <c r="F93" s="30">
        <v>87208668800</v>
      </c>
      <c r="G93" s="30" t="str">
        <f t="shared" si="4"/>
        <v>8720866880022</v>
      </c>
      <c r="H93" s="30">
        <v>781</v>
      </c>
      <c r="I93" s="31">
        <v>46087</v>
      </c>
      <c r="J93" s="30" t="s">
        <v>28</v>
      </c>
      <c r="K93" s="30" t="s">
        <v>29</v>
      </c>
      <c r="L93" s="31">
        <v>46054</v>
      </c>
      <c r="M93" s="30" t="s">
        <v>131</v>
      </c>
      <c r="N93" s="30" t="s">
        <v>133</v>
      </c>
      <c r="O93" s="30" t="s">
        <v>136</v>
      </c>
    </row>
    <row r="94" spans="1:15" ht="15.75" customHeight="1">
      <c r="A94" s="30">
        <v>18794740</v>
      </c>
      <c r="B94" s="30" t="s">
        <v>25</v>
      </c>
      <c r="C94" s="30" t="s">
        <v>204</v>
      </c>
      <c r="D94" s="30" t="s">
        <v>285</v>
      </c>
      <c r="E94" s="30" t="str">
        <f t="shared" si="2"/>
        <v>Jay Schuster</v>
      </c>
      <c r="F94" s="30">
        <v>87208895900</v>
      </c>
      <c r="G94" s="30" t="str">
        <f t="shared" si="4"/>
        <v>8720889590022</v>
      </c>
      <c r="H94" s="30">
        <v>781</v>
      </c>
      <c r="I94" s="31">
        <v>46073</v>
      </c>
      <c r="J94" s="30" t="s">
        <v>28</v>
      </c>
      <c r="K94" s="30" t="s">
        <v>29</v>
      </c>
      <c r="L94" s="31">
        <v>46023</v>
      </c>
      <c r="M94" s="30" t="s">
        <v>116</v>
      </c>
      <c r="N94" s="30" t="s">
        <v>133</v>
      </c>
      <c r="O94" s="30" t="s">
        <v>136</v>
      </c>
    </row>
    <row r="95" spans="1:15" ht="15.75" customHeight="1">
      <c r="A95" s="30">
        <v>18794740</v>
      </c>
      <c r="B95" s="30" t="s">
        <v>25</v>
      </c>
      <c r="C95" s="30" t="s">
        <v>286</v>
      </c>
      <c r="D95" s="30" t="s">
        <v>285</v>
      </c>
      <c r="E95" s="30" t="str">
        <f t="shared" si="2"/>
        <v>Lisa Schuster</v>
      </c>
      <c r="F95" s="30">
        <v>87208896000</v>
      </c>
      <c r="G95" s="30" t="str">
        <f t="shared" si="4"/>
        <v>8720889600022</v>
      </c>
      <c r="H95" s="30">
        <v>781</v>
      </c>
      <c r="I95" s="31">
        <v>46073</v>
      </c>
      <c r="J95" s="30" t="s">
        <v>28</v>
      </c>
      <c r="K95" s="30" t="s">
        <v>29</v>
      </c>
      <c r="L95" s="31">
        <v>46023</v>
      </c>
      <c r="M95" s="30" t="s">
        <v>116</v>
      </c>
      <c r="N95" s="30" t="s">
        <v>133</v>
      </c>
      <c r="O95" s="30" t="s">
        <v>136</v>
      </c>
    </row>
    <row r="96" spans="1:15" ht="15.75" customHeight="1">
      <c r="A96" s="30">
        <v>18794740</v>
      </c>
      <c r="B96" s="30" t="s">
        <v>25</v>
      </c>
      <c r="C96" s="30" t="s">
        <v>287</v>
      </c>
      <c r="D96" s="30" t="s">
        <v>288</v>
      </c>
      <c r="E96" s="30" t="str">
        <f t="shared" si="2"/>
        <v>Marilyn Scheetz</v>
      </c>
      <c r="F96" s="30">
        <v>87208803200</v>
      </c>
      <c r="G96" s="30" t="str">
        <f t="shared" si="4"/>
        <v>8720880320022</v>
      </c>
      <c r="H96" s="30">
        <v>781</v>
      </c>
      <c r="I96" s="31">
        <v>46073</v>
      </c>
      <c r="J96" s="30" t="s">
        <v>28</v>
      </c>
      <c r="K96" s="30" t="s">
        <v>29</v>
      </c>
      <c r="L96" s="31">
        <v>46023</v>
      </c>
      <c r="M96" s="30" t="s">
        <v>116</v>
      </c>
      <c r="N96" s="30" t="s">
        <v>133</v>
      </c>
      <c r="O96" s="30" t="s">
        <v>136</v>
      </c>
    </row>
    <row r="97" spans="1:20" ht="15.75" customHeight="1">
      <c r="A97" s="30">
        <v>18794740</v>
      </c>
      <c r="B97" s="30" t="s">
        <v>25</v>
      </c>
      <c r="C97" s="30" t="s">
        <v>246</v>
      </c>
      <c r="D97" s="30" t="s">
        <v>289</v>
      </c>
      <c r="E97" s="30" t="str">
        <f t="shared" si="2"/>
        <v>Nancy Brophy</v>
      </c>
      <c r="F97" s="30">
        <v>87207594000</v>
      </c>
      <c r="G97" s="30" t="str">
        <f t="shared" si="4"/>
        <v>8720759400022</v>
      </c>
      <c r="H97" s="30">
        <v>781</v>
      </c>
      <c r="I97" s="31">
        <v>46073</v>
      </c>
      <c r="J97" s="30" t="s">
        <v>28</v>
      </c>
      <c r="K97" s="30" t="s">
        <v>29</v>
      </c>
      <c r="L97" s="31">
        <v>46023</v>
      </c>
      <c r="M97" s="30" t="s">
        <v>116</v>
      </c>
      <c r="N97" s="30" t="s">
        <v>133</v>
      </c>
      <c r="O97" s="30" t="s">
        <v>136</v>
      </c>
    </row>
    <row r="98" spans="1:20" s="32" customFormat="1" ht="15.75" customHeight="1">
      <c r="A98" s="30">
        <v>18794740</v>
      </c>
      <c r="B98" s="30" t="s">
        <v>25</v>
      </c>
      <c r="C98" s="30" t="s">
        <v>290</v>
      </c>
      <c r="D98" s="30" t="s">
        <v>291</v>
      </c>
      <c r="E98" s="30" t="str">
        <f t="shared" si="2"/>
        <v>Renee Hendricks</v>
      </c>
      <c r="F98" s="30">
        <v>87208653600</v>
      </c>
      <c r="G98" s="30" t="str">
        <f t="shared" si="4"/>
        <v>8720865360022</v>
      </c>
      <c r="H98" s="30">
        <v>781</v>
      </c>
      <c r="I98" s="31">
        <v>46073</v>
      </c>
      <c r="J98" s="30" t="s">
        <v>28</v>
      </c>
      <c r="K98" s="30" t="s">
        <v>29</v>
      </c>
      <c r="L98" s="31">
        <v>46023</v>
      </c>
      <c r="M98" s="30" t="s">
        <v>116</v>
      </c>
      <c r="N98" s="30" t="s">
        <v>133</v>
      </c>
      <c r="O98" s="30" t="s">
        <v>136</v>
      </c>
      <c r="P98" s="30"/>
      <c r="Q98" s="30"/>
      <c r="R98" s="30"/>
      <c r="S98" s="30"/>
      <c r="T98" s="30"/>
    </row>
    <row r="99" spans="1:20" ht="15.75" customHeight="1">
      <c r="A99" s="30">
        <v>18794740</v>
      </c>
      <c r="B99" s="30" t="s">
        <v>25</v>
      </c>
      <c r="C99" s="30" t="s">
        <v>261</v>
      </c>
      <c r="D99" s="30" t="s">
        <v>280</v>
      </c>
      <c r="E99" s="30" t="str">
        <f t="shared" si="2"/>
        <v>Robert Baus</v>
      </c>
      <c r="F99" s="30">
        <v>87208492200</v>
      </c>
      <c r="G99" s="30" t="str">
        <f t="shared" si="4"/>
        <v>8720849220022</v>
      </c>
      <c r="H99" s="30">
        <v>781</v>
      </c>
      <c r="I99" s="31">
        <v>46073</v>
      </c>
      <c r="J99" s="30" t="s">
        <v>28</v>
      </c>
      <c r="K99" s="30" t="s">
        <v>29</v>
      </c>
      <c r="L99" s="31">
        <v>46023</v>
      </c>
      <c r="M99" s="30" t="s">
        <v>116</v>
      </c>
      <c r="N99" s="30" t="s">
        <v>133</v>
      </c>
      <c r="O99" s="30" t="s">
        <v>136</v>
      </c>
    </row>
    <row r="100" spans="1:20" ht="15.75" customHeight="1">
      <c r="A100" s="30">
        <v>18794740</v>
      </c>
      <c r="B100" s="30" t="s">
        <v>25</v>
      </c>
      <c r="C100" s="30" t="s">
        <v>292</v>
      </c>
      <c r="D100" s="30" t="s">
        <v>284</v>
      </c>
      <c r="E100" s="30" t="str">
        <f t="shared" si="2"/>
        <v>Sheron Pahler</v>
      </c>
      <c r="F100" s="30">
        <v>87208259200</v>
      </c>
      <c r="G100" s="30" t="str">
        <f t="shared" si="4"/>
        <v>8720825920022</v>
      </c>
      <c r="H100" s="30">
        <v>781</v>
      </c>
      <c r="I100" s="31">
        <v>46073</v>
      </c>
      <c r="J100" s="30" t="s">
        <v>28</v>
      </c>
      <c r="K100" s="30" t="s">
        <v>29</v>
      </c>
      <c r="L100" s="31">
        <v>46023</v>
      </c>
      <c r="M100" s="30" t="s">
        <v>116</v>
      </c>
      <c r="N100" s="30" t="s">
        <v>133</v>
      </c>
      <c r="O100" s="30" t="s">
        <v>136</v>
      </c>
    </row>
    <row r="101" spans="1:20" ht="15.75" customHeight="1"/>
    <row r="102" spans="1:20" ht="15.75" customHeight="1"/>
    <row r="103" spans="1:20" ht="15.75" customHeight="1"/>
    <row r="104" spans="1:20" ht="15.75" customHeight="1"/>
    <row r="105" spans="1:20" ht="15.75" customHeight="1"/>
    <row r="106" spans="1:20" ht="15.75" customHeight="1"/>
    <row r="107" spans="1:20" ht="15.75" customHeight="1"/>
    <row r="108" spans="1:20" ht="15.75" customHeight="1"/>
    <row r="109" spans="1:20" ht="15.75" customHeight="1"/>
    <row r="110" spans="1:20" ht="15.75" customHeight="1"/>
    <row r="111" spans="1:20" ht="15.75" customHeight="1"/>
    <row r="112" spans="1:20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sortState xmlns:xlrd2="http://schemas.microsoft.com/office/spreadsheetml/2017/richdata2" ref="A2:T100">
    <sortCondition ref="H2:H100"/>
  </sortState>
  <pageMargins left="0.7" right="0.7" top="0.75" bottom="0.75" header="0.3" footer="0.3"/>
  <ignoredErrors>
    <ignoredError sqref="G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Config</vt:lpstr>
      <vt:lpstr>Jan_30_2026_to_Feb_12_2026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Brown</dc:creator>
  <cp:lastModifiedBy>loula</cp:lastModifiedBy>
  <dcterms:created xsi:type="dcterms:W3CDTF">2025-11-10T18:40:31Z</dcterms:created>
  <dcterms:modified xsi:type="dcterms:W3CDTF">2026-03-12T14:29:45Z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5c982b-5a04-4b71-81f8-5aa3405e2654_Enabled">
    <vt:lpwstr>true</vt:lpwstr>
  </property>
  <property fmtid="{D5CDD505-2E9C-101B-9397-08002B2CF9AE}" pid="3" name="MSIP_Label_f15c982b-5a04-4b71-81f8-5aa3405e2654_SetDate">
    <vt:lpwstr>2025-11-12T15:01:51Z</vt:lpwstr>
  </property>
  <property fmtid="{D5CDD505-2E9C-101B-9397-08002B2CF9AE}" pid="4" name="MSIP_Label_f15c982b-5a04-4b71-81f8-5aa3405e2654_Method">
    <vt:lpwstr>Standard</vt:lpwstr>
  </property>
  <property fmtid="{D5CDD505-2E9C-101B-9397-08002B2CF9AE}" pid="5" name="MSIP_Label_f15c982b-5a04-4b71-81f8-5aa3405e2654_Name">
    <vt:lpwstr>CONFIDENTIAL</vt:lpwstr>
  </property>
  <property fmtid="{D5CDD505-2E9C-101B-9397-08002B2CF9AE}" pid="6" name="MSIP_Label_f15c982b-5a04-4b71-81f8-5aa3405e2654_SiteId">
    <vt:lpwstr>56c62bbe-8598-4b85-9e51-1ca753fa50f2</vt:lpwstr>
  </property>
  <property fmtid="{D5CDD505-2E9C-101B-9397-08002B2CF9AE}" pid="7" name="MSIP_Label_f15c982b-5a04-4b71-81f8-5aa3405e2654_ActionId">
    <vt:lpwstr>8126c4ea-f3ec-4419-8ec7-518d61d514ed</vt:lpwstr>
  </property>
  <property fmtid="{D5CDD505-2E9C-101B-9397-08002B2CF9AE}" pid="8" name="MSIP_Label_f15c982b-5a04-4b71-81f8-5aa3405e2654_ContentBits">
    <vt:lpwstr>0</vt:lpwstr>
  </property>
  <property fmtid="{D5CDD505-2E9C-101B-9397-08002B2CF9AE}" pid="9" name="MSIP_Label_f15c982b-5a04-4b71-81f8-5aa3405e2654_Tag">
    <vt:lpwstr>10, 1, 2, 1</vt:lpwstr>
  </property>
  <property fmtid="{D5CDD505-2E9C-101B-9397-08002B2CF9AE}" pid="10" name="ContentTypeId">
    <vt:lpwstr>0x0101009C8ADA4A47EAC44386BE0F408AE578E1</vt:lpwstr>
  </property>
  <property fmtid="{D5CDD505-2E9C-101B-9397-08002B2CF9AE}" pid="11" name="xd_ProgID">
    <vt:lpwstr/>
  </property>
  <property fmtid="{D5CDD505-2E9C-101B-9397-08002B2CF9AE}" pid="12" name="_SourceUrl">
    <vt:lpwstr/>
  </property>
  <property fmtid="{D5CDD505-2E9C-101B-9397-08002B2CF9AE}" pid="13" name="_SharedFileIndex">
    <vt:lpwstr/>
  </property>
  <property fmtid="{D5CDD505-2E9C-101B-9397-08002B2CF9AE}" pid="14" name="ComplianceAssetId">
    <vt:lpwstr/>
  </property>
  <property fmtid="{D5CDD505-2E9C-101B-9397-08002B2CF9AE}" pid="15" name="TemplateUrl">
    <vt:lpwstr/>
  </property>
  <property fmtid="{D5CDD505-2E9C-101B-9397-08002B2CF9AE}" pid="16" name="_ExtendedDescription">
    <vt:lpwstr/>
  </property>
  <property fmtid="{D5CDD505-2E9C-101B-9397-08002B2CF9AE}" pid="17" name="TriggerFlowInfo">
    <vt:lpwstr/>
  </property>
  <property fmtid="{D5CDD505-2E9C-101B-9397-08002B2CF9AE}" pid="18" name="xd_Signature">
    <vt:bool>false</vt:bool>
  </property>
  <property fmtid="{D5CDD505-2E9C-101B-9397-08002B2CF9AE}" pid="19" name="MediaServiceImageTags">
    <vt:lpwstr/>
  </property>
</Properties>
</file>