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2025\IBC custom benefit plan agency bloc\Agencybloc 05-31-25\"/>
    </mc:Choice>
  </mc:AlternateContent>
  <xr:revisionPtr revIDLastSave="0" documentId="13_ncr:1_{6E541E37-A940-43B2-A5FF-0BBF7B5C861D}" xr6:coauthVersionLast="47" xr6:coauthVersionMax="47" xr10:uidLastSave="{00000000-0000-0000-0000-000000000000}"/>
  <bookViews>
    <workbookView xWindow="28680" yWindow="-120" windowWidth="29040" windowHeight="16440" xr2:uid="{A486967D-66DF-4F10-B1DD-5E433DC4D2B5}"/>
  </bookViews>
  <sheets>
    <sheet name="Main Line 5 31 25 (1)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401" i="2" l="1"/>
  <c r="G404" i="2"/>
  <c r="G406" i="2"/>
  <c r="G405" i="2"/>
  <c r="G403" i="2"/>
  <c r="G407" i="2"/>
  <c r="G402" i="2"/>
  <c r="G320" i="2"/>
  <c r="G17" i="2"/>
  <c r="G334" i="2"/>
  <c r="G374" i="2"/>
  <c r="G269" i="2"/>
  <c r="G101" i="2"/>
  <c r="G91" i="2"/>
  <c r="G349" i="2"/>
  <c r="G180" i="2"/>
  <c r="G347" i="2"/>
  <c r="G296" i="2"/>
  <c r="G297" i="2"/>
  <c r="G298" i="2"/>
  <c r="G202" i="2"/>
  <c r="G102" i="2"/>
  <c r="G117" i="2"/>
  <c r="G220" i="2"/>
  <c r="G256" i="2"/>
  <c r="G46" i="2"/>
  <c r="G59" i="2"/>
  <c r="G159" i="2"/>
  <c r="G258" i="2"/>
  <c r="G107" i="2"/>
  <c r="G58" i="2"/>
  <c r="G143" i="2"/>
  <c r="G144" i="2"/>
  <c r="G145" i="2"/>
  <c r="G146" i="2"/>
  <c r="G158" i="2"/>
  <c r="G71" i="2"/>
  <c r="G116" i="2"/>
  <c r="G40" i="2"/>
  <c r="G140" i="2"/>
  <c r="G154" i="2"/>
  <c r="G128" i="2"/>
  <c r="G254" i="2"/>
  <c r="G105" i="2"/>
  <c r="G229" i="2"/>
  <c r="G188" i="2"/>
  <c r="G187" i="2"/>
  <c r="G241" i="2"/>
  <c r="G150" i="2"/>
  <c r="G16" i="2"/>
  <c r="G235" i="2"/>
  <c r="G83" i="2"/>
  <c r="G6" i="2"/>
  <c r="G125" i="2"/>
  <c r="G248" i="2"/>
  <c r="G109" i="2"/>
  <c r="G96" i="2"/>
  <c r="G42" i="2"/>
  <c r="G21" i="2"/>
  <c r="G204" i="2"/>
  <c r="G219" i="2"/>
  <c r="G182" i="2"/>
  <c r="G54" i="2"/>
  <c r="G238" i="2"/>
  <c r="G79" i="2"/>
  <c r="G189" i="2"/>
  <c r="G270" i="2"/>
  <c r="G60" i="2"/>
  <c r="G181" i="2"/>
  <c r="G260" i="2"/>
  <c r="G227" i="2"/>
  <c r="G84" i="2"/>
  <c r="G124" i="2"/>
  <c r="G163" i="2"/>
  <c r="G234" i="2"/>
  <c r="G20" i="2"/>
  <c r="G222" i="2"/>
  <c r="G214" i="2"/>
  <c r="G85" i="2"/>
  <c r="G86" i="2"/>
  <c r="G19" i="2"/>
  <c r="G129" i="2"/>
  <c r="G108" i="2"/>
  <c r="G14" i="2"/>
  <c r="G274" i="2"/>
  <c r="G276" i="2"/>
  <c r="G53" i="2"/>
  <c r="G191" i="2"/>
  <c r="G277" i="2"/>
  <c r="G43" i="2"/>
  <c r="G44" i="2"/>
  <c r="G45" i="2"/>
  <c r="G90" i="2"/>
  <c r="G210" i="2"/>
  <c r="G275" i="2"/>
  <c r="G89" i="2"/>
  <c r="G253" i="2"/>
  <c r="G279" i="2"/>
  <c r="G8" i="2"/>
  <c r="G10" i="2"/>
  <c r="G280" i="2"/>
  <c r="G281" i="2"/>
  <c r="G282" i="2"/>
  <c r="G287" i="2"/>
  <c r="G135" i="2"/>
  <c r="G230" i="2"/>
  <c r="G292" i="2"/>
  <c r="G294" i="2"/>
  <c r="G48" i="2"/>
  <c r="G151" i="2"/>
  <c r="G290" i="2"/>
  <c r="G291" i="2"/>
  <c r="G100" i="2"/>
  <c r="G225" i="2"/>
  <c r="G226" i="2"/>
  <c r="G263" i="2"/>
  <c r="G322" i="2"/>
  <c r="G57" i="2"/>
  <c r="G47" i="2"/>
  <c r="G289" i="2"/>
  <c r="G12" i="2"/>
  <c r="G73" i="2"/>
  <c r="G323" i="2"/>
  <c r="G324" i="2"/>
  <c r="G267" i="2"/>
  <c r="G325" i="2"/>
  <c r="G217" i="2"/>
  <c r="G198" i="2"/>
  <c r="G51" i="2"/>
  <c r="G321" i="2"/>
  <c r="G120" i="2"/>
  <c r="G326" i="2"/>
  <c r="G327" i="2"/>
  <c r="G197" i="2"/>
  <c r="G118" i="2"/>
  <c r="G110" i="2"/>
  <c r="G111" i="2"/>
  <c r="G336" i="2"/>
  <c r="G341" i="2"/>
  <c r="G342" i="2"/>
  <c r="G337" i="2"/>
  <c r="G358" i="2"/>
  <c r="G357" i="2"/>
  <c r="G356" i="2"/>
  <c r="G353" i="2"/>
  <c r="G354" i="2"/>
  <c r="G104" i="2"/>
  <c r="G319" i="2"/>
  <c r="G309" i="2"/>
  <c r="G310" i="2"/>
  <c r="G364" i="2"/>
  <c r="G369" i="2"/>
  <c r="G367" i="2"/>
  <c r="G368" i="2"/>
  <c r="G373" i="2"/>
  <c r="G379" i="2"/>
  <c r="G175" i="2"/>
  <c r="G378" i="2"/>
  <c r="G221" i="2"/>
  <c r="G382" i="2"/>
  <c r="G304" i="2"/>
  <c r="G380" i="2"/>
  <c r="G381" i="2"/>
  <c r="G383" i="2"/>
  <c r="G312" i="2"/>
  <c r="G385" i="2"/>
  <c r="G389" i="2"/>
  <c r="G213" i="2"/>
  <c r="G340" i="2"/>
  <c r="G393" i="2"/>
  <c r="G106" i="2"/>
  <c r="G311" i="2"/>
  <c r="G386" i="2"/>
  <c r="G316" i="2"/>
  <c r="G363" i="2"/>
  <c r="G271" i="2"/>
  <c r="G273" i="2"/>
  <c r="G261" i="2"/>
  <c r="G396" i="2"/>
  <c r="G169" i="2"/>
  <c r="G399" i="2"/>
  <c r="G232" i="2"/>
  <c r="G186" i="2"/>
  <c r="G332" i="2"/>
  <c r="G394" i="2"/>
  <c r="G194" i="2"/>
  <c r="G35" i="2"/>
  <c r="G371" i="2"/>
  <c r="G33" i="2"/>
  <c r="G34" i="2"/>
  <c r="G155" i="2"/>
  <c r="G67" i="2"/>
  <c r="G247" i="2"/>
  <c r="G68" i="2"/>
  <c r="G377" i="2"/>
  <c r="G355" i="2"/>
  <c r="G268" i="2"/>
  <c r="G243" i="2"/>
  <c r="G395" i="2"/>
  <c r="G98" i="2"/>
  <c r="G283" i="2"/>
  <c r="G345" i="2"/>
  <c r="G346" i="2"/>
  <c r="G177" i="2"/>
  <c r="G97" i="2"/>
  <c r="G139" i="2"/>
  <c r="G303" i="2"/>
  <c r="G74" i="2"/>
  <c r="G36" i="2"/>
  <c r="G361" i="2"/>
  <c r="G27" i="2"/>
  <c r="G114" i="2"/>
  <c r="G239" i="2"/>
  <c r="G11" i="2"/>
  <c r="G362" i="2"/>
  <c r="G133" i="2"/>
  <c r="G307" i="2"/>
  <c r="G278" i="2"/>
  <c r="G25" i="2"/>
  <c r="G137" i="2"/>
  <c r="G132" i="2"/>
  <c r="G344" i="2"/>
  <c r="G375" i="2"/>
  <c r="G37" i="2"/>
  <c r="G134" i="2"/>
  <c r="G41" i="2"/>
  <c r="G38" i="2"/>
  <c r="G28" i="2"/>
  <c r="G29" i="2"/>
  <c r="G77" i="2"/>
  <c r="G259" i="2"/>
  <c r="G81" i="2"/>
  <c r="G130" i="2"/>
  <c r="G56" i="2"/>
  <c r="G390" i="2"/>
  <c r="G391" i="2"/>
  <c r="G93" i="2"/>
  <c r="G157" i="2"/>
  <c r="G24" i="2"/>
  <c r="G32" i="2"/>
  <c r="G2" i="2"/>
  <c r="G3" i="2"/>
  <c r="G335" i="2"/>
  <c r="G262" i="2"/>
  <c r="G122" i="2"/>
  <c r="G123" i="2"/>
  <c r="G246" i="2"/>
  <c r="G252" i="2"/>
  <c r="G212" i="2"/>
  <c r="G228" i="2"/>
  <c r="G5" i="2"/>
  <c r="G112" i="2"/>
  <c r="G237" i="2"/>
  <c r="G39" i="2"/>
  <c r="G201" i="2"/>
  <c r="G255" i="2"/>
  <c r="G75" i="2"/>
  <c r="G52" i="2"/>
  <c r="G195" i="2"/>
  <c r="G80" i="2"/>
  <c r="G264" i="2"/>
  <c r="G173" i="2"/>
  <c r="G199" i="2"/>
  <c r="G330" i="2"/>
  <c r="G62" i="2"/>
  <c r="G63" i="2"/>
  <c r="G329" i="2"/>
  <c r="G164" i="2"/>
  <c r="G215" i="2"/>
  <c r="G160" i="2"/>
  <c r="G178" i="2"/>
  <c r="G295" i="2"/>
  <c r="G331" i="2"/>
  <c r="G249" i="2"/>
  <c r="G236" i="2"/>
  <c r="G203" i="2"/>
  <c r="G15" i="2"/>
  <c r="G196" i="2"/>
  <c r="G170" i="2"/>
  <c r="G18" i="2"/>
  <c r="G161" i="2"/>
  <c r="G162" i="2"/>
  <c r="G350" i="2"/>
  <c r="G343" i="2"/>
  <c r="G339" i="2"/>
  <c r="G352" i="2"/>
  <c r="G359" i="2"/>
  <c r="G372" i="2"/>
  <c r="G148" i="2"/>
  <c r="G149" i="2"/>
  <c r="G205" i="2"/>
  <c r="G206" i="2"/>
  <c r="G207" i="2"/>
  <c r="G208" i="2"/>
  <c r="G209" i="2"/>
  <c r="G387" i="2"/>
  <c r="G388" i="2"/>
  <c r="G305" i="2"/>
  <c r="G366" i="2"/>
  <c r="G88" i="2"/>
  <c r="G184" i="2"/>
  <c r="G224" i="2"/>
  <c r="G113" i="2"/>
  <c r="G26" i="2"/>
  <c r="G250" i="2"/>
  <c r="G251" i="2"/>
  <c r="G49" i="2"/>
  <c r="G70" i="2"/>
  <c r="G240" i="2"/>
  <c r="G147" i="2"/>
  <c r="G87" i="2"/>
  <c r="G216" i="2"/>
  <c r="G272" i="2"/>
  <c r="G152" i="2"/>
  <c r="G192" i="2"/>
  <c r="G193" i="2"/>
  <c r="G293" i="2"/>
  <c r="G121" i="2"/>
  <c r="G4" i="2"/>
  <c r="G171" i="2"/>
  <c r="G190" i="2"/>
  <c r="G318" i="2"/>
  <c r="G82" i="2"/>
  <c r="G360" i="2"/>
  <c r="G306" i="2"/>
  <c r="G172" i="2"/>
  <c r="G348" i="2"/>
  <c r="G30" i="2"/>
  <c r="G244" i="2"/>
  <c r="G245" i="2"/>
  <c r="G9" i="2"/>
  <c r="G315" i="2"/>
  <c r="G31" i="2"/>
  <c r="G223" i="2"/>
  <c r="G200" i="2"/>
  <c r="G301" i="2"/>
  <c r="G174" i="2"/>
  <c r="G136" i="2"/>
  <c r="G286" i="2"/>
  <c r="G288" i="2"/>
  <c r="G153" i="2"/>
  <c r="G333" i="2"/>
  <c r="G119" i="2"/>
  <c r="G99" i="2"/>
  <c r="G156" i="2"/>
  <c r="G103" i="2"/>
  <c r="G165" i="2"/>
  <c r="G166" i="2"/>
  <c r="G167" i="2"/>
  <c r="G242" i="2"/>
  <c r="G300" i="2"/>
  <c r="G233" i="2"/>
  <c r="G370" i="2"/>
  <c r="G76" i="2"/>
  <c r="G72" i="2"/>
  <c r="G231" i="2"/>
  <c r="G392" i="2"/>
  <c r="G64" i="2"/>
  <c r="G65" i="2"/>
  <c r="G176" i="2"/>
  <c r="G328" i="2"/>
  <c r="G218" i="2"/>
  <c r="G179" i="2"/>
  <c r="G126" i="2"/>
  <c r="G127" i="2"/>
  <c r="G55" i="2"/>
  <c r="G185" i="2"/>
  <c r="G351" i="2"/>
  <c r="G397" i="2"/>
  <c r="G398" i="2"/>
  <c r="G257" i="2"/>
  <c r="G183" i="2"/>
  <c r="G78" i="2"/>
  <c r="G138" i="2"/>
  <c r="G50" i="2"/>
  <c r="G168" i="2"/>
  <c r="G365" i="2"/>
  <c r="G400" i="2"/>
  <c r="G265" i="2"/>
  <c r="G22" i="2"/>
  <c r="G23" i="2"/>
  <c r="G13" i="2"/>
  <c r="G92" i="2"/>
  <c r="G66" i="2"/>
  <c r="G7" i="2"/>
  <c r="G284" i="2"/>
  <c r="G285" i="2"/>
  <c r="G266" i="2"/>
  <c r="G211" i="2"/>
  <c r="G69" i="2"/>
  <c r="G115" i="2"/>
  <c r="G299" i="2"/>
  <c r="G308" i="2"/>
  <c r="G302" i="2"/>
  <c r="G313" i="2"/>
  <c r="G384" i="2"/>
  <c r="G94" i="2"/>
  <c r="G95" i="2"/>
  <c r="G338" i="2"/>
  <c r="G61" i="2"/>
  <c r="G376" i="2"/>
  <c r="G131" i="2"/>
  <c r="G317" i="2"/>
  <c r="G142" i="2"/>
  <c r="G141" i="2"/>
  <c r="G314" i="2"/>
  <c r="J141" i="2"/>
  <c r="J142" i="2"/>
  <c r="J317" i="2"/>
  <c r="J131" i="2"/>
  <c r="J376" i="2"/>
  <c r="J61" i="2"/>
  <c r="J402" i="2"/>
  <c r="J407" i="2"/>
  <c r="J403" i="2"/>
  <c r="J405" i="2"/>
  <c r="J406" i="2"/>
  <c r="J404" i="2"/>
  <c r="J401" i="2"/>
  <c r="J338" i="2"/>
  <c r="J320" i="2"/>
  <c r="J17" i="2"/>
  <c r="J334" i="2"/>
  <c r="J374" i="2"/>
  <c r="J269" i="2"/>
  <c r="J101" i="2"/>
  <c r="J91" i="2"/>
  <c r="J349" i="2"/>
  <c r="J180" i="2"/>
  <c r="J347" i="2"/>
  <c r="J296" i="2"/>
  <c r="J297" i="2"/>
  <c r="J298" i="2"/>
  <c r="J202" i="2"/>
  <c r="J102" i="2"/>
  <c r="J117" i="2"/>
  <c r="J220" i="2"/>
  <c r="J256" i="2"/>
  <c r="J46" i="2"/>
  <c r="J59" i="2"/>
  <c r="J159" i="2"/>
  <c r="J258" i="2"/>
  <c r="J107" i="2"/>
  <c r="J58" i="2"/>
  <c r="J143" i="2"/>
  <c r="J144" i="2"/>
  <c r="J145" i="2"/>
  <c r="J146" i="2"/>
  <c r="J158" i="2"/>
  <c r="J71" i="2"/>
  <c r="J116" i="2"/>
  <c r="J40" i="2"/>
  <c r="J140" i="2"/>
  <c r="J154" i="2"/>
  <c r="J128" i="2"/>
  <c r="J254" i="2"/>
  <c r="J105" i="2"/>
  <c r="J229" i="2"/>
  <c r="J188" i="2"/>
  <c r="J187" i="2"/>
  <c r="J241" i="2"/>
  <c r="J150" i="2"/>
  <c r="J16" i="2"/>
  <c r="J235" i="2"/>
  <c r="J83" i="2"/>
  <c r="J6" i="2"/>
  <c r="J125" i="2"/>
  <c r="J248" i="2"/>
  <c r="J109" i="2"/>
  <c r="J96" i="2"/>
  <c r="J42" i="2"/>
  <c r="J21" i="2"/>
  <c r="J204" i="2"/>
  <c r="J219" i="2"/>
  <c r="J182" i="2"/>
  <c r="J54" i="2"/>
  <c r="J238" i="2"/>
  <c r="J79" i="2"/>
  <c r="J189" i="2"/>
  <c r="J270" i="2"/>
  <c r="J60" i="2"/>
  <c r="J181" i="2"/>
  <c r="J260" i="2"/>
  <c r="J227" i="2"/>
  <c r="J84" i="2"/>
  <c r="J124" i="2"/>
  <c r="J163" i="2"/>
  <c r="J234" i="2"/>
  <c r="J20" i="2"/>
  <c r="J222" i="2"/>
  <c r="J214" i="2"/>
  <c r="J85" i="2"/>
  <c r="J86" i="2"/>
  <c r="J19" i="2"/>
  <c r="J129" i="2"/>
  <c r="J108" i="2"/>
  <c r="J14" i="2"/>
  <c r="J274" i="2"/>
  <c r="J276" i="2"/>
  <c r="J53" i="2"/>
  <c r="J191" i="2"/>
  <c r="J277" i="2"/>
  <c r="J43" i="2"/>
  <c r="J44" i="2"/>
  <c r="J45" i="2"/>
  <c r="J90" i="2"/>
  <c r="J210" i="2"/>
  <c r="J275" i="2"/>
  <c r="J89" i="2"/>
  <c r="J253" i="2"/>
  <c r="J279" i="2"/>
  <c r="J8" i="2"/>
  <c r="J10" i="2"/>
  <c r="J280" i="2"/>
  <c r="J281" i="2"/>
  <c r="J282" i="2"/>
  <c r="J287" i="2"/>
  <c r="J135" i="2"/>
  <c r="J230" i="2"/>
  <c r="J292" i="2"/>
  <c r="J294" i="2"/>
  <c r="J48" i="2"/>
  <c r="J151" i="2"/>
  <c r="J290" i="2"/>
  <c r="J291" i="2"/>
  <c r="J100" i="2"/>
  <c r="J225" i="2"/>
  <c r="J226" i="2"/>
  <c r="J263" i="2"/>
  <c r="J322" i="2"/>
  <c r="J57" i="2"/>
  <c r="J47" i="2"/>
  <c r="J289" i="2"/>
  <c r="J12" i="2"/>
  <c r="J73" i="2"/>
  <c r="J323" i="2"/>
  <c r="J324" i="2"/>
  <c r="J267" i="2"/>
  <c r="J325" i="2"/>
  <c r="J217" i="2"/>
  <c r="J198" i="2"/>
  <c r="J51" i="2"/>
  <c r="J321" i="2"/>
  <c r="J120" i="2"/>
  <c r="J326" i="2"/>
  <c r="J327" i="2"/>
  <c r="J197" i="2"/>
  <c r="J118" i="2"/>
  <c r="J110" i="2"/>
  <c r="J111" i="2"/>
  <c r="J336" i="2"/>
  <c r="J341" i="2"/>
  <c r="J342" i="2"/>
  <c r="J337" i="2"/>
  <c r="J358" i="2"/>
  <c r="J357" i="2"/>
  <c r="J356" i="2"/>
  <c r="J353" i="2"/>
  <c r="J354" i="2"/>
  <c r="J104" i="2"/>
  <c r="J319" i="2"/>
  <c r="J309" i="2"/>
  <c r="J310" i="2"/>
  <c r="J364" i="2"/>
  <c r="J369" i="2"/>
  <c r="J367" i="2"/>
  <c r="J368" i="2"/>
  <c r="J373" i="2"/>
  <c r="J379" i="2"/>
  <c r="J175" i="2"/>
  <c r="J378" i="2"/>
  <c r="J221" i="2"/>
  <c r="J382" i="2"/>
  <c r="J304" i="2"/>
  <c r="J380" i="2"/>
  <c r="J381" i="2"/>
  <c r="J383" i="2"/>
  <c r="J312" i="2"/>
  <c r="J385" i="2"/>
  <c r="J389" i="2"/>
  <c r="J213" i="2"/>
  <c r="J340" i="2"/>
  <c r="J393" i="2"/>
  <c r="J106" i="2"/>
  <c r="J311" i="2"/>
  <c r="J386" i="2"/>
  <c r="J316" i="2"/>
  <c r="J363" i="2"/>
  <c r="J271" i="2"/>
  <c r="J273" i="2"/>
  <c r="J261" i="2"/>
  <c r="J396" i="2"/>
  <c r="J169" i="2"/>
  <c r="J399" i="2"/>
  <c r="J232" i="2"/>
  <c r="J186" i="2"/>
  <c r="J332" i="2"/>
  <c r="J394" i="2"/>
  <c r="J194" i="2"/>
  <c r="J35" i="2"/>
  <c r="J371" i="2"/>
  <c r="J33" i="2"/>
  <c r="J34" i="2"/>
  <c r="J155" i="2"/>
  <c r="J67" i="2"/>
  <c r="J247" i="2"/>
  <c r="J68" i="2"/>
  <c r="J377" i="2"/>
  <c r="J355" i="2"/>
  <c r="J268" i="2"/>
  <c r="J243" i="2"/>
  <c r="J395" i="2"/>
  <c r="J98" i="2"/>
  <c r="J283" i="2"/>
  <c r="J345" i="2"/>
  <c r="J346" i="2"/>
  <c r="J177" i="2"/>
  <c r="J97" i="2"/>
  <c r="J139" i="2"/>
  <c r="J303" i="2"/>
  <c r="J74" i="2"/>
  <c r="J36" i="2"/>
  <c r="J361" i="2"/>
  <c r="J27" i="2"/>
  <c r="J114" i="2"/>
  <c r="J239" i="2"/>
  <c r="J11" i="2"/>
  <c r="J362" i="2"/>
  <c r="J133" i="2"/>
  <c r="J307" i="2"/>
  <c r="J278" i="2"/>
  <c r="J25" i="2"/>
  <c r="J137" i="2"/>
  <c r="J132" i="2"/>
  <c r="J344" i="2"/>
  <c r="J375" i="2"/>
  <c r="J37" i="2"/>
  <c r="J134" i="2"/>
  <c r="J41" i="2"/>
  <c r="J38" i="2"/>
  <c r="J28" i="2"/>
  <c r="J29" i="2"/>
  <c r="J77" i="2"/>
  <c r="J259" i="2"/>
  <c r="J81" i="2"/>
  <c r="J130" i="2"/>
  <c r="J56" i="2"/>
  <c r="J390" i="2"/>
  <c r="J391" i="2"/>
  <c r="J93" i="2"/>
  <c r="J157" i="2"/>
  <c r="J24" i="2"/>
  <c r="J32" i="2"/>
  <c r="J2" i="2"/>
  <c r="J3" i="2"/>
  <c r="J335" i="2"/>
  <c r="J262" i="2"/>
  <c r="J122" i="2"/>
  <c r="J123" i="2"/>
  <c r="J246" i="2"/>
  <c r="J252" i="2"/>
  <c r="J212" i="2"/>
  <c r="J228" i="2"/>
  <c r="J5" i="2"/>
  <c r="J112" i="2"/>
  <c r="J237" i="2"/>
  <c r="J39" i="2"/>
  <c r="J201" i="2"/>
  <c r="J255" i="2"/>
  <c r="J75" i="2"/>
  <c r="J52" i="2"/>
  <c r="J195" i="2"/>
  <c r="J80" i="2"/>
  <c r="J264" i="2"/>
  <c r="J173" i="2"/>
  <c r="J199" i="2"/>
  <c r="J330" i="2"/>
  <c r="J62" i="2"/>
  <c r="J63" i="2"/>
  <c r="J329" i="2"/>
  <c r="J164" i="2"/>
  <c r="J215" i="2"/>
  <c r="J160" i="2"/>
  <c r="J178" i="2"/>
  <c r="J295" i="2"/>
  <c r="J331" i="2"/>
  <c r="J249" i="2"/>
  <c r="J236" i="2"/>
  <c r="J203" i="2"/>
  <c r="J15" i="2"/>
  <c r="J196" i="2"/>
  <c r="J170" i="2"/>
  <c r="J18" i="2"/>
  <c r="J161" i="2"/>
  <c r="J162" i="2"/>
  <c r="J350" i="2"/>
  <c r="J343" i="2"/>
  <c r="J339" i="2"/>
  <c r="J352" i="2"/>
  <c r="J359" i="2"/>
  <c r="J372" i="2"/>
  <c r="J148" i="2"/>
  <c r="J149" i="2"/>
  <c r="J205" i="2"/>
  <c r="J206" i="2"/>
  <c r="J207" i="2"/>
  <c r="J208" i="2"/>
  <c r="J209" i="2"/>
  <c r="J387" i="2"/>
  <c r="J388" i="2"/>
  <c r="J305" i="2"/>
  <c r="J366" i="2"/>
  <c r="J88" i="2"/>
  <c r="J184" i="2"/>
  <c r="J224" i="2"/>
  <c r="J113" i="2"/>
  <c r="J26" i="2"/>
  <c r="J250" i="2"/>
  <c r="J251" i="2"/>
  <c r="J49" i="2"/>
  <c r="J70" i="2"/>
  <c r="J240" i="2"/>
  <c r="J147" i="2"/>
  <c r="J87" i="2"/>
  <c r="J216" i="2"/>
  <c r="J272" i="2"/>
  <c r="J152" i="2"/>
  <c r="J192" i="2"/>
  <c r="J193" i="2"/>
  <c r="J293" i="2"/>
  <c r="J121" i="2"/>
  <c r="J4" i="2"/>
  <c r="J171" i="2"/>
  <c r="J190" i="2"/>
  <c r="J318" i="2"/>
  <c r="J82" i="2"/>
  <c r="J360" i="2"/>
  <c r="J306" i="2"/>
  <c r="J172" i="2"/>
  <c r="J348" i="2"/>
  <c r="J30" i="2"/>
  <c r="J244" i="2"/>
  <c r="J245" i="2"/>
  <c r="J9" i="2"/>
  <c r="J315" i="2"/>
  <c r="J31" i="2"/>
  <c r="J223" i="2"/>
  <c r="J200" i="2"/>
  <c r="J301" i="2"/>
  <c r="J174" i="2"/>
  <c r="J136" i="2"/>
  <c r="J286" i="2"/>
  <c r="J288" i="2"/>
  <c r="J153" i="2"/>
  <c r="J333" i="2"/>
  <c r="J119" i="2"/>
  <c r="J99" i="2"/>
  <c r="J156" i="2"/>
  <c r="J103" i="2"/>
  <c r="J165" i="2"/>
  <c r="J166" i="2"/>
  <c r="J167" i="2"/>
  <c r="J242" i="2"/>
  <c r="J300" i="2"/>
  <c r="J233" i="2"/>
  <c r="J370" i="2"/>
  <c r="J76" i="2"/>
  <c r="J72" i="2"/>
  <c r="J231" i="2"/>
  <c r="J392" i="2"/>
  <c r="J64" i="2"/>
  <c r="J65" i="2"/>
  <c r="J176" i="2"/>
  <c r="J328" i="2"/>
  <c r="J218" i="2"/>
  <c r="J179" i="2"/>
  <c r="J126" i="2"/>
  <c r="J127" i="2"/>
  <c r="J55" i="2"/>
  <c r="J185" i="2"/>
  <c r="J351" i="2"/>
  <c r="J397" i="2"/>
  <c r="J398" i="2"/>
  <c r="J257" i="2"/>
  <c r="J183" i="2"/>
  <c r="J78" i="2"/>
  <c r="J138" i="2"/>
  <c r="J50" i="2"/>
  <c r="J168" i="2"/>
  <c r="J365" i="2"/>
  <c r="J400" i="2"/>
  <c r="J265" i="2"/>
  <c r="J22" i="2"/>
  <c r="J23" i="2"/>
  <c r="J13" i="2"/>
  <c r="J92" i="2"/>
  <c r="J66" i="2"/>
  <c r="J7" i="2"/>
  <c r="J284" i="2"/>
  <c r="J285" i="2"/>
  <c r="J266" i="2"/>
  <c r="J211" i="2"/>
  <c r="J69" i="2"/>
  <c r="J115" i="2"/>
  <c r="J299" i="2"/>
  <c r="J308" i="2"/>
  <c r="J302" i="2"/>
  <c r="J313" i="2"/>
  <c r="J384" i="2"/>
  <c r="J94" i="2"/>
  <c r="J95" i="2"/>
  <c r="J314" i="2"/>
</calcChain>
</file>

<file path=xl/sharedStrings.xml><?xml version="1.0" encoding="utf-8"?>
<sst xmlns="http://schemas.openxmlformats.org/spreadsheetml/2006/main" count="6405" uniqueCount="411">
  <si>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</si>
  <si>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</si>
  <si>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</si>
  <si>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</si>
  <si>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</si>
  <si>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</si>
  <si>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</si>
  <si>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</si>
  <si>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</si>
  <si>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</si>
  <si>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</si>
  <si>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</si>
  <si>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</si>
  <si>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</si>
  <si>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</si>
  <si>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</si>
  <si>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</si>
  <si>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</si>
  <si>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</si>
  <si>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</si>
  <si>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</si>
  <si>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</si>
  <si>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</si>
  <si>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</si>
  <si>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</si>
  <si>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May</t>
  </si>
  <si>
    <t>No</t>
  </si>
  <si>
    <t>ANDERSON,ANGELA</t>
  </si>
  <si>
    <t>Apr</t>
  </si>
  <si>
    <t>Roken, John</t>
  </si>
  <si>
    <t>JR1718</t>
  </si>
  <si>
    <t>ANGELO-CATAGNUS,TONYA</t>
  </si>
  <si>
    <t>Aguglia, Scott</t>
  </si>
  <si>
    <t>SA0970</t>
  </si>
  <si>
    <t>ARAGON,CLARA</t>
  </si>
  <si>
    <t>ARGIRIS,KONSTANTINOS</t>
  </si>
  <si>
    <t>AUGUST,MADISON</t>
  </si>
  <si>
    <t>AYRAL,CHRISTOPHER</t>
  </si>
  <si>
    <t>Richter, Peter</t>
  </si>
  <si>
    <t>PR8611</t>
  </si>
  <si>
    <t>BACI,DRITAN</t>
  </si>
  <si>
    <t>BACLLARI,RAMAZAN</t>
  </si>
  <si>
    <t>BAILEY,FRANCINE</t>
  </si>
  <si>
    <t>BAILEY,MATTHEW</t>
  </si>
  <si>
    <t>BARBIERI-SANTUS,DONNA</t>
  </si>
  <si>
    <t>BASEMAN,JOAN</t>
  </si>
  <si>
    <t>BATTY,ASHLEY</t>
  </si>
  <si>
    <t>BAVARO,DOMINIC</t>
  </si>
  <si>
    <t>BEATTY,EDWARD</t>
  </si>
  <si>
    <t>BERLACHER,GREG</t>
  </si>
  <si>
    <t>BICKEL,MARK</t>
  </si>
  <si>
    <t>BIEGANSKI,STEPHEN</t>
  </si>
  <si>
    <t>BLACK,TARA</t>
  </si>
  <si>
    <t>BLACKWELL,TAMARA</t>
  </si>
  <si>
    <t>BLYE,COLIN</t>
  </si>
  <si>
    <t>BOGGIA,JAMES</t>
  </si>
  <si>
    <t>BOJAZI,GIANNA</t>
  </si>
  <si>
    <t>BONNER,CHRISTOPHER</t>
  </si>
  <si>
    <t>BOYD,STEPHANIE</t>
  </si>
  <si>
    <t>Nov</t>
  </si>
  <si>
    <t>Mar</t>
  </si>
  <si>
    <t>BRAUBITZ,JOSEPH</t>
  </si>
  <si>
    <t>BRENNAN,KELLI</t>
  </si>
  <si>
    <t>BROOMALL,CASEY</t>
  </si>
  <si>
    <t>BROWN,BRANDON</t>
  </si>
  <si>
    <t>Oct</t>
  </si>
  <si>
    <t>BUSH,HUNTER</t>
  </si>
  <si>
    <t>CABOT,ANNA</t>
  </si>
  <si>
    <t>CALTER,DONNA</t>
  </si>
  <si>
    <t>CAMPBELL,CHARLES</t>
  </si>
  <si>
    <t>CANDELLO,SUZANNE</t>
  </si>
  <si>
    <t>CANNIE,QUINCY</t>
  </si>
  <si>
    <t>CARSON,MARY</t>
  </si>
  <si>
    <t>CELLA,ANGIE</t>
  </si>
  <si>
    <t>CENATIEMPO,CONSTANCE</t>
  </si>
  <si>
    <t>CHEN,GARBO</t>
  </si>
  <si>
    <t>Jan</t>
  </si>
  <si>
    <t>Feb</t>
  </si>
  <si>
    <t>CHEN,YUN LIN</t>
  </si>
  <si>
    <t>CHHOUN,LAY</t>
  </si>
  <si>
    <t>CHINCHILLA-NAVARRO,ISABEL</t>
  </si>
  <si>
    <t>CHING,PETER</t>
  </si>
  <si>
    <t>CISNEROS,WILLIE</t>
  </si>
  <si>
    <t>CLOUSE,KEVIN</t>
  </si>
  <si>
    <t>COLE,THERESA</t>
  </si>
  <si>
    <t>COMPTON,KYRA</t>
  </si>
  <si>
    <t>CONNOR,ALLISON</t>
  </si>
  <si>
    <t>CONRAD,REBECCA</t>
  </si>
  <si>
    <t>CONSTANTINO,ROSEANN</t>
  </si>
  <si>
    <t>COWEN,DANIEL</t>
  </si>
  <si>
    <t>COWEN,KARA</t>
  </si>
  <si>
    <t>COWEN,KAREN</t>
  </si>
  <si>
    <t>COX,GREGORY</t>
  </si>
  <si>
    <t>CRAVEN,DARIANNE</t>
  </si>
  <si>
    <t>CUCCURULLO,GIANNA</t>
  </si>
  <si>
    <t>Sep</t>
  </si>
  <si>
    <t>Jul</t>
  </si>
  <si>
    <t>Aug</t>
  </si>
  <si>
    <t>Jun</t>
  </si>
  <si>
    <t>CUGINI,CRISTA</t>
  </si>
  <si>
    <t>CULLEN,HAILEY</t>
  </si>
  <si>
    <t>CWIK,JANELLE</t>
  </si>
  <si>
    <t>DANIELS,BRIAN</t>
  </si>
  <si>
    <t>DAULERIO,MARINA</t>
  </si>
  <si>
    <t>DE CROISSET,MARC</t>
  </si>
  <si>
    <t>DECKER,KATHLEEN</t>
  </si>
  <si>
    <t>DEECKI,LORA</t>
  </si>
  <si>
    <t>TEIPEL, GREGORY</t>
  </si>
  <si>
    <t>GT3522</t>
  </si>
  <si>
    <t>DEL ROSSI,THOMAS</t>
  </si>
  <si>
    <t>DELUCA,NICOLE</t>
  </si>
  <si>
    <t>DERAFELO,CHRISTOPHER</t>
  </si>
  <si>
    <t>DESROSIERS,DANIEL</t>
  </si>
  <si>
    <t>DEVITO,DANICA</t>
  </si>
  <si>
    <t>DIAZ,GISELLE</t>
  </si>
  <si>
    <t>DIGREGORIO,MICHAEL</t>
  </si>
  <si>
    <t>DIMEO,LISA</t>
  </si>
  <si>
    <t>DISTEFANO,LORETTA</t>
  </si>
  <si>
    <t>DITA,ARIANIT</t>
  </si>
  <si>
    <t>DITA,SAIME</t>
  </si>
  <si>
    <t>DODSON,LORA</t>
  </si>
  <si>
    <t>DRAB,EDWARD</t>
  </si>
  <si>
    <t>DREW,ROSE</t>
  </si>
  <si>
    <t>DUDDY,PATRICK</t>
  </si>
  <si>
    <t>DURINZI,ALISON</t>
  </si>
  <si>
    <t>ENGEL,PAUL</t>
  </si>
  <si>
    <t>ENOCHS,JESSICA</t>
  </si>
  <si>
    <t>ESPINOZA,MAITRELLY</t>
  </si>
  <si>
    <t>FACCIOLO,CINDY</t>
  </si>
  <si>
    <t>FACCIOLO,JOHN</t>
  </si>
  <si>
    <t>FAGAN,BENJAMIN</t>
  </si>
  <si>
    <t>FALKOWSKI,URSULA</t>
  </si>
  <si>
    <t>FARRAR,MICHAEL</t>
  </si>
  <si>
    <t>FARRELL,THOMAS</t>
  </si>
  <si>
    <t>FENG,JIAWA</t>
  </si>
  <si>
    <t>FERNANDES DOS,PAULA</t>
  </si>
  <si>
    <t>FINK,HEATHER</t>
  </si>
  <si>
    <t>FLEMING,DEONNA</t>
  </si>
  <si>
    <t>FLYNN,KRISTINA</t>
  </si>
  <si>
    <t>FORAN,ALAN</t>
  </si>
  <si>
    <t>FOSTER,LINDSAY</t>
  </si>
  <si>
    <t>FOX,CRYSTAL</t>
  </si>
  <si>
    <t>FOX,MARC</t>
  </si>
  <si>
    <t>FREDERICK,GRANT</t>
  </si>
  <si>
    <t>FREY,ERIC</t>
  </si>
  <si>
    <t>FUNK,JOSEPH</t>
  </si>
  <si>
    <t>GAMBONE,PAMELA</t>
  </si>
  <si>
    <t>GEORGIOU,MARISSA</t>
  </si>
  <si>
    <t>GODWIN,JAIME</t>
  </si>
  <si>
    <t>GODWIN,LYNDA</t>
  </si>
  <si>
    <t>GOETZ,JOHN</t>
  </si>
  <si>
    <t>GOLATO,CHERYL</t>
  </si>
  <si>
    <t>GORDON,BRIAN</t>
  </si>
  <si>
    <t>GRAUER,GINA</t>
  </si>
  <si>
    <t>GRAY,DAMON</t>
  </si>
  <si>
    <t>GRAY,DAYNA</t>
  </si>
  <si>
    <t>GREER,SOPHIE</t>
  </si>
  <si>
    <t>GRIER,TIFFANY</t>
  </si>
  <si>
    <t>GROGAN,CATHERINE</t>
  </si>
  <si>
    <t>GROSSO,ANNAMARIA</t>
  </si>
  <si>
    <t>GROSSO,BRANDON</t>
  </si>
  <si>
    <t>GRUBER,TIMOTHY</t>
  </si>
  <si>
    <t>GUIDAS,ROCHELLE</t>
  </si>
  <si>
    <t>GUNTER,DARRELL</t>
  </si>
  <si>
    <t>GWIN,JOHN</t>
  </si>
  <si>
    <t>HAHN,NICHOLAS</t>
  </si>
  <si>
    <t>HAMILTON,JOHN</t>
  </si>
  <si>
    <t>HANEY,RANYA</t>
  </si>
  <si>
    <t>HANSON,EARL</t>
  </si>
  <si>
    <t>HARVEY,JEFFREY</t>
  </si>
  <si>
    <t>HASAN,HAKIM</t>
  </si>
  <si>
    <t>HEARN,EMILY</t>
  </si>
  <si>
    <t>HEIDLER,RICHARD</t>
  </si>
  <si>
    <t>HEINLEN, WALTER</t>
  </si>
  <si>
    <t>HENZIE,DANA</t>
  </si>
  <si>
    <t>HERREMANS,TODD</t>
  </si>
  <si>
    <t>HEWITT,BILLIE</t>
  </si>
  <si>
    <t>HOSSAIN,ABM</t>
  </si>
  <si>
    <t>HUANG,JERRY</t>
  </si>
  <si>
    <t>HWANG,JOON</t>
  </si>
  <si>
    <t>IACONO,FRANCESCO</t>
  </si>
  <si>
    <t>INSCO,ALLIE</t>
  </si>
  <si>
    <t>INTERRANTE,MARINA</t>
  </si>
  <si>
    <t>ISABELLA,MICHAEL</t>
  </si>
  <si>
    <t>JABLONSKI,KURT</t>
  </si>
  <si>
    <t>JACKSON,CATHERINE</t>
  </si>
  <si>
    <t>JACQUES,MARY</t>
  </si>
  <si>
    <t>Dental / Vision</t>
  </si>
  <si>
    <t>JANCOVIC,KEVIN</t>
  </si>
  <si>
    <t>JANG,SO YOUNG</t>
  </si>
  <si>
    <t>JASKOWIAK,CATHERINE</t>
  </si>
  <si>
    <t>JOHNBOSCO,JOE</t>
  </si>
  <si>
    <t>JOHNBOSCO,NICHOLAS</t>
  </si>
  <si>
    <t>JOHNS,THERESA</t>
  </si>
  <si>
    <t>KANAI,TAKASHI</t>
  </si>
  <si>
    <t>KANG,HYUN</t>
  </si>
  <si>
    <t>KARIM,SHEHLA</t>
  </si>
  <si>
    <t>KELLY,EMMA</t>
  </si>
  <si>
    <t>KENNY,NINA</t>
  </si>
  <si>
    <t>KERN,CATHERINE</t>
  </si>
  <si>
    <t>KLEIN,JEFFREY</t>
  </si>
  <si>
    <t>KLEISS,DONNA</t>
  </si>
  <si>
    <t>KLIDONAS,ASHLEY</t>
  </si>
  <si>
    <t>KLIDONAS,STEVEN</t>
  </si>
  <si>
    <t>KLUTCHKA,LAUREN</t>
  </si>
  <si>
    <t>KOCH,LAURA</t>
  </si>
  <si>
    <t>KOPELOW,LISA</t>
  </si>
  <si>
    <t>KRASH,CARLA</t>
  </si>
  <si>
    <t>KRUGER,ADAM</t>
  </si>
  <si>
    <t>KUDDAR,MITCH</t>
  </si>
  <si>
    <t>LANGDON,NINA</t>
  </si>
  <si>
    <t>LARK,KATHARINE</t>
  </si>
  <si>
    <t>LARKIN,MICHAEL</t>
  </si>
  <si>
    <t>LARUSSA,NICKOLE</t>
  </si>
  <si>
    <t>LAUMAKIS,CHERYL</t>
  </si>
  <si>
    <t>LESAGE,MASON</t>
  </si>
  <si>
    <t>LESAGE,PATRICIA</t>
  </si>
  <si>
    <t>LEVIN,MERRY</t>
  </si>
  <si>
    <t>LIEBERMAN,MARTI</t>
  </si>
  <si>
    <t>LINDBLAD,JOHN</t>
  </si>
  <si>
    <t>LINDBLAD,LYNNE</t>
  </si>
  <si>
    <t>LINK,VALERIE</t>
  </si>
  <si>
    <t>LIPPOLIS,JAMES</t>
  </si>
  <si>
    <t>LOMBARDOZZI,ALICIA</t>
  </si>
  <si>
    <t>LONGENECKER,MEGAN</t>
  </si>
  <si>
    <t>LORENZON,GINA</t>
  </si>
  <si>
    <t>LUDDY,SARAH</t>
  </si>
  <si>
    <t>LUKACS,CHRISTOPHER</t>
  </si>
  <si>
    <t>LULIAS,KATINA</t>
  </si>
  <si>
    <t>LYMAN,KIMBERLY</t>
  </si>
  <si>
    <t>MACDONNELL,TRISTAM</t>
  </si>
  <si>
    <t>MAGGS,JOANNA</t>
  </si>
  <si>
    <t>Long  , Patricia</t>
  </si>
  <si>
    <t>PL1462</t>
  </si>
  <si>
    <t>MANDIC,DESIREE</t>
  </si>
  <si>
    <t>MANDIC,MARK</t>
  </si>
  <si>
    <t>MANDOLINI,JOHN</t>
  </si>
  <si>
    <t>MARBERGER,EVANGELINE</t>
  </si>
  <si>
    <t>MARCHETTO,SEAMUS</t>
  </si>
  <si>
    <t>Barber, Aiden</t>
  </si>
  <si>
    <t>AB3549</t>
  </si>
  <si>
    <t>MARGOLIS,JENNIFER</t>
  </si>
  <si>
    <t>MARONSKI,WILLIAM</t>
  </si>
  <si>
    <t>MASCARO,JOHN</t>
  </si>
  <si>
    <t>MASCUILLI,LORI</t>
  </si>
  <si>
    <t>MASSENGILL,JO ANN</t>
  </si>
  <si>
    <t>MATHIS,JACOB</t>
  </si>
  <si>
    <t>MATHIS,STEPHANIE</t>
  </si>
  <si>
    <t>MATTEI,ELIZABETH</t>
  </si>
  <si>
    <t>MATTIS,PETER</t>
  </si>
  <si>
    <t>MATTSON,DIANE</t>
  </si>
  <si>
    <t>MCCANNEY,MARSHA</t>
  </si>
  <si>
    <t>MCCUE,ADAM</t>
  </si>
  <si>
    <t>MCDERMOTT,LEE ANN</t>
  </si>
  <si>
    <t>MCGOWAN,RYAN</t>
  </si>
  <si>
    <t>MCKIM,DONNA</t>
  </si>
  <si>
    <t>MCMASTER,JOHN</t>
  </si>
  <si>
    <t>MCNEIL,RICHARD</t>
  </si>
  <si>
    <t>MCQUIRNS,JASON</t>
  </si>
  <si>
    <t>MERKER,KYLE</t>
  </si>
  <si>
    <t>MERRIMAN,NORA</t>
  </si>
  <si>
    <t>MILLER,JENNIFER</t>
  </si>
  <si>
    <t>MILLER,PAULA</t>
  </si>
  <si>
    <t>MILLER,ROBERT</t>
  </si>
  <si>
    <t>MIRO,LUIS</t>
  </si>
  <si>
    <t>MOONEY,KIMBERLY</t>
  </si>
  <si>
    <t>MOONEY,LISA</t>
  </si>
  <si>
    <t>MOORE,GEORGE</t>
  </si>
  <si>
    <t>MOORE,JOSEPH</t>
  </si>
  <si>
    <t>MOUGHALIAN,DAVID</t>
  </si>
  <si>
    <t>MOYER,AMBER</t>
  </si>
  <si>
    <t>MROZOWICZ,DUSTIN</t>
  </si>
  <si>
    <t>MULLER,JESSICA</t>
  </si>
  <si>
    <t>MURRAY,CATHERINE</t>
  </si>
  <si>
    <t>MURRAY,PERRI</t>
  </si>
  <si>
    <t>NADWODNY,MARIA</t>
  </si>
  <si>
    <t>NADWODNY,MICHAEL</t>
  </si>
  <si>
    <t>NEFF,CARY</t>
  </si>
  <si>
    <t>NEFF,JOSHUA</t>
  </si>
  <si>
    <t>Ngo,Kim</t>
  </si>
  <si>
    <t>O'NEILL,LISA</t>
  </si>
  <si>
    <t>O'SULLIVAN,PATRICK</t>
  </si>
  <si>
    <t>OLIVER,JAMES</t>
  </si>
  <si>
    <t>ORSINI,NANCY</t>
  </si>
  <si>
    <t>PAETZ,JAMES</t>
  </si>
  <si>
    <t>PALUMBO,JEROME</t>
  </si>
  <si>
    <t>PAPPANASTASIOU,GREGORY</t>
  </si>
  <si>
    <t>PAPPAS,DEBBIE</t>
  </si>
  <si>
    <t>PEACE,MICHAEL</t>
  </si>
  <si>
    <t>PEGLER,ABIGAIL</t>
  </si>
  <si>
    <t>PEGRAM,MALIK</t>
  </si>
  <si>
    <t>PEIFFER,GERALYN</t>
  </si>
  <si>
    <t>PEREIRA,ANGELA</t>
  </si>
  <si>
    <t>PHELAN,BARBARA</t>
  </si>
  <si>
    <t>PILOTTI,MICHAEL</t>
  </si>
  <si>
    <t>PINTO,ADELE</t>
  </si>
  <si>
    <t>POETA,JULIA</t>
  </si>
  <si>
    <t>POWERS,JULIE</t>
  </si>
  <si>
    <t>PROTESTO,BARBARA</t>
  </si>
  <si>
    <t>QUIC-CAXAJ,MARIA</t>
  </si>
  <si>
    <t>QUIGLEY,JAMES</t>
  </si>
  <si>
    <t>RAMIREZ-TORRES,DIANA</t>
  </si>
  <si>
    <t>RAVURI,RATNAKUMAR</t>
  </si>
  <si>
    <t>REEDER,JAMES</t>
  </si>
  <si>
    <t>REID,HALEY</t>
  </si>
  <si>
    <t>REILLY,KERRY</t>
  </si>
  <si>
    <t>REINHARD,KRYSTAL</t>
  </si>
  <si>
    <t>RELICK,AMANDA</t>
  </si>
  <si>
    <t>RENDA,JESSICA</t>
  </si>
  <si>
    <t>RICE,JOSHUA</t>
  </si>
  <si>
    <t>Luse, Alison</t>
  </si>
  <si>
    <t>AL2556</t>
  </si>
  <si>
    <t>RIDDLE,RYAN</t>
  </si>
  <si>
    <t>ROGALSKY,JOHN</t>
  </si>
  <si>
    <t>ROGERS,RESIA</t>
  </si>
  <si>
    <t>ROSAS,SAMANTHA</t>
  </si>
  <si>
    <t>RUHFASS,THOMAS</t>
  </si>
  <si>
    <t>RUPERT,CATHERINE</t>
  </si>
  <si>
    <t>RUSHTON,LIELA</t>
  </si>
  <si>
    <t>SALISCH,ELIZABETH</t>
  </si>
  <si>
    <t>SALWAH FREEDMAN,SITI</t>
  </si>
  <si>
    <t>SAMUELS,JACK</t>
  </si>
  <si>
    <t>SCALIA,STEVEN</t>
  </si>
  <si>
    <t>SCENO,ERIKA</t>
  </si>
  <si>
    <t>SCHAUER,BRANDON</t>
  </si>
  <si>
    <t>SCHEIRER,ELIZABETH</t>
  </si>
  <si>
    <t>SCHLESS,LAURITS</t>
  </si>
  <si>
    <t>SCHWAB,BETH</t>
  </si>
  <si>
    <t>SCHWAB,DAVID</t>
  </si>
  <si>
    <t>SCOTA,ANDREA</t>
  </si>
  <si>
    <t>SCOTT,DALLAS</t>
  </si>
  <si>
    <t>SCOTT,STEPHANIE</t>
  </si>
  <si>
    <t>SCOTT-PETERS,CHRISTOPHER</t>
  </si>
  <si>
    <t>SCZEPKOWSKI,JON</t>
  </si>
  <si>
    <t>SELLEN,TOBIAS</t>
  </si>
  <si>
    <t>SELLERS,FREDERICK</t>
  </si>
  <si>
    <t>SHAY,ELIZABETH</t>
  </si>
  <si>
    <t>SHEA,SUSAN</t>
  </si>
  <si>
    <t>SHELTON,ALEXANDER</t>
  </si>
  <si>
    <t>SHELTON,SAMUEL</t>
  </si>
  <si>
    <t>SHERWOOD,SAMANTHA</t>
  </si>
  <si>
    <t>SHIELDS,MAUREEN</t>
  </si>
  <si>
    <t>SILVER,BRIDGET</t>
  </si>
  <si>
    <t>SKWIRUT,AMY</t>
  </si>
  <si>
    <t>SLIMAN,KATHLEEN</t>
  </si>
  <si>
    <t>SMALL,MICHAEL</t>
  </si>
  <si>
    <t>SMITH,MELISSA</t>
  </si>
  <si>
    <t>SMITH,RYAN</t>
  </si>
  <si>
    <t>SMITH,WILLIAM</t>
  </si>
  <si>
    <t>SOBEL,RICKY</t>
  </si>
  <si>
    <t>SOR,SYDNEY</t>
  </si>
  <si>
    <t>SOUDER,MARIA</t>
  </si>
  <si>
    <t>SPANISH,MATTHEW</t>
  </si>
  <si>
    <t>SPROAT,ELIZABETH</t>
  </si>
  <si>
    <t>STANLEY,FLORENCE</t>
  </si>
  <si>
    <t>STANLEY,KATHLEEN</t>
  </si>
  <si>
    <t>STARCZEWSKI,RYAN</t>
  </si>
  <si>
    <t>STENCE,LUZIANA</t>
  </si>
  <si>
    <t>STERLING,MARCELLA</t>
  </si>
  <si>
    <t>STEWART,DEBRA</t>
  </si>
  <si>
    <t>STOCKMAN,JAMES</t>
  </si>
  <si>
    <t>STOFKA,TODD</t>
  </si>
  <si>
    <t>STURROCK,STUART</t>
  </si>
  <si>
    <t>SWEETMAN,ELLEN</t>
  </si>
  <si>
    <t>SWOPE,DYLAN</t>
  </si>
  <si>
    <t>SYLLAH,KADIATU</t>
  </si>
  <si>
    <t>TANSY,MARTIN</t>
  </si>
  <si>
    <t>TEEL,DOMINIQUE</t>
  </si>
  <si>
    <t>TERRERI,JOSEPH</t>
  </si>
  <si>
    <t>TERRY,JAYLA</t>
  </si>
  <si>
    <t>TEVLIN,RICHARD</t>
  </si>
  <si>
    <t>THOMPSON,DELLA</t>
  </si>
  <si>
    <t>TIGER-WESLEY,MARYBETH</t>
  </si>
  <si>
    <t>TRIANTAFILLOU,GREGORY</t>
  </si>
  <si>
    <t>TRUMBAUER,JAMIE</t>
  </si>
  <si>
    <t>TUNG,KUN</t>
  </si>
  <si>
    <t>VALDES,MARGIE</t>
  </si>
  <si>
    <t>VANDEVERE,PAUL</t>
  </si>
  <si>
    <t>VERDERAME,ALEXIS</t>
  </si>
  <si>
    <t>VERDERAME,ANTHONY</t>
  </si>
  <si>
    <t>VOLZ,NATALIA</t>
  </si>
  <si>
    <t>WAGNER,HANNAH</t>
  </si>
  <si>
    <t>WALSETH,MAREN</t>
  </si>
  <si>
    <t>WARNER,ROBERT</t>
  </si>
  <si>
    <t>WARRINER,ROBIN</t>
  </si>
  <si>
    <t>WASHINGTON,DARRELL</t>
  </si>
  <si>
    <t>WASHINGTON,SHIKIA</t>
  </si>
  <si>
    <t>WEBB,SUZETTE</t>
  </si>
  <si>
    <t>WERT,TYLER</t>
  </si>
  <si>
    <t>WEST,VICTORIA</t>
  </si>
  <si>
    <t>WHEATLEY,CLARITA</t>
  </si>
  <si>
    <t>WHITTENBERG,RODNEY</t>
  </si>
  <si>
    <t>WIEGAND,NICOLE</t>
  </si>
  <si>
    <t>WILES,ANNABEL</t>
  </si>
  <si>
    <t>WILHELM,JOSEPH</t>
  </si>
  <si>
    <t>WOODS,ALBERT</t>
  </si>
  <si>
    <t>WORKMAN,JEREMY</t>
  </si>
  <si>
    <t>WYSZYNSKI,RAYMOND</t>
  </si>
  <si>
    <t>XIE,YUCHEN</t>
  </si>
  <si>
    <t>YOUNG,JAMES</t>
  </si>
  <si>
    <t>YUE,JENNIFER</t>
  </si>
  <si>
    <t>ZARRO,GREGORY</t>
  </si>
  <si>
    <t>ZEKAVAT,PARVIN</t>
  </si>
  <si>
    <t>17425766old</t>
  </si>
  <si>
    <t>18781057N</t>
  </si>
  <si>
    <t>IBC 2025</t>
  </si>
  <si>
    <t>IBC DV</t>
  </si>
  <si>
    <t>[PMPM=2]</t>
  </si>
  <si>
    <t>[PMPM=3]</t>
  </si>
  <si>
    <t>[PMPM=4]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</si>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</sst>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88B2-AD3E-44B2-BF4C-4B6044F03AD3}">
  <dimension ref="A1:S407"/>
  <sheetViews>
    <sheetView tabSelected="1" topLeftCell="A388" workbookViewId="0">
      <selection activeCell="G6" sqref="G6"/>
    </sheetView>
  </sheetViews>
  <sheetFormatPr defaultRowHeight="15" x14ac:dyDescent="0.25"/>
  <cols>
    <col min="8" max="8" width="9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45808</v>
      </c>
      <c r="B2" t="s">
        <v>19</v>
      </c>
      <c r="C2" t="s">
        <v>20</v>
      </c>
      <c r="D2">
        <v>4874327</v>
      </c>
      <c r="E2" t="s">
        <v>21</v>
      </c>
      <c r="G2" t="s">
        <v>22</v>
      </c>
      <c r="H2" s="1">
        <v>45413</v>
      </c>
      <c r="I2" t="s">
        <v>23</v>
      </c>
      <c r="J2">
        <v>44537716</v>
      </c>
      <c r="K2">
        <v>80083698</v>
      </c>
      <c r="L2" t="s">
        <v>24</v>
      </c>
      <c r="M2" s="1">
        <v>45778</v>
      </c>
      <c r="N2" t="s">
        <v>25</v>
      </c>
      <c r="O2">
        <v>411.91</v>
      </c>
      <c r="P2">
        <v>20</v>
      </c>
      <c r="R2" t="s">
        <v>15</v>
      </c>
      <c r="S2" t="s">
        <v>26</v>
      </c>
    </row>
    <row r="3" spans="1:19" x14ac:dyDescent="0.25">
      <c r="A3" s="1">
        <v>45808</v>
      </c>
      <c r="B3" t="s">
        <v>19</v>
      </c>
      <c r="C3" t="s">
        <v>20</v>
      </c>
      <c r="D3">
        <v>4874327</v>
      </c>
      <c r="E3" t="s">
        <v>21</v>
      </c>
      <c r="G3" t="s">
        <v>22</v>
      </c>
      <c r="H3" s="1">
        <v>45323</v>
      </c>
      <c r="I3" t="s">
        <v>27</v>
      </c>
      <c r="J3">
        <v>45811819</v>
      </c>
      <c r="K3">
        <v>80086041</v>
      </c>
      <c r="L3" t="s">
        <v>24</v>
      </c>
      <c r="M3" s="1">
        <v>45748</v>
      </c>
      <c r="N3" t="s">
        <v>28</v>
      </c>
      <c r="O3">
        <v>1447.87</v>
      </c>
      <c r="P3">
        <v>20</v>
      </c>
      <c r="R3" t="s">
        <v>15</v>
      </c>
      <c r="S3" t="s">
        <v>26</v>
      </c>
    </row>
    <row r="4" spans="1:19" x14ac:dyDescent="0.25">
      <c r="A4" s="1">
        <v>45808</v>
      </c>
      <c r="B4" t="s">
        <v>19</v>
      </c>
      <c r="C4" t="s">
        <v>20</v>
      </c>
      <c r="D4">
        <v>4874327</v>
      </c>
      <c r="E4" t="s">
        <v>21</v>
      </c>
      <c r="G4" t="s">
        <v>22</v>
      </c>
      <c r="H4" s="1">
        <v>45323</v>
      </c>
      <c r="I4" t="s">
        <v>27</v>
      </c>
      <c r="J4">
        <v>45811819</v>
      </c>
      <c r="K4">
        <v>80086041</v>
      </c>
      <c r="L4" t="s">
        <v>24</v>
      </c>
      <c r="M4" s="1">
        <v>45778</v>
      </c>
      <c r="N4" t="s">
        <v>25</v>
      </c>
      <c r="O4">
        <v>1447.87</v>
      </c>
      <c r="P4">
        <v>20</v>
      </c>
      <c r="R4" t="s">
        <v>15</v>
      </c>
      <c r="S4" t="s">
        <v>26</v>
      </c>
    </row>
    <row r="5" spans="1:19" x14ac:dyDescent="0.25">
      <c r="A5" s="1">
        <v>45808</v>
      </c>
      <c r="B5" t="s">
        <v>19</v>
      </c>
      <c r="C5" t="s">
        <v>29</v>
      </c>
      <c r="D5">
        <v>5485984</v>
      </c>
      <c r="E5" t="s">
        <v>30</v>
      </c>
      <c r="G5" t="s">
        <v>22</v>
      </c>
      <c r="H5" s="1">
        <v>45413</v>
      </c>
      <c r="I5" t="s">
        <v>31</v>
      </c>
      <c r="J5">
        <v>45811987</v>
      </c>
      <c r="K5">
        <v>81366314</v>
      </c>
      <c r="L5" t="s">
        <v>24</v>
      </c>
      <c r="M5" s="1">
        <v>45778</v>
      </c>
      <c r="N5" t="s">
        <v>25</v>
      </c>
      <c r="O5">
        <v>810.47</v>
      </c>
      <c r="P5">
        <v>20</v>
      </c>
      <c r="R5" t="s">
        <v>15</v>
      </c>
      <c r="S5" t="s">
        <v>26</v>
      </c>
    </row>
    <row r="6" spans="1:19" x14ac:dyDescent="0.25">
      <c r="A6" s="1">
        <v>45808</v>
      </c>
      <c r="B6" t="s">
        <v>19</v>
      </c>
      <c r="C6" t="s">
        <v>32</v>
      </c>
      <c r="D6">
        <v>5428208</v>
      </c>
      <c r="E6" t="s">
        <v>33</v>
      </c>
      <c r="G6" t="s">
        <v>22</v>
      </c>
      <c r="H6" s="1">
        <v>45658</v>
      </c>
      <c r="I6" t="s">
        <v>34</v>
      </c>
      <c r="J6">
        <v>50176697</v>
      </c>
      <c r="K6">
        <v>81352866</v>
      </c>
      <c r="L6" t="s">
        <v>24</v>
      </c>
      <c r="M6" s="1">
        <v>45748</v>
      </c>
      <c r="N6" t="s">
        <v>28</v>
      </c>
      <c r="O6">
        <v>763.44</v>
      </c>
      <c r="P6">
        <v>20</v>
      </c>
      <c r="R6" t="s">
        <v>15</v>
      </c>
      <c r="S6" t="s">
        <v>26</v>
      </c>
    </row>
    <row r="7" spans="1:19" x14ac:dyDescent="0.25">
      <c r="A7" s="1">
        <v>45808</v>
      </c>
      <c r="B7" t="s">
        <v>19</v>
      </c>
      <c r="C7" t="s">
        <v>20</v>
      </c>
      <c r="D7">
        <v>4874327</v>
      </c>
      <c r="E7" t="s">
        <v>21</v>
      </c>
      <c r="G7" t="s">
        <v>22</v>
      </c>
      <c r="H7" s="1">
        <v>45566</v>
      </c>
      <c r="I7" t="s">
        <v>35</v>
      </c>
      <c r="J7">
        <v>47497591</v>
      </c>
      <c r="K7">
        <v>80193285</v>
      </c>
      <c r="L7" t="s">
        <v>24</v>
      </c>
      <c r="M7" s="1">
        <v>45778</v>
      </c>
      <c r="N7" t="s">
        <v>25</v>
      </c>
      <c r="O7">
        <v>261.77</v>
      </c>
      <c r="P7">
        <v>20</v>
      </c>
      <c r="R7" t="s">
        <v>15</v>
      </c>
      <c r="S7" t="s">
        <v>26</v>
      </c>
    </row>
    <row r="8" spans="1:19" x14ac:dyDescent="0.25">
      <c r="A8" s="1">
        <v>45808</v>
      </c>
      <c r="B8" t="s">
        <v>19</v>
      </c>
      <c r="C8" t="s">
        <v>20</v>
      </c>
      <c r="D8">
        <v>4874327</v>
      </c>
      <c r="E8" t="s">
        <v>21</v>
      </c>
      <c r="G8" t="s">
        <v>22</v>
      </c>
      <c r="H8" s="1">
        <v>45658</v>
      </c>
      <c r="I8" t="s">
        <v>36</v>
      </c>
      <c r="J8">
        <v>50176469</v>
      </c>
      <c r="K8">
        <v>80182459</v>
      </c>
      <c r="L8" t="s">
        <v>24</v>
      </c>
      <c r="M8" s="1">
        <v>45778</v>
      </c>
      <c r="N8" t="s">
        <v>25</v>
      </c>
      <c r="O8">
        <v>534.49</v>
      </c>
      <c r="P8">
        <v>20</v>
      </c>
      <c r="R8" t="s">
        <v>15</v>
      </c>
      <c r="S8" t="s">
        <v>26</v>
      </c>
    </row>
    <row r="9" spans="1:19" x14ac:dyDescent="0.25">
      <c r="A9" s="1">
        <v>45808</v>
      </c>
      <c r="B9" t="s">
        <v>19</v>
      </c>
      <c r="C9" t="s">
        <v>20</v>
      </c>
      <c r="D9">
        <v>4874327</v>
      </c>
      <c r="E9" t="s">
        <v>21</v>
      </c>
      <c r="G9" t="s">
        <v>22</v>
      </c>
      <c r="H9" s="1">
        <v>45505</v>
      </c>
      <c r="I9" t="s">
        <v>37</v>
      </c>
      <c r="J9">
        <v>46375105</v>
      </c>
      <c r="K9">
        <v>81373021</v>
      </c>
      <c r="L9" t="s">
        <v>24</v>
      </c>
      <c r="M9" s="1">
        <v>45778</v>
      </c>
      <c r="N9" t="s">
        <v>25</v>
      </c>
      <c r="O9">
        <v>587.58000000000004</v>
      </c>
      <c r="P9">
        <v>20</v>
      </c>
      <c r="R9" t="s">
        <v>15</v>
      </c>
      <c r="S9" t="s">
        <v>26</v>
      </c>
    </row>
    <row r="10" spans="1:19" x14ac:dyDescent="0.25">
      <c r="A10" s="1">
        <v>45808</v>
      </c>
      <c r="B10" t="s">
        <v>19</v>
      </c>
      <c r="C10" t="s">
        <v>38</v>
      </c>
      <c r="D10">
        <v>4506169</v>
      </c>
      <c r="E10" t="s">
        <v>39</v>
      </c>
      <c r="G10" t="s">
        <v>22</v>
      </c>
      <c r="H10" s="1">
        <v>44927</v>
      </c>
      <c r="I10" t="s">
        <v>40</v>
      </c>
      <c r="J10">
        <v>32311581</v>
      </c>
      <c r="K10">
        <v>80031067</v>
      </c>
      <c r="L10" t="s">
        <v>24</v>
      </c>
      <c r="M10" s="1">
        <v>45778</v>
      </c>
      <c r="N10" t="s">
        <v>25</v>
      </c>
      <c r="O10">
        <v>967.24</v>
      </c>
      <c r="P10">
        <v>40</v>
      </c>
      <c r="R10" t="s">
        <v>15</v>
      </c>
      <c r="S10" t="s">
        <v>26</v>
      </c>
    </row>
    <row r="11" spans="1:19" x14ac:dyDescent="0.25">
      <c r="A11" s="1">
        <v>45808</v>
      </c>
      <c r="B11" t="s">
        <v>19</v>
      </c>
      <c r="C11" t="s">
        <v>38</v>
      </c>
      <c r="D11">
        <v>4506169</v>
      </c>
      <c r="E11" t="s">
        <v>39</v>
      </c>
      <c r="G11" t="s">
        <v>22</v>
      </c>
      <c r="H11" s="1">
        <v>44927</v>
      </c>
      <c r="I11" t="s">
        <v>41</v>
      </c>
      <c r="J11">
        <v>32312023</v>
      </c>
      <c r="K11">
        <v>80212272</v>
      </c>
      <c r="L11" t="s">
        <v>24</v>
      </c>
      <c r="M11" s="1">
        <v>45778</v>
      </c>
      <c r="N11" t="s">
        <v>25</v>
      </c>
      <c r="O11">
        <v>1879.62</v>
      </c>
      <c r="P11">
        <v>40</v>
      </c>
      <c r="R11" t="s">
        <v>15</v>
      </c>
      <c r="S11" t="s">
        <v>26</v>
      </c>
    </row>
    <row r="12" spans="1:19" x14ac:dyDescent="0.25">
      <c r="A12" s="1">
        <v>45808</v>
      </c>
      <c r="B12" t="s">
        <v>19</v>
      </c>
      <c r="C12" t="s">
        <v>38</v>
      </c>
      <c r="D12">
        <v>4506169</v>
      </c>
      <c r="E12" t="s">
        <v>39</v>
      </c>
      <c r="G12" t="s">
        <v>22</v>
      </c>
      <c r="H12" s="1">
        <v>44927</v>
      </c>
      <c r="I12" t="s">
        <v>41</v>
      </c>
      <c r="J12">
        <v>32312023</v>
      </c>
      <c r="K12">
        <v>80212272</v>
      </c>
      <c r="L12" t="s">
        <v>24</v>
      </c>
      <c r="M12" s="1">
        <v>45748</v>
      </c>
      <c r="N12" t="s">
        <v>28</v>
      </c>
      <c r="O12">
        <v>1879.62</v>
      </c>
      <c r="P12">
        <v>40</v>
      </c>
      <c r="R12" t="s">
        <v>15</v>
      </c>
      <c r="S12" t="s">
        <v>26</v>
      </c>
    </row>
    <row r="13" spans="1:19" x14ac:dyDescent="0.25">
      <c r="A13" s="1">
        <v>45808</v>
      </c>
      <c r="B13" t="s">
        <v>19</v>
      </c>
      <c r="C13" t="s">
        <v>29</v>
      </c>
      <c r="D13">
        <v>5485984</v>
      </c>
      <c r="E13" t="s">
        <v>30</v>
      </c>
      <c r="G13" t="s">
        <v>22</v>
      </c>
      <c r="H13" s="1">
        <v>45292</v>
      </c>
      <c r="I13" t="s">
        <v>42</v>
      </c>
      <c r="J13">
        <v>45811871</v>
      </c>
      <c r="K13">
        <v>80212342</v>
      </c>
      <c r="L13" t="s">
        <v>24</v>
      </c>
      <c r="M13" s="1">
        <v>45778</v>
      </c>
      <c r="N13" t="s">
        <v>25</v>
      </c>
      <c r="O13">
        <v>888.02</v>
      </c>
      <c r="P13">
        <v>20</v>
      </c>
      <c r="R13" t="s">
        <v>15</v>
      </c>
      <c r="S13" t="s">
        <v>26</v>
      </c>
    </row>
    <row r="14" spans="1:19" x14ac:dyDescent="0.25">
      <c r="A14" s="1">
        <v>45808</v>
      </c>
      <c r="B14" t="s">
        <v>19</v>
      </c>
      <c r="C14" t="s">
        <v>29</v>
      </c>
      <c r="D14">
        <v>5485984</v>
      </c>
      <c r="E14" t="s">
        <v>30</v>
      </c>
      <c r="G14" t="s">
        <v>22</v>
      </c>
      <c r="H14" s="1">
        <v>45658</v>
      </c>
      <c r="I14" t="s">
        <v>43</v>
      </c>
      <c r="J14">
        <v>51841637</v>
      </c>
      <c r="K14">
        <v>81230687</v>
      </c>
      <c r="L14" t="s">
        <v>24</v>
      </c>
      <c r="M14" s="1">
        <v>45778</v>
      </c>
      <c r="N14" t="s">
        <v>25</v>
      </c>
      <c r="O14">
        <v>231.55</v>
      </c>
      <c r="P14">
        <v>20</v>
      </c>
      <c r="R14" t="s">
        <v>15</v>
      </c>
      <c r="S14" t="s">
        <v>26</v>
      </c>
    </row>
    <row r="15" spans="1:19" x14ac:dyDescent="0.25">
      <c r="A15" s="1">
        <v>45808</v>
      </c>
      <c r="B15" t="s">
        <v>19</v>
      </c>
      <c r="C15" t="s">
        <v>20</v>
      </c>
      <c r="D15">
        <v>4874327</v>
      </c>
      <c r="E15" t="s">
        <v>21</v>
      </c>
      <c r="G15" t="s">
        <v>22</v>
      </c>
      <c r="H15" s="1">
        <v>45658</v>
      </c>
      <c r="I15" t="s">
        <v>44</v>
      </c>
      <c r="J15">
        <v>50931683</v>
      </c>
      <c r="K15">
        <v>81353301</v>
      </c>
      <c r="L15" t="s">
        <v>24</v>
      </c>
      <c r="M15" s="1">
        <v>45778</v>
      </c>
      <c r="N15" t="s">
        <v>25</v>
      </c>
      <c r="O15">
        <v>680.82</v>
      </c>
      <c r="P15">
        <v>20</v>
      </c>
      <c r="R15" t="s">
        <v>15</v>
      </c>
      <c r="S15" t="s">
        <v>26</v>
      </c>
    </row>
    <row r="16" spans="1:19" x14ac:dyDescent="0.25">
      <c r="A16" s="1">
        <v>45808</v>
      </c>
      <c r="B16" t="s">
        <v>19</v>
      </c>
      <c r="C16" t="s">
        <v>20</v>
      </c>
      <c r="D16">
        <v>4874327</v>
      </c>
      <c r="E16" t="s">
        <v>21</v>
      </c>
      <c r="G16" t="s">
        <v>22</v>
      </c>
      <c r="H16" s="1">
        <v>44927</v>
      </c>
      <c r="I16" t="s">
        <v>45</v>
      </c>
      <c r="J16">
        <v>40579455</v>
      </c>
      <c r="K16">
        <v>80191015</v>
      </c>
      <c r="L16" t="s">
        <v>24</v>
      </c>
      <c r="M16" s="1">
        <v>45778</v>
      </c>
      <c r="N16" t="s">
        <v>25</v>
      </c>
      <c r="O16">
        <v>815.44</v>
      </c>
      <c r="P16">
        <v>20</v>
      </c>
      <c r="R16" t="s">
        <v>15</v>
      </c>
      <c r="S16" t="s">
        <v>26</v>
      </c>
    </row>
    <row r="17" spans="1:19" x14ac:dyDescent="0.25">
      <c r="A17" s="1">
        <v>45808</v>
      </c>
      <c r="B17" t="s">
        <v>19</v>
      </c>
      <c r="C17" t="s">
        <v>20</v>
      </c>
      <c r="D17">
        <v>4874327</v>
      </c>
      <c r="E17" t="s">
        <v>21</v>
      </c>
      <c r="G17" t="s">
        <v>22</v>
      </c>
      <c r="H17" s="1">
        <v>42401</v>
      </c>
      <c r="I17" t="s">
        <v>46</v>
      </c>
      <c r="J17">
        <v>3079744</v>
      </c>
      <c r="K17">
        <v>80081984</v>
      </c>
      <c r="L17" t="s">
        <v>24</v>
      </c>
      <c r="M17" s="1">
        <v>45778</v>
      </c>
      <c r="N17" t="s">
        <v>25</v>
      </c>
      <c r="O17">
        <v>427.03</v>
      </c>
      <c r="P17">
        <v>20</v>
      </c>
      <c r="R17" t="s">
        <v>15</v>
      </c>
      <c r="S17" t="s">
        <v>26</v>
      </c>
    </row>
    <row r="18" spans="1:19" x14ac:dyDescent="0.25">
      <c r="A18" s="1">
        <v>45808</v>
      </c>
      <c r="B18" t="s">
        <v>19</v>
      </c>
      <c r="C18" t="s">
        <v>20</v>
      </c>
      <c r="D18">
        <v>4874327</v>
      </c>
      <c r="E18" t="s">
        <v>21</v>
      </c>
      <c r="G18" t="s">
        <v>22</v>
      </c>
      <c r="H18" s="1">
        <v>44927</v>
      </c>
      <c r="I18" t="s">
        <v>47</v>
      </c>
      <c r="J18">
        <v>41366246</v>
      </c>
      <c r="K18">
        <v>80229402</v>
      </c>
      <c r="L18" t="s">
        <v>24</v>
      </c>
      <c r="M18" s="1">
        <v>45748</v>
      </c>
      <c r="N18" t="s">
        <v>28</v>
      </c>
      <c r="O18">
        <v>1305.54</v>
      </c>
      <c r="P18">
        <v>80</v>
      </c>
      <c r="R18" t="s">
        <v>15</v>
      </c>
      <c r="S18" t="s">
        <v>26</v>
      </c>
    </row>
    <row r="19" spans="1:19" x14ac:dyDescent="0.25">
      <c r="A19" s="1">
        <v>45808</v>
      </c>
      <c r="B19" t="s">
        <v>19</v>
      </c>
      <c r="C19" t="s">
        <v>20</v>
      </c>
      <c r="D19">
        <v>4874327</v>
      </c>
      <c r="E19" t="s">
        <v>21</v>
      </c>
      <c r="G19" t="s">
        <v>22</v>
      </c>
      <c r="H19" s="1">
        <v>44927</v>
      </c>
      <c r="I19" t="s">
        <v>48</v>
      </c>
      <c r="J19">
        <v>40578540</v>
      </c>
      <c r="K19">
        <v>80089589</v>
      </c>
      <c r="L19" t="s">
        <v>24</v>
      </c>
      <c r="M19" s="1">
        <v>45778</v>
      </c>
      <c r="N19" t="s">
        <v>25</v>
      </c>
      <c r="O19">
        <v>1082.71</v>
      </c>
      <c r="P19">
        <v>40</v>
      </c>
      <c r="R19" t="s">
        <v>15</v>
      </c>
      <c r="S19" t="s">
        <v>26</v>
      </c>
    </row>
    <row r="20" spans="1:19" x14ac:dyDescent="0.25">
      <c r="A20" s="1">
        <v>45808</v>
      </c>
      <c r="B20" t="s">
        <v>19</v>
      </c>
      <c r="C20" t="s">
        <v>29</v>
      </c>
      <c r="D20">
        <v>5485984</v>
      </c>
      <c r="E20" t="s">
        <v>30</v>
      </c>
      <c r="G20" t="s">
        <v>22</v>
      </c>
      <c r="H20" s="1">
        <v>45292</v>
      </c>
      <c r="I20" t="s">
        <v>49</v>
      </c>
      <c r="J20">
        <v>45811927</v>
      </c>
      <c r="K20">
        <v>81350004</v>
      </c>
      <c r="L20" t="s">
        <v>24</v>
      </c>
      <c r="M20" s="1">
        <v>45748</v>
      </c>
      <c r="N20" t="s">
        <v>28</v>
      </c>
      <c r="O20">
        <v>1820.72</v>
      </c>
      <c r="P20">
        <v>40</v>
      </c>
      <c r="R20" t="s">
        <v>15</v>
      </c>
      <c r="S20" t="s">
        <v>26</v>
      </c>
    </row>
    <row r="21" spans="1:19" x14ac:dyDescent="0.25">
      <c r="A21" s="1">
        <v>45808</v>
      </c>
      <c r="B21" t="s">
        <v>19</v>
      </c>
      <c r="C21" t="s">
        <v>38</v>
      </c>
      <c r="D21">
        <v>4506169</v>
      </c>
      <c r="E21" t="s">
        <v>39</v>
      </c>
      <c r="G21" t="s">
        <v>22</v>
      </c>
      <c r="H21" s="1">
        <v>44927</v>
      </c>
      <c r="I21" t="s">
        <v>50</v>
      </c>
      <c r="J21">
        <v>32311531</v>
      </c>
      <c r="K21">
        <v>80008839</v>
      </c>
      <c r="L21" t="s">
        <v>24</v>
      </c>
      <c r="M21" s="1">
        <v>45778</v>
      </c>
      <c r="N21" t="s">
        <v>25</v>
      </c>
      <c r="O21">
        <v>1937.85</v>
      </c>
      <c r="P21">
        <v>40</v>
      </c>
      <c r="R21" t="s">
        <v>15</v>
      </c>
      <c r="S21" t="s">
        <v>26</v>
      </c>
    </row>
    <row r="22" spans="1:19" x14ac:dyDescent="0.25">
      <c r="A22" s="1">
        <v>45808</v>
      </c>
      <c r="B22" t="s">
        <v>19</v>
      </c>
      <c r="C22" t="s">
        <v>38</v>
      </c>
      <c r="D22">
        <v>4506169</v>
      </c>
      <c r="E22" t="s">
        <v>39</v>
      </c>
      <c r="G22" t="s">
        <v>22</v>
      </c>
      <c r="H22" s="1">
        <v>45352</v>
      </c>
      <c r="I22" t="s">
        <v>51</v>
      </c>
      <c r="J22">
        <v>42832974</v>
      </c>
      <c r="K22">
        <v>81287834</v>
      </c>
      <c r="L22" t="s">
        <v>24</v>
      </c>
      <c r="M22" s="1">
        <v>45748</v>
      </c>
      <c r="N22" t="s">
        <v>28</v>
      </c>
      <c r="O22">
        <v>890.92</v>
      </c>
      <c r="P22">
        <v>80</v>
      </c>
      <c r="R22" t="s">
        <v>15</v>
      </c>
      <c r="S22" t="s">
        <v>26</v>
      </c>
    </row>
    <row r="23" spans="1:19" x14ac:dyDescent="0.25">
      <c r="A23" s="1">
        <v>45808</v>
      </c>
      <c r="B23" t="s">
        <v>19</v>
      </c>
      <c r="C23" t="s">
        <v>20</v>
      </c>
      <c r="D23">
        <v>4874327</v>
      </c>
      <c r="E23" t="s">
        <v>21</v>
      </c>
      <c r="G23" t="s">
        <v>22</v>
      </c>
      <c r="H23" s="1">
        <v>44958</v>
      </c>
      <c r="I23" t="s">
        <v>52</v>
      </c>
      <c r="J23">
        <v>40579731</v>
      </c>
      <c r="K23">
        <v>80234842</v>
      </c>
      <c r="L23" t="s">
        <v>24</v>
      </c>
      <c r="M23" s="1">
        <v>45778</v>
      </c>
      <c r="N23" t="s">
        <v>25</v>
      </c>
      <c r="O23">
        <v>345.95</v>
      </c>
      <c r="P23">
        <v>20</v>
      </c>
      <c r="R23" t="s">
        <v>15</v>
      </c>
      <c r="S23" t="s">
        <v>26</v>
      </c>
    </row>
    <row r="24" spans="1:19" x14ac:dyDescent="0.25">
      <c r="A24" s="1">
        <v>45808</v>
      </c>
      <c r="B24" t="s">
        <v>19</v>
      </c>
      <c r="C24" t="s">
        <v>32</v>
      </c>
      <c r="D24">
        <v>5428208</v>
      </c>
      <c r="E24" t="s">
        <v>33</v>
      </c>
      <c r="G24" t="s">
        <v>22</v>
      </c>
      <c r="H24" s="1">
        <v>45292</v>
      </c>
      <c r="I24" t="s">
        <v>53</v>
      </c>
      <c r="J24">
        <v>43564181</v>
      </c>
      <c r="K24">
        <v>81338998</v>
      </c>
      <c r="L24" t="s">
        <v>24</v>
      </c>
      <c r="M24" s="1">
        <v>45778</v>
      </c>
      <c r="N24" t="s">
        <v>25</v>
      </c>
      <c r="O24">
        <v>450.19</v>
      </c>
      <c r="P24">
        <v>20</v>
      </c>
      <c r="R24" t="s">
        <v>15</v>
      </c>
      <c r="S24" t="s">
        <v>26</v>
      </c>
    </row>
    <row r="25" spans="1:19" x14ac:dyDescent="0.25">
      <c r="A25" s="1">
        <v>45808</v>
      </c>
      <c r="B25" t="s">
        <v>19</v>
      </c>
      <c r="C25" t="s">
        <v>38</v>
      </c>
      <c r="D25">
        <v>4506169</v>
      </c>
      <c r="E25" t="s">
        <v>39</v>
      </c>
      <c r="G25" t="s">
        <v>22</v>
      </c>
      <c r="H25" s="1">
        <v>45292</v>
      </c>
      <c r="I25" t="s">
        <v>54</v>
      </c>
      <c r="J25">
        <v>42832675</v>
      </c>
      <c r="K25">
        <v>80162404</v>
      </c>
      <c r="L25" t="s">
        <v>24</v>
      </c>
      <c r="M25" s="1">
        <v>45748</v>
      </c>
      <c r="N25" t="s">
        <v>28</v>
      </c>
      <c r="O25">
        <v>676.25</v>
      </c>
      <c r="P25">
        <v>20</v>
      </c>
      <c r="R25" t="s">
        <v>15</v>
      </c>
      <c r="S25" t="s">
        <v>26</v>
      </c>
    </row>
    <row r="26" spans="1:19" x14ac:dyDescent="0.25">
      <c r="A26" s="1">
        <v>45808</v>
      </c>
      <c r="B26" t="s">
        <v>19</v>
      </c>
      <c r="C26" t="s">
        <v>32</v>
      </c>
      <c r="D26">
        <v>5428208</v>
      </c>
      <c r="E26" t="s">
        <v>33</v>
      </c>
      <c r="G26" t="s">
        <v>22</v>
      </c>
      <c r="H26" s="1">
        <v>45658</v>
      </c>
      <c r="I26" t="s">
        <v>55</v>
      </c>
      <c r="J26">
        <v>50176336</v>
      </c>
      <c r="K26">
        <v>80016583</v>
      </c>
      <c r="L26" t="s">
        <v>24</v>
      </c>
      <c r="M26" s="1">
        <v>45778</v>
      </c>
      <c r="N26" t="s">
        <v>25</v>
      </c>
      <c r="O26">
        <v>850.21</v>
      </c>
      <c r="P26">
        <v>20</v>
      </c>
      <c r="R26" t="s">
        <v>15</v>
      </c>
      <c r="S26" t="s">
        <v>26</v>
      </c>
    </row>
    <row r="27" spans="1:19" x14ac:dyDescent="0.25">
      <c r="A27" s="1">
        <v>45808</v>
      </c>
      <c r="B27" t="s">
        <v>19</v>
      </c>
      <c r="C27" t="s">
        <v>29</v>
      </c>
      <c r="D27">
        <v>5485984</v>
      </c>
      <c r="E27" t="s">
        <v>30</v>
      </c>
      <c r="G27" t="s">
        <v>22</v>
      </c>
      <c r="H27" s="1">
        <v>45292</v>
      </c>
      <c r="I27" t="s">
        <v>56</v>
      </c>
      <c r="J27">
        <v>46375007</v>
      </c>
      <c r="K27">
        <v>80189669</v>
      </c>
      <c r="L27" t="s">
        <v>24</v>
      </c>
      <c r="M27" s="1">
        <v>45778</v>
      </c>
      <c r="N27" t="s">
        <v>25</v>
      </c>
      <c r="O27">
        <v>548.33000000000004</v>
      </c>
      <c r="P27">
        <v>40</v>
      </c>
      <c r="R27" t="s">
        <v>15</v>
      </c>
      <c r="S27" t="s">
        <v>26</v>
      </c>
    </row>
    <row r="28" spans="1:19" x14ac:dyDescent="0.25">
      <c r="A28" s="1">
        <v>45808</v>
      </c>
      <c r="B28" t="s">
        <v>19</v>
      </c>
      <c r="C28" t="s">
        <v>20</v>
      </c>
      <c r="D28">
        <v>4874327</v>
      </c>
      <c r="E28" t="s">
        <v>21</v>
      </c>
      <c r="G28" t="s">
        <v>22</v>
      </c>
      <c r="H28" s="1">
        <v>44927</v>
      </c>
      <c r="I28" t="s">
        <v>57</v>
      </c>
      <c r="J28">
        <v>41366199</v>
      </c>
      <c r="K28">
        <v>80220549</v>
      </c>
      <c r="L28" t="s">
        <v>24</v>
      </c>
      <c r="M28" s="1">
        <v>45778</v>
      </c>
      <c r="N28" t="s">
        <v>25</v>
      </c>
      <c r="O28">
        <v>355.67</v>
      </c>
      <c r="P28">
        <v>20</v>
      </c>
      <c r="R28" t="s">
        <v>15</v>
      </c>
      <c r="S28" t="s">
        <v>26</v>
      </c>
    </row>
    <row r="29" spans="1:19" x14ac:dyDescent="0.25">
      <c r="A29" s="1">
        <v>45808</v>
      </c>
      <c r="B29" t="s">
        <v>19</v>
      </c>
      <c r="C29" t="s">
        <v>38</v>
      </c>
      <c r="D29">
        <v>4506169</v>
      </c>
      <c r="E29" t="s">
        <v>39</v>
      </c>
      <c r="G29" t="s">
        <v>22</v>
      </c>
      <c r="H29" s="1">
        <v>45323</v>
      </c>
      <c r="I29" t="s">
        <v>58</v>
      </c>
      <c r="J29">
        <v>43564180</v>
      </c>
      <c r="K29">
        <v>81294223</v>
      </c>
      <c r="L29" t="s">
        <v>24</v>
      </c>
      <c r="M29" s="1">
        <v>45597</v>
      </c>
      <c r="N29" t="s">
        <v>59</v>
      </c>
      <c r="O29">
        <v>-985.55</v>
      </c>
      <c r="P29">
        <v>-40</v>
      </c>
      <c r="R29" t="s">
        <v>15</v>
      </c>
      <c r="S29" t="s">
        <v>26</v>
      </c>
    </row>
    <row r="30" spans="1:19" x14ac:dyDescent="0.25">
      <c r="A30" s="1">
        <v>45808</v>
      </c>
      <c r="B30" t="s">
        <v>19</v>
      </c>
      <c r="C30" t="s">
        <v>38</v>
      </c>
      <c r="D30">
        <v>4506169</v>
      </c>
      <c r="E30" t="s">
        <v>39</v>
      </c>
      <c r="G30" t="s">
        <v>22</v>
      </c>
      <c r="H30" s="1">
        <v>45323</v>
      </c>
      <c r="I30" t="s">
        <v>58</v>
      </c>
      <c r="J30">
        <v>43564180</v>
      </c>
      <c r="K30">
        <v>81294223</v>
      </c>
      <c r="L30" t="s">
        <v>24</v>
      </c>
      <c r="M30" s="1">
        <v>45717</v>
      </c>
      <c r="N30" t="s">
        <v>60</v>
      </c>
      <c r="O30">
        <v>1061.56</v>
      </c>
      <c r="P30">
        <v>40</v>
      </c>
      <c r="R30" t="s">
        <v>15</v>
      </c>
      <c r="S30" t="s">
        <v>26</v>
      </c>
    </row>
    <row r="31" spans="1:19" x14ac:dyDescent="0.25">
      <c r="A31" s="1">
        <v>45808</v>
      </c>
      <c r="B31" t="s">
        <v>19</v>
      </c>
      <c r="C31" t="s">
        <v>29</v>
      </c>
      <c r="D31">
        <v>5485984</v>
      </c>
      <c r="E31" t="s">
        <v>30</v>
      </c>
      <c r="G31" t="s">
        <v>22</v>
      </c>
      <c r="H31" s="1">
        <v>45292</v>
      </c>
      <c r="I31" t="s">
        <v>61</v>
      </c>
      <c r="J31">
        <v>45811865</v>
      </c>
      <c r="K31">
        <v>80215155</v>
      </c>
      <c r="L31" t="s">
        <v>24</v>
      </c>
      <c r="M31" s="1">
        <v>45778</v>
      </c>
      <c r="N31" t="s">
        <v>25</v>
      </c>
      <c r="O31">
        <v>393.45</v>
      </c>
      <c r="P31">
        <v>20</v>
      </c>
      <c r="R31" t="s">
        <v>15</v>
      </c>
      <c r="S31" t="s">
        <v>26</v>
      </c>
    </row>
    <row r="32" spans="1:19" x14ac:dyDescent="0.25">
      <c r="A32" s="1">
        <v>45808</v>
      </c>
      <c r="B32" t="s">
        <v>19</v>
      </c>
      <c r="C32" t="s">
        <v>20</v>
      </c>
      <c r="D32">
        <v>4874327</v>
      </c>
      <c r="E32" t="s">
        <v>21</v>
      </c>
      <c r="G32" t="s">
        <v>22</v>
      </c>
      <c r="H32" s="1">
        <v>45597</v>
      </c>
      <c r="I32" t="s">
        <v>62</v>
      </c>
      <c r="J32">
        <v>49439489</v>
      </c>
      <c r="K32">
        <v>81280628</v>
      </c>
      <c r="L32" t="s">
        <v>24</v>
      </c>
      <c r="M32" s="1">
        <v>45778</v>
      </c>
      <c r="N32" t="s">
        <v>25</v>
      </c>
      <c r="O32">
        <v>489.64</v>
      </c>
      <c r="P32">
        <v>20</v>
      </c>
      <c r="R32" t="s">
        <v>15</v>
      </c>
      <c r="S32" t="s">
        <v>26</v>
      </c>
    </row>
    <row r="33" spans="1:19" x14ac:dyDescent="0.25">
      <c r="A33" s="1">
        <v>45808</v>
      </c>
      <c r="B33" t="s">
        <v>19</v>
      </c>
      <c r="C33" t="s">
        <v>20</v>
      </c>
      <c r="D33">
        <v>4874327</v>
      </c>
      <c r="E33" t="s">
        <v>21</v>
      </c>
      <c r="G33" t="s">
        <v>22</v>
      </c>
      <c r="H33" s="1">
        <v>45536</v>
      </c>
      <c r="I33" t="s">
        <v>63</v>
      </c>
      <c r="J33">
        <v>46845142</v>
      </c>
      <c r="K33">
        <v>81376014</v>
      </c>
      <c r="L33" t="s">
        <v>24</v>
      </c>
      <c r="M33" s="1">
        <v>45778</v>
      </c>
      <c r="N33" t="s">
        <v>25</v>
      </c>
      <c r="O33">
        <v>294.79000000000002</v>
      </c>
      <c r="P33">
        <v>20</v>
      </c>
      <c r="R33" t="s">
        <v>15</v>
      </c>
      <c r="S33" t="s">
        <v>26</v>
      </c>
    </row>
    <row r="34" spans="1:19" x14ac:dyDescent="0.25">
      <c r="A34" s="1">
        <v>45808</v>
      </c>
      <c r="B34" t="s">
        <v>19</v>
      </c>
      <c r="C34" t="s">
        <v>38</v>
      </c>
      <c r="D34">
        <v>4506169</v>
      </c>
      <c r="E34" t="s">
        <v>39</v>
      </c>
      <c r="G34" t="s">
        <v>22</v>
      </c>
      <c r="H34" s="1">
        <v>44927</v>
      </c>
      <c r="I34" t="s">
        <v>64</v>
      </c>
      <c r="J34">
        <v>32311582</v>
      </c>
      <c r="K34">
        <v>80031310</v>
      </c>
      <c r="L34" t="s">
        <v>24</v>
      </c>
      <c r="M34" s="1">
        <v>45566</v>
      </c>
      <c r="N34" t="s">
        <v>65</v>
      </c>
      <c r="O34">
        <v>518.69000000000005</v>
      </c>
      <c r="P34">
        <v>40</v>
      </c>
      <c r="R34" t="s">
        <v>15</v>
      </c>
      <c r="S34" t="s">
        <v>26</v>
      </c>
    </row>
    <row r="35" spans="1:19" x14ac:dyDescent="0.25">
      <c r="A35" s="1">
        <v>45808</v>
      </c>
      <c r="B35" t="s">
        <v>19</v>
      </c>
      <c r="C35" t="s">
        <v>20</v>
      </c>
      <c r="D35">
        <v>4874327</v>
      </c>
      <c r="E35" t="s">
        <v>21</v>
      </c>
      <c r="G35" t="s">
        <v>22</v>
      </c>
      <c r="H35" s="1">
        <v>44927</v>
      </c>
      <c r="I35" t="s">
        <v>66</v>
      </c>
      <c r="J35">
        <v>40578260</v>
      </c>
      <c r="K35">
        <v>80040526</v>
      </c>
      <c r="L35" t="s">
        <v>24</v>
      </c>
      <c r="M35" s="1">
        <v>45778</v>
      </c>
      <c r="N35" t="s">
        <v>25</v>
      </c>
      <c r="O35">
        <v>300.27999999999997</v>
      </c>
      <c r="P35">
        <v>20</v>
      </c>
      <c r="R35" t="s">
        <v>15</v>
      </c>
      <c r="S35" t="s">
        <v>26</v>
      </c>
    </row>
    <row r="36" spans="1:19" x14ac:dyDescent="0.25">
      <c r="A36" s="1">
        <v>45808</v>
      </c>
      <c r="B36" t="s">
        <v>19</v>
      </c>
      <c r="C36" t="s">
        <v>20</v>
      </c>
      <c r="D36">
        <v>4874327</v>
      </c>
      <c r="E36" t="s">
        <v>21</v>
      </c>
      <c r="G36" t="s">
        <v>22</v>
      </c>
      <c r="H36" s="1">
        <v>45292</v>
      </c>
      <c r="I36" t="s">
        <v>67</v>
      </c>
      <c r="J36">
        <v>42134851</v>
      </c>
      <c r="K36">
        <v>81343363</v>
      </c>
      <c r="L36" t="s">
        <v>24</v>
      </c>
      <c r="M36" s="1">
        <v>45778</v>
      </c>
      <c r="N36" t="s">
        <v>25</v>
      </c>
      <c r="O36">
        <v>625.92999999999995</v>
      </c>
      <c r="P36">
        <v>20</v>
      </c>
      <c r="R36" t="s">
        <v>15</v>
      </c>
      <c r="S36" t="s">
        <v>26</v>
      </c>
    </row>
    <row r="37" spans="1:19" x14ac:dyDescent="0.25">
      <c r="A37" s="1">
        <v>45808</v>
      </c>
      <c r="B37" t="s">
        <v>19</v>
      </c>
      <c r="C37" t="s">
        <v>20</v>
      </c>
      <c r="D37">
        <v>4874327</v>
      </c>
      <c r="E37" t="s">
        <v>21</v>
      </c>
      <c r="G37" t="s">
        <v>22</v>
      </c>
      <c r="H37" s="1">
        <v>44927</v>
      </c>
      <c r="I37" t="s">
        <v>68</v>
      </c>
      <c r="J37">
        <v>41365547</v>
      </c>
      <c r="K37">
        <v>80051548</v>
      </c>
      <c r="L37" t="s">
        <v>24</v>
      </c>
      <c r="M37" s="1">
        <v>45778</v>
      </c>
      <c r="N37" t="s">
        <v>25</v>
      </c>
      <c r="O37">
        <v>1118.3399999999999</v>
      </c>
      <c r="P37">
        <v>20</v>
      </c>
      <c r="R37" t="s">
        <v>15</v>
      </c>
      <c r="S37" t="s">
        <v>26</v>
      </c>
    </row>
    <row r="38" spans="1:19" x14ac:dyDescent="0.25">
      <c r="A38" s="1">
        <v>45808</v>
      </c>
      <c r="B38" t="s">
        <v>19</v>
      </c>
      <c r="C38" t="s">
        <v>29</v>
      </c>
      <c r="D38">
        <v>5485984</v>
      </c>
      <c r="E38" t="s">
        <v>30</v>
      </c>
      <c r="G38" t="s">
        <v>22</v>
      </c>
      <c r="H38" s="1">
        <v>45292</v>
      </c>
      <c r="I38" t="s">
        <v>69</v>
      </c>
      <c r="J38">
        <v>45811855</v>
      </c>
      <c r="K38">
        <v>80180499</v>
      </c>
      <c r="L38" t="s">
        <v>24</v>
      </c>
      <c r="M38" s="1">
        <v>45778</v>
      </c>
      <c r="N38" t="s">
        <v>25</v>
      </c>
      <c r="O38">
        <v>691.89</v>
      </c>
      <c r="P38">
        <v>20</v>
      </c>
      <c r="R38" t="s">
        <v>15</v>
      </c>
      <c r="S38" t="s">
        <v>26</v>
      </c>
    </row>
    <row r="39" spans="1:19" x14ac:dyDescent="0.25">
      <c r="A39" s="1">
        <v>45808</v>
      </c>
      <c r="B39" t="s">
        <v>19</v>
      </c>
      <c r="C39" t="s">
        <v>20</v>
      </c>
      <c r="D39">
        <v>4874327</v>
      </c>
      <c r="E39" t="s">
        <v>21</v>
      </c>
      <c r="G39" t="s">
        <v>22</v>
      </c>
      <c r="H39" s="1">
        <v>44927</v>
      </c>
      <c r="I39" t="s">
        <v>70</v>
      </c>
      <c r="J39">
        <v>40578788</v>
      </c>
      <c r="K39">
        <v>80117605</v>
      </c>
      <c r="L39" t="s">
        <v>24</v>
      </c>
      <c r="M39" s="1">
        <v>45778</v>
      </c>
      <c r="N39" t="s">
        <v>25</v>
      </c>
      <c r="O39">
        <v>1079.5899999999999</v>
      </c>
      <c r="P39">
        <v>20</v>
      </c>
      <c r="R39" t="s">
        <v>15</v>
      </c>
      <c r="S39" t="s">
        <v>26</v>
      </c>
    </row>
    <row r="40" spans="1:19" x14ac:dyDescent="0.25">
      <c r="A40" s="1">
        <v>45808</v>
      </c>
      <c r="B40" t="s">
        <v>19</v>
      </c>
      <c r="C40" t="s">
        <v>29</v>
      </c>
      <c r="D40">
        <v>5485984</v>
      </c>
      <c r="E40" t="s">
        <v>30</v>
      </c>
      <c r="G40" t="s">
        <v>22</v>
      </c>
      <c r="H40" s="1">
        <v>45292</v>
      </c>
      <c r="I40" t="s">
        <v>71</v>
      </c>
      <c r="J40">
        <v>45811863</v>
      </c>
      <c r="K40">
        <v>80198949</v>
      </c>
      <c r="L40" t="s">
        <v>24</v>
      </c>
      <c r="M40" s="1">
        <v>45778</v>
      </c>
      <c r="N40" t="s">
        <v>25</v>
      </c>
      <c r="O40">
        <v>360.47</v>
      </c>
      <c r="P40">
        <v>20</v>
      </c>
      <c r="R40" t="s">
        <v>15</v>
      </c>
      <c r="S40" t="s">
        <v>26</v>
      </c>
    </row>
    <row r="41" spans="1:19" x14ac:dyDescent="0.25">
      <c r="A41" s="1">
        <v>45808</v>
      </c>
      <c r="B41" t="s">
        <v>19</v>
      </c>
      <c r="C41" t="s">
        <v>20</v>
      </c>
      <c r="D41">
        <v>4874327</v>
      </c>
      <c r="E41" t="s">
        <v>21</v>
      </c>
      <c r="G41" t="s">
        <v>22</v>
      </c>
      <c r="H41" s="1">
        <v>45748</v>
      </c>
      <c r="I41" t="s">
        <v>72</v>
      </c>
      <c r="J41">
        <v>52490323</v>
      </c>
      <c r="K41">
        <v>81683422</v>
      </c>
      <c r="L41" t="s">
        <v>24</v>
      </c>
      <c r="M41" s="1">
        <v>45778</v>
      </c>
      <c r="N41" t="s">
        <v>25</v>
      </c>
      <c r="O41">
        <v>335.05</v>
      </c>
      <c r="P41">
        <v>20</v>
      </c>
      <c r="R41" t="s">
        <v>15</v>
      </c>
      <c r="S41" t="s">
        <v>26</v>
      </c>
    </row>
    <row r="42" spans="1:19" x14ac:dyDescent="0.25">
      <c r="A42" s="1">
        <v>45808</v>
      </c>
      <c r="B42" t="s">
        <v>19</v>
      </c>
      <c r="C42" t="s">
        <v>38</v>
      </c>
      <c r="D42">
        <v>4506169</v>
      </c>
      <c r="E42" t="s">
        <v>39</v>
      </c>
      <c r="G42" t="s">
        <v>22</v>
      </c>
      <c r="H42" s="1">
        <v>45292</v>
      </c>
      <c r="I42" t="s">
        <v>73</v>
      </c>
      <c r="J42">
        <v>42832506</v>
      </c>
      <c r="K42">
        <v>80034700</v>
      </c>
      <c r="L42" t="s">
        <v>24</v>
      </c>
      <c r="M42" s="1">
        <v>45778</v>
      </c>
      <c r="N42" t="s">
        <v>25</v>
      </c>
      <c r="O42">
        <v>538.05999999999995</v>
      </c>
      <c r="P42">
        <v>20</v>
      </c>
      <c r="R42" t="s">
        <v>15</v>
      </c>
      <c r="S42" t="s">
        <v>26</v>
      </c>
    </row>
    <row r="43" spans="1:19" x14ac:dyDescent="0.25">
      <c r="A43" s="1">
        <v>45808</v>
      </c>
      <c r="B43" t="s">
        <v>19</v>
      </c>
      <c r="C43" t="s">
        <v>29</v>
      </c>
      <c r="D43">
        <v>5485984</v>
      </c>
      <c r="E43" t="s">
        <v>30</v>
      </c>
      <c r="G43" t="s">
        <v>22</v>
      </c>
      <c r="H43" s="1">
        <v>45658</v>
      </c>
      <c r="I43" t="s">
        <v>74</v>
      </c>
      <c r="J43">
        <v>51841645</v>
      </c>
      <c r="K43">
        <v>81670159</v>
      </c>
      <c r="L43" t="s">
        <v>24</v>
      </c>
      <c r="M43" s="1">
        <v>45717</v>
      </c>
      <c r="N43" t="s">
        <v>60</v>
      </c>
      <c r="O43">
        <v>830.96</v>
      </c>
      <c r="P43">
        <v>40</v>
      </c>
      <c r="R43" t="s">
        <v>15</v>
      </c>
      <c r="S43" t="s">
        <v>26</v>
      </c>
    </row>
    <row r="44" spans="1:19" x14ac:dyDescent="0.25">
      <c r="A44" s="1">
        <v>45808</v>
      </c>
      <c r="B44" t="s">
        <v>19</v>
      </c>
      <c r="C44" t="s">
        <v>29</v>
      </c>
      <c r="D44">
        <v>5485984</v>
      </c>
      <c r="E44" t="s">
        <v>30</v>
      </c>
      <c r="G44" t="s">
        <v>22</v>
      </c>
      <c r="H44" s="1">
        <v>45658</v>
      </c>
      <c r="I44" t="s">
        <v>74</v>
      </c>
      <c r="J44">
        <v>51841645</v>
      </c>
      <c r="K44">
        <v>81670159</v>
      </c>
      <c r="L44" t="s">
        <v>24</v>
      </c>
      <c r="M44" s="1">
        <v>45748</v>
      </c>
      <c r="N44" t="s">
        <v>28</v>
      </c>
      <c r="O44">
        <v>830.96</v>
      </c>
      <c r="P44">
        <v>40</v>
      </c>
      <c r="R44" t="s">
        <v>15</v>
      </c>
      <c r="S44" t="s">
        <v>26</v>
      </c>
    </row>
    <row r="45" spans="1:19" x14ac:dyDescent="0.25">
      <c r="A45" s="1">
        <v>45808</v>
      </c>
      <c r="B45" t="s">
        <v>19</v>
      </c>
      <c r="C45" t="s">
        <v>29</v>
      </c>
      <c r="D45">
        <v>5485984</v>
      </c>
      <c r="E45" t="s">
        <v>30</v>
      </c>
      <c r="G45" t="s">
        <v>22</v>
      </c>
      <c r="H45" s="1">
        <v>45597</v>
      </c>
      <c r="I45" t="s">
        <v>75</v>
      </c>
      <c r="J45">
        <v>49439591</v>
      </c>
      <c r="K45">
        <v>80178511</v>
      </c>
      <c r="L45" t="s">
        <v>24</v>
      </c>
      <c r="M45" s="1">
        <v>45658</v>
      </c>
      <c r="N45" t="s">
        <v>76</v>
      </c>
      <c r="O45">
        <v>250.69</v>
      </c>
      <c r="P45">
        <v>20</v>
      </c>
      <c r="R45" t="s">
        <v>15</v>
      </c>
      <c r="S45" t="s">
        <v>26</v>
      </c>
    </row>
    <row r="46" spans="1:19" x14ac:dyDescent="0.25">
      <c r="A46" s="1">
        <v>45808</v>
      </c>
      <c r="B46" t="s">
        <v>19</v>
      </c>
      <c r="C46" t="s">
        <v>29</v>
      </c>
      <c r="D46">
        <v>5485984</v>
      </c>
      <c r="E46" t="s">
        <v>30</v>
      </c>
      <c r="G46" t="s">
        <v>22</v>
      </c>
      <c r="H46" s="1">
        <v>45597</v>
      </c>
      <c r="I46" t="s">
        <v>75</v>
      </c>
      <c r="J46">
        <v>49439591</v>
      </c>
      <c r="K46">
        <v>80178511</v>
      </c>
      <c r="L46" t="s">
        <v>24</v>
      </c>
      <c r="M46" s="1">
        <v>45717</v>
      </c>
      <c r="N46" t="s">
        <v>60</v>
      </c>
      <c r="O46">
        <v>250.69</v>
      </c>
      <c r="P46">
        <v>20</v>
      </c>
      <c r="R46" t="s">
        <v>15</v>
      </c>
      <c r="S46" t="s">
        <v>26</v>
      </c>
    </row>
    <row r="47" spans="1:19" x14ac:dyDescent="0.25">
      <c r="A47" s="1">
        <v>45808</v>
      </c>
      <c r="B47" t="s">
        <v>19</v>
      </c>
      <c r="C47" t="s">
        <v>29</v>
      </c>
      <c r="D47">
        <v>5485984</v>
      </c>
      <c r="E47" t="s">
        <v>30</v>
      </c>
      <c r="G47" t="s">
        <v>22</v>
      </c>
      <c r="H47" s="1">
        <v>45597</v>
      </c>
      <c r="I47" t="s">
        <v>75</v>
      </c>
      <c r="J47">
        <v>49439591</v>
      </c>
      <c r="K47">
        <v>80178511</v>
      </c>
      <c r="L47" t="s">
        <v>24</v>
      </c>
      <c r="M47" s="1">
        <v>45689</v>
      </c>
      <c r="N47" t="s">
        <v>77</v>
      </c>
      <c r="O47">
        <v>250.69</v>
      </c>
      <c r="P47">
        <v>20</v>
      </c>
      <c r="R47" t="s">
        <v>15</v>
      </c>
      <c r="S47" t="s">
        <v>26</v>
      </c>
    </row>
    <row r="48" spans="1:19" x14ac:dyDescent="0.25">
      <c r="A48" s="1">
        <v>45808</v>
      </c>
      <c r="B48" t="s">
        <v>19</v>
      </c>
      <c r="C48" t="s">
        <v>29</v>
      </c>
      <c r="D48">
        <v>5485984</v>
      </c>
      <c r="E48" t="s">
        <v>30</v>
      </c>
      <c r="G48" t="s">
        <v>22</v>
      </c>
      <c r="H48" s="1">
        <v>45597</v>
      </c>
      <c r="I48" t="s">
        <v>75</v>
      </c>
      <c r="J48">
        <v>49439591</v>
      </c>
      <c r="K48">
        <v>80178511</v>
      </c>
      <c r="L48" t="s">
        <v>24</v>
      </c>
      <c r="M48" s="1">
        <v>45778</v>
      </c>
      <c r="N48" t="s">
        <v>25</v>
      </c>
      <c r="O48">
        <v>340.52</v>
      </c>
      <c r="P48">
        <v>20</v>
      </c>
      <c r="R48" t="s">
        <v>15</v>
      </c>
      <c r="S48" t="s">
        <v>26</v>
      </c>
    </row>
    <row r="49" spans="1:19" x14ac:dyDescent="0.25">
      <c r="A49" s="1">
        <v>45808</v>
      </c>
      <c r="B49" t="s">
        <v>19</v>
      </c>
      <c r="C49" t="s">
        <v>29</v>
      </c>
      <c r="D49">
        <v>5485984</v>
      </c>
      <c r="E49" t="s">
        <v>30</v>
      </c>
      <c r="G49" t="s">
        <v>22</v>
      </c>
      <c r="H49" s="1">
        <v>45597</v>
      </c>
      <c r="I49" t="s">
        <v>75</v>
      </c>
      <c r="J49">
        <v>49439591</v>
      </c>
      <c r="K49">
        <v>80178511</v>
      </c>
      <c r="L49" t="s">
        <v>24</v>
      </c>
      <c r="M49" s="1">
        <v>45748</v>
      </c>
      <c r="N49" t="s">
        <v>28</v>
      </c>
      <c r="O49">
        <v>340.52</v>
      </c>
      <c r="P49">
        <v>20</v>
      </c>
      <c r="R49" t="s">
        <v>15</v>
      </c>
      <c r="S49" t="s">
        <v>26</v>
      </c>
    </row>
    <row r="50" spans="1:19" x14ac:dyDescent="0.25">
      <c r="A50" s="1">
        <v>45808</v>
      </c>
      <c r="B50" t="s">
        <v>19</v>
      </c>
      <c r="C50" t="s">
        <v>20</v>
      </c>
      <c r="D50">
        <v>4874327</v>
      </c>
      <c r="E50" t="s">
        <v>21</v>
      </c>
      <c r="G50" t="s">
        <v>22</v>
      </c>
      <c r="H50" s="1">
        <v>45200</v>
      </c>
      <c r="I50" t="s">
        <v>78</v>
      </c>
      <c r="J50">
        <v>41365741</v>
      </c>
      <c r="K50">
        <v>80094898</v>
      </c>
      <c r="L50" t="s">
        <v>24</v>
      </c>
      <c r="M50" s="1">
        <v>45778</v>
      </c>
      <c r="N50" t="s">
        <v>25</v>
      </c>
      <c r="O50">
        <v>1206.1300000000001</v>
      </c>
      <c r="P50">
        <v>40</v>
      </c>
      <c r="R50" t="s">
        <v>15</v>
      </c>
      <c r="S50" t="s">
        <v>26</v>
      </c>
    </row>
    <row r="51" spans="1:19" x14ac:dyDescent="0.25">
      <c r="A51" s="1">
        <v>45808</v>
      </c>
      <c r="B51" t="s">
        <v>19</v>
      </c>
      <c r="C51" t="s">
        <v>29</v>
      </c>
      <c r="D51">
        <v>5485984</v>
      </c>
      <c r="E51" t="s">
        <v>30</v>
      </c>
      <c r="G51" t="s">
        <v>22</v>
      </c>
      <c r="H51" s="1">
        <v>45292</v>
      </c>
      <c r="I51" t="s">
        <v>79</v>
      </c>
      <c r="J51">
        <v>45811756</v>
      </c>
      <c r="K51">
        <v>80005123</v>
      </c>
      <c r="L51" t="s">
        <v>24</v>
      </c>
      <c r="M51" s="1">
        <v>45778</v>
      </c>
      <c r="N51" t="s">
        <v>25</v>
      </c>
      <c r="O51">
        <v>562.04999999999995</v>
      </c>
      <c r="P51">
        <v>20</v>
      </c>
      <c r="R51" t="s">
        <v>15</v>
      </c>
      <c r="S51" t="s">
        <v>26</v>
      </c>
    </row>
    <row r="52" spans="1:19" x14ac:dyDescent="0.25">
      <c r="A52" s="1">
        <v>45808</v>
      </c>
      <c r="B52" t="s">
        <v>19</v>
      </c>
      <c r="C52" t="s">
        <v>32</v>
      </c>
      <c r="D52">
        <v>5428208</v>
      </c>
      <c r="E52" t="s">
        <v>33</v>
      </c>
      <c r="G52" t="s">
        <v>22</v>
      </c>
      <c r="H52" s="1">
        <v>45658</v>
      </c>
      <c r="I52" t="s">
        <v>80</v>
      </c>
      <c r="J52">
        <v>50176424</v>
      </c>
      <c r="K52">
        <v>81351840</v>
      </c>
      <c r="L52" t="s">
        <v>24</v>
      </c>
      <c r="M52" s="1">
        <v>45778</v>
      </c>
      <c r="N52" t="s">
        <v>25</v>
      </c>
      <c r="O52">
        <v>939.81</v>
      </c>
      <c r="P52">
        <v>20</v>
      </c>
      <c r="R52" t="s">
        <v>15</v>
      </c>
      <c r="S52" t="s">
        <v>26</v>
      </c>
    </row>
    <row r="53" spans="1:19" x14ac:dyDescent="0.25">
      <c r="A53" s="1">
        <v>45808</v>
      </c>
      <c r="B53" t="s">
        <v>19</v>
      </c>
      <c r="C53" t="s">
        <v>20</v>
      </c>
      <c r="D53">
        <v>4874327</v>
      </c>
      <c r="E53" t="s">
        <v>21</v>
      </c>
      <c r="G53" t="s">
        <v>22</v>
      </c>
      <c r="H53" s="1">
        <v>45323</v>
      </c>
      <c r="I53" t="s">
        <v>81</v>
      </c>
      <c r="J53">
        <v>44538022</v>
      </c>
      <c r="K53">
        <v>81352801</v>
      </c>
      <c r="L53" t="s">
        <v>24</v>
      </c>
      <c r="M53" s="1">
        <v>45778</v>
      </c>
      <c r="N53" t="s">
        <v>25</v>
      </c>
      <c r="O53">
        <v>730.86</v>
      </c>
      <c r="P53">
        <v>20</v>
      </c>
      <c r="R53" t="s">
        <v>15</v>
      </c>
      <c r="S53" t="s">
        <v>26</v>
      </c>
    </row>
    <row r="54" spans="1:19" x14ac:dyDescent="0.25">
      <c r="A54" s="1">
        <v>45808</v>
      </c>
      <c r="B54" t="s">
        <v>19</v>
      </c>
      <c r="C54" t="s">
        <v>38</v>
      </c>
      <c r="D54">
        <v>4506169</v>
      </c>
      <c r="E54" t="s">
        <v>39</v>
      </c>
      <c r="G54" t="s">
        <v>22</v>
      </c>
      <c r="H54" s="1">
        <v>45505</v>
      </c>
      <c r="I54" t="s">
        <v>82</v>
      </c>
      <c r="J54">
        <v>46375190</v>
      </c>
      <c r="K54">
        <v>81373218</v>
      </c>
      <c r="L54" t="s">
        <v>24</v>
      </c>
      <c r="M54" s="1">
        <v>45778</v>
      </c>
      <c r="N54" t="s">
        <v>25</v>
      </c>
      <c r="O54">
        <v>797.39</v>
      </c>
      <c r="P54">
        <v>20</v>
      </c>
      <c r="R54" t="s">
        <v>15</v>
      </c>
      <c r="S54" t="s">
        <v>26</v>
      </c>
    </row>
    <row r="55" spans="1:19" x14ac:dyDescent="0.25">
      <c r="A55" s="1">
        <v>45808</v>
      </c>
      <c r="B55" t="s">
        <v>19</v>
      </c>
      <c r="C55" t="s">
        <v>29</v>
      </c>
      <c r="D55">
        <v>5485984</v>
      </c>
      <c r="E55" t="s">
        <v>30</v>
      </c>
      <c r="G55" t="s">
        <v>22</v>
      </c>
      <c r="H55" s="1">
        <v>45292</v>
      </c>
      <c r="I55" t="s">
        <v>83</v>
      </c>
      <c r="J55">
        <v>45811822</v>
      </c>
      <c r="K55">
        <v>80088791</v>
      </c>
      <c r="L55" t="s">
        <v>24</v>
      </c>
      <c r="M55" s="1">
        <v>45778</v>
      </c>
      <c r="N55" t="s">
        <v>25</v>
      </c>
      <c r="O55">
        <v>377.08</v>
      </c>
      <c r="P55">
        <v>20</v>
      </c>
      <c r="R55" t="s">
        <v>15</v>
      </c>
      <c r="S55" t="s">
        <v>26</v>
      </c>
    </row>
    <row r="56" spans="1:19" x14ac:dyDescent="0.25">
      <c r="A56" s="1">
        <v>45808</v>
      </c>
      <c r="B56" t="s">
        <v>19</v>
      </c>
      <c r="C56" t="s">
        <v>38</v>
      </c>
      <c r="D56">
        <v>4506169</v>
      </c>
      <c r="E56" t="s">
        <v>39</v>
      </c>
      <c r="G56" t="s">
        <v>22</v>
      </c>
      <c r="H56" s="1">
        <v>44958</v>
      </c>
      <c r="I56" t="s">
        <v>84</v>
      </c>
      <c r="J56">
        <v>41365476</v>
      </c>
      <c r="K56">
        <v>80033098</v>
      </c>
      <c r="L56" t="s">
        <v>24</v>
      </c>
      <c r="M56" s="1">
        <v>45717</v>
      </c>
      <c r="N56" t="s">
        <v>60</v>
      </c>
      <c r="O56">
        <v>833.71</v>
      </c>
      <c r="P56">
        <v>20</v>
      </c>
      <c r="R56" t="s">
        <v>15</v>
      </c>
      <c r="S56" t="s">
        <v>26</v>
      </c>
    </row>
    <row r="57" spans="1:19" x14ac:dyDescent="0.25">
      <c r="A57" s="1">
        <v>45808</v>
      </c>
      <c r="B57" t="s">
        <v>19</v>
      </c>
      <c r="C57" t="s">
        <v>38</v>
      </c>
      <c r="D57">
        <v>4506169</v>
      </c>
      <c r="E57" t="s">
        <v>39</v>
      </c>
      <c r="G57" t="s">
        <v>22</v>
      </c>
      <c r="H57" s="1">
        <v>44958</v>
      </c>
      <c r="I57" t="s">
        <v>84</v>
      </c>
      <c r="J57">
        <v>41365476</v>
      </c>
      <c r="K57">
        <v>80033098</v>
      </c>
      <c r="L57" t="s">
        <v>24</v>
      </c>
      <c r="M57" s="1">
        <v>45689</v>
      </c>
      <c r="N57" t="s">
        <v>77</v>
      </c>
      <c r="O57">
        <v>833.71</v>
      </c>
      <c r="P57">
        <v>20</v>
      </c>
      <c r="R57" t="s">
        <v>15</v>
      </c>
      <c r="S57" t="s">
        <v>26</v>
      </c>
    </row>
    <row r="58" spans="1:19" x14ac:dyDescent="0.25">
      <c r="A58" s="1">
        <v>45808</v>
      </c>
      <c r="B58" t="s">
        <v>19</v>
      </c>
      <c r="C58" t="s">
        <v>20</v>
      </c>
      <c r="D58">
        <v>4874327</v>
      </c>
      <c r="E58" t="s">
        <v>21</v>
      </c>
      <c r="G58" t="s">
        <v>22</v>
      </c>
      <c r="H58" s="1">
        <v>44927</v>
      </c>
      <c r="I58" t="s">
        <v>85</v>
      </c>
      <c r="J58">
        <v>40579668</v>
      </c>
      <c r="K58">
        <v>80223323</v>
      </c>
      <c r="L58" t="s">
        <v>24</v>
      </c>
      <c r="M58" s="1">
        <v>45778</v>
      </c>
      <c r="N58" t="s">
        <v>25</v>
      </c>
      <c r="O58">
        <v>230.63</v>
      </c>
      <c r="P58">
        <v>20</v>
      </c>
      <c r="R58" t="s">
        <v>15</v>
      </c>
      <c r="S58" t="s">
        <v>26</v>
      </c>
    </row>
    <row r="59" spans="1:19" x14ac:dyDescent="0.25">
      <c r="A59" s="1">
        <v>45808</v>
      </c>
      <c r="B59" t="s">
        <v>19</v>
      </c>
      <c r="C59" t="s">
        <v>20</v>
      </c>
      <c r="D59">
        <v>4874327</v>
      </c>
      <c r="E59" t="s">
        <v>21</v>
      </c>
      <c r="G59" t="s">
        <v>22</v>
      </c>
      <c r="H59" s="1">
        <v>44927</v>
      </c>
      <c r="I59" t="s">
        <v>86</v>
      </c>
      <c r="J59">
        <v>40578480</v>
      </c>
      <c r="K59">
        <v>80085100</v>
      </c>
      <c r="L59" t="s">
        <v>24</v>
      </c>
      <c r="M59" s="1">
        <v>45778</v>
      </c>
      <c r="N59" t="s">
        <v>25</v>
      </c>
      <c r="O59">
        <v>281.83</v>
      </c>
      <c r="P59">
        <v>20</v>
      </c>
      <c r="R59" t="s">
        <v>15</v>
      </c>
      <c r="S59" t="s">
        <v>26</v>
      </c>
    </row>
    <row r="60" spans="1:19" x14ac:dyDescent="0.25">
      <c r="A60" s="1">
        <v>45808</v>
      </c>
      <c r="B60" t="s">
        <v>19</v>
      </c>
      <c r="C60" t="s">
        <v>38</v>
      </c>
      <c r="D60">
        <v>4506169</v>
      </c>
      <c r="E60" t="s">
        <v>39</v>
      </c>
      <c r="G60" t="s">
        <v>22</v>
      </c>
      <c r="H60" s="1">
        <v>44927</v>
      </c>
      <c r="I60" t="s">
        <v>87</v>
      </c>
      <c r="J60">
        <v>33260314</v>
      </c>
      <c r="K60">
        <v>80193978</v>
      </c>
      <c r="L60" t="s">
        <v>24</v>
      </c>
      <c r="M60" s="1">
        <v>45778</v>
      </c>
      <c r="N60" t="s">
        <v>25</v>
      </c>
      <c r="O60">
        <v>893.23</v>
      </c>
      <c r="P60">
        <v>40</v>
      </c>
      <c r="R60" t="s">
        <v>15</v>
      </c>
      <c r="S60" t="s">
        <v>26</v>
      </c>
    </row>
    <row r="61" spans="1:19" x14ac:dyDescent="0.25">
      <c r="A61" s="1">
        <v>45808</v>
      </c>
      <c r="B61" t="s">
        <v>19</v>
      </c>
      <c r="C61" t="s">
        <v>29</v>
      </c>
      <c r="D61">
        <v>5485984</v>
      </c>
      <c r="E61" t="s">
        <v>30</v>
      </c>
      <c r="G61" t="s">
        <v>22</v>
      </c>
      <c r="H61" s="1">
        <v>45292</v>
      </c>
      <c r="I61" t="s">
        <v>88</v>
      </c>
      <c r="J61">
        <v>46375014</v>
      </c>
      <c r="K61">
        <v>80207270</v>
      </c>
      <c r="L61" t="s">
        <v>24</v>
      </c>
      <c r="M61" s="1">
        <v>45778</v>
      </c>
      <c r="N61" t="s">
        <v>25</v>
      </c>
      <c r="O61">
        <v>817.5</v>
      </c>
      <c r="P61">
        <v>20</v>
      </c>
      <c r="R61" t="s">
        <v>15</v>
      </c>
      <c r="S61" t="s">
        <v>26</v>
      </c>
    </row>
    <row r="62" spans="1:19" x14ac:dyDescent="0.25">
      <c r="A62" s="1">
        <v>45808</v>
      </c>
      <c r="B62" t="s">
        <v>19</v>
      </c>
      <c r="C62" t="s">
        <v>38</v>
      </c>
      <c r="D62">
        <v>4506169</v>
      </c>
      <c r="E62" t="s">
        <v>39</v>
      </c>
      <c r="G62" t="s">
        <v>22</v>
      </c>
      <c r="H62" s="1">
        <v>44927</v>
      </c>
      <c r="I62" t="s">
        <v>89</v>
      </c>
      <c r="J62">
        <v>33260037</v>
      </c>
      <c r="K62">
        <v>80114176</v>
      </c>
      <c r="L62" t="s">
        <v>24</v>
      </c>
      <c r="M62" s="1">
        <v>45748</v>
      </c>
      <c r="N62" t="s">
        <v>28</v>
      </c>
      <c r="O62">
        <v>287.36</v>
      </c>
      <c r="P62">
        <v>20</v>
      </c>
      <c r="R62" t="s">
        <v>15</v>
      </c>
      <c r="S62" t="s">
        <v>26</v>
      </c>
    </row>
    <row r="63" spans="1:19" x14ac:dyDescent="0.25">
      <c r="A63" s="1">
        <v>45808</v>
      </c>
      <c r="B63" t="s">
        <v>19</v>
      </c>
      <c r="C63" t="s">
        <v>38</v>
      </c>
      <c r="D63">
        <v>4506169</v>
      </c>
      <c r="E63" t="s">
        <v>39</v>
      </c>
      <c r="G63" t="s">
        <v>22</v>
      </c>
      <c r="H63" s="1">
        <v>44927</v>
      </c>
      <c r="I63" t="s">
        <v>90</v>
      </c>
      <c r="J63">
        <v>32311635</v>
      </c>
      <c r="K63">
        <v>80052446</v>
      </c>
      <c r="L63" t="s">
        <v>24</v>
      </c>
      <c r="M63" s="1">
        <v>45778</v>
      </c>
      <c r="N63" t="s">
        <v>25</v>
      </c>
      <c r="O63">
        <v>386.76</v>
      </c>
      <c r="P63">
        <v>20</v>
      </c>
      <c r="R63" t="s">
        <v>15</v>
      </c>
      <c r="S63" t="s">
        <v>26</v>
      </c>
    </row>
    <row r="64" spans="1:19" x14ac:dyDescent="0.25">
      <c r="A64" s="1">
        <v>45808</v>
      </c>
      <c r="B64" t="s">
        <v>19</v>
      </c>
      <c r="C64" t="s">
        <v>38</v>
      </c>
      <c r="D64">
        <v>4506169</v>
      </c>
      <c r="E64" t="s">
        <v>39</v>
      </c>
      <c r="G64" t="s">
        <v>22</v>
      </c>
      <c r="H64" s="1">
        <v>44927</v>
      </c>
      <c r="I64" t="s">
        <v>91</v>
      </c>
      <c r="J64">
        <v>33260397</v>
      </c>
      <c r="K64">
        <v>80213191</v>
      </c>
      <c r="L64" t="s">
        <v>24</v>
      </c>
      <c r="M64" s="1">
        <v>45778</v>
      </c>
      <c r="N64" t="s">
        <v>25</v>
      </c>
      <c r="O64">
        <v>851.7</v>
      </c>
      <c r="P64">
        <v>20</v>
      </c>
      <c r="R64" t="s">
        <v>15</v>
      </c>
      <c r="S64" t="s">
        <v>26</v>
      </c>
    </row>
    <row r="65" spans="1:19" x14ac:dyDescent="0.25">
      <c r="A65" s="1">
        <v>45808</v>
      </c>
      <c r="B65" t="s">
        <v>19</v>
      </c>
      <c r="C65" t="s">
        <v>20</v>
      </c>
      <c r="D65">
        <v>4874327</v>
      </c>
      <c r="E65" t="s">
        <v>21</v>
      </c>
      <c r="G65" t="s">
        <v>22</v>
      </c>
      <c r="H65" s="1">
        <v>44927</v>
      </c>
      <c r="I65" t="s">
        <v>92</v>
      </c>
      <c r="J65">
        <v>40578305</v>
      </c>
      <c r="K65">
        <v>80051234</v>
      </c>
      <c r="L65" t="s">
        <v>24</v>
      </c>
      <c r="M65" s="1">
        <v>45748</v>
      </c>
      <c r="N65" t="s">
        <v>28</v>
      </c>
      <c r="O65">
        <v>554.37</v>
      </c>
      <c r="P65">
        <v>20</v>
      </c>
      <c r="R65" t="s">
        <v>15</v>
      </c>
      <c r="S65" t="s">
        <v>26</v>
      </c>
    </row>
    <row r="66" spans="1:19" x14ac:dyDescent="0.25">
      <c r="A66" s="1">
        <v>45808</v>
      </c>
      <c r="B66" t="s">
        <v>19</v>
      </c>
      <c r="C66" t="s">
        <v>38</v>
      </c>
      <c r="D66">
        <v>4506169</v>
      </c>
      <c r="E66" t="s">
        <v>39</v>
      </c>
      <c r="G66" t="s">
        <v>22</v>
      </c>
      <c r="H66" s="1">
        <v>44927</v>
      </c>
      <c r="I66" t="s">
        <v>93</v>
      </c>
      <c r="J66">
        <v>33259814</v>
      </c>
      <c r="K66">
        <v>80053515</v>
      </c>
      <c r="L66" t="s">
        <v>24</v>
      </c>
      <c r="M66" s="1">
        <v>45778</v>
      </c>
      <c r="N66" t="s">
        <v>25</v>
      </c>
      <c r="O66">
        <v>381.6</v>
      </c>
      <c r="P66">
        <v>20</v>
      </c>
      <c r="R66" t="s">
        <v>15</v>
      </c>
      <c r="S66" t="s">
        <v>26</v>
      </c>
    </row>
    <row r="67" spans="1:19" x14ac:dyDescent="0.25">
      <c r="A67" s="1">
        <v>45808</v>
      </c>
      <c r="B67" t="s">
        <v>19</v>
      </c>
      <c r="C67" t="s">
        <v>20</v>
      </c>
      <c r="D67">
        <v>4874327</v>
      </c>
      <c r="E67" t="s">
        <v>21</v>
      </c>
      <c r="G67" t="s">
        <v>22</v>
      </c>
      <c r="H67" s="1">
        <v>44927</v>
      </c>
      <c r="I67" t="s">
        <v>94</v>
      </c>
      <c r="J67">
        <v>41365797</v>
      </c>
      <c r="K67">
        <v>80107585</v>
      </c>
      <c r="L67" t="s">
        <v>24</v>
      </c>
      <c r="M67" s="1">
        <v>45383</v>
      </c>
      <c r="N67" t="s">
        <v>28</v>
      </c>
      <c r="O67">
        <v>-690.31</v>
      </c>
      <c r="P67">
        <v>-20</v>
      </c>
      <c r="R67" t="s">
        <v>15</v>
      </c>
      <c r="S67" t="s">
        <v>26</v>
      </c>
    </row>
    <row r="68" spans="1:19" x14ac:dyDescent="0.25">
      <c r="A68" s="1">
        <v>45808</v>
      </c>
      <c r="B68" t="s">
        <v>19</v>
      </c>
      <c r="C68" t="s">
        <v>20</v>
      </c>
      <c r="D68">
        <v>4874327</v>
      </c>
      <c r="E68" t="s">
        <v>21</v>
      </c>
      <c r="G68" t="s">
        <v>22</v>
      </c>
      <c r="H68" s="1">
        <v>44927</v>
      </c>
      <c r="I68" t="s">
        <v>94</v>
      </c>
      <c r="J68">
        <v>41365797</v>
      </c>
      <c r="K68">
        <v>80107585</v>
      </c>
      <c r="L68" t="s">
        <v>24</v>
      </c>
      <c r="M68" s="1">
        <v>45536</v>
      </c>
      <c r="N68" t="s">
        <v>95</v>
      </c>
      <c r="O68">
        <v>359.63</v>
      </c>
      <c r="P68">
        <v>20</v>
      </c>
      <c r="R68" t="s">
        <v>15</v>
      </c>
      <c r="S68" t="s">
        <v>26</v>
      </c>
    </row>
    <row r="69" spans="1:19" x14ac:dyDescent="0.25">
      <c r="A69" s="1">
        <v>45808</v>
      </c>
      <c r="B69" t="s">
        <v>19</v>
      </c>
      <c r="C69" t="s">
        <v>20</v>
      </c>
      <c r="D69">
        <v>4874327</v>
      </c>
      <c r="E69" t="s">
        <v>21</v>
      </c>
      <c r="G69" t="s">
        <v>22</v>
      </c>
      <c r="H69" s="1">
        <v>44927</v>
      </c>
      <c r="I69" t="s">
        <v>94</v>
      </c>
      <c r="J69">
        <v>41365797</v>
      </c>
      <c r="K69">
        <v>80107585</v>
      </c>
      <c r="L69" t="s">
        <v>24</v>
      </c>
      <c r="M69" s="1">
        <v>45474</v>
      </c>
      <c r="N69" t="s">
        <v>96</v>
      </c>
      <c r="O69">
        <v>359.63</v>
      </c>
      <c r="P69">
        <v>20</v>
      </c>
      <c r="R69" t="s">
        <v>15</v>
      </c>
      <c r="S69" t="s">
        <v>26</v>
      </c>
    </row>
    <row r="70" spans="1:19" x14ac:dyDescent="0.25">
      <c r="A70" s="1">
        <v>45808</v>
      </c>
      <c r="B70" t="s">
        <v>19</v>
      </c>
      <c r="C70" t="s">
        <v>20</v>
      </c>
      <c r="D70">
        <v>4874327</v>
      </c>
      <c r="E70" t="s">
        <v>21</v>
      </c>
      <c r="G70" t="s">
        <v>22</v>
      </c>
      <c r="H70" s="1">
        <v>44927</v>
      </c>
      <c r="I70" t="s">
        <v>94</v>
      </c>
      <c r="J70">
        <v>41365797</v>
      </c>
      <c r="K70">
        <v>80107585</v>
      </c>
      <c r="L70" t="s">
        <v>24</v>
      </c>
      <c r="M70" s="1">
        <v>45505</v>
      </c>
      <c r="N70" t="s">
        <v>97</v>
      </c>
      <c r="O70">
        <v>359.63</v>
      </c>
      <c r="P70">
        <v>20</v>
      </c>
      <c r="R70" t="s">
        <v>15</v>
      </c>
      <c r="S70" t="s">
        <v>26</v>
      </c>
    </row>
    <row r="71" spans="1:19" x14ac:dyDescent="0.25">
      <c r="A71" s="1">
        <v>45808</v>
      </c>
      <c r="B71" t="s">
        <v>19</v>
      </c>
      <c r="C71" t="s">
        <v>20</v>
      </c>
      <c r="D71">
        <v>4874327</v>
      </c>
      <c r="E71" t="s">
        <v>21</v>
      </c>
      <c r="G71" t="s">
        <v>22</v>
      </c>
      <c r="H71" s="1">
        <v>44927</v>
      </c>
      <c r="I71" t="s">
        <v>94</v>
      </c>
      <c r="J71">
        <v>41365797</v>
      </c>
      <c r="K71">
        <v>80107585</v>
      </c>
      <c r="L71" t="s">
        <v>24</v>
      </c>
      <c r="M71" s="1">
        <v>45352</v>
      </c>
      <c r="N71" t="s">
        <v>60</v>
      </c>
      <c r="O71">
        <v>-690.31</v>
      </c>
      <c r="P71">
        <v>-20</v>
      </c>
      <c r="R71" t="s">
        <v>15</v>
      </c>
      <c r="S71" t="s">
        <v>26</v>
      </c>
    </row>
    <row r="72" spans="1:19" x14ac:dyDescent="0.25">
      <c r="A72" s="1">
        <v>45808</v>
      </c>
      <c r="B72" t="s">
        <v>19</v>
      </c>
      <c r="C72" t="s">
        <v>20</v>
      </c>
      <c r="D72">
        <v>4874327</v>
      </c>
      <c r="E72" t="s">
        <v>21</v>
      </c>
      <c r="G72" t="s">
        <v>22</v>
      </c>
      <c r="H72" s="1">
        <v>44927</v>
      </c>
      <c r="I72" t="s">
        <v>94</v>
      </c>
      <c r="J72">
        <v>41365797</v>
      </c>
      <c r="K72">
        <v>80107585</v>
      </c>
      <c r="L72" t="s">
        <v>24</v>
      </c>
      <c r="M72" s="1">
        <v>45444</v>
      </c>
      <c r="N72" t="s">
        <v>98</v>
      </c>
      <c r="O72">
        <v>359.63</v>
      </c>
      <c r="P72">
        <v>20</v>
      </c>
      <c r="R72" t="s">
        <v>15</v>
      </c>
      <c r="S72" t="s">
        <v>26</v>
      </c>
    </row>
    <row r="73" spans="1:19" x14ac:dyDescent="0.25">
      <c r="A73" s="1">
        <v>45808</v>
      </c>
      <c r="B73" t="s">
        <v>19</v>
      </c>
      <c r="C73" t="s">
        <v>20</v>
      </c>
      <c r="D73">
        <v>4874327</v>
      </c>
      <c r="E73" t="s">
        <v>21</v>
      </c>
      <c r="G73" t="s">
        <v>22</v>
      </c>
      <c r="H73" s="1">
        <v>44927</v>
      </c>
      <c r="I73" t="s">
        <v>99</v>
      </c>
      <c r="J73">
        <v>40578780</v>
      </c>
      <c r="K73">
        <v>80115543</v>
      </c>
      <c r="L73" t="s">
        <v>24</v>
      </c>
      <c r="M73" s="1">
        <v>45778</v>
      </c>
      <c r="N73" t="s">
        <v>25</v>
      </c>
      <c r="O73">
        <v>322.19</v>
      </c>
      <c r="P73">
        <v>20</v>
      </c>
      <c r="R73" t="s">
        <v>15</v>
      </c>
      <c r="S73" t="s">
        <v>26</v>
      </c>
    </row>
    <row r="74" spans="1:19" x14ac:dyDescent="0.25">
      <c r="A74" s="1">
        <v>45808</v>
      </c>
      <c r="B74" t="s">
        <v>19</v>
      </c>
      <c r="C74" t="s">
        <v>20</v>
      </c>
      <c r="D74">
        <v>4874327</v>
      </c>
      <c r="E74" t="s">
        <v>21</v>
      </c>
      <c r="G74" t="s">
        <v>22</v>
      </c>
      <c r="H74" s="1">
        <v>45170</v>
      </c>
      <c r="I74" t="s">
        <v>100</v>
      </c>
      <c r="J74">
        <v>38007042</v>
      </c>
      <c r="K74">
        <v>80244751</v>
      </c>
      <c r="L74" t="s">
        <v>24</v>
      </c>
      <c r="M74" s="1">
        <v>45778</v>
      </c>
      <c r="N74" t="s">
        <v>25</v>
      </c>
      <c r="O74">
        <v>230.63</v>
      </c>
      <c r="P74">
        <v>20</v>
      </c>
      <c r="R74" t="s">
        <v>15</v>
      </c>
      <c r="S74" t="s">
        <v>26</v>
      </c>
    </row>
    <row r="75" spans="1:19" x14ac:dyDescent="0.25">
      <c r="A75" s="1">
        <v>45808</v>
      </c>
      <c r="B75" t="s">
        <v>19</v>
      </c>
      <c r="C75" t="s">
        <v>38</v>
      </c>
      <c r="D75">
        <v>4506169</v>
      </c>
      <c r="E75" t="s">
        <v>39</v>
      </c>
      <c r="G75" t="s">
        <v>22</v>
      </c>
      <c r="H75" s="1">
        <v>45658</v>
      </c>
      <c r="I75" t="s">
        <v>101</v>
      </c>
      <c r="J75">
        <v>50931657</v>
      </c>
      <c r="K75">
        <v>80097948</v>
      </c>
      <c r="L75" t="s">
        <v>24</v>
      </c>
      <c r="M75" s="1">
        <v>45658</v>
      </c>
      <c r="N75" t="s">
        <v>76</v>
      </c>
      <c r="O75">
        <v>-272.83999999999997</v>
      </c>
      <c r="P75">
        <v>-20</v>
      </c>
      <c r="R75" t="s">
        <v>15</v>
      </c>
      <c r="S75" t="s">
        <v>26</v>
      </c>
    </row>
    <row r="76" spans="1:19" x14ac:dyDescent="0.25">
      <c r="A76" s="1">
        <v>45808</v>
      </c>
      <c r="B76" t="s">
        <v>19</v>
      </c>
      <c r="C76" t="s">
        <v>29</v>
      </c>
      <c r="D76">
        <v>5485984</v>
      </c>
      <c r="E76" t="s">
        <v>30</v>
      </c>
      <c r="G76" t="s">
        <v>22</v>
      </c>
      <c r="H76" s="1">
        <v>45292</v>
      </c>
      <c r="I76" t="s">
        <v>102</v>
      </c>
      <c r="J76">
        <v>46374956</v>
      </c>
      <c r="K76">
        <v>80036031</v>
      </c>
      <c r="L76" t="s">
        <v>24</v>
      </c>
      <c r="M76" s="1">
        <v>45778</v>
      </c>
      <c r="N76" t="s">
        <v>25</v>
      </c>
      <c r="O76">
        <v>905.63</v>
      </c>
      <c r="P76">
        <v>20</v>
      </c>
      <c r="R76" t="s">
        <v>15</v>
      </c>
      <c r="S76" t="s">
        <v>26</v>
      </c>
    </row>
    <row r="77" spans="1:19" x14ac:dyDescent="0.25">
      <c r="A77" s="1">
        <v>45808</v>
      </c>
      <c r="B77" t="s">
        <v>19</v>
      </c>
      <c r="C77" t="s">
        <v>29</v>
      </c>
      <c r="D77">
        <v>5485984</v>
      </c>
      <c r="E77" t="s">
        <v>30</v>
      </c>
      <c r="G77" t="s">
        <v>22</v>
      </c>
      <c r="H77" s="1">
        <v>45292</v>
      </c>
      <c r="I77" t="s">
        <v>103</v>
      </c>
      <c r="J77">
        <v>45811840</v>
      </c>
      <c r="K77">
        <v>80170252</v>
      </c>
      <c r="L77" t="s">
        <v>24</v>
      </c>
      <c r="M77" s="1">
        <v>45778</v>
      </c>
      <c r="N77" t="s">
        <v>25</v>
      </c>
      <c r="O77">
        <v>1071</v>
      </c>
      <c r="P77">
        <v>20</v>
      </c>
      <c r="R77" t="s">
        <v>15</v>
      </c>
      <c r="S77" t="s">
        <v>26</v>
      </c>
    </row>
    <row r="78" spans="1:19" x14ac:dyDescent="0.25">
      <c r="A78" s="1">
        <v>45808</v>
      </c>
      <c r="B78" t="s">
        <v>19</v>
      </c>
      <c r="C78" t="s">
        <v>20</v>
      </c>
      <c r="D78">
        <v>4874327</v>
      </c>
      <c r="E78" t="s">
        <v>21</v>
      </c>
      <c r="G78" t="s">
        <v>22</v>
      </c>
      <c r="H78" s="1">
        <v>45658</v>
      </c>
      <c r="I78" t="s">
        <v>104</v>
      </c>
      <c r="J78">
        <v>50931720</v>
      </c>
      <c r="K78">
        <v>81370155</v>
      </c>
      <c r="L78" t="s">
        <v>24</v>
      </c>
      <c r="M78" s="1">
        <v>45778</v>
      </c>
      <c r="N78" t="s">
        <v>25</v>
      </c>
      <c r="O78">
        <v>823.35</v>
      </c>
      <c r="P78">
        <v>60</v>
      </c>
      <c r="R78" t="s">
        <v>15</v>
      </c>
      <c r="S78" t="s">
        <v>26</v>
      </c>
    </row>
    <row r="79" spans="1:19" x14ac:dyDescent="0.25">
      <c r="A79" s="1">
        <v>45808</v>
      </c>
      <c r="B79" t="s">
        <v>19</v>
      </c>
      <c r="C79" t="s">
        <v>38</v>
      </c>
      <c r="D79">
        <v>4506169</v>
      </c>
      <c r="E79" t="s">
        <v>39</v>
      </c>
      <c r="G79" t="s">
        <v>22</v>
      </c>
      <c r="H79" s="1">
        <v>45505</v>
      </c>
      <c r="I79" t="s">
        <v>105</v>
      </c>
      <c r="J79">
        <v>46844983</v>
      </c>
      <c r="K79">
        <v>81374350</v>
      </c>
      <c r="L79" t="s">
        <v>24</v>
      </c>
      <c r="M79" s="1">
        <v>45748</v>
      </c>
      <c r="N79" t="s">
        <v>28</v>
      </c>
      <c r="O79">
        <v>-662.6</v>
      </c>
      <c r="P79">
        <v>-20</v>
      </c>
      <c r="R79" t="s">
        <v>15</v>
      </c>
      <c r="S79" t="s">
        <v>26</v>
      </c>
    </row>
    <row r="80" spans="1:19" x14ac:dyDescent="0.25">
      <c r="A80" s="1">
        <v>45808</v>
      </c>
      <c r="B80" t="s">
        <v>19</v>
      </c>
      <c r="C80" t="s">
        <v>38</v>
      </c>
      <c r="D80">
        <v>4506169</v>
      </c>
      <c r="E80" t="s">
        <v>39</v>
      </c>
      <c r="G80" t="s">
        <v>22</v>
      </c>
      <c r="H80" s="1">
        <v>45505</v>
      </c>
      <c r="I80" t="s">
        <v>105</v>
      </c>
      <c r="J80">
        <v>46844983</v>
      </c>
      <c r="K80">
        <v>81374350</v>
      </c>
      <c r="L80" t="s">
        <v>24</v>
      </c>
      <c r="M80" s="1">
        <v>45748</v>
      </c>
      <c r="N80" t="s">
        <v>28</v>
      </c>
      <c r="O80">
        <v>1074.8800000000001</v>
      </c>
      <c r="P80">
        <v>20</v>
      </c>
      <c r="R80" t="s">
        <v>15</v>
      </c>
      <c r="S80" t="s">
        <v>26</v>
      </c>
    </row>
    <row r="81" spans="1:19" x14ac:dyDescent="0.25">
      <c r="A81" s="1">
        <v>45808</v>
      </c>
      <c r="B81" t="s">
        <v>19</v>
      </c>
      <c r="C81" t="s">
        <v>38</v>
      </c>
      <c r="D81">
        <v>4506169</v>
      </c>
      <c r="E81" t="s">
        <v>39</v>
      </c>
      <c r="G81" t="s">
        <v>22</v>
      </c>
      <c r="H81" s="1">
        <v>45505</v>
      </c>
      <c r="I81" t="s">
        <v>105</v>
      </c>
      <c r="J81">
        <v>46844983</v>
      </c>
      <c r="K81">
        <v>81374350</v>
      </c>
      <c r="L81" t="s">
        <v>24</v>
      </c>
      <c r="M81" s="1">
        <v>45689</v>
      </c>
      <c r="N81" t="s">
        <v>77</v>
      </c>
      <c r="O81">
        <v>15.28</v>
      </c>
      <c r="P81">
        <v>1.53</v>
      </c>
      <c r="R81" t="s">
        <v>15</v>
      </c>
      <c r="S81" t="s">
        <v>26</v>
      </c>
    </row>
    <row r="82" spans="1:19" x14ac:dyDescent="0.25">
      <c r="A82" s="1">
        <v>45808</v>
      </c>
      <c r="B82" t="s">
        <v>19</v>
      </c>
      <c r="C82" t="s">
        <v>20</v>
      </c>
      <c r="D82">
        <v>4874327</v>
      </c>
      <c r="E82" t="s">
        <v>21</v>
      </c>
      <c r="G82" t="s">
        <v>22</v>
      </c>
      <c r="H82" s="1">
        <v>45717</v>
      </c>
      <c r="I82" t="s">
        <v>106</v>
      </c>
      <c r="J82">
        <v>51841780</v>
      </c>
      <c r="K82">
        <v>81138945</v>
      </c>
      <c r="L82" t="s">
        <v>24</v>
      </c>
      <c r="M82" s="1">
        <v>45778</v>
      </c>
      <c r="N82" t="s">
        <v>25</v>
      </c>
      <c r="O82">
        <v>1332.02</v>
      </c>
      <c r="P82">
        <v>80</v>
      </c>
      <c r="R82" t="s">
        <v>15</v>
      </c>
      <c r="S82" t="s">
        <v>26</v>
      </c>
    </row>
    <row r="83" spans="1:19" x14ac:dyDescent="0.25">
      <c r="A83" s="1">
        <v>45808</v>
      </c>
      <c r="B83" t="s">
        <v>19</v>
      </c>
      <c r="C83" t="s">
        <v>107</v>
      </c>
      <c r="D83">
        <v>4506170</v>
      </c>
      <c r="E83" t="s">
        <v>108</v>
      </c>
      <c r="G83" t="s">
        <v>22</v>
      </c>
      <c r="H83" s="1">
        <v>44927</v>
      </c>
      <c r="I83" t="s">
        <v>109</v>
      </c>
      <c r="J83">
        <v>35877711</v>
      </c>
      <c r="K83">
        <v>80146957</v>
      </c>
      <c r="L83" t="s">
        <v>24</v>
      </c>
      <c r="M83" s="1">
        <v>45748</v>
      </c>
      <c r="N83" t="s">
        <v>28</v>
      </c>
      <c r="O83">
        <v>1791.75</v>
      </c>
      <c r="P83">
        <v>40</v>
      </c>
      <c r="R83" t="s">
        <v>15</v>
      </c>
      <c r="S83" t="s">
        <v>26</v>
      </c>
    </row>
    <row r="84" spans="1:19" x14ac:dyDescent="0.25">
      <c r="A84" s="1">
        <v>45808</v>
      </c>
      <c r="B84" t="s">
        <v>19</v>
      </c>
      <c r="C84" t="s">
        <v>20</v>
      </c>
      <c r="D84">
        <v>4874327</v>
      </c>
      <c r="E84" t="s">
        <v>21</v>
      </c>
      <c r="G84" t="s">
        <v>22</v>
      </c>
      <c r="H84" s="1">
        <v>45017</v>
      </c>
      <c r="I84" t="s">
        <v>110</v>
      </c>
      <c r="J84">
        <v>40579745</v>
      </c>
      <c r="K84">
        <v>80237541</v>
      </c>
      <c r="L84" t="s">
        <v>24</v>
      </c>
      <c r="M84" s="1">
        <v>45778</v>
      </c>
      <c r="N84" t="s">
        <v>25</v>
      </c>
      <c r="O84">
        <v>328.31</v>
      </c>
      <c r="P84">
        <v>20</v>
      </c>
      <c r="R84" t="s">
        <v>15</v>
      </c>
      <c r="S84" t="s">
        <v>26</v>
      </c>
    </row>
    <row r="85" spans="1:19" x14ac:dyDescent="0.25">
      <c r="A85" s="1">
        <v>45808</v>
      </c>
      <c r="B85" t="s">
        <v>19</v>
      </c>
      <c r="C85" t="s">
        <v>38</v>
      </c>
      <c r="D85">
        <v>4506169</v>
      </c>
      <c r="E85" t="s">
        <v>39</v>
      </c>
      <c r="G85" t="s">
        <v>22</v>
      </c>
      <c r="H85" s="1">
        <v>45383</v>
      </c>
      <c r="I85" t="s">
        <v>111</v>
      </c>
      <c r="J85">
        <v>44538147</v>
      </c>
      <c r="K85">
        <v>81362633</v>
      </c>
      <c r="L85" t="s">
        <v>24</v>
      </c>
      <c r="M85" s="1">
        <v>45778</v>
      </c>
      <c r="N85" t="s">
        <v>25</v>
      </c>
      <c r="O85">
        <v>576.62</v>
      </c>
      <c r="P85">
        <v>20</v>
      </c>
      <c r="R85" t="s">
        <v>15</v>
      </c>
      <c r="S85" t="s">
        <v>26</v>
      </c>
    </row>
    <row r="86" spans="1:19" x14ac:dyDescent="0.25">
      <c r="A86" s="1">
        <v>45808</v>
      </c>
      <c r="B86" t="s">
        <v>19</v>
      </c>
      <c r="C86" t="s">
        <v>38</v>
      </c>
      <c r="D86">
        <v>4506169</v>
      </c>
      <c r="E86" t="s">
        <v>39</v>
      </c>
      <c r="G86" t="s">
        <v>22</v>
      </c>
      <c r="H86" s="1">
        <v>44927</v>
      </c>
      <c r="I86" t="s">
        <v>112</v>
      </c>
      <c r="J86">
        <v>33779584</v>
      </c>
      <c r="K86">
        <v>80170105</v>
      </c>
      <c r="L86" t="s">
        <v>24</v>
      </c>
      <c r="M86" s="1">
        <v>45748</v>
      </c>
      <c r="N86" t="s">
        <v>28</v>
      </c>
      <c r="O86">
        <v>1163.42</v>
      </c>
      <c r="P86">
        <v>40</v>
      </c>
      <c r="R86" t="s">
        <v>15</v>
      </c>
      <c r="S86" t="s">
        <v>26</v>
      </c>
    </row>
    <row r="87" spans="1:19" x14ac:dyDescent="0.25">
      <c r="A87" s="1">
        <v>45808</v>
      </c>
      <c r="B87" t="s">
        <v>19</v>
      </c>
      <c r="C87" t="s">
        <v>29</v>
      </c>
      <c r="D87">
        <v>5485984</v>
      </c>
      <c r="E87" t="s">
        <v>30</v>
      </c>
      <c r="G87" t="s">
        <v>22</v>
      </c>
      <c r="H87" s="1">
        <v>45292</v>
      </c>
      <c r="I87" t="s">
        <v>113</v>
      </c>
      <c r="J87">
        <v>45811872</v>
      </c>
      <c r="K87">
        <v>80218122</v>
      </c>
      <c r="L87" t="s">
        <v>24</v>
      </c>
      <c r="M87" s="1">
        <v>45778</v>
      </c>
      <c r="N87" t="s">
        <v>25</v>
      </c>
      <c r="O87">
        <v>390.33</v>
      </c>
      <c r="P87">
        <v>20</v>
      </c>
      <c r="R87" t="s">
        <v>15</v>
      </c>
      <c r="S87" t="s">
        <v>26</v>
      </c>
    </row>
    <row r="88" spans="1:19" x14ac:dyDescent="0.25">
      <c r="A88" s="1">
        <v>45808</v>
      </c>
      <c r="B88" t="s">
        <v>19</v>
      </c>
      <c r="C88" t="s">
        <v>38</v>
      </c>
      <c r="D88">
        <v>4506169</v>
      </c>
      <c r="E88" t="s">
        <v>39</v>
      </c>
      <c r="G88" t="s">
        <v>22</v>
      </c>
      <c r="H88" s="1">
        <v>45566</v>
      </c>
      <c r="I88" t="s">
        <v>114</v>
      </c>
      <c r="J88">
        <v>48456240</v>
      </c>
      <c r="K88">
        <v>81073936</v>
      </c>
      <c r="L88" t="s">
        <v>24</v>
      </c>
      <c r="M88" s="1">
        <v>45748</v>
      </c>
      <c r="N88" t="s">
        <v>28</v>
      </c>
      <c r="O88">
        <v>624.22</v>
      </c>
      <c r="P88">
        <v>40</v>
      </c>
      <c r="R88" t="s">
        <v>15</v>
      </c>
      <c r="S88" t="s">
        <v>26</v>
      </c>
    </row>
    <row r="89" spans="1:19" x14ac:dyDescent="0.25">
      <c r="A89" s="1">
        <v>45808</v>
      </c>
      <c r="B89" t="s">
        <v>19</v>
      </c>
      <c r="C89" t="s">
        <v>38</v>
      </c>
      <c r="D89">
        <v>4506169</v>
      </c>
      <c r="E89" t="s">
        <v>39</v>
      </c>
      <c r="G89" t="s">
        <v>22</v>
      </c>
      <c r="H89" s="1">
        <v>44927</v>
      </c>
      <c r="I89" t="s">
        <v>115</v>
      </c>
      <c r="J89">
        <v>32312229</v>
      </c>
      <c r="K89">
        <v>80231176</v>
      </c>
      <c r="L89" t="s">
        <v>24</v>
      </c>
      <c r="M89" s="1">
        <v>45778</v>
      </c>
      <c r="N89" t="s">
        <v>25</v>
      </c>
      <c r="O89">
        <v>261.77</v>
      </c>
      <c r="P89">
        <v>20</v>
      </c>
      <c r="R89" t="s">
        <v>15</v>
      </c>
      <c r="S89" t="s">
        <v>26</v>
      </c>
    </row>
    <row r="90" spans="1:19" x14ac:dyDescent="0.25">
      <c r="A90" s="1">
        <v>45808</v>
      </c>
      <c r="B90" t="s">
        <v>19</v>
      </c>
      <c r="C90" t="s">
        <v>20</v>
      </c>
      <c r="D90">
        <v>4874327</v>
      </c>
      <c r="E90" t="s">
        <v>21</v>
      </c>
      <c r="G90" t="s">
        <v>22</v>
      </c>
      <c r="H90" s="1">
        <v>44927</v>
      </c>
      <c r="I90" t="s">
        <v>116</v>
      </c>
      <c r="J90">
        <v>41365559</v>
      </c>
      <c r="K90">
        <v>80054214</v>
      </c>
      <c r="L90" t="s">
        <v>24</v>
      </c>
      <c r="M90" s="1">
        <v>45778</v>
      </c>
      <c r="N90" t="s">
        <v>25</v>
      </c>
      <c r="O90">
        <v>778.17</v>
      </c>
      <c r="P90">
        <v>20</v>
      </c>
      <c r="R90" t="s">
        <v>15</v>
      </c>
      <c r="S90" t="s">
        <v>26</v>
      </c>
    </row>
    <row r="91" spans="1:19" x14ac:dyDescent="0.25">
      <c r="A91" s="1">
        <v>45808</v>
      </c>
      <c r="B91" t="s">
        <v>19</v>
      </c>
      <c r="C91" t="s">
        <v>29</v>
      </c>
      <c r="D91">
        <v>5485984</v>
      </c>
      <c r="E91" t="s">
        <v>30</v>
      </c>
      <c r="G91" t="s">
        <v>22</v>
      </c>
      <c r="H91" s="1">
        <v>45292</v>
      </c>
      <c r="I91" t="s">
        <v>117</v>
      </c>
      <c r="J91">
        <v>45811799</v>
      </c>
      <c r="K91">
        <v>80060626</v>
      </c>
      <c r="L91" t="s">
        <v>24</v>
      </c>
      <c r="M91" s="1">
        <v>45778</v>
      </c>
      <c r="N91" t="s">
        <v>25</v>
      </c>
      <c r="O91">
        <v>1110.57</v>
      </c>
      <c r="P91">
        <v>20</v>
      </c>
      <c r="R91" t="s">
        <v>15</v>
      </c>
      <c r="S91" t="s">
        <v>26</v>
      </c>
    </row>
    <row r="92" spans="1:19" x14ac:dyDescent="0.25">
      <c r="A92" s="1">
        <v>45808</v>
      </c>
      <c r="B92" t="s">
        <v>19</v>
      </c>
      <c r="C92" t="s">
        <v>38</v>
      </c>
      <c r="D92">
        <v>4506169</v>
      </c>
      <c r="E92" t="s">
        <v>39</v>
      </c>
      <c r="G92" t="s">
        <v>22</v>
      </c>
      <c r="H92" s="1">
        <v>44927</v>
      </c>
      <c r="I92" t="s">
        <v>118</v>
      </c>
      <c r="J92">
        <v>33260104</v>
      </c>
      <c r="K92">
        <v>80132440</v>
      </c>
      <c r="L92" t="s">
        <v>24</v>
      </c>
      <c r="M92" s="1">
        <v>45748</v>
      </c>
      <c r="N92" t="s">
        <v>28</v>
      </c>
      <c r="O92">
        <v>580.26</v>
      </c>
      <c r="P92">
        <v>40</v>
      </c>
      <c r="R92" t="s">
        <v>15</v>
      </c>
      <c r="S92" t="s">
        <v>26</v>
      </c>
    </row>
    <row r="93" spans="1:19" x14ac:dyDescent="0.25">
      <c r="A93" s="1">
        <v>45808</v>
      </c>
      <c r="B93" t="s">
        <v>19</v>
      </c>
      <c r="C93" t="s">
        <v>38</v>
      </c>
      <c r="D93">
        <v>4506169</v>
      </c>
      <c r="E93" t="s">
        <v>39</v>
      </c>
      <c r="G93" t="s">
        <v>22</v>
      </c>
      <c r="H93" s="1">
        <v>44927</v>
      </c>
      <c r="I93" t="s">
        <v>119</v>
      </c>
      <c r="J93">
        <v>33260382</v>
      </c>
      <c r="K93">
        <v>80212091</v>
      </c>
      <c r="L93" t="s">
        <v>24</v>
      </c>
      <c r="M93" s="1">
        <v>45778</v>
      </c>
      <c r="N93" t="s">
        <v>25</v>
      </c>
      <c r="O93">
        <v>939.81</v>
      </c>
      <c r="P93">
        <v>20</v>
      </c>
      <c r="R93" t="s">
        <v>15</v>
      </c>
      <c r="S93" t="s">
        <v>26</v>
      </c>
    </row>
    <row r="94" spans="1:19" x14ac:dyDescent="0.25">
      <c r="A94" s="1">
        <v>45808</v>
      </c>
      <c r="B94" t="s">
        <v>19</v>
      </c>
      <c r="C94" t="s">
        <v>20</v>
      </c>
      <c r="D94">
        <v>4874327</v>
      </c>
      <c r="E94" t="s">
        <v>21</v>
      </c>
      <c r="G94" t="s">
        <v>22</v>
      </c>
      <c r="H94" s="1">
        <v>45597</v>
      </c>
      <c r="I94" t="s">
        <v>120</v>
      </c>
      <c r="J94">
        <v>49439357</v>
      </c>
      <c r="K94">
        <v>81647179</v>
      </c>
      <c r="L94" t="s">
        <v>24</v>
      </c>
      <c r="M94" s="1">
        <v>45778</v>
      </c>
      <c r="N94" t="s">
        <v>25</v>
      </c>
      <c r="O94">
        <v>492.4</v>
      </c>
      <c r="P94">
        <v>20</v>
      </c>
      <c r="R94" t="s">
        <v>15</v>
      </c>
      <c r="S94" t="s">
        <v>26</v>
      </c>
    </row>
    <row r="95" spans="1:19" x14ac:dyDescent="0.25">
      <c r="A95" s="1">
        <v>45808</v>
      </c>
      <c r="B95" t="s">
        <v>19</v>
      </c>
      <c r="C95" t="s">
        <v>20</v>
      </c>
      <c r="D95">
        <v>4874327</v>
      </c>
      <c r="E95" t="s">
        <v>21</v>
      </c>
      <c r="G95" t="s">
        <v>22</v>
      </c>
      <c r="H95" s="1">
        <v>44927</v>
      </c>
      <c r="I95" t="s">
        <v>121</v>
      </c>
      <c r="J95">
        <v>40578546</v>
      </c>
      <c r="K95">
        <v>80090552</v>
      </c>
      <c r="L95" t="s">
        <v>24</v>
      </c>
      <c r="M95" s="1">
        <v>45778</v>
      </c>
      <c r="N95" t="s">
        <v>25</v>
      </c>
      <c r="O95">
        <v>1313.9</v>
      </c>
      <c r="P95">
        <v>20</v>
      </c>
      <c r="R95" t="s">
        <v>15</v>
      </c>
      <c r="S95" t="s">
        <v>26</v>
      </c>
    </row>
    <row r="96" spans="1:19" x14ac:dyDescent="0.25">
      <c r="A96" s="1">
        <v>45808</v>
      </c>
      <c r="B96" t="s">
        <v>19</v>
      </c>
      <c r="C96" t="s">
        <v>20</v>
      </c>
      <c r="D96">
        <v>4874327</v>
      </c>
      <c r="E96" t="s">
        <v>21</v>
      </c>
      <c r="G96" t="s">
        <v>22</v>
      </c>
      <c r="H96" s="1">
        <v>44927</v>
      </c>
      <c r="I96" t="s">
        <v>122</v>
      </c>
      <c r="J96">
        <v>41365491</v>
      </c>
      <c r="K96">
        <v>80036732</v>
      </c>
      <c r="L96" t="s">
        <v>24</v>
      </c>
      <c r="M96" s="1">
        <v>45778</v>
      </c>
      <c r="N96" t="s">
        <v>25</v>
      </c>
      <c r="O96">
        <v>600.33000000000004</v>
      </c>
      <c r="P96">
        <v>20</v>
      </c>
      <c r="R96" t="s">
        <v>15</v>
      </c>
      <c r="S96" t="s">
        <v>26</v>
      </c>
    </row>
    <row r="97" spans="1:19" x14ac:dyDescent="0.25">
      <c r="A97" s="1">
        <v>45808</v>
      </c>
      <c r="B97" t="s">
        <v>19</v>
      </c>
      <c r="C97" t="s">
        <v>38</v>
      </c>
      <c r="D97">
        <v>4506169</v>
      </c>
      <c r="E97" t="s">
        <v>39</v>
      </c>
      <c r="G97" t="s">
        <v>22</v>
      </c>
      <c r="H97" s="1">
        <v>44927</v>
      </c>
      <c r="I97" t="s">
        <v>123</v>
      </c>
      <c r="J97">
        <v>32311804</v>
      </c>
      <c r="K97">
        <v>80106204</v>
      </c>
      <c r="L97" t="s">
        <v>24</v>
      </c>
      <c r="M97" s="1">
        <v>45748</v>
      </c>
      <c r="N97" t="s">
        <v>28</v>
      </c>
      <c r="O97">
        <v>673.43</v>
      </c>
      <c r="P97">
        <v>40</v>
      </c>
      <c r="R97" t="s">
        <v>15</v>
      </c>
      <c r="S97" t="s">
        <v>26</v>
      </c>
    </row>
    <row r="98" spans="1:19" x14ac:dyDescent="0.25">
      <c r="A98" s="1">
        <v>45808</v>
      </c>
      <c r="B98" t="s">
        <v>19</v>
      </c>
      <c r="C98" t="s">
        <v>20</v>
      </c>
      <c r="D98">
        <v>4874327</v>
      </c>
      <c r="E98" t="s">
        <v>21</v>
      </c>
      <c r="G98" t="s">
        <v>22</v>
      </c>
      <c r="H98" s="1">
        <v>44986</v>
      </c>
      <c r="I98" t="s">
        <v>124</v>
      </c>
      <c r="J98">
        <v>41366176</v>
      </c>
      <c r="K98">
        <v>80215897</v>
      </c>
      <c r="L98" t="s">
        <v>24</v>
      </c>
      <c r="M98" s="1">
        <v>45778</v>
      </c>
      <c r="N98" t="s">
        <v>25</v>
      </c>
      <c r="O98">
        <v>905.63</v>
      </c>
      <c r="P98">
        <v>20</v>
      </c>
      <c r="R98" t="s">
        <v>15</v>
      </c>
      <c r="S98" t="s">
        <v>26</v>
      </c>
    </row>
    <row r="99" spans="1:19" x14ac:dyDescent="0.25">
      <c r="A99" s="1">
        <v>45808</v>
      </c>
      <c r="B99" t="s">
        <v>19</v>
      </c>
      <c r="C99" t="s">
        <v>38</v>
      </c>
      <c r="D99">
        <v>4506169</v>
      </c>
      <c r="E99" t="s">
        <v>39</v>
      </c>
      <c r="G99" t="s">
        <v>22</v>
      </c>
      <c r="H99" s="1">
        <v>45748</v>
      </c>
      <c r="I99" t="s">
        <v>125</v>
      </c>
      <c r="J99">
        <v>52490346</v>
      </c>
      <c r="K99">
        <v>81660664</v>
      </c>
      <c r="L99" t="s">
        <v>24</v>
      </c>
      <c r="M99" s="1">
        <v>45778</v>
      </c>
      <c r="N99" t="s">
        <v>25</v>
      </c>
      <c r="O99">
        <v>850.21</v>
      </c>
      <c r="P99">
        <v>20</v>
      </c>
      <c r="R99" t="s">
        <v>15</v>
      </c>
      <c r="S99" t="s">
        <v>26</v>
      </c>
    </row>
    <row r="100" spans="1:19" x14ac:dyDescent="0.25">
      <c r="A100" s="1">
        <v>45808</v>
      </c>
      <c r="B100" t="s">
        <v>19</v>
      </c>
      <c r="C100" t="s">
        <v>20</v>
      </c>
      <c r="D100">
        <v>4874327</v>
      </c>
      <c r="E100" t="s">
        <v>21</v>
      </c>
      <c r="G100" t="s">
        <v>22</v>
      </c>
      <c r="H100" s="1">
        <v>44927</v>
      </c>
      <c r="I100" t="s">
        <v>126</v>
      </c>
      <c r="J100">
        <v>41366035</v>
      </c>
      <c r="K100">
        <v>80178904</v>
      </c>
      <c r="L100" t="s">
        <v>24</v>
      </c>
      <c r="M100" s="1">
        <v>45748</v>
      </c>
      <c r="N100" t="s">
        <v>28</v>
      </c>
      <c r="O100">
        <v>1568.73</v>
      </c>
      <c r="P100">
        <v>80</v>
      </c>
      <c r="R100" t="s">
        <v>15</v>
      </c>
      <c r="S100" t="s">
        <v>26</v>
      </c>
    </row>
    <row r="101" spans="1:19" x14ac:dyDescent="0.25">
      <c r="A101" s="1">
        <v>45808</v>
      </c>
      <c r="B101" t="s">
        <v>19</v>
      </c>
      <c r="C101" t="s">
        <v>29</v>
      </c>
      <c r="D101">
        <v>5485984</v>
      </c>
      <c r="E101" t="s">
        <v>30</v>
      </c>
      <c r="G101" t="s">
        <v>22</v>
      </c>
      <c r="H101" s="1">
        <v>45323</v>
      </c>
      <c r="I101" t="s">
        <v>127</v>
      </c>
      <c r="J101">
        <v>45811836</v>
      </c>
      <c r="K101">
        <v>80150807</v>
      </c>
      <c r="L101" t="s">
        <v>24</v>
      </c>
      <c r="M101" s="1">
        <v>45778</v>
      </c>
      <c r="N101" t="s">
        <v>25</v>
      </c>
      <c r="O101">
        <v>1452.01</v>
      </c>
      <c r="P101">
        <v>40</v>
      </c>
      <c r="R101" t="s">
        <v>15</v>
      </c>
      <c r="S101" t="s">
        <v>26</v>
      </c>
    </row>
    <row r="102" spans="1:19" x14ac:dyDescent="0.25">
      <c r="A102" s="1">
        <v>45808</v>
      </c>
      <c r="B102" t="s">
        <v>19</v>
      </c>
      <c r="C102" t="s">
        <v>38</v>
      </c>
      <c r="D102">
        <v>4506169</v>
      </c>
      <c r="E102" t="s">
        <v>39</v>
      </c>
      <c r="G102" t="s">
        <v>22</v>
      </c>
      <c r="H102" s="1">
        <v>45200</v>
      </c>
      <c r="I102" t="s">
        <v>128</v>
      </c>
      <c r="J102">
        <v>39665204</v>
      </c>
      <c r="K102">
        <v>80079827</v>
      </c>
      <c r="L102" t="s">
        <v>24</v>
      </c>
      <c r="M102" s="1">
        <v>45748</v>
      </c>
      <c r="N102" t="s">
        <v>28</v>
      </c>
      <c r="O102">
        <v>691.89</v>
      </c>
      <c r="P102">
        <v>20</v>
      </c>
      <c r="R102" t="s">
        <v>15</v>
      </c>
      <c r="S102" t="s">
        <v>26</v>
      </c>
    </row>
    <row r="103" spans="1:19" x14ac:dyDescent="0.25">
      <c r="A103" s="1">
        <v>45808</v>
      </c>
      <c r="B103" t="s">
        <v>19</v>
      </c>
      <c r="C103" t="s">
        <v>38</v>
      </c>
      <c r="D103">
        <v>4506169</v>
      </c>
      <c r="E103" t="s">
        <v>39</v>
      </c>
      <c r="G103" t="s">
        <v>22</v>
      </c>
      <c r="H103" s="1">
        <v>45017</v>
      </c>
      <c r="I103" t="s">
        <v>129</v>
      </c>
      <c r="J103">
        <v>35877737</v>
      </c>
      <c r="K103">
        <v>80238009</v>
      </c>
      <c r="L103" t="s">
        <v>24</v>
      </c>
      <c r="M103" s="1">
        <v>45748</v>
      </c>
      <c r="N103" t="s">
        <v>28</v>
      </c>
      <c r="O103">
        <v>313.27</v>
      </c>
      <c r="P103">
        <v>20</v>
      </c>
      <c r="R103" t="s">
        <v>15</v>
      </c>
      <c r="S103" t="s">
        <v>26</v>
      </c>
    </row>
    <row r="104" spans="1:19" x14ac:dyDescent="0.25">
      <c r="A104" s="1">
        <v>45808</v>
      </c>
      <c r="B104" t="s">
        <v>19</v>
      </c>
      <c r="C104" t="s">
        <v>20</v>
      </c>
      <c r="D104">
        <v>4874327</v>
      </c>
      <c r="E104" t="s">
        <v>21</v>
      </c>
      <c r="G104" t="s">
        <v>22</v>
      </c>
      <c r="H104" s="1">
        <v>44927</v>
      </c>
      <c r="I104" t="s">
        <v>130</v>
      </c>
      <c r="J104">
        <v>41365796</v>
      </c>
      <c r="K104">
        <v>80107359</v>
      </c>
      <c r="L104" t="s">
        <v>24</v>
      </c>
      <c r="M104" s="1">
        <v>45748</v>
      </c>
      <c r="N104" t="s">
        <v>28</v>
      </c>
      <c r="O104">
        <v>456.72</v>
      </c>
      <c r="P104">
        <v>20</v>
      </c>
      <c r="R104" t="s">
        <v>15</v>
      </c>
      <c r="S104" t="s">
        <v>26</v>
      </c>
    </row>
    <row r="105" spans="1:19" x14ac:dyDescent="0.25">
      <c r="A105" s="1">
        <v>45808</v>
      </c>
      <c r="B105" t="s">
        <v>19</v>
      </c>
      <c r="C105" t="s">
        <v>20</v>
      </c>
      <c r="D105">
        <v>4874327</v>
      </c>
      <c r="E105" t="s">
        <v>21</v>
      </c>
      <c r="G105" t="s">
        <v>22</v>
      </c>
      <c r="H105" s="1">
        <v>44927</v>
      </c>
      <c r="I105" t="s">
        <v>131</v>
      </c>
      <c r="J105">
        <v>41365652</v>
      </c>
      <c r="K105">
        <v>80077692</v>
      </c>
      <c r="L105" t="s">
        <v>24</v>
      </c>
      <c r="M105" s="1">
        <v>45748</v>
      </c>
      <c r="N105" t="s">
        <v>28</v>
      </c>
      <c r="O105">
        <v>3949.47</v>
      </c>
      <c r="P105">
        <v>100</v>
      </c>
      <c r="R105" t="s">
        <v>15</v>
      </c>
      <c r="S105" t="s">
        <v>26</v>
      </c>
    </row>
    <row r="106" spans="1:19" x14ac:dyDescent="0.25">
      <c r="A106" s="1">
        <v>45808</v>
      </c>
      <c r="B106" t="s">
        <v>19</v>
      </c>
      <c r="C106" t="s">
        <v>20</v>
      </c>
      <c r="D106">
        <v>4874327</v>
      </c>
      <c r="E106" t="s">
        <v>21</v>
      </c>
      <c r="G106" t="s">
        <v>22</v>
      </c>
      <c r="H106" s="1">
        <v>44927</v>
      </c>
      <c r="I106" t="s">
        <v>131</v>
      </c>
      <c r="J106">
        <v>41365652</v>
      </c>
      <c r="K106">
        <v>80077692</v>
      </c>
      <c r="L106" t="s">
        <v>24</v>
      </c>
      <c r="M106" s="1">
        <v>45778</v>
      </c>
      <c r="N106" t="s">
        <v>25</v>
      </c>
      <c r="O106">
        <v>3949.47</v>
      </c>
      <c r="P106">
        <v>100</v>
      </c>
      <c r="R106" t="s">
        <v>15</v>
      </c>
      <c r="S106" t="s">
        <v>26</v>
      </c>
    </row>
    <row r="107" spans="1:19" x14ac:dyDescent="0.25">
      <c r="A107" s="1">
        <v>45808</v>
      </c>
      <c r="B107" t="s">
        <v>19</v>
      </c>
      <c r="C107" t="s">
        <v>29</v>
      </c>
      <c r="D107">
        <v>5485984</v>
      </c>
      <c r="E107" t="s">
        <v>30</v>
      </c>
      <c r="G107" t="s">
        <v>22</v>
      </c>
      <c r="H107" s="1">
        <v>45292</v>
      </c>
      <c r="I107" t="s">
        <v>132</v>
      </c>
      <c r="J107">
        <v>46374960</v>
      </c>
      <c r="K107">
        <v>80044410</v>
      </c>
      <c r="L107" t="s">
        <v>24</v>
      </c>
      <c r="M107" s="1">
        <v>45748</v>
      </c>
      <c r="N107" t="s">
        <v>28</v>
      </c>
      <c r="O107">
        <v>648.07000000000005</v>
      </c>
      <c r="P107">
        <v>20</v>
      </c>
      <c r="R107" t="s">
        <v>15</v>
      </c>
      <c r="S107" t="s">
        <v>26</v>
      </c>
    </row>
    <row r="108" spans="1:19" x14ac:dyDescent="0.25">
      <c r="A108" s="1">
        <v>45808</v>
      </c>
      <c r="B108" t="s">
        <v>19</v>
      </c>
      <c r="C108" t="s">
        <v>20</v>
      </c>
      <c r="D108">
        <v>4874327</v>
      </c>
      <c r="E108" t="s">
        <v>21</v>
      </c>
      <c r="G108" t="s">
        <v>22</v>
      </c>
      <c r="H108" s="1">
        <v>45017</v>
      </c>
      <c r="I108" t="s">
        <v>133</v>
      </c>
      <c r="J108">
        <v>41365369</v>
      </c>
      <c r="K108">
        <v>80008775</v>
      </c>
      <c r="L108" t="s">
        <v>24</v>
      </c>
      <c r="M108" s="1">
        <v>45748</v>
      </c>
      <c r="N108" t="s">
        <v>28</v>
      </c>
      <c r="O108">
        <v>763.44</v>
      </c>
      <c r="P108">
        <v>20</v>
      </c>
      <c r="R108" t="s">
        <v>15</v>
      </c>
      <c r="S108" t="s">
        <v>26</v>
      </c>
    </row>
    <row r="109" spans="1:19" x14ac:dyDescent="0.25">
      <c r="A109" s="1">
        <v>45808</v>
      </c>
      <c r="B109" t="s">
        <v>19</v>
      </c>
      <c r="C109" t="s">
        <v>38</v>
      </c>
      <c r="D109">
        <v>4506169</v>
      </c>
      <c r="E109" t="s">
        <v>39</v>
      </c>
      <c r="G109" t="s">
        <v>22</v>
      </c>
      <c r="H109" s="1">
        <v>45323</v>
      </c>
      <c r="I109" t="s">
        <v>134</v>
      </c>
      <c r="J109">
        <v>42833624</v>
      </c>
      <c r="K109">
        <v>81356020</v>
      </c>
      <c r="L109" t="s">
        <v>24</v>
      </c>
      <c r="M109" s="1">
        <v>45597</v>
      </c>
      <c r="N109" t="s">
        <v>59</v>
      </c>
      <c r="O109">
        <v>507.63</v>
      </c>
      <c r="P109">
        <v>20</v>
      </c>
      <c r="R109" t="s">
        <v>15</v>
      </c>
      <c r="S109" t="s">
        <v>26</v>
      </c>
    </row>
    <row r="110" spans="1:19" x14ac:dyDescent="0.25">
      <c r="A110" s="1">
        <v>45808</v>
      </c>
      <c r="B110" t="s">
        <v>19</v>
      </c>
      <c r="C110" t="s">
        <v>38</v>
      </c>
      <c r="D110">
        <v>4506169</v>
      </c>
      <c r="E110" t="s">
        <v>39</v>
      </c>
      <c r="G110" t="s">
        <v>22</v>
      </c>
      <c r="H110" s="1">
        <v>45323</v>
      </c>
      <c r="I110" t="s">
        <v>134</v>
      </c>
      <c r="J110">
        <v>42833624</v>
      </c>
      <c r="K110">
        <v>81356020</v>
      </c>
      <c r="L110" t="s">
        <v>24</v>
      </c>
      <c r="M110" s="1">
        <v>45778</v>
      </c>
      <c r="N110" t="s">
        <v>25</v>
      </c>
      <c r="O110">
        <v>600.33000000000004</v>
      </c>
      <c r="P110">
        <v>20</v>
      </c>
      <c r="R110" t="s">
        <v>15</v>
      </c>
      <c r="S110" t="s">
        <v>26</v>
      </c>
    </row>
    <row r="111" spans="1:19" x14ac:dyDescent="0.25">
      <c r="A111" s="1">
        <v>45808</v>
      </c>
      <c r="B111" t="s">
        <v>19</v>
      </c>
      <c r="C111" t="s">
        <v>38</v>
      </c>
      <c r="D111">
        <v>4506169</v>
      </c>
      <c r="E111" t="s">
        <v>39</v>
      </c>
      <c r="G111" t="s">
        <v>22</v>
      </c>
      <c r="H111" s="1">
        <v>45047</v>
      </c>
      <c r="I111" t="s">
        <v>135</v>
      </c>
      <c r="J111">
        <v>40579762</v>
      </c>
      <c r="K111">
        <v>80238886</v>
      </c>
      <c r="L111" t="s">
        <v>24</v>
      </c>
      <c r="M111" s="1">
        <v>45778</v>
      </c>
      <c r="N111" t="s">
        <v>25</v>
      </c>
      <c r="O111">
        <v>456.41</v>
      </c>
      <c r="P111">
        <v>40</v>
      </c>
      <c r="R111" t="s">
        <v>15</v>
      </c>
      <c r="S111" t="s">
        <v>26</v>
      </c>
    </row>
    <row r="112" spans="1:19" x14ac:dyDescent="0.25">
      <c r="A112" s="1">
        <v>45808</v>
      </c>
      <c r="B112" t="s">
        <v>19</v>
      </c>
      <c r="C112" t="s">
        <v>38</v>
      </c>
      <c r="D112">
        <v>4506169</v>
      </c>
      <c r="E112" t="s">
        <v>39</v>
      </c>
      <c r="G112" t="s">
        <v>22</v>
      </c>
      <c r="H112" s="1">
        <v>45078</v>
      </c>
      <c r="I112" t="s">
        <v>136</v>
      </c>
      <c r="J112">
        <v>41366295</v>
      </c>
      <c r="K112">
        <v>80239715</v>
      </c>
      <c r="L112" t="s">
        <v>24</v>
      </c>
      <c r="M112" s="1">
        <v>45778</v>
      </c>
      <c r="N112" t="s">
        <v>25</v>
      </c>
      <c r="O112">
        <v>1630.88</v>
      </c>
      <c r="P112">
        <v>40</v>
      </c>
      <c r="R112" t="s">
        <v>15</v>
      </c>
      <c r="S112" t="s">
        <v>26</v>
      </c>
    </row>
    <row r="113" spans="1:19" x14ac:dyDescent="0.25">
      <c r="A113" s="1">
        <v>45808</v>
      </c>
      <c r="B113" t="s">
        <v>19</v>
      </c>
      <c r="C113" t="s">
        <v>20</v>
      </c>
      <c r="D113">
        <v>4874327</v>
      </c>
      <c r="E113" t="s">
        <v>21</v>
      </c>
      <c r="G113" t="s">
        <v>22</v>
      </c>
      <c r="H113" s="1">
        <v>45231</v>
      </c>
      <c r="I113" t="s">
        <v>137</v>
      </c>
      <c r="J113">
        <v>40578845</v>
      </c>
      <c r="K113">
        <v>80129078</v>
      </c>
      <c r="L113" t="s">
        <v>24</v>
      </c>
      <c r="M113" s="1">
        <v>45778</v>
      </c>
      <c r="N113" t="s">
        <v>25</v>
      </c>
      <c r="O113">
        <v>765.63</v>
      </c>
      <c r="P113">
        <v>40</v>
      </c>
      <c r="R113" t="s">
        <v>15</v>
      </c>
      <c r="S113" t="s">
        <v>26</v>
      </c>
    </row>
    <row r="114" spans="1:19" x14ac:dyDescent="0.25">
      <c r="A114" s="1">
        <v>45808</v>
      </c>
      <c r="B114" t="s">
        <v>19</v>
      </c>
      <c r="C114" t="s">
        <v>20</v>
      </c>
      <c r="D114">
        <v>4874327</v>
      </c>
      <c r="E114" t="s">
        <v>21</v>
      </c>
      <c r="G114" t="s">
        <v>22</v>
      </c>
      <c r="H114" s="1">
        <v>45017</v>
      </c>
      <c r="I114" t="s">
        <v>138</v>
      </c>
      <c r="J114">
        <v>41365371</v>
      </c>
      <c r="K114">
        <v>80009022</v>
      </c>
      <c r="L114" t="s">
        <v>24</v>
      </c>
      <c r="M114" s="1">
        <v>45748</v>
      </c>
      <c r="N114" t="s">
        <v>28</v>
      </c>
      <c r="O114">
        <v>489.64</v>
      </c>
      <c r="P114">
        <v>20</v>
      </c>
      <c r="R114" t="s">
        <v>15</v>
      </c>
      <c r="S114" t="s">
        <v>26</v>
      </c>
    </row>
    <row r="115" spans="1:19" x14ac:dyDescent="0.25">
      <c r="A115" s="1">
        <v>45808</v>
      </c>
      <c r="B115" t="s">
        <v>19</v>
      </c>
      <c r="C115" t="s">
        <v>20</v>
      </c>
      <c r="D115">
        <v>4874327</v>
      </c>
      <c r="E115" t="s">
        <v>21</v>
      </c>
      <c r="G115" t="s">
        <v>22</v>
      </c>
      <c r="H115" s="1">
        <v>45383</v>
      </c>
      <c r="I115" t="s">
        <v>139</v>
      </c>
      <c r="J115">
        <v>44538226</v>
      </c>
      <c r="K115">
        <v>81362870</v>
      </c>
      <c r="L115" t="s">
        <v>24</v>
      </c>
      <c r="M115" s="1">
        <v>45778</v>
      </c>
      <c r="N115" t="s">
        <v>25</v>
      </c>
      <c r="O115">
        <v>395.35</v>
      </c>
      <c r="P115">
        <v>20</v>
      </c>
      <c r="R115" t="s">
        <v>15</v>
      </c>
      <c r="S115" t="s">
        <v>26</v>
      </c>
    </row>
    <row r="116" spans="1:19" x14ac:dyDescent="0.25">
      <c r="A116" s="1">
        <v>45808</v>
      </c>
      <c r="B116" t="s">
        <v>19</v>
      </c>
      <c r="C116" t="s">
        <v>20</v>
      </c>
      <c r="D116">
        <v>4874327</v>
      </c>
      <c r="E116" t="s">
        <v>21</v>
      </c>
      <c r="G116" t="s">
        <v>22</v>
      </c>
      <c r="H116" s="1">
        <v>45689</v>
      </c>
      <c r="I116" t="s">
        <v>140</v>
      </c>
      <c r="J116">
        <v>50932386</v>
      </c>
      <c r="K116">
        <v>80129460</v>
      </c>
      <c r="L116" t="s">
        <v>24</v>
      </c>
      <c r="M116" s="1">
        <v>45778</v>
      </c>
      <c r="N116" t="s">
        <v>25</v>
      </c>
      <c r="O116">
        <v>840.19</v>
      </c>
      <c r="P116">
        <v>40</v>
      </c>
      <c r="R116" t="s">
        <v>15</v>
      </c>
      <c r="S116" t="s">
        <v>26</v>
      </c>
    </row>
    <row r="117" spans="1:19" x14ac:dyDescent="0.25">
      <c r="A117" s="1">
        <v>45808</v>
      </c>
      <c r="B117" t="s">
        <v>19</v>
      </c>
      <c r="C117" t="s">
        <v>29</v>
      </c>
      <c r="D117">
        <v>5485984</v>
      </c>
      <c r="E117" t="s">
        <v>30</v>
      </c>
      <c r="G117" t="s">
        <v>22</v>
      </c>
      <c r="H117" s="1">
        <v>45292</v>
      </c>
      <c r="I117" t="s">
        <v>141</v>
      </c>
      <c r="J117">
        <v>46374996</v>
      </c>
      <c r="K117">
        <v>80164953</v>
      </c>
      <c r="L117" t="s">
        <v>24</v>
      </c>
      <c r="M117" s="1">
        <v>45778</v>
      </c>
      <c r="N117" t="s">
        <v>25</v>
      </c>
      <c r="O117">
        <v>418.16</v>
      </c>
      <c r="P117">
        <v>20</v>
      </c>
      <c r="R117" t="s">
        <v>15</v>
      </c>
      <c r="S117" t="s">
        <v>26</v>
      </c>
    </row>
    <row r="118" spans="1:19" x14ac:dyDescent="0.25">
      <c r="A118" s="1">
        <v>45808</v>
      </c>
      <c r="B118" t="s">
        <v>19</v>
      </c>
      <c r="C118" t="s">
        <v>38</v>
      </c>
      <c r="D118">
        <v>4506169</v>
      </c>
      <c r="E118" t="s">
        <v>39</v>
      </c>
      <c r="G118" t="s">
        <v>22</v>
      </c>
      <c r="H118" s="1">
        <v>44927</v>
      </c>
      <c r="I118" t="s">
        <v>142</v>
      </c>
      <c r="J118">
        <v>33260121</v>
      </c>
      <c r="K118">
        <v>80139970</v>
      </c>
      <c r="L118" t="s">
        <v>24</v>
      </c>
      <c r="M118" s="1">
        <v>45748</v>
      </c>
      <c r="N118" t="s">
        <v>28</v>
      </c>
      <c r="O118">
        <v>924.77</v>
      </c>
      <c r="P118">
        <v>20</v>
      </c>
      <c r="R118" t="s">
        <v>15</v>
      </c>
      <c r="S118" t="s">
        <v>26</v>
      </c>
    </row>
    <row r="119" spans="1:19" x14ac:dyDescent="0.25">
      <c r="A119" s="1">
        <v>45808</v>
      </c>
      <c r="B119" t="s">
        <v>19</v>
      </c>
      <c r="C119" t="s">
        <v>20</v>
      </c>
      <c r="D119">
        <v>4874327</v>
      </c>
      <c r="E119" t="s">
        <v>21</v>
      </c>
      <c r="G119" t="s">
        <v>22</v>
      </c>
      <c r="H119" s="1">
        <v>45444</v>
      </c>
      <c r="I119" t="s">
        <v>143</v>
      </c>
      <c r="J119">
        <v>46375038</v>
      </c>
      <c r="K119">
        <v>81255680</v>
      </c>
      <c r="L119" t="s">
        <v>24</v>
      </c>
      <c r="M119" s="1">
        <v>45778</v>
      </c>
      <c r="N119" t="s">
        <v>25</v>
      </c>
      <c r="O119">
        <v>1222.57</v>
      </c>
      <c r="P119">
        <v>80</v>
      </c>
      <c r="R119" t="s">
        <v>15</v>
      </c>
      <c r="S119" t="s">
        <v>26</v>
      </c>
    </row>
    <row r="120" spans="1:19" x14ac:dyDescent="0.25">
      <c r="A120" s="1">
        <v>45808</v>
      </c>
      <c r="B120" t="s">
        <v>19</v>
      </c>
      <c r="C120" t="s">
        <v>38</v>
      </c>
      <c r="D120">
        <v>4506169</v>
      </c>
      <c r="E120" t="s">
        <v>39</v>
      </c>
      <c r="G120" t="s">
        <v>22</v>
      </c>
      <c r="H120" s="1">
        <v>44927</v>
      </c>
      <c r="I120" t="s">
        <v>144</v>
      </c>
      <c r="J120">
        <v>32311713</v>
      </c>
      <c r="K120">
        <v>80079795</v>
      </c>
      <c r="L120" t="s">
        <v>24</v>
      </c>
      <c r="M120" s="1">
        <v>45748</v>
      </c>
      <c r="N120" t="s">
        <v>28</v>
      </c>
      <c r="O120">
        <v>411.28</v>
      </c>
      <c r="P120">
        <v>20</v>
      </c>
      <c r="R120" t="s">
        <v>15</v>
      </c>
      <c r="S120" t="s">
        <v>26</v>
      </c>
    </row>
    <row r="121" spans="1:19" x14ac:dyDescent="0.25">
      <c r="A121" s="1">
        <v>45808</v>
      </c>
      <c r="B121" t="s">
        <v>19</v>
      </c>
      <c r="C121" t="s">
        <v>38</v>
      </c>
      <c r="D121">
        <v>4506169</v>
      </c>
      <c r="E121" t="s">
        <v>39</v>
      </c>
      <c r="G121" t="s">
        <v>22</v>
      </c>
      <c r="H121" s="1">
        <v>44927</v>
      </c>
      <c r="I121" t="s">
        <v>145</v>
      </c>
      <c r="J121">
        <v>33260031</v>
      </c>
      <c r="K121">
        <v>80112941</v>
      </c>
      <c r="L121" t="s">
        <v>24</v>
      </c>
      <c r="M121" s="1">
        <v>45778</v>
      </c>
      <c r="N121" t="s">
        <v>25</v>
      </c>
      <c r="O121">
        <v>1187.98</v>
      </c>
      <c r="P121">
        <v>40</v>
      </c>
      <c r="R121" t="s">
        <v>15</v>
      </c>
      <c r="S121" t="s">
        <v>26</v>
      </c>
    </row>
    <row r="122" spans="1:19" x14ac:dyDescent="0.25">
      <c r="A122" s="1">
        <v>45808</v>
      </c>
      <c r="B122" t="s">
        <v>19</v>
      </c>
      <c r="C122" t="s">
        <v>38</v>
      </c>
      <c r="D122">
        <v>4506169</v>
      </c>
      <c r="E122" t="s">
        <v>39</v>
      </c>
      <c r="G122" t="s">
        <v>22</v>
      </c>
      <c r="H122" s="1">
        <v>44927</v>
      </c>
      <c r="I122" t="s">
        <v>146</v>
      </c>
      <c r="J122">
        <v>32311809</v>
      </c>
      <c r="K122">
        <v>80107268</v>
      </c>
      <c r="L122" t="s">
        <v>24</v>
      </c>
      <c r="M122" s="1">
        <v>45778</v>
      </c>
      <c r="N122" t="s">
        <v>25</v>
      </c>
      <c r="O122">
        <v>680.82</v>
      </c>
      <c r="P122">
        <v>20</v>
      </c>
      <c r="R122" t="s">
        <v>15</v>
      </c>
      <c r="S122" t="s">
        <v>26</v>
      </c>
    </row>
    <row r="123" spans="1:19" x14ac:dyDescent="0.25">
      <c r="A123" s="1">
        <v>45808</v>
      </c>
      <c r="B123" t="s">
        <v>19</v>
      </c>
      <c r="C123" t="s">
        <v>20</v>
      </c>
      <c r="D123">
        <v>4874327</v>
      </c>
      <c r="E123" t="s">
        <v>21</v>
      </c>
      <c r="G123" t="s">
        <v>22</v>
      </c>
      <c r="H123" s="1">
        <v>45170</v>
      </c>
      <c r="I123" t="s">
        <v>147</v>
      </c>
      <c r="J123">
        <v>39665132</v>
      </c>
      <c r="K123">
        <v>80042263</v>
      </c>
      <c r="L123" t="s">
        <v>24</v>
      </c>
      <c r="M123" s="1">
        <v>45778</v>
      </c>
      <c r="N123" t="s">
        <v>25</v>
      </c>
      <c r="O123">
        <v>418.16</v>
      </c>
      <c r="P123">
        <v>20</v>
      </c>
      <c r="R123" t="s">
        <v>15</v>
      </c>
      <c r="S123" t="s">
        <v>26</v>
      </c>
    </row>
    <row r="124" spans="1:19" x14ac:dyDescent="0.25">
      <c r="A124" s="1">
        <v>45808</v>
      </c>
      <c r="B124" t="s">
        <v>19</v>
      </c>
      <c r="C124" t="s">
        <v>20</v>
      </c>
      <c r="D124">
        <v>4874327</v>
      </c>
      <c r="E124" t="s">
        <v>21</v>
      </c>
      <c r="G124" t="s">
        <v>22</v>
      </c>
      <c r="H124" s="1">
        <v>44927</v>
      </c>
      <c r="I124" t="s">
        <v>148</v>
      </c>
      <c r="J124">
        <v>41365586</v>
      </c>
      <c r="K124">
        <v>80064418</v>
      </c>
      <c r="L124" t="s">
        <v>24</v>
      </c>
      <c r="M124" s="1">
        <v>45778</v>
      </c>
      <c r="N124" t="s">
        <v>25</v>
      </c>
      <c r="O124">
        <v>1258.27</v>
      </c>
      <c r="P124">
        <v>60</v>
      </c>
      <c r="R124" t="s">
        <v>15</v>
      </c>
      <c r="S124" t="s">
        <v>26</v>
      </c>
    </row>
    <row r="125" spans="1:19" x14ac:dyDescent="0.25">
      <c r="A125" s="1">
        <v>45808</v>
      </c>
      <c r="B125" t="s">
        <v>19</v>
      </c>
      <c r="C125" t="s">
        <v>20</v>
      </c>
      <c r="D125">
        <v>4874327</v>
      </c>
      <c r="E125" t="s">
        <v>21</v>
      </c>
      <c r="G125" t="s">
        <v>22</v>
      </c>
      <c r="H125" s="1">
        <v>45444</v>
      </c>
      <c r="I125" t="s">
        <v>149</v>
      </c>
      <c r="J125">
        <v>45142232</v>
      </c>
      <c r="K125">
        <v>81367148</v>
      </c>
      <c r="L125" t="s">
        <v>24</v>
      </c>
      <c r="M125" s="1">
        <v>45778</v>
      </c>
      <c r="N125" t="s">
        <v>25</v>
      </c>
      <c r="O125">
        <v>1052.3599999999999</v>
      </c>
      <c r="P125">
        <v>40</v>
      </c>
      <c r="R125" t="s">
        <v>15</v>
      </c>
      <c r="S125" t="s">
        <v>26</v>
      </c>
    </row>
    <row r="126" spans="1:19" x14ac:dyDescent="0.25">
      <c r="A126" s="1">
        <v>45808</v>
      </c>
      <c r="B126" t="s">
        <v>19</v>
      </c>
      <c r="C126" t="s">
        <v>38</v>
      </c>
      <c r="D126">
        <v>4506169</v>
      </c>
      <c r="E126" t="s">
        <v>39</v>
      </c>
      <c r="G126" t="s">
        <v>22</v>
      </c>
      <c r="H126" s="1">
        <v>44927</v>
      </c>
      <c r="I126" t="s">
        <v>150</v>
      </c>
      <c r="J126">
        <v>33259695</v>
      </c>
      <c r="K126">
        <v>80022625</v>
      </c>
      <c r="L126" t="s">
        <v>24</v>
      </c>
      <c r="M126" s="1">
        <v>45778</v>
      </c>
      <c r="N126" t="s">
        <v>25</v>
      </c>
      <c r="O126">
        <v>2374.23</v>
      </c>
      <c r="P126">
        <v>60</v>
      </c>
      <c r="R126" t="s">
        <v>15</v>
      </c>
      <c r="S126" t="s">
        <v>26</v>
      </c>
    </row>
    <row r="127" spans="1:19" x14ac:dyDescent="0.25">
      <c r="A127" s="1">
        <v>45808</v>
      </c>
      <c r="B127" t="s">
        <v>19</v>
      </c>
      <c r="C127" t="s">
        <v>38</v>
      </c>
      <c r="D127">
        <v>4506169</v>
      </c>
      <c r="E127" t="s">
        <v>39</v>
      </c>
      <c r="G127" t="s">
        <v>22</v>
      </c>
      <c r="H127" s="1">
        <v>44927</v>
      </c>
      <c r="I127" t="s">
        <v>150</v>
      </c>
      <c r="J127">
        <v>33259695</v>
      </c>
      <c r="K127">
        <v>80022625</v>
      </c>
      <c r="L127" t="s">
        <v>24</v>
      </c>
      <c r="M127" s="1">
        <v>45748</v>
      </c>
      <c r="N127" t="s">
        <v>28</v>
      </c>
      <c r="O127">
        <v>2374.23</v>
      </c>
      <c r="P127">
        <v>60</v>
      </c>
      <c r="R127" t="s">
        <v>15</v>
      </c>
      <c r="S127" t="s">
        <v>26</v>
      </c>
    </row>
    <row r="128" spans="1:19" x14ac:dyDescent="0.25">
      <c r="A128" s="1">
        <v>45808</v>
      </c>
      <c r="B128" t="s">
        <v>19</v>
      </c>
      <c r="C128" t="s">
        <v>38</v>
      </c>
      <c r="D128">
        <v>4506169</v>
      </c>
      <c r="E128" t="s">
        <v>39</v>
      </c>
      <c r="G128" t="s">
        <v>22</v>
      </c>
      <c r="H128" s="1">
        <v>45292</v>
      </c>
      <c r="I128" t="s">
        <v>151</v>
      </c>
      <c r="J128">
        <v>42832941</v>
      </c>
      <c r="K128">
        <v>81197443</v>
      </c>
      <c r="L128" t="s">
        <v>24</v>
      </c>
      <c r="M128" s="1">
        <v>45748</v>
      </c>
      <c r="N128" t="s">
        <v>28</v>
      </c>
      <c r="O128">
        <v>1128.6300000000001</v>
      </c>
      <c r="P128">
        <v>20</v>
      </c>
      <c r="R128" t="s">
        <v>15</v>
      </c>
      <c r="S128" t="s">
        <v>26</v>
      </c>
    </row>
    <row r="129" spans="1:19" x14ac:dyDescent="0.25">
      <c r="A129" s="1">
        <v>45808</v>
      </c>
      <c r="B129" t="s">
        <v>19</v>
      </c>
      <c r="C129" t="s">
        <v>20</v>
      </c>
      <c r="D129">
        <v>4874327</v>
      </c>
      <c r="E129" t="s">
        <v>21</v>
      </c>
      <c r="G129" t="s">
        <v>22</v>
      </c>
      <c r="H129" s="1">
        <v>45017</v>
      </c>
      <c r="I129" t="s">
        <v>152</v>
      </c>
      <c r="J129">
        <v>40579754</v>
      </c>
      <c r="K129">
        <v>80237791</v>
      </c>
      <c r="L129" t="s">
        <v>24</v>
      </c>
      <c r="M129" s="1">
        <v>45778</v>
      </c>
      <c r="N129" t="s">
        <v>25</v>
      </c>
      <c r="O129">
        <v>691.89</v>
      </c>
      <c r="P129">
        <v>20</v>
      </c>
      <c r="R129" t="s">
        <v>15</v>
      </c>
      <c r="S129" t="s">
        <v>26</v>
      </c>
    </row>
    <row r="130" spans="1:19" x14ac:dyDescent="0.25">
      <c r="A130" s="1">
        <v>45808</v>
      </c>
      <c r="B130" t="s">
        <v>19</v>
      </c>
      <c r="C130" t="s">
        <v>32</v>
      </c>
      <c r="D130">
        <v>5428208</v>
      </c>
      <c r="E130" t="s">
        <v>33</v>
      </c>
      <c r="G130" t="s">
        <v>22</v>
      </c>
      <c r="H130" s="1">
        <v>45658</v>
      </c>
      <c r="I130" t="s">
        <v>153</v>
      </c>
      <c r="J130">
        <v>50176248</v>
      </c>
      <c r="K130">
        <v>81373562</v>
      </c>
      <c r="L130" t="s">
        <v>24</v>
      </c>
      <c r="M130" s="1">
        <v>45778</v>
      </c>
      <c r="N130" t="s">
        <v>25</v>
      </c>
      <c r="O130">
        <v>335.05</v>
      </c>
      <c r="P130">
        <v>20</v>
      </c>
      <c r="R130" t="s">
        <v>15</v>
      </c>
      <c r="S130" t="s">
        <v>26</v>
      </c>
    </row>
    <row r="131" spans="1:19" x14ac:dyDescent="0.25">
      <c r="A131" s="1">
        <v>45808</v>
      </c>
      <c r="B131" t="s">
        <v>19</v>
      </c>
      <c r="C131" t="s">
        <v>38</v>
      </c>
      <c r="D131">
        <v>4506169</v>
      </c>
      <c r="E131" t="s">
        <v>39</v>
      </c>
      <c r="G131" t="s">
        <v>22</v>
      </c>
      <c r="H131" s="1">
        <v>44927</v>
      </c>
      <c r="I131" t="s">
        <v>154</v>
      </c>
      <c r="J131">
        <v>33259831</v>
      </c>
      <c r="K131">
        <v>80056878</v>
      </c>
      <c r="L131" t="s">
        <v>24</v>
      </c>
      <c r="M131" s="1">
        <v>45748</v>
      </c>
      <c r="N131" t="s">
        <v>28</v>
      </c>
      <c r="O131">
        <v>534.97</v>
      </c>
      <c r="P131">
        <v>20</v>
      </c>
      <c r="R131" t="s">
        <v>15</v>
      </c>
      <c r="S131" t="s">
        <v>26</v>
      </c>
    </row>
    <row r="132" spans="1:19" x14ac:dyDescent="0.25">
      <c r="A132" s="1">
        <v>45808</v>
      </c>
      <c r="B132" t="s">
        <v>19</v>
      </c>
      <c r="C132" t="s">
        <v>20</v>
      </c>
      <c r="D132">
        <v>4874327</v>
      </c>
      <c r="E132" t="s">
        <v>21</v>
      </c>
      <c r="G132" t="s">
        <v>22</v>
      </c>
      <c r="H132" s="1">
        <v>44927</v>
      </c>
      <c r="I132" t="s">
        <v>155</v>
      </c>
      <c r="J132">
        <v>41365459</v>
      </c>
      <c r="K132">
        <v>80028708</v>
      </c>
      <c r="L132" t="s">
        <v>24</v>
      </c>
      <c r="M132" s="1">
        <v>45748</v>
      </c>
      <c r="N132" t="s">
        <v>28</v>
      </c>
      <c r="O132">
        <v>1179.42</v>
      </c>
      <c r="P132">
        <v>40</v>
      </c>
      <c r="R132" t="s">
        <v>15</v>
      </c>
      <c r="S132" t="s">
        <v>26</v>
      </c>
    </row>
    <row r="133" spans="1:19" x14ac:dyDescent="0.25">
      <c r="A133" s="1">
        <v>45808</v>
      </c>
      <c r="B133" t="s">
        <v>19</v>
      </c>
      <c r="C133" t="s">
        <v>20</v>
      </c>
      <c r="D133">
        <v>4874327</v>
      </c>
      <c r="E133" t="s">
        <v>21</v>
      </c>
      <c r="G133" t="s">
        <v>22</v>
      </c>
      <c r="H133" s="1">
        <v>45566</v>
      </c>
      <c r="I133" t="s">
        <v>156</v>
      </c>
      <c r="J133">
        <v>47497777</v>
      </c>
      <c r="K133">
        <v>81377331</v>
      </c>
      <c r="L133" t="s">
        <v>24</v>
      </c>
      <c r="M133" s="1">
        <v>45778</v>
      </c>
      <c r="N133" t="s">
        <v>25</v>
      </c>
      <c r="O133">
        <v>313.27</v>
      </c>
      <c r="P133">
        <v>20</v>
      </c>
      <c r="R133" t="s">
        <v>15</v>
      </c>
      <c r="S133" t="s">
        <v>26</v>
      </c>
    </row>
    <row r="134" spans="1:19" x14ac:dyDescent="0.25">
      <c r="A134" s="1">
        <v>45808</v>
      </c>
      <c r="B134" t="s">
        <v>19</v>
      </c>
      <c r="C134" t="s">
        <v>29</v>
      </c>
      <c r="D134">
        <v>5485984</v>
      </c>
      <c r="E134" t="s">
        <v>30</v>
      </c>
      <c r="G134" t="s">
        <v>22</v>
      </c>
      <c r="H134" s="1">
        <v>45292</v>
      </c>
      <c r="I134" t="s">
        <v>157</v>
      </c>
      <c r="J134">
        <v>46375036</v>
      </c>
      <c r="K134">
        <v>80238343</v>
      </c>
      <c r="L134" t="s">
        <v>24</v>
      </c>
      <c r="M134" s="1">
        <v>45658</v>
      </c>
      <c r="N134" t="s">
        <v>76</v>
      </c>
      <c r="O134">
        <v>1027.1600000000001</v>
      </c>
      <c r="P134">
        <v>60</v>
      </c>
      <c r="R134" t="s">
        <v>15</v>
      </c>
      <c r="S134" t="s">
        <v>26</v>
      </c>
    </row>
    <row r="135" spans="1:19" x14ac:dyDescent="0.25">
      <c r="A135" s="1">
        <v>45808</v>
      </c>
      <c r="B135" t="s">
        <v>19</v>
      </c>
      <c r="C135" t="s">
        <v>29</v>
      </c>
      <c r="D135">
        <v>5485984</v>
      </c>
      <c r="E135" t="s">
        <v>30</v>
      </c>
      <c r="G135" t="s">
        <v>22</v>
      </c>
      <c r="H135" s="1">
        <v>45292</v>
      </c>
      <c r="I135" t="s">
        <v>157</v>
      </c>
      <c r="J135">
        <v>46375036</v>
      </c>
      <c r="K135">
        <v>80238343</v>
      </c>
      <c r="L135" t="s">
        <v>24</v>
      </c>
      <c r="M135" s="1">
        <v>45778</v>
      </c>
      <c r="N135" t="s">
        <v>25</v>
      </c>
      <c r="O135">
        <v>1027.8399999999999</v>
      </c>
      <c r="P135">
        <v>60</v>
      </c>
      <c r="R135" t="s">
        <v>15</v>
      </c>
      <c r="S135" t="s">
        <v>26</v>
      </c>
    </row>
    <row r="136" spans="1:19" x14ac:dyDescent="0.25">
      <c r="A136" s="1">
        <v>45808</v>
      </c>
      <c r="B136" t="s">
        <v>19</v>
      </c>
      <c r="C136" t="s">
        <v>38</v>
      </c>
      <c r="D136">
        <v>4506169</v>
      </c>
      <c r="E136" t="s">
        <v>39</v>
      </c>
      <c r="G136" t="s">
        <v>22</v>
      </c>
      <c r="H136" s="1">
        <v>44927</v>
      </c>
      <c r="I136" t="s">
        <v>158</v>
      </c>
      <c r="J136">
        <v>32311593</v>
      </c>
      <c r="K136">
        <v>80035272</v>
      </c>
      <c r="L136" t="s">
        <v>24</v>
      </c>
      <c r="M136" s="1">
        <v>45778</v>
      </c>
      <c r="N136" t="s">
        <v>25</v>
      </c>
      <c r="O136">
        <v>981.6</v>
      </c>
      <c r="P136">
        <v>20</v>
      </c>
      <c r="R136" t="s">
        <v>15</v>
      </c>
      <c r="S136" t="s">
        <v>26</v>
      </c>
    </row>
    <row r="137" spans="1:19" x14ac:dyDescent="0.25">
      <c r="A137" s="1">
        <v>45808</v>
      </c>
      <c r="B137" t="s">
        <v>19</v>
      </c>
      <c r="C137" t="s">
        <v>38</v>
      </c>
      <c r="D137">
        <v>4506169</v>
      </c>
      <c r="E137" t="s">
        <v>39</v>
      </c>
      <c r="G137" t="s">
        <v>22</v>
      </c>
      <c r="H137" s="1">
        <v>45444</v>
      </c>
      <c r="I137" t="s">
        <v>159</v>
      </c>
      <c r="J137">
        <v>45142273</v>
      </c>
      <c r="K137">
        <v>81367911</v>
      </c>
      <c r="L137" t="s">
        <v>24</v>
      </c>
      <c r="M137" s="1">
        <v>45778</v>
      </c>
      <c r="N137" t="s">
        <v>25</v>
      </c>
      <c r="O137">
        <v>965.89</v>
      </c>
      <c r="P137">
        <v>20</v>
      </c>
      <c r="R137" t="s">
        <v>15</v>
      </c>
      <c r="S137" t="s">
        <v>26</v>
      </c>
    </row>
    <row r="138" spans="1:19" x14ac:dyDescent="0.25">
      <c r="A138" s="1">
        <v>45808</v>
      </c>
      <c r="B138" t="s">
        <v>19</v>
      </c>
      <c r="C138" t="s">
        <v>38</v>
      </c>
      <c r="D138">
        <v>4506169</v>
      </c>
      <c r="E138" t="s">
        <v>39</v>
      </c>
      <c r="G138" t="s">
        <v>22</v>
      </c>
      <c r="H138" s="1">
        <v>44958</v>
      </c>
      <c r="I138" t="s">
        <v>160</v>
      </c>
      <c r="J138">
        <v>33259717</v>
      </c>
      <c r="K138">
        <v>80029296</v>
      </c>
      <c r="L138" t="s">
        <v>24</v>
      </c>
      <c r="M138" s="1">
        <v>45778</v>
      </c>
      <c r="N138" t="s">
        <v>25</v>
      </c>
      <c r="O138">
        <v>418.16</v>
      </c>
      <c r="P138">
        <v>20</v>
      </c>
      <c r="R138" t="s">
        <v>15</v>
      </c>
      <c r="S138" t="s">
        <v>26</v>
      </c>
    </row>
    <row r="139" spans="1:19" x14ac:dyDescent="0.25">
      <c r="A139" s="1">
        <v>45808</v>
      </c>
      <c r="B139" t="s">
        <v>19</v>
      </c>
      <c r="C139" t="s">
        <v>38</v>
      </c>
      <c r="D139">
        <v>4506169</v>
      </c>
      <c r="E139" t="s">
        <v>39</v>
      </c>
      <c r="G139" t="s">
        <v>22</v>
      </c>
      <c r="H139" s="1">
        <v>45292</v>
      </c>
      <c r="I139" t="s">
        <v>161</v>
      </c>
      <c r="J139">
        <v>42833454</v>
      </c>
      <c r="K139">
        <v>81351744</v>
      </c>
      <c r="L139" t="s">
        <v>24</v>
      </c>
      <c r="M139" s="1">
        <v>45748</v>
      </c>
      <c r="N139" t="s">
        <v>28</v>
      </c>
      <c r="O139">
        <v>1089.46</v>
      </c>
      <c r="P139">
        <v>40</v>
      </c>
      <c r="R139" t="s">
        <v>15</v>
      </c>
      <c r="S139" t="s">
        <v>26</v>
      </c>
    </row>
    <row r="140" spans="1:19" x14ac:dyDescent="0.25">
      <c r="A140" s="1">
        <v>45808</v>
      </c>
      <c r="B140" t="s">
        <v>19</v>
      </c>
      <c r="C140" t="s">
        <v>38</v>
      </c>
      <c r="D140">
        <v>4506169</v>
      </c>
      <c r="E140" t="s">
        <v>39</v>
      </c>
      <c r="G140" t="s">
        <v>22</v>
      </c>
      <c r="H140" s="1">
        <v>44927</v>
      </c>
      <c r="I140" t="s">
        <v>162</v>
      </c>
      <c r="J140">
        <v>32311744</v>
      </c>
      <c r="K140">
        <v>80089709</v>
      </c>
      <c r="L140" t="s">
        <v>24</v>
      </c>
      <c r="M140" s="1">
        <v>45778</v>
      </c>
      <c r="N140" t="s">
        <v>25</v>
      </c>
      <c r="O140">
        <v>729.66</v>
      </c>
      <c r="P140">
        <v>20</v>
      </c>
      <c r="R140" t="s">
        <v>15</v>
      </c>
      <c r="S140" t="s">
        <v>26</v>
      </c>
    </row>
    <row r="141" spans="1:19" x14ac:dyDescent="0.25">
      <c r="A141" s="1">
        <v>45808</v>
      </c>
      <c r="B141" t="s">
        <v>19</v>
      </c>
      <c r="C141" t="s">
        <v>29</v>
      </c>
      <c r="D141">
        <v>5485984</v>
      </c>
      <c r="E141" t="s">
        <v>30</v>
      </c>
      <c r="G141" t="s">
        <v>22</v>
      </c>
      <c r="H141" s="1">
        <v>45292</v>
      </c>
      <c r="I141" t="s">
        <v>163</v>
      </c>
      <c r="J141">
        <v>46375001</v>
      </c>
      <c r="K141">
        <v>80143555</v>
      </c>
      <c r="L141" t="s">
        <v>24</v>
      </c>
      <c r="M141" s="1">
        <v>45748</v>
      </c>
      <c r="N141" t="s">
        <v>28</v>
      </c>
      <c r="O141">
        <v>1901.03</v>
      </c>
      <c r="P141">
        <v>40</v>
      </c>
      <c r="R141" t="s">
        <v>15</v>
      </c>
      <c r="S141" t="s">
        <v>26</v>
      </c>
    </row>
    <row r="142" spans="1:19" x14ac:dyDescent="0.25">
      <c r="A142" s="1">
        <v>45808</v>
      </c>
      <c r="B142" t="s">
        <v>19</v>
      </c>
      <c r="C142" t="s">
        <v>20</v>
      </c>
      <c r="D142">
        <v>4874327</v>
      </c>
      <c r="E142" t="s">
        <v>21</v>
      </c>
      <c r="G142" t="s">
        <v>22</v>
      </c>
      <c r="H142" s="1">
        <v>44927</v>
      </c>
      <c r="I142" t="s">
        <v>164</v>
      </c>
      <c r="J142">
        <v>40578768</v>
      </c>
      <c r="K142">
        <v>80113191</v>
      </c>
      <c r="L142" t="s">
        <v>24</v>
      </c>
      <c r="M142" s="1">
        <v>45778</v>
      </c>
      <c r="N142" t="s">
        <v>25</v>
      </c>
      <c r="O142">
        <v>300.27999999999997</v>
      </c>
      <c r="P142">
        <v>20</v>
      </c>
      <c r="R142" t="s">
        <v>15</v>
      </c>
      <c r="S142" t="s">
        <v>26</v>
      </c>
    </row>
    <row r="143" spans="1:19" x14ac:dyDescent="0.25">
      <c r="A143" s="1">
        <v>45808</v>
      </c>
      <c r="B143" t="s">
        <v>19</v>
      </c>
      <c r="C143" t="s">
        <v>38</v>
      </c>
      <c r="D143">
        <v>4506169</v>
      </c>
      <c r="E143" t="s">
        <v>39</v>
      </c>
      <c r="G143" t="s">
        <v>22</v>
      </c>
      <c r="H143" s="1">
        <v>44927</v>
      </c>
      <c r="I143" t="s">
        <v>165</v>
      </c>
      <c r="J143">
        <v>33260368</v>
      </c>
      <c r="K143">
        <v>80209714</v>
      </c>
      <c r="L143" t="s">
        <v>24</v>
      </c>
      <c r="M143" s="1">
        <v>45778</v>
      </c>
      <c r="N143" t="s">
        <v>25</v>
      </c>
      <c r="O143">
        <v>328.83</v>
      </c>
      <c r="P143">
        <v>20</v>
      </c>
      <c r="R143" t="s">
        <v>15</v>
      </c>
      <c r="S143" t="s">
        <v>26</v>
      </c>
    </row>
    <row r="144" spans="1:19" x14ac:dyDescent="0.25">
      <c r="A144" s="1">
        <v>45808</v>
      </c>
      <c r="B144" t="s">
        <v>19</v>
      </c>
      <c r="C144" t="s">
        <v>38</v>
      </c>
      <c r="D144">
        <v>4506169</v>
      </c>
      <c r="E144" t="s">
        <v>39</v>
      </c>
      <c r="G144" t="s">
        <v>22</v>
      </c>
      <c r="H144" s="1">
        <v>42370</v>
      </c>
      <c r="I144" t="s">
        <v>166</v>
      </c>
      <c r="J144">
        <v>3230470</v>
      </c>
      <c r="K144">
        <v>80013616</v>
      </c>
      <c r="L144" t="s">
        <v>24</v>
      </c>
      <c r="M144" s="1">
        <v>45778</v>
      </c>
      <c r="N144" t="s">
        <v>25</v>
      </c>
      <c r="O144">
        <v>2314.06</v>
      </c>
      <c r="P144">
        <v>60</v>
      </c>
      <c r="R144" t="s">
        <v>15</v>
      </c>
      <c r="S144" t="s">
        <v>26</v>
      </c>
    </row>
    <row r="145" spans="1:19" x14ac:dyDescent="0.25">
      <c r="A145" s="1">
        <v>45808</v>
      </c>
      <c r="B145" t="s">
        <v>19</v>
      </c>
      <c r="C145" t="s">
        <v>20</v>
      </c>
      <c r="D145">
        <v>4874327</v>
      </c>
      <c r="E145" t="s">
        <v>21</v>
      </c>
      <c r="G145" t="s">
        <v>22</v>
      </c>
      <c r="H145" s="1">
        <v>44958</v>
      </c>
      <c r="I145" t="s">
        <v>167</v>
      </c>
      <c r="J145">
        <v>40579730</v>
      </c>
      <c r="K145">
        <v>80234007</v>
      </c>
      <c r="L145" t="s">
        <v>24</v>
      </c>
      <c r="M145" s="1">
        <v>45778</v>
      </c>
      <c r="N145" t="s">
        <v>25</v>
      </c>
      <c r="O145">
        <v>543.78</v>
      </c>
      <c r="P145">
        <v>40</v>
      </c>
      <c r="R145" t="s">
        <v>15</v>
      </c>
      <c r="S145" t="s">
        <v>26</v>
      </c>
    </row>
    <row r="146" spans="1:19" x14ac:dyDescent="0.25">
      <c r="A146" s="1">
        <v>45808</v>
      </c>
      <c r="B146" t="s">
        <v>19</v>
      </c>
      <c r="C146" t="s">
        <v>20</v>
      </c>
      <c r="D146">
        <v>4874327</v>
      </c>
      <c r="E146" t="s">
        <v>21</v>
      </c>
      <c r="G146" t="s">
        <v>22</v>
      </c>
      <c r="H146" s="1">
        <v>44958</v>
      </c>
      <c r="I146" t="s">
        <v>168</v>
      </c>
      <c r="J146">
        <v>40579733</v>
      </c>
      <c r="K146">
        <v>80235195</v>
      </c>
      <c r="L146" t="s">
        <v>24</v>
      </c>
      <c r="M146" s="1">
        <v>45748</v>
      </c>
      <c r="N146" t="s">
        <v>28</v>
      </c>
      <c r="O146">
        <v>900.02</v>
      </c>
      <c r="P146">
        <v>20</v>
      </c>
      <c r="R146" t="s">
        <v>15</v>
      </c>
      <c r="S146" t="s">
        <v>26</v>
      </c>
    </row>
    <row r="147" spans="1:19" x14ac:dyDescent="0.25">
      <c r="A147" s="1">
        <v>45808</v>
      </c>
      <c r="B147" t="s">
        <v>19</v>
      </c>
      <c r="C147" t="s">
        <v>29</v>
      </c>
      <c r="D147">
        <v>5485984</v>
      </c>
      <c r="E147" t="s">
        <v>30</v>
      </c>
      <c r="G147" t="s">
        <v>22</v>
      </c>
      <c r="H147" s="1">
        <v>45658</v>
      </c>
      <c r="I147" t="s">
        <v>169</v>
      </c>
      <c r="J147">
        <v>51841626</v>
      </c>
      <c r="K147">
        <v>81370462</v>
      </c>
      <c r="L147" t="s">
        <v>24</v>
      </c>
      <c r="M147" s="1">
        <v>45778</v>
      </c>
      <c r="N147" t="s">
        <v>25</v>
      </c>
      <c r="O147">
        <v>705.62</v>
      </c>
      <c r="P147">
        <v>20</v>
      </c>
      <c r="R147" t="s">
        <v>15</v>
      </c>
      <c r="S147" t="s">
        <v>26</v>
      </c>
    </row>
    <row r="148" spans="1:19" x14ac:dyDescent="0.25">
      <c r="A148" s="1">
        <v>45808</v>
      </c>
      <c r="B148" t="s">
        <v>19</v>
      </c>
      <c r="C148" t="s">
        <v>20</v>
      </c>
      <c r="D148">
        <v>4874327</v>
      </c>
      <c r="E148" t="s">
        <v>21</v>
      </c>
      <c r="G148" t="s">
        <v>22</v>
      </c>
      <c r="H148" s="1">
        <v>44927</v>
      </c>
      <c r="I148" t="s">
        <v>170</v>
      </c>
      <c r="J148">
        <v>41365754</v>
      </c>
      <c r="K148">
        <v>80096856</v>
      </c>
      <c r="L148" t="s">
        <v>24</v>
      </c>
      <c r="M148" s="1">
        <v>45748</v>
      </c>
      <c r="N148" t="s">
        <v>28</v>
      </c>
      <c r="O148">
        <v>695.23</v>
      </c>
      <c r="P148">
        <v>20</v>
      </c>
      <c r="R148" t="s">
        <v>15</v>
      </c>
      <c r="S148" t="s">
        <v>26</v>
      </c>
    </row>
    <row r="149" spans="1:19" x14ac:dyDescent="0.25">
      <c r="A149" s="1">
        <v>45808</v>
      </c>
      <c r="B149" t="s">
        <v>19</v>
      </c>
      <c r="C149" t="s">
        <v>20</v>
      </c>
      <c r="D149">
        <v>4874327</v>
      </c>
      <c r="E149" t="s">
        <v>21</v>
      </c>
      <c r="G149" t="s">
        <v>22</v>
      </c>
      <c r="H149" s="1">
        <v>45292</v>
      </c>
      <c r="I149" t="s">
        <v>171</v>
      </c>
      <c r="J149">
        <v>42832536</v>
      </c>
      <c r="K149">
        <v>80050551</v>
      </c>
      <c r="L149" t="s">
        <v>24</v>
      </c>
      <c r="M149" s="1">
        <v>45778</v>
      </c>
      <c r="N149" t="s">
        <v>25</v>
      </c>
      <c r="O149">
        <v>968.2</v>
      </c>
      <c r="P149">
        <v>20</v>
      </c>
      <c r="R149" t="s">
        <v>15</v>
      </c>
      <c r="S149" t="s">
        <v>26</v>
      </c>
    </row>
    <row r="150" spans="1:19" x14ac:dyDescent="0.25">
      <c r="A150" s="1">
        <v>45808</v>
      </c>
      <c r="B150" t="s">
        <v>19</v>
      </c>
      <c r="C150" t="s">
        <v>29</v>
      </c>
      <c r="D150">
        <v>5485984</v>
      </c>
      <c r="E150" t="s">
        <v>30</v>
      </c>
      <c r="G150" t="s">
        <v>22</v>
      </c>
      <c r="H150" s="1">
        <v>45292</v>
      </c>
      <c r="I150" t="s">
        <v>172</v>
      </c>
      <c r="J150">
        <v>45811798</v>
      </c>
      <c r="K150">
        <v>80065640</v>
      </c>
      <c r="L150" t="s">
        <v>24</v>
      </c>
      <c r="M150" s="1">
        <v>45778</v>
      </c>
      <c r="N150" t="s">
        <v>25</v>
      </c>
      <c r="O150">
        <v>276.29000000000002</v>
      </c>
      <c r="P150">
        <v>20</v>
      </c>
      <c r="R150" t="s">
        <v>15</v>
      </c>
      <c r="S150" t="s">
        <v>26</v>
      </c>
    </row>
    <row r="151" spans="1:19" x14ac:dyDescent="0.25">
      <c r="A151" s="1">
        <v>45808</v>
      </c>
      <c r="B151" t="s">
        <v>19</v>
      </c>
      <c r="C151" t="s">
        <v>29</v>
      </c>
      <c r="D151">
        <v>5485984</v>
      </c>
      <c r="E151" t="s">
        <v>30</v>
      </c>
      <c r="G151" t="s">
        <v>22</v>
      </c>
      <c r="H151" s="1">
        <v>45536</v>
      </c>
      <c r="I151" t="s">
        <v>173</v>
      </c>
      <c r="J151">
        <v>46844977</v>
      </c>
      <c r="K151">
        <v>80108661</v>
      </c>
      <c r="L151" t="s">
        <v>24</v>
      </c>
      <c r="M151" s="1">
        <v>45748</v>
      </c>
      <c r="N151" t="s">
        <v>28</v>
      </c>
      <c r="O151">
        <v>625.92999999999995</v>
      </c>
      <c r="P151">
        <v>20</v>
      </c>
      <c r="R151" t="s">
        <v>15</v>
      </c>
      <c r="S151" t="s">
        <v>26</v>
      </c>
    </row>
    <row r="152" spans="1:19" x14ac:dyDescent="0.25">
      <c r="A152" s="1">
        <v>45808</v>
      </c>
      <c r="B152" t="s">
        <v>19</v>
      </c>
      <c r="C152" t="s">
        <v>29</v>
      </c>
      <c r="D152">
        <v>5485984</v>
      </c>
      <c r="E152" t="s">
        <v>30</v>
      </c>
      <c r="G152" t="s">
        <v>22</v>
      </c>
      <c r="H152" s="1">
        <v>45536</v>
      </c>
      <c r="I152" t="s">
        <v>173</v>
      </c>
      <c r="J152">
        <v>46844977</v>
      </c>
      <c r="K152">
        <v>80108661</v>
      </c>
      <c r="L152" t="s">
        <v>24</v>
      </c>
      <c r="M152" s="1">
        <v>45778</v>
      </c>
      <c r="N152" t="s">
        <v>25</v>
      </c>
      <c r="O152">
        <v>625.92999999999995</v>
      </c>
      <c r="P152">
        <v>20</v>
      </c>
      <c r="R152" t="s">
        <v>15</v>
      </c>
      <c r="S152" t="s">
        <v>26</v>
      </c>
    </row>
    <row r="153" spans="1:19" x14ac:dyDescent="0.25">
      <c r="A153" s="1">
        <v>45808</v>
      </c>
      <c r="B153" t="s">
        <v>19</v>
      </c>
      <c r="C153" t="s">
        <v>20</v>
      </c>
      <c r="D153">
        <v>4874327</v>
      </c>
      <c r="E153" t="s">
        <v>21</v>
      </c>
      <c r="G153" t="s">
        <v>22</v>
      </c>
      <c r="H153" s="1">
        <v>44927</v>
      </c>
      <c r="I153" t="s">
        <v>174</v>
      </c>
      <c r="J153">
        <v>40578320</v>
      </c>
      <c r="K153">
        <v>80053722</v>
      </c>
      <c r="L153" t="s">
        <v>24</v>
      </c>
      <c r="M153" s="1">
        <v>45778</v>
      </c>
      <c r="N153" t="s">
        <v>25</v>
      </c>
      <c r="O153">
        <v>933.13</v>
      </c>
      <c r="P153">
        <v>80</v>
      </c>
      <c r="R153" t="s">
        <v>15</v>
      </c>
      <c r="S153" t="s">
        <v>26</v>
      </c>
    </row>
    <row r="154" spans="1:19" x14ac:dyDescent="0.25">
      <c r="A154" s="1">
        <v>45808</v>
      </c>
      <c r="B154" t="s">
        <v>19</v>
      </c>
      <c r="C154" t="s">
        <v>20</v>
      </c>
      <c r="D154">
        <v>4874327</v>
      </c>
      <c r="E154" t="s">
        <v>21</v>
      </c>
      <c r="G154" t="s">
        <v>22</v>
      </c>
      <c r="H154" s="1">
        <v>45200</v>
      </c>
      <c r="I154" t="s">
        <v>175</v>
      </c>
      <c r="J154">
        <v>39665831</v>
      </c>
      <c r="K154">
        <v>80245881</v>
      </c>
      <c r="L154" t="s">
        <v>24</v>
      </c>
      <c r="M154" s="1">
        <v>45778</v>
      </c>
      <c r="N154" t="s">
        <v>25</v>
      </c>
      <c r="O154">
        <v>1999.64</v>
      </c>
      <c r="P154">
        <v>80</v>
      </c>
      <c r="R154" t="s">
        <v>15</v>
      </c>
      <c r="S154" t="s">
        <v>26</v>
      </c>
    </row>
    <row r="155" spans="1:19" x14ac:dyDescent="0.25">
      <c r="A155" s="1">
        <v>45808</v>
      </c>
      <c r="B155" t="s">
        <v>19</v>
      </c>
      <c r="C155" t="s">
        <v>20</v>
      </c>
      <c r="D155">
        <v>4874327</v>
      </c>
      <c r="E155" t="s">
        <v>21</v>
      </c>
      <c r="G155" t="s">
        <v>22</v>
      </c>
      <c r="H155" s="1">
        <v>45658</v>
      </c>
      <c r="I155" t="s">
        <v>176</v>
      </c>
      <c r="J155">
        <v>50176652</v>
      </c>
      <c r="K155">
        <v>81659412</v>
      </c>
      <c r="L155" t="s">
        <v>24</v>
      </c>
      <c r="M155" s="1">
        <v>45748</v>
      </c>
      <c r="N155" t="s">
        <v>28</v>
      </c>
      <c r="O155">
        <v>584.25</v>
      </c>
      <c r="P155">
        <v>20</v>
      </c>
      <c r="R155" t="s">
        <v>15</v>
      </c>
      <c r="S155" t="s">
        <v>26</v>
      </c>
    </row>
    <row r="156" spans="1:19" x14ac:dyDescent="0.25">
      <c r="A156" s="1">
        <v>45808</v>
      </c>
      <c r="B156" t="s">
        <v>19</v>
      </c>
      <c r="C156" t="s">
        <v>20</v>
      </c>
      <c r="D156">
        <v>4874327</v>
      </c>
      <c r="E156" t="s">
        <v>21</v>
      </c>
      <c r="G156" t="s">
        <v>22</v>
      </c>
      <c r="H156" s="1">
        <v>44927</v>
      </c>
      <c r="I156" t="s">
        <v>177</v>
      </c>
      <c r="J156">
        <v>40579638</v>
      </c>
      <c r="K156">
        <v>80217986</v>
      </c>
      <c r="L156" t="s">
        <v>24</v>
      </c>
      <c r="M156" s="1">
        <v>45778</v>
      </c>
      <c r="N156" t="s">
        <v>25</v>
      </c>
      <c r="O156">
        <v>285.52</v>
      </c>
      <c r="P156">
        <v>20</v>
      </c>
      <c r="R156" t="s">
        <v>15</v>
      </c>
      <c r="S156" t="s">
        <v>26</v>
      </c>
    </row>
    <row r="157" spans="1:19" x14ac:dyDescent="0.25">
      <c r="A157" s="1">
        <v>45808</v>
      </c>
      <c r="B157" t="s">
        <v>19</v>
      </c>
      <c r="C157" t="s">
        <v>29</v>
      </c>
      <c r="D157">
        <v>5485984</v>
      </c>
      <c r="E157" t="s">
        <v>30</v>
      </c>
      <c r="G157" t="s">
        <v>22</v>
      </c>
      <c r="H157" s="1">
        <v>45292</v>
      </c>
      <c r="I157" t="s">
        <v>178</v>
      </c>
      <c r="J157">
        <v>46375019</v>
      </c>
      <c r="K157">
        <v>80227604</v>
      </c>
      <c r="L157" t="s">
        <v>24</v>
      </c>
      <c r="M157" s="1">
        <v>45748</v>
      </c>
      <c r="N157" t="s">
        <v>28</v>
      </c>
      <c r="O157">
        <v>958.69</v>
      </c>
      <c r="P157">
        <v>20</v>
      </c>
      <c r="R157" t="s">
        <v>15</v>
      </c>
      <c r="S157" t="s">
        <v>26</v>
      </c>
    </row>
    <row r="158" spans="1:19" x14ac:dyDescent="0.25">
      <c r="A158" s="1">
        <v>45808</v>
      </c>
      <c r="B158" t="s">
        <v>19</v>
      </c>
      <c r="C158" t="s">
        <v>38</v>
      </c>
      <c r="D158">
        <v>4506169</v>
      </c>
      <c r="E158" t="s">
        <v>39</v>
      </c>
      <c r="G158" t="s">
        <v>22</v>
      </c>
      <c r="H158" s="1">
        <v>44927</v>
      </c>
      <c r="I158" t="s">
        <v>179</v>
      </c>
      <c r="J158">
        <v>32311763</v>
      </c>
      <c r="K158">
        <v>80093475</v>
      </c>
      <c r="L158" t="s">
        <v>24</v>
      </c>
      <c r="M158" s="1">
        <v>45778</v>
      </c>
      <c r="N158" t="s">
        <v>25</v>
      </c>
      <c r="O158">
        <v>605.86</v>
      </c>
      <c r="P158">
        <v>40</v>
      </c>
      <c r="R158" t="s">
        <v>15</v>
      </c>
      <c r="S158" t="s">
        <v>26</v>
      </c>
    </row>
    <row r="159" spans="1:19" x14ac:dyDescent="0.25">
      <c r="A159" s="1">
        <v>45808</v>
      </c>
      <c r="B159" t="s">
        <v>19</v>
      </c>
      <c r="C159" t="s">
        <v>38</v>
      </c>
      <c r="D159">
        <v>4506169</v>
      </c>
      <c r="E159" t="s">
        <v>39</v>
      </c>
      <c r="G159" t="s">
        <v>22</v>
      </c>
      <c r="H159" s="1">
        <v>45292</v>
      </c>
      <c r="I159" t="s">
        <v>180</v>
      </c>
      <c r="J159">
        <v>42832572</v>
      </c>
      <c r="K159">
        <v>80079992</v>
      </c>
      <c r="L159" t="s">
        <v>24</v>
      </c>
      <c r="M159" s="1">
        <v>45778</v>
      </c>
      <c r="N159" t="s">
        <v>25</v>
      </c>
      <c r="O159">
        <v>1124.0999999999999</v>
      </c>
      <c r="P159">
        <v>40</v>
      </c>
      <c r="R159" t="s">
        <v>15</v>
      </c>
      <c r="S159" t="s">
        <v>26</v>
      </c>
    </row>
    <row r="160" spans="1:19" x14ac:dyDescent="0.25">
      <c r="A160" s="1">
        <v>45808</v>
      </c>
      <c r="B160" t="s">
        <v>19</v>
      </c>
      <c r="C160" t="s">
        <v>20</v>
      </c>
      <c r="D160">
        <v>4874327</v>
      </c>
      <c r="E160" t="s">
        <v>21</v>
      </c>
      <c r="G160" t="s">
        <v>22</v>
      </c>
      <c r="H160" s="1">
        <v>45658</v>
      </c>
      <c r="I160" t="s">
        <v>181</v>
      </c>
      <c r="J160">
        <v>52490292</v>
      </c>
      <c r="K160">
        <v>80084832</v>
      </c>
      <c r="L160" t="s">
        <v>24</v>
      </c>
      <c r="M160" s="1">
        <v>45748</v>
      </c>
      <c r="N160" t="s">
        <v>28</v>
      </c>
      <c r="O160">
        <v>279.98</v>
      </c>
      <c r="P160">
        <v>20</v>
      </c>
      <c r="R160" t="s">
        <v>15</v>
      </c>
      <c r="S160" t="s">
        <v>26</v>
      </c>
    </row>
    <row r="161" spans="1:19" x14ac:dyDescent="0.25">
      <c r="A161" s="1">
        <v>45808</v>
      </c>
      <c r="B161" t="s">
        <v>19</v>
      </c>
      <c r="C161" t="s">
        <v>20</v>
      </c>
      <c r="D161">
        <v>4874327</v>
      </c>
      <c r="E161" t="s">
        <v>21</v>
      </c>
      <c r="G161" t="s">
        <v>22</v>
      </c>
      <c r="H161" s="1">
        <v>44927</v>
      </c>
      <c r="I161" t="s">
        <v>182</v>
      </c>
      <c r="J161">
        <v>41365675</v>
      </c>
      <c r="K161">
        <v>80084653</v>
      </c>
      <c r="L161" t="s">
        <v>24</v>
      </c>
      <c r="M161" s="1">
        <v>45748</v>
      </c>
      <c r="N161" t="s">
        <v>28</v>
      </c>
      <c r="O161">
        <v>648.07000000000005</v>
      </c>
      <c r="P161">
        <v>20</v>
      </c>
      <c r="R161" t="s">
        <v>15</v>
      </c>
      <c r="S161" t="s">
        <v>26</v>
      </c>
    </row>
    <row r="162" spans="1:19" x14ac:dyDescent="0.25">
      <c r="A162" s="1">
        <v>45808</v>
      </c>
      <c r="B162" t="s">
        <v>19</v>
      </c>
      <c r="C162" t="s">
        <v>29</v>
      </c>
      <c r="D162">
        <v>5485984</v>
      </c>
      <c r="E162" t="s">
        <v>30</v>
      </c>
      <c r="G162" t="s">
        <v>22</v>
      </c>
      <c r="H162" s="1">
        <v>45292</v>
      </c>
      <c r="I162" t="s">
        <v>183</v>
      </c>
      <c r="J162">
        <v>46374990</v>
      </c>
      <c r="K162">
        <v>80129563</v>
      </c>
      <c r="L162" t="s">
        <v>24</v>
      </c>
      <c r="M162" s="1">
        <v>45778</v>
      </c>
      <c r="N162" t="s">
        <v>25</v>
      </c>
      <c r="O162">
        <v>795.62</v>
      </c>
      <c r="P162">
        <v>20</v>
      </c>
      <c r="R162" t="s">
        <v>15</v>
      </c>
      <c r="S162" t="s">
        <v>26</v>
      </c>
    </row>
    <row r="163" spans="1:19" x14ac:dyDescent="0.25">
      <c r="A163" s="1">
        <v>45808</v>
      </c>
      <c r="B163" t="s">
        <v>19</v>
      </c>
      <c r="C163" t="s">
        <v>38</v>
      </c>
      <c r="D163">
        <v>4506169</v>
      </c>
      <c r="E163" t="s">
        <v>39</v>
      </c>
      <c r="G163" t="s">
        <v>22</v>
      </c>
      <c r="H163" s="1">
        <v>44958</v>
      </c>
      <c r="I163" t="s">
        <v>184</v>
      </c>
      <c r="J163">
        <v>33260039</v>
      </c>
      <c r="K163">
        <v>80114696</v>
      </c>
      <c r="L163" t="s">
        <v>24</v>
      </c>
      <c r="M163" s="1">
        <v>45748</v>
      </c>
      <c r="N163" t="s">
        <v>28</v>
      </c>
      <c r="O163">
        <v>1267.25</v>
      </c>
      <c r="P163">
        <v>40</v>
      </c>
      <c r="R163" t="s">
        <v>15</v>
      </c>
      <c r="S163" t="s">
        <v>26</v>
      </c>
    </row>
    <row r="164" spans="1:19" x14ac:dyDescent="0.25">
      <c r="A164" s="1">
        <v>45808</v>
      </c>
      <c r="B164" t="s">
        <v>19</v>
      </c>
      <c r="C164" t="s">
        <v>20</v>
      </c>
      <c r="D164">
        <v>4874327</v>
      </c>
      <c r="E164" t="s">
        <v>21</v>
      </c>
      <c r="G164" t="s">
        <v>22</v>
      </c>
      <c r="H164" s="1">
        <v>44927</v>
      </c>
      <c r="I164" t="s">
        <v>185</v>
      </c>
      <c r="J164">
        <v>40579618</v>
      </c>
      <c r="K164">
        <v>80214500</v>
      </c>
      <c r="L164" t="s">
        <v>24</v>
      </c>
      <c r="M164" s="1">
        <v>45748</v>
      </c>
      <c r="N164" t="s">
        <v>28</v>
      </c>
      <c r="O164">
        <v>1228.6400000000001</v>
      </c>
      <c r="P164">
        <v>40</v>
      </c>
      <c r="R164" t="s">
        <v>15</v>
      </c>
      <c r="S164" t="s">
        <v>26</v>
      </c>
    </row>
    <row r="165" spans="1:19" x14ac:dyDescent="0.25">
      <c r="A165" s="1">
        <v>45808</v>
      </c>
      <c r="B165" t="s">
        <v>19</v>
      </c>
      <c r="C165" t="s">
        <v>20</v>
      </c>
      <c r="D165">
        <v>4874327</v>
      </c>
      <c r="E165" t="s">
        <v>21</v>
      </c>
      <c r="G165" t="s">
        <v>22</v>
      </c>
      <c r="H165" s="1">
        <v>44927</v>
      </c>
      <c r="I165" t="s">
        <v>185</v>
      </c>
      <c r="J165">
        <v>40579618</v>
      </c>
      <c r="K165">
        <v>80214500</v>
      </c>
      <c r="L165" t="s">
        <v>24</v>
      </c>
      <c r="M165" s="1">
        <v>45778</v>
      </c>
      <c r="N165" t="s">
        <v>25</v>
      </c>
      <c r="O165">
        <v>1228.6400000000001</v>
      </c>
      <c r="P165">
        <v>40</v>
      </c>
      <c r="R165" t="s">
        <v>15</v>
      </c>
      <c r="S165" t="s">
        <v>26</v>
      </c>
    </row>
    <row r="166" spans="1:19" x14ac:dyDescent="0.25">
      <c r="A166" s="1">
        <v>45808</v>
      </c>
      <c r="B166" t="s">
        <v>19</v>
      </c>
      <c r="C166" t="s">
        <v>20</v>
      </c>
      <c r="D166">
        <v>4874327</v>
      </c>
      <c r="E166" t="s">
        <v>21</v>
      </c>
      <c r="G166" t="s">
        <v>22</v>
      </c>
      <c r="H166" s="1">
        <v>44927</v>
      </c>
      <c r="I166" t="s">
        <v>186</v>
      </c>
      <c r="J166">
        <v>41365735</v>
      </c>
      <c r="K166">
        <v>80094370</v>
      </c>
      <c r="L166" t="s">
        <v>187</v>
      </c>
      <c r="M166" s="1">
        <v>45748</v>
      </c>
      <c r="N166" t="s">
        <v>28</v>
      </c>
      <c r="O166">
        <v>15.28</v>
      </c>
      <c r="P166">
        <v>1.53</v>
      </c>
      <c r="R166" t="s">
        <v>15</v>
      </c>
      <c r="S166" t="s">
        <v>26</v>
      </c>
    </row>
    <row r="167" spans="1:19" x14ac:dyDescent="0.25">
      <c r="A167" s="1">
        <v>45808</v>
      </c>
      <c r="B167" t="s">
        <v>19</v>
      </c>
      <c r="C167" t="s">
        <v>32</v>
      </c>
      <c r="D167">
        <v>5428208</v>
      </c>
      <c r="E167" t="s">
        <v>33</v>
      </c>
      <c r="G167" t="s">
        <v>22</v>
      </c>
      <c r="H167" s="1">
        <v>45658</v>
      </c>
      <c r="I167" t="s">
        <v>188</v>
      </c>
      <c r="J167">
        <v>50176069</v>
      </c>
      <c r="K167">
        <v>80231500</v>
      </c>
      <c r="L167" t="s">
        <v>24</v>
      </c>
      <c r="M167" s="1">
        <v>45778</v>
      </c>
      <c r="N167" t="s">
        <v>25</v>
      </c>
      <c r="O167">
        <v>587.65</v>
      </c>
      <c r="P167">
        <v>20</v>
      </c>
      <c r="R167" t="s">
        <v>15</v>
      </c>
      <c r="S167" t="s">
        <v>26</v>
      </c>
    </row>
    <row r="168" spans="1:19" x14ac:dyDescent="0.25">
      <c r="A168" s="1">
        <v>45808</v>
      </c>
      <c r="B168" t="s">
        <v>19</v>
      </c>
      <c r="C168" t="s">
        <v>20</v>
      </c>
      <c r="D168">
        <v>4874327</v>
      </c>
      <c r="E168" t="s">
        <v>21</v>
      </c>
      <c r="G168" t="s">
        <v>22</v>
      </c>
      <c r="H168" s="1">
        <v>43101</v>
      </c>
      <c r="I168" t="s">
        <v>189</v>
      </c>
      <c r="J168">
        <v>7697497</v>
      </c>
      <c r="K168">
        <v>80092693</v>
      </c>
      <c r="L168" t="s">
        <v>24</v>
      </c>
      <c r="M168" s="1">
        <v>45748</v>
      </c>
      <c r="N168" t="s">
        <v>28</v>
      </c>
      <c r="O168">
        <v>668.83</v>
      </c>
      <c r="P168">
        <v>20</v>
      </c>
      <c r="R168" t="s">
        <v>15</v>
      </c>
      <c r="S168" t="s">
        <v>26</v>
      </c>
    </row>
    <row r="169" spans="1:19" x14ac:dyDescent="0.25">
      <c r="A169" s="1">
        <v>45808</v>
      </c>
      <c r="B169" t="s">
        <v>19</v>
      </c>
      <c r="C169" t="s">
        <v>20</v>
      </c>
      <c r="D169">
        <v>4874327</v>
      </c>
      <c r="E169" t="s">
        <v>21</v>
      </c>
      <c r="G169" t="s">
        <v>22</v>
      </c>
      <c r="H169" s="1">
        <v>44927</v>
      </c>
      <c r="I169" t="s">
        <v>190</v>
      </c>
      <c r="J169">
        <v>41366115</v>
      </c>
      <c r="K169">
        <v>80201106</v>
      </c>
      <c r="L169" t="s">
        <v>24</v>
      </c>
      <c r="M169" s="1">
        <v>45778</v>
      </c>
      <c r="N169" t="s">
        <v>25</v>
      </c>
      <c r="O169">
        <v>417.14</v>
      </c>
      <c r="P169">
        <v>20</v>
      </c>
      <c r="R169" t="s">
        <v>15</v>
      </c>
      <c r="S169" t="s">
        <v>26</v>
      </c>
    </row>
    <row r="170" spans="1:19" x14ac:dyDescent="0.25">
      <c r="A170" s="1">
        <v>45808</v>
      </c>
      <c r="B170" t="s">
        <v>19</v>
      </c>
      <c r="C170" t="s">
        <v>20</v>
      </c>
      <c r="D170">
        <v>4874327</v>
      </c>
      <c r="E170" t="s">
        <v>21</v>
      </c>
      <c r="G170" t="s">
        <v>22</v>
      </c>
      <c r="H170" s="1">
        <v>44927</v>
      </c>
      <c r="I170" t="s">
        <v>191</v>
      </c>
      <c r="J170">
        <v>41365795</v>
      </c>
      <c r="K170">
        <v>80107252</v>
      </c>
      <c r="L170" t="s">
        <v>24</v>
      </c>
      <c r="M170" s="1">
        <v>45748</v>
      </c>
      <c r="N170" t="s">
        <v>28</v>
      </c>
      <c r="O170">
        <v>1143.23</v>
      </c>
      <c r="P170">
        <v>60</v>
      </c>
      <c r="R170" t="s">
        <v>15</v>
      </c>
      <c r="S170" t="s">
        <v>26</v>
      </c>
    </row>
    <row r="171" spans="1:19" x14ac:dyDescent="0.25">
      <c r="A171" s="1">
        <v>45808</v>
      </c>
      <c r="B171" t="s">
        <v>19</v>
      </c>
      <c r="C171" t="s">
        <v>20</v>
      </c>
      <c r="D171">
        <v>4874327</v>
      </c>
      <c r="E171" t="s">
        <v>21</v>
      </c>
      <c r="G171" t="s">
        <v>22</v>
      </c>
      <c r="H171" s="1">
        <v>45658</v>
      </c>
      <c r="I171" t="s">
        <v>192</v>
      </c>
      <c r="J171">
        <v>50931718</v>
      </c>
      <c r="K171">
        <v>81270719</v>
      </c>
      <c r="L171" t="s">
        <v>24</v>
      </c>
      <c r="M171" s="1">
        <v>45748</v>
      </c>
      <c r="N171" t="s">
        <v>28</v>
      </c>
      <c r="O171">
        <v>230.63</v>
      </c>
      <c r="P171">
        <v>20</v>
      </c>
      <c r="R171" t="s">
        <v>15</v>
      </c>
      <c r="S171" t="s">
        <v>26</v>
      </c>
    </row>
    <row r="172" spans="1:19" x14ac:dyDescent="0.25">
      <c r="A172" s="1">
        <v>45808</v>
      </c>
      <c r="B172" t="s">
        <v>19</v>
      </c>
      <c r="C172" t="s">
        <v>20</v>
      </c>
      <c r="D172">
        <v>4874327</v>
      </c>
      <c r="E172" t="s">
        <v>21</v>
      </c>
      <c r="G172" t="s">
        <v>22</v>
      </c>
      <c r="H172" s="1">
        <v>45292</v>
      </c>
      <c r="I172" t="s">
        <v>193</v>
      </c>
      <c r="J172">
        <v>42134375</v>
      </c>
      <c r="K172">
        <v>80041190</v>
      </c>
      <c r="L172" t="s">
        <v>24</v>
      </c>
      <c r="M172" s="1">
        <v>45566</v>
      </c>
      <c r="N172" t="s">
        <v>65</v>
      </c>
      <c r="O172">
        <v>513.13</v>
      </c>
      <c r="P172">
        <v>20</v>
      </c>
      <c r="R172" t="s">
        <v>15</v>
      </c>
      <c r="S172" t="s">
        <v>26</v>
      </c>
    </row>
    <row r="173" spans="1:19" x14ac:dyDescent="0.25">
      <c r="A173" s="1">
        <v>45808</v>
      </c>
      <c r="B173" t="s">
        <v>19</v>
      </c>
      <c r="C173" t="s">
        <v>20</v>
      </c>
      <c r="D173">
        <v>4874327</v>
      </c>
      <c r="E173" t="s">
        <v>21</v>
      </c>
      <c r="G173" t="s">
        <v>22</v>
      </c>
      <c r="H173" s="1">
        <v>45658</v>
      </c>
      <c r="I173" t="s">
        <v>194</v>
      </c>
      <c r="J173">
        <v>50176570</v>
      </c>
      <c r="K173">
        <v>81647331</v>
      </c>
      <c r="L173" t="s">
        <v>24</v>
      </c>
      <c r="M173" s="1">
        <v>45778</v>
      </c>
      <c r="N173" t="s">
        <v>25</v>
      </c>
      <c r="O173">
        <v>320.79000000000002</v>
      </c>
      <c r="P173">
        <v>20</v>
      </c>
      <c r="R173" t="s">
        <v>15</v>
      </c>
      <c r="S173" t="s">
        <v>26</v>
      </c>
    </row>
    <row r="174" spans="1:19" x14ac:dyDescent="0.25">
      <c r="A174" s="1">
        <v>45808</v>
      </c>
      <c r="B174" t="s">
        <v>19</v>
      </c>
      <c r="C174" t="s">
        <v>20</v>
      </c>
      <c r="D174">
        <v>4874327</v>
      </c>
      <c r="E174" t="s">
        <v>21</v>
      </c>
      <c r="G174" t="s">
        <v>22</v>
      </c>
      <c r="H174" s="1">
        <v>44927</v>
      </c>
      <c r="I174" t="s">
        <v>195</v>
      </c>
      <c r="J174">
        <v>40578971</v>
      </c>
      <c r="K174">
        <v>80155267</v>
      </c>
      <c r="L174" t="s">
        <v>24</v>
      </c>
      <c r="M174" s="1">
        <v>45778</v>
      </c>
      <c r="N174" t="s">
        <v>25</v>
      </c>
      <c r="O174">
        <v>267.3</v>
      </c>
      <c r="P174">
        <v>20</v>
      </c>
      <c r="R174" t="s">
        <v>15</v>
      </c>
      <c r="S174" t="s">
        <v>26</v>
      </c>
    </row>
    <row r="175" spans="1:19" x14ac:dyDescent="0.25">
      <c r="A175" s="1">
        <v>45808</v>
      </c>
      <c r="B175" t="s">
        <v>19</v>
      </c>
      <c r="C175" t="s">
        <v>20</v>
      </c>
      <c r="D175">
        <v>4874327</v>
      </c>
      <c r="E175" t="s">
        <v>21</v>
      </c>
      <c r="G175" t="s">
        <v>22</v>
      </c>
      <c r="H175" s="1">
        <v>45170</v>
      </c>
      <c r="I175" t="s">
        <v>196</v>
      </c>
      <c r="J175">
        <v>41365803</v>
      </c>
      <c r="K175">
        <v>80109726</v>
      </c>
      <c r="L175" t="s">
        <v>187</v>
      </c>
      <c r="M175" s="1">
        <v>45778</v>
      </c>
      <c r="N175" t="s">
        <v>25</v>
      </c>
      <c r="O175">
        <v>795.62</v>
      </c>
      <c r="P175">
        <v>20</v>
      </c>
      <c r="R175" t="s">
        <v>15</v>
      </c>
      <c r="S175" t="s">
        <v>26</v>
      </c>
    </row>
    <row r="176" spans="1:19" x14ac:dyDescent="0.25">
      <c r="A176" s="1">
        <v>45808</v>
      </c>
      <c r="B176" t="s">
        <v>19</v>
      </c>
      <c r="C176" t="s">
        <v>20</v>
      </c>
      <c r="D176">
        <v>4874327</v>
      </c>
      <c r="E176" t="s">
        <v>21</v>
      </c>
      <c r="G176" t="s">
        <v>22</v>
      </c>
      <c r="H176" s="1">
        <v>44927</v>
      </c>
      <c r="I176" t="s">
        <v>197</v>
      </c>
      <c r="J176">
        <v>40578967</v>
      </c>
      <c r="K176">
        <v>80154650</v>
      </c>
      <c r="L176" t="s">
        <v>24</v>
      </c>
      <c r="M176" s="1">
        <v>45778</v>
      </c>
      <c r="N176" t="s">
        <v>25</v>
      </c>
      <c r="O176">
        <v>641.80999999999995</v>
      </c>
      <c r="P176">
        <v>20</v>
      </c>
      <c r="R176" t="s">
        <v>15</v>
      </c>
      <c r="S176" t="s">
        <v>26</v>
      </c>
    </row>
    <row r="177" spans="1:19" x14ac:dyDescent="0.25">
      <c r="A177" s="1">
        <v>45808</v>
      </c>
      <c r="B177" t="s">
        <v>19</v>
      </c>
      <c r="C177" t="s">
        <v>20</v>
      </c>
      <c r="D177">
        <v>4874327</v>
      </c>
      <c r="E177" t="s">
        <v>21</v>
      </c>
      <c r="G177" t="s">
        <v>22</v>
      </c>
      <c r="H177" s="1">
        <v>45323</v>
      </c>
      <c r="I177" t="s">
        <v>198</v>
      </c>
      <c r="J177">
        <v>44537976</v>
      </c>
      <c r="K177">
        <v>81355006</v>
      </c>
      <c r="L177" t="s">
        <v>24</v>
      </c>
      <c r="M177" s="1">
        <v>45778</v>
      </c>
      <c r="N177" t="s">
        <v>25</v>
      </c>
      <c r="O177">
        <v>382.82</v>
      </c>
      <c r="P177">
        <v>20</v>
      </c>
      <c r="R177" t="s">
        <v>15</v>
      </c>
      <c r="S177" t="s">
        <v>26</v>
      </c>
    </row>
    <row r="178" spans="1:19" x14ac:dyDescent="0.25">
      <c r="A178" s="1">
        <v>45808</v>
      </c>
      <c r="B178" t="s">
        <v>19</v>
      </c>
      <c r="C178" t="s">
        <v>20</v>
      </c>
      <c r="D178">
        <v>4874327</v>
      </c>
      <c r="E178" t="s">
        <v>21</v>
      </c>
      <c r="G178" t="s">
        <v>22</v>
      </c>
      <c r="H178" s="1">
        <v>45323</v>
      </c>
      <c r="I178" t="s">
        <v>198</v>
      </c>
      <c r="J178">
        <v>44537976</v>
      </c>
      <c r="K178">
        <v>81355006</v>
      </c>
      <c r="L178" t="s">
        <v>24</v>
      </c>
      <c r="M178" s="1">
        <v>45748</v>
      </c>
      <c r="N178" t="s">
        <v>28</v>
      </c>
      <c r="O178">
        <v>382.82</v>
      </c>
      <c r="P178">
        <v>20</v>
      </c>
      <c r="R178" t="s">
        <v>15</v>
      </c>
      <c r="S178" t="s">
        <v>26</v>
      </c>
    </row>
    <row r="179" spans="1:19" x14ac:dyDescent="0.25">
      <c r="A179" s="1">
        <v>45808</v>
      </c>
      <c r="B179" t="s">
        <v>19</v>
      </c>
      <c r="C179" t="s">
        <v>20</v>
      </c>
      <c r="D179">
        <v>4874327</v>
      </c>
      <c r="E179" t="s">
        <v>21</v>
      </c>
      <c r="G179" t="s">
        <v>22</v>
      </c>
      <c r="H179" s="1">
        <v>44927</v>
      </c>
      <c r="I179" t="s">
        <v>199</v>
      </c>
      <c r="J179">
        <v>40579589</v>
      </c>
      <c r="K179">
        <v>80211295</v>
      </c>
      <c r="L179" t="s">
        <v>24</v>
      </c>
      <c r="M179" s="1">
        <v>45778</v>
      </c>
      <c r="N179" t="s">
        <v>25</v>
      </c>
      <c r="O179">
        <v>698.57</v>
      </c>
      <c r="P179">
        <v>20</v>
      </c>
      <c r="R179" t="s">
        <v>15</v>
      </c>
      <c r="S179" t="s">
        <v>26</v>
      </c>
    </row>
    <row r="180" spans="1:19" x14ac:dyDescent="0.25">
      <c r="A180" s="1">
        <v>45808</v>
      </c>
      <c r="B180" t="s">
        <v>19</v>
      </c>
      <c r="C180" t="s">
        <v>20</v>
      </c>
      <c r="D180">
        <v>4874327</v>
      </c>
      <c r="E180" t="s">
        <v>21</v>
      </c>
      <c r="G180" t="s">
        <v>22</v>
      </c>
      <c r="H180" s="1">
        <v>45170</v>
      </c>
      <c r="I180" t="s">
        <v>200</v>
      </c>
      <c r="J180">
        <v>38006994</v>
      </c>
      <c r="K180">
        <v>80243162</v>
      </c>
      <c r="L180" t="s">
        <v>24</v>
      </c>
      <c r="M180" s="1">
        <v>45778</v>
      </c>
      <c r="N180" t="s">
        <v>25</v>
      </c>
      <c r="O180">
        <v>1411.24</v>
      </c>
      <c r="P180">
        <v>40</v>
      </c>
      <c r="R180" t="s">
        <v>15</v>
      </c>
      <c r="S180" t="s">
        <v>26</v>
      </c>
    </row>
    <row r="181" spans="1:19" x14ac:dyDescent="0.25">
      <c r="A181" s="1">
        <v>45808</v>
      </c>
      <c r="B181" t="s">
        <v>19</v>
      </c>
      <c r="C181" t="s">
        <v>29</v>
      </c>
      <c r="D181">
        <v>5485984</v>
      </c>
      <c r="E181" t="s">
        <v>30</v>
      </c>
      <c r="G181" t="s">
        <v>22</v>
      </c>
      <c r="H181" s="1">
        <v>45292</v>
      </c>
      <c r="I181" t="s">
        <v>201</v>
      </c>
      <c r="J181">
        <v>45811845</v>
      </c>
      <c r="K181">
        <v>80169782</v>
      </c>
      <c r="L181" t="s">
        <v>24</v>
      </c>
      <c r="M181" s="1">
        <v>45778</v>
      </c>
      <c r="N181" t="s">
        <v>25</v>
      </c>
      <c r="O181">
        <v>691.89</v>
      </c>
      <c r="P181">
        <v>20</v>
      </c>
      <c r="R181" t="s">
        <v>15</v>
      </c>
      <c r="S181" t="s">
        <v>26</v>
      </c>
    </row>
    <row r="182" spans="1:19" x14ac:dyDescent="0.25">
      <c r="A182" s="1">
        <v>45808</v>
      </c>
      <c r="B182" t="s">
        <v>19</v>
      </c>
      <c r="C182" t="s">
        <v>20</v>
      </c>
      <c r="D182">
        <v>4874327</v>
      </c>
      <c r="E182" t="s">
        <v>21</v>
      </c>
      <c r="G182" t="s">
        <v>22</v>
      </c>
      <c r="H182" s="1">
        <v>45292</v>
      </c>
      <c r="I182" t="s">
        <v>202</v>
      </c>
      <c r="J182">
        <v>44537945</v>
      </c>
      <c r="K182">
        <v>81335126</v>
      </c>
      <c r="L182" t="s">
        <v>24</v>
      </c>
      <c r="M182" s="1">
        <v>45566</v>
      </c>
      <c r="N182" t="s">
        <v>65</v>
      </c>
      <c r="O182">
        <v>574.86</v>
      </c>
      <c r="P182">
        <v>40</v>
      </c>
      <c r="R182" t="s">
        <v>15</v>
      </c>
      <c r="S182" t="s">
        <v>26</v>
      </c>
    </row>
    <row r="183" spans="1:19" x14ac:dyDescent="0.25">
      <c r="A183" s="1">
        <v>45808</v>
      </c>
      <c r="B183" t="s">
        <v>19</v>
      </c>
      <c r="C183" t="s">
        <v>20</v>
      </c>
      <c r="D183">
        <v>4874327</v>
      </c>
      <c r="E183" t="s">
        <v>21</v>
      </c>
      <c r="G183" t="s">
        <v>22</v>
      </c>
      <c r="H183" s="1">
        <v>45292</v>
      </c>
      <c r="I183" t="s">
        <v>202</v>
      </c>
      <c r="J183">
        <v>44537945</v>
      </c>
      <c r="K183">
        <v>81335126</v>
      </c>
      <c r="L183" t="s">
        <v>24</v>
      </c>
      <c r="M183" s="1">
        <v>45352</v>
      </c>
      <c r="N183" t="s">
        <v>60</v>
      </c>
      <c r="O183">
        <v>-73.84</v>
      </c>
      <c r="P183">
        <v>-20</v>
      </c>
      <c r="R183" t="s">
        <v>15</v>
      </c>
      <c r="S183" t="s">
        <v>26</v>
      </c>
    </row>
    <row r="184" spans="1:19" x14ac:dyDescent="0.25">
      <c r="A184" s="1">
        <v>45808</v>
      </c>
      <c r="B184" t="s">
        <v>19</v>
      </c>
      <c r="C184" t="s">
        <v>20</v>
      </c>
      <c r="D184">
        <v>4874327</v>
      </c>
      <c r="E184" t="s">
        <v>21</v>
      </c>
      <c r="G184" t="s">
        <v>22</v>
      </c>
      <c r="H184" s="1">
        <v>45689</v>
      </c>
      <c r="I184" t="s">
        <v>203</v>
      </c>
      <c r="J184">
        <v>50932036</v>
      </c>
      <c r="K184">
        <v>81687238</v>
      </c>
      <c r="L184" t="s">
        <v>24</v>
      </c>
      <c r="M184" s="1">
        <v>45778</v>
      </c>
      <c r="N184" t="s">
        <v>25</v>
      </c>
      <c r="O184">
        <v>1007.79</v>
      </c>
      <c r="P184">
        <v>60</v>
      </c>
      <c r="R184" t="s">
        <v>15</v>
      </c>
      <c r="S184" t="s">
        <v>26</v>
      </c>
    </row>
    <row r="185" spans="1:19" x14ac:dyDescent="0.25">
      <c r="A185" s="1">
        <v>45808</v>
      </c>
      <c r="B185" t="s">
        <v>19</v>
      </c>
      <c r="C185" t="s">
        <v>38</v>
      </c>
      <c r="D185">
        <v>4506169</v>
      </c>
      <c r="E185" t="s">
        <v>39</v>
      </c>
      <c r="G185" t="s">
        <v>22</v>
      </c>
      <c r="H185" s="1">
        <v>44927</v>
      </c>
      <c r="I185" t="s">
        <v>204</v>
      </c>
      <c r="J185">
        <v>32311536</v>
      </c>
      <c r="K185">
        <v>80013077</v>
      </c>
      <c r="L185" t="s">
        <v>24</v>
      </c>
      <c r="M185" s="1">
        <v>45778</v>
      </c>
      <c r="N185" t="s">
        <v>25</v>
      </c>
      <c r="O185">
        <v>407.69</v>
      </c>
      <c r="P185">
        <v>20</v>
      </c>
      <c r="R185" t="s">
        <v>15</v>
      </c>
      <c r="S185" t="s">
        <v>26</v>
      </c>
    </row>
    <row r="186" spans="1:19" x14ac:dyDescent="0.25">
      <c r="A186" s="1">
        <v>45808</v>
      </c>
      <c r="B186" t="s">
        <v>19</v>
      </c>
      <c r="C186" t="s">
        <v>38</v>
      </c>
      <c r="D186">
        <v>4506169</v>
      </c>
      <c r="E186" t="s">
        <v>39</v>
      </c>
      <c r="G186" t="s">
        <v>22</v>
      </c>
      <c r="H186" s="1">
        <v>45658</v>
      </c>
      <c r="I186" t="s">
        <v>205</v>
      </c>
      <c r="J186">
        <v>50176790</v>
      </c>
      <c r="K186">
        <v>81368994</v>
      </c>
      <c r="L186" t="s">
        <v>24</v>
      </c>
      <c r="M186" s="1">
        <v>45778</v>
      </c>
      <c r="N186" t="s">
        <v>25</v>
      </c>
      <c r="O186">
        <v>397.22</v>
      </c>
      <c r="P186">
        <v>20</v>
      </c>
      <c r="R186" t="s">
        <v>15</v>
      </c>
      <c r="S186" t="s">
        <v>26</v>
      </c>
    </row>
    <row r="187" spans="1:19" x14ac:dyDescent="0.25">
      <c r="A187" s="1">
        <v>45808</v>
      </c>
      <c r="B187" t="s">
        <v>19</v>
      </c>
      <c r="C187" t="s">
        <v>20</v>
      </c>
      <c r="D187">
        <v>4874327</v>
      </c>
      <c r="E187" t="s">
        <v>21</v>
      </c>
      <c r="G187" t="s">
        <v>22</v>
      </c>
      <c r="H187" s="1">
        <v>44927</v>
      </c>
      <c r="I187" t="s">
        <v>206</v>
      </c>
      <c r="J187">
        <v>41365800</v>
      </c>
      <c r="K187">
        <v>80109167</v>
      </c>
      <c r="L187" t="s">
        <v>24</v>
      </c>
      <c r="M187" s="1">
        <v>45778</v>
      </c>
      <c r="N187" t="s">
        <v>25</v>
      </c>
      <c r="O187">
        <v>1021.03</v>
      </c>
      <c r="P187">
        <v>20</v>
      </c>
      <c r="R187" t="s">
        <v>15</v>
      </c>
      <c r="S187" t="s">
        <v>26</v>
      </c>
    </row>
    <row r="188" spans="1:19" x14ac:dyDescent="0.25">
      <c r="A188" s="1">
        <v>45808</v>
      </c>
      <c r="B188" t="s">
        <v>19</v>
      </c>
      <c r="C188" t="s">
        <v>20</v>
      </c>
      <c r="D188">
        <v>4874327</v>
      </c>
      <c r="E188" t="s">
        <v>21</v>
      </c>
      <c r="G188" t="s">
        <v>22</v>
      </c>
      <c r="H188" s="1">
        <v>44927</v>
      </c>
      <c r="I188" t="s">
        <v>207</v>
      </c>
      <c r="J188">
        <v>40578071</v>
      </c>
      <c r="K188">
        <v>80016235</v>
      </c>
      <c r="L188" t="s">
        <v>24</v>
      </c>
      <c r="M188" s="1">
        <v>45778</v>
      </c>
      <c r="N188" t="s">
        <v>25</v>
      </c>
      <c r="O188">
        <v>902.75</v>
      </c>
      <c r="P188">
        <v>20</v>
      </c>
      <c r="R188" t="s">
        <v>15</v>
      </c>
      <c r="S188" t="s">
        <v>26</v>
      </c>
    </row>
    <row r="189" spans="1:19" x14ac:dyDescent="0.25">
      <c r="A189" s="1">
        <v>45808</v>
      </c>
      <c r="B189" t="s">
        <v>19</v>
      </c>
      <c r="C189" t="s">
        <v>20</v>
      </c>
      <c r="D189">
        <v>4874327</v>
      </c>
      <c r="E189" t="s">
        <v>21</v>
      </c>
      <c r="G189" t="s">
        <v>22</v>
      </c>
      <c r="H189" s="1">
        <v>44927</v>
      </c>
      <c r="I189" t="s">
        <v>208</v>
      </c>
      <c r="J189">
        <v>40578274</v>
      </c>
      <c r="K189">
        <v>80043070</v>
      </c>
      <c r="L189" t="s">
        <v>24</v>
      </c>
      <c r="M189" s="1">
        <v>45778</v>
      </c>
      <c r="N189" t="s">
        <v>25</v>
      </c>
      <c r="O189">
        <v>1248.92</v>
      </c>
      <c r="P189">
        <v>40</v>
      </c>
      <c r="R189" t="s">
        <v>15</v>
      </c>
      <c r="S189" t="s">
        <v>26</v>
      </c>
    </row>
    <row r="190" spans="1:19" x14ac:dyDescent="0.25">
      <c r="A190" s="1">
        <v>45808</v>
      </c>
      <c r="B190" t="s">
        <v>19</v>
      </c>
      <c r="C190" t="s">
        <v>20</v>
      </c>
      <c r="D190">
        <v>4874327</v>
      </c>
      <c r="E190" t="s">
        <v>21</v>
      </c>
      <c r="G190" t="s">
        <v>22</v>
      </c>
      <c r="H190" s="1">
        <v>45658</v>
      </c>
      <c r="I190" t="s">
        <v>209</v>
      </c>
      <c r="J190">
        <v>50176269</v>
      </c>
      <c r="K190">
        <v>81314890</v>
      </c>
      <c r="L190" t="s">
        <v>24</v>
      </c>
      <c r="M190" s="1">
        <v>45778</v>
      </c>
      <c r="N190" t="s">
        <v>25</v>
      </c>
      <c r="O190">
        <v>680.82</v>
      </c>
      <c r="P190">
        <v>20</v>
      </c>
      <c r="R190" t="s">
        <v>15</v>
      </c>
      <c r="S190" t="s">
        <v>26</v>
      </c>
    </row>
    <row r="191" spans="1:19" x14ac:dyDescent="0.25">
      <c r="A191" s="1">
        <v>45808</v>
      </c>
      <c r="B191" t="s">
        <v>19</v>
      </c>
      <c r="C191" t="s">
        <v>38</v>
      </c>
      <c r="D191">
        <v>4506169</v>
      </c>
      <c r="E191" t="s">
        <v>39</v>
      </c>
      <c r="G191" t="s">
        <v>22</v>
      </c>
      <c r="H191" s="1">
        <v>44927</v>
      </c>
      <c r="I191" t="s">
        <v>210</v>
      </c>
      <c r="J191">
        <v>33259928</v>
      </c>
      <c r="K191">
        <v>80082738</v>
      </c>
      <c r="L191" t="s">
        <v>24</v>
      </c>
      <c r="M191" s="1">
        <v>45778</v>
      </c>
      <c r="N191" t="s">
        <v>25</v>
      </c>
      <c r="O191">
        <v>1006.7</v>
      </c>
      <c r="P191">
        <v>40</v>
      </c>
      <c r="R191" t="s">
        <v>15</v>
      </c>
      <c r="S191" t="s">
        <v>26</v>
      </c>
    </row>
    <row r="192" spans="1:19" x14ac:dyDescent="0.25">
      <c r="A192" s="1">
        <v>45808</v>
      </c>
      <c r="B192" t="s">
        <v>19</v>
      </c>
      <c r="C192" t="s">
        <v>38</v>
      </c>
      <c r="D192">
        <v>4506169</v>
      </c>
      <c r="E192" t="s">
        <v>39</v>
      </c>
      <c r="G192" t="s">
        <v>22</v>
      </c>
      <c r="H192" s="1">
        <v>44927</v>
      </c>
      <c r="I192" t="s">
        <v>211</v>
      </c>
      <c r="J192">
        <v>33779549</v>
      </c>
      <c r="K192">
        <v>80103094</v>
      </c>
      <c r="L192" t="s">
        <v>24</v>
      </c>
      <c r="M192" s="1">
        <v>45748</v>
      </c>
      <c r="N192" t="s">
        <v>28</v>
      </c>
      <c r="O192">
        <v>766.6</v>
      </c>
      <c r="P192">
        <v>20</v>
      </c>
      <c r="R192" t="s">
        <v>15</v>
      </c>
      <c r="S192" t="s">
        <v>26</v>
      </c>
    </row>
    <row r="193" spans="1:19" x14ac:dyDescent="0.25">
      <c r="A193" s="1">
        <v>45808</v>
      </c>
      <c r="B193" t="s">
        <v>19</v>
      </c>
      <c r="C193" t="s">
        <v>29</v>
      </c>
      <c r="D193">
        <v>5485984</v>
      </c>
      <c r="E193" t="s">
        <v>30</v>
      </c>
      <c r="G193" t="s">
        <v>22</v>
      </c>
      <c r="H193" s="1">
        <v>45292</v>
      </c>
      <c r="I193" t="s">
        <v>212</v>
      </c>
      <c r="J193">
        <v>46845091</v>
      </c>
      <c r="K193">
        <v>81351637</v>
      </c>
      <c r="L193" t="s">
        <v>24</v>
      </c>
      <c r="M193" s="1">
        <v>45778</v>
      </c>
      <c r="N193" t="s">
        <v>25</v>
      </c>
      <c r="O193">
        <v>415.08</v>
      </c>
      <c r="P193">
        <v>20</v>
      </c>
      <c r="R193" t="s">
        <v>15</v>
      </c>
      <c r="S193" t="s">
        <v>26</v>
      </c>
    </row>
    <row r="194" spans="1:19" x14ac:dyDescent="0.25">
      <c r="A194" s="1">
        <v>45808</v>
      </c>
      <c r="B194" t="s">
        <v>19</v>
      </c>
      <c r="C194" t="s">
        <v>20</v>
      </c>
      <c r="D194">
        <v>4874327</v>
      </c>
      <c r="E194" t="s">
        <v>21</v>
      </c>
      <c r="G194" t="s">
        <v>22</v>
      </c>
      <c r="H194" s="1">
        <v>44927</v>
      </c>
      <c r="I194" t="s">
        <v>213</v>
      </c>
      <c r="J194">
        <v>40578322</v>
      </c>
      <c r="K194">
        <v>80054116</v>
      </c>
      <c r="L194" t="s">
        <v>24</v>
      </c>
      <c r="M194" s="1">
        <v>45748</v>
      </c>
      <c r="N194" t="s">
        <v>28</v>
      </c>
      <c r="O194">
        <v>964.49</v>
      </c>
      <c r="P194">
        <v>40</v>
      </c>
      <c r="R194" t="s">
        <v>15</v>
      </c>
      <c r="S194" t="s">
        <v>26</v>
      </c>
    </row>
    <row r="195" spans="1:19" x14ac:dyDescent="0.25">
      <c r="A195" s="1">
        <v>45808</v>
      </c>
      <c r="B195" t="s">
        <v>19</v>
      </c>
      <c r="C195" t="s">
        <v>20</v>
      </c>
      <c r="D195">
        <v>4874327</v>
      </c>
      <c r="E195" t="s">
        <v>21</v>
      </c>
      <c r="G195" t="s">
        <v>22</v>
      </c>
      <c r="H195" s="1">
        <v>44927</v>
      </c>
      <c r="I195" t="s">
        <v>214</v>
      </c>
      <c r="J195">
        <v>41366132</v>
      </c>
      <c r="K195">
        <v>80205892</v>
      </c>
      <c r="L195" t="s">
        <v>24</v>
      </c>
      <c r="M195" s="1">
        <v>45748</v>
      </c>
      <c r="N195" t="s">
        <v>28</v>
      </c>
      <c r="O195">
        <v>795.62</v>
      </c>
      <c r="P195">
        <v>20</v>
      </c>
      <c r="R195" t="s">
        <v>15</v>
      </c>
      <c r="S195" t="s">
        <v>26</v>
      </c>
    </row>
    <row r="196" spans="1:19" x14ac:dyDescent="0.25">
      <c r="A196" s="1">
        <v>45808</v>
      </c>
      <c r="B196" t="s">
        <v>19</v>
      </c>
      <c r="C196" t="s">
        <v>20</v>
      </c>
      <c r="D196">
        <v>4874327</v>
      </c>
      <c r="E196" t="s">
        <v>21</v>
      </c>
      <c r="G196" t="s">
        <v>22</v>
      </c>
      <c r="H196" s="1">
        <v>45658</v>
      </c>
      <c r="I196" t="s">
        <v>215</v>
      </c>
      <c r="J196">
        <v>50176622</v>
      </c>
      <c r="K196">
        <v>81369052</v>
      </c>
      <c r="L196" t="s">
        <v>24</v>
      </c>
      <c r="M196" s="1">
        <v>45778</v>
      </c>
      <c r="N196" t="s">
        <v>25</v>
      </c>
      <c r="O196">
        <v>231.55</v>
      </c>
      <c r="P196">
        <v>20</v>
      </c>
      <c r="R196" t="s">
        <v>15</v>
      </c>
      <c r="S196" t="s">
        <v>26</v>
      </c>
    </row>
    <row r="197" spans="1:19" x14ac:dyDescent="0.25">
      <c r="A197" s="1">
        <v>45808</v>
      </c>
      <c r="B197" t="s">
        <v>19</v>
      </c>
      <c r="C197" t="s">
        <v>20</v>
      </c>
      <c r="D197">
        <v>4874327</v>
      </c>
      <c r="E197" t="s">
        <v>21</v>
      </c>
      <c r="G197" t="s">
        <v>22</v>
      </c>
      <c r="H197" s="1">
        <v>44927</v>
      </c>
      <c r="I197" t="s">
        <v>216</v>
      </c>
      <c r="J197">
        <v>41365617</v>
      </c>
      <c r="K197">
        <v>80070884</v>
      </c>
      <c r="L197" t="s">
        <v>24</v>
      </c>
      <c r="M197" s="1">
        <v>45748</v>
      </c>
      <c r="N197" t="s">
        <v>28</v>
      </c>
      <c r="O197">
        <v>648.07000000000005</v>
      </c>
      <c r="P197">
        <v>20</v>
      </c>
      <c r="R197" t="s">
        <v>15</v>
      </c>
      <c r="S197" t="s">
        <v>26</v>
      </c>
    </row>
    <row r="198" spans="1:19" x14ac:dyDescent="0.25">
      <c r="A198" s="1">
        <v>45808</v>
      </c>
      <c r="B198" t="s">
        <v>19</v>
      </c>
      <c r="C198" t="s">
        <v>20</v>
      </c>
      <c r="D198">
        <v>4874327</v>
      </c>
      <c r="E198" t="s">
        <v>21</v>
      </c>
      <c r="G198" t="s">
        <v>22</v>
      </c>
      <c r="H198" s="1">
        <v>45505</v>
      </c>
      <c r="I198" t="s">
        <v>217</v>
      </c>
      <c r="J198">
        <v>46375115</v>
      </c>
      <c r="K198">
        <v>81372551</v>
      </c>
      <c r="L198" t="s">
        <v>24</v>
      </c>
      <c r="M198" s="1">
        <v>45748</v>
      </c>
      <c r="N198" t="s">
        <v>28</v>
      </c>
      <c r="O198">
        <v>624.12</v>
      </c>
      <c r="P198">
        <v>20</v>
      </c>
      <c r="R198" t="s">
        <v>15</v>
      </c>
      <c r="S198" t="s">
        <v>26</v>
      </c>
    </row>
    <row r="199" spans="1:19" x14ac:dyDescent="0.25">
      <c r="A199" s="1">
        <v>45808</v>
      </c>
      <c r="B199" t="s">
        <v>19</v>
      </c>
      <c r="C199" t="s">
        <v>20</v>
      </c>
      <c r="D199">
        <v>4874327</v>
      </c>
      <c r="E199" t="s">
        <v>21</v>
      </c>
      <c r="G199" t="s">
        <v>22</v>
      </c>
      <c r="H199" s="1">
        <v>45505</v>
      </c>
      <c r="I199" t="s">
        <v>217</v>
      </c>
      <c r="J199">
        <v>46375115</v>
      </c>
      <c r="K199">
        <v>81372551</v>
      </c>
      <c r="L199" t="s">
        <v>24</v>
      </c>
      <c r="M199" s="1">
        <v>45717</v>
      </c>
      <c r="N199" t="s">
        <v>60</v>
      </c>
      <c r="O199">
        <v>624.12</v>
      </c>
      <c r="P199">
        <v>20</v>
      </c>
      <c r="R199" t="s">
        <v>15</v>
      </c>
      <c r="S199" t="s">
        <v>26</v>
      </c>
    </row>
    <row r="200" spans="1:19" x14ac:dyDescent="0.25">
      <c r="A200" s="1">
        <v>45808</v>
      </c>
      <c r="B200" t="s">
        <v>19</v>
      </c>
      <c r="C200" t="s">
        <v>38</v>
      </c>
      <c r="D200">
        <v>4506169</v>
      </c>
      <c r="E200" t="s">
        <v>39</v>
      </c>
      <c r="G200" t="s">
        <v>22</v>
      </c>
      <c r="H200" s="1">
        <v>44927</v>
      </c>
      <c r="I200" t="s">
        <v>218</v>
      </c>
      <c r="J200">
        <v>33260069</v>
      </c>
      <c r="K200">
        <v>80121656</v>
      </c>
      <c r="L200" t="s">
        <v>24</v>
      </c>
      <c r="M200" s="1">
        <v>45748</v>
      </c>
      <c r="N200" t="s">
        <v>28</v>
      </c>
      <c r="O200">
        <v>928.49</v>
      </c>
      <c r="P200">
        <v>40</v>
      </c>
      <c r="R200" t="s">
        <v>15</v>
      </c>
      <c r="S200" t="s">
        <v>26</v>
      </c>
    </row>
    <row r="201" spans="1:19" x14ac:dyDescent="0.25">
      <c r="A201" s="1">
        <v>45808</v>
      </c>
      <c r="B201" t="s">
        <v>19</v>
      </c>
      <c r="C201" t="s">
        <v>38</v>
      </c>
      <c r="D201">
        <v>4506169</v>
      </c>
      <c r="E201" t="s">
        <v>39</v>
      </c>
      <c r="G201" t="s">
        <v>22</v>
      </c>
      <c r="H201" s="1">
        <v>44927</v>
      </c>
      <c r="I201" t="s">
        <v>218</v>
      </c>
      <c r="J201">
        <v>33260069</v>
      </c>
      <c r="K201">
        <v>80121656</v>
      </c>
      <c r="L201" t="s">
        <v>24</v>
      </c>
      <c r="M201" s="1">
        <v>45717</v>
      </c>
      <c r="N201" t="s">
        <v>60</v>
      </c>
      <c r="O201">
        <v>928.49</v>
      </c>
      <c r="P201">
        <v>40</v>
      </c>
      <c r="R201" t="s">
        <v>15</v>
      </c>
      <c r="S201" t="s">
        <v>26</v>
      </c>
    </row>
    <row r="202" spans="1:19" x14ac:dyDescent="0.25">
      <c r="A202" s="1">
        <v>45808</v>
      </c>
      <c r="B202" t="s">
        <v>19</v>
      </c>
      <c r="C202" t="s">
        <v>38</v>
      </c>
      <c r="D202">
        <v>4506169</v>
      </c>
      <c r="E202" t="s">
        <v>39</v>
      </c>
      <c r="G202" t="s">
        <v>22</v>
      </c>
      <c r="H202" s="1">
        <v>44927</v>
      </c>
      <c r="I202" t="s">
        <v>218</v>
      </c>
      <c r="J202">
        <v>33260069</v>
      </c>
      <c r="K202">
        <v>80121656</v>
      </c>
      <c r="L202" t="s">
        <v>24</v>
      </c>
      <c r="M202" s="1">
        <v>45778</v>
      </c>
      <c r="N202" t="s">
        <v>25</v>
      </c>
      <c r="O202">
        <v>928.49</v>
      </c>
      <c r="P202">
        <v>40</v>
      </c>
      <c r="R202" t="s">
        <v>15</v>
      </c>
      <c r="S202" t="s">
        <v>26</v>
      </c>
    </row>
    <row r="203" spans="1:19" x14ac:dyDescent="0.25">
      <c r="A203" s="1">
        <v>45808</v>
      </c>
      <c r="B203" t="s">
        <v>19</v>
      </c>
      <c r="C203" t="s">
        <v>38</v>
      </c>
      <c r="D203">
        <v>4506169</v>
      </c>
      <c r="E203" t="s">
        <v>39</v>
      </c>
      <c r="G203" t="s">
        <v>22</v>
      </c>
      <c r="H203" s="1">
        <v>44927</v>
      </c>
      <c r="I203" t="s">
        <v>219</v>
      </c>
      <c r="J203">
        <v>33260378</v>
      </c>
      <c r="K203">
        <v>80211721</v>
      </c>
      <c r="L203" t="s">
        <v>24</v>
      </c>
      <c r="M203" s="1">
        <v>45778</v>
      </c>
      <c r="N203" t="s">
        <v>25</v>
      </c>
      <c r="O203">
        <v>1205.4000000000001</v>
      </c>
      <c r="P203">
        <v>40</v>
      </c>
      <c r="R203" t="s">
        <v>15</v>
      </c>
      <c r="S203" t="s">
        <v>26</v>
      </c>
    </row>
    <row r="204" spans="1:19" x14ac:dyDescent="0.25">
      <c r="A204" s="1">
        <v>45808</v>
      </c>
      <c r="B204" t="s">
        <v>19</v>
      </c>
      <c r="C204" t="s">
        <v>38</v>
      </c>
      <c r="D204">
        <v>4506169</v>
      </c>
      <c r="E204" t="s">
        <v>39</v>
      </c>
      <c r="G204" t="s">
        <v>22</v>
      </c>
      <c r="H204" s="1">
        <v>45292</v>
      </c>
      <c r="I204" t="s">
        <v>220</v>
      </c>
      <c r="J204">
        <v>42832965</v>
      </c>
      <c r="K204">
        <v>81253066</v>
      </c>
      <c r="L204" t="s">
        <v>24</v>
      </c>
      <c r="M204" s="1">
        <v>45778</v>
      </c>
      <c r="N204" t="s">
        <v>25</v>
      </c>
      <c r="O204">
        <v>833.71</v>
      </c>
      <c r="P204">
        <v>20</v>
      </c>
      <c r="R204" t="s">
        <v>15</v>
      </c>
      <c r="S204" t="s">
        <v>26</v>
      </c>
    </row>
    <row r="205" spans="1:19" x14ac:dyDescent="0.25">
      <c r="A205" s="1">
        <v>45808</v>
      </c>
      <c r="B205" t="s">
        <v>19</v>
      </c>
      <c r="C205" t="s">
        <v>29</v>
      </c>
      <c r="D205">
        <v>5485984</v>
      </c>
      <c r="E205" t="s">
        <v>30</v>
      </c>
      <c r="G205" t="s">
        <v>22</v>
      </c>
      <c r="H205" s="1">
        <v>45292</v>
      </c>
      <c r="I205" t="s">
        <v>221</v>
      </c>
      <c r="J205">
        <v>45811789</v>
      </c>
      <c r="K205">
        <v>80052052</v>
      </c>
      <c r="L205" t="s">
        <v>24</v>
      </c>
      <c r="M205" s="1">
        <v>45748</v>
      </c>
      <c r="N205" t="s">
        <v>28</v>
      </c>
      <c r="O205">
        <v>1635</v>
      </c>
      <c r="P205">
        <v>20</v>
      </c>
      <c r="R205" t="s">
        <v>15</v>
      </c>
      <c r="S205" t="s">
        <v>26</v>
      </c>
    </row>
    <row r="206" spans="1:19" x14ac:dyDescent="0.25">
      <c r="A206" s="1">
        <v>45808</v>
      </c>
      <c r="B206" t="s">
        <v>19</v>
      </c>
      <c r="C206" t="s">
        <v>29</v>
      </c>
      <c r="D206">
        <v>5485984</v>
      </c>
      <c r="E206" t="s">
        <v>30</v>
      </c>
      <c r="G206" t="s">
        <v>22</v>
      </c>
      <c r="H206" s="1">
        <v>45292</v>
      </c>
      <c r="I206" t="s">
        <v>221</v>
      </c>
      <c r="J206">
        <v>45811789</v>
      </c>
      <c r="K206">
        <v>80052052</v>
      </c>
      <c r="L206" t="s">
        <v>24</v>
      </c>
      <c r="M206" s="1">
        <v>45778</v>
      </c>
      <c r="N206" t="s">
        <v>25</v>
      </c>
      <c r="O206">
        <v>817.5</v>
      </c>
      <c r="P206">
        <v>20</v>
      </c>
      <c r="R206" t="s">
        <v>15</v>
      </c>
      <c r="S206" t="s">
        <v>26</v>
      </c>
    </row>
    <row r="207" spans="1:19" x14ac:dyDescent="0.25">
      <c r="A207" s="1">
        <v>45808</v>
      </c>
      <c r="B207" t="s">
        <v>19</v>
      </c>
      <c r="C207" t="s">
        <v>29</v>
      </c>
      <c r="D207">
        <v>5485984</v>
      </c>
      <c r="E207" t="s">
        <v>30</v>
      </c>
      <c r="G207" t="s">
        <v>22</v>
      </c>
      <c r="H207" s="1">
        <v>45292</v>
      </c>
      <c r="I207" t="s">
        <v>221</v>
      </c>
      <c r="J207">
        <v>45811789</v>
      </c>
      <c r="K207">
        <v>80052052</v>
      </c>
      <c r="L207" t="s">
        <v>24</v>
      </c>
      <c r="M207" s="1">
        <v>45748</v>
      </c>
      <c r="N207" t="s">
        <v>28</v>
      </c>
      <c r="O207">
        <v>-1635</v>
      </c>
      <c r="P207">
        <v>-20</v>
      </c>
      <c r="R207" t="s">
        <v>15</v>
      </c>
      <c r="S207" t="s">
        <v>26</v>
      </c>
    </row>
    <row r="208" spans="1:19" x14ac:dyDescent="0.25">
      <c r="A208" s="1">
        <v>45808</v>
      </c>
      <c r="B208" t="s">
        <v>19</v>
      </c>
      <c r="C208" t="s">
        <v>38</v>
      </c>
      <c r="D208">
        <v>4506169</v>
      </c>
      <c r="E208" t="s">
        <v>39</v>
      </c>
      <c r="G208" t="s">
        <v>22</v>
      </c>
      <c r="H208" s="1">
        <v>44986</v>
      </c>
      <c r="I208" t="s">
        <v>222</v>
      </c>
      <c r="J208">
        <v>33779715</v>
      </c>
      <c r="K208">
        <v>80236297</v>
      </c>
      <c r="L208" t="s">
        <v>24</v>
      </c>
      <c r="M208" s="1">
        <v>45717</v>
      </c>
      <c r="N208" t="s">
        <v>60</v>
      </c>
      <c r="O208">
        <v>587.65</v>
      </c>
      <c r="P208">
        <v>20</v>
      </c>
      <c r="R208" t="s">
        <v>15</v>
      </c>
      <c r="S208" t="s">
        <v>26</v>
      </c>
    </row>
    <row r="209" spans="1:19" x14ac:dyDescent="0.25">
      <c r="A209" s="1">
        <v>45808</v>
      </c>
      <c r="B209" t="s">
        <v>19</v>
      </c>
      <c r="C209" t="s">
        <v>38</v>
      </c>
      <c r="D209">
        <v>4506169</v>
      </c>
      <c r="E209" t="s">
        <v>39</v>
      </c>
      <c r="G209" t="s">
        <v>22</v>
      </c>
      <c r="H209" s="1">
        <v>44927</v>
      </c>
      <c r="I209" t="s">
        <v>223</v>
      </c>
      <c r="J209">
        <v>32311559</v>
      </c>
      <c r="K209">
        <v>80023687</v>
      </c>
      <c r="L209" t="s">
        <v>24</v>
      </c>
      <c r="M209" s="1">
        <v>45778</v>
      </c>
      <c r="N209" t="s">
        <v>25</v>
      </c>
      <c r="O209">
        <v>464.48</v>
      </c>
      <c r="P209">
        <v>20</v>
      </c>
      <c r="R209" t="s">
        <v>15</v>
      </c>
      <c r="S209" t="s">
        <v>26</v>
      </c>
    </row>
    <row r="210" spans="1:19" x14ac:dyDescent="0.25">
      <c r="A210" s="1">
        <v>45808</v>
      </c>
      <c r="B210" t="s">
        <v>19</v>
      </c>
      <c r="C210" t="s">
        <v>20</v>
      </c>
      <c r="D210">
        <v>4874327</v>
      </c>
      <c r="E210" t="s">
        <v>21</v>
      </c>
      <c r="G210" t="s">
        <v>22</v>
      </c>
      <c r="H210" s="1">
        <v>45292</v>
      </c>
      <c r="I210" t="s">
        <v>224</v>
      </c>
      <c r="J210">
        <v>46375030</v>
      </c>
      <c r="K210">
        <v>80240596</v>
      </c>
      <c r="L210" t="s">
        <v>24</v>
      </c>
      <c r="M210" s="1">
        <v>45778</v>
      </c>
      <c r="N210" t="s">
        <v>25</v>
      </c>
      <c r="O210">
        <v>394.27</v>
      </c>
      <c r="P210">
        <v>20</v>
      </c>
      <c r="R210" t="s">
        <v>15</v>
      </c>
      <c r="S210" t="s">
        <v>26</v>
      </c>
    </row>
    <row r="211" spans="1:19" x14ac:dyDescent="0.25">
      <c r="A211" s="1">
        <v>45808</v>
      </c>
      <c r="B211" t="s">
        <v>19</v>
      </c>
      <c r="C211" t="s">
        <v>38</v>
      </c>
      <c r="D211">
        <v>4506169</v>
      </c>
      <c r="E211" t="s">
        <v>39</v>
      </c>
      <c r="G211" t="s">
        <v>22</v>
      </c>
      <c r="H211" s="1">
        <v>44927</v>
      </c>
      <c r="I211" t="s">
        <v>225</v>
      </c>
      <c r="J211">
        <v>32311808</v>
      </c>
      <c r="K211">
        <v>80106792</v>
      </c>
      <c r="L211" t="s">
        <v>24</v>
      </c>
      <c r="M211" s="1">
        <v>45778</v>
      </c>
      <c r="N211" t="s">
        <v>25</v>
      </c>
      <c r="O211">
        <v>817.5</v>
      </c>
      <c r="P211">
        <v>20</v>
      </c>
      <c r="R211" t="s">
        <v>15</v>
      </c>
      <c r="S211" t="s">
        <v>26</v>
      </c>
    </row>
    <row r="212" spans="1:19" x14ac:dyDescent="0.25">
      <c r="A212" s="1">
        <v>45808</v>
      </c>
      <c r="B212" t="s">
        <v>19</v>
      </c>
      <c r="C212" t="s">
        <v>29</v>
      </c>
      <c r="D212">
        <v>5485984</v>
      </c>
      <c r="E212" t="s">
        <v>30</v>
      </c>
      <c r="G212" t="s">
        <v>22</v>
      </c>
      <c r="H212" s="1">
        <v>45292</v>
      </c>
      <c r="I212" t="s">
        <v>226</v>
      </c>
      <c r="J212">
        <v>45811973</v>
      </c>
      <c r="K212">
        <v>81350464</v>
      </c>
      <c r="L212" t="s">
        <v>24</v>
      </c>
      <c r="M212" s="1">
        <v>45778</v>
      </c>
      <c r="N212" t="s">
        <v>25</v>
      </c>
      <c r="O212">
        <v>291.06</v>
      </c>
      <c r="P212">
        <v>20</v>
      </c>
      <c r="R212" t="s">
        <v>15</v>
      </c>
      <c r="S212" t="s">
        <v>26</v>
      </c>
    </row>
    <row r="213" spans="1:19" x14ac:dyDescent="0.25">
      <c r="A213" s="1">
        <v>45808</v>
      </c>
      <c r="B213" t="s">
        <v>19</v>
      </c>
      <c r="C213" t="s">
        <v>38</v>
      </c>
      <c r="D213">
        <v>4506169</v>
      </c>
      <c r="E213" t="s">
        <v>39</v>
      </c>
      <c r="G213" t="s">
        <v>22</v>
      </c>
      <c r="H213" s="1">
        <v>44927</v>
      </c>
      <c r="I213" t="s">
        <v>227</v>
      </c>
      <c r="J213">
        <v>32311783</v>
      </c>
      <c r="K213">
        <v>80099468</v>
      </c>
      <c r="L213" t="s">
        <v>24</v>
      </c>
      <c r="M213" s="1">
        <v>45778</v>
      </c>
      <c r="N213" t="s">
        <v>25</v>
      </c>
      <c r="O213">
        <v>671.9</v>
      </c>
      <c r="P213">
        <v>20</v>
      </c>
      <c r="R213" t="s">
        <v>15</v>
      </c>
      <c r="S213" t="s">
        <v>26</v>
      </c>
    </row>
    <row r="214" spans="1:19" x14ac:dyDescent="0.25">
      <c r="A214" s="1">
        <v>45808</v>
      </c>
      <c r="B214" t="s">
        <v>19</v>
      </c>
      <c r="C214" t="s">
        <v>29</v>
      </c>
      <c r="D214">
        <v>5485984</v>
      </c>
      <c r="E214" t="s">
        <v>30</v>
      </c>
      <c r="G214" t="s">
        <v>22</v>
      </c>
      <c r="H214" s="1">
        <v>45292</v>
      </c>
      <c r="I214" t="s">
        <v>228</v>
      </c>
      <c r="J214">
        <v>46374992</v>
      </c>
      <c r="K214">
        <v>80120119</v>
      </c>
      <c r="L214" t="s">
        <v>24</v>
      </c>
      <c r="M214" s="1">
        <v>45748</v>
      </c>
      <c r="N214" t="s">
        <v>28</v>
      </c>
      <c r="O214">
        <v>691.89</v>
      </c>
      <c r="P214">
        <v>20</v>
      </c>
      <c r="R214" t="s">
        <v>15</v>
      </c>
      <c r="S214" t="s">
        <v>26</v>
      </c>
    </row>
    <row r="215" spans="1:19" x14ac:dyDescent="0.25">
      <c r="A215" s="1">
        <v>45808</v>
      </c>
      <c r="B215" t="s">
        <v>19</v>
      </c>
      <c r="C215" t="s">
        <v>32</v>
      </c>
      <c r="D215">
        <v>5428208</v>
      </c>
      <c r="E215" t="s">
        <v>33</v>
      </c>
      <c r="G215" t="s">
        <v>22</v>
      </c>
      <c r="H215" s="1">
        <v>45658</v>
      </c>
      <c r="I215" t="s">
        <v>229</v>
      </c>
      <c r="J215">
        <v>50175969</v>
      </c>
      <c r="K215">
        <v>80081342</v>
      </c>
      <c r="L215" t="s">
        <v>24</v>
      </c>
      <c r="M215" s="1">
        <v>45778</v>
      </c>
      <c r="N215" t="s">
        <v>25</v>
      </c>
      <c r="O215">
        <v>405.1</v>
      </c>
      <c r="P215">
        <v>20</v>
      </c>
      <c r="R215" t="s">
        <v>15</v>
      </c>
      <c r="S215" t="s">
        <v>26</v>
      </c>
    </row>
    <row r="216" spans="1:19" x14ac:dyDescent="0.25">
      <c r="A216" s="1">
        <v>45808</v>
      </c>
      <c r="B216" t="s">
        <v>19</v>
      </c>
      <c r="C216" t="s">
        <v>20</v>
      </c>
      <c r="D216">
        <v>4874327</v>
      </c>
      <c r="E216" t="s">
        <v>21</v>
      </c>
      <c r="G216" t="s">
        <v>22</v>
      </c>
      <c r="H216" s="1">
        <v>45139</v>
      </c>
      <c r="I216" t="s">
        <v>230</v>
      </c>
      <c r="J216">
        <v>39665315</v>
      </c>
      <c r="K216">
        <v>80201150</v>
      </c>
      <c r="L216" t="s">
        <v>24</v>
      </c>
      <c r="M216" s="1">
        <v>45778</v>
      </c>
      <c r="N216" t="s">
        <v>25</v>
      </c>
      <c r="O216">
        <v>418.16</v>
      </c>
      <c r="P216">
        <v>20</v>
      </c>
      <c r="R216" t="s">
        <v>15</v>
      </c>
      <c r="S216" t="s">
        <v>26</v>
      </c>
    </row>
    <row r="217" spans="1:19" x14ac:dyDescent="0.25">
      <c r="A217" s="1">
        <v>45808</v>
      </c>
      <c r="B217" t="s">
        <v>19</v>
      </c>
      <c r="C217" t="s">
        <v>20</v>
      </c>
      <c r="D217">
        <v>4874327</v>
      </c>
      <c r="E217" t="s">
        <v>21</v>
      </c>
      <c r="G217" t="s">
        <v>22</v>
      </c>
      <c r="H217" s="1">
        <v>44927</v>
      </c>
      <c r="I217" t="s">
        <v>231</v>
      </c>
      <c r="J217">
        <v>40578047</v>
      </c>
      <c r="K217">
        <v>80005471</v>
      </c>
      <c r="L217" t="s">
        <v>24</v>
      </c>
      <c r="M217" s="1">
        <v>45778</v>
      </c>
      <c r="N217" t="s">
        <v>25</v>
      </c>
      <c r="O217">
        <v>903.02</v>
      </c>
      <c r="P217">
        <v>20</v>
      </c>
      <c r="R217" t="s">
        <v>15</v>
      </c>
      <c r="S217" t="s">
        <v>26</v>
      </c>
    </row>
    <row r="218" spans="1:19" x14ac:dyDescent="0.25">
      <c r="A218" s="1">
        <v>45808</v>
      </c>
      <c r="B218" t="s">
        <v>19</v>
      </c>
      <c r="C218" t="s">
        <v>232</v>
      </c>
      <c r="D218">
        <v>5375251</v>
      </c>
      <c r="E218" t="s">
        <v>233</v>
      </c>
      <c r="G218" t="s">
        <v>22</v>
      </c>
      <c r="H218" s="1">
        <v>45292</v>
      </c>
      <c r="I218" t="s">
        <v>234</v>
      </c>
      <c r="J218">
        <v>42134658</v>
      </c>
      <c r="K218">
        <v>80203860</v>
      </c>
      <c r="L218" t="s">
        <v>24</v>
      </c>
      <c r="M218" s="1">
        <v>45748</v>
      </c>
      <c r="N218" t="s">
        <v>28</v>
      </c>
      <c r="O218">
        <v>958.69</v>
      </c>
      <c r="P218">
        <v>20</v>
      </c>
      <c r="R218" t="s">
        <v>15</v>
      </c>
      <c r="S218" t="s">
        <v>26</v>
      </c>
    </row>
    <row r="219" spans="1:19" x14ac:dyDescent="0.25">
      <c r="A219" s="1">
        <v>45808</v>
      </c>
      <c r="B219" t="s">
        <v>19</v>
      </c>
      <c r="C219" t="s">
        <v>232</v>
      </c>
      <c r="D219">
        <v>5375251</v>
      </c>
      <c r="E219" t="s">
        <v>233</v>
      </c>
      <c r="G219" t="s">
        <v>22</v>
      </c>
      <c r="H219" s="1">
        <v>45292</v>
      </c>
      <c r="I219" t="s">
        <v>235</v>
      </c>
      <c r="J219">
        <v>41366241</v>
      </c>
      <c r="K219">
        <v>80229078</v>
      </c>
      <c r="L219" t="s">
        <v>24</v>
      </c>
      <c r="M219" s="1">
        <v>45778</v>
      </c>
      <c r="N219" t="s">
        <v>25</v>
      </c>
      <c r="O219">
        <v>1311.85</v>
      </c>
      <c r="P219">
        <v>60</v>
      </c>
      <c r="R219" t="s">
        <v>15</v>
      </c>
      <c r="S219" t="s">
        <v>26</v>
      </c>
    </row>
    <row r="220" spans="1:19" x14ac:dyDescent="0.25">
      <c r="A220" s="1">
        <v>45808</v>
      </c>
      <c r="B220" t="s">
        <v>19</v>
      </c>
      <c r="C220" t="s">
        <v>232</v>
      </c>
      <c r="D220">
        <v>5375251</v>
      </c>
      <c r="E220" t="s">
        <v>233</v>
      </c>
      <c r="G220" t="s">
        <v>22</v>
      </c>
      <c r="H220" s="1">
        <v>45323</v>
      </c>
      <c r="I220" t="s">
        <v>236</v>
      </c>
      <c r="J220">
        <v>42833643</v>
      </c>
      <c r="K220">
        <v>81356567</v>
      </c>
      <c r="L220" t="s">
        <v>24</v>
      </c>
      <c r="M220" s="1">
        <v>45748</v>
      </c>
      <c r="N220" t="s">
        <v>28</v>
      </c>
      <c r="O220">
        <v>587.64</v>
      </c>
      <c r="P220">
        <v>40</v>
      </c>
      <c r="R220" t="s">
        <v>15</v>
      </c>
      <c r="S220" t="s">
        <v>26</v>
      </c>
    </row>
    <row r="221" spans="1:19" x14ac:dyDescent="0.25">
      <c r="A221" s="1">
        <v>45808</v>
      </c>
      <c r="B221" t="s">
        <v>19</v>
      </c>
      <c r="C221" t="s">
        <v>20</v>
      </c>
      <c r="D221">
        <v>4874327</v>
      </c>
      <c r="E221" t="s">
        <v>21</v>
      </c>
      <c r="G221" t="s">
        <v>22</v>
      </c>
      <c r="H221" s="1">
        <v>44927</v>
      </c>
      <c r="I221" t="s">
        <v>237</v>
      </c>
      <c r="J221">
        <v>40578632</v>
      </c>
      <c r="K221">
        <v>80095832</v>
      </c>
      <c r="L221" t="s">
        <v>24</v>
      </c>
      <c r="M221" s="1">
        <v>45748</v>
      </c>
      <c r="N221" t="s">
        <v>28</v>
      </c>
      <c r="O221">
        <v>778.17</v>
      </c>
      <c r="P221">
        <v>20</v>
      </c>
      <c r="R221" t="s">
        <v>15</v>
      </c>
      <c r="S221" t="s">
        <v>26</v>
      </c>
    </row>
    <row r="222" spans="1:19" x14ac:dyDescent="0.25">
      <c r="A222" s="1">
        <v>45808</v>
      </c>
      <c r="B222" t="s">
        <v>19</v>
      </c>
      <c r="C222" t="s">
        <v>20</v>
      </c>
      <c r="D222">
        <v>4874327</v>
      </c>
      <c r="E222" t="s">
        <v>21</v>
      </c>
      <c r="G222" t="s">
        <v>22</v>
      </c>
      <c r="H222" s="1">
        <v>45078</v>
      </c>
      <c r="I222" t="s">
        <v>238</v>
      </c>
      <c r="J222">
        <v>35877704</v>
      </c>
      <c r="K222">
        <v>80105730</v>
      </c>
      <c r="L222" t="s">
        <v>24</v>
      </c>
      <c r="M222" s="1">
        <v>45778</v>
      </c>
      <c r="N222" t="s">
        <v>25</v>
      </c>
      <c r="O222">
        <v>328.31</v>
      </c>
      <c r="P222">
        <v>20</v>
      </c>
      <c r="R222" t="s">
        <v>15</v>
      </c>
      <c r="S222" t="s">
        <v>26</v>
      </c>
    </row>
    <row r="223" spans="1:19" x14ac:dyDescent="0.25">
      <c r="A223" s="1">
        <v>45808</v>
      </c>
      <c r="B223" t="s">
        <v>19</v>
      </c>
      <c r="C223" t="s">
        <v>239</v>
      </c>
      <c r="D223">
        <v>5387584</v>
      </c>
      <c r="E223" t="s">
        <v>240</v>
      </c>
      <c r="G223" t="s">
        <v>22</v>
      </c>
      <c r="H223" s="1">
        <v>45292</v>
      </c>
      <c r="I223" t="s">
        <v>241</v>
      </c>
      <c r="J223">
        <v>42134576</v>
      </c>
      <c r="K223">
        <v>80144160</v>
      </c>
      <c r="L223" t="s">
        <v>24</v>
      </c>
      <c r="M223" s="1">
        <v>45778</v>
      </c>
      <c r="N223" t="s">
        <v>25</v>
      </c>
      <c r="O223">
        <v>279.98</v>
      </c>
      <c r="P223">
        <v>20</v>
      </c>
      <c r="R223" t="s">
        <v>15</v>
      </c>
      <c r="S223" t="s">
        <v>26</v>
      </c>
    </row>
    <row r="224" spans="1:19" x14ac:dyDescent="0.25">
      <c r="A224" s="1">
        <v>45808</v>
      </c>
      <c r="B224" t="s">
        <v>19</v>
      </c>
      <c r="C224" t="s">
        <v>20</v>
      </c>
      <c r="D224">
        <v>4874327</v>
      </c>
      <c r="E224" t="s">
        <v>21</v>
      </c>
      <c r="G224" t="s">
        <v>22</v>
      </c>
      <c r="H224" s="1">
        <v>45627</v>
      </c>
      <c r="I224" t="s">
        <v>242</v>
      </c>
      <c r="J224">
        <v>49439526</v>
      </c>
      <c r="K224">
        <v>81653749</v>
      </c>
      <c r="L224" t="s">
        <v>24</v>
      </c>
      <c r="M224" s="1">
        <v>45778</v>
      </c>
      <c r="N224" t="s">
        <v>25</v>
      </c>
      <c r="O224">
        <v>763.44</v>
      </c>
      <c r="P224">
        <v>20</v>
      </c>
      <c r="R224" t="s">
        <v>15</v>
      </c>
      <c r="S224" t="s">
        <v>26</v>
      </c>
    </row>
    <row r="225" spans="1:19" x14ac:dyDescent="0.25">
      <c r="A225" s="1">
        <v>45808</v>
      </c>
      <c r="B225" t="s">
        <v>19</v>
      </c>
      <c r="C225" t="s">
        <v>20</v>
      </c>
      <c r="D225">
        <v>4874327</v>
      </c>
      <c r="E225" t="s">
        <v>21</v>
      </c>
      <c r="G225" t="s">
        <v>22</v>
      </c>
      <c r="H225" s="1">
        <v>45292</v>
      </c>
      <c r="I225" t="s">
        <v>243</v>
      </c>
      <c r="J225">
        <v>42134313</v>
      </c>
      <c r="K225">
        <v>80013486</v>
      </c>
      <c r="L225" t="s">
        <v>24</v>
      </c>
      <c r="M225" s="1">
        <v>45778</v>
      </c>
      <c r="N225" t="s">
        <v>25</v>
      </c>
      <c r="O225">
        <v>951.35</v>
      </c>
      <c r="P225">
        <v>20</v>
      </c>
      <c r="R225" t="s">
        <v>15</v>
      </c>
      <c r="S225" t="s">
        <v>26</v>
      </c>
    </row>
    <row r="226" spans="1:19" x14ac:dyDescent="0.25">
      <c r="A226" s="1">
        <v>45808</v>
      </c>
      <c r="B226" t="s">
        <v>19</v>
      </c>
      <c r="C226" t="s">
        <v>20</v>
      </c>
      <c r="D226">
        <v>4874327</v>
      </c>
      <c r="E226" t="s">
        <v>21</v>
      </c>
      <c r="G226" t="s">
        <v>22</v>
      </c>
      <c r="H226" s="1">
        <v>44927</v>
      </c>
      <c r="I226" t="s">
        <v>244</v>
      </c>
      <c r="J226">
        <v>41366169</v>
      </c>
      <c r="K226">
        <v>80213978</v>
      </c>
      <c r="L226" t="s">
        <v>24</v>
      </c>
      <c r="M226" s="1">
        <v>45748</v>
      </c>
      <c r="N226" t="s">
        <v>28</v>
      </c>
      <c r="O226">
        <v>965.89</v>
      </c>
      <c r="P226">
        <v>20</v>
      </c>
      <c r="R226" t="s">
        <v>15</v>
      </c>
      <c r="S226" t="s">
        <v>26</v>
      </c>
    </row>
    <row r="227" spans="1:19" x14ac:dyDescent="0.25">
      <c r="A227" s="1">
        <v>45808</v>
      </c>
      <c r="B227" t="s">
        <v>19</v>
      </c>
      <c r="C227" t="s">
        <v>20</v>
      </c>
      <c r="D227">
        <v>4874327</v>
      </c>
      <c r="E227" t="s">
        <v>21</v>
      </c>
      <c r="G227" t="s">
        <v>22</v>
      </c>
      <c r="H227" s="1">
        <v>44927</v>
      </c>
      <c r="I227" t="s">
        <v>245</v>
      </c>
      <c r="J227">
        <v>40578488</v>
      </c>
      <c r="K227">
        <v>80085881</v>
      </c>
      <c r="L227" t="s">
        <v>24</v>
      </c>
      <c r="M227" s="1">
        <v>45778</v>
      </c>
      <c r="N227" t="s">
        <v>25</v>
      </c>
      <c r="O227">
        <v>680.82</v>
      </c>
      <c r="P227">
        <v>20</v>
      </c>
      <c r="R227" t="s">
        <v>15</v>
      </c>
      <c r="S227" t="s">
        <v>26</v>
      </c>
    </row>
    <row r="228" spans="1:19" x14ac:dyDescent="0.25">
      <c r="A228" s="1">
        <v>45808</v>
      </c>
      <c r="B228" t="s">
        <v>19</v>
      </c>
      <c r="C228" t="s">
        <v>20</v>
      </c>
      <c r="D228">
        <v>4874327</v>
      </c>
      <c r="E228" t="s">
        <v>21</v>
      </c>
      <c r="G228" t="s">
        <v>22</v>
      </c>
      <c r="H228" s="1">
        <v>45566</v>
      </c>
      <c r="I228" t="s">
        <v>246</v>
      </c>
      <c r="J228">
        <v>47497575</v>
      </c>
      <c r="K228">
        <v>81216553</v>
      </c>
      <c r="L228" t="s">
        <v>24</v>
      </c>
      <c r="M228" s="1">
        <v>45778</v>
      </c>
      <c r="N228" t="s">
        <v>25</v>
      </c>
      <c r="O228">
        <v>236.17</v>
      </c>
      <c r="P228">
        <v>20</v>
      </c>
      <c r="R228" t="s">
        <v>15</v>
      </c>
      <c r="S228" t="s">
        <v>26</v>
      </c>
    </row>
    <row r="229" spans="1:19" x14ac:dyDescent="0.25">
      <c r="A229" s="1">
        <v>45808</v>
      </c>
      <c r="B229" t="s">
        <v>19</v>
      </c>
      <c r="C229" t="s">
        <v>20</v>
      </c>
      <c r="D229">
        <v>4874327</v>
      </c>
      <c r="E229" t="s">
        <v>21</v>
      </c>
      <c r="G229" t="s">
        <v>22</v>
      </c>
      <c r="H229" s="1">
        <v>44927</v>
      </c>
      <c r="I229" t="s">
        <v>247</v>
      </c>
      <c r="J229">
        <v>41365514</v>
      </c>
      <c r="K229">
        <v>80043152</v>
      </c>
      <c r="L229" t="s">
        <v>24</v>
      </c>
      <c r="M229" s="1">
        <v>45778</v>
      </c>
      <c r="N229" t="s">
        <v>25</v>
      </c>
      <c r="O229">
        <v>2038.37</v>
      </c>
      <c r="P229">
        <v>60</v>
      </c>
      <c r="R229" t="s">
        <v>15</v>
      </c>
      <c r="S229" t="s">
        <v>26</v>
      </c>
    </row>
    <row r="230" spans="1:19" x14ac:dyDescent="0.25">
      <c r="A230" s="1">
        <v>45808</v>
      </c>
      <c r="B230" t="s">
        <v>19</v>
      </c>
      <c r="C230" t="s">
        <v>29</v>
      </c>
      <c r="D230">
        <v>5485984</v>
      </c>
      <c r="E230" t="s">
        <v>30</v>
      </c>
      <c r="G230" t="s">
        <v>22</v>
      </c>
      <c r="H230" s="1">
        <v>45292</v>
      </c>
      <c r="I230" t="s">
        <v>248</v>
      </c>
      <c r="J230">
        <v>46375006</v>
      </c>
      <c r="K230">
        <v>80185610</v>
      </c>
      <c r="L230" t="s">
        <v>24</v>
      </c>
      <c r="M230" s="1">
        <v>45778</v>
      </c>
      <c r="N230" t="s">
        <v>25</v>
      </c>
      <c r="O230">
        <v>919.43</v>
      </c>
      <c r="P230">
        <v>20</v>
      </c>
      <c r="R230" t="s">
        <v>15</v>
      </c>
      <c r="S230" t="s">
        <v>26</v>
      </c>
    </row>
    <row r="231" spans="1:19" x14ac:dyDescent="0.25">
      <c r="A231" s="1">
        <v>45808</v>
      </c>
      <c r="B231" t="s">
        <v>19</v>
      </c>
      <c r="C231" t="s">
        <v>20</v>
      </c>
      <c r="D231">
        <v>4874327</v>
      </c>
      <c r="E231" t="s">
        <v>21</v>
      </c>
      <c r="G231" t="s">
        <v>22</v>
      </c>
      <c r="H231" s="1">
        <v>44927</v>
      </c>
      <c r="I231" t="s">
        <v>249</v>
      </c>
      <c r="J231">
        <v>40578439</v>
      </c>
      <c r="K231">
        <v>80078437</v>
      </c>
      <c r="L231" t="s">
        <v>24</v>
      </c>
      <c r="M231" s="1">
        <v>45778</v>
      </c>
      <c r="N231" t="s">
        <v>25</v>
      </c>
      <c r="O231">
        <v>514.29999999999995</v>
      </c>
      <c r="P231">
        <v>20</v>
      </c>
      <c r="R231" t="s">
        <v>15</v>
      </c>
      <c r="S231" t="s">
        <v>26</v>
      </c>
    </row>
    <row r="232" spans="1:19" x14ac:dyDescent="0.25">
      <c r="A232" s="1">
        <v>45808</v>
      </c>
      <c r="B232" t="s">
        <v>19</v>
      </c>
      <c r="C232" t="s">
        <v>20</v>
      </c>
      <c r="D232">
        <v>4874327</v>
      </c>
      <c r="E232" t="s">
        <v>21</v>
      </c>
      <c r="G232" t="s">
        <v>22</v>
      </c>
      <c r="H232" s="1">
        <v>44927</v>
      </c>
      <c r="I232" t="s">
        <v>250</v>
      </c>
      <c r="J232">
        <v>40578251</v>
      </c>
      <c r="K232">
        <v>80038715</v>
      </c>
      <c r="L232" t="s">
        <v>24</v>
      </c>
      <c r="M232" s="1">
        <v>45778</v>
      </c>
      <c r="N232" t="s">
        <v>25</v>
      </c>
      <c r="O232">
        <v>850.21</v>
      </c>
      <c r="P232">
        <v>20</v>
      </c>
      <c r="R232" t="s">
        <v>15</v>
      </c>
      <c r="S232" t="s">
        <v>26</v>
      </c>
    </row>
    <row r="233" spans="1:19" x14ac:dyDescent="0.25">
      <c r="A233" s="1">
        <v>45808</v>
      </c>
      <c r="B233" t="s">
        <v>19</v>
      </c>
      <c r="C233" t="s">
        <v>20</v>
      </c>
      <c r="D233">
        <v>4874327</v>
      </c>
      <c r="E233" t="s">
        <v>21</v>
      </c>
      <c r="G233" t="s">
        <v>22</v>
      </c>
      <c r="H233" s="1">
        <v>45292</v>
      </c>
      <c r="I233" t="s">
        <v>251</v>
      </c>
      <c r="J233">
        <v>42134388</v>
      </c>
      <c r="K233">
        <v>80056598</v>
      </c>
      <c r="L233" t="s">
        <v>24</v>
      </c>
      <c r="M233" s="1">
        <v>45778</v>
      </c>
      <c r="N233" t="s">
        <v>25</v>
      </c>
      <c r="O233">
        <v>538.05999999999995</v>
      </c>
      <c r="P233">
        <v>20</v>
      </c>
      <c r="R233" t="s">
        <v>15</v>
      </c>
      <c r="S233" t="s">
        <v>26</v>
      </c>
    </row>
    <row r="234" spans="1:19" x14ac:dyDescent="0.25">
      <c r="A234" s="1">
        <v>45808</v>
      </c>
      <c r="B234" t="s">
        <v>19</v>
      </c>
      <c r="C234" t="s">
        <v>38</v>
      </c>
      <c r="D234">
        <v>4506169</v>
      </c>
      <c r="E234" t="s">
        <v>39</v>
      </c>
      <c r="G234" t="s">
        <v>22</v>
      </c>
      <c r="H234" s="1">
        <v>45323</v>
      </c>
      <c r="I234" t="s">
        <v>252</v>
      </c>
      <c r="J234">
        <v>42833616</v>
      </c>
      <c r="K234">
        <v>81355799</v>
      </c>
      <c r="L234" t="s">
        <v>24</v>
      </c>
      <c r="M234" s="1">
        <v>45778</v>
      </c>
      <c r="N234" t="s">
        <v>25</v>
      </c>
      <c r="O234">
        <v>370.6</v>
      </c>
      <c r="P234">
        <v>20</v>
      </c>
      <c r="R234" t="s">
        <v>15</v>
      </c>
      <c r="S234" t="s">
        <v>26</v>
      </c>
    </row>
    <row r="235" spans="1:19" x14ac:dyDescent="0.25">
      <c r="A235" s="1">
        <v>45808</v>
      </c>
      <c r="B235" t="s">
        <v>19</v>
      </c>
      <c r="C235" t="s">
        <v>20</v>
      </c>
      <c r="D235">
        <v>4874327</v>
      </c>
      <c r="E235" t="s">
        <v>21</v>
      </c>
      <c r="G235" t="s">
        <v>22</v>
      </c>
      <c r="H235" s="1">
        <v>45474</v>
      </c>
      <c r="I235" t="s">
        <v>253</v>
      </c>
      <c r="J235">
        <v>45812069</v>
      </c>
      <c r="K235">
        <v>81369461</v>
      </c>
      <c r="L235" t="s">
        <v>24</v>
      </c>
      <c r="M235" s="1">
        <v>45778</v>
      </c>
      <c r="N235" t="s">
        <v>25</v>
      </c>
      <c r="O235">
        <v>258.07</v>
      </c>
      <c r="P235">
        <v>20</v>
      </c>
      <c r="R235" t="s">
        <v>15</v>
      </c>
      <c r="S235" t="s">
        <v>26</v>
      </c>
    </row>
    <row r="236" spans="1:19" x14ac:dyDescent="0.25">
      <c r="A236" s="1">
        <v>45808</v>
      </c>
      <c r="B236" t="s">
        <v>19</v>
      </c>
      <c r="C236" t="s">
        <v>38</v>
      </c>
      <c r="D236">
        <v>4506169</v>
      </c>
      <c r="E236" t="s">
        <v>39</v>
      </c>
      <c r="G236" t="s">
        <v>22</v>
      </c>
      <c r="H236" s="1">
        <v>45658</v>
      </c>
      <c r="I236" t="s">
        <v>254</v>
      </c>
      <c r="J236">
        <v>50176359</v>
      </c>
      <c r="K236">
        <v>81073771</v>
      </c>
      <c r="L236" t="s">
        <v>24</v>
      </c>
      <c r="M236" s="1">
        <v>45778</v>
      </c>
      <c r="N236" t="s">
        <v>25</v>
      </c>
      <c r="O236">
        <v>807.53</v>
      </c>
      <c r="P236">
        <v>40</v>
      </c>
      <c r="R236" t="s">
        <v>15</v>
      </c>
      <c r="S236" t="s">
        <v>26</v>
      </c>
    </row>
    <row r="237" spans="1:19" x14ac:dyDescent="0.25">
      <c r="A237" s="1">
        <v>45808</v>
      </c>
      <c r="B237" t="s">
        <v>19</v>
      </c>
      <c r="C237" t="s">
        <v>38</v>
      </c>
      <c r="D237">
        <v>4506169</v>
      </c>
      <c r="E237" t="s">
        <v>39</v>
      </c>
      <c r="G237" t="s">
        <v>22</v>
      </c>
      <c r="H237" s="1">
        <v>45505</v>
      </c>
      <c r="I237" t="s">
        <v>255</v>
      </c>
      <c r="J237">
        <v>46844942</v>
      </c>
      <c r="K237">
        <v>81374073</v>
      </c>
      <c r="L237" t="s">
        <v>24</v>
      </c>
      <c r="M237" s="1">
        <v>45778</v>
      </c>
      <c r="N237" t="s">
        <v>25</v>
      </c>
      <c r="O237">
        <v>1021.03</v>
      </c>
      <c r="P237">
        <v>20</v>
      </c>
      <c r="R237" t="s">
        <v>15</v>
      </c>
      <c r="S237" t="s">
        <v>26</v>
      </c>
    </row>
    <row r="238" spans="1:19" x14ac:dyDescent="0.25">
      <c r="A238" s="1">
        <v>45808</v>
      </c>
      <c r="B238" t="s">
        <v>19</v>
      </c>
      <c r="C238" t="s">
        <v>232</v>
      </c>
      <c r="D238">
        <v>5375251</v>
      </c>
      <c r="E238" t="s">
        <v>233</v>
      </c>
      <c r="G238" t="s">
        <v>22</v>
      </c>
      <c r="H238" s="1">
        <v>45292</v>
      </c>
      <c r="I238" t="s">
        <v>256</v>
      </c>
      <c r="J238">
        <v>42832665</v>
      </c>
      <c r="K238">
        <v>80154642</v>
      </c>
      <c r="L238" t="s">
        <v>24</v>
      </c>
      <c r="M238" s="1">
        <v>45748</v>
      </c>
      <c r="N238" t="s">
        <v>28</v>
      </c>
      <c r="O238">
        <v>691.89</v>
      </c>
      <c r="P238">
        <v>20</v>
      </c>
      <c r="R238" t="s">
        <v>15</v>
      </c>
      <c r="S238" t="s">
        <v>26</v>
      </c>
    </row>
    <row r="239" spans="1:19" x14ac:dyDescent="0.25">
      <c r="A239" s="1">
        <v>45808</v>
      </c>
      <c r="B239" t="s">
        <v>19</v>
      </c>
      <c r="C239" t="s">
        <v>38</v>
      </c>
      <c r="D239">
        <v>4506169</v>
      </c>
      <c r="E239" t="s">
        <v>39</v>
      </c>
      <c r="G239" t="s">
        <v>22</v>
      </c>
      <c r="H239" s="1">
        <v>44927</v>
      </c>
      <c r="I239" t="s">
        <v>257</v>
      </c>
      <c r="J239">
        <v>33259748</v>
      </c>
      <c r="K239">
        <v>80035565</v>
      </c>
      <c r="L239" t="s">
        <v>24</v>
      </c>
      <c r="M239" s="1">
        <v>45474</v>
      </c>
      <c r="N239" t="s">
        <v>96</v>
      </c>
      <c r="O239">
        <v>683.75</v>
      </c>
      <c r="P239">
        <v>20</v>
      </c>
      <c r="R239" t="s">
        <v>15</v>
      </c>
      <c r="S239" t="s">
        <v>26</v>
      </c>
    </row>
    <row r="240" spans="1:19" x14ac:dyDescent="0.25">
      <c r="A240" s="1">
        <v>45808</v>
      </c>
      <c r="B240" t="s">
        <v>19</v>
      </c>
      <c r="C240" t="s">
        <v>20</v>
      </c>
      <c r="D240">
        <v>4874327</v>
      </c>
      <c r="E240" t="s">
        <v>21</v>
      </c>
      <c r="G240" t="s">
        <v>22</v>
      </c>
      <c r="H240" s="1">
        <v>44927</v>
      </c>
      <c r="I240" t="s">
        <v>258</v>
      </c>
      <c r="J240">
        <v>40578102</v>
      </c>
      <c r="K240">
        <v>80022350</v>
      </c>
      <c r="L240" t="s">
        <v>24</v>
      </c>
      <c r="M240" s="1">
        <v>45778</v>
      </c>
      <c r="N240" t="s">
        <v>25</v>
      </c>
      <c r="O240">
        <v>426.01</v>
      </c>
      <c r="P240">
        <v>20</v>
      </c>
      <c r="R240" t="s">
        <v>15</v>
      </c>
      <c r="S240" t="s">
        <v>26</v>
      </c>
    </row>
    <row r="241" spans="1:19" x14ac:dyDescent="0.25">
      <c r="A241" s="1">
        <v>45808</v>
      </c>
      <c r="B241" t="s">
        <v>19</v>
      </c>
      <c r="C241" t="s">
        <v>20</v>
      </c>
      <c r="D241">
        <v>4874327</v>
      </c>
      <c r="E241" t="s">
        <v>21</v>
      </c>
      <c r="G241" t="s">
        <v>22</v>
      </c>
      <c r="H241" s="1">
        <v>44927</v>
      </c>
      <c r="I241" t="s">
        <v>259</v>
      </c>
      <c r="J241">
        <v>40579337</v>
      </c>
      <c r="K241">
        <v>80172902</v>
      </c>
      <c r="L241" t="s">
        <v>24</v>
      </c>
      <c r="M241" s="1">
        <v>45778</v>
      </c>
      <c r="N241" t="s">
        <v>25</v>
      </c>
      <c r="O241">
        <v>817.5</v>
      </c>
      <c r="P241">
        <v>20</v>
      </c>
      <c r="R241" t="s">
        <v>15</v>
      </c>
      <c r="S241" t="s">
        <v>26</v>
      </c>
    </row>
    <row r="242" spans="1:19" x14ac:dyDescent="0.25">
      <c r="A242" s="1">
        <v>45808</v>
      </c>
      <c r="B242" t="s">
        <v>19</v>
      </c>
      <c r="C242" t="s">
        <v>38</v>
      </c>
      <c r="D242">
        <v>4506169</v>
      </c>
      <c r="E242" t="s">
        <v>39</v>
      </c>
      <c r="G242" t="s">
        <v>22</v>
      </c>
      <c r="H242" s="1">
        <v>44927</v>
      </c>
      <c r="I242" t="s">
        <v>260</v>
      </c>
      <c r="J242">
        <v>33260011</v>
      </c>
      <c r="K242">
        <v>80105432</v>
      </c>
      <c r="L242" t="s">
        <v>24</v>
      </c>
      <c r="M242" s="1">
        <v>45748</v>
      </c>
      <c r="N242" t="s">
        <v>28</v>
      </c>
      <c r="O242">
        <v>798.21</v>
      </c>
      <c r="P242">
        <v>20</v>
      </c>
      <c r="R242" t="s">
        <v>15</v>
      </c>
      <c r="S242" t="s">
        <v>26</v>
      </c>
    </row>
    <row r="243" spans="1:19" x14ac:dyDescent="0.25">
      <c r="A243" s="1">
        <v>45808</v>
      </c>
      <c r="B243" t="s">
        <v>19</v>
      </c>
      <c r="C243" t="s">
        <v>38</v>
      </c>
      <c r="D243">
        <v>4506169</v>
      </c>
      <c r="E243" t="s">
        <v>39</v>
      </c>
      <c r="G243" t="s">
        <v>22</v>
      </c>
      <c r="H243" s="1">
        <v>45139</v>
      </c>
      <c r="I243" t="s">
        <v>261</v>
      </c>
      <c r="J243">
        <v>40578241</v>
      </c>
      <c r="K243">
        <v>80037736</v>
      </c>
      <c r="L243" t="s">
        <v>24</v>
      </c>
      <c r="M243" s="1">
        <v>45748</v>
      </c>
      <c r="N243" t="s">
        <v>28</v>
      </c>
      <c r="O243">
        <v>916.82</v>
      </c>
      <c r="P243">
        <v>20</v>
      </c>
      <c r="R243" t="s">
        <v>15</v>
      </c>
      <c r="S243" t="s">
        <v>26</v>
      </c>
    </row>
    <row r="244" spans="1:19" x14ac:dyDescent="0.25">
      <c r="A244" s="1">
        <v>45808</v>
      </c>
      <c r="B244" t="s">
        <v>19</v>
      </c>
      <c r="C244" t="s">
        <v>20</v>
      </c>
      <c r="D244">
        <v>4874327</v>
      </c>
      <c r="E244" t="s">
        <v>21</v>
      </c>
      <c r="G244" t="s">
        <v>22</v>
      </c>
      <c r="H244" s="1">
        <v>45658</v>
      </c>
      <c r="I244" t="s">
        <v>262</v>
      </c>
      <c r="J244">
        <v>50931568</v>
      </c>
      <c r="K244">
        <v>80233721</v>
      </c>
      <c r="L244" t="s">
        <v>24</v>
      </c>
      <c r="M244" s="1">
        <v>45778</v>
      </c>
      <c r="N244" t="s">
        <v>25</v>
      </c>
      <c r="O244">
        <v>868.6</v>
      </c>
      <c r="P244">
        <v>20</v>
      </c>
      <c r="R244" t="s">
        <v>15</v>
      </c>
      <c r="S244" t="s">
        <v>26</v>
      </c>
    </row>
    <row r="245" spans="1:19" x14ac:dyDescent="0.25">
      <c r="A245" s="1">
        <v>45808</v>
      </c>
      <c r="B245" t="s">
        <v>19</v>
      </c>
      <c r="C245" t="s">
        <v>38</v>
      </c>
      <c r="D245">
        <v>4506169</v>
      </c>
      <c r="E245" t="s">
        <v>39</v>
      </c>
      <c r="G245" t="s">
        <v>22</v>
      </c>
      <c r="H245" s="1">
        <v>45748</v>
      </c>
      <c r="I245" t="s">
        <v>263</v>
      </c>
      <c r="J245">
        <v>53217968</v>
      </c>
      <c r="K245">
        <v>81379173</v>
      </c>
      <c r="L245" t="s">
        <v>24</v>
      </c>
      <c r="M245" s="1">
        <v>45748</v>
      </c>
      <c r="N245" t="s">
        <v>28</v>
      </c>
      <c r="O245">
        <v>1430.2</v>
      </c>
      <c r="P245">
        <v>80</v>
      </c>
      <c r="R245" t="s">
        <v>15</v>
      </c>
      <c r="S245" t="s">
        <v>26</v>
      </c>
    </row>
    <row r="246" spans="1:19" x14ac:dyDescent="0.25">
      <c r="A246" s="1">
        <v>45808</v>
      </c>
      <c r="B246" t="s">
        <v>19</v>
      </c>
      <c r="C246" t="s">
        <v>38</v>
      </c>
      <c r="D246">
        <v>4506169</v>
      </c>
      <c r="E246" t="s">
        <v>39</v>
      </c>
      <c r="G246" t="s">
        <v>22</v>
      </c>
      <c r="H246" s="1">
        <v>44927</v>
      </c>
      <c r="I246" t="s">
        <v>264</v>
      </c>
      <c r="J246">
        <v>33260351</v>
      </c>
      <c r="K246">
        <v>80204064</v>
      </c>
      <c r="L246" t="s">
        <v>24</v>
      </c>
      <c r="M246" s="1">
        <v>45778</v>
      </c>
      <c r="N246" t="s">
        <v>25</v>
      </c>
      <c r="O246">
        <v>1810.01</v>
      </c>
      <c r="P246">
        <v>40</v>
      </c>
      <c r="R246" t="s">
        <v>15</v>
      </c>
      <c r="S246" t="s">
        <v>26</v>
      </c>
    </row>
    <row r="247" spans="1:19" x14ac:dyDescent="0.25">
      <c r="A247" s="1">
        <v>45808</v>
      </c>
      <c r="B247" t="s">
        <v>19</v>
      </c>
      <c r="C247" t="s">
        <v>20</v>
      </c>
      <c r="D247">
        <v>4874327</v>
      </c>
      <c r="E247" t="s">
        <v>21</v>
      </c>
      <c r="G247" t="s">
        <v>22</v>
      </c>
      <c r="H247" s="1">
        <v>44927</v>
      </c>
      <c r="I247" t="s">
        <v>265</v>
      </c>
      <c r="J247">
        <v>41366146</v>
      </c>
      <c r="K247">
        <v>80210867</v>
      </c>
      <c r="L247" t="s">
        <v>24</v>
      </c>
      <c r="M247" s="1">
        <v>45748</v>
      </c>
      <c r="N247" t="s">
        <v>28</v>
      </c>
      <c r="O247">
        <v>899.2</v>
      </c>
      <c r="P247">
        <v>40</v>
      </c>
      <c r="R247" t="s">
        <v>15</v>
      </c>
      <c r="S247" t="s">
        <v>26</v>
      </c>
    </row>
    <row r="248" spans="1:19" x14ac:dyDescent="0.25">
      <c r="A248" s="1">
        <v>45808</v>
      </c>
      <c r="B248" t="s">
        <v>19</v>
      </c>
      <c r="C248" t="s">
        <v>20</v>
      </c>
      <c r="D248">
        <v>4874327</v>
      </c>
      <c r="E248" t="s">
        <v>21</v>
      </c>
      <c r="G248" t="s">
        <v>22</v>
      </c>
      <c r="H248" s="1">
        <v>45536</v>
      </c>
      <c r="I248" t="s">
        <v>266</v>
      </c>
      <c r="J248">
        <v>48456269</v>
      </c>
      <c r="K248">
        <v>80137524</v>
      </c>
      <c r="L248" t="s">
        <v>24</v>
      </c>
      <c r="M248" s="1">
        <v>45778</v>
      </c>
      <c r="N248" t="s">
        <v>25</v>
      </c>
      <c r="O248">
        <v>827.42</v>
      </c>
      <c r="P248">
        <v>20</v>
      </c>
      <c r="R248" t="s">
        <v>15</v>
      </c>
      <c r="S248" t="s">
        <v>26</v>
      </c>
    </row>
    <row r="249" spans="1:19" x14ac:dyDescent="0.25">
      <c r="A249" s="1">
        <v>45808</v>
      </c>
      <c r="B249" t="s">
        <v>19</v>
      </c>
      <c r="C249" t="s">
        <v>20</v>
      </c>
      <c r="D249">
        <v>4874327</v>
      </c>
      <c r="E249" t="s">
        <v>21</v>
      </c>
      <c r="G249" t="s">
        <v>22</v>
      </c>
      <c r="H249" s="1">
        <v>45383</v>
      </c>
      <c r="I249" t="s">
        <v>267</v>
      </c>
      <c r="J249">
        <v>44538305</v>
      </c>
      <c r="K249">
        <v>81362865</v>
      </c>
      <c r="L249" t="s">
        <v>24</v>
      </c>
      <c r="M249" s="1">
        <v>45778</v>
      </c>
      <c r="N249" t="s">
        <v>25</v>
      </c>
      <c r="O249">
        <v>851.7</v>
      </c>
      <c r="P249">
        <v>20</v>
      </c>
      <c r="R249" t="s">
        <v>15</v>
      </c>
      <c r="S249" t="s">
        <v>26</v>
      </c>
    </row>
    <row r="250" spans="1:19" x14ac:dyDescent="0.25">
      <c r="A250" s="1">
        <v>45808</v>
      </c>
      <c r="B250" t="s">
        <v>19</v>
      </c>
      <c r="C250" t="s">
        <v>38</v>
      </c>
      <c r="D250">
        <v>4506169</v>
      </c>
      <c r="E250" t="s">
        <v>39</v>
      </c>
      <c r="G250" t="s">
        <v>22</v>
      </c>
      <c r="H250" s="1">
        <v>44927</v>
      </c>
      <c r="I250" t="s">
        <v>268</v>
      </c>
      <c r="J250">
        <v>41365489</v>
      </c>
      <c r="K250">
        <v>80035939</v>
      </c>
      <c r="L250" t="s">
        <v>24</v>
      </c>
      <c r="M250" s="1">
        <v>45778</v>
      </c>
      <c r="N250" t="s">
        <v>25</v>
      </c>
      <c r="O250">
        <v>468.76</v>
      </c>
      <c r="P250">
        <v>20</v>
      </c>
      <c r="R250" t="s">
        <v>15</v>
      </c>
      <c r="S250" t="s">
        <v>26</v>
      </c>
    </row>
    <row r="251" spans="1:19" x14ac:dyDescent="0.25">
      <c r="A251" s="1">
        <v>45808</v>
      </c>
      <c r="B251" t="s">
        <v>19</v>
      </c>
      <c r="C251" t="s">
        <v>29</v>
      </c>
      <c r="D251">
        <v>5485984</v>
      </c>
      <c r="E251" t="s">
        <v>30</v>
      </c>
      <c r="G251" t="s">
        <v>22</v>
      </c>
      <c r="H251" s="1">
        <v>45292</v>
      </c>
      <c r="I251" t="s">
        <v>269</v>
      </c>
      <c r="J251">
        <v>45142080</v>
      </c>
      <c r="K251">
        <v>80118035</v>
      </c>
      <c r="L251" t="s">
        <v>187</v>
      </c>
      <c r="M251" s="1">
        <v>45778</v>
      </c>
      <c r="N251" t="s">
        <v>25</v>
      </c>
      <c r="O251">
        <v>648.07000000000005</v>
      </c>
      <c r="P251">
        <v>20</v>
      </c>
      <c r="R251" t="s">
        <v>15</v>
      </c>
      <c r="S251" t="s">
        <v>26</v>
      </c>
    </row>
    <row r="252" spans="1:19" x14ac:dyDescent="0.25">
      <c r="A252" s="1">
        <v>45808</v>
      </c>
      <c r="B252" t="s">
        <v>19</v>
      </c>
      <c r="C252" t="s">
        <v>29</v>
      </c>
      <c r="D252">
        <v>5485984</v>
      </c>
      <c r="E252" t="s">
        <v>30</v>
      </c>
      <c r="G252" t="s">
        <v>22</v>
      </c>
      <c r="H252" s="1">
        <v>45292</v>
      </c>
      <c r="I252" t="s">
        <v>269</v>
      </c>
      <c r="J252">
        <v>45142080</v>
      </c>
      <c r="K252">
        <v>80118035</v>
      </c>
      <c r="L252" t="s">
        <v>187</v>
      </c>
      <c r="M252" s="1">
        <v>45778</v>
      </c>
      <c r="N252" t="s">
        <v>25</v>
      </c>
      <c r="O252">
        <v>27.68</v>
      </c>
      <c r="P252">
        <v>2.77</v>
      </c>
      <c r="R252" t="s">
        <v>15</v>
      </c>
      <c r="S252" t="s">
        <v>26</v>
      </c>
    </row>
    <row r="253" spans="1:19" x14ac:dyDescent="0.25">
      <c r="A253" s="1">
        <v>45808</v>
      </c>
      <c r="B253" t="s">
        <v>19</v>
      </c>
      <c r="C253" t="s">
        <v>29</v>
      </c>
      <c r="D253">
        <v>5485984</v>
      </c>
      <c r="E253" t="s">
        <v>30</v>
      </c>
      <c r="G253" t="s">
        <v>22</v>
      </c>
      <c r="H253" s="1">
        <v>45292</v>
      </c>
      <c r="I253" t="s">
        <v>269</v>
      </c>
      <c r="J253">
        <v>45142080</v>
      </c>
      <c r="K253">
        <v>80118035</v>
      </c>
      <c r="L253" t="s">
        <v>187</v>
      </c>
      <c r="M253" s="1">
        <v>45778</v>
      </c>
      <c r="N253" t="s">
        <v>25</v>
      </c>
      <c r="O253">
        <v>15.28</v>
      </c>
      <c r="P253">
        <v>1.53</v>
      </c>
      <c r="R253" t="s">
        <v>15</v>
      </c>
      <c r="S253" t="s">
        <v>26</v>
      </c>
    </row>
    <row r="254" spans="1:19" x14ac:dyDescent="0.25">
      <c r="A254" s="1">
        <v>45808</v>
      </c>
      <c r="B254" t="s">
        <v>19</v>
      </c>
      <c r="C254" t="s">
        <v>20</v>
      </c>
      <c r="D254">
        <v>4874327</v>
      </c>
      <c r="E254" t="s">
        <v>21</v>
      </c>
      <c r="G254" t="s">
        <v>22</v>
      </c>
      <c r="H254" s="1">
        <v>45200</v>
      </c>
      <c r="I254" t="s">
        <v>270</v>
      </c>
      <c r="J254">
        <v>40578042</v>
      </c>
      <c r="K254">
        <v>80004331</v>
      </c>
      <c r="L254" t="s">
        <v>24</v>
      </c>
      <c r="M254" s="1">
        <v>45778</v>
      </c>
      <c r="N254" t="s">
        <v>25</v>
      </c>
      <c r="O254">
        <v>611.14</v>
      </c>
      <c r="P254">
        <v>40</v>
      </c>
      <c r="R254" t="s">
        <v>15</v>
      </c>
      <c r="S254" t="s">
        <v>26</v>
      </c>
    </row>
    <row r="255" spans="1:19" x14ac:dyDescent="0.25">
      <c r="A255" s="1">
        <v>45808</v>
      </c>
      <c r="B255" t="s">
        <v>19</v>
      </c>
      <c r="C255" t="s">
        <v>38</v>
      </c>
      <c r="D255">
        <v>4506169</v>
      </c>
      <c r="E255" t="s">
        <v>39</v>
      </c>
      <c r="G255" t="s">
        <v>22</v>
      </c>
      <c r="H255" s="1">
        <v>45505</v>
      </c>
      <c r="I255" t="s">
        <v>271</v>
      </c>
      <c r="J255">
        <v>46845136</v>
      </c>
      <c r="K255">
        <v>81373176</v>
      </c>
      <c r="L255" t="s">
        <v>24</v>
      </c>
      <c r="M255" s="1">
        <v>45748</v>
      </c>
      <c r="N255" t="s">
        <v>28</v>
      </c>
      <c r="O255">
        <v>628.25</v>
      </c>
      <c r="P255">
        <v>40</v>
      </c>
      <c r="R255" t="s">
        <v>15</v>
      </c>
      <c r="S255" t="s">
        <v>26</v>
      </c>
    </row>
    <row r="256" spans="1:19" x14ac:dyDescent="0.25">
      <c r="A256" s="1">
        <v>45808</v>
      </c>
      <c r="B256" t="s">
        <v>19</v>
      </c>
      <c r="C256" t="s">
        <v>29</v>
      </c>
      <c r="D256">
        <v>5485984</v>
      </c>
      <c r="E256" t="s">
        <v>30</v>
      </c>
      <c r="G256" t="s">
        <v>22</v>
      </c>
      <c r="H256" s="1">
        <v>45292</v>
      </c>
      <c r="I256" t="s">
        <v>272</v>
      </c>
      <c r="J256">
        <v>46374980</v>
      </c>
      <c r="K256">
        <v>80096391</v>
      </c>
      <c r="L256" t="s">
        <v>24</v>
      </c>
      <c r="M256" s="1">
        <v>45717</v>
      </c>
      <c r="N256" t="s">
        <v>60</v>
      </c>
      <c r="O256">
        <v>1006.7</v>
      </c>
      <c r="P256">
        <v>40</v>
      </c>
      <c r="R256" t="s">
        <v>15</v>
      </c>
      <c r="S256" t="s">
        <v>26</v>
      </c>
    </row>
    <row r="257" spans="1:19" x14ac:dyDescent="0.25">
      <c r="A257" s="1">
        <v>45808</v>
      </c>
      <c r="B257" t="s">
        <v>19</v>
      </c>
      <c r="C257" t="s">
        <v>29</v>
      </c>
      <c r="D257">
        <v>5485984</v>
      </c>
      <c r="E257" t="s">
        <v>30</v>
      </c>
      <c r="G257" t="s">
        <v>22</v>
      </c>
      <c r="H257" s="1">
        <v>45292</v>
      </c>
      <c r="I257" t="s">
        <v>272</v>
      </c>
      <c r="J257">
        <v>46374980</v>
      </c>
      <c r="K257">
        <v>80096391</v>
      </c>
      <c r="L257" t="s">
        <v>24</v>
      </c>
      <c r="M257" s="1">
        <v>45748</v>
      </c>
      <c r="N257" t="s">
        <v>28</v>
      </c>
      <c r="O257">
        <v>1006.7</v>
      </c>
      <c r="P257">
        <v>40</v>
      </c>
      <c r="R257" t="s">
        <v>15</v>
      </c>
      <c r="S257" t="s">
        <v>26</v>
      </c>
    </row>
    <row r="258" spans="1:19" x14ac:dyDescent="0.25">
      <c r="A258" s="1">
        <v>45808</v>
      </c>
      <c r="B258" t="s">
        <v>19</v>
      </c>
      <c r="C258" t="s">
        <v>20</v>
      </c>
      <c r="D258">
        <v>4874327</v>
      </c>
      <c r="E258" t="s">
        <v>21</v>
      </c>
      <c r="G258" t="s">
        <v>22</v>
      </c>
      <c r="H258" s="1">
        <v>45292</v>
      </c>
      <c r="I258" t="s">
        <v>273</v>
      </c>
      <c r="J258">
        <v>41366399</v>
      </c>
      <c r="K258">
        <v>81343440</v>
      </c>
      <c r="L258" t="s">
        <v>24</v>
      </c>
      <c r="M258" s="1">
        <v>45748</v>
      </c>
      <c r="N258" t="s">
        <v>28</v>
      </c>
      <c r="O258">
        <v>562.04999999999995</v>
      </c>
      <c r="P258">
        <v>20</v>
      </c>
      <c r="R258" t="s">
        <v>15</v>
      </c>
      <c r="S258" t="s">
        <v>26</v>
      </c>
    </row>
    <row r="259" spans="1:19" x14ac:dyDescent="0.25">
      <c r="A259" s="1">
        <v>45808</v>
      </c>
      <c r="B259" t="s">
        <v>19</v>
      </c>
      <c r="C259" t="s">
        <v>239</v>
      </c>
      <c r="D259">
        <v>5387584</v>
      </c>
      <c r="E259" t="s">
        <v>240</v>
      </c>
      <c r="G259" t="s">
        <v>22</v>
      </c>
      <c r="H259" s="1">
        <v>45323</v>
      </c>
      <c r="I259" t="s">
        <v>274</v>
      </c>
      <c r="J259">
        <v>42833640</v>
      </c>
      <c r="K259">
        <v>81356514</v>
      </c>
      <c r="L259" t="s">
        <v>24</v>
      </c>
      <c r="M259" s="1">
        <v>45778</v>
      </c>
      <c r="N259" t="s">
        <v>25</v>
      </c>
      <c r="O259">
        <v>340.52</v>
      </c>
      <c r="P259">
        <v>20</v>
      </c>
      <c r="R259" t="s">
        <v>15</v>
      </c>
      <c r="S259" t="s">
        <v>26</v>
      </c>
    </row>
    <row r="260" spans="1:19" x14ac:dyDescent="0.25">
      <c r="A260" s="1">
        <v>45808</v>
      </c>
      <c r="B260" t="s">
        <v>19</v>
      </c>
      <c r="C260" t="s">
        <v>38</v>
      </c>
      <c r="D260">
        <v>4506169</v>
      </c>
      <c r="E260" t="s">
        <v>39</v>
      </c>
      <c r="G260" t="s">
        <v>22</v>
      </c>
      <c r="H260" s="1">
        <v>44927</v>
      </c>
      <c r="I260" t="s">
        <v>275</v>
      </c>
      <c r="J260">
        <v>41365462</v>
      </c>
      <c r="K260">
        <v>80029645</v>
      </c>
      <c r="L260" t="s">
        <v>24</v>
      </c>
      <c r="M260" s="1">
        <v>45748</v>
      </c>
      <c r="N260" t="s">
        <v>28</v>
      </c>
      <c r="O260">
        <v>916.82</v>
      </c>
      <c r="P260">
        <v>20</v>
      </c>
      <c r="R260" t="s">
        <v>15</v>
      </c>
      <c r="S260" t="s">
        <v>26</v>
      </c>
    </row>
    <row r="261" spans="1:19" x14ac:dyDescent="0.25">
      <c r="A261" s="1">
        <v>45808</v>
      </c>
      <c r="B261" t="s">
        <v>19</v>
      </c>
      <c r="C261" t="s">
        <v>38</v>
      </c>
      <c r="D261">
        <v>4506169</v>
      </c>
      <c r="E261" t="s">
        <v>39</v>
      </c>
      <c r="G261" t="s">
        <v>22</v>
      </c>
      <c r="H261" s="1">
        <v>44927</v>
      </c>
      <c r="I261" t="s">
        <v>275</v>
      </c>
      <c r="J261">
        <v>41365462</v>
      </c>
      <c r="K261">
        <v>80029645</v>
      </c>
      <c r="L261" t="s">
        <v>24</v>
      </c>
      <c r="M261" s="1">
        <v>45778</v>
      </c>
      <c r="N261" t="s">
        <v>25</v>
      </c>
      <c r="O261">
        <v>916.82</v>
      </c>
      <c r="P261">
        <v>20</v>
      </c>
      <c r="R261" t="s">
        <v>15</v>
      </c>
      <c r="S261" t="s">
        <v>26</v>
      </c>
    </row>
    <row r="262" spans="1:19" x14ac:dyDescent="0.25">
      <c r="A262" s="1">
        <v>45808</v>
      </c>
      <c r="B262" t="s">
        <v>19</v>
      </c>
      <c r="C262" t="s">
        <v>38</v>
      </c>
      <c r="D262">
        <v>4506169</v>
      </c>
      <c r="E262" t="s">
        <v>39</v>
      </c>
      <c r="G262" t="s">
        <v>22</v>
      </c>
      <c r="H262" s="1">
        <v>44927</v>
      </c>
      <c r="I262" t="s">
        <v>276</v>
      </c>
      <c r="J262">
        <v>33259861</v>
      </c>
      <c r="K262">
        <v>80063925</v>
      </c>
      <c r="L262" t="s">
        <v>24</v>
      </c>
      <c r="M262" s="1">
        <v>45778</v>
      </c>
      <c r="N262" t="s">
        <v>25</v>
      </c>
      <c r="O262">
        <v>877.7</v>
      </c>
      <c r="P262">
        <v>20</v>
      </c>
      <c r="R262" t="s">
        <v>15</v>
      </c>
      <c r="S262" t="s">
        <v>26</v>
      </c>
    </row>
    <row r="263" spans="1:19" x14ac:dyDescent="0.25">
      <c r="A263" s="1">
        <v>45808</v>
      </c>
      <c r="B263" t="s">
        <v>19</v>
      </c>
      <c r="C263" t="s">
        <v>20</v>
      </c>
      <c r="D263">
        <v>4874327</v>
      </c>
      <c r="E263" t="s">
        <v>21</v>
      </c>
      <c r="G263" t="s">
        <v>22</v>
      </c>
      <c r="H263" s="1">
        <v>44927</v>
      </c>
      <c r="I263" t="s">
        <v>277</v>
      </c>
      <c r="J263">
        <v>41366073</v>
      </c>
      <c r="K263">
        <v>80190285</v>
      </c>
      <c r="L263" t="s">
        <v>24</v>
      </c>
      <c r="M263" s="1">
        <v>45748</v>
      </c>
      <c r="N263" t="s">
        <v>28</v>
      </c>
      <c r="O263">
        <v>662.6</v>
      </c>
      <c r="P263">
        <v>20</v>
      </c>
      <c r="R263" t="s">
        <v>15</v>
      </c>
      <c r="S263" t="s">
        <v>26</v>
      </c>
    </row>
    <row r="264" spans="1:19" x14ac:dyDescent="0.25">
      <c r="A264" s="1">
        <v>45808</v>
      </c>
      <c r="B264" t="s">
        <v>19</v>
      </c>
      <c r="C264" t="s">
        <v>20</v>
      </c>
      <c r="D264">
        <v>4874327</v>
      </c>
      <c r="E264" t="s">
        <v>21</v>
      </c>
      <c r="G264" t="s">
        <v>22</v>
      </c>
      <c r="H264" s="1">
        <v>44958</v>
      </c>
      <c r="I264" t="s">
        <v>278</v>
      </c>
      <c r="J264">
        <v>40578285</v>
      </c>
      <c r="K264">
        <v>80045804</v>
      </c>
      <c r="L264" t="s">
        <v>24</v>
      </c>
      <c r="M264" s="1">
        <v>45778</v>
      </c>
      <c r="N264" t="s">
        <v>25</v>
      </c>
      <c r="O264">
        <v>400.36</v>
      </c>
      <c r="P264">
        <v>20</v>
      </c>
      <c r="R264" t="s">
        <v>15</v>
      </c>
      <c r="S264" t="s">
        <v>26</v>
      </c>
    </row>
    <row r="265" spans="1:19" x14ac:dyDescent="0.25">
      <c r="A265" s="1">
        <v>45808</v>
      </c>
      <c r="B265" t="s">
        <v>19</v>
      </c>
      <c r="C265" t="s">
        <v>20</v>
      </c>
      <c r="D265">
        <v>4874327</v>
      </c>
      <c r="E265" t="s">
        <v>21</v>
      </c>
      <c r="G265" t="s">
        <v>22</v>
      </c>
      <c r="H265" s="1">
        <v>44927</v>
      </c>
      <c r="I265" t="s">
        <v>279</v>
      </c>
      <c r="J265">
        <v>41365949</v>
      </c>
      <c r="K265">
        <v>80146769</v>
      </c>
      <c r="L265" t="s">
        <v>24</v>
      </c>
      <c r="M265" s="1">
        <v>45748</v>
      </c>
      <c r="N265" t="s">
        <v>28</v>
      </c>
      <c r="O265">
        <v>919.43</v>
      </c>
      <c r="P265">
        <v>20</v>
      </c>
      <c r="R265" t="s">
        <v>15</v>
      </c>
      <c r="S265" t="s">
        <v>26</v>
      </c>
    </row>
    <row r="266" spans="1:19" x14ac:dyDescent="0.25">
      <c r="A266" s="1">
        <v>45808</v>
      </c>
      <c r="B266" t="s">
        <v>19</v>
      </c>
      <c r="C266" t="s">
        <v>38</v>
      </c>
      <c r="D266">
        <v>4506169</v>
      </c>
      <c r="E266" t="s">
        <v>39</v>
      </c>
      <c r="G266" t="s">
        <v>22</v>
      </c>
      <c r="H266" s="1">
        <v>45292</v>
      </c>
      <c r="I266" t="s">
        <v>280</v>
      </c>
      <c r="J266">
        <v>42134410</v>
      </c>
      <c r="K266">
        <v>80062664</v>
      </c>
      <c r="L266" t="s">
        <v>24</v>
      </c>
      <c r="M266" s="1">
        <v>45778</v>
      </c>
      <c r="N266" t="s">
        <v>25</v>
      </c>
      <c r="O266">
        <v>1651.38</v>
      </c>
      <c r="P266">
        <v>40</v>
      </c>
      <c r="R266" t="s">
        <v>15</v>
      </c>
      <c r="S266" t="s">
        <v>26</v>
      </c>
    </row>
    <row r="267" spans="1:19" x14ac:dyDescent="0.25">
      <c r="A267" s="1">
        <v>45808</v>
      </c>
      <c r="B267" t="s">
        <v>19</v>
      </c>
      <c r="C267" t="s">
        <v>20</v>
      </c>
      <c r="D267">
        <v>4874327</v>
      </c>
      <c r="E267" t="s">
        <v>21</v>
      </c>
      <c r="G267" t="s">
        <v>22</v>
      </c>
      <c r="H267" s="1">
        <v>45444</v>
      </c>
      <c r="I267" t="s">
        <v>281</v>
      </c>
      <c r="J267">
        <v>45142226</v>
      </c>
      <c r="K267">
        <v>81257799</v>
      </c>
      <c r="L267" t="s">
        <v>24</v>
      </c>
      <c r="M267" s="1">
        <v>45717</v>
      </c>
      <c r="N267" t="s">
        <v>60</v>
      </c>
      <c r="O267">
        <v>236.17</v>
      </c>
      <c r="P267">
        <v>20</v>
      </c>
      <c r="R267" t="s">
        <v>15</v>
      </c>
      <c r="S267" t="s">
        <v>26</v>
      </c>
    </row>
    <row r="268" spans="1:19" x14ac:dyDescent="0.25">
      <c r="A268" s="1">
        <v>45808</v>
      </c>
      <c r="B268" t="s">
        <v>19</v>
      </c>
      <c r="C268" t="s">
        <v>20</v>
      </c>
      <c r="D268">
        <v>4874327</v>
      </c>
      <c r="E268" t="s">
        <v>21</v>
      </c>
      <c r="G268" t="s">
        <v>22</v>
      </c>
      <c r="H268" s="1">
        <v>45444</v>
      </c>
      <c r="I268" t="s">
        <v>281</v>
      </c>
      <c r="J268">
        <v>45142226</v>
      </c>
      <c r="K268">
        <v>81257799</v>
      </c>
      <c r="L268" t="s">
        <v>24</v>
      </c>
      <c r="M268" s="1">
        <v>45748</v>
      </c>
      <c r="N268" t="s">
        <v>28</v>
      </c>
      <c r="O268">
        <v>236.17</v>
      </c>
      <c r="P268">
        <v>20</v>
      </c>
      <c r="R268" t="s">
        <v>15</v>
      </c>
      <c r="S268" t="s">
        <v>26</v>
      </c>
    </row>
    <row r="269" spans="1:19" x14ac:dyDescent="0.25">
      <c r="A269" s="1">
        <v>45808</v>
      </c>
      <c r="B269" t="s">
        <v>19</v>
      </c>
      <c r="C269" t="s">
        <v>20</v>
      </c>
      <c r="D269">
        <v>4874327</v>
      </c>
      <c r="E269" t="s">
        <v>21</v>
      </c>
      <c r="G269" t="s">
        <v>22</v>
      </c>
      <c r="H269" s="1">
        <v>45536</v>
      </c>
      <c r="I269" t="s">
        <v>282</v>
      </c>
      <c r="J269">
        <v>46845139</v>
      </c>
      <c r="K269">
        <v>81375131</v>
      </c>
      <c r="L269" t="s">
        <v>24</v>
      </c>
      <c r="M269" s="1">
        <v>45778</v>
      </c>
      <c r="N269" t="s">
        <v>25</v>
      </c>
      <c r="O269">
        <v>342.91</v>
      </c>
      <c r="P269">
        <v>20</v>
      </c>
      <c r="R269" t="s">
        <v>15</v>
      </c>
      <c r="S269" t="s">
        <v>26</v>
      </c>
    </row>
    <row r="270" spans="1:19" x14ac:dyDescent="0.25">
      <c r="A270" s="1">
        <v>45808</v>
      </c>
      <c r="B270" t="s">
        <v>19</v>
      </c>
      <c r="C270" t="s">
        <v>20</v>
      </c>
      <c r="D270">
        <v>4874327</v>
      </c>
      <c r="E270" t="s">
        <v>21</v>
      </c>
      <c r="G270" t="s">
        <v>22</v>
      </c>
      <c r="H270" s="1">
        <v>45292</v>
      </c>
      <c r="I270" t="s">
        <v>283</v>
      </c>
      <c r="J270">
        <v>44537914</v>
      </c>
      <c r="K270">
        <v>81344555</v>
      </c>
      <c r="L270" t="s">
        <v>24</v>
      </c>
      <c r="M270" s="1">
        <v>45778</v>
      </c>
      <c r="N270" t="s">
        <v>25</v>
      </c>
      <c r="O270">
        <v>680.82</v>
      </c>
      <c r="P270">
        <v>20</v>
      </c>
      <c r="R270" t="s">
        <v>15</v>
      </c>
      <c r="S270" t="s">
        <v>26</v>
      </c>
    </row>
    <row r="271" spans="1:19" x14ac:dyDescent="0.25">
      <c r="A271" s="1">
        <v>45808</v>
      </c>
      <c r="B271" t="s">
        <v>19</v>
      </c>
      <c r="C271" t="s">
        <v>20</v>
      </c>
      <c r="D271">
        <v>4874327</v>
      </c>
      <c r="E271" t="s">
        <v>21</v>
      </c>
      <c r="G271" t="s">
        <v>22</v>
      </c>
      <c r="H271" s="1">
        <v>44958</v>
      </c>
      <c r="I271" t="s">
        <v>284</v>
      </c>
      <c r="J271">
        <v>41365980</v>
      </c>
      <c r="K271">
        <v>80159736</v>
      </c>
      <c r="L271" t="s">
        <v>24</v>
      </c>
      <c r="M271" s="1">
        <v>45748</v>
      </c>
      <c r="N271" t="s">
        <v>28</v>
      </c>
      <c r="O271">
        <v>680.82</v>
      </c>
      <c r="P271">
        <v>20</v>
      </c>
      <c r="R271" t="s">
        <v>15</v>
      </c>
      <c r="S271" t="s">
        <v>26</v>
      </c>
    </row>
    <row r="272" spans="1:19" x14ac:dyDescent="0.25">
      <c r="A272" s="1">
        <v>45808</v>
      </c>
      <c r="B272" t="s">
        <v>19</v>
      </c>
      <c r="C272" t="s">
        <v>20</v>
      </c>
      <c r="D272">
        <v>4874327</v>
      </c>
      <c r="E272" t="s">
        <v>21</v>
      </c>
      <c r="G272" t="s">
        <v>22</v>
      </c>
      <c r="H272" s="1">
        <v>44927</v>
      </c>
      <c r="I272" t="s">
        <v>285</v>
      </c>
      <c r="J272">
        <v>41365528</v>
      </c>
      <c r="K272">
        <v>80046468</v>
      </c>
      <c r="L272" t="s">
        <v>24</v>
      </c>
      <c r="M272" s="1">
        <v>45748</v>
      </c>
      <c r="N272" t="s">
        <v>28</v>
      </c>
      <c r="O272">
        <v>851.7</v>
      </c>
      <c r="P272">
        <v>20</v>
      </c>
      <c r="R272" t="s">
        <v>15</v>
      </c>
      <c r="S272" t="s">
        <v>26</v>
      </c>
    </row>
    <row r="273" spans="1:19" x14ac:dyDescent="0.25">
      <c r="A273" s="1">
        <v>45808</v>
      </c>
      <c r="B273" t="s">
        <v>19</v>
      </c>
      <c r="C273" t="s">
        <v>38</v>
      </c>
      <c r="D273">
        <v>4506169</v>
      </c>
      <c r="E273" t="s">
        <v>39</v>
      </c>
      <c r="G273" t="s">
        <v>22</v>
      </c>
      <c r="H273" s="1">
        <v>45231</v>
      </c>
      <c r="I273" t="s">
        <v>286</v>
      </c>
      <c r="J273">
        <v>41365563</v>
      </c>
      <c r="K273">
        <v>80055026</v>
      </c>
      <c r="L273" t="s">
        <v>24</v>
      </c>
      <c r="M273" s="1">
        <v>45748</v>
      </c>
      <c r="N273" t="s">
        <v>28</v>
      </c>
      <c r="O273">
        <v>1002.21</v>
      </c>
      <c r="P273">
        <v>40</v>
      </c>
      <c r="R273" t="s">
        <v>15</v>
      </c>
      <c r="S273" t="s">
        <v>26</v>
      </c>
    </row>
    <row r="274" spans="1:19" x14ac:dyDescent="0.25">
      <c r="A274" s="1">
        <v>45808</v>
      </c>
      <c r="B274" t="s">
        <v>19</v>
      </c>
      <c r="C274" t="s">
        <v>29</v>
      </c>
      <c r="D274">
        <v>5485984</v>
      </c>
      <c r="E274" t="s">
        <v>30</v>
      </c>
      <c r="G274" t="s">
        <v>22</v>
      </c>
      <c r="H274" s="1">
        <v>45292</v>
      </c>
      <c r="I274" t="s">
        <v>287</v>
      </c>
      <c r="J274">
        <v>45811835</v>
      </c>
      <c r="K274">
        <v>80141437</v>
      </c>
      <c r="L274" t="s">
        <v>24</v>
      </c>
      <c r="M274" s="1">
        <v>45778</v>
      </c>
      <c r="N274" t="s">
        <v>25</v>
      </c>
      <c r="O274">
        <v>648.07000000000005</v>
      </c>
      <c r="P274">
        <v>20</v>
      </c>
      <c r="R274" t="s">
        <v>15</v>
      </c>
      <c r="S274" t="s">
        <v>26</v>
      </c>
    </row>
    <row r="275" spans="1:19" x14ac:dyDescent="0.25">
      <c r="A275" s="1">
        <v>45808</v>
      </c>
      <c r="B275" t="s">
        <v>19</v>
      </c>
      <c r="C275" t="s">
        <v>38</v>
      </c>
      <c r="D275">
        <v>4506169</v>
      </c>
      <c r="E275" t="s">
        <v>39</v>
      </c>
      <c r="G275" t="s">
        <v>22</v>
      </c>
      <c r="H275" s="1">
        <v>44927</v>
      </c>
      <c r="I275" t="s">
        <v>288</v>
      </c>
      <c r="J275">
        <v>32312094</v>
      </c>
      <c r="K275">
        <v>80223332</v>
      </c>
      <c r="L275" t="s">
        <v>24</v>
      </c>
      <c r="M275" s="1">
        <v>45778</v>
      </c>
      <c r="N275" t="s">
        <v>25</v>
      </c>
      <c r="O275">
        <v>1471.41</v>
      </c>
      <c r="P275">
        <v>20</v>
      </c>
      <c r="R275" t="s">
        <v>15</v>
      </c>
      <c r="S275" t="s">
        <v>26</v>
      </c>
    </row>
    <row r="276" spans="1:19" x14ac:dyDescent="0.25">
      <c r="A276" s="1">
        <v>45808</v>
      </c>
      <c r="B276" t="s">
        <v>19</v>
      </c>
      <c r="C276" t="s">
        <v>29</v>
      </c>
      <c r="D276">
        <v>5485984</v>
      </c>
      <c r="E276" t="s">
        <v>30</v>
      </c>
      <c r="G276" t="s">
        <v>22</v>
      </c>
      <c r="H276" s="1">
        <v>45597</v>
      </c>
      <c r="I276" t="s">
        <v>289</v>
      </c>
      <c r="J276">
        <v>49439466</v>
      </c>
      <c r="K276">
        <v>81647486</v>
      </c>
      <c r="L276" t="s">
        <v>24</v>
      </c>
      <c r="M276" s="1">
        <v>45778</v>
      </c>
      <c r="N276" t="s">
        <v>25</v>
      </c>
      <c r="O276">
        <v>320.79000000000002</v>
      </c>
      <c r="P276">
        <v>20</v>
      </c>
      <c r="R276" t="s">
        <v>15</v>
      </c>
      <c r="S276" t="s">
        <v>26</v>
      </c>
    </row>
    <row r="277" spans="1:19" x14ac:dyDescent="0.25">
      <c r="A277" s="1">
        <v>45808</v>
      </c>
      <c r="B277" t="s">
        <v>19</v>
      </c>
      <c r="C277" t="s">
        <v>29</v>
      </c>
      <c r="D277">
        <v>5485984</v>
      </c>
      <c r="E277" t="s">
        <v>30</v>
      </c>
      <c r="G277" t="s">
        <v>22</v>
      </c>
      <c r="H277" s="1">
        <v>45597</v>
      </c>
      <c r="I277" t="s">
        <v>289</v>
      </c>
      <c r="J277">
        <v>49439466</v>
      </c>
      <c r="K277">
        <v>81647486</v>
      </c>
      <c r="L277" t="s">
        <v>24</v>
      </c>
      <c r="M277" s="1">
        <v>45748</v>
      </c>
      <c r="N277" t="s">
        <v>28</v>
      </c>
      <c r="O277">
        <v>320.79000000000002</v>
      </c>
      <c r="P277">
        <v>20</v>
      </c>
      <c r="R277" t="s">
        <v>15</v>
      </c>
      <c r="S277" t="s">
        <v>26</v>
      </c>
    </row>
    <row r="278" spans="1:19" x14ac:dyDescent="0.25">
      <c r="A278" s="1">
        <v>45808</v>
      </c>
      <c r="B278" t="s">
        <v>19</v>
      </c>
      <c r="C278" t="s">
        <v>20</v>
      </c>
      <c r="D278">
        <v>4874327</v>
      </c>
      <c r="E278" t="s">
        <v>21</v>
      </c>
      <c r="G278" t="s">
        <v>22</v>
      </c>
      <c r="H278" s="1">
        <v>45292</v>
      </c>
      <c r="I278" t="s">
        <v>290</v>
      </c>
      <c r="J278">
        <v>42134710</v>
      </c>
      <c r="K278">
        <v>80229960</v>
      </c>
      <c r="L278" t="s">
        <v>24</v>
      </c>
      <c r="M278" s="1">
        <v>45778</v>
      </c>
      <c r="N278" t="s">
        <v>25</v>
      </c>
      <c r="O278">
        <v>285.52</v>
      </c>
      <c r="P278">
        <v>20</v>
      </c>
      <c r="R278" t="s">
        <v>15</v>
      </c>
      <c r="S278" t="s">
        <v>26</v>
      </c>
    </row>
    <row r="279" spans="1:19" x14ac:dyDescent="0.25">
      <c r="A279" s="1">
        <v>45808</v>
      </c>
      <c r="B279" t="s">
        <v>19</v>
      </c>
      <c r="C279" t="s">
        <v>20</v>
      </c>
      <c r="D279">
        <v>4874327</v>
      </c>
      <c r="E279" t="s">
        <v>21</v>
      </c>
      <c r="G279" t="s">
        <v>22</v>
      </c>
      <c r="H279" s="1">
        <v>45413</v>
      </c>
      <c r="I279" t="s">
        <v>291</v>
      </c>
      <c r="J279">
        <v>45142277</v>
      </c>
      <c r="K279">
        <v>81337946</v>
      </c>
      <c r="L279" t="s">
        <v>24</v>
      </c>
      <c r="M279" s="1">
        <v>45748</v>
      </c>
      <c r="N279" t="s">
        <v>28</v>
      </c>
      <c r="O279">
        <v>939.81</v>
      </c>
      <c r="P279">
        <v>20</v>
      </c>
      <c r="R279" t="s">
        <v>15</v>
      </c>
      <c r="S279" t="s">
        <v>26</v>
      </c>
    </row>
    <row r="280" spans="1:19" x14ac:dyDescent="0.25">
      <c r="A280" s="1">
        <v>45808</v>
      </c>
      <c r="B280" t="s">
        <v>19</v>
      </c>
      <c r="C280" t="s">
        <v>38</v>
      </c>
      <c r="D280">
        <v>4506169</v>
      </c>
      <c r="E280" t="s">
        <v>39</v>
      </c>
      <c r="G280" t="s">
        <v>22</v>
      </c>
      <c r="H280" s="1">
        <v>44927</v>
      </c>
      <c r="I280" t="s">
        <v>292</v>
      </c>
      <c r="J280">
        <v>32311683</v>
      </c>
      <c r="K280">
        <v>80067171</v>
      </c>
      <c r="L280" t="s">
        <v>24</v>
      </c>
      <c r="M280" s="1">
        <v>45778</v>
      </c>
      <c r="N280" t="s">
        <v>25</v>
      </c>
      <c r="O280">
        <v>833.71</v>
      </c>
      <c r="P280">
        <v>20</v>
      </c>
      <c r="R280" t="s">
        <v>15</v>
      </c>
      <c r="S280" t="s">
        <v>26</v>
      </c>
    </row>
    <row r="281" spans="1:19" x14ac:dyDescent="0.25">
      <c r="A281" s="1">
        <v>45808</v>
      </c>
      <c r="B281" t="s">
        <v>19</v>
      </c>
      <c r="C281" t="s">
        <v>20</v>
      </c>
      <c r="D281">
        <v>4874327</v>
      </c>
      <c r="E281" t="s">
        <v>21</v>
      </c>
      <c r="G281" t="s">
        <v>22</v>
      </c>
      <c r="H281" s="1">
        <v>44927</v>
      </c>
      <c r="I281" t="s">
        <v>293</v>
      </c>
      <c r="J281">
        <v>40579566</v>
      </c>
      <c r="K281">
        <v>80208583</v>
      </c>
      <c r="L281" t="s">
        <v>24</v>
      </c>
      <c r="M281" s="1">
        <v>45778</v>
      </c>
      <c r="N281" t="s">
        <v>25</v>
      </c>
      <c r="O281">
        <v>981.6</v>
      </c>
      <c r="P281">
        <v>20</v>
      </c>
      <c r="R281" t="s">
        <v>15</v>
      </c>
      <c r="S281" t="s">
        <v>26</v>
      </c>
    </row>
    <row r="282" spans="1:19" x14ac:dyDescent="0.25">
      <c r="A282" s="1">
        <v>45808</v>
      </c>
      <c r="B282" t="s">
        <v>19</v>
      </c>
      <c r="C282" t="s">
        <v>38</v>
      </c>
      <c r="D282">
        <v>4506169</v>
      </c>
      <c r="E282" t="s">
        <v>39</v>
      </c>
      <c r="G282" t="s">
        <v>22</v>
      </c>
      <c r="H282" s="1">
        <v>45200</v>
      </c>
      <c r="I282" t="s">
        <v>294</v>
      </c>
      <c r="J282">
        <v>41366118</v>
      </c>
      <c r="K282">
        <v>80202343</v>
      </c>
      <c r="L282" t="s">
        <v>24</v>
      </c>
      <c r="M282" s="1">
        <v>45748</v>
      </c>
      <c r="N282" t="s">
        <v>28</v>
      </c>
      <c r="O282">
        <v>2131.6</v>
      </c>
      <c r="P282">
        <v>40</v>
      </c>
      <c r="R282" t="s">
        <v>15</v>
      </c>
      <c r="S282" t="s">
        <v>26</v>
      </c>
    </row>
    <row r="283" spans="1:19" x14ac:dyDescent="0.25">
      <c r="A283" s="1">
        <v>45808</v>
      </c>
      <c r="B283" t="s">
        <v>19</v>
      </c>
      <c r="C283" t="s">
        <v>38</v>
      </c>
      <c r="D283">
        <v>4506169</v>
      </c>
      <c r="E283" t="s">
        <v>39</v>
      </c>
      <c r="G283" t="s">
        <v>22</v>
      </c>
      <c r="H283" s="1">
        <v>45139</v>
      </c>
      <c r="I283" t="s">
        <v>295</v>
      </c>
      <c r="J283">
        <v>39665225</v>
      </c>
      <c r="K283">
        <v>80097918</v>
      </c>
      <c r="L283" t="s">
        <v>24</v>
      </c>
      <c r="M283" s="1">
        <v>45748</v>
      </c>
      <c r="N283" t="s">
        <v>28</v>
      </c>
      <c r="O283">
        <v>360.47</v>
      </c>
      <c r="P283">
        <v>20</v>
      </c>
      <c r="R283" t="s">
        <v>15</v>
      </c>
      <c r="S283" t="s">
        <v>26</v>
      </c>
    </row>
    <row r="284" spans="1:19" x14ac:dyDescent="0.25">
      <c r="A284" s="1">
        <v>45808</v>
      </c>
      <c r="B284" t="s">
        <v>19</v>
      </c>
      <c r="C284" t="s">
        <v>20</v>
      </c>
      <c r="D284">
        <v>4874327</v>
      </c>
      <c r="E284" t="s">
        <v>21</v>
      </c>
      <c r="G284" t="s">
        <v>22</v>
      </c>
      <c r="H284" s="1">
        <v>45292</v>
      </c>
      <c r="I284" t="s">
        <v>296</v>
      </c>
      <c r="J284">
        <v>44537919</v>
      </c>
      <c r="K284">
        <v>81346723</v>
      </c>
      <c r="L284" t="s">
        <v>24</v>
      </c>
      <c r="M284" s="1">
        <v>45748</v>
      </c>
      <c r="N284" t="s">
        <v>28</v>
      </c>
      <c r="O284">
        <v>250.69</v>
      </c>
      <c r="P284">
        <v>20</v>
      </c>
      <c r="R284" t="s">
        <v>15</v>
      </c>
      <c r="S284" t="s">
        <v>26</v>
      </c>
    </row>
    <row r="285" spans="1:19" x14ac:dyDescent="0.25">
      <c r="A285" s="1">
        <v>45808</v>
      </c>
      <c r="B285" t="s">
        <v>19</v>
      </c>
      <c r="C285" t="s">
        <v>20</v>
      </c>
      <c r="D285">
        <v>4874327</v>
      </c>
      <c r="E285" t="s">
        <v>21</v>
      </c>
      <c r="G285" t="s">
        <v>22</v>
      </c>
      <c r="H285" s="1">
        <v>44927</v>
      </c>
      <c r="I285" t="s">
        <v>297</v>
      </c>
      <c r="J285">
        <v>41365587</v>
      </c>
      <c r="K285">
        <v>80064697</v>
      </c>
      <c r="L285" t="s">
        <v>24</v>
      </c>
      <c r="M285" s="1">
        <v>45748</v>
      </c>
      <c r="N285" t="s">
        <v>28</v>
      </c>
      <c r="O285">
        <v>529.54</v>
      </c>
      <c r="P285">
        <v>20</v>
      </c>
      <c r="R285" t="s">
        <v>15</v>
      </c>
      <c r="S285" t="s">
        <v>26</v>
      </c>
    </row>
    <row r="286" spans="1:19" x14ac:dyDescent="0.25">
      <c r="A286" s="1">
        <v>45808</v>
      </c>
      <c r="B286" t="s">
        <v>19</v>
      </c>
      <c r="C286" t="s">
        <v>20</v>
      </c>
      <c r="D286">
        <v>4874327</v>
      </c>
      <c r="E286" t="s">
        <v>21</v>
      </c>
      <c r="G286" t="s">
        <v>22</v>
      </c>
      <c r="H286" s="1">
        <v>44927</v>
      </c>
      <c r="I286" t="s">
        <v>298</v>
      </c>
      <c r="J286">
        <v>41365974</v>
      </c>
      <c r="K286">
        <v>80155664</v>
      </c>
      <c r="L286" t="s">
        <v>24</v>
      </c>
      <c r="M286" s="1">
        <v>45748</v>
      </c>
      <c r="N286" t="s">
        <v>28</v>
      </c>
      <c r="O286">
        <v>1118.3399999999999</v>
      </c>
      <c r="P286">
        <v>20</v>
      </c>
      <c r="R286" t="s">
        <v>15</v>
      </c>
      <c r="S286" t="s">
        <v>26</v>
      </c>
    </row>
    <row r="287" spans="1:19" x14ac:dyDescent="0.25">
      <c r="A287" s="1">
        <v>45808</v>
      </c>
      <c r="B287" t="s">
        <v>19</v>
      </c>
      <c r="C287" t="s">
        <v>20</v>
      </c>
      <c r="D287">
        <v>4874327</v>
      </c>
      <c r="E287" t="s">
        <v>21</v>
      </c>
      <c r="G287" t="s">
        <v>22</v>
      </c>
      <c r="H287" s="1">
        <v>45047</v>
      </c>
      <c r="I287" t="s">
        <v>299</v>
      </c>
      <c r="J287">
        <v>41366289</v>
      </c>
      <c r="K287">
        <v>80238965</v>
      </c>
      <c r="L287" t="s">
        <v>24</v>
      </c>
      <c r="M287" s="1">
        <v>45748</v>
      </c>
      <c r="N287" t="s">
        <v>28</v>
      </c>
      <c r="O287">
        <v>763.44</v>
      </c>
      <c r="P287">
        <v>20</v>
      </c>
      <c r="R287" t="s">
        <v>15</v>
      </c>
      <c r="S287" t="s">
        <v>26</v>
      </c>
    </row>
    <row r="288" spans="1:19" x14ac:dyDescent="0.25">
      <c r="A288" s="1">
        <v>45808</v>
      </c>
      <c r="B288" t="s">
        <v>19</v>
      </c>
      <c r="C288" t="s">
        <v>20</v>
      </c>
      <c r="D288">
        <v>4874327</v>
      </c>
      <c r="E288" t="s">
        <v>21</v>
      </c>
      <c r="G288" t="s">
        <v>22</v>
      </c>
      <c r="H288" s="1">
        <v>45047</v>
      </c>
      <c r="I288" t="s">
        <v>299</v>
      </c>
      <c r="J288">
        <v>41366289</v>
      </c>
      <c r="K288">
        <v>80238965</v>
      </c>
      <c r="L288" t="s">
        <v>24</v>
      </c>
      <c r="M288" s="1">
        <v>45717</v>
      </c>
      <c r="N288" t="s">
        <v>60</v>
      </c>
      <c r="O288">
        <v>27.68</v>
      </c>
      <c r="P288">
        <v>2.77</v>
      </c>
      <c r="R288" t="s">
        <v>15</v>
      </c>
      <c r="S288" t="s">
        <v>26</v>
      </c>
    </row>
    <row r="289" spans="1:19" x14ac:dyDescent="0.25">
      <c r="A289" s="1">
        <v>45808</v>
      </c>
      <c r="B289" t="s">
        <v>19</v>
      </c>
      <c r="C289" t="s">
        <v>20</v>
      </c>
      <c r="D289">
        <v>4874327</v>
      </c>
      <c r="E289" t="s">
        <v>21</v>
      </c>
      <c r="G289" t="s">
        <v>22</v>
      </c>
      <c r="H289" s="1">
        <v>45047</v>
      </c>
      <c r="I289" t="s">
        <v>299</v>
      </c>
      <c r="J289">
        <v>41366289</v>
      </c>
      <c r="K289">
        <v>80238965</v>
      </c>
      <c r="L289" t="s">
        <v>24</v>
      </c>
      <c r="M289" s="1">
        <v>45748</v>
      </c>
      <c r="N289" t="s">
        <v>28</v>
      </c>
      <c r="O289">
        <v>27.68</v>
      </c>
      <c r="P289">
        <v>2.77</v>
      </c>
      <c r="R289" t="s">
        <v>15</v>
      </c>
      <c r="S289" t="s">
        <v>26</v>
      </c>
    </row>
    <row r="290" spans="1:19" x14ac:dyDescent="0.25">
      <c r="A290" s="1">
        <v>45808</v>
      </c>
      <c r="B290" t="s">
        <v>19</v>
      </c>
      <c r="C290" t="s">
        <v>32</v>
      </c>
      <c r="D290">
        <v>5428208</v>
      </c>
      <c r="E290" t="s">
        <v>33</v>
      </c>
      <c r="G290" t="s">
        <v>22</v>
      </c>
      <c r="H290" s="1">
        <v>45658</v>
      </c>
      <c r="I290" t="s">
        <v>300</v>
      </c>
      <c r="J290">
        <v>50931671</v>
      </c>
      <c r="K290">
        <v>80077354</v>
      </c>
      <c r="L290" t="s">
        <v>24</v>
      </c>
      <c r="M290" s="1">
        <v>45748</v>
      </c>
      <c r="N290" t="s">
        <v>28</v>
      </c>
      <c r="O290">
        <v>662.6</v>
      </c>
      <c r="P290">
        <v>20</v>
      </c>
      <c r="R290" t="s">
        <v>15</v>
      </c>
      <c r="S290" t="s">
        <v>26</v>
      </c>
    </row>
    <row r="291" spans="1:19" x14ac:dyDescent="0.25">
      <c r="A291" s="1">
        <v>45808</v>
      </c>
      <c r="B291" t="s">
        <v>19</v>
      </c>
      <c r="C291" t="s">
        <v>32</v>
      </c>
      <c r="D291">
        <v>5428208</v>
      </c>
      <c r="E291" t="s">
        <v>33</v>
      </c>
      <c r="G291" t="s">
        <v>22</v>
      </c>
      <c r="H291" s="1">
        <v>45658</v>
      </c>
      <c r="I291" t="s">
        <v>301</v>
      </c>
      <c r="J291">
        <v>50932047</v>
      </c>
      <c r="K291">
        <v>81356753</v>
      </c>
      <c r="L291" t="s">
        <v>24</v>
      </c>
      <c r="M291" s="1">
        <v>45778</v>
      </c>
      <c r="N291" t="s">
        <v>25</v>
      </c>
      <c r="O291">
        <v>355.56</v>
      </c>
      <c r="P291">
        <v>20</v>
      </c>
      <c r="R291" t="s">
        <v>15</v>
      </c>
      <c r="S291" t="s">
        <v>26</v>
      </c>
    </row>
    <row r="292" spans="1:19" x14ac:dyDescent="0.25">
      <c r="A292" s="1">
        <v>45808</v>
      </c>
      <c r="B292" t="s">
        <v>19</v>
      </c>
      <c r="C292" t="s">
        <v>38</v>
      </c>
      <c r="D292">
        <v>4506169</v>
      </c>
      <c r="E292" t="s">
        <v>39</v>
      </c>
      <c r="G292" t="s">
        <v>22</v>
      </c>
      <c r="H292" s="1">
        <v>44927</v>
      </c>
      <c r="I292" t="s">
        <v>302</v>
      </c>
      <c r="J292">
        <v>32311705</v>
      </c>
      <c r="K292">
        <v>80077650</v>
      </c>
      <c r="L292" t="s">
        <v>24</v>
      </c>
      <c r="M292" s="1">
        <v>45778</v>
      </c>
      <c r="N292" t="s">
        <v>25</v>
      </c>
      <c r="O292">
        <v>1602.93</v>
      </c>
      <c r="P292">
        <v>60</v>
      </c>
      <c r="R292" t="s">
        <v>15</v>
      </c>
      <c r="S292" t="s">
        <v>26</v>
      </c>
    </row>
    <row r="293" spans="1:19" x14ac:dyDescent="0.25">
      <c r="A293" s="1">
        <v>45808</v>
      </c>
      <c r="B293" t="s">
        <v>19</v>
      </c>
      <c r="C293" t="s">
        <v>38</v>
      </c>
      <c r="D293">
        <v>4506169</v>
      </c>
      <c r="E293" t="s">
        <v>39</v>
      </c>
      <c r="G293" t="s">
        <v>22</v>
      </c>
      <c r="H293" s="1">
        <v>44927</v>
      </c>
      <c r="I293" t="s">
        <v>303</v>
      </c>
      <c r="J293">
        <v>32311622</v>
      </c>
      <c r="K293">
        <v>80048393</v>
      </c>
      <c r="L293" t="s">
        <v>24</v>
      </c>
      <c r="M293" s="1">
        <v>45748</v>
      </c>
      <c r="N293" t="s">
        <v>28</v>
      </c>
      <c r="O293">
        <v>851.7</v>
      </c>
      <c r="P293">
        <v>20</v>
      </c>
      <c r="R293" t="s">
        <v>15</v>
      </c>
      <c r="S293" t="s">
        <v>26</v>
      </c>
    </row>
    <row r="294" spans="1:19" x14ac:dyDescent="0.25">
      <c r="A294" s="1">
        <v>45808</v>
      </c>
      <c r="B294" t="s">
        <v>19</v>
      </c>
      <c r="C294" t="s">
        <v>20</v>
      </c>
      <c r="D294">
        <v>4874327</v>
      </c>
      <c r="E294" t="s">
        <v>21</v>
      </c>
      <c r="G294" t="s">
        <v>22</v>
      </c>
      <c r="H294" s="1">
        <v>44958</v>
      </c>
      <c r="I294" t="s">
        <v>304</v>
      </c>
      <c r="J294">
        <v>40579734</v>
      </c>
      <c r="K294">
        <v>80235676</v>
      </c>
      <c r="L294" t="s">
        <v>24</v>
      </c>
      <c r="M294" s="1">
        <v>45778</v>
      </c>
      <c r="N294" t="s">
        <v>25</v>
      </c>
      <c r="O294">
        <v>250.69</v>
      </c>
      <c r="P294">
        <v>20</v>
      </c>
      <c r="R294" t="s">
        <v>15</v>
      </c>
      <c r="S294" t="s">
        <v>26</v>
      </c>
    </row>
    <row r="295" spans="1:19" x14ac:dyDescent="0.25">
      <c r="A295" s="1">
        <v>45808</v>
      </c>
      <c r="B295" t="s">
        <v>19</v>
      </c>
      <c r="C295" t="s">
        <v>20</v>
      </c>
      <c r="D295">
        <v>4874327</v>
      </c>
      <c r="E295" t="s">
        <v>21</v>
      </c>
      <c r="G295" t="s">
        <v>22</v>
      </c>
      <c r="H295" s="1">
        <v>45717</v>
      </c>
      <c r="I295" t="s">
        <v>305</v>
      </c>
      <c r="J295">
        <v>51841876</v>
      </c>
      <c r="K295">
        <v>80122828</v>
      </c>
      <c r="L295" t="s">
        <v>24</v>
      </c>
      <c r="M295" s="1">
        <v>45778</v>
      </c>
      <c r="N295" t="s">
        <v>25</v>
      </c>
      <c r="O295">
        <v>850.21</v>
      </c>
      <c r="P295">
        <v>20</v>
      </c>
      <c r="R295" t="s">
        <v>15</v>
      </c>
      <c r="S295" t="s">
        <v>26</v>
      </c>
    </row>
    <row r="296" spans="1:19" x14ac:dyDescent="0.25">
      <c r="A296" s="1">
        <v>45808</v>
      </c>
      <c r="B296" t="s">
        <v>19</v>
      </c>
      <c r="C296" t="s">
        <v>20</v>
      </c>
      <c r="D296">
        <v>4874327</v>
      </c>
      <c r="E296" t="s">
        <v>21</v>
      </c>
      <c r="G296" t="s">
        <v>22</v>
      </c>
      <c r="H296" s="1">
        <v>44958</v>
      </c>
      <c r="I296" t="s">
        <v>306</v>
      </c>
      <c r="J296">
        <v>41365501</v>
      </c>
      <c r="K296">
        <v>80039531</v>
      </c>
      <c r="L296" t="s">
        <v>24</v>
      </c>
      <c r="M296" s="1">
        <v>45689</v>
      </c>
      <c r="N296" t="s">
        <v>77</v>
      </c>
      <c r="O296">
        <v>641.46</v>
      </c>
      <c r="P296">
        <v>20</v>
      </c>
      <c r="R296" t="s">
        <v>15</v>
      </c>
      <c r="S296" t="s">
        <v>26</v>
      </c>
    </row>
    <row r="297" spans="1:19" x14ac:dyDescent="0.25">
      <c r="A297" s="1">
        <v>45808</v>
      </c>
      <c r="B297" t="s">
        <v>19</v>
      </c>
      <c r="C297" t="s">
        <v>20</v>
      </c>
      <c r="D297">
        <v>4874327</v>
      </c>
      <c r="E297" t="s">
        <v>21</v>
      </c>
      <c r="G297" t="s">
        <v>22</v>
      </c>
      <c r="H297" s="1">
        <v>44958</v>
      </c>
      <c r="I297" t="s">
        <v>306</v>
      </c>
      <c r="J297">
        <v>41365501</v>
      </c>
      <c r="K297">
        <v>80039531</v>
      </c>
      <c r="L297" t="s">
        <v>24</v>
      </c>
      <c r="M297" s="1">
        <v>45717</v>
      </c>
      <c r="N297" t="s">
        <v>60</v>
      </c>
      <c r="O297">
        <v>641.46</v>
      </c>
      <c r="P297">
        <v>20</v>
      </c>
      <c r="R297" t="s">
        <v>15</v>
      </c>
      <c r="S297" t="s">
        <v>26</v>
      </c>
    </row>
    <row r="298" spans="1:19" x14ac:dyDescent="0.25">
      <c r="A298" s="1">
        <v>45808</v>
      </c>
      <c r="B298" t="s">
        <v>19</v>
      </c>
      <c r="C298" t="s">
        <v>20</v>
      </c>
      <c r="D298">
        <v>4874327</v>
      </c>
      <c r="E298" t="s">
        <v>21</v>
      </c>
      <c r="G298" t="s">
        <v>22</v>
      </c>
      <c r="H298" s="1">
        <v>44958</v>
      </c>
      <c r="I298" t="s">
        <v>306</v>
      </c>
      <c r="J298">
        <v>41365501</v>
      </c>
      <c r="K298">
        <v>80039531</v>
      </c>
      <c r="L298" t="s">
        <v>24</v>
      </c>
      <c r="M298" s="1">
        <v>45748</v>
      </c>
      <c r="N298" t="s">
        <v>28</v>
      </c>
      <c r="O298">
        <v>641.46</v>
      </c>
      <c r="P298">
        <v>20</v>
      </c>
      <c r="R298" t="s">
        <v>15</v>
      </c>
      <c r="S298" t="s">
        <v>26</v>
      </c>
    </row>
    <row r="299" spans="1:19" x14ac:dyDescent="0.25">
      <c r="A299" s="1">
        <v>45808</v>
      </c>
      <c r="B299" t="s">
        <v>19</v>
      </c>
      <c r="C299" t="s">
        <v>20</v>
      </c>
      <c r="D299">
        <v>4874327</v>
      </c>
      <c r="E299" t="s">
        <v>21</v>
      </c>
      <c r="G299" t="s">
        <v>22</v>
      </c>
      <c r="H299" s="1">
        <v>45139</v>
      </c>
      <c r="I299" t="s">
        <v>307</v>
      </c>
      <c r="J299">
        <v>39665691</v>
      </c>
      <c r="K299">
        <v>80243074</v>
      </c>
      <c r="L299" t="s">
        <v>24</v>
      </c>
      <c r="M299" s="1">
        <v>45778</v>
      </c>
      <c r="N299" t="s">
        <v>25</v>
      </c>
      <c r="O299">
        <v>639.66999999999996</v>
      </c>
      <c r="P299">
        <v>20</v>
      </c>
      <c r="R299" t="s">
        <v>15</v>
      </c>
      <c r="S299" t="s">
        <v>26</v>
      </c>
    </row>
    <row r="300" spans="1:19" x14ac:dyDescent="0.25">
      <c r="A300" s="1">
        <v>45808</v>
      </c>
      <c r="B300" t="s">
        <v>19</v>
      </c>
      <c r="C300" t="s">
        <v>38</v>
      </c>
      <c r="D300">
        <v>4506169</v>
      </c>
      <c r="E300" t="s">
        <v>39</v>
      </c>
      <c r="G300" t="s">
        <v>22</v>
      </c>
      <c r="H300" s="1">
        <v>45627</v>
      </c>
      <c r="I300" t="s">
        <v>308</v>
      </c>
      <c r="J300">
        <v>50175963</v>
      </c>
      <c r="K300">
        <v>81658798</v>
      </c>
      <c r="L300" t="s">
        <v>24</v>
      </c>
      <c r="M300" s="1">
        <v>45778</v>
      </c>
      <c r="N300" t="s">
        <v>25</v>
      </c>
      <c r="O300">
        <v>629.53</v>
      </c>
      <c r="P300">
        <v>40</v>
      </c>
      <c r="R300" t="s">
        <v>15</v>
      </c>
      <c r="S300" t="s">
        <v>26</v>
      </c>
    </row>
    <row r="301" spans="1:19" x14ac:dyDescent="0.25">
      <c r="A301" s="1">
        <v>45808</v>
      </c>
      <c r="B301" t="s">
        <v>19</v>
      </c>
      <c r="C301" t="s">
        <v>38</v>
      </c>
      <c r="D301">
        <v>4506169</v>
      </c>
      <c r="E301" t="s">
        <v>39</v>
      </c>
      <c r="G301" t="s">
        <v>22</v>
      </c>
      <c r="H301" s="1">
        <v>45627</v>
      </c>
      <c r="I301" t="s">
        <v>308</v>
      </c>
      <c r="J301">
        <v>50175963</v>
      </c>
      <c r="K301">
        <v>81658798</v>
      </c>
      <c r="L301" t="s">
        <v>24</v>
      </c>
      <c r="M301" s="1">
        <v>45717</v>
      </c>
      <c r="N301" t="s">
        <v>60</v>
      </c>
      <c r="O301">
        <v>137.27000000000001</v>
      </c>
      <c r="P301">
        <v>20</v>
      </c>
      <c r="R301" t="s">
        <v>15</v>
      </c>
      <c r="S301" t="s">
        <v>26</v>
      </c>
    </row>
    <row r="302" spans="1:19" x14ac:dyDescent="0.25">
      <c r="A302" s="1">
        <v>45808</v>
      </c>
      <c r="B302" t="s">
        <v>19</v>
      </c>
      <c r="C302" t="s">
        <v>38</v>
      </c>
      <c r="D302">
        <v>4506169</v>
      </c>
      <c r="E302" t="s">
        <v>39</v>
      </c>
      <c r="G302" t="s">
        <v>22</v>
      </c>
      <c r="H302" s="1">
        <v>45627</v>
      </c>
      <c r="I302" t="s">
        <v>308</v>
      </c>
      <c r="J302">
        <v>50175963</v>
      </c>
      <c r="K302">
        <v>81658798</v>
      </c>
      <c r="L302" t="s">
        <v>24</v>
      </c>
      <c r="M302" s="1">
        <v>45689</v>
      </c>
      <c r="N302" t="s">
        <v>77</v>
      </c>
      <c r="O302">
        <v>379.22</v>
      </c>
      <c r="P302">
        <v>20</v>
      </c>
      <c r="R302" t="s">
        <v>15</v>
      </c>
      <c r="S302" t="s">
        <v>26</v>
      </c>
    </row>
    <row r="303" spans="1:19" x14ac:dyDescent="0.25">
      <c r="A303" s="1">
        <v>45808</v>
      </c>
      <c r="B303" t="s">
        <v>19</v>
      </c>
      <c r="C303" t="s">
        <v>29</v>
      </c>
      <c r="D303">
        <v>5485984</v>
      </c>
      <c r="E303" t="s">
        <v>30</v>
      </c>
      <c r="G303" t="s">
        <v>22</v>
      </c>
      <c r="H303" s="1">
        <v>45292</v>
      </c>
      <c r="I303" t="s">
        <v>309</v>
      </c>
      <c r="J303">
        <v>45811912</v>
      </c>
      <c r="K303">
        <v>80244922</v>
      </c>
      <c r="L303" t="s">
        <v>24</v>
      </c>
      <c r="M303" s="1">
        <v>45778</v>
      </c>
      <c r="N303" t="s">
        <v>25</v>
      </c>
      <c r="O303">
        <v>267.3</v>
      </c>
      <c r="P303">
        <v>20</v>
      </c>
      <c r="R303" t="s">
        <v>15</v>
      </c>
      <c r="S303" t="s">
        <v>26</v>
      </c>
    </row>
    <row r="304" spans="1:19" x14ac:dyDescent="0.25">
      <c r="A304" s="1">
        <v>45808</v>
      </c>
      <c r="B304" t="s">
        <v>19</v>
      </c>
      <c r="C304" t="s">
        <v>310</v>
      </c>
      <c r="D304">
        <v>5720292</v>
      </c>
      <c r="E304" t="s">
        <v>311</v>
      </c>
      <c r="G304" t="s">
        <v>22</v>
      </c>
      <c r="H304" s="1">
        <v>45627</v>
      </c>
      <c r="I304" t="s">
        <v>312</v>
      </c>
      <c r="J304">
        <v>50175942</v>
      </c>
      <c r="K304">
        <v>81660055</v>
      </c>
      <c r="L304" t="s">
        <v>24</v>
      </c>
      <c r="M304" s="1">
        <v>45748</v>
      </c>
      <c r="N304" t="s">
        <v>28</v>
      </c>
      <c r="O304">
        <v>366.14</v>
      </c>
      <c r="P304">
        <v>20</v>
      </c>
      <c r="R304" t="s">
        <v>15</v>
      </c>
      <c r="S304" t="s">
        <v>26</v>
      </c>
    </row>
    <row r="305" spans="1:19" x14ac:dyDescent="0.25">
      <c r="A305" s="1">
        <v>45808</v>
      </c>
      <c r="B305" t="s">
        <v>19</v>
      </c>
      <c r="C305" t="s">
        <v>38</v>
      </c>
      <c r="D305">
        <v>4506169</v>
      </c>
      <c r="E305" t="s">
        <v>39</v>
      </c>
      <c r="G305" t="s">
        <v>22</v>
      </c>
      <c r="H305" s="1">
        <v>45292</v>
      </c>
      <c r="I305" t="s">
        <v>313</v>
      </c>
      <c r="J305">
        <v>42134448</v>
      </c>
      <c r="K305">
        <v>80077664</v>
      </c>
      <c r="L305" t="s">
        <v>24</v>
      </c>
      <c r="M305" s="1">
        <v>45748</v>
      </c>
      <c r="N305" t="s">
        <v>28</v>
      </c>
      <c r="O305">
        <v>574.17999999999995</v>
      </c>
      <c r="P305">
        <v>20</v>
      </c>
      <c r="R305" t="s">
        <v>15</v>
      </c>
      <c r="S305" t="s">
        <v>26</v>
      </c>
    </row>
    <row r="306" spans="1:19" x14ac:dyDescent="0.25">
      <c r="A306" s="1">
        <v>45808</v>
      </c>
      <c r="B306" t="s">
        <v>19</v>
      </c>
      <c r="C306" t="s">
        <v>29</v>
      </c>
      <c r="D306">
        <v>5485984</v>
      </c>
      <c r="E306" t="s">
        <v>30</v>
      </c>
      <c r="G306" t="s">
        <v>22</v>
      </c>
      <c r="H306" s="1">
        <v>45323</v>
      </c>
      <c r="I306" t="s">
        <v>314</v>
      </c>
      <c r="J306">
        <v>45812044</v>
      </c>
      <c r="K306">
        <v>81357080</v>
      </c>
      <c r="L306" t="s">
        <v>24</v>
      </c>
      <c r="M306" s="1">
        <v>45778</v>
      </c>
      <c r="N306" t="s">
        <v>25</v>
      </c>
      <c r="O306">
        <v>674.88</v>
      </c>
      <c r="P306">
        <v>20</v>
      </c>
      <c r="R306" t="s">
        <v>15</v>
      </c>
      <c r="S306" t="s">
        <v>26</v>
      </c>
    </row>
    <row r="307" spans="1:19" x14ac:dyDescent="0.25">
      <c r="A307" s="1">
        <v>45808</v>
      </c>
      <c r="B307" t="s">
        <v>19</v>
      </c>
      <c r="C307" t="s">
        <v>232</v>
      </c>
      <c r="D307">
        <v>5375251</v>
      </c>
      <c r="E307" t="s">
        <v>233</v>
      </c>
      <c r="G307" t="s">
        <v>22</v>
      </c>
      <c r="H307" s="1">
        <v>45323</v>
      </c>
      <c r="I307" t="s">
        <v>315</v>
      </c>
      <c r="J307">
        <v>42833452</v>
      </c>
      <c r="K307">
        <v>81351714</v>
      </c>
      <c r="L307" t="s">
        <v>24</v>
      </c>
      <c r="M307" s="1">
        <v>45778</v>
      </c>
      <c r="N307" t="s">
        <v>25</v>
      </c>
      <c r="O307">
        <v>427</v>
      </c>
      <c r="P307">
        <v>20</v>
      </c>
      <c r="R307" t="s">
        <v>15</v>
      </c>
      <c r="S307" t="s">
        <v>26</v>
      </c>
    </row>
    <row r="308" spans="1:19" x14ac:dyDescent="0.25">
      <c r="A308" s="1">
        <v>45808</v>
      </c>
      <c r="B308" t="s">
        <v>19</v>
      </c>
      <c r="C308" t="s">
        <v>20</v>
      </c>
      <c r="D308">
        <v>4874327</v>
      </c>
      <c r="E308" t="s">
        <v>21</v>
      </c>
      <c r="G308" t="s">
        <v>22</v>
      </c>
      <c r="H308" s="1">
        <v>45292</v>
      </c>
      <c r="I308" t="s">
        <v>316</v>
      </c>
      <c r="J308">
        <v>42134972</v>
      </c>
      <c r="K308">
        <v>80188169</v>
      </c>
      <c r="L308" t="s">
        <v>24</v>
      </c>
      <c r="M308" s="1">
        <v>45717</v>
      </c>
      <c r="N308" t="s">
        <v>60</v>
      </c>
      <c r="O308">
        <v>827.42</v>
      </c>
      <c r="P308">
        <v>20</v>
      </c>
      <c r="R308" t="s">
        <v>15</v>
      </c>
      <c r="S308" t="s">
        <v>26</v>
      </c>
    </row>
    <row r="309" spans="1:19" x14ac:dyDescent="0.25">
      <c r="A309" s="1">
        <v>45808</v>
      </c>
      <c r="B309" t="s">
        <v>19</v>
      </c>
      <c r="C309" t="s">
        <v>20</v>
      </c>
      <c r="D309">
        <v>4874327</v>
      </c>
      <c r="E309" t="s">
        <v>21</v>
      </c>
      <c r="G309" t="s">
        <v>22</v>
      </c>
      <c r="H309" s="1">
        <v>45627</v>
      </c>
      <c r="I309" t="s">
        <v>317</v>
      </c>
      <c r="J309">
        <v>49439572</v>
      </c>
      <c r="K309">
        <v>81234017</v>
      </c>
      <c r="L309" t="s">
        <v>24</v>
      </c>
      <c r="M309" s="1">
        <v>45748</v>
      </c>
      <c r="N309" t="s">
        <v>28</v>
      </c>
      <c r="O309">
        <v>1372.71</v>
      </c>
      <c r="P309">
        <v>40</v>
      </c>
      <c r="R309" t="s">
        <v>15</v>
      </c>
      <c r="S309" t="s">
        <v>26</v>
      </c>
    </row>
    <row r="310" spans="1:19" x14ac:dyDescent="0.25">
      <c r="A310" s="1">
        <v>45808</v>
      </c>
      <c r="B310" t="s">
        <v>19</v>
      </c>
      <c r="C310" t="s">
        <v>20</v>
      </c>
      <c r="D310">
        <v>4874327</v>
      </c>
      <c r="E310" t="s">
        <v>21</v>
      </c>
      <c r="G310" t="s">
        <v>22</v>
      </c>
      <c r="H310" s="1">
        <v>44927</v>
      </c>
      <c r="I310" t="s">
        <v>318</v>
      </c>
      <c r="J310">
        <v>41366260</v>
      </c>
      <c r="K310">
        <v>80232190</v>
      </c>
      <c r="L310" t="s">
        <v>24</v>
      </c>
      <c r="M310" s="1">
        <v>45748</v>
      </c>
      <c r="N310" t="s">
        <v>28</v>
      </c>
      <c r="O310">
        <v>958.58</v>
      </c>
      <c r="P310">
        <v>20</v>
      </c>
      <c r="R310" t="s">
        <v>15</v>
      </c>
      <c r="S310" t="s">
        <v>26</v>
      </c>
    </row>
    <row r="311" spans="1:19" x14ac:dyDescent="0.25">
      <c r="A311" s="1">
        <v>45808</v>
      </c>
      <c r="B311" t="s">
        <v>19</v>
      </c>
      <c r="C311" t="s">
        <v>38</v>
      </c>
      <c r="D311">
        <v>4506169</v>
      </c>
      <c r="E311" t="s">
        <v>39</v>
      </c>
      <c r="G311" t="s">
        <v>22</v>
      </c>
      <c r="H311" s="1">
        <v>44927</v>
      </c>
      <c r="I311" t="s">
        <v>319</v>
      </c>
      <c r="J311">
        <v>32311822</v>
      </c>
      <c r="K311">
        <v>80115328</v>
      </c>
      <c r="L311" t="s">
        <v>24</v>
      </c>
      <c r="M311" s="1">
        <v>45748</v>
      </c>
      <c r="N311" t="s">
        <v>28</v>
      </c>
      <c r="O311">
        <v>1057.1500000000001</v>
      </c>
      <c r="P311">
        <v>20</v>
      </c>
      <c r="R311" t="s">
        <v>15</v>
      </c>
      <c r="S311" t="s">
        <v>26</v>
      </c>
    </row>
    <row r="312" spans="1:19" x14ac:dyDescent="0.25">
      <c r="A312" s="1">
        <v>45808</v>
      </c>
      <c r="B312" t="s">
        <v>19</v>
      </c>
      <c r="C312" t="s">
        <v>20</v>
      </c>
      <c r="D312">
        <v>4874327</v>
      </c>
      <c r="E312" t="s">
        <v>21</v>
      </c>
      <c r="G312" t="s">
        <v>22</v>
      </c>
      <c r="H312" s="1">
        <v>45292</v>
      </c>
      <c r="I312" t="s">
        <v>320</v>
      </c>
      <c r="J312">
        <v>41366001</v>
      </c>
      <c r="K312">
        <v>80169074</v>
      </c>
      <c r="L312" t="s">
        <v>24</v>
      </c>
      <c r="M312" s="1">
        <v>45778</v>
      </c>
      <c r="N312" t="s">
        <v>25</v>
      </c>
      <c r="O312">
        <v>411.91</v>
      </c>
      <c r="P312">
        <v>20</v>
      </c>
      <c r="R312" t="s">
        <v>15</v>
      </c>
      <c r="S312" t="s">
        <v>26</v>
      </c>
    </row>
    <row r="313" spans="1:19" x14ac:dyDescent="0.25">
      <c r="A313" s="1">
        <v>45808</v>
      </c>
      <c r="B313" t="s">
        <v>19</v>
      </c>
      <c r="C313" t="s">
        <v>20</v>
      </c>
      <c r="D313">
        <v>4874327</v>
      </c>
      <c r="E313" t="s">
        <v>21</v>
      </c>
      <c r="G313" t="s">
        <v>22</v>
      </c>
      <c r="H313" s="1">
        <v>44927</v>
      </c>
      <c r="I313" t="s">
        <v>321</v>
      </c>
      <c r="J313">
        <v>40578310</v>
      </c>
      <c r="K313">
        <v>80051819</v>
      </c>
      <c r="L313" t="s">
        <v>24</v>
      </c>
      <c r="M313" s="1">
        <v>45778</v>
      </c>
      <c r="N313" t="s">
        <v>25</v>
      </c>
      <c r="O313">
        <v>924.77</v>
      </c>
      <c r="P313">
        <v>20</v>
      </c>
      <c r="R313" t="s">
        <v>15</v>
      </c>
      <c r="S313" t="s">
        <v>26</v>
      </c>
    </row>
    <row r="314" spans="1:19" x14ac:dyDescent="0.25">
      <c r="A314" s="1">
        <v>45808</v>
      </c>
      <c r="B314" t="s">
        <v>19</v>
      </c>
      <c r="C314" t="s">
        <v>20</v>
      </c>
      <c r="D314">
        <v>4874327</v>
      </c>
      <c r="E314" t="s">
        <v>21</v>
      </c>
      <c r="G314" t="s">
        <v>22</v>
      </c>
      <c r="H314" s="1">
        <v>45017</v>
      </c>
      <c r="I314" t="s">
        <v>322</v>
      </c>
      <c r="J314">
        <v>40579755</v>
      </c>
      <c r="K314">
        <v>80237793</v>
      </c>
      <c r="L314" t="s">
        <v>24</v>
      </c>
      <c r="M314" s="1">
        <v>45778</v>
      </c>
      <c r="N314" t="s">
        <v>25</v>
      </c>
      <c r="O314">
        <v>390.33</v>
      </c>
      <c r="P314">
        <v>20</v>
      </c>
      <c r="R314" t="s">
        <v>15</v>
      </c>
      <c r="S314" t="s">
        <v>26</v>
      </c>
    </row>
    <row r="315" spans="1:19" x14ac:dyDescent="0.25">
      <c r="A315" s="1">
        <v>45808</v>
      </c>
      <c r="B315" t="s">
        <v>19</v>
      </c>
      <c r="C315" t="s">
        <v>20</v>
      </c>
      <c r="D315">
        <v>4874327</v>
      </c>
      <c r="E315" t="s">
        <v>21</v>
      </c>
      <c r="G315" t="s">
        <v>22</v>
      </c>
      <c r="H315" s="1">
        <v>45017</v>
      </c>
      <c r="I315" t="s">
        <v>322</v>
      </c>
      <c r="J315">
        <v>40579755</v>
      </c>
      <c r="K315">
        <v>80237793</v>
      </c>
      <c r="L315" t="s">
        <v>24</v>
      </c>
      <c r="M315" s="1">
        <v>45748</v>
      </c>
      <c r="N315" t="s">
        <v>28</v>
      </c>
      <c r="O315">
        <v>390.33</v>
      </c>
      <c r="P315">
        <v>20</v>
      </c>
      <c r="R315" t="s">
        <v>15</v>
      </c>
      <c r="S315" t="s">
        <v>26</v>
      </c>
    </row>
    <row r="316" spans="1:19" x14ac:dyDescent="0.25">
      <c r="A316" s="1">
        <v>45808</v>
      </c>
      <c r="B316" t="s">
        <v>19</v>
      </c>
      <c r="C316" t="s">
        <v>20</v>
      </c>
      <c r="D316">
        <v>4874327</v>
      </c>
      <c r="E316" t="s">
        <v>21</v>
      </c>
      <c r="G316" t="s">
        <v>22</v>
      </c>
      <c r="H316" s="1">
        <v>45108</v>
      </c>
      <c r="I316" t="s">
        <v>323</v>
      </c>
      <c r="J316">
        <v>39665283</v>
      </c>
      <c r="K316">
        <v>80161681</v>
      </c>
      <c r="L316" t="s">
        <v>24</v>
      </c>
      <c r="M316" s="1">
        <v>45717</v>
      </c>
      <c r="N316" t="s">
        <v>60</v>
      </c>
      <c r="O316">
        <v>607.71</v>
      </c>
      <c r="P316">
        <v>40</v>
      </c>
      <c r="R316" t="s">
        <v>15</v>
      </c>
      <c r="S316" t="s">
        <v>26</v>
      </c>
    </row>
    <row r="317" spans="1:19" x14ac:dyDescent="0.25">
      <c r="A317" s="1">
        <v>45808</v>
      </c>
      <c r="B317" t="s">
        <v>19</v>
      </c>
      <c r="C317" t="s">
        <v>20</v>
      </c>
      <c r="D317">
        <v>4874327</v>
      </c>
      <c r="E317" t="s">
        <v>21</v>
      </c>
      <c r="G317" t="s">
        <v>22</v>
      </c>
      <c r="H317" s="1">
        <v>45108</v>
      </c>
      <c r="I317" t="s">
        <v>323</v>
      </c>
      <c r="J317">
        <v>39665283</v>
      </c>
      <c r="K317">
        <v>80161681</v>
      </c>
      <c r="L317" t="s">
        <v>24</v>
      </c>
      <c r="M317" s="1">
        <v>45748</v>
      </c>
      <c r="N317" t="s">
        <v>28</v>
      </c>
      <c r="O317">
        <v>607.71</v>
      </c>
      <c r="P317">
        <v>40</v>
      </c>
      <c r="R317" t="s">
        <v>15</v>
      </c>
      <c r="S317" t="s">
        <v>26</v>
      </c>
    </row>
    <row r="318" spans="1:19" x14ac:dyDescent="0.25">
      <c r="A318" s="1">
        <v>45808</v>
      </c>
      <c r="B318" t="s">
        <v>19</v>
      </c>
      <c r="C318" t="s">
        <v>38</v>
      </c>
      <c r="D318">
        <v>4506169</v>
      </c>
      <c r="E318" t="s">
        <v>39</v>
      </c>
      <c r="G318" t="s">
        <v>22</v>
      </c>
      <c r="H318" s="1">
        <v>44958</v>
      </c>
      <c r="I318" t="s">
        <v>324</v>
      </c>
      <c r="J318">
        <v>33259811</v>
      </c>
      <c r="K318">
        <v>80052097</v>
      </c>
      <c r="L318" t="s">
        <v>24</v>
      </c>
      <c r="M318" s="1">
        <v>45748</v>
      </c>
      <c r="N318" t="s">
        <v>28</v>
      </c>
      <c r="O318">
        <v>1152.79</v>
      </c>
      <c r="P318">
        <v>40</v>
      </c>
      <c r="R318" t="s">
        <v>15</v>
      </c>
      <c r="S318" t="s">
        <v>26</v>
      </c>
    </row>
    <row r="319" spans="1:19" x14ac:dyDescent="0.25">
      <c r="A319" s="1">
        <v>45808</v>
      </c>
      <c r="B319" t="s">
        <v>19</v>
      </c>
      <c r="C319" t="s">
        <v>38</v>
      </c>
      <c r="D319">
        <v>4506169</v>
      </c>
      <c r="E319" t="s">
        <v>39</v>
      </c>
      <c r="G319" t="s">
        <v>22</v>
      </c>
      <c r="H319" s="1">
        <v>44958</v>
      </c>
      <c r="I319" t="s">
        <v>324</v>
      </c>
      <c r="J319">
        <v>33259811</v>
      </c>
      <c r="K319">
        <v>80052097</v>
      </c>
      <c r="L319" t="s">
        <v>24</v>
      </c>
      <c r="M319" s="1">
        <v>45717</v>
      </c>
      <c r="N319" t="s">
        <v>60</v>
      </c>
      <c r="O319">
        <v>1152.79</v>
      </c>
      <c r="P319">
        <v>40</v>
      </c>
      <c r="R319" t="s">
        <v>15</v>
      </c>
      <c r="S319" t="s">
        <v>26</v>
      </c>
    </row>
    <row r="320" spans="1:19" x14ac:dyDescent="0.25">
      <c r="A320" s="1">
        <v>45808</v>
      </c>
      <c r="B320" t="s">
        <v>19</v>
      </c>
      <c r="C320" t="s">
        <v>20</v>
      </c>
      <c r="D320">
        <v>4874327</v>
      </c>
      <c r="E320" t="s">
        <v>21</v>
      </c>
      <c r="G320" t="s">
        <v>22</v>
      </c>
      <c r="H320" s="1">
        <v>44927</v>
      </c>
      <c r="I320" t="s">
        <v>325</v>
      </c>
      <c r="J320">
        <v>41365945</v>
      </c>
      <c r="K320">
        <v>80145512</v>
      </c>
      <c r="L320" t="s">
        <v>24</v>
      </c>
      <c r="M320" s="1">
        <v>45778</v>
      </c>
      <c r="N320" t="s">
        <v>25</v>
      </c>
      <c r="O320">
        <v>456.72</v>
      </c>
      <c r="P320">
        <v>20</v>
      </c>
      <c r="R320" t="s">
        <v>15</v>
      </c>
      <c r="S320" t="s">
        <v>26</v>
      </c>
    </row>
    <row r="321" spans="1:19" x14ac:dyDescent="0.25">
      <c r="A321" s="1">
        <v>45808</v>
      </c>
      <c r="B321" t="s">
        <v>19</v>
      </c>
      <c r="C321" t="s">
        <v>20</v>
      </c>
      <c r="D321">
        <v>4874327</v>
      </c>
      <c r="E321" t="s">
        <v>21</v>
      </c>
      <c r="G321" t="s">
        <v>22</v>
      </c>
      <c r="H321" s="1">
        <v>44927</v>
      </c>
      <c r="I321" t="s">
        <v>326</v>
      </c>
      <c r="J321">
        <v>41365799</v>
      </c>
      <c r="K321">
        <v>80108052</v>
      </c>
      <c r="L321" t="s">
        <v>187</v>
      </c>
      <c r="M321" s="1">
        <v>45748</v>
      </c>
      <c r="N321" t="s">
        <v>28</v>
      </c>
      <c r="O321">
        <v>1820.1</v>
      </c>
      <c r="P321">
        <v>40</v>
      </c>
      <c r="R321" t="s">
        <v>15</v>
      </c>
      <c r="S321" t="s">
        <v>26</v>
      </c>
    </row>
    <row r="322" spans="1:19" x14ac:dyDescent="0.25">
      <c r="A322" s="1">
        <v>45808</v>
      </c>
      <c r="B322" t="s">
        <v>19</v>
      </c>
      <c r="C322" t="s">
        <v>38</v>
      </c>
      <c r="D322">
        <v>4506169</v>
      </c>
      <c r="E322" t="s">
        <v>39</v>
      </c>
      <c r="G322" t="s">
        <v>22</v>
      </c>
      <c r="H322" s="1">
        <v>44927</v>
      </c>
      <c r="I322" t="s">
        <v>327</v>
      </c>
      <c r="J322">
        <v>41365920</v>
      </c>
      <c r="K322">
        <v>80137927</v>
      </c>
      <c r="L322" t="s">
        <v>24</v>
      </c>
      <c r="M322" s="1">
        <v>45748</v>
      </c>
      <c r="N322" t="s">
        <v>28</v>
      </c>
      <c r="O322">
        <v>1110.57</v>
      </c>
      <c r="P322">
        <v>40</v>
      </c>
      <c r="R322" t="s">
        <v>15</v>
      </c>
      <c r="S322" t="s">
        <v>26</v>
      </c>
    </row>
    <row r="323" spans="1:19" x14ac:dyDescent="0.25">
      <c r="A323" s="1">
        <v>45808</v>
      </c>
      <c r="B323" t="s">
        <v>19</v>
      </c>
      <c r="C323" t="s">
        <v>38</v>
      </c>
      <c r="D323">
        <v>4506169</v>
      </c>
      <c r="E323" t="s">
        <v>39</v>
      </c>
      <c r="G323" t="s">
        <v>22</v>
      </c>
      <c r="H323" s="1">
        <v>44896</v>
      </c>
      <c r="I323" t="s">
        <v>328</v>
      </c>
      <c r="J323">
        <v>32311555</v>
      </c>
      <c r="K323">
        <v>80023264</v>
      </c>
      <c r="L323" t="s">
        <v>24</v>
      </c>
      <c r="M323" s="1">
        <v>45778</v>
      </c>
      <c r="N323" t="s">
        <v>25</v>
      </c>
      <c r="O323">
        <v>939.81</v>
      </c>
      <c r="P323">
        <v>20</v>
      </c>
      <c r="R323" t="s">
        <v>15</v>
      </c>
      <c r="S323" t="s">
        <v>26</v>
      </c>
    </row>
    <row r="324" spans="1:19" x14ac:dyDescent="0.25">
      <c r="A324" s="1">
        <v>45808</v>
      </c>
      <c r="B324" t="s">
        <v>19</v>
      </c>
      <c r="C324" t="s">
        <v>239</v>
      </c>
      <c r="D324">
        <v>5387584</v>
      </c>
      <c r="E324" t="s">
        <v>240</v>
      </c>
      <c r="G324" t="s">
        <v>22</v>
      </c>
      <c r="H324" s="1">
        <v>45292</v>
      </c>
      <c r="I324" t="s">
        <v>329</v>
      </c>
      <c r="J324">
        <v>41366321</v>
      </c>
      <c r="K324">
        <v>80245338</v>
      </c>
      <c r="L324" t="s">
        <v>24</v>
      </c>
      <c r="M324" s="1">
        <v>45444</v>
      </c>
      <c r="N324" t="s">
        <v>98</v>
      </c>
      <c r="O324">
        <v>265.43</v>
      </c>
      <c r="P324">
        <v>20</v>
      </c>
      <c r="R324" t="s">
        <v>15</v>
      </c>
      <c r="S324" t="s">
        <v>26</v>
      </c>
    </row>
    <row r="325" spans="1:19" x14ac:dyDescent="0.25">
      <c r="A325" s="1">
        <v>45808</v>
      </c>
      <c r="B325" t="s">
        <v>19</v>
      </c>
      <c r="C325" t="s">
        <v>239</v>
      </c>
      <c r="D325">
        <v>5387584</v>
      </c>
      <c r="E325" t="s">
        <v>240</v>
      </c>
      <c r="G325" t="s">
        <v>22</v>
      </c>
      <c r="H325" s="1">
        <v>45292</v>
      </c>
      <c r="I325" t="s">
        <v>329</v>
      </c>
      <c r="J325">
        <v>41366321</v>
      </c>
      <c r="K325">
        <v>80245338</v>
      </c>
      <c r="L325" t="s">
        <v>24</v>
      </c>
      <c r="M325" s="1">
        <v>45474</v>
      </c>
      <c r="N325" t="s">
        <v>96</v>
      </c>
      <c r="O325">
        <v>265.43</v>
      </c>
      <c r="P325">
        <v>20</v>
      </c>
      <c r="R325" t="s">
        <v>15</v>
      </c>
      <c r="S325" t="s">
        <v>26</v>
      </c>
    </row>
    <row r="326" spans="1:19" x14ac:dyDescent="0.25">
      <c r="A326" s="1">
        <v>45808</v>
      </c>
      <c r="B326" t="s">
        <v>19</v>
      </c>
      <c r="C326" t="s">
        <v>239</v>
      </c>
      <c r="D326">
        <v>5387584</v>
      </c>
      <c r="E326" t="s">
        <v>240</v>
      </c>
      <c r="G326" t="s">
        <v>22</v>
      </c>
      <c r="H326" s="1">
        <v>45292</v>
      </c>
      <c r="I326" t="s">
        <v>329</v>
      </c>
      <c r="J326">
        <v>41366321</v>
      </c>
      <c r="K326">
        <v>80245338</v>
      </c>
      <c r="L326" t="s">
        <v>24</v>
      </c>
      <c r="M326" s="1">
        <v>45536</v>
      </c>
      <c r="N326" t="s">
        <v>95</v>
      </c>
      <c r="O326">
        <v>265.43</v>
      </c>
      <c r="P326">
        <v>20</v>
      </c>
      <c r="R326" t="s">
        <v>15</v>
      </c>
      <c r="S326" t="s">
        <v>26</v>
      </c>
    </row>
    <row r="327" spans="1:19" x14ac:dyDescent="0.25">
      <c r="A327" s="1">
        <v>45808</v>
      </c>
      <c r="B327" t="s">
        <v>19</v>
      </c>
      <c r="C327" t="s">
        <v>29</v>
      </c>
      <c r="D327">
        <v>5485984</v>
      </c>
      <c r="E327" t="s">
        <v>30</v>
      </c>
      <c r="G327" t="s">
        <v>22</v>
      </c>
      <c r="H327" s="1">
        <v>45658</v>
      </c>
      <c r="I327" t="s">
        <v>330</v>
      </c>
      <c r="J327">
        <v>51841630</v>
      </c>
      <c r="K327">
        <v>80075669</v>
      </c>
      <c r="L327" t="s">
        <v>24</v>
      </c>
      <c r="M327" s="1">
        <v>45778</v>
      </c>
      <c r="N327" t="s">
        <v>25</v>
      </c>
      <c r="O327">
        <v>648.07000000000005</v>
      </c>
      <c r="P327">
        <v>20</v>
      </c>
      <c r="R327" t="s">
        <v>15</v>
      </c>
      <c r="S327" t="s">
        <v>26</v>
      </c>
    </row>
    <row r="328" spans="1:19" x14ac:dyDescent="0.25">
      <c r="A328" s="1">
        <v>45808</v>
      </c>
      <c r="B328" t="s">
        <v>19</v>
      </c>
      <c r="C328" t="s">
        <v>20</v>
      </c>
      <c r="D328">
        <v>4874327</v>
      </c>
      <c r="E328" t="s">
        <v>21</v>
      </c>
      <c r="G328" t="s">
        <v>22</v>
      </c>
      <c r="H328" s="1">
        <v>45292</v>
      </c>
      <c r="I328" t="s">
        <v>331</v>
      </c>
      <c r="J328">
        <v>42134354</v>
      </c>
      <c r="K328">
        <v>80043306</v>
      </c>
      <c r="L328" t="s">
        <v>24</v>
      </c>
      <c r="M328" s="1">
        <v>45778</v>
      </c>
      <c r="N328" t="s">
        <v>25</v>
      </c>
      <c r="O328">
        <v>430.12</v>
      </c>
      <c r="P328">
        <v>20</v>
      </c>
      <c r="R328" t="s">
        <v>15</v>
      </c>
      <c r="S328" t="s">
        <v>26</v>
      </c>
    </row>
    <row r="329" spans="1:19" x14ac:dyDescent="0.25">
      <c r="A329" s="1">
        <v>45808</v>
      </c>
      <c r="B329" t="s">
        <v>19</v>
      </c>
      <c r="C329" t="s">
        <v>20</v>
      </c>
      <c r="D329">
        <v>4874327</v>
      </c>
      <c r="E329" t="s">
        <v>21</v>
      </c>
      <c r="G329" t="s">
        <v>22</v>
      </c>
      <c r="H329" s="1">
        <v>45658</v>
      </c>
      <c r="I329" t="s">
        <v>332</v>
      </c>
      <c r="J329">
        <v>50176548</v>
      </c>
      <c r="K329">
        <v>80234379</v>
      </c>
      <c r="L329" t="s">
        <v>24</v>
      </c>
      <c r="M329" s="1">
        <v>45778</v>
      </c>
      <c r="N329" t="s">
        <v>25</v>
      </c>
      <c r="O329">
        <v>480.8</v>
      </c>
      <c r="P329">
        <v>20</v>
      </c>
      <c r="R329" t="s">
        <v>15</v>
      </c>
      <c r="S329" t="s">
        <v>26</v>
      </c>
    </row>
    <row r="330" spans="1:19" x14ac:dyDescent="0.25">
      <c r="A330" s="1">
        <v>45808</v>
      </c>
      <c r="B330" t="s">
        <v>19</v>
      </c>
      <c r="C330" t="s">
        <v>29</v>
      </c>
      <c r="D330">
        <v>5485984</v>
      </c>
      <c r="E330" t="s">
        <v>30</v>
      </c>
      <c r="G330" t="s">
        <v>22</v>
      </c>
      <c r="H330" s="1">
        <v>45292</v>
      </c>
      <c r="I330" t="s">
        <v>333</v>
      </c>
      <c r="J330">
        <v>45812002</v>
      </c>
      <c r="K330">
        <v>81351656</v>
      </c>
      <c r="L330" t="s">
        <v>24</v>
      </c>
      <c r="M330" s="1">
        <v>45778</v>
      </c>
      <c r="N330" t="s">
        <v>25</v>
      </c>
      <c r="O330">
        <v>705.62</v>
      </c>
      <c r="P330">
        <v>20</v>
      </c>
      <c r="R330" t="s">
        <v>15</v>
      </c>
      <c r="S330" t="s">
        <v>26</v>
      </c>
    </row>
    <row r="331" spans="1:19" x14ac:dyDescent="0.25">
      <c r="A331" s="1">
        <v>45808</v>
      </c>
      <c r="B331" t="s">
        <v>19</v>
      </c>
      <c r="C331" t="s">
        <v>29</v>
      </c>
      <c r="D331">
        <v>5485984</v>
      </c>
      <c r="E331" t="s">
        <v>30</v>
      </c>
      <c r="G331" t="s">
        <v>22</v>
      </c>
      <c r="H331" s="1">
        <v>45658</v>
      </c>
      <c r="I331" t="s">
        <v>334</v>
      </c>
      <c r="J331">
        <v>51841871</v>
      </c>
      <c r="K331">
        <v>80146968</v>
      </c>
      <c r="L331" t="s">
        <v>24</v>
      </c>
      <c r="M331" s="1">
        <v>45778</v>
      </c>
      <c r="N331" t="s">
        <v>25</v>
      </c>
      <c r="O331">
        <v>638.69000000000005</v>
      </c>
      <c r="P331">
        <v>20</v>
      </c>
      <c r="R331" t="s">
        <v>15</v>
      </c>
      <c r="S331" t="s">
        <v>26</v>
      </c>
    </row>
    <row r="332" spans="1:19" x14ac:dyDescent="0.25">
      <c r="A332" s="1">
        <v>45808</v>
      </c>
      <c r="B332" t="s">
        <v>19</v>
      </c>
      <c r="C332" t="s">
        <v>29</v>
      </c>
      <c r="D332">
        <v>5485984</v>
      </c>
      <c r="E332" t="s">
        <v>30</v>
      </c>
      <c r="G332" t="s">
        <v>22</v>
      </c>
      <c r="H332" s="1">
        <v>45323</v>
      </c>
      <c r="I332" t="s">
        <v>335</v>
      </c>
      <c r="J332">
        <v>45812042</v>
      </c>
      <c r="K332">
        <v>81355790</v>
      </c>
      <c r="L332" t="s">
        <v>24</v>
      </c>
      <c r="M332" s="1">
        <v>45778</v>
      </c>
      <c r="N332" t="s">
        <v>25</v>
      </c>
      <c r="O332">
        <v>472.44</v>
      </c>
      <c r="P332">
        <v>20</v>
      </c>
      <c r="R332" t="s">
        <v>15</v>
      </c>
      <c r="S332" t="s">
        <v>26</v>
      </c>
    </row>
    <row r="333" spans="1:19" x14ac:dyDescent="0.25">
      <c r="A333" s="1">
        <v>45808</v>
      </c>
      <c r="B333" t="s">
        <v>19</v>
      </c>
      <c r="C333" t="s">
        <v>20</v>
      </c>
      <c r="D333">
        <v>4874327</v>
      </c>
      <c r="E333" t="s">
        <v>21</v>
      </c>
      <c r="G333" t="s">
        <v>22</v>
      </c>
      <c r="H333" s="1">
        <v>44927</v>
      </c>
      <c r="I333" t="s">
        <v>336</v>
      </c>
      <c r="J333">
        <v>40578413</v>
      </c>
      <c r="K333">
        <v>80075459</v>
      </c>
      <c r="L333" t="s">
        <v>24</v>
      </c>
      <c r="M333" s="1">
        <v>45566</v>
      </c>
      <c r="N333" t="s">
        <v>65</v>
      </c>
      <c r="O333">
        <v>727</v>
      </c>
      <c r="P333">
        <v>40</v>
      </c>
      <c r="R333" t="s">
        <v>15</v>
      </c>
      <c r="S333" t="s">
        <v>26</v>
      </c>
    </row>
    <row r="334" spans="1:19" x14ac:dyDescent="0.25">
      <c r="A334" s="1">
        <v>45808</v>
      </c>
      <c r="B334" t="s">
        <v>19</v>
      </c>
      <c r="C334" t="s">
        <v>20</v>
      </c>
      <c r="D334">
        <v>4874327</v>
      </c>
      <c r="E334" t="s">
        <v>21</v>
      </c>
      <c r="G334" t="s">
        <v>22</v>
      </c>
      <c r="H334" s="1">
        <v>45231</v>
      </c>
      <c r="I334" t="s">
        <v>337</v>
      </c>
      <c r="J334">
        <v>40578977</v>
      </c>
      <c r="K334">
        <v>80155834</v>
      </c>
      <c r="L334" t="s">
        <v>24</v>
      </c>
      <c r="M334" s="1">
        <v>45748</v>
      </c>
      <c r="N334" t="s">
        <v>28</v>
      </c>
      <c r="O334">
        <v>1343.42</v>
      </c>
      <c r="P334">
        <v>40</v>
      </c>
      <c r="R334" t="s">
        <v>15</v>
      </c>
      <c r="S334" t="s">
        <v>26</v>
      </c>
    </row>
    <row r="335" spans="1:19" x14ac:dyDescent="0.25">
      <c r="A335" s="1">
        <v>45808</v>
      </c>
      <c r="B335" t="s">
        <v>19</v>
      </c>
      <c r="C335" t="s">
        <v>20</v>
      </c>
      <c r="D335">
        <v>4874327</v>
      </c>
      <c r="E335" t="s">
        <v>21</v>
      </c>
      <c r="G335" t="s">
        <v>22</v>
      </c>
      <c r="H335" s="1">
        <v>45170</v>
      </c>
      <c r="I335" t="s">
        <v>338</v>
      </c>
      <c r="J335">
        <v>37510443</v>
      </c>
      <c r="K335">
        <v>80243037</v>
      </c>
      <c r="L335" t="s">
        <v>24</v>
      </c>
      <c r="M335" s="1">
        <v>45778</v>
      </c>
      <c r="N335" t="s">
        <v>25</v>
      </c>
      <c r="O335">
        <v>328.31</v>
      </c>
      <c r="P335">
        <v>20</v>
      </c>
      <c r="R335" t="s">
        <v>15</v>
      </c>
      <c r="S335" t="s">
        <v>26</v>
      </c>
    </row>
    <row r="336" spans="1:19" x14ac:dyDescent="0.25">
      <c r="A336" s="1">
        <v>45808</v>
      </c>
      <c r="B336" t="s">
        <v>19</v>
      </c>
      <c r="C336" t="s">
        <v>20</v>
      </c>
      <c r="D336">
        <v>4874327</v>
      </c>
      <c r="E336" t="s">
        <v>21</v>
      </c>
      <c r="G336" t="s">
        <v>22</v>
      </c>
      <c r="H336" s="1">
        <v>45170</v>
      </c>
      <c r="I336" t="s">
        <v>339</v>
      </c>
      <c r="J336">
        <v>38006992</v>
      </c>
      <c r="K336">
        <v>80243039</v>
      </c>
      <c r="L336" t="s">
        <v>24</v>
      </c>
      <c r="M336" s="1">
        <v>45778</v>
      </c>
      <c r="N336" t="s">
        <v>25</v>
      </c>
      <c r="O336">
        <v>230.63</v>
      </c>
      <c r="P336">
        <v>20</v>
      </c>
      <c r="R336" t="s">
        <v>15</v>
      </c>
      <c r="S336" t="s">
        <v>26</v>
      </c>
    </row>
    <row r="337" spans="1:19" x14ac:dyDescent="0.25">
      <c r="A337" s="1">
        <v>45808</v>
      </c>
      <c r="B337" t="s">
        <v>19</v>
      </c>
      <c r="C337" t="s">
        <v>29</v>
      </c>
      <c r="D337">
        <v>5485984</v>
      </c>
      <c r="E337" t="s">
        <v>30</v>
      </c>
      <c r="G337" t="s">
        <v>22</v>
      </c>
      <c r="H337" s="1">
        <v>45292</v>
      </c>
      <c r="I337" t="s">
        <v>340</v>
      </c>
      <c r="J337">
        <v>46375018</v>
      </c>
      <c r="K337">
        <v>80214102</v>
      </c>
      <c r="L337" t="s">
        <v>24</v>
      </c>
      <c r="M337" s="1">
        <v>45778</v>
      </c>
      <c r="N337" t="s">
        <v>25</v>
      </c>
      <c r="O337">
        <v>283.67</v>
      </c>
      <c r="P337">
        <v>20</v>
      </c>
      <c r="R337" t="s">
        <v>15</v>
      </c>
      <c r="S337" t="s">
        <v>26</v>
      </c>
    </row>
    <row r="338" spans="1:19" x14ac:dyDescent="0.25">
      <c r="A338" s="1">
        <v>45808</v>
      </c>
      <c r="B338" t="s">
        <v>19</v>
      </c>
      <c r="C338" t="s">
        <v>29</v>
      </c>
      <c r="D338">
        <v>5485984</v>
      </c>
      <c r="E338" t="s">
        <v>30</v>
      </c>
      <c r="G338" t="s">
        <v>22</v>
      </c>
      <c r="H338" s="1">
        <v>45658</v>
      </c>
      <c r="I338" t="s">
        <v>341</v>
      </c>
      <c r="J338">
        <v>51841633</v>
      </c>
      <c r="K338">
        <v>80194580</v>
      </c>
      <c r="L338" t="s">
        <v>24</v>
      </c>
      <c r="M338" s="1">
        <v>45778</v>
      </c>
      <c r="N338" t="s">
        <v>25</v>
      </c>
      <c r="O338">
        <v>680.82</v>
      </c>
      <c r="P338">
        <v>20</v>
      </c>
      <c r="R338" t="s">
        <v>15</v>
      </c>
      <c r="S338" t="s">
        <v>26</v>
      </c>
    </row>
    <row r="339" spans="1:19" x14ac:dyDescent="0.25">
      <c r="A339" s="1">
        <v>45808</v>
      </c>
      <c r="B339" t="s">
        <v>19</v>
      </c>
      <c r="C339" t="s">
        <v>20</v>
      </c>
      <c r="D339">
        <v>4874327</v>
      </c>
      <c r="E339" t="s">
        <v>21</v>
      </c>
      <c r="G339" t="s">
        <v>22</v>
      </c>
      <c r="H339" s="1">
        <v>44927</v>
      </c>
      <c r="I339" t="s">
        <v>342</v>
      </c>
      <c r="J339">
        <v>41365708</v>
      </c>
      <c r="K339">
        <v>80090218</v>
      </c>
      <c r="L339" t="s">
        <v>24</v>
      </c>
      <c r="M339" s="1">
        <v>45748</v>
      </c>
      <c r="N339" t="s">
        <v>28</v>
      </c>
      <c r="O339">
        <v>1172.1600000000001</v>
      </c>
      <c r="P339">
        <v>80</v>
      </c>
      <c r="R339" t="s">
        <v>15</v>
      </c>
      <c r="S339" t="s">
        <v>26</v>
      </c>
    </row>
    <row r="340" spans="1:19" x14ac:dyDescent="0.25">
      <c r="A340" s="1">
        <v>45808</v>
      </c>
      <c r="B340" t="s">
        <v>19</v>
      </c>
      <c r="C340" t="s">
        <v>20</v>
      </c>
      <c r="D340">
        <v>4874327</v>
      </c>
      <c r="E340" t="s">
        <v>21</v>
      </c>
      <c r="G340" t="s">
        <v>22</v>
      </c>
      <c r="H340" s="1">
        <v>44958</v>
      </c>
      <c r="I340" t="s">
        <v>343</v>
      </c>
      <c r="J340">
        <v>41365647</v>
      </c>
      <c r="K340">
        <v>80076875</v>
      </c>
      <c r="L340" t="s">
        <v>24</v>
      </c>
      <c r="M340" s="1">
        <v>45778</v>
      </c>
      <c r="N340" t="s">
        <v>25</v>
      </c>
      <c r="O340">
        <v>662.6</v>
      </c>
      <c r="P340">
        <v>20</v>
      </c>
      <c r="R340" t="s">
        <v>15</v>
      </c>
      <c r="S340" t="s">
        <v>26</v>
      </c>
    </row>
    <row r="341" spans="1:19" x14ac:dyDescent="0.25">
      <c r="A341" s="1">
        <v>45808</v>
      </c>
      <c r="B341" t="s">
        <v>19</v>
      </c>
      <c r="C341" t="s">
        <v>20</v>
      </c>
      <c r="D341">
        <v>4874327</v>
      </c>
      <c r="E341" t="s">
        <v>21</v>
      </c>
      <c r="G341" t="s">
        <v>22</v>
      </c>
      <c r="H341" s="1">
        <v>44958</v>
      </c>
      <c r="I341" t="s">
        <v>344</v>
      </c>
      <c r="J341">
        <v>41366033</v>
      </c>
      <c r="K341">
        <v>80178889</v>
      </c>
      <c r="L341" t="s">
        <v>24</v>
      </c>
      <c r="M341" s="1">
        <v>45352</v>
      </c>
      <c r="N341" t="s">
        <v>60</v>
      </c>
      <c r="O341">
        <v>727.44</v>
      </c>
      <c r="P341">
        <v>20</v>
      </c>
      <c r="R341" t="s">
        <v>15</v>
      </c>
      <c r="S341" t="s">
        <v>26</v>
      </c>
    </row>
    <row r="342" spans="1:19" x14ac:dyDescent="0.25">
      <c r="A342" s="1">
        <v>45808</v>
      </c>
      <c r="B342" t="s">
        <v>19</v>
      </c>
      <c r="C342" t="s">
        <v>20</v>
      </c>
      <c r="D342">
        <v>4874327</v>
      </c>
      <c r="E342" t="s">
        <v>21</v>
      </c>
      <c r="G342" t="s">
        <v>22</v>
      </c>
      <c r="H342" s="1">
        <v>45292</v>
      </c>
      <c r="I342" t="s">
        <v>345</v>
      </c>
      <c r="J342">
        <v>42134907</v>
      </c>
      <c r="K342">
        <v>81339984</v>
      </c>
      <c r="L342" t="s">
        <v>24</v>
      </c>
      <c r="M342" s="1">
        <v>45748</v>
      </c>
      <c r="N342" t="s">
        <v>28</v>
      </c>
      <c r="O342">
        <v>562.04999999999995</v>
      </c>
      <c r="P342">
        <v>20</v>
      </c>
      <c r="R342" t="s">
        <v>15</v>
      </c>
      <c r="S342" t="s">
        <v>26</v>
      </c>
    </row>
    <row r="343" spans="1:19" x14ac:dyDescent="0.25">
      <c r="A343" s="1">
        <v>45808</v>
      </c>
      <c r="B343" t="s">
        <v>19</v>
      </c>
      <c r="C343" t="s">
        <v>20</v>
      </c>
      <c r="D343">
        <v>4874327</v>
      </c>
      <c r="E343" t="s">
        <v>21</v>
      </c>
      <c r="G343" t="s">
        <v>22</v>
      </c>
      <c r="H343" s="1">
        <v>45292</v>
      </c>
      <c r="I343" t="s">
        <v>346</v>
      </c>
      <c r="J343">
        <v>44537714</v>
      </c>
      <c r="K343">
        <v>80093732</v>
      </c>
      <c r="L343" t="s">
        <v>24</v>
      </c>
      <c r="M343" s="1">
        <v>45748</v>
      </c>
      <c r="N343" t="s">
        <v>28</v>
      </c>
      <c r="O343">
        <v>815.27</v>
      </c>
      <c r="P343">
        <v>20</v>
      </c>
      <c r="R343" t="s">
        <v>15</v>
      </c>
      <c r="S343" t="s">
        <v>26</v>
      </c>
    </row>
    <row r="344" spans="1:19" x14ac:dyDescent="0.25">
      <c r="A344" s="1">
        <v>45808</v>
      </c>
      <c r="B344" t="s">
        <v>19</v>
      </c>
      <c r="C344" t="s">
        <v>20</v>
      </c>
      <c r="D344">
        <v>4874327</v>
      </c>
      <c r="E344" t="s">
        <v>21</v>
      </c>
      <c r="G344" t="s">
        <v>22</v>
      </c>
      <c r="H344" s="1">
        <v>42005</v>
      </c>
      <c r="I344" t="s">
        <v>347</v>
      </c>
      <c r="J344">
        <v>3081455</v>
      </c>
      <c r="K344">
        <v>80170385</v>
      </c>
      <c r="L344" t="s">
        <v>24</v>
      </c>
      <c r="M344" s="1">
        <v>45778</v>
      </c>
      <c r="N344" t="s">
        <v>25</v>
      </c>
      <c r="O344">
        <v>290.22000000000003</v>
      </c>
      <c r="P344">
        <v>20</v>
      </c>
      <c r="R344" t="s">
        <v>15</v>
      </c>
      <c r="S344" t="s">
        <v>26</v>
      </c>
    </row>
    <row r="345" spans="1:19" x14ac:dyDescent="0.25">
      <c r="A345" s="1">
        <v>45808</v>
      </c>
      <c r="B345" t="s">
        <v>19</v>
      </c>
      <c r="C345" t="s">
        <v>20</v>
      </c>
      <c r="D345">
        <v>4874327</v>
      </c>
      <c r="E345" t="s">
        <v>21</v>
      </c>
      <c r="G345" t="s">
        <v>22</v>
      </c>
      <c r="H345" s="1">
        <v>45658</v>
      </c>
      <c r="I345" t="s">
        <v>348</v>
      </c>
      <c r="J345">
        <v>50176031</v>
      </c>
      <c r="K345">
        <v>80225891</v>
      </c>
      <c r="L345" t="s">
        <v>24</v>
      </c>
      <c r="M345" s="1">
        <v>45778</v>
      </c>
      <c r="N345" t="s">
        <v>25</v>
      </c>
      <c r="O345">
        <v>538.05999999999995</v>
      </c>
      <c r="P345">
        <v>20</v>
      </c>
      <c r="R345" t="s">
        <v>15</v>
      </c>
      <c r="S345" t="s">
        <v>26</v>
      </c>
    </row>
    <row r="346" spans="1:19" x14ac:dyDescent="0.25">
      <c r="A346" s="1">
        <v>45808</v>
      </c>
      <c r="B346" t="s">
        <v>19</v>
      </c>
      <c r="C346" t="s">
        <v>29</v>
      </c>
      <c r="D346">
        <v>5485984</v>
      </c>
      <c r="E346" t="s">
        <v>30</v>
      </c>
      <c r="G346" t="s">
        <v>22</v>
      </c>
      <c r="H346" s="1">
        <v>45323</v>
      </c>
      <c r="I346" t="s">
        <v>349</v>
      </c>
      <c r="J346">
        <v>45811931</v>
      </c>
      <c r="K346">
        <v>81353065</v>
      </c>
      <c r="L346" t="s">
        <v>24</v>
      </c>
      <c r="M346" s="1">
        <v>45778</v>
      </c>
      <c r="N346" t="s">
        <v>25</v>
      </c>
      <c r="O346">
        <v>276.93</v>
      </c>
      <c r="P346">
        <v>20</v>
      </c>
      <c r="R346" t="s">
        <v>15</v>
      </c>
      <c r="S346" t="s">
        <v>26</v>
      </c>
    </row>
    <row r="347" spans="1:19" x14ac:dyDescent="0.25">
      <c r="A347" s="1">
        <v>45808</v>
      </c>
      <c r="B347" t="s">
        <v>19</v>
      </c>
      <c r="C347" t="s">
        <v>29</v>
      </c>
      <c r="D347">
        <v>5485984</v>
      </c>
      <c r="E347" t="s">
        <v>30</v>
      </c>
      <c r="G347" t="s">
        <v>22</v>
      </c>
      <c r="H347" s="1">
        <v>45352</v>
      </c>
      <c r="I347" t="s">
        <v>350</v>
      </c>
      <c r="J347">
        <v>45812014</v>
      </c>
      <c r="K347">
        <v>81358399</v>
      </c>
      <c r="L347" t="s">
        <v>24</v>
      </c>
      <c r="M347" s="1">
        <v>45778</v>
      </c>
      <c r="N347" t="s">
        <v>25</v>
      </c>
      <c r="O347">
        <v>993.78</v>
      </c>
      <c r="P347">
        <v>40</v>
      </c>
      <c r="R347" t="s">
        <v>15</v>
      </c>
      <c r="S347" t="s">
        <v>26</v>
      </c>
    </row>
    <row r="348" spans="1:19" x14ac:dyDescent="0.25">
      <c r="A348" s="1">
        <v>45808</v>
      </c>
      <c r="B348" t="s">
        <v>19</v>
      </c>
      <c r="C348" t="s">
        <v>20</v>
      </c>
      <c r="D348">
        <v>4874327</v>
      </c>
      <c r="E348" t="s">
        <v>21</v>
      </c>
      <c r="G348" t="s">
        <v>22</v>
      </c>
      <c r="H348" s="1">
        <v>44927</v>
      </c>
      <c r="I348" t="s">
        <v>351</v>
      </c>
      <c r="J348">
        <v>40579675</v>
      </c>
      <c r="K348">
        <v>80225489</v>
      </c>
      <c r="L348" t="s">
        <v>24</v>
      </c>
      <c r="M348" s="1">
        <v>45778</v>
      </c>
      <c r="N348" t="s">
        <v>25</v>
      </c>
      <c r="O348">
        <v>662.6</v>
      </c>
      <c r="P348">
        <v>20</v>
      </c>
      <c r="R348" t="s">
        <v>15</v>
      </c>
      <c r="S348" t="s">
        <v>26</v>
      </c>
    </row>
    <row r="349" spans="1:19" x14ac:dyDescent="0.25">
      <c r="A349" s="1">
        <v>45808</v>
      </c>
      <c r="B349" t="s">
        <v>19</v>
      </c>
      <c r="C349" t="s">
        <v>38</v>
      </c>
      <c r="D349">
        <v>4506169</v>
      </c>
      <c r="E349" t="s">
        <v>39</v>
      </c>
      <c r="G349" t="s">
        <v>22</v>
      </c>
      <c r="H349" s="1">
        <v>45292</v>
      </c>
      <c r="I349" t="s">
        <v>352</v>
      </c>
      <c r="J349">
        <v>42134338</v>
      </c>
      <c r="K349">
        <v>80032314</v>
      </c>
      <c r="L349" t="s">
        <v>24</v>
      </c>
      <c r="M349" s="1">
        <v>45748</v>
      </c>
      <c r="N349" t="s">
        <v>28</v>
      </c>
      <c r="O349">
        <v>489.83</v>
      </c>
      <c r="P349">
        <v>20</v>
      </c>
      <c r="R349" t="s">
        <v>15</v>
      </c>
      <c r="S349" t="s">
        <v>26</v>
      </c>
    </row>
    <row r="350" spans="1:19" x14ac:dyDescent="0.25">
      <c r="A350" s="1">
        <v>45808</v>
      </c>
      <c r="B350" t="s">
        <v>19</v>
      </c>
      <c r="C350" t="s">
        <v>20</v>
      </c>
      <c r="D350">
        <v>4874327</v>
      </c>
      <c r="E350" t="s">
        <v>21</v>
      </c>
      <c r="G350" t="s">
        <v>22</v>
      </c>
      <c r="H350" s="1">
        <v>45383</v>
      </c>
      <c r="I350" t="s">
        <v>353</v>
      </c>
      <c r="J350">
        <v>44538191</v>
      </c>
      <c r="K350">
        <v>81362634</v>
      </c>
      <c r="L350" t="s">
        <v>24</v>
      </c>
      <c r="M350" s="1">
        <v>45748</v>
      </c>
      <c r="N350" t="s">
        <v>28</v>
      </c>
      <c r="O350">
        <v>1172.8</v>
      </c>
      <c r="P350">
        <v>20</v>
      </c>
      <c r="R350" t="s">
        <v>15</v>
      </c>
      <c r="S350" t="s">
        <v>26</v>
      </c>
    </row>
    <row r="351" spans="1:19" x14ac:dyDescent="0.25">
      <c r="A351" s="1">
        <v>45808</v>
      </c>
      <c r="B351" t="s">
        <v>19</v>
      </c>
      <c r="C351" t="s">
        <v>20</v>
      </c>
      <c r="D351">
        <v>4874327</v>
      </c>
      <c r="E351" t="s">
        <v>21</v>
      </c>
      <c r="G351" t="s">
        <v>22</v>
      </c>
      <c r="H351" s="1">
        <v>45383</v>
      </c>
      <c r="I351" t="s">
        <v>354</v>
      </c>
      <c r="J351">
        <v>44538040</v>
      </c>
      <c r="K351">
        <v>81361179</v>
      </c>
      <c r="L351" t="s">
        <v>24</v>
      </c>
      <c r="M351" s="1">
        <v>45778</v>
      </c>
      <c r="N351" t="s">
        <v>25</v>
      </c>
      <c r="O351">
        <v>625.92999999999995</v>
      </c>
      <c r="P351">
        <v>20</v>
      </c>
      <c r="R351" t="s">
        <v>15</v>
      </c>
      <c r="S351" t="s">
        <v>26</v>
      </c>
    </row>
    <row r="352" spans="1:19" x14ac:dyDescent="0.25">
      <c r="A352" s="1">
        <v>45808</v>
      </c>
      <c r="B352" t="s">
        <v>19</v>
      </c>
      <c r="C352" t="s">
        <v>20</v>
      </c>
      <c r="D352">
        <v>4874327</v>
      </c>
      <c r="E352" t="s">
        <v>21</v>
      </c>
      <c r="G352" t="s">
        <v>22</v>
      </c>
      <c r="H352" s="1">
        <v>45383</v>
      </c>
      <c r="I352" t="s">
        <v>354</v>
      </c>
      <c r="J352">
        <v>44538040</v>
      </c>
      <c r="K352">
        <v>81361179</v>
      </c>
      <c r="L352" t="s">
        <v>24</v>
      </c>
      <c r="M352" s="1">
        <v>45748</v>
      </c>
      <c r="N352" t="s">
        <v>28</v>
      </c>
      <c r="O352">
        <v>644.66999999999996</v>
      </c>
      <c r="P352">
        <v>20</v>
      </c>
      <c r="R352" t="s">
        <v>15</v>
      </c>
      <c r="S352" t="s">
        <v>26</v>
      </c>
    </row>
    <row r="353" spans="1:19" x14ac:dyDescent="0.25">
      <c r="A353" s="1">
        <v>45808</v>
      </c>
      <c r="B353" t="s">
        <v>19</v>
      </c>
      <c r="C353" t="s">
        <v>20</v>
      </c>
      <c r="D353">
        <v>4874327</v>
      </c>
      <c r="E353" t="s">
        <v>21</v>
      </c>
      <c r="G353" t="s">
        <v>22</v>
      </c>
      <c r="H353" s="1">
        <v>45658</v>
      </c>
      <c r="I353" t="s">
        <v>355</v>
      </c>
      <c r="J353">
        <v>50176704</v>
      </c>
      <c r="K353">
        <v>81665145</v>
      </c>
      <c r="L353" t="s">
        <v>24</v>
      </c>
      <c r="M353" s="1">
        <v>45748</v>
      </c>
      <c r="N353" t="s">
        <v>28</v>
      </c>
      <c r="O353">
        <v>662.6</v>
      </c>
      <c r="P353">
        <v>20</v>
      </c>
      <c r="R353" t="s">
        <v>15</v>
      </c>
      <c r="S353" t="s">
        <v>26</v>
      </c>
    </row>
    <row r="354" spans="1:19" x14ac:dyDescent="0.25">
      <c r="A354" s="1">
        <v>45808</v>
      </c>
      <c r="B354" t="s">
        <v>19</v>
      </c>
      <c r="C354" t="s">
        <v>29</v>
      </c>
      <c r="D354">
        <v>5485984</v>
      </c>
      <c r="E354" t="s">
        <v>30</v>
      </c>
      <c r="G354" t="s">
        <v>22</v>
      </c>
      <c r="H354" s="1">
        <v>45292</v>
      </c>
      <c r="I354" t="s">
        <v>356</v>
      </c>
      <c r="J354">
        <v>45811860</v>
      </c>
      <c r="K354">
        <v>80207254</v>
      </c>
      <c r="L354" t="s">
        <v>24</v>
      </c>
      <c r="M354" s="1">
        <v>45778</v>
      </c>
      <c r="N354" t="s">
        <v>25</v>
      </c>
      <c r="O354">
        <v>261.77</v>
      </c>
      <c r="P354">
        <v>20</v>
      </c>
      <c r="R354" t="s">
        <v>15</v>
      </c>
      <c r="S354" t="s">
        <v>26</v>
      </c>
    </row>
    <row r="355" spans="1:19" x14ac:dyDescent="0.25">
      <c r="A355" s="1">
        <v>45808</v>
      </c>
      <c r="B355" t="s">
        <v>19</v>
      </c>
      <c r="C355" t="s">
        <v>20</v>
      </c>
      <c r="D355">
        <v>4874327</v>
      </c>
      <c r="E355" t="s">
        <v>21</v>
      </c>
      <c r="G355" t="s">
        <v>22</v>
      </c>
      <c r="H355" s="1">
        <v>44927</v>
      </c>
      <c r="I355" t="s">
        <v>357</v>
      </c>
      <c r="J355">
        <v>40579506</v>
      </c>
      <c r="K355">
        <v>80197564</v>
      </c>
      <c r="L355" t="s">
        <v>24</v>
      </c>
      <c r="M355" s="1">
        <v>45778</v>
      </c>
      <c r="N355" t="s">
        <v>25</v>
      </c>
      <c r="O355">
        <v>538.29</v>
      </c>
      <c r="P355">
        <v>20</v>
      </c>
      <c r="R355" t="s">
        <v>15</v>
      </c>
      <c r="S355" t="s">
        <v>26</v>
      </c>
    </row>
    <row r="356" spans="1:19" x14ac:dyDescent="0.25">
      <c r="A356" s="1">
        <v>45808</v>
      </c>
      <c r="B356" t="s">
        <v>19</v>
      </c>
      <c r="C356" t="s">
        <v>20</v>
      </c>
      <c r="D356">
        <v>4874327</v>
      </c>
      <c r="E356" t="s">
        <v>21</v>
      </c>
      <c r="G356" t="s">
        <v>22</v>
      </c>
      <c r="H356" s="1">
        <v>44958</v>
      </c>
      <c r="I356" t="s">
        <v>358</v>
      </c>
      <c r="J356">
        <v>41366276</v>
      </c>
      <c r="K356">
        <v>80235191</v>
      </c>
      <c r="L356" t="s">
        <v>24</v>
      </c>
      <c r="M356" s="1">
        <v>45748</v>
      </c>
      <c r="N356" t="s">
        <v>28</v>
      </c>
      <c r="O356">
        <v>691.89</v>
      </c>
      <c r="P356">
        <v>20</v>
      </c>
      <c r="R356" t="s">
        <v>15</v>
      </c>
      <c r="S356" t="s">
        <v>26</v>
      </c>
    </row>
    <row r="357" spans="1:19" x14ac:dyDescent="0.25">
      <c r="A357" s="1">
        <v>45808</v>
      </c>
      <c r="B357" t="s">
        <v>19</v>
      </c>
      <c r="C357" t="s">
        <v>20</v>
      </c>
      <c r="D357">
        <v>4874327</v>
      </c>
      <c r="E357" t="s">
        <v>21</v>
      </c>
      <c r="G357" t="s">
        <v>22</v>
      </c>
      <c r="H357" s="1">
        <v>45170</v>
      </c>
      <c r="I357" t="s">
        <v>359</v>
      </c>
      <c r="J357">
        <v>38006959</v>
      </c>
      <c r="K357">
        <v>80080593</v>
      </c>
      <c r="L357" t="s">
        <v>24</v>
      </c>
      <c r="M357" s="1">
        <v>45778</v>
      </c>
      <c r="N357" t="s">
        <v>25</v>
      </c>
      <c r="O357">
        <v>900.02</v>
      </c>
      <c r="P357">
        <v>20</v>
      </c>
      <c r="R357" t="s">
        <v>15</v>
      </c>
      <c r="S357" t="s">
        <v>26</v>
      </c>
    </row>
    <row r="358" spans="1:19" x14ac:dyDescent="0.25">
      <c r="A358" s="1">
        <v>45808</v>
      </c>
      <c r="B358" t="s">
        <v>19</v>
      </c>
      <c r="C358" t="s">
        <v>38</v>
      </c>
      <c r="D358">
        <v>4506169</v>
      </c>
      <c r="E358" t="s">
        <v>39</v>
      </c>
      <c r="G358" t="s">
        <v>22</v>
      </c>
      <c r="H358" s="1">
        <v>44927</v>
      </c>
      <c r="I358" t="s">
        <v>360</v>
      </c>
      <c r="J358">
        <v>32311504</v>
      </c>
      <c r="K358">
        <v>80003121</v>
      </c>
      <c r="L358" t="s">
        <v>24</v>
      </c>
      <c r="M358" s="1">
        <v>45748</v>
      </c>
      <c r="N358" t="s">
        <v>28</v>
      </c>
      <c r="O358">
        <v>543.25</v>
      </c>
      <c r="P358">
        <v>20</v>
      </c>
      <c r="R358" t="s">
        <v>15</v>
      </c>
      <c r="S358" t="s">
        <v>26</v>
      </c>
    </row>
    <row r="359" spans="1:19" x14ac:dyDescent="0.25">
      <c r="A359" s="1">
        <v>45808</v>
      </c>
      <c r="B359" t="s">
        <v>19</v>
      </c>
      <c r="C359" t="s">
        <v>38</v>
      </c>
      <c r="D359">
        <v>4506169</v>
      </c>
      <c r="E359" t="s">
        <v>39</v>
      </c>
      <c r="G359" t="s">
        <v>22</v>
      </c>
      <c r="H359" s="1">
        <v>44927</v>
      </c>
      <c r="I359" t="s">
        <v>360</v>
      </c>
      <c r="J359">
        <v>32311504</v>
      </c>
      <c r="K359">
        <v>80003121</v>
      </c>
      <c r="L359" t="s">
        <v>24</v>
      </c>
      <c r="M359" s="1">
        <v>45778</v>
      </c>
      <c r="N359" t="s">
        <v>25</v>
      </c>
      <c r="O359">
        <v>543.25</v>
      </c>
      <c r="P359">
        <v>20</v>
      </c>
      <c r="R359" t="s">
        <v>15</v>
      </c>
      <c r="S359" t="s">
        <v>26</v>
      </c>
    </row>
    <row r="360" spans="1:19" x14ac:dyDescent="0.25">
      <c r="A360" s="1">
        <v>45808</v>
      </c>
      <c r="B360" t="s">
        <v>19</v>
      </c>
      <c r="C360" t="s">
        <v>29</v>
      </c>
      <c r="D360">
        <v>5485984</v>
      </c>
      <c r="E360" t="s">
        <v>30</v>
      </c>
      <c r="G360" t="s">
        <v>22</v>
      </c>
      <c r="H360" s="1">
        <v>45292</v>
      </c>
      <c r="I360" t="s">
        <v>361</v>
      </c>
      <c r="J360">
        <v>46374961</v>
      </c>
      <c r="K360">
        <v>80046709</v>
      </c>
      <c r="L360" t="s">
        <v>24</v>
      </c>
      <c r="M360" s="1">
        <v>45778</v>
      </c>
      <c r="N360" t="s">
        <v>25</v>
      </c>
      <c r="O360">
        <v>1824.79</v>
      </c>
      <c r="P360">
        <v>40</v>
      </c>
      <c r="R360" t="s">
        <v>15</v>
      </c>
      <c r="S360" t="s">
        <v>26</v>
      </c>
    </row>
    <row r="361" spans="1:19" x14ac:dyDescent="0.25">
      <c r="A361" s="1">
        <v>45808</v>
      </c>
      <c r="B361" t="s">
        <v>19</v>
      </c>
      <c r="C361" t="s">
        <v>20</v>
      </c>
      <c r="D361">
        <v>4874327</v>
      </c>
      <c r="E361" t="s">
        <v>21</v>
      </c>
      <c r="G361" t="s">
        <v>22</v>
      </c>
      <c r="H361" s="1">
        <v>45292</v>
      </c>
      <c r="I361" t="s">
        <v>362</v>
      </c>
      <c r="J361">
        <v>44538008</v>
      </c>
      <c r="K361">
        <v>81348525</v>
      </c>
      <c r="L361" t="s">
        <v>24</v>
      </c>
      <c r="M361" s="1">
        <v>45778</v>
      </c>
      <c r="N361" t="s">
        <v>25</v>
      </c>
      <c r="O361">
        <v>833.71</v>
      </c>
      <c r="P361">
        <v>20</v>
      </c>
      <c r="R361" t="s">
        <v>15</v>
      </c>
      <c r="S361" t="s">
        <v>26</v>
      </c>
    </row>
    <row r="362" spans="1:19" x14ac:dyDescent="0.25">
      <c r="A362" s="1">
        <v>45808</v>
      </c>
      <c r="B362" t="s">
        <v>19</v>
      </c>
      <c r="C362" t="s">
        <v>20</v>
      </c>
      <c r="D362">
        <v>4874327</v>
      </c>
      <c r="E362" t="s">
        <v>21</v>
      </c>
      <c r="G362" t="s">
        <v>22</v>
      </c>
      <c r="H362" s="1">
        <v>44927</v>
      </c>
      <c r="I362" t="s">
        <v>363</v>
      </c>
      <c r="J362">
        <v>41365622</v>
      </c>
      <c r="K362">
        <v>80072989</v>
      </c>
      <c r="L362" t="s">
        <v>24</v>
      </c>
      <c r="M362" s="1">
        <v>45748</v>
      </c>
      <c r="N362" t="s">
        <v>28</v>
      </c>
      <c r="O362">
        <v>662.6</v>
      </c>
      <c r="P362">
        <v>20</v>
      </c>
      <c r="R362" t="s">
        <v>15</v>
      </c>
      <c r="S362" t="s">
        <v>26</v>
      </c>
    </row>
    <row r="363" spans="1:19" x14ac:dyDescent="0.25">
      <c r="A363" s="1">
        <v>45808</v>
      </c>
      <c r="B363" t="s">
        <v>19</v>
      </c>
      <c r="C363" t="s">
        <v>38</v>
      </c>
      <c r="D363">
        <v>4506169</v>
      </c>
      <c r="E363" t="s">
        <v>39</v>
      </c>
      <c r="G363" t="s">
        <v>22</v>
      </c>
      <c r="H363" s="1">
        <v>45292</v>
      </c>
      <c r="I363" t="s">
        <v>364</v>
      </c>
      <c r="J363">
        <v>42833458</v>
      </c>
      <c r="K363">
        <v>81351873</v>
      </c>
      <c r="L363" t="s">
        <v>24</v>
      </c>
      <c r="M363" s="1">
        <v>45748</v>
      </c>
      <c r="N363" t="s">
        <v>28</v>
      </c>
      <c r="O363">
        <v>676.25</v>
      </c>
      <c r="P363">
        <v>20</v>
      </c>
      <c r="R363" t="s">
        <v>15</v>
      </c>
      <c r="S363" t="s">
        <v>26</v>
      </c>
    </row>
    <row r="364" spans="1:19" x14ac:dyDescent="0.25">
      <c r="A364" s="1">
        <v>45808</v>
      </c>
      <c r="B364" t="s">
        <v>19</v>
      </c>
      <c r="C364" t="s">
        <v>29</v>
      </c>
      <c r="D364">
        <v>5485984</v>
      </c>
      <c r="E364" t="s">
        <v>30</v>
      </c>
      <c r="G364" t="s">
        <v>22</v>
      </c>
      <c r="H364" s="1">
        <v>45689</v>
      </c>
      <c r="I364" t="s">
        <v>365</v>
      </c>
      <c r="J364">
        <v>51841673</v>
      </c>
      <c r="K364">
        <v>80222311</v>
      </c>
      <c r="L364" t="s">
        <v>24</v>
      </c>
      <c r="M364" s="1">
        <v>45778</v>
      </c>
      <c r="N364" t="s">
        <v>25</v>
      </c>
      <c r="O364">
        <v>724.87</v>
      </c>
      <c r="P364">
        <v>40</v>
      </c>
      <c r="R364" t="s">
        <v>15</v>
      </c>
      <c r="S364" t="s">
        <v>26</v>
      </c>
    </row>
    <row r="365" spans="1:19" x14ac:dyDescent="0.25">
      <c r="A365" s="1">
        <v>45808</v>
      </c>
      <c r="B365" t="s">
        <v>19</v>
      </c>
      <c r="C365" t="s">
        <v>20</v>
      </c>
      <c r="D365">
        <v>4874327</v>
      </c>
      <c r="E365" t="s">
        <v>21</v>
      </c>
      <c r="G365" t="s">
        <v>22</v>
      </c>
      <c r="H365" s="1">
        <v>44927</v>
      </c>
      <c r="I365" t="s">
        <v>366</v>
      </c>
      <c r="J365">
        <v>41365860</v>
      </c>
      <c r="K365">
        <v>80122551</v>
      </c>
      <c r="L365" t="s">
        <v>24</v>
      </c>
      <c r="M365" s="1">
        <v>45778</v>
      </c>
      <c r="N365" t="s">
        <v>25</v>
      </c>
      <c r="O365">
        <v>969.11</v>
      </c>
      <c r="P365">
        <v>60</v>
      </c>
      <c r="R365" t="s">
        <v>15</v>
      </c>
      <c r="S365" t="s">
        <v>26</v>
      </c>
    </row>
    <row r="366" spans="1:19" x14ac:dyDescent="0.25">
      <c r="A366" s="1">
        <v>45808</v>
      </c>
      <c r="B366" t="s">
        <v>19</v>
      </c>
      <c r="C366" t="s">
        <v>20</v>
      </c>
      <c r="D366">
        <v>4874327</v>
      </c>
      <c r="E366" t="s">
        <v>21</v>
      </c>
      <c r="G366" t="s">
        <v>22</v>
      </c>
      <c r="H366" s="1">
        <v>45170</v>
      </c>
      <c r="I366" t="s">
        <v>367</v>
      </c>
      <c r="J366">
        <v>41366099</v>
      </c>
      <c r="K366">
        <v>80197534</v>
      </c>
      <c r="L366" t="s">
        <v>24</v>
      </c>
      <c r="M366" s="1">
        <v>45717</v>
      </c>
      <c r="N366" t="s">
        <v>60</v>
      </c>
      <c r="O366">
        <v>350.55</v>
      </c>
      <c r="P366">
        <v>20</v>
      </c>
      <c r="R366" t="s">
        <v>15</v>
      </c>
      <c r="S366" t="s">
        <v>26</v>
      </c>
    </row>
    <row r="367" spans="1:19" x14ac:dyDescent="0.25">
      <c r="A367" s="1">
        <v>45808</v>
      </c>
      <c r="B367" t="s">
        <v>19</v>
      </c>
      <c r="C367" t="s">
        <v>20</v>
      </c>
      <c r="D367">
        <v>4874327</v>
      </c>
      <c r="E367" t="s">
        <v>21</v>
      </c>
      <c r="G367" t="s">
        <v>22</v>
      </c>
      <c r="H367" s="1">
        <v>45170</v>
      </c>
      <c r="I367" t="s">
        <v>367</v>
      </c>
      <c r="J367">
        <v>41366099</v>
      </c>
      <c r="K367">
        <v>80197534</v>
      </c>
      <c r="L367" t="s">
        <v>24</v>
      </c>
      <c r="M367" s="1">
        <v>45748</v>
      </c>
      <c r="N367" t="s">
        <v>28</v>
      </c>
      <c r="O367">
        <v>350.55</v>
      </c>
      <c r="P367">
        <v>20</v>
      </c>
      <c r="R367" t="s">
        <v>15</v>
      </c>
      <c r="S367" t="s">
        <v>26</v>
      </c>
    </row>
    <row r="368" spans="1:19" x14ac:dyDescent="0.25">
      <c r="A368" s="1">
        <v>45808</v>
      </c>
      <c r="B368" t="s">
        <v>19</v>
      </c>
      <c r="C368" t="s">
        <v>38</v>
      </c>
      <c r="D368">
        <v>4506169</v>
      </c>
      <c r="E368" t="s">
        <v>39</v>
      </c>
      <c r="G368" t="s">
        <v>22</v>
      </c>
      <c r="H368" s="1">
        <v>44927</v>
      </c>
      <c r="I368" t="s">
        <v>368</v>
      </c>
      <c r="J368">
        <v>33779514</v>
      </c>
      <c r="K368">
        <v>80052361</v>
      </c>
      <c r="L368" t="s">
        <v>24</v>
      </c>
      <c r="M368" s="1">
        <v>45748</v>
      </c>
      <c r="N368" t="s">
        <v>28</v>
      </c>
      <c r="O368">
        <v>1579.27</v>
      </c>
      <c r="P368">
        <v>60</v>
      </c>
      <c r="R368" t="s">
        <v>15</v>
      </c>
      <c r="S368" t="s">
        <v>26</v>
      </c>
    </row>
    <row r="369" spans="1:19" x14ac:dyDescent="0.25">
      <c r="A369" s="1">
        <v>45808</v>
      </c>
      <c r="B369" t="s">
        <v>19</v>
      </c>
      <c r="C369" t="s">
        <v>29</v>
      </c>
      <c r="D369">
        <v>5485984</v>
      </c>
      <c r="E369" t="s">
        <v>30</v>
      </c>
      <c r="G369" t="s">
        <v>22</v>
      </c>
      <c r="H369" s="1">
        <v>45292</v>
      </c>
      <c r="I369" t="s">
        <v>369</v>
      </c>
      <c r="J369">
        <v>46845041</v>
      </c>
      <c r="K369">
        <v>80171294</v>
      </c>
      <c r="L369" t="s">
        <v>24</v>
      </c>
      <c r="M369" s="1">
        <v>45778</v>
      </c>
      <c r="N369" t="s">
        <v>25</v>
      </c>
      <c r="O369">
        <v>363.08</v>
      </c>
      <c r="P369">
        <v>20</v>
      </c>
      <c r="R369" t="s">
        <v>15</v>
      </c>
      <c r="S369" t="s">
        <v>26</v>
      </c>
    </row>
    <row r="370" spans="1:19" x14ac:dyDescent="0.25">
      <c r="A370" s="1">
        <v>45808</v>
      </c>
      <c r="B370" t="s">
        <v>19</v>
      </c>
      <c r="C370" t="s">
        <v>20</v>
      </c>
      <c r="D370">
        <v>4874327</v>
      </c>
      <c r="E370" t="s">
        <v>21</v>
      </c>
      <c r="G370" t="s">
        <v>22</v>
      </c>
      <c r="H370" s="1">
        <v>45292</v>
      </c>
      <c r="I370" t="s">
        <v>370</v>
      </c>
      <c r="J370">
        <v>44537905</v>
      </c>
      <c r="K370">
        <v>81349163</v>
      </c>
      <c r="L370" t="s">
        <v>24</v>
      </c>
      <c r="M370" s="1">
        <v>45778</v>
      </c>
      <c r="N370" t="s">
        <v>25</v>
      </c>
      <c r="O370">
        <v>91.72</v>
      </c>
      <c r="P370">
        <v>20</v>
      </c>
      <c r="R370" t="s">
        <v>15</v>
      </c>
      <c r="S370" t="s">
        <v>26</v>
      </c>
    </row>
    <row r="371" spans="1:19" x14ac:dyDescent="0.25">
      <c r="A371" s="1">
        <v>45808</v>
      </c>
      <c r="B371" t="s">
        <v>19</v>
      </c>
      <c r="C371" t="s">
        <v>20</v>
      </c>
      <c r="D371">
        <v>4874327</v>
      </c>
      <c r="E371" t="s">
        <v>21</v>
      </c>
      <c r="G371" t="s">
        <v>22</v>
      </c>
      <c r="H371" s="1">
        <v>44927</v>
      </c>
      <c r="I371" t="s">
        <v>371</v>
      </c>
      <c r="J371">
        <v>41365749</v>
      </c>
      <c r="K371">
        <v>80095686</v>
      </c>
      <c r="L371" t="s">
        <v>24</v>
      </c>
      <c r="M371" s="1">
        <v>45748</v>
      </c>
      <c r="N371" t="s">
        <v>28</v>
      </c>
      <c r="O371">
        <v>949.84</v>
      </c>
      <c r="P371">
        <v>20</v>
      </c>
      <c r="R371" t="s">
        <v>15</v>
      </c>
      <c r="S371" t="s">
        <v>26</v>
      </c>
    </row>
    <row r="372" spans="1:19" x14ac:dyDescent="0.25">
      <c r="A372" s="1">
        <v>45808</v>
      </c>
      <c r="B372" t="s">
        <v>19</v>
      </c>
      <c r="C372" t="s">
        <v>20</v>
      </c>
      <c r="D372">
        <v>4874327</v>
      </c>
      <c r="E372" t="s">
        <v>21</v>
      </c>
      <c r="G372" t="s">
        <v>22</v>
      </c>
      <c r="H372" s="1">
        <v>45566</v>
      </c>
      <c r="I372" t="s">
        <v>372</v>
      </c>
      <c r="J372">
        <v>47497622</v>
      </c>
      <c r="K372">
        <v>81377030</v>
      </c>
      <c r="L372" t="s">
        <v>24</v>
      </c>
      <c r="M372" s="1">
        <v>45717</v>
      </c>
      <c r="N372" t="s">
        <v>60</v>
      </c>
      <c r="O372">
        <v>833.71</v>
      </c>
      <c r="P372">
        <v>20</v>
      </c>
      <c r="R372" t="s">
        <v>15</v>
      </c>
      <c r="S372" t="s">
        <v>26</v>
      </c>
    </row>
    <row r="373" spans="1:19" x14ac:dyDescent="0.25">
      <c r="A373" s="1">
        <v>45808</v>
      </c>
      <c r="B373" t="s">
        <v>19</v>
      </c>
      <c r="C373" t="s">
        <v>20</v>
      </c>
      <c r="D373">
        <v>4874327</v>
      </c>
      <c r="E373" t="s">
        <v>21</v>
      </c>
      <c r="G373" t="s">
        <v>22</v>
      </c>
      <c r="H373" s="1">
        <v>45566</v>
      </c>
      <c r="I373" t="s">
        <v>372</v>
      </c>
      <c r="J373">
        <v>47497622</v>
      </c>
      <c r="K373">
        <v>81377030</v>
      </c>
      <c r="L373" t="s">
        <v>24</v>
      </c>
      <c r="M373" s="1">
        <v>45748</v>
      </c>
      <c r="N373" t="s">
        <v>28</v>
      </c>
      <c r="O373">
        <v>833.71</v>
      </c>
      <c r="P373">
        <v>20</v>
      </c>
      <c r="R373" t="s">
        <v>15</v>
      </c>
      <c r="S373" t="s">
        <v>26</v>
      </c>
    </row>
    <row r="374" spans="1:19" x14ac:dyDescent="0.25">
      <c r="A374" s="1">
        <v>45808</v>
      </c>
      <c r="B374" t="s">
        <v>19</v>
      </c>
      <c r="C374" t="s">
        <v>20</v>
      </c>
      <c r="D374">
        <v>4874327</v>
      </c>
      <c r="E374" t="s">
        <v>21</v>
      </c>
      <c r="G374" t="s">
        <v>22</v>
      </c>
      <c r="H374" s="1">
        <v>44927</v>
      </c>
      <c r="I374" t="s">
        <v>373</v>
      </c>
      <c r="J374">
        <v>41365849</v>
      </c>
      <c r="K374">
        <v>80119715</v>
      </c>
      <c r="L374" t="s">
        <v>24</v>
      </c>
      <c r="M374" s="1">
        <v>45748</v>
      </c>
      <c r="N374" t="s">
        <v>28</v>
      </c>
      <c r="O374">
        <v>642.24</v>
      </c>
      <c r="P374">
        <v>20</v>
      </c>
      <c r="R374" t="s">
        <v>15</v>
      </c>
      <c r="S374" t="s">
        <v>26</v>
      </c>
    </row>
    <row r="375" spans="1:19" x14ac:dyDescent="0.25">
      <c r="A375" s="1">
        <v>45808</v>
      </c>
      <c r="B375" t="s">
        <v>19</v>
      </c>
      <c r="C375" t="s">
        <v>38</v>
      </c>
      <c r="D375">
        <v>4506169</v>
      </c>
      <c r="E375" t="s">
        <v>39</v>
      </c>
      <c r="G375" t="s">
        <v>22</v>
      </c>
      <c r="H375" s="1">
        <v>44927</v>
      </c>
      <c r="I375" t="s">
        <v>374</v>
      </c>
      <c r="J375">
        <v>41366231</v>
      </c>
      <c r="K375">
        <v>80226602</v>
      </c>
      <c r="L375" t="s">
        <v>24</v>
      </c>
      <c r="M375" s="1">
        <v>45778</v>
      </c>
      <c r="N375" t="s">
        <v>25</v>
      </c>
      <c r="O375">
        <v>558.20000000000005</v>
      </c>
      <c r="P375">
        <v>20</v>
      </c>
      <c r="R375" t="s">
        <v>15</v>
      </c>
      <c r="S375" t="s">
        <v>26</v>
      </c>
    </row>
    <row r="376" spans="1:19" x14ac:dyDescent="0.25">
      <c r="A376" s="1">
        <v>45808</v>
      </c>
      <c r="B376" t="s">
        <v>19</v>
      </c>
      <c r="C376" t="s">
        <v>20</v>
      </c>
      <c r="D376">
        <v>4874327</v>
      </c>
      <c r="E376" t="s">
        <v>21</v>
      </c>
      <c r="G376" t="s">
        <v>22</v>
      </c>
      <c r="H376" s="1">
        <v>45566</v>
      </c>
      <c r="I376" t="s">
        <v>375</v>
      </c>
      <c r="J376">
        <v>47497588</v>
      </c>
      <c r="K376">
        <v>81377868</v>
      </c>
      <c r="L376" t="s">
        <v>24</v>
      </c>
      <c r="M376" s="1">
        <v>45778</v>
      </c>
      <c r="N376" t="s">
        <v>25</v>
      </c>
      <c r="O376">
        <v>538.05999999999995</v>
      </c>
      <c r="P376">
        <v>20</v>
      </c>
      <c r="R376" t="s">
        <v>15</v>
      </c>
      <c r="S376" t="s">
        <v>26</v>
      </c>
    </row>
    <row r="377" spans="1:19" x14ac:dyDescent="0.25">
      <c r="A377" s="1">
        <v>45808</v>
      </c>
      <c r="B377" t="s">
        <v>19</v>
      </c>
      <c r="C377" t="s">
        <v>20</v>
      </c>
      <c r="D377">
        <v>4874327</v>
      </c>
      <c r="E377" t="s">
        <v>21</v>
      </c>
      <c r="G377" t="s">
        <v>22</v>
      </c>
      <c r="H377" s="1">
        <v>44927</v>
      </c>
      <c r="I377" t="s">
        <v>376</v>
      </c>
      <c r="J377">
        <v>40579553</v>
      </c>
      <c r="K377">
        <v>80204982</v>
      </c>
      <c r="L377" t="s">
        <v>24</v>
      </c>
      <c r="M377" s="1">
        <v>45778</v>
      </c>
      <c r="N377" t="s">
        <v>25</v>
      </c>
      <c r="O377">
        <v>377.08</v>
      </c>
      <c r="P377">
        <v>20</v>
      </c>
      <c r="R377" t="s">
        <v>15</v>
      </c>
      <c r="S377" t="s">
        <v>26</v>
      </c>
    </row>
    <row r="378" spans="1:19" x14ac:dyDescent="0.25">
      <c r="A378" s="1">
        <v>45808</v>
      </c>
      <c r="B378" t="s">
        <v>19</v>
      </c>
      <c r="C378" t="s">
        <v>20</v>
      </c>
      <c r="D378">
        <v>4874327</v>
      </c>
      <c r="E378" t="s">
        <v>21</v>
      </c>
      <c r="G378" t="s">
        <v>22</v>
      </c>
      <c r="H378" s="1">
        <v>45292</v>
      </c>
      <c r="I378" t="s">
        <v>377</v>
      </c>
      <c r="J378">
        <v>41366000</v>
      </c>
      <c r="K378">
        <v>80168880</v>
      </c>
      <c r="L378" t="s">
        <v>24</v>
      </c>
      <c r="M378" s="1">
        <v>45748</v>
      </c>
      <c r="N378" t="s">
        <v>28</v>
      </c>
      <c r="O378">
        <v>939.81</v>
      </c>
      <c r="P378">
        <v>20</v>
      </c>
      <c r="R378" t="s">
        <v>15</v>
      </c>
      <c r="S378" t="s">
        <v>26</v>
      </c>
    </row>
    <row r="379" spans="1:19" x14ac:dyDescent="0.25">
      <c r="A379" s="1">
        <v>45808</v>
      </c>
      <c r="B379" t="s">
        <v>19</v>
      </c>
      <c r="C379" t="s">
        <v>20</v>
      </c>
      <c r="D379">
        <v>4874327</v>
      </c>
      <c r="E379" t="s">
        <v>21</v>
      </c>
      <c r="G379" t="s">
        <v>22</v>
      </c>
      <c r="H379" s="1">
        <v>44958</v>
      </c>
      <c r="I379" t="s">
        <v>378</v>
      </c>
      <c r="J379">
        <v>41365804</v>
      </c>
      <c r="K379">
        <v>80109802</v>
      </c>
      <c r="L379" t="s">
        <v>24</v>
      </c>
      <c r="M379" s="1">
        <v>45748</v>
      </c>
      <c r="N379" t="s">
        <v>28</v>
      </c>
      <c r="O379">
        <v>621.67999999999995</v>
      </c>
      <c r="P379">
        <v>40</v>
      </c>
      <c r="R379" t="s">
        <v>15</v>
      </c>
      <c r="S379" t="s">
        <v>26</v>
      </c>
    </row>
    <row r="380" spans="1:19" x14ac:dyDescent="0.25">
      <c r="A380" s="1">
        <v>45808</v>
      </c>
      <c r="B380" t="s">
        <v>19</v>
      </c>
      <c r="C380" t="s">
        <v>20</v>
      </c>
      <c r="D380">
        <v>4874327</v>
      </c>
      <c r="E380" t="s">
        <v>21</v>
      </c>
      <c r="G380" t="s">
        <v>22</v>
      </c>
      <c r="H380" s="1">
        <v>44927</v>
      </c>
      <c r="I380" t="s">
        <v>379</v>
      </c>
      <c r="J380">
        <v>40578090</v>
      </c>
      <c r="K380">
        <v>80019839</v>
      </c>
      <c r="L380" t="s">
        <v>24</v>
      </c>
      <c r="M380" s="1">
        <v>45748</v>
      </c>
      <c r="N380" t="s">
        <v>28</v>
      </c>
      <c r="O380">
        <v>864</v>
      </c>
      <c r="P380">
        <v>20</v>
      </c>
      <c r="R380" t="s">
        <v>15</v>
      </c>
      <c r="S380" t="s">
        <v>26</v>
      </c>
    </row>
    <row r="381" spans="1:19" x14ac:dyDescent="0.25">
      <c r="A381" s="1">
        <v>45808</v>
      </c>
      <c r="B381" t="s">
        <v>19</v>
      </c>
      <c r="C381" t="s">
        <v>29</v>
      </c>
      <c r="D381">
        <v>5485984</v>
      </c>
      <c r="E381" t="s">
        <v>30</v>
      </c>
      <c r="G381" t="s">
        <v>22</v>
      </c>
      <c r="H381" s="1">
        <v>45292</v>
      </c>
      <c r="I381" t="s">
        <v>380</v>
      </c>
      <c r="J381">
        <v>45811762</v>
      </c>
      <c r="K381">
        <v>80015734</v>
      </c>
      <c r="L381" t="s">
        <v>24</v>
      </c>
      <c r="M381" s="1">
        <v>45778</v>
      </c>
      <c r="N381" t="s">
        <v>25</v>
      </c>
      <c r="O381">
        <v>662.6</v>
      </c>
      <c r="P381">
        <v>20</v>
      </c>
      <c r="R381" t="s">
        <v>15</v>
      </c>
      <c r="S381" t="s">
        <v>26</v>
      </c>
    </row>
    <row r="382" spans="1:19" x14ac:dyDescent="0.25">
      <c r="A382" s="1">
        <v>45808</v>
      </c>
      <c r="B382" t="s">
        <v>19</v>
      </c>
      <c r="C382" t="s">
        <v>20</v>
      </c>
      <c r="D382">
        <v>4874327</v>
      </c>
      <c r="E382" t="s">
        <v>21</v>
      </c>
      <c r="G382" t="s">
        <v>22</v>
      </c>
      <c r="H382" s="1">
        <v>44927</v>
      </c>
      <c r="I382" t="s">
        <v>381</v>
      </c>
      <c r="J382">
        <v>41366087</v>
      </c>
      <c r="K382">
        <v>80193826</v>
      </c>
      <c r="L382" t="s">
        <v>24</v>
      </c>
      <c r="M382" s="1">
        <v>45748</v>
      </c>
      <c r="N382" t="s">
        <v>28</v>
      </c>
      <c r="O382">
        <v>281.83</v>
      </c>
      <c r="P382">
        <v>20</v>
      </c>
      <c r="R382" t="s">
        <v>15</v>
      </c>
      <c r="S382" t="s">
        <v>26</v>
      </c>
    </row>
    <row r="383" spans="1:19" x14ac:dyDescent="0.25">
      <c r="A383" s="1">
        <v>45808</v>
      </c>
      <c r="B383" t="s">
        <v>19</v>
      </c>
      <c r="C383" t="s">
        <v>20</v>
      </c>
      <c r="D383">
        <v>4874327</v>
      </c>
      <c r="E383" t="s">
        <v>21</v>
      </c>
      <c r="G383" t="s">
        <v>22</v>
      </c>
      <c r="H383" s="1">
        <v>44927</v>
      </c>
      <c r="I383" t="s">
        <v>382</v>
      </c>
      <c r="J383">
        <v>40579379</v>
      </c>
      <c r="K383">
        <v>80183703</v>
      </c>
      <c r="L383" t="s">
        <v>24</v>
      </c>
      <c r="M383" s="1">
        <v>45778</v>
      </c>
      <c r="N383" t="s">
        <v>25</v>
      </c>
      <c r="O383">
        <v>490.8</v>
      </c>
      <c r="P383">
        <v>20</v>
      </c>
      <c r="R383" t="s">
        <v>15</v>
      </c>
      <c r="S383" t="s">
        <v>26</v>
      </c>
    </row>
    <row r="384" spans="1:19" x14ac:dyDescent="0.25">
      <c r="A384" s="1">
        <v>45808</v>
      </c>
      <c r="B384" t="s">
        <v>19</v>
      </c>
      <c r="C384" t="s">
        <v>20</v>
      </c>
      <c r="D384">
        <v>4874327</v>
      </c>
      <c r="E384" t="s">
        <v>21</v>
      </c>
      <c r="G384" t="s">
        <v>22</v>
      </c>
      <c r="H384" s="1">
        <v>44958</v>
      </c>
      <c r="I384" t="s">
        <v>383</v>
      </c>
      <c r="J384">
        <v>41365639</v>
      </c>
      <c r="K384">
        <v>80075729</v>
      </c>
      <c r="L384" t="s">
        <v>24</v>
      </c>
      <c r="M384" s="1">
        <v>45748</v>
      </c>
      <c r="N384" t="s">
        <v>28</v>
      </c>
      <c r="O384">
        <v>411.91</v>
      </c>
      <c r="P384">
        <v>20</v>
      </c>
      <c r="R384" t="s">
        <v>15</v>
      </c>
      <c r="S384" t="s">
        <v>26</v>
      </c>
    </row>
    <row r="385" spans="1:19" x14ac:dyDescent="0.25">
      <c r="A385" s="1">
        <v>45808</v>
      </c>
      <c r="B385" t="s">
        <v>19</v>
      </c>
      <c r="C385" t="s">
        <v>20</v>
      </c>
      <c r="D385">
        <v>4874327</v>
      </c>
      <c r="E385" t="s">
        <v>21</v>
      </c>
      <c r="G385" t="s">
        <v>22</v>
      </c>
      <c r="H385" s="1">
        <v>44927</v>
      </c>
      <c r="I385" t="s">
        <v>384</v>
      </c>
      <c r="J385">
        <v>41365637</v>
      </c>
      <c r="K385">
        <v>80075455</v>
      </c>
      <c r="L385" t="s">
        <v>24</v>
      </c>
      <c r="M385" s="1">
        <v>45748</v>
      </c>
      <c r="N385" t="s">
        <v>28</v>
      </c>
      <c r="O385">
        <v>600.33000000000004</v>
      </c>
      <c r="P385">
        <v>20</v>
      </c>
      <c r="R385" t="s">
        <v>15</v>
      </c>
      <c r="S385" t="s">
        <v>26</v>
      </c>
    </row>
    <row r="386" spans="1:19" x14ac:dyDescent="0.25">
      <c r="A386" s="1">
        <v>45808</v>
      </c>
      <c r="B386" t="s">
        <v>19</v>
      </c>
      <c r="C386" t="s">
        <v>20</v>
      </c>
      <c r="D386">
        <v>4874327</v>
      </c>
      <c r="E386" t="s">
        <v>21</v>
      </c>
      <c r="G386" t="s">
        <v>22</v>
      </c>
      <c r="H386" s="1">
        <v>44927</v>
      </c>
      <c r="I386" t="s">
        <v>384</v>
      </c>
      <c r="J386">
        <v>41365637</v>
      </c>
      <c r="K386">
        <v>80075455</v>
      </c>
      <c r="L386" t="s">
        <v>24</v>
      </c>
      <c r="M386" s="1">
        <v>45778</v>
      </c>
      <c r="N386" t="s">
        <v>25</v>
      </c>
      <c r="O386">
        <v>600.33000000000004</v>
      </c>
      <c r="P386">
        <v>20</v>
      </c>
      <c r="R386" t="s">
        <v>15</v>
      </c>
      <c r="S386" t="s">
        <v>26</v>
      </c>
    </row>
    <row r="387" spans="1:19" x14ac:dyDescent="0.25">
      <c r="A387" s="1">
        <v>45808</v>
      </c>
      <c r="B387" t="s">
        <v>19</v>
      </c>
      <c r="C387" t="s">
        <v>29</v>
      </c>
      <c r="D387">
        <v>5485984</v>
      </c>
      <c r="E387" t="s">
        <v>30</v>
      </c>
      <c r="G387" t="s">
        <v>22</v>
      </c>
      <c r="H387" s="1">
        <v>45505</v>
      </c>
      <c r="I387" t="s">
        <v>385</v>
      </c>
      <c r="J387">
        <v>46375164</v>
      </c>
      <c r="K387">
        <v>81373381</v>
      </c>
      <c r="L387" t="s">
        <v>24</v>
      </c>
      <c r="M387" s="1">
        <v>45778</v>
      </c>
      <c r="N387" t="s">
        <v>25</v>
      </c>
      <c r="O387">
        <v>230.63</v>
      </c>
      <c r="P387">
        <v>20</v>
      </c>
      <c r="R387" t="s">
        <v>15</v>
      </c>
      <c r="S387" t="s">
        <v>26</v>
      </c>
    </row>
    <row r="388" spans="1:19" x14ac:dyDescent="0.25">
      <c r="A388" s="1">
        <v>45808</v>
      </c>
      <c r="B388" t="s">
        <v>19</v>
      </c>
      <c r="C388" t="s">
        <v>29</v>
      </c>
      <c r="D388">
        <v>5485984</v>
      </c>
      <c r="E388" t="s">
        <v>30</v>
      </c>
      <c r="G388" t="s">
        <v>22</v>
      </c>
      <c r="H388" s="1">
        <v>45292</v>
      </c>
      <c r="I388" t="s">
        <v>386</v>
      </c>
      <c r="J388">
        <v>45811842</v>
      </c>
      <c r="K388">
        <v>80165433</v>
      </c>
      <c r="L388" t="s">
        <v>24</v>
      </c>
      <c r="M388" s="1">
        <v>45778</v>
      </c>
      <c r="N388" t="s">
        <v>25</v>
      </c>
      <c r="O388">
        <v>301.02</v>
      </c>
      <c r="P388">
        <v>20</v>
      </c>
      <c r="R388" t="s">
        <v>15</v>
      </c>
      <c r="S388" t="s">
        <v>26</v>
      </c>
    </row>
    <row r="389" spans="1:19" x14ac:dyDescent="0.25">
      <c r="A389" s="1">
        <v>45808</v>
      </c>
      <c r="B389" t="s">
        <v>19</v>
      </c>
      <c r="C389" t="s">
        <v>20</v>
      </c>
      <c r="D389">
        <v>4874327</v>
      </c>
      <c r="E389" t="s">
        <v>21</v>
      </c>
      <c r="G389" t="s">
        <v>22</v>
      </c>
      <c r="H389" s="1">
        <v>45292</v>
      </c>
      <c r="I389" t="s">
        <v>387</v>
      </c>
      <c r="J389">
        <v>41365726</v>
      </c>
      <c r="K389">
        <v>80093261</v>
      </c>
      <c r="L389" t="s">
        <v>24</v>
      </c>
      <c r="M389" s="1">
        <v>45778</v>
      </c>
      <c r="N389" t="s">
        <v>25</v>
      </c>
      <c r="O389">
        <v>965.89</v>
      </c>
      <c r="P389">
        <v>20</v>
      </c>
      <c r="R389" t="s">
        <v>15</v>
      </c>
      <c r="S389" t="s">
        <v>26</v>
      </c>
    </row>
    <row r="390" spans="1:19" x14ac:dyDescent="0.25">
      <c r="A390" s="1">
        <v>45808</v>
      </c>
      <c r="B390" t="s">
        <v>19</v>
      </c>
      <c r="C390" t="s">
        <v>20</v>
      </c>
      <c r="D390">
        <v>4874327</v>
      </c>
      <c r="E390" t="s">
        <v>21</v>
      </c>
      <c r="G390" t="s">
        <v>22</v>
      </c>
      <c r="H390" s="1">
        <v>45170</v>
      </c>
      <c r="I390" t="s">
        <v>388</v>
      </c>
      <c r="J390">
        <v>39665343</v>
      </c>
      <c r="K390">
        <v>80227386</v>
      </c>
      <c r="L390" t="s">
        <v>24</v>
      </c>
      <c r="M390" s="1">
        <v>45748</v>
      </c>
      <c r="N390" t="s">
        <v>28</v>
      </c>
      <c r="O390">
        <v>375.3</v>
      </c>
      <c r="P390">
        <v>20</v>
      </c>
      <c r="R390" t="s">
        <v>15</v>
      </c>
      <c r="S390" t="s">
        <v>26</v>
      </c>
    </row>
    <row r="391" spans="1:19" x14ac:dyDescent="0.25">
      <c r="A391" s="1">
        <v>45808</v>
      </c>
      <c r="B391" t="s">
        <v>19</v>
      </c>
      <c r="C391" t="s">
        <v>20</v>
      </c>
      <c r="D391">
        <v>4874327</v>
      </c>
      <c r="E391" t="s">
        <v>21</v>
      </c>
      <c r="G391" t="s">
        <v>22</v>
      </c>
      <c r="H391" s="1">
        <v>45323</v>
      </c>
      <c r="I391" t="s">
        <v>389</v>
      </c>
      <c r="J391">
        <v>44537985</v>
      </c>
      <c r="K391">
        <v>81352852</v>
      </c>
      <c r="L391" t="s">
        <v>24</v>
      </c>
      <c r="M391" s="1">
        <v>45778</v>
      </c>
      <c r="N391" t="s">
        <v>25</v>
      </c>
      <c r="O391">
        <v>1687.48</v>
      </c>
      <c r="P391">
        <v>20</v>
      </c>
      <c r="R391" t="s">
        <v>15</v>
      </c>
      <c r="S391" t="s">
        <v>26</v>
      </c>
    </row>
    <row r="392" spans="1:19" x14ac:dyDescent="0.25">
      <c r="A392" s="1">
        <v>45808</v>
      </c>
      <c r="B392" t="s">
        <v>19</v>
      </c>
      <c r="C392" t="s">
        <v>29</v>
      </c>
      <c r="D392">
        <v>5485984</v>
      </c>
      <c r="E392" t="s">
        <v>30</v>
      </c>
      <c r="G392" t="s">
        <v>22</v>
      </c>
      <c r="H392" s="1">
        <v>45292</v>
      </c>
      <c r="I392" t="s">
        <v>390</v>
      </c>
      <c r="J392">
        <v>45811827</v>
      </c>
      <c r="K392">
        <v>80125481</v>
      </c>
      <c r="L392" t="s">
        <v>24</v>
      </c>
      <c r="M392" s="1">
        <v>45778</v>
      </c>
      <c r="N392" t="s">
        <v>25</v>
      </c>
      <c r="O392">
        <v>648.07000000000005</v>
      </c>
      <c r="P392">
        <v>20</v>
      </c>
      <c r="R392" t="s">
        <v>15</v>
      </c>
      <c r="S392" t="s">
        <v>26</v>
      </c>
    </row>
    <row r="393" spans="1:19" x14ac:dyDescent="0.25">
      <c r="A393" s="1">
        <v>45808</v>
      </c>
      <c r="B393" t="s">
        <v>19</v>
      </c>
      <c r="C393" t="s">
        <v>29</v>
      </c>
      <c r="D393">
        <v>5485984</v>
      </c>
      <c r="E393" t="s">
        <v>30</v>
      </c>
      <c r="G393" t="s">
        <v>22</v>
      </c>
      <c r="H393" s="1">
        <v>45292</v>
      </c>
      <c r="I393" t="s">
        <v>391</v>
      </c>
      <c r="J393">
        <v>46374942</v>
      </c>
      <c r="K393">
        <v>80016788</v>
      </c>
      <c r="L393" t="s">
        <v>24</v>
      </c>
      <c r="M393" s="1">
        <v>45474</v>
      </c>
      <c r="N393" t="s">
        <v>96</v>
      </c>
      <c r="O393">
        <v>27.68</v>
      </c>
      <c r="P393">
        <v>2.77</v>
      </c>
      <c r="R393" t="s">
        <v>15</v>
      </c>
      <c r="S393" t="s">
        <v>26</v>
      </c>
    </row>
    <row r="394" spans="1:19" x14ac:dyDescent="0.25">
      <c r="A394" s="1">
        <v>45808</v>
      </c>
      <c r="B394" t="s">
        <v>19</v>
      </c>
      <c r="C394" t="s">
        <v>29</v>
      </c>
      <c r="D394">
        <v>5485984</v>
      </c>
      <c r="E394" t="s">
        <v>30</v>
      </c>
      <c r="G394" t="s">
        <v>22</v>
      </c>
      <c r="H394" s="1">
        <v>45292</v>
      </c>
      <c r="I394" t="s">
        <v>391</v>
      </c>
      <c r="J394">
        <v>46374942</v>
      </c>
      <c r="K394">
        <v>80016788</v>
      </c>
      <c r="L394" t="s">
        <v>24</v>
      </c>
      <c r="M394" s="1">
        <v>45778</v>
      </c>
      <c r="N394" t="s">
        <v>25</v>
      </c>
      <c r="O394">
        <v>648.07000000000005</v>
      </c>
      <c r="P394">
        <v>20</v>
      </c>
      <c r="R394" t="s">
        <v>15</v>
      </c>
      <c r="S394" t="s">
        <v>26</v>
      </c>
    </row>
    <row r="395" spans="1:19" x14ac:dyDescent="0.25">
      <c r="A395" s="1">
        <v>45808</v>
      </c>
      <c r="B395" t="s">
        <v>19</v>
      </c>
      <c r="C395" t="s">
        <v>20</v>
      </c>
      <c r="D395">
        <v>4874327</v>
      </c>
      <c r="E395" t="s">
        <v>21</v>
      </c>
      <c r="G395" t="s">
        <v>22</v>
      </c>
      <c r="H395" s="1">
        <v>44927</v>
      </c>
      <c r="I395" t="s">
        <v>392</v>
      </c>
      <c r="J395">
        <v>41366050</v>
      </c>
      <c r="K395">
        <v>80186183</v>
      </c>
      <c r="L395" t="s">
        <v>24</v>
      </c>
      <c r="M395" s="1">
        <v>45778</v>
      </c>
      <c r="N395" t="s">
        <v>25</v>
      </c>
      <c r="O395">
        <v>909.62</v>
      </c>
      <c r="P395">
        <v>40</v>
      </c>
      <c r="R395" t="s">
        <v>15</v>
      </c>
      <c r="S395" t="s">
        <v>26</v>
      </c>
    </row>
    <row r="396" spans="1:19" x14ac:dyDescent="0.25">
      <c r="A396" s="1">
        <v>45808</v>
      </c>
      <c r="B396" t="s">
        <v>19</v>
      </c>
      <c r="C396" t="s">
        <v>38</v>
      </c>
      <c r="D396">
        <v>4506169</v>
      </c>
      <c r="E396" t="s">
        <v>39</v>
      </c>
      <c r="G396" t="s">
        <v>22</v>
      </c>
      <c r="H396" s="1">
        <v>44927</v>
      </c>
      <c r="I396" t="s">
        <v>393</v>
      </c>
      <c r="J396">
        <v>41365743</v>
      </c>
      <c r="K396">
        <v>80095119</v>
      </c>
      <c r="L396" t="s">
        <v>24</v>
      </c>
      <c r="M396" s="1">
        <v>45778</v>
      </c>
      <c r="N396" t="s">
        <v>25</v>
      </c>
      <c r="O396">
        <v>888.02</v>
      </c>
      <c r="P396">
        <v>20</v>
      </c>
      <c r="R396" t="s">
        <v>15</v>
      </c>
      <c r="S396" t="s">
        <v>26</v>
      </c>
    </row>
    <row r="397" spans="1:19" x14ac:dyDescent="0.25">
      <c r="A397" s="1">
        <v>45808</v>
      </c>
      <c r="B397" t="s">
        <v>19</v>
      </c>
      <c r="C397" t="s">
        <v>38</v>
      </c>
      <c r="D397">
        <v>4506169</v>
      </c>
      <c r="E397" t="s">
        <v>39</v>
      </c>
      <c r="G397" t="s">
        <v>22</v>
      </c>
      <c r="H397" s="1">
        <v>44927</v>
      </c>
      <c r="I397" t="s">
        <v>393</v>
      </c>
      <c r="J397">
        <v>41365743</v>
      </c>
      <c r="K397">
        <v>80095119</v>
      </c>
      <c r="L397" t="s">
        <v>24</v>
      </c>
      <c r="M397" s="1">
        <v>45748</v>
      </c>
      <c r="N397" t="s">
        <v>28</v>
      </c>
      <c r="O397">
        <v>888.02</v>
      </c>
      <c r="P397">
        <v>20</v>
      </c>
      <c r="R397" t="s">
        <v>15</v>
      </c>
      <c r="S397" t="s">
        <v>26</v>
      </c>
    </row>
    <row r="398" spans="1:19" x14ac:dyDescent="0.25">
      <c r="A398" s="1">
        <v>45808</v>
      </c>
      <c r="B398" t="s">
        <v>19</v>
      </c>
      <c r="C398" t="s">
        <v>20</v>
      </c>
      <c r="D398">
        <v>4874327</v>
      </c>
      <c r="E398" t="s">
        <v>21</v>
      </c>
      <c r="G398" t="s">
        <v>22</v>
      </c>
      <c r="H398" s="1">
        <v>44927</v>
      </c>
      <c r="I398" t="s">
        <v>394</v>
      </c>
      <c r="J398">
        <v>40578086</v>
      </c>
      <c r="K398">
        <v>80018934</v>
      </c>
      <c r="L398" t="s">
        <v>24</v>
      </c>
      <c r="M398" s="1">
        <v>45778</v>
      </c>
      <c r="N398" t="s">
        <v>25</v>
      </c>
      <c r="O398">
        <v>730.56</v>
      </c>
      <c r="P398">
        <v>20</v>
      </c>
      <c r="R398" t="s">
        <v>15</v>
      </c>
      <c r="S398" t="s">
        <v>26</v>
      </c>
    </row>
    <row r="399" spans="1:19" x14ac:dyDescent="0.25">
      <c r="A399" s="1">
        <v>45808</v>
      </c>
      <c r="B399" t="s">
        <v>19</v>
      </c>
      <c r="C399" t="s">
        <v>29</v>
      </c>
      <c r="D399">
        <v>5485984</v>
      </c>
      <c r="E399" t="s">
        <v>30</v>
      </c>
      <c r="G399" t="s">
        <v>22</v>
      </c>
      <c r="H399" s="1">
        <v>45292</v>
      </c>
      <c r="I399" t="s">
        <v>395</v>
      </c>
      <c r="J399">
        <v>45811828</v>
      </c>
      <c r="K399">
        <v>80119567</v>
      </c>
      <c r="L399" t="s">
        <v>24</v>
      </c>
      <c r="M399" s="1">
        <v>45778</v>
      </c>
      <c r="N399" t="s">
        <v>25</v>
      </c>
      <c r="O399">
        <v>646.08000000000004</v>
      </c>
      <c r="P399">
        <v>20</v>
      </c>
      <c r="R399" t="s">
        <v>15</v>
      </c>
      <c r="S399" t="s">
        <v>26</v>
      </c>
    </row>
    <row r="400" spans="1:19" x14ac:dyDescent="0.25">
      <c r="A400" s="1">
        <v>45808</v>
      </c>
      <c r="B400" t="s">
        <v>19</v>
      </c>
      <c r="C400" t="s">
        <v>29</v>
      </c>
      <c r="D400">
        <v>5485984</v>
      </c>
      <c r="E400" t="s">
        <v>30</v>
      </c>
      <c r="G400" t="s">
        <v>22</v>
      </c>
      <c r="H400" s="1">
        <v>45292</v>
      </c>
      <c r="I400" t="s">
        <v>395</v>
      </c>
      <c r="J400">
        <v>45811828</v>
      </c>
      <c r="K400">
        <v>80119567</v>
      </c>
      <c r="L400" t="s">
        <v>24</v>
      </c>
      <c r="M400" s="1">
        <v>45748</v>
      </c>
      <c r="N400" t="s">
        <v>28</v>
      </c>
      <c r="O400">
        <v>646.08000000000004</v>
      </c>
      <c r="P400">
        <v>20</v>
      </c>
      <c r="R400" t="s">
        <v>15</v>
      </c>
      <c r="S400" t="s">
        <v>26</v>
      </c>
    </row>
    <row r="401" spans="1:19" x14ac:dyDescent="0.25">
      <c r="A401" s="1">
        <v>45808</v>
      </c>
      <c r="B401" t="s">
        <v>19</v>
      </c>
      <c r="C401" t="s">
        <v>20</v>
      </c>
      <c r="D401">
        <v>4874327</v>
      </c>
      <c r="E401" t="s">
        <v>21</v>
      </c>
      <c r="G401" t="s">
        <v>22</v>
      </c>
      <c r="H401" s="1">
        <v>44927</v>
      </c>
      <c r="I401" t="s">
        <v>396</v>
      </c>
      <c r="J401">
        <v>40578656</v>
      </c>
      <c r="K401">
        <v>80097140</v>
      </c>
      <c r="L401" t="s">
        <v>24</v>
      </c>
      <c r="M401" s="1">
        <v>45778</v>
      </c>
      <c r="N401" t="s">
        <v>25</v>
      </c>
      <c r="O401">
        <v>430.12</v>
      </c>
      <c r="P401">
        <v>20</v>
      </c>
      <c r="R401" t="s">
        <v>15</v>
      </c>
      <c r="S401" t="s">
        <v>26</v>
      </c>
    </row>
    <row r="402" spans="1:19" x14ac:dyDescent="0.25">
      <c r="A402" s="1">
        <v>45808</v>
      </c>
      <c r="B402" t="s">
        <v>19</v>
      </c>
      <c r="C402" t="s">
        <v>20</v>
      </c>
      <c r="D402">
        <v>4874327</v>
      </c>
      <c r="E402" t="s">
        <v>21</v>
      </c>
      <c r="G402" t="s">
        <v>22</v>
      </c>
      <c r="H402" s="1">
        <v>45292</v>
      </c>
      <c r="I402" t="s">
        <v>397</v>
      </c>
      <c r="J402">
        <v>42134952</v>
      </c>
      <c r="K402">
        <v>80068809</v>
      </c>
      <c r="L402" t="s">
        <v>24</v>
      </c>
      <c r="M402" s="1">
        <v>45748</v>
      </c>
      <c r="N402" t="s">
        <v>28</v>
      </c>
      <c r="O402">
        <v>1774.98</v>
      </c>
      <c r="P402">
        <v>40</v>
      </c>
      <c r="R402" t="s">
        <v>15</v>
      </c>
      <c r="S402" t="s">
        <v>26</v>
      </c>
    </row>
    <row r="403" spans="1:19" x14ac:dyDescent="0.25">
      <c r="A403" s="1">
        <v>45808</v>
      </c>
      <c r="B403" t="s">
        <v>19</v>
      </c>
      <c r="C403" t="s">
        <v>29</v>
      </c>
      <c r="D403">
        <v>5485984</v>
      </c>
      <c r="E403" t="s">
        <v>30</v>
      </c>
      <c r="G403" t="s">
        <v>22</v>
      </c>
      <c r="H403" s="1">
        <v>45352</v>
      </c>
      <c r="I403" t="s">
        <v>398</v>
      </c>
      <c r="J403">
        <v>45812016</v>
      </c>
      <c r="K403">
        <v>81359236</v>
      </c>
      <c r="L403" t="s">
        <v>24</v>
      </c>
      <c r="M403" s="1">
        <v>45778</v>
      </c>
      <c r="N403" t="s">
        <v>25</v>
      </c>
      <c r="O403">
        <v>309.88</v>
      </c>
      <c r="P403">
        <v>20</v>
      </c>
      <c r="R403" t="s">
        <v>15</v>
      </c>
      <c r="S403" t="s">
        <v>26</v>
      </c>
    </row>
    <row r="404" spans="1:19" x14ac:dyDescent="0.25">
      <c r="A404" s="1">
        <v>45808</v>
      </c>
      <c r="B404" t="s">
        <v>19</v>
      </c>
      <c r="C404" t="s">
        <v>38</v>
      </c>
      <c r="D404">
        <v>4506169</v>
      </c>
      <c r="E404" t="s">
        <v>39</v>
      </c>
      <c r="G404" t="s">
        <v>22</v>
      </c>
      <c r="H404" s="1">
        <v>42401</v>
      </c>
      <c r="I404" t="s">
        <v>399</v>
      </c>
      <c r="J404">
        <v>3229204</v>
      </c>
      <c r="K404">
        <v>80006932</v>
      </c>
      <c r="L404" t="s">
        <v>24</v>
      </c>
      <c r="M404" s="1">
        <v>45778</v>
      </c>
      <c r="N404" t="s">
        <v>25</v>
      </c>
      <c r="O404">
        <v>1360.72</v>
      </c>
      <c r="P404">
        <v>60</v>
      </c>
      <c r="R404" t="s">
        <v>15</v>
      </c>
      <c r="S404" t="s">
        <v>26</v>
      </c>
    </row>
    <row r="405" spans="1:19" x14ac:dyDescent="0.25">
      <c r="A405" s="1">
        <v>45808</v>
      </c>
      <c r="B405" t="s">
        <v>19</v>
      </c>
      <c r="C405" t="s">
        <v>20</v>
      </c>
      <c r="D405">
        <v>4874327</v>
      </c>
      <c r="E405" t="s">
        <v>21</v>
      </c>
      <c r="G405" t="s">
        <v>22</v>
      </c>
      <c r="H405" s="1">
        <v>44927</v>
      </c>
      <c r="I405" t="s">
        <v>400</v>
      </c>
      <c r="J405">
        <v>41365679</v>
      </c>
      <c r="K405">
        <v>80085502</v>
      </c>
      <c r="L405" t="s">
        <v>24</v>
      </c>
      <c r="M405" s="1">
        <v>45748</v>
      </c>
      <c r="N405" t="s">
        <v>28</v>
      </c>
      <c r="O405">
        <v>1166.1500000000001</v>
      </c>
      <c r="P405">
        <v>20</v>
      </c>
      <c r="R405" t="s">
        <v>15</v>
      </c>
      <c r="S405" t="s">
        <v>26</v>
      </c>
    </row>
    <row r="406" spans="1:19" x14ac:dyDescent="0.25">
      <c r="A406" s="1">
        <v>45808</v>
      </c>
      <c r="B406" t="s">
        <v>19</v>
      </c>
      <c r="C406" t="s">
        <v>20</v>
      </c>
      <c r="D406">
        <v>4874327</v>
      </c>
      <c r="E406" t="s">
        <v>21</v>
      </c>
      <c r="G406" t="s">
        <v>22</v>
      </c>
      <c r="H406" s="1">
        <v>44927</v>
      </c>
      <c r="I406" t="s">
        <v>401</v>
      </c>
      <c r="J406">
        <v>40578063</v>
      </c>
      <c r="K406">
        <v>80014353</v>
      </c>
      <c r="L406" t="s">
        <v>24</v>
      </c>
      <c r="M406" s="1">
        <v>45778</v>
      </c>
      <c r="N406" t="s">
        <v>25</v>
      </c>
      <c r="O406">
        <v>538.05999999999995</v>
      </c>
      <c r="P406">
        <v>20</v>
      </c>
      <c r="R406" t="s">
        <v>15</v>
      </c>
      <c r="S406" t="s">
        <v>26</v>
      </c>
    </row>
    <row r="407" spans="1:19" x14ac:dyDescent="0.25">
      <c r="A407" s="1">
        <v>45808</v>
      </c>
      <c r="B407" t="s">
        <v>19</v>
      </c>
      <c r="C407" t="s">
        <v>20</v>
      </c>
      <c r="D407">
        <v>4874327</v>
      </c>
      <c r="E407" t="s">
        <v>21</v>
      </c>
      <c r="G407" t="s">
        <v>22</v>
      </c>
      <c r="H407" s="1">
        <v>45505</v>
      </c>
      <c r="I407" t="s">
        <v>402</v>
      </c>
      <c r="J407">
        <v>46844987</v>
      </c>
      <c r="K407">
        <v>81373507</v>
      </c>
      <c r="L407" t="s">
        <v>24</v>
      </c>
      <c r="M407" s="1">
        <v>45778</v>
      </c>
      <c r="N407" t="s">
        <v>25</v>
      </c>
      <c r="O407">
        <v>680.82</v>
      </c>
      <c r="P407">
        <v>20</v>
      </c>
      <c r="R407" t="s">
        <v>15</v>
      </c>
      <c r="S40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25BB-0B27-4895-9071-B60FDA4BEEFF}">
  <dimension ref="A1:U407"/>
  <sheetViews>
    <sheetView workbookViewId="0">
      <selection activeCell="O2" sqref="O2:O400"/>
    </sheetView>
  </sheetViews>
  <sheetFormatPr defaultRowHeight="15" x14ac:dyDescent="0.25"/>
  <cols>
    <col min="1" max="1" width="16" bestFit="1" customWidth="1"/>
    <col min="2" max="2" width="13.42578125" customWidth="1"/>
    <col min="3" max="3" width="23.85546875" bestFit="1" customWidth="1"/>
    <col min="4" max="4" width="9.7109375" bestFit="1" customWidth="1"/>
    <col min="5" max="5" width="28.140625" bestFit="1" customWidth="1"/>
    <col min="6" max="6" width="14.140625" bestFit="1" customWidth="1"/>
    <col min="7" max="7" width="14.140625" customWidth="1"/>
    <col min="8" max="8" width="15.28515625" bestFit="1" customWidth="1"/>
    <col min="9" max="9" width="13.5703125" bestFit="1" customWidth="1"/>
    <col min="10" max="10" width="13.5703125" customWidth="1"/>
  </cols>
  <sheetData>
    <row r="1" spans="1:21" x14ac:dyDescent="0.25">
      <c r="A1" t="s">
        <v>2</v>
      </c>
      <c r="B1" t="s">
        <v>3</v>
      </c>
      <c r="C1" t="s">
        <v>6</v>
      </c>
      <c r="D1" t="s">
        <v>7</v>
      </c>
      <c r="E1" t="s">
        <v>8</v>
      </c>
      <c r="F1" t="s">
        <v>10</v>
      </c>
      <c r="H1" t="s">
        <v>11</v>
      </c>
      <c r="I1" t="s">
        <v>12</v>
      </c>
      <c r="K1" t="s">
        <v>13</v>
      </c>
      <c r="L1" t="s">
        <v>14</v>
      </c>
      <c r="M1" t="s">
        <v>15</v>
      </c>
    </row>
    <row r="2" spans="1:21" x14ac:dyDescent="0.25">
      <c r="A2" t="s">
        <v>38</v>
      </c>
      <c r="B2">
        <v>16509456</v>
      </c>
      <c r="C2" t="s">
        <v>22</v>
      </c>
      <c r="D2" s="1">
        <v>44927</v>
      </c>
      <c r="E2" t="s">
        <v>360</v>
      </c>
      <c r="F2">
        <v>80003121</v>
      </c>
      <c r="G2" t="str">
        <f>CONCATENATE(F2,3)</f>
        <v>800031213</v>
      </c>
      <c r="H2" t="s">
        <v>24</v>
      </c>
      <c r="I2" s="1">
        <v>45748</v>
      </c>
      <c r="J2" s="1">
        <f>DATE(YEAR(I2), MONTH(I2) +1, DAY(I2))</f>
        <v>45778</v>
      </c>
      <c r="K2" t="s">
        <v>28</v>
      </c>
      <c r="L2">
        <v>1</v>
      </c>
      <c r="M2">
        <v>20</v>
      </c>
      <c r="N2" t="s">
        <v>405</v>
      </c>
    </row>
    <row r="3" spans="1:21" x14ac:dyDescent="0.25">
      <c r="A3" t="s">
        <v>38</v>
      </c>
      <c r="B3">
        <v>16509456</v>
      </c>
      <c r="C3" t="s">
        <v>22</v>
      </c>
      <c r="D3" s="1">
        <v>44927</v>
      </c>
      <c r="E3" t="s">
        <v>360</v>
      </c>
      <c r="F3">
        <v>80003121</v>
      </c>
      <c r="G3" t="str">
        <f>CONCATENATE(F3,3)</f>
        <v>800031213</v>
      </c>
      <c r="H3" t="s">
        <v>24</v>
      </c>
      <c r="I3" s="1">
        <v>45778</v>
      </c>
      <c r="J3" s="1">
        <f>DATE(YEAR(I3), MONTH(I3) +1, DAY(I3))</f>
        <v>45809</v>
      </c>
      <c r="K3" t="s">
        <v>25</v>
      </c>
      <c r="L3">
        <v>1</v>
      </c>
      <c r="M3">
        <v>20</v>
      </c>
      <c r="N3" t="s">
        <v>405</v>
      </c>
    </row>
    <row r="4" spans="1:21" x14ac:dyDescent="0.25">
      <c r="A4" t="s">
        <v>20</v>
      </c>
      <c r="B4" t="s">
        <v>403</v>
      </c>
      <c r="C4" t="s">
        <v>22</v>
      </c>
      <c r="D4" s="1">
        <v>45200</v>
      </c>
      <c r="E4" t="s">
        <v>270</v>
      </c>
      <c r="F4">
        <v>80004331</v>
      </c>
      <c r="G4" t="str">
        <f>CONCATENATE(F4,3)</f>
        <v>800043313</v>
      </c>
      <c r="H4" t="s">
        <v>24</v>
      </c>
      <c r="I4" s="1">
        <v>45778</v>
      </c>
      <c r="J4" s="1">
        <f>DATE(YEAR(I4), MONTH(I4) +1, DAY(I4))</f>
        <v>45809</v>
      </c>
      <c r="K4" t="s">
        <v>25</v>
      </c>
      <c r="L4">
        <v>1</v>
      </c>
      <c r="M4">
        <v>40</v>
      </c>
      <c r="N4" t="s">
        <v>405</v>
      </c>
      <c r="O4" t="s">
        <v>407</v>
      </c>
    </row>
    <row r="5" spans="1:21" x14ac:dyDescent="0.25">
      <c r="A5" t="s">
        <v>29</v>
      </c>
      <c r="B5">
        <v>18781057</v>
      </c>
      <c r="C5" t="s">
        <v>22</v>
      </c>
      <c r="D5" s="1">
        <v>45292</v>
      </c>
      <c r="E5" t="s">
        <v>79</v>
      </c>
      <c r="F5">
        <v>80005123</v>
      </c>
      <c r="G5" t="str">
        <f>CONCATENATE(F5,3)</f>
        <v>800051233</v>
      </c>
      <c r="H5" t="s">
        <v>24</v>
      </c>
      <c r="I5" s="1">
        <v>45778</v>
      </c>
      <c r="J5" s="1">
        <f>DATE(YEAR(I5), MONTH(I5) +1, DAY(I5))</f>
        <v>45809</v>
      </c>
      <c r="K5" t="s">
        <v>25</v>
      </c>
      <c r="L5">
        <v>1</v>
      </c>
      <c r="M5">
        <v>20</v>
      </c>
      <c r="N5" t="s">
        <v>405</v>
      </c>
    </row>
    <row r="6" spans="1:21" x14ac:dyDescent="0.25">
      <c r="A6" t="s">
        <v>20</v>
      </c>
      <c r="B6" t="s">
        <v>403</v>
      </c>
      <c r="C6" t="s">
        <v>22</v>
      </c>
      <c r="D6" s="1">
        <v>44927</v>
      </c>
      <c r="E6" t="s">
        <v>231</v>
      </c>
      <c r="F6">
        <v>80005471</v>
      </c>
      <c r="G6" t="str">
        <f>CONCATENATE(F6,3)</f>
        <v>800054713</v>
      </c>
      <c r="H6" t="s">
        <v>24</v>
      </c>
      <c r="I6" s="1">
        <v>45778</v>
      </c>
      <c r="J6" s="1">
        <f>DATE(YEAR(I6), MONTH(I6) +1, DAY(I6))</f>
        <v>45809</v>
      </c>
      <c r="K6" t="s">
        <v>25</v>
      </c>
      <c r="L6">
        <v>1</v>
      </c>
      <c r="M6">
        <v>20</v>
      </c>
      <c r="N6" t="s">
        <v>405</v>
      </c>
    </row>
    <row r="7" spans="1:21" x14ac:dyDescent="0.25">
      <c r="A7" t="s">
        <v>38</v>
      </c>
      <c r="B7">
        <v>16509456</v>
      </c>
      <c r="C7" t="s">
        <v>22</v>
      </c>
      <c r="D7" s="1">
        <v>42401</v>
      </c>
      <c r="E7" t="s">
        <v>399</v>
      </c>
      <c r="F7">
        <v>80006932</v>
      </c>
      <c r="G7" t="str">
        <f>CONCATENATE(F7,3)</f>
        <v>800069323</v>
      </c>
      <c r="H7" t="s">
        <v>24</v>
      </c>
      <c r="I7" s="1">
        <v>45778</v>
      </c>
      <c r="J7" s="1">
        <f>DATE(YEAR(I7), MONTH(I7) +1, DAY(I7))</f>
        <v>45809</v>
      </c>
      <c r="K7" t="s">
        <v>25</v>
      </c>
      <c r="L7">
        <v>1</v>
      </c>
      <c r="M7">
        <v>60</v>
      </c>
      <c r="N7" t="s">
        <v>405</v>
      </c>
      <c r="O7" t="s">
        <v>408</v>
      </c>
    </row>
    <row r="8" spans="1:21" x14ac:dyDescent="0.25">
      <c r="A8" t="s">
        <v>20</v>
      </c>
      <c r="B8" t="s">
        <v>403</v>
      </c>
      <c r="C8" t="s">
        <v>22</v>
      </c>
      <c r="D8" s="1">
        <v>45017</v>
      </c>
      <c r="E8" t="s">
        <v>133</v>
      </c>
      <c r="F8">
        <v>80008775</v>
      </c>
      <c r="G8" t="str">
        <f>CONCATENATE(F8,3)</f>
        <v>800087753</v>
      </c>
      <c r="H8" t="s">
        <v>24</v>
      </c>
      <c r="I8" s="1">
        <v>45748</v>
      </c>
      <c r="J8" s="1">
        <f>DATE(YEAR(I8), MONTH(I8) +1, DAY(I8))</f>
        <v>45778</v>
      </c>
      <c r="K8" t="s">
        <v>28</v>
      </c>
      <c r="L8">
        <v>1</v>
      </c>
      <c r="M8">
        <v>20</v>
      </c>
      <c r="N8" t="s">
        <v>405</v>
      </c>
    </row>
    <row r="9" spans="1:21" x14ac:dyDescent="0.25">
      <c r="A9" t="s">
        <v>38</v>
      </c>
      <c r="B9">
        <v>16509456</v>
      </c>
      <c r="C9" t="s">
        <v>22</v>
      </c>
      <c r="D9" s="1">
        <v>44927</v>
      </c>
      <c r="E9" t="s">
        <v>50</v>
      </c>
      <c r="F9">
        <v>80008839</v>
      </c>
      <c r="G9" t="str">
        <f>CONCATENATE(F9,3)</f>
        <v>800088393</v>
      </c>
      <c r="H9" t="s">
        <v>24</v>
      </c>
      <c r="I9" s="1">
        <v>45778</v>
      </c>
      <c r="J9" s="1">
        <f>DATE(YEAR(I9), MONTH(I9) +1, DAY(I9))</f>
        <v>45809</v>
      </c>
      <c r="K9" t="s">
        <v>25</v>
      </c>
      <c r="L9">
        <v>1</v>
      </c>
      <c r="M9">
        <v>40</v>
      </c>
      <c r="N9" t="s">
        <v>405</v>
      </c>
      <c r="O9" t="s">
        <v>407</v>
      </c>
    </row>
    <row r="10" spans="1:21" x14ac:dyDescent="0.25">
      <c r="A10" t="s">
        <v>20</v>
      </c>
      <c r="B10" t="s">
        <v>403</v>
      </c>
      <c r="C10" t="s">
        <v>22</v>
      </c>
      <c r="D10" s="1">
        <v>45017</v>
      </c>
      <c r="E10" t="s">
        <v>138</v>
      </c>
      <c r="F10">
        <v>80009022</v>
      </c>
      <c r="G10" t="str">
        <f>CONCATENATE(F10,3)</f>
        <v>800090223</v>
      </c>
      <c r="H10" t="s">
        <v>24</v>
      </c>
      <c r="I10" s="1">
        <v>45748</v>
      </c>
      <c r="J10" s="1">
        <f>DATE(YEAR(I10), MONTH(I10) +1, DAY(I10))</f>
        <v>45778</v>
      </c>
      <c r="K10" t="s">
        <v>28</v>
      </c>
      <c r="L10">
        <v>1</v>
      </c>
      <c r="M10">
        <v>20</v>
      </c>
      <c r="N10" t="s">
        <v>405</v>
      </c>
    </row>
    <row r="11" spans="1:21" s="2" customFormat="1" x14ac:dyDescent="0.25">
      <c r="A11" t="s">
        <v>38</v>
      </c>
      <c r="B11">
        <v>16509456</v>
      </c>
      <c r="C11" t="s">
        <v>22</v>
      </c>
      <c r="D11" s="1">
        <v>44927</v>
      </c>
      <c r="E11" t="s">
        <v>204</v>
      </c>
      <c r="F11">
        <v>80013077</v>
      </c>
      <c r="G11" t="str">
        <f>CONCATENATE(F11,3)</f>
        <v>800130773</v>
      </c>
      <c r="H11" t="s">
        <v>24</v>
      </c>
      <c r="I11" s="1">
        <v>45778</v>
      </c>
      <c r="J11" s="1">
        <f>DATE(YEAR(I11), MONTH(I11) +1, DAY(I11))</f>
        <v>45809</v>
      </c>
      <c r="K11" t="s">
        <v>25</v>
      </c>
      <c r="L11">
        <v>1</v>
      </c>
      <c r="M11">
        <v>20</v>
      </c>
      <c r="N11" t="s">
        <v>405</v>
      </c>
      <c r="O11"/>
      <c r="P11"/>
      <c r="Q11"/>
      <c r="R11"/>
      <c r="S11"/>
      <c r="T11"/>
      <c r="U11"/>
    </row>
    <row r="12" spans="1:21" s="2" customFormat="1" x14ac:dyDescent="0.25">
      <c r="A12" t="s">
        <v>20</v>
      </c>
      <c r="B12" t="s">
        <v>403</v>
      </c>
      <c r="C12" t="s">
        <v>22</v>
      </c>
      <c r="D12" s="1">
        <v>45292</v>
      </c>
      <c r="E12" t="s">
        <v>243</v>
      </c>
      <c r="F12">
        <v>80013486</v>
      </c>
      <c r="G12" t="str">
        <f>CONCATENATE(F12,3)</f>
        <v>800134863</v>
      </c>
      <c r="H12" t="s">
        <v>24</v>
      </c>
      <c r="I12" s="1">
        <v>45778</v>
      </c>
      <c r="J12" s="1">
        <f>DATE(YEAR(I12), MONTH(I12) +1, DAY(I12))</f>
        <v>45809</v>
      </c>
      <c r="K12" t="s">
        <v>25</v>
      </c>
      <c r="L12">
        <v>1</v>
      </c>
      <c r="M12">
        <v>20</v>
      </c>
      <c r="N12" t="s">
        <v>405</v>
      </c>
      <c r="O12"/>
      <c r="P12"/>
      <c r="Q12"/>
      <c r="R12"/>
      <c r="S12"/>
      <c r="T12"/>
      <c r="U12"/>
    </row>
    <row r="13" spans="1:21" s="2" customFormat="1" x14ac:dyDescent="0.25">
      <c r="A13" t="s">
        <v>38</v>
      </c>
      <c r="B13">
        <v>16509456</v>
      </c>
      <c r="C13" t="s">
        <v>22</v>
      </c>
      <c r="D13" s="1">
        <v>42370</v>
      </c>
      <c r="E13" t="s">
        <v>166</v>
      </c>
      <c r="F13">
        <v>80013616</v>
      </c>
      <c r="G13" t="str">
        <f>CONCATENATE(F13,3)</f>
        <v>800136163</v>
      </c>
      <c r="H13" t="s">
        <v>24</v>
      </c>
      <c r="I13" s="1">
        <v>45778</v>
      </c>
      <c r="J13" s="1">
        <f>DATE(YEAR(I13), MONTH(I13) +1, DAY(I13))</f>
        <v>45809</v>
      </c>
      <c r="K13" t="s">
        <v>25</v>
      </c>
      <c r="L13">
        <v>1</v>
      </c>
      <c r="M13">
        <v>60</v>
      </c>
      <c r="N13" t="s">
        <v>405</v>
      </c>
      <c r="O13" t="s">
        <v>408</v>
      </c>
      <c r="P13"/>
      <c r="Q13"/>
      <c r="R13"/>
      <c r="S13"/>
      <c r="T13"/>
      <c r="U13"/>
    </row>
    <row r="14" spans="1:21" s="2" customFormat="1" x14ac:dyDescent="0.25">
      <c r="A14" t="s">
        <v>20</v>
      </c>
      <c r="B14" t="s">
        <v>403</v>
      </c>
      <c r="C14" t="s">
        <v>22</v>
      </c>
      <c r="D14" s="1">
        <v>44927</v>
      </c>
      <c r="E14" t="s">
        <v>401</v>
      </c>
      <c r="F14">
        <v>80014353</v>
      </c>
      <c r="G14" t="str">
        <f>CONCATENATE(F14,3)</f>
        <v>800143533</v>
      </c>
      <c r="H14" t="s">
        <v>24</v>
      </c>
      <c r="I14" s="1">
        <v>45778</v>
      </c>
      <c r="J14" s="1">
        <f>DATE(YEAR(I14), MONTH(I14) +1, DAY(I14))</f>
        <v>45809</v>
      </c>
      <c r="K14" t="s">
        <v>25</v>
      </c>
      <c r="L14">
        <v>1</v>
      </c>
      <c r="M14">
        <v>20</v>
      </c>
      <c r="N14" t="s">
        <v>405</v>
      </c>
      <c r="O14"/>
      <c r="P14"/>
      <c r="Q14"/>
      <c r="R14"/>
      <c r="S14"/>
      <c r="T14"/>
      <c r="U14"/>
    </row>
    <row r="15" spans="1:21" s="2" customFormat="1" x14ac:dyDescent="0.25">
      <c r="A15" t="s">
        <v>29</v>
      </c>
      <c r="B15">
        <v>18781057</v>
      </c>
      <c r="C15" t="s">
        <v>22</v>
      </c>
      <c r="D15" s="1">
        <v>45292</v>
      </c>
      <c r="E15" t="s">
        <v>380</v>
      </c>
      <c r="F15">
        <v>80015734</v>
      </c>
      <c r="G15" t="str">
        <f>CONCATENATE(F15,3)</f>
        <v>800157343</v>
      </c>
      <c r="H15" t="s">
        <v>24</v>
      </c>
      <c r="I15" s="1">
        <v>45778</v>
      </c>
      <c r="J15" s="1">
        <f>DATE(YEAR(I15), MONTH(I15) +1, DAY(I15))</f>
        <v>45809</v>
      </c>
      <c r="K15" t="s">
        <v>25</v>
      </c>
      <c r="L15">
        <v>1</v>
      </c>
      <c r="M15">
        <v>20</v>
      </c>
      <c r="N15" t="s">
        <v>405</v>
      </c>
      <c r="O15"/>
      <c r="P15"/>
      <c r="Q15"/>
      <c r="R15"/>
      <c r="S15"/>
      <c r="T15"/>
      <c r="U15"/>
    </row>
    <row r="16" spans="1:21" x14ac:dyDescent="0.25">
      <c r="A16" t="s">
        <v>20</v>
      </c>
      <c r="B16" t="s">
        <v>403</v>
      </c>
      <c r="C16" t="s">
        <v>22</v>
      </c>
      <c r="D16" s="1">
        <v>44927</v>
      </c>
      <c r="E16" t="s">
        <v>207</v>
      </c>
      <c r="F16">
        <v>80016235</v>
      </c>
      <c r="G16" t="str">
        <f>CONCATENATE(F16,3)</f>
        <v>800162353</v>
      </c>
      <c r="H16" t="s">
        <v>24</v>
      </c>
      <c r="I16" s="1">
        <v>45778</v>
      </c>
      <c r="J16" s="1">
        <f>DATE(YEAR(I16), MONTH(I16) +1, DAY(I16))</f>
        <v>45809</v>
      </c>
      <c r="K16" t="s">
        <v>25</v>
      </c>
      <c r="L16">
        <v>1</v>
      </c>
      <c r="M16">
        <v>20</v>
      </c>
      <c r="N16" t="s">
        <v>405</v>
      </c>
    </row>
    <row r="17" spans="1:21" x14ac:dyDescent="0.25">
      <c r="A17" t="s">
        <v>32</v>
      </c>
      <c r="B17">
        <v>8971826</v>
      </c>
      <c r="C17" t="s">
        <v>22</v>
      </c>
      <c r="D17" s="1">
        <v>45658</v>
      </c>
      <c r="E17" t="s">
        <v>55</v>
      </c>
      <c r="F17">
        <v>80016583</v>
      </c>
      <c r="G17" t="str">
        <f>CONCATENATE(F17,3)</f>
        <v>800165833</v>
      </c>
      <c r="H17" t="s">
        <v>24</v>
      </c>
      <c r="I17" s="1">
        <v>45778</v>
      </c>
      <c r="J17" s="1">
        <f>DATE(YEAR(I17), MONTH(I17) +1, DAY(I17))</f>
        <v>45809</v>
      </c>
      <c r="K17" t="s">
        <v>25</v>
      </c>
      <c r="L17">
        <v>1</v>
      </c>
      <c r="M17">
        <v>20</v>
      </c>
      <c r="N17" t="s">
        <v>405</v>
      </c>
    </row>
    <row r="18" spans="1:21" x14ac:dyDescent="0.25">
      <c r="A18" t="s">
        <v>29</v>
      </c>
      <c r="B18">
        <v>18781057</v>
      </c>
      <c r="C18" t="s">
        <v>22</v>
      </c>
      <c r="D18" s="1">
        <v>45292</v>
      </c>
      <c r="E18" t="s">
        <v>391</v>
      </c>
      <c r="F18">
        <v>80016788</v>
      </c>
      <c r="G18" t="str">
        <f>CONCATENATE(F18,3)</f>
        <v>800167883</v>
      </c>
      <c r="H18" t="s">
        <v>24</v>
      </c>
      <c r="I18" s="1">
        <v>45778</v>
      </c>
      <c r="J18" s="1">
        <f>DATE(YEAR(I18), MONTH(I18) +1, DAY(I18))</f>
        <v>45809</v>
      </c>
      <c r="K18" t="s">
        <v>25</v>
      </c>
      <c r="L18">
        <v>1</v>
      </c>
      <c r="M18">
        <v>20</v>
      </c>
      <c r="N18" t="s">
        <v>405</v>
      </c>
    </row>
    <row r="19" spans="1:21" x14ac:dyDescent="0.25">
      <c r="A19" t="s">
        <v>20</v>
      </c>
      <c r="B19" t="s">
        <v>403</v>
      </c>
      <c r="C19" t="s">
        <v>22</v>
      </c>
      <c r="D19" s="1">
        <v>44927</v>
      </c>
      <c r="E19" t="s">
        <v>394</v>
      </c>
      <c r="F19">
        <v>80018934</v>
      </c>
      <c r="G19" t="str">
        <f>CONCATENATE(F19,3)</f>
        <v>800189343</v>
      </c>
      <c r="H19" t="s">
        <v>24</v>
      </c>
      <c r="I19" s="1">
        <v>45778</v>
      </c>
      <c r="J19" s="1">
        <f>DATE(YEAR(I19), MONTH(I19) +1, DAY(I19))</f>
        <v>45809</v>
      </c>
      <c r="K19" t="s">
        <v>25</v>
      </c>
      <c r="L19">
        <v>1</v>
      </c>
      <c r="M19">
        <v>20</v>
      </c>
      <c r="N19" t="s">
        <v>405</v>
      </c>
    </row>
    <row r="20" spans="1:21" x14ac:dyDescent="0.25">
      <c r="A20" t="s">
        <v>20</v>
      </c>
      <c r="B20" t="s">
        <v>403</v>
      </c>
      <c r="C20" t="s">
        <v>22</v>
      </c>
      <c r="D20" s="1">
        <v>44927</v>
      </c>
      <c r="E20" t="s">
        <v>379</v>
      </c>
      <c r="F20">
        <v>80019839</v>
      </c>
      <c r="G20" t="str">
        <f>CONCATENATE(F20,3)</f>
        <v>800198393</v>
      </c>
      <c r="H20" t="s">
        <v>24</v>
      </c>
      <c r="I20" s="1">
        <v>45748</v>
      </c>
      <c r="J20" s="1">
        <f>DATE(YEAR(I20), MONTH(I20) +1, DAY(I20))</f>
        <v>45778</v>
      </c>
      <c r="K20" t="s">
        <v>28</v>
      </c>
      <c r="L20">
        <v>1</v>
      </c>
      <c r="M20">
        <v>20</v>
      </c>
      <c r="N20" t="s">
        <v>405</v>
      </c>
    </row>
    <row r="21" spans="1:21" x14ac:dyDescent="0.25">
      <c r="A21" t="s">
        <v>20</v>
      </c>
      <c r="B21" t="s">
        <v>403</v>
      </c>
      <c r="C21" t="s">
        <v>22</v>
      </c>
      <c r="D21" s="1">
        <v>44927</v>
      </c>
      <c r="E21" t="s">
        <v>258</v>
      </c>
      <c r="F21">
        <v>80022350</v>
      </c>
      <c r="G21" t="str">
        <f>CONCATENATE(F21,3)</f>
        <v>800223503</v>
      </c>
      <c r="H21" t="s">
        <v>24</v>
      </c>
      <c r="I21" s="1">
        <v>45778</v>
      </c>
      <c r="J21" s="1">
        <f>DATE(YEAR(I21), MONTH(I21) +1, DAY(I21))</f>
        <v>45809</v>
      </c>
      <c r="K21" t="s">
        <v>25</v>
      </c>
      <c r="L21">
        <v>1</v>
      </c>
      <c r="M21">
        <v>20</v>
      </c>
      <c r="N21" t="s">
        <v>405</v>
      </c>
    </row>
    <row r="22" spans="1:21" x14ac:dyDescent="0.25">
      <c r="A22" t="s">
        <v>38</v>
      </c>
      <c r="B22">
        <v>16509456</v>
      </c>
      <c r="C22" t="s">
        <v>22</v>
      </c>
      <c r="D22" s="1">
        <v>44927</v>
      </c>
      <c r="E22" t="s">
        <v>150</v>
      </c>
      <c r="F22">
        <v>80022625</v>
      </c>
      <c r="G22" t="str">
        <f>CONCATENATE(F22,3)</f>
        <v>800226253</v>
      </c>
      <c r="H22" t="s">
        <v>24</v>
      </c>
      <c r="I22" s="1">
        <v>45778</v>
      </c>
      <c r="J22" s="1">
        <f>DATE(YEAR(I22), MONTH(I22) +1, DAY(I22))</f>
        <v>45809</v>
      </c>
      <c r="K22" t="s">
        <v>25</v>
      </c>
      <c r="L22">
        <v>1</v>
      </c>
      <c r="M22">
        <v>60</v>
      </c>
      <c r="N22" t="s">
        <v>405</v>
      </c>
      <c r="O22" t="s">
        <v>408</v>
      </c>
    </row>
    <row r="23" spans="1:21" x14ac:dyDescent="0.25">
      <c r="A23" t="s">
        <v>38</v>
      </c>
      <c r="B23">
        <v>16509456</v>
      </c>
      <c r="C23" t="s">
        <v>22</v>
      </c>
      <c r="D23" s="1">
        <v>44927</v>
      </c>
      <c r="E23" t="s">
        <v>150</v>
      </c>
      <c r="F23">
        <v>80022625</v>
      </c>
      <c r="G23" t="str">
        <f>CONCATENATE(F23,3)</f>
        <v>800226253</v>
      </c>
      <c r="H23" t="s">
        <v>24</v>
      </c>
      <c r="I23" s="1">
        <v>45748</v>
      </c>
      <c r="J23" s="1">
        <f>DATE(YEAR(I23), MONTH(I23) +1, DAY(I23))</f>
        <v>45778</v>
      </c>
      <c r="K23" t="s">
        <v>28</v>
      </c>
      <c r="L23">
        <v>1</v>
      </c>
      <c r="M23">
        <v>60</v>
      </c>
      <c r="N23" t="s">
        <v>405</v>
      </c>
      <c r="O23" t="s">
        <v>408</v>
      </c>
    </row>
    <row r="24" spans="1:21" x14ac:dyDescent="0.25">
      <c r="A24" t="s">
        <v>38</v>
      </c>
      <c r="B24">
        <v>16509456</v>
      </c>
      <c r="C24" t="s">
        <v>22</v>
      </c>
      <c r="D24" s="1">
        <v>44896</v>
      </c>
      <c r="E24" t="s">
        <v>328</v>
      </c>
      <c r="F24">
        <v>80023264</v>
      </c>
      <c r="G24" t="str">
        <f>CONCATENATE(F24,3)</f>
        <v>800232643</v>
      </c>
      <c r="H24" t="s">
        <v>24</v>
      </c>
      <c r="I24" s="1">
        <v>45778</v>
      </c>
      <c r="J24" s="1">
        <f>DATE(YEAR(I24), MONTH(I24) +1, DAY(I24))</f>
        <v>45809</v>
      </c>
      <c r="K24" t="s">
        <v>25</v>
      </c>
      <c r="L24">
        <v>1</v>
      </c>
      <c r="M24">
        <v>20</v>
      </c>
      <c r="N24" t="s">
        <v>405</v>
      </c>
    </row>
    <row r="25" spans="1:21" s="4" customFormat="1" x14ac:dyDescent="0.25">
      <c r="A25" t="s">
        <v>38</v>
      </c>
      <c r="B25">
        <v>16509456</v>
      </c>
      <c r="C25" t="s">
        <v>22</v>
      </c>
      <c r="D25" s="1">
        <v>44927</v>
      </c>
      <c r="E25" t="s">
        <v>223</v>
      </c>
      <c r="F25">
        <v>80023687</v>
      </c>
      <c r="G25" t="str">
        <f>CONCATENATE(F25,3)</f>
        <v>800236873</v>
      </c>
      <c r="H25" t="s">
        <v>24</v>
      </c>
      <c r="I25" s="1">
        <v>45778</v>
      </c>
      <c r="J25" s="1">
        <f>DATE(YEAR(I25), MONTH(I25) +1, DAY(I25))</f>
        <v>45809</v>
      </c>
      <c r="K25" t="s">
        <v>25</v>
      </c>
      <c r="L25">
        <v>1</v>
      </c>
      <c r="M25">
        <v>20</v>
      </c>
      <c r="N25" t="s">
        <v>405</v>
      </c>
      <c r="O25"/>
      <c r="P25"/>
      <c r="Q25"/>
      <c r="R25"/>
      <c r="S25"/>
      <c r="T25"/>
      <c r="U25"/>
    </row>
    <row r="26" spans="1:21" s="4" customFormat="1" x14ac:dyDescent="0.25">
      <c r="A26" t="s">
        <v>20</v>
      </c>
      <c r="B26" t="s">
        <v>403</v>
      </c>
      <c r="C26" t="s">
        <v>22</v>
      </c>
      <c r="D26" s="1">
        <v>44927</v>
      </c>
      <c r="E26" t="s">
        <v>155</v>
      </c>
      <c r="F26">
        <v>80028708</v>
      </c>
      <c r="G26" t="str">
        <f>CONCATENATE(F26,3)</f>
        <v>800287083</v>
      </c>
      <c r="H26" t="s">
        <v>24</v>
      </c>
      <c r="I26" s="1">
        <v>45748</v>
      </c>
      <c r="J26" s="1">
        <f>DATE(YEAR(I26), MONTH(I26) +1, DAY(I26))</f>
        <v>45778</v>
      </c>
      <c r="K26" t="s">
        <v>28</v>
      </c>
      <c r="L26">
        <v>1</v>
      </c>
      <c r="M26">
        <v>40</v>
      </c>
      <c r="N26" t="s">
        <v>405</v>
      </c>
      <c r="O26" t="s">
        <v>407</v>
      </c>
      <c r="P26"/>
      <c r="Q26"/>
      <c r="R26"/>
      <c r="S26"/>
      <c r="T26"/>
      <c r="U26"/>
    </row>
    <row r="27" spans="1:21" s="2" customFormat="1" x14ac:dyDescent="0.25">
      <c r="A27" t="s">
        <v>38</v>
      </c>
      <c r="B27">
        <v>16509456</v>
      </c>
      <c r="C27" t="s">
        <v>22</v>
      </c>
      <c r="D27" s="1">
        <v>44958</v>
      </c>
      <c r="E27" t="s">
        <v>160</v>
      </c>
      <c r="F27">
        <v>80029296</v>
      </c>
      <c r="G27" t="str">
        <f>CONCATENATE(F27,3)</f>
        <v>800292963</v>
      </c>
      <c r="H27" t="s">
        <v>24</v>
      </c>
      <c r="I27" s="1">
        <v>45778</v>
      </c>
      <c r="J27" s="1">
        <f>DATE(YEAR(I27), MONTH(I27) +1, DAY(I27))</f>
        <v>45809</v>
      </c>
      <c r="K27" t="s">
        <v>25</v>
      </c>
      <c r="L27">
        <v>1</v>
      </c>
      <c r="M27">
        <v>20</v>
      </c>
      <c r="N27" t="s">
        <v>405</v>
      </c>
      <c r="O27"/>
      <c r="P27"/>
      <c r="Q27"/>
      <c r="R27"/>
      <c r="S27"/>
      <c r="T27"/>
      <c r="U27"/>
    </row>
    <row r="28" spans="1:21" s="2" customFormat="1" x14ac:dyDescent="0.25">
      <c r="A28" t="s">
        <v>38</v>
      </c>
      <c r="B28">
        <v>16509456</v>
      </c>
      <c r="C28" t="s">
        <v>22</v>
      </c>
      <c r="D28" s="1">
        <v>44927</v>
      </c>
      <c r="E28" t="s">
        <v>275</v>
      </c>
      <c r="F28">
        <v>80029645</v>
      </c>
      <c r="G28" t="str">
        <f>CONCATENATE(F28,3)</f>
        <v>800296453</v>
      </c>
      <c r="H28" t="s">
        <v>24</v>
      </c>
      <c r="I28" s="1">
        <v>45748</v>
      </c>
      <c r="J28" s="1">
        <f>DATE(YEAR(I28), MONTH(I28) +1, DAY(I28))</f>
        <v>45778</v>
      </c>
      <c r="K28" t="s">
        <v>28</v>
      </c>
      <c r="L28">
        <v>1</v>
      </c>
      <c r="M28">
        <v>20</v>
      </c>
      <c r="N28" t="s">
        <v>405</v>
      </c>
      <c r="O28"/>
      <c r="P28"/>
      <c r="Q28"/>
      <c r="R28"/>
      <c r="S28"/>
      <c r="T28"/>
      <c r="U28"/>
    </row>
    <row r="29" spans="1:21" s="2" customFormat="1" x14ac:dyDescent="0.25">
      <c r="A29" t="s">
        <v>38</v>
      </c>
      <c r="B29">
        <v>16509456</v>
      </c>
      <c r="C29" t="s">
        <v>22</v>
      </c>
      <c r="D29" s="1">
        <v>44927</v>
      </c>
      <c r="E29" t="s">
        <v>275</v>
      </c>
      <c r="F29">
        <v>80029645</v>
      </c>
      <c r="G29" t="str">
        <f>CONCATENATE(F29,3)</f>
        <v>800296453</v>
      </c>
      <c r="H29" t="s">
        <v>24</v>
      </c>
      <c r="I29" s="1">
        <v>45778</v>
      </c>
      <c r="J29" s="1">
        <f>DATE(YEAR(I29), MONTH(I29) +1, DAY(I29))</f>
        <v>45809</v>
      </c>
      <c r="K29" t="s">
        <v>25</v>
      </c>
      <c r="L29">
        <v>1</v>
      </c>
      <c r="M29">
        <v>20</v>
      </c>
      <c r="N29" t="s">
        <v>405</v>
      </c>
      <c r="O29"/>
      <c r="P29"/>
      <c r="Q29"/>
      <c r="R29"/>
      <c r="S29"/>
      <c r="T29"/>
      <c r="U29"/>
    </row>
    <row r="30" spans="1:21" x14ac:dyDescent="0.25">
      <c r="A30" t="s">
        <v>38</v>
      </c>
      <c r="B30">
        <v>16509456</v>
      </c>
      <c r="C30" t="s">
        <v>22</v>
      </c>
      <c r="D30" s="1">
        <v>44927</v>
      </c>
      <c r="E30" t="s">
        <v>40</v>
      </c>
      <c r="F30">
        <v>80031067</v>
      </c>
      <c r="G30" t="str">
        <f>CONCATENATE(F30,3)</f>
        <v>800310673</v>
      </c>
      <c r="H30" t="s">
        <v>24</v>
      </c>
      <c r="I30" s="1">
        <v>45778</v>
      </c>
      <c r="J30" s="1">
        <f>DATE(YEAR(I30), MONTH(I30) +1, DAY(I30))</f>
        <v>45809</v>
      </c>
      <c r="K30" t="s">
        <v>25</v>
      </c>
      <c r="L30">
        <v>1</v>
      </c>
      <c r="M30">
        <v>40</v>
      </c>
      <c r="N30" t="s">
        <v>405</v>
      </c>
      <c r="O30" t="s">
        <v>407</v>
      </c>
    </row>
    <row r="31" spans="1:21" x14ac:dyDescent="0.25">
      <c r="A31" t="s">
        <v>38</v>
      </c>
      <c r="B31">
        <v>16509456</v>
      </c>
      <c r="C31" t="s">
        <v>22</v>
      </c>
      <c r="D31" s="1">
        <v>44927</v>
      </c>
      <c r="E31" t="s">
        <v>64</v>
      </c>
      <c r="F31">
        <v>80031310</v>
      </c>
      <c r="G31" t="str">
        <f>CONCATENATE(F31,3)</f>
        <v>800313103</v>
      </c>
      <c r="H31" t="s">
        <v>24</v>
      </c>
      <c r="I31" s="1">
        <v>45566</v>
      </c>
      <c r="J31" s="1">
        <f>DATE(YEAR(I31), MONTH(I31) +1, DAY(I31))</f>
        <v>45597</v>
      </c>
      <c r="K31" t="s">
        <v>65</v>
      </c>
      <c r="L31">
        <v>1</v>
      </c>
      <c r="M31">
        <v>40</v>
      </c>
      <c r="N31" t="s">
        <v>405</v>
      </c>
      <c r="O31" t="s">
        <v>407</v>
      </c>
    </row>
    <row r="32" spans="1:21" x14ac:dyDescent="0.25">
      <c r="A32" t="s">
        <v>38</v>
      </c>
      <c r="B32">
        <v>16509456</v>
      </c>
      <c r="C32" t="s">
        <v>22</v>
      </c>
      <c r="D32" s="1">
        <v>45292</v>
      </c>
      <c r="E32" t="s">
        <v>352</v>
      </c>
      <c r="F32">
        <v>80032314</v>
      </c>
      <c r="G32" t="str">
        <f>CONCATENATE(F32,3)</f>
        <v>800323143</v>
      </c>
      <c r="H32" t="s">
        <v>24</v>
      </c>
      <c r="I32" s="1">
        <v>45748</v>
      </c>
      <c r="J32" s="1">
        <f>DATE(YEAR(I32), MONTH(I32) +1, DAY(I32))</f>
        <v>45778</v>
      </c>
      <c r="K32" t="s">
        <v>28</v>
      </c>
      <c r="L32">
        <v>1</v>
      </c>
      <c r="M32">
        <v>20</v>
      </c>
      <c r="N32" t="s">
        <v>405</v>
      </c>
    </row>
    <row r="33" spans="1:14" x14ac:dyDescent="0.25">
      <c r="A33" t="s">
        <v>38</v>
      </c>
      <c r="B33">
        <v>16509456</v>
      </c>
      <c r="C33" t="s">
        <v>22</v>
      </c>
      <c r="D33" s="1">
        <v>44958</v>
      </c>
      <c r="E33" t="s">
        <v>84</v>
      </c>
      <c r="F33">
        <v>80033098</v>
      </c>
      <c r="G33" t="str">
        <f>CONCATENATE(F33,3)</f>
        <v>800330983</v>
      </c>
      <c r="H33" t="s">
        <v>24</v>
      </c>
      <c r="I33" s="1">
        <v>45717</v>
      </c>
      <c r="J33" s="1">
        <f>DATE(YEAR(I33), MONTH(I33) +1, DAY(I33))</f>
        <v>45748</v>
      </c>
      <c r="K33" t="s">
        <v>60</v>
      </c>
      <c r="L33">
        <v>1</v>
      </c>
      <c r="M33">
        <v>20</v>
      </c>
      <c r="N33" t="s">
        <v>405</v>
      </c>
    </row>
    <row r="34" spans="1:14" x14ac:dyDescent="0.25">
      <c r="A34" t="s">
        <v>38</v>
      </c>
      <c r="B34">
        <v>16509456</v>
      </c>
      <c r="C34" t="s">
        <v>22</v>
      </c>
      <c r="D34" s="1">
        <v>44958</v>
      </c>
      <c r="E34" t="s">
        <v>84</v>
      </c>
      <c r="F34">
        <v>80033098</v>
      </c>
      <c r="G34" t="str">
        <f>CONCATENATE(F34,3)</f>
        <v>800330983</v>
      </c>
      <c r="H34" t="s">
        <v>24</v>
      </c>
      <c r="I34" s="1">
        <v>45689</v>
      </c>
      <c r="J34" s="1">
        <f>DATE(YEAR(I34), MONTH(I34) +1, DAY(I34))</f>
        <v>45717</v>
      </c>
      <c r="K34" t="s">
        <v>77</v>
      </c>
      <c r="L34">
        <v>1</v>
      </c>
      <c r="M34">
        <v>20</v>
      </c>
      <c r="N34" t="s">
        <v>405</v>
      </c>
    </row>
    <row r="35" spans="1:14" x14ac:dyDescent="0.25">
      <c r="A35" t="s">
        <v>38</v>
      </c>
      <c r="B35">
        <v>16509456</v>
      </c>
      <c r="C35" t="s">
        <v>22</v>
      </c>
      <c r="D35" s="1">
        <v>45292</v>
      </c>
      <c r="E35" t="s">
        <v>73</v>
      </c>
      <c r="F35">
        <v>80034700</v>
      </c>
      <c r="G35" t="str">
        <f>CONCATENATE(F35,3)</f>
        <v>800347003</v>
      </c>
      <c r="H35" t="s">
        <v>24</v>
      </c>
      <c r="I35" s="1">
        <v>45778</v>
      </c>
      <c r="J35" s="1">
        <f>DATE(YEAR(I35), MONTH(I35) +1, DAY(I35))</f>
        <v>45809</v>
      </c>
      <c r="K35" t="s">
        <v>25</v>
      </c>
      <c r="L35">
        <v>1</v>
      </c>
      <c r="M35">
        <v>20</v>
      </c>
      <c r="N35" t="s">
        <v>405</v>
      </c>
    </row>
    <row r="36" spans="1:14" x14ac:dyDescent="0.25">
      <c r="A36" t="s">
        <v>38</v>
      </c>
      <c r="B36">
        <v>16509456</v>
      </c>
      <c r="C36" t="s">
        <v>22</v>
      </c>
      <c r="D36" s="1">
        <v>44927</v>
      </c>
      <c r="E36" t="s">
        <v>158</v>
      </c>
      <c r="F36">
        <v>80035272</v>
      </c>
      <c r="G36" t="str">
        <f>CONCATENATE(F36,3)</f>
        <v>800352723</v>
      </c>
      <c r="H36" t="s">
        <v>24</v>
      </c>
      <c r="I36" s="1">
        <v>45778</v>
      </c>
      <c r="J36" s="1">
        <f>DATE(YEAR(I36), MONTH(I36) +1, DAY(I36))</f>
        <v>45809</v>
      </c>
      <c r="K36" t="s">
        <v>25</v>
      </c>
      <c r="L36">
        <v>1</v>
      </c>
      <c r="M36">
        <v>20</v>
      </c>
      <c r="N36" t="s">
        <v>405</v>
      </c>
    </row>
    <row r="37" spans="1:14" x14ac:dyDescent="0.25">
      <c r="A37" t="s">
        <v>38</v>
      </c>
      <c r="B37">
        <v>16509456</v>
      </c>
      <c r="C37" t="s">
        <v>22</v>
      </c>
      <c r="D37" s="1">
        <v>44927</v>
      </c>
      <c r="E37" t="s">
        <v>257</v>
      </c>
      <c r="F37">
        <v>80035565</v>
      </c>
      <c r="G37" t="str">
        <f>CONCATENATE(F37,3)</f>
        <v>800355653</v>
      </c>
      <c r="H37" t="s">
        <v>24</v>
      </c>
      <c r="I37" s="1">
        <v>45474</v>
      </c>
      <c r="J37" s="1">
        <f>DATE(YEAR(I37), MONTH(I37) +1, DAY(I37))</f>
        <v>45505</v>
      </c>
      <c r="K37" t="s">
        <v>96</v>
      </c>
      <c r="L37">
        <v>1</v>
      </c>
      <c r="M37">
        <v>20</v>
      </c>
      <c r="N37" t="s">
        <v>405</v>
      </c>
    </row>
    <row r="38" spans="1:14" x14ac:dyDescent="0.25">
      <c r="A38" t="s">
        <v>38</v>
      </c>
      <c r="B38">
        <v>16509456</v>
      </c>
      <c r="C38" t="s">
        <v>22</v>
      </c>
      <c r="D38" s="1">
        <v>44927</v>
      </c>
      <c r="E38" t="s">
        <v>268</v>
      </c>
      <c r="F38">
        <v>80035939</v>
      </c>
      <c r="G38" t="str">
        <f>CONCATENATE(F38,3)</f>
        <v>800359393</v>
      </c>
      <c r="H38" t="s">
        <v>24</v>
      </c>
      <c r="I38" s="1">
        <v>45778</v>
      </c>
      <c r="J38" s="1">
        <f>DATE(YEAR(I38), MONTH(I38) +1, DAY(I38))</f>
        <v>45809</v>
      </c>
      <c r="K38" t="s">
        <v>25</v>
      </c>
      <c r="L38">
        <v>1</v>
      </c>
      <c r="M38">
        <v>20</v>
      </c>
      <c r="N38" t="s">
        <v>405</v>
      </c>
    </row>
    <row r="39" spans="1:14" x14ac:dyDescent="0.25">
      <c r="A39" t="s">
        <v>29</v>
      </c>
      <c r="B39">
        <v>18781057</v>
      </c>
      <c r="C39" t="s">
        <v>22</v>
      </c>
      <c r="D39" s="1">
        <v>45292</v>
      </c>
      <c r="E39" t="s">
        <v>102</v>
      </c>
      <c r="F39">
        <v>80036031</v>
      </c>
      <c r="G39" t="str">
        <f>CONCATENATE(F39,3)</f>
        <v>800360313</v>
      </c>
      <c r="H39" t="s">
        <v>24</v>
      </c>
      <c r="I39" s="1">
        <v>45778</v>
      </c>
      <c r="J39" s="1">
        <f>DATE(YEAR(I39), MONTH(I39) +1, DAY(I39))</f>
        <v>45809</v>
      </c>
      <c r="K39" t="s">
        <v>25</v>
      </c>
      <c r="L39">
        <v>1</v>
      </c>
      <c r="M39">
        <v>20</v>
      </c>
      <c r="N39" t="s">
        <v>405</v>
      </c>
    </row>
    <row r="40" spans="1:14" x14ac:dyDescent="0.25">
      <c r="A40" t="s">
        <v>20</v>
      </c>
      <c r="B40" t="s">
        <v>403</v>
      </c>
      <c r="C40" t="s">
        <v>22</v>
      </c>
      <c r="D40" s="1">
        <v>44927</v>
      </c>
      <c r="E40" t="s">
        <v>122</v>
      </c>
      <c r="F40">
        <v>80036732</v>
      </c>
      <c r="G40" t="str">
        <f>CONCATENATE(F40,3)</f>
        <v>800367323</v>
      </c>
      <c r="H40" t="s">
        <v>24</v>
      </c>
      <c r="I40" s="1">
        <v>45778</v>
      </c>
      <c r="J40" s="1">
        <f>DATE(YEAR(I40), MONTH(I40) +1, DAY(I40))</f>
        <v>45809</v>
      </c>
      <c r="K40" t="s">
        <v>25</v>
      </c>
      <c r="L40">
        <v>1</v>
      </c>
      <c r="M40">
        <v>20</v>
      </c>
      <c r="N40" t="s">
        <v>405</v>
      </c>
    </row>
    <row r="41" spans="1:14" x14ac:dyDescent="0.25">
      <c r="A41" t="s">
        <v>38</v>
      </c>
      <c r="B41">
        <v>16509456</v>
      </c>
      <c r="C41" t="s">
        <v>22</v>
      </c>
      <c r="D41" s="1">
        <v>45139</v>
      </c>
      <c r="E41" t="s">
        <v>261</v>
      </c>
      <c r="F41">
        <v>80037736</v>
      </c>
      <c r="G41" t="str">
        <f>CONCATENATE(F41,3)</f>
        <v>800377363</v>
      </c>
      <c r="H41" t="s">
        <v>24</v>
      </c>
      <c r="I41" s="1">
        <v>45748</v>
      </c>
      <c r="J41" s="1">
        <f>DATE(YEAR(I41), MONTH(I41) +1, DAY(I41))</f>
        <v>45778</v>
      </c>
      <c r="K41" t="s">
        <v>28</v>
      </c>
      <c r="L41">
        <v>1</v>
      </c>
      <c r="M41">
        <v>20</v>
      </c>
      <c r="N41" t="s">
        <v>405</v>
      </c>
    </row>
    <row r="42" spans="1:14" x14ac:dyDescent="0.25">
      <c r="A42" t="s">
        <v>20</v>
      </c>
      <c r="B42" t="s">
        <v>403</v>
      </c>
      <c r="C42" t="s">
        <v>22</v>
      </c>
      <c r="D42" s="1">
        <v>44927</v>
      </c>
      <c r="E42" t="s">
        <v>250</v>
      </c>
      <c r="F42">
        <v>80038715</v>
      </c>
      <c r="G42" t="str">
        <f>CONCATENATE(F42,3)</f>
        <v>800387153</v>
      </c>
      <c r="H42" t="s">
        <v>24</v>
      </c>
      <c r="I42" s="1">
        <v>45778</v>
      </c>
      <c r="J42" s="1">
        <f>DATE(YEAR(I42), MONTH(I42) +1, DAY(I42))</f>
        <v>45809</v>
      </c>
      <c r="K42" t="s">
        <v>25</v>
      </c>
      <c r="L42">
        <v>1</v>
      </c>
      <c r="M42">
        <v>20</v>
      </c>
      <c r="N42" t="s">
        <v>405</v>
      </c>
    </row>
    <row r="43" spans="1:14" x14ac:dyDescent="0.25">
      <c r="A43" t="s">
        <v>20</v>
      </c>
      <c r="B43" t="s">
        <v>403</v>
      </c>
      <c r="C43" t="s">
        <v>22</v>
      </c>
      <c r="D43" s="1">
        <v>44958</v>
      </c>
      <c r="E43" t="s">
        <v>306</v>
      </c>
      <c r="F43">
        <v>80039531</v>
      </c>
      <c r="G43" t="str">
        <f>CONCATENATE(F43,3)</f>
        <v>800395313</v>
      </c>
      <c r="H43" t="s">
        <v>24</v>
      </c>
      <c r="I43" s="1">
        <v>45689</v>
      </c>
      <c r="J43" s="1">
        <f>DATE(YEAR(I43), MONTH(I43) +1, DAY(I43))</f>
        <v>45717</v>
      </c>
      <c r="K43" t="s">
        <v>77</v>
      </c>
      <c r="L43">
        <v>1</v>
      </c>
      <c r="M43">
        <v>20</v>
      </c>
      <c r="N43" t="s">
        <v>405</v>
      </c>
    </row>
    <row r="44" spans="1:14" x14ac:dyDescent="0.25">
      <c r="A44" t="s">
        <v>20</v>
      </c>
      <c r="B44" t="s">
        <v>403</v>
      </c>
      <c r="C44" t="s">
        <v>22</v>
      </c>
      <c r="D44" s="1">
        <v>44958</v>
      </c>
      <c r="E44" t="s">
        <v>306</v>
      </c>
      <c r="F44">
        <v>80039531</v>
      </c>
      <c r="G44" t="str">
        <f>CONCATENATE(F44,3)</f>
        <v>800395313</v>
      </c>
      <c r="H44" t="s">
        <v>24</v>
      </c>
      <c r="I44" s="1">
        <v>45717</v>
      </c>
      <c r="J44" s="1">
        <f>DATE(YEAR(I44), MONTH(I44) +1, DAY(I44))</f>
        <v>45748</v>
      </c>
      <c r="K44" t="s">
        <v>60</v>
      </c>
      <c r="L44">
        <v>1</v>
      </c>
      <c r="M44">
        <v>20</v>
      </c>
      <c r="N44" t="s">
        <v>405</v>
      </c>
    </row>
    <row r="45" spans="1:14" x14ac:dyDescent="0.25">
      <c r="A45" t="s">
        <v>20</v>
      </c>
      <c r="B45" t="s">
        <v>403</v>
      </c>
      <c r="C45" t="s">
        <v>22</v>
      </c>
      <c r="D45" s="1">
        <v>44958</v>
      </c>
      <c r="E45" t="s">
        <v>306</v>
      </c>
      <c r="F45">
        <v>80039531</v>
      </c>
      <c r="G45" t="str">
        <f>CONCATENATE(F45,3)</f>
        <v>800395313</v>
      </c>
      <c r="H45" t="s">
        <v>24</v>
      </c>
      <c r="I45" s="1">
        <v>45748</v>
      </c>
      <c r="J45" s="1">
        <f>DATE(YEAR(I45), MONTH(I45) +1, DAY(I45))</f>
        <v>45778</v>
      </c>
      <c r="K45" t="s">
        <v>28</v>
      </c>
      <c r="L45">
        <v>1</v>
      </c>
      <c r="M45">
        <v>20</v>
      </c>
      <c r="N45" t="s">
        <v>405</v>
      </c>
    </row>
    <row r="46" spans="1:14" x14ac:dyDescent="0.25">
      <c r="A46" t="s">
        <v>20</v>
      </c>
      <c r="B46" t="s">
        <v>403</v>
      </c>
      <c r="C46" t="s">
        <v>22</v>
      </c>
      <c r="D46" s="1">
        <v>44927</v>
      </c>
      <c r="E46" t="s">
        <v>66</v>
      </c>
      <c r="F46">
        <v>80040526</v>
      </c>
      <c r="G46" t="str">
        <f>CONCATENATE(F46,3)</f>
        <v>800405263</v>
      </c>
      <c r="H46" t="s">
        <v>24</v>
      </c>
      <c r="I46" s="1">
        <v>45778</v>
      </c>
      <c r="J46" s="1">
        <f>DATE(YEAR(I46), MONTH(I46) +1, DAY(I46))</f>
        <v>45809</v>
      </c>
      <c r="K46" t="s">
        <v>25</v>
      </c>
      <c r="L46">
        <v>1</v>
      </c>
      <c r="M46">
        <v>20</v>
      </c>
      <c r="N46" t="s">
        <v>405</v>
      </c>
    </row>
    <row r="47" spans="1:14" x14ac:dyDescent="0.25">
      <c r="A47" t="s">
        <v>20</v>
      </c>
      <c r="B47" t="s">
        <v>403</v>
      </c>
      <c r="C47" t="s">
        <v>22</v>
      </c>
      <c r="D47" s="1">
        <v>45292</v>
      </c>
      <c r="E47" t="s">
        <v>193</v>
      </c>
      <c r="F47">
        <v>80041190</v>
      </c>
      <c r="G47" t="str">
        <f>CONCATENATE(F47,3)</f>
        <v>800411903</v>
      </c>
      <c r="H47" t="s">
        <v>24</v>
      </c>
      <c r="I47" s="1">
        <v>45566</v>
      </c>
      <c r="J47" s="1">
        <f>DATE(YEAR(I47), MONTH(I47) +1, DAY(I47))</f>
        <v>45597</v>
      </c>
      <c r="K47" t="s">
        <v>65</v>
      </c>
      <c r="L47">
        <v>1</v>
      </c>
      <c r="M47">
        <v>20</v>
      </c>
      <c r="N47" t="s">
        <v>405</v>
      </c>
    </row>
    <row r="48" spans="1:14" x14ac:dyDescent="0.25">
      <c r="A48" t="s">
        <v>20</v>
      </c>
      <c r="B48" t="s">
        <v>403</v>
      </c>
      <c r="C48" t="s">
        <v>22</v>
      </c>
      <c r="D48" s="1">
        <v>45170</v>
      </c>
      <c r="E48" t="s">
        <v>147</v>
      </c>
      <c r="F48">
        <v>80042263</v>
      </c>
      <c r="G48" t="str">
        <f>CONCATENATE(F48,3)</f>
        <v>800422633</v>
      </c>
      <c r="H48" t="s">
        <v>24</v>
      </c>
      <c r="I48" s="1">
        <v>45778</v>
      </c>
      <c r="J48" s="1">
        <f>DATE(YEAR(I48), MONTH(I48) +1, DAY(I48))</f>
        <v>45809</v>
      </c>
      <c r="K48" t="s">
        <v>25</v>
      </c>
      <c r="L48">
        <v>1</v>
      </c>
      <c r="M48">
        <v>20</v>
      </c>
      <c r="N48" t="s">
        <v>405</v>
      </c>
    </row>
    <row r="49" spans="1:15" x14ac:dyDescent="0.25">
      <c r="A49" t="s">
        <v>20</v>
      </c>
      <c r="B49" t="s">
        <v>403</v>
      </c>
      <c r="C49" t="s">
        <v>22</v>
      </c>
      <c r="D49" s="1">
        <v>44927</v>
      </c>
      <c r="E49" t="s">
        <v>208</v>
      </c>
      <c r="F49">
        <v>80043070</v>
      </c>
      <c r="G49" t="str">
        <f>CONCATENATE(F49,3)</f>
        <v>800430703</v>
      </c>
      <c r="H49" t="s">
        <v>24</v>
      </c>
      <c r="I49" s="1">
        <v>45778</v>
      </c>
      <c r="J49" s="1">
        <f>DATE(YEAR(I49), MONTH(I49) +1, DAY(I49))</f>
        <v>45809</v>
      </c>
      <c r="K49" t="s">
        <v>25</v>
      </c>
      <c r="L49">
        <v>1</v>
      </c>
      <c r="M49">
        <v>40</v>
      </c>
      <c r="N49" t="s">
        <v>405</v>
      </c>
      <c r="O49" t="s">
        <v>407</v>
      </c>
    </row>
    <row r="50" spans="1:15" x14ac:dyDescent="0.25">
      <c r="A50" t="s">
        <v>20</v>
      </c>
      <c r="B50" t="s">
        <v>403</v>
      </c>
      <c r="C50" t="s">
        <v>22</v>
      </c>
      <c r="D50" s="1">
        <v>44927</v>
      </c>
      <c r="E50" t="s">
        <v>247</v>
      </c>
      <c r="F50">
        <v>80043152</v>
      </c>
      <c r="G50" t="str">
        <f>CONCATENATE(F50,3)</f>
        <v>800431523</v>
      </c>
      <c r="H50" t="s">
        <v>24</v>
      </c>
      <c r="I50" s="1">
        <v>45778</v>
      </c>
      <c r="J50" s="1">
        <f>DATE(YEAR(I50), MONTH(I50) +1, DAY(I50))</f>
        <v>45809</v>
      </c>
      <c r="K50" t="s">
        <v>25</v>
      </c>
      <c r="L50">
        <v>1</v>
      </c>
      <c r="M50">
        <v>60</v>
      </c>
      <c r="N50" t="s">
        <v>405</v>
      </c>
      <c r="O50" t="s">
        <v>408</v>
      </c>
    </row>
    <row r="51" spans="1:15" x14ac:dyDescent="0.25">
      <c r="A51" t="s">
        <v>20</v>
      </c>
      <c r="B51" t="s">
        <v>403</v>
      </c>
      <c r="C51" t="s">
        <v>22</v>
      </c>
      <c r="D51" s="1">
        <v>45292</v>
      </c>
      <c r="E51" t="s">
        <v>331</v>
      </c>
      <c r="F51">
        <v>80043306</v>
      </c>
      <c r="G51" t="str">
        <f>CONCATENATE(F51,3)</f>
        <v>800433063</v>
      </c>
      <c r="H51" t="s">
        <v>24</v>
      </c>
      <c r="I51" s="1">
        <v>45778</v>
      </c>
      <c r="J51" s="1">
        <f>DATE(YEAR(I51), MONTH(I51) +1, DAY(I51))</f>
        <v>45809</v>
      </c>
      <c r="K51" t="s">
        <v>25</v>
      </c>
      <c r="L51">
        <v>1</v>
      </c>
      <c r="M51">
        <v>20</v>
      </c>
      <c r="N51" t="s">
        <v>405</v>
      </c>
    </row>
    <row r="52" spans="1:15" x14ac:dyDescent="0.25">
      <c r="A52" t="s">
        <v>29</v>
      </c>
      <c r="B52">
        <v>18781057</v>
      </c>
      <c r="C52" t="s">
        <v>22</v>
      </c>
      <c r="D52" s="1">
        <v>45292</v>
      </c>
      <c r="E52" t="s">
        <v>132</v>
      </c>
      <c r="F52">
        <v>80044410</v>
      </c>
      <c r="G52" t="str">
        <f>CONCATENATE(F52,3)</f>
        <v>800444103</v>
      </c>
      <c r="H52" t="s">
        <v>24</v>
      </c>
      <c r="I52" s="1">
        <v>45748</v>
      </c>
      <c r="J52" s="1">
        <f>DATE(YEAR(I52), MONTH(I52) +1, DAY(I52))</f>
        <v>45778</v>
      </c>
      <c r="K52" t="s">
        <v>28</v>
      </c>
      <c r="L52">
        <v>1</v>
      </c>
      <c r="M52">
        <v>20</v>
      </c>
      <c r="N52" t="s">
        <v>405</v>
      </c>
    </row>
    <row r="53" spans="1:15" x14ac:dyDescent="0.25">
      <c r="A53" t="s">
        <v>20</v>
      </c>
      <c r="B53" t="s">
        <v>403</v>
      </c>
      <c r="C53" t="s">
        <v>22</v>
      </c>
      <c r="D53" s="1">
        <v>44958</v>
      </c>
      <c r="E53" t="s">
        <v>278</v>
      </c>
      <c r="F53">
        <v>80045804</v>
      </c>
      <c r="G53" t="str">
        <f>CONCATENATE(F53,3)</f>
        <v>800458043</v>
      </c>
      <c r="H53" t="s">
        <v>24</v>
      </c>
      <c r="I53" s="1">
        <v>45778</v>
      </c>
      <c r="J53" s="1">
        <f>DATE(YEAR(I53), MONTH(I53) +1, DAY(I53))</f>
        <v>45809</v>
      </c>
      <c r="K53" t="s">
        <v>25</v>
      </c>
      <c r="L53">
        <v>1</v>
      </c>
      <c r="M53">
        <v>20</v>
      </c>
      <c r="N53" t="s">
        <v>405</v>
      </c>
    </row>
    <row r="54" spans="1:15" x14ac:dyDescent="0.25">
      <c r="A54" t="s">
        <v>20</v>
      </c>
      <c r="B54" t="s">
        <v>403</v>
      </c>
      <c r="C54" t="s">
        <v>22</v>
      </c>
      <c r="D54" s="1">
        <v>44927</v>
      </c>
      <c r="E54" t="s">
        <v>285</v>
      </c>
      <c r="F54">
        <v>80046468</v>
      </c>
      <c r="G54" t="str">
        <f>CONCATENATE(F54,3)</f>
        <v>800464683</v>
      </c>
      <c r="H54" t="s">
        <v>24</v>
      </c>
      <c r="I54" s="1">
        <v>45748</v>
      </c>
      <c r="J54" s="1">
        <f>DATE(YEAR(I54), MONTH(I54) +1, DAY(I54))</f>
        <v>45778</v>
      </c>
      <c r="K54" t="s">
        <v>28</v>
      </c>
      <c r="L54">
        <v>1</v>
      </c>
      <c r="M54">
        <v>20</v>
      </c>
      <c r="N54" t="s">
        <v>405</v>
      </c>
    </row>
    <row r="55" spans="1:15" x14ac:dyDescent="0.25">
      <c r="A55" t="s">
        <v>29</v>
      </c>
      <c r="B55">
        <v>18781057</v>
      </c>
      <c r="C55" t="s">
        <v>22</v>
      </c>
      <c r="D55" s="1">
        <v>45292</v>
      </c>
      <c r="E55" t="s">
        <v>361</v>
      </c>
      <c r="F55">
        <v>80046709</v>
      </c>
      <c r="G55" t="str">
        <f>CONCATENATE(F55,3)</f>
        <v>800467093</v>
      </c>
      <c r="H55" t="s">
        <v>24</v>
      </c>
      <c r="I55" s="1">
        <v>45778</v>
      </c>
      <c r="J55" s="1">
        <f>DATE(YEAR(I55), MONTH(I55) +1, DAY(I55))</f>
        <v>45809</v>
      </c>
      <c r="K55" t="s">
        <v>25</v>
      </c>
      <c r="L55">
        <v>1</v>
      </c>
      <c r="M55">
        <v>40</v>
      </c>
      <c r="N55" t="s">
        <v>405</v>
      </c>
      <c r="O55" t="s">
        <v>407</v>
      </c>
    </row>
    <row r="56" spans="1:15" x14ac:dyDescent="0.25">
      <c r="A56" t="s">
        <v>38</v>
      </c>
      <c r="B56">
        <v>16509456</v>
      </c>
      <c r="C56" t="s">
        <v>22</v>
      </c>
      <c r="D56" s="1">
        <v>44927</v>
      </c>
      <c r="E56" t="s">
        <v>303</v>
      </c>
      <c r="F56">
        <v>80048393</v>
      </c>
      <c r="G56" t="str">
        <f>CONCATENATE(F56,3)</f>
        <v>800483933</v>
      </c>
      <c r="H56" t="s">
        <v>24</v>
      </c>
      <c r="I56" s="1">
        <v>45748</v>
      </c>
      <c r="J56" s="1">
        <f>DATE(YEAR(I56), MONTH(I56) +1, DAY(I56))</f>
        <v>45778</v>
      </c>
      <c r="K56" t="s">
        <v>28</v>
      </c>
      <c r="L56">
        <v>1</v>
      </c>
      <c r="M56">
        <v>20</v>
      </c>
      <c r="N56" t="s">
        <v>405</v>
      </c>
    </row>
    <row r="57" spans="1:15" x14ac:dyDescent="0.25">
      <c r="A57" t="s">
        <v>20</v>
      </c>
      <c r="B57" t="s">
        <v>403</v>
      </c>
      <c r="C57" t="s">
        <v>22</v>
      </c>
      <c r="D57" s="1">
        <v>45292</v>
      </c>
      <c r="E57" t="s">
        <v>171</v>
      </c>
      <c r="F57">
        <v>80050551</v>
      </c>
      <c r="G57" t="str">
        <f>CONCATENATE(F57,3)</f>
        <v>800505513</v>
      </c>
      <c r="H57" t="s">
        <v>24</v>
      </c>
      <c r="I57" s="1">
        <v>45778</v>
      </c>
      <c r="J57" s="1">
        <f>DATE(YEAR(I57), MONTH(I57) +1, DAY(I57))</f>
        <v>45809</v>
      </c>
      <c r="K57" t="s">
        <v>25</v>
      </c>
      <c r="L57">
        <v>1</v>
      </c>
      <c r="M57">
        <v>20</v>
      </c>
      <c r="N57" t="s">
        <v>405</v>
      </c>
    </row>
    <row r="58" spans="1:15" x14ac:dyDescent="0.25">
      <c r="A58" t="s">
        <v>20</v>
      </c>
      <c r="B58" t="s">
        <v>403</v>
      </c>
      <c r="C58" t="s">
        <v>22</v>
      </c>
      <c r="D58" s="1">
        <v>44927</v>
      </c>
      <c r="E58" t="s">
        <v>92</v>
      </c>
      <c r="F58">
        <v>80051234</v>
      </c>
      <c r="G58" t="str">
        <f>CONCATENATE(F58,3)</f>
        <v>800512343</v>
      </c>
      <c r="H58" t="s">
        <v>24</v>
      </c>
      <c r="I58" s="1">
        <v>45748</v>
      </c>
      <c r="J58" s="1">
        <f>DATE(YEAR(I58), MONTH(I58) +1, DAY(I58))</f>
        <v>45778</v>
      </c>
      <c r="K58" t="s">
        <v>28</v>
      </c>
      <c r="L58">
        <v>1</v>
      </c>
      <c r="M58">
        <v>20</v>
      </c>
      <c r="N58" t="s">
        <v>405</v>
      </c>
    </row>
    <row r="59" spans="1:15" x14ac:dyDescent="0.25">
      <c r="A59" t="s">
        <v>20</v>
      </c>
      <c r="B59" t="s">
        <v>403</v>
      </c>
      <c r="C59" t="s">
        <v>22</v>
      </c>
      <c r="D59" s="1">
        <v>44927</v>
      </c>
      <c r="E59" t="s">
        <v>68</v>
      </c>
      <c r="F59">
        <v>80051548</v>
      </c>
      <c r="G59" t="str">
        <f>CONCATENATE(F59,3)</f>
        <v>800515483</v>
      </c>
      <c r="H59" t="s">
        <v>24</v>
      </c>
      <c r="I59" s="1">
        <v>45778</v>
      </c>
      <c r="J59" s="1">
        <f>DATE(YEAR(I59), MONTH(I59) +1, DAY(I59))</f>
        <v>45809</v>
      </c>
      <c r="K59" t="s">
        <v>25</v>
      </c>
      <c r="L59">
        <v>1</v>
      </c>
      <c r="M59">
        <v>20</v>
      </c>
      <c r="N59" t="s">
        <v>405</v>
      </c>
    </row>
    <row r="60" spans="1:15" x14ac:dyDescent="0.25">
      <c r="A60" t="s">
        <v>20</v>
      </c>
      <c r="B60" t="s">
        <v>403</v>
      </c>
      <c r="C60" t="s">
        <v>22</v>
      </c>
      <c r="D60" s="1">
        <v>44927</v>
      </c>
      <c r="E60" t="s">
        <v>321</v>
      </c>
      <c r="F60">
        <v>80051819</v>
      </c>
      <c r="G60" t="str">
        <f>CONCATENATE(F60,3)</f>
        <v>800518193</v>
      </c>
      <c r="H60" t="s">
        <v>24</v>
      </c>
      <c r="I60" s="1">
        <v>45778</v>
      </c>
      <c r="J60" s="1">
        <f>DATE(YEAR(I60), MONTH(I60) +1, DAY(I60))</f>
        <v>45809</v>
      </c>
      <c r="K60" t="s">
        <v>25</v>
      </c>
      <c r="L60">
        <v>1</v>
      </c>
      <c r="M60">
        <v>20</v>
      </c>
      <c r="N60" t="s">
        <v>405</v>
      </c>
    </row>
    <row r="61" spans="1:15" x14ac:dyDescent="0.25">
      <c r="A61" t="s">
        <v>29</v>
      </c>
      <c r="B61">
        <v>18781057</v>
      </c>
      <c r="C61" t="s">
        <v>22</v>
      </c>
      <c r="D61" s="1">
        <v>45292</v>
      </c>
      <c r="E61" t="s">
        <v>221</v>
      </c>
      <c r="F61">
        <v>80052052</v>
      </c>
      <c r="G61" t="str">
        <f>CONCATENATE(F61,3)</f>
        <v>800520523</v>
      </c>
      <c r="H61" t="s">
        <v>24</v>
      </c>
      <c r="I61" s="1">
        <v>45748</v>
      </c>
      <c r="J61" s="1">
        <f>DATE(YEAR(I61), MONTH(I61) +1, DAY(I61))</f>
        <v>45778</v>
      </c>
      <c r="K61" t="s">
        <v>28</v>
      </c>
      <c r="L61">
        <v>-1</v>
      </c>
      <c r="M61">
        <v>-20</v>
      </c>
      <c r="N61" t="s">
        <v>405</v>
      </c>
    </row>
    <row r="62" spans="1:15" x14ac:dyDescent="0.25">
      <c r="A62" t="s">
        <v>29</v>
      </c>
      <c r="B62">
        <v>18781057</v>
      </c>
      <c r="C62" t="s">
        <v>22</v>
      </c>
      <c r="D62" s="1">
        <v>45292</v>
      </c>
      <c r="E62" t="s">
        <v>221</v>
      </c>
      <c r="F62">
        <v>80052052</v>
      </c>
      <c r="G62" t="str">
        <f>CONCATENATE(F62,3)</f>
        <v>800520523</v>
      </c>
      <c r="H62" t="s">
        <v>24</v>
      </c>
      <c r="I62" s="1">
        <v>45748</v>
      </c>
      <c r="J62" s="1">
        <f>DATE(YEAR(I62), MONTH(I62) +1, DAY(I62))</f>
        <v>45778</v>
      </c>
      <c r="K62" t="s">
        <v>28</v>
      </c>
      <c r="L62">
        <v>1</v>
      </c>
      <c r="M62">
        <v>20</v>
      </c>
      <c r="N62" t="s">
        <v>405</v>
      </c>
    </row>
    <row r="63" spans="1:15" x14ac:dyDescent="0.25">
      <c r="A63" t="s">
        <v>29</v>
      </c>
      <c r="B63">
        <v>18781057</v>
      </c>
      <c r="C63" t="s">
        <v>22</v>
      </c>
      <c r="D63" s="1">
        <v>45292</v>
      </c>
      <c r="E63" t="s">
        <v>221</v>
      </c>
      <c r="F63">
        <v>80052052</v>
      </c>
      <c r="G63" t="str">
        <f>CONCATENATE(F63,3)</f>
        <v>800520523</v>
      </c>
      <c r="H63" t="s">
        <v>24</v>
      </c>
      <c r="I63" s="1">
        <v>45778</v>
      </c>
      <c r="J63" s="1">
        <f>DATE(YEAR(I63), MONTH(I63) +1, DAY(I63))</f>
        <v>45809</v>
      </c>
      <c r="K63" t="s">
        <v>25</v>
      </c>
      <c r="L63">
        <v>1</v>
      </c>
      <c r="M63">
        <v>20</v>
      </c>
      <c r="N63" t="s">
        <v>405</v>
      </c>
    </row>
    <row r="64" spans="1:15" x14ac:dyDescent="0.25">
      <c r="A64" t="s">
        <v>38</v>
      </c>
      <c r="B64">
        <v>16509456</v>
      </c>
      <c r="C64" t="s">
        <v>22</v>
      </c>
      <c r="D64" s="1">
        <v>44958</v>
      </c>
      <c r="E64" t="s">
        <v>324</v>
      </c>
      <c r="F64">
        <v>80052097</v>
      </c>
      <c r="G64" t="str">
        <f>CONCATENATE(F64,3)</f>
        <v>800520973</v>
      </c>
      <c r="H64" t="s">
        <v>24</v>
      </c>
      <c r="I64" s="1">
        <v>45748</v>
      </c>
      <c r="J64" s="1">
        <f>DATE(YEAR(I64), MONTH(I64) +1, DAY(I64))</f>
        <v>45778</v>
      </c>
      <c r="K64" t="s">
        <v>28</v>
      </c>
      <c r="L64">
        <v>1</v>
      </c>
      <c r="M64">
        <v>40</v>
      </c>
      <c r="N64" t="s">
        <v>405</v>
      </c>
      <c r="O64" t="s">
        <v>407</v>
      </c>
    </row>
    <row r="65" spans="1:15" x14ac:dyDescent="0.25">
      <c r="A65" t="s">
        <v>38</v>
      </c>
      <c r="B65">
        <v>16509456</v>
      </c>
      <c r="C65" t="s">
        <v>22</v>
      </c>
      <c r="D65" s="1">
        <v>44958</v>
      </c>
      <c r="E65" t="s">
        <v>324</v>
      </c>
      <c r="F65">
        <v>80052097</v>
      </c>
      <c r="G65" t="str">
        <f>CONCATENATE(F65,3)</f>
        <v>800520973</v>
      </c>
      <c r="H65" t="s">
        <v>24</v>
      </c>
      <c r="I65" s="1">
        <v>45717</v>
      </c>
      <c r="J65" s="1">
        <f>DATE(YEAR(I65), MONTH(I65) +1, DAY(I65))</f>
        <v>45748</v>
      </c>
      <c r="K65" t="s">
        <v>60</v>
      </c>
      <c r="L65">
        <v>1</v>
      </c>
      <c r="M65">
        <v>40</v>
      </c>
      <c r="N65" t="s">
        <v>405</v>
      </c>
      <c r="O65" t="s">
        <v>407</v>
      </c>
    </row>
    <row r="66" spans="1:15" x14ac:dyDescent="0.25">
      <c r="A66" t="s">
        <v>38</v>
      </c>
      <c r="B66">
        <v>16509456</v>
      </c>
      <c r="C66" t="s">
        <v>22</v>
      </c>
      <c r="D66" s="1">
        <v>44927</v>
      </c>
      <c r="E66" t="s">
        <v>368</v>
      </c>
      <c r="F66">
        <v>80052361</v>
      </c>
      <c r="G66" t="str">
        <f>CONCATENATE(F66,3)</f>
        <v>800523613</v>
      </c>
      <c r="H66" t="s">
        <v>24</v>
      </c>
      <c r="I66" s="1">
        <v>45748</v>
      </c>
      <c r="J66" s="1">
        <f>DATE(YEAR(I66), MONTH(I66) +1, DAY(I66))</f>
        <v>45778</v>
      </c>
      <c r="K66" t="s">
        <v>28</v>
      </c>
      <c r="L66">
        <v>1</v>
      </c>
      <c r="M66">
        <v>60</v>
      </c>
      <c r="N66" t="s">
        <v>405</v>
      </c>
      <c r="O66" t="s">
        <v>408</v>
      </c>
    </row>
    <row r="67" spans="1:15" x14ac:dyDescent="0.25">
      <c r="A67" t="s">
        <v>38</v>
      </c>
      <c r="B67">
        <v>16509456</v>
      </c>
      <c r="C67" t="s">
        <v>22</v>
      </c>
      <c r="D67" s="1">
        <v>44927</v>
      </c>
      <c r="E67" t="s">
        <v>90</v>
      </c>
      <c r="F67">
        <v>80052446</v>
      </c>
      <c r="G67" t="str">
        <f>CONCATENATE(F67,3)</f>
        <v>800524463</v>
      </c>
      <c r="H67" t="s">
        <v>24</v>
      </c>
      <c r="I67" s="1">
        <v>45778</v>
      </c>
      <c r="J67" s="1">
        <f>DATE(YEAR(I67), MONTH(I67) +1, DAY(I67))</f>
        <v>45809</v>
      </c>
      <c r="K67" t="s">
        <v>25</v>
      </c>
      <c r="L67">
        <v>1</v>
      </c>
      <c r="M67">
        <v>20</v>
      </c>
      <c r="N67" t="s">
        <v>405</v>
      </c>
    </row>
    <row r="68" spans="1:15" x14ac:dyDescent="0.25">
      <c r="A68" t="s">
        <v>38</v>
      </c>
      <c r="B68">
        <v>16509456</v>
      </c>
      <c r="C68" t="s">
        <v>22</v>
      </c>
      <c r="D68" s="1">
        <v>44927</v>
      </c>
      <c r="E68" t="s">
        <v>93</v>
      </c>
      <c r="F68">
        <v>80053515</v>
      </c>
      <c r="G68" t="str">
        <f>CONCATENATE(F68,3)</f>
        <v>800535153</v>
      </c>
      <c r="H68" t="s">
        <v>24</v>
      </c>
      <c r="I68" s="1">
        <v>45778</v>
      </c>
      <c r="J68" s="1">
        <f>DATE(YEAR(I68), MONTH(I68) +1, DAY(I68))</f>
        <v>45809</v>
      </c>
      <c r="K68" t="s">
        <v>25</v>
      </c>
      <c r="L68">
        <v>1</v>
      </c>
      <c r="M68">
        <v>20</v>
      </c>
      <c r="N68" t="s">
        <v>405</v>
      </c>
    </row>
    <row r="69" spans="1:15" x14ac:dyDescent="0.25">
      <c r="A69" t="s">
        <v>20</v>
      </c>
      <c r="B69" t="s">
        <v>403</v>
      </c>
      <c r="C69" t="s">
        <v>22</v>
      </c>
      <c r="D69" s="1">
        <v>44927</v>
      </c>
      <c r="E69" t="s">
        <v>174</v>
      </c>
      <c r="F69">
        <v>80053722</v>
      </c>
      <c r="G69" t="str">
        <f>CONCATENATE(F69,3)</f>
        <v>800537223</v>
      </c>
      <c r="H69" t="s">
        <v>24</v>
      </c>
      <c r="I69" s="1">
        <v>45778</v>
      </c>
      <c r="J69" s="1">
        <f>DATE(YEAR(I69), MONTH(I69) +1, DAY(I69))</f>
        <v>45809</v>
      </c>
      <c r="K69" t="s">
        <v>25</v>
      </c>
      <c r="L69">
        <v>1</v>
      </c>
      <c r="M69">
        <v>80</v>
      </c>
      <c r="N69" t="s">
        <v>405</v>
      </c>
      <c r="O69" t="s">
        <v>409</v>
      </c>
    </row>
    <row r="70" spans="1:15" x14ac:dyDescent="0.25">
      <c r="A70" t="s">
        <v>20</v>
      </c>
      <c r="B70" t="s">
        <v>403</v>
      </c>
      <c r="C70" t="s">
        <v>22</v>
      </c>
      <c r="D70" s="1">
        <v>44927</v>
      </c>
      <c r="E70" t="s">
        <v>213</v>
      </c>
      <c r="F70">
        <v>80054116</v>
      </c>
      <c r="G70" t="str">
        <f>CONCATENATE(F70,3)</f>
        <v>800541163</v>
      </c>
      <c r="H70" t="s">
        <v>24</v>
      </c>
      <c r="I70" s="1">
        <v>45748</v>
      </c>
      <c r="J70" s="1">
        <f>DATE(YEAR(I70), MONTH(I70) +1, DAY(I70))</f>
        <v>45778</v>
      </c>
      <c r="K70" t="s">
        <v>28</v>
      </c>
      <c r="L70">
        <v>1</v>
      </c>
      <c r="M70">
        <v>40</v>
      </c>
      <c r="N70" t="s">
        <v>405</v>
      </c>
      <c r="O70" t="s">
        <v>407</v>
      </c>
    </row>
    <row r="71" spans="1:15" x14ac:dyDescent="0.25">
      <c r="A71" t="s">
        <v>20</v>
      </c>
      <c r="B71" t="s">
        <v>403</v>
      </c>
      <c r="C71" t="s">
        <v>22</v>
      </c>
      <c r="D71" s="1">
        <v>44927</v>
      </c>
      <c r="E71" t="s">
        <v>116</v>
      </c>
      <c r="F71">
        <v>80054214</v>
      </c>
      <c r="G71" t="str">
        <f>CONCATENATE(F71,3)</f>
        <v>800542143</v>
      </c>
      <c r="H71" t="s">
        <v>24</v>
      </c>
      <c r="I71" s="1">
        <v>45778</v>
      </c>
      <c r="J71" s="1">
        <f>DATE(YEAR(I71), MONTH(I71) +1, DAY(I71))</f>
        <v>45809</v>
      </c>
      <c r="K71" t="s">
        <v>25</v>
      </c>
      <c r="L71">
        <v>1</v>
      </c>
      <c r="M71">
        <v>20</v>
      </c>
      <c r="N71" t="s">
        <v>405</v>
      </c>
    </row>
    <row r="72" spans="1:15" x14ac:dyDescent="0.25">
      <c r="A72" t="s">
        <v>38</v>
      </c>
      <c r="B72">
        <v>16509456</v>
      </c>
      <c r="C72" t="s">
        <v>22</v>
      </c>
      <c r="D72" s="1">
        <v>45231</v>
      </c>
      <c r="E72" t="s">
        <v>286</v>
      </c>
      <c r="F72">
        <v>80055026</v>
      </c>
      <c r="G72" t="str">
        <f>CONCATENATE(F72,3)</f>
        <v>800550263</v>
      </c>
      <c r="H72" t="s">
        <v>24</v>
      </c>
      <c r="I72" s="1">
        <v>45748</v>
      </c>
      <c r="J72" s="1">
        <f>DATE(YEAR(I72), MONTH(I72) +1, DAY(I72))</f>
        <v>45778</v>
      </c>
      <c r="K72" t="s">
        <v>28</v>
      </c>
      <c r="L72">
        <v>1</v>
      </c>
      <c r="M72">
        <v>40</v>
      </c>
      <c r="N72" t="s">
        <v>405</v>
      </c>
      <c r="O72" t="s">
        <v>407</v>
      </c>
    </row>
    <row r="73" spans="1:15" x14ac:dyDescent="0.25">
      <c r="A73" t="s">
        <v>20</v>
      </c>
      <c r="B73" t="s">
        <v>403</v>
      </c>
      <c r="C73" t="s">
        <v>22</v>
      </c>
      <c r="D73" s="1">
        <v>45292</v>
      </c>
      <c r="E73" t="s">
        <v>251</v>
      </c>
      <c r="F73">
        <v>80056598</v>
      </c>
      <c r="G73" t="str">
        <f>CONCATENATE(F73,3)</f>
        <v>800565983</v>
      </c>
      <c r="H73" t="s">
        <v>24</v>
      </c>
      <c r="I73" s="1">
        <v>45778</v>
      </c>
      <c r="J73" s="1">
        <f>DATE(YEAR(I73), MONTH(I73) +1, DAY(I73))</f>
        <v>45809</v>
      </c>
      <c r="K73" t="s">
        <v>25</v>
      </c>
      <c r="L73">
        <v>1</v>
      </c>
      <c r="M73">
        <v>20</v>
      </c>
      <c r="N73" t="s">
        <v>405</v>
      </c>
    </row>
    <row r="74" spans="1:15" x14ac:dyDescent="0.25">
      <c r="A74" t="s">
        <v>38</v>
      </c>
      <c r="B74">
        <v>16509456</v>
      </c>
      <c r="C74" t="s">
        <v>22</v>
      </c>
      <c r="D74" s="1">
        <v>44927</v>
      </c>
      <c r="E74" t="s">
        <v>154</v>
      </c>
      <c r="F74">
        <v>80056878</v>
      </c>
      <c r="G74" t="str">
        <f>CONCATENATE(F74,3)</f>
        <v>800568783</v>
      </c>
      <c r="H74" t="s">
        <v>24</v>
      </c>
      <c r="I74" s="1">
        <v>45748</v>
      </c>
      <c r="J74" s="1">
        <f>DATE(YEAR(I74), MONTH(I74) +1, DAY(I74))</f>
        <v>45778</v>
      </c>
      <c r="K74" t="s">
        <v>28</v>
      </c>
      <c r="L74">
        <v>1</v>
      </c>
      <c r="M74">
        <v>20</v>
      </c>
      <c r="N74" t="s">
        <v>405</v>
      </c>
    </row>
    <row r="75" spans="1:15" x14ac:dyDescent="0.25">
      <c r="A75" t="s">
        <v>29</v>
      </c>
      <c r="B75">
        <v>18781057</v>
      </c>
      <c r="C75" t="s">
        <v>22</v>
      </c>
      <c r="D75" s="1">
        <v>45292</v>
      </c>
      <c r="E75" t="s">
        <v>117</v>
      </c>
      <c r="F75">
        <v>80060626</v>
      </c>
      <c r="G75" t="str">
        <f>CONCATENATE(F75,3)</f>
        <v>800606263</v>
      </c>
      <c r="H75" t="s">
        <v>24</v>
      </c>
      <c r="I75" s="1">
        <v>45778</v>
      </c>
      <c r="J75" s="1">
        <f>DATE(YEAR(I75), MONTH(I75) +1, DAY(I75))</f>
        <v>45809</v>
      </c>
      <c r="K75" t="s">
        <v>25</v>
      </c>
      <c r="L75">
        <v>1</v>
      </c>
      <c r="M75">
        <v>20</v>
      </c>
      <c r="N75" t="s">
        <v>405</v>
      </c>
    </row>
    <row r="76" spans="1:15" x14ac:dyDescent="0.25">
      <c r="A76" t="s">
        <v>38</v>
      </c>
      <c r="B76">
        <v>16509456</v>
      </c>
      <c r="C76" t="s">
        <v>22</v>
      </c>
      <c r="D76" s="1">
        <v>45292</v>
      </c>
      <c r="E76" t="s">
        <v>280</v>
      </c>
      <c r="F76">
        <v>80062664</v>
      </c>
      <c r="G76" t="str">
        <f>CONCATENATE(F76,3)</f>
        <v>800626643</v>
      </c>
      <c r="H76" t="s">
        <v>24</v>
      </c>
      <c r="I76" s="1">
        <v>45778</v>
      </c>
      <c r="J76" s="1">
        <f>DATE(YEAR(I76), MONTH(I76) +1, DAY(I76))</f>
        <v>45809</v>
      </c>
      <c r="K76" t="s">
        <v>25</v>
      </c>
      <c r="L76">
        <v>1</v>
      </c>
      <c r="M76">
        <v>40</v>
      </c>
      <c r="N76" t="s">
        <v>405</v>
      </c>
      <c r="O76" t="s">
        <v>407</v>
      </c>
    </row>
    <row r="77" spans="1:15" x14ac:dyDescent="0.25">
      <c r="A77" t="s">
        <v>38</v>
      </c>
      <c r="B77">
        <v>16509456</v>
      </c>
      <c r="C77" t="s">
        <v>22</v>
      </c>
      <c r="D77" s="1">
        <v>44927</v>
      </c>
      <c r="E77" t="s">
        <v>276</v>
      </c>
      <c r="F77">
        <v>80063925</v>
      </c>
      <c r="G77" t="str">
        <f>CONCATENATE(F77,3)</f>
        <v>800639253</v>
      </c>
      <c r="H77" t="s">
        <v>24</v>
      </c>
      <c r="I77" s="1">
        <v>45778</v>
      </c>
      <c r="J77" s="1">
        <f>DATE(YEAR(I77), MONTH(I77) +1, DAY(I77))</f>
        <v>45809</v>
      </c>
      <c r="K77" t="s">
        <v>25</v>
      </c>
      <c r="L77">
        <v>1</v>
      </c>
      <c r="M77">
        <v>20</v>
      </c>
      <c r="N77" t="s">
        <v>405</v>
      </c>
    </row>
    <row r="78" spans="1:15" x14ac:dyDescent="0.25">
      <c r="A78" t="s">
        <v>20</v>
      </c>
      <c r="B78" t="s">
        <v>403</v>
      </c>
      <c r="C78" t="s">
        <v>22</v>
      </c>
      <c r="D78" s="1">
        <v>44927</v>
      </c>
      <c r="E78" t="s">
        <v>148</v>
      </c>
      <c r="F78">
        <v>80064418</v>
      </c>
      <c r="G78" t="str">
        <f>CONCATENATE(F78,3)</f>
        <v>800644183</v>
      </c>
      <c r="H78" t="s">
        <v>24</v>
      </c>
      <c r="I78" s="1">
        <v>45778</v>
      </c>
      <c r="J78" s="1">
        <f>DATE(YEAR(I78), MONTH(I78) +1, DAY(I78))</f>
        <v>45809</v>
      </c>
      <c r="K78" t="s">
        <v>25</v>
      </c>
      <c r="L78">
        <v>1</v>
      </c>
      <c r="M78">
        <v>60</v>
      </c>
      <c r="N78" t="s">
        <v>405</v>
      </c>
      <c r="O78" t="s">
        <v>408</v>
      </c>
    </row>
    <row r="79" spans="1:15" x14ac:dyDescent="0.25">
      <c r="A79" t="s">
        <v>20</v>
      </c>
      <c r="B79" t="s">
        <v>403</v>
      </c>
      <c r="C79" t="s">
        <v>22</v>
      </c>
      <c r="D79" s="1">
        <v>44927</v>
      </c>
      <c r="E79" t="s">
        <v>297</v>
      </c>
      <c r="F79">
        <v>80064697</v>
      </c>
      <c r="G79" t="str">
        <f>CONCATENATE(F79,3)</f>
        <v>800646973</v>
      </c>
      <c r="H79" t="s">
        <v>24</v>
      </c>
      <c r="I79" s="1">
        <v>45748</v>
      </c>
      <c r="J79" s="1">
        <f>DATE(YEAR(I79), MONTH(I79) +1, DAY(I79))</f>
        <v>45778</v>
      </c>
      <c r="K79" t="s">
        <v>28</v>
      </c>
      <c r="L79">
        <v>1</v>
      </c>
      <c r="M79">
        <v>20</v>
      </c>
      <c r="N79" t="s">
        <v>405</v>
      </c>
    </row>
    <row r="80" spans="1:15" x14ac:dyDescent="0.25">
      <c r="A80" t="s">
        <v>29</v>
      </c>
      <c r="B80">
        <v>18781057</v>
      </c>
      <c r="C80" t="s">
        <v>22</v>
      </c>
      <c r="D80" s="1">
        <v>45292</v>
      </c>
      <c r="E80" t="s">
        <v>172</v>
      </c>
      <c r="F80">
        <v>80065640</v>
      </c>
      <c r="G80" t="str">
        <f>CONCATENATE(F80,3)</f>
        <v>800656403</v>
      </c>
      <c r="H80" t="s">
        <v>24</v>
      </c>
      <c r="I80" s="1">
        <v>45778</v>
      </c>
      <c r="J80" s="1">
        <f>DATE(YEAR(I80), MONTH(I80) +1, DAY(I80))</f>
        <v>45809</v>
      </c>
      <c r="K80" t="s">
        <v>25</v>
      </c>
      <c r="L80">
        <v>1</v>
      </c>
      <c r="M80">
        <v>20</v>
      </c>
      <c r="N80" t="s">
        <v>405</v>
      </c>
    </row>
    <row r="81" spans="1:15" x14ac:dyDescent="0.25">
      <c r="A81" t="s">
        <v>38</v>
      </c>
      <c r="B81">
        <v>16509456</v>
      </c>
      <c r="C81" t="s">
        <v>22</v>
      </c>
      <c r="D81" s="1">
        <v>44927</v>
      </c>
      <c r="E81" t="s">
        <v>292</v>
      </c>
      <c r="F81">
        <v>80067171</v>
      </c>
      <c r="G81" t="str">
        <f>CONCATENATE(F81,3)</f>
        <v>800671713</v>
      </c>
      <c r="H81" t="s">
        <v>24</v>
      </c>
      <c r="I81" s="1">
        <v>45778</v>
      </c>
      <c r="J81" s="1">
        <f>DATE(YEAR(I81), MONTH(I81) +1, DAY(I81))</f>
        <v>45809</v>
      </c>
      <c r="K81" t="s">
        <v>25</v>
      </c>
      <c r="L81">
        <v>1</v>
      </c>
      <c r="M81">
        <v>20</v>
      </c>
      <c r="N81" t="s">
        <v>405</v>
      </c>
    </row>
    <row r="82" spans="1:15" x14ac:dyDescent="0.25">
      <c r="A82" t="s">
        <v>20</v>
      </c>
      <c r="B82" t="s">
        <v>403</v>
      </c>
      <c r="C82" t="s">
        <v>22</v>
      </c>
      <c r="D82" s="1">
        <v>45292</v>
      </c>
      <c r="E82" t="s">
        <v>397</v>
      </c>
      <c r="F82">
        <v>80068809</v>
      </c>
      <c r="G82" t="str">
        <f>CONCATENATE(F82,3)</f>
        <v>800688093</v>
      </c>
      <c r="H82" t="s">
        <v>24</v>
      </c>
      <c r="I82" s="1">
        <v>45748</v>
      </c>
      <c r="J82" s="1">
        <f>DATE(YEAR(I82), MONTH(I82) +1, DAY(I82))</f>
        <v>45778</v>
      </c>
      <c r="K82" t="s">
        <v>28</v>
      </c>
      <c r="L82">
        <v>1</v>
      </c>
      <c r="M82">
        <v>40</v>
      </c>
      <c r="N82" t="s">
        <v>405</v>
      </c>
      <c r="O82" t="s">
        <v>407</v>
      </c>
    </row>
    <row r="83" spans="1:15" x14ac:dyDescent="0.25">
      <c r="A83" t="s">
        <v>20</v>
      </c>
      <c r="B83" t="s">
        <v>403</v>
      </c>
      <c r="C83" t="s">
        <v>22</v>
      </c>
      <c r="D83" s="1">
        <v>44927</v>
      </c>
      <c r="E83" t="s">
        <v>216</v>
      </c>
      <c r="F83">
        <v>80070884</v>
      </c>
      <c r="G83" t="str">
        <f>CONCATENATE(F83,3)</f>
        <v>800708843</v>
      </c>
      <c r="H83" t="s">
        <v>24</v>
      </c>
      <c r="I83" s="1">
        <v>45748</v>
      </c>
      <c r="J83" s="1">
        <f>DATE(YEAR(I83), MONTH(I83) +1, DAY(I83))</f>
        <v>45778</v>
      </c>
      <c r="K83" t="s">
        <v>28</v>
      </c>
      <c r="L83">
        <v>1</v>
      </c>
      <c r="M83">
        <v>20</v>
      </c>
      <c r="N83" t="s">
        <v>405</v>
      </c>
    </row>
    <row r="84" spans="1:15" x14ac:dyDescent="0.25">
      <c r="A84" t="s">
        <v>20</v>
      </c>
      <c r="B84" t="s">
        <v>403</v>
      </c>
      <c r="C84" t="s">
        <v>22</v>
      </c>
      <c r="D84" s="1">
        <v>44927</v>
      </c>
      <c r="E84" t="s">
        <v>363</v>
      </c>
      <c r="F84">
        <v>80072989</v>
      </c>
      <c r="G84" t="str">
        <f>CONCATENATE(F84,3)</f>
        <v>800729893</v>
      </c>
      <c r="H84" t="s">
        <v>24</v>
      </c>
      <c r="I84" s="1">
        <v>45748</v>
      </c>
      <c r="J84" s="1">
        <f>DATE(YEAR(I84), MONTH(I84) +1, DAY(I84))</f>
        <v>45778</v>
      </c>
      <c r="K84" t="s">
        <v>28</v>
      </c>
      <c r="L84">
        <v>1</v>
      </c>
      <c r="M84">
        <v>20</v>
      </c>
      <c r="N84" t="s">
        <v>405</v>
      </c>
    </row>
    <row r="85" spans="1:15" x14ac:dyDescent="0.25">
      <c r="A85" t="s">
        <v>20</v>
      </c>
      <c r="B85" t="s">
        <v>403</v>
      </c>
      <c r="C85" t="s">
        <v>22</v>
      </c>
      <c r="D85" s="1">
        <v>44927</v>
      </c>
      <c r="E85" t="s">
        <v>384</v>
      </c>
      <c r="F85">
        <v>80075455</v>
      </c>
      <c r="G85" t="str">
        <f>CONCATENATE(F85,3)</f>
        <v>800754553</v>
      </c>
      <c r="H85" t="s">
        <v>24</v>
      </c>
      <c r="I85" s="1">
        <v>45748</v>
      </c>
      <c r="J85" s="1">
        <f>DATE(YEAR(I85), MONTH(I85) +1, DAY(I85))</f>
        <v>45778</v>
      </c>
      <c r="K85" t="s">
        <v>28</v>
      </c>
      <c r="L85">
        <v>1</v>
      </c>
      <c r="M85">
        <v>20</v>
      </c>
      <c r="N85" t="s">
        <v>405</v>
      </c>
    </row>
    <row r="86" spans="1:15" x14ac:dyDescent="0.25">
      <c r="A86" t="s">
        <v>20</v>
      </c>
      <c r="B86" t="s">
        <v>403</v>
      </c>
      <c r="C86" t="s">
        <v>22</v>
      </c>
      <c r="D86" s="1">
        <v>44927</v>
      </c>
      <c r="E86" t="s">
        <v>384</v>
      </c>
      <c r="F86">
        <v>80075455</v>
      </c>
      <c r="G86" t="str">
        <f>CONCATENATE(F86,3)</f>
        <v>800754553</v>
      </c>
      <c r="H86" t="s">
        <v>24</v>
      </c>
      <c r="I86" s="1">
        <v>45778</v>
      </c>
      <c r="J86" s="1">
        <f>DATE(YEAR(I86), MONTH(I86) +1, DAY(I86))</f>
        <v>45809</v>
      </c>
      <c r="K86" t="s">
        <v>25</v>
      </c>
      <c r="L86">
        <v>1</v>
      </c>
      <c r="M86">
        <v>20</v>
      </c>
      <c r="N86" t="s">
        <v>405</v>
      </c>
    </row>
    <row r="87" spans="1:15" x14ac:dyDescent="0.25">
      <c r="A87" t="s">
        <v>20</v>
      </c>
      <c r="B87" t="s">
        <v>403</v>
      </c>
      <c r="C87" t="s">
        <v>22</v>
      </c>
      <c r="D87" s="1">
        <v>44927</v>
      </c>
      <c r="E87" t="s">
        <v>336</v>
      </c>
      <c r="F87">
        <v>80075459</v>
      </c>
      <c r="G87" t="str">
        <f>CONCATENATE(F87,3)</f>
        <v>800754593</v>
      </c>
      <c r="H87" t="s">
        <v>24</v>
      </c>
      <c r="I87" s="1">
        <v>45566</v>
      </c>
      <c r="J87" s="1">
        <f>DATE(YEAR(I87), MONTH(I87) +1, DAY(I87))</f>
        <v>45597</v>
      </c>
      <c r="K87" t="s">
        <v>65</v>
      </c>
      <c r="L87">
        <v>1</v>
      </c>
      <c r="M87">
        <v>40</v>
      </c>
      <c r="N87" t="s">
        <v>405</v>
      </c>
      <c r="O87" t="s">
        <v>407</v>
      </c>
    </row>
    <row r="88" spans="1:15" x14ac:dyDescent="0.25">
      <c r="A88" t="s">
        <v>29</v>
      </c>
      <c r="B88" t="s">
        <v>404</v>
      </c>
      <c r="C88" t="s">
        <v>22</v>
      </c>
      <c r="D88" s="1">
        <v>45658</v>
      </c>
      <c r="E88" t="s">
        <v>330</v>
      </c>
      <c r="F88">
        <v>80075669</v>
      </c>
      <c r="G88" t="str">
        <f>CONCATENATE(F88,3)</f>
        <v>800756693</v>
      </c>
      <c r="H88" t="s">
        <v>24</v>
      </c>
      <c r="I88" s="1">
        <v>45778</v>
      </c>
      <c r="J88" s="1">
        <f>DATE(YEAR(I88), MONTH(I88) +1, DAY(I88))</f>
        <v>45809</v>
      </c>
      <c r="K88" t="s">
        <v>25</v>
      </c>
      <c r="L88">
        <v>1</v>
      </c>
      <c r="M88">
        <v>20</v>
      </c>
      <c r="N88" t="s">
        <v>405</v>
      </c>
    </row>
    <row r="89" spans="1:15" x14ac:dyDescent="0.25">
      <c r="A89" t="s">
        <v>20</v>
      </c>
      <c r="B89" t="s">
        <v>403</v>
      </c>
      <c r="C89" t="s">
        <v>22</v>
      </c>
      <c r="D89" s="1">
        <v>44958</v>
      </c>
      <c r="E89" t="s">
        <v>383</v>
      </c>
      <c r="F89">
        <v>80075729</v>
      </c>
      <c r="G89" t="str">
        <f>CONCATENATE(F89,3)</f>
        <v>800757293</v>
      </c>
      <c r="H89" t="s">
        <v>24</v>
      </c>
      <c r="I89" s="1">
        <v>45748</v>
      </c>
      <c r="J89" s="1">
        <f>DATE(YEAR(I89), MONTH(I89) +1, DAY(I89))</f>
        <v>45778</v>
      </c>
      <c r="K89" t="s">
        <v>28</v>
      </c>
      <c r="L89">
        <v>1</v>
      </c>
      <c r="M89">
        <v>20</v>
      </c>
      <c r="N89" t="s">
        <v>405</v>
      </c>
    </row>
    <row r="90" spans="1:15" x14ac:dyDescent="0.25">
      <c r="A90" t="s">
        <v>20</v>
      </c>
      <c r="B90" t="s">
        <v>403</v>
      </c>
      <c r="C90" t="s">
        <v>22</v>
      </c>
      <c r="D90" s="1">
        <v>44958</v>
      </c>
      <c r="E90" t="s">
        <v>343</v>
      </c>
      <c r="F90">
        <v>80076875</v>
      </c>
      <c r="G90" t="str">
        <f>CONCATENATE(F90,3)</f>
        <v>800768753</v>
      </c>
      <c r="H90" t="s">
        <v>24</v>
      </c>
      <c r="I90" s="1">
        <v>45778</v>
      </c>
      <c r="J90" s="1">
        <f>DATE(YEAR(I90), MONTH(I90) +1, DAY(I90))</f>
        <v>45809</v>
      </c>
      <c r="K90" t="s">
        <v>25</v>
      </c>
      <c r="L90">
        <v>1</v>
      </c>
      <c r="M90">
        <v>20</v>
      </c>
      <c r="N90" t="s">
        <v>405</v>
      </c>
    </row>
    <row r="91" spans="1:15" x14ac:dyDescent="0.25">
      <c r="A91" t="s">
        <v>32</v>
      </c>
      <c r="B91">
        <v>8971826</v>
      </c>
      <c r="C91" t="s">
        <v>22</v>
      </c>
      <c r="D91" s="1">
        <v>45658</v>
      </c>
      <c r="E91" t="s">
        <v>300</v>
      </c>
      <c r="F91">
        <v>80077354</v>
      </c>
      <c r="G91" t="str">
        <f>CONCATENATE(F91,3)</f>
        <v>800773543</v>
      </c>
      <c r="H91" t="s">
        <v>24</v>
      </c>
      <c r="I91" s="1">
        <v>45748</v>
      </c>
      <c r="J91" s="1">
        <f>DATE(YEAR(I91), MONTH(I91) +1, DAY(I91))</f>
        <v>45778</v>
      </c>
      <c r="K91" t="s">
        <v>28</v>
      </c>
      <c r="L91">
        <v>1</v>
      </c>
      <c r="M91">
        <v>20</v>
      </c>
      <c r="N91" t="s">
        <v>405</v>
      </c>
    </row>
    <row r="92" spans="1:15" x14ac:dyDescent="0.25">
      <c r="A92" t="s">
        <v>38</v>
      </c>
      <c r="B92">
        <v>16509456</v>
      </c>
      <c r="C92" t="s">
        <v>22</v>
      </c>
      <c r="D92" s="1">
        <v>44927</v>
      </c>
      <c r="E92" t="s">
        <v>302</v>
      </c>
      <c r="F92">
        <v>80077650</v>
      </c>
      <c r="G92" t="str">
        <f>CONCATENATE(F92,3)</f>
        <v>800776503</v>
      </c>
      <c r="H92" t="s">
        <v>24</v>
      </c>
      <c r="I92" s="1">
        <v>45778</v>
      </c>
      <c r="J92" s="1">
        <f>DATE(YEAR(I92), MONTH(I92) +1, DAY(I92))</f>
        <v>45809</v>
      </c>
      <c r="K92" t="s">
        <v>25</v>
      </c>
      <c r="L92">
        <v>1</v>
      </c>
      <c r="M92">
        <v>60</v>
      </c>
      <c r="N92" t="s">
        <v>405</v>
      </c>
      <c r="O92" t="s">
        <v>408</v>
      </c>
    </row>
    <row r="93" spans="1:15" x14ac:dyDescent="0.25">
      <c r="A93" t="s">
        <v>38</v>
      </c>
      <c r="B93">
        <v>16509456</v>
      </c>
      <c r="C93" t="s">
        <v>22</v>
      </c>
      <c r="D93" s="1">
        <v>45292</v>
      </c>
      <c r="E93" t="s">
        <v>313</v>
      </c>
      <c r="F93">
        <v>80077664</v>
      </c>
      <c r="G93" t="str">
        <f>CONCATENATE(F93,3)</f>
        <v>800776643</v>
      </c>
      <c r="H93" t="s">
        <v>24</v>
      </c>
      <c r="I93" s="1">
        <v>45748</v>
      </c>
      <c r="J93" s="1">
        <f>DATE(YEAR(I93), MONTH(I93) +1, DAY(I93))</f>
        <v>45778</v>
      </c>
      <c r="K93" t="s">
        <v>28</v>
      </c>
      <c r="L93">
        <v>1</v>
      </c>
      <c r="M93">
        <v>20</v>
      </c>
      <c r="N93" t="s">
        <v>405</v>
      </c>
    </row>
    <row r="94" spans="1:15" x14ac:dyDescent="0.25">
      <c r="A94" t="s">
        <v>20</v>
      </c>
      <c r="B94" t="s">
        <v>403</v>
      </c>
      <c r="C94" t="s">
        <v>22</v>
      </c>
      <c r="D94" s="1">
        <v>44927</v>
      </c>
      <c r="E94" t="s">
        <v>131</v>
      </c>
      <c r="F94">
        <v>80077692</v>
      </c>
      <c r="G94" t="str">
        <f>CONCATENATE(F94,3)</f>
        <v>800776923</v>
      </c>
      <c r="H94" t="s">
        <v>24</v>
      </c>
      <c r="I94" s="1">
        <v>45748</v>
      </c>
      <c r="J94" s="1">
        <f>DATE(YEAR(I94), MONTH(I94) +1, DAY(I94))</f>
        <v>45778</v>
      </c>
      <c r="K94" t="s">
        <v>28</v>
      </c>
      <c r="L94">
        <v>1</v>
      </c>
      <c r="M94">
        <v>100</v>
      </c>
      <c r="N94" t="s">
        <v>405</v>
      </c>
      <c r="O94" t="s">
        <v>410</v>
      </c>
    </row>
    <row r="95" spans="1:15" x14ac:dyDescent="0.25">
      <c r="A95" t="s">
        <v>20</v>
      </c>
      <c r="B95" t="s">
        <v>403</v>
      </c>
      <c r="C95" t="s">
        <v>22</v>
      </c>
      <c r="D95" s="1">
        <v>44927</v>
      </c>
      <c r="E95" t="s">
        <v>131</v>
      </c>
      <c r="F95">
        <v>80077692</v>
      </c>
      <c r="G95" t="str">
        <f>CONCATENATE(F95,3)</f>
        <v>800776923</v>
      </c>
      <c r="H95" t="s">
        <v>24</v>
      </c>
      <c r="I95" s="1">
        <v>45778</v>
      </c>
      <c r="J95" s="1">
        <f>DATE(YEAR(I95), MONTH(I95) +1, DAY(I95))</f>
        <v>45809</v>
      </c>
      <c r="K95" t="s">
        <v>25</v>
      </c>
      <c r="L95">
        <v>1</v>
      </c>
      <c r="M95">
        <v>100</v>
      </c>
      <c r="N95" t="s">
        <v>405</v>
      </c>
      <c r="O95" t="s">
        <v>410</v>
      </c>
    </row>
    <row r="96" spans="1:15" x14ac:dyDescent="0.25">
      <c r="A96" t="s">
        <v>20</v>
      </c>
      <c r="B96" t="s">
        <v>403</v>
      </c>
      <c r="C96" t="s">
        <v>22</v>
      </c>
      <c r="D96" s="1">
        <v>44927</v>
      </c>
      <c r="E96" t="s">
        <v>249</v>
      </c>
      <c r="F96">
        <v>80078437</v>
      </c>
      <c r="G96" t="str">
        <f>CONCATENATE(F96,3)</f>
        <v>800784373</v>
      </c>
      <c r="H96" t="s">
        <v>24</v>
      </c>
      <c r="I96" s="1">
        <v>45778</v>
      </c>
      <c r="J96" s="1">
        <f>DATE(YEAR(I96), MONTH(I96) +1, DAY(I96))</f>
        <v>45809</v>
      </c>
      <c r="K96" t="s">
        <v>25</v>
      </c>
      <c r="L96">
        <v>1</v>
      </c>
      <c r="M96">
        <v>20</v>
      </c>
      <c r="N96" t="s">
        <v>405</v>
      </c>
    </row>
    <row r="97" spans="1:15" x14ac:dyDescent="0.25">
      <c r="A97" t="s">
        <v>38</v>
      </c>
      <c r="B97">
        <v>16509456</v>
      </c>
      <c r="C97" t="s">
        <v>22</v>
      </c>
      <c r="D97" s="1">
        <v>44927</v>
      </c>
      <c r="E97" t="s">
        <v>144</v>
      </c>
      <c r="F97">
        <v>80079795</v>
      </c>
      <c r="G97" t="str">
        <f>CONCATENATE(F97,3)</f>
        <v>800797953</v>
      </c>
      <c r="H97" t="s">
        <v>24</v>
      </c>
      <c r="I97" s="1">
        <v>45748</v>
      </c>
      <c r="J97" s="1">
        <f>DATE(YEAR(I97), MONTH(I97) +1, DAY(I97))</f>
        <v>45778</v>
      </c>
      <c r="K97" t="s">
        <v>28</v>
      </c>
      <c r="L97">
        <v>1</v>
      </c>
      <c r="M97">
        <v>20</v>
      </c>
      <c r="N97" t="s">
        <v>405</v>
      </c>
    </row>
    <row r="98" spans="1:15" x14ac:dyDescent="0.25">
      <c r="A98" t="s">
        <v>38</v>
      </c>
      <c r="B98">
        <v>16509456</v>
      </c>
      <c r="C98" t="s">
        <v>22</v>
      </c>
      <c r="D98" s="1">
        <v>45200</v>
      </c>
      <c r="E98" t="s">
        <v>128</v>
      </c>
      <c r="F98">
        <v>80079827</v>
      </c>
      <c r="G98" t="str">
        <f>CONCATENATE(F98,3)</f>
        <v>800798273</v>
      </c>
      <c r="H98" t="s">
        <v>24</v>
      </c>
      <c r="I98" s="1">
        <v>45748</v>
      </c>
      <c r="J98" s="1">
        <f>DATE(YEAR(I98), MONTH(I98) +1, DAY(I98))</f>
        <v>45778</v>
      </c>
      <c r="K98" t="s">
        <v>28</v>
      </c>
      <c r="L98">
        <v>1</v>
      </c>
      <c r="M98">
        <v>20</v>
      </c>
      <c r="N98" t="s">
        <v>405</v>
      </c>
    </row>
    <row r="99" spans="1:15" x14ac:dyDescent="0.25">
      <c r="A99" t="s">
        <v>38</v>
      </c>
      <c r="B99">
        <v>16509456</v>
      </c>
      <c r="C99" t="s">
        <v>22</v>
      </c>
      <c r="D99" s="1">
        <v>45292</v>
      </c>
      <c r="E99" t="s">
        <v>180</v>
      </c>
      <c r="F99">
        <v>80079992</v>
      </c>
      <c r="G99" t="str">
        <f>CONCATENATE(F99,3)</f>
        <v>800799923</v>
      </c>
      <c r="H99" t="s">
        <v>24</v>
      </c>
      <c r="I99" s="1">
        <v>45778</v>
      </c>
      <c r="J99" s="1">
        <f>DATE(YEAR(I99), MONTH(I99) +1, DAY(I99))</f>
        <v>45809</v>
      </c>
      <c r="K99" t="s">
        <v>25</v>
      </c>
      <c r="L99">
        <v>1</v>
      </c>
      <c r="M99">
        <v>40</v>
      </c>
      <c r="N99" t="s">
        <v>405</v>
      </c>
      <c r="O99" t="s">
        <v>407</v>
      </c>
    </row>
    <row r="100" spans="1:15" x14ac:dyDescent="0.25">
      <c r="A100" t="s">
        <v>20</v>
      </c>
      <c r="B100" t="s">
        <v>403</v>
      </c>
      <c r="C100" t="s">
        <v>22</v>
      </c>
      <c r="D100" s="1">
        <v>45170</v>
      </c>
      <c r="E100" t="s">
        <v>359</v>
      </c>
      <c r="F100">
        <v>80080593</v>
      </c>
      <c r="G100" t="str">
        <f>CONCATENATE(F100,3)</f>
        <v>800805933</v>
      </c>
      <c r="H100" t="s">
        <v>24</v>
      </c>
      <c r="I100" s="1">
        <v>45778</v>
      </c>
      <c r="J100" s="1">
        <f>DATE(YEAR(I100), MONTH(I100) +1, DAY(I100))</f>
        <v>45809</v>
      </c>
      <c r="K100" t="s">
        <v>25</v>
      </c>
      <c r="L100">
        <v>1</v>
      </c>
      <c r="M100">
        <v>20</v>
      </c>
      <c r="N100" t="s">
        <v>405</v>
      </c>
    </row>
    <row r="101" spans="1:15" x14ac:dyDescent="0.25">
      <c r="A101" t="s">
        <v>32</v>
      </c>
      <c r="B101">
        <v>8971826</v>
      </c>
      <c r="C101" t="s">
        <v>22</v>
      </c>
      <c r="D101" s="1">
        <v>45658</v>
      </c>
      <c r="E101" t="s">
        <v>229</v>
      </c>
      <c r="F101">
        <v>80081342</v>
      </c>
      <c r="G101" t="str">
        <f>CONCATENATE(F101,3)</f>
        <v>800813423</v>
      </c>
      <c r="H101" t="s">
        <v>24</v>
      </c>
      <c r="I101" s="1">
        <v>45778</v>
      </c>
      <c r="J101" s="1">
        <f>DATE(YEAR(I101), MONTH(I101) +1, DAY(I101))</f>
        <v>45809</v>
      </c>
      <c r="K101" t="s">
        <v>25</v>
      </c>
      <c r="L101">
        <v>1</v>
      </c>
      <c r="M101">
        <v>20</v>
      </c>
      <c r="N101" t="s">
        <v>405</v>
      </c>
    </row>
    <row r="102" spans="1:15" x14ac:dyDescent="0.25">
      <c r="A102" t="s">
        <v>20</v>
      </c>
      <c r="B102" t="s">
        <v>403</v>
      </c>
      <c r="C102" t="s">
        <v>22</v>
      </c>
      <c r="D102" s="1">
        <v>42401</v>
      </c>
      <c r="E102" t="s">
        <v>46</v>
      </c>
      <c r="F102">
        <v>80081984</v>
      </c>
      <c r="G102" t="str">
        <f>CONCATENATE(F102,3)</f>
        <v>800819843</v>
      </c>
      <c r="H102" t="s">
        <v>24</v>
      </c>
      <c r="I102" s="1">
        <v>45778</v>
      </c>
      <c r="J102" s="1">
        <f>DATE(YEAR(I102), MONTH(I102) +1, DAY(I102))</f>
        <v>45809</v>
      </c>
      <c r="K102" t="s">
        <v>25</v>
      </c>
      <c r="L102">
        <v>1</v>
      </c>
      <c r="M102">
        <v>20</v>
      </c>
      <c r="N102" t="s">
        <v>405</v>
      </c>
    </row>
    <row r="103" spans="1:15" x14ac:dyDescent="0.25">
      <c r="A103" t="s">
        <v>38</v>
      </c>
      <c r="B103">
        <v>16509456</v>
      </c>
      <c r="C103" t="s">
        <v>22</v>
      </c>
      <c r="D103" s="1">
        <v>44927</v>
      </c>
      <c r="E103" t="s">
        <v>210</v>
      </c>
      <c r="F103">
        <v>80082738</v>
      </c>
      <c r="G103" t="str">
        <f>CONCATENATE(F103,3)</f>
        <v>800827383</v>
      </c>
      <c r="H103" t="s">
        <v>24</v>
      </c>
      <c r="I103" s="1">
        <v>45778</v>
      </c>
      <c r="J103" s="1">
        <f>DATE(YEAR(I103), MONTH(I103) +1, DAY(I103))</f>
        <v>45809</v>
      </c>
      <c r="K103" t="s">
        <v>25</v>
      </c>
      <c r="L103">
        <v>1</v>
      </c>
      <c r="M103">
        <v>40</v>
      </c>
      <c r="N103" t="s">
        <v>405</v>
      </c>
      <c r="O103" t="s">
        <v>407</v>
      </c>
    </row>
    <row r="104" spans="1:15" x14ac:dyDescent="0.25">
      <c r="A104" t="s">
        <v>20</v>
      </c>
      <c r="B104" t="s">
        <v>403</v>
      </c>
      <c r="C104" t="s">
        <v>22</v>
      </c>
      <c r="D104" s="1">
        <v>45413</v>
      </c>
      <c r="E104" t="s">
        <v>23</v>
      </c>
      <c r="F104">
        <v>80083698</v>
      </c>
      <c r="G104" t="str">
        <f>CONCATENATE(F104,3)</f>
        <v>800836983</v>
      </c>
      <c r="H104" t="s">
        <v>24</v>
      </c>
      <c r="I104" s="1">
        <v>45778</v>
      </c>
      <c r="J104" s="1">
        <f>DATE(YEAR(I104), MONTH(I104) +1, DAY(I104))</f>
        <v>45809</v>
      </c>
      <c r="K104" t="s">
        <v>25</v>
      </c>
      <c r="L104">
        <v>1</v>
      </c>
      <c r="M104">
        <v>20</v>
      </c>
      <c r="N104" t="s">
        <v>405</v>
      </c>
    </row>
    <row r="105" spans="1:15" x14ac:dyDescent="0.25">
      <c r="A105" t="s">
        <v>20</v>
      </c>
      <c r="B105" t="s">
        <v>403</v>
      </c>
      <c r="C105" t="s">
        <v>22</v>
      </c>
      <c r="D105" s="1">
        <v>44927</v>
      </c>
      <c r="E105" t="s">
        <v>182</v>
      </c>
      <c r="F105">
        <v>80084653</v>
      </c>
      <c r="G105" t="str">
        <f>CONCATENATE(F105,3)</f>
        <v>800846533</v>
      </c>
      <c r="H105" t="s">
        <v>24</v>
      </c>
      <c r="I105" s="1">
        <v>45748</v>
      </c>
      <c r="J105" s="1">
        <f>DATE(YEAR(I105), MONTH(I105) +1, DAY(I105))</f>
        <v>45778</v>
      </c>
      <c r="K105" t="s">
        <v>28</v>
      </c>
      <c r="L105">
        <v>1</v>
      </c>
      <c r="M105">
        <v>20</v>
      </c>
      <c r="N105" t="s">
        <v>405</v>
      </c>
    </row>
    <row r="106" spans="1:15" x14ac:dyDescent="0.25">
      <c r="A106" t="s">
        <v>20</v>
      </c>
      <c r="B106">
        <v>17425766</v>
      </c>
      <c r="C106" t="s">
        <v>22</v>
      </c>
      <c r="D106" s="1">
        <v>45658</v>
      </c>
      <c r="E106" t="s">
        <v>181</v>
      </c>
      <c r="F106">
        <v>80084832</v>
      </c>
      <c r="G106" t="str">
        <f>CONCATENATE(F106,3)</f>
        <v>800848323</v>
      </c>
      <c r="H106" t="s">
        <v>24</v>
      </c>
      <c r="I106" s="1">
        <v>45748</v>
      </c>
      <c r="J106" s="1">
        <f>DATE(YEAR(I106), MONTH(I106) +1, DAY(I106))</f>
        <v>45778</v>
      </c>
      <c r="K106" t="s">
        <v>28</v>
      </c>
      <c r="L106">
        <v>1</v>
      </c>
      <c r="M106">
        <v>20</v>
      </c>
      <c r="N106" t="s">
        <v>405</v>
      </c>
    </row>
    <row r="107" spans="1:15" x14ac:dyDescent="0.25">
      <c r="A107" t="s">
        <v>20</v>
      </c>
      <c r="B107" t="s">
        <v>403</v>
      </c>
      <c r="C107" t="s">
        <v>22</v>
      </c>
      <c r="D107" s="1">
        <v>44927</v>
      </c>
      <c r="E107" t="s">
        <v>86</v>
      </c>
      <c r="F107">
        <v>80085100</v>
      </c>
      <c r="G107" t="str">
        <f>CONCATENATE(F107,3)</f>
        <v>800851003</v>
      </c>
      <c r="H107" t="s">
        <v>24</v>
      </c>
      <c r="I107" s="1">
        <v>45778</v>
      </c>
      <c r="J107" s="1">
        <f>DATE(YEAR(I107), MONTH(I107) +1, DAY(I107))</f>
        <v>45809</v>
      </c>
      <c r="K107" t="s">
        <v>25</v>
      </c>
      <c r="L107">
        <v>1</v>
      </c>
      <c r="M107">
        <v>20</v>
      </c>
      <c r="N107" t="s">
        <v>405</v>
      </c>
    </row>
    <row r="108" spans="1:15" x14ac:dyDescent="0.25">
      <c r="A108" t="s">
        <v>20</v>
      </c>
      <c r="B108" t="s">
        <v>403</v>
      </c>
      <c r="C108" t="s">
        <v>22</v>
      </c>
      <c r="D108" s="1">
        <v>44927</v>
      </c>
      <c r="E108" t="s">
        <v>400</v>
      </c>
      <c r="F108">
        <v>80085502</v>
      </c>
      <c r="G108" t="str">
        <f>CONCATENATE(F108,3)</f>
        <v>800855023</v>
      </c>
      <c r="H108" t="s">
        <v>24</v>
      </c>
      <c r="I108" s="1">
        <v>45748</v>
      </c>
      <c r="J108" s="1">
        <f>DATE(YEAR(I108), MONTH(I108) +1, DAY(I108))</f>
        <v>45778</v>
      </c>
      <c r="K108" t="s">
        <v>28</v>
      </c>
      <c r="L108">
        <v>1</v>
      </c>
      <c r="M108">
        <v>20</v>
      </c>
      <c r="N108" t="s">
        <v>405</v>
      </c>
    </row>
    <row r="109" spans="1:15" x14ac:dyDescent="0.25">
      <c r="A109" t="s">
        <v>20</v>
      </c>
      <c r="B109" t="s">
        <v>403</v>
      </c>
      <c r="C109" t="s">
        <v>22</v>
      </c>
      <c r="D109" s="1">
        <v>44927</v>
      </c>
      <c r="E109" t="s">
        <v>245</v>
      </c>
      <c r="F109">
        <v>80085881</v>
      </c>
      <c r="G109" t="str">
        <f>CONCATENATE(F109,3)</f>
        <v>800858813</v>
      </c>
      <c r="H109" t="s">
        <v>24</v>
      </c>
      <c r="I109" s="1">
        <v>45778</v>
      </c>
      <c r="J109" s="1">
        <f>DATE(YEAR(I109), MONTH(I109) +1, DAY(I109))</f>
        <v>45809</v>
      </c>
      <c r="K109" t="s">
        <v>25</v>
      </c>
      <c r="L109">
        <v>1</v>
      </c>
      <c r="M109">
        <v>20</v>
      </c>
      <c r="N109" t="s">
        <v>405</v>
      </c>
    </row>
    <row r="110" spans="1:15" x14ac:dyDescent="0.25">
      <c r="A110" t="s">
        <v>20</v>
      </c>
      <c r="B110" t="s">
        <v>403</v>
      </c>
      <c r="C110" t="s">
        <v>22</v>
      </c>
      <c r="D110" s="1">
        <v>45323</v>
      </c>
      <c r="E110" t="s">
        <v>27</v>
      </c>
      <c r="F110">
        <v>80086041</v>
      </c>
      <c r="G110" t="str">
        <f>CONCATENATE(F110,3)</f>
        <v>800860413</v>
      </c>
      <c r="H110" t="s">
        <v>24</v>
      </c>
      <c r="I110" s="1">
        <v>45748</v>
      </c>
      <c r="J110" s="1">
        <f>DATE(YEAR(I110), MONTH(I110) +1, DAY(I110))</f>
        <v>45778</v>
      </c>
      <c r="K110" t="s">
        <v>28</v>
      </c>
      <c r="L110">
        <v>1</v>
      </c>
      <c r="M110">
        <v>20</v>
      </c>
      <c r="N110" t="s">
        <v>405</v>
      </c>
    </row>
    <row r="111" spans="1:15" x14ac:dyDescent="0.25">
      <c r="A111" t="s">
        <v>20</v>
      </c>
      <c r="B111" t="s">
        <v>403</v>
      </c>
      <c r="C111" t="s">
        <v>22</v>
      </c>
      <c r="D111" s="1">
        <v>45323</v>
      </c>
      <c r="E111" t="s">
        <v>27</v>
      </c>
      <c r="F111">
        <v>80086041</v>
      </c>
      <c r="G111" t="str">
        <f>CONCATENATE(F111,3)</f>
        <v>800860413</v>
      </c>
      <c r="H111" t="s">
        <v>24</v>
      </c>
      <c r="I111" s="1">
        <v>45778</v>
      </c>
      <c r="J111" s="1">
        <f>DATE(YEAR(I111), MONTH(I111) +1, DAY(I111))</f>
        <v>45809</v>
      </c>
      <c r="K111" t="s">
        <v>25</v>
      </c>
      <c r="L111">
        <v>1</v>
      </c>
      <c r="M111">
        <v>20</v>
      </c>
      <c r="N111" t="s">
        <v>405</v>
      </c>
    </row>
    <row r="112" spans="1:15" x14ac:dyDescent="0.25">
      <c r="A112" t="s">
        <v>29</v>
      </c>
      <c r="B112">
        <v>18781057</v>
      </c>
      <c r="C112" t="s">
        <v>22</v>
      </c>
      <c r="D112" s="1">
        <v>45292</v>
      </c>
      <c r="E112" t="s">
        <v>83</v>
      </c>
      <c r="F112">
        <v>80088791</v>
      </c>
      <c r="G112" t="str">
        <f>CONCATENATE(F112,3)</f>
        <v>800887913</v>
      </c>
      <c r="H112" t="s">
        <v>24</v>
      </c>
      <c r="I112" s="1">
        <v>45778</v>
      </c>
      <c r="J112" s="1">
        <f>DATE(YEAR(I112), MONTH(I112) +1, DAY(I112))</f>
        <v>45809</v>
      </c>
      <c r="K112" t="s">
        <v>25</v>
      </c>
      <c r="L112">
        <v>1</v>
      </c>
      <c r="M112">
        <v>20</v>
      </c>
      <c r="N112" t="s">
        <v>405</v>
      </c>
    </row>
    <row r="113" spans="1:15" x14ac:dyDescent="0.25">
      <c r="A113" t="s">
        <v>20</v>
      </c>
      <c r="B113" t="s">
        <v>403</v>
      </c>
      <c r="C113" t="s">
        <v>22</v>
      </c>
      <c r="D113" s="1">
        <v>44927</v>
      </c>
      <c r="E113" t="s">
        <v>48</v>
      </c>
      <c r="F113">
        <v>80089589</v>
      </c>
      <c r="G113" t="str">
        <f>CONCATENATE(F113,3)</f>
        <v>800895893</v>
      </c>
      <c r="H113" t="s">
        <v>24</v>
      </c>
      <c r="I113" s="1">
        <v>45778</v>
      </c>
      <c r="J113" s="1">
        <f>DATE(YEAR(I113), MONTH(I113) +1, DAY(I113))</f>
        <v>45809</v>
      </c>
      <c r="K113" t="s">
        <v>25</v>
      </c>
      <c r="L113">
        <v>1</v>
      </c>
      <c r="M113">
        <v>40</v>
      </c>
      <c r="N113" t="s">
        <v>405</v>
      </c>
      <c r="O113" t="s">
        <v>407</v>
      </c>
    </row>
    <row r="114" spans="1:15" x14ac:dyDescent="0.25">
      <c r="A114" t="s">
        <v>38</v>
      </c>
      <c r="B114">
        <v>16509456</v>
      </c>
      <c r="C114" t="s">
        <v>22</v>
      </c>
      <c r="D114" s="1">
        <v>44927</v>
      </c>
      <c r="E114" t="s">
        <v>162</v>
      </c>
      <c r="F114">
        <v>80089709</v>
      </c>
      <c r="G114" t="str">
        <f>CONCATENATE(F114,3)</f>
        <v>800897093</v>
      </c>
      <c r="H114" t="s">
        <v>24</v>
      </c>
      <c r="I114" s="1">
        <v>45778</v>
      </c>
      <c r="J114" s="1">
        <f>DATE(YEAR(I114), MONTH(I114) +1, DAY(I114))</f>
        <v>45809</v>
      </c>
      <c r="K114" t="s">
        <v>25</v>
      </c>
      <c r="L114">
        <v>1</v>
      </c>
      <c r="M114">
        <v>20</v>
      </c>
      <c r="N114" t="s">
        <v>405</v>
      </c>
    </row>
    <row r="115" spans="1:15" x14ac:dyDescent="0.25">
      <c r="A115" t="s">
        <v>20</v>
      </c>
      <c r="B115" t="s">
        <v>403</v>
      </c>
      <c r="C115" t="s">
        <v>22</v>
      </c>
      <c r="D115" s="1">
        <v>44927</v>
      </c>
      <c r="E115" t="s">
        <v>342</v>
      </c>
      <c r="F115">
        <v>80090218</v>
      </c>
      <c r="G115" t="str">
        <f>CONCATENATE(F115,3)</f>
        <v>800902183</v>
      </c>
      <c r="H115" t="s">
        <v>24</v>
      </c>
      <c r="I115" s="1">
        <v>45748</v>
      </c>
      <c r="J115" s="1">
        <f>DATE(YEAR(I115), MONTH(I115) +1, DAY(I115))</f>
        <v>45778</v>
      </c>
      <c r="K115" t="s">
        <v>28</v>
      </c>
      <c r="L115">
        <v>1</v>
      </c>
      <c r="M115">
        <v>80</v>
      </c>
      <c r="N115" t="s">
        <v>405</v>
      </c>
      <c r="O115" t="s">
        <v>409</v>
      </c>
    </row>
    <row r="116" spans="1:15" x14ac:dyDescent="0.25">
      <c r="A116" t="s">
        <v>20</v>
      </c>
      <c r="B116" t="s">
        <v>403</v>
      </c>
      <c r="C116" t="s">
        <v>22</v>
      </c>
      <c r="D116" s="1">
        <v>44927</v>
      </c>
      <c r="E116" t="s">
        <v>121</v>
      </c>
      <c r="F116">
        <v>80090552</v>
      </c>
      <c r="G116" t="str">
        <f>CONCATENATE(F116,3)</f>
        <v>800905523</v>
      </c>
      <c r="H116" t="s">
        <v>24</v>
      </c>
      <c r="I116" s="1">
        <v>45778</v>
      </c>
      <c r="J116" s="1">
        <f>DATE(YEAR(I116), MONTH(I116) +1, DAY(I116))</f>
        <v>45809</v>
      </c>
      <c r="K116" t="s">
        <v>25</v>
      </c>
      <c r="L116">
        <v>1</v>
      </c>
      <c r="M116">
        <v>20</v>
      </c>
      <c r="N116" t="s">
        <v>405</v>
      </c>
    </row>
    <row r="117" spans="1:15" x14ac:dyDescent="0.25">
      <c r="A117" t="s">
        <v>20</v>
      </c>
      <c r="B117" t="s">
        <v>403</v>
      </c>
      <c r="C117" t="s">
        <v>22</v>
      </c>
      <c r="D117" s="1">
        <v>43101</v>
      </c>
      <c r="E117" t="s">
        <v>189</v>
      </c>
      <c r="F117">
        <v>80092693</v>
      </c>
      <c r="G117" t="str">
        <f>CONCATENATE(F117,3)</f>
        <v>800926933</v>
      </c>
      <c r="H117" t="s">
        <v>24</v>
      </c>
      <c r="I117" s="1">
        <v>45748</v>
      </c>
      <c r="J117" s="1">
        <f>DATE(YEAR(I117), MONTH(I117) +1, DAY(I117))</f>
        <v>45778</v>
      </c>
      <c r="K117" t="s">
        <v>28</v>
      </c>
      <c r="L117">
        <v>1</v>
      </c>
      <c r="M117">
        <v>20</v>
      </c>
      <c r="N117" t="s">
        <v>405</v>
      </c>
    </row>
    <row r="118" spans="1:15" x14ac:dyDescent="0.25">
      <c r="A118" t="s">
        <v>20</v>
      </c>
      <c r="B118" t="s">
        <v>403</v>
      </c>
      <c r="C118" t="s">
        <v>22</v>
      </c>
      <c r="D118" s="1">
        <v>45292</v>
      </c>
      <c r="E118" t="s">
        <v>387</v>
      </c>
      <c r="F118">
        <v>80093261</v>
      </c>
      <c r="G118" t="str">
        <f>CONCATENATE(F118,3)</f>
        <v>800932613</v>
      </c>
      <c r="H118" t="s">
        <v>24</v>
      </c>
      <c r="I118" s="1">
        <v>45778</v>
      </c>
      <c r="J118" s="1">
        <f>DATE(YEAR(I118), MONTH(I118) +1, DAY(I118))</f>
        <v>45809</v>
      </c>
      <c r="K118" t="s">
        <v>25</v>
      </c>
      <c r="L118">
        <v>1</v>
      </c>
      <c r="M118">
        <v>20</v>
      </c>
      <c r="N118" t="s">
        <v>405</v>
      </c>
    </row>
    <row r="119" spans="1:15" x14ac:dyDescent="0.25">
      <c r="A119" t="s">
        <v>38</v>
      </c>
      <c r="B119">
        <v>16509456</v>
      </c>
      <c r="C119" t="s">
        <v>22</v>
      </c>
      <c r="D119" s="1">
        <v>44927</v>
      </c>
      <c r="E119" t="s">
        <v>179</v>
      </c>
      <c r="F119">
        <v>80093475</v>
      </c>
      <c r="G119" t="str">
        <f>CONCATENATE(F119,3)</f>
        <v>800934753</v>
      </c>
      <c r="H119" t="s">
        <v>24</v>
      </c>
      <c r="I119" s="1">
        <v>45778</v>
      </c>
      <c r="J119" s="1">
        <f>DATE(YEAR(I119), MONTH(I119) +1, DAY(I119))</f>
        <v>45809</v>
      </c>
      <c r="K119" t="s">
        <v>25</v>
      </c>
      <c r="L119">
        <v>1</v>
      </c>
      <c r="M119">
        <v>40</v>
      </c>
      <c r="N119" t="s">
        <v>405</v>
      </c>
      <c r="O119" t="s">
        <v>407</v>
      </c>
    </row>
    <row r="120" spans="1:15" x14ac:dyDescent="0.25">
      <c r="A120" t="s">
        <v>20</v>
      </c>
      <c r="B120" t="s">
        <v>403</v>
      </c>
      <c r="C120" t="s">
        <v>22</v>
      </c>
      <c r="D120" s="1">
        <v>45292</v>
      </c>
      <c r="E120" t="s">
        <v>346</v>
      </c>
      <c r="F120">
        <v>80093732</v>
      </c>
      <c r="G120" t="str">
        <f>CONCATENATE(F120,3)</f>
        <v>800937323</v>
      </c>
      <c r="H120" t="s">
        <v>24</v>
      </c>
      <c r="I120" s="1">
        <v>45748</v>
      </c>
      <c r="J120" s="1">
        <f>DATE(YEAR(I120), MONTH(I120) +1, DAY(I120))</f>
        <v>45778</v>
      </c>
      <c r="K120" t="s">
        <v>28</v>
      </c>
      <c r="L120">
        <v>1</v>
      </c>
      <c r="M120">
        <v>20</v>
      </c>
      <c r="N120" t="s">
        <v>405</v>
      </c>
    </row>
    <row r="121" spans="1:15" x14ac:dyDescent="0.25">
      <c r="A121" t="s">
        <v>20</v>
      </c>
      <c r="B121" t="s">
        <v>403</v>
      </c>
      <c r="C121" t="s">
        <v>22</v>
      </c>
      <c r="D121" s="1">
        <v>45200</v>
      </c>
      <c r="E121" t="s">
        <v>78</v>
      </c>
      <c r="F121">
        <v>80094898</v>
      </c>
      <c r="G121" t="str">
        <f>CONCATENATE(F121,3)</f>
        <v>800948983</v>
      </c>
      <c r="H121" t="s">
        <v>24</v>
      </c>
      <c r="I121" s="1">
        <v>45778</v>
      </c>
      <c r="J121" s="1">
        <f>DATE(YEAR(I121), MONTH(I121) +1, DAY(I121))</f>
        <v>45809</v>
      </c>
      <c r="K121" t="s">
        <v>25</v>
      </c>
      <c r="L121">
        <v>1</v>
      </c>
      <c r="M121">
        <v>40</v>
      </c>
      <c r="N121" t="s">
        <v>405</v>
      </c>
      <c r="O121" t="s">
        <v>407</v>
      </c>
    </row>
    <row r="122" spans="1:15" x14ac:dyDescent="0.25">
      <c r="A122" t="s">
        <v>38</v>
      </c>
      <c r="B122">
        <v>16509456</v>
      </c>
      <c r="C122" t="s">
        <v>22</v>
      </c>
      <c r="D122" s="1">
        <v>44927</v>
      </c>
      <c r="E122" t="s">
        <v>393</v>
      </c>
      <c r="F122">
        <v>80095119</v>
      </c>
      <c r="G122" t="str">
        <f>CONCATENATE(F122,3)</f>
        <v>800951193</v>
      </c>
      <c r="H122" t="s">
        <v>24</v>
      </c>
      <c r="I122" s="1">
        <v>45778</v>
      </c>
      <c r="J122" s="1">
        <f>DATE(YEAR(I122), MONTH(I122) +1, DAY(I122))</f>
        <v>45809</v>
      </c>
      <c r="K122" t="s">
        <v>25</v>
      </c>
      <c r="L122">
        <v>1</v>
      </c>
      <c r="M122">
        <v>20</v>
      </c>
      <c r="N122" t="s">
        <v>405</v>
      </c>
    </row>
    <row r="123" spans="1:15" x14ac:dyDescent="0.25">
      <c r="A123" t="s">
        <v>38</v>
      </c>
      <c r="B123">
        <v>16509456</v>
      </c>
      <c r="C123" t="s">
        <v>22</v>
      </c>
      <c r="D123" s="1">
        <v>44927</v>
      </c>
      <c r="E123" t="s">
        <v>393</v>
      </c>
      <c r="F123">
        <v>80095119</v>
      </c>
      <c r="G123" t="str">
        <f>CONCATENATE(F123,3)</f>
        <v>800951193</v>
      </c>
      <c r="H123" t="s">
        <v>24</v>
      </c>
      <c r="I123" s="1">
        <v>45748</v>
      </c>
      <c r="J123" s="1">
        <f>DATE(YEAR(I123), MONTH(I123) +1, DAY(I123))</f>
        <v>45778</v>
      </c>
      <c r="K123" t="s">
        <v>28</v>
      </c>
      <c r="L123">
        <v>1</v>
      </c>
      <c r="M123">
        <v>20</v>
      </c>
      <c r="N123" t="s">
        <v>405</v>
      </c>
    </row>
    <row r="124" spans="1:15" x14ac:dyDescent="0.25">
      <c r="A124" t="s">
        <v>20</v>
      </c>
      <c r="B124" t="s">
        <v>403</v>
      </c>
      <c r="C124" t="s">
        <v>22</v>
      </c>
      <c r="D124" s="1">
        <v>44927</v>
      </c>
      <c r="E124" t="s">
        <v>371</v>
      </c>
      <c r="F124">
        <v>80095686</v>
      </c>
      <c r="G124" t="str">
        <f>CONCATENATE(F124,3)</f>
        <v>800956863</v>
      </c>
      <c r="H124" t="s">
        <v>24</v>
      </c>
      <c r="I124" s="1">
        <v>45748</v>
      </c>
      <c r="J124" s="1">
        <f>DATE(YEAR(I124), MONTH(I124) +1, DAY(I124))</f>
        <v>45778</v>
      </c>
      <c r="K124" t="s">
        <v>28</v>
      </c>
      <c r="L124">
        <v>1</v>
      </c>
      <c r="M124">
        <v>20</v>
      </c>
      <c r="N124" t="s">
        <v>405</v>
      </c>
    </row>
    <row r="125" spans="1:15" x14ac:dyDescent="0.25">
      <c r="A125" t="s">
        <v>20</v>
      </c>
      <c r="B125" t="s">
        <v>403</v>
      </c>
      <c r="C125" t="s">
        <v>22</v>
      </c>
      <c r="D125" s="1">
        <v>44927</v>
      </c>
      <c r="E125" t="s">
        <v>237</v>
      </c>
      <c r="F125">
        <v>80095832</v>
      </c>
      <c r="G125" t="str">
        <f>CONCATENATE(F125,3)</f>
        <v>800958323</v>
      </c>
      <c r="H125" t="s">
        <v>24</v>
      </c>
      <c r="I125" s="1">
        <v>45748</v>
      </c>
      <c r="J125" s="1">
        <f>DATE(YEAR(I125), MONTH(I125) +1, DAY(I125))</f>
        <v>45778</v>
      </c>
      <c r="K125" t="s">
        <v>28</v>
      </c>
      <c r="L125">
        <v>1</v>
      </c>
      <c r="M125">
        <v>20</v>
      </c>
      <c r="N125" t="s">
        <v>405</v>
      </c>
    </row>
    <row r="126" spans="1:15" x14ac:dyDescent="0.25">
      <c r="A126" t="s">
        <v>29</v>
      </c>
      <c r="B126">
        <v>18781057</v>
      </c>
      <c r="C126" t="s">
        <v>22</v>
      </c>
      <c r="D126" s="1">
        <v>45292</v>
      </c>
      <c r="E126" t="s">
        <v>272</v>
      </c>
      <c r="F126">
        <v>80096391</v>
      </c>
      <c r="G126" t="str">
        <f>CONCATENATE(F126,3)</f>
        <v>800963913</v>
      </c>
      <c r="H126" t="s">
        <v>24</v>
      </c>
      <c r="I126" s="1">
        <v>45717</v>
      </c>
      <c r="J126" s="1">
        <f>DATE(YEAR(I126), MONTH(I126) +1, DAY(I126))</f>
        <v>45748</v>
      </c>
      <c r="K126" t="s">
        <v>60</v>
      </c>
      <c r="L126">
        <v>1</v>
      </c>
      <c r="M126">
        <v>40</v>
      </c>
      <c r="N126" t="s">
        <v>405</v>
      </c>
      <c r="O126" t="s">
        <v>407</v>
      </c>
    </row>
    <row r="127" spans="1:15" x14ac:dyDescent="0.25">
      <c r="A127" t="s">
        <v>29</v>
      </c>
      <c r="B127">
        <v>18781057</v>
      </c>
      <c r="C127" t="s">
        <v>22</v>
      </c>
      <c r="D127" s="1">
        <v>45292</v>
      </c>
      <c r="E127" t="s">
        <v>272</v>
      </c>
      <c r="F127">
        <v>80096391</v>
      </c>
      <c r="G127" t="str">
        <f>CONCATENATE(F127,3)</f>
        <v>800963913</v>
      </c>
      <c r="H127" t="s">
        <v>24</v>
      </c>
      <c r="I127" s="1">
        <v>45748</v>
      </c>
      <c r="J127" s="1">
        <f>DATE(YEAR(I127), MONTH(I127) +1, DAY(I127))</f>
        <v>45778</v>
      </c>
      <c r="K127" t="s">
        <v>28</v>
      </c>
      <c r="L127">
        <v>1</v>
      </c>
      <c r="M127">
        <v>40</v>
      </c>
      <c r="N127" t="s">
        <v>405</v>
      </c>
      <c r="O127" t="s">
        <v>407</v>
      </c>
    </row>
    <row r="128" spans="1:15" x14ac:dyDescent="0.25">
      <c r="A128" t="s">
        <v>20</v>
      </c>
      <c r="B128" t="s">
        <v>403</v>
      </c>
      <c r="C128" t="s">
        <v>22</v>
      </c>
      <c r="D128" s="1">
        <v>44927</v>
      </c>
      <c r="E128" t="s">
        <v>170</v>
      </c>
      <c r="F128">
        <v>80096856</v>
      </c>
      <c r="G128" t="str">
        <f>CONCATENATE(F128,3)</f>
        <v>800968563</v>
      </c>
      <c r="H128" t="s">
        <v>24</v>
      </c>
      <c r="I128" s="1">
        <v>45748</v>
      </c>
      <c r="J128" s="1">
        <f>DATE(YEAR(I128), MONTH(I128) +1, DAY(I128))</f>
        <v>45778</v>
      </c>
      <c r="K128" t="s">
        <v>28</v>
      </c>
      <c r="L128">
        <v>1</v>
      </c>
      <c r="M128">
        <v>20</v>
      </c>
      <c r="N128" t="s">
        <v>405</v>
      </c>
    </row>
    <row r="129" spans="1:15" x14ac:dyDescent="0.25">
      <c r="A129" t="s">
        <v>20</v>
      </c>
      <c r="B129" t="s">
        <v>403</v>
      </c>
      <c r="C129" t="s">
        <v>22</v>
      </c>
      <c r="D129" s="1">
        <v>44927</v>
      </c>
      <c r="E129" t="s">
        <v>396</v>
      </c>
      <c r="F129">
        <v>80097140</v>
      </c>
      <c r="G129" t="str">
        <f>CONCATENATE(F129,3)</f>
        <v>800971403</v>
      </c>
      <c r="H129" t="s">
        <v>24</v>
      </c>
      <c r="I129" s="1">
        <v>45778</v>
      </c>
      <c r="J129" s="1">
        <f>DATE(YEAR(I129), MONTH(I129) +1, DAY(I129))</f>
        <v>45809</v>
      </c>
      <c r="K129" t="s">
        <v>25</v>
      </c>
      <c r="L129">
        <v>1</v>
      </c>
      <c r="M129">
        <v>20</v>
      </c>
      <c r="N129" t="s">
        <v>405</v>
      </c>
    </row>
    <row r="130" spans="1:15" x14ac:dyDescent="0.25">
      <c r="A130" t="s">
        <v>38</v>
      </c>
      <c r="B130">
        <v>16509456</v>
      </c>
      <c r="C130" t="s">
        <v>22</v>
      </c>
      <c r="D130" s="1">
        <v>45139</v>
      </c>
      <c r="E130" t="s">
        <v>295</v>
      </c>
      <c r="F130">
        <v>80097918</v>
      </c>
      <c r="G130" t="str">
        <f>CONCATENATE(F130,3)</f>
        <v>800979183</v>
      </c>
      <c r="H130" t="s">
        <v>24</v>
      </c>
      <c r="I130" s="1">
        <v>45748</v>
      </c>
      <c r="J130" s="1">
        <f>DATE(YEAR(I130), MONTH(I130) +1, DAY(I130))</f>
        <v>45778</v>
      </c>
      <c r="K130" t="s">
        <v>28</v>
      </c>
      <c r="L130">
        <v>1</v>
      </c>
      <c r="M130">
        <v>20</v>
      </c>
      <c r="N130" t="s">
        <v>405</v>
      </c>
    </row>
    <row r="131" spans="1:15" x14ac:dyDescent="0.25">
      <c r="A131" t="s">
        <v>38</v>
      </c>
      <c r="B131">
        <v>16509456</v>
      </c>
      <c r="C131" t="s">
        <v>22</v>
      </c>
      <c r="D131" s="1">
        <v>45658</v>
      </c>
      <c r="E131" t="s">
        <v>101</v>
      </c>
      <c r="F131">
        <v>80097948</v>
      </c>
      <c r="G131" t="str">
        <f>CONCATENATE(F131,3)</f>
        <v>800979483</v>
      </c>
      <c r="H131" t="s">
        <v>24</v>
      </c>
      <c r="I131" s="1">
        <v>45658</v>
      </c>
      <c r="J131" s="1">
        <f>DATE(YEAR(I131), MONTH(I131) +1, DAY(I131))</f>
        <v>45689</v>
      </c>
      <c r="K131" t="s">
        <v>76</v>
      </c>
      <c r="L131">
        <v>-1</v>
      </c>
      <c r="M131">
        <v>-20</v>
      </c>
      <c r="N131" t="s">
        <v>405</v>
      </c>
    </row>
    <row r="132" spans="1:15" x14ac:dyDescent="0.25">
      <c r="A132" t="s">
        <v>38</v>
      </c>
      <c r="B132">
        <v>16509456</v>
      </c>
      <c r="C132" t="s">
        <v>22</v>
      </c>
      <c r="D132" s="1">
        <v>44927</v>
      </c>
      <c r="E132" t="s">
        <v>227</v>
      </c>
      <c r="F132">
        <v>80099468</v>
      </c>
      <c r="G132" t="str">
        <f>CONCATENATE(F132,3)</f>
        <v>800994683</v>
      </c>
      <c r="H132" t="s">
        <v>24</v>
      </c>
      <c r="I132" s="1">
        <v>45778</v>
      </c>
      <c r="J132" s="1">
        <f>DATE(YEAR(I132), MONTH(I132) +1, DAY(I132))</f>
        <v>45809</v>
      </c>
      <c r="K132" t="s">
        <v>25</v>
      </c>
      <c r="L132">
        <v>1</v>
      </c>
      <c r="M132">
        <v>20</v>
      </c>
      <c r="N132" t="s">
        <v>405</v>
      </c>
    </row>
    <row r="133" spans="1:15" x14ac:dyDescent="0.25">
      <c r="A133" t="s">
        <v>38</v>
      </c>
      <c r="B133">
        <v>16509456</v>
      </c>
      <c r="C133" t="s">
        <v>22</v>
      </c>
      <c r="D133" s="1">
        <v>44927</v>
      </c>
      <c r="E133" t="s">
        <v>211</v>
      </c>
      <c r="F133">
        <v>80103094</v>
      </c>
      <c r="G133" t="str">
        <f>CONCATENATE(F133,3)</f>
        <v>801030943</v>
      </c>
      <c r="H133" t="s">
        <v>24</v>
      </c>
      <c r="I133" s="1">
        <v>45748</v>
      </c>
      <c r="J133" s="1">
        <f>DATE(YEAR(I133), MONTH(I133) +1, DAY(I133))</f>
        <v>45778</v>
      </c>
      <c r="K133" t="s">
        <v>28</v>
      </c>
      <c r="L133">
        <v>1</v>
      </c>
      <c r="M133">
        <v>20</v>
      </c>
      <c r="N133" t="s">
        <v>405</v>
      </c>
    </row>
    <row r="134" spans="1:15" x14ac:dyDescent="0.25">
      <c r="A134" t="s">
        <v>38</v>
      </c>
      <c r="B134">
        <v>16509456</v>
      </c>
      <c r="C134" t="s">
        <v>22</v>
      </c>
      <c r="D134" s="1">
        <v>44927</v>
      </c>
      <c r="E134" t="s">
        <v>260</v>
      </c>
      <c r="F134">
        <v>80105432</v>
      </c>
      <c r="G134" t="str">
        <f>CONCATENATE(F134,3)</f>
        <v>801054323</v>
      </c>
      <c r="H134" t="s">
        <v>24</v>
      </c>
      <c r="I134" s="1">
        <v>45748</v>
      </c>
      <c r="J134" s="1">
        <f>DATE(YEAR(I134), MONTH(I134) +1, DAY(I134))</f>
        <v>45778</v>
      </c>
      <c r="K134" t="s">
        <v>28</v>
      </c>
      <c r="L134">
        <v>1</v>
      </c>
      <c r="M134">
        <v>20</v>
      </c>
      <c r="N134" t="s">
        <v>405</v>
      </c>
    </row>
    <row r="135" spans="1:15" x14ac:dyDescent="0.25">
      <c r="A135" t="s">
        <v>20</v>
      </c>
      <c r="B135" t="s">
        <v>403</v>
      </c>
      <c r="C135" t="s">
        <v>22</v>
      </c>
      <c r="D135" s="1">
        <v>45078</v>
      </c>
      <c r="E135" t="s">
        <v>238</v>
      </c>
      <c r="F135">
        <v>80105730</v>
      </c>
      <c r="G135" t="str">
        <f>CONCATENATE(F135,3)</f>
        <v>801057303</v>
      </c>
      <c r="H135" t="s">
        <v>24</v>
      </c>
      <c r="I135" s="1">
        <v>45778</v>
      </c>
      <c r="J135" s="1">
        <f>DATE(YEAR(I135), MONTH(I135) +1, DAY(I135))</f>
        <v>45809</v>
      </c>
      <c r="K135" t="s">
        <v>25</v>
      </c>
      <c r="L135">
        <v>1</v>
      </c>
      <c r="M135">
        <v>20</v>
      </c>
      <c r="N135" t="s">
        <v>405</v>
      </c>
    </row>
    <row r="136" spans="1:15" x14ac:dyDescent="0.25">
      <c r="A136" t="s">
        <v>38</v>
      </c>
      <c r="B136">
        <v>16509456</v>
      </c>
      <c r="C136" t="s">
        <v>22</v>
      </c>
      <c r="D136" s="1">
        <v>44927</v>
      </c>
      <c r="E136" t="s">
        <v>123</v>
      </c>
      <c r="F136">
        <v>80106204</v>
      </c>
      <c r="G136" t="str">
        <f>CONCATENATE(F136,3)</f>
        <v>801062043</v>
      </c>
      <c r="H136" t="s">
        <v>24</v>
      </c>
      <c r="I136" s="1">
        <v>45748</v>
      </c>
      <c r="J136" s="1">
        <f>DATE(YEAR(I136), MONTH(I136) +1, DAY(I136))</f>
        <v>45778</v>
      </c>
      <c r="K136" t="s">
        <v>28</v>
      </c>
      <c r="L136">
        <v>1</v>
      </c>
      <c r="M136">
        <v>40</v>
      </c>
      <c r="N136" t="s">
        <v>405</v>
      </c>
      <c r="O136" t="s">
        <v>407</v>
      </c>
    </row>
    <row r="137" spans="1:15" x14ac:dyDescent="0.25">
      <c r="A137" t="s">
        <v>38</v>
      </c>
      <c r="B137">
        <v>16509456</v>
      </c>
      <c r="C137" t="s">
        <v>22</v>
      </c>
      <c r="D137" s="1">
        <v>44927</v>
      </c>
      <c r="E137" t="s">
        <v>225</v>
      </c>
      <c r="F137">
        <v>80106792</v>
      </c>
      <c r="G137" t="str">
        <f>CONCATENATE(F137,3)</f>
        <v>801067923</v>
      </c>
      <c r="H137" t="s">
        <v>24</v>
      </c>
      <c r="I137" s="1">
        <v>45778</v>
      </c>
      <c r="J137" s="1">
        <f>DATE(YEAR(I137), MONTH(I137) +1, DAY(I137))</f>
        <v>45809</v>
      </c>
      <c r="K137" t="s">
        <v>25</v>
      </c>
      <c r="L137">
        <v>1</v>
      </c>
      <c r="M137">
        <v>20</v>
      </c>
      <c r="N137" t="s">
        <v>405</v>
      </c>
    </row>
    <row r="138" spans="1:15" x14ac:dyDescent="0.25">
      <c r="A138" t="s">
        <v>20</v>
      </c>
      <c r="B138" t="s">
        <v>403</v>
      </c>
      <c r="C138" t="s">
        <v>22</v>
      </c>
      <c r="D138" s="1">
        <v>44927</v>
      </c>
      <c r="E138" t="s">
        <v>191</v>
      </c>
      <c r="F138">
        <v>80107252</v>
      </c>
      <c r="G138" t="str">
        <f>CONCATENATE(F138,3)</f>
        <v>801072523</v>
      </c>
      <c r="H138" t="s">
        <v>24</v>
      </c>
      <c r="I138" s="1">
        <v>45748</v>
      </c>
      <c r="J138" s="1">
        <f>DATE(YEAR(I138), MONTH(I138) +1, DAY(I138))</f>
        <v>45778</v>
      </c>
      <c r="K138" t="s">
        <v>28</v>
      </c>
      <c r="L138">
        <v>1</v>
      </c>
      <c r="M138">
        <v>60</v>
      </c>
      <c r="N138" t="s">
        <v>405</v>
      </c>
      <c r="O138" t="s">
        <v>408</v>
      </c>
    </row>
    <row r="139" spans="1:15" x14ac:dyDescent="0.25">
      <c r="A139" t="s">
        <v>38</v>
      </c>
      <c r="B139">
        <v>16509456</v>
      </c>
      <c r="C139" t="s">
        <v>22</v>
      </c>
      <c r="D139" s="1">
        <v>44927</v>
      </c>
      <c r="E139" t="s">
        <v>146</v>
      </c>
      <c r="F139">
        <v>80107268</v>
      </c>
      <c r="G139" t="str">
        <f>CONCATENATE(F139,3)</f>
        <v>801072683</v>
      </c>
      <c r="H139" t="s">
        <v>24</v>
      </c>
      <c r="I139" s="1">
        <v>45778</v>
      </c>
      <c r="J139" s="1">
        <f>DATE(YEAR(I139), MONTH(I139) +1, DAY(I139))</f>
        <v>45809</v>
      </c>
      <c r="K139" t="s">
        <v>25</v>
      </c>
      <c r="L139">
        <v>1</v>
      </c>
      <c r="M139">
        <v>20</v>
      </c>
      <c r="N139" t="s">
        <v>405</v>
      </c>
    </row>
    <row r="140" spans="1:15" x14ac:dyDescent="0.25">
      <c r="A140" t="s">
        <v>20</v>
      </c>
      <c r="B140" t="s">
        <v>403</v>
      </c>
      <c r="C140" t="s">
        <v>22</v>
      </c>
      <c r="D140" s="1">
        <v>44927</v>
      </c>
      <c r="E140" t="s">
        <v>130</v>
      </c>
      <c r="F140">
        <v>80107359</v>
      </c>
      <c r="G140" t="str">
        <f>CONCATENATE(F140,3)</f>
        <v>801073593</v>
      </c>
      <c r="H140" t="s">
        <v>24</v>
      </c>
      <c r="I140" s="1">
        <v>45748</v>
      </c>
      <c r="J140" s="1">
        <f>DATE(YEAR(I140), MONTH(I140) +1, DAY(I140))</f>
        <v>45778</v>
      </c>
      <c r="K140" t="s">
        <v>28</v>
      </c>
      <c r="L140">
        <v>1</v>
      </c>
      <c r="M140">
        <v>20</v>
      </c>
      <c r="N140" t="s">
        <v>405</v>
      </c>
    </row>
    <row r="141" spans="1:15" x14ac:dyDescent="0.25">
      <c r="A141" t="s">
        <v>20</v>
      </c>
      <c r="B141" t="s">
        <v>403</v>
      </c>
      <c r="C141" t="s">
        <v>22</v>
      </c>
      <c r="D141" s="1">
        <v>44927</v>
      </c>
      <c r="E141" t="s">
        <v>94</v>
      </c>
      <c r="F141">
        <v>80107585</v>
      </c>
      <c r="G141" t="str">
        <f>CONCATENATE(F141,3)</f>
        <v>801075853</v>
      </c>
      <c r="H141" t="s">
        <v>24</v>
      </c>
      <c r="I141" s="1">
        <v>45383</v>
      </c>
      <c r="J141" s="1">
        <f>DATE(YEAR(I141), MONTH(I141) +1, DAY(I141))</f>
        <v>45413</v>
      </c>
      <c r="K141" t="s">
        <v>28</v>
      </c>
      <c r="L141">
        <v>-1</v>
      </c>
      <c r="M141">
        <v>-20</v>
      </c>
      <c r="N141" t="s">
        <v>405</v>
      </c>
    </row>
    <row r="142" spans="1:15" x14ac:dyDescent="0.25">
      <c r="A142" t="s">
        <v>20</v>
      </c>
      <c r="B142" t="s">
        <v>403</v>
      </c>
      <c r="C142" t="s">
        <v>22</v>
      </c>
      <c r="D142" s="1">
        <v>44927</v>
      </c>
      <c r="E142" t="s">
        <v>94</v>
      </c>
      <c r="F142">
        <v>80107585</v>
      </c>
      <c r="G142" t="str">
        <f>CONCATENATE(F142,3)</f>
        <v>801075853</v>
      </c>
      <c r="H142" t="s">
        <v>24</v>
      </c>
      <c r="I142" s="1">
        <v>45352</v>
      </c>
      <c r="J142" s="1">
        <f>DATE(YEAR(I142), MONTH(I142) +1, DAY(I142))</f>
        <v>45383</v>
      </c>
      <c r="K142" t="s">
        <v>60</v>
      </c>
      <c r="L142">
        <v>-1</v>
      </c>
      <c r="M142">
        <v>-20</v>
      </c>
      <c r="N142" t="s">
        <v>405</v>
      </c>
    </row>
    <row r="143" spans="1:15" x14ac:dyDescent="0.25">
      <c r="A143" t="s">
        <v>20</v>
      </c>
      <c r="B143" t="s">
        <v>403</v>
      </c>
      <c r="C143" t="s">
        <v>22</v>
      </c>
      <c r="D143" s="1">
        <v>44927</v>
      </c>
      <c r="E143" t="s">
        <v>94</v>
      </c>
      <c r="F143">
        <v>80107585</v>
      </c>
      <c r="G143" t="str">
        <f>CONCATENATE(F143,3)</f>
        <v>801075853</v>
      </c>
      <c r="H143" t="s">
        <v>24</v>
      </c>
      <c r="I143" s="1">
        <v>45536</v>
      </c>
      <c r="J143" s="1">
        <f>DATE(YEAR(I143), MONTH(I143) +1, DAY(I143))</f>
        <v>45566</v>
      </c>
      <c r="K143" t="s">
        <v>95</v>
      </c>
      <c r="L143">
        <v>1</v>
      </c>
      <c r="M143">
        <v>20</v>
      </c>
      <c r="N143" t="s">
        <v>405</v>
      </c>
    </row>
    <row r="144" spans="1:15" x14ac:dyDescent="0.25">
      <c r="A144" t="s">
        <v>20</v>
      </c>
      <c r="B144" t="s">
        <v>403</v>
      </c>
      <c r="C144" t="s">
        <v>22</v>
      </c>
      <c r="D144" s="1">
        <v>44927</v>
      </c>
      <c r="E144" t="s">
        <v>94</v>
      </c>
      <c r="F144">
        <v>80107585</v>
      </c>
      <c r="G144" t="str">
        <f>CONCATENATE(F144,3)</f>
        <v>801075853</v>
      </c>
      <c r="H144" t="s">
        <v>24</v>
      </c>
      <c r="I144" s="1">
        <v>45474</v>
      </c>
      <c r="J144" s="1">
        <f>DATE(YEAR(I144), MONTH(I144) +1, DAY(I144))</f>
        <v>45505</v>
      </c>
      <c r="K144" t="s">
        <v>96</v>
      </c>
      <c r="L144">
        <v>1</v>
      </c>
      <c r="M144">
        <v>20</v>
      </c>
      <c r="N144" t="s">
        <v>405</v>
      </c>
    </row>
    <row r="145" spans="1:15" x14ac:dyDescent="0.25">
      <c r="A145" t="s">
        <v>20</v>
      </c>
      <c r="B145" t="s">
        <v>403</v>
      </c>
      <c r="C145" t="s">
        <v>22</v>
      </c>
      <c r="D145" s="1">
        <v>44927</v>
      </c>
      <c r="E145" t="s">
        <v>94</v>
      </c>
      <c r="F145">
        <v>80107585</v>
      </c>
      <c r="G145" t="str">
        <f>CONCATENATE(F145,3)</f>
        <v>801075853</v>
      </c>
      <c r="H145" t="s">
        <v>24</v>
      </c>
      <c r="I145" s="1">
        <v>45505</v>
      </c>
      <c r="J145" s="1">
        <f>DATE(YEAR(I145), MONTH(I145) +1, DAY(I145))</f>
        <v>45536</v>
      </c>
      <c r="K145" t="s">
        <v>97</v>
      </c>
      <c r="L145">
        <v>1</v>
      </c>
      <c r="M145">
        <v>20</v>
      </c>
      <c r="N145" t="s">
        <v>405</v>
      </c>
    </row>
    <row r="146" spans="1:15" x14ac:dyDescent="0.25">
      <c r="A146" t="s">
        <v>20</v>
      </c>
      <c r="B146" t="s">
        <v>403</v>
      </c>
      <c r="C146" t="s">
        <v>22</v>
      </c>
      <c r="D146" s="1">
        <v>44927</v>
      </c>
      <c r="E146" t="s">
        <v>94</v>
      </c>
      <c r="F146">
        <v>80107585</v>
      </c>
      <c r="G146" t="str">
        <f>CONCATENATE(F146,3)</f>
        <v>801075853</v>
      </c>
      <c r="H146" t="s">
        <v>24</v>
      </c>
      <c r="I146" s="1">
        <v>45444</v>
      </c>
      <c r="J146" s="1">
        <f>DATE(YEAR(I146), MONTH(I146) +1, DAY(I146))</f>
        <v>45474</v>
      </c>
      <c r="K146" t="s">
        <v>98</v>
      </c>
      <c r="L146">
        <v>1</v>
      </c>
      <c r="M146">
        <v>20</v>
      </c>
      <c r="N146" t="s">
        <v>405</v>
      </c>
    </row>
    <row r="147" spans="1:15" x14ac:dyDescent="0.25">
      <c r="A147" t="s">
        <v>20</v>
      </c>
      <c r="B147" t="s">
        <v>403</v>
      </c>
      <c r="C147" t="s">
        <v>22</v>
      </c>
      <c r="D147" s="1">
        <v>44927</v>
      </c>
      <c r="E147" t="s">
        <v>326</v>
      </c>
      <c r="F147">
        <v>80108052</v>
      </c>
      <c r="G147" t="str">
        <f>CONCATENATE(F147,3)</f>
        <v>801080523</v>
      </c>
      <c r="H147" t="s">
        <v>187</v>
      </c>
      <c r="I147" s="1">
        <v>45748</v>
      </c>
      <c r="J147" s="1">
        <f>DATE(YEAR(I147), MONTH(I147) +1, DAY(I147))</f>
        <v>45778</v>
      </c>
      <c r="K147" t="s">
        <v>28</v>
      </c>
      <c r="L147">
        <v>1</v>
      </c>
      <c r="M147">
        <v>40</v>
      </c>
      <c r="N147" t="s">
        <v>405</v>
      </c>
      <c r="O147" t="s">
        <v>407</v>
      </c>
    </row>
    <row r="148" spans="1:15" x14ac:dyDescent="0.25">
      <c r="A148" t="s">
        <v>29</v>
      </c>
      <c r="B148" t="s">
        <v>404</v>
      </c>
      <c r="C148" t="s">
        <v>22</v>
      </c>
      <c r="D148" s="1">
        <v>45536</v>
      </c>
      <c r="E148" t="s">
        <v>173</v>
      </c>
      <c r="F148">
        <v>80108661</v>
      </c>
      <c r="G148" t="str">
        <f>CONCATENATE(F148,3)</f>
        <v>801086613</v>
      </c>
      <c r="H148" t="s">
        <v>24</v>
      </c>
      <c r="I148" s="1">
        <v>45748</v>
      </c>
      <c r="J148" s="1">
        <f>DATE(YEAR(I148), MONTH(I148) +1, DAY(I148))</f>
        <v>45778</v>
      </c>
      <c r="K148" t="s">
        <v>28</v>
      </c>
      <c r="L148">
        <v>1</v>
      </c>
      <c r="M148">
        <v>20</v>
      </c>
      <c r="N148" t="s">
        <v>405</v>
      </c>
    </row>
    <row r="149" spans="1:15" x14ac:dyDescent="0.25">
      <c r="A149" t="s">
        <v>29</v>
      </c>
      <c r="B149" t="s">
        <v>404</v>
      </c>
      <c r="C149" t="s">
        <v>22</v>
      </c>
      <c r="D149" s="1">
        <v>45536</v>
      </c>
      <c r="E149" t="s">
        <v>173</v>
      </c>
      <c r="F149">
        <v>80108661</v>
      </c>
      <c r="G149" t="str">
        <f>CONCATENATE(F149,3)</f>
        <v>801086613</v>
      </c>
      <c r="H149" t="s">
        <v>24</v>
      </c>
      <c r="I149" s="1">
        <v>45778</v>
      </c>
      <c r="J149" s="1">
        <f>DATE(YEAR(I149), MONTH(I149) +1, DAY(I149))</f>
        <v>45809</v>
      </c>
      <c r="K149" t="s">
        <v>25</v>
      </c>
      <c r="L149">
        <v>1</v>
      </c>
      <c r="M149">
        <v>20</v>
      </c>
      <c r="N149" t="s">
        <v>405</v>
      </c>
    </row>
    <row r="150" spans="1:15" x14ac:dyDescent="0.25">
      <c r="A150" t="s">
        <v>20</v>
      </c>
      <c r="B150" t="s">
        <v>403</v>
      </c>
      <c r="C150" t="s">
        <v>22</v>
      </c>
      <c r="D150" s="1">
        <v>44927</v>
      </c>
      <c r="E150" t="s">
        <v>206</v>
      </c>
      <c r="F150">
        <v>80109167</v>
      </c>
      <c r="G150" t="str">
        <f>CONCATENATE(F150,3)</f>
        <v>801091673</v>
      </c>
      <c r="H150" t="s">
        <v>24</v>
      </c>
      <c r="I150" s="1">
        <v>45778</v>
      </c>
      <c r="J150" s="1">
        <f>DATE(YEAR(I150), MONTH(I150) +1, DAY(I150))</f>
        <v>45809</v>
      </c>
      <c r="K150" t="s">
        <v>25</v>
      </c>
      <c r="L150">
        <v>1</v>
      </c>
      <c r="M150">
        <v>20</v>
      </c>
      <c r="N150" t="s">
        <v>405</v>
      </c>
    </row>
    <row r="151" spans="1:15" x14ac:dyDescent="0.25">
      <c r="A151" t="s">
        <v>20</v>
      </c>
      <c r="B151" t="s">
        <v>403</v>
      </c>
      <c r="C151" t="s">
        <v>22</v>
      </c>
      <c r="D151" s="1">
        <v>45170</v>
      </c>
      <c r="E151" t="s">
        <v>196</v>
      </c>
      <c r="F151">
        <v>80109726</v>
      </c>
      <c r="G151" t="str">
        <f>CONCATENATE(F151,3)</f>
        <v>801097263</v>
      </c>
      <c r="H151" t="s">
        <v>187</v>
      </c>
      <c r="I151" s="1">
        <v>45778</v>
      </c>
      <c r="J151" s="1">
        <f>DATE(YEAR(I151), MONTH(I151) +1, DAY(I151))</f>
        <v>45809</v>
      </c>
      <c r="K151" t="s">
        <v>25</v>
      </c>
      <c r="L151">
        <v>1</v>
      </c>
      <c r="M151">
        <v>20</v>
      </c>
      <c r="N151" t="s">
        <v>405</v>
      </c>
    </row>
    <row r="152" spans="1:15" x14ac:dyDescent="0.25">
      <c r="A152" t="s">
        <v>20</v>
      </c>
      <c r="B152" t="s">
        <v>403</v>
      </c>
      <c r="C152" t="s">
        <v>22</v>
      </c>
      <c r="D152" s="1">
        <v>44958</v>
      </c>
      <c r="E152" t="s">
        <v>378</v>
      </c>
      <c r="F152">
        <v>80109802</v>
      </c>
      <c r="G152" t="str">
        <f>CONCATENATE(F152,3)</f>
        <v>801098023</v>
      </c>
      <c r="H152" t="s">
        <v>24</v>
      </c>
      <c r="I152" s="1">
        <v>45748</v>
      </c>
      <c r="J152" s="1">
        <f>DATE(YEAR(I152), MONTH(I152) +1, DAY(I152))</f>
        <v>45778</v>
      </c>
      <c r="K152" t="s">
        <v>28</v>
      </c>
      <c r="L152">
        <v>1</v>
      </c>
      <c r="M152">
        <v>40</v>
      </c>
      <c r="N152" t="s">
        <v>405</v>
      </c>
      <c r="O152" t="s">
        <v>407</v>
      </c>
    </row>
    <row r="153" spans="1:15" x14ac:dyDescent="0.25">
      <c r="A153" t="s">
        <v>38</v>
      </c>
      <c r="B153">
        <v>16509456</v>
      </c>
      <c r="C153" t="s">
        <v>22</v>
      </c>
      <c r="D153" s="1">
        <v>44927</v>
      </c>
      <c r="E153" t="s">
        <v>145</v>
      </c>
      <c r="F153">
        <v>80112941</v>
      </c>
      <c r="G153" t="str">
        <f>CONCATENATE(F153,3)</f>
        <v>801129413</v>
      </c>
      <c r="H153" t="s">
        <v>24</v>
      </c>
      <c r="I153" s="1">
        <v>45778</v>
      </c>
      <c r="J153" s="1">
        <f>DATE(YEAR(I153), MONTH(I153) +1, DAY(I153))</f>
        <v>45809</v>
      </c>
      <c r="K153" t="s">
        <v>25</v>
      </c>
      <c r="L153">
        <v>1</v>
      </c>
      <c r="M153">
        <v>40</v>
      </c>
      <c r="N153" t="s">
        <v>405</v>
      </c>
      <c r="O153" t="s">
        <v>407</v>
      </c>
    </row>
    <row r="154" spans="1:15" x14ac:dyDescent="0.25">
      <c r="A154" t="s">
        <v>20</v>
      </c>
      <c r="B154" t="s">
        <v>403</v>
      </c>
      <c r="C154" t="s">
        <v>22</v>
      </c>
      <c r="D154" s="1">
        <v>44927</v>
      </c>
      <c r="E154" t="s">
        <v>164</v>
      </c>
      <c r="F154">
        <v>80113191</v>
      </c>
      <c r="G154" t="str">
        <f>CONCATENATE(F154,3)</f>
        <v>801131913</v>
      </c>
      <c r="H154" t="s">
        <v>24</v>
      </c>
      <c r="I154" s="1">
        <v>45778</v>
      </c>
      <c r="J154" s="1">
        <f>DATE(YEAR(I154), MONTH(I154) +1, DAY(I154))</f>
        <v>45809</v>
      </c>
      <c r="K154" t="s">
        <v>25</v>
      </c>
      <c r="L154">
        <v>1</v>
      </c>
      <c r="M154">
        <v>20</v>
      </c>
      <c r="N154" t="s">
        <v>405</v>
      </c>
    </row>
    <row r="155" spans="1:15" x14ac:dyDescent="0.25">
      <c r="A155" t="s">
        <v>38</v>
      </c>
      <c r="B155">
        <v>16509456</v>
      </c>
      <c r="C155" t="s">
        <v>22</v>
      </c>
      <c r="D155" s="1">
        <v>44927</v>
      </c>
      <c r="E155" t="s">
        <v>89</v>
      </c>
      <c r="F155">
        <v>80114176</v>
      </c>
      <c r="G155" t="str">
        <f>CONCATENATE(F155,3)</f>
        <v>801141763</v>
      </c>
      <c r="H155" t="s">
        <v>24</v>
      </c>
      <c r="I155" s="1">
        <v>45748</v>
      </c>
      <c r="J155" s="1">
        <f>DATE(YEAR(I155), MONTH(I155) +1, DAY(I155))</f>
        <v>45778</v>
      </c>
      <c r="K155" t="s">
        <v>28</v>
      </c>
      <c r="L155">
        <v>1</v>
      </c>
      <c r="M155">
        <v>20</v>
      </c>
      <c r="N155" t="s">
        <v>405</v>
      </c>
    </row>
    <row r="156" spans="1:15" x14ac:dyDescent="0.25">
      <c r="A156" t="s">
        <v>38</v>
      </c>
      <c r="B156">
        <v>16509456</v>
      </c>
      <c r="C156" t="s">
        <v>22</v>
      </c>
      <c r="D156" s="1">
        <v>44958</v>
      </c>
      <c r="E156" t="s">
        <v>184</v>
      </c>
      <c r="F156">
        <v>80114696</v>
      </c>
      <c r="G156" t="str">
        <f>CONCATENATE(F156,3)</f>
        <v>801146963</v>
      </c>
      <c r="H156" t="s">
        <v>24</v>
      </c>
      <c r="I156" s="1">
        <v>45748</v>
      </c>
      <c r="J156" s="1">
        <f>DATE(YEAR(I156), MONTH(I156) +1, DAY(I156))</f>
        <v>45778</v>
      </c>
      <c r="K156" t="s">
        <v>28</v>
      </c>
      <c r="L156">
        <v>1</v>
      </c>
      <c r="M156">
        <v>40</v>
      </c>
      <c r="N156" t="s">
        <v>405</v>
      </c>
      <c r="O156" t="s">
        <v>407</v>
      </c>
    </row>
    <row r="157" spans="1:15" x14ac:dyDescent="0.25">
      <c r="A157" t="s">
        <v>38</v>
      </c>
      <c r="B157">
        <v>16509456</v>
      </c>
      <c r="C157" t="s">
        <v>22</v>
      </c>
      <c r="D157" s="1">
        <v>44927</v>
      </c>
      <c r="E157" t="s">
        <v>319</v>
      </c>
      <c r="F157">
        <v>80115328</v>
      </c>
      <c r="G157" t="str">
        <f>CONCATENATE(F157,3)</f>
        <v>801153283</v>
      </c>
      <c r="H157" t="s">
        <v>24</v>
      </c>
      <c r="I157" s="1">
        <v>45748</v>
      </c>
      <c r="J157" s="1">
        <f>DATE(YEAR(I157), MONTH(I157) +1, DAY(I157))</f>
        <v>45778</v>
      </c>
      <c r="K157" t="s">
        <v>28</v>
      </c>
      <c r="L157">
        <v>1</v>
      </c>
      <c r="M157">
        <v>20</v>
      </c>
      <c r="N157" t="s">
        <v>405</v>
      </c>
    </row>
    <row r="158" spans="1:15" x14ac:dyDescent="0.25">
      <c r="A158" t="s">
        <v>20</v>
      </c>
      <c r="B158" t="s">
        <v>403</v>
      </c>
      <c r="C158" t="s">
        <v>22</v>
      </c>
      <c r="D158" s="1">
        <v>44927</v>
      </c>
      <c r="E158" t="s">
        <v>99</v>
      </c>
      <c r="F158">
        <v>80115543</v>
      </c>
      <c r="G158" t="str">
        <f>CONCATENATE(F158,3)</f>
        <v>801155433</v>
      </c>
      <c r="H158" t="s">
        <v>24</v>
      </c>
      <c r="I158" s="1">
        <v>45778</v>
      </c>
      <c r="J158" s="1">
        <f>DATE(YEAR(I158), MONTH(I158) +1, DAY(I158))</f>
        <v>45809</v>
      </c>
      <c r="K158" t="s">
        <v>25</v>
      </c>
      <c r="L158">
        <v>1</v>
      </c>
      <c r="M158">
        <v>20</v>
      </c>
      <c r="N158" t="s">
        <v>405</v>
      </c>
    </row>
    <row r="159" spans="1:15" x14ac:dyDescent="0.25">
      <c r="A159" t="s">
        <v>20</v>
      </c>
      <c r="B159" t="s">
        <v>403</v>
      </c>
      <c r="C159" t="s">
        <v>22</v>
      </c>
      <c r="D159" s="1">
        <v>44927</v>
      </c>
      <c r="E159" t="s">
        <v>70</v>
      </c>
      <c r="F159">
        <v>80117605</v>
      </c>
      <c r="G159" t="str">
        <f>CONCATENATE(F159,3)</f>
        <v>801176053</v>
      </c>
      <c r="H159" t="s">
        <v>24</v>
      </c>
      <c r="I159" s="1">
        <v>45778</v>
      </c>
      <c r="J159" s="1">
        <f>DATE(YEAR(I159), MONTH(I159) +1, DAY(I159))</f>
        <v>45809</v>
      </c>
      <c r="K159" t="s">
        <v>25</v>
      </c>
      <c r="L159">
        <v>1</v>
      </c>
      <c r="M159">
        <v>20</v>
      </c>
      <c r="N159" t="s">
        <v>405</v>
      </c>
    </row>
    <row r="160" spans="1:15" x14ac:dyDescent="0.25">
      <c r="A160" t="s">
        <v>29</v>
      </c>
      <c r="B160">
        <v>18781057</v>
      </c>
      <c r="C160" t="s">
        <v>22</v>
      </c>
      <c r="D160" s="1">
        <v>45292</v>
      </c>
      <c r="E160" t="s">
        <v>269</v>
      </c>
      <c r="F160">
        <v>80118035</v>
      </c>
      <c r="G160" t="str">
        <f>CONCATENATE(F160,3)</f>
        <v>801180353</v>
      </c>
      <c r="H160" t="s">
        <v>187</v>
      </c>
      <c r="I160" s="1">
        <v>45778</v>
      </c>
      <c r="J160" s="1">
        <f>DATE(YEAR(I160), MONTH(I160) +1, DAY(I160))</f>
        <v>45809</v>
      </c>
      <c r="K160" t="s">
        <v>25</v>
      </c>
      <c r="L160">
        <v>1</v>
      </c>
      <c r="M160">
        <v>20</v>
      </c>
      <c r="N160" t="s">
        <v>405</v>
      </c>
    </row>
    <row r="161" spans="1:15" x14ac:dyDescent="0.25">
      <c r="A161" t="s">
        <v>29</v>
      </c>
      <c r="B161">
        <v>18781057</v>
      </c>
      <c r="C161" t="s">
        <v>22</v>
      </c>
      <c r="D161" s="1">
        <v>45292</v>
      </c>
      <c r="E161" t="s">
        <v>395</v>
      </c>
      <c r="F161">
        <v>80119567</v>
      </c>
      <c r="G161" t="str">
        <f>CONCATENATE(F161,3)</f>
        <v>801195673</v>
      </c>
      <c r="H161" t="s">
        <v>24</v>
      </c>
      <c r="I161" s="1">
        <v>45778</v>
      </c>
      <c r="J161" s="1">
        <f>DATE(YEAR(I161), MONTH(I161) +1, DAY(I161))</f>
        <v>45809</v>
      </c>
      <c r="K161" t="s">
        <v>25</v>
      </c>
      <c r="L161">
        <v>1</v>
      </c>
      <c r="M161">
        <v>20</v>
      </c>
      <c r="N161" t="s">
        <v>405</v>
      </c>
    </row>
    <row r="162" spans="1:15" x14ac:dyDescent="0.25">
      <c r="A162" t="s">
        <v>29</v>
      </c>
      <c r="B162">
        <v>18781057</v>
      </c>
      <c r="C162" t="s">
        <v>22</v>
      </c>
      <c r="D162" s="1">
        <v>45292</v>
      </c>
      <c r="E162" t="s">
        <v>395</v>
      </c>
      <c r="F162">
        <v>80119567</v>
      </c>
      <c r="G162" t="str">
        <f>CONCATENATE(F162,3)</f>
        <v>801195673</v>
      </c>
      <c r="H162" t="s">
        <v>24</v>
      </c>
      <c r="I162" s="1">
        <v>45748</v>
      </c>
      <c r="J162" s="1">
        <f>DATE(YEAR(I162), MONTH(I162) +1, DAY(I162))</f>
        <v>45778</v>
      </c>
      <c r="K162" t="s">
        <v>28</v>
      </c>
      <c r="L162">
        <v>1</v>
      </c>
      <c r="M162">
        <v>20</v>
      </c>
      <c r="N162" t="s">
        <v>405</v>
      </c>
    </row>
    <row r="163" spans="1:15" x14ac:dyDescent="0.25">
      <c r="A163" t="s">
        <v>20</v>
      </c>
      <c r="B163" t="s">
        <v>403</v>
      </c>
      <c r="C163" t="s">
        <v>22</v>
      </c>
      <c r="D163" s="1">
        <v>44927</v>
      </c>
      <c r="E163" t="s">
        <v>373</v>
      </c>
      <c r="F163">
        <v>80119715</v>
      </c>
      <c r="G163" t="str">
        <f>CONCATENATE(F163,3)</f>
        <v>801197153</v>
      </c>
      <c r="H163" t="s">
        <v>24</v>
      </c>
      <c r="I163" s="1">
        <v>45748</v>
      </c>
      <c r="J163" s="1">
        <f>DATE(YEAR(I163), MONTH(I163) +1, DAY(I163))</f>
        <v>45778</v>
      </c>
      <c r="K163" t="s">
        <v>28</v>
      </c>
      <c r="L163">
        <v>1</v>
      </c>
      <c r="M163">
        <v>20</v>
      </c>
      <c r="N163" t="s">
        <v>405</v>
      </c>
    </row>
    <row r="164" spans="1:15" x14ac:dyDescent="0.25">
      <c r="A164" t="s">
        <v>29</v>
      </c>
      <c r="B164">
        <v>18781057</v>
      </c>
      <c r="C164" t="s">
        <v>22</v>
      </c>
      <c r="D164" s="1">
        <v>45292</v>
      </c>
      <c r="E164" t="s">
        <v>228</v>
      </c>
      <c r="F164">
        <v>80120119</v>
      </c>
      <c r="G164" t="str">
        <f>CONCATENATE(F164,3)</f>
        <v>801201193</v>
      </c>
      <c r="H164" t="s">
        <v>24</v>
      </c>
      <c r="I164" s="1">
        <v>45748</v>
      </c>
      <c r="J164" s="1">
        <f>DATE(YEAR(I164), MONTH(I164) +1, DAY(I164))</f>
        <v>45778</v>
      </c>
      <c r="K164" t="s">
        <v>28</v>
      </c>
      <c r="L164">
        <v>1</v>
      </c>
      <c r="M164">
        <v>20</v>
      </c>
      <c r="N164" t="s">
        <v>405</v>
      </c>
    </row>
    <row r="165" spans="1:15" x14ac:dyDescent="0.25">
      <c r="A165" t="s">
        <v>38</v>
      </c>
      <c r="B165">
        <v>16509456</v>
      </c>
      <c r="C165" t="s">
        <v>22</v>
      </c>
      <c r="D165" s="1">
        <v>44927</v>
      </c>
      <c r="E165" t="s">
        <v>218</v>
      </c>
      <c r="F165">
        <v>80121656</v>
      </c>
      <c r="G165" t="str">
        <f>CONCATENATE(F165,3)</f>
        <v>801216563</v>
      </c>
      <c r="H165" t="s">
        <v>24</v>
      </c>
      <c r="I165" s="1">
        <v>45748</v>
      </c>
      <c r="J165" s="1">
        <f>DATE(YEAR(I165), MONTH(I165) +1, DAY(I165))</f>
        <v>45778</v>
      </c>
      <c r="K165" t="s">
        <v>28</v>
      </c>
      <c r="L165">
        <v>1</v>
      </c>
      <c r="M165">
        <v>40</v>
      </c>
      <c r="N165" t="s">
        <v>405</v>
      </c>
      <c r="O165" t="s">
        <v>407</v>
      </c>
    </row>
    <row r="166" spans="1:15" x14ac:dyDescent="0.25">
      <c r="A166" t="s">
        <v>38</v>
      </c>
      <c r="B166">
        <v>16509456</v>
      </c>
      <c r="C166" t="s">
        <v>22</v>
      </c>
      <c r="D166" s="1">
        <v>44927</v>
      </c>
      <c r="E166" t="s">
        <v>218</v>
      </c>
      <c r="F166">
        <v>80121656</v>
      </c>
      <c r="G166" t="str">
        <f>CONCATENATE(F166,3)</f>
        <v>801216563</v>
      </c>
      <c r="H166" t="s">
        <v>24</v>
      </c>
      <c r="I166" s="1">
        <v>45717</v>
      </c>
      <c r="J166" s="1">
        <f>DATE(YEAR(I166), MONTH(I166) +1, DAY(I166))</f>
        <v>45748</v>
      </c>
      <c r="K166" t="s">
        <v>60</v>
      </c>
      <c r="L166">
        <v>1</v>
      </c>
      <c r="M166">
        <v>40</v>
      </c>
      <c r="N166" t="s">
        <v>405</v>
      </c>
      <c r="O166" t="s">
        <v>407</v>
      </c>
    </row>
    <row r="167" spans="1:15" x14ac:dyDescent="0.25">
      <c r="A167" t="s">
        <v>38</v>
      </c>
      <c r="B167">
        <v>16509456</v>
      </c>
      <c r="C167" t="s">
        <v>22</v>
      </c>
      <c r="D167" s="1">
        <v>44927</v>
      </c>
      <c r="E167" t="s">
        <v>218</v>
      </c>
      <c r="F167">
        <v>80121656</v>
      </c>
      <c r="G167" t="str">
        <f>CONCATENATE(F167,3)</f>
        <v>801216563</v>
      </c>
      <c r="H167" t="s">
        <v>24</v>
      </c>
      <c r="I167" s="1">
        <v>45778</v>
      </c>
      <c r="J167" s="1">
        <f>DATE(YEAR(I167), MONTH(I167) +1, DAY(I167))</f>
        <v>45809</v>
      </c>
      <c r="K167" t="s">
        <v>25</v>
      </c>
      <c r="L167">
        <v>1</v>
      </c>
      <c r="M167">
        <v>40</v>
      </c>
      <c r="N167" t="s">
        <v>405</v>
      </c>
      <c r="O167" t="s">
        <v>407</v>
      </c>
    </row>
    <row r="168" spans="1:15" x14ac:dyDescent="0.25">
      <c r="A168" t="s">
        <v>20</v>
      </c>
      <c r="B168" t="s">
        <v>403</v>
      </c>
      <c r="C168" t="s">
        <v>22</v>
      </c>
      <c r="D168" s="1">
        <v>44927</v>
      </c>
      <c r="E168" t="s">
        <v>366</v>
      </c>
      <c r="F168">
        <v>80122551</v>
      </c>
      <c r="G168" t="str">
        <f>CONCATENATE(F168,3)</f>
        <v>801225513</v>
      </c>
      <c r="H168" t="s">
        <v>24</v>
      </c>
      <c r="I168" s="1">
        <v>45778</v>
      </c>
      <c r="J168" s="1">
        <f>DATE(YEAR(I168), MONTH(I168) +1, DAY(I168))</f>
        <v>45809</v>
      </c>
      <c r="K168" t="s">
        <v>25</v>
      </c>
      <c r="L168">
        <v>1</v>
      </c>
      <c r="M168">
        <v>60</v>
      </c>
      <c r="N168" t="s">
        <v>405</v>
      </c>
      <c r="O168" t="s">
        <v>408</v>
      </c>
    </row>
    <row r="169" spans="1:15" x14ac:dyDescent="0.25">
      <c r="A169" t="s">
        <v>20</v>
      </c>
      <c r="B169">
        <v>17425766</v>
      </c>
      <c r="C169" t="s">
        <v>22</v>
      </c>
      <c r="D169" s="1">
        <v>45717</v>
      </c>
      <c r="E169" t="s">
        <v>305</v>
      </c>
      <c r="F169">
        <v>80122828</v>
      </c>
      <c r="G169" t="str">
        <f>CONCATENATE(F169,3)</f>
        <v>801228283</v>
      </c>
      <c r="H169" t="s">
        <v>24</v>
      </c>
      <c r="I169" s="1">
        <v>45778</v>
      </c>
      <c r="J169" s="1">
        <f>DATE(YEAR(I169), MONTH(I169) +1, DAY(I169))</f>
        <v>45809</v>
      </c>
      <c r="K169" t="s">
        <v>25</v>
      </c>
      <c r="L169">
        <v>1</v>
      </c>
      <c r="M169">
        <v>20</v>
      </c>
      <c r="N169" t="s">
        <v>405</v>
      </c>
    </row>
    <row r="170" spans="1:15" x14ac:dyDescent="0.25">
      <c r="A170" t="s">
        <v>29</v>
      </c>
      <c r="B170">
        <v>18781057</v>
      </c>
      <c r="C170" t="s">
        <v>22</v>
      </c>
      <c r="D170" s="1">
        <v>45292</v>
      </c>
      <c r="E170" t="s">
        <v>390</v>
      </c>
      <c r="F170">
        <v>80125481</v>
      </c>
      <c r="G170" t="str">
        <f>CONCATENATE(F170,3)</f>
        <v>801254813</v>
      </c>
      <c r="H170" t="s">
        <v>24</v>
      </c>
      <c r="I170" s="1">
        <v>45778</v>
      </c>
      <c r="J170" s="1">
        <f>DATE(YEAR(I170), MONTH(I170) +1, DAY(I170))</f>
        <v>45809</v>
      </c>
      <c r="K170" t="s">
        <v>25</v>
      </c>
      <c r="L170">
        <v>1</v>
      </c>
      <c r="M170">
        <v>20</v>
      </c>
      <c r="N170" t="s">
        <v>405</v>
      </c>
    </row>
    <row r="171" spans="1:15" x14ac:dyDescent="0.25">
      <c r="A171" t="s">
        <v>20</v>
      </c>
      <c r="B171" t="s">
        <v>403</v>
      </c>
      <c r="C171" t="s">
        <v>22</v>
      </c>
      <c r="D171" s="1">
        <v>45231</v>
      </c>
      <c r="E171" t="s">
        <v>137</v>
      </c>
      <c r="F171">
        <v>80129078</v>
      </c>
      <c r="G171" t="str">
        <f>CONCATENATE(F171,3)</f>
        <v>801290783</v>
      </c>
      <c r="H171" t="s">
        <v>24</v>
      </c>
      <c r="I171" s="1">
        <v>45778</v>
      </c>
      <c r="J171" s="1">
        <f>DATE(YEAR(I171), MONTH(I171) +1, DAY(I171))</f>
        <v>45809</v>
      </c>
      <c r="K171" t="s">
        <v>25</v>
      </c>
      <c r="L171">
        <v>1</v>
      </c>
      <c r="M171">
        <v>40</v>
      </c>
      <c r="N171" t="s">
        <v>405</v>
      </c>
      <c r="O171" t="s">
        <v>407</v>
      </c>
    </row>
    <row r="172" spans="1:15" x14ac:dyDescent="0.25">
      <c r="A172" t="s">
        <v>20</v>
      </c>
      <c r="B172">
        <v>17425766</v>
      </c>
      <c r="C172" t="s">
        <v>22</v>
      </c>
      <c r="D172" s="1">
        <v>45689</v>
      </c>
      <c r="E172" t="s">
        <v>140</v>
      </c>
      <c r="F172">
        <v>80129460</v>
      </c>
      <c r="G172" t="str">
        <f>CONCATENATE(F172,3)</f>
        <v>801294603</v>
      </c>
      <c r="H172" t="s">
        <v>24</v>
      </c>
      <c r="I172" s="1">
        <v>45778</v>
      </c>
      <c r="J172" s="1">
        <f>DATE(YEAR(I172), MONTH(I172) +1, DAY(I172))</f>
        <v>45809</v>
      </c>
      <c r="K172" t="s">
        <v>25</v>
      </c>
      <c r="L172">
        <v>1</v>
      </c>
      <c r="M172">
        <v>40</v>
      </c>
      <c r="N172" t="s">
        <v>405</v>
      </c>
      <c r="O172" t="s">
        <v>407</v>
      </c>
    </row>
    <row r="173" spans="1:15" x14ac:dyDescent="0.25">
      <c r="A173" t="s">
        <v>29</v>
      </c>
      <c r="B173">
        <v>18781057</v>
      </c>
      <c r="C173" t="s">
        <v>22</v>
      </c>
      <c r="D173" s="1">
        <v>45292</v>
      </c>
      <c r="E173" t="s">
        <v>183</v>
      </c>
      <c r="F173">
        <v>80129563</v>
      </c>
      <c r="G173" t="str">
        <f>CONCATENATE(F173,3)</f>
        <v>801295633</v>
      </c>
      <c r="H173" t="s">
        <v>24</v>
      </c>
      <c r="I173" s="1">
        <v>45778</v>
      </c>
      <c r="J173" s="1">
        <f>DATE(YEAR(I173), MONTH(I173) +1, DAY(I173))</f>
        <v>45809</v>
      </c>
      <c r="K173" t="s">
        <v>25</v>
      </c>
      <c r="L173">
        <v>1</v>
      </c>
      <c r="M173">
        <v>20</v>
      </c>
      <c r="N173" t="s">
        <v>405</v>
      </c>
    </row>
    <row r="174" spans="1:15" x14ac:dyDescent="0.25">
      <c r="A174" t="s">
        <v>38</v>
      </c>
      <c r="B174">
        <v>16509456</v>
      </c>
      <c r="C174" t="s">
        <v>22</v>
      </c>
      <c r="D174" s="1">
        <v>44927</v>
      </c>
      <c r="E174" t="s">
        <v>118</v>
      </c>
      <c r="F174">
        <v>80132440</v>
      </c>
      <c r="G174" t="str">
        <f>CONCATENATE(F174,3)</f>
        <v>801324403</v>
      </c>
      <c r="H174" t="s">
        <v>24</v>
      </c>
      <c r="I174" s="1">
        <v>45748</v>
      </c>
      <c r="J174" s="1">
        <f>DATE(YEAR(I174), MONTH(I174) +1, DAY(I174))</f>
        <v>45778</v>
      </c>
      <c r="K174" t="s">
        <v>28</v>
      </c>
      <c r="L174">
        <v>1</v>
      </c>
      <c r="M174">
        <v>40</v>
      </c>
      <c r="N174" t="s">
        <v>405</v>
      </c>
      <c r="O174" t="s">
        <v>407</v>
      </c>
    </row>
    <row r="175" spans="1:15" x14ac:dyDescent="0.25">
      <c r="A175" t="s">
        <v>20</v>
      </c>
      <c r="B175">
        <v>17425766</v>
      </c>
      <c r="C175" t="s">
        <v>22</v>
      </c>
      <c r="D175" s="1">
        <v>45536</v>
      </c>
      <c r="E175" t="s">
        <v>266</v>
      </c>
      <c r="F175">
        <v>80137524</v>
      </c>
      <c r="G175" t="str">
        <f>CONCATENATE(F175,3)</f>
        <v>801375243</v>
      </c>
      <c r="H175" t="s">
        <v>24</v>
      </c>
      <c r="I175" s="1">
        <v>45778</v>
      </c>
      <c r="J175" s="1">
        <f>DATE(YEAR(I175), MONTH(I175) +1, DAY(I175))</f>
        <v>45809</v>
      </c>
      <c r="K175" t="s">
        <v>25</v>
      </c>
      <c r="L175">
        <v>1</v>
      </c>
      <c r="M175">
        <v>20</v>
      </c>
      <c r="N175" t="s">
        <v>405</v>
      </c>
    </row>
    <row r="176" spans="1:15" x14ac:dyDescent="0.25">
      <c r="A176" t="s">
        <v>38</v>
      </c>
      <c r="B176">
        <v>16509456</v>
      </c>
      <c r="C176" t="s">
        <v>22</v>
      </c>
      <c r="D176" s="1">
        <v>44927</v>
      </c>
      <c r="E176" t="s">
        <v>327</v>
      </c>
      <c r="F176">
        <v>80137927</v>
      </c>
      <c r="G176" t="str">
        <f>CONCATENATE(F176,3)</f>
        <v>801379273</v>
      </c>
      <c r="H176" t="s">
        <v>24</v>
      </c>
      <c r="I176" s="1">
        <v>45748</v>
      </c>
      <c r="J176" s="1">
        <f>DATE(YEAR(I176), MONTH(I176) +1, DAY(I176))</f>
        <v>45778</v>
      </c>
      <c r="K176" t="s">
        <v>28</v>
      </c>
      <c r="L176">
        <v>1</v>
      </c>
      <c r="M176">
        <v>40</v>
      </c>
      <c r="N176" t="s">
        <v>405</v>
      </c>
      <c r="O176" t="s">
        <v>407</v>
      </c>
    </row>
    <row r="177" spans="1:21" x14ac:dyDescent="0.25">
      <c r="A177" t="s">
        <v>38</v>
      </c>
      <c r="B177">
        <v>16509456</v>
      </c>
      <c r="C177" t="s">
        <v>22</v>
      </c>
      <c r="D177" s="1">
        <v>44927</v>
      </c>
      <c r="E177" t="s">
        <v>142</v>
      </c>
      <c r="F177">
        <v>80139970</v>
      </c>
      <c r="G177" t="str">
        <f>CONCATENATE(F177,3)</f>
        <v>801399703</v>
      </c>
      <c r="H177" t="s">
        <v>24</v>
      </c>
      <c r="I177" s="1">
        <v>45748</v>
      </c>
      <c r="J177" s="1">
        <f>DATE(YEAR(I177), MONTH(I177) +1, DAY(I177))</f>
        <v>45778</v>
      </c>
      <c r="K177" t="s">
        <v>28</v>
      </c>
      <c r="L177">
        <v>1</v>
      </c>
      <c r="M177">
        <v>20</v>
      </c>
      <c r="N177" t="s">
        <v>405</v>
      </c>
    </row>
    <row r="178" spans="1:21" x14ac:dyDescent="0.25">
      <c r="A178" t="s">
        <v>29</v>
      </c>
      <c r="B178">
        <v>18781057</v>
      </c>
      <c r="C178" t="s">
        <v>22</v>
      </c>
      <c r="D178" s="1">
        <v>45292</v>
      </c>
      <c r="E178" t="s">
        <v>287</v>
      </c>
      <c r="F178">
        <v>80141437</v>
      </c>
      <c r="G178" t="str">
        <f>CONCATENATE(F178,3)</f>
        <v>801414373</v>
      </c>
      <c r="H178" t="s">
        <v>24</v>
      </c>
      <c r="I178" s="1">
        <v>45778</v>
      </c>
      <c r="J178" s="1">
        <f>DATE(YEAR(I178), MONTH(I178) +1, DAY(I178))</f>
        <v>45809</v>
      </c>
      <c r="K178" t="s">
        <v>25</v>
      </c>
      <c r="L178">
        <v>1</v>
      </c>
      <c r="M178">
        <v>20</v>
      </c>
      <c r="N178" t="s">
        <v>405</v>
      </c>
    </row>
    <row r="179" spans="1:21" x14ac:dyDescent="0.25">
      <c r="A179" t="s">
        <v>29</v>
      </c>
      <c r="B179">
        <v>18781057</v>
      </c>
      <c r="C179" t="s">
        <v>22</v>
      </c>
      <c r="D179" s="1">
        <v>45292</v>
      </c>
      <c r="E179" t="s">
        <v>163</v>
      </c>
      <c r="F179">
        <v>80143555</v>
      </c>
      <c r="G179" t="str">
        <f>CONCATENATE(F179,3)</f>
        <v>801435553</v>
      </c>
      <c r="H179" t="s">
        <v>24</v>
      </c>
      <c r="I179" s="1">
        <v>45748</v>
      </c>
      <c r="J179" s="1">
        <f>DATE(YEAR(I179), MONTH(I179) +1, DAY(I179))</f>
        <v>45778</v>
      </c>
      <c r="K179" t="s">
        <v>28</v>
      </c>
      <c r="L179">
        <v>1</v>
      </c>
      <c r="M179">
        <v>40</v>
      </c>
      <c r="N179" t="s">
        <v>405</v>
      </c>
      <c r="O179" t="s">
        <v>407</v>
      </c>
    </row>
    <row r="180" spans="1:21" x14ac:dyDescent="0.25">
      <c r="A180" s="4" t="s">
        <v>239</v>
      </c>
      <c r="B180" s="4">
        <v>20769090</v>
      </c>
      <c r="C180" s="4" t="s">
        <v>22</v>
      </c>
      <c r="D180" s="5">
        <v>45292</v>
      </c>
      <c r="E180" s="4" t="s">
        <v>241</v>
      </c>
      <c r="F180" s="4">
        <v>80144160</v>
      </c>
      <c r="G180" t="str">
        <f>CONCATENATE(F180,3)</f>
        <v>801441603</v>
      </c>
      <c r="H180" s="4" t="s">
        <v>24</v>
      </c>
      <c r="I180" s="5">
        <v>45778</v>
      </c>
      <c r="J180" s="5">
        <f>DATE(YEAR(I180), MONTH(I180) +1, DAY(I180))</f>
        <v>45809</v>
      </c>
      <c r="K180" s="4" t="s">
        <v>25</v>
      </c>
      <c r="L180" s="4">
        <v>1</v>
      </c>
      <c r="M180" s="4">
        <v>20</v>
      </c>
      <c r="N180" s="4" t="s">
        <v>405</v>
      </c>
      <c r="O180" s="4"/>
      <c r="P180" s="4"/>
      <c r="Q180" s="4"/>
      <c r="R180" s="4"/>
      <c r="S180" s="4"/>
      <c r="T180" s="4"/>
      <c r="U180" s="4"/>
    </row>
    <row r="181" spans="1:21" x14ac:dyDescent="0.25">
      <c r="A181" t="s">
        <v>20</v>
      </c>
      <c r="B181" t="s">
        <v>403</v>
      </c>
      <c r="C181" t="s">
        <v>22</v>
      </c>
      <c r="D181" s="1">
        <v>44927</v>
      </c>
      <c r="E181" t="s">
        <v>325</v>
      </c>
      <c r="F181">
        <v>80145512</v>
      </c>
      <c r="G181" t="str">
        <f>CONCATENATE(F181,3)</f>
        <v>801455123</v>
      </c>
      <c r="H181" t="s">
        <v>24</v>
      </c>
      <c r="I181" s="1">
        <v>45778</v>
      </c>
      <c r="J181" s="1">
        <f>DATE(YEAR(I181), MONTH(I181) +1, DAY(I181))</f>
        <v>45809</v>
      </c>
      <c r="K181" t="s">
        <v>25</v>
      </c>
      <c r="L181">
        <v>1</v>
      </c>
      <c r="M181">
        <v>20</v>
      </c>
      <c r="N181" t="s">
        <v>405</v>
      </c>
    </row>
    <row r="182" spans="1:21" x14ac:dyDescent="0.25">
      <c r="A182" t="s">
        <v>20</v>
      </c>
      <c r="B182" t="s">
        <v>403</v>
      </c>
      <c r="C182" t="s">
        <v>22</v>
      </c>
      <c r="D182" s="1">
        <v>44927</v>
      </c>
      <c r="E182" t="s">
        <v>279</v>
      </c>
      <c r="F182">
        <v>80146769</v>
      </c>
      <c r="G182" t="str">
        <f>CONCATENATE(F182,3)</f>
        <v>801467693</v>
      </c>
      <c r="H182" t="s">
        <v>24</v>
      </c>
      <c r="I182" s="1">
        <v>45748</v>
      </c>
      <c r="J182" s="1">
        <f>DATE(YEAR(I182), MONTH(I182) +1, DAY(I182))</f>
        <v>45778</v>
      </c>
      <c r="K182" t="s">
        <v>28</v>
      </c>
      <c r="L182">
        <v>1</v>
      </c>
      <c r="M182">
        <v>20</v>
      </c>
      <c r="N182" t="s">
        <v>405</v>
      </c>
    </row>
    <row r="183" spans="1:21" x14ac:dyDescent="0.25">
      <c r="A183" t="s">
        <v>107</v>
      </c>
      <c r="B183">
        <v>8307933</v>
      </c>
      <c r="C183" t="s">
        <v>22</v>
      </c>
      <c r="D183" s="1">
        <v>44927</v>
      </c>
      <c r="E183" t="s">
        <v>109</v>
      </c>
      <c r="F183">
        <v>80146957</v>
      </c>
      <c r="G183" t="str">
        <f>CONCATENATE(F183,3)</f>
        <v>801469573</v>
      </c>
      <c r="H183" t="s">
        <v>24</v>
      </c>
      <c r="I183" s="1">
        <v>45748</v>
      </c>
      <c r="J183" s="1">
        <f>DATE(YEAR(I183), MONTH(I183) +1, DAY(I183))</f>
        <v>45778</v>
      </c>
      <c r="K183" t="s">
        <v>28</v>
      </c>
      <c r="L183">
        <v>1</v>
      </c>
      <c r="M183">
        <v>40</v>
      </c>
      <c r="N183" t="s">
        <v>405</v>
      </c>
      <c r="O183" t="s">
        <v>407</v>
      </c>
    </row>
    <row r="184" spans="1:21" x14ac:dyDescent="0.25">
      <c r="A184" t="s">
        <v>29</v>
      </c>
      <c r="B184" t="s">
        <v>404</v>
      </c>
      <c r="C184" t="s">
        <v>22</v>
      </c>
      <c r="D184" s="1">
        <v>45658</v>
      </c>
      <c r="E184" t="s">
        <v>334</v>
      </c>
      <c r="F184">
        <v>80146968</v>
      </c>
      <c r="G184" t="str">
        <f>CONCATENATE(F184,3)</f>
        <v>801469683</v>
      </c>
      <c r="H184" t="s">
        <v>24</v>
      </c>
      <c r="I184" s="1">
        <v>45778</v>
      </c>
      <c r="J184" s="1">
        <f>DATE(YEAR(I184), MONTH(I184) +1, DAY(I184))</f>
        <v>45809</v>
      </c>
      <c r="K184" t="s">
        <v>25</v>
      </c>
      <c r="L184">
        <v>1</v>
      </c>
      <c r="M184">
        <v>20</v>
      </c>
      <c r="N184" t="s">
        <v>405</v>
      </c>
    </row>
    <row r="185" spans="1:21" x14ac:dyDescent="0.25">
      <c r="A185" t="s">
        <v>29</v>
      </c>
      <c r="B185">
        <v>18781057</v>
      </c>
      <c r="C185" t="s">
        <v>22</v>
      </c>
      <c r="D185" s="1">
        <v>45323</v>
      </c>
      <c r="E185" t="s">
        <v>127</v>
      </c>
      <c r="F185">
        <v>80150807</v>
      </c>
      <c r="G185" t="str">
        <f>CONCATENATE(F185,3)</f>
        <v>801508073</v>
      </c>
      <c r="H185" t="s">
        <v>24</v>
      </c>
      <c r="I185" s="1">
        <v>45778</v>
      </c>
      <c r="J185" s="1">
        <f>DATE(YEAR(I185), MONTH(I185) +1, DAY(I185))</f>
        <v>45809</v>
      </c>
      <c r="K185" t="s">
        <v>25</v>
      </c>
      <c r="L185">
        <v>1</v>
      </c>
      <c r="M185">
        <v>40</v>
      </c>
      <c r="N185" t="s">
        <v>405</v>
      </c>
      <c r="O185" t="s">
        <v>407</v>
      </c>
    </row>
    <row r="186" spans="1:21" x14ac:dyDescent="0.25">
      <c r="A186" s="2" t="s">
        <v>232</v>
      </c>
      <c r="B186" s="2">
        <v>18794740</v>
      </c>
      <c r="C186" s="2" t="s">
        <v>22</v>
      </c>
      <c r="D186" s="3">
        <v>45292</v>
      </c>
      <c r="E186" s="2" t="s">
        <v>256</v>
      </c>
      <c r="F186" s="2">
        <v>80154642</v>
      </c>
      <c r="G186" t="str">
        <f>CONCATENATE(F186,3)</f>
        <v>801546423</v>
      </c>
      <c r="H186" s="2" t="s">
        <v>24</v>
      </c>
      <c r="I186" s="3">
        <v>45748</v>
      </c>
      <c r="J186" s="1">
        <f>DATE(YEAR(I186), MONTH(I186) +1, DAY(I186))</f>
        <v>45778</v>
      </c>
      <c r="K186" s="2" t="s">
        <v>28</v>
      </c>
      <c r="L186">
        <v>1</v>
      </c>
      <c r="M186" s="2">
        <v>20</v>
      </c>
      <c r="N186" t="s">
        <v>405</v>
      </c>
      <c r="O186" s="2"/>
      <c r="P186" s="2"/>
      <c r="Q186" s="2"/>
      <c r="R186" s="2"/>
      <c r="S186" s="2"/>
      <c r="T186" s="2"/>
      <c r="U186" s="2"/>
    </row>
    <row r="187" spans="1:21" x14ac:dyDescent="0.25">
      <c r="A187" t="s">
        <v>20</v>
      </c>
      <c r="B187" t="s">
        <v>403</v>
      </c>
      <c r="C187" t="s">
        <v>22</v>
      </c>
      <c r="D187" s="1">
        <v>44927</v>
      </c>
      <c r="E187" t="s">
        <v>197</v>
      </c>
      <c r="F187">
        <v>80154650</v>
      </c>
      <c r="G187" t="str">
        <f>CONCATENATE(F187,3)</f>
        <v>801546503</v>
      </c>
      <c r="H187" t="s">
        <v>24</v>
      </c>
      <c r="I187" s="1">
        <v>45778</v>
      </c>
      <c r="J187" s="1">
        <f>DATE(YEAR(I187), MONTH(I187) +1, DAY(I187))</f>
        <v>45809</v>
      </c>
      <c r="K187" t="s">
        <v>25</v>
      </c>
      <c r="L187">
        <v>1</v>
      </c>
      <c r="M187">
        <v>20</v>
      </c>
      <c r="N187" t="s">
        <v>405</v>
      </c>
    </row>
    <row r="188" spans="1:21" x14ac:dyDescent="0.25">
      <c r="A188" t="s">
        <v>20</v>
      </c>
      <c r="B188" t="s">
        <v>403</v>
      </c>
      <c r="C188" t="s">
        <v>22</v>
      </c>
      <c r="D188" s="1">
        <v>44927</v>
      </c>
      <c r="E188" t="s">
        <v>195</v>
      </c>
      <c r="F188">
        <v>80155267</v>
      </c>
      <c r="G188" t="str">
        <f>CONCATENATE(F188,3)</f>
        <v>801552673</v>
      </c>
      <c r="H188" t="s">
        <v>24</v>
      </c>
      <c r="I188" s="1">
        <v>45778</v>
      </c>
      <c r="J188" s="1">
        <f>DATE(YEAR(I188), MONTH(I188) +1, DAY(I188))</f>
        <v>45809</v>
      </c>
      <c r="K188" t="s">
        <v>25</v>
      </c>
      <c r="L188">
        <v>1</v>
      </c>
      <c r="M188">
        <v>20</v>
      </c>
      <c r="N188" t="s">
        <v>405</v>
      </c>
    </row>
    <row r="189" spans="1:21" x14ac:dyDescent="0.25">
      <c r="A189" t="s">
        <v>20</v>
      </c>
      <c r="B189" t="s">
        <v>403</v>
      </c>
      <c r="C189" t="s">
        <v>22</v>
      </c>
      <c r="D189" s="1">
        <v>44927</v>
      </c>
      <c r="E189" t="s">
        <v>298</v>
      </c>
      <c r="F189">
        <v>80155664</v>
      </c>
      <c r="G189" t="str">
        <f>CONCATENATE(F189,3)</f>
        <v>801556643</v>
      </c>
      <c r="H189" t="s">
        <v>24</v>
      </c>
      <c r="I189" s="1">
        <v>45748</v>
      </c>
      <c r="J189" s="1">
        <f>DATE(YEAR(I189), MONTH(I189) +1, DAY(I189))</f>
        <v>45778</v>
      </c>
      <c r="K189" t="s">
        <v>28</v>
      </c>
      <c r="L189">
        <v>1</v>
      </c>
      <c r="M189">
        <v>20</v>
      </c>
      <c r="N189" t="s">
        <v>405</v>
      </c>
    </row>
    <row r="190" spans="1:21" x14ac:dyDescent="0.25">
      <c r="A190" t="s">
        <v>20</v>
      </c>
      <c r="B190" t="s">
        <v>403</v>
      </c>
      <c r="C190" t="s">
        <v>22</v>
      </c>
      <c r="D190" s="1">
        <v>45231</v>
      </c>
      <c r="E190" t="s">
        <v>337</v>
      </c>
      <c r="F190">
        <v>80155834</v>
      </c>
      <c r="G190" t="str">
        <f>CONCATENATE(F190,3)</f>
        <v>801558343</v>
      </c>
      <c r="H190" t="s">
        <v>24</v>
      </c>
      <c r="I190" s="1">
        <v>45748</v>
      </c>
      <c r="J190" s="1">
        <f>DATE(YEAR(I190), MONTH(I190) +1, DAY(I190))</f>
        <v>45778</v>
      </c>
      <c r="K190" t="s">
        <v>28</v>
      </c>
      <c r="L190">
        <v>1</v>
      </c>
      <c r="M190">
        <v>40</v>
      </c>
      <c r="N190" t="s">
        <v>405</v>
      </c>
      <c r="O190" t="s">
        <v>407</v>
      </c>
    </row>
    <row r="191" spans="1:21" x14ac:dyDescent="0.25">
      <c r="A191" t="s">
        <v>20</v>
      </c>
      <c r="B191" t="s">
        <v>403</v>
      </c>
      <c r="C191" t="s">
        <v>22</v>
      </c>
      <c r="D191" s="1">
        <v>44958</v>
      </c>
      <c r="E191" t="s">
        <v>284</v>
      </c>
      <c r="F191">
        <v>80159736</v>
      </c>
      <c r="G191" t="str">
        <f>CONCATENATE(F191,3)</f>
        <v>801597363</v>
      </c>
      <c r="H191" t="s">
        <v>24</v>
      </c>
      <c r="I191" s="1">
        <v>45748</v>
      </c>
      <c r="J191" s="1">
        <f>DATE(YEAR(I191), MONTH(I191) +1, DAY(I191))</f>
        <v>45778</v>
      </c>
      <c r="K191" t="s">
        <v>28</v>
      </c>
      <c r="L191">
        <v>1</v>
      </c>
      <c r="M191">
        <v>20</v>
      </c>
      <c r="N191" t="s">
        <v>405</v>
      </c>
    </row>
    <row r="192" spans="1:21" x14ac:dyDescent="0.25">
      <c r="A192" t="s">
        <v>20</v>
      </c>
      <c r="B192" t="s">
        <v>403</v>
      </c>
      <c r="C192" t="s">
        <v>22</v>
      </c>
      <c r="D192" s="1">
        <v>45108</v>
      </c>
      <c r="E192" t="s">
        <v>323</v>
      </c>
      <c r="F192">
        <v>80161681</v>
      </c>
      <c r="G192" t="str">
        <f>CONCATENATE(F192,3)</f>
        <v>801616813</v>
      </c>
      <c r="H192" t="s">
        <v>24</v>
      </c>
      <c r="I192" s="1">
        <v>45717</v>
      </c>
      <c r="J192" s="1">
        <f>DATE(YEAR(I192), MONTH(I192) +1, DAY(I192))</f>
        <v>45748</v>
      </c>
      <c r="K192" t="s">
        <v>60</v>
      </c>
      <c r="L192">
        <v>1</v>
      </c>
      <c r="M192">
        <v>40</v>
      </c>
      <c r="N192" t="s">
        <v>405</v>
      </c>
      <c r="O192" t="s">
        <v>407</v>
      </c>
    </row>
    <row r="193" spans="1:15" x14ac:dyDescent="0.25">
      <c r="A193" t="s">
        <v>20</v>
      </c>
      <c r="B193" t="s">
        <v>403</v>
      </c>
      <c r="C193" t="s">
        <v>22</v>
      </c>
      <c r="D193" s="1">
        <v>45108</v>
      </c>
      <c r="E193" t="s">
        <v>323</v>
      </c>
      <c r="F193">
        <v>80161681</v>
      </c>
      <c r="G193" t="str">
        <f>CONCATENATE(F193,3)</f>
        <v>801616813</v>
      </c>
      <c r="H193" t="s">
        <v>24</v>
      </c>
      <c r="I193" s="1">
        <v>45748</v>
      </c>
      <c r="J193" s="1">
        <f>DATE(YEAR(I193), MONTH(I193) +1, DAY(I193))</f>
        <v>45778</v>
      </c>
      <c r="K193" t="s">
        <v>28</v>
      </c>
      <c r="L193">
        <v>1</v>
      </c>
      <c r="M193">
        <v>40</v>
      </c>
      <c r="N193" t="s">
        <v>405</v>
      </c>
      <c r="O193" t="s">
        <v>407</v>
      </c>
    </row>
    <row r="194" spans="1:15" x14ac:dyDescent="0.25">
      <c r="A194" t="s">
        <v>38</v>
      </c>
      <c r="B194">
        <v>16509456</v>
      </c>
      <c r="C194" t="s">
        <v>22</v>
      </c>
      <c r="D194" s="1">
        <v>45292</v>
      </c>
      <c r="E194" t="s">
        <v>54</v>
      </c>
      <c r="F194">
        <v>80162404</v>
      </c>
      <c r="G194" t="str">
        <f>CONCATENATE(F194,3)</f>
        <v>801624043</v>
      </c>
      <c r="H194" t="s">
        <v>24</v>
      </c>
      <c r="I194" s="1">
        <v>45748</v>
      </c>
      <c r="J194" s="1">
        <f>DATE(YEAR(I194), MONTH(I194) +1, DAY(I194))</f>
        <v>45778</v>
      </c>
      <c r="K194" t="s">
        <v>28</v>
      </c>
      <c r="L194">
        <v>1</v>
      </c>
      <c r="M194">
        <v>20</v>
      </c>
      <c r="N194" t="s">
        <v>405</v>
      </c>
    </row>
    <row r="195" spans="1:15" x14ac:dyDescent="0.25">
      <c r="A195" t="s">
        <v>29</v>
      </c>
      <c r="B195">
        <v>18781057</v>
      </c>
      <c r="C195" t="s">
        <v>22</v>
      </c>
      <c r="D195" s="1">
        <v>45292</v>
      </c>
      <c r="E195" t="s">
        <v>141</v>
      </c>
      <c r="F195">
        <v>80164953</v>
      </c>
      <c r="G195" t="str">
        <f>CONCATENATE(F195,3)</f>
        <v>801649533</v>
      </c>
      <c r="H195" t="s">
        <v>24</v>
      </c>
      <c r="I195" s="1">
        <v>45778</v>
      </c>
      <c r="J195" s="1">
        <f>DATE(YEAR(I195), MONTH(I195) +1, DAY(I195))</f>
        <v>45809</v>
      </c>
      <c r="K195" t="s">
        <v>25</v>
      </c>
      <c r="L195">
        <v>1</v>
      </c>
      <c r="M195">
        <v>20</v>
      </c>
      <c r="N195" t="s">
        <v>405</v>
      </c>
    </row>
    <row r="196" spans="1:15" x14ac:dyDescent="0.25">
      <c r="A196" t="s">
        <v>29</v>
      </c>
      <c r="B196">
        <v>18781057</v>
      </c>
      <c r="C196" t="s">
        <v>22</v>
      </c>
      <c r="D196" s="1">
        <v>45292</v>
      </c>
      <c r="E196" t="s">
        <v>386</v>
      </c>
      <c r="F196">
        <v>80165433</v>
      </c>
      <c r="G196" t="str">
        <f>CONCATENATE(F196,3)</f>
        <v>801654333</v>
      </c>
      <c r="H196" t="s">
        <v>24</v>
      </c>
      <c r="I196" s="1">
        <v>45778</v>
      </c>
      <c r="J196" s="1">
        <f>DATE(YEAR(I196), MONTH(I196) +1, DAY(I196))</f>
        <v>45809</v>
      </c>
      <c r="K196" t="s">
        <v>25</v>
      </c>
      <c r="L196">
        <v>1</v>
      </c>
      <c r="M196">
        <v>20</v>
      </c>
      <c r="N196" t="s">
        <v>405</v>
      </c>
    </row>
    <row r="197" spans="1:15" x14ac:dyDescent="0.25">
      <c r="A197" t="s">
        <v>20</v>
      </c>
      <c r="B197" t="s">
        <v>403</v>
      </c>
      <c r="C197" t="s">
        <v>22</v>
      </c>
      <c r="D197" s="1">
        <v>45292</v>
      </c>
      <c r="E197" t="s">
        <v>377</v>
      </c>
      <c r="F197">
        <v>80168880</v>
      </c>
      <c r="G197" t="str">
        <f>CONCATENATE(F197,3)</f>
        <v>801688803</v>
      </c>
      <c r="H197" t="s">
        <v>24</v>
      </c>
      <c r="I197" s="1">
        <v>45748</v>
      </c>
      <c r="J197" s="1">
        <f>DATE(YEAR(I197), MONTH(I197) +1, DAY(I197))</f>
        <v>45778</v>
      </c>
      <c r="K197" t="s">
        <v>28</v>
      </c>
      <c r="L197">
        <v>1</v>
      </c>
      <c r="M197">
        <v>20</v>
      </c>
      <c r="N197" t="s">
        <v>405</v>
      </c>
    </row>
    <row r="198" spans="1:15" x14ac:dyDescent="0.25">
      <c r="A198" t="s">
        <v>20</v>
      </c>
      <c r="B198" t="s">
        <v>403</v>
      </c>
      <c r="C198" t="s">
        <v>22</v>
      </c>
      <c r="D198" s="1">
        <v>45292</v>
      </c>
      <c r="E198" t="s">
        <v>320</v>
      </c>
      <c r="F198">
        <v>80169074</v>
      </c>
      <c r="G198" t="str">
        <f>CONCATENATE(F198,3)</f>
        <v>801690743</v>
      </c>
      <c r="H198" t="s">
        <v>24</v>
      </c>
      <c r="I198" s="1">
        <v>45778</v>
      </c>
      <c r="J198" s="1">
        <f>DATE(YEAR(I198), MONTH(I198) +1, DAY(I198))</f>
        <v>45809</v>
      </c>
      <c r="K198" t="s">
        <v>25</v>
      </c>
      <c r="L198">
        <v>1</v>
      </c>
      <c r="M198">
        <v>20</v>
      </c>
      <c r="N198" t="s">
        <v>405</v>
      </c>
    </row>
    <row r="199" spans="1:15" x14ac:dyDescent="0.25">
      <c r="A199" t="s">
        <v>29</v>
      </c>
      <c r="B199">
        <v>18781057</v>
      </c>
      <c r="C199" t="s">
        <v>22</v>
      </c>
      <c r="D199" s="1">
        <v>45292</v>
      </c>
      <c r="E199" t="s">
        <v>201</v>
      </c>
      <c r="F199">
        <v>80169782</v>
      </c>
      <c r="G199" t="str">
        <f>CONCATENATE(F199,3)</f>
        <v>801697823</v>
      </c>
      <c r="H199" t="s">
        <v>24</v>
      </c>
      <c r="I199" s="1">
        <v>45778</v>
      </c>
      <c r="J199" s="1">
        <f>DATE(YEAR(I199), MONTH(I199) +1, DAY(I199))</f>
        <v>45809</v>
      </c>
      <c r="K199" t="s">
        <v>25</v>
      </c>
      <c r="L199">
        <v>1</v>
      </c>
      <c r="M199">
        <v>20</v>
      </c>
      <c r="N199" t="s">
        <v>405</v>
      </c>
    </row>
    <row r="200" spans="1:15" x14ac:dyDescent="0.25">
      <c r="A200" t="s">
        <v>38</v>
      </c>
      <c r="B200">
        <v>16509456</v>
      </c>
      <c r="C200" t="s">
        <v>22</v>
      </c>
      <c r="D200" s="1">
        <v>44927</v>
      </c>
      <c r="E200" t="s">
        <v>112</v>
      </c>
      <c r="F200">
        <v>80170105</v>
      </c>
      <c r="G200" t="str">
        <f>CONCATENATE(F200,3)</f>
        <v>801701053</v>
      </c>
      <c r="H200" t="s">
        <v>24</v>
      </c>
      <c r="I200" s="1">
        <v>45748</v>
      </c>
      <c r="J200" s="1">
        <f>DATE(YEAR(I200), MONTH(I200) +1, DAY(I200))</f>
        <v>45778</v>
      </c>
      <c r="K200" t="s">
        <v>28</v>
      </c>
      <c r="L200">
        <v>1</v>
      </c>
      <c r="M200">
        <v>40</v>
      </c>
      <c r="N200" t="s">
        <v>405</v>
      </c>
      <c r="O200" t="s">
        <v>407</v>
      </c>
    </row>
    <row r="201" spans="1:15" x14ac:dyDescent="0.25">
      <c r="A201" t="s">
        <v>29</v>
      </c>
      <c r="B201">
        <v>18781057</v>
      </c>
      <c r="C201" t="s">
        <v>22</v>
      </c>
      <c r="D201" s="1">
        <v>45292</v>
      </c>
      <c r="E201" t="s">
        <v>103</v>
      </c>
      <c r="F201">
        <v>80170252</v>
      </c>
      <c r="G201" t="str">
        <f>CONCATENATE(F201,3)</f>
        <v>801702523</v>
      </c>
      <c r="H201" t="s">
        <v>24</v>
      </c>
      <c r="I201" s="1">
        <v>45778</v>
      </c>
      <c r="J201" s="1">
        <f>DATE(YEAR(I201), MONTH(I201) +1, DAY(I201))</f>
        <v>45809</v>
      </c>
      <c r="K201" t="s">
        <v>25</v>
      </c>
      <c r="L201">
        <v>1</v>
      </c>
      <c r="M201">
        <v>20</v>
      </c>
      <c r="N201" t="s">
        <v>405</v>
      </c>
    </row>
    <row r="202" spans="1:15" x14ac:dyDescent="0.25">
      <c r="A202" t="s">
        <v>20</v>
      </c>
      <c r="B202" t="s">
        <v>403</v>
      </c>
      <c r="C202" t="s">
        <v>22</v>
      </c>
      <c r="D202" s="1">
        <v>42005</v>
      </c>
      <c r="E202" t="s">
        <v>347</v>
      </c>
      <c r="F202">
        <v>80170385</v>
      </c>
      <c r="G202" t="str">
        <f>CONCATENATE(F202,3)</f>
        <v>801703853</v>
      </c>
      <c r="H202" t="s">
        <v>24</v>
      </c>
      <c r="I202" s="1">
        <v>45778</v>
      </c>
      <c r="J202" s="1">
        <f>DATE(YEAR(I202), MONTH(I202) +1, DAY(I202))</f>
        <v>45809</v>
      </c>
      <c r="K202" t="s">
        <v>25</v>
      </c>
      <c r="L202">
        <v>1</v>
      </c>
      <c r="M202">
        <v>20</v>
      </c>
      <c r="N202" t="s">
        <v>405</v>
      </c>
    </row>
    <row r="203" spans="1:15" x14ac:dyDescent="0.25">
      <c r="A203" t="s">
        <v>29</v>
      </c>
      <c r="B203">
        <v>18781057</v>
      </c>
      <c r="C203" t="s">
        <v>22</v>
      </c>
      <c r="D203" s="1">
        <v>45292</v>
      </c>
      <c r="E203" t="s">
        <v>369</v>
      </c>
      <c r="F203">
        <v>80171294</v>
      </c>
      <c r="G203" t="str">
        <f>CONCATENATE(F203,3)</f>
        <v>801712943</v>
      </c>
      <c r="H203" t="s">
        <v>24</v>
      </c>
      <c r="I203" s="1">
        <v>45778</v>
      </c>
      <c r="J203" s="1">
        <f>DATE(YEAR(I203), MONTH(I203) +1, DAY(I203))</f>
        <v>45809</v>
      </c>
      <c r="K203" t="s">
        <v>25</v>
      </c>
      <c r="L203">
        <v>1</v>
      </c>
      <c r="M203">
        <v>20</v>
      </c>
      <c r="N203" t="s">
        <v>405</v>
      </c>
    </row>
    <row r="204" spans="1:15" x14ac:dyDescent="0.25">
      <c r="A204" t="s">
        <v>20</v>
      </c>
      <c r="B204" t="s">
        <v>403</v>
      </c>
      <c r="C204" t="s">
        <v>22</v>
      </c>
      <c r="D204" s="1">
        <v>44927</v>
      </c>
      <c r="E204" t="s">
        <v>259</v>
      </c>
      <c r="F204">
        <v>80172902</v>
      </c>
      <c r="G204" t="str">
        <f>CONCATENATE(F204,3)</f>
        <v>801729023</v>
      </c>
      <c r="H204" t="s">
        <v>24</v>
      </c>
      <c r="I204" s="1">
        <v>45778</v>
      </c>
      <c r="J204" s="1">
        <f>DATE(YEAR(I204), MONTH(I204) +1, DAY(I204))</f>
        <v>45809</v>
      </c>
      <c r="K204" t="s">
        <v>25</v>
      </c>
      <c r="L204">
        <v>1</v>
      </c>
      <c r="M204">
        <v>20</v>
      </c>
      <c r="N204" t="s">
        <v>405</v>
      </c>
    </row>
    <row r="205" spans="1:15" x14ac:dyDescent="0.25">
      <c r="A205" t="s">
        <v>29</v>
      </c>
      <c r="B205" t="s">
        <v>404</v>
      </c>
      <c r="C205" t="s">
        <v>22</v>
      </c>
      <c r="D205" s="1">
        <v>45597</v>
      </c>
      <c r="E205" t="s">
        <v>75</v>
      </c>
      <c r="F205">
        <v>80178511</v>
      </c>
      <c r="G205" t="str">
        <f>CONCATENATE(F205,3)</f>
        <v>801785113</v>
      </c>
      <c r="H205" t="s">
        <v>24</v>
      </c>
      <c r="I205" s="1">
        <v>45658</v>
      </c>
      <c r="J205" s="1">
        <f>DATE(YEAR(I205), MONTH(I205) +1, DAY(I205))</f>
        <v>45689</v>
      </c>
      <c r="K205" t="s">
        <v>76</v>
      </c>
      <c r="L205">
        <v>1</v>
      </c>
      <c r="M205">
        <v>20</v>
      </c>
      <c r="N205" t="s">
        <v>405</v>
      </c>
    </row>
    <row r="206" spans="1:15" x14ac:dyDescent="0.25">
      <c r="A206" t="s">
        <v>29</v>
      </c>
      <c r="B206" t="s">
        <v>404</v>
      </c>
      <c r="C206" t="s">
        <v>22</v>
      </c>
      <c r="D206" s="1">
        <v>45597</v>
      </c>
      <c r="E206" t="s">
        <v>75</v>
      </c>
      <c r="F206">
        <v>80178511</v>
      </c>
      <c r="G206" t="str">
        <f>CONCATENATE(F206,3)</f>
        <v>801785113</v>
      </c>
      <c r="H206" t="s">
        <v>24</v>
      </c>
      <c r="I206" s="1">
        <v>45717</v>
      </c>
      <c r="J206" s="1">
        <f>DATE(YEAR(I206), MONTH(I206) +1, DAY(I206))</f>
        <v>45748</v>
      </c>
      <c r="K206" t="s">
        <v>60</v>
      </c>
      <c r="L206">
        <v>1</v>
      </c>
      <c r="M206">
        <v>20</v>
      </c>
      <c r="N206" t="s">
        <v>405</v>
      </c>
    </row>
    <row r="207" spans="1:15" x14ac:dyDescent="0.25">
      <c r="A207" t="s">
        <v>29</v>
      </c>
      <c r="B207" t="s">
        <v>404</v>
      </c>
      <c r="C207" t="s">
        <v>22</v>
      </c>
      <c r="D207" s="1">
        <v>45597</v>
      </c>
      <c r="E207" t="s">
        <v>75</v>
      </c>
      <c r="F207">
        <v>80178511</v>
      </c>
      <c r="G207" t="str">
        <f>CONCATENATE(F207,3)</f>
        <v>801785113</v>
      </c>
      <c r="H207" t="s">
        <v>24</v>
      </c>
      <c r="I207" s="1">
        <v>45689</v>
      </c>
      <c r="J207" s="1">
        <f>DATE(YEAR(I207), MONTH(I207) +1, DAY(I207))</f>
        <v>45717</v>
      </c>
      <c r="K207" t="s">
        <v>77</v>
      </c>
      <c r="L207">
        <v>1</v>
      </c>
      <c r="M207">
        <v>20</v>
      </c>
      <c r="N207" t="s">
        <v>405</v>
      </c>
    </row>
    <row r="208" spans="1:15" x14ac:dyDescent="0.25">
      <c r="A208" t="s">
        <v>29</v>
      </c>
      <c r="B208" t="s">
        <v>404</v>
      </c>
      <c r="C208" t="s">
        <v>22</v>
      </c>
      <c r="D208" s="1">
        <v>45597</v>
      </c>
      <c r="E208" t="s">
        <v>75</v>
      </c>
      <c r="F208">
        <v>80178511</v>
      </c>
      <c r="G208" t="str">
        <f>CONCATENATE(F208,3)</f>
        <v>801785113</v>
      </c>
      <c r="H208" t="s">
        <v>24</v>
      </c>
      <c r="I208" s="1">
        <v>45778</v>
      </c>
      <c r="J208" s="1">
        <f>DATE(YEAR(I208), MONTH(I208) +1, DAY(I208))</f>
        <v>45809</v>
      </c>
      <c r="K208" t="s">
        <v>25</v>
      </c>
      <c r="L208">
        <v>1</v>
      </c>
      <c r="M208">
        <v>20</v>
      </c>
      <c r="N208" t="s">
        <v>405</v>
      </c>
    </row>
    <row r="209" spans="1:21" x14ac:dyDescent="0.25">
      <c r="A209" t="s">
        <v>29</v>
      </c>
      <c r="B209" t="s">
        <v>404</v>
      </c>
      <c r="C209" t="s">
        <v>22</v>
      </c>
      <c r="D209" s="1">
        <v>45597</v>
      </c>
      <c r="E209" t="s">
        <v>75</v>
      </c>
      <c r="F209">
        <v>80178511</v>
      </c>
      <c r="G209" t="str">
        <f>CONCATENATE(F209,3)</f>
        <v>801785113</v>
      </c>
      <c r="H209" t="s">
        <v>24</v>
      </c>
      <c r="I209" s="1">
        <v>45748</v>
      </c>
      <c r="J209" s="1">
        <f>DATE(YEAR(I209), MONTH(I209) +1, DAY(I209))</f>
        <v>45778</v>
      </c>
      <c r="K209" t="s">
        <v>28</v>
      </c>
      <c r="L209">
        <v>1</v>
      </c>
      <c r="M209">
        <v>20</v>
      </c>
      <c r="N209" t="s">
        <v>405</v>
      </c>
    </row>
    <row r="210" spans="1:21" x14ac:dyDescent="0.25">
      <c r="A210" t="s">
        <v>20</v>
      </c>
      <c r="B210" t="s">
        <v>403</v>
      </c>
      <c r="C210" t="s">
        <v>22</v>
      </c>
      <c r="D210" s="1">
        <v>44958</v>
      </c>
      <c r="E210" t="s">
        <v>344</v>
      </c>
      <c r="F210">
        <v>80178889</v>
      </c>
      <c r="G210" t="str">
        <f>CONCATENATE(F210,3)</f>
        <v>801788893</v>
      </c>
      <c r="H210" t="s">
        <v>24</v>
      </c>
      <c r="I210" s="1">
        <v>45352</v>
      </c>
      <c r="J210" s="1">
        <f>DATE(YEAR(I210), MONTH(I210) +1, DAY(I210))</f>
        <v>45383</v>
      </c>
      <c r="K210" t="s">
        <v>60</v>
      </c>
      <c r="L210">
        <v>1</v>
      </c>
      <c r="M210">
        <v>20</v>
      </c>
      <c r="N210" t="s">
        <v>405</v>
      </c>
    </row>
    <row r="211" spans="1:21" x14ac:dyDescent="0.25">
      <c r="A211" t="s">
        <v>20</v>
      </c>
      <c r="B211" t="s">
        <v>403</v>
      </c>
      <c r="C211" t="s">
        <v>22</v>
      </c>
      <c r="D211" s="1">
        <v>44927</v>
      </c>
      <c r="E211" t="s">
        <v>126</v>
      </c>
      <c r="F211">
        <v>80178904</v>
      </c>
      <c r="G211" t="str">
        <f>CONCATENATE(F211,3)</f>
        <v>801789043</v>
      </c>
      <c r="H211" t="s">
        <v>24</v>
      </c>
      <c r="I211" s="1">
        <v>45748</v>
      </c>
      <c r="J211" s="1">
        <f>DATE(YEAR(I211), MONTH(I211) +1, DAY(I211))</f>
        <v>45778</v>
      </c>
      <c r="K211" t="s">
        <v>28</v>
      </c>
      <c r="L211">
        <v>1</v>
      </c>
      <c r="M211">
        <v>80</v>
      </c>
      <c r="N211" t="s">
        <v>405</v>
      </c>
      <c r="O211" t="s">
        <v>409</v>
      </c>
    </row>
    <row r="212" spans="1:21" x14ac:dyDescent="0.25">
      <c r="A212" t="s">
        <v>29</v>
      </c>
      <c r="B212">
        <v>18781057</v>
      </c>
      <c r="C212" t="s">
        <v>22</v>
      </c>
      <c r="D212" s="1">
        <v>45292</v>
      </c>
      <c r="E212" t="s">
        <v>69</v>
      </c>
      <c r="F212">
        <v>80180499</v>
      </c>
      <c r="G212" t="str">
        <f>CONCATENATE(F212,3)</f>
        <v>801804993</v>
      </c>
      <c r="H212" t="s">
        <v>24</v>
      </c>
      <c r="I212" s="1">
        <v>45778</v>
      </c>
      <c r="J212" s="1">
        <f>DATE(YEAR(I212), MONTH(I212) +1, DAY(I212))</f>
        <v>45809</v>
      </c>
      <c r="K212" t="s">
        <v>25</v>
      </c>
      <c r="L212">
        <v>1</v>
      </c>
      <c r="M212">
        <v>20</v>
      </c>
      <c r="N212" t="s">
        <v>405</v>
      </c>
    </row>
    <row r="213" spans="1:21" x14ac:dyDescent="0.25">
      <c r="A213" t="s">
        <v>20</v>
      </c>
      <c r="B213">
        <v>17425766</v>
      </c>
      <c r="C213" t="s">
        <v>22</v>
      </c>
      <c r="D213" s="1">
        <v>45658</v>
      </c>
      <c r="E213" t="s">
        <v>36</v>
      </c>
      <c r="F213">
        <v>80182459</v>
      </c>
      <c r="G213" t="str">
        <f>CONCATENATE(F213,3)</f>
        <v>801824593</v>
      </c>
      <c r="H213" t="s">
        <v>24</v>
      </c>
      <c r="I213" s="1">
        <v>45778</v>
      </c>
      <c r="J213" s="1">
        <f>DATE(YEAR(I213), MONTH(I213) +1, DAY(I213))</f>
        <v>45809</v>
      </c>
      <c r="K213" t="s">
        <v>25</v>
      </c>
      <c r="L213">
        <v>1</v>
      </c>
      <c r="M213">
        <v>20</v>
      </c>
      <c r="N213" t="s">
        <v>405</v>
      </c>
    </row>
    <row r="214" spans="1:21" x14ac:dyDescent="0.25">
      <c r="A214" t="s">
        <v>20</v>
      </c>
      <c r="B214" t="s">
        <v>403</v>
      </c>
      <c r="C214" t="s">
        <v>22</v>
      </c>
      <c r="D214" s="1">
        <v>44927</v>
      </c>
      <c r="E214" t="s">
        <v>382</v>
      </c>
      <c r="F214">
        <v>80183703</v>
      </c>
      <c r="G214" t="str">
        <f>CONCATENATE(F214,3)</f>
        <v>801837033</v>
      </c>
      <c r="H214" t="s">
        <v>24</v>
      </c>
      <c r="I214" s="1">
        <v>45778</v>
      </c>
      <c r="J214" s="1">
        <f>DATE(YEAR(I214), MONTH(I214) +1, DAY(I214))</f>
        <v>45809</v>
      </c>
      <c r="K214" t="s">
        <v>25</v>
      </c>
      <c r="L214">
        <v>1</v>
      </c>
      <c r="M214">
        <v>20</v>
      </c>
      <c r="N214" t="s">
        <v>405</v>
      </c>
    </row>
    <row r="215" spans="1:21" x14ac:dyDescent="0.25">
      <c r="A215" t="s">
        <v>29</v>
      </c>
      <c r="B215">
        <v>18781057</v>
      </c>
      <c r="C215" t="s">
        <v>22</v>
      </c>
      <c r="D215" s="1">
        <v>45292</v>
      </c>
      <c r="E215" t="s">
        <v>248</v>
      </c>
      <c r="F215">
        <v>80185610</v>
      </c>
      <c r="G215" t="str">
        <f>CONCATENATE(F215,3)</f>
        <v>801856103</v>
      </c>
      <c r="H215" t="s">
        <v>24</v>
      </c>
      <c r="I215" s="1">
        <v>45778</v>
      </c>
      <c r="J215" s="1">
        <f>DATE(YEAR(I215), MONTH(I215) +1, DAY(I215))</f>
        <v>45809</v>
      </c>
      <c r="K215" t="s">
        <v>25</v>
      </c>
      <c r="L215">
        <v>1</v>
      </c>
      <c r="M215">
        <v>20</v>
      </c>
      <c r="N215" t="s">
        <v>405</v>
      </c>
    </row>
    <row r="216" spans="1:21" x14ac:dyDescent="0.25">
      <c r="A216" t="s">
        <v>20</v>
      </c>
      <c r="B216" t="s">
        <v>403</v>
      </c>
      <c r="C216" t="s">
        <v>22</v>
      </c>
      <c r="D216" s="1">
        <v>44927</v>
      </c>
      <c r="E216" t="s">
        <v>392</v>
      </c>
      <c r="F216">
        <v>80186183</v>
      </c>
      <c r="G216" t="str">
        <f>CONCATENATE(F216,3)</f>
        <v>801861833</v>
      </c>
      <c r="H216" t="s">
        <v>24</v>
      </c>
      <c r="I216" s="1">
        <v>45778</v>
      </c>
      <c r="J216" s="1">
        <f>DATE(YEAR(I216), MONTH(I216) +1, DAY(I216))</f>
        <v>45809</v>
      </c>
      <c r="K216" t="s">
        <v>25</v>
      </c>
      <c r="L216">
        <v>1</v>
      </c>
      <c r="M216">
        <v>40</v>
      </c>
      <c r="N216" t="s">
        <v>405</v>
      </c>
      <c r="O216" t="s">
        <v>407</v>
      </c>
    </row>
    <row r="217" spans="1:21" x14ac:dyDescent="0.25">
      <c r="A217" t="s">
        <v>20</v>
      </c>
      <c r="B217" t="s">
        <v>403</v>
      </c>
      <c r="C217" t="s">
        <v>22</v>
      </c>
      <c r="D217" s="1">
        <v>45292</v>
      </c>
      <c r="E217" t="s">
        <v>316</v>
      </c>
      <c r="F217">
        <v>80188169</v>
      </c>
      <c r="G217" t="str">
        <f>CONCATENATE(F217,3)</f>
        <v>801881693</v>
      </c>
      <c r="H217" t="s">
        <v>24</v>
      </c>
      <c r="I217" s="1">
        <v>45717</v>
      </c>
      <c r="J217" s="1">
        <f>DATE(YEAR(I217), MONTH(I217) +1, DAY(I217))</f>
        <v>45748</v>
      </c>
      <c r="K217" t="s">
        <v>60</v>
      </c>
      <c r="L217">
        <v>1</v>
      </c>
      <c r="M217">
        <v>20</v>
      </c>
      <c r="N217" t="s">
        <v>405</v>
      </c>
    </row>
    <row r="218" spans="1:21" x14ac:dyDescent="0.25">
      <c r="A218" t="s">
        <v>29</v>
      </c>
      <c r="B218">
        <v>18781057</v>
      </c>
      <c r="C218" t="s">
        <v>22</v>
      </c>
      <c r="D218" s="1">
        <v>45292</v>
      </c>
      <c r="E218" t="s">
        <v>56</v>
      </c>
      <c r="F218">
        <v>80189669</v>
      </c>
      <c r="G218" t="str">
        <f>CONCATENATE(F218,3)</f>
        <v>801896693</v>
      </c>
      <c r="H218" t="s">
        <v>24</v>
      </c>
      <c r="I218" s="1">
        <v>45778</v>
      </c>
      <c r="J218" s="1">
        <f>DATE(YEAR(I218), MONTH(I218) +1, DAY(I218))</f>
        <v>45809</v>
      </c>
      <c r="K218" t="s">
        <v>25</v>
      </c>
      <c r="L218">
        <v>1</v>
      </c>
      <c r="M218">
        <v>40</v>
      </c>
      <c r="N218" t="s">
        <v>405</v>
      </c>
      <c r="O218" t="s">
        <v>407</v>
      </c>
    </row>
    <row r="219" spans="1:21" x14ac:dyDescent="0.25">
      <c r="A219" t="s">
        <v>20</v>
      </c>
      <c r="B219" t="s">
        <v>403</v>
      </c>
      <c r="C219" t="s">
        <v>22</v>
      </c>
      <c r="D219" s="1">
        <v>44927</v>
      </c>
      <c r="E219" t="s">
        <v>277</v>
      </c>
      <c r="F219">
        <v>80190285</v>
      </c>
      <c r="G219" t="str">
        <f>CONCATENATE(F219,3)</f>
        <v>801902853</v>
      </c>
      <c r="H219" t="s">
        <v>24</v>
      </c>
      <c r="I219" s="1">
        <v>45748</v>
      </c>
      <c r="J219" s="1">
        <f>DATE(YEAR(I219), MONTH(I219) +1, DAY(I219))</f>
        <v>45778</v>
      </c>
      <c r="K219" t="s">
        <v>28</v>
      </c>
      <c r="L219">
        <v>1</v>
      </c>
      <c r="M219">
        <v>20</v>
      </c>
      <c r="N219" t="s">
        <v>405</v>
      </c>
    </row>
    <row r="220" spans="1:21" x14ac:dyDescent="0.25">
      <c r="A220" t="s">
        <v>20</v>
      </c>
      <c r="B220" t="s">
        <v>403</v>
      </c>
      <c r="C220" t="s">
        <v>22</v>
      </c>
      <c r="D220" s="1">
        <v>44927</v>
      </c>
      <c r="E220" t="s">
        <v>45</v>
      </c>
      <c r="F220">
        <v>80191015</v>
      </c>
      <c r="G220" t="str">
        <f>CONCATENATE(F220,3)</f>
        <v>801910153</v>
      </c>
      <c r="H220" t="s">
        <v>24</v>
      </c>
      <c r="I220" s="1">
        <v>45778</v>
      </c>
      <c r="J220" s="1">
        <f>DATE(YEAR(I220), MONTH(I220) +1, DAY(I220))</f>
        <v>45809</v>
      </c>
      <c r="K220" t="s">
        <v>25</v>
      </c>
      <c r="L220">
        <v>1</v>
      </c>
      <c r="M220">
        <v>20</v>
      </c>
      <c r="N220" t="s">
        <v>405</v>
      </c>
    </row>
    <row r="221" spans="1:21" x14ac:dyDescent="0.25">
      <c r="A221" t="s">
        <v>20</v>
      </c>
      <c r="B221">
        <v>17425766</v>
      </c>
      <c r="C221" t="s">
        <v>22</v>
      </c>
      <c r="D221" s="1">
        <v>45566</v>
      </c>
      <c r="E221" t="s">
        <v>35</v>
      </c>
      <c r="F221">
        <v>80193285</v>
      </c>
      <c r="G221" t="str">
        <f>CONCATENATE(F221,3)</f>
        <v>801932853</v>
      </c>
      <c r="H221" t="s">
        <v>24</v>
      </c>
      <c r="I221" s="1">
        <v>45778</v>
      </c>
      <c r="J221" s="1">
        <f>DATE(YEAR(I221), MONTH(I221) +1, DAY(I221))</f>
        <v>45809</v>
      </c>
      <c r="K221" t="s">
        <v>25</v>
      </c>
      <c r="L221">
        <v>1</v>
      </c>
      <c r="M221">
        <v>20</v>
      </c>
      <c r="N221" t="s">
        <v>405</v>
      </c>
    </row>
    <row r="222" spans="1:21" s="2" customFormat="1" x14ac:dyDescent="0.25">
      <c r="A222" t="s">
        <v>20</v>
      </c>
      <c r="B222" t="s">
        <v>403</v>
      </c>
      <c r="C222" t="s">
        <v>22</v>
      </c>
      <c r="D222" s="1">
        <v>44927</v>
      </c>
      <c r="E222" t="s">
        <v>381</v>
      </c>
      <c r="F222">
        <v>80193826</v>
      </c>
      <c r="G222" t="str">
        <f>CONCATENATE(F222,3)</f>
        <v>801938263</v>
      </c>
      <c r="H222" t="s">
        <v>24</v>
      </c>
      <c r="I222" s="1">
        <v>45748</v>
      </c>
      <c r="J222" s="1">
        <f>DATE(YEAR(I222), MONTH(I222) +1, DAY(I222))</f>
        <v>45778</v>
      </c>
      <c r="K222" t="s">
        <v>28</v>
      </c>
      <c r="L222">
        <v>1</v>
      </c>
      <c r="M222">
        <v>20</v>
      </c>
      <c r="N222" t="s">
        <v>405</v>
      </c>
      <c r="O222"/>
      <c r="P222"/>
      <c r="Q222"/>
      <c r="R222"/>
      <c r="S222"/>
      <c r="T222"/>
      <c r="U222"/>
    </row>
    <row r="223" spans="1:21" s="2" customFormat="1" x14ac:dyDescent="0.25">
      <c r="A223" t="s">
        <v>38</v>
      </c>
      <c r="B223">
        <v>16509456</v>
      </c>
      <c r="C223" t="s">
        <v>22</v>
      </c>
      <c r="D223" s="1">
        <v>44927</v>
      </c>
      <c r="E223" t="s">
        <v>87</v>
      </c>
      <c r="F223">
        <v>80193978</v>
      </c>
      <c r="G223" t="str">
        <f>CONCATENATE(F223,3)</f>
        <v>801939783</v>
      </c>
      <c r="H223" t="s">
        <v>24</v>
      </c>
      <c r="I223" s="1">
        <v>45778</v>
      </c>
      <c r="J223" s="1">
        <f>DATE(YEAR(I223), MONTH(I223) +1, DAY(I223))</f>
        <v>45809</v>
      </c>
      <c r="K223" t="s">
        <v>25</v>
      </c>
      <c r="L223">
        <v>1</v>
      </c>
      <c r="M223">
        <v>40</v>
      </c>
      <c r="N223" t="s">
        <v>405</v>
      </c>
      <c r="O223" t="s">
        <v>407</v>
      </c>
      <c r="P223"/>
      <c r="Q223"/>
      <c r="R223"/>
      <c r="S223"/>
      <c r="T223"/>
      <c r="U223"/>
    </row>
    <row r="224" spans="1:21" s="2" customFormat="1" x14ac:dyDescent="0.25">
      <c r="A224" t="s">
        <v>29</v>
      </c>
      <c r="B224" t="s">
        <v>404</v>
      </c>
      <c r="C224" t="s">
        <v>22</v>
      </c>
      <c r="D224" s="1">
        <v>45658</v>
      </c>
      <c r="E224" t="s">
        <v>341</v>
      </c>
      <c r="F224">
        <v>80194580</v>
      </c>
      <c r="G224" t="str">
        <f>CONCATENATE(F224,3)</f>
        <v>801945803</v>
      </c>
      <c r="H224" t="s">
        <v>24</v>
      </c>
      <c r="I224" s="1">
        <v>45778</v>
      </c>
      <c r="J224" s="1">
        <f>DATE(YEAR(I224), MONTH(I224) +1, DAY(I224))</f>
        <v>45809</v>
      </c>
      <c r="K224" t="s">
        <v>25</v>
      </c>
      <c r="L224">
        <v>1</v>
      </c>
      <c r="M224">
        <v>20</v>
      </c>
      <c r="N224" t="s">
        <v>405</v>
      </c>
      <c r="O224"/>
      <c r="P224"/>
      <c r="Q224"/>
      <c r="R224"/>
      <c r="S224"/>
      <c r="T224"/>
      <c r="U224"/>
    </row>
    <row r="225" spans="1:21" s="2" customFormat="1" x14ac:dyDescent="0.25">
      <c r="A225" t="s">
        <v>20</v>
      </c>
      <c r="B225" t="s">
        <v>403</v>
      </c>
      <c r="C225" t="s">
        <v>22</v>
      </c>
      <c r="D225" s="1">
        <v>45170</v>
      </c>
      <c r="E225" t="s">
        <v>367</v>
      </c>
      <c r="F225">
        <v>80197534</v>
      </c>
      <c r="G225" t="str">
        <f>CONCATENATE(F225,3)</f>
        <v>801975343</v>
      </c>
      <c r="H225" t="s">
        <v>24</v>
      </c>
      <c r="I225" s="1">
        <v>45717</v>
      </c>
      <c r="J225" s="1">
        <f>DATE(YEAR(I225), MONTH(I225) +1, DAY(I225))</f>
        <v>45748</v>
      </c>
      <c r="K225" t="s">
        <v>60</v>
      </c>
      <c r="L225">
        <v>1</v>
      </c>
      <c r="M225">
        <v>20</v>
      </c>
      <c r="N225" t="s">
        <v>405</v>
      </c>
      <c r="O225"/>
      <c r="P225"/>
      <c r="Q225"/>
      <c r="R225"/>
      <c r="S225"/>
      <c r="T225"/>
      <c r="U225"/>
    </row>
    <row r="226" spans="1:21" s="2" customFormat="1" x14ac:dyDescent="0.25">
      <c r="A226" t="s">
        <v>20</v>
      </c>
      <c r="B226" t="s">
        <v>403</v>
      </c>
      <c r="C226" t="s">
        <v>22</v>
      </c>
      <c r="D226" s="1">
        <v>45170</v>
      </c>
      <c r="E226" t="s">
        <v>367</v>
      </c>
      <c r="F226">
        <v>80197534</v>
      </c>
      <c r="G226" t="str">
        <f>CONCATENATE(F226,3)</f>
        <v>801975343</v>
      </c>
      <c r="H226" t="s">
        <v>24</v>
      </c>
      <c r="I226" s="1">
        <v>45748</v>
      </c>
      <c r="J226" s="1">
        <f>DATE(YEAR(I226), MONTH(I226) +1, DAY(I226))</f>
        <v>45778</v>
      </c>
      <c r="K226" t="s">
        <v>28</v>
      </c>
      <c r="L226">
        <v>1</v>
      </c>
      <c r="M226">
        <v>20</v>
      </c>
      <c r="N226" t="s">
        <v>405</v>
      </c>
      <c r="O226"/>
      <c r="P226"/>
      <c r="Q226"/>
      <c r="R226"/>
      <c r="S226"/>
      <c r="T226"/>
      <c r="U226"/>
    </row>
    <row r="227" spans="1:21" x14ac:dyDescent="0.25">
      <c r="A227" t="s">
        <v>20</v>
      </c>
      <c r="B227" t="s">
        <v>403</v>
      </c>
      <c r="C227" t="s">
        <v>22</v>
      </c>
      <c r="D227" s="1">
        <v>44927</v>
      </c>
      <c r="E227" t="s">
        <v>357</v>
      </c>
      <c r="F227">
        <v>80197564</v>
      </c>
      <c r="G227" t="str">
        <f>CONCATENATE(F227,3)</f>
        <v>801975643</v>
      </c>
      <c r="H227" t="s">
        <v>24</v>
      </c>
      <c r="I227" s="1">
        <v>45778</v>
      </c>
      <c r="J227" s="1">
        <f>DATE(YEAR(I227), MONTH(I227) +1, DAY(I227))</f>
        <v>45809</v>
      </c>
      <c r="K227" t="s">
        <v>25</v>
      </c>
      <c r="L227">
        <v>1</v>
      </c>
      <c r="M227">
        <v>20</v>
      </c>
      <c r="N227" t="s">
        <v>405</v>
      </c>
    </row>
    <row r="228" spans="1:21" x14ac:dyDescent="0.25">
      <c r="A228" t="s">
        <v>29</v>
      </c>
      <c r="B228">
        <v>18781057</v>
      </c>
      <c r="C228" t="s">
        <v>22</v>
      </c>
      <c r="D228" s="1">
        <v>45292</v>
      </c>
      <c r="E228" t="s">
        <v>71</v>
      </c>
      <c r="F228">
        <v>80198949</v>
      </c>
      <c r="G228" t="str">
        <f>CONCATENATE(F228,3)</f>
        <v>801989493</v>
      </c>
      <c r="H228" t="s">
        <v>24</v>
      </c>
      <c r="I228" s="1">
        <v>45778</v>
      </c>
      <c r="J228" s="1">
        <f>DATE(YEAR(I228), MONTH(I228) +1, DAY(I228))</f>
        <v>45809</v>
      </c>
      <c r="K228" t="s">
        <v>25</v>
      </c>
      <c r="L228">
        <v>1</v>
      </c>
      <c r="M228">
        <v>20</v>
      </c>
      <c r="N228" t="s">
        <v>405</v>
      </c>
    </row>
    <row r="229" spans="1:21" x14ac:dyDescent="0.25">
      <c r="A229" t="s">
        <v>20</v>
      </c>
      <c r="B229" t="s">
        <v>403</v>
      </c>
      <c r="C229" t="s">
        <v>22</v>
      </c>
      <c r="D229" s="1">
        <v>44927</v>
      </c>
      <c r="E229" t="s">
        <v>190</v>
      </c>
      <c r="F229">
        <v>80201106</v>
      </c>
      <c r="G229" t="str">
        <f>CONCATENATE(F229,3)</f>
        <v>802011063</v>
      </c>
      <c r="H229" t="s">
        <v>24</v>
      </c>
      <c r="I229" s="1">
        <v>45778</v>
      </c>
      <c r="J229" s="1">
        <f>DATE(YEAR(I229), MONTH(I229) +1, DAY(I229))</f>
        <v>45809</v>
      </c>
      <c r="K229" t="s">
        <v>25</v>
      </c>
      <c r="L229">
        <v>1</v>
      </c>
      <c r="M229">
        <v>20</v>
      </c>
      <c r="N229" t="s">
        <v>405</v>
      </c>
    </row>
    <row r="230" spans="1:21" x14ac:dyDescent="0.25">
      <c r="A230" t="s">
        <v>20</v>
      </c>
      <c r="B230" t="s">
        <v>403</v>
      </c>
      <c r="C230" t="s">
        <v>22</v>
      </c>
      <c r="D230" s="1">
        <v>45139</v>
      </c>
      <c r="E230" t="s">
        <v>230</v>
      </c>
      <c r="F230">
        <v>80201150</v>
      </c>
      <c r="G230" t="str">
        <f>CONCATENATE(F230,3)</f>
        <v>802011503</v>
      </c>
      <c r="H230" t="s">
        <v>24</v>
      </c>
      <c r="I230" s="1">
        <v>45778</v>
      </c>
      <c r="J230" s="1">
        <f>DATE(YEAR(I230), MONTH(I230) +1, DAY(I230))</f>
        <v>45809</v>
      </c>
      <c r="K230" t="s">
        <v>25</v>
      </c>
      <c r="L230">
        <v>1</v>
      </c>
      <c r="M230">
        <v>20</v>
      </c>
      <c r="N230" t="s">
        <v>405</v>
      </c>
    </row>
    <row r="231" spans="1:21" x14ac:dyDescent="0.25">
      <c r="A231" t="s">
        <v>38</v>
      </c>
      <c r="B231">
        <v>16509456</v>
      </c>
      <c r="C231" t="s">
        <v>22</v>
      </c>
      <c r="D231" s="1">
        <v>45200</v>
      </c>
      <c r="E231" t="s">
        <v>294</v>
      </c>
      <c r="F231">
        <v>80202343</v>
      </c>
      <c r="G231" t="str">
        <f>CONCATENATE(F231,3)</f>
        <v>802023433</v>
      </c>
      <c r="H231" t="s">
        <v>24</v>
      </c>
      <c r="I231" s="1">
        <v>45748</v>
      </c>
      <c r="J231" s="1">
        <f>DATE(YEAR(I231), MONTH(I231) +1, DAY(I231))</f>
        <v>45778</v>
      </c>
      <c r="K231" t="s">
        <v>28</v>
      </c>
      <c r="L231">
        <v>1</v>
      </c>
      <c r="M231">
        <v>40</v>
      </c>
      <c r="N231" t="s">
        <v>405</v>
      </c>
      <c r="O231" t="s">
        <v>407</v>
      </c>
    </row>
    <row r="232" spans="1:21" x14ac:dyDescent="0.25">
      <c r="A232" s="2" t="s">
        <v>232</v>
      </c>
      <c r="B232" s="2">
        <v>18794740</v>
      </c>
      <c r="C232" s="2" t="s">
        <v>22</v>
      </c>
      <c r="D232" s="3">
        <v>45292</v>
      </c>
      <c r="E232" s="2" t="s">
        <v>234</v>
      </c>
      <c r="F232" s="2">
        <v>80203860</v>
      </c>
      <c r="G232" t="str">
        <f>CONCATENATE(F232,3)</f>
        <v>802038603</v>
      </c>
      <c r="H232" s="2" t="s">
        <v>24</v>
      </c>
      <c r="I232" s="3">
        <v>45748</v>
      </c>
      <c r="J232" s="1">
        <f>DATE(YEAR(I232), MONTH(I232) +1, DAY(I232))</f>
        <v>45778</v>
      </c>
      <c r="K232" s="2" t="s">
        <v>28</v>
      </c>
      <c r="L232">
        <v>1</v>
      </c>
      <c r="M232" s="2">
        <v>20</v>
      </c>
      <c r="N232" t="s">
        <v>405</v>
      </c>
      <c r="O232" s="2"/>
      <c r="P232" s="2"/>
      <c r="Q232" s="2"/>
      <c r="R232" s="2"/>
      <c r="S232" s="2"/>
      <c r="T232" s="2"/>
      <c r="U232" s="2"/>
    </row>
    <row r="233" spans="1:21" x14ac:dyDescent="0.25">
      <c r="A233" t="s">
        <v>38</v>
      </c>
      <c r="B233">
        <v>16509456</v>
      </c>
      <c r="C233" t="s">
        <v>22</v>
      </c>
      <c r="D233" s="1">
        <v>44927</v>
      </c>
      <c r="E233" t="s">
        <v>264</v>
      </c>
      <c r="F233">
        <v>80204064</v>
      </c>
      <c r="G233" t="str">
        <f>CONCATENATE(F233,3)</f>
        <v>802040643</v>
      </c>
      <c r="H233" t="s">
        <v>24</v>
      </c>
      <c r="I233" s="1">
        <v>45778</v>
      </c>
      <c r="J233" s="1">
        <f>DATE(YEAR(I233), MONTH(I233) +1, DAY(I233))</f>
        <v>45809</v>
      </c>
      <c r="K233" t="s">
        <v>25</v>
      </c>
      <c r="L233">
        <v>1</v>
      </c>
      <c r="M233">
        <v>40</v>
      </c>
      <c r="N233" t="s">
        <v>405</v>
      </c>
      <c r="O233" t="s">
        <v>407</v>
      </c>
    </row>
    <row r="234" spans="1:21" x14ac:dyDescent="0.25">
      <c r="A234" t="s">
        <v>20</v>
      </c>
      <c r="B234" t="s">
        <v>403</v>
      </c>
      <c r="C234" t="s">
        <v>22</v>
      </c>
      <c r="D234" s="1">
        <v>44927</v>
      </c>
      <c r="E234" t="s">
        <v>376</v>
      </c>
      <c r="F234">
        <v>80204982</v>
      </c>
      <c r="G234" t="str">
        <f>CONCATENATE(F234,3)</f>
        <v>802049823</v>
      </c>
      <c r="H234" t="s">
        <v>24</v>
      </c>
      <c r="I234" s="1">
        <v>45778</v>
      </c>
      <c r="J234" s="1">
        <f>DATE(YEAR(I234), MONTH(I234) +1, DAY(I234))</f>
        <v>45809</v>
      </c>
      <c r="K234" t="s">
        <v>25</v>
      </c>
      <c r="L234">
        <v>1</v>
      </c>
      <c r="M234">
        <v>20</v>
      </c>
      <c r="N234" t="s">
        <v>405</v>
      </c>
    </row>
    <row r="235" spans="1:21" x14ac:dyDescent="0.25">
      <c r="A235" t="s">
        <v>20</v>
      </c>
      <c r="B235" t="s">
        <v>403</v>
      </c>
      <c r="C235" t="s">
        <v>22</v>
      </c>
      <c r="D235" s="1">
        <v>44927</v>
      </c>
      <c r="E235" t="s">
        <v>214</v>
      </c>
      <c r="F235">
        <v>80205892</v>
      </c>
      <c r="G235" t="str">
        <f>CONCATENATE(F235,3)</f>
        <v>802058923</v>
      </c>
      <c r="H235" t="s">
        <v>24</v>
      </c>
      <c r="I235" s="1">
        <v>45748</v>
      </c>
      <c r="J235" s="1">
        <f>DATE(YEAR(I235), MONTH(I235) +1, DAY(I235))</f>
        <v>45778</v>
      </c>
      <c r="K235" t="s">
        <v>28</v>
      </c>
      <c r="L235">
        <v>1</v>
      </c>
      <c r="M235">
        <v>20</v>
      </c>
      <c r="N235" t="s">
        <v>405</v>
      </c>
    </row>
    <row r="236" spans="1:21" x14ac:dyDescent="0.25">
      <c r="A236" t="s">
        <v>29</v>
      </c>
      <c r="B236">
        <v>18781057</v>
      </c>
      <c r="C236" t="s">
        <v>22</v>
      </c>
      <c r="D236" s="1">
        <v>45292</v>
      </c>
      <c r="E236" t="s">
        <v>356</v>
      </c>
      <c r="F236">
        <v>80207254</v>
      </c>
      <c r="G236" t="str">
        <f>CONCATENATE(F236,3)</f>
        <v>802072543</v>
      </c>
      <c r="H236" t="s">
        <v>24</v>
      </c>
      <c r="I236" s="1">
        <v>45778</v>
      </c>
      <c r="J236" s="1">
        <f>DATE(YEAR(I236), MONTH(I236) +1, DAY(I236))</f>
        <v>45809</v>
      </c>
      <c r="K236" t="s">
        <v>25</v>
      </c>
      <c r="L236">
        <v>1</v>
      </c>
      <c r="M236">
        <v>20</v>
      </c>
      <c r="N236" t="s">
        <v>405</v>
      </c>
    </row>
    <row r="237" spans="1:21" x14ac:dyDescent="0.25">
      <c r="A237" t="s">
        <v>29</v>
      </c>
      <c r="B237">
        <v>18781057</v>
      </c>
      <c r="C237" t="s">
        <v>22</v>
      </c>
      <c r="D237" s="1">
        <v>45292</v>
      </c>
      <c r="E237" t="s">
        <v>88</v>
      </c>
      <c r="F237">
        <v>80207270</v>
      </c>
      <c r="G237" t="str">
        <f>CONCATENATE(F237,3)</f>
        <v>802072703</v>
      </c>
      <c r="H237" t="s">
        <v>24</v>
      </c>
      <c r="I237" s="1">
        <v>45778</v>
      </c>
      <c r="J237" s="1">
        <f>DATE(YEAR(I237), MONTH(I237) +1, DAY(I237))</f>
        <v>45809</v>
      </c>
      <c r="K237" t="s">
        <v>25</v>
      </c>
      <c r="L237">
        <v>1</v>
      </c>
      <c r="M237">
        <v>20</v>
      </c>
      <c r="N237" t="s">
        <v>405</v>
      </c>
    </row>
    <row r="238" spans="1:21" x14ac:dyDescent="0.25">
      <c r="A238" t="s">
        <v>20</v>
      </c>
      <c r="B238" t="s">
        <v>403</v>
      </c>
      <c r="C238" t="s">
        <v>22</v>
      </c>
      <c r="D238" s="1">
        <v>44927</v>
      </c>
      <c r="E238" t="s">
        <v>293</v>
      </c>
      <c r="F238">
        <v>80208583</v>
      </c>
      <c r="G238" t="str">
        <f>CONCATENATE(F238,3)</f>
        <v>802085833</v>
      </c>
      <c r="H238" t="s">
        <v>24</v>
      </c>
      <c r="I238" s="1">
        <v>45778</v>
      </c>
      <c r="J238" s="1">
        <f>DATE(YEAR(I238), MONTH(I238) +1, DAY(I238))</f>
        <v>45809</v>
      </c>
      <c r="K238" t="s">
        <v>25</v>
      </c>
      <c r="L238">
        <v>1</v>
      </c>
      <c r="M238">
        <v>20</v>
      </c>
      <c r="N238" t="s">
        <v>405</v>
      </c>
    </row>
    <row r="239" spans="1:21" x14ac:dyDescent="0.25">
      <c r="A239" t="s">
        <v>38</v>
      </c>
      <c r="B239">
        <v>16509456</v>
      </c>
      <c r="C239" t="s">
        <v>22</v>
      </c>
      <c r="D239" s="1">
        <v>44927</v>
      </c>
      <c r="E239" t="s">
        <v>165</v>
      </c>
      <c r="F239">
        <v>80209714</v>
      </c>
      <c r="G239" t="str">
        <f>CONCATENATE(F239,3)</f>
        <v>802097143</v>
      </c>
      <c r="H239" t="s">
        <v>24</v>
      </c>
      <c r="I239" s="1">
        <v>45778</v>
      </c>
      <c r="J239" s="1">
        <f>DATE(YEAR(I239), MONTH(I239) +1, DAY(I239))</f>
        <v>45809</v>
      </c>
      <c r="K239" t="s">
        <v>25</v>
      </c>
      <c r="L239">
        <v>1</v>
      </c>
      <c r="M239">
        <v>20</v>
      </c>
      <c r="N239" t="s">
        <v>405</v>
      </c>
    </row>
    <row r="240" spans="1:21" x14ac:dyDescent="0.25">
      <c r="A240" t="s">
        <v>20</v>
      </c>
      <c r="B240" t="s">
        <v>403</v>
      </c>
      <c r="C240" t="s">
        <v>22</v>
      </c>
      <c r="D240" s="1">
        <v>44927</v>
      </c>
      <c r="E240" t="s">
        <v>265</v>
      </c>
      <c r="F240">
        <v>80210867</v>
      </c>
      <c r="G240" t="str">
        <f>CONCATENATE(F240,3)</f>
        <v>802108673</v>
      </c>
      <c r="H240" t="s">
        <v>24</v>
      </c>
      <c r="I240" s="1">
        <v>45748</v>
      </c>
      <c r="J240" s="1">
        <f>DATE(YEAR(I240), MONTH(I240) +1, DAY(I240))</f>
        <v>45778</v>
      </c>
      <c r="K240" t="s">
        <v>28</v>
      </c>
      <c r="L240">
        <v>1</v>
      </c>
      <c r="M240">
        <v>40</v>
      </c>
      <c r="N240" t="s">
        <v>405</v>
      </c>
      <c r="O240" t="s">
        <v>407</v>
      </c>
    </row>
    <row r="241" spans="1:15" x14ac:dyDescent="0.25">
      <c r="A241" t="s">
        <v>20</v>
      </c>
      <c r="B241" t="s">
        <v>403</v>
      </c>
      <c r="C241" t="s">
        <v>22</v>
      </c>
      <c r="D241" s="1">
        <v>44927</v>
      </c>
      <c r="E241" t="s">
        <v>199</v>
      </c>
      <c r="F241">
        <v>80211295</v>
      </c>
      <c r="G241" t="str">
        <f>CONCATENATE(F241,3)</f>
        <v>802112953</v>
      </c>
      <c r="H241" t="s">
        <v>24</v>
      </c>
      <c r="I241" s="1">
        <v>45778</v>
      </c>
      <c r="J241" s="1">
        <f>DATE(YEAR(I241), MONTH(I241) +1, DAY(I241))</f>
        <v>45809</v>
      </c>
      <c r="K241" t="s">
        <v>25</v>
      </c>
      <c r="L241">
        <v>1</v>
      </c>
      <c r="M241">
        <v>20</v>
      </c>
      <c r="N241" t="s">
        <v>405</v>
      </c>
    </row>
    <row r="242" spans="1:15" x14ac:dyDescent="0.25">
      <c r="A242" t="s">
        <v>38</v>
      </c>
      <c r="B242">
        <v>16509456</v>
      </c>
      <c r="C242" t="s">
        <v>22</v>
      </c>
      <c r="D242" s="1">
        <v>44927</v>
      </c>
      <c r="E242" t="s">
        <v>219</v>
      </c>
      <c r="F242">
        <v>80211721</v>
      </c>
      <c r="G242" t="str">
        <f>CONCATENATE(F242,3)</f>
        <v>802117213</v>
      </c>
      <c r="H242" t="s">
        <v>24</v>
      </c>
      <c r="I242" s="1">
        <v>45778</v>
      </c>
      <c r="J242" s="1">
        <f>DATE(YEAR(I242), MONTH(I242) +1, DAY(I242))</f>
        <v>45809</v>
      </c>
      <c r="K242" t="s">
        <v>25</v>
      </c>
      <c r="L242">
        <v>1</v>
      </c>
      <c r="M242">
        <v>40</v>
      </c>
      <c r="N242" t="s">
        <v>405</v>
      </c>
      <c r="O242" t="s">
        <v>407</v>
      </c>
    </row>
    <row r="243" spans="1:15" x14ac:dyDescent="0.25">
      <c r="A243" t="s">
        <v>38</v>
      </c>
      <c r="B243">
        <v>16509456</v>
      </c>
      <c r="C243" t="s">
        <v>22</v>
      </c>
      <c r="D243" s="1">
        <v>44927</v>
      </c>
      <c r="E243" t="s">
        <v>119</v>
      </c>
      <c r="F243">
        <v>80212091</v>
      </c>
      <c r="G243" t="str">
        <f>CONCATENATE(F243,3)</f>
        <v>802120913</v>
      </c>
      <c r="H243" t="s">
        <v>24</v>
      </c>
      <c r="I243" s="1">
        <v>45778</v>
      </c>
      <c r="J243" s="1">
        <f>DATE(YEAR(I243), MONTH(I243) +1, DAY(I243))</f>
        <v>45809</v>
      </c>
      <c r="K243" t="s">
        <v>25</v>
      </c>
      <c r="L243">
        <v>1</v>
      </c>
      <c r="M243">
        <v>20</v>
      </c>
      <c r="N243" t="s">
        <v>405</v>
      </c>
    </row>
    <row r="244" spans="1:15" x14ac:dyDescent="0.25">
      <c r="A244" t="s">
        <v>38</v>
      </c>
      <c r="B244">
        <v>16509456</v>
      </c>
      <c r="C244" t="s">
        <v>22</v>
      </c>
      <c r="D244" s="1">
        <v>44927</v>
      </c>
      <c r="E244" t="s">
        <v>41</v>
      </c>
      <c r="F244">
        <v>80212272</v>
      </c>
      <c r="G244" t="str">
        <f>CONCATENATE(F244,3)</f>
        <v>802122723</v>
      </c>
      <c r="H244" t="s">
        <v>24</v>
      </c>
      <c r="I244" s="1">
        <v>45778</v>
      </c>
      <c r="J244" s="1">
        <f>DATE(YEAR(I244), MONTH(I244) +1, DAY(I244))</f>
        <v>45809</v>
      </c>
      <c r="K244" t="s">
        <v>25</v>
      </c>
      <c r="L244">
        <v>1</v>
      </c>
      <c r="M244">
        <v>40</v>
      </c>
      <c r="N244" t="s">
        <v>405</v>
      </c>
      <c r="O244" t="s">
        <v>407</v>
      </c>
    </row>
    <row r="245" spans="1:15" x14ac:dyDescent="0.25">
      <c r="A245" t="s">
        <v>38</v>
      </c>
      <c r="B245">
        <v>16509456</v>
      </c>
      <c r="C245" t="s">
        <v>22</v>
      </c>
      <c r="D245" s="1">
        <v>44927</v>
      </c>
      <c r="E245" t="s">
        <v>41</v>
      </c>
      <c r="F245">
        <v>80212272</v>
      </c>
      <c r="G245" t="str">
        <f>CONCATENATE(F245,3)</f>
        <v>802122723</v>
      </c>
      <c r="H245" t="s">
        <v>24</v>
      </c>
      <c r="I245" s="1">
        <v>45748</v>
      </c>
      <c r="J245" s="1">
        <f>DATE(YEAR(I245), MONTH(I245) +1, DAY(I245))</f>
        <v>45778</v>
      </c>
      <c r="K245" t="s">
        <v>28</v>
      </c>
      <c r="L245">
        <v>1</v>
      </c>
      <c r="M245">
        <v>40</v>
      </c>
      <c r="N245" t="s">
        <v>405</v>
      </c>
      <c r="O245" t="s">
        <v>407</v>
      </c>
    </row>
    <row r="246" spans="1:15" x14ac:dyDescent="0.25">
      <c r="A246" t="s">
        <v>29</v>
      </c>
      <c r="B246">
        <v>18781057</v>
      </c>
      <c r="C246" t="s">
        <v>22</v>
      </c>
      <c r="D246" s="1">
        <v>45292</v>
      </c>
      <c r="E246" t="s">
        <v>42</v>
      </c>
      <c r="F246">
        <v>80212342</v>
      </c>
      <c r="G246" t="str">
        <f>CONCATENATE(F246,3)</f>
        <v>802123423</v>
      </c>
      <c r="H246" t="s">
        <v>24</v>
      </c>
      <c r="I246" s="1">
        <v>45778</v>
      </c>
      <c r="J246" s="1">
        <f>DATE(YEAR(I246), MONTH(I246) +1, DAY(I246))</f>
        <v>45809</v>
      </c>
      <c r="K246" t="s">
        <v>25</v>
      </c>
      <c r="L246">
        <v>1</v>
      </c>
      <c r="M246">
        <v>20</v>
      </c>
      <c r="N246" t="s">
        <v>405</v>
      </c>
    </row>
    <row r="247" spans="1:15" x14ac:dyDescent="0.25">
      <c r="A247" t="s">
        <v>38</v>
      </c>
      <c r="B247">
        <v>16509456</v>
      </c>
      <c r="C247" t="s">
        <v>22</v>
      </c>
      <c r="D247" s="1">
        <v>44927</v>
      </c>
      <c r="E247" t="s">
        <v>91</v>
      </c>
      <c r="F247">
        <v>80213191</v>
      </c>
      <c r="G247" t="str">
        <f>CONCATENATE(F247,3)</f>
        <v>802131913</v>
      </c>
      <c r="H247" t="s">
        <v>24</v>
      </c>
      <c r="I247" s="1">
        <v>45778</v>
      </c>
      <c r="J247" s="1">
        <f>DATE(YEAR(I247), MONTH(I247) +1, DAY(I247))</f>
        <v>45809</v>
      </c>
      <c r="K247" t="s">
        <v>25</v>
      </c>
      <c r="L247">
        <v>1</v>
      </c>
      <c r="M247">
        <v>20</v>
      </c>
      <c r="N247" t="s">
        <v>405</v>
      </c>
    </row>
    <row r="248" spans="1:15" x14ac:dyDescent="0.25">
      <c r="A248" t="s">
        <v>20</v>
      </c>
      <c r="B248" t="s">
        <v>403</v>
      </c>
      <c r="C248" t="s">
        <v>22</v>
      </c>
      <c r="D248" s="1">
        <v>44927</v>
      </c>
      <c r="E248" t="s">
        <v>244</v>
      </c>
      <c r="F248">
        <v>80213978</v>
      </c>
      <c r="G248" t="str">
        <f>CONCATENATE(F248,3)</f>
        <v>802139783</v>
      </c>
      <c r="H248" t="s">
        <v>24</v>
      </c>
      <c r="I248" s="1">
        <v>45748</v>
      </c>
      <c r="J248" s="1">
        <f>DATE(YEAR(I248), MONTH(I248) +1, DAY(I248))</f>
        <v>45778</v>
      </c>
      <c r="K248" t="s">
        <v>28</v>
      </c>
      <c r="L248">
        <v>1</v>
      </c>
      <c r="M248">
        <v>20</v>
      </c>
      <c r="N248" t="s">
        <v>405</v>
      </c>
    </row>
    <row r="249" spans="1:15" x14ac:dyDescent="0.25">
      <c r="A249" t="s">
        <v>29</v>
      </c>
      <c r="B249">
        <v>18781057</v>
      </c>
      <c r="C249" t="s">
        <v>22</v>
      </c>
      <c r="D249" s="1">
        <v>45292</v>
      </c>
      <c r="E249" t="s">
        <v>340</v>
      </c>
      <c r="F249">
        <v>80214102</v>
      </c>
      <c r="G249" t="str">
        <f>CONCATENATE(F249,3)</f>
        <v>802141023</v>
      </c>
      <c r="H249" t="s">
        <v>24</v>
      </c>
      <c r="I249" s="1">
        <v>45778</v>
      </c>
      <c r="J249" s="1">
        <f>DATE(YEAR(I249), MONTH(I249) +1, DAY(I249))</f>
        <v>45809</v>
      </c>
      <c r="K249" t="s">
        <v>25</v>
      </c>
      <c r="L249">
        <v>1</v>
      </c>
      <c r="M249">
        <v>20</v>
      </c>
      <c r="N249" t="s">
        <v>405</v>
      </c>
    </row>
    <row r="250" spans="1:15" x14ac:dyDescent="0.25">
      <c r="A250" t="s">
        <v>20</v>
      </c>
      <c r="B250" t="s">
        <v>403</v>
      </c>
      <c r="C250" t="s">
        <v>22</v>
      </c>
      <c r="D250" s="1">
        <v>44927</v>
      </c>
      <c r="E250" t="s">
        <v>185</v>
      </c>
      <c r="F250">
        <v>80214500</v>
      </c>
      <c r="G250" t="str">
        <f>CONCATENATE(F250,3)</f>
        <v>802145003</v>
      </c>
      <c r="H250" t="s">
        <v>24</v>
      </c>
      <c r="I250" s="1">
        <v>45748</v>
      </c>
      <c r="J250" s="1">
        <f>DATE(YEAR(I250), MONTH(I250) +1, DAY(I250))</f>
        <v>45778</v>
      </c>
      <c r="K250" t="s">
        <v>28</v>
      </c>
      <c r="L250">
        <v>1</v>
      </c>
      <c r="M250">
        <v>40</v>
      </c>
      <c r="N250" t="s">
        <v>405</v>
      </c>
      <c r="O250" t="s">
        <v>407</v>
      </c>
    </row>
    <row r="251" spans="1:15" x14ac:dyDescent="0.25">
      <c r="A251" t="s">
        <v>20</v>
      </c>
      <c r="B251" t="s">
        <v>403</v>
      </c>
      <c r="C251" t="s">
        <v>22</v>
      </c>
      <c r="D251" s="1">
        <v>44927</v>
      </c>
      <c r="E251" t="s">
        <v>185</v>
      </c>
      <c r="F251">
        <v>80214500</v>
      </c>
      <c r="G251" t="str">
        <f>CONCATENATE(F251,3)</f>
        <v>802145003</v>
      </c>
      <c r="H251" t="s">
        <v>24</v>
      </c>
      <c r="I251" s="1">
        <v>45778</v>
      </c>
      <c r="J251" s="1">
        <f>DATE(YEAR(I251), MONTH(I251) +1, DAY(I251))</f>
        <v>45809</v>
      </c>
      <c r="K251" t="s">
        <v>25</v>
      </c>
      <c r="L251">
        <v>1</v>
      </c>
      <c r="M251">
        <v>40</v>
      </c>
      <c r="N251" t="s">
        <v>405</v>
      </c>
      <c r="O251" t="s">
        <v>407</v>
      </c>
    </row>
    <row r="252" spans="1:15" x14ac:dyDescent="0.25">
      <c r="A252" t="s">
        <v>29</v>
      </c>
      <c r="B252">
        <v>18781057</v>
      </c>
      <c r="C252" t="s">
        <v>22</v>
      </c>
      <c r="D252" s="1">
        <v>45292</v>
      </c>
      <c r="E252" t="s">
        <v>61</v>
      </c>
      <c r="F252">
        <v>80215155</v>
      </c>
      <c r="G252" t="str">
        <f>CONCATENATE(F252,3)</f>
        <v>802151553</v>
      </c>
      <c r="H252" t="s">
        <v>24</v>
      </c>
      <c r="I252" s="1">
        <v>45778</v>
      </c>
      <c r="J252" s="1">
        <f>DATE(YEAR(I252), MONTH(I252) +1, DAY(I252))</f>
        <v>45809</v>
      </c>
      <c r="K252" t="s">
        <v>25</v>
      </c>
      <c r="L252">
        <v>1</v>
      </c>
      <c r="M252">
        <v>20</v>
      </c>
      <c r="N252" t="s">
        <v>405</v>
      </c>
    </row>
    <row r="253" spans="1:15" x14ac:dyDescent="0.25">
      <c r="A253" t="s">
        <v>20</v>
      </c>
      <c r="B253" t="s">
        <v>403</v>
      </c>
      <c r="C253" t="s">
        <v>22</v>
      </c>
      <c r="D253" s="1">
        <v>44986</v>
      </c>
      <c r="E253" t="s">
        <v>124</v>
      </c>
      <c r="F253">
        <v>80215897</v>
      </c>
      <c r="G253" t="str">
        <f>CONCATENATE(F253,3)</f>
        <v>802158973</v>
      </c>
      <c r="H253" t="s">
        <v>24</v>
      </c>
      <c r="I253" s="1">
        <v>45778</v>
      </c>
      <c r="J253" s="1">
        <f>DATE(YEAR(I253), MONTH(I253) +1, DAY(I253))</f>
        <v>45809</v>
      </c>
      <c r="K253" t="s">
        <v>25</v>
      </c>
      <c r="L253">
        <v>1</v>
      </c>
      <c r="M253">
        <v>20</v>
      </c>
      <c r="N253" t="s">
        <v>405</v>
      </c>
    </row>
    <row r="254" spans="1:15" x14ac:dyDescent="0.25">
      <c r="A254" t="s">
        <v>20</v>
      </c>
      <c r="B254" t="s">
        <v>403</v>
      </c>
      <c r="C254" t="s">
        <v>22</v>
      </c>
      <c r="D254" s="1">
        <v>44927</v>
      </c>
      <c r="E254" t="s">
        <v>177</v>
      </c>
      <c r="F254">
        <v>80217986</v>
      </c>
      <c r="G254" t="str">
        <f>CONCATENATE(F254,3)</f>
        <v>802179863</v>
      </c>
      <c r="H254" t="s">
        <v>24</v>
      </c>
      <c r="I254" s="1">
        <v>45778</v>
      </c>
      <c r="J254" s="1">
        <f>DATE(YEAR(I254), MONTH(I254) +1, DAY(I254))</f>
        <v>45809</v>
      </c>
      <c r="K254" t="s">
        <v>25</v>
      </c>
      <c r="L254">
        <v>1</v>
      </c>
      <c r="M254">
        <v>20</v>
      </c>
      <c r="N254" t="s">
        <v>405</v>
      </c>
    </row>
    <row r="255" spans="1:15" x14ac:dyDescent="0.25">
      <c r="A255" t="s">
        <v>29</v>
      </c>
      <c r="B255">
        <v>18781057</v>
      </c>
      <c r="C255" t="s">
        <v>22</v>
      </c>
      <c r="D255" s="1">
        <v>45292</v>
      </c>
      <c r="E255" t="s">
        <v>113</v>
      </c>
      <c r="F255">
        <v>80218122</v>
      </c>
      <c r="G255" t="str">
        <f>CONCATENATE(F255,3)</f>
        <v>802181223</v>
      </c>
      <c r="H255" t="s">
        <v>24</v>
      </c>
      <c r="I255" s="1">
        <v>45778</v>
      </c>
      <c r="J255" s="1">
        <f>DATE(YEAR(I255), MONTH(I255) +1, DAY(I255))</f>
        <v>45809</v>
      </c>
      <c r="K255" t="s">
        <v>25</v>
      </c>
      <c r="L255">
        <v>1</v>
      </c>
      <c r="M255">
        <v>20</v>
      </c>
      <c r="N255" t="s">
        <v>405</v>
      </c>
    </row>
    <row r="256" spans="1:15" x14ac:dyDescent="0.25">
      <c r="A256" t="s">
        <v>20</v>
      </c>
      <c r="B256" t="s">
        <v>403</v>
      </c>
      <c r="C256" t="s">
        <v>22</v>
      </c>
      <c r="D256" s="1">
        <v>44927</v>
      </c>
      <c r="E256" t="s">
        <v>57</v>
      </c>
      <c r="F256">
        <v>80220549</v>
      </c>
      <c r="G256" t="str">
        <f>CONCATENATE(F256,3)</f>
        <v>802205493</v>
      </c>
      <c r="H256" t="s">
        <v>24</v>
      </c>
      <c r="I256" s="1">
        <v>45778</v>
      </c>
      <c r="J256" s="1">
        <f>DATE(YEAR(I256), MONTH(I256) +1, DAY(I256))</f>
        <v>45809</v>
      </c>
      <c r="K256" t="s">
        <v>25</v>
      </c>
      <c r="L256">
        <v>1</v>
      </c>
      <c r="M256">
        <v>20</v>
      </c>
      <c r="N256" t="s">
        <v>405</v>
      </c>
    </row>
    <row r="257" spans="1:21" x14ac:dyDescent="0.25">
      <c r="A257" t="s">
        <v>29</v>
      </c>
      <c r="B257" t="s">
        <v>404</v>
      </c>
      <c r="C257" t="s">
        <v>22</v>
      </c>
      <c r="D257" s="1">
        <v>45689</v>
      </c>
      <c r="E257" t="s">
        <v>365</v>
      </c>
      <c r="F257">
        <v>80222311</v>
      </c>
      <c r="G257" t="str">
        <f>CONCATENATE(F257,3)</f>
        <v>802223113</v>
      </c>
      <c r="H257" t="s">
        <v>24</v>
      </c>
      <c r="I257" s="1">
        <v>45778</v>
      </c>
      <c r="J257" s="1">
        <f>DATE(YEAR(I257), MONTH(I257) +1, DAY(I257))</f>
        <v>45809</v>
      </c>
      <c r="K257" t="s">
        <v>25</v>
      </c>
      <c r="L257">
        <v>1</v>
      </c>
      <c r="M257">
        <v>40</v>
      </c>
      <c r="N257" t="s">
        <v>405</v>
      </c>
      <c r="O257" t="s">
        <v>407</v>
      </c>
    </row>
    <row r="258" spans="1:21" x14ac:dyDescent="0.25">
      <c r="A258" t="s">
        <v>20</v>
      </c>
      <c r="B258" t="s">
        <v>403</v>
      </c>
      <c r="C258" t="s">
        <v>22</v>
      </c>
      <c r="D258" s="1">
        <v>44927</v>
      </c>
      <c r="E258" t="s">
        <v>85</v>
      </c>
      <c r="F258">
        <v>80223323</v>
      </c>
      <c r="G258" t="str">
        <f>CONCATENATE(F258,3)</f>
        <v>802233233</v>
      </c>
      <c r="H258" t="s">
        <v>24</v>
      </c>
      <c r="I258" s="1">
        <v>45778</v>
      </c>
      <c r="J258" s="1">
        <f>DATE(YEAR(I258), MONTH(I258) +1, DAY(I258))</f>
        <v>45809</v>
      </c>
      <c r="K258" t="s">
        <v>25</v>
      </c>
      <c r="L258">
        <v>1</v>
      </c>
      <c r="M258">
        <v>20</v>
      </c>
      <c r="N258" t="s">
        <v>405</v>
      </c>
    </row>
    <row r="259" spans="1:21" x14ac:dyDescent="0.25">
      <c r="A259" t="s">
        <v>38</v>
      </c>
      <c r="B259">
        <v>16509456</v>
      </c>
      <c r="C259" t="s">
        <v>22</v>
      </c>
      <c r="D259" s="1">
        <v>44927</v>
      </c>
      <c r="E259" t="s">
        <v>288</v>
      </c>
      <c r="F259">
        <v>80223332</v>
      </c>
      <c r="G259" t="str">
        <f>CONCATENATE(F259,3)</f>
        <v>802233323</v>
      </c>
      <c r="H259" t="s">
        <v>24</v>
      </c>
      <c r="I259" s="1">
        <v>45778</v>
      </c>
      <c r="J259" s="1">
        <f>DATE(YEAR(I259), MONTH(I259) +1, DAY(I259))</f>
        <v>45809</v>
      </c>
      <c r="K259" t="s">
        <v>25</v>
      </c>
      <c r="L259">
        <v>1</v>
      </c>
      <c r="M259">
        <v>20</v>
      </c>
      <c r="N259" t="s">
        <v>405</v>
      </c>
    </row>
    <row r="260" spans="1:21" x14ac:dyDescent="0.25">
      <c r="A260" t="s">
        <v>20</v>
      </c>
      <c r="B260" t="s">
        <v>403</v>
      </c>
      <c r="C260" t="s">
        <v>22</v>
      </c>
      <c r="D260" s="1">
        <v>44927</v>
      </c>
      <c r="E260" t="s">
        <v>351</v>
      </c>
      <c r="F260">
        <v>80225489</v>
      </c>
      <c r="G260" t="str">
        <f>CONCATENATE(F260,3)</f>
        <v>802254893</v>
      </c>
      <c r="H260" t="s">
        <v>24</v>
      </c>
      <c r="I260" s="1">
        <v>45778</v>
      </c>
      <c r="J260" s="1">
        <f>DATE(YEAR(I260), MONTH(I260) +1, DAY(I260))</f>
        <v>45809</v>
      </c>
      <c r="K260" t="s">
        <v>25</v>
      </c>
      <c r="L260">
        <v>1</v>
      </c>
      <c r="M260">
        <v>20</v>
      </c>
      <c r="N260" t="s">
        <v>405</v>
      </c>
    </row>
    <row r="261" spans="1:21" x14ac:dyDescent="0.25">
      <c r="A261" t="s">
        <v>20</v>
      </c>
      <c r="B261">
        <v>17425766</v>
      </c>
      <c r="C261" t="s">
        <v>22</v>
      </c>
      <c r="D261" s="1">
        <v>45658</v>
      </c>
      <c r="E261" t="s">
        <v>348</v>
      </c>
      <c r="F261">
        <v>80225891</v>
      </c>
      <c r="G261" t="str">
        <f>CONCATENATE(F261,3)</f>
        <v>802258913</v>
      </c>
      <c r="H261" t="s">
        <v>24</v>
      </c>
      <c r="I261" s="1">
        <v>45778</v>
      </c>
      <c r="J261" s="1">
        <f>DATE(YEAR(I261), MONTH(I261) +1, DAY(I261))</f>
        <v>45809</v>
      </c>
      <c r="K261" t="s">
        <v>25</v>
      </c>
      <c r="L261">
        <v>1</v>
      </c>
      <c r="M261">
        <v>20</v>
      </c>
      <c r="N261" t="s">
        <v>405</v>
      </c>
    </row>
    <row r="262" spans="1:21" x14ac:dyDescent="0.25">
      <c r="A262" t="s">
        <v>38</v>
      </c>
      <c r="B262">
        <v>16509456</v>
      </c>
      <c r="C262" t="s">
        <v>22</v>
      </c>
      <c r="D262" s="1">
        <v>44927</v>
      </c>
      <c r="E262" t="s">
        <v>374</v>
      </c>
      <c r="F262">
        <v>80226602</v>
      </c>
      <c r="G262" t="str">
        <f>CONCATENATE(F262,3)</f>
        <v>802266023</v>
      </c>
      <c r="H262" t="s">
        <v>24</v>
      </c>
      <c r="I262" s="1">
        <v>45778</v>
      </c>
      <c r="J262" s="1">
        <f>DATE(YEAR(I262), MONTH(I262) +1, DAY(I262))</f>
        <v>45809</v>
      </c>
      <c r="K262" t="s">
        <v>25</v>
      </c>
      <c r="L262">
        <v>1</v>
      </c>
      <c r="M262">
        <v>20</v>
      </c>
      <c r="N262" t="s">
        <v>405</v>
      </c>
    </row>
    <row r="263" spans="1:21" x14ac:dyDescent="0.25">
      <c r="A263" t="s">
        <v>20</v>
      </c>
      <c r="B263" t="s">
        <v>403</v>
      </c>
      <c r="C263" t="s">
        <v>22</v>
      </c>
      <c r="D263" s="1">
        <v>45170</v>
      </c>
      <c r="E263" t="s">
        <v>388</v>
      </c>
      <c r="F263">
        <v>80227386</v>
      </c>
      <c r="G263" t="str">
        <f>CONCATENATE(F263,3)</f>
        <v>802273863</v>
      </c>
      <c r="H263" t="s">
        <v>24</v>
      </c>
      <c r="I263" s="1">
        <v>45748</v>
      </c>
      <c r="J263" s="1">
        <f>DATE(YEAR(I263), MONTH(I263) +1, DAY(I263))</f>
        <v>45778</v>
      </c>
      <c r="K263" t="s">
        <v>28</v>
      </c>
      <c r="L263">
        <v>1</v>
      </c>
      <c r="M263">
        <v>20</v>
      </c>
      <c r="N263" t="s">
        <v>405</v>
      </c>
    </row>
    <row r="264" spans="1:21" x14ac:dyDescent="0.25">
      <c r="A264" t="s">
        <v>29</v>
      </c>
      <c r="B264">
        <v>18781057</v>
      </c>
      <c r="C264" t="s">
        <v>22</v>
      </c>
      <c r="D264" s="1">
        <v>45292</v>
      </c>
      <c r="E264" t="s">
        <v>178</v>
      </c>
      <c r="F264">
        <v>80227604</v>
      </c>
      <c r="G264" t="str">
        <f>CONCATENATE(F264,3)</f>
        <v>802276043</v>
      </c>
      <c r="H264" t="s">
        <v>24</v>
      </c>
      <c r="I264" s="1">
        <v>45748</v>
      </c>
      <c r="J264" s="1">
        <f>DATE(YEAR(I264), MONTH(I264) +1, DAY(I264))</f>
        <v>45778</v>
      </c>
      <c r="K264" t="s">
        <v>28</v>
      </c>
      <c r="L264">
        <v>1</v>
      </c>
      <c r="M264">
        <v>20</v>
      </c>
      <c r="N264" t="s">
        <v>405</v>
      </c>
    </row>
    <row r="265" spans="1:21" x14ac:dyDescent="0.25">
      <c r="A265" s="2" t="s">
        <v>232</v>
      </c>
      <c r="B265" s="2">
        <v>18794740</v>
      </c>
      <c r="C265" s="2" t="s">
        <v>22</v>
      </c>
      <c r="D265" s="3">
        <v>45292</v>
      </c>
      <c r="E265" s="2" t="s">
        <v>235</v>
      </c>
      <c r="F265" s="2">
        <v>80229078</v>
      </c>
      <c r="G265" t="str">
        <f>CONCATENATE(F265,3)</f>
        <v>802290783</v>
      </c>
      <c r="H265" s="2" t="s">
        <v>24</v>
      </c>
      <c r="I265" s="3">
        <v>45778</v>
      </c>
      <c r="J265" s="1">
        <f>DATE(YEAR(I265), MONTH(I265) +1, DAY(I265))</f>
        <v>45809</v>
      </c>
      <c r="K265" s="2" t="s">
        <v>25</v>
      </c>
      <c r="L265">
        <v>1</v>
      </c>
      <c r="M265" s="2">
        <v>60</v>
      </c>
      <c r="N265" t="s">
        <v>405</v>
      </c>
      <c r="O265" s="2" t="s">
        <v>408</v>
      </c>
      <c r="P265" s="2"/>
      <c r="Q265" s="2"/>
      <c r="R265" s="2"/>
      <c r="S265" s="2"/>
      <c r="T265" s="2"/>
      <c r="U265" s="2"/>
    </row>
    <row r="266" spans="1:21" x14ac:dyDescent="0.25">
      <c r="A266" t="s">
        <v>20</v>
      </c>
      <c r="B266" t="s">
        <v>403</v>
      </c>
      <c r="C266" t="s">
        <v>22</v>
      </c>
      <c r="D266" s="1">
        <v>44927</v>
      </c>
      <c r="E266" t="s">
        <v>47</v>
      </c>
      <c r="F266">
        <v>80229402</v>
      </c>
      <c r="G266" t="str">
        <f>CONCATENATE(F266,3)</f>
        <v>802294023</v>
      </c>
      <c r="H266" t="s">
        <v>24</v>
      </c>
      <c r="I266" s="1">
        <v>45748</v>
      </c>
      <c r="J266" s="1">
        <f>DATE(YEAR(I266), MONTH(I266) +1, DAY(I266))</f>
        <v>45778</v>
      </c>
      <c r="K266" t="s">
        <v>28</v>
      </c>
      <c r="L266">
        <v>1</v>
      </c>
      <c r="M266">
        <v>80</v>
      </c>
      <c r="N266" t="s">
        <v>405</v>
      </c>
      <c r="O266" t="s">
        <v>409</v>
      </c>
    </row>
    <row r="267" spans="1:21" x14ac:dyDescent="0.25">
      <c r="A267" t="s">
        <v>20</v>
      </c>
      <c r="B267" t="s">
        <v>403</v>
      </c>
      <c r="C267" t="s">
        <v>22</v>
      </c>
      <c r="D267" s="1">
        <v>45292</v>
      </c>
      <c r="E267" t="s">
        <v>290</v>
      </c>
      <c r="F267">
        <v>80229960</v>
      </c>
      <c r="G267" t="str">
        <f>CONCATENATE(F267,3)</f>
        <v>802299603</v>
      </c>
      <c r="H267" t="s">
        <v>24</v>
      </c>
      <c r="I267" s="1">
        <v>45778</v>
      </c>
      <c r="J267" s="1">
        <f>DATE(YEAR(I267), MONTH(I267) +1, DAY(I267))</f>
        <v>45809</v>
      </c>
      <c r="K267" t="s">
        <v>25</v>
      </c>
      <c r="L267">
        <v>1</v>
      </c>
      <c r="M267">
        <v>20</v>
      </c>
      <c r="N267" t="s">
        <v>405</v>
      </c>
    </row>
    <row r="268" spans="1:21" x14ac:dyDescent="0.25">
      <c r="A268" t="s">
        <v>38</v>
      </c>
      <c r="B268">
        <v>16509456</v>
      </c>
      <c r="C268" t="s">
        <v>22</v>
      </c>
      <c r="D268" s="1">
        <v>44927</v>
      </c>
      <c r="E268" t="s">
        <v>115</v>
      </c>
      <c r="F268">
        <v>80231176</v>
      </c>
      <c r="G268" t="str">
        <f>CONCATENATE(F268,3)</f>
        <v>802311763</v>
      </c>
      <c r="H268" t="s">
        <v>24</v>
      </c>
      <c r="I268" s="1">
        <v>45778</v>
      </c>
      <c r="J268" s="1">
        <f>DATE(YEAR(I268), MONTH(I268) +1, DAY(I268))</f>
        <v>45809</v>
      </c>
      <c r="K268" t="s">
        <v>25</v>
      </c>
      <c r="L268">
        <v>1</v>
      </c>
      <c r="M268">
        <v>20</v>
      </c>
      <c r="N268" t="s">
        <v>405</v>
      </c>
    </row>
    <row r="269" spans="1:21" x14ac:dyDescent="0.25">
      <c r="A269" t="s">
        <v>32</v>
      </c>
      <c r="B269">
        <v>8971826</v>
      </c>
      <c r="C269" t="s">
        <v>22</v>
      </c>
      <c r="D269" s="1">
        <v>45658</v>
      </c>
      <c r="E269" t="s">
        <v>188</v>
      </c>
      <c r="F269">
        <v>80231500</v>
      </c>
      <c r="G269" t="str">
        <f>CONCATENATE(F269,3)</f>
        <v>802315003</v>
      </c>
      <c r="H269" t="s">
        <v>24</v>
      </c>
      <c r="I269" s="1">
        <v>45778</v>
      </c>
      <c r="J269" s="1">
        <f>DATE(YEAR(I269), MONTH(I269) +1, DAY(I269))</f>
        <v>45809</v>
      </c>
      <c r="K269" t="s">
        <v>25</v>
      </c>
      <c r="L269">
        <v>1</v>
      </c>
      <c r="M269">
        <v>20</v>
      </c>
      <c r="N269" t="s">
        <v>405</v>
      </c>
    </row>
    <row r="270" spans="1:21" x14ac:dyDescent="0.25">
      <c r="A270" t="s">
        <v>20</v>
      </c>
      <c r="B270" t="s">
        <v>403</v>
      </c>
      <c r="C270" t="s">
        <v>22</v>
      </c>
      <c r="D270" s="1">
        <v>44927</v>
      </c>
      <c r="E270" t="s">
        <v>318</v>
      </c>
      <c r="F270">
        <v>80232190</v>
      </c>
      <c r="G270" t="str">
        <f>CONCATENATE(F270,3)</f>
        <v>802321903</v>
      </c>
      <c r="H270" t="s">
        <v>24</v>
      </c>
      <c r="I270" s="1">
        <v>45748</v>
      </c>
      <c r="J270" s="1">
        <f>DATE(YEAR(I270), MONTH(I270) +1, DAY(I270))</f>
        <v>45778</v>
      </c>
      <c r="K270" t="s">
        <v>28</v>
      </c>
      <c r="L270">
        <v>1</v>
      </c>
      <c r="M270">
        <v>20</v>
      </c>
      <c r="N270" t="s">
        <v>405</v>
      </c>
    </row>
    <row r="271" spans="1:21" x14ac:dyDescent="0.25">
      <c r="A271" t="s">
        <v>20</v>
      </c>
      <c r="B271">
        <v>17425766</v>
      </c>
      <c r="C271" t="s">
        <v>22</v>
      </c>
      <c r="D271" s="1">
        <v>45658</v>
      </c>
      <c r="E271" t="s">
        <v>262</v>
      </c>
      <c r="F271">
        <v>80233721</v>
      </c>
      <c r="G271" t="str">
        <f>CONCATENATE(F271,3)</f>
        <v>802337213</v>
      </c>
      <c r="H271" t="s">
        <v>24</v>
      </c>
      <c r="I271" s="1">
        <v>45778</v>
      </c>
      <c r="J271" s="1">
        <f>DATE(YEAR(I271), MONTH(I271) +1, DAY(I271))</f>
        <v>45809</v>
      </c>
      <c r="K271" t="s">
        <v>25</v>
      </c>
      <c r="L271">
        <v>1</v>
      </c>
      <c r="M271">
        <v>20</v>
      </c>
      <c r="N271" t="s">
        <v>405</v>
      </c>
    </row>
    <row r="272" spans="1:21" x14ac:dyDescent="0.25">
      <c r="A272" t="s">
        <v>20</v>
      </c>
      <c r="B272" t="s">
        <v>403</v>
      </c>
      <c r="C272" t="s">
        <v>22</v>
      </c>
      <c r="D272" s="1">
        <v>44958</v>
      </c>
      <c r="E272" t="s">
        <v>167</v>
      </c>
      <c r="F272">
        <v>80234007</v>
      </c>
      <c r="G272" t="str">
        <f>CONCATENATE(F272,3)</f>
        <v>802340073</v>
      </c>
      <c r="H272" t="s">
        <v>24</v>
      </c>
      <c r="I272" s="1">
        <v>45778</v>
      </c>
      <c r="J272" s="1">
        <f>DATE(YEAR(I272), MONTH(I272) +1, DAY(I272))</f>
        <v>45809</v>
      </c>
      <c r="K272" t="s">
        <v>25</v>
      </c>
      <c r="L272">
        <v>1</v>
      </c>
      <c r="M272">
        <v>40</v>
      </c>
      <c r="N272" t="s">
        <v>405</v>
      </c>
      <c r="O272" t="s">
        <v>407</v>
      </c>
    </row>
    <row r="273" spans="1:15" x14ac:dyDescent="0.25">
      <c r="A273" t="s">
        <v>20</v>
      </c>
      <c r="B273">
        <v>17425766</v>
      </c>
      <c r="C273" t="s">
        <v>22</v>
      </c>
      <c r="D273" s="1">
        <v>45658</v>
      </c>
      <c r="E273" t="s">
        <v>332</v>
      </c>
      <c r="F273">
        <v>80234379</v>
      </c>
      <c r="G273" t="str">
        <f>CONCATENATE(F273,3)</f>
        <v>802343793</v>
      </c>
      <c r="H273" t="s">
        <v>24</v>
      </c>
      <c r="I273" s="1">
        <v>45778</v>
      </c>
      <c r="J273" s="1">
        <f>DATE(YEAR(I273), MONTH(I273) +1, DAY(I273))</f>
        <v>45809</v>
      </c>
      <c r="K273" t="s">
        <v>25</v>
      </c>
      <c r="L273">
        <v>1</v>
      </c>
      <c r="M273">
        <v>20</v>
      </c>
      <c r="N273" t="s">
        <v>405</v>
      </c>
    </row>
    <row r="274" spans="1:15" x14ac:dyDescent="0.25">
      <c r="A274" t="s">
        <v>20</v>
      </c>
      <c r="B274" t="s">
        <v>403</v>
      </c>
      <c r="C274" t="s">
        <v>22</v>
      </c>
      <c r="D274" s="1">
        <v>44958</v>
      </c>
      <c r="E274" t="s">
        <v>52</v>
      </c>
      <c r="F274">
        <v>80234842</v>
      </c>
      <c r="G274" t="str">
        <f>CONCATENATE(F274,3)</f>
        <v>802348423</v>
      </c>
      <c r="H274" t="s">
        <v>24</v>
      </c>
      <c r="I274" s="1">
        <v>45778</v>
      </c>
      <c r="J274" s="1">
        <f>DATE(YEAR(I274), MONTH(I274) +1, DAY(I274))</f>
        <v>45809</v>
      </c>
      <c r="K274" t="s">
        <v>25</v>
      </c>
      <c r="L274">
        <v>1</v>
      </c>
      <c r="M274">
        <v>20</v>
      </c>
      <c r="N274" t="s">
        <v>405</v>
      </c>
    </row>
    <row r="275" spans="1:15" x14ac:dyDescent="0.25">
      <c r="A275" t="s">
        <v>20</v>
      </c>
      <c r="B275" t="s">
        <v>403</v>
      </c>
      <c r="C275" t="s">
        <v>22</v>
      </c>
      <c r="D275" s="1">
        <v>44958</v>
      </c>
      <c r="E275" t="s">
        <v>358</v>
      </c>
      <c r="F275">
        <v>80235191</v>
      </c>
      <c r="G275" t="str">
        <f>CONCATENATE(F275,3)</f>
        <v>802351913</v>
      </c>
      <c r="H275" t="s">
        <v>24</v>
      </c>
      <c r="I275" s="1">
        <v>45748</v>
      </c>
      <c r="J275" s="1">
        <f>DATE(YEAR(I275), MONTH(I275) +1, DAY(I275))</f>
        <v>45778</v>
      </c>
      <c r="K275" t="s">
        <v>28</v>
      </c>
      <c r="L275">
        <v>1</v>
      </c>
      <c r="M275">
        <v>20</v>
      </c>
      <c r="N275" t="s">
        <v>405</v>
      </c>
    </row>
    <row r="276" spans="1:15" x14ac:dyDescent="0.25">
      <c r="A276" t="s">
        <v>20</v>
      </c>
      <c r="B276" t="s">
        <v>403</v>
      </c>
      <c r="C276" t="s">
        <v>22</v>
      </c>
      <c r="D276" s="1">
        <v>44958</v>
      </c>
      <c r="E276" t="s">
        <v>168</v>
      </c>
      <c r="F276">
        <v>80235195</v>
      </c>
      <c r="G276" t="str">
        <f>CONCATENATE(F276,3)</f>
        <v>802351953</v>
      </c>
      <c r="H276" t="s">
        <v>24</v>
      </c>
      <c r="I276" s="1">
        <v>45748</v>
      </c>
      <c r="J276" s="1">
        <f>DATE(YEAR(I276), MONTH(I276) +1, DAY(I276))</f>
        <v>45778</v>
      </c>
      <c r="K276" t="s">
        <v>28</v>
      </c>
      <c r="L276">
        <v>1</v>
      </c>
      <c r="M276">
        <v>20</v>
      </c>
      <c r="N276" t="s">
        <v>405</v>
      </c>
    </row>
    <row r="277" spans="1:15" x14ac:dyDescent="0.25">
      <c r="A277" t="s">
        <v>20</v>
      </c>
      <c r="B277" t="s">
        <v>403</v>
      </c>
      <c r="C277" t="s">
        <v>22</v>
      </c>
      <c r="D277" s="1">
        <v>44958</v>
      </c>
      <c r="E277" t="s">
        <v>304</v>
      </c>
      <c r="F277">
        <v>80235676</v>
      </c>
      <c r="G277" t="str">
        <f>CONCATENATE(F277,3)</f>
        <v>802356763</v>
      </c>
      <c r="H277" t="s">
        <v>24</v>
      </c>
      <c r="I277" s="1">
        <v>45778</v>
      </c>
      <c r="J277" s="1">
        <f>DATE(YEAR(I277), MONTH(I277) +1, DAY(I277))</f>
        <v>45809</v>
      </c>
      <c r="K277" t="s">
        <v>25</v>
      </c>
      <c r="L277">
        <v>1</v>
      </c>
      <c r="M277">
        <v>20</v>
      </c>
      <c r="N277" t="s">
        <v>405</v>
      </c>
    </row>
    <row r="278" spans="1:15" x14ac:dyDescent="0.25">
      <c r="A278" t="s">
        <v>38</v>
      </c>
      <c r="B278">
        <v>16509456</v>
      </c>
      <c r="C278" t="s">
        <v>22</v>
      </c>
      <c r="D278" s="1">
        <v>44986</v>
      </c>
      <c r="E278" t="s">
        <v>222</v>
      </c>
      <c r="F278">
        <v>80236297</v>
      </c>
      <c r="G278" t="str">
        <f>CONCATENATE(F278,3)</f>
        <v>802362973</v>
      </c>
      <c r="H278" t="s">
        <v>24</v>
      </c>
      <c r="I278" s="1">
        <v>45717</v>
      </c>
      <c r="J278" s="1">
        <f>DATE(YEAR(I278), MONTH(I278) +1, DAY(I278))</f>
        <v>45748</v>
      </c>
      <c r="K278" t="s">
        <v>60</v>
      </c>
      <c r="L278">
        <v>1</v>
      </c>
      <c r="M278">
        <v>20</v>
      </c>
      <c r="N278" t="s">
        <v>405</v>
      </c>
    </row>
    <row r="279" spans="1:15" x14ac:dyDescent="0.25">
      <c r="A279" t="s">
        <v>20</v>
      </c>
      <c r="B279" t="s">
        <v>403</v>
      </c>
      <c r="C279" t="s">
        <v>22</v>
      </c>
      <c r="D279" s="1">
        <v>45017</v>
      </c>
      <c r="E279" t="s">
        <v>110</v>
      </c>
      <c r="F279">
        <v>80237541</v>
      </c>
      <c r="G279" t="str">
        <f>CONCATENATE(F279,3)</f>
        <v>802375413</v>
      </c>
      <c r="H279" t="s">
        <v>24</v>
      </c>
      <c r="I279" s="1">
        <v>45778</v>
      </c>
      <c r="J279" s="1">
        <f>DATE(YEAR(I279), MONTH(I279) +1, DAY(I279))</f>
        <v>45809</v>
      </c>
      <c r="K279" t="s">
        <v>25</v>
      </c>
      <c r="L279">
        <v>1</v>
      </c>
      <c r="M279">
        <v>20</v>
      </c>
      <c r="N279" t="s">
        <v>405</v>
      </c>
    </row>
    <row r="280" spans="1:15" x14ac:dyDescent="0.25">
      <c r="A280" t="s">
        <v>20</v>
      </c>
      <c r="B280" t="s">
        <v>403</v>
      </c>
      <c r="C280" t="s">
        <v>22</v>
      </c>
      <c r="D280" s="1">
        <v>45017</v>
      </c>
      <c r="E280" t="s">
        <v>152</v>
      </c>
      <c r="F280">
        <v>80237791</v>
      </c>
      <c r="G280" t="str">
        <f>CONCATENATE(F280,3)</f>
        <v>802377913</v>
      </c>
      <c r="H280" t="s">
        <v>24</v>
      </c>
      <c r="I280" s="1">
        <v>45778</v>
      </c>
      <c r="J280" s="1">
        <f>DATE(YEAR(I280), MONTH(I280) +1, DAY(I280))</f>
        <v>45809</v>
      </c>
      <c r="K280" t="s">
        <v>25</v>
      </c>
      <c r="L280">
        <v>1</v>
      </c>
      <c r="M280">
        <v>20</v>
      </c>
      <c r="N280" t="s">
        <v>405</v>
      </c>
    </row>
    <row r="281" spans="1:15" x14ac:dyDescent="0.25">
      <c r="A281" t="s">
        <v>20</v>
      </c>
      <c r="B281" t="s">
        <v>403</v>
      </c>
      <c r="C281" t="s">
        <v>22</v>
      </c>
      <c r="D281" s="1">
        <v>45017</v>
      </c>
      <c r="E281" t="s">
        <v>322</v>
      </c>
      <c r="F281">
        <v>80237793</v>
      </c>
      <c r="G281" t="str">
        <f>CONCATENATE(F281,3)</f>
        <v>802377933</v>
      </c>
      <c r="H281" t="s">
        <v>24</v>
      </c>
      <c r="I281" s="1">
        <v>45778</v>
      </c>
      <c r="J281" s="1">
        <f>DATE(YEAR(I281), MONTH(I281) +1, DAY(I281))</f>
        <v>45809</v>
      </c>
      <c r="K281" t="s">
        <v>25</v>
      </c>
      <c r="L281">
        <v>1</v>
      </c>
      <c r="M281">
        <v>20</v>
      </c>
      <c r="N281" t="s">
        <v>405</v>
      </c>
    </row>
    <row r="282" spans="1:15" x14ac:dyDescent="0.25">
      <c r="A282" t="s">
        <v>20</v>
      </c>
      <c r="B282" t="s">
        <v>403</v>
      </c>
      <c r="C282" t="s">
        <v>22</v>
      </c>
      <c r="D282" s="1">
        <v>45017</v>
      </c>
      <c r="E282" t="s">
        <v>322</v>
      </c>
      <c r="F282">
        <v>80237793</v>
      </c>
      <c r="G282" t="str">
        <f>CONCATENATE(F282,3)</f>
        <v>802377933</v>
      </c>
      <c r="H282" t="s">
        <v>24</v>
      </c>
      <c r="I282" s="1">
        <v>45748</v>
      </c>
      <c r="J282" s="1">
        <f>DATE(YEAR(I282), MONTH(I282) +1, DAY(I282))</f>
        <v>45778</v>
      </c>
      <c r="K282" t="s">
        <v>28</v>
      </c>
      <c r="L282">
        <v>1</v>
      </c>
      <c r="M282">
        <v>20</v>
      </c>
      <c r="N282" t="s">
        <v>405</v>
      </c>
    </row>
    <row r="283" spans="1:15" x14ac:dyDescent="0.25">
      <c r="A283" t="s">
        <v>38</v>
      </c>
      <c r="B283">
        <v>16509456</v>
      </c>
      <c r="C283" t="s">
        <v>22</v>
      </c>
      <c r="D283" s="1">
        <v>45017</v>
      </c>
      <c r="E283" t="s">
        <v>129</v>
      </c>
      <c r="F283">
        <v>80238009</v>
      </c>
      <c r="G283" t="str">
        <f>CONCATENATE(F283,3)</f>
        <v>802380093</v>
      </c>
      <c r="H283" t="s">
        <v>24</v>
      </c>
      <c r="I283" s="1">
        <v>45748</v>
      </c>
      <c r="J283" s="1">
        <f>DATE(YEAR(I283), MONTH(I283) +1, DAY(I283))</f>
        <v>45778</v>
      </c>
      <c r="K283" t="s">
        <v>28</v>
      </c>
      <c r="L283">
        <v>1</v>
      </c>
      <c r="M283">
        <v>20</v>
      </c>
      <c r="N283" t="s">
        <v>405</v>
      </c>
    </row>
    <row r="284" spans="1:15" x14ac:dyDescent="0.25">
      <c r="A284" t="s">
        <v>29</v>
      </c>
      <c r="B284">
        <v>18781057</v>
      </c>
      <c r="C284" t="s">
        <v>22</v>
      </c>
      <c r="D284" s="1">
        <v>45292</v>
      </c>
      <c r="E284" t="s">
        <v>157</v>
      </c>
      <c r="F284">
        <v>80238343</v>
      </c>
      <c r="G284" t="str">
        <f>CONCATENATE(F284,3)</f>
        <v>802383433</v>
      </c>
      <c r="H284" t="s">
        <v>24</v>
      </c>
      <c r="I284" s="1">
        <v>45658</v>
      </c>
      <c r="J284" s="1">
        <f>DATE(YEAR(I284), MONTH(I284) +1, DAY(I284))</f>
        <v>45689</v>
      </c>
      <c r="K284" t="s">
        <v>76</v>
      </c>
      <c r="L284">
        <v>1</v>
      </c>
      <c r="M284">
        <v>60</v>
      </c>
      <c r="N284" t="s">
        <v>405</v>
      </c>
      <c r="O284" t="s">
        <v>408</v>
      </c>
    </row>
    <row r="285" spans="1:15" x14ac:dyDescent="0.25">
      <c r="A285" t="s">
        <v>29</v>
      </c>
      <c r="B285">
        <v>18781057</v>
      </c>
      <c r="C285" t="s">
        <v>22</v>
      </c>
      <c r="D285" s="1">
        <v>45292</v>
      </c>
      <c r="E285" t="s">
        <v>157</v>
      </c>
      <c r="F285">
        <v>80238343</v>
      </c>
      <c r="G285" t="str">
        <f>CONCATENATE(F285,3)</f>
        <v>802383433</v>
      </c>
      <c r="H285" t="s">
        <v>24</v>
      </c>
      <c r="I285" s="1">
        <v>45778</v>
      </c>
      <c r="J285" s="1">
        <f>DATE(YEAR(I285), MONTH(I285) +1, DAY(I285))</f>
        <v>45809</v>
      </c>
      <c r="K285" t="s">
        <v>25</v>
      </c>
      <c r="L285">
        <v>1</v>
      </c>
      <c r="M285">
        <v>60</v>
      </c>
      <c r="N285" t="s">
        <v>405</v>
      </c>
      <c r="O285" t="s">
        <v>408</v>
      </c>
    </row>
    <row r="286" spans="1:15" x14ac:dyDescent="0.25">
      <c r="A286" t="s">
        <v>38</v>
      </c>
      <c r="B286">
        <v>16509456</v>
      </c>
      <c r="C286" t="s">
        <v>22</v>
      </c>
      <c r="D286" s="1">
        <v>45047</v>
      </c>
      <c r="E286" t="s">
        <v>135</v>
      </c>
      <c r="F286">
        <v>80238886</v>
      </c>
      <c r="G286" t="str">
        <f>CONCATENATE(F286,3)</f>
        <v>802388863</v>
      </c>
      <c r="H286" t="s">
        <v>24</v>
      </c>
      <c r="I286" s="1">
        <v>45778</v>
      </c>
      <c r="J286" s="1">
        <f>DATE(YEAR(I286), MONTH(I286) +1, DAY(I286))</f>
        <v>45809</v>
      </c>
      <c r="K286" t="s">
        <v>25</v>
      </c>
      <c r="L286">
        <v>1</v>
      </c>
      <c r="M286">
        <v>40</v>
      </c>
      <c r="N286" t="s">
        <v>405</v>
      </c>
      <c r="O286" t="s">
        <v>407</v>
      </c>
    </row>
    <row r="287" spans="1:15" x14ac:dyDescent="0.25">
      <c r="A287" t="s">
        <v>20</v>
      </c>
      <c r="B287" t="s">
        <v>403</v>
      </c>
      <c r="C287" t="s">
        <v>22</v>
      </c>
      <c r="D287" s="1">
        <v>45047</v>
      </c>
      <c r="E287" t="s">
        <v>299</v>
      </c>
      <c r="F287">
        <v>80238965</v>
      </c>
      <c r="G287" t="str">
        <f>CONCATENATE(F287,3)</f>
        <v>802389653</v>
      </c>
      <c r="H287" t="s">
        <v>24</v>
      </c>
      <c r="I287" s="1">
        <v>45748</v>
      </c>
      <c r="J287" s="1">
        <f>DATE(YEAR(I287), MONTH(I287) +1, DAY(I287))</f>
        <v>45778</v>
      </c>
      <c r="K287" t="s">
        <v>28</v>
      </c>
      <c r="L287">
        <v>1</v>
      </c>
      <c r="M287">
        <v>20</v>
      </c>
      <c r="N287" t="s">
        <v>405</v>
      </c>
    </row>
    <row r="288" spans="1:15" x14ac:dyDescent="0.25">
      <c r="A288" t="s">
        <v>38</v>
      </c>
      <c r="B288">
        <v>16509456</v>
      </c>
      <c r="C288" t="s">
        <v>22</v>
      </c>
      <c r="D288" s="1">
        <v>45078</v>
      </c>
      <c r="E288" t="s">
        <v>136</v>
      </c>
      <c r="F288">
        <v>80239715</v>
      </c>
      <c r="G288" t="str">
        <f>CONCATENATE(F288,3)</f>
        <v>802397153</v>
      </c>
      <c r="H288" t="s">
        <v>24</v>
      </c>
      <c r="I288" s="1">
        <v>45778</v>
      </c>
      <c r="J288" s="1">
        <f>DATE(YEAR(I288), MONTH(I288) +1, DAY(I288))</f>
        <v>45809</v>
      </c>
      <c r="K288" t="s">
        <v>25</v>
      </c>
      <c r="L288">
        <v>1</v>
      </c>
      <c r="M288">
        <v>40</v>
      </c>
      <c r="N288" t="s">
        <v>405</v>
      </c>
      <c r="O288" t="s">
        <v>407</v>
      </c>
    </row>
    <row r="289" spans="1:21" x14ac:dyDescent="0.25">
      <c r="A289" t="s">
        <v>20</v>
      </c>
      <c r="B289" t="s">
        <v>403</v>
      </c>
      <c r="C289" t="s">
        <v>22</v>
      </c>
      <c r="D289" s="1">
        <v>45292</v>
      </c>
      <c r="E289" t="s">
        <v>224</v>
      </c>
      <c r="F289">
        <v>80240596</v>
      </c>
      <c r="G289" t="str">
        <f>CONCATENATE(F289,3)</f>
        <v>802405963</v>
      </c>
      <c r="H289" t="s">
        <v>24</v>
      </c>
      <c r="I289" s="1">
        <v>45778</v>
      </c>
      <c r="J289" s="1">
        <f>DATE(YEAR(I289), MONTH(I289) +1, DAY(I289))</f>
        <v>45809</v>
      </c>
      <c r="K289" t="s">
        <v>25</v>
      </c>
      <c r="L289">
        <v>1</v>
      </c>
      <c r="M289">
        <v>20</v>
      </c>
      <c r="N289" t="s">
        <v>405</v>
      </c>
    </row>
    <row r="290" spans="1:21" x14ac:dyDescent="0.25">
      <c r="A290" t="s">
        <v>20</v>
      </c>
      <c r="B290" t="s">
        <v>403</v>
      </c>
      <c r="C290" t="s">
        <v>22</v>
      </c>
      <c r="D290" s="1">
        <v>45170</v>
      </c>
      <c r="E290" t="s">
        <v>338</v>
      </c>
      <c r="F290">
        <v>80243037</v>
      </c>
      <c r="G290" t="str">
        <f>CONCATENATE(F290,3)</f>
        <v>802430373</v>
      </c>
      <c r="H290" t="s">
        <v>24</v>
      </c>
      <c r="I290" s="1">
        <v>45778</v>
      </c>
      <c r="J290" s="1">
        <f>DATE(YEAR(I290), MONTH(I290) +1, DAY(I290))</f>
        <v>45809</v>
      </c>
      <c r="K290" t="s">
        <v>25</v>
      </c>
      <c r="L290">
        <v>1</v>
      </c>
      <c r="M290">
        <v>20</v>
      </c>
      <c r="N290" t="s">
        <v>405</v>
      </c>
    </row>
    <row r="291" spans="1:21" x14ac:dyDescent="0.25">
      <c r="A291" t="s">
        <v>20</v>
      </c>
      <c r="B291" t="s">
        <v>403</v>
      </c>
      <c r="C291" t="s">
        <v>22</v>
      </c>
      <c r="D291" s="1">
        <v>45170</v>
      </c>
      <c r="E291" t="s">
        <v>339</v>
      </c>
      <c r="F291">
        <v>80243039</v>
      </c>
      <c r="G291" t="str">
        <f>CONCATENATE(F291,3)</f>
        <v>802430393</v>
      </c>
      <c r="H291" t="s">
        <v>24</v>
      </c>
      <c r="I291" s="1">
        <v>45778</v>
      </c>
      <c r="J291" s="1">
        <f>DATE(YEAR(I291), MONTH(I291) +1, DAY(I291))</f>
        <v>45809</v>
      </c>
      <c r="K291" t="s">
        <v>25</v>
      </c>
      <c r="L291">
        <v>1</v>
      </c>
      <c r="M291">
        <v>20</v>
      </c>
      <c r="N291" t="s">
        <v>405</v>
      </c>
    </row>
    <row r="292" spans="1:21" x14ac:dyDescent="0.25">
      <c r="A292" t="s">
        <v>20</v>
      </c>
      <c r="B292" t="s">
        <v>403</v>
      </c>
      <c r="C292" t="s">
        <v>22</v>
      </c>
      <c r="D292" s="1">
        <v>45139</v>
      </c>
      <c r="E292" t="s">
        <v>307</v>
      </c>
      <c r="F292">
        <v>80243074</v>
      </c>
      <c r="G292" t="str">
        <f>CONCATENATE(F292,3)</f>
        <v>802430743</v>
      </c>
      <c r="H292" t="s">
        <v>24</v>
      </c>
      <c r="I292" s="1">
        <v>45778</v>
      </c>
      <c r="J292" s="1">
        <f>DATE(YEAR(I292), MONTH(I292) +1, DAY(I292))</f>
        <v>45809</v>
      </c>
      <c r="K292" t="s">
        <v>25</v>
      </c>
      <c r="L292">
        <v>1</v>
      </c>
      <c r="M292">
        <v>20</v>
      </c>
      <c r="N292" t="s">
        <v>405</v>
      </c>
    </row>
    <row r="293" spans="1:21" x14ac:dyDescent="0.25">
      <c r="A293" t="s">
        <v>20</v>
      </c>
      <c r="B293" t="s">
        <v>403</v>
      </c>
      <c r="C293" t="s">
        <v>22</v>
      </c>
      <c r="D293" s="1">
        <v>45170</v>
      </c>
      <c r="E293" t="s">
        <v>200</v>
      </c>
      <c r="F293">
        <v>80243162</v>
      </c>
      <c r="G293" t="str">
        <f>CONCATENATE(F293,3)</f>
        <v>802431623</v>
      </c>
      <c r="H293" t="s">
        <v>24</v>
      </c>
      <c r="I293" s="1">
        <v>45778</v>
      </c>
      <c r="J293" s="1">
        <f>DATE(YEAR(I293), MONTH(I293) +1, DAY(I293))</f>
        <v>45809</v>
      </c>
      <c r="K293" t="s">
        <v>25</v>
      </c>
      <c r="L293">
        <v>1</v>
      </c>
      <c r="M293">
        <v>40</v>
      </c>
      <c r="N293" t="s">
        <v>405</v>
      </c>
      <c r="O293" t="s">
        <v>407</v>
      </c>
    </row>
    <row r="294" spans="1:21" x14ac:dyDescent="0.25">
      <c r="A294" t="s">
        <v>20</v>
      </c>
      <c r="B294" t="s">
        <v>403</v>
      </c>
      <c r="C294" t="s">
        <v>22</v>
      </c>
      <c r="D294" s="1">
        <v>45170</v>
      </c>
      <c r="E294" t="s">
        <v>100</v>
      </c>
      <c r="F294">
        <v>80244751</v>
      </c>
      <c r="G294" t="str">
        <f>CONCATENATE(F294,3)</f>
        <v>802447513</v>
      </c>
      <c r="H294" t="s">
        <v>24</v>
      </c>
      <c r="I294" s="1">
        <v>45778</v>
      </c>
      <c r="J294" s="1">
        <f>DATE(YEAR(I294), MONTH(I294) +1, DAY(I294))</f>
        <v>45809</v>
      </c>
      <c r="K294" t="s">
        <v>25</v>
      </c>
      <c r="L294">
        <v>1</v>
      </c>
      <c r="M294">
        <v>20</v>
      </c>
      <c r="N294" t="s">
        <v>405</v>
      </c>
    </row>
    <row r="295" spans="1:21" x14ac:dyDescent="0.25">
      <c r="A295" t="s">
        <v>29</v>
      </c>
      <c r="B295">
        <v>18781057</v>
      </c>
      <c r="C295" t="s">
        <v>22</v>
      </c>
      <c r="D295" s="1">
        <v>45292</v>
      </c>
      <c r="E295" t="s">
        <v>309</v>
      </c>
      <c r="F295">
        <v>80244922</v>
      </c>
      <c r="G295" t="str">
        <f>CONCATENATE(F295,3)</f>
        <v>802449223</v>
      </c>
      <c r="H295" t="s">
        <v>24</v>
      </c>
      <c r="I295" s="1">
        <v>45778</v>
      </c>
      <c r="J295" s="1">
        <f>DATE(YEAR(I295), MONTH(I295) +1, DAY(I295))</f>
        <v>45809</v>
      </c>
      <c r="K295" t="s">
        <v>25</v>
      </c>
      <c r="L295">
        <v>1</v>
      </c>
      <c r="M295">
        <v>20</v>
      </c>
      <c r="N295" t="s">
        <v>405</v>
      </c>
    </row>
    <row r="296" spans="1:21" x14ac:dyDescent="0.25">
      <c r="A296" s="2" t="s">
        <v>239</v>
      </c>
      <c r="B296" s="2">
        <v>20769090</v>
      </c>
      <c r="C296" s="2" t="s">
        <v>22</v>
      </c>
      <c r="D296" s="3">
        <v>45292</v>
      </c>
      <c r="E296" s="2" t="s">
        <v>329</v>
      </c>
      <c r="F296" s="2">
        <v>80245338</v>
      </c>
      <c r="G296" t="str">
        <f>CONCATENATE(F296,3)</f>
        <v>802453383</v>
      </c>
      <c r="H296" s="2" t="s">
        <v>24</v>
      </c>
      <c r="I296" s="3">
        <v>45444</v>
      </c>
      <c r="J296" s="3">
        <f>DATE(YEAR(I296), MONTH(I296) +1, DAY(I296))</f>
        <v>45474</v>
      </c>
      <c r="K296" s="2" t="s">
        <v>98</v>
      </c>
      <c r="L296" s="2">
        <v>1</v>
      </c>
      <c r="M296" s="2">
        <v>20</v>
      </c>
      <c r="N296" s="2" t="s">
        <v>405</v>
      </c>
      <c r="O296" s="2"/>
      <c r="P296" s="2"/>
      <c r="Q296" s="2"/>
      <c r="R296" s="2"/>
      <c r="S296" s="2"/>
      <c r="T296" s="2"/>
      <c r="U296" s="2"/>
    </row>
    <row r="297" spans="1:21" x14ac:dyDescent="0.25">
      <c r="A297" s="2" t="s">
        <v>239</v>
      </c>
      <c r="B297" s="2">
        <v>20769090</v>
      </c>
      <c r="C297" s="2" t="s">
        <v>22</v>
      </c>
      <c r="D297" s="3">
        <v>45292</v>
      </c>
      <c r="E297" s="2" t="s">
        <v>329</v>
      </c>
      <c r="F297" s="2">
        <v>80245338</v>
      </c>
      <c r="G297" t="str">
        <f>CONCATENATE(F297,3)</f>
        <v>802453383</v>
      </c>
      <c r="H297" s="2" t="s">
        <v>24</v>
      </c>
      <c r="I297" s="3">
        <v>45474</v>
      </c>
      <c r="J297" s="3">
        <f>DATE(YEAR(I297), MONTH(I297) +1, DAY(I297))</f>
        <v>45505</v>
      </c>
      <c r="K297" s="2" t="s">
        <v>96</v>
      </c>
      <c r="L297" s="2">
        <v>1</v>
      </c>
      <c r="M297" s="2">
        <v>20</v>
      </c>
      <c r="N297" s="2" t="s">
        <v>405</v>
      </c>
      <c r="O297" s="2"/>
      <c r="P297" s="2"/>
      <c r="Q297" s="2"/>
      <c r="R297" s="2"/>
      <c r="S297" s="2"/>
      <c r="T297" s="2"/>
      <c r="U297" s="2"/>
    </row>
    <row r="298" spans="1:21" x14ac:dyDescent="0.25">
      <c r="A298" s="2" t="s">
        <v>239</v>
      </c>
      <c r="B298" s="2">
        <v>20769090</v>
      </c>
      <c r="C298" s="2" t="s">
        <v>22</v>
      </c>
      <c r="D298" s="3">
        <v>45292</v>
      </c>
      <c r="E298" s="2" t="s">
        <v>329</v>
      </c>
      <c r="F298" s="2">
        <v>80245338</v>
      </c>
      <c r="G298" t="str">
        <f>CONCATENATE(F298,3)</f>
        <v>802453383</v>
      </c>
      <c r="H298" s="2" t="s">
        <v>24</v>
      </c>
      <c r="I298" s="3">
        <v>45536</v>
      </c>
      <c r="J298" s="3">
        <f>DATE(YEAR(I298), MONTH(I298) +1, DAY(I298))</f>
        <v>45566</v>
      </c>
      <c r="K298" s="2" t="s">
        <v>95</v>
      </c>
      <c r="L298" s="2">
        <v>1</v>
      </c>
      <c r="M298" s="2">
        <v>20</v>
      </c>
      <c r="N298" s="2" t="s">
        <v>405</v>
      </c>
      <c r="O298" s="2"/>
      <c r="P298" s="2"/>
      <c r="Q298" s="2"/>
      <c r="R298" s="2"/>
      <c r="S298" s="2"/>
      <c r="T298" s="2"/>
      <c r="U298" s="2"/>
    </row>
    <row r="299" spans="1:21" x14ac:dyDescent="0.25">
      <c r="A299" t="s">
        <v>20</v>
      </c>
      <c r="B299" t="s">
        <v>403</v>
      </c>
      <c r="C299" t="s">
        <v>22</v>
      </c>
      <c r="D299" s="1">
        <v>45200</v>
      </c>
      <c r="E299" t="s">
        <v>175</v>
      </c>
      <c r="F299">
        <v>80245881</v>
      </c>
      <c r="G299" t="str">
        <f>CONCATENATE(F299,3)</f>
        <v>802458813</v>
      </c>
      <c r="H299" t="s">
        <v>24</v>
      </c>
      <c r="I299" s="1">
        <v>45778</v>
      </c>
      <c r="J299" s="1">
        <f>DATE(YEAR(I299), MONTH(I299) +1, DAY(I299))</f>
        <v>45809</v>
      </c>
      <c r="K299" t="s">
        <v>25</v>
      </c>
      <c r="L299">
        <v>1</v>
      </c>
      <c r="M299">
        <v>80</v>
      </c>
      <c r="N299" t="s">
        <v>405</v>
      </c>
      <c r="O299" t="s">
        <v>409</v>
      </c>
    </row>
    <row r="300" spans="1:21" x14ac:dyDescent="0.25">
      <c r="A300" t="s">
        <v>38</v>
      </c>
      <c r="B300">
        <v>16509456</v>
      </c>
      <c r="C300" t="s">
        <v>22</v>
      </c>
      <c r="D300" s="1">
        <v>45658</v>
      </c>
      <c r="E300" t="s">
        <v>254</v>
      </c>
      <c r="F300">
        <v>81073771</v>
      </c>
      <c r="G300" t="str">
        <f>CONCATENATE(F300,3)</f>
        <v>810737713</v>
      </c>
      <c r="H300" t="s">
        <v>24</v>
      </c>
      <c r="I300" s="1">
        <v>45778</v>
      </c>
      <c r="J300" s="1">
        <f>DATE(YEAR(I300), MONTH(I300) +1, DAY(I300))</f>
        <v>45809</v>
      </c>
      <c r="K300" t="s">
        <v>25</v>
      </c>
      <c r="L300">
        <v>1</v>
      </c>
      <c r="M300">
        <v>40</v>
      </c>
      <c r="N300" t="s">
        <v>405</v>
      </c>
      <c r="O300" t="s">
        <v>407</v>
      </c>
    </row>
    <row r="301" spans="1:21" x14ac:dyDescent="0.25">
      <c r="A301" t="s">
        <v>38</v>
      </c>
      <c r="B301">
        <v>16509456</v>
      </c>
      <c r="C301" t="s">
        <v>22</v>
      </c>
      <c r="D301" s="1">
        <v>45566</v>
      </c>
      <c r="E301" t="s">
        <v>114</v>
      </c>
      <c r="F301">
        <v>81073936</v>
      </c>
      <c r="G301" t="str">
        <f>CONCATENATE(F301,3)</f>
        <v>810739363</v>
      </c>
      <c r="H301" t="s">
        <v>24</v>
      </c>
      <c r="I301" s="1">
        <v>45748</v>
      </c>
      <c r="J301" s="1">
        <f>DATE(YEAR(I301), MONTH(I301) +1, DAY(I301))</f>
        <v>45778</v>
      </c>
      <c r="K301" t="s">
        <v>28</v>
      </c>
      <c r="L301">
        <v>1</v>
      </c>
      <c r="M301">
        <v>40</v>
      </c>
      <c r="N301" t="s">
        <v>405</v>
      </c>
      <c r="O301" t="s">
        <v>407</v>
      </c>
    </row>
    <row r="302" spans="1:21" x14ac:dyDescent="0.25">
      <c r="A302" t="s">
        <v>20</v>
      </c>
      <c r="B302">
        <v>17425766</v>
      </c>
      <c r="C302" t="s">
        <v>22</v>
      </c>
      <c r="D302" s="1">
        <v>45717</v>
      </c>
      <c r="E302" t="s">
        <v>106</v>
      </c>
      <c r="F302">
        <v>81138945</v>
      </c>
      <c r="G302" t="str">
        <f>CONCATENATE(F302,3)</f>
        <v>811389453</v>
      </c>
      <c r="H302" t="s">
        <v>24</v>
      </c>
      <c r="I302" s="1">
        <v>45778</v>
      </c>
      <c r="J302" s="1">
        <f>DATE(YEAR(I302), MONTH(I302) +1, DAY(I302))</f>
        <v>45809</v>
      </c>
      <c r="K302" t="s">
        <v>25</v>
      </c>
      <c r="L302">
        <v>1</v>
      </c>
      <c r="M302">
        <v>80</v>
      </c>
      <c r="N302" t="s">
        <v>405</v>
      </c>
      <c r="O302" t="s">
        <v>409</v>
      </c>
    </row>
    <row r="303" spans="1:21" x14ac:dyDescent="0.25">
      <c r="A303" t="s">
        <v>38</v>
      </c>
      <c r="B303">
        <v>16509456</v>
      </c>
      <c r="C303" t="s">
        <v>22</v>
      </c>
      <c r="D303" s="1">
        <v>45292</v>
      </c>
      <c r="E303" t="s">
        <v>151</v>
      </c>
      <c r="F303">
        <v>81197443</v>
      </c>
      <c r="G303" t="str">
        <f>CONCATENATE(F303,3)</f>
        <v>811974433</v>
      </c>
      <c r="H303" t="s">
        <v>24</v>
      </c>
      <c r="I303" s="1">
        <v>45748</v>
      </c>
      <c r="J303" s="1">
        <f>DATE(YEAR(I303), MONTH(I303) +1, DAY(I303))</f>
        <v>45778</v>
      </c>
      <c r="K303" t="s">
        <v>28</v>
      </c>
      <c r="L303">
        <v>1</v>
      </c>
      <c r="M303">
        <v>20</v>
      </c>
      <c r="N303" t="s">
        <v>405</v>
      </c>
    </row>
    <row r="304" spans="1:21" x14ac:dyDescent="0.25">
      <c r="A304" t="s">
        <v>20</v>
      </c>
      <c r="B304">
        <v>17425766</v>
      </c>
      <c r="C304" t="s">
        <v>22</v>
      </c>
      <c r="D304" s="1">
        <v>45566</v>
      </c>
      <c r="E304" t="s">
        <v>246</v>
      </c>
      <c r="F304">
        <v>81216553</v>
      </c>
      <c r="G304" t="str">
        <f>CONCATENATE(F304,3)</f>
        <v>812165533</v>
      </c>
      <c r="H304" t="s">
        <v>24</v>
      </c>
      <c r="I304" s="1">
        <v>45778</v>
      </c>
      <c r="J304" s="1">
        <f>DATE(YEAR(I304), MONTH(I304) +1, DAY(I304))</f>
        <v>45809</v>
      </c>
      <c r="K304" t="s">
        <v>25</v>
      </c>
      <c r="L304">
        <v>1</v>
      </c>
      <c r="M304">
        <v>20</v>
      </c>
      <c r="N304" t="s">
        <v>405</v>
      </c>
    </row>
    <row r="305" spans="1:15" x14ac:dyDescent="0.25">
      <c r="A305" t="s">
        <v>29</v>
      </c>
      <c r="B305" t="s">
        <v>404</v>
      </c>
      <c r="C305" t="s">
        <v>22</v>
      </c>
      <c r="D305" s="1">
        <v>45658</v>
      </c>
      <c r="E305" t="s">
        <v>43</v>
      </c>
      <c r="F305">
        <v>81230687</v>
      </c>
      <c r="G305" t="str">
        <f>CONCATENATE(F305,3)</f>
        <v>812306873</v>
      </c>
      <c r="H305" t="s">
        <v>24</v>
      </c>
      <c r="I305" s="1">
        <v>45778</v>
      </c>
      <c r="J305" s="1">
        <f>DATE(YEAR(I305), MONTH(I305) +1, DAY(I305))</f>
        <v>45809</v>
      </c>
      <c r="K305" t="s">
        <v>25</v>
      </c>
      <c r="L305">
        <v>1</v>
      </c>
      <c r="M305">
        <v>20</v>
      </c>
      <c r="N305" t="s">
        <v>405</v>
      </c>
    </row>
    <row r="306" spans="1:15" x14ac:dyDescent="0.25">
      <c r="A306" t="s">
        <v>20</v>
      </c>
      <c r="B306">
        <v>17425766</v>
      </c>
      <c r="C306" t="s">
        <v>22</v>
      </c>
      <c r="D306" s="1">
        <v>45627</v>
      </c>
      <c r="E306" t="s">
        <v>317</v>
      </c>
      <c r="F306">
        <v>81234017</v>
      </c>
      <c r="G306" t="str">
        <f>CONCATENATE(F306,3)</f>
        <v>812340173</v>
      </c>
      <c r="H306" t="s">
        <v>24</v>
      </c>
      <c r="I306" s="1">
        <v>45748</v>
      </c>
      <c r="J306" s="1">
        <f>DATE(YEAR(I306), MONTH(I306) +1, DAY(I306))</f>
        <v>45778</v>
      </c>
      <c r="K306" t="s">
        <v>28</v>
      </c>
      <c r="L306">
        <v>1</v>
      </c>
      <c r="M306">
        <v>40</v>
      </c>
      <c r="N306" t="s">
        <v>405</v>
      </c>
      <c r="O306" t="s">
        <v>407</v>
      </c>
    </row>
    <row r="307" spans="1:15" x14ac:dyDescent="0.25">
      <c r="A307" t="s">
        <v>38</v>
      </c>
      <c r="B307">
        <v>16509456</v>
      </c>
      <c r="C307" t="s">
        <v>22</v>
      </c>
      <c r="D307" s="1">
        <v>45292</v>
      </c>
      <c r="E307" t="s">
        <v>220</v>
      </c>
      <c r="F307">
        <v>81253066</v>
      </c>
      <c r="G307" t="str">
        <f>CONCATENATE(F307,3)</f>
        <v>812530663</v>
      </c>
      <c r="H307" t="s">
        <v>24</v>
      </c>
      <c r="I307" s="1">
        <v>45778</v>
      </c>
      <c r="J307" s="1">
        <f>DATE(YEAR(I307), MONTH(I307) +1, DAY(I307))</f>
        <v>45809</v>
      </c>
      <c r="K307" t="s">
        <v>25</v>
      </c>
      <c r="L307">
        <v>1</v>
      </c>
      <c r="M307">
        <v>20</v>
      </c>
      <c r="N307" t="s">
        <v>405</v>
      </c>
    </row>
    <row r="308" spans="1:15" x14ac:dyDescent="0.25">
      <c r="A308" t="s">
        <v>20</v>
      </c>
      <c r="B308" t="s">
        <v>403</v>
      </c>
      <c r="C308" t="s">
        <v>22</v>
      </c>
      <c r="D308" s="1">
        <v>45444</v>
      </c>
      <c r="E308" t="s">
        <v>143</v>
      </c>
      <c r="F308">
        <v>81255680</v>
      </c>
      <c r="G308" t="str">
        <f>CONCATENATE(F308,3)</f>
        <v>812556803</v>
      </c>
      <c r="H308" t="s">
        <v>24</v>
      </c>
      <c r="I308" s="1">
        <v>45778</v>
      </c>
      <c r="J308" s="1">
        <f>DATE(YEAR(I308), MONTH(I308) +1, DAY(I308))</f>
        <v>45809</v>
      </c>
      <c r="K308" t="s">
        <v>25</v>
      </c>
      <c r="L308">
        <v>1</v>
      </c>
      <c r="M308">
        <v>80</v>
      </c>
      <c r="N308" t="s">
        <v>405</v>
      </c>
      <c r="O308" t="s">
        <v>409</v>
      </c>
    </row>
    <row r="309" spans="1:15" x14ac:dyDescent="0.25">
      <c r="A309" t="s">
        <v>20</v>
      </c>
      <c r="B309" t="s">
        <v>403</v>
      </c>
      <c r="C309" t="s">
        <v>22</v>
      </c>
      <c r="D309" s="1">
        <v>45444</v>
      </c>
      <c r="E309" t="s">
        <v>281</v>
      </c>
      <c r="F309">
        <v>81257799</v>
      </c>
      <c r="G309" t="str">
        <f>CONCATENATE(F309,3)</f>
        <v>812577993</v>
      </c>
      <c r="H309" t="s">
        <v>24</v>
      </c>
      <c r="I309" s="1">
        <v>45717</v>
      </c>
      <c r="J309" s="1">
        <f>DATE(YEAR(I309), MONTH(I309) +1, DAY(I309))</f>
        <v>45748</v>
      </c>
      <c r="K309" t="s">
        <v>60</v>
      </c>
      <c r="L309">
        <v>1</v>
      </c>
      <c r="M309">
        <v>20</v>
      </c>
      <c r="N309" t="s">
        <v>405</v>
      </c>
    </row>
    <row r="310" spans="1:15" x14ac:dyDescent="0.25">
      <c r="A310" t="s">
        <v>20</v>
      </c>
      <c r="B310" t="s">
        <v>403</v>
      </c>
      <c r="C310" t="s">
        <v>22</v>
      </c>
      <c r="D310" s="1">
        <v>45444</v>
      </c>
      <c r="E310" t="s">
        <v>281</v>
      </c>
      <c r="F310">
        <v>81257799</v>
      </c>
      <c r="G310" t="str">
        <f>CONCATENATE(F310,3)</f>
        <v>812577993</v>
      </c>
      <c r="H310" t="s">
        <v>24</v>
      </c>
      <c r="I310" s="1">
        <v>45748</v>
      </c>
      <c r="J310" s="1">
        <f>DATE(YEAR(I310), MONTH(I310) +1, DAY(I310))</f>
        <v>45778</v>
      </c>
      <c r="K310" t="s">
        <v>28</v>
      </c>
      <c r="L310">
        <v>1</v>
      </c>
      <c r="M310">
        <v>20</v>
      </c>
      <c r="N310" t="s">
        <v>405</v>
      </c>
    </row>
    <row r="311" spans="1:15" x14ac:dyDescent="0.25">
      <c r="A311" t="s">
        <v>20</v>
      </c>
      <c r="B311">
        <v>17425766</v>
      </c>
      <c r="C311" t="s">
        <v>22</v>
      </c>
      <c r="D311" s="1">
        <v>45658</v>
      </c>
      <c r="E311" t="s">
        <v>192</v>
      </c>
      <c r="F311">
        <v>81270719</v>
      </c>
      <c r="G311" t="str">
        <f>CONCATENATE(F311,3)</f>
        <v>812707193</v>
      </c>
      <c r="H311" t="s">
        <v>24</v>
      </c>
      <c r="I311" s="1">
        <v>45748</v>
      </c>
      <c r="J311" s="1">
        <f>DATE(YEAR(I311), MONTH(I311) +1, DAY(I311))</f>
        <v>45778</v>
      </c>
      <c r="K311" t="s">
        <v>28</v>
      </c>
      <c r="L311">
        <v>1</v>
      </c>
      <c r="M311">
        <v>20</v>
      </c>
      <c r="N311" t="s">
        <v>405</v>
      </c>
    </row>
    <row r="312" spans="1:15" x14ac:dyDescent="0.25">
      <c r="A312" t="s">
        <v>20</v>
      </c>
      <c r="B312">
        <v>17425766</v>
      </c>
      <c r="C312" t="s">
        <v>22</v>
      </c>
      <c r="D312" s="1">
        <v>45597</v>
      </c>
      <c r="E312" t="s">
        <v>62</v>
      </c>
      <c r="F312">
        <v>81280628</v>
      </c>
      <c r="G312" t="str">
        <f>CONCATENATE(F312,3)</f>
        <v>812806283</v>
      </c>
      <c r="H312" t="s">
        <v>24</v>
      </c>
      <c r="I312" s="1">
        <v>45778</v>
      </c>
      <c r="J312" s="1">
        <f>DATE(YEAR(I312), MONTH(I312) +1, DAY(I312))</f>
        <v>45809</v>
      </c>
      <c r="K312" t="s">
        <v>25</v>
      </c>
      <c r="L312">
        <v>1</v>
      </c>
      <c r="M312">
        <v>20</v>
      </c>
      <c r="N312" t="s">
        <v>405</v>
      </c>
    </row>
    <row r="313" spans="1:15" x14ac:dyDescent="0.25">
      <c r="A313" t="s">
        <v>38</v>
      </c>
      <c r="B313">
        <v>16509456</v>
      </c>
      <c r="C313" t="s">
        <v>22</v>
      </c>
      <c r="D313" s="1">
        <v>45352</v>
      </c>
      <c r="E313" t="s">
        <v>51</v>
      </c>
      <c r="F313">
        <v>81287834</v>
      </c>
      <c r="G313" t="str">
        <f>CONCATENATE(F313,3)</f>
        <v>812878343</v>
      </c>
      <c r="H313" t="s">
        <v>24</v>
      </c>
      <c r="I313" s="1">
        <v>45748</v>
      </c>
      <c r="J313" s="1">
        <f>DATE(YEAR(I313), MONTH(I313) +1, DAY(I313))</f>
        <v>45778</v>
      </c>
      <c r="K313" t="s">
        <v>28</v>
      </c>
      <c r="L313">
        <v>1</v>
      </c>
      <c r="M313">
        <v>80</v>
      </c>
      <c r="N313" t="s">
        <v>405</v>
      </c>
      <c r="O313" t="s">
        <v>409</v>
      </c>
    </row>
    <row r="314" spans="1:15" x14ac:dyDescent="0.25">
      <c r="A314" t="s">
        <v>38</v>
      </c>
      <c r="B314">
        <v>16509456</v>
      </c>
      <c r="C314" t="s">
        <v>22</v>
      </c>
      <c r="D314" s="1">
        <v>45323</v>
      </c>
      <c r="E314" t="s">
        <v>58</v>
      </c>
      <c r="F314">
        <v>81294223</v>
      </c>
      <c r="G314" t="str">
        <f>CONCATENATE(F314,3)</f>
        <v>812942233</v>
      </c>
      <c r="H314" t="s">
        <v>24</v>
      </c>
      <c r="I314" s="1">
        <v>45597</v>
      </c>
      <c r="J314" s="1">
        <f>DATE(YEAR(I314), MONTH(I314) +1, DAY(I314))</f>
        <v>45627</v>
      </c>
      <c r="K314" t="s">
        <v>59</v>
      </c>
      <c r="L314">
        <v>-1</v>
      </c>
      <c r="M314">
        <v>-40</v>
      </c>
      <c r="N314" t="s">
        <v>405</v>
      </c>
      <c r="O314" t="s">
        <v>407</v>
      </c>
    </row>
    <row r="315" spans="1:15" x14ac:dyDescent="0.25">
      <c r="A315" t="s">
        <v>38</v>
      </c>
      <c r="B315">
        <v>16509456</v>
      </c>
      <c r="C315" t="s">
        <v>22</v>
      </c>
      <c r="D315" s="1">
        <v>45323</v>
      </c>
      <c r="E315" t="s">
        <v>58</v>
      </c>
      <c r="F315">
        <v>81294223</v>
      </c>
      <c r="G315" t="str">
        <f>CONCATENATE(F315,3)</f>
        <v>812942233</v>
      </c>
      <c r="H315" t="s">
        <v>24</v>
      </c>
      <c r="I315" s="1">
        <v>45717</v>
      </c>
      <c r="J315" s="1">
        <f>DATE(YEAR(I315), MONTH(I315) +1, DAY(I315))</f>
        <v>45748</v>
      </c>
      <c r="K315" t="s">
        <v>60</v>
      </c>
      <c r="L315">
        <v>1</v>
      </c>
      <c r="M315">
        <v>40</v>
      </c>
      <c r="N315" t="s">
        <v>405</v>
      </c>
      <c r="O315" t="s">
        <v>407</v>
      </c>
    </row>
    <row r="316" spans="1:15" x14ac:dyDescent="0.25">
      <c r="A316" t="s">
        <v>20</v>
      </c>
      <c r="B316">
        <v>17425766</v>
      </c>
      <c r="C316" t="s">
        <v>22</v>
      </c>
      <c r="D316" s="1">
        <v>45658</v>
      </c>
      <c r="E316" t="s">
        <v>209</v>
      </c>
      <c r="F316">
        <v>81314890</v>
      </c>
      <c r="G316" t="str">
        <f>CONCATENATE(F316,3)</f>
        <v>813148903</v>
      </c>
      <c r="H316" t="s">
        <v>24</v>
      </c>
      <c r="I316" s="1">
        <v>45778</v>
      </c>
      <c r="J316" s="1">
        <f>DATE(YEAR(I316), MONTH(I316) +1, DAY(I316))</f>
        <v>45809</v>
      </c>
      <c r="K316" t="s">
        <v>25</v>
      </c>
      <c r="L316">
        <v>1</v>
      </c>
      <c r="M316">
        <v>20</v>
      </c>
      <c r="N316" t="s">
        <v>405</v>
      </c>
    </row>
    <row r="317" spans="1:15" x14ac:dyDescent="0.25">
      <c r="A317" t="s">
        <v>20</v>
      </c>
      <c r="B317" t="s">
        <v>403</v>
      </c>
      <c r="C317" t="s">
        <v>22</v>
      </c>
      <c r="D317" s="1">
        <v>45292</v>
      </c>
      <c r="E317" t="s">
        <v>202</v>
      </c>
      <c r="F317">
        <v>81335126</v>
      </c>
      <c r="G317" t="str">
        <f>CONCATENATE(F317,3)</f>
        <v>813351263</v>
      </c>
      <c r="H317" t="s">
        <v>24</v>
      </c>
      <c r="I317" s="1">
        <v>45352</v>
      </c>
      <c r="J317" s="1">
        <f>DATE(YEAR(I317), MONTH(I317) +1, DAY(I317))</f>
        <v>45383</v>
      </c>
      <c r="K317" t="s">
        <v>60</v>
      </c>
      <c r="L317">
        <v>-1</v>
      </c>
      <c r="M317">
        <v>-20</v>
      </c>
      <c r="N317" t="s">
        <v>405</v>
      </c>
    </row>
    <row r="318" spans="1:15" x14ac:dyDescent="0.25">
      <c r="A318" t="s">
        <v>20</v>
      </c>
      <c r="B318" t="s">
        <v>403</v>
      </c>
      <c r="C318" t="s">
        <v>22</v>
      </c>
      <c r="D318" s="1">
        <v>45292</v>
      </c>
      <c r="E318" t="s">
        <v>202</v>
      </c>
      <c r="F318">
        <v>81335126</v>
      </c>
      <c r="G318" t="str">
        <f>CONCATENATE(F318,3)</f>
        <v>813351263</v>
      </c>
      <c r="H318" t="s">
        <v>24</v>
      </c>
      <c r="I318" s="1">
        <v>45566</v>
      </c>
      <c r="J318" s="1">
        <f>DATE(YEAR(I318), MONTH(I318) +1, DAY(I318))</f>
        <v>45597</v>
      </c>
      <c r="K318" t="s">
        <v>65</v>
      </c>
      <c r="L318">
        <v>1</v>
      </c>
      <c r="M318">
        <v>40</v>
      </c>
      <c r="N318" t="s">
        <v>405</v>
      </c>
      <c r="O318" t="s">
        <v>407</v>
      </c>
    </row>
    <row r="319" spans="1:15" x14ac:dyDescent="0.25">
      <c r="A319" t="s">
        <v>20</v>
      </c>
      <c r="B319" t="s">
        <v>403</v>
      </c>
      <c r="C319" t="s">
        <v>22</v>
      </c>
      <c r="D319" s="1">
        <v>45413</v>
      </c>
      <c r="E319" t="s">
        <v>291</v>
      </c>
      <c r="F319">
        <v>81337946</v>
      </c>
      <c r="G319" t="str">
        <f>CONCATENATE(F319,3)</f>
        <v>813379463</v>
      </c>
      <c r="H319" t="s">
        <v>24</v>
      </c>
      <c r="I319" s="1">
        <v>45748</v>
      </c>
      <c r="J319" s="1">
        <f>DATE(YEAR(I319), MONTH(I319) +1, DAY(I319))</f>
        <v>45778</v>
      </c>
      <c r="K319" t="s">
        <v>28</v>
      </c>
      <c r="L319">
        <v>1</v>
      </c>
      <c r="M319">
        <v>20</v>
      </c>
      <c r="N319" t="s">
        <v>405</v>
      </c>
    </row>
    <row r="320" spans="1:15" x14ac:dyDescent="0.25">
      <c r="A320" t="s">
        <v>32</v>
      </c>
      <c r="B320">
        <v>8971826</v>
      </c>
      <c r="C320" t="s">
        <v>22</v>
      </c>
      <c r="D320" s="1">
        <v>45292</v>
      </c>
      <c r="E320" t="s">
        <v>53</v>
      </c>
      <c r="F320">
        <v>81338998</v>
      </c>
      <c r="G320" t="str">
        <f>CONCATENATE(F320,3)</f>
        <v>813389983</v>
      </c>
      <c r="H320" t="s">
        <v>24</v>
      </c>
      <c r="I320" s="1">
        <v>45778</v>
      </c>
      <c r="J320" s="1">
        <f>DATE(YEAR(I320), MONTH(I320) +1, DAY(I320))</f>
        <v>45809</v>
      </c>
      <c r="K320" t="s">
        <v>25</v>
      </c>
      <c r="L320">
        <v>1</v>
      </c>
      <c r="M320">
        <v>20</v>
      </c>
      <c r="N320" t="s">
        <v>405</v>
      </c>
    </row>
    <row r="321" spans="1:21" x14ac:dyDescent="0.25">
      <c r="A321" t="s">
        <v>20</v>
      </c>
      <c r="B321" t="s">
        <v>403</v>
      </c>
      <c r="C321" t="s">
        <v>22</v>
      </c>
      <c r="D321" s="1">
        <v>45292</v>
      </c>
      <c r="E321" t="s">
        <v>345</v>
      </c>
      <c r="F321">
        <v>81339984</v>
      </c>
      <c r="G321" t="str">
        <f>CONCATENATE(F321,3)</f>
        <v>813399843</v>
      </c>
      <c r="H321" t="s">
        <v>24</v>
      </c>
      <c r="I321" s="1">
        <v>45748</v>
      </c>
      <c r="J321" s="1">
        <f>DATE(YEAR(I321), MONTH(I321) +1, DAY(I321))</f>
        <v>45778</v>
      </c>
      <c r="K321" t="s">
        <v>28</v>
      </c>
      <c r="L321">
        <v>1</v>
      </c>
      <c r="M321">
        <v>20</v>
      </c>
      <c r="N321" t="s">
        <v>405</v>
      </c>
    </row>
    <row r="322" spans="1:21" x14ac:dyDescent="0.25">
      <c r="A322" t="s">
        <v>20</v>
      </c>
      <c r="B322" t="s">
        <v>403</v>
      </c>
      <c r="C322" t="s">
        <v>22</v>
      </c>
      <c r="D322" s="1">
        <v>45292</v>
      </c>
      <c r="E322" t="s">
        <v>67</v>
      </c>
      <c r="F322">
        <v>81343363</v>
      </c>
      <c r="G322" t="str">
        <f>CONCATENATE(F322,3)</f>
        <v>813433633</v>
      </c>
      <c r="H322" t="s">
        <v>24</v>
      </c>
      <c r="I322" s="1">
        <v>45778</v>
      </c>
      <c r="J322" s="1">
        <f>DATE(YEAR(I322), MONTH(I322) +1, DAY(I322))</f>
        <v>45809</v>
      </c>
      <c r="K322" t="s">
        <v>25</v>
      </c>
      <c r="L322">
        <v>1</v>
      </c>
      <c r="M322">
        <v>20</v>
      </c>
      <c r="N322" t="s">
        <v>405</v>
      </c>
    </row>
    <row r="323" spans="1:21" x14ac:dyDescent="0.25">
      <c r="A323" t="s">
        <v>20</v>
      </c>
      <c r="B323" t="s">
        <v>403</v>
      </c>
      <c r="C323" t="s">
        <v>22</v>
      </c>
      <c r="D323" s="1">
        <v>45292</v>
      </c>
      <c r="E323" t="s">
        <v>273</v>
      </c>
      <c r="F323">
        <v>81343440</v>
      </c>
      <c r="G323" t="str">
        <f>CONCATENATE(F323,3)</f>
        <v>813434403</v>
      </c>
      <c r="H323" t="s">
        <v>24</v>
      </c>
      <c r="I323" s="1">
        <v>45748</v>
      </c>
      <c r="J323" s="1">
        <f>DATE(YEAR(I323), MONTH(I323) +1, DAY(I323))</f>
        <v>45778</v>
      </c>
      <c r="K323" t="s">
        <v>28</v>
      </c>
      <c r="L323">
        <v>1</v>
      </c>
      <c r="M323">
        <v>20</v>
      </c>
      <c r="N323" t="s">
        <v>405</v>
      </c>
    </row>
    <row r="324" spans="1:21" x14ac:dyDescent="0.25">
      <c r="A324" t="s">
        <v>20</v>
      </c>
      <c r="B324" t="s">
        <v>403</v>
      </c>
      <c r="C324" t="s">
        <v>22</v>
      </c>
      <c r="D324" s="1">
        <v>45292</v>
      </c>
      <c r="E324" t="s">
        <v>283</v>
      </c>
      <c r="F324">
        <v>81344555</v>
      </c>
      <c r="G324" t="str">
        <f>CONCATENATE(F324,3)</f>
        <v>813445553</v>
      </c>
      <c r="H324" t="s">
        <v>24</v>
      </c>
      <c r="I324" s="1">
        <v>45778</v>
      </c>
      <c r="J324" s="1">
        <f>DATE(YEAR(I324), MONTH(I324) +1, DAY(I324))</f>
        <v>45809</v>
      </c>
      <c r="K324" t="s">
        <v>25</v>
      </c>
      <c r="L324">
        <v>1</v>
      </c>
      <c r="M324">
        <v>20</v>
      </c>
      <c r="N324" t="s">
        <v>405</v>
      </c>
    </row>
    <row r="325" spans="1:21" x14ac:dyDescent="0.25">
      <c r="A325" t="s">
        <v>20</v>
      </c>
      <c r="B325" t="s">
        <v>403</v>
      </c>
      <c r="C325" t="s">
        <v>22</v>
      </c>
      <c r="D325" s="1">
        <v>45292</v>
      </c>
      <c r="E325" t="s">
        <v>296</v>
      </c>
      <c r="F325">
        <v>81346723</v>
      </c>
      <c r="G325" t="str">
        <f>CONCATENATE(F325,3)</f>
        <v>813467233</v>
      </c>
      <c r="H325" t="s">
        <v>24</v>
      </c>
      <c r="I325" s="1">
        <v>45748</v>
      </c>
      <c r="J325" s="1">
        <f>DATE(YEAR(I325), MONTH(I325) +1, DAY(I325))</f>
        <v>45778</v>
      </c>
      <c r="K325" t="s">
        <v>28</v>
      </c>
      <c r="L325">
        <v>1</v>
      </c>
      <c r="M325">
        <v>20</v>
      </c>
      <c r="N325" t="s">
        <v>405</v>
      </c>
    </row>
    <row r="326" spans="1:21" x14ac:dyDescent="0.25">
      <c r="A326" t="s">
        <v>20</v>
      </c>
      <c r="B326" t="s">
        <v>403</v>
      </c>
      <c r="C326" t="s">
        <v>22</v>
      </c>
      <c r="D326" s="1">
        <v>45292</v>
      </c>
      <c r="E326" t="s">
        <v>362</v>
      </c>
      <c r="F326">
        <v>81348525</v>
      </c>
      <c r="G326" t="str">
        <f>CONCATENATE(F326,3)</f>
        <v>813485253</v>
      </c>
      <c r="H326" t="s">
        <v>24</v>
      </c>
      <c r="I326" s="1">
        <v>45778</v>
      </c>
      <c r="J326" s="1">
        <f>DATE(YEAR(I326), MONTH(I326) +1, DAY(I326))</f>
        <v>45809</v>
      </c>
      <c r="K326" t="s">
        <v>25</v>
      </c>
      <c r="L326">
        <v>1</v>
      </c>
      <c r="M326">
        <v>20</v>
      </c>
      <c r="N326" t="s">
        <v>405</v>
      </c>
    </row>
    <row r="327" spans="1:21" x14ac:dyDescent="0.25">
      <c r="A327" t="s">
        <v>20</v>
      </c>
      <c r="B327" t="s">
        <v>403</v>
      </c>
      <c r="C327" t="s">
        <v>22</v>
      </c>
      <c r="D327" s="1">
        <v>45292</v>
      </c>
      <c r="E327" t="s">
        <v>370</v>
      </c>
      <c r="F327">
        <v>81349163</v>
      </c>
      <c r="G327" t="str">
        <f>CONCATENATE(F327,3)</f>
        <v>813491633</v>
      </c>
      <c r="H327" t="s">
        <v>24</v>
      </c>
      <c r="I327" s="1">
        <v>45778</v>
      </c>
      <c r="J327" s="1">
        <f>DATE(YEAR(I327), MONTH(I327) +1, DAY(I327))</f>
        <v>45809</v>
      </c>
      <c r="K327" t="s">
        <v>25</v>
      </c>
      <c r="L327">
        <v>1</v>
      </c>
      <c r="M327">
        <v>20</v>
      </c>
      <c r="N327" t="s">
        <v>405</v>
      </c>
    </row>
    <row r="328" spans="1:21" x14ac:dyDescent="0.25">
      <c r="A328" t="s">
        <v>29</v>
      </c>
      <c r="B328">
        <v>18781057</v>
      </c>
      <c r="C328" t="s">
        <v>22</v>
      </c>
      <c r="D328" s="1">
        <v>45292</v>
      </c>
      <c r="E328" t="s">
        <v>49</v>
      </c>
      <c r="F328">
        <v>81350004</v>
      </c>
      <c r="G328" t="str">
        <f>CONCATENATE(F328,3)</f>
        <v>813500043</v>
      </c>
      <c r="H328" t="s">
        <v>24</v>
      </c>
      <c r="I328" s="1">
        <v>45748</v>
      </c>
      <c r="J328" s="1">
        <f>DATE(YEAR(I328), MONTH(I328) +1, DAY(I328))</f>
        <v>45778</v>
      </c>
      <c r="K328" t="s">
        <v>28</v>
      </c>
      <c r="L328">
        <v>1</v>
      </c>
      <c r="M328">
        <v>40</v>
      </c>
      <c r="N328" t="s">
        <v>405</v>
      </c>
      <c r="O328" t="s">
        <v>407</v>
      </c>
    </row>
    <row r="329" spans="1:21" x14ac:dyDescent="0.25">
      <c r="A329" t="s">
        <v>29</v>
      </c>
      <c r="B329">
        <v>18781057</v>
      </c>
      <c r="C329" t="s">
        <v>22</v>
      </c>
      <c r="D329" s="1">
        <v>45292</v>
      </c>
      <c r="E329" t="s">
        <v>226</v>
      </c>
      <c r="F329">
        <v>81350464</v>
      </c>
      <c r="G329" t="str">
        <f>CONCATENATE(F329,3)</f>
        <v>813504643</v>
      </c>
      <c r="H329" t="s">
        <v>24</v>
      </c>
      <c r="I329" s="1">
        <v>45778</v>
      </c>
      <c r="J329" s="1">
        <f>DATE(YEAR(I329), MONTH(I329) +1, DAY(I329))</f>
        <v>45809</v>
      </c>
      <c r="K329" t="s">
        <v>25</v>
      </c>
      <c r="L329">
        <v>1</v>
      </c>
      <c r="M329">
        <v>20</v>
      </c>
      <c r="N329" t="s">
        <v>405</v>
      </c>
    </row>
    <row r="330" spans="1:21" x14ac:dyDescent="0.25">
      <c r="A330" t="s">
        <v>29</v>
      </c>
      <c r="B330">
        <v>18781057</v>
      </c>
      <c r="C330" t="s">
        <v>22</v>
      </c>
      <c r="D330" s="1">
        <v>45292</v>
      </c>
      <c r="E330" t="s">
        <v>212</v>
      </c>
      <c r="F330">
        <v>81351637</v>
      </c>
      <c r="G330" t="str">
        <f>CONCATENATE(F330,3)</f>
        <v>813516373</v>
      </c>
      <c r="H330" t="s">
        <v>24</v>
      </c>
      <c r="I330" s="1">
        <v>45778</v>
      </c>
      <c r="J330" s="1">
        <f>DATE(YEAR(I330), MONTH(I330) +1, DAY(I330))</f>
        <v>45809</v>
      </c>
      <c r="K330" t="s">
        <v>25</v>
      </c>
      <c r="L330">
        <v>1</v>
      </c>
      <c r="M330">
        <v>20</v>
      </c>
      <c r="N330" t="s">
        <v>405</v>
      </c>
    </row>
    <row r="331" spans="1:21" x14ac:dyDescent="0.25">
      <c r="A331" t="s">
        <v>29</v>
      </c>
      <c r="B331">
        <v>18781057</v>
      </c>
      <c r="C331" t="s">
        <v>22</v>
      </c>
      <c r="D331" s="1">
        <v>45292</v>
      </c>
      <c r="E331" t="s">
        <v>333</v>
      </c>
      <c r="F331">
        <v>81351656</v>
      </c>
      <c r="G331" t="str">
        <f>CONCATENATE(F331,3)</f>
        <v>813516563</v>
      </c>
      <c r="H331" t="s">
        <v>24</v>
      </c>
      <c r="I331" s="1">
        <v>45778</v>
      </c>
      <c r="J331" s="1">
        <f>DATE(YEAR(I331), MONTH(I331) +1, DAY(I331))</f>
        <v>45809</v>
      </c>
      <c r="K331" t="s">
        <v>25</v>
      </c>
      <c r="L331">
        <v>1</v>
      </c>
      <c r="M331">
        <v>20</v>
      </c>
      <c r="N331" t="s">
        <v>405</v>
      </c>
    </row>
    <row r="332" spans="1:21" x14ac:dyDescent="0.25">
      <c r="A332" s="2" t="s">
        <v>232</v>
      </c>
      <c r="B332" s="2">
        <v>18794740</v>
      </c>
      <c r="C332" s="2" t="s">
        <v>22</v>
      </c>
      <c r="D332" s="3">
        <v>45323</v>
      </c>
      <c r="E332" s="2" t="s">
        <v>315</v>
      </c>
      <c r="F332" s="2">
        <v>81351714</v>
      </c>
      <c r="G332" t="str">
        <f>CONCATENATE(F332,3)</f>
        <v>813517143</v>
      </c>
      <c r="H332" s="2" t="s">
        <v>24</v>
      </c>
      <c r="I332" s="3">
        <v>45778</v>
      </c>
      <c r="J332" s="1">
        <f>DATE(YEAR(I332), MONTH(I332) +1, DAY(I332))</f>
        <v>45809</v>
      </c>
      <c r="K332" s="2" t="s">
        <v>25</v>
      </c>
      <c r="L332">
        <v>1</v>
      </c>
      <c r="M332" s="2">
        <v>20</v>
      </c>
      <c r="N332" t="s">
        <v>405</v>
      </c>
      <c r="O332" s="2"/>
      <c r="P332" s="2"/>
      <c r="Q332" s="2"/>
      <c r="R332" s="2"/>
      <c r="S332" s="2"/>
      <c r="T332" s="2"/>
      <c r="U332" s="2"/>
    </row>
    <row r="333" spans="1:21" x14ac:dyDescent="0.25">
      <c r="A333" t="s">
        <v>38</v>
      </c>
      <c r="B333">
        <v>16509456</v>
      </c>
      <c r="C333" t="s">
        <v>22</v>
      </c>
      <c r="D333" s="1">
        <v>45292</v>
      </c>
      <c r="E333" t="s">
        <v>161</v>
      </c>
      <c r="F333">
        <v>81351744</v>
      </c>
      <c r="G333" t="str">
        <f>CONCATENATE(F333,3)</f>
        <v>813517443</v>
      </c>
      <c r="H333" t="s">
        <v>24</v>
      </c>
      <c r="I333" s="1">
        <v>45748</v>
      </c>
      <c r="J333" s="1">
        <f>DATE(YEAR(I333), MONTH(I333) +1, DAY(I333))</f>
        <v>45778</v>
      </c>
      <c r="K333" t="s">
        <v>28</v>
      </c>
      <c r="L333">
        <v>1</v>
      </c>
      <c r="M333">
        <v>40</v>
      </c>
      <c r="N333" t="s">
        <v>405</v>
      </c>
      <c r="O333" t="s">
        <v>407</v>
      </c>
    </row>
    <row r="334" spans="1:21" x14ac:dyDescent="0.25">
      <c r="A334" t="s">
        <v>32</v>
      </c>
      <c r="B334">
        <v>8971826</v>
      </c>
      <c r="C334" t="s">
        <v>22</v>
      </c>
      <c r="D334" s="1">
        <v>45658</v>
      </c>
      <c r="E334" t="s">
        <v>80</v>
      </c>
      <c r="F334">
        <v>81351840</v>
      </c>
      <c r="G334" t="str">
        <f>CONCATENATE(F334,3)</f>
        <v>813518403</v>
      </c>
      <c r="H334" t="s">
        <v>24</v>
      </c>
      <c r="I334" s="1">
        <v>45778</v>
      </c>
      <c r="J334" s="1">
        <f>DATE(YEAR(I334), MONTH(I334) +1, DAY(I334))</f>
        <v>45809</v>
      </c>
      <c r="K334" t="s">
        <v>25</v>
      </c>
      <c r="L334">
        <v>1</v>
      </c>
      <c r="M334">
        <v>20</v>
      </c>
      <c r="N334" t="s">
        <v>405</v>
      </c>
    </row>
    <row r="335" spans="1:21" x14ac:dyDescent="0.25">
      <c r="A335" t="s">
        <v>38</v>
      </c>
      <c r="B335">
        <v>16509456</v>
      </c>
      <c r="C335" t="s">
        <v>22</v>
      </c>
      <c r="D335" s="1">
        <v>45292</v>
      </c>
      <c r="E335" t="s">
        <v>364</v>
      </c>
      <c r="F335">
        <v>81351873</v>
      </c>
      <c r="G335" t="str">
        <f>CONCATENATE(F335,3)</f>
        <v>813518733</v>
      </c>
      <c r="H335" t="s">
        <v>24</v>
      </c>
      <c r="I335" s="1">
        <v>45748</v>
      </c>
      <c r="J335" s="1">
        <f>DATE(YEAR(I335), MONTH(I335) +1, DAY(I335))</f>
        <v>45778</v>
      </c>
      <c r="K335" t="s">
        <v>28</v>
      </c>
      <c r="L335">
        <v>1</v>
      </c>
      <c r="M335">
        <v>20</v>
      </c>
      <c r="N335" t="s">
        <v>405</v>
      </c>
    </row>
    <row r="336" spans="1:21" x14ac:dyDescent="0.25">
      <c r="A336" t="s">
        <v>20</v>
      </c>
      <c r="B336" t="s">
        <v>403</v>
      </c>
      <c r="C336" t="s">
        <v>22</v>
      </c>
      <c r="D336" s="1">
        <v>45323</v>
      </c>
      <c r="E336" t="s">
        <v>81</v>
      </c>
      <c r="F336">
        <v>81352801</v>
      </c>
      <c r="G336" t="str">
        <f>CONCATENATE(F336,3)</f>
        <v>813528013</v>
      </c>
      <c r="H336" t="s">
        <v>24</v>
      </c>
      <c r="I336" s="1">
        <v>45778</v>
      </c>
      <c r="J336" s="1">
        <f>DATE(YEAR(I336), MONTH(I336) +1, DAY(I336))</f>
        <v>45809</v>
      </c>
      <c r="K336" t="s">
        <v>25</v>
      </c>
      <c r="L336">
        <v>1</v>
      </c>
      <c r="M336">
        <v>20</v>
      </c>
      <c r="N336" t="s">
        <v>405</v>
      </c>
    </row>
    <row r="337" spans="1:21" x14ac:dyDescent="0.25">
      <c r="A337" t="s">
        <v>20</v>
      </c>
      <c r="B337" t="s">
        <v>403</v>
      </c>
      <c r="C337" t="s">
        <v>22</v>
      </c>
      <c r="D337" s="1">
        <v>45323</v>
      </c>
      <c r="E337" t="s">
        <v>389</v>
      </c>
      <c r="F337">
        <v>81352852</v>
      </c>
      <c r="G337" t="str">
        <f>CONCATENATE(F337,3)</f>
        <v>813528523</v>
      </c>
      <c r="H337" t="s">
        <v>24</v>
      </c>
      <c r="I337" s="1">
        <v>45778</v>
      </c>
      <c r="J337" s="1">
        <f>DATE(YEAR(I337), MONTH(I337) +1, DAY(I337))</f>
        <v>45809</v>
      </c>
      <c r="K337" t="s">
        <v>25</v>
      </c>
      <c r="L337">
        <v>1</v>
      </c>
      <c r="M337">
        <v>20</v>
      </c>
      <c r="N337" t="s">
        <v>405</v>
      </c>
    </row>
    <row r="338" spans="1:21" x14ac:dyDescent="0.25">
      <c r="A338" t="s">
        <v>32</v>
      </c>
      <c r="B338">
        <v>8971826</v>
      </c>
      <c r="C338" t="s">
        <v>22</v>
      </c>
      <c r="D338" s="1">
        <v>45658</v>
      </c>
      <c r="E338" t="s">
        <v>34</v>
      </c>
      <c r="F338">
        <v>81352866</v>
      </c>
      <c r="G338" t="str">
        <f>CONCATENATE(F338,3)</f>
        <v>813528663</v>
      </c>
      <c r="H338" t="s">
        <v>24</v>
      </c>
      <c r="I338" s="1">
        <v>45748</v>
      </c>
      <c r="J338" s="1">
        <f>DATE(YEAR(I338), MONTH(I338) +1, DAY(I338))</f>
        <v>45778</v>
      </c>
      <c r="K338" t="s">
        <v>28</v>
      </c>
      <c r="L338">
        <v>1</v>
      </c>
      <c r="M338">
        <v>20</v>
      </c>
      <c r="N338" t="s">
        <v>405</v>
      </c>
    </row>
    <row r="339" spans="1:21" x14ac:dyDescent="0.25">
      <c r="A339" t="s">
        <v>29</v>
      </c>
      <c r="B339">
        <v>18781057</v>
      </c>
      <c r="C339" t="s">
        <v>22</v>
      </c>
      <c r="D339" s="1">
        <v>45323</v>
      </c>
      <c r="E339" t="s">
        <v>349</v>
      </c>
      <c r="F339">
        <v>81353065</v>
      </c>
      <c r="G339" t="str">
        <f>CONCATENATE(F339,3)</f>
        <v>813530653</v>
      </c>
      <c r="H339" t="s">
        <v>24</v>
      </c>
      <c r="I339" s="1">
        <v>45778</v>
      </c>
      <c r="J339" s="1">
        <f>DATE(YEAR(I339), MONTH(I339) +1, DAY(I339))</f>
        <v>45809</v>
      </c>
      <c r="K339" t="s">
        <v>25</v>
      </c>
      <c r="L339">
        <v>1</v>
      </c>
      <c r="M339">
        <v>20</v>
      </c>
      <c r="N339" t="s">
        <v>405</v>
      </c>
    </row>
    <row r="340" spans="1:21" x14ac:dyDescent="0.25">
      <c r="A340" t="s">
        <v>20</v>
      </c>
      <c r="B340">
        <v>17425766</v>
      </c>
      <c r="C340" t="s">
        <v>22</v>
      </c>
      <c r="D340" s="1">
        <v>45658</v>
      </c>
      <c r="E340" t="s">
        <v>44</v>
      </c>
      <c r="F340">
        <v>81353301</v>
      </c>
      <c r="G340" t="str">
        <f>CONCATENATE(F340,3)</f>
        <v>813533013</v>
      </c>
      <c r="H340" t="s">
        <v>24</v>
      </c>
      <c r="I340" s="1">
        <v>45778</v>
      </c>
      <c r="J340" s="1">
        <f>DATE(YEAR(I340), MONTH(I340) +1, DAY(I340))</f>
        <v>45809</v>
      </c>
      <c r="K340" t="s">
        <v>25</v>
      </c>
      <c r="L340">
        <v>1</v>
      </c>
      <c r="M340">
        <v>20</v>
      </c>
      <c r="N340" t="s">
        <v>405</v>
      </c>
    </row>
    <row r="341" spans="1:21" x14ac:dyDescent="0.25">
      <c r="A341" t="s">
        <v>20</v>
      </c>
      <c r="B341" t="s">
        <v>403</v>
      </c>
      <c r="C341" t="s">
        <v>22</v>
      </c>
      <c r="D341" s="1">
        <v>45323</v>
      </c>
      <c r="E341" t="s">
        <v>198</v>
      </c>
      <c r="F341">
        <v>81355006</v>
      </c>
      <c r="G341" t="str">
        <f>CONCATENATE(F341,3)</f>
        <v>813550063</v>
      </c>
      <c r="H341" t="s">
        <v>24</v>
      </c>
      <c r="I341" s="1">
        <v>45778</v>
      </c>
      <c r="J341" s="1">
        <f>DATE(YEAR(I341), MONTH(I341) +1, DAY(I341))</f>
        <v>45809</v>
      </c>
      <c r="K341" t="s">
        <v>25</v>
      </c>
      <c r="L341">
        <v>1</v>
      </c>
      <c r="M341">
        <v>20</v>
      </c>
      <c r="N341" t="s">
        <v>405</v>
      </c>
    </row>
    <row r="342" spans="1:21" x14ac:dyDescent="0.25">
      <c r="A342" t="s">
        <v>20</v>
      </c>
      <c r="B342" t="s">
        <v>403</v>
      </c>
      <c r="C342" t="s">
        <v>22</v>
      </c>
      <c r="D342" s="1">
        <v>45323</v>
      </c>
      <c r="E342" t="s">
        <v>198</v>
      </c>
      <c r="F342">
        <v>81355006</v>
      </c>
      <c r="G342" t="str">
        <f>CONCATENATE(F342,3)</f>
        <v>813550063</v>
      </c>
      <c r="H342" t="s">
        <v>24</v>
      </c>
      <c r="I342" s="1">
        <v>45748</v>
      </c>
      <c r="J342" s="1">
        <f>DATE(YEAR(I342), MONTH(I342) +1, DAY(I342))</f>
        <v>45778</v>
      </c>
      <c r="K342" t="s">
        <v>28</v>
      </c>
      <c r="L342">
        <v>1</v>
      </c>
      <c r="M342">
        <v>20</v>
      </c>
      <c r="N342" t="s">
        <v>405</v>
      </c>
    </row>
    <row r="343" spans="1:21" x14ac:dyDescent="0.25">
      <c r="A343" t="s">
        <v>29</v>
      </c>
      <c r="B343">
        <v>18781057</v>
      </c>
      <c r="C343" t="s">
        <v>22</v>
      </c>
      <c r="D343" s="1">
        <v>45323</v>
      </c>
      <c r="E343" t="s">
        <v>335</v>
      </c>
      <c r="F343">
        <v>81355790</v>
      </c>
      <c r="G343" t="str">
        <f>CONCATENATE(F343,3)</f>
        <v>813557903</v>
      </c>
      <c r="H343" t="s">
        <v>24</v>
      </c>
      <c r="I343" s="1">
        <v>45778</v>
      </c>
      <c r="J343" s="1">
        <f>DATE(YEAR(I343), MONTH(I343) +1, DAY(I343))</f>
        <v>45809</v>
      </c>
      <c r="K343" t="s">
        <v>25</v>
      </c>
      <c r="L343">
        <v>1</v>
      </c>
      <c r="M343">
        <v>20</v>
      </c>
      <c r="N343" t="s">
        <v>405</v>
      </c>
    </row>
    <row r="344" spans="1:21" x14ac:dyDescent="0.25">
      <c r="A344" t="s">
        <v>38</v>
      </c>
      <c r="B344">
        <v>16509456</v>
      </c>
      <c r="C344" t="s">
        <v>22</v>
      </c>
      <c r="D344" s="1">
        <v>45323</v>
      </c>
      <c r="E344" t="s">
        <v>252</v>
      </c>
      <c r="F344">
        <v>81355799</v>
      </c>
      <c r="G344" t="str">
        <f>CONCATENATE(F344,3)</f>
        <v>813557993</v>
      </c>
      <c r="H344" t="s">
        <v>24</v>
      </c>
      <c r="I344" s="1">
        <v>45778</v>
      </c>
      <c r="J344" s="1">
        <f>DATE(YEAR(I344), MONTH(I344) +1, DAY(I344))</f>
        <v>45809</v>
      </c>
      <c r="K344" t="s">
        <v>25</v>
      </c>
      <c r="L344">
        <v>1</v>
      </c>
      <c r="M344">
        <v>20</v>
      </c>
      <c r="N344" t="s">
        <v>405</v>
      </c>
    </row>
    <row r="345" spans="1:21" x14ac:dyDescent="0.25">
      <c r="A345" t="s">
        <v>38</v>
      </c>
      <c r="B345">
        <v>16509456</v>
      </c>
      <c r="C345" t="s">
        <v>22</v>
      </c>
      <c r="D345" s="1">
        <v>45323</v>
      </c>
      <c r="E345" t="s">
        <v>134</v>
      </c>
      <c r="F345">
        <v>81356020</v>
      </c>
      <c r="G345" t="str">
        <f>CONCATENATE(F345,3)</f>
        <v>813560203</v>
      </c>
      <c r="H345" t="s">
        <v>24</v>
      </c>
      <c r="I345" s="1">
        <v>45597</v>
      </c>
      <c r="J345" s="1">
        <f>DATE(YEAR(I345), MONTH(I345) +1, DAY(I345))</f>
        <v>45627</v>
      </c>
      <c r="K345" t="s">
        <v>59</v>
      </c>
      <c r="L345">
        <v>1</v>
      </c>
      <c r="M345">
        <v>20</v>
      </c>
      <c r="N345" t="s">
        <v>405</v>
      </c>
    </row>
    <row r="346" spans="1:21" x14ac:dyDescent="0.25">
      <c r="A346" t="s">
        <v>38</v>
      </c>
      <c r="B346">
        <v>16509456</v>
      </c>
      <c r="C346" t="s">
        <v>22</v>
      </c>
      <c r="D346" s="1">
        <v>45323</v>
      </c>
      <c r="E346" t="s">
        <v>134</v>
      </c>
      <c r="F346">
        <v>81356020</v>
      </c>
      <c r="G346" t="str">
        <f>CONCATENATE(F346,3)</f>
        <v>813560203</v>
      </c>
      <c r="H346" t="s">
        <v>24</v>
      </c>
      <c r="I346" s="1">
        <v>45778</v>
      </c>
      <c r="J346" s="1">
        <f>DATE(YEAR(I346), MONTH(I346) +1, DAY(I346))</f>
        <v>45809</v>
      </c>
      <c r="K346" t="s">
        <v>25</v>
      </c>
      <c r="L346">
        <v>1</v>
      </c>
      <c r="M346">
        <v>20</v>
      </c>
      <c r="N346" t="s">
        <v>405</v>
      </c>
    </row>
    <row r="347" spans="1:21" x14ac:dyDescent="0.25">
      <c r="A347" s="4" t="s">
        <v>239</v>
      </c>
      <c r="B347" s="4">
        <v>20769090</v>
      </c>
      <c r="C347" s="4" t="s">
        <v>22</v>
      </c>
      <c r="D347" s="5">
        <v>45323</v>
      </c>
      <c r="E347" s="4" t="s">
        <v>274</v>
      </c>
      <c r="F347" s="4">
        <v>81356514</v>
      </c>
      <c r="G347" t="str">
        <f>CONCATENATE(F347,3)</f>
        <v>813565143</v>
      </c>
      <c r="H347" s="4" t="s">
        <v>24</v>
      </c>
      <c r="I347" s="5">
        <v>45778</v>
      </c>
      <c r="J347" s="5">
        <f>DATE(YEAR(I347), MONTH(I347) +1, DAY(I347))</f>
        <v>45809</v>
      </c>
      <c r="K347" s="4" t="s">
        <v>25</v>
      </c>
      <c r="L347" s="4">
        <v>1</v>
      </c>
      <c r="M347" s="4">
        <v>20</v>
      </c>
      <c r="N347" s="4" t="s">
        <v>405</v>
      </c>
      <c r="O347" s="4"/>
      <c r="P347" s="4"/>
      <c r="Q347" s="4"/>
      <c r="R347" s="4"/>
      <c r="S347" s="4"/>
      <c r="T347" s="4"/>
      <c r="U347" s="4"/>
    </row>
    <row r="348" spans="1:21" x14ac:dyDescent="0.25">
      <c r="A348" s="2" t="s">
        <v>232</v>
      </c>
      <c r="B348" s="2">
        <v>18794740</v>
      </c>
      <c r="C348" s="2" t="s">
        <v>22</v>
      </c>
      <c r="D348" s="3">
        <v>45323</v>
      </c>
      <c r="E348" s="2" t="s">
        <v>236</v>
      </c>
      <c r="F348" s="2">
        <v>81356567</v>
      </c>
      <c r="G348" t="str">
        <f>CONCATENATE(F348,3)</f>
        <v>813565673</v>
      </c>
      <c r="H348" s="2" t="s">
        <v>24</v>
      </c>
      <c r="I348" s="3">
        <v>45748</v>
      </c>
      <c r="J348" s="1">
        <f>DATE(YEAR(I348), MONTH(I348) +1, DAY(I348))</f>
        <v>45778</v>
      </c>
      <c r="K348" s="2" t="s">
        <v>28</v>
      </c>
      <c r="L348">
        <v>1</v>
      </c>
      <c r="M348" s="2">
        <v>40</v>
      </c>
      <c r="N348" t="s">
        <v>405</v>
      </c>
      <c r="O348" s="2" t="s">
        <v>407</v>
      </c>
      <c r="P348" s="2"/>
      <c r="Q348" s="2"/>
      <c r="R348" s="2"/>
      <c r="S348" s="2"/>
      <c r="T348" s="2"/>
      <c r="U348" s="2"/>
    </row>
    <row r="349" spans="1:21" x14ac:dyDescent="0.25">
      <c r="A349" t="s">
        <v>32</v>
      </c>
      <c r="B349">
        <v>8971826</v>
      </c>
      <c r="C349" t="s">
        <v>22</v>
      </c>
      <c r="D349" s="1">
        <v>45658</v>
      </c>
      <c r="E349" t="s">
        <v>301</v>
      </c>
      <c r="F349">
        <v>81356753</v>
      </c>
      <c r="G349" t="str">
        <f>CONCATENATE(F349,3)</f>
        <v>813567533</v>
      </c>
      <c r="H349" t="s">
        <v>24</v>
      </c>
      <c r="I349" s="1">
        <v>45778</v>
      </c>
      <c r="J349" s="1">
        <f>DATE(YEAR(I349), MONTH(I349) +1, DAY(I349))</f>
        <v>45809</v>
      </c>
      <c r="K349" t="s">
        <v>25</v>
      </c>
      <c r="L349">
        <v>1</v>
      </c>
      <c r="M349">
        <v>20</v>
      </c>
      <c r="N349" t="s">
        <v>405</v>
      </c>
    </row>
    <row r="350" spans="1:21" x14ac:dyDescent="0.25">
      <c r="A350" t="s">
        <v>29</v>
      </c>
      <c r="B350">
        <v>18781057</v>
      </c>
      <c r="C350" t="s">
        <v>22</v>
      </c>
      <c r="D350" s="1">
        <v>45323</v>
      </c>
      <c r="E350" t="s">
        <v>314</v>
      </c>
      <c r="F350">
        <v>81357080</v>
      </c>
      <c r="G350" t="str">
        <f>CONCATENATE(F350,3)</f>
        <v>813570803</v>
      </c>
      <c r="H350" t="s">
        <v>24</v>
      </c>
      <c r="I350" s="1">
        <v>45778</v>
      </c>
      <c r="J350" s="1">
        <f>DATE(YEAR(I350), MONTH(I350) +1, DAY(I350))</f>
        <v>45809</v>
      </c>
      <c r="K350" t="s">
        <v>25</v>
      </c>
      <c r="L350">
        <v>1</v>
      </c>
      <c r="M350">
        <v>20</v>
      </c>
      <c r="N350" t="s">
        <v>405</v>
      </c>
    </row>
    <row r="351" spans="1:21" x14ac:dyDescent="0.25">
      <c r="A351" t="s">
        <v>29</v>
      </c>
      <c r="B351">
        <v>18781057</v>
      </c>
      <c r="C351" t="s">
        <v>22</v>
      </c>
      <c r="D351" s="1">
        <v>45352</v>
      </c>
      <c r="E351" t="s">
        <v>350</v>
      </c>
      <c r="F351">
        <v>81358399</v>
      </c>
      <c r="G351" t="str">
        <f>CONCATENATE(F351,3)</f>
        <v>813583993</v>
      </c>
      <c r="H351" t="s">
        <v>24</v>
      </c>
      <c r="I351" s="1">
        <v>45778</v>
      </c>
      <c r="J351" s="1">
        <f>DATE(YEAR(I351), MONTH(I351) +1, DAY(I351))</f>
        <v>45809</v>
      </c>
      <c r="K351" t="s">
        <v>25</v>
      </c>
      <c r="L351">
        <v>1</v>
      </c>
      <c r="M351">
        <v>40</v>
      </c>
      <c r="N351" t="s">
        <v>405</v>
      </c>
      <c r="O351" t="s">
        <v>407</v>
      </c>
    </row>
    <row r="352" spans="1:21" x14ac:dyDescent="0.25">
      <c r="A352" t="s">
        <v>29</v>
      </c>
      <c r="B352">
        <v>18781057</v>
      </c>
      <c r="C352" t="s">
        <v>22</v>
      </c>
      <c r="D352" s="1">
        <v>45352</v>
      </c>
      <c r="E352" t="s">
        <v>398</v>
      </c>
      <c r="F352">
        <v>81359236</v>
      </c>
      <c r="G352" t="str">
        <f>CONCATENATE(F352,3)</f>
        <v>813592363</v>
      </c>
      <c r="H352" t="s">
        <v>24</v>
      </c>
      <c r="I352" s="1">
        <v>45778</v>
      </c>
      <c r="J352" s="1">
        <f>DATE(YEAR(I352), MONTH(I352) +1, DAY(I352))</f>
        <v>45809</v>
      </c>
      <c r="K352" t="s">
        <v>25</v>
      </c>
      <c r="L352">
        <v>1</v>
      </c>
      <c r="M352">
        <v>20</v>
      </c>
      <c r="N352" t="s">
        <v>405</v>
      </c>
    </row>
    <row r="353" spans="1:15" x14ac:dyDescent="0.25">
      <c r="A353" t="s">
        <v>20</v>
      </c>
      <c r="B353" t="s">
        <v>403</v>
      </c>
      <c r="C353" t="s">
        <v>22</v>
      </c>
      <c r="D353" s="1">
        <v>45383</v>
      </c>
      <c r="E353" t="s">
        <v>354</v>
      </c>
      <c r="F353">
        <v>81361179</v>
      </c>
      <c r="G353" t="str">
        <f>CONCATENATE(F353,3)</f>
        <v>813611793</v>
      </c>
      <c r="H353" t="s">
        <v>24</v>
      </c>
      <c r="I353" s="1">
        <v>45778</v>
      </c>
      <c r="J353" s="1">
        <f>DATE(YEAR(I353), MONTH(I353) +1, DAY(I353))</f>
        <v>45809</v>
      </c>
      <c r="K353" t="s">
        <v>25</v>
      </c>
      <c r="L353">
        <v>1</v>
      </c>
      <c r="M353">
        <v>20</v>
      </c>
      <c r="N353" t="s">
        <v>405</v>
      </c>
    </row>
    <row r="354" spans="1:15" x14ac:dyDescent="0.25">
      <c r="A354" t="s">
        <v>20</v>
      </c>
      <c r="B354" t="s">
        <v>403</v>
      </c>
      <c r="C354" t="s">
        <v>22</v>
      </c>
      <c r="D354" s="1">
        <v>45383</v>
      </c>
      <c r="E354" t="s">
        <v>354</v>
      </c>
      <c r="F354">
        <v>81361179</v>
      </c>
      <c r="G354" t="str">
        <f>CONCATENATE(F354,3)</f>
        <v>813611793</v>
      </c>
      <c r="H354" t="s">
        <v>24</v>
      </c>
      <c r="I354" s="1">
        <v>45748</v>
      </c>
      <c r="J354" s="1">
        <f>DATE(YEAR(I354), MONTH(I354) +1, DAY(I354))</f>
        <v>45778</v>
      </c>
      <c r="K354" t="s">
        <v>28</v>
      </c>
      <c r="L354">
        <v>1</v>
      </c>
      <c r="M354">
        <v>20</v>
      </c>
      <c r="N354" t="s">
        <v>405</v>
      </c>
    </row>
    <row r="355" spans="1:15" x14ac:dyDescent="0.25">
      <c r="A355" t="s">
        <v>38</v>
      </c>
      <c r="B355">
        <v>16509456</v>
      </c>
      <c r="C355" t="s">
        <v>22</v>
      </c>
      <c r="D355" s="1">
        <v>45383</v>
      </c>
      <c r="E355" t="s">
        <v>111</v>
      </c>
      <c r="F355">
        <v>81362633</v>
      </c>
      <c r="G355" t="str">
        <f>CONCATENATE(F355,3)</f>
        <v>813626333</v>
      </c>
      <c r="H355" t="s">
        <v>24</v>
      </c>
      <c r="I355" s="1">
        <v>45778</v>
      </c>
      <c r="J355" s="1">
        <f>DATE(YEAR(I355), MONTH(I355) +1, DAY(I355))</f>
        <v>45809</v>
      </c>
      <c r="K355" t="s">
        <v>25</v>
      </c>
      <c r="L355">
        <v>1</v>
      </c>
      <c r="M355">
        <v>20</v>
      </c>
      <c r="N355" t="s">
        <v>405</v>
      </c>
    </row>
    <row r="356" spans="1:15" x14ac:dyDescent="0.25">
      <c r="A356" t="s">
        <v>20</v>
      </c>
      <c r="B356" t="s">
        <v>403</v>
      </c>
      <c r="C356" t="s">
        <v>22</v>
      </c>
      <c r="D356" s="1">
        <v>45383</v>
      </c>
      <c r="E356" t="s">
        <v>353</v>
      </c>
      <c r="F356">
        <v>81362634</v>
      </c>
      <c r="G356" t="str">
        <f>CONCATENATE(F356,3)</f>
        <v>813626343</v>
      </c>
      <c r="H356" t="s">
        <v>24</v>
      </c>
      <c r="I356" s="1">
        <v>45748</v>
      </c>
      <c r="J356" s="1">
        <f>DATE(YEAR(I356), MONTH(I356) +1, DAY(I356))</f>
        <v>45778</v>
      </c>
      <c r="K356" t="s">
        <v>28</v>
      </c>
      <c r="L356">
        <v>1</v>
      </c>
      <c r="M356">
        <v>20</v>
      </c>
      <c r="N356" t="s">
        <v>405</v>
      </c>
    </row>
    <row r="357" spans="1:15" x14ac:dyDescent="0.25">
      <c r="A357" t="s">
        <v>20</v>
      </c>
      <c r="B357" t="s">
        <v>403</v>
      </c>
      <c r="C357" t="s">
        <v>22</v>
      </c>
      <c r="D357" s="1">
        <v>45383</v>
      </c>
      <c r="E357" t="s">
        <v>267</v>
      </c>
      <c r="F357">
        <v>81362865</v>
      </c>
      <c r="G357" t="str">
        <f>CONCATENATE(F357,3)</f>
        <v>813628653</v>
      </c>
      <c r="H357" t="s">
        <v>24</v>
      </c>
      <c r="I357" s="1">
        <v>45778</v>
      </c>
      <c r="J357" s="1">
        <f>DATE(YEAR(I357), MONTH(I357) +1, DAY(I357))</f>
        <v>45809</v>
      </c>
      <c r="K357" t="s">
        <v>25</v>
      </c>
      <c r="L357">
        <v>1</v>
      </c>
      <c r="M357">
        <v>20</v>
      </c>
      <c r="N357" t="s">
        <v>405</v>
      </c>
    </row>
    <row r="358" spans="1:15" x14ac:dyDescent="0.25">
      <c r="A358" t="s">
        <v>20</v>
      </c>
      <c r="B358" t="s">
        <v>403</v>
      </c>
      <c r="C358" t="s">
        <v>22</v>
      </c>
      <c r="D358" s="1">
        <v>45383</v>
      </c>
      <c r="E358" t="s">
        <v>139</v>
      </c>
      <c r="F358">
        <v>81362870</v>
      </c>
      <c r="G358" t="str">
        <f>CONCATENATE(F358,3)</f>
        <v>813628703</v>
      </c>
      <c r="H358" t="s">
        <v>24</v>
      </c>
      <c r="I358" s="1">
        <v>45778</v>
      </c>
      <c r="J358" s="1">
        <f>DATE(YEAR(I358), MONTH(I358) +1, DAY(I358))</f>
        <v>45809</v>
      </c>
      <c r="K358" t="s">
        <v>25</v>
      </c>
      <c r="L358">
        <v>1</v>
      </c>
      <c r="M358">
        <v>20</v>
      </c>
      <c r="N358" t="s">
        <v>405</v>
      </c>
    </row>
    <row r="359" spans="1:15" x14ac:dyDescent="0.25">
      <c r="A359" t="s">
        <v>29</v>
      </c>
      <c r="B359">
        <v>18781057</v>
      </c>
      <c r="C359" t="s">
        <v>22</v>
      </c>
      <c r="D359" s="1">
        <v>45413</v>
      </c>
      <c r="E359" t="s">
        <v>31</v>
      </c>
      <c r="F359">
        <v>81366314</v>
      </c>
      <c r="G359" t="str">
        <f>CONCATENATE(F359,3)</f>
        <v>813663143</v>
      </c>
      <c r="H359" t="s">
        <v>24</v>
      </c>
      <c r="I359" s="1">
        <v>45778</v>
      </c>
      <c r="J359" s="1">
        <f>DATE(YEAR(I359), MONTH(I359) +1, DAY(I359))</f>
        <v>45809</v>
      </c>
      <c r="K359" t="s">
        <v>25</v>
      </c>
      <c r="L359">
        <v>1</v>
      </c>
      <c r="M359">
        <v>20</v>
      </c>
      <c r="N359" t="s">
        <v>405</v>
      </c>
    </row>
    <row r="360" spans="1:15" x14ac:dyDescent="0.25">
      <c r="A360" t="s">
        <v>20</v>
      </c>
      <c r="B360" t="s">
        <v>403</v>
      </c>
      <c r="C360" t="s">
        <v>22</v>
      </c>
      <c r="D360" s="1">
        <v>45444</v>
      </c>
      <c r="E360" t="s">
        <v>149</v>
      </c>
      <c r="F360">
        <v>81367148</v>
      </c>
      <c r="G360" t="str">
        <f>CONCATENATE(F360,3)</f>
        <v>813671483</v>
      </c>
      <c r="H360" t="s">
        <v>24</v>
      </c>
      <c r="I360" s="1">
        <v>45778</v>
      </c>
      <c r="J360" s="1">
        <f>DATE(YEAR(I360), MONTH(I360) +1, DAY(I360))</f>
        <v>45809</v>
      </c>
      <c r="K360" t="s">
        <v>25</v>
      </c>
      <c r="L360">
        <v>1</v>
      </c>
      <c r="M360">
        <v>40</v>
      </c>
      <c r="N360" t="s">
        <v>405</v>
      </c>
      <c r="O360" t="s">
        <v>407</v>
      </c>
    </row>
    <row r="361" spans="1:15" x14ac:dyDescent="0.25">
      <c r="A361" t="s">
        <v>38</v>
      </c>
      <c r="B361">
        <v>16509456</v>
      </c>
      <c r="C361" t="s">
        <v>22</v>
      </c>
      <c r="D361" s="1">
        <v>45444</v>
      </c>
      <c r="E361" t="s">
        <v>159</v>
      </c>
      <c r="F361">
        <v>81367911</v>
      </c>
      <c r="G361" t="str">
        <f>CONCATENATE(F361,3)</f>
        <v>813679113</v>
      </c>
      <c r="H361" t="s">
        <v>24</v>
      </c>
      <c r="I361" s="1">
        <v>45778</v>
      </c>
      <c r="J361" s="1">
        <f>DATE(YEAR(I361), MONTH(I361) +1, DAY(I361))</f>
        <v>45809</v>
      </c>
      <c r="K361" t="s">
        <v>25</v>
      </c>
      <c r="L361">
        <v>1</v>
      </c>
      <c r="M361">
        <v>20</v>
      </c>
      <c r="N361" t="s">
        <v>405</v>
      </c>
    </row>
    <row r="362" spans="1:15" x14ac:dyDescent="0.25">
      <c r="A362" t="s">
        <v>38</v>
      </c>
      <c r="B362">
        <v>16509456</v>
      </c>
      <c r="C362" t="s">
        <v>22</v>
      </c>
      <c r="D362" s="1">
        <v>45658</v>
      </c>
      <c r="E362" t="s">
        <v>205</v>
      </c>
      <c r="F362">
        <v>81368994</v>
      </c>
      <c r="G362" t="str">
        <f>CONCATENATE(F362,3)</f>
        <v>813689943</v>
      </c>
      <c r="H362" t="s">
        <v>24</v>
      </c>
      <c r="I362" s="1">
        <v>45778</v>
      </c>
      <c r="J362" s="1">
        <f>DATE(YEAR(I362), MONTH(I362) +1, DAY(I362))</f>
        <v>45809</v>
      </c>
      <c r="K362" t="s">
        <v>25</v>
      </c>
      <c r="L362">
        <v>1</v>
      </c>
      <c r="M362">
        <v>20</v>
      </c>
      <c r="N362" t="s">
        <v>405</v>
      </c>
    </row>
    <row r="363" spans="1:15" x14ac:dyDescent="0.25">
      <c r="A363" t="s">
        <v>20</v>
      </c>
      <c r="B363">
        <v>17425766</v>
      </c>
      <c r="C363" t="s">
        <v>22</v>
      </c>
      <c r="D363" s="1">
        <v>45658</v>
      </c>
      <c r="E363" t="s">
        <v>215</v>
      </c>
      <c r="F363">
        <v>81369052</v>
      </c>
      <c r="G363" t="str">
        <f>CONCATENATE(F363,3)</f>
        <v>813690523</v>
      </c>
      <c r="H363" t="s">
        <v>24</v>
      </c>
      <c r="I363" s="1">
        <v>45778</v>
      </c>
      <c r="J363" s="1">
        <f>DATE(YEAR(I363), MONTH(I363) +1, DAY(I363))</f>
        <v>45809</v>
      </c>
      <c r="K363" t="s">
        <v>25</v>
      </c>
      <c r="L363">
        <v>1</v>
      </c>
      <c r="M363">
        <v>20</v>
      </c>
      <c r="N363" t="s">
        <v>405</v>
      </c>
    </row>
    <row r="364" spans="1:15" x14ac:dyDescent="0.25">
      <c r="A364" t="s">
        <v>20</v>
      </c>
      <c r="B364">
        <v>17425766</v>
      </c>
      <c r="C364" t="s">
        <v>22</v>
      </c>
      <c r="D364" s="1">
        <v>45474</v>
      </c>
      <c r="E364" t="s">
        <v>253</v>
      </c>
      <c r="F364">
        <v>81369461</v>
      </c>
      <c r="G364" t="str">
        <f>CONCATENATE(F364,3)</f>
        <v>813694613</v>
      </c>
      <c r="H364" t="s">
        <v>24</v>
      </c>
      <c r="I364" s="1">
        <v>45778</v>
      </c>
      <c r="J364" s="1">
        <f>DATE(YEAR(I364), MONTH(I364) +1, DAY(I364))</f>
        <v>45809</v>
      </c>
      <c r="K364" t="s">
        <v>25</v>
      </c>
      <c r="L364">
        <v>1</v>
      </c>
      <c r="M364">
        <v>20</v>
      </c>
      <c r="N364" t="s">
        <v>405</v>
      </c>
    </row>
    <row r="365" spans="1:15" x14ac:dyDescent="0.25">
      <c r="A365" t="s">
        <v>20</v>
      </c>
      <c r="B365">
        <v>17425766</v>
      </c>
      <c r="C365" t="s">
        <v>22</v>
      </c>
      <c r="D365" s="1">
        <v>45658</v>
      </c>
      <c r="E365" t="s">
        <v>104</v>
      </c>
      <c r="F365">
        <v>81370155</v>
      </c>
      <c r="G365" t="str">
        <f>CONCATENATE(F365,3)</f>
        <v>813701553</v>
      </c>
      <c r="H365" t="s">
        <v>24</v>
      </c>
      <c r="I365" s="1">
        <v>45778</v>
      </c>
      <c r="J365" s="1">
        <f>DATE(YEAR(I365), MONTH(I365) +1, DAY(I365))</f>
        <v>45809</v>
      </c>
      <c r="K365" t="s">
        <v>25</v>
      </c>
      <c r="L365">
        <v>1</v>
      </c>
      <c r="M365">
        <v>60</v>
      </c>
      <c r="N365" t="s">
        <v>405</v>
      </c>
      <c r="O365" t="s">
        <v>408</v>
      </c>
    </row>
    <row r="366" spans="1:15" x14ac:dyDescent="0.25">
      <c r="A366" t="s">
        <v>29</v>
      </c>
      <c r="B366" t="s">
        <v>404</v>
      </c>
      <c r="C366" t="s">
        <v>22</v>
      </c>
      <c r="D366" s="1">
        <v>45658</v>
      </c>
      <c r="E366" t="s">
        <v>169</v>
      </c>
      <c r="F366">
        <v>81370462</v>
      </c>
      <c r="G366" t="str">
        <f>CONCATENATE(F366,3)</f>
        <v>813704623</v>
      </c>
      <c r="H366" t="s">
        <v>24</v>
      </c>
      <c r="I366" s="1">
        <v>45778</v>
      </c>
      <c r="J366" s="1">
        <f>DATE(YEAR(I366), MONTH(I366) +1, DAY(I366))</f>
        <v>45809</v>
      </c>
      <c r="K366" t="s">
        <v>25</v>
      </c>
      <c r="L366">
        <v>1</v>
      </c>
      <c r="M366">
        <v>20</v>
      </c>
      <c r="N366" t="s">
        <v>405</v>
      </c>
    </row>
    <row r="367" spans="1:15" x14ac:dyDescent="0.25">
      <c r="A367" t="s">
        <v>20</v>
      </c>
      <c r="B367">
        <v>17425766</v>
      </c>
      <c r="C367" t="s">
        <v>22</v>
      </c>
      <c r="D367" s="1">
        <v>45505</v>
      </c>
      <c r="E367" t="s">
        <v>217</v>
      </c>
      <c r="F367">
        <v>81372551</v>
      </c>
      <c r="G367" t="str">
        <f>CONCATENATE(F367,3)</f>
        <v>813725513</v>
      </c>
      <c r="H367" t="s">
        <v>24</v>
      </c>
      <c r="I367" s="1">
        <v>45748</v>
      </c>
      <c r="J367" s="1">
        <f>DATE(YEAR(I367), MONTH(I367) +1, DAY(I367))</f>
        <v>45778</v>
      </c>
      <c r="K367" t="s">
        <v>28</v>
      </c>
      <c r="L367">
        <v>1</v>
      </c>
      <c r="M367">
        <v>20</v>
      </c>
      <c r="N367" t="s">
        <v>405</v>
      </c>
    </row>
    <row r="368" spans="1:15" x14ac:dyDescent="0.25">
      <c r="A368" t="s">
        <v>20</v>
      </c>
      <c r="B368">
        <v>17425766</v>
      </c>
      <c r="C368" t="s">
        <v>22</v>
      </c>
      <c r="D368" s="1">
        <v>45505</v>
      </c>
      <c r="E368" t="s">
        <v>217</v>
      </c>
      <c r="F368">
        <v>81372551</v>
      </c>
      <c r="G368" t="str">
        <f>CONCATENATE(F368,3)</f>
        <v>813725513</v>
      </c>
      <c r="H368" t="s">
        <v>24</v>
      </c>
      <c r="I368" s="1">
        <v>45717</v>
      </c>
      <c r="J368" s="1">
        <f>DATE(YEAR(I368), MONTH(I368) +1, DAY(I368))</f>
        <v>45748</v>
      </c>
      <c r="K368" t="s">
        <v>60</v>
      </c>
      <c r="L368">
        <v>1</v>
      </c>
      <c r="M368">
        <v>20</v>
      </c>
      <c r="N368" t="s">
        <v>405</v>
      </c>
    </row>
    <row r="369" spans="1:15" x14ac:dyDescent="0.25">
      <c r="A369" t="s">
        <v>20</v>
      </c>
      <c r="B369">
        <v>17425766</v>
      </c>
      <c r="C369" t="s">
        <v>22</v>
      </c>
      <c r="D369" s="1">
        <v>45505</v>
      </c>
      <c r="E369" t="s">
        <v>37</v>
      </c>
      <c r="F369">
        <v>81373021</v>
      </c>
      <c r="G369" t="str">
        <f>CONCATENATE(F369,3)</f>
        <v>813730213</v>
      </c>
      <c r="H369" t="s">
        <v>24</v>
      </c>
      <c r="I369" s="1">
        <v>45778</v>
      </c>
      <c r="J369" s="1">
        <f>DATE(YEAR(I369), MONTH(I369) +1, DAY(I369))</f>
        <v>45809</v>
      </c>
      <c r="K369" t="s">
        <v>25</v>
      </c>
      <c r="L369">
        <v>1</v>
      </c>
      <c r="M369">
        <v>20</v>
      </c>
      <c r="N369" t="s">
        <v>405</v>
      </c>
    </row>
    <row r="370" spans="1:15" x14ac:dyDescent="0.25">
      <c r="A370" t="s">
        <v>38</v>
      </c>
      <c r="B370">
        <v>16509456</v>
      </c>
      <c r="C370" t="s">
        <v>22</v>
      </c>
      <c r="D370" s="1">
        <v>45505</v>
      </c>
      <c r="E370" t="s">
        <v>271</v>
      </c>
      <c r="F370">
        <v>81373176</v>
      </c>
      <c r="G370" t="str">
        <f>CONCATENATE(F370,3)</f>
        <v>813731763</v>
      </c>
      <c r="H370" t="s">
        <v>24</v>
      </c>
      <c r="I370" s="1">
        <v>45748</v>
      </c>
      <c r="J370" s="1">
        <f>DATE(YEAR(I370), MONTH(I370) +1, DAY(I370))</f>
        <v>45778</v>
      </c>
      <c r="K370" t="s">
        <v>28</v>
      </c>
      <c r="L370">
        <v>1</v>
      </c>
      <c r="M370">
        <v>40</v>
      </c>
      <c r="N370" t="s">
        <v>405</v>
      </c>
      <c r="O370" t="s">
        <v>407</v>
      </c>
    </row>
    <row r="371" spans="1:15" x14ac:dyDescent="0.25">
      <c r="A371" t="s">
        <v>38</v>
      </c>
      <c r="B371">
        <v>16509456</v>
      </c>
      <c r="C371" t="s">
        <v>22</v>
      </c>
      <c r="D371" s="1">
        <v>45505</v>
      </c>
      <c r="E371" t="s">
        <v>82</v>
      </c>
      <c r="F371">
        <v>81373218</v>
      </c>
      <c r="G371" t="str">
        <f>CONCATENATE(F371,3)</f>
        <v>813732183</v>
      </c>
      <c r="H371" t="s">
        <v>24</v>
      </c>
      <c r="I371" s="1">
        <v>45778</v>
      </c>
      <c r="J371" s="1">
        <f>DATE(YEAR(I371), MONTH(I371) +1, DAY(I371))</f>
        <v>45809</v>
      </c>
      <c r="K371" t="s">
        <v>25</v>
      </c>
      <c r="L371">
        <v>1</v>
      </c>
      <c r="M371">
        <v>20</v>
      </c>
      <c r="N371" t="s">
        <v>405</v>
      </c>
    </row>
    <row r="372" spans="1:15" x14ac:dyDescent="0.25">
      <c r="A372" t="s">
        <v>29</v>
      </c>
      <c r="B372" t="s">
        <v>404</v>
      </c>
      <c r="C372" t="s">
        <v>22</v>
      </c>
      <c r="D372" s="1">
        <v>45505</v>
      </c>
      <c r="E372" t="s">
        <v>385</v>
      </c>
      <c r="F372">
        <v>81373381</v>
      </c>
      <c r="G372" t="str">
        <f>CONCATENATE(F372,3)</f>
        <v>813733813</v>
      </c>
      <c r="H372" t="s">
        <v>24</v>
      </c>
      <c r="I372" s="1">
        <v>45778</v>
      </c>
      <c r="J372" s="1">
        <f>DATE(YEAR(I372), MONTH(I372) +1, DAY(I372))</f>
        <v>45809</v>
      </c>
      <c r="K372" t="s">
        <v>25</v>
      </c>
      <c r="L372">
        <v>1</v>
      </c>
      <c r="M372">
        <v>20</v>
      </c>
      <c r="N372" t="s">
        <v>405</v>
      </c>
    </row>
    <row r="373" spans="1:15" x14ac:dyDescent="0.25">
      <c r="A373" t="s">
        <v>20</v>
      </c>
      <c r="B373">
        <v>17425766</v>
      </c>
      <c r="C373" t="s">
        <v>22</v>
      </c>
      <c r="D373" s="1">
        <v>45505</v>
      </c>
      <c r="E373" t="s">
        <v>402</v>
      </c>
      <c r="F373">
        <v>81373507</v>
      </c>
      <c r="G373" t="str">
        <f>CONCATENATE(F373,3)</f>
        <v>813735073</v>
      </c>
      <c r="H373" t="s">
        <v>24</v>
      </c>
      <c r="I373" s="1">
        <v>45778</v>
      </c>
      <c r="J373" s="1">
        <f>DATE(YEAR(I373), MONTH(I373) +1, DAY(I373))</f>
        <v>45809</v>
      </c>
      <c r="K373" t="s">
        <v>25</v>
      </c>
      <c r="L373">
        <v>1</v>
      </c>
      <c r="M373">
        <v>20</v>
      </c>
      <c r="N373" t="s">
        <v>405</v>
      </c>
    </row>
    <row r="374" spans="1:15" x14ac:dyDescent="0.25">
      <c r="A374" t="s">
        <v>32</v>
      </c>
      <c r="B374">
        <v>8971826</v>
      </c>
      <c r="C374" t="s">
        <v>22</v>
      </c>
      <c r="D374" s="1">
        <v>45658</v>
      </c>
      <c r="E374" t="s">
        <v>153</v>
      </c>
      <c r="F374">
        <v>81373562</v>
      </c>
      <c r="G374" t="str">
        <f>CONCATENATE(F374,3)</f>
        <v>813735623</v>
      </c>
      <c r="H374" t="s">
        <v>24</v>
      </c>
      <c r="I374" s="1">
        <v>45778</v>
      </c>
      <c r="J374" s="1">
        <f>DATE(YEAR(I374), MONTH(I374) +1, DAY(I374))</f>
        <v>45809</v>
      </c>
      <c r="K374" t="s">
        <v>25</v>
      </c>
      <c r="L374">
        <v>1</v>
      </c>
      <c r="M374">
        <v>20</v>
      </c>
      <c r="N374" t="s">
        <v>405</v>
      </c>
    </row>
    <row r="375" spans="1:15" x14ac:dyDescent="0.25">
      <c r="A375" t="s">
        <v>38</v>
      </c>
      <c r="B375">
        <v>16509456</v>
      </c>
      <c r="C375" t="s">
        <v>22</v>
      </c>
      <c r="D375" s="1">
        <v>45505</v>
      </c>
      <c r="E375" t="s">
        <v>255</v>
      </c>
      <c r="F375">
        <v>81374073</v>
      </c>
      <c r="G375" t="str">
        <f>CONCATENATE(F375,3)</f>
        <v>813740733</v>
      </c>
      <c r="H375" t="s">
        <v>24</v>
      </c>
      <c r="I375" s="1">
        <v>45778</v>
      </c>
      <c r="J375" s="1">
        <f>DATE(YEAR(I375), MONTH(I375) +1, DAY(I375))</f>
        <v>45809</v>
      </c>
      <c r="K375" t="s">
        <v>25</v>
      </c>
      <c r="L375">
        <v>1</v>
      </c>
      <c r="M375">
        <v>20</v>
      </c>
      <c r="N375" t="s">
        <v>405</v>
      </c>
    </row>
    <row r="376" spans="1:15" x14ac:dyDescent="0.25">
      <c r="A376" t="s">
        <v>38</v>
      </c>
      <c r="B376">
        <v>16509456</v>
      </c>
      <c r="C376" t="s">
        <v>22</v>
      </c>
      <c r="D376" s="1">
        <v>45505</v>
      </c>
      <c r="E376" t="s">
        <v>105</v>
      </c>
      <c r="F376">
        <v>81374350</v>
      </c>
      <c r="G376" t="str">
        <f>CONCATENATE(F376,3)</f>
        <v>813743503</v>
      </c>
      <c r="H376" t="s">
        <v>24</v>
      </c>
      <c r="I376" s="1">
        <v>45748</v>
      </c>
      <c r="J376" s="1">
        <f>DATE(YEAR(I376), MONTH(I376) +1, DAY(I376))</f>
        <v>45778</v>
      </c>
      <c r="K376" t="s">
        <v>28</v>
      </c>
      <c r="L376">
        <v>-1</v>
      </c>
      <c r="M376">
        <v>-20</v>
      </c>
      <c r="N376" t="s">
        <v>405</v>
      </c>
    </row>
    <row r="377" spans="1:15" x14ac:dyDescent="0.25">
      <c r="A377" t="s">
        <v>38</v>
      </c>
      <c r="B377">
        <v>16509456</v>
      </c>
      <c r="C377" t="s">
        <v>22</v>
      </c>
      <c r="D377" s="1">
        <v>45505</v>
      </c>
      <c r="E377" t="s">
        <v>105</v>
      </c>
      <c r="F377">
        <v>81374350</v>
      </c>
      <c r="G377" t="str">
        <f>CONCATENATE(F377,3)</f>
        <v>813743503</v>
      </c>
      <c r="H377" t="s">
        <v>24</v>
      </c>
      <c r="I377" s="1">
        <v>45748</v>
      </c>
      <c r="J377" s="1">
        <f>DATE(YEAR(I377), MONTH(I377) +1, DAY(I377))</f>
        <v>45778</v>
      </c>
      <c r="K377" t="s">
        <v>28</v>
      </c>
      <c r="L377">
        <v>1</v>
      </c>
      <c r="M377">
        <v>20</v>
      </c>
      <c r="N377" t="s">
        <v>405</v>
      </c>
    </row>
    <row r="378" spans="1:15" x14ac:dyDescent="0.25">
      <c r="A378" t="s">
        <v>20</v>
      </c>
      <c r="B378">
        <v>17425766</v>
      </c>
      <c r="C378" t="s">
        <v>22</v>
      </c>
      <c r="D378" s="1">
        <v>45536</v>
      </c>
      <c r="E378" t="s">
        <v>282</v>
      </c>
      <c r="F378">
        <v>81375131</v>
      </c>
      <c r="G378" t="str">
        <f>CONCATENATE(F378,3)</f>
        <v>813751313</v>
      </c>
      <c r="H378" t="s">
        <v>24</v>
      </c>
      <c r="I378" s="1">
        <v>45778</v>
      </c>
      <c r="J378" s="1">
        <f>DATE(YEAR(I378), MONTH(I378) +1, DAY(I378))</f>
        <v>45809</v>
      </c>
      <c r="K378" t="s">
        <v>25</v>
      </c>
      <c r="L378">
        <v>1</v>
      </c>
      <c r="M378">
        <v>20</v>
      </c>
      <c r="N378" t="s">
        <v>405</v>
      </c>
    </row>
    <row r="379" spans="1:15" x14ac:dyDescent="0.25">
      <c r="A379" t="s">
        <v>20</v>
      </c>
      <c r="B379">
        <v>17425766</v>
      </c>
      <c r="C379" t="s">
        <v>22</v>
      </c>
      <c r="D379" s="1">
        <v>45536</v>
      </c>
      <c r="E379" t="s">
        <v>63</v>
      </c>
      <c r="F379">
        <v>81376014</v>
      </c>
      <c r="G379" t="str">
        <f>CONCATENATE(F379,3)</f>
        <v>813760143</v>
      </c>
      <c r="H379" t="s">
        <v>24</v>
      </c>
      <c r="I379" s="1">
        <v>45778</v>
      </c>
      <c r="J379" s="1">
        <f>DATE(YEAR(I379), MONTH(I379) +1, DAY(I379))</f>
        <v>45809</v>
      </c>
      <c r="K379" t="s">
        <v>25</v>
      </c>
      <c r="L379">
        <v>1</v>
      </c>
      <c r="M379">
        <v>20</v>
      </c>
      <c r="N379" t="s">
        <v>405</v>
      </c>
    </row>
    <row r="380" spans="1:15" x14ac:dyDescent="0.25">
      <c r="A380" t="s">
        <v>20</v>
      </c>
      <c r="B380">
        <v>17425766</v>
      </c>
      <c r="C380" t="s">
        <v>22</v>
      </c>
      <c r="D380" s="1">
        <v>45566</v>
      </c>
      <c r="E380" t="s">
        <v>372</v>
      </c>
      <c r="F380">
        <v>81377030</v>
      </c>
      <c r="G380" t="str">
        <f>CONCATENATE(F380,3)</f>
        <v>813770303</v>
      </c>
      <c r="H380" t="s">
        <v>24</v>
      </c>
      <c r="I380" s="1">
        <v>45717</v>
      </c>
      <c r="J380" s="1">
        <f>DATE(YEAR(I380), MONTH(I380) +1, DAY(I380))</f>
        <v>45748</v>
      </c>
      <c r="K380" t="s">
        <v>60</v>
      </c>
      <c r="L380">
        <v>1</v>
      </c>
      <c r="M380">
        <v>20</v>
      </c>
      <c r="N380" t="s">
        <v>405</v>
      </c>
    </row>
    <row r="381" spans="1:15" x14ac:dyDescent="0.25">
      <c r="A381" t="s">
        <v>20</v>
      </c>
      <c r="B381">
        <v>17425766</v>
      </c>
      <c r="C381" t="s">
        <v>22</v>
      </c>
      <c r="D381" s="1">
        <v>45566</v>
      </c>
      <c r="E381" t="s">
        <v>372</v>
      </c>
      <c r="F381">
        <v>81377030</v>
      </c>
      <c r="G381" t="str">
        <f>CONCATENATE(F381,3)</f>
        <v>813770303</v>
      </c>
      <c r="H381" t="s">
        <v>24</v>
      </c>
      <c r="I381" s="1">
        <v>45748</v>
      </c>
      <c r="J381" s="1">
        <f>DATE(YEAR(I381), MONTH(I381) +1, DAY(I381))</f>
        <v>45778</v>
      </c>
      <c r="K381" t="s">
        <v>28</v>
      </c>
      <c r="L381">
        <v>1</v>
      </c>
      <c r="M381">
        <v>20</v>
      </c>
      <c r="N381" t="s">
        <v>405</v>
      </c>
    </row>
    <row r="382" spans="1:15" x14ac:dyDescent="0.25">
      <c r="A382" t="s">
        <v>20</v>
      </c>
      <c r="B382">
        <v>17425766</v>
      </c>
      <c r="C382" t="s">
        <v>22</v>
      </c>
      <c r="D382" s="1">
        <v>45566</v>
      </c>
      <c r="E382" t="s">
        <v>156</v>
      </c>
      <c r="F382">
        <v>81377331</v>
      </c>
      <c r="G382" t="str">
        <f>CONCATENATE(F382,3)</f>
        <v>813773313</v>
      </c>
      <c r="H382" t="s">
        <v>24</v>
      </c>
      <c r="I382" s="1">
        <v>45778</v>
      </c>
      <c r="J382" s="1">
        <f>DATE(YEAR(I382), MONTH(I382) +1, DAY(I382))</f>
        <v>45809</v>
      </c>
      <c r="K382" t="s">
        <v>25</v>
      </c>
      <c r="L382">
        <v>1</v>
      </c>
      <c r="M382">
        <v>20</v>
      </c>
      <c r="N382" t="s">
        <v>405</v>
      </c>
    </row>
    <row r="383" spans="1:15" x14ac:dyDescent="0.25">
      <c r="A383" t="s">
        <v>20</v>
      </c>
      <c r="B383">
        <v>17425766</v>
      </c>
      <c r="C383" t="s">
        <v>22</v>
      </c>
      <c r="D383" s="1">
        <v>45566</v>
      </c>
      <c r="E383" t="s">
        <v>375</v>
      </c>
      <c r="F383">
        <v>81377868</v>
      </c>
      <c r="G383" t="str">
        <f>CONCATENATE(F383,3)</f>
        <v>813778683</v>
      </c>
      <c r="H383" t="s">
        <v>24</v>
      </c>
      <c r="I383" s="1">
        <v>45778</v>
      </c>
      <c r="J383" s="1">
        <f>DATE(YEAR(I383), MONTH(I383) +1, DAY(I383))</f>
        <v>45809</v>
      </c>
      <c r="K383" t="s">
        <v>25</v>
      </c>
      <c r="L383">
        <v>1</v>
      </c>
      <c r="M383">
        <v>20</v>
      </c>
      <c r="N383" t="s">
        <v>405</v>
      </c>
    </row>
    <row r="384" spans="1:15" x14ac:dyDescent="0.25">
      <c r="A384" t="s">
        <v>38</v>
      </c>
      <c r="B384">
        <v>16509456</v>
      </c>
      <c r="C384" t="s">
        <v>22</v>
      </c>
      <c r="D384" s="1">
        <v>45748</v>
      </c>
      <c r="E384" t="s">
        <v>263</v>
      </c>
      <c r="F384">
        <v>81379173</v>
      </c>
      <c r="G384" t="str">
        <f>CONCATENATE(F384,3)</f>
        <v>813791733</v>
      </c>
      <c r="H384" t="s">
        <v>24</v>
      </c>
      <c r="I384" s="1">
        <v>45748</v>
      </c>
      <c r="J384" s="1">
        <f>DATE(YEAR(I384), MONTH(I384) +1, DAY(I384))</f>
        <v>45778</v>
      </c>
      <c r="K384" t="s">
        <v>28</v>
      </c>
      <c r="L384">
        <v>1</v>
      </c>
      <c r="M384">
        <v>80</v>
      </c>
      <c r="N384" t="s">
        <v>405</v>
      </c>
      <c r="O384" t="s">
        <v>409</v>
      </c>
    </row>
    <row r="385" spans="1:15" x14ac:dyDescent="0.25">
      <c r="A385" t="s">
        <v>20</v>
      </c>
      <c r="B385">
        <v>17425766</v>
      </c>
      <c r="C385" t="s">
        <v>22</v>
      </c>
      <c r="D385" s="1">
        <v>45597</v>
      </c>
      <c r="E385" t="s">
        <v>120</v>
      </c>
      <c r="F385">
        <v>81647179</v>
      </c>
      <c r="G385" t="str">
        <f>CONCATENATE(F385,3)</f>
        <v>816471793</v>
      </c>
      <c r="H385" t="s">
        <v>24</v>
      </c>
      <c r="I385" s="1">
        <v>45778</v>
      </c>
      <c r="J385" s="1">
        <f>DATE(YEAR(I385), MONTH(I385) +1, DAY(I385))</f>
        <v>45809</v>
      </c>
      <c r="K385" t="s">
        <v>25</v>
      </c>
      <c r="L385">
        <v>1</v>
      </c>
      <c r="M385">
        <v>20</v>
      </c>
      <c r="N385" t="s">
        <v>405</v>
      </c>
    </row>
    <row r="386" spans="1:15" x14ac:dyDescent="0.25">
      <c r="A386" t="s">
        <v>20</v>
      </c>
      <c r="B386">
        <v>17425766</v>
      </c>
      <c r="C386" t="s">
        <v>22</v>
      </c>
      <c r="D386" s="1">
        <v>45658</v>
      </c>
      <c r="E386" t="s">
        <v>194</v>
      </c>
      <c r="F386">
        <v>81647331</v>
      </c>
      <c r="G386" t="str">
        <f>CONCATENATE(F386,3)</f>
        <v>816473313</v>
      </c>
      <c r="H386" t="s">
        <v>24</v>
      </c>
      <c r="I386" s="1">
        <v>45778</v>
      </c>
      <c r="J386" s="1">
        <f>DATE(YEAR(I386), MONTH(I386) +1, DAY(I386))</f>
        <v>45809</v>
      </c>
      <c r="K386" t="s">
        <v>25</v>
      </c>
      <c r="L386">
        <v>1</v>
      </c>
      <c r="M386">
        <v>20</v>
      </c>
      <c r="N386" t="s">
        <v>405</v>
      </c>
    </row>
    <row r="387" spans="1:15" x14ac:dyDescent="0.25">
      <c r="A387" t="s">
        <v>29</v>
      </c>
      <c r="B387" t="s">
        <v>404</v>
      </c>
      <c r="C387" t="s">
        <v>22</v>
      </c>
      <c r="D387" s="1">
        <v>45597</v>
      </c>
      <c r="E387" t="s">
        <v>289</v>
      </c>
      <c r="F387">
        <v>81647486</v>
      </c>
      <c r="G387" t="str">
        <f>CONCATENATE(F387,3)</f>
        <v>816474863</v>
      </c>
      <c r="H387" t="s">
        <v>24</v>
      </c>
      <c r="I387" s="1">
        <v>45778</v>
      </c>
      <c r="J387" s="1">
        <f>DATE(YEAR(I387), MONTH(I387) +1, DAY(I387))</f>
        <v>45809</v>
      </c>
      <c r="K387" t="s">
        <v>25</v>
      </c>
      <c r="L387">
        <v>1</v>
      </c>
      <c r="M387">
        <v>20</v>
      </c>
      <c r="N387" t="s">
        <v>405</v>
      </c>
    </row>
    <row r="388" spans="1:15" x14ac:dyDescent="0.25">
      <c r="A388" t="s">
        <v>29</v>
      </c>
      <c r="B388" t="s">
        <v>404</v>
      </c>
      <c r="C388" t="s">
        <v>22</v>
      </c>
      <c r="D388" s="1">
        <v>45597</v>
      </c>
      <c r="E388" t="s">
        <v>289</v>
      </c>
      <c r="F388">
        <v>81647486</v>
      </c>
      <c r="G388" t="str">
        <f>CONCATENATE(F388,3)</f>
        <v>816474863</v>
      </c>
      <c r="H388" t="s">
        <v>24</v>
      </c>
      <c r="I388" s="1">
        <v>45748</v>
      </c>
      <c r="J388" s="1">
        <f>DATE(YEAR(I388), MONTH(I388) +1, DAY(I388))</f>
        <v>45778</v>
      </c>
      <c r="K388" t="s">
        <v>28</v>
      </c>
      <c r="L388">
        <v>1</v>
      </c>
      <c r="M388">
        <v>20</v>
      </c>
      <c r="N388" t="s">
        <v>405</v>
      </c>
    </row>
    <row r="389" spans="1:15" x14ac:dyDescent="0.25">
      <c r="A389" t="s">
        <v>20</v>
      </c>
      <c r="B389">
        <v>17425766</v>
      </c>
      <c r="C389" t="s">
        <v>22</v>
      </c>
      <c r="D389" s="1">
        <v>45627</v>
      </c>
      <c r="E389" t="s">
        <v>242</v>
      </c>
      <c r="F389">
        <v>81653749</v>
      </c>
      <c r="G389" t="str">
        <f>CONCATENATE(F389,3)</f>
        <v>816537493</v>
      </c>
      <c r="H389" t="s">
        <v>24</v>
      </c>
      <c r="I389" s="1">
        <v>45778</v>
      </c>
      <c r="J389" s="1">
        <f>DATE(YEAR(I389), MONTH(I389) +1, DAY(I389))</f>
        <v>45809</v>
      </c>
      <c r="K389" t="s">
        <v>25</v>
      </c>
      <c r="L389">
        <v>1</v>
      </c>
      <c r="M389">
        <v>20</v>
      </c>
      <c r="N389" t="s">
        <v>405</v>
      </c>
    </row>
    <row r="390" spans="1:15" x14ac:dyDescent="0.25">
      <c r="A390" t="s">
        <v>38</v>
      </c>
      <c r="B390">
        <v>16509456</v>
      </c>
      <c r="C390" t="s">
        <v>22</v>
      </c>
      <c r="D390" s="1">
        <v>45627</v>
      </c>
      <c r="E390" t="s">
        <v>308</v>
      </c>
      <c r="F390">
        <v>81658798</v>
      </c>
      <c r="G390" t="str">
        <f>CONCATENATE(F390,3)</f>
        <v>816587983</v>
      </c>
      <c r="H390" t="s">
        <v>24</v>
      </c>
      <c r="I390" s="1">
        <v>45717</v>
      </c>
      <c r="J390" s="1">
        <f>DATE(YEAR(I390), MONTH(I390) +1, DAY(I390))</f>
        <v>45748</v>
      </c>
      <c r="K390" t="s">
        <v>60</v>
      </c>
      <c r="L390">
        <v>1</v>
      </c>
      <c r="M390">
        <v>20</v>
      </c>
      <c r="N390" t="s">
        <v>405</v>
      </c>
    </row>
    <row r="391" spans="1:15" x14ac:dyDescent="0.25">
      <c r="A391" t="s">
        <v>38</v>
      </c>
      <c r="B391">
        <v>16509456</v>
      </c>
      <c r="C391" t="s">
        <v>22</v>
      </c>
      <c r="D391" s="1">
        <v>45627</v>
      </c>
      <c r="E391" t="s">
        <v>308</v>
      </c>
      <c r="F391">
        <v>81658798</v>
      </c>
      <c r="G391" t="str">
        <f>CONCATENATE(F391,3)</f>
        <v>816587983</v>
      </c>
      <c r="H391" t="s">
        <v>24</v>
      </c>
      <c r="I391" s="1">
        <v>45689</v>
      </c>
      <c r="J391" s="1">
        <f>DATE(YEAR(I391), MONTH(I391) +1, DAY(I391))</f>
        <v>45717</v>
      </c>
      <c r="K391" t="s">
        <v>77</v>
      </c>
      <c r="L391">
        <v>1</v>
      </c>
      <c r="M391">
        <v>20</v>
      </c>
      <c r="N391" t="s">
        <v>405</v>
      </c>
    </row>
    <row r="392" spans="1:15" x14ac:dyDescent="0.25">
      <c r="A392" t="s">
        <v>38</v>
      </c>
      <c r="B392">
        <v>16509456</v>
      </c>
      <c r="C392" t="s">
        <v>22</v>
      </c>
      <c r="D392" s="1">
        <v>45627</v>
      </c>
      <c r="E392" t="s">
        <v>308</v>
      </c>
      <c r="F392">
        <v>81658798</v>
      </c>
      <c r="G392" t="str">
        <f>CONCATENATE(F392,3)</f>
        <v>816587983</v>
      </c>
      <c r="H392" t="s">
        <v>24</v>
      </c>
      <c r="I392" s="1">
        <v>45778</v>
      </c>
      <c r="J392" s="1">
        <f>DATE(YEAR(I392), MONTH(I392) +1, DAY(I392))</f>
        <v>45809</v>
      </c>
      <c r="K392" t="s">
        <v>25</v>
      </c>
      <c r="L392">
        <v>1</v>
      </c>
      <c r="M392">
        <v>40</v>
      </c>
      <c r="N392" t="s">
        <v>405</v>
      </c>
      <c r="O392" t="s">
        <v>407</v>
      </c>
    </row>
    <row r="393" spans="1:15" x14ac:dyDescent="0.25">
      <c r="A393" t="s">
        <v>20</v>
      </c>
      <c r="B393">
        <v>17425766</v>
      </c>
      <c r="C393" t="s">
        <v>22</v>
      </c>
      <c r="D393" s="1">
        <v>45658</v>
      </c>
      <c r="E393" t="s">
        <v>176</v>
      </c>
      <c r="F393">
        <v>81659412</v>
      </c>
      <c r="G393" t="str">
        <f>CONCATENATE(F393,3)</f>
        <v>816594123</v>
      </c>
      <c r="H393" t="s">
        <v>24</v>
      </c>
      <c r="I393" s="1">
        <v>45748</v>
      </c>
      <c r="J393" s="1">
        <f>DATE(YEAR(I393), MONTH(I393) +1, DAY(I393))</f>
        <v>45778</v>
      </c>
      <c r="K393" t="s">
        <v>28</v>
      </c>
      <c r="L393">
        <v>1</v>
      </c>
      <c r="M393">
        <v>20</v>
      </c>
      <c r="N393" t="s">
        <v>405</v>
      </c>
    </row>
    <row r="394" spans="1:15" x14ac:dyDescent="0.25">
      <c r="A394" t="s">
        <v>310</v>
      </c>
      <c r="B394">
        <v>9254978</v>
      </c>
      <c r="C394" t="s">
        <v>22</v>
      </c>
      <c r="D394" s="1">
        <v>45627</v>
      </c>
      <c r="E394" t="s">
        <v>312</v>
      </c>
      <c r="F394">
        <v>81660055</v>
      </c>
      <c r="G394" t="str">
        <f>CONCATENATE(F394,3)</f>
        <v>816600553</v>
      </c>
      <c r="H394" t="s">
        <v>24</v>
      </c>
      <c r="I394" s="1">
        <v>45748</v>
      </c>
      <c r="J394" s="1">
        <f>DATE(YEAR(I394), MONTH(I394) +1, DAY(I394))</f>
        <v>45778</v>
      </c>
      <c r="K394" t="s">
        <v>28</v>
      </c>
      <c r="L394">
        <v>1</v>
      </c>
      <c r="M394">
        <v>20</v>
      </c>
      <c r="N394" t="s">
        <v>405</v>
      </c>
    </row>
    <row r="395" spans="1:15" x14ac:dyDescent="0.25">
      <c r="A395" t="s">
        <v>38</v>
      </c>
      <c r="B395">
        <v>16509456</v>
      </c>
      <c r="C395" t="s">
        <v>22</v>
      </c>
      <c r="D395" s="1">
        <v>45748</v>
      </c>
      <c r="E395" t="s">
        <v>125</v>
      </c>
      <c r="F395">
        <v>81660664</v>
      </c>
      <c r="G395" t="str">
        <f>CONCATENATE(F395,3)</f>
        <v>816606643</v>
      </c>
      <c r="H395" t="s">
        <v>24</v>
      </c>
      <c r="I395" s="1">
        <v>45778</v>
      </c>
      <c r="J395" s="1">
        <f>DATE(YEAR(I395), MONTH(I395) +1, DAY(I395))</f>
        <v>45809</v>
      </c>
      <c r="K395" t="s">
        <v>25</v>
      </c>
      <c r="L395">
        <v>1</v>
      </c>
      <c r="M395">
        <v>20</v>
      </c>
      <c r="N395" t="s">
        <v>405</v>
      </c>
    </row>
    <row r="396" spans="1:15" x14ac:dyDescent="0.25">
      <c r="A396" t="s">
        <v>20</v>
      </c>
      <c r="B396">
        <v>17425766</v>
      </c>
      <c r="C396" t="s">
        <v>22</v>
      </c>
      <c r="D396" s="1">
        <v>45658</v>
      </c>
      <c r="E396" t="s">
        <v>355</v>
      </c>
      <c r="F396">
        <v>81665145</v>
      </c>
      <c r="G396" t="str">
        <f>CONCATENATE(F396,3)</f>
        <v>816651453</v>
      </c>
      <c r="H396" t="s">
        <v>24</v>
      </c>
      <c r="I396" s="1">
        <v>45748</v>
      </c>
      <c r="J396" s="1">
        <f>DATE(YEAR(I396), MONTH(I396) +1, DAY(I396))</f>
        <v>45778</v>
      </c>
      <c r="K396" t="s">
        <v>28</v>
      </c>
      <c r="L396">
        <v>1</v>
      </c>
      <c r="M396">
        <v>20</v>
      </c>
      <c r="N396" t="s">
        <v>405</v>
      </c>
    </row>
    <row r="397" spans="1:15" x14ac:dyDescent="0.25">
      <c r="A397" t="s">
        <v>29</v>
      </c>
      <c r="B397" t="s">
        <v>404</v>
      </c>
      <c r="C397" t="s">
        <v>22</v>
      </c>
      <c r="D397" s="1">
        <v>45658</v>
      </c>
      <c r="E397" t="s">
        <v>74</v>
      </c>
      <c r="F397">
        <v>81670159</v>
      </c>
      <c r="G397" t="str">
        <f>CONCATENATE(F397,3)</f>
        <v>816701593</v>
      </c>
      <c r="H397" t="s">
        <v>24</v>
      </c>
      <c r="I397" s="1">
        <v>45717</v>
      </c>
      <c r="J397" s="1">
        <f>DATE(YEAR(I397), MONTH(I397) +1, DAY(I397))</f>
        <v>45748</v>
      </c>
      <c r="K397" t="s">
        <v>60</v>
      </c>
      <c r="L397">
        <v>1</v>
      </c>
      <c r="M397">
        <v>40</v>
      </c>
      <c r="N397" t="s">
        <v>405</v>
      </c>
      <c r="O397" t="s">
        <v>407</v>
      </c>
    </row>
    <row r="398" spans="1:15" x14ac:dyDescent="0.25">
      <c r="A398" t="s">
        <v>29</v>
      </c>
      <c r="B398" t="s">
        <v>404</v>
      </c>
      <c r="C398" t="s">
        <v>22</v>
      </c>
      <c r="D398" s="1">
        <v>45658</v>
      </c>
      <c r="E398" t="s">
        <v>74</v>
      </c>
      <c r="F398">
        <v>81670159</v>
      </c>
      <c r="G398" t="str">
        <f>CONCATENATE(F398,3)</f>
        <v>816701593</v>
      </c>
      <c r="H398" t="s">
        <v>24</v>
      </c>
      <c r="I398" s="1">
        <v>45748</v>
      </c>
      <c r="J398" s="1">
        <f>DATE(YEAR(I398), MONTH(I398) +1, DAY(I398))</f>
        <v>45778</v>
      </c>
      <c r="K398" t="s">
        <v>28</v>
      </c>
      <c r="L398">
        <v>1</v>
      </c>
      <c r="M398">
        <v>40</v>
      </c>
      <c r="N398" t="s">
        <v>405</v>
      </c>
      <c r="O398" t="s">
        <v>407</v>
      </c>
    </row>
    <row r="399" spans="1:15" x14ac:dyDescent="0.25">
      <c r="A399" t="s">
        <v>20</v>
      </c>
      <c r="B399">
        <v>17425766</v>
      </c>
      <c r="C399" t="s">
        <v>22</v>
      </c>
      <c r="D399" s="1">
        <v>45748</v>
      </c>
      <c r="E399" t="s">
        <v>72</v>
      </c>
      <c r="F399">
        <v>81683422</v>
      </c>
      <c r="G399" t="str">
        <f>CONCATENATE(F399,3)</f>
        <v>816834223</v>
      </c>
      <c r="H399" t="s">
        <v>24</v>
      </c>
      <c r="I399" s="1">
        <v>45778</v>
      </c>
      <c r="J399" s="1">
        <f>DATE(YEAR(I399), MONTH(I399) +1, DAY(I399))</f>
        <v>45809</v>
      </c>
      <c r="K399" t="s">
        <v>25</v>
      </c>
      <c r="L399">
        <v>1</v>
      </c>
      <c r="M399">
        <v>20</v>
      </c>
      <c r="N399" t="s">
        <v>405</v>
      </c>
    </row>
    <row r="400" spans="1:15" x14ac:dyDescent="0.25">
      <c r="A400" t="s">
        <v>20</v>
      </c>
      <c r="B400">
        <v>17425766</v>
      </c>
      <c r="C400" t="s">
        <v>22</v>
      </c>
      <c r="D400" s="1">
        <v>45689</v>
      </c>
      <c r="E400" t="s">
        <v>203</v>
      </c>
      <c r="F400">
        <v>81687238</v>
      </c>
      <c r="G400" t="str">
        <f>CONCATENATE(F400,3)</f>
        <v>816872383</v>
      </c>
      <c r="H400" t="s">
        <v>24</v>
      </c>
      <c r="I400" s="1">
        <v>45778</v>
      </c>
      <c r="J400" s="1">
        <f>DATE(YEAR(I400), MONTH(I400) +1, DAY(I400))</f>
        <v>45809</v>
      </c>
      <c r="K400" t="s">
        <v>25</v>
      </c>
      <c r="L400">
        <v>1</v>
      </c>
      <c r="M400">
        <v>60</v>
      </c>
      <c r="N400" t="s">
        <v>405</v>
      </c>
      <c r="O400" t="s">
        <v>408</v>
      </c>
    </row>
    <row r="401" spans="1:14" x14ac:dyDescent="0.25">
      <c r="A401" t="s">
        <v>29</v>
      </c>
      <c r="B401">
        <v>18781057</v>
      </c>
      <c r="C401" t="s">
        <v>22</v>
      </c>
      <c r="D401" s="1">
        <v>45292</v>
      </c>
      <c r="E401" t="s">
        <v>391</v>
      </c>
      <c r="F401">
        <v>80016788</v>
      </c>
      <c r="G401" t="str">
        <f>CONCATENATE("D",F401)</f>
        <v>D80016788</v>
      </c>
      <c r="H401" t="s">
        <v>24</v>
      </c>
      <c r="I401" s="1">
        <v>45474</v>
      </c>
      <c r="J401" s="1">
        <f>DATE(YEAR(I401), MONTH(I401) +1, DAY(I401))</f>
        <v>45505</v>
      </c>
      <c r="K401" t="s">
        <v>96</v>
      </c>
      <c r="L401">
        <v>27.68</v>
      </c>
      <c r="M401">
        <v>2.77</v>
      </c>
      <c r="N401" t="s">
        <v>406</v>
      </c>
    </row>
    <row r="402" spans="1:14" x14ac:dyDescent="0.25">
      <c r="A402" t="s">
        <v>20</v>
      </c>
      <c r="B402" t="s">
        <v>403</v>
      </c>
      <c r="C402" t="s">
        <v>22</v>
      </c>
      <c r="D402" s="1">
        <v>44927</v>
      </c>
      <c r="E402" t="s">
        <v>186</v>
      </c>
      <c r="F402">
        <v>80094370</v>
      </c>
      <c r="G402" t="str">
        <f>CONCATENATE("D",F402)</f>
        <v>D80094370</v>
      </c>
      <c r="H402" t="s">
        <v>187</v>
      </c>
      <c r="I402" s="1">
        <v>45748</v>
      </c>
      <c r="J402" s="1">
        <f>DATE(YEAR(I402), MONTH(I402) +1, DAY(I402))</f>
        <v>45778</v>
      </c>
      <c r="K402" t="s">
        <v>28</v>
      </c>
      <c r="L402">
        <v>15.28</v>
      </c>
      <c r="M402">
        <v>1.53</v>
      </c>
      <c r="N402" t="s">
        <v>406</v>
      </c>
    </row>
    <row r="403" spans="1:14" x14ac:dyDescent="0.25">
      <c r="A403" t="s">
        <v>29</v>
      </c>
      <c r="B403">
        <v>18781057</v>
      </c>
      <c r="C403" t="s">
        <v>22</v>
      </c>
      <c r="D403" s="1">
        <v>45292</v>
      </c>
      <c r="E403" t="s">
        <v>269</v>
      </c>
      <c r="F403">
        <v>80118035</v>
      </c>
      <c r="G403" t="str">
        <f>CONCATENATE("D",F403)</f>
        <v>D80118035</v>
      </c>
      <c r="H403" t="s">
        <v>187</v>
      </c>
      <c r="I403" s="1">
        <v>45778</v>
      </c>
      <c r="J403" s="1">
        <f>DATE(YEAR(I403), MONTH(I403) +1, DAY(I403))</f>
        <v>45809</v>
      </c>
      <c r="K403" t="s">
        <v>25</v>
      </c>
      <c r="L403">
        <v>15.28</v>
      </c>
      <c r="M403">
        <v>1.53</v>
      </c>
      <c r="N403" t="s">
        <v>406</v>
      </c>
    </row>
    <row r="404" spans="1:14" x14ac:dyDescent="0.25">
      <c r="A404" t="s">
        <v>29</v>
      </c>
      <c r="B404">
        <v>18781057</v>
      </c>
      <c r="C404" t="s">
        <v>22</v>
      </c>
      <c r="D404" s="1">
        <v>45292</v>
      </c>
      <c r="E404" t="s">
        <v>269</v>
      </c>
      <c r="F404">
        <v>80118035</v>
      </c>
      <c r="G404" t="str">
        <f>CONCATENATE("D",F404)</f>
        <v>D80118035</v>
      </c>
      <c r="H404" t="s">
        <v>187</v>
      </c>
      <c r="I404" s="1">
        <v>45778</v>
      </c>
      <c r="J404" s="1">
        <f>DATE(YEAR(I404), MONTH(I404) +1, DAY(I404))</f>
        <v>45809</v>
      </c>
      <c r="K404" t="s">
        <v>25</v>
      </c>
      <c r="L404">
        <v>27.68</v>
      </c>
      <c r="M404">
        <v>2.77</v>
      </c>
      <c r="N404" t="s">
        <v>406</v>
      </c>
    </row>
    <row r="405" spans="1:14" x14ac:dyDescent="0.25">
      <c r="A405" t="s">
        <v>20</v>
      </c>
      <c r="B405" t="s">
        <v>403</v>
      </c>
      <c r="C405" t="s">
        <v>22</v>
      </c>
      <c r="D405" s="1">
        <v>45047</v>
      </c>
      <c r="E405" t="s">
        <v>299</v>
      </c>
      <c r="F405">
        <v>80238965</v>
      </c>
      <c r="G405" t="str">
        <f>CONCATENATE("D",F405)</f>
        <v>D80238965</v>
      </c>
      <c r="H405" t="s">
        <v>24</v>
      </c>
      <c r="I405" s="1">
        <v>45717</v>
      </c>
      <c r="J405" s="1">
        <f>DATE(YEAR(I405), MONTH(I405) +1, DAY(I405))</f>
        <v>45748</v>
      </c>
      <c r="K405" t="s">
        <v>60</v>
      </c>
      <c r="L405">
        <v>27.68</v>
      </c>
      <c r="M405">
        <v>2.77</v>
      </c>
      <c r="N405" t="s">
        <v>406</v>
      </c>
    </row>
    <row r="406" spans="1:14" x14ac:dyDescent="0.25">
      <c r="A406" t="s">
        <v>20</v>
      </c>
      <c r="B406" t="s">
        <v>403</v>
      </c>
      <c r="C406" t="s">
        <v>22</v>
      </c>
      <c r="D406" s="1">
        <v>45047</v>
      </c>
      <c r="E406" t="s">
        <v>299</v>
      </c>
      <c r="F406">
        <v>80238965</v>
      </c>
      <c r="G406" t="str">
        <f>CONCATENATE("D",F406)</f>
        <v>D80238965</v>
      </c>
      <c r="H406" t="s">
        <v>24</v>
      </c>
      <c r="I406" s="1">
        <v>45748</v>
      </c>
      <c r="J406" s="1">
        <f>DATE(YEAR(I406), MONTH(I406) +1, DAY(I406))</f>
        <v>45778</v>
      </c>
      <c r="K406" t="s">
        <v>28</v>
      </c>
      <c r="L406">
        <v>27.68</v>
      </c>
      <c r="M406">
        <v>2.77</v>
      </c>
      <c r="N406" t="s">
        <v>406</v>
      </c>
    </row>
    <row r="407" spans="1:14" x14ac:dyDescent="0.25">
      <c r="A407" t="s">
        <v>38</v>
      </c>
      <c r="B407">
        <v>16509456</v>
      </c>
      <c r="C407" t="s">
        <v>22</v>
      </c>
      <c r="D407" s="1">
        <v>45505</v>
      </c>
      <c r="E407" t="s">
        <v>105</v>
      </c>
      <c r="F407">
        <v>81374350</v>
      </c>
      <c r="G407" t="str">
        <f>CONCATENATE("D",F407)</f>
        <v>D81374350</v>
      </c>
      <c r="H407" t="s">
        <v>24</v>
      </c>
      <c r="I407" s="1">
        <v>45689</v>
      </c>
      <c r="J407" s="1">
        <f>DATE(YEAR(I407), MONTH(I407) +1, DAY(I407))</f>
        <v>45717</v>
      </c>
      <c r="K407" t="s">
        <v>77</v>
      </c>
      <c r="L407">
        <v>15.28</v>
      </c>
      <c r="M407">
        <v>1.53</v>
      </c>
      <c r="N407" t="s">
        <v>406</v>
      </c>
    </row>
  </sheetData>
  <sortState xmlns:xlrd2="http://schemas.microsoft.com/office/spreadsheetml/2017/richdata2" ref="A2:U407">
    <sortCondition ref="N2:N407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5 31 25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2025-05-30T20:24:45Z</dcterms:created>
  <dcterms:modified xsi:type="dcterms:W3CDTF">2025-06-03T13:18:45Z</dcterms:modified>
</cp:coreProperties>
</file>