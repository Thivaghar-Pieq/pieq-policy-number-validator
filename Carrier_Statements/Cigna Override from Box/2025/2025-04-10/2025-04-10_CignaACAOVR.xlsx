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Override from Box\2025\04-10-25\"/>
    </mc:Choice>
  </mc:AlternateContent>
  <xr:revisionPtr revIDLastSave="0" documentId="13_ncr:1_{A1923F5B-E8CD-4EED-AD4E-9B4F03B2D925}" xr6:coauthVersionLast="47" xr6:coauthVersionMax="47" xr10:uidLastSave="{00000000-0000-0000-0000-000000000000}"/>
  <bookViews>
    <workbookView xWindow="28680" yWindow="-120" windowWidth="29040" windowHeight="16440" activeTab="1" xr2:uid="{422EC393-AC1D-47A6-ADBE-BD37DCAA7203}"/>
  </bookViews>
  <sheets>
    <sheet name="Main Line Benefits LLC - Cigna 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17" i="2" l="1"/>
  <c r="I236" i="2"/>
  <c r="J236" i="2" s="1"/>
  <c r="I237" i="2"/>
  <c r="J237" i="2" s="1"/>
  <c r="I238" i="2"/>
  <c r="J238" i="2" s="1"/>
  <c r="I239" i="2"/>
  <c r="J239" i="2" s="1"/>
  <c r="I366" i="2"/>
  <c r="J366" i="2" s="1"/>
  <c r="I367" i="2"/>
  <c r="J367" i="2" s="1"/>
  <c r="I276" i="2"/>
  <c r="J276" i="2" s="1"/>
  <c r="I277" i="2"/>
  <c r="J277" i="2" s="1"/>
  <c r="I240" i="2"/>
  <c r="J240" i="2" s="1"/>
  <c r="I241" i="2"/>
  <c r="J241" i="2" s="1"/>
  <c r="I131" i="2"/>
  <c r="J131" i="2" s="1"/>
  <c r="I132" i="2"/>
  <c r="J132" i="2" s="1"/>
  <c r="I368" i="2"/>
  <c r="J368" i="2" s="1"/>
  <c r="I369" i="2"/>
  <c r="J369" i="2" s="1"/>
  <c r="I370" i="2"/>
  <c r="J370" i="2" s="1"/>
  <c r="I278" i="2"/>
  <c r="J278" i="2" s="1"/>
  <c r="I279" i="2"/>
  <c r="J279" i="2" s="1"/>
  <c r="I280" i="2"/>
  <c r="J280" i="2" s="1"/>
  <c r="I242" i="2"/>
  <c r="J242" i="2" s="1"/>
  <c r="I243" i="2"/>
  <c r="J243" i="2" s="1"/>
  <c r="I244" i="2"/>
  <c r="J244" i="2" s="1"/>
  <c r="I133" i="2"/>
  <c r="J133" i="2" s="1"/>
  <c r="I134" i="2"/>
  <c r="J134" i="2" s="1"/>
  <c r="I135" i="2"/>
  <c r="J135" i="2" s="1"/>
  <c r="I175" i="2"/>
  <c r="J175" i="2" s="1"/>
  <c r="I323" i="2"/>
  <c r="J323" i="2" s="1"/>
  <c r="I324" i="2"/>
  <c r="J324" i="2" s="1"/>
  <c r="I304" i="2"/>
  <c r="J304" i="2" s="1"/>
  <c r="I305" i="2"/>
  <c r="J305" i="2" s="1"/>
  <c r="I306" i="2"/>
  <c r="J306" i="2" s="1"/>
  <c r="I307" i="2"/>
  <c r="J307" i="2" s="1"/>
  <c r="I308" i="2"/>
  <c r="J308" i="2" s="1"/>
  <c r="I325" i="2"/>
  <c r="J325" i="2" s="1"/>
  <c r="I326" i="2"/>
  <c r="J326" i="2" s="1"/>
  <c r="I327" i="2"/>
  <c r="J327" i="2" s="1"/>
  <c r="I92" i="2"/>
  <c r="J92" i="2" s="1"/>
  <c r="I93" i="2"/>
  <c r="J93" i="2" s="1"/>
  <c r="I351" i="2"/>
  <c r="J351" i="2" s="1"/>
  <c r="I352" i="2"/>
  <c r="J352" i="2" s="1"/>
  <c r="I30" i="2"/>
  <c r="J30" i="2" s="1"/>
  <c r="I31" i="2"/>
  <c r="J31" i="2" s="1"/>
  <c r="I353" i="2"/>
  <c r="J353" i="2" s="1"/>
  <c r="I354" i="2"/>
  <c r="J354" i="2" s="1"/>
  <c r="I355" i="2"/>
  <c r="J355" i="2" s="1"/>
  <c r="I32" i="2"/>
  <c r="J32" i="2" s="1"/>
  <c r="I33" i="2"/>
  <c r="J33" i="2" s="1"/>
  <c r="I34" i="2"/>
  <c r="J34" i="2" s="1"/>
  <c r="I94" i="2"/>
  <c r="J94" i="2" s="1"/>
  <c r="I95" i="2"/>
  <c r="J95" i="2" s="1"/>
  <c r="I96" i="2"/>
  <c r="J96" i="2" s="1"/>
  <c r="I117" i="2"/>
  <c r="J117" i="2" s="1"/>
  <c r="I118" i="2"/>
  <c r="J118" i="2" s="1"/>
  <c r="I122" i="2"/>
  <c r="J122" i="2" s="1"/>
  <c r="I123" i="2"/>
  <c r="J123" i="2" s="1"/>
  <c r="I267" i="2"/>
  <c r="J267" i="2" s="1"/>
  <c r="I268" i="2"/>
  <c r="J268" i="2" s="1"/>
  <c r="I262" i="2"/>
  <c r="J262" i="2" s="1"/>
  <c r="I263" i="2"/>
  <c r="J263" i="2" s="1"/>
  <c r="I25" i="2"/>
  <c r="J25" i="2" s="1"/>
  <c r="I26" i="2"/>
  <c r="J26" i="2" s="1"/>
  <c r="I383" i="2"/>
  <c r="J383" i="2" s="1"/>
  <c r="I384" i="2"/>
  <c r="J384" i="2" s="1"/>
  <c r="I119" i="2"/>
  <c r="J119" i="2" s="1"/>
  <c r="I120" i="2"/>
  <c r="J120" i="2" s="1"/>
  <c r="I121" i="2"/>
  <c r="J121" i="2" s="1"/>
  <c r="I124" i="2"/>
  <c r="J124" i="2" s="1"/>
  <c r="I125" i="2"/>
  <c r="J125" i="2" s="1"/>
  <c r="I126" i="2"/>
  <c r="J126" i="2" s="1"/>
  <c r="I269" i="2"/>
  <c r="J269" i="2" s="1"/>
  <c r="I270" i="2"/>
  <c r="J270" i="2" s="1"/>
  <c r="I264" i="2"/>
  <c r="J264" i="2" s="1"/>
  <c r="I265" i="2"/>
  <c r="J265" i="2" s="1"/>
  <c r="I266" i="2"/>
  <c r="J266" i="2" s="1"/>
  <c r="I27" i="2"/>
  <c r="J27" i="2" s="1"/>
  <c r="I28" i="2"/>
  <c r="J28" i="2" s="1"/>
  <c r="I29" i="2"/>
  <c r="J29" i="2" s="1"/>
  <c r="I385" i="2"/>
  <c r="J385" i="2" s="1"/>
  <c r="I386" i="2"/>
  <c r="J386" i="2" s="1"/>
  <c r="I387" i="2"/>
  <c r="J387" i="2" s="1"/>
  <c r="I15" i="2"/>
  <c r="J15" i="2" s="1"/>
  <c r="I16" i="2"/>
  <c r="J16" i="2" s="1"/>
  <c r="I17" i="2"/>
  <c r="J17" i="2" s="1"/>
  <c r="I18" i="2"/>
  <c r="J18" i="2" s="1"/>
  <c r="I19" i="2"/>
  <c r="J19" i="2" s="1"/>
  <c r="I225" i="2"/>
  <c r="J225" i="2" s="1"/>
  <c r="I226" i="2"/>
  <c r="J226" i="2" s="1"/>
  <c r="I227" i="2"/>
  <c r="J227" i="2" s="1"/>
  <c r="I228" i="2"/>
  <c r="J228" i="2" s="1"/>
  <c r="I229" i="2"/>
  <c r="J229" i="2" s="1"/>
  <c r="I356" i="2"/>
  <c r="J356" i="2" s="1"/>
  <c r="I357" i="2"/>
  <c r="J357" i="2" s="1"/>
  <c r="I358" i="2"/>
  <c r="J358" i="2" s="1"/>
  <c r="I359" i="2"/>
  <c r="J359" i="2" s="1"/>
  <c r="I360" i="2"/>
  <c r="J360" i="2" s="1"/>
  <c r="I317" i="2"/>
  <c r="J317" i="2" s="1"/>
  <c r="I184" i="2"/>
  <c r="J184" i="2" s="1"/>
  <c r="I185" i="2"/>
  <c r="J185" i="2" s="1"/>
  <c r="I72" i="2"/>
  <c r="J72" i="2" s="1"/>
  <c r="I73" i="2"/>
  <c r="J73" i="2" s="1"/>
  <c r="I163" i="2"/>
  <c r="J163" i="2" s="1"/>
  <c r="I164" i="2"/>
  <c r="J164" i="2" s="1"/>
  <c r="I402" i="2"/>
  <c r="J402" i="2" s="1"/>
  <c r="I403" i="2"/>
  <c r="J403" i="2" s="1"/>
  <c r="I87" i="2"/>
  <c r="J87" i="2" s="1"/>
  <c r="I88" i="2"/>
  <c r="J88" i="2" s="1"/>
  <c r="I186" i="2"/>
  <c r="J186" i="2" s="1"/>
  <c r="I187" i="2"/>
  <c r="J187" i="2" s="1"/>
  <c r="I74" i="2"/>
  <c r="J74" i="2" s="1"/>
  <c r="I75" i="2"/>
  <c r="J75" i="2" s="1"/>
  <c r="I76" i="2"/>
  <c r="J76" i="2" s="1"/>
  <c r="I165" i="2"/>
  <c r="J165" i="2" s="1"/>
  <c r="I166" i="2"/>
  <c r="J166" i="2" s="1"/>
  <c r="I404" i="2"/>
  <c r="J404" i="2" s="1"/>
  <c r="I405" i="2"/>
  <c r="J405" i="2" s="1"/>
  <c r="I406" i="2"/>
  <c r="J406" i="2" s="1"/>
  <c r="I89" i="2"/>
  <c r="J89" i="2" s="1"/>
  <c r="I90" i="2"/>
  <c r="J90" i="2" s="1"/>
  <c r="I91" i="2"/>
  <c r="J91" i="2" s="1"/>
  <c r="I282" i="2"/>
  <c r="J282" i="2" s="1"/>
  <c r="I44" i="2"/>
  <c r="J44" i="2" s="1"/>
  <c r="I45" i="2"/>
  <c r="J45" i="2" s="1"/>
  <c r="I150" i="2"/>
  <c r="J150" i="2" s="1"/>
  <c r="I151" i="2"/>
  <c r="J151" i="2" s="1"/>
  <c r="I136" i="2"/>
  <c r="J136" i="2" s="1"/>
  <c r="I137" i="2"/>
  <c r="J137" i="2" s="1"/>
  <c r="I318" i="2"/>
  <c r="J318" i="2" s="1"/>
  <c r="I319" i="2"/>
  <c r="J319" i="2" s="1"/>
  <c r="I220" i="2"/>
  <c r="J220" i="2" s="1"/>
  <c r="I221" i="2"/>
  <c r="J221" i="2" s="1"/>
  <c r="I49" i="2"/>
  <c r="J49" i="2" s="1"/>
  <c r="I97" i="2"/>
  <c r="J97" i="2" s="1"/>
  <c r="I98" i="2"/>
  <c r="J98" i="2" s="1"/>
  <c r="I181" i="2"/>
  <c r="J181" i="2" s="1"/>
  <c r="I258" i="2"/>
  <c r="J258" i="2" s="1"/>
  <c r="I259" i="2"/>
  <c r="J259" i="2" s="1"/>
  <c r="I361" i="2"/>
  <c r="J361" i="2" s="1"/>
  <c r="I362" i="2"/>
  <c r="J362" i="2" s="1"/>
  <c r="I46" i="2"/>
  <c r="J46" i="2" s="1"/>
  <c r="I47" i="2"/>
  <c r="J47" i="2" s="1"/>
  <c r="I48" i="2"/>
  <c r="J48" i="2" s="1"/>
  <c r="I152" i="2"/>
  <c r="J152" i="2" s="1"/>
  <c r="I153" i="2"/>
  <c r="J153" i="2" s="1"/>
  <c r="I154" i="2"/>
  <c r="J154" i="2" s="1"/>
  <c r="I138" i="2"/>
  <c r="J138" i="2" s="1"/>
  <c r="I139" i="2"/>
  <c r="J139" i="2" s="1"/>
  <c r="I140" i="2"/>
  <c r="J140" i="2" s="1"/>
  <c r="I320" i="2"/>
  <c r="J320" i="2" s="1"/>
  <c r="I321" i="2"/>
  <c r="J321" i="2" s="1"/>
  <c r="I322" i="2"/>
  <c r="J322" i="2" s="1"/>
  <c r="I222" i="2"/>
  <c r="J222" i="2" s="1"/>
  <c r="I223" i="2"/>
  <c r="J223" i="2" s="1"/>
  <c r="I224" i="2"/>
  <c r="J224" i="2" s="1"/>
  <c r="I50" i="2"/>
  <c r="J50" i="2" s="1"/>
  <c r="I51" i="2"/>
  <c r="J51" i="2" s="1"/>
  <c r="I99" i="2"/>
  <c r="J99" i="2" s="1"/>
  <c r="I100" i="2"/>
  <c r="J100" i="2" s="1"/>
  <c r="I182" i="2"/>
  <c r="J182" i="2" s="1"/>
  <c r="I183" i="2"/>
  <c r="J183" i="2" s="1"/>
  <c r="I260" i="2"/>
  <c r="J260" i="2" s="1"/>
  <c r="I261" i="2"/>
  <c r="J261" i="2" s="1"/>
  <c r="I363" i="2"/>
  <c r="J363" i="2" s="1"/>
  <c r="I364" i="2"/>
  <c r="J364" i="2" s="1"/>
  <c r="I365" i="2"/>
  <c r="J365" i="2" s="1"/>
  <c r="I82" i="2"/>
  <c r="J82" i="2" s="1"/>
  <c r="I83" i="2"/>
  <c r="J83" i="2" s="1"/>
  <c r="I84" i="2"/>
  <c r="J84" i="2" s="1"/>
  <c r="I281" i="2"/>
  <c r="J281" i="2" s="1"/>
  <c r="I85" i="2"/>
  <c r="J85" i="2" s="1"/>
  <c r="I86" i="2"/>
  <c r="J86" i="2" s="1"/>
  <c r="I283" i="2"/>
  <c r="J283" i="2" s="1"/>
  <c r="I302" i="2"/>
  <c r="J302" i="2" s="1"/>
  <c r="I303" i="2"/>
  <c r="J303" i="2" s="1"/>
  <c r="I57" i="2"/>
  <c r="J57" i="2" s="1"/>
  <c r="I58" i="2"/>
  <c r="J58" i="2" s="1"/>
  <c r="I210" i="2"/>
  <c r="J210" i="2" s="1"/>
  <c r="I211" i="2"/>
  <c r="J211" i="2" s="1"/>
  <c r="I10" i="2"/>
  <c r="J10" i="2" s="1"/>
  <c r="I11" i="2"/>
  <c r="J11" i="2" s="1"/>
  <c r="I212" i="2"/>
  <c r="J212" i="2" s="1"/>
  <c r="I213" i="2"/>
  <c r="J213" i="2" s="1"/>
  <c r="I214" i="2"/>
  <c r="J214" i="2" s="1"/>
  <c r="I12" i="2"/>
  <c r="J12" i="2" s="1"/>
  <c r="I13" i="2"/>
  <c r="J13" i="2" s="1"/>
  <c r="I14" i="2"/>
  <c r="J14" i="2" s="1"/>
  <c r="I59" i="2"/>
  <c r="J59" i="2" s="1"/>
  <c r="I60" i="2"/>
  <c r="J60" i="2" s="1"/>
  <c r="I61" i="2"/>
  <c r="J61" i="2" s="1"/>
  <c r="I346" i="2"/>
  <c r="J346" i="2" s="1"/>
  <c r="I347" i="2"/>
  <c r="J347" i="2" s="1"/>
  <c r="I114" i="2"/>
  <c r="J114" i="2" s="1"/>
  <c r="I188" i="2"/>
  <c r="J188" i="2" s="1"/>
  <c r="I189" i="2"/>
  <c r="J189" i="2" s="1"/>
  <c r="I167" i="2"/>
  <c r="J167" i="2" s="1"/>
  <c r="I168" i="2"/>
  <c r="J168" i="2" s="1"/>
  <c r="I271" i="2"/>
  <c r="J271" i="2" s="1"/>
  <c r="I272" i="2"/>
  <c r="J272" i="2" s="1"/>
  <c r="I146" i="2"/>
  <c r="J146" i="2" s="1"/>
  <c r="I147" i="2"/>
  <c r="J147" i="2" s="1"/>
  <c r="I374" i="2"/>
  <c r="J374" i="2" s="1"/>
  <c r="I375" i="2"/>
  <c r="J375" i="2" s="1"/>
  <c r="I338" i="2"/>
  <c r="J338" i="2" s="1"/>
  <c r="I67" i="2"/>
  <c r="J67" i="2" s="1"/>
  <c r="I68" i="2"/>
  <c r="J68" i="2" s="1"/>
  <c r="I106" i="2"/>
  <c r="J106" i="2" s="1"/>
  <c r="I333" i="2"/>
  <c r="J333" i="2" s="1"/>
  <c r="I334" i="2"/>
  <c r="J334" i="2" s="1"/>
  <c r="I109" i="2"/>
  <c r="J109" i="2" s="1"/>
  <c r="I110" i="2"/>
  <c r="J110" i="2" s="1"/>
  <c r="I62" i="2"/>
  <c r="J62" i="2" s="1"/>
  <c r="I63" i="2"/>
  <c r="J63" i="2" s="1"/>
  <c r="I328" i="2"/>
  <c r="J328" i="2" s="1"/>
  <c r="I329" i="2"/>
  <c r="J329" i="2" s="1"/>
  <c r="I371" i="2"/>
  <c r="J371" i="2" s="1"/>
  <c r="I77" i="2"/>
  <c r="J77" i="2" s="1"/>
  <c r="I78" i="2"/>
  <c r="J78" i="2" s="1"/>
  <c r="I415" i="2"/>
  <c r="J415" i="2" s="1"/>
  <c r="I416" i="2"/>
  <c r="J416" i="2" s="1"/>
  <c r="I379" i="2"/>
  <c r="J379" i="2" s="1"/>
  <c r="I380" i="2"/>
  <c r="J380" i="2" s="1"/>
  <c r="I245" i="2"/>
  <c r="J245" i="2" s="1"/>
  <c r="I127" i="2"/>
  <c r="J127" i="2" s="1"/>
  <c r="I128" i="2"/>
  <c r="J128" i="2" s="1"/>
  <c r="I2" i="2"/>
  <c r="J2" i="2" s="1"/>
  <c r="I205" i="2"/>
  <c r="J205" i="2" s="1"/>
  <c r="I206" i="2"/>
  <c r="J206" i="2" s="1"/>
  <c r="I410" i="2"/>
  <c r="J410" i="2" s="1"/>
  <c r="I411" i="2"/>
  <c r="J411" i="2" s="1"/>
  <c r="I248" i="2"/>
  <c r="J248" i="2" s="1"/>
  <c r="I249" i="2"/>
  <c r="J249" i="2" s="1"/>
  <c r="I407" i="2"/>
  <c r="J407" i="2" s="1"/>
  <c r="I101" i="2"/>
  <c r="J101" i="2" s="1"/>
  <c r="I102" i="2"/>
  <c r="J102" i="2" s="1"/>
  <c r="I161" i="2"/>
  <c r="J161" i="2" s="1"/>
  <c r="I200" i="2"/>
  <c r="J200" i="2" s="1"/>
  <c r="I201" i="2"/>
  <c r="J201" i="2" s="1"/>
  <c r="I309" i="2"/>
  <c r="J309" i="2" s="1"/>
  <c r="I20" i="2"/>
  <c r="J20" i="2" s="1"/>
  <c r="I21" i="2"/>
  <c r="J21" i="2" s="1"/>
  <c r="I193" i="2"/>
  <c r="J193" i="2" s="1"/>
  <c r="I35" i="2"/>
  <c r="J35" i="2" s="1"/>
  <c r="I36" i="2"/>
  <c r="J36" i="2" s="1"/>
  <c r="I393" i="2"/>
  <c r="J393" i="2" s="1"/>
  <c r="I394" i="2"/>
  <c r="J394" i="2" s="1"/>
  <c r="I388" i="2"/>
  <c r="J388" i="2" s="1"/>
  <c r="I389" i="2"/>
  <c r="J389" i="2" s="1"/>
  <c r="I341" i="2"/>
  <c r="J341" i="2" s="1"/>
  <c r="I342" i="2"/>
  <c r="J342" i="2" s="1"/>
  <c r="I335" i="2"/>
  <c r="J335" i="2" s="1"/>
  <c r="I336" i="2"/>
  <c r="J336" i="2" s="1"/>
  <c r="I337" i="2"/>
  <c r="J337" i="2" s="1"/>
  <c r="I111" i="2"/>
  <c r="J111" i="2" s="1"/>
  <c r="I112" i="2"/>
  <c r="J112" i="2" s="1"/>
  <c r="I113" i="2"/>
  <c r="J113" i="2" s="1"/>
  <c r="I64" i="2"/>
  <c r="J64" i="2" s="1"/>
  <c r="I65" i="2"/>
  <c r="J65" i="2" s="1"/>
  <c r="I66" i="2"/>
  <c r="J66" i="2" s="1"/>
  <c r="I330" i="2"/>
  <c r="J330" i="2" s="1"/>
  <c r="I331" i="2"/>
  <c r="J331" i="2" s="1"/>
  <c r="I332" i="2"/>
  <c r="J332" i="2" s="1"/>
  <c r="I372" i="2"/>
  <c r="J372" i="2" s="1"/>
  <c r="I373" i="2"/>
  <c r="J373" i="2" s="1"/>
  <c r="I79" i="2"/>
  <c r="J79" i="2" s="1"/>
  <c r="I80" i="2"/>
  <c r="J80" i="2" s="1"/>
  <c r="I81" i="2"/>
  <c r="J81" i="2" s="1"/>
  <c r="I417" i="2"/>
  <c r="J417" i="2" s="1"/>
  <c r="I418" i="2"/>
  <c r="J418" i="2" s="1"/>
  <c r="I419" i="2"/>
  <c r="J419" i="2" s="1"/>
  <c r="I381" i="2"/>
  <c r="J381" i="2" s="1"/>
  <c r="I382" i="2"/>
  <c r="J382" i="2" s="1"/>
  <c r="I246" i="2"/>
  <c r="J246" i="2" s="1"/>
  <c r="I247" i="2"/>
  <c r="J247" i="2" s="1"/>
  <c r="I129" i="2"/>
  <c r="J129" i="2" s="1"/>
  <c r="I130" i="2"/>
  <c r="J130" i="2" s="1"/>
  <c r="I3" i="2"/>
  <c r="J3" i="2" s="1"/>
  <c r="I4" i="2"/>
  <c r="J4" i="2" s="1"/>
  <c r="I207" i="2"/>
  <c r="J207" i="2" s="1"/>
  <c r="I208" i="2"/>
  <c r="J208" i="2" s="1"/>
  <c r="I209" i="2"/>
  <c r="J209" i="2" s="1"/>
  <c r="I412" i="2"/>
  <c r="J412" i="2" s="1"/>
  <c r="I413" i="2"/>
  <c r="J413" i="2" s="1"/>
  <c r="I414" i="2"/>
  <c r="J414" i="2" s="1"/>
  <c r="I172" i="2"/>
  <c r="J172" i="2" s="1"/>
  <c r="I173" i="2"/>
  <c r="J173" i="2" s="1"/>
  <c r="I250" i="2"/>
  <c r="J250" i="2" s="1"/>
  <c r="I251" i="2"/>
  <c r="J251" i="2" s="1"/>
  <c r="I252" i="2"/>
  <c r="J252" i="2" s="1"/>
  <c r="I408" i="2"/>
  <c r="J408" i="2" s="1"/>
  <c r="I409" i="2"/>
  <c r="J409" i="2" s="1"/>
  <c r="I103" i="2"/>
  <c r="J103" i="2" s="1"/>
  <c r="I104" i="2"/>
  <c r="J104" i="2" s="1"/>
  <c r="I105" i="2"/>
  <c r="J105" i="2" s="1"/>
  <c r="I162" i="2"/>
  <c r="J162" i="2" s="1"/>
  <c r="I202" i="2"/>
  <c r="J202" i="2" s="1"/>
  <c r="I203" i="2"/>
  <c r="J203" i="2" s="1"/>
  <c r="I204" i="2"/>
  <c r="J204" i="2" s="1"/>
  <c r="I310" i="2"/>
  <c r="J310" i="2" s="1"/>
  <c r="I311" i="2"/>
  <c r="J311" i="2" s="1"/>
  <c r="I22" i="2"/>
  <c r="J22" i="2" s="1"/>
  <c r="I23" i="2"/>
  <c r="J23" i="2" s="1"/>
  <c r="I24" i="2"/>
  <c r="J24" i="2" s="1"/>
  <c r="I194" i="2"/>
  <c r="J194" i="2" s="1"/>
  <c r="I160" i="2"/>
  <c r="J160" i="2" s="1"/>
  <c r="I37" i="2"/>
  <c r="J37" i="2" s="1"/>
  <c r="I38" i="2"/>
  <c r="J38" i="2" s="1"/>
  <c r="I39" i="2"/>
  <c r="J39" i="2" s="1"/>
  <c r="I395" i="2"/>
  <c r="J395" i="2" s="1"/>
  <c r="I396" i="2"/>
  <c r="J396" i="2" s="1"/>
  <c r="I390" i="2"/>
  <c r="J390" i="2" s="1"/>
  <c r="I391" i="2"/>
  <c r="J391" i="2" s="1"/>
  <c r="I392" i="2"/>
  <c r="J392" i="2" s="1"/>
  <c r="I343" i="2"/>
  <c r="J343" i="2" s="1"/>
  <c r="I344" i="2"/>
  <c r="J344" i="2" s="1"/>
  <c r="I345" i="2"/>
  <c r="J345" i="2" s="1"/>
  <c r="I174" i="2"/>
  <c r="J174" i="2" s="1"/>
  <c r="I148" i="2"/>
  <c r="J148" i="2" s="1"/>
  <c r="I149" i="2"/>
  <c r="J149" i="2" s="1"/>
  <c r="I376" i="2"/>
  <c r="J376" i="2" s="1"/>
  <c r="I377" i="2"/>
  <c r="J377" i="2" s="1"/>
  <c r="I378" i="2"/>
  <c r="J378" i="2" s="1"/>
  <c r="I339" i="2"/>
  <c r="J339" i="2" s="1"/>
  <c r="I340" i="2"/>
  <c r="J340" i="2" s="1"/>
  <c r="I69" i="2"/>
  <c r="J69" i="2" s="1"/>
  <c r="I70" i="2"/>
  <c r="J70" i="2" s="1"/>
  <c r="I71" i="2"/>
  <c r="J71" i="2" s="1"/>
  <c r="I107" i="2"/>
  <c r="J107" i="2" s="1"/>
  <c r="I108" i="2"/>
  <c r="J108" i="2" s="1"/>
  <c r="I190" i="2"/>
  <c r="J190" i="2" s="1"/>
  <c r="I191" i="2"/>
  <c r="J191" i="2" s="1"/>
  <c r="I192" i="2"/>
  <c r="J192" i="2" s="1"/>
  <c r="I169" i="2"/>
  <c r="J169" i="2" s="1"/>
  <c r="I170" i="2"/>
  <c r="J170" i="2" s="1"/>
  <c r="I171" i="2"/>
  <c r="J171" i="2" s="1"/>
  <c r="I40" i="2"/>
  <c r="J40" i="2" s="1"/>
  <c r="I41" i="2"/>
  <c r="J41" i="2" s="1"/>
  <c r="I273" i="2"/>
  <c r="J273" i="2" s="1"/>
  <c r="I274" i="2"/>
  <c r="J274" i="2" s="1"/>
  <c r="I275" i="2"/>
  <c r="J275" i="2" s="1"/>
  <c r="I42" i="2"/>
  <c r="J42" i="2" s="1"/>
  <c r="I43" i="2"/>
  <c r="J43" i="2" s="1"/>
  <c r="I348" i="2"/>
  <c r="J348" i="2" s="1"/>
  <c r="I349" i="2"/>
  <c r="J349" i="2" s="1"/>
  <c r="I350" i="2"/>
  <c r="J350" i="2" s="1"/>
  <c r="I115" i="2"/>
  <c r="J115" i="2" s="1"/>
  <c r="I116" i="2"/>
  <c r="J116" i="2" s="1"/>
  <c r="I289" i="2"/>
  <c r="J289" i="2" s="1"/>
  <c r="I290" i="2"/>
  <c r="J290" i="2" s="1"/>
  <c r="I230" i="2"/>
  <c r="J230" i="2" s="1"/>
  <c r="I231" i="2"/>
  <c r="J231" i="2" s="1"/>
  <c r="I291" i="2"/>
  <c r="J291" i="2" s="1"/>
  <c r="I292" i="2"/>
  <c r="J292" i="2" s="1"/>
  <c r="I293" i="2"/>
  <c r="J293" i="2" s="1"/>
  <c r="I232" i="2"/>
  <c r="J232" i="2" s="1"/>
  <c r="I233" i="2"/>
  <c r="J233" i="2" s="1"/>
  <c r="I234" i="2"/>
  <c r="J234" i="2" s="1"/>
  <c r="I141" i="2"/>
  <c r="J141" i="2" s="1"/>
  <c r="I142" i="2"/>
  <c r="J142" i="2" s="1"/>
  <c r="I143" i="2"/>
  <c r="J143" i="2" s="1"/>
  <c r="I144" i="2"/>
  <c r="J144" i="2" s="1"/>
  <c r="I145" i="2"/>
  <c r="J145" i="2" s="1"/>
  <c r="I253" i="2"/>
  <c r="J253" i="2" s="1"/>
  <c r="I254" i="2"/>
  <c r="J254" i="2" s="1"/>
  <c r="I195" i="2"/>
  <c r="J195" i="2" s="1"/>
  <c r="I196" i="2"/>
  <c r="J196" i="2" s="1"/>
  <c r="I176" i="2"/>
  <c r="J176" i="2" s="1"/>
  <c r="I177" i="2"/>
  <c r="J177" i="2" s="1"/>
  <c r="I197" i="2"/>
  <c r="J197" i="2" s="1"/>
  <c r="I198" i="2"/>
  <c r="J198" i="2" s="1"/>
  <c r="I199" i="2"/>
  <c r="J199" i="2" s="1"/>
  <c r="I178" i="2"/>
  <c r="J178" i="2" s="1"/>
  <c r="I179" i="2"/>
  <c r="J179" i="2" s="1"/>
  <c r="I180" i="2"/>
  <c r="J180" i="2" s="1"/>
  <c r="I255" i="2"/>
  <c r="J255" i="2" s="1"/>
  <c r="I256" i="2"/>
  <c r="J256" i="2" s="1"/>
  <c r="I257" i="2"/>
  <c r="J257" i="2" s="1"/>
  <c r="I312" i="2"/>
  <c r="J312" i="2" s="1"/>
  <c r="I313" i="2"/>
  <c r="J313" i="2" s="1"/>
  <c r="I215" i="2"/>
  <c r="J215" i="2" s="1"/>
  <c r="I216" i="2"/>
  <c r="J216" i="2" s="1"/>
  <c r="I298" i="2"/>
  <c r="J298" i="2" s="1"/>
  <c r="I299" i="2"/>
  <c r="J299" i="2" s="1"/>
  <c r="I294" i="2"/>
  <c r="J294" i="2" s="1"/>
  <c r="I295" i="2"/>
  <c r="J295" i="2" s="1"/>
  <c r="I217" i="2"/>
  <c r="J217" i="2" s="1"/>
  <c r="I218" i="2"/>
  <c r="J218" i="2" s="1"/>
  <c r="I219" i="2"/>
  <c r="J219" i="2" s="1"/>
  <c r="I300" i="2"/>
  <c r="J300" i="2" s="1"/>
  <c r="I301" i="2"/>
  <c r="J301" i="2" s="1"/>
  <c r="I296" i="2"/>
  <c r="J296" i="2" s="1"/>
  <c r="I297" i="2"/>
  <c r="J297" i="2" s="1"/>
  <c r="I314" i="2"/>
  <c r="J314" i="2" s="1"/>
  <c r="I315" i="2"/>
  <c r="J315" i="2" s="1"/>
  <c r="I316" i="2"/>
  <c r="J316" i="2" s="1"/>
  <c r="I5" i="2"/>
  <c r="J5" i="2" s="1"/>
  <c r="I6" i="2"/>
  <c r="J6" i="2" s="1"/>
  <c r="I284" i="2"/>
  <c r="J284" i="2" s="1"/>
  <c r="I285" i="2"/>
  <c r="J285" i="2" s="1"/>
  <c r="I7" i="2"/>
  <c r="J7" i="2" s="1"/>
  <c r="I8" i="2"/>
  <c r="J8" i="2" s="1"/>
  <c r="I9" i="2"/>
  <c r="J9" i="2" s="1"/>
  <c r="I286" i="2"/>
  <c r="J286" i="2" s="1"/>
  <c r="I287" i="2"/>
  <c r="J287" i="2" s="1"/>
  <c r="I288" i="2"/>
  <c r="J288" i="2" s="1"/>
  <c r="I52" i="2"/>
  <c r="J52" i="2" s="1"/>
  <c r="I53" i="2"/>
  <c r="J53" i="2" s="1"/>
  <c r="I54" i="2"/>
  <c r="J54" i="2" s="1"/>
  <c r="I55" i="2"/>
  <c r="J55" i="2" s="1"/>
  <c r="I56" i="2"/>
  <c r="J56" i="2" s="1"/>
  <c r="I155" i="2"/>
  <c r="J155" i="2" s="1"/>
  <c r="I156" i="2"/>
  <c r="J156" i="2" s="1"/>
  <c r="I397" i="2"/>
  <c r="J397" i="2" s="1"/>
  <c r="I398" i="2"/>
  <c r="J398" i="2" s="1"/>
  <c r="I399" i="2"/>
  <c r="J399" i="2" s="1"/>
  <c r="I400" i="2"/>
  <c r="J400" i="2" s="1"/>
  <c r="I401" i="2"/>
  <c r="J401" i="2" s="1"/>
  <c r="I157" i="2"/>
  <c r="J157" i="2" s="1"/>
  <c r="I158" i="2"/>
  <c r="J158" i="2" s="1"/>
  <c r="I159" i="2"/>
  <c r="J159" i="2" s="1"/>
  <c r="I235" i="2"/>
  <c r="J235" i="2" s="1"/>
  <c r="E236" i="2"/>
  <c r="E237" i="2"/>
  <c r="E238" i="2"/>
  <c r="E239" i="2"/>
  <c r="E366" i="2"/>
  <c r="E367" i="2"/>
  <c r="E276" i="2"/>
  <c r="E277" i="2"/>
  <c r="E240" i="2"/>
  <c r="E241" i="2"/>
  <c r="E131" i="2"/>
  <c r="E132" i="2"/>
  <c r="E368" i="2"/>
  <c r="E369" i="2"/>
  <c r="E370" i="2"/>
  <c r="E278" i="2"/>
  <c r="E279" i="2"/>
  <c r="E280" i="2"/>
  <c r="E242" i="2"/>
  <c r="E243" i="2"/>
  <c r="E244" i="2"/>
  <c r="E133" i="2"/>
  <c r="E134" i="2"/>
  <c r="E135" i="2"/>
  <c r="E175" i="2"/>
  <c r="E323" i="2"/>
  <c r="E324" i="2"/>
  <c r="E304" i="2"/>
  <c r="E305" i="2"/>
  <c r="E306" i="2"/>
  <c r="E307" i="2"/>
  <c r="E308" i="2"/>
  <c r="E325" i="2"/>
  <c r="E326" i="2"/>
  <c r="E327" i="2"/>
  <c r="E92" i="2"/>
  <c r="E93" i="2"/>
  <c r="E351" i="2"/>
  <c r="E352" i="2"/>
  <c r="E30" i="2"/>
  <c r="E31" i="2"/>
  <c r="E353" i="2"/>
  <c r="E354" i="2"/>
  <c r="E355" i="2"/>
  <c r="E32" i="2"/>
  <c r="E33" i="2"/>
  <c r="E34" i="2"/>
  <c r="E94" i="2"/>
  <c r="E95" i="2"/>
  <c r="E96" i="2"/>
  <c r="E117" i="2"/>
  <c r="E118" i="2"/>
  <c r="E122" i="2"/>
  <c r="E123" i="2"/>
  <c r="E267" i="2"/>
  <c r="E268" i="2"/>
  <c r="E262" i="2"/>
  <c r="E263" i="2"/>
  <c r="E25" i="2"/>
  <c r="E26" i="2"/>
  <c r="E383" i="2"/>
  <c r="E384" i="2"/>
  <c r="E119" i="2"/>
  <c r="E120" i="2"/>
  <c r="E121" i="2"/>
  <c r="E124" i="2"/>
  <c r="E125" i="2"/>
  <c r="E126" i="2"/>
  <c r="E269" i="2"/>
  <c r="E270" i="2"/>
  <c r="E264" i="2"/>
  <c r="E265" i="2"/>
  <c r="E266" i="2"/>
  <c r="E27" i="2"/>
  <c r="E28" i="2"/>
  <c r="E29" i="2"/>
  <c r="E385" i="2"/>
  <c r="E386" i="2"/>
  <c r="E387" i="2"/>
  <c r="E15" i="2"/>
  <c r="E16" i="2"/>
  <c r="E17" i="2"/>
  <c r="E18" i="2"/>
  <c r="E19" i="2"/>
  <c r="E225" i="2"/>
  <c r="E226" i="2"/>
  <c r="E227" i="2"/>
  <c r="E228" i="2"/>
  <c r="E229" i="2"/>
  <c r="E356" i="2"/>
  <c r="E357" i="2"/>
  <c r="E358" i="2"/>
  <c r="E359" i="2"/>
  <c r="E360" i="2"/>
  <c r="E317" i="2"/>
  <c r="E184" i="2"/>
  <c r="E185" i="2"/>
  <c r="E72" i="2"/>
  <c r="E73" i="2"/>
  <c r="E163" i="2"/>
  <c r="E164" i="2"/>
  <c r="E402" i="2"/>
  <c r="E403" i="2"/>
  <c r="E87" i="2"/>
  <c r="E88" i="2"/>
  <c r="E186" i="2"/>
  <c r="E187" i="2"/>
  <c r="E74" i="2"/>
  <c r="E75" i="2"/>
  <c r="E76" i="2"/>
  <c r="E165" i="2"/>
  <c r="E166" i="2"/>
  <c r="E404" i="2"/>
  <c r="E405" i="2"/>
  <c r="E406" i="2"/>
  <c r="E89" i="2"/>
  <c r="E90" i="2"/>
  <c r="E91" i="2"/>
  <c r="E282" i="2"/>
  <c r="E44" i="2"/>
  <c r="E45" i="2"/>
  <c r="E150" i="2"/>
  <c r="E151" i="2"/>
  <c r="E136" i="2"/>
  <c r="E137" i="2"/>
  <c r="E318" i="2"/>
  <c r="E319" i="2"/>
  <c r="E220" i="2"/>
  <c r="E221" i="2"/>
  <c r="E49" i="2"/>
  <c r="E97" i="2"/>
  <c r="E98" i="2"/>
  <c r="E181" i="2"/>
  <c r="E258" i="2"/>
  <c r="E259" i="2"/>
  <c r="E361" i="2"/>
  <c r="E362" i="2"/>
  <c r="E46" i="2"/>
  <c r="E47" i="2"/>
  <c r="E48" i="2"/>
  <c r="E152" i="2"/>
  <c r="E153" i="2"/>
  <c r="E154" i="2"/>
  <c r="E138" i="2"/>
  <c r="E139" i="2"/>
  <c r="E140" i="2"/>
  <c r="E320" i="2"/>
  <c r="E321" i="2"/>
  <c r="E322" i="2"/>
  <c r="E222" i="2"/>
  <c r="E223" i="2"/>
  <c r="E224" i="2"/>
  <c r="E50" i="2"/>
  <c r="E51" i="2"/>
  <c r="E99" i="2"/>
  <c r="E100" i="2"/>
  <c r="E182" i="2"/>
  <c r="E183" i="2"/>
  <c r="E260" i="2"/>
  <c r="E261" i="2"/>
  <c r="E363" i="2"/>
  <c r="E364" i="2"/>
  <c r="E365" i="2"/>
  <c r="E82" i="2"/>
  <c r="E83" i="2"/>
  <c r="E84" i="2"/>
  <c r="E281" i="2"/>
  <c r="E85" i="2"/>
  <c r="E86" i="2"/>
  <c r="E283" i="2"/>
  <c r="E302" i="2"/>
  <c r="E303" i="2"/>
  <c r="E57" i="2"/>
  <c r="E58" i="2"/>
  <c r="E210" i="2"/>
  <c r="E211" i="2"/>
  <c r="E10" i="2"/>
  <c r="E11" i="2"/>
  <c r="E212" i="2"/>
  <c r="E213" i="2"/>
  <c r="E214" i="2"/>
  <c r="E12" i="2"/>
  <c r="E13" i="2"/>
  <c r="E14" i="2"/>
  <c r="E59" i="2"/>
  <c r="E60" i="2"/>
  <c r="E61" i="2"/>
  <c r="E346" i="2"/>
  <c r="E347" i="2"/>
  <c r="E114" i="2"/>
  <c r="E188" i="2"/>
  <c r="E189" i="2"/>
  <c r="E167" i="2"/>
  <c r="E168" i="2"/>
  <c r="E271" i="2"/>
  <c r="E272" i="2"/>
  <c r="E146" i="2"/>
  <c r="E147" i="2"/>
  <c r="E374" i="2"/>
  <c r="E375" i="2"/>
  <c r="E338" i="2"/>
  <c r="E67" i="2"/>
  <c r="E68" i="2"/>
  <c r="E106" i="2"/>
  <c r="E333" i="2"/>
  <c r="E334" i="2"/>
  <c r="E109" i="2"/>
  <c r="E110" i="2"/>
  <c r="E62" i="2"/>
  <c r="E63" i="2"/>
  <c r="E328" i="2"/>
  <c r="E329" i="2"/>
  <c r="E371" i="2"/>
  <c r="E77" i="2"/>
  <c r="E78" i="2"/>
  <c r="E415" i="2"/>
  <c r="E416" i="2"/>
  <c r="E379" i="2"/>
  <c r="E380" i="2"/>
  <c r="E245" i="2"/>
  <c r="E127" i="2"/>
  <c r="E128" i="2"/>
  <c r="E2" i="2"/>
  <c r="E205" i="2"/>
  <c r="E206" i="2"/>
  <c r="E410" i="2"/>
  <c r="E411" i="2"/>
  <c r="E248" i="2"/>
  <c r="E249" i="2"/>
  <c r="E407" i="2"/>
  <c r="E101" i="2"/>
  <c r="E102" i="2"/>
  <c r="E161" i="2"/>
  <c r="E200" i="2"/>
  <c r="E201" i="2"/>
  <c r="E309" i="2"/>
  <c r="E20" i="2"/>
  <c r="E21" i="2"/>
  <c r="E193" i="2"/>
  <c r="E35" i="2"/>
  <c r="E36" i="2"/>
  <c r="E393" i="2"/>
  <c r="E394" i="2"/>
  <c r="E388" i="2"/>
  <c r="E389" i="2"/>
  <c r="E341" i="2"/>
  <c r="E342" i="2"/>
  <c r="E335" i="2"/>
  <c r="E336" i="2"/>
  <c r="E337" i="2"/>
  <c r="E111" i="2"/>
  <c r="E112" i="2"/>
  <c r="E113" i="2"/>
  <c r="E64" i="2"/>
  <c r="E65" i="2"/>
  <c r="E66" i="2"/>
  <c r="E330" i="2"/>
  <c r="E331" i="2"/>
  <c r="E332" i="2"/>
  <c r="E372" i="2"/>
  <c r="E373" i="2"/>
  <c r="E79" i="2"/>
  <c r="E80" i="2"/>
  <c r="E81" i="2"/>
  <c r="E417" i="2"/>
  <c r="E418" i="2"/>
  <c r="E419" i="2"/>
  <c r="E381" i="2"/>
  <c r="E382" i="2"/>
  <c r="E246" i="2"/>
  <c r="E247" i="2"/>
  <c r="E129" i="2"/>
  <c r="E130" i="2"/>
  <c r="E3" i="2"/>
  <c r="E4" i="2"/>
  <c r="E207" i="2"/>
  <c r="E208" i="2"/>
  <c r="E209" i="2"/>
  <c r="E412" i="2"/>
  <c r="E413" i="2"/>
  <c r="E414" i="2"/>
  <c r="E172" i="2"/>
  <c r="E173" i="2"/>
  <c r="E250" i="2"/>
  <c r="E251" i="2"/>
  <c r="E252" i="2"/>
  <c r="E408" i="2"/>
  <c r="E409" i="2"/>
  <c r="E103" i="2"/>
  <c r="E104" i="2"/>
  <c r="E105" i="2"/>
  <c r="E162" i="2"/>
  <c r="E202" i="2"/>
  <c r="E203" i="2"/>
  <c r="E204" i="2"/>
  <c r="E310" i="2"/>
  <c r="E311" i="2"/>
  <c r="E22" i="2"/>
  <c r="E23" i="2"/>
  <c r="E24" i="2"/>
  <c r="E194" i="2"/>
  <c r="E160" i="2"/>
  <c r="E37" i="2"/>
  <c r="E38" i="2"/>
  <c r="E39" i="2"/>
  <c r="E395" i="2"/>
  <c r="E396" i="2"/>
  <c r="E390" i="2"/>
  <c r="E391" i="2"/>
  <c r="E392" i="2"/>
  <c r="E343" i="2"/>
  <c r="E344" i="2"/>
  <c r="E345" i="2"/>
  <c r="E174" i="2"/>
  <c r="E148" i="2"/>
  <c r="E149" i="2"/>
  <c r="E376" i="2"/>
  <c r="E377" i="2"/>
  <c r="E378" i="2"/>
  <c r="E339" i="2"/>
  <c r="E340" i="2"/>
  <c r="E69" i="2"/>
  <c r="E70" i="2"/>
  <c r="E71" i="2"/>
  <c r="E107" i="2"/>
  <c r="E108" i="2"/>
  <c r="E190" i="2"/>
  <c r="E191" i="2"/>
  <c r="E192" i="2"/>
  <c r="E169" i="2"/>
  <c r="E170" i="2"/>
  <c r="E171" i="2"/>
  <c r="E40" i="2"/>
  <c r="E41" i="2"/>
  <c r="E273" i="2"/>
  <c r="E274" i="2"/>
  <c r="E275" i="2"/>
  <c r="E42" i="2"/>
  <c r="E43" i="2"/>
  <c r="E348" i="2"/>
  <c r="E349" i="2"/>
  <c r="E350" i="2"/>
  <c r="E115" i="2"/>
  <c r="E116" i="2"/>
  <c r="E289" i="2"/>
  <c r="E290" i="2"/>
  <c r="E230" i="2"/>
  <c r="E231" i="2"/>
  <c r="E291" i="2"/>
  <c r="E292" i="2"/>
  <c r="E293" i="2"/>
  <c r="E232" i="2"/>
  <c r="E233" i="2"/>
  <c r="E234" i="2"/>
  <c r="E141" i="2"/>
  <c r="E142" i="2"/>
  <c r="E143" i="2"/>
  <c r="E144" i="2"/>
  <c r="E145" i="2"/>
  <c r="E253" i="2"/>
  <c r="E254" i="2"/>
  <c r="E195" i="2"/>
  <c r="E196" i="2"/>
  <c r="E176" i="2"/>
  <c r="E177" i="2"/>
  <c r="E197" i="2"/>
  <c r="E198" i="2"/>
  <c r="E199" i="2"/>
  <c r="E178" i="2"/>
  <c r="E179" i="2"/>
  <c r="E180" i="2"/>
  <c r="E255" i="2"/>
  <c r="E256" i="2"/>
  <c r="E257" i="2"/>
  <c r="E312" i="2"/>
  <c r="E313" i="2"/>
  <c r="E215" i="2"/>
  <c r="E216" i="2"/>
  <c r="E298" i="2"/>
  <c r="E299" i="2"/>
  <c r="E294" i="2"/>
  <c r="E295" i="2"/>
  <c r="E218" i="2"/>
  <c r="E219" i="2"/>
  <c r="E300" i="2"/>
  <c r="E301" i="2"/>
  <c r="E296" i="2"/>
  <c r="E297" i="2"/>
  <c r="E314" i="2"/>
  <c r="E315" i="2"/>
  <c r="E316" i="2"/>
  <c r="E5" i="2"/>
  <c r="E6" i="2"/>
  <c r="E284" i="2"/>
  <c r="E285" i="2"/>
  <c r="E7" i="2"/>
  <c r="E8" i="2"/>
  <c r="E9" i="2"/>
  <c r="E286" i="2"/>
  <c r="E287" i="2"/>
  <c r="E288" i="2"/>
  <c r="E52" i="2"/>
  <c r="E53" i="2"/>
  <c r="E54" i="2"/>
  <c r="E55" i="2"/>
  <c r="E56" i="2"/>
  <c r="E155" i="2"/>
  <c r="E156" i="2"/>
  <c r="E397" i="2"/>
  <c r="E398" i="2"/>
  <c r="E399" i="2"/>
  <c r="E400" i="2"/>
  <c r="E401" i="2"/>
  <c r="E157" i="2"/>
  <c r="E158" i="2"/>
  <c r="E159" i="2"/>
  <c r="E235" i="2"/>
</calcChain>
</file>

<file path=xl/sharedStrings.xml><?xml version="1.0" encoding="utf-8"?>
<sst xmlns="http://schemas.openxmlformats.org/spreadsheetml/2006/main" count="5040" uniqueCount="236">
  <si>
    <t xml:space="preserve">Payee </t>
  </si>
  <si>
    <t>Writing Agent</t>
  </si>
  <si>
    <t>Customer Name</t>
  </si>
  <si>
    <t>Subscriber ID</t>
  </si>
  <si>
    <t>State</t>
  </si>
  <si>
    <t>Member Count</t>
  </si>
  <si>
    <t>Policy Period</t>
  </si>
  <si>
    <t>Product</t>
  </si>
  <si>
    <t>Premium</t>
  </si>
  <si>
    <t>Rate</t>
  </si>
  <si>
    <t>Override</t>
  </si>
  <si>
    <t>TX</t>
  </si>
  <si>
    <t>Medical, HMO1</t>
  </si>
  <si>
    <t>Main Line Benefits LLC</t>
  </si>
  <si>
    <t>JASON HOFFMANN</t>
  </si>
  <si>
    <t>MAZZOLA, SALVATORE</t>
  </si>
  <si>
    <t>2XH606</t>
  </si>
  <si>
    <t>FL-S</t>
  </si>
  <si>
    <t>Medical, HOAPIN</t>
  </si>
  <si>
    <t>ADAM RICHTER</t>
  </si>
  <si>
    <t>STEPHENSON, SARAH</t>
  </si>
  <si>
    <t>0W61U5</t>
  </si>
  <si>
    <t>FL-N</t>
  </si>
  <si>
    <t>PETERS, HAILEY</t>
  </si>
  <si>
    <t>27C3J8</t>
  </si>
  <si>
    <t>VA</t>
  </si>
  <si>
    <t>MORRISON, RACHEL</t>
  </si>
  <si>
    <t>34C9J5</t>
  </si>
  <si>
    <t>HAHNE, GERALD</t>
  </si>
  <si>
    <t>49CL67</t>
  </si>
  <si>
    <t>ANDREA PETRUNGARO</t>
  </si>
  <si>
    <t>KAUR, MANJIT</t>
  </si>
  <si>
    <t>89T8P5</t>
  </si>
  <si>
    <t>IL</t>
  </si>
  <si>
    <t>ANDREW CHOI</t>
  </si>
  <si>
    <t>ROTARU, LENUTA</t>
  </si>
  <si>
    <t>74N3X5</t>
  </si>
  <si>
    <t>ROBERTS, ERIN</t>
  </si>
  <si>
    <t>70P91M</t>
  </si>
  <si>
    <t>CAROL FOLEY</t>
  </si>
  <si>
    <t>DEPHILLIPS, DEVON</t>
  </si>
  <si>
    <t>0J4F07</t>
  </si>
  <si>
    <t>SIGG, ALEC</t>
  </si>
  <si>
    <t>01F2T5</t>
  </si>
  <si>
    <t>NC</t>
  </si>
  <si>
    <t>BRAZELTON, KYLEE</t>
  </si>
  <si>
    <t>41Q71G</t>
  </si>
  <si>
    <t>COLLEEN FINNIGAN</t>
  </si>
  <si>
    <t>GIFFORD, GOLDA</t>
  </si>
  <si>
    <t>1N92F4</t>
  </si>
  <si>
    <t>TN</t>
  </si>
  <si>
    <t>GILLEY, CHARLES</t>
  </si>
  <si>
    <t>32A6E4</t>
  </si>
  <si>
    <t>PERKINS-WILLIAMS, JOSIE</t>
  </si>
  <si>
    <t>35K3N1</t>
  </si>
  <si>
    <t>PATTERSON, GENA</t>
  </si>
  <si>
    <t>37HH17</t>
  </si>
  <si>
    <t>BOLEY, BARBARA</t>
  </si>
  <si>
    <t>5YB036</t>
  </si>
  <si>
    <t>TIGNOR, DEBBIE</t>
  </si>
  <si>
    <t>85P3D2</t>
  </si>
  <si>
    <t>ESTHER HERRERALARSEN</t>
  </si>
  <si>
    <t>BARTOLOMEO, VINCENZO</t>
  </si>
  <si>
    <t>8T66A8</t>
  </si>
  <si>
    <t>FRANK LISKOVEC</t>
  </si>
  <si>
    <t>MARINO, ROSARIO</t>
  </si>
  <si>
    <t>1V05L0</t>
  </si>
  <si>
    <t>GARY PORTUGAL</t>
  </si>
  <si>
    <t>SMITH, CARRIE</t>
  </si>
  <si>
    <t>24T3Q3</t>
  </si>
  <si>
    <t>RODRIGUEZ, RAFAEL</t>
  </si>
  <si>
    <t>75T08D</t>
  </si>
  <si>
    <t>GREGORY TEIPEL</t>
  </si>
  <si>
    <t>KULCHYCKYJ, ANDREY</t>
  </si>
  <si>
    <t>35DH74</t>
  </si>
  <si>
    <t>CONLEY, ANNA</t>
  </si>
  <si>
    <t>5Y6K12</t>
  </si>
  <si>
    <t>HUSLIN, SUZANNE</t>
  </si>
  <si>
    <t>1KD598</t>
  </si>
  <si>
    <t>WEBB, RANDALL</t>
  </si>
  <si>
    <t>5G6W80</t>
  </si>
  <si>
    <t>DEAN, JUSTIN</t>
  </si>
  <si>
    <t>7TR113</t>
  </si>
  <si>
    <t>HEATHER GESKE</t>
  </si>
  <si>
    <t>PIERCE, TAWNEY</t>
  </si>
  <si>
    <t>01T3B2</t>
  </si>
  <si>
    <t>CO</t>
  </si>
  <si>
    <t>BRYANT, JAMES</t>
  </si>
  <si>
    <t>01R6J9</t>
  </si>
  <si>
    <t>HARPER, SHERRI</t>
  </si>
  <si>
    <t>12RY36</t>
  </si>
  <si>
    <t>HALL, LINDA</t>
  </si>
  <si>
    <t>26R7J9</t>
  </si>
  <si>
    <t>ROMBOUGH, JOELLE</t>
  </si>
  <si>
    <t>30R16R</t>
  </si>
  <si>
    <t>MANGO, BENJAMIN</t>
  </si>
  <si>
    <t>34R26L</t>
  </si>
  <si>
    <t>BURNETT-TUBBS, LAURA</t>
  </si>
  <si>
    <t>52N5M3</t>
  </si>
  <si>
    <t>DICKEY-JONES, NADIIRA</t>
  </si>
  <si>
    <t>72P58Q</t>
  </si>
  <si>
    <t>KIRBY, JACLYN</t>
  </si>
  <si>
    <t>74R5D7</t>
  </si>
  <si>
    <t>OLSON, MICHAEL</t>
  </si>
  <si>
    <t>80RC36</t>
  </si>
  <si>
    <t>STEPAN, CAITLIN</t>
  </si>
  <si>
    <t>83R5P1</t>
  </si>
  <si>
    <t>DARCY, JOHN</t>
  </si>
  <si>
    <t>86P73K</t>
  </si>
  <si>
    <t>PHILBIN, SARA</t>
  </si>
  <si>
    <t>88T35K</t>
  </si>
  <si>
    <t>RENSHAW, KEVIN</t>
  </si>
  <si>
    <t>47R5L9</t>
  </si>
  <si>
    <t>JACOB YALE</t>
  </si>
  <si>
    <t>CEFOLA, CHRISTOPHER</t>
  </si>
  <si>
    <t>63P29C</t>
  </si>
  <si>
    <t>MALITZ, STEVEN</t>
  </si>
  <si>
    <t>0Y84T5</t>
  </si>
  <si>
    <t>BALLARD, KATHERINE</t>
  </si>
  <si>
    <t>69E5F9</t>
  </si>
  <si>
    <t>JOEL LEE</t>
  </si>
  <si>
    <t>SHARMA, SAURABH</t>
  </si>
  <si>
    <t>43R2H9</t>
  </si>
  <si>
    <t>GADDAM, SUDHAKAR</t>
  </si>
  <si>
    <t>50QL36</t>
  </si>
  <si>
    <t>LAWVER, SHAWN</t>
  </si>
  <si>
    <t>04TM48</t>
  </si>
  <si>
    <t>JOHNSON, DEREK</t>
  </si>
  <si>
    <t>34PJ62</t>
  </si>
  <si>
    <t>PESYAN, KELLY</t>
  </si>
  <si>
    <t>74Q11G</t>
  </si>
  <si>
    <t>HANSEN-BARTHELS, JEFFREY</t>
  </si>
  <si>
    <t>22RQ68</t>
  </si>
  <si>
    <t>TEFLIAN, NATALIE</t>
  </si>
  <si>
    <t>22TF46</t>
  </si>
  <si>
    <t>SANTIAGO, CALEB</t>
  </si>
  <si>
    <t>42T7F3</t>
  </si>
  <si>
    <t>CHAVEZ, ALEXANDER</t>
  </si>
  <si>
    <t>58RJ26</t>
  </si>
  <si>
    <t>DOUKAGA, JEAN</t>
  </si>
  <si>
    <t>78P06Q</t>
  </si>
  <si>
    <t>SANDOVAL, JUSTIN</t>
  </si>
  <si>
    <t>02R28F</t>
  </si>
  <si>
    <t>EDMISTON, AJA</t>
  </si>
  <si>
    <t>04N2X0</t>
  </si>
  <si>
    <t>CHAFFIN, KATHRYN</t>
  </si>
  <si>
    <t>11N4X3</t>
  </si>
  <si>
    <t>ROUNSAVELL, OWEN</t>
  </si>
  <si>
    <t>15Q51K</t>
  </si>
  <si>
    <t>STUCKI, JOSIAH</t>
  </si>
  <si>
    <t>18P65E</t>
  </si>
  <si>
    <t>CORNIA, JOSSELYN</t>
  </si>
  <si>
    <t>20N0M3</t>
  </si>
  <si>
    <t>YOUKHANA, JAMES</t>
  </si>
  <si>
    <t>20Q85U</t>
  </si>
  <si>
    <t>TIBBETTS, AMY</t>
  </si>
  <si>
    <t>25R0J7</t>
  </si>
  <si>
    <t>NALUBWAMA, SARAH</t>
  </si>
  <si>
    <t>39N2C4</t>
  </si>
  <si>
    <t>GODDARD, SUSAN</t>
  </si>
  <si>
    <t>41R91U</t>
  </si>
  <si>
    <t>ANGAMUTHU KANDASAMY, VENK</t>
  </si>
  <si>
    <t>42N39C</t>
  </si>
  <si>
    <t>LOY, HUNTER</t>
  </si>
  <si>
    <t>46Q2X5</t>
  </si>
  <si>
    <t>WOODARD, SAGE</t>
  </si>
  <si>
    <t>56TP96</t>
  </si>
  <si>
    <t>NEVE, PATRICK</t>
  </si>
  <si>
    <t>58TH18</t>
  </si>
  <si>
    <t>WILSON, TYLER</t>
  </si>
  <si>
    <t>61N8M1</t>
  </si>
  <si>
    <t>DONNELL, JANA</t>
  </si>
  <si>
    <t>62N9M2</t>
  </si>
  <si>
    <t>HOLLAND, JOSHUA</t>
  </si>
  <si>
    <t>63QL20</t>
  </si>
  <si>
    <t>LORD, REBECCA</t>
  </si>
  <si>
    <t>6HM412</t>
  </si>
  <si>
    <t>ROBERTSON, MCCLAIN</t>
  </si>
  <si>
    <t>74Q8R8</t>
  </si>
  <si>
    <t>BK, SABITA</t>
  </si>
  <si>
    <t>79PL32</t>
  </si>
  <si>
    <t>LINK, DAVID</t>
  </si>
  <si>
    <t>79TD17</t>
  </si>
  <si>
    <t>BRESLI, ALIZAY</t>
  </si>
  <si>
    <t>86QL76</t>
  </si>
  <si>
    <t>VANOORT, JOHN</t>
  </si>
  <si>
    <t>87RD73</t>
  </si>
  <si>
    <t>TUCKER, DAVE</t>
  </si>
  <si>
    <t>98PH14</t>
  </si>
  <si>
    <t>SHANKS, KEVIN</t>
  </si>
  <si>
    <t>98Q9Q8</t>
  </si>
  <si>
    <t>KASSAEE, SEYEDEHMONIREH</t>
  </si>
  <si>
    <t>58R70C</t>
  </si>
  <si>
    <t>HICKMAN, KIMBERLY</t>
  </si>
  <si>
    <t>84T61H</t>
  </si>
  <si>
    <t>BRUCKMAN, VALERIE</t>
  </si>
  <si>
    <t>41Q3R2</t>
  </si>
  <si>
    <t>LORI TUNSTALL</t>
  </si>
  <si>
    <t>POTTER, ALISON</t>
  </si>
  <si>
    <t>13M41V</t>
  </si>
  <si>
    <t>MATLIS, CASSANDRA</t>
  </si>
  <si>
    <t>56P6N9</t>
  </si>
  <si>
    <t>RICARDO SANTOS</t>
  </si>
  <si>
    <t>HAN, JUNG</t>
  </si>
  <si>
    <t>7K17M2</t>
  </si>
  <si>
    <t>RICHARD YALE</t>
  </si>
  <si>
    <t>NOBILE, DANIEL</t>
  </si>
  <si>
    <t>77Q50P</t>
  </si>
  <si>
    <t>LOMBARDI, JOANN</t>
  </si>
  <si>
    <t>03Q06K</t>
  </si>
  <si>
    <t>KING, PETER</t>
  </si>
  <si>
    <t>98Q49J</t>
  </si>
  <si>
    <t>RYAN CALTAGIRONE</t>
  </si>
  <si>
    <t>RODECK, KEITH</t>
  </si>
  <si>
    <t>02LM35</t>
  </si>
  <si>
    <t>MALSCH, CHARLES</t>
  </si>
  <si>
    <t>27P4G4</t>
  </si>
  <si>
    <t>RAWDING, LISA</t>
  </si>
  <si>
    <t>46DX33</t>
  </si>
  <si>
    <t>RAPPAPORT, CONSTANCE</t>
  </si>
  <si>
    <t>8PJ653</t>
  </si>
  <si>
    <t>SAADIA ABDUL</t>
  </si>
  <si>
    <t>ANGIULO, GIANNA</t>
  </si>
  <si>
    <t>68NK46</t>
  </si>
  <si>
    <t>POSADA GOMEZ, CELESTE</t>
  </si>
  <si>
    <t>80D61C</t>
  </si>
  <si>
    <t>SCOTT FINE</t>
  </si>
  <si>
    <t>CARICIC, RANKO</t>
  </si>
  <si>
    <t>44T3C6</t>
  </si>
  <si>
    <t>TIMOTHY HODGMAN</t>
  </si>
  <si>
    <t>HENNESSY, PAUL</t>
  </si>
  <si>
    <t>69E35K</t>
  </si>
  <si>
    <t>WASILEWSKI, DEANNA</t>
  </si>
  <si>
    <t>94Q69A</t>
  </si>
  <si>
    <t>Total</t>
  </si>
  <si>
    <t>Cigna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</si>
</sst>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2"/>
      <color theme="1"/>
      <name val="Aptos Narrow"/>
      <family val="2"/>
    </font>
    <font>
      <b/>
      <u/>
      <sz val="12"/>
      <name val="Aptos Narrow"/>
      <family val="2"/>
    </font>
    <font>
      <sz val="12"/>
      <color theme="1"/>
      <name val="Aptos Narrow"/>
      <family val="2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wrapText="1"/>
    </xf>
    <xf numFmtId="0" fontId="4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4" fontId="5" fillId="0" borderId="1" xfId="1" applyFont="1" applyBorder="1"/>
    <xf numFmtId="14" fontId="5" fillId="0" borderId="1" xfId="0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B56D2-2092-4879-A22D-0E9767F876B8}">
  <dimension ref="A1:K420"/>
  <sheetViews>
    <sheetView workbookViewId="0">
      <selection sqref="A1:XFD1048576"/>
    </sheetView>
  </sheetViews>
  <sheetFormatPr defaultRowHeight="15" x14ac:dyDescent="0.25"/>
  <cols>
    <col min="1" max="1" width="35.42578125" customWidth="1"/>
    <col min="2" max="2" width="37.28515625" customWidth="1"/>
    <col min="3" max="3" width="33.28515625" customWidth="1"/>
    <col min="4" max="4" width="11.42578125" customWidth="1"/>
    <col min="5" max="5" width="6" customWidth="1"/>
    <col min="6" max="6" width="8.7109375" customWidth="1"/>
    <col min="7" max="7" width="10.140625" customWidth="1"/>
    <col min="8" max="8" width="17" customWidth="1"/>
    <col min="9" max="9" width="12.28515625" customWidth="1"/>
    <col min="10" max="10" width="8.5703125" customWidth="1"/>
    <col min="11" max="11" width="12.7109375" customWidth="1"/>
  </cols>
  <sheetData>
    <row r="1" spans="1:1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</row>
    <row r="2" spans="1:11" ht="15.75" x14ac:dyDescent="0.25">
      <c r="A2" s="5" t="s">
        <v>13</v>
      </c>
      <c r="B2" s="6" t="s">
        <v>14</v>
      </c>
      <c r="C2" s="6" t="s">
        <v>15</v>
      </c>
      <c r="D2" s="6" t="s">
        <v>16</v>
      </c>
      <c r="E2" s="7" t="s">
        <v>17</v>
      </c>
      <c r="F2" s="6">
        <v>-1</v>
      </c>
      <c r="G2" s="6">
        <v>20250201</v>
      </c>
      <c r="H2" s="6" t="s">
        <v>18</v>
      </c>
      <c r="I2" s="8">
        <v>-162.19999999999999</v>
      </c>
      <c r="J2" s="8">
        <v>3</v>
      </c>
      <c r="K2" s="8">
        <v>-3</v>
      </c>
    </row>
    <row r="3" spans="1:11" ht="15.75" x14ac:dyDescent="0.25">
      <c r="A3" s="5" t="s">
        <v>13</v>
      </c>
      <c r="B3" s="6" t="s">
        <v>14</v>
      </c>
      <c r="C3" s="6" t="s">
        <v>15</v>
      </c>
      <c r="D3" s="6" t="s">
        <v>16</v>
      </c>
      <c r="E3" s="7" t="s">
        <v>17</v>
      </c>
      <c r="F3" s="6">
        <v>-1</v>
      </c>
      <c r="G3" s="6">
        <v>20250301</v>
      </c>
      <c r="H3" s="6" t="s">
        <v>18</v>
      </c>
      <c r="I3" s="8">
        <v>-162.19999999999999</v>
      </c>
      <c r="J3" s="8">
        <v>3</v>
      </c>
      <c r="K3" s="8">
        <v>-3</v>
      </c>
    </row>
    <row r="4" spans="1:11" ht="15.75" x14ac:dyDescent="0.25">
      <c r="A4" s="5" t="s">
        <v>13</v>
      </c>
      <c r="B4" s="6" t="s">
        <v>14</v>
      </c>
      <c r="C4" s="6" t="s">
        <v>15</v>
      </c>
      <c r="D4" s="6" t="s">
        <v>16</v>
      </c>
      <c r="E4" s="7" t="s">
        <v>17</v>
      </c>
      <c r="F4" s="6">
        <v>1</v>
      </c>
      <c r="G4" s="6">
        <v>20250201</v>
      </c>
      <c r="H4" s="6" t="s">
        <v>18</v>
      </c>
      <c r="I4" s="8">
        <v>162.19999999999999</v>
      </c>
      <c r="J4" s="8">
        <v>3</v>
      </c>
      <c r="K4" s="8">
        <v>3</v>
      </c>
    </row>
    <row r="5" spans="1:11" ht="15.75" x14ac:dyDescent="0.25">
      <c r="A5" s="5" t="s">
        <v>13</v>
      </c>
      <c r="B5" s="6" t="s">
        <v>14</v>
      </c>
      <c r="C5" s="6" t="s">
        <v>15</v>
      </c>
      <c r="D5" s="6" t="s">
        <v>16</v>
      </c>
      <c r="E5" s="7" t="s">
        <v>17</v>
      </c>
      <c r="F5" s="6">
        <v>1</v>
      </c>
      <c r="G5" s="6">
        <v>20250301</v>
      </c>
      <c r="H5" s="6" t="s">
        <v>18</v>
      </c>
      <c r="I5" s="8">
        <v>162.19999999999999</v>
      </c>
      <c r="J5" s="8">
        <v>3</v>
      </c>
      <c r="K5" s="8">
        <v>3</v>
      </c>
    </row>
    <row r="6" spans="1:11" ht="15.75" x14ac:dyDescent="0.25">
      <c r="A6" s="5" t="s">
        <v>13</v>
      </c>
      <c r="B6" s="6" t="s">
        <v>14</v>
      </c>
      <c r="C6" s="6" t="s">
        <v>15</v>
      </c>
      <c r="D6" s="6" t="s">
        <v>16</v>
      </c>
      <c r="E6" s="7" t="s">
        <v>17</v>
      </c>
      <c r="F6" s="6">
        <v>1</v>
      </c>
      <c r="G6" s="6">
        <v>20250401</v>
      </c>
      <c r="H6" s="6" t="s">
        <v>18</v>
      </c>
      <c r="I6" s="8">
        <v>162.19999999999999</v>
      </c>
      <c r="J6" s="8">
        <v>3</v>
      </c>
      <c r="K6" s="8">
        <v>3</v>
      </c>
    </row>
    <row r="7" spans="1:11" ht="15.75" x14ac:dyDescent="0.25">
      <c r="A7" s="5" t="s">
        <v>13</v>
      </c>
      <c r="B7" s="6" t="s">
        <v>19</v>
      </c>
      <c r="C7" s="6" t="s">
        <v>20</v>
      </c>
      <c r="D7" s="6" t="s">
        <v>21</v>
      </c>
      <c r="E7" s="7" t="s">
        <v>22</v>
      </c>
      <c r="F7" s="6">
        <v>-1</v>
      </c>
      <c r="G7" s="6">
        <v>20250201</v>
      </c>
      <c r="H7" s="6" t="s">
        <v>18</v>
      </c>
      <c r="I7" s="8">
        <v>-151.52000000000001</v>
      </c>
      <c r="J7" s="8">
        <v>3</v>
      </c>
      <c r="K7" s="8">
        <v>-3</v>
      </c>
    </row>
    <row r="8" spans="1:11" ht="15.75" x14ac:dyDescent="0.25">
      <c r="A8" s="5" t="s">
        <v>13</v>
      </c>
      <c r="B8" s="6" t="s">
        <v>19</v>
      </c>
      <c r="C8" s="6" t="s">
        <v>20</v>
      </c>
      <c r="D8" s="6" t="s">
        <v>21</v>
      </c>
      <c r="E8" s="7" t="s">
        <v>22</v>
      </c>
      <c r="F8" s="6">
        <v>-1</v>
      </c>
      <c r="G8" s="6">
        <v>20250301</v>
      </c>
      <c r="H8" s="6" t="s">
        <v>18</v>
      </c>
      <c r="I8" s="8">
        <v>-151.52000000000001</v>
      </c>
      <c r="J8" s="8">
        <v>3</v>
      </c>
      <c r="K8" s="8">
        <v>-3</v>
      </c>
    </row>
    <row r="9" spans="1:11" ht="15.75" x14ac:dyDescent="0.25">
      <c r="A9" s="5" t="s">
        <v>13</v>
      </c>
      <c r="B9" s="6" t="s">
        <v>19</v>
      </c>
      <c r="C9" s="6" t="s">
        <v>23</v>
      </c>
      <c r="D9" s="6" t="s">
        <v>24</v>
      </c>
      <c r="E9" s="7" t="s">
        <v>25</v>
      </c>
      <c r="F9" s="6">
        <v>-1</v>
      </c>
      <c r="G9" s="6">
        <v>20250201</v>
      </c>
      <c r="H9" s="6" t="s">
        <v>18</v>
      </c>
      <c r="I9" s="8">
        <v>-69.2</v>
      </c>
      <c r="J9" s="8">
        <v>3</v>
      </c>
      <c r="K9" s="8">
        <v>-3</v>
      </c>
    </row>
    <row r="10" spans="1:11" ht="15.75" x14ac:dyDescent="0.25">
      <c r="A10" s="5" t="s">
        <v>13</v>
      </c>
      <c r="B10" s="6" t="s">
        <v>19</v>
      </c>
      <c r="C10" s="6" t="s">
        <v>23</v>
      </c>
      <c r="D10" s="6" t="s">
        <v>24</v>
      </c>
      <c r="E10" s="7" t="s">
        <v>25</v>
      </c>
      <c r="F10" s="6">
        <v>-1</v>
      </c>
      <c r="G10" s="6">
        <v>20250301</v>
      </c>
      <c r="H10" s="6" t="s">
        <v>18</v>
      </c>
      <c r="I10" s="8">
        <v>-69.2</v>
      </c>
      <c r="J10" s="8">
        <v>3</v>
      </c>
      <c r="K10" s="8">
        <v>-3</v>
      </c>
    </row>
    <row r="11" spans="1:11" ht="15.75" x14ac:dyDescent="0.25">
      <c r="A11" s="5" t="s">
        <v>13</v>
      </c>
      <c r="B11" s="6" t="s">
        <v>19</v>
      </c>
      <c r="C11" s="6" t="s">
        <v>26</v>
      </c>
      <c r="D11" s="6" t="s">
        <v>27</v>
      </c>
      <c r="E11" s="7" t="s">
        <v>25</v>
      </c>
      <c r="F11" s="6">
        <v>-1</v>
      </c>
      <c r="G11" s="6">
        <v>20250201</v>
      </c>
      <c r="H11" s="6" t="s">
        <v>18</v>
      </c>
      <c r="I11" s="8">
        <v>-334.97</v>
      </c>
      <c r="J11" s="8">
        <v>3</v>
      </c>
      <c r="K11" s="8">
        <v>-3</v>
      </c>
    </row>
    <row r="12" spans="1:11" ht="15.75" x14ac:dyDescent="0.25">
      <c r="A12" s="5" t="s">
        <v>13</v>
      </c>
      <c r="B12" s="6" t="s">
        <v>19</v>
      </c>
      <c r="C12" s="6" t="s">
        <v>26</v>
      </c>
      <c r="D12" s="6" t="s">
        <v>27</v>
      </c>
      <c r="E12" s="7" t="s">
        <v>25</v>
      </c>
      <c r="F12" s="6">
        <v>-1</v>
      </c>
      <c r="G12" s="6">
        <v>20250301</v>
      </c>
      <c r="H12" s="6" t="s">
        <v>18</v>
      </c>
      <c r="I12" s="8">
        <v>-334.97</v>
      </c>
      <c r="J12" s="8">
        <v>3</v>
      </c>
      <c r="K12" s="8">
        <v>-3</v>
      </c>
    </row>
    <row r="13" spans="1:11" ht="15.75" x14ac:dyDescent="0.25">
      <c r="A13" s="5" t="s">
        <v>13</v>
      </c>
      <c r="B13" s="6" t="s">
        <v>19</v>
      </c>
      <c r="C13" s="6" t="s">
        <v>28</v>
      </c>
      <c r="D13" s="6" t="s">
        <v>29</v>
      </c>
      <c r="E13" s="7" t="s">
        <v>25</v>
      </c>
      <c r="F13" s="6">
        <v>-1</v>
      </c>
      <c r="G13" s="6">
        <v>20250201</v>
      </c>
      <c r="H13" s="6" t="s">
        <v>18</v>
      </c>
      <c r="I13" s="8">
        <v>-698.24</v>
      </c>
      <c r="J13" s="8">
        <v>3</v>
      </c>
      <c r="K13" s="8">
        <v>-3</v>
      </c>
    </row>
    <row r="14" spans="1:11" ht="15.75" x14ac:dyDescent="0.25">
      <c r="A14" s="5" t="s">
        <v>13</v>
      </c>
      <c r="B14" s="6" t="s">
        <v>19</v>
      </c>
      <c r="C14" s="6" t="s">
        <v>28</v>
      </c>
      <c r="D14" s="6" t="s">
        <v>29</v>
      </c>
      <c r="E14" s="7" t="s">
        <v>25</v>
      </c>
      <c r="F14" s="6">
        <v>-1</v>
      </c>
      <c r="G14" s="6">
        <v>20250301</v>
      </c>
      <c r="H14" s="6" t="s">
        <v>18</v>
      </c>
      <c r="I14" s="8">
        <v>-698.24</v>
      </c>
      <c r="J14" s="8">
        <v>3</v>
      </c>
      <c r="K14" s="8">
        <v>-3</v>
      </c>
    </row>
    <row r="15" spans="1:11" ht="15.75" x14ac:dyDescent="0.25">
      <c r="A15" s="5" t="s">
        <v>13</v>
      </c>
      <c r="B15" s="6" t="s">
        <v>19</v>
      </c>
      <c r="C15" s="6" t="s">
        <v>20</v>
      </c>
      <c r="D15" s="6" t="s">
        <v>21</v>
      </c>
      <c r="E15" s="7" t="s">
        <v>22</v>
      </c>
      <c r="F15" s="6">
        <v>1</v>
      </c>
      <c r="G15" s="6">
        <v>20250201</v>
      </c>
      <c r="H15" s="6" t="s">
        <v>18</v>
      </c>
      <c r="I15" s="8">
        <v>151.52000000000001</v>
      </c>
      <c r="J15" s="8">
        <v>3</v>
      </c>
      <c r="K15" s="8">
        <v>3</v>
      </c>
    </row>
    <row r="16" spans="1:11" ht="15.75" x14ac:dyDescent="0.25">
      <c r="A16" s="5" t="s">
        <v>13</v>
      </c>
      <c r="B16" s="6" t="s">
        <v>19</v>
      </c>
      <c r="C16" s="6" t="s">
        <v>20</v>
      </c>
      <c r="D16" s="6" t="s">
        <v>21</v>
      </c>
      <c r="E16" s="7" t="s">
        <v>22</v>
      </c>
      <c r="F16" s="6">
        <v>1</v>
      </c>
      <c r="G16" s="6">
        <v>20250301</v>
      </c>
      <c r="H16" s="6" t="s">
        <v>18</v>
      </c>
      <c r="I16" s="8">
        <v>151.52000000000001</v>
      </c>
      <c r="J16" s="8">
        <v>3</v>
      </c>
      <c r="K16" s="8">
        <v>3</v>
      </c>
    </row>
    <row r="17" spans="1:11" ht="15.75" x14ac:dyDescent="0.25">
      <c r="A17" s="5" t="s">
        <v>13</v>
      </c>
      <c r="B17" s="6" t="s">
        <v>19</v>
      </c>
      <c r="C17" s="6" t="s">
        <v>20</v>
      </c>
      <c r="D17" s="6" t="s">
        <v>21</v>
      </c>
      <c r="E17" s="7" t="s">
        <v>22</v>
      </c>
      <c r="F17" s="6">
        <v>1</v>
      </c>
      <c r="G17" s="6">
        <v>20250401</v>
      </c>
      <c r="H17" s="6" t="s">
        <v>18</v>
      </c>
      <c r="I17" s="8">
        <v>151.52000000000001</v>
      </c>
      <c r="J17" s="8">
        <v>3</v>
      </c>
      <c r="K17" s="8">
        <v>3</v>
      </c>
    </row>
    <row r="18" spans="1:11" ht="15.75" x14ac:dyDescent="0.25">
      <c r="A18" s="5" t="s">
        <v>13</v>
      </c>
      <c r="B18" s="6" t="s">
        <v>19</v>
      </c>
      <c r="C18" s="6" t="s">
        <v>23</v>
      </c>
      <c r="D18" s="6" t="s">
        <v>24</v>
      </c>
      <c r="E18" s="7" t="s">
        <v>25</v>
      </c>
      <c r="F18" s="6">
        <v>1</v>
      </c>
      <c r="G18" s="6">
        <v>20250201</v>
      </c>
      <c r="H18" s="6" t="s">
        <v>18</v>
      </c>
      <c r="I18" s="8">
        <v>69.2</v>
      </c>
      <c r="J18" s="8">
        <v>3</v>
      </c>
      <c r="K18" s="8">
        <v>3</v>
      </c>
    </row>
    <row r="19" spans="1:11" ht="15.75" x14ac:dyDescent="0.25">
      <c r="A19" s="5" t="s">
        <v>13</v>
      </c>
      <c r="B19" s="6" t="s">
        <v>19</v>
      </c>
      <c r="C19" s="6" t="s">
        <v>23</v>
      </c>
      <c r="D19" s="6" t="s">
        <v>24</v>
      </c>
      <c r="E19" s="7" t="s">
        <v>25</v>
      </c>
      <c r="F19" s="6">
        <v>1</v>
      </c>
      <c r="G19" s="6">
        <v>20250301</v>
      </c>
      <c r="H19" s="6" t="s">
        <v>18</v>
      </c>
      <c r="I19" s="8">
        <v>69.2</v>
      </c>
      <c r="J19" s="8">
        <v>3</v>
      </c>
      <c r="K19" s="8">
        <v>3</v>
      </c>
    </row>
    <row r="20" spans="1:11" ht="15.75" x14ac:dyDescent="0.25">
      <c r="A20" s="5" t="s">
        <v>13</v>
      </c>
      <c r="B20" s="6" t="s">
        <v>19</v>
      </c>
      <c r="C20" s="6" t="s">
        <v>23</v>
      </c>
      <c r="D20" s="6" t="s">
        <v>24</v>
      </c>
      <c r="E20" s="7" t="s">
        <v>25</v>
      </c>
      <c r="F20" s="6">
        <v>1</v>
      </c>
      <c r="G20" s="6">
        <v>20250401</v>
      </c>
      <c r="H20" s="6" t="s">
        <v>18</v>
      </c>
      <c r="I20" s="8">
        <v>69.2</v>
      </c>
      <c r="J20" s="8">
        <v>3</v>
      </c>
      <c r="K20" s="8">
        <v>3</v>
      </c>
    </row>
    <row r="21" spans="1:11" ht="15.75" x14ac:dyDescent="0.25">
      <c r="A21" s="5" t="s">
        <v>13</v>
      </c>
      <c r="B21" s="6" t="s">
        <v>19</v>
      </c>
      <c r="C21" s="6" t="s">
        <v>26</v>
      </c>
      <c r="D21" s="6" t="s">
        <v>27</v>
      </c>
      <c r="E21" s="7" t="s">
        <v>25</v>
      </c>
      <c r="F21" s="6">
        <v>1</v>
      </c>
      <c r="G21" s="6">
        <v>20250201</v>
      </c>
      <c r="H21" s="6" t="s">
        <v>18</v>
      </c>
      <c r="I21" s="8">
        <v>334.97</v>
      </c>
      <c r="J21" s="8">
        <v>3</v>
      </c>
      <c r="K21" s="8">
        <v>3</v>
      </c>
    </row>
    <row r="22" spans="1:11" ht="15.75" x14ac:dyDescent="0.25">
      <c r="A22" s="5" t="s">
        <v>13</v>
      </c>
      <c r="B22" s="6" t="s">
        <v>19</v>
      </c>
      <c r="C22" s="6" t="s">
        <v>26</v>
      </c>
      <c r="D22" s="6" t="s">
        <v>27</v>
      </c>
      <c r="E22" s="7" t="s">
        <v>25</v>
      </c>
      <c r="F22" s="6">
        <v>1</v>
      </c>
      <c r="G22" s="6">
        <v>20250301</v>
      </c>
      <c r="H22" s="6" t="s">
        <v>18</v>
      </c>
      <c r="I22" s="8">
        <v>334.97</v>
      </c>
      <c r="J22" s="8">
        <v>3</v>
      </c>
      <c r="K22" s="8">
        <v>3</v>
      </c>
    </row>
    <row r="23" spans="1:11" ht="15.75" x14ac:dyDescent="0.25">
      <c r="A23" s="5" t="s">
        <v>13</v>
      </c>
      <c r="B23" s="6" t="s">
        <v>19</v>
      </c>
      <c r="C23" s="6" t="s">
        <v>26</v>
      </c>
      <c r="D23" s="6" t="s">
        <v>27</v>
      </c>
      <c r="E23" s="7" t="s">
        <v>25</v>
      </c>
      <c r="F23" s="6">
        <v>1</v>
      </c>
      <c r="G23" s="6">
        <v>20250401</v>
      </c>
      <c r="H23" s="6" t="s">
        <v>18</v>
      </c>
      <c r="I23" s="8">
        <v>334.97</v>
      </c>
      <c r="J23" s="8">
        <v>3</v>
      </c>
      <c r="K23" s="8">
        <v>3</v>
      </c>
    </row>
    <row r="24" spans="1:11" ht="15.75" x14ac:dyDescent="0.25">
      <c r="A24" s="5" t="s">
        <v>13</v>
      </c>
      <c r="B24" s="6" t="s">
        <v>19</v>
      </c>
      <c r="C24" s="6" t="s">
        <v>28</v>
      </c>
      <c r="D24" s="6" t="s">
        <v>29</v>
      </c>
      <c r="E24" s="7" t="s">
        <v>25</v>
      </c>
      <c r="F24" s="6">
        <v>1</v>
      </c>
      <c r="G24" s="6">
        <v>20250201</v>
      </c>
      <c r="H24" s="6" t="s">
        <v>18</v>
      </c>
      <c r="I24" s="8">
        <v>698.24</v>
      </c>
      <c r="J24" s="8">
        <v>3</v>
      </c>
      <c r="K24" s="8">
        <v>3</v>
      </c>
    </row>
    <row r="25" spans="1:11" ht="15.75" x14ac:dyDescent="0.25">
      <c r="A25" s="5" t="s">
        <v>13</v>
      </c>
      <c r="B25" s="6" t="s">
        <v>19</v>
      </c>
      <c r="C25" s="6" t="s">
        <v>28</v>
      </c>
      <c r="D25" s="6" t="s">
        <v>29</v>
      </c>
      <c r="E25" s="7" t="s">
        <v>25</v>
      </c>
      <c r="F25" s="6">
        <v>1</v>
      </c>
      <c r="G25" s="6">
        <v>20250301</v>
      </c>
      <c r="H25" s="6" t="s">
        <v>18</v>
      </c>
      <c r="I25" s="8">
        <v>698.24</v>
      </c>
      <c r="J25" s="8">
        <v>3</v>
      </c>
      <c r="K25" s="8">
        <v>3</v>
      </c>
    </row>
    <row r="26" spans="1:11" ht="15.75" x14ac:dyDescent="0.25">
      <c r="A26" s="5" t="s">
        <v>13</v>
      </c>
      <c r="B26" s="6" t="s">
        <v>19</v>
      </c>
      <c r="C26" s="6" t="s">
        <v>28</v>
      </c>
      <c r="D26" s="6" t="s">
        <v>29</v>
      </c>
      <c r="E26" s="7" t="s">
        <v>25</v>
      </c>
      <c r="F26" s="6">
        <v>1</v>
      </c>
      <c r="G26" s="6">
        <v>20250401</v>
      </c>
      <c r="H26" s="6" t="s">
        <v>18</v>
      </c>
      <c r="I26" s="8">
        <v>698.24</v>
      </c>
      <c r="J26" s="8">
        <v>3</v>
      </c>
      <c r="K26" s="8">
        <v>3</v>
      </c>
    </row>
    <row r="27" spans="1:11" ht="15.75" x14ac:dyDescent="0.25">
      <c r="A27" s="5" t="s">
        <v>13</v>
      </c>
      <c r="B27" s="6" t="s">
        <v>30</v>
      </c>
      <c r="C27" s="6" t="s">
        <v>31</v>
      </c>
      <c r="D27" s="6" t="s">
        <v>32</v>
      </c>
      <c r="E27" s="7" t="s">
        <v>33</v>
      </c>
      <c r="F27" s="6">
        <v>3</v>
      </c>
      <c r="G27" s="6">
        <v>20250401</v>
      </c>
      <c r="H27" s="6" t="s">
        <v>12</v>
      </c>
      <c r="I27" s="8">
        <v>114.33</v>
      </c>
      <c r="J27" s="8">
        <v>3</v>
      </c>
      <c r="K27" s="8">
        <v>9</v>
      </c>
    </row>
    <row r="28" spans="1:11" ht="15.75" x14ac:dyDescent="0.25">
      <c r="A28" s="5" t="s">
        <v>13</v>
      </c>
      <c r="B28" s="6" t="s">
        <v>34</v>
      </c>
      <c r="C28" s="6" t="s">
        <v>35</v>
      </c>
      <c r="D28" s="6" t="s">
        <v>36</v>
      </c>
      <c r="E28" s="7" t="s">
        <v>33</v>
      </c>
      <c r="F28" s="6">
        <v>-3</v>
      </c>
      <c r="G28" s="6">
        <v>20250201</v>
      </c>
      <c r="H28" s="6" t="s">
        <v>12</v>
      </c>
      <c r="I28" s="8">
        <v>-30.84</v>
      </c>
      <c r="J28" s="8">
        <v>3</v>
      </c>
      <c r="K28" s="8">
        <v>-9</v>
      </c>
    </row>
    <row r="29" spans="1:11" ht="15.75" x14ac:dyDescent="0.25">
      <c r="A29" s="5" t="s">
        <v>13</v>
      </c>
      <c r="B29" s="6" t="s">
        <v>34</v>
      </c>
      <c r="C29" s="6" t="s">
        <v>35</v>
      </c>
      <c r="D29" s="6" t="s">
        <v>36</v>
      </c>
      <c r="E29" s="7" t="s">
        <v>33</v>
      </c>
      <c r="F29" s="6">
        <v>-3</v>
      </c>
      <c r="G29" s="6">
        <v>20250301</v>
      </c>
      <c r="H29" s="6" t="s">
        <v>12</v>
      </c>
      <c r="I29" s="8">
        <v>-30.84</v>
      </c>
      <c r="J29" s="8">
        <v>3</v>
      </c>
      <c r="K29" s="8">
        <v>-9</v>
      </c>
    </row>
    <row r="30" spans="1:11" ht="15.75" x14ac:dyDescent="0.25">
      <c r="A30" s="5" t="s">
        <v>13</v>
      </c>
      <c r="B30" s="6" t="s">
        <v>34</v>
      </c>
      <c r="C30" s="6" t="s">
        <v>37</v>
      </c>
      <c r="D30" s="6" t="s">
        <v>38</v>
      </c>
      <c r="E30" s="7" t="s">
        <v>33</v>
      </c>
      <c r="F30" s="6">
        <v>-1</v>
      </c>
      <c r="G30" s="6">
        <v>20250201</v>
      </c>
      <c r="H30" s="6" t="s">
        <v>12</v>
      </c>
      <c r="I30" s="8">
        <v>-462.11</v>
      </c>
      <c r="J30" s="8">
        <v>3</v>
      </c>
      <c r="K30" s="8">
        <v>-3</v>
      </c>
    </row>
    <row r="31" spans="1:11" ht="15.75" x14ac:dyDescent="0.25">
      <c r="A31" s="5" t="s">
        <v>13</v>
      </c>
      <c r="B31" s="6" t="s">
        <v>34</v>
      </c>
      <c r="C31" s="6" t="s">
        <v>37</v>
      </c>
      <c r="D31" s="6" t="s">
        <v>38</v>
      </c>
      <c r="E31" s="7" t="s">
        <v>33</v>
      </c>
      <c r="F31" s="6">
        <v>-1</v>
      </c>
      <c r="G31" s="6">
        <v>20250301</v>
      </c>
      <c r="H31" s="6" t="s">
        <v>12</v>
      </c>
      <c r="I31" s="8">
        <v>-462.11</v>
      </c>
      <c r="J31" s="8">
        <v>3</v>
      </c>
      <c r="K31" s="8">
        <v>-3</v>
      </c>
    </row>
    <row r="32" spans="1:11" ht="15.75" x14ac:dyDescent="0.25">
      <c r="A32" s="5" t="s">
        <v>13</v>
      </c>
      <c r="B32" s="6" t="s">
        <v>34</v>
      </c>
      <c r="C32" s="6" t="s">
        <v>37</v>
      </c>
      <c r="D32" s="6" t="s">
        <v>38</v>
      </c>
      <c r="E32" s="7" t="s">
        <v>33</v>
      </c>
      <c r="F32" s="6">
        <v>1</v>
      </c>
      <c r="G32" s="6">
        <v>20250201</v>
      </c>
      <c r="H32" s="6" t="s">
        <v>12</v>
      </c>
      <c r="I32" s="8">
        <v>462.11</v>
      </c>
      <c r="J32" s="8">
        <v>3</v>
      </c>
      <c r="K32" s="8">
        <v>3</v>
      </c>
    </row>
    <row r="33" spans="1:11" ht="15.75" x14ac:dyDescent="0.25">
      <c r="A33" s="5" t="s">
        <v>13</v>
      </c>
      <c r="B33" s="6" t="s">
        <v>34</v>
      </c>
      <c r="C33" s="6" t="s">
        <v>37</v>
      </c>
      <c r="D33" s="6" t="s">
        <v>38</v>
      </c>
      <c r="E33" s="7" t="s">
        <v>33</v>
      </c>
      <c r="F33" s="6">
        <v>1</v>
      </c>
      <c r="G33" s="6">
        <v>20250301</v>
      </c>
      <c r="H33" s="6" t="s">
        <v>12</v>
      </c>
      <c r="I33" s="8">
        <v>462.11</v>
      </c>
      <c r="J33" s="8">
        <v>3</v>
      </c>
      <c r="K33" s="8">
        <v>3</v>
      </c>
    </row>
    <row r="34" spans="1:11" ht="15.75" x14ac:dyDescent="0.25">
      <c r="A34" s="5" t="s">
        <v>13</v>
      </c>
      <c r="B34" s="6" t="s">
        <v>34</v>
      </c>
      <c r="C34" s="6" t="s">
        <v>37</v>
      </c>
      <c r="D34" s="6" t="s">
        <v>38</v>
      </c>
      <c r="E34" s="7" t="s">
        <v>33</v>
      </c>
      <c r="F34" s="6">
        <v>1</v>
      </c>
      <c r="G34" s="6">
        <v>20250401</v>
      </c>
      <c r="H34" s="6" t="s">
        <v>12</v>
      </c>
      <c r="I34" s="8">
        <v>462.11</v>
      </c>
      <c r="J34" s="8">
        <v>3</v>
      </c>
      <c r="K34" s="8">
        <v>3</v>
      </c>
    </row>
    <row r="35" spans="1:11" ht="15.75" x14ac:dyDescent="0.25">
      <c r="A35" s="5" t="s">
        <v>13</v>
      </c>
      <c r="B35" s="6" t="s">
        <v>34</v>
      </c>
      <c r="C35" s="6" t="s">
        <v>35</v>
      </c>
      <c r="D35" s="6" t="s">
        <v>36</v>
      </c>
      <c r="E35" s="7" t="s">
        <v>33</v>
      </c>
      <c r="F35" s="6">
        <v>3</v>
      </c>
      <c r="G35" s="6">
        <v>20250201</v>
      </c>
      <c r="H35" s="6" t="s">
        <v>12</v>
      </c>
      <c r="I35" s="8">
        <v>30.84</v>
      </c>
      <c r="J35" s="8">
        <v>3</v>
      </c>
      <c r="K35" s="8">
        <v>9</v>
      </c>
    </row>
    <row r="36" spans="1:11" ht="15.75" x14ac:dyDescent="0.25">
      <c r="A36" s="5" t="s">
        <v>13</v>
      </c>
      <c r="B36" s="6" t="s">
        <v>34</v>
      </c>
      <c r="C36" s="6" t="s">
        <v>35</v>
      </c>
      <c r="D36" s="6" t="s">
        <v>36</v>
      </c>
      <c r="E36" s="7" t="s">
        <v>33</v>
      </c>
      <c r="F36" s="6">
        <v>3</v>
      </c>
      <c r="G36" s="6">
        <v>20250301</v>
      </c>
      <c r="H36" s="6" t="s">
        <v>12</v>
      </c>
      <c r="I36" s="8">
        <v>30.84</v>
      </c>
      <c r="J36" s="8">
        <v>3</v>
      </c>
      <c r="K36" s="8">
        <v>9</v>
      </c>
    </row>
    <row r="37" spans="1:11" ht="15.75" x14ac:dyDescent="0.25">
      <c r="A37" s="5" t="s">
        <v>13</v>
      </c>
      <c r="B37" s="6" t="s">
        <v>34</v>
      </c>
      <c r="C37" s="6" t="s">
        <v>35</v>
      </c>
      <c r="D37" s="6" t="s">
        <v>36</v>
      </c>
      <c r="E37" s="7" t="s">
        <v>33</v>
      </c>
      <c r="F37" s="6">
        <v>3</v>
      </c>
      <c r="G37" s="6">
        <v>20250401</v>
      </c>
      <c r="H37" s="6" t="s">
        <v>12</v>
      </c>
      <c r="I37" s="8">
        <v>30.84</v>
      </c>
      <c r="J37" s="8">
        <v>3</v>
      </c>
      <c r="K37" s="8">
        <v>9</v>
      </c>
    </row>
    <row r="38" spans="1:11" ht="15.75" x14ac:dyDescent="0.25">
      <c r="A38" s="5" t="s">
        <v>13</v>
      </c>
      <c r="B38" s="6" t="s">
        <v>39</v>
      </c>
      <c r="C38" s="6" t="s">
        <v>40</v>
      </c>
      <c r="D38" s="6" t="s">
        <v>41</v>
      </c>
      <c r="E38" s="7" t="s">
        <v>22</v>
      </c>
      <c r="F38" s="6">
        <v>-3</v>
      </c>
      <c r="G38" s="6">
        <v>20250201</v>
      </c>
      <c r="H38" s="6" t="s">
        <v>18</v>
      </c>
      <c r="I38" s="8">
        <v>-191.23</v>
      </c>
      <c r="J38" s="8">
        <v>3</v>
      </c>
      <c r="K38" s="8">
        <v>-9</v>
      </c>
    </row>
    <row r="39" spans="1:11" ht="15.75" x14ac:dyDescent="0.25">
      <c r="A39" s="5" t="s">
        <v>13</v>
      </c>
      <c r="B39" s="6" t="s">
        <v>39</v>
      </c>
      <c r="C39" s="6" t="s">
        <v>40</v>
      </c>
      <c r="D39" s="6" t="s">
        <v>41</v>
      </c>
      <c r="E39" s="7" t="s">
        <v>22</v>
      </c>
      <c r="F39" s="6">
        <v>-3</v>
      </c>
      <c r="G39" s="6">
        <v>20250301</v>
      </c>
      <c r="H39" s="6" t="s">
        <v>18</v>
      </c>
      <c r="I39" s="8">
        <v>-191.23</v>
      </c>
      <c r="J39" s="8">
        <v>3</v>
      </c>
      <c r="K39" s="8">
        <v>-9</v>
      </c>
    </row>
    <row r="40" spans="1:11" ht="15.75" x14ac:dyDescent="0.25">
      <c r="A40" s="5" t="s">
        <v>13</v>
      </c>
      <c r="B40" s="6" t="s">
        <v>39</v>
      </c>
      <c r="C40" s="6" t="s">
        <v>42</v>
      </c>
      <c r="D40" s="6" t="s">
        <v>43</v>
      </c>
      <c r="E40" s="7" t="s">
        <v>44</v>
      </c>
      <c r="F40" s="6">
        <v>-1</v>
      </c>
      <c r="G40" s="6">
        <v>20250201</v>
      </c>
      <c r="H40" s="6" t="s">
        <v>12</v>
      </c>
      <c r="I40" s="8">
        <v>-40.03</v>
      </c>
      <c r="J40" s="8">
        <v>3</v>
      </c>
      <c r="K40" s="8">
        <v>-3</v>
      </c>
    </row>
    <row r="41" spans="1:11" ht="15.75" x14ac:dyDescent="0.25">
      <c r="A41" s="5" t="s">
        <v>13</v>
      </c>
      <c r="B41" s="6" t="s">
        <v>39</v>
      </c>
      <c r="C41" s="6" t="s">
        <v>42</v>
      </c>
      <c r="D41" s="6" t="s">
        <v>43</v>
      </c>
      <c r="E41" s="7" t="s">
        <v>44</v>
      </c>
      <c r="F41" s="6">
        <v>-1</v>
      </c>
      <c r="G41" s="6">
        <v>20250301</v>
      </c>
      <c r="H41" s="6" t="s">
        <v>12</v>
      </c>
      <c r="I41" s="8">
        <v>-40.03</v>
      </c>
      <c r="J41" s="8">
        <v>3</v>
      </c>
      <c r="K41" s="8">
        <v>-3</v>
      </c>
    </row>
    <row r="42" spans="1:11" ht="15.75" x14ac:dyDescent="0.25">
      <c r="A42" s="5" t="s">
        <v>13</v>
      </c>
      <c r="B42" s="6" t="s">
        <v>39</v>
      </c>
      <c r="C42" s="6" t="s">
        <v>45</v>
      </c>
      <c r="D42" s="6" t="s">
        <v>46</v>
      </c>
      <c r="E42" s="7" t="s">
        <v>17</v>
      </c>
      <c r="F42" s="6">
        <v>-1</v>
      </c>
      <c r="G42" s="6">
        <v>20250201</v>
      </c>
      <c r="H42" s="6" t="s">
        <v>18</v>
      </c>
      <c r="I42" s="8">
        <v>-192.18</v>
      </c>
      <c r="J42" s="8">
        <v>3</v>
      </c>
      <c r="K42" s="8">
        <v>-3</v>
      </c>
    </row>
    <row r="43" spans="1:11" ht="15.75" x14ac:dyDescent="0.25">
      <c r="A43" s="5" t="s">
        <v>13</v>
      </c>
      <c r="B43" s="6" t="s">
        <v>39</v>
      </c>
      <c r="C43" s="6" t="s">
        <v>45</v>
      </c>
      <c r="D43" s="6" t="s">
        <v>46</v>
      </c>
      <c r="E43" s="7" t="s">
        <v>17</v>
      </c>
      <c r="F43" s="6">
        <v>-1</v>
      </c>
      <c r="G43" s="6">
        <v>20250301</v>
      </c>
      <c r="H43" s="6" t="s">
        <v>18</v>
      </c>
      <c r="I43" s="8">
        <v>-192.18</v>
      </c>
      <c r="J43" s="8">
        <v>3</v>
      </c>
      <c r="K43" s="8">
        <v>-3</v>
      </c>
    </row>
    <row r="44" spans="1:11" ht="15.75" x14ac:dyDescent="0.25">
      <c r="A44" s="5" t="s">
        <v>13</v>
      </c>
      <c r="B44" s="6" t="s">
        <v>39</v>
      </c>
      <c r="C44" s="6" t="s">
        <v>42</v>
      </c>
      <c r="D44" s="6" t="s">
        <v>43</v>
      </c>
      <c r="E44" s="7" t="s">
        <v>44</v>
      </c>
      <c r="F44" s="6">
        <v>1</v>
      </c>
      <c r="G44" s="6">
        <v>20250201</v>
      </c>
      <c r="H44" s="6" t="s">
        <v>12</v>
      </c>
      <c r="I44" s="8">
        <v>40.03</v>
      </c>
      <c r="J44" s="8">
        <v>3</v>
      </c>
      <c r="K44" s="8">
        <v>3</v>
      </c>
    </row>
    <row r="45" spans="1:11" ht="15.75" x14ac:dyDescent="0.25">
      <c r="A45" s="5" t="s">
        <v>13</v>
      </c>
      <c r="B45" s="6" t="s">
        <v>39</v>
      </c>
      <c r="C45" s="6" t="s">
        <v>42</v>
      </c>
      <c r="D45" s="6" t="s">
        <v>43</v>
      </c>
      <c r="E45" s="7" t="s">
        <v>44</v>
      </c>
      <c r="F45" s="6">
        <v>1</v>
      </c>
      <c r="G45" s="6">
        <v>20250301</v>
      </c>
      <c r="H45" s="6" t="s">
        <v>12</v>
      </c>
      <c r="I45" s="8">
        <v>40.03</v>
      </c>
      <c r="J45" s="8">
        <v>3</v>
      </c>
      <c r="K45" s="8">
        <v>3</v>
      </c>
    </row>
    <row r="46" spans="1:11" ht="15.75" x14ac:dyDescent="0.25">
      <c r="A46" s="5" t="s">
        <v>13</v>
      </c>
      <c r="B46" s="6" t="s">
        <v>39</v>
      </c>
      <c r="C46" s="6" t="s">
        <v>42</v>
      </c>
      <c r="D46" s="6" t="s">
        <v>43</v>
      </c>
      <c r="E46" s="7" t="s">
        <v>44</v>
      </c>
      <c r="F46" s="6">
        <v>1</v>
      </c>
      <c r="G46" s="6">
        <v>20250401</v>
      </c>
      <c r="H46" s="6" t="s">
        <v>12</v>
      </c>
      <c r="I46" s="8">
        <v>40.03</v>
      </c>
      <c r="J46" s="8">
        <v>3</v>
      </c>
      <c r="K46" s="8">
        <v>3</v>
      </c>
    </row>
    <row r="47" spans="1:11" ht="15.75" x14ac:dyDescent="0.25">
      <c r="A47" s="5" t="s">
        <v>13</v>
      </c>
      <c r="B47" s="6" t="s">
        <v>39</v>
      </c>
      <c r="C47" s="6" t="s">
        <v>45</v>
      </c>
      <c r="D47" s="6" t="s">
        <v>46</v>
      </c>
      <c r="E47" s="7" t="s">
        <v>17</v>
      </c>
      <c r="F47" s="6">
        <v>1</v>
      </c>
      <c r="G47" s="6">
        <v>20250201</v>
      </c>
      <c r="H47" s="6" t="s">
        <v>18</v>
      </c>
      <c r="I47" s="8">
        <v>192.18</v>
      </c>
      <c r="J47" s="8">
        <v>3</v>
      </c>
      <c r="K47" s="8">
        <v>3</v>
      </c>
    </row>
    <row r="48" spans="1:11" ht="15.75" x14ac:dyDescent="0.25">
      <c r="A48" s="5" t="s">
        <v>13</v>
      </c>
      <c r="B48" s="6" t="s">
        <v>39</v>
      </c>
      <c r="C48" s="6" t="s">
        <v>45</v>
      </c>
      <c r="D48" s="6" t="s">
        <v>46</v>
      </c>
      <c r="E48" s="7" t="s">
        <v>17</v>
      </c>
      <c r="F48" s="6">
        <v>1</v>
      </c>
      <c r="G48" s="6">
        <v>20250301</v>
      </c>
      <c r="H48" s="6" t="s">
        <v>18</v>
      </c>
      <c r="I48" s="8">
        <v>192.18</v>
      </c>
      <c r="J48" s="8">
        <v>3</v>
      </c>
      <c r="K48" s="8">
        <v>3</v>
      </c>
    </row>
    <row r="49" spans="1:11" ht="15.75" x14ac:dyDescent="0.25">
      <c r="A49" s="5" t="s">
        <v>13</v>
      </c>
      <c r="B49" s="6" t="s">
        <v>39</v>
      </c>
      <c r="C49" s="6" t="s">
        <v>45</v>
      </c>
      <c r="D49" s="6" t="s">
        <v>46</v>
      </c>
      <c r="E49" s="7" t="s">
        <v>17</v>
      </c>
      <c r="F49" s="6">
        <v>1</v>
      </c>
      <c r="G49" s="6">
        <v>20250401</v>
      </c>
      <c r="H49" s="6" t="s">
        <v>18</v>
      </c>
      <c r="I49" s="8">
        <v>192.18</v>
      </c>
      <c r="J49" s="8">
        <v>3</v>
      </c>
      <c r="K49" s="8">
        <v>3</v>
      </c>
    </row>
    <row r="50" spans="1:11" ht="15.75" x14ac:dyDescent="0.25">
      <c r="A50" s="5" t="s">
        <v>13</v>
      </c>
      <c r="B50" s="6" t="s">
        <v>39</v>
      </c>
      <c r="C50" s="6" t="s">
        <v>40</v>
      </c>
      <c r="D50" s="6" t="s">
        <v>41</v>
      </c>
      <c r="E50" s="7" t="s">
        <v>22</v>
      </c>
      <c r="F50" s="6">
        <v>3</v>
      </c>
      <c r="G50" s="6">
        <v>20250201</v>
      </c>
      <c r="H50" s="6" t="s">
        <v>18</v>
      </c>
      <c r="I50" s="8">
        <v>191.23</v>
      </c>
      <c r="J50" s="8">
        <v>3</v>
      </c>
      <c r="K50" s="8">
        <v>9</v>
      </c>
    </row>
    <row r="51" spans="1:11" ht="15.75" x14ac:dyDescent="0.25">
      <c r="A51" s="5" t="s">
        <v>13</v>
      </c>
      <c r="B51" s="6" t="s">
        <v>39</v>
      </c>
      <c r="C51" s="6" t="s">
        <v>40</v>
      </c>
      <c r="D51" s="6" t="s">
        <v>41</v>
      </c>
      <c r="E51" s="7" t="s">
        <v>22</v>
      </c>
      <c r="F51" s="6">
        <v>3</v>
      </c>
      <c r="G51" s="6">
        <v>20250301</v>
      </c>
      <c r="H51" s="6" t="s">
        <v>18</v>
      </c>
      <c r="I51" s="8">
        <v>191.23</v>
      </c>
      <c r="J51" s="8">
        <v>3</v>
      </c>
      <c r="K51" s="8">
        <v>9</v>
      </c>
    </row>
    <row r="52" spans="1:11" ht="15.75" x14ac:dyDescent="0.25">
      <c r="A52" s="5" t="s">
        <v>13</v>
      </c>
      <c r="B52" s="6" t="s">
        <v>39</v>
      </c>
      <c r="C52" s="6" t="s">
        <v>40</v>
      </c>
      <c r="D52" s="6" t="s">
        <v>41</v>
      </c>
      <c r="E52" s="7" t="s">
        <v>22</v>
      </c>
      <c r="F52" s="6">
        <v>3</v>
      </c>
      <c r="G52" s="6">
        <v>20250401</v>
      </c>
      <c r="H52" s="6" t="s">
        <v>18</v>
      </c>
      <c r="I52" s="8">
        <v>191.23</v>
      </c>
      <c r="J52" s="8">
        <v>3</v>
      </c>
      <c r="K52" s="8">
        <v>9</v>
      </c>
    </row>
    <row r="53" spans="1:11" ht="15.75" x14ac:dyDescent="0.25">
      <c r="A53" s="5" t="s">
        <v>13</v>
      </c>
      <c r="B53" s="6" t="s">
        <v>47</v>
      </c>
      <c r="C53" s="6" t="s">
        <v>48</v>
      </c>
      <c r="D53" s="6" t="s">
        <v>49</v>
      </c>
      <c r="E53" s="7" t="s">
        <v>50</v>
      </c>
      <c r="F53" s="6">
        <v>-1</v>
      </c>
      <c r="G53" s="6">
        <v>20250201</v>
      </c>
      <c r="H53" s="6" t="s">
        <v>18</v>
      </c>
      <c r="I53" s="8">
        <v>-17.690000000000001</v>
      </c>
      <c r="J53" s="8">
        <v>3</v>
      </c>
      <c r="K53" s="8">
        <v>-3</v>
      </c>
    </row>
    <row r="54" spans="1:11" ht="15.75" x14ac:dyDescent="0.25">
      <c r="A54" s="5" t="s">
        <v>13</v>
      </c>
      <c r="B54" s="6" t="s">
        <v>47</v>
      </c>
      <c r="C54" s="6" t="s">
        <v>48</v>
      </c>
      <c r="D54" s="6" t="s">
        <v>49</v>
      </c>
      <c r="E54" s="7" t="s">
        <v>50</v>
      </c>
      <c r="F54" s="6">
        <v>-1</v>
      </c>
      <c r="G54" s="6">
        <v>20250301</v>
      </c>
      <c r="H54" s="6" t="s">
        <v>18</v>
      </c>
      <c r="I54" s="8">
        <v>-17.690000000000001</v>
      </c>
      <c r="J54" s="8">
        <v>3</v>
      </c>
      <c r="K54" s="8">
        <v>-3</v>
      </c>
    </row>
    <row r="55" spans="1:11" ht="15.75" x14ac:dyDescent="0.25">
      <c r="A55" s="5" t="s">
        <v>13</v>
      </c>
      <c r="B55" s="6" t="s">
        <v>47</v>
      </c>
      <c r="C55" s="6" t="s">
        <v>51</v>
      </c>
      <c r="D55" s="6" t="s">
        <v>52</v>
      </c>
      <c r="E55" s="7" t="s">
        <v>50</v>
      </c>
      <c r="F55" s="6">
        <v>-1</v>
      </c>
      <c r="G55" s="6">
        <v>20250201</v>
      </c>
      <c r="H55" s="6" t="s">
        <v>18</v>
      </c>
      <c r="I55" s="8">
        <v>-17.690000000000001</v>
      </c>
      <c r="J55" s="8">
        <v>3</v>
      </c>
      <c r="K55" s="8">
        <v>-3</v>
      </c>
    </row>
    <row r="56" spans="1:11" ht="15.75" x14ac:dyDescent="0.25">
      <c r="A56" s="5" t="s">
        <v>13</v>
      </c>
      <c r="B56" s="6" t="s">
        <v>47</v>
      </c>
      <c r="C56" s="6" t="s">
        <v>51</v>
      </c>
      <c r="D56" s="6" t="s">
        <v>52</v>
      </c>
      <c r="E56" s="7" t="s">
        <v>50</v>
      </c>
      <c r="F56" s="6">
        <v>-1</v>
      </c>
      <c r="G56" s="6">
        <v>20250301</v>
      </c>
      <c r="H56" s="6" t="s">
        <v>18</v>
      </c>
      <c r="I56" s="8">
        <v>-17.690000000000001</v>
      </c>
      <c r="J56" s="8">
        <v>3</v>
      </c>
      <c r="K56" s="8">
        <v>-3</v>
      </c>
    </row>
    <row r="57" spans="1:11" ht="15.75" x14ac:dyDescent="0.25">
      <c r="A57" s="5" t="s">
        <v>13</v>
      </c>
      <c r="B57" s="6" t="s">
        <v>47</v>
      </c>
      <c r="C57" s="6" t="s">
        <v>53</v>
      </c>
      <c r="D57" s="6" t="s">
        <v>54</v>
      </c>
      <c r="E57" s="7" t="s">
        <v>50</v>
      </c>
      <c r="F57" s="6">
        <v>-1</v>
      </c>
      <c r="G57" s="6">
        <v>20250201</v>
      </c>
      <c r="H57" s="6" t="s">
        <v>18</v>
      </c>
      <c r="I57" s="8">
        <v>-122.19</v>
      </c>
      <c r="J57" s="8">
        <v>3</v>
      </c>
      <c r="K57" s="8">
        <v>-3</v>
      </c>
    </row>
    <row r="58" spans="1:11" ht="15.75" x14ac:dyDescent="0.25">
      <c r="A58" s="5" t="s">
        <v>13</v>
      </c>
      <c r="B58" s="6" t="s">
        <v>47</v>
      </c>
      <c r="C58" s="6" t="s">
        <v>53</v>
      </c>
      <c r="D58" s="6" t="s">
        <v>54</v>
      </c>
      <c r="E58" s="7" t="s">
        <v>50</v>
      </c>
      <c r="F58" s="6">
        <v>-1</v>
      </c>
      <c r="G58" s="6">
        <v>20250301</v>
      </c>
      <c r="H58" s="6" t="s">
        <v>18</v>
      </c>
      <c r="I58" s="8">
        <v>-122.19</v>
      </c>
      <c r="J58" s="8">
        <v>3</v>
      </c>
      <c r="K58" s="8">
        <v>-3</v>
      </c>
    </row>
    <row r="59" spans="1:11" ht="15.75" x14ac:dyDescent="0.25">
      <c r="A59" s="5" t="s">
        <v>13</v>
      </c>
      <c r="B59" s="6" t="s">
        <v>47</v>
      </c>
      <c r="C59" s="6" t="s">
        <v>55</v>
      </c>
      <c r="D59" s="6" t="s">
        <v>56</v>
      </c>
      <c r="E59" s="7" t="s">
        <v>50</v>
      </c>
      <c r="F59" s="6">
        <v>-1</v>
      </c>
      <c r="G59" s="6">
        <v>20250201</v>
      </c>
      <c r="H59" s="6" t="s">
        <v>18</v>
      </c>
      <c r="I59" s="8">
        <v>-31.2</v>
      </c>
      <c r="J59" s="8">
        <v>3</v>
      </c>
      <c r="K59" s="8">
        <v>-3</v>
      </c>
    </row>
    <row r="60" spans="1:11" ht="15.75" x14ac:dyDescent="0.25">
      <c r="A60" s="5" t="s">
        <v>13</v>
      </c>
      <c r="B60" s="6" t="s">
        <v>47</v>
      </c>
      <c r="C60" s="6" t="s">
        <v>55</v>
      </c>
      <c r="D60" s="6" t="s">
        <v>56</v>
      </c>
      <c r="E60" s="7" t="s">
        <v>50</v>
      </c>
      <c r="F60" s="6">
        <v>-1</v>
      </c>
      <c r="G60" s="6">
        <v>20250301</v>
      </c>
      <c r="H60" s="6" t="s">
        <v>18</v>
      </c>
      <c r="I60" s="8">
        <v>-31.2</v>
      </c>
      <c r="J60" s="8">
        <v>3</v>
      </c>
      <c r="K60" s="8">
        <v>-3</v>
      </c>
    </row>
    <row r="61" spans="1:11" ht="15.75" x14ac:dyDescent="0.25">
      <c r="A61" s="5" t="s">
        <v>13</v>
      </c>
      <c r="B61" s="6" t="s">
        <v>47</v>
      </c>
      <c r="C61" s="6" t="s">
        <v>57</v>
      </c>
      <c r="D61" s="6" t="s">
        <v>58</v>
      </c>
      <c r="E61" s="7" t="s">
        <v>50</v>
      </c>
      <c r="F61" s="6">
        <v>-1</v>
      </c>
      <c r="G61" s="6">
        <v>20250201</v>
      </c>
      <c r="H61" s="6" t="s">
        <v>18</v>
      </c>
      <c r="I61" s="8">
        <v>-168.73</v>
      </c>
      <c r="J61" s="8">
        <v>3</v>
      </c>
      <c r="K61" s="8">
        <v>-3</v>
      </c>
    </row>
    <row r="62" spans="1:11" ht="15.75" x14ac:dyDescent="0.25">
      <c r="A62" s="5" t="s">
        <v>13</v>
      </c>
      <c r="B62" s="6" t="s">
        <v>47</v>
      </c>
      <c r="C62" s="6" t="s">
        <v>57</v>
      </c>
      <c r="D62" s="6" t="s">
        <v>58</v>
      </c>
      <c r="E62" s="7" t="s">
        <v>50</v>
      </c>
      <c r="F62" s="6">
        <v>-1</v>
      </c>
      <c r="G62" s="6">
        <v>20250301</v>
      </c>
      <c r="H62" s="6" t="s">
        <v>18</v>
      </c>
      <c r="I62" s="8">
        <v>-168.73</v>
      </c>
      <c r="J62" s="8">
        <v>3</v>
      </c>
      <c r="K62" s="8">
        <v>-3</v>
      </c>
    </row>
    <row r="63" spans="1:11" ht="15.75" x14ac:dyDescent="0.25">
      <c r="A63" s="5" t="s">
        <v>13</v>
      </c>
      <c r="B63" s="6" t="s">
        <v>47</v>
      </c>
      <c r="C63" s="6" t="s">
        <v>59</v>
      </c>
      <c r="D63" s="6" t="s">
        <v>60</v>
      </c>
      <c r="E63" s="7" t="s">
        <v>50</v>
      </c>
      <c r="F63" s="6">
        <v>-1</v>
      </c>
      <c r="G63" s="6">
        <v>20250201</v>
      </c>
      <c r="H63" s="6" t="s">
        <v>18</v>
      </c>
      <c r="I63" s="8">
        <v>-219.6</v>
      </c>
      <c r="J63" s="8">
        <v>3</v>
      </c>
      <c r="K63" s="8">
        <v>-3</v>
      </c>
    </row>
    <row r="64" spans="1:11" ht="15.75" x14ac:dyDescent="0.25">
      <c r="A64" s="5" t="s">
        <v>13</v>
      </c>
      <c r="B64" s="6" t="s">
        <v>47</v>
      </c>
      <c r="C64" s="6" t="s">
        <v>59</v>
      </c>
      <c r="D64" s="6" t="s">
        <v>60</v>
      </c>
      <c r="E64" s="7" t="s">
        <v>50</v>
      </c>
      <c r="F64" s="6">
        <v>-1</v>
      </c>
      <c r="G64" s="6">
        <v>20250301</v>
      </c>
      <c r="H64" s="6" t="s">
        <v>18</v>
      </c>
      <c r="I64" s="8">
        <v>-219.6</v>
      </c>
      <c r="J64" s="8">
        <v>3</v>
      </c>
      <c r="K64" s="8">
        <v>-3</v>
      </c>
    </row>
    <row r="65" spans="1:11" ht="15.75" x14ac:dyDescent="0.25">
      <c r="A65" s="5" t="s">
        <v>13</v>
      </c>
      <c r="B65" s="6" t="s">
        <v>47</v>
      </c>
      <c r="C65" s="6" t="s">
        <v>48</v>
      </c>
      <c r="D65" s="6" t="s">
        <v>49</v>
      </c>
      <c r="E65" s="7" t="s">
        <v>50</v>
      </c>
      <c r="F65" s="6">
        <v>1</v>
      </c>
      <c r="G65" s="6">
        <v>20250201</v>
      </c>
      <c r="H65" s="6" t="s">
        <v>18</v>
      </c>
      <c r="I65" s="8">
        <v>17.690000000000001</v>
      </c>
      <c r="J65" s="8">
        <v>3</v>
      </c>
      <c r="K65" s="8">
        <v>3</v>
      </c>
    </row>
    <row r="66" spans="1:11" ht="15.75" x14ac:dyDescent="0.25">
      <c r="A66" s="5" t="s">
        <v>13</v>
      </c>
      <c r="B66" s="6" t="s">
        <v>47</v>
      </c>
      <c r="C66" s="6" t="s">
        <v>48</v>
      </c>
      <c r="D66" s="6" t="s">
        <v>49</v>
      </c>
      <c r="E66" s="7" t="s">
        <v>50</v>
      </c>
      <c r="F66" s="6">
        <v>1</v>
      </c>
      <c r="G66" s="6">
        <v>20250301</v>
      </c>
      <c r="H66" s="6" t="s">
        <v>18</v>
      </c>
      <c r="I66" s="8">
        <v>17.690000000000001</v>
      </c>
      <c r="J66" s="8">
        <v>3</v>
      </c>
      <c r="K66" s="8">
        <v>3</v>
      </c>
    </row>
    <row r="67" spans="1:11" ht="15.75" x14ac:dyDescent="0.25">
      <c r="A67" s="5" t="s">
        <v>13</v>
      </c>
      <c r="B67" s="6" t="s">
        <v>47</v>
      </c>
      <c r="C67" s="6" t="s">
        <v>48</v>
      </c>
      <c r="D67" s="6" t="s">
        <v>49</v>
      </c>
      <c r="E67" s="7" t="s">
        <v>50</v>
      </c>
      <c r="F67" s="6">
        <v>1</v>
      </c>
      <c r="G67" s="6">
        <v>20250401</v>
      </c>
      <c r="H67" s="6" t="s">
        <v>18</v>
      </c>
      <c r="I67" s="8">
        <v>17.690000000000001</v>
      </c>
      <c r="J67" s="8">
        <v>3</v>
      </c>
      <c r="K67" s="8">
        <v>3</v>
      </c>
    </row>
    <row r="68" spans="1:11" ht="15.75" x14ac:dyDescent="0.25">
      <c r="A68" s="5" t="s">
        <v>13</v>
      </c>
      <c r="B68" s="6" t="s">
        <v>47</v>
      </c>
      <c r="C68" s="6" t="s">
        <v>51</v>
      </c>
      <c r="D68" s="6" t="s">
        <v>52</v>
      </c>
      <c r="E68" s="7" t="s">
        <v>50</v>
      </c>
      <c r="F68" s="6">
        <v>1</v>
      </c>
      <c r="G68" s="6">
        <v>20250201</v>
      </c>
      <c r="H68" s="6" t="s">
        <v>18</v>
      </c>
      <c r="I68" s="8">
        <v>17.690000000000001</v>
      </c>
      <c r="J68" s="8">
        <v>3</v>
      </c>
      <c r="K68" s="8">
        <v>3</v>
      </c>
    </row>
    <row r="69" spans="1:11" ht="15.75" x14ac:dyDescent="0.25">
      <c r="A69" s="5" t="s">
        <v>13</v>
      </c>
      <c r="B69" s="6" t="s">
        <v>47</v>
      </c>
      <c r="C69" s="6" t="s">
        <v>51</v>
      </c>
      <c r="D69" s="6" t="s">
        <v>52</v>
      </c>
      <c r="E69" s="7" t="s">
        <v>50</v>
      </c>
      <c r="F69" s="6">
        <v>1</v>
      </c>
      <c r="G69" s="6">
        <v>20250301</v>
      </c>
      <c r="H69" s="6" t="s">
        <v>18</v>
      </c>
      <c r="I69" s="8">
        <v>17.690000000000001</v>
      </c>
      <c r="J69" s="8">
        <v>3</v>
      </c>
      <c r="K69" s="8">
        <v>3</v>
      </c>
    </row>
    <row r="70" spans="1:11" ht="15.75" x14ac:dyDescent="0.25">
      <c r="A70" s="5" t="s">
        <v>13</v>
      </c>
      <c r="B70" s="6" t="s">
        <v>47</v>
      </c>
      <c r="C70" s="6" t="s">
        <v>51</v>
      </c>
      <c r="D70" s="6" t="s">
        <v>52</v>
      </c>
      <c r="E70" s="7" t="s">
        <v>50</v>
      </c>
      <c r="F70" s="6">
        <v>1</v>
      </c>
      <c r="G70" s="6">
        <v>20250401</v>
      </c>
      <c r="H70" s="6" t="s">
        <v>18</v>
      </c>
      <c r="I70" s="8">
        <v>17.690000000000001</v>
      </c>
      <c r="J70" s="8">
        <v>3</v>
      </c>
      <c r="K70" s="8">
        <v>3</v>
      </c>
    </row>
    <row r="71" spans="1:11" ht="15.75" x14ac:dyDescent="0.25">
      <c r="A71" s="5" t="s">
        <v>13</v>
      </c>
      <c r="B71" s="6" t="s">
        <v>47</v>
      </c>
      <c r="C71" s="6" t="s">
        <v>53</v>
      </c>
      <c r="D71" s="6" t="s">
        <v>54</v>
      </c>
      <c r="E71" s="7" t="s">
        <v>50</v>
      </c>
      <c r="F71" s="6">
        <v>1</v>
      </c>
      <c r="G71" s="6">
        <v>20250201</v>
      </c>
      <c r="H71" s="6" t="s">
        <v>18</v>
      </c>
      <c r="I71" s="8">
        <v>122.19</v>
      </c>
      <c r="J71" s="8">
        <v>3</v>
      </c>
      <c r="K71" s="8">
        <v>3</v>
      </c>
    </row>
    <row r="72" spans="1:11" ht="15.75" x14ac:dyDescent="0.25">
      <c r="A72" s="5" t="s">
        <v>13</v>
      </c>
      <c r="B72" s="6" t="s">
        <v>47</v>
      </c>
      <c r="C72" s="6" t="s">
        <v>53</v>
      </c>
      <c r="D72" s="6" t="s">
        <v>54</v>
      </c>
      <c r="E72" s="7" t="s">
        <v>50</v>
      </c>
      <c r="F72" s="6">
        <v>1</v>
      </c>
      <c r="G72" s="6">
        <v>20250301</v>
      </c>
      <c r="H72" s="6" t="s">
        <v>18</v>
      </c>
      <c r="I72" s="8">
        <v>122.19</v>
      </c>
      <c r="J72" s="8">
        <v>3</v>
      </c>
      <c r="K72" s="8">
        <v>3</v>
      </c>
    </row>
    <row r="73" spans="1:11" ht="15.75" x14ac:dyDescent="0.25">
      <c r="A73" s="5" t="s">
        <v>13</v>
      </c>
      <c r="B73" s="6" t="s">
        <v>47</v>
      </c>
      <c r="C73" s="6" t="s">
        <v>55</v>
      </c>
      <c r="D73" s="6" t="s">
        <v>56</v>
      </c>
      <c r="E73" s="7" t="s">
        <v>50</v>
      </c>
      <c r="F73" s="6">
        <v>1</v>
      </c>
      <c r="G73" s="6">
        <v>20250201</v>
      </c>
      <c r="H73" s="6" t="s">
        <v>18</v>
      </c>
      <c r="I73" s="8">
        <v>31.2</v>
      </c>
      <c r="J73" s="8">
        <v>3</v>
      </c>
      <c r="K73" s="8">
        <v>3</v>
      </c>
    </row>
    <row r="74" spans="1:11" ht="15.75" x14ac:dyDescent="0.25">
      <c r="A74" s="5" t="s">
        <v>13</v>
      </c>
      <c r="B74" s="6" t="s">
        <v>47</v>
      </c>
      <c r="C74" s="6" t="s">
        <v>55</v>
      </c>
      <c r="D74" s="6" t="s">
        <v>56</v>
      </c>
      <c r="E74" s="7" t="s">
        <v>50</v>
      </c>
      <c r="F74" s="6">
        <v>1</v>
      </c>
      <c r="G74" s="6">
        <v>20250301</v>
      </c>
      <c r="H74" s="6" t="s">
        <v>18</v>
      </c>
      <c r="I74" s="8">
        <v>31.2</v>
      </c>
      <c r="J74" s="8">
        <v>3</v>
      </c>
      <c r="K74" s="8">
        <v>3</v>
      </c>
    </row>
    <row r="75" spans="1:11" ht="15.75" x14ac:dyDescent="0.25">
      <c r="A75" s="5" t="s">
        <v>13</v>
      </c>
      <c r="B75" s="6" t="s">
        <v>47</v>
      </c>
      <c r="C75" s="6" t="s">
        <v>55</v>
      </c>
      <c r="D75" s="6" t="s">
        <v>56</v>
      </c>
      <c r="E75" s="7" t="s">
        <v>50</v>
      </c>
      <c r="F75" s="6">
        <v>1</v>
      </c>
      <c r="G75" s="6">
        <v>20250401</v>
      </c>
      <c r="H75" s="6" t="s">
        <v>18</v>
      </c>
      <c r="I75" s="8">
        <v>31.2</v>
      </c>
      <c r="J75" s="8">
        <v>3</v>
      </c>
      <c r="K75" s="8">
        <v>3</v>
      </c>
    </row>
    <row r="76" spans="1:11" ht="15.75" x14ac:dyDescent="0.25">
      <c r="A76" s="5" t="s">
        <v>13</v>
      </c>
      <c r="B76" s="6" t="s">
        <v>47</v>
      </c>
      <c r="C76" s="6" t="s">
        <v>57</v>
      </c>
      <c r="D76" s="6" t="s">
        <v>58</v>
      </c>
      <c r="E76" s="7" t="s">
        <v>50</v>
      </c>
      <c r="F76" s="6">
        <v>1</v>
      </c>
      <c r="G76" s="6">
        <v>20250201</v>
      </c>
      <c r="H76" s="6" t="s">
        <v>18</v>
      </c>
      <c r="I76" s="8">
        <v>168.73</v>
      </c>
      <c r="J76" s="8">
        <v>3</v>
      </c>
      <c r="K76" s="8">
        <v>3</v>
      </c>
    </row>
    <row r="77" spans="1:11" ht="15.75" x14ac:dyDescent="0.25">
      <c r="A77" s="5" t="s">
        <v>13</v>
      </c>
      <c r="B77" s="6" t="s">
        <v>47</v>
      </c>
      <c r="C77" s="6" t="s">
        <v>57</v>
      </c>
      <c r="D77" s="6" t="s">
        <v>58</v>
      </c>
      <c r="E77" s="7" t="s">
        <v>50</v>
      </c>
      <c r="F77" s="6">
        <v>1</v>
      </c>
      <c r="G77" s="6">
        <v>20250301</v>
      </c>
      <c r="H77" s="6" t="s">
        <v>18</v>
      </c>
      <c r="I77" s="8">
        <v>168.73</v>
      </c>
      <c r="J77" s="8">
        <v>3</v>
      </c>
      <c r="K77" s="8">
        <v>3</v>
      </c>
    </row>
    <row r="78" spans="1:11" ht="15.75" x14ac:dyDescent="0.25">
      <c r="A78" s="5" t="s">
        <v>13</v>
      </c>
      <c r="B78" s="6" t="s">
        <v>47</v>
      </c>
      <c r="C78" s="6" t="s">
        <v>57</v>
      </c>
      <c r="D78" s="6" t="s">
        <v>58</v>
      </c>
      <c r="E78" s="7" t="s">
        <v>50</v>
      </c>
      <c r="F78" s="6">
        <v>1</v>
      </c>
      <c r="G78" s="6">
        <v>20250401</v>
      </c>
      <c r="H78" s="6" t="s">
        <v>18</v>
      </c>
      <c r="I78" s="8">
        <v>168.73</v>
      </c>
      <c r="J78" s="8">
        <v>3</v>
      </c>
      <c r="K78" s="8">
        <v>3</v>
      </c>
    </row>
    <row r="79" spans="1:11" ht="15.75" x14ac:dyDescent="0.25">
      <c r="A79" s="5" t="s">
        <v>13</v>
      </c>
      <c r="B79" s="6" t="s">
        <v>47</v>
      </c>
      <c r="C79" s="6" t="s">
        <v>59</v>
      </c>
      <c r="D79" s="6" t="s">
        <v>60</v>
      </c>
      <c r="E79" s="7" t="s">
        <v>50</v>
      </c>
      <c r="F79" s="6">
        <v>1</v>
      </c>
      <c r="G79" s="6">
        <v>20250201</v>
      </c>
      <c r="H79" s="6" t="s">
        <v>18</v>
      </c>
      <c r="I79" s="8">
        <v>219.6</v>
      </c>
      <c r="J79" s="8">
        <v>3</v>
      </c>
      <c r="K79" s="8">
        <v>3</v>
      </c>
    </row>
    <row r="80" spans="1:11" ht="15.75" x14ac:dyDescent="0.25">
      <c r="A80" s="5" t="s">
        <v>13</v>
      </c>
      <c r="B80" s="6" t="s">
        <v>47</v>
      </c>
      <c r="C80" s="6" t="s">
        <v>59</v>
      </c>
      <c r="D80" s="6" t="s">
        <v>60</v>
      </c>
      <c r="E80" s="7" t="s">
        <v>50</v>
      </c>
      <c r="F80" s="6">
        <v>1</v>
      </c>
      <c r="G80" s="6">
        <v>20250301</v>
      </c>
      <c r="H80" s="6" t="s">
        <v>18</v>
      </c>
      <c r="I80" s="8">
        <v>219.6</v>
      </c>
      <c r="J80" s="8">
        <v>3</v>
      </c>
      <c r="K80" s="8">
        <v>3</v>
      </c>
    </row>
    <row r="81" spans="1:11" ht="15.75" x14ac:dyDescent="0.25">
      <c r="A81" s="5" t="s">
        <v>13</v>
      </c>
      <c r="B81" s="6" t="s">
        <v>47</v>
      </c>
      <c r="C81" s="6" t="s">
        <v>59</v>
      </c>
      <c r="D81" s="6" t="s">
        <v>60</v>
      </c>
      <c r="E81" s="7" t="s">
        <v>50</v>
      </c>
      <c r="F81" s="6">
        <v>1</v>
      </c>
      <c r="G81" s="6">
        <v>20250401</v>
      </c>
      <c r="H81" s="6" t="s">
        <v>18</v>
      </c>
      <c r="I81" s="8">
        <v>219.6</v>
      </c>
      <c r="J81" s="8">
        <v>3</v>
      </c>
      <c r="K81" s="8">
        <v>3</v>
      </c>
    </row>
    <row r="82" spans="1:11" ht="15.75" x14ac:dyDescent="0.25">
      <c r="A82" s="5" t="s">
        <v>13</v>
      </c>
      <c r="B82" s="6" t="s">
        <v>61</v>
      </c>
      <c r="C82" s="6" t="s">
        <v>62</v>
      </c>
      <c r="D82" s="6" t="s">
        <v>63</v>
      </c>
      <c r="E82" s="7" t="s">
        <v>33</v>
      </c>
      <c r="F82" s="6">
        <v>-1</v>
      </c>
      <c r="G82" s="6">
        <v>20250201</v>
      </c>
      <c r="H82" s="6" t="s">
        <v>12</v>
      </c>
      <c r="I82" s="8">
        <v>-148.30000000000001</v>
      </c>
      <c r="J82" s="8">
        <v>3</v>
      </c>
      <c r="K82" s="8">
        <v>-3</v>
      </c>
    </row>
    <row r="83" spans="1:11" ht="15.75" x14ac:dyDescent="0.25">
      <c r="A83" s="5" t="s">
        <v>13</v>
      </c>
      <c r="B83" s="6" t="s">
        <v>61</v>
      </c>
      <c r="C83" s="6" t="s">
        <v>62</v>
      </c>
      <c r="D83" s="6" t="s">
        <v>63</v>
      </c>
      <c r="E83" s="7" t="s">
        <v>33</v>
      </c>
      <c r="F83" s="6">
        <v>-1</v>
      </c>
      <c r="G83" s="6">
        <v>20250301</v>
      </c>
      <c r="H83" s="6" t="s">
        <v>12</v>
      </c>
      <c r="I83" s="8">
        <v>-148.30000000000001</v>
      </c>
      <c r="J83" s="8">
        <v>3</v>
      </c>
      <c r="K83" s="8">
        <v>-3</v>
      </c>
    </row>
    <row r="84" spans="1:11" ht="15.75" x14ac:dyDescent="0.25">
      <c r="A84" s="5" t="s">
        <v>13</v>
      </c>
      <c r="B84" s="6" t="s">
        <v>61</v>
      </c>
      <c r="C84" s="6" t="s">
        <v>62</v>
      </c>
      <c r="D84" s="6" t="s">
        <v>63</v>
      </c>
      <c r="E84" s="7" t="s">
        <v>33</v>
      </c>
      <c r="F84" s="6">
        <v>1</v>
      </c>
      <c r="G84" s="6">
        <v>20250201</v>
      </c>
      <c r="H84" s="6" t="s">
        <v>12</v>
      </c>
      <c r="I84" s="8">
        <v>148.30000000000001</v>
      </c>
      <c r="J84" s="8">
        <v>3</v>
      </c>
      <c r="K84" s="8">
        <v>3</v>
      </c>
    </row>
    <row r="85" spans="1:11" ht="15.75" x14ac:dyDescent="0.25">
      <c r="A85" s="5" t="s">
        <v>13</v>
      </c>
      <c r="B85" s="6" t="s">
        <v>61</v>
      </c>
      <c r="C85" s="6" t="s">
        <v>62</v>
      </c>
      <c r="D85" s="6" t="s">
        <v>63</v>
      </c>
      <c r="E85" s="7" t="s">
        <v>33</v>
      </c>
      <c r="F85" s="6">
        <v>1</v>
      </c>
      <c r="G85" s="6">
        <v>20250301</v>
      </c>
      <c r="H85" s="6" t="s">
        <v>12</v>
      </c>
      <c r="I85" s="8">
        <v>148.30000000000001</v>
      </c>
      <c r="J85" s="8">
        <v>3</v>
      </c>
      <c r="K85" s="8">
        <v>3</v>
      </c>
    </row>
    <row r="86" spans="1:11" ht="15.75" x14ac:dyDescent="0.25">
      <c r="A86" s="5" t="s">
        <v>13</v>
      </c>
      <c r="B86" s="6" t="s">
        <v>61</v>
      </c>
      <c r="C86" s="6" t="s">
        <v>62</v>
      </c>
      <c r="D86" s="6" t="s">
        <v>63</v>
      </c>
      <c r="E86" s="7" t="s">
        <v>33</v>
      </c>
      <c r="F86" s="6">
        <v>1</v>
      </c>
      <c r="G86" s="6">
        <v>20250401</v>
      </c>
      <c r="H86" s="6" t="s">
        <v>12</v>
      </c>
      <c r="I86" s="8">
        <v>148.30000000000001</v>
      </c>
      <c r="J86" s="8">
        <v>3</v>
      </c>
      <c r="K86" s="8">
        <v>3</v>
      </c>
    </row>
    <row r="87" spans="1:11" ht="15.75" x14ac:dyDescent="0.25">
      <c r="A87" s="5" t="s">
        <v>13</v>
      </c>
      <c r="B87" s="6" t="s">
        <v>64</v>
      </c>
      <c r="C87" s="6" t="s">
        <v>65</v>
      </c>
      <c r="D87" s="6" t="s">
        <v>66</v>
      </c>
      <c r="E87" s="7" t="s">
        <v>50</v>
      </c>
      <c r="F87" s="6">
        <v>-4</v>
      </c>
      <c r="G87" s="6">
        <v>20250201</v>
      </c>
      <c r="H87" s="6" t="s">
        <v>18</v>
      </c>
      <c r="I87" s="8">
        <v>-39.950000000000003</v>
      </c>
      <c r="J87" s="8">
        <v>3</v>
      </c>
      <c r="K87" s="8">
        <v>-12</v>
      </c>
    </row>
    <row r="88" spans="1:11" ht="15.75" x14ac:dyDescent="0.25">
      <c r="A88" s="5" t="s">
        <v>13</v>
      </c>
      <c r="B88" s="6" t="s">
        <v>64</v>
      </c>
      <c r="C88" s="6" t="s">
        <v>65</v>
      </c>
      <c r="D88" s="6" t="s">
        <v>66</v>
      </c>
      <c r="E88" s="7" t="s">
        <v>50</v>
      </c>
      <c r="F88" s="6">
        <v>-4</v>
      </c>
      <c r="G88" s="6">
        <v>20250301</v>
      </c>
      <c r="H88" s="6" t="s">
        <v>18</v>
      </c>
      <c r="I88" s="8">
        <v>-39.950000000000003</v>
      </c>
      <c r="J88" s="8">
        <v>3</v>
      </c>
      <c r="K88" s="8">
        <v>-12</v>
      </c>
    </row>
    <row r="89" spans="1:11" ht="15.75" x14ac:dyDescent="0.25">
      <c r="A89" s="5" t="s">
        <v>13</v>
      </c>
      <c r="B89" s="6" t="s">
        <v>64</v>
      </c>
      <c r="C89" s="6" t="s">
        <v>65</v>
      </c>
      <c r="D89" s="6" t="s">
        <v>66</v>
      </c>
      <c r="E89" s="7" t="s">
        <v>50</v>
      </c>
      <c r="F89" s="6">
        <v>4</v>
      </c>
      <c r="G89" s="6">
        <v>20250201</v>
      </c>
      <c r="H89" s="6" t="s">
        <v>18</v>
      </c>
      <c r="I89" s="8">
        <v>39.950000000000003</v>
      </c>
      <c r="J89" s="8">
        <v>3</v>
      </c>
      <c r="K89" s="8">
        <v>12</v>
      </c>
    </row>
    <row r="90" spans="1:11" ht="15.75" x14ac:dyDescent="0.25">
      <c r="A90" s="5" t="s">
        <v>13</v>
      </c>
      <c r="B90" s="6" t="s">
        <v>64</v>
      </c>
      <c r="C90" s="6" t="s">
        <v>65</v>
      </c>
      <c r="D90" s="6" t="s">
        <v>66</v>
      </c>
      <c r="E90" s="7" t="s">
        <v>50</v>
      </c>
      <c r="F90" s="6">
        <v>4</v>
      </c>
      <c r="G90" s="6">
        <v>20250301</v>
      </c>
      <c r="H90" s="6" t="s">
        <v>18</v>
      </c>
      <c r="I90" s="8">
        <v>39.950000000000003</v>
      </c>
      <c r="J90" s="8">
        <v>3</v>
      </c>
      <c r="K90" s="8">
        <v>12</v>
      </c>
    </row>
    <row r="91" spans="1:11" ht="15.75" x14ac:dyDescent="0.25">
      <c r="A91" s="5" t="s">
        <v>13</v>
      </c>
      <c r="B91" s="6" t="s">
        <v>64</v>
      </c>
      <c r="C91" s="6" t="s">
        <v>65</v>
      </c>
      <c r="D91" s="6" t="s">
        <v>66</v>
      </c>
      <c r="E91" s="7" t="s">
        <v>50</v>
      </c>
      <c r="F91" s="6">
        <v>4</v>
      </c>
      <c r="G91" s="6">
        <v>20250401</v>
      </c>
      <c r="H91" s="6" t="s">
        <v>18</v>
      </c>
      <c r="I91" s="8">
        <v>39.950000000000003</v>
      </c>
      <c r="J91" s="8">
        <v>3</v>
      </c>
      <c r="K91" s="8">
        <v>12</v>
      </c>
    </row>
    <row r="92" spans="1:11" ht="15.75" x14ac:dyDescent="0.25">
      <c r="A92" s="5" t="s">
        <v>13</v>
      </c>
      <c r="B92" s="6" t="s">
        <v>67</v>
      </c>
      <c r="C92" s="6" t="s">
        <v>68</v>
      </c>
      <c r="D92" s="6" t="s">
        <v>69</v>
      </c>
      <c r="E92" s="7" t="s">
        <v>33</v>
      </c>
      <c r="F92" s="6">
        <v>-1</v>
      </c>
      <c r="G92" s="6">
        <v>20250201</v>
      </c>
      <c r="H92" s="6" t="s">
        <v>12</v>
      </c>
      <c r="I92" s="8">
        <v>-896</v>
      </c>
      <c r="J92" s="8">
        <v>3</v>
      </c>
      <c r="K92" s="8">
        <v>-3</v>
      </c>
    </row>
    <row r="93" spans="1:11" ht="15.75" x14ac:dyDescent="0.25">
      <c r="A93" s="5" t="s">
        <v>13</v>
      </c>
      <c r="B93" s="6" t="s">
        <v>67</v>
      </c>
      <c r="C93" s="6" t="s">
        <v>68</v>
      </c>
      <c r="D93" s="6" t="s">
        <v>69</v>
      </c>
      <c r="E93" s="7" t="s">
        <v>33</v>
      </c>
      <c r="F93" s="6">
        <v>-1</v>
      </c>
      <c r="G93" s="6">
        <v>20250301</v>
      </c>
      <c r="H93" s="6" t="s">
        <v>12</v>
      </c>
      <c r="I93" s="8">
        <v>-215.88</v>
      </c>
      <c r="J93" s="8">
        <v>3</v>
      </c>
      <c r="K93" s="8">
        <v>-3</v>
      </c>
    </row>
    <row r="94" spans="1:11" ht="15.75" x14ac:dyDescent="0.25">
      <c r="A94" s="5" t="s">
        <v>13</v>
      </c>
      <c r="B94" s="6" t="s">
        <v>67</v>
      </c>
      <c r="C94" s="6" t="s">
        <v>68</v>
      </c>
      <c r="D94" s="6" t="s">
        <v>69</v>
      </c>
      <c r="E94" s="7" t="s">
        <v>33</v>
      </c>
      <c r="F94" s="6">
        <v>1</v>
      </c>
      <c r="G94" s="6">
        <v>20250201</v>
      </c>
      <c r="H94" s="6" t="s">
        <v>12</v>
      </c>
      <c r="I94" s="8">
        <v>215.88</v>
      </c>
      <c r="J94" s="8">
        <v>3</v>
      </c>
      <c r="K94" s="8">
        <v>3</v>
      </c>
    </row>
    <row r="95" spans="1:11" ht="15.75" x14ac:dyDescent="0.25">
      <c r="A95" s="5" t="s">
        <v>13</v>
      </c>
      <c r="B95" s="6" t="s">
        <v>67</v>
      </c>
      <c r="C95" s="6" t="s">
        <v>68</v>
      </c>
      <c r="D95" s="6" t="s">
        <v>69</v>
      </c>
      <c r="E95" s="7" t="s">
        <v>33</v>
      </c>
      <c r="F95" s="6">
        <v>1</v>
      </c>
      <c r="G95" s="6">
        <v>20250301</v>
      </c>
      <c r="H95" s="6" t="s">
        <v>12</v>
      </c>
      <c r="I95" s="8">
        <v>215.88</v>
      </c>
      <c r="J95" s="8">
        <v>3</v>
      </c>
      <c r="K95" s="8">
        <v>3</v>
      </c>
    </row>
    <row r="96" spans="1:11" ht="15.75" x14ac:dyDescent="0.25">
      <c r="A96" s="5" t="s">
        <v>13</v>
      </c>
      <c r="B96" s="6" t="s">
        <v>67</v>
      </c>
      <c r="C96" s="6" t="s">
        <v>68</v>
      </c>
      <c r="D96" s="6" t="s">
        <v>69</v>
      </c>
      <c r="E96" s="7" t="s">
        <v>33</v>
      </c>
      <c r="F96" s="6">
        <v>1</v>
      </c>
      <c r="G96" s="6">
        <v>20250401</v>
      </c>
      <c r="H96" s="6" t="s">
        <v>12</v>
      </c>
      <c r="I96" s="8">
        <v>215.88</v>
      </c>
      <c r="J96" s="8">
        <v>3</v>
      </c>
      <c r="K96" s="8">
        <v>3</v>
      </c>
    </row>
    <row r="97" spans="1:11" ht="15.75" x14ac:dyDescent="0.25">
      <c r="A97" s="5" t="s">
        <v>13</v>
      </c>
      <c r="B97" s="6" t="s">
        <v>67</v>
      </c>
      <c r="C97" s="6" t="s">
        <v>70</v>
      </c>
      <c r="D97" s="6" t="s">
        <v>71</v>
      </c>
      <c r="E97" s="7" t="s">
        <v>33</v>
      </c>
      <c r="F97" s="6">
        <v>1</v>
      </c>
      <c r="G97" s="6">
        <v>20250401</v>
      </c>
      <c r="H97" s="6" t="s">
        <v>12</v>
      </c>
      <c r="I97" s="8">
        <v>71.42</v>
      </c>
      <c r="J97" s="8">
        <v>3</v>
      </c>
      <c r="K97" s="8">
        <v>3</v>
      </c>
    </row>
    <row r="98" spans="1:11" ht="15.75" x14ac:dyDescent="0.25">
      <c r="A98" s="5" t="s">
        <v>13</v>
      </c>
      <c r="B98" s="6" t="s">
        <v>72</v>
      </c>
      <c r="C98" s="6" t="s">
        <v>73</v>
      </c>
      <c r="D98" s="6" t="s">
        <v>74</v>
      </c>
      <c r="E98" s="7" t="s">
        <v>11</v>
      </c>
      <c r="F98" s="6">
        <v>-1</v>
      </c>
      <c r="G98" s="6">
        <v>20250201</v>
      </c>
      <c r="H98" s="6" t="s">
        <v>12</v>
      </c>
      <c r="I98" s="8">
        <v>-348.22</v>
      </c>
      <c r="J98" s="8">
        <v>3</v>
      </c>
      <c r="K98" s="8">
        <v>-3</v>
      </c>
    </row>
    <row r="99" spans="1:11" ht="15.75" x14ac:dyDescent="0.25">
      <c r="A99" s="5" t="s">
        <v>13</v>
      </c>
      <c r="B99" s="6" t="s">
        <v>72</v>
      </c>
      <c r="C99" s="6" t="s">
        <v>73</v>
      </c>
      <c r="D99" s="6" t="s">
        <v>74</v>
      </c>
      <c r="E99" s="7" t="s">
        <v>11</v>
      </c>
      <c r="F99" s="6">
        <v>-1</v>
      </c>
      <c r="G99" s="6">
        <v>20250301</v>
      </c>
      <c r="H99" s="6" t="s">
        <v>12</v>
      </c>
      <c r="I99" s="8">
        <v>-348.22</v>
      </c>
      <c r="J99" s="8">
        <v>3</v>
      </c>
      <c r="K99" s="8">
        <v>-3</v>
      </c>
    </row>
    <row r="100" spans="1:11" ht="15.75" x14ac:dyDescent="0.25">
      <c r="A100" s="5" t="s">
        <v>13</v>
      </c>
      <c r="B100" s="6" t="s">
        <v>72</v>
      </c>
      <c r="C100" s="6" t="s">
        <v>75</v>
      </c>
      <c r="D100" s="6" t="s">
        <v>76</v>
      </c>
      <c r="E100" s="7" t="s">
        <v>44</v>
      </c>
      <c r="F100" s="6">
        <v>-1</v>
      </c>
      <c r="G100" s="6">
        <v>20250201</v>
      </c>
      <c r="H100" s="6" t="s">
        <v>12</v>
      </c>
      <c r="I100" s="8">
        <v>-107.75</v>
      </c>
      <c r="J100" s="8">
        <v>3</v>
      </c>
      <c r="K100" s="8">
        <v>-3</v>
      </c>
    </row>
    <row r="101" spans="1:11" ht="15.75" x14ac:dyDescent="0.25">
      <c r="A101" s="5" t="s">
        <v>13</v>
      </c>
      <c r="B101" s="6" t="s">
        <v>72</v>
      </c>
      <c r="C101" s="6" t="s">
        <v>75</v>
      </c>
      <c r="D101" s="6" t="s">
        <v>76</v>
      </c>
      <c r="E101" s="7" t="s">
        <v>44</v>
      </c>
      <c r="F101" s="6">
        <v>-1</v>
      </c>
      <c r="G101" s="6">
        <v>20250301</v>
      </c>
      <c r="H101" s="6" t="s">
        <v>12</v>
      </c>
      <c r="I101" s="8">
        <v>-107.75</v>
      </c>
      <c r="J101" s="8">
        <v>3</v>
      </c>
      <c r="K101" s="8">
        <v>-3</v>
      </c>
    </row>
    <row r="102" spans="1:11" ht="15.75" x14ac:dyDescent="0.25">
      <c r="A102" s="5" t="s">
        <v>13</v>
      </c>
      <c r="B102" s="6" t="s">
        <v>72</v>
      </c>
      <c r="C102" s="6" t="s">
        <v>77</v>
      </c>
      <c r="D102" s="6" t="s">
        <v>78</v>
      </c>
      <c r="E102" s="7" t="s">
        <v>22</v>
      </c>
      <c r="F102" s="6">
        <v>-1</v>
      </c>
      <c r="G102" s="6">
        <v>20250201</v>
      </c>
      <c r="H102" s="6" t="s">
        <v>18</v>
      </c>
      <c r="I102" s="8">
        <v>-361.06</v>
      </c>
      <c r="J102" s="8">
        <v>3</v>
      </c>
      <c r="K102" s="8">
        <v>-3</v>
      </c>
    </row>
    <row r="103" spans="1:11" ht="15.75" x14ac:dyDescent="0.25">
      <c r="A103" s="5" t="s">
        <v>13</v>
      </c>
      <c r="B103" s="6" t="s">
        <v>72</v>
      </c>
      <c r="C103" s="6" t="s">
        <v>77</v>
      </c>
      <c r="D103" s="6" t="s">
        <v>78</v>
      </c>
      <c r="E103" s="7" t="s">
        <v>22</v>
      </c>
      <c r="F103" s="6">
        <v>-1</v>
      </c>
      <c r="G103" s="6">
        <v>20250301</v>
      </c>
      <c r="H103" s="6" t="s">
        <v>18</v>
      </c>
      <c r="I103" s="8">
        <v>-361.06</v>
      </c>
      <c r="J103" s="8">
        <v>3</v>
      </c>
      <c r="K103" s="8">
        <v>-3</v>
      </c>
    </row>
    <row r="104" spans="1:11" ht="15.75" x14ac:dyDescent="0.25">
      <c r="A104" s="5" t="s">
        <v>13</v>
      </c>
      <c r="B104" s="6" t="s">
        <v>72</v>
      </c>
      <c r="C104" s="6" t="s">
        <v>79</v>
      </c>
      <c r="D104" s="6" t="s">
        <v>80</v>
      </c>
      <c r="E104" s="7" t="s">
        <v>50</v>
      </c>
      <c r="F104" s="6">
        <v>-1</v>
      </c>
      <c r="G104" s="6">
        <v>20250201</v>
      </c>
      <c r="H104" s="6" t="s">
        <v>18</v>
      </c>
      <c r="I104" s="8">
        <v>-126.18</v>
      </c>
      <c r="J104" s="8">
        <v>3</v>
      </c>
      <c r="K104" s="8">
        <v>-3</v>
      </c>
    </row>
    <row r="105" spans="1:11" ht="15.75" x14ac:dyDescent="0.25">
      <c r="A105" s="5" t="s">
        <v>13</v>
      </c>
      <c r="B105" s="6" t="s">
        <v>72</v>
      </c>
      <c r="C105" s="6" t="s">
        <v>79</v>
      </c>
      <c r="D105" s="6" t="s">
        <v>80</v>
      </c>
      <c r="E105" s="7" t="s">
        <v>50</v>
      </c>
      <c r="F105" s="6">
        <v>-1</v>
      </c>
      <c r="G105" s="6">
        <v>20250301</v>
      </c>
      <c r="H105" s="6" t="s">
        <v>18</v>
      </c>
      <c r="I105" s="8">
        <v>-126.18</v>
      </c>
      <c r="J105" s="8">
        <v>3</v>
      </c>
      <c r="K105" s="8">
        <v>-3</v>
      </c>
    </row>
    <row r="106" spans="1:11" ht="15.75" x14ac:dyDescent="0.25">
      <c r="A106" s="5" t="s">
        <v>13</v>
      </c>
      <c r="B106" s="6" t="s">
        <v>72</v>
      </c>
      <c r="C106" s="6" t="s">
        <v>81</v>
      </c>
      <c r="D106" s="6" t="s">
        <v>82</v>
      </c>
      <c r="E106" s="7" t="s">
        <v>50</v>
      </c>
      <c r="F106" s="6">
        <v>-1</v>
      </c>
      <c r="G106" s="6">
        <v>20250201</v>
      </c>
      <c r="H106" s="6" t="s">
        <v>18</v>
      </c>
      <c r="I106" s="8">
        <v>-11.9</v>
      </c>
      <c r="J106" s="8">
        <v>3</v>
      </c>
      <c r="K106" s="8">
        <v>-3</v>
      </c>
    </row>
    <row r="107" spans="1:11" ht="15.75" x14ac:dyDescent="0.25">
      <c r="A107" s="5" t="s">
        <v>13</v>
      </c>
      <c r="B107" s="6" t="s">
        <v>72</v>
      </c>
      <c r="C107" s="6" t="s">
        <v>81</v>
      </c>
      <c r="D107" s="6" t="s">
        <v>82</v>
      </c>
      <c r="E107" s="7" t="s">
        <v>50</v>
      </c>
      <c r="F107" s="6">
        <v>-1</v>
      </c>
      <c r="G107" s="6">
        <v>20250301</v>
      </c>
      <c r="H107" s="6" t="s">
        <v>18</v>
      </c>
      <c r="I107" s="8">
        <v>-11.9</v>
      </c>
      <c r="J107" s="8">
        <v>3</v>
      </c>
      <c r="K107" s="8">
        <v>-3</v>
      </c>
    </row>
    <row r="108" spans="1:11" ht="15.75" x14ac:dyDescent="0.25">
      <c r="A108" s="5" t="s">
        <v>13</v>
      </c>
      <c r="B108" s="6" t="s">
        <v>72</v>
      </c>
      <c r="C108" s="6" t="s">
        <v>73</v>
      </c>
      <c r="D108" s="6" t="s">
        <v>74</v>
      </c>
      <c r="E108" s="7" t="s">
        <v>11</v>
      </c>
      <c r="F108" s="6">
        <v>1</v>
      </c>
      <c r="G108" s="6">
        <v>20250201</v>
      </c>
      <c r="H108" s="6" t="s">
        <v>12</v>
      </c>
      <c r="I108" s="8">
        <v>348.22</v>
      </c>
      <c r="J108" s="8">
        <v>3</v>
      </c>
      <c r="K108" s="8">
        <v>3</v>
      </c>
    </row>
    <row r="109" spans="1:11" ht="15.75" x14ac:dyDescent="0.25">
      <c r="A109" s="5" t="s">
        <v>13</v>
      </c>
      <c r="B109" s="6" t="s">
        <v>72</v>
      </c>
      <c r="C109" s="6" t="s">
        <v>73</v>
      </c>
      <c r="D109" s="6" t="s">
        <v>74</v>
      </c>
      <c r="E109" s="7" t="s">
        <v>11</v>
      </c>
      <c r="F109" s="6">
        <v>1</v>
      </c>
      <c r="G109" s="6">
        <v>20250301</v>
      </c>
      <c r="H109" s="6" t="s">
        <v>12</v>
      </c>
      <c r="I109" s="8">
        <v>348.22</v>
      </c>
      <c r="J109" s="8">
        <v>3</v>
      </c>
      <c r="K109" s="8">
        <v>3</v>
      </c>
    </row>
    <row r="110" spans="1:11" ht="15.75" x14ac:dyDescent="0.25">
      <c r="A110" s="5" t="s">
        <v>13</v>
      </c>
      <c r="B110" s="6" t="s">
        <v>72</v>
      </c>
      <c r="C110" s="6" t="s">
        <v>75</v>
      </c>
      <c r="D110" s="6" t="s">
        <v>76</v>
      </c>
      <c r="E110" s="7" t="s">
        <v>44</v>
      </c>
      <c r="F110" s="6">
        <v>1</v>
      </c>
      <c r="G110" s="6">
        <v>20250201</v>
      </c>
      <c r="H110" s="6" t="s">
        <v>12</v>
      </c>
      <c r="I110" s="8">
        <v>107.75</v>
      </c>
      <c r="J110" s="8">
        <v>3</v>
      </c>
      <c r="K110" s="8">
        <v>3</v>
      </c>
    </row>
    <row r="111" spans="1:11" ht="15.75" x14ac:dyDescent="0.25">
      <c r="A111" s="5" t="s">
        <v>13</v>
      </c>
      <c r="B111" s="6" t="s">
        <v>72</v>
      </c>
      <c r="C111" s="6" t="s">
        <v>75</v>
      </c>
      <c r="D111" s="6" t="s">
        <v>76</v>
      </c>
      <c r="E111" s="7" t="s">
        <v>44</v>
      </c>
      <c r="F111" s="6">
        <v>1</v>
      </c>
      <c r="G111" s="6">
        <v>20250301</v>
      </c>
      <c r="H111" s="6" t="s">
        <v>12</v>
      </c>
      <c r="I111" s="8">
        <v>107.75</v>
      </c>
      <c r="J111" s="8">
        <v>3</v>
      </c>
      <c r="K111" s="8">
        <v>3</v>
      </c>
    </row>
    <row r="112" spans="1:11" ht="15.75" x14ac:dyDescent="0.25">
      <c r="A112" s="5" t="s">
        <v>13</v>
      </c>
      <c r="B112" s="6" t="s">
        <v>72</v>
      </c>
      <c r="C112" s="6" t="s">
        <v>75</v>
      </c>
      <c r="D112" s="6" t="s">
        <v>76</v>
      </c>
      <c r="E112" s="7" t="s">
        <v>44</v>
      </c>
      <c r="F112" s="6">
        <v>1</v>
      </c>
      <c r="G112" s="6">
        <v>20250401</v>
      </c>
      <c r="H112" s="6" t="s">
        <v>12</v>
      </c>
      <c r="I112" s="8">
        <v>107.75</v>
      </c>
      <c r="J112" s="8">
        <v>3</v>
      </c>
      <c r="K112" s="8">
        <v>3</v>
      </c>
    </row>
    <row r="113" spans="1:11" ht="15.75" x14ac:dyDescent="0.25">
      <c r="A113" s="5" t="s">
        <v>13</v>
      </c>
      <c r="B113" s="6" t="s">
        <v>72</v>
      </c>
      <c r="C113" s="6" t="s">
        <v>77</v>
      </c>
      <c r="D113" s="6" t="s">
        <v>78</v>
      </c>
      <c r="E113" s="7" t="s">
        <v>22</v>
      </c>
      <c r="F113" s="6">
        <v>1</v>
      </c>
      <c r="G113" s="6">
        <v>20250201</v>
      </c>
      <c r="H113" s="6" t="s">
        <v>18</v>
      </c>
      <c r="I113" s="8">
        <v>361.06</v>
      </c>
      <c r="J113" s="8">
        <v>3</v>
      </c>
      <c r="K113" s="8">
        <v>3</v>
      </c>
    </row>
    <row r="114" spans="1:11" ht="15.75" x14ac:dyDescent="0.25">
      <c r="A114" s="5" t="s">
        <v>13</v>
      </c>
      <c r="B114" s="6" t="s">
        <v>72</v>
      </c>
      <c r="C114" s="6" t="s">
        <v>77</v>
      </c>
      <c r="D114" s="6" t="s">
        <v>78</v>
      </c>
      <c r="E114" s="7" t="s">
        <v>22</v>
      </c>
      <c r="F114" s="6">
        <v>1</v>
      </c>
      <c r="G114" s="6">
        <v>20250301</v>
      </c>
      <c r="H114" s="6" t="s">
        <v>18</v>
      </c>
      <c r="I114" s="8">
        <v>361.06</v>
      </c>
      <c r="J114" s="8">
        <v>3</v>
      </c>
      <c r="K114" s="8">
        <v>3</v>
      </c>
    </row>
    <row r="115" spans="1:11" ht="15.75" x14ac:dyDescent="0.25">
      <c r="A115" s="5" t="s">
        <v>13</v>
      </c>
      <c r="B115" s="6" t="s">
        <v>72</v>
      </c>
      <c r="C115" s="6" t="s">
        <v>79</v>
      </c>
      <c r="D115" s="6" t="s">
        <v>80</v>
      </c>
      <c r="E115" s="7" t="s">
        <v>50</v>
      </c>
      <c r="F115" s="6">
        <v>1</v>
      </c>
      <c r="G115" s="6">
        <v>20250201</v>
      </c>
      <c r="H115" s="6" t="s">
        <v>18</v>
      </c>
      <c r="I115" s="8">
        <v>126.18</v>
      </c>
      <c r="J115" s="8">
        <v>3</v>
      </c>
      <c r="K115" s="8">
        <v>3</v>
      </c>
    </row>
    <row r="116" spans="1:11" ht="15.75" x14ac:dyDescent="0.25">
      <c r="A116" s="5" t="s">
        <v>13</v>
      </c>
      <c r="B116" s="6" t="s">
        <v>72</v>
      </c>
      <c r="C116" s="6" t="s">
        <v>79</v>
      </c>
      <c r="D116" s="6" t="s">
        <v>80</v>
      </c>
      <c r="E116" s="7" t="s">
        <v>50</v>
      </c>
      <c r="F116" s="6">
        <v>1</v>
      </c>
      <c r="G116" s="6">
        <v>20250301</v>
      </c>
      <c r="H116" s="6" t="s">
        <v>18</v>
      </c>
      <c r="I116" s="8">
        <v>126.18</v>
      </c>
      <c r="J116" s="8">
        <v>3</v>
      </c>
      <c r="K116" s="8">
        <v>3</v>
      </c>
    </row>
    <row r="117" spans="1:11" ht="15.75" x14ac:dyDescent="0.25">
      <c r="A117" s="5" t="s">
        <v>13</v>
      </c>
      <c r="B117" s="6" t="s">
        <v>72</v>
      </c>
      <c r="C117" s="6" t="s">
        <v>79</v>
      </c>
      <c r="D117" s="6" t="s">
        <v>80</v>
      </c>
      <c r="E117" s="7" t="s">
        <v>50</v>
      </c>
      <c r="F117" s="6">
        <v>1</v>
      </c>
      <c r="G117" s="6">
        <v>20250401</v>
      </c>
      <c r="H117" s="6" t="s">
        <v>18</v>
      </c>
      <c r="I117" s="8">
        <v>126.18</v>
      </c>
      <c r="J117" s="8">
        <v>3</v>
      </c>
      <c r="K117" s="8">
        <v>3</v>
      </c>
    </row>
    <row r="118" spans="1:11" ht="15.75" x14ac:dyDescent="0.25">
      <c r="A118" s="5" t="s">
        <v>13</v>
      </c>
      <c r="B118" s="6" t="s">
        <v>72</v>
      </c>
      <c r="C118" s="6" t="s">
        <v>81</v>
      </c>
      <c r="D118" s="6" t="s">
        <v>82</v>
      </c>
      <c r="E118" s="7" t="s">
        <v>50</v>
      </c>
      <c r="F118" s="6">
        <v>1</v>
      </c>
      <c r="G118" s="6">
        <v>20250201</v>
      </c>
      <c r="H118" s="6" t="s">
        <v>18</v>
      </c>
      <c r="I118" s="8">
        <v>11.9</v>
      </c>
      <c r="J118" s="8">
        <v>3</v>
      </c>
      <c r="K118" s="8">
        <v>3</v>
      </c>
    </row>
    <row r="119" spans="1:11" ht="15.75" x14ac:dyDescent="0.25">
      <c r="A119" s="5" t="s">
        <v>13</v>
      </c>
      <c r="B119" s="6" t="s">
        <v>72</v>
      </c>
      <c r="C119" s="6" t="s">
        <v>81</v>
      </c>
      <c r="D119" s="6" t="s">
        <v>82</v>
      </c>
      <c r="E119" s="7" t="s">
        <v>50</v>
      </c>
      <c r="F119" s="6">
        <v>1</v>
      </c>
      <c r="G119" s="6">
        <v>20250301</v>
      </c>
      <c r="H119" s="6" t="s">
        <v>18</v>
      </c>
      <c r="I119" s="8">
        <v>11.9</v>
      </c>
      <c r="J119" s="8">
        <v>3</v>
      </c>
      <c r="K119" s="8">
        <v>3</v>
      </c>
    </row>
    <row r="120" spans="1:11" ht="15.75" x14ac:dyDescent="0.25">
      <c r="A120" s="5" t="s">
        <v>13</v>
      </c>
      <c r="B120" s="6" t="s">
        <v>72</v>
      </c>
      <c r="C120" s="6" t="s">
        <v>81</v>
      </c>
      <c r="D120" s="6" t="s">
        <v>82</v>
      </c>
      <c r="E120" s="7" t="s">
        <v>50</v>
      </c>
      <c r="F120" s="6">
        <v>1</v>
      </c>
      <c r="G120" s="6">
        <v>20250401</v>
      </c>
      <c r="H120" s="6" t="s">
        <v>18</v>
      </c>
      <c r="I120" s="8">
        <v>11.9</v>
      </c>
      <c r="J120" s="8">
        <v>3</v>
      </c>
      <c r="K120" s="8">
        <v>3</v>
      </c>
    </row>
    <row r="121" spans="1:11" ht="15.75" x14ac:dyDescent="0.25">
      <c r="A121" s="5" t="s">
        <v>13</v>
      </c>
      <c r="B121" s="6" t="s">
        <v>83</v>
      </c>
      <c r="C121" s="6" t="s">
        <v>84</v>
      </c>
      <c r="D121" s="6" t="s">
        <v>85</v>
      </c>
      <c r="E121" s="7" t="s">
        <v>86</v>
      </c>
      <c r="F121" s="6">
        <v>-2</v>
      </c>
      <c r="G121" s="6">
        <v>20250301</v>
      </c>
      <c r="H121" s="6" t="s">
        <v>18</v>
      </c>
      <c r="I121" s="8">
        <v>-983.89</v>
      </c>
      <c r="J121" s="8">
        <v>3</v>
      </c>
      <c r="K121" s="8">
        <v>-6</v>
      </c>
    </row>
    <row r="122" spans="1:11" ht="15.75" x14ac:dyDescent="0.25">
      <c r="A122" s="5" t="s">
        <v>13</v>
      </c>
      <c r="B122" s="6" t="s">
        <v>83</v>
      </c>
      <c r="C122" s="6" t="s">
        <v>87</v>
      </c>
      <c r="D122" s="6" t="s">
        <v>88</v>
      </c>
      <c r="E122" s="7" t="s">
        <v>86</v>
      </c>
      <c r="F122" s="6">
        <v>-1</v>
      </c>
      <c r="G122" s="6">
        <v>20250201</v>
      </c>
      <c r="H122" s="6" t="s">
        <v>18</v>
      </c>
      <c r="I122" s="8">
        <v>-51.56</v>
      </c>
      <c r="J122" s="8">
        <v>3</v>
      </c>
      <c r="K122" s="8">
        <v>-3</v>
      </c>
    </row>
    <row r="123" spans="1:11" ht="15.75" x14ac:dyDescent="0.25">
      <c r="A123" s="5" t="s">
        <v>13</v>
      </c>
      <c r="B123" s="6" t="s">
        <v>83</v>
      </c>
      <c r="C123" s="6" t="s">
        <v>87</v>
      </c>
      <c r="D123" s="6" t="s">
        <v>88</v>
      </c>
      <c r="E123" s="7" t="s">
        <v>86</v>
      </c>
      <c r="F123" s="6">
        <v>-1</v>
      </c>
      <c r="G123" s="6">
        <v>20250301</v>
      </c>
      <c r="H123" s="6" t="s">
        <v>18</v>
      </c>
      <c r="I123" s="8">
        <v>-51.56</v>
      </c>
      <c r="J123" s="8">
        <v>3</v>
      </c>
      <c r="K123" s="8">
        <v>-3</v>
      </c>
    </row>
    <row r="124" spans="1:11" ht="15.75" x14ac:dyDescent="0.25">
      <c r="A124" s="5" t="s">
        <v>13</v>
      </c>
      <c r="B124" s="6" t="s">
        <v>83</v>
      </c>
      <c r="C124" s="6" t="s">
        <v>89</v>
      </c>
      <c r="D124" s="6" t="s">
        <v>90</v>
      </c>
      <c r="E124" s="7" t="s">
        <v>86</v>
      </c>
      <c r="F124" s="6">
        <v>-1</v>
      </c>
      <c r="G124" s="6">
        <v>20250201</v>
      </c>
      <c r="H124" s="6" t="s">
        <v>18</v>
      </c>
      <c r="I124" s="8">
        <v>-640.73</v>
      </c>
      <c r="J124" s="8">
        <v>3</v>
      </c>
      <c r="K124" s="8">
        <v>-3</v>
      </c>
    </row>
    <row r="125" spans="1:11" ht="15.75" x14ac:dyDescent="0.25">
      <c r="A125" s="5" t="s">
        <v>13</v>
      </c>
      <c r="B125" s="6" t="s">
        <v>83</v>
      </c>
      <c r="C125" s="6" t="s">
        <v>89</v>
      </c>
      <c r="D125" s="6" t="s">
        <v>90</v>
      </c>
      <c r="E125" s="7" t="s">
        <v>86</v>
      </c>
      <c r="F125" s="6">
        <v>-1</v>
      </c>
      <c r="G125" s="6">
        <v>20250301</v>
      </c>
      <c r="H125" s="6" t="s">
        <v>18</v>
      </c>
      <c r="I125" s="8">
        <v>-640.73</v>
      </c>
      <c r="J125" s="8">
        <v>3</v>
      </c>
      <c r="K125" s="8">
        <v>-3</v>
      </c>
    </row>
    <row r="126" spans="1:11" ht="15.75" x14ac:dyDescent="0.25">
      <c r="A126" s="5" t="s">
        <v>13</v>
      </c>
      <c r="B126" s="6" t="s">
        <v>83</v>
      </c>
      <c r="C126" s="6" t="s">
        <v>91</v>
      </c>
      <c r="D126" s="6" t="s">
        <v>92</v>
      </c>
      <c r="E126" s="7" t="s">
        <v>86</v>
      </c>
      <c r="F126" s="6">
        <v>-1</v>
      </c>
      <c r="G126" s="6">
        <v>20250201</v>
      </c>
      <c r="H126" s="6" t="s">
        <v>18</v>
      </c>
      <c r="I126" s="8">
        <v>-258.48</v>
      </c>
      <c r="J126" s="8">
        <v>3</v>
      </c>
      <c r="K126" s="8">
        <v>-3</v>
      </c>
    </row>
    <row r="127" spans="1:11" ht="15.75" x14ac:dyDescent="0.25">
      <c r="A127" s="5" t="s">
        <v>13</v>
      </c>
      <c r="B127" s="6" t="s">
        <v>83</v>
      </c>
      <c r="C127" s="6" t="s">
        <v>91</v>
      </c>
      <c r="D127" s="6" t="s">
        <v>92</v>
      </c>
      <c r="E127" s="7" t="s">
        <v>86</v>
      </c>
      <c r="F127" s="6">
        <v>-1</v>
      </c>
      <c r="G127" s="6">
        <v>20250301</v>
      </c>
      <c r="H127" s="6" t="s">
        <v>18</v>
      </c>
      <c r="I127" s="8">
        <v>-258.48</v>
      </c>
      <c r="J127" s="8">
        <v>3</v>
      </c>
      <c r="K127" s="8">
        <v>-3</v>
      </c>
    </row>
    <row r="128" spans="1:11" ht="15.75" x14ac:dyDescent="0.25">
      <c r="A128" s="5" t="s">
        <v>13</v>
      </c>
      <c r="B128" s="6" t="s">
        <v>83</v>
      </c>
      <c r="C128" s="6" t="s">
        <v>93</v>
      </c>
      <c r="D128" s="6" t="s">
        <v>94</v>
      </c>
      <c r="E128" s="7" t="s">
        <v>86</v>
      </c>
      <c r="F128" s="6">
        <v>-1</v>
      </c>
      <c r="G128" s="6">
        <v>20250201</v>
      </c>
      <c r="H128" s="6" t="s">
        <v>18</v>
      </c>
      <c r="I128" s="8">
        <v>-424.37</v>
      </c>
      <c r="J128" s="8">
        <v>3</v>
      </c>
      <c r="K128" s="8">
        <v>-3</v>
      </c>
    </row>
    <row r="129" spans="1:11" ht="15.75" x14ac:dyDescent="0.25">
      <c r="A129" s="5" t="s">
        <v>13</v>
      </c>
      <c r="B129" s="6" t="s">
        <v>83</v>
      </c>
      <c r="C129" s="6" t="s">
        <v>93</v>
      </c>
      <c r="D129" s="6" t="s">
        <v>94</v>
      </c>
      <c r="E129" s="7" t="s">
        <v>86</v>
      </c>
      <c r="F129" s="6">
        <v>-1</v>
      </c>
      <c r="G129" s="6">
        <v>20250301</v>
      </c>
      <c r="H129" s="6" t="s">
        <v>18</v>
      </c>
      <c r="I129" s="8">
        <v>-37.78</v>
      </c>
      <c r="J129" s="8">
        <v>3</v>
      </c>
      <c r="K129" s="8">
        <v>-3</v>
      </c>
    </row>
    <row r="130" spans="1:11" ht="15.75" x14ac:dyDescent="0.25">
      <c r="A130" s="5" t="s">
        <v>13</v>
      </c>
      <c r="B130" s="6" t="s">
        <v>83</v>
      </c>
      <c r="C130" s="6" t="s">
        <v>95</v>
      </c>
      <c r="D130" s="6" t="s">
        <v>96</v>
      </c>
      <c r="E130" s="7" t="s">
        <v>86</v>
      </c>
      <c r="F130" s="6">
        <v>-1</v>
      </c>
      <c r="G130" s="6">
        <v>20250201</v>
      </c>
      <c r="H130" s="6" t="s">
        <v>18</v>
      </c>
      <c r="I130" s="8">
        <v>-260.33</v>
      </c>
      <c r="J130" s="8">
        <v>3</v>
      </c>
      <c r="K130" s="8">
        <v>-3</v>
      </c>
    </row>
    <row r="131" spans="1:11" ht="15.75" x14ac:dyDescent="0.25">
      <c r="A131" s="5" t="s">
        <v>13</v>
      </c>
      <c r="B131" s="6" t="s">
        <v>83</v>
      </c>
      <c r="C131" s="6" t="s">
        <v>95</v>
      </c>
      <c r="D131" s="6" t="s">
        <v>96</v>
      </c>
      <c r="E131" s="7" t="s">
        <v>86</v>
      </c>
      <c r="F131" s="6">
        <v>-1</v>
      </c>
      <c r="G131" s="6">
        <v>20250301</v>
      </c>
      <c r="H131" s="6" t="s">
        <v>18</v>
      </c>
      <c r="I131" s="8">
        <v>-260.33</v>
      </c>
      <c r="J131" s="8">
        <v>3</v>
      </c>
      <c r="K131" s="8">
        <v>-3</v>
      </c>
    </row>
    <row r="132" spans="1:11" ht="15.75" x14ac:dyDescent="0.25">
      <c r="A132" s="5" t="s">
        <v>13</v>
      </c>
      <c r="B132" s="6" t="s">
        <v>83</v>
      </c>
      <c r="C132" s="6" t="s">
        <v>97</v>
      </c>
      <c r="D132" s="6" t="s">
        <v>98</v>
      </c>
      <c r="E132" s="7" t="s">
        <v>86</v>
      </c>
      <c r="F132" s="6">
        <v>-1</v>
      </c>
      <c r="G132" s="6">
        <v>20250201</v>
      </c>
      <c r="H132" s="6" t="s">
        <v>18</v>
      </c>
      <c r="I132" s="8">
        <v>-1</v>
      </c>
      <c r="J132" s="8">
        <v>3</v>
      </c>
      <c r="K132" s="8">
        <v>-3</v>
      </c>
    </row>
    <row r="133" spans="1:11" ht="15.75" x14ac:dyDescent="0.25">
      <c r="A133" s="5" t="s">
        <v>13</v>
      </c>
      <c r="B133" s="6" t="s">
        <v>83</v>
      </c>
      <c r="C133" s="6" t="s">
        <v>99</v>
      </c>
      <c r="D133" s="6" t="s">
        <v>100</v>
      </c>
      <c r="E133" s="7" t="s">
        <v>86</v>
      </c>
      <c r="F133" s="6">
        <v>-1</v>
      </c>
      <c r="G133" s="6">
        <v>20250201</v>
      </c>
      <c r="H133" s="6" t="s">
        <v>18</v>
      </c>
      <c r="I133" s="8">
        <v>-55.34</v>
      </c>
      <c r="J133" s="8">
        <v>3</v>
      </c>
      <c r="K133" s="8">
        <v>-3</v>
      </c>
    </row>
    <row r="134" spans="1:11" ht="15.75" x14ac:dyDescent="0.25">
      <c r="A134" s="5" t="s">
        <v>13</v>
      </c>
      <c r="B134" s="6" t="s">
        <v>83</v>
      </c>
      <c r="C134" s="6" t="s">
        <v>99</v>
      </c>
      <c r="D134" s="6" t="s">
        <v>100</v>
      </c>
      <c r="E134" s="7" t="s">
        <v>86</v>
      </c>
      <c r="F134" s="6">
        <v>-1</v>
      </c>
      <c r="G134" s="6">
        <v>20250301</v>
      </c>
      <c r="H134" s="6" t="s">
        <v>18</v>
      </c>
      <c r="I134" s="8">
        <v>-55.34</v>
      </c>
      <c r="J134" s="8">
        <v>3</v>
      </c>
      <c r="K134" s="8">
        <v>-3</v>
      </c>
    </row>
    <row r="135" spans="1:11" ht="15.75" x14ac:dyDescent="0.25">
      <c r="A135" s="5" t="s">
        <v>13</v>
      </c>
      <c r="B135" s="6" t="s">
        <v>83</v>
      </c>
      <c r="C135" s="6" t="s">
        <v>101</v>
      </c>
      <c r="D135" s="6" t="s">
        <v>102</v>
      </c>
      <c r="E135" s="7" t="s">
        <v>86</v>
      </c>
      <c r="F135" s="6">
        <v>-1</v>
      </c>
      <c r="G135" s="6">
        <v>20250201</v>
      </c>
      <c r="H135" s="6" t="s">
        <v>18</v>
      </c>
      <c r="I135" s="8">
        <v>-60.04</v>
      </c>
      <c r="J135" s="8">
        <v>3</v>
      </c>
      <c r="K135" s="8">
        <v>-3</v>
      </c>
    </row>
    <row r="136" spans="1:11" ht="15.75" x14ac:dyDescent="0.25">
      <c r="A136" s="5" t="s">
        <v>13</v>
      </c>
      <c r="B136" s="6" t="s">
        <v>83</v>
      </c>
      <c r="C136" s="6" t="s">
        <v>103</v>
      </c>
      <c r="D136" s="6" t="s">
        <v>104</v>
      </c>
      <c r="E136" s="7" t="s">
        <v>86</v>
      </c>
      <c r="F136" s="6">
        <v>-1</v>
      </c>
      <c r="G136" s="6">
        <v>20250201</v>
      </c>
      <c r="H136" s="6" t="s">
        <v>18</v>
      </c>
      <c r="I136" s="8">
        <v>-13.77</v>
      </c>
      <c r="J136" s="8">
        <v>3</v>
      </c>
      <c r="K136" s="8">
        <v>-3</v>
      </c>
    </row>
    <row r="137" spans="1:11" ht="15.75" x14ac:dyDescent="0.25">
      <c r="A137" s="5" t="s">
        <v>13</v>
      </c>
      <c r="B137" s="6" t="s">
        <v>83</v>
      </c>
      <c r="C137" s="6" t="s">
        <v>103</v>
      </c>
      <c r="D137" s="6" t="s">
        <v>104</v>
      </c>
      <c r="E137" s="7" t="s">
        <v>86</v>
      </c>
      <c r="F137" s="6">
        <v>-1</v>
      </c>
      <c r="G137" s="6">
        <v>20250301</v>
      </c>
      <c r="H137" s="6" t="s">
        <v>18</v>
      </c>
      <c r="I137" s="8">
        <v>-13.77</v>
      </c>
      <c r="J137" s="8">
        <v>3</v>
      </c>
      <c r="K137" s="8">
        <v>-3</v>
      </c>
    </row>
    <row r="138" spans="1:11" ht="15.75" x14ac:dyDescent="0.25">
      <c r="A138" s="5" t="s">
        <v>13</v>
      </c>
      <c r="B138" s="6" t="s">
        <v>83</v>
      </c>
      <c r="C138" s="6" t="s">
        <v>105</v>
      </c>
      <c r="D138" s="6" t="s">
        <v>106</v>
      </c>
      <c r="E138" s="7" t="s">
        <v>86</v>
      </c>
      <c r="F138" s="6">
        <v>-1</v>
      </c>
      <c r="G138" s="6">
        <v>20250201</v>
      </c>
      <c r="H138" s="6" t="s">
        <v>18</v>
      </c>
      <c r="I138" s="8">
        <v>-420.4</v>
      </c>
      <c r="J138" s="8">
        <v>3</v>
      </c>
      <c r="K138" s="8">
        <v>-3</v>
      </c>
    </row>
    <row r="139" spans="1:11" ht="15.75" x14ac:dyDescent="0.25">
      <c r="A139" s="5" t="s">
        <v>13</v>
      </c>
      <c r="B139" s="6" t="s">
        <v>83</v>
      </c>
      <c r="C139" s="6" t="s">
        <v>105</v>
      </c>
      <c r="D139" s="6" t="s">
        <v>106</v>
      </c>
      <c r="E139" s="7" t="s">
        <v>86</v>
      </c>
      <c r="F139" s="6">
        <v>-1</v>
      </c>
      <c r="G139" s="6">
        <v>20250301</v>
      </c>
      <c r="H139" s="6" t="s">
        <v>18</v>
      </c>
      <c r="I139" s="8">
        <v>-420.4</v>
      </c>
      <c r="J139" s="8">
        <v>3</v>
      </c>
      <c r="K139" s="8">
        <v>-3</v>
      </c>
    </row>
    <row r="140" spans="1:11" ht="15.75" x14ac:dyDescent="0.25">
      <c r="A140" s="5" t="s">
        <v>13</v>
      </c>
      <c r="B140" s="6" t="s">
        <v>83</v>
      </c>
      <c r="C140" s="6" t="s">
        <v>87</v>
      </c>
      <c r="D140" s="6" t="s">
        <v>88</v>
      </c>
      <c r="E140" s="7" t="s">
        <v>86</v>
      </c>
      <c r="F140" s="6">
        <v>1</v>
      </c>
      <c r="G140" s="6">
        <v>20250201</v>
      </c>
      <c r="H140" s="6" t="s">
        <v>18</v>
      </c>
      <c r="I140" s="8">
        <v>51.56</v>
      </c>
      <c r="J140" s="8">
        <v>3</v>
      </c>
      <c r="K140" s="8">
        <v>3</v>
      </c>
    </row>
    <row r="141" spans="1:11" ht="15.75" x14ac:dyDescent="0.25">
      <c r="A141" s="5" t="s">
        <v>13</v>
      </c>
      <c r="B141" s="6" t="s">
        <v>83</v>
      </c>
      <c r="C141" s="6" t="s">
        <v>87</v>
      </c>
      <c r="D141" s="6" t="s">
        <v>88</v>
      </c>
      <c r="E141" s="7" t="s">
        <v>86</v>
      </c>
      <c r="F141" s="6">
        <v>1</v>
      </c>
      <c r="G141" s="6">
        <v>20250301</v>
      </c>
      <c r="H141" s="6" t="s">
        <v>18</v>
      </c>
      <c r="I141" s="8">
        <v>51.56</v>
      </c>
      <c r="J141" s="8">
        <v>3</v>
      </c>
      <c r="K141" s="8">
        <v>3</v>
      </c>
    </row>
    <row r="142" spans="1:11" ht="15.75" x14ac:dyDescent="0.25">
      <c r="A142" s="5" t="s">
        <v>13</v>
      </c>
      <c r="B142" s="6" t="s">
        <v>83</v>
      </c>
      <c r="C142" s="6" t="s">
        <v>87</v>
      </c>
      <c r="D142" s="6" t="s">
        <v>88</v>
      </c>
      <c r="E142" s="7" t="s">
        <v>86</v>
      </c>
      <c r="F142" s="6">
        <v>1</v>
      </c>
      <c r="G142" s="6">
        <v>20250401</v>
      </c>
      <c r="H142" s="6" t="s">
        <v>18</v>
      </c>
      <c r="I142" s="8">
        <v>51.56</v>
      </c>
      <c r="J142" s="8">
        <v>3</v>
      </c>
      <c r="K142" s="8">
        <v>3</v>
      </c>
    </row>
    <row r="143" spans="1:11" ht="15.75" x14ac:dyDescent="0.25">
      <c r="A143" s="5" t="s">
        <v>13</v>
      </c>
      <c r="B143" s="6" t="s">
        <v>83</v>
      </c>
      <c r="C143" s="6" t="s">
        <v>89</v>
      </c>
      <c r="D143" s="6" t="s">
        <v>90</v>
      </c>
      <c r="E143" s="7" t="s">
        <v>86</v>
      </c>
      <c r="F143" s="6">
        <v>1</v>
      </c>
      <c r="G143" s="6">
        <v>20250201</v>
      </c>
      <c r="H143" s="6" t="s">
        <v>18</v>
      </c>
      <c r="I143" s="8">
        <v>640.73</v>
      </c>
      <c r="J143" s="8">
        <v>3</v>
      </c>
      <c r="K143" s="8">
        <v>3</v>
      </c>
    </row>
    <row r="144" spans="1:11" ht="15.75" x14ac:dyDescent="0.25">
      <c r="A144" s="5" t="s">
        <v>13</v>
      </c>
      <c r="B144" s="6" t="s">
        <v>83</v>
      </c>
      <c r="C144" s="6" t="s">
        <v>89</v>
      </c>
      <c r="D144" s="6" t="s">
        <v>90</v>
      </c>
      <c r="E144" s="7" t="s">
        <v>86</v>
      </c>
      <c r="F144" s="6">
        <v>1</v>
      </c>
      <c r="G144" s="6">
        <v>20250301</v>
      </c>
      <c r="H144" s="6" t="s">
        <v>18</v>
      </c>
      <c r="I144" s="8">
        <v>640.73</v>
      </c>
      <c r="J144" s="8">
        <v>3</v>
      </c>
      <c r="K144" s="8">
        <v>3</v>
      </c>
    </row>
    <row r="145" spans="1:11" ht="15.75" x14ac:dyDescent="0.25">
      <c r="A145" s="5" t="s">
        <v>13</v>
      </c>
      <c r="B145" s="6" t="s">
        <v>83</v>
      </c>
      <c r="C145" s="6" t="s">
        <v>89</v>
      </c>
      <c r="D145" s="6" t="s">
        <v>90</v>
      </c>
      <c r="E145" s="7" t="s">
        <v>86</v>
      </c>
      <c r="F145" s="6">
        <v>1</v>
      </c>
      <c r="G145" s="6">
        <v>20250401</v>
      </c>
      <c r="H145" s="6" t="s">
        <v>18</v>
      </c>
      <c r="I145" s="8">
        <v>640.73</v>
      </c>
      <c r="J145" s="8">
        <v>3</v>
      </c>
      <c r="K145" s="8">
        <v>3</v>
      </c>
    </row>
    <row r="146" spans="1:11" ht="15.75" x14ac:dyDescent="0.25">
      <c r="A146" s="5" t="s">
        <v>13</v>
      </c>
      <c r="B146" s="6" t="s">
        <v>83</v>
      </c>
      <c r="C146" s="6" t="s">
        <v>91</v>
      </c>
      <c r="D146" s="6" t="s">
        <v>92</v>
      </c>
      <c r="E146" s="7" t="s">
        <v>86</v>
      </c>
      <c r="F146" s="6">
        <v>1</v>
      </c>
      <c r="G146" s="6">
        <v>20250201</v>
      </c>
      <c r="H146" s="6" t="s">
        <v>18</v>
      </c>
      <c r="I146" s="8">
        <v>258.48</v>
      </c>
      <c r="J146" s="8">
        <v>3</v>
      </c>
      <c r="K146" s="8">
        <v>3</v>
      </c>
    </row>
    <row r="147" spans="1:11" ht="15.75" x14ac:dyDescent="0.25">
      <c r="A147" s="5" t="s">
        <v>13</v>
      </c>
      <c r="B147" s="6" t="s">
        <v>83</v>
      </c>
      <c r="C147" s="6" t="s">
        <v>91</v>
      </c>
      <c r="D147" s="6" t="s">
        <v>92</v>
      </c>
      <c r="E147" s="7" t="s">
        <v>86</v>
      </c>
      <c r="F147" s="6">
        <v>1</v>
      </c>
      <c r="G147" s="6">
        <v>20250301</v>
      </c>
      <c r="H147" s="6" t="s">
        <v>18</v>
      </c>
      <c r="I147" s="8">
        <v>258.48</v>
      </c>
      <c r="J147" s="8">
        <v>3</v>
      </c>
      <c r="K147" s="8">
        <v>3</v>
      </c>
    </row>
    <row r="148" spans="1:11" ht="15.75" x14ac:dyDescent="0.25">
      <c r="A148" s="5" t="s">
        <v>13</v>
      </c>
      <c r="B148" s="6" t="s">
        <v>83</v>
      </c>
      <c r="C148" s="6" t="s">
        <v>91</v>
      </c>
      <c r="D148" s="6" t="s">
        <v>92</v>
      </c>
      <c r="E148" s="7" t="s">
        <v>86</v>
      </c>
      <c r="F148" s="6">
        <v>1</v>
      </c>
      <c r="G148" s="6">
        <v>20250401</v>
      </c>
      <c r="H148" s="6" t="s">
        <v>18</v>
      </c>
      <c r="I148" s="8">
        <v>258.48</v>
      </c>
      <c r="J148" s="8">
        <v>3</v>
      </c>
      <c r="K148" s="8">
        <v>3</v>
      </c>
    </row>
    <row r="149" spans="1:11" ht="15.75" x14ac:dyDescent="0.25">
      <c r="A149" s="5" t="s">
        <v>13</v>
      </c>
      <c r="B149" s="6" t="s">
        <v>83</v>
      </c>
      <c r="C149" s="6" t="s">
        <v>93</v>
      </c>
      <c r="D149" s="6" t="s">
        <v>94</v>
      </c>
      <c r="E149" s="7" t="s">
        <v>86</v>
      </c>
      <c r="F149" s="6">
        <v>1</v>
      </c>
      <c r="G149" s="6">
        <v>20250201</v>
      </c>
      <c r="H149" s="6" t="s">
        <v>18</v>
      </c>
      <c r="I149" s="8">
        <v>37.78</v>
      </c>
      <c r="J149" s="8">
        <v>3</v>
      </c>
      <c r="K149" s="8">
        <v>3</v>
      </c>
    </row>
    <row r="150" spans="1:11" ht="15.75" x14ac:dyDescent="0.25">
      <c r="A150" s="5" t="s">
        <v>13</v>
      </c>
      <c r="B150" s="6" t="s">
        <v>83</v>
      </c>
      <c r="C150" s="6" t="s">
        <v>93</v>
      </c>
      <c r="D150" s="6" t="s">
        <v>94</v>
      </c>
      <c r="E150" s="7" t="s">
        <v>86</v>
      </c>
      <c r="F150" s="6">
        <v>1</v>
      </c>
      <c r="G150" s="6">
        <v>20250301</v>
      </c>
      <c r="H150" s="6" t="s">
        <v>18</v>
      </c>
      <c r="I150" s="8">
        <v>37.78</v>
      </c>
      <c r="J150" s="8">
        <v>3</v>
      </c>
      <c r="K150" s="8">
        <v>3</v>
      </c>
    </row>
    <row r="151" spans="1:11" ht="15.75" x14ac:dyDescent="0.25">
      <c r="A151" s="5" t="s">
        <v>13</v>
      </c>
      <c r="B151" s="6" t="s">
        <v>83</v>
      </c>
      <c r="C151" s="6" t="s">
        <v>93</v>
      </c>
      <c r="D151" s="6" t="s">
        <v>94</v>
      </c>
      <c r="E151" s="7" t="s">
        <v>86</v>
      </c>
      <c r="F151" s="6">
        <v>1</v>
      </c>
      <c r="G151" s="6">
        <v>20250401</v>
      </c>
      <c r="H151" s="6" t="s">
        <v>18</v>
      </c>
      <c r="I151" s="8">
        <v>37.78</v>
      </c>
      <c r="J151" s="8">
        <v>3</v>
      </c>
      <c r="K151" s="8">
        <v>3</v>
      </c>
    </row>
    <row r="152" spans="1:11" ht="15.75" x14ac:dyDescent="0.25">
      <c r="A152" s="5" t="s">
        <v>13</v>
      </c>
      <c r="B152" s="6" t="s">
        <v>83</v>
      </c>
      <c r="C152" s="6" t="s">
        <v>95</v>
      </c>
      <c r="D152" s="6" t="s">
        <v>96</v>
      </c>
      <c r="E152" s="7" t="s">
        <v>86</v>
      </c>
      <c r="F152" s="6">
        <v>1</v>
      </c>
      <c r="G152" s="6">
        <v>20250201</v>
      </c>
      <c r="H152" s="6" t="s">
        <v>18</v>
      </c>
      <c r="I152" s="8">
        <v>260.33</v>
      </c>
      <c r="J152" s="8">
        <v>3</v>
      </c>
      <c r="K152" s="8">
        <v>3</v>
      </c>
    </row>
    <row r="153" spans="1:11" ht="15.75" x14ac:dyDescent="0.25">
      <c r="A153" s="5" t="s">
        <v>13</v>
      </c>
      <c r="B153" s="6" t="s">
        <v>83</v>
      </c>
      <c r="C153" s="6" t="s">
        <v>95</v>
      </c>
      <c r="D153" s="6" t="s">
        <v>96</v>
      </c>
      <c r="E153" s="7" t="s">
        <v>86</v>
      </c>
      <c r="F153" s="6">
        <v>1</v>
      </c>
      <c r="G153" s="6">
        <v>20250301</v>
      </c>
      <c r="H153" s="6" t="s">
        <v>18</v>
      </c>
      <c r="I153" s="8">
        <v>260.33</v>
      </c>
      <c r="J153" s="8">
        <v>3</v>
      </c>
      <c r="K153" s="8">
        <v>3</v>
      </c>
    </row>
    <row r="154" spans="1:11" ht="15.75" x14ac:dyDescent="0.25">
      <c r="A154" s="5" t="s">
        <v>13</v>
      </c>
      <c r="B154" s="6" t="s">
        <v>83</v>
      </c>
      <c r="C154" s="6" t="s">
        <v>95</v>
      </c>
      <c r="D154" s="6" t="s">
        <v>96</v>
      </c>
      <c r="E154" s="7" t="s">
        <v>86</v>
      </c>
      <c r="F154" s="6">
        <v>1</v>
      </c>
      <c r="G154" s="6">
        <v>20250401</v>
      </c>
      <c r="H154" s="6" t="s">
        <v>18</v>
      </c>
      <c r="I154" s="8">
        <v>260.33</v>
      </c>
      <c r="J154" s="8">
        <v>3</v>
      </c>
      <c r="K154" s="8">
        <v>3</v>
      </c>
    </row>
    <row r="155" spans="1:11" ht="15.75" x14ac:dyDescent="0.25">
      <c r="A155" s="5" t="s">
        <v>13</v>
      </c>
      <c r="B155" s="6" t="s">
        <v>83</v>
      </c>
      <c r="C155" s="6" t="s">
        <v>97</v>
      </c>
      <c r="D155" s="6" t="s">
        <v>98</v>
      </c>
      <c r="E155" s="7" t="s">
        <v>86</v>
      </c>
      <c r="F155" s="6">
        <v>1</v>
      </c>
      <c r="G155" s="6">
        <v>20250201</v>
      </c>
      <c r="H155" s="6" t="s">
        <v>18</v>
      </c>
      <c r="I155" s="8">
        <v>1</v>
      </c>
      <c r="J155" s="8">
        <v>3</v>
      </c>
      <c r="K155" s="8">
        <v>3</v>
      </c>
    </row>
    <row r="156" spans="1:11" ht="15.75" x14ac:dyDescent="0.25">
      <c r="A156" s="5" t="s">
        <v>13</v>
      </c>
      <c r="B156" s="6" t="s">
        <v>83</v>
      </c>
      <c r="C156" s="6" t="s">
        <v>97</v>
      </c>
      <c r="D156" s="6" t="s">
        <v>98</v>
      </c>
      <c r="E156" s="7" t="s">
        <v>86</v>
      </c>
      <c r="F156" s="6">
        <v>1</v>
      </c>
      <c r="G156" s="6">
        <v>20250301</v>
      </c>
      <c r="H156" s="6" t="s">
        <v>18</v>
      </c>
      <c r="I156" s="8">
        <v>1</v>
      </c>
      <c r="J156" s="8">
        <v>3</v>
      </c>
      <c r="K156" s="8">
        <v>3</v>
      </c>
    </row>
    <row r="157" spans="1:11" ht="15.75" x14ac:dyDescent="0.25">
      <c r="A157" s="5" t="s">
        <v>13</v>
      </c>
      <c r="B157" s="6" t="s">
        <v>83</v>
      </c>
      <c r="C157" s="6" t="s">
        <v>99</v>
      </c>
      <c r="D157" s="6" t="s">
        <v>100</v>
      </c>
      <c r="E157" s="7" t="s">
        <v>86</v>
      </c>
      <c r="F157" s="6">
        <v>1</v>
      </c>
      <c r="G157" s="6">
        <v>20250201</v>
      </c>
      <c r="H157" s="6" t="s">
        <v>18</v>
      </c>
      <c r="I157" s="8">
        <v>55.34</v>
      </c>
      <c r="J157" s="8">
        <v>3</v>
      </c>
      <c r="K157" s="8">
        <v>3</v>
      </c>
    </row>
    <row r="158" spans="1:11" ht="15.75" x14ac:dyDescent="0.25">
      <c r="A158" s="5" t="s">
        <v>13</v>
      </c>
      <c r="B158" s="6" t="s">
        <v>83</v>
      </c>
      <c r="C158" s="6" t="s">
        <v>99</v>
      </c>
      <c r="D158" s="6" t="s">
        <v>100</v>
      </c>
      <c r="E158" s="7" t="s">
        <v>86</v>
      </c>
      <c r="F158" s="6">
        <v>1</v>
      </c>
      <c r="G158" s="6">
        <v>20250301</v>
      </c>
      <c r="H158" s="6" t="s">
        <v>18</v>
      </c>
      <c r="I158" s="8">
        <v>55.34</v>
      </c>
      <c r="J158" s="8">
        <v>3</v>
      </c>
      <c r="K158" s="8">
        <v>3</v>
      </c>
    </row>
    <row r="159" spans="1:11" ht="15.75" x14ac:dyDescent="0.25">
      <c r="A159" s="5" t="s">
        <v>13</v>
      </c>
      <c r="B159" s="6" t="s">
        <v>83</v>
      </c>
      <c r="C159" s="6" t="s">
        <v>101</v>
      </c>
      <c r="D159" s="6" t="s">
        <v>102</v>
      </c>
      <c r="E159" s="7" t="s">
        <v>86</v>
      </c>
      <c r="F159" s="6">
        <v>1</v>
      </c>
      <c r="G159" s="6">
        <v>20250201</v>
      </c>
      <c r="H159" s="6" t="s">
        <v>18</v>
      </c>
      <c r="I159" s="8">
        <v>60.04</v>
      </c>
      <c r="J159" s="8">
        <v>3</v>
      </c>
      <c r="K159" s="8">
        <v>3</v>
      </c>
    </row>
    <row r="160" spans="1:11" ht="15.75" x14ac:dyDescent="0.25">
      <c r="A160" s="5" t="s">
        <v>13</v>
      </c>
      <c r="B160" s="6" t="s">
        <v>83</v>
      </c>
      <c r="C160" s="6" t="s">
        <v>101</v>
      </c>
      <c r="D160" s="6" t="s">
        <v>102</v>
      </c>
      <c r="E160" s="7" t="s">
        <v>86</v>
      </c>
      <c r="F160" s="6">
        <v>1</v>
      </c>
      <c r="G160" s="6">
        <v>20250301</v>
      </c>
      <c r="H160" s="6" t="s">
        <v>18</v>
      </c>
      <c r="I160" s="8">
        <v>337.3</v>
      </c>
      <c r="J160" s="8">
        <v>3</v>
      </c>
      <c r="K160" s="8">
        <v>3</v>
      </c>
    </row>
    <row r="161" spans="1:11" ht="15.75" x14ac:dyDescent="0.25">
      <c r="A161" s="5" t="s">
        <v>13</v>
      </c>
      <c r="B161" s="6" t="s">
        <v>83</v>
      </c>
      <c r="C161" s="6" t="s">
        <v>103</v>
      </c>
      <c r="D161" s="6" t="s">
        <v>104</v>
      </c>
      <c r="E161" s="7" t="s">
        <v>86</v>
      </c>
      <c r="F161" s="6">
        <v>1</v>
      </c>
      <c r="G161" s="6">
        <v>20250201</v>
      </c>
      <c r="H161" s="6" t="s">
        <v>18</v>
      </c>
      <c r="I161" s="8">
        <v>13.77</v>
      </c>
      <c r="J161" s="8">
        <v>3</v>
      </c>
      <c r="K161" s="8">
        <v>3</v>
      </c>
    </row>
    <row r="162" spans="1:11" ht="15.75" x14ac:dyDescent="0.25">
      <c r="A162" s="5" t="s">
        <v>13</v>
      </c>
      <c r="B162" s="6" t="s">
        <v>83</v>
      </c>
      <c r="C162" s="6" t="s">
        <v>103</v>
      </c>
      <c r="D162" s="6" t="s">
        <v>104</v>
      </c>
      <c r="E162" s="7" t="s">
        <v>86</v>
      </c>
      <c r="F162" s="6">
        <v>1</v>
      </c>
      <c r="G162" s="6">
        <v>20250301</v>
      </c>
      <c r="H162" s="6" t="s">
        <v>18</v>
      </c>
      <c r="I162" s="8">
        <v>13.77</v>
      </c>
      <c r="J162" s="8">
        <v>3</v>
      </c>
      <c r="K162" s="8">
        <v>3</v>
      </c>
    </row>
    <row r="163" spans="1:11" ht="15.75" x14ac:dyDescent="0.25">
      <c r="A163" s="5" t="s">
        <v>13</v>
      </c>
      <c r="B163" s="6" t="s">
        <v>83</v>
      </c>
      <c r="C163" s="6" t="s">
        <v>105</v>
      </c>
      <c r="D163" s="6" t="s">
        <v>106</v>
      </c>
      <c r="E163" s="7" t="s">
        <v>86</v>
      </c>
      <c r="F163" s="6">
        <v>1</v>
      </c>
      <c r="G163" s="6">
        <v>20250201</v>
      </c>
      <c r="H163" s="6" t="s">
        <v>18</v>
      </c>
      <c r="I163" s="8">
        <v>420.4</v>
      </c>
      <c r="J163" s="8">
        <v>3</v>
      </c>
      <c r="K163" s="8">
        <v>3</v>
      </c>
    </row>
    <row r="164" spans="1:11" ht="15.75" x14ac:dyDescent="0.25">
      <c r="A164" s="5" t="s">
        <v>13</v>
      </c>
      <c r="B164" s="6" t="s">
        <v>83</v>
      </c>
      <c r="C164" s="6" t="s">
        <v>105</v>
      </c>
      <c r="D164" s="6" t="s">
        <v>106</v>
      </c>
      <c r="E164" s="7" t="s">
        <v>86</v>
      </c>
      <c r="F164" s="6">
        <v>1</v>
      </c>
      <c r="G164" s="6">
        <v>20250301</v>
      </c>
      <c r="H164" s="6" t="s">
        <v>18</v>
      </c>
      <c r="I164" s="8">
        <v>420.4</v>
      </c>
      <c r="J164" s="8">
        <v>3</v>
      </c>
      <c r="K164" s="8">
        <v>3</v>
      </c>
    </row>
    <row r="165" spans="1:11" ht="15.75" x14ac:dyDescent="0.25">
      <c r="A165" s="5" t="s">
        <v>13</v>
      </c>
      <c r="B165" s="6" t="s">
        <v>83</v>
      </c>
      <c r="C165" s="6" t="s">
        <v>105</v>
      </c>
      <c r="D165" s="6" t="s">
        <v>106</v>
      </c>
      <c r="E165" s="7" t="s">
        <v>86</v>
      </c>
      <c r="F165" s="6">
        <v>1</v>
      </c>
      <c r="G165" s="6">
        <v>20250401</v>
      </c>
      <c r="H165" s="6" t="s">
        <v>18</v>
      </c>
      <c r="I165" s="8">
        <v>420.4</v>
      </c>
      <c r="J165" s="8">
        <v>3</v>
      </c>
      <c r="K165" s="8">
        <v>3</v>
      </c>
    </row>
    <row r="166" spans="1:11" ht="15.75" x14ac:dyDescent="0.25">
      <c r="A166" s="5" t="s">
        <v>13</v>
      </c>
      <c r="B166" s="6" t="s">
        <v>83</v>
      </c>
      <c r="C166" s="6" t="s">
        <v>107</v>
      </c>
      <c r="D166" s="6" t="s">
        <v>108</v>
      </c>
      <c r="E166" s="7" t="s">
        <v>86</v>
      </c>
      <c r="F166" s="6">
        <v>1</v>
      </c>
      <c r="G166" s="6">
        <v>20250201</v>
      </c>
      <c r="H166" s="6" t="s">
        <v>18</v>
      </c>
      <c r="I166" s="8">
        <v>473.23</v>
      </c>
      <c r="J166" s="8">
        <v>3</v>
      </c>
      <c r="K166" s="8">
        <v>3</v>
      </c>
    </row>
    <row r="167" spans="1:11" ht="15.75" x14ac:dyDescent="0.25">
      <c r="A167" s="5" t="s">
        <v>13</v>
      </c>
      <c r="B167" s="6" t="s">
        <v>83</v>
      </c>
      <c r="C167" s="6" t="s">
        <v>107</v>
      </c>
      <c r="D167" s="6" t="s">
        <v>108</v>
      </c>
      <c r="E167" s="7" t="s">
        <v>86</v>
      </c>
      <c r="F167" s="6">
        <v>1</v>
      </c>
      <c r="G167" s="6">
        <v>20250301</v>
      </c>
      <c r="H167" s="6" t="s">
        <v>18</v>
      </c>
      <c r="I167" s="8">
        <v>473.23</v>
      </c>
      <c r="J167" s="8">
        <v>3</v>
      </c>
      <c r="K167" s="8">
        <v>3</v>
      </c>
    </row>
    <row r="168" spans="1:11" ht="15.75" x14ac:dyDescent="0.25">
      <c r="A168" s="5" t="s">
        <v>13</v>
      </c>
      <c r="B168" s="6" t="s">
        <v>83</v>
      </c>
      <c r="C168" s="6" t="s">
        <v>107</v>
      </c>
      <c r="D168" s="6" t="s">
        <v>108</v>
      </c>
      <c r="E168" s="7" t="s">
        <v>86</v>
      </c>
      <c r="F168" s="6">
        <v>1</v>
      </c>
      <c r="G168" s="6">
        <v>20250401</v>
      </c>
      <c r="H168" s="6" t="s">
        <v>18</v>
      </c>
      <c r="I168" s="8">
        <v>473.23</v>
      </c>
      <c r="J168" s="8">
        <v>3</v>
      </c>
      <c r="K168" s="8">
        <v>3</v>
      </c>
    </row>
    <row r="169" spans="1:11" ht="15.75" x14ac:dyDescent="0.25">
      <c r="A169" s="5" t="s">
        <v>13</v>
      </c>
      <c r="B169" s="6" t="s">
        <v>83</v>
      </c>
      <c r="C169" s="6" t="s">
        <v>109</v>
      </c>
      <c r="D169" s="6" t="s">
        <v>110</v>
      </c>
      <c r="E169" s="7" t="s">
        <v>86</v>
      </c>
      <c r="F169" s="6">
        <v>1</v>
      </c>
      <c r="G169" s="6">
        <v>20250401</v>
      </c>
      <c r="H169" s="6" t="s">
        <v>18</v>
      </c>
      <c r="I169" s="8">
        <v>165.78</v>
      </c>
      <c r="J169" s="8">
        <v>3</v>
      </c>
      <c r="K169" s="8">
        <v>3</v>
      </c>
    </row>
    <row r="170" spans="1:11" ht="15.75" x14ac:dyDescent="0.25">
      <c r="A170" s="5" t="s">
        <v>13</v>
      </c>
      <c r="B170" s="6" t="s">
        <v>83</v>
      </c>
      <c r="C170" s="6" t="s">
        <v>107</v>
      </c>
      <c r="D170" s="6" t="s">
        <v>108</v>
      </c>
      <c r="E170" s="7" t="s">
        <v>86</v>
      </c>
      <c r="F170" s="6">
        <v>1</v>
      </c>
      <c r="G170" s="6">
        <v>20241201</v>
      </c>
      <c r="H170" s="6" t="s">
        <v>18</v>
      </c>
      <c r="I170" s="8">
        <v>439.85</v>
      </c>
      <c r="J170" s="8">
        <v>3</v>
      </c>
      <c r="K170" s="8">
        <v>3</v>
      </c>
    </row>
    <row r="171" spans="1:11" ht="15.75" x14ac:dyDescent="0.25">
      <c r="A171" s="5" t="s">
        <v>13</v>
      </c>
      <c r="B171" s="6" t="s">
        <v>83</v>
      </c>
      <c r="C171" s="6" t="s">
        <v>107</v>
      </c>
      <c r="D171" s="6" t="s">
        <v>108</v>
      </c>
      <c r="E171" s="7" t="s">
        <v>86</v>
      </c>
      <c r="F171" s="6">
        <v>1</v>
      </c>
      <c r="G171" s="6">
        <v>20250101</v>
      </c>
      <c r="H171" s="6" t="s">
        <v>18</v>
      </c>
      <c r="I171" s="8">
        <v>473.23</v>
      </c>
      <c r="J171" s="8">
        <v>3</v>
      </c>
      <c r="K171" s="8">
        <v>3</v>
      </c>
    </row>
    <row r="172" spans="1:11" ht="15.75" x14ac:dyDescent="0.25">
      <c r="A172" s="5" t="s">
        <v>13</v>
      </c>
      <c r="B172" s="6" t="s">
        <v>83</v>
      </c>
      <c r="C172" s="6" t="s">
        <v>84</v>
      </c>
      <c r="D172" s="6" t="s">
        <v>85</v>
      </c>
      <c r="E172" s="7" t="s">
        <v>86</v>
      </c>
      <c r="F172" s="6">
        <v>2</v>
      </c>
      <c r="G172" s="6">
        <v>20250301</v>
      </c>
      <c r="H172" s="6" t="s">
        <v>18</v>
      </c>
      <c r="I172" s="8">
        <v>983.89</v>
      </c>
      <c r="J172" s="8">
        <v>3</v>
      </c>
      <c r="K172" s="8">
        <v>6</v>
      </c>
    </row>
    <row r="173" spans="1:11" ht="15.75" x14ac:dyDescent="0.25">
      <c r="A173" s="5" t="s">
        <v>13</v>
      </c>
      <c r="B173" s="6" t="s">
        <v>83</v>
      </c>
      <c r="C173" s="6" t="s">
        <v>111</v>
      </c>
      <c r="D173" s="6" t="s">
        <v>112</v>
      </c>
      <c r="E173" s="7" t="s">
        <v>86</v>
      </c>
      <c r="F173" s="6">
        <v>2</v>
      </c>
      <c r="G173" s="6">
        <v>20250201</v>
      </c>
      <c r="H173" s="6" t="s">
        <v>18</v>
      </c>
      <c r="I173" s="8">
        <v>4.1500000000000004</v>
      </c>
      <c r="J173" s="8">
        <v>3</v>
      </c>
      <c r="K173" s="8">
        <v>6</v>
      </c>
    </row>
    <row r="174" spans="1:11" ht="15.75" x14ac:dyDescent="0.25">
      <c r="A174" s="5" t="s">
        <v>13</v>
      </c>
      <c r="B174" s="6" t="s">
        <v>83</v>
      </c>
      <c r="C174" s="6" t="s">
        <v>111</v>
      </c>
      <c r="D174" s="6" t="s">
        <v>112</v>
      </c>
      <c r="E174" s="7" t="s">
        <v>86</v>
      </c>
      <c r="F174" s="6">
        <v>2</v>
      </c>
      <c r="G174" s="6">
        <v>20250301</v>
      </c>
      <c r="H174" s="6" t="s">
        <v>18</v>
      </c>
      <c r="I174" s="8">
        <v>4.1500000000000004</v>
      </c>
      <c r="J174" s="8">
        <v>3</v>
      </c>
      <c r="K174" s="8">
        <v>6</v>
      </c>
    </row>
    <row r="175" spans="1:11" ht="15.75" x14ac:dyDescent="0.25">
      <c r="A175" s="5" t="s">
        <v>13</v>
      </c>
      <c r="B175" s="6" t="s">
        <v>113</v>
      </c>
      <c r="C175" s="6" t="s">
        <v>114</v>
      </c>
      <c r="D175" s="6" t="s">
        <v>115</v>
      </c>
      <c r="E175" s="7" t="s">
        <v>17</v>
      </c>
      <c r="F175" s="6">
        <v>-2</v>
      </c>
      <c r="G175" s="6">
        <v>20250201</v>
      </c>
      <c r="H175" s="6" t="s">
        <v>18</v>
      </c>
      <c r="I175" s="8">
        <v>-508.69</v>
      </c>
      <c r="J175" s="8">
        <v>3</v>
      </c>
      <c r="K175" s="8">
        <v>-6</v>
      </c>
    </row>
    <row r="176" spans="1:11" ht="15.75" x14ac:dyDescent="0.25">
      <c r="A176" s="5" t="s">
        <v>13</v>
      </c>
      <c r="B176" s="6" t="s">
        <v>113</v>
      </c>
      <c r="C176" s="6" t="s">
        <v>114</v>
      </c>
      <c r="D176" s="6" t="s">
        <v>115</v>
      </c>
      <c r="E176" s="7" t="s">
        <v>17</v>
      </c>
      <c r="F176" s="6">
        <v>-2</v>
      </c>
      <c r="G176" s="6">
        <v>20250301</v>
      </c>
      <c r="H176" s="6" t="s">
        <v>18</v>
      </c>
      <c r="I176" s="8">
        <v>-508.69</v>
      </c>
      <c r="J176" s="8">
        <v>3</v>
      </c>
      <c r="K176" s="8">
        <v>-6</v>
      </c>
    </row>
    <row r="177" spans="1:11" ht="15.75" x14ac:dyDescent="0.25">
      <c r="A177" s="5" t="s">
        <v>13</v>
      </c>
      <c r="B177" s="6" t="s">
        <v>113</v>
      </c>
      <c r="C177" s="6" t="s">
        <v>116</v>
      </c>
      <c r="D177" s="6" t="s">
        <v>117</v>
      </c>
      <c r="E177" s="7" t="s">
        <v>33</v>
      </c>
      <c r="F177" s="6">
        <v>-1</v>
      </c>
      <c r="G177" s="6">
        <v>20250201</v>
      </c>
      <c r="H177" s="6" t="s">
        <v>12</v>
      </c>
      <c r="I177" s="8">
        <v>-868.53</v>
      </c>
      <c r="J177" s="8">
        <v>3</v>
      </c>
      <c r="K177" s="8">
        <v>-3</v>
      </c>
    </row>
    <row r="178" spans="1:11" ht="15.75" x14ac:dyDescent="0.25">
      <c r="A178" s="5" t="s">
        <v>13</v>
      </c>
      <c r="B178" s="6" t="s">
        <v>113</v>
      </c>
      <c r="C178" s="6" t="s">
        <v>116</v>
      </c>
      <c r="D178" s="6" t="s">
        <v>117</v>
      </c>
      <c r="E178" s="7" t="s">
        <v>33</v>
      </c>
      <c r="F178" s="6">
        <v>-1</v>
      </c>
      <c r="G178" s="6">
        <v>20250301</v>
      </c>
      <c r="H178" s="6" t="s">
        <v>12</v>
      </c>
      <c r="I178" s="8">
        <v>-868.53</v>
      </c>
      <c r="J178" s="8">
        <v>3</v>
      </c>
      <c r="K178" s="8">
        <v>-3</v>
      </c>
    </row>
    <row r="179" spans="1:11" ht="15.75" x14ac:dyDescent="0.25">
      <c r="A179" s="5" t="s">
        <v>13</v>
      </c>
      <c r="B179" s="6" t="s">
        <v>113</v>
      </c>
      <c r="C179" s="6" t="s">
        <v>118</v>
      </c>
      <c r="D179" s="6" t="s">
        <v>119</v>
      </c>
      <c r="E179" s="7" t="s">
        <v>22</v>
      </c>
      <c r="F179" s="6">
        <v>-1</v>
      </c>
      <c r="G179" s="6">
        <v>20250201</v>
      </c>
      <c r="H179" s="6" t="s">
        <v>18</v>
      </c>
      <c r="I179" s="8">
        <v>-324.38</v>
      </c>
      <c r="J179" s="8">
        <v>3</v>
      </c>
      <c r="K179" s="8">
        <v>-3</v>
      </c>
    </row>
    <row r="180" spans="1:11" ht="15.75" x14ac:dyDescent="0.25">
      <c r="A180" s="5" t="s">
        <v>13</v>
      </c>
      <c r="B180" s="6" t="s">
        <v>113</v>
      </c>
      <c r="C180" s="6" t="s">
        <v>118</v>
      </c>
      <c r="D180" s="6" t="s">
        <v>119</v>
      </c>
      <c r="E180" s="7" t="s">
        <v>22</v>
      </c>
      <c r="F180" s="6">
        <v>-1</v>
      </c>
      <c r="G180" s="6">
        <v>20250301</v>
      </c>
      <c r="H180" s="6" t="s">
        <v>18</v>
      </c>
      <c r="I180" s="8">
        <v>-324.38</v>
      </c>
      <c r="J180" s="8">
        <v>3</v>
      </c>
      <c r="K180" s="8">
        <v>-3</v>
      </c>
    </row>
    <row r="181" spans="1:11" ht="15.75" x14ac:dyDescent="0.25">
      <c r="A181" s="5" t="s">
        <v>13</v>
      </c>
      <c r="B181" s="6" t="s">
        <v>113</v>
      </c>
      <c r="C181" s="6" t="s">
        <v>116</v>
      </c>
      <c r="D181" s="6" t="s">
        <v>117</v>
      </c>
      <c r="E181" s="7" t="s">
        <v>33</v>
      </c>
      <c r="F181" s="6">
        <v>1</v>
      </c>
      <c r="G181" s="6">
        <v>20250201</v>
      </c>
      <c r="H181" s="6" t="s">
        <v>12</v>
      </c>
      <c r="I181" s="8">
        <v>868.53</v>
      </c>
      <c r="J181" s="8">
        <v>3</v>
      </c>
      <c r="K181" s="8">
        <v>3</v>
      </c>
    </row>
    <row r="182" spans="1:11" ht="15.75" x14ac:dyDescent="0.25">
      <c r="A182" s="5" t="s">
        <v>13</v>
      </c>
      <c r="B182" s="6" t="s">
        <v>113</v>
      </c>
      <c r="C182" s="6" t="s">
        <v>116</v>
      </c>
      <c r="D182" s="6" t="s">
        <v>117</v>
      </c>
      <c r="E182" s="7" t="s">
        <v>33</v>
      </c>
      <c r="F182" s="6">
        <v>1</v>
      </c>
      <c r="G182" s="6">
        <v>20250301</v>
      </c>
      <c r="H182" s="6" t="s">
        <v>12</v>
      </c>
      <c r="I182" s="8">
        <v>868.53</v>
      </c>
      <c r="J182" s="8">
        <v>3</v>
      </c>
      <c r="K182" s="8">
        <v>3</v>
      </c>
    </row>
    <row r="183" spans="1:11" ht="15.75" x14ac:dyDescent="0.25">
      <c r="A183" s="5" t="s">
        <v>13</v>
      </c>
      <c r="B183" s="6" t="s">
        <v>113</v>
      </c>
      <c r="C183" s="6" t="s">
        <v>116</v>
      </c>
      <c r="D183" s="6" t="s">
        <v>117</v>
      </c>
      <c r="E183" s="7" t="s">
        <v>33</v>
      </c>
      <c r="F183" s="6">
        <v>1</v>
      </c>
      <c r="G183" s="6">
        <v>20250401</v>
      </c>
      <c r="H183" s="6" t="s">
        <v>12</v>
      </c>
      <c r="I183" s="8">
        <v>868.53</v>
      </c>
      <c r="J183" s="8">
        <v>3</v>
      </c>
      <c r="K183" s="8">
        <v>3</v>
      </c>
    </row>
    <row r="184" spans="1:11" ht="15.75" x14ac:dyDescent="0.25">
      <c r="A184" s="5" t="s">
        <v>13</v>
      </c>
      <c r="B184" s="6" t="s">
        <v>113</v>
      </c>
      <c r="C184" s="6" t="s">
        <v>118</v>
      </c>
      <c r="D184" s="6" t="s">
        <v>119</v>
      </c>
      <c r="E184" s="7" t="s">
        <v>22</v>
      </c>
      <c r="F184" s="6">
        <v>1</v>
      </c>
      <c r="G184" s="6">
        <v>20250201</v>
      </c>
      <c r="H184" s="6" t="s">
        <v>18</v>
      </c>
      <c r="I184" s="8">
        <v>324.38</v>
      </c>
      <c r="J184" s="8">
        <v>3</v>
      </c>
      <c r="K184" s="8">
        <v>3</v>
      </c>
    </row>
    <row r="185" spans="1:11" ht="15.75" x14ac:dyDescent="0.25">
      <c r="A185" s="5" t="s">
        <v>13</v>
      </c>
      <c r="B185" s="6" t="s">
        <v>113</v>
      </c>
      <c r="C185" s="6" t="s">
        <v>118</v>
      </c>
      <c r="D185" s="6" t="s">
        <v>119</v>
      </c>
      <c r="E185" s="7" t="s">
        <v>22</v>
      </c>
      <c r="F185" s="6">
        <v>1</v>
      </c>
      <c r="G185" s="6">
        <v>20250301</v>
      </c>
      <c r="H185" s="6" t="s">
        <v>18</v>
      </c>
      <c r="I185" s="8">
        <v>324.38</v>
      </c>
      <c r="J185" s="8">
        <v>3</v>
      </c>
      <c r="K185" s="8">
        <v>3</v>
      </c>
    </row>
    <row r="186" spans="1:11" ht="15.75" x14ac:dyDescent="0.25">
      <c r="A186" s="5" t="s">
        <v>13</v>
      </c>
      <c r="B186" s="6" t="s">
        <v>113</v>
      </c>
      <c r="C186" s="6" t="s">
        <v>118</v>
      </c>
      <c r="D186" s="6" t="s">
        <v>119</v>
      </c>
      <c r="E186" s="7" t="s">
        <v>22</v>
      </c>
      <c r="F186" s="6">
        <v>1</v>
      </c>
      <c r="G186" s="6">
        <v>20250401</v>
      </c>
      <c r="H186" s="6" t="s">
        <v>18</v>
      </c>
      <c r="I186" s="8">
        <v>324.38</v>
      </c>
      <c r="J186" s="8">
        <v>3</v>
      </c>
      <c r="K186" s="8">
        <v>3</v>
      </c>
    </row>
    <row r="187" spans="1:11" ht="15.75" x14ac:dyDescent="0.25">
      <c r="A187" s="5" t="s">
        <v>13</v>
      </c>
      <c r="B187" s="6" t="s">
        <v>113</v>
      </c>
      <c r="C187" s="6" t="s">
        <v>114</v>
      </c>
      <c r="D187" s="6" t="s">
        <v>115</v>
      </c>
      <c r="E187" s="7" t="s">
        <v>17</v>
      </c>
      <c r="F187" s="6">
        <v>2</v>
      </c>
      <c r="G187" s="6">
        <v>20250201</v>
      </c>
      <c r="H187" s="6" t="s">
        <v>18</v>
      </c>
      <c r="I187" s="8">
        <v>508.69</v>
      </c>
      <c r="J187" s="8">
        <v>3</v>
      </c>
      <c r="K187" s="8">
        <v>6</v>
      </c>
    </row>
    <row r="188" spans="1:11" ht="15.75" x14ac:dyDescent="0.25">
      <c r="A188" s="5" t="s">
        <v>13</v>
      </c>
      <c r="B188" s="6" t="s">
        <v>113</v>
      </c>
      <c r="C188" s="6" t="s">
        <v>114</v>
      </c>
      <c r="D188" s="6" t="s">
        <v>115</v>
      </c>
      <c r="E188" s="7" t="s">
        <v>17</v>
      </c>
      <c r="F188" s="6">
        <v>2</v>
      </c>
      <c r="G188" s="6">
        <v>20250301</v>
      </c>
      <c r="H188" s="6" t="s">
        <v>18</v>
      </c>
      <c r="I188" s="8">
        <v>508.69</v>
      </c>
      <c r="J188" s="8">
        <v>3</v>
      </c>
      <c r="K188" s="8">
        <v>6</v>
      </c>
    </row>
    <row r="189" spans="1:11" ht="15.75" x14ac:dyDescent="0.25">
      <c r="A189" s="5" t="s">
        <v>13</v>
      </c>
      <c r="B189" s="6" t="s">
        <v>113</v>
      </c>
      <c r="C189" s="6" t="s">
        <v>114</v>
      </c>
      <c r="D189" s="6" t="s">
        <v>115</v>
      </c>
      <c r="E189" s="7" t="s">
        <v>17</v>
      </c>
      <c r="F189" s="6">
        <v>2</v>
      </c>
      <c r="G189" s="6">
        <v>20250401</v>
      </c>
      <c r="H189" s="6" t="s">
        <v>18</v>
      </c>
      <c r="I189" s="8">
        <v>508.69</v>
      </c>
      <c r="J189" s="8">
        <v>3</v>
      </c>
      <c r="K189" s="8">
        <v>6</v>
      </c>
    </row>
    <row r="190" spans="1:11" ht="15.75" x14ac:dyDescent="0.25">
      <c r="A190" s="5" t="s">
        <v>13</v>
      </c>
      <c r="B190" s="6" t="s">
        <v>120</v>
      </c>
      <c r="C190" s="6" t="s">
        <v>121</v>
      </c>
      <c r="D190" s="6" t="s">
        <v>122</v>
      </c>
      <c r="E190" s="7" t="s">
        <v>86</v>
      </c>
      <c r="F190" s="6">
        <v>-4</v>
      </c>
      <c r="G190" s="6">
        <v>20250201</v>
      </c>
      <c r="H190" s="6" t="s">
        <v>18</v>
      </c>
      <c r="I190" s="8">
        <v>-513.26</v>
      </c>
      <c r="J190" s="8">
        <v>3</v>
      </c>
      <c r="K190" s="8">
        <v>-12</v>
      </c>
    </row>
    <row r="191" spans="1:11" ht="15.75" x14ac:dyDescent="0.25">
      <c r="A191" s="5" t="s">
        <v>13</v>
      </c>
      <c r="B191" s="6" t="s">
        <v>120</v>
      </c>
      <c r="C191" s="6" t="s">
        <v>121</v>
      </c>
      <c r="D191" s="6" t="s">
        <v>122</v>
      </c>
      <c r="E191" s="7" t="s">
        <v>86</v>
      </c>
      <c r="F191" s="6">
        <v>-4</v>
      </c>
      <c r="G191" s="6">
        <v>20250301</v>
      </c>
      <c r="H191" s="6" t="s">
        <v>18</v>
      </c>
      <c r="I191" s="8">
        <v>-513.26</v>
      </c>
      <c r="J191" s="8">
        <v>3</v>
      </c>
      <c r="K191" s="8">
        <v>-12</v>
      </c>
    </row>
    <row r="192" spans="1:11" ht="15.75" x14ac:dyDescent="0.25">
      <c r="A192" s="5" t="s">
        <v>13</v>
      </c>
      <c r="B192" s="6" t="s">
        <v>120</v>
      </c>
      <c r="C192" s="6" t="s">
        <v>123</v>
      </c>
      <c r="D192" s="6" t="s">
        <v>124</v>
      </c>
      <c r="E192" s="7" t="s">
        <v>86</v>
      </c>
      <c r="F192" s="6">
        <v>-4</v>
      </c>
      <c r="G192" s="6">
        <v>20250201</v>
      </c>
      <c r="H192" s="6" t="s">
        <v>18</v>
      </c>
      <c r="I192" s="8">
        <v>-438.09</v>
      </c>
      <c r="J192" s="8">
        <v>3</v>
      </c>
      <c r="K192" s="8">
        <v>-12</v>
      </c>
    </row>
    <row r="193" spans="1:11" ht="15.75" x14ac:dyDescent="0.25">
      <c r="A193" s="5" t="s">
        <v>13</v>
      </c>
      <c r="B193" s="6" t="s">
        <v>120</v>
      </c>
      <c r="C193" s="6" t="s">
        <v>125</v>
      </c>
      <c r="D193" s="6" t="s">
        <v>126</v>
      </c>
      <c r="E193" s="7" t="s">
        <v>86</v>
      </c>
      <c r="F193" s="6">
        <v>-3</v>
      </c>
      <c r="G193" s="6">
        <v>20250201</v>
      </c>
      <c r="H193" s="6" t="s">
        <v>18</v>
      </c>
      <c r="I193" s="8">
        <v>-847.34</v>
      </c>
      <c r="J193" s="8">
        <v>3</v>
      </c>
      <c r="K193" s="8">
        <v>-9</v>
      </c>
    </row>
    <row r="194" spans="1:11" ht="15.75" x14ac:dyDescent="0.25">
      <c r="A194" s="5" t="s">
        <v>13</v>
      </c>
      <c r="B194" s="6" t="s">
        <v>120</v>
      </c>
      <c r="C194" s="6" t="s">
        <v>125</v>
      </c>
      <c r="D194" s="6" t="s">
        <v>126</v>
      </c>
      <c r="E194" s="7" t="s">
        <v>86</v>
      </c>
      <c r="F194" s="6">
        <v>-3</v>
      </c>
      <c r="G194" s="6">
        <v>20250301</v>
      </c>
      <c r="H194" s="6" t="s">
        <v>18</v>
      </c>
      <c r="I194" s="8">
        <v>-847.34</v>
      </c>
      <c r="J194" s="8">
        <v>3</v>
      </c>
      <c r="K194" s="8">
        <v>-9</v>
      </c>
    </row>
    <row r="195" spans="1:11" ht="15.75" x14ac:dyDescent="0.25">
      <c r="A195" s="5" t="s">
        <v>13</v>
      </c>
      <c r="B195" s="6" t="s">
        <v>120</v>
      </c>
      <c r="C195" s="6" t="s">
        <v>127</v>
      </c>
      <c r="D195" s="6" t="s">
        <v>128</v>
      </c>
      <c r="E195" s="7" t="s">
        <v>86</v>
      </c>
      <c r="F195" s="6">
        <v>-3</v>
      </c>
      <c r="G195" s="6">
        <v>20250201</v>
      </c>
      <c r="H195" s="6" t="s">
        <v>18</v>
      </c>
      <c r="I195" s="8">
        <v>-468.79</v>
      </c>
      <c r="J195" s="8">
        <v>3</v>
      </c>
      <c r="K195" s="8">
        <v>-9</v>
      </c>
    </row>
    <row r="196" spans="1:11" ht="15.75" x14ac:dyDescent="0.25">
      <c r="A196" s="5" t="s">
        <v>13</v>
      </c>
      <c r="B196" s="6" t="s">
        <v>120</v>
      </c>
      <c r="C196" s="6" t="s">
        <v>127</v>
      </c>
      <c r="D196" s="6" t="s">
        <v>128</v>
      </c>
      <c r="E196" s="7" t="s">
        <v>86</v>
      </c>
      <c r="F196" s="6">
        <v>-3</v>
      </c>
      <c r="G196" s="6">
        <v>20250301</v>
      </c>
      <c r="H196" s="6" t="s">
        <v>18</v>
      </c>
      <c r="I196" s="8">
        <v>-468.79</v>
      </c>
      <c r="J196" s="8">
        <v>3</v>
      </c>
      <c r="K196" s="8">
        <v>-9</v>
      </c>
    </row>
    <row r="197" spans="1:11" ht="15.75" x14ac:dyDescent="0.25">
      <c r="A197" s="5" t="s">
        <v>13</v>
      </c>
      <c r="B197" s="6" t="s">
        <v>120</v>
      </c>
      <c r="C197" s="6" t="s">
        <v>129</v>
      </c>
      <c r="D197" s="6" t="s">
        <v>130</v>
      </c>
      <c r="E197" s="7" t="s">
        <v>86</v>
      </c>
      <c r="F197" s="6">
        <v>-3</v>
      </c>
      <c r="G197" s="6">
        <v>20250201</v>
      </c>
      <c r="H197" s="6" t="s">
        <v>18</v>
      </c>
      <c r="I197" s="8">
        <v>-1053.33</v>
      </c>
      <c r="J197" s="8">
        <v>3</v>
      </c>
      <c r="K197" s="8">
        <v>-9</v>
      </c>
    </row>
    <row r="198" spans="1:11" ht="15.75" x14ac:dyDescent="0.25">
      <c r="A198" s="5" t="s">
        <v>13</v>
      </c>
      <c r="B198" s="6" t="s">
        <v>120</v>
      </c>
      <c r="C198" s="6" t="s">
        <v>129</v>
      </c>
      <c r="D198" s="6" t="s">
        <v>130</v>
      </c>
      <c r="E198" s="7" t="s">
        <v>86</v>
      </c>
      <c r="F198" s="6">
        <v>-3</v>
      </c>
      <c r="G198" s="6">
        <v>20250301</v>
      </c>
      <c r="H198" s="6" t="s">
        <v>18</v>
      </c>
      <c r="I198" s="8">
        <v>-1053.33</v>
      </c>
      <c r="J198" s="8">
        <v>3</v>
      </c>
      <c r="K198" s="8">
        <v>-9</v>
      </c>
    </row>
    <row r="199" spans="1:11" ht="15.75" x14ac:dyDescent="0.25">
      <c r="A199" s="5" t="s">
        <v>13</v>
      </c>
      <c r="B199" s="6" t="s">
        <v>120</v>
      </c>
      <c r="C199" s="6" t="s">
        <v>131</v>
      </c>
      <c r="D199" s="6" t="s">
        <v>132</v>
      </c>
      <c r="E199" s="7" t="s">
        <v>86</v>
      </c>
      <c r="F199" s="6">
        <v>-2</v>
      </c>
      <c r="G199" s="6">
        <v>20250201</v>
      </c>
      <c r="H199" s="6" t="s">
        <v>18</v>
      </c>
      <c r="I199" s="8">
        <v>-86.34</v>
      </c>
      <c r="J199" s="8">
        <v>3</v>
      </c>
      <c r="K199" s="8">
        <v>-6</v>
      </c>
    </row>
    <row r="200" spans="1:11" ht="15.75" x14ac:dyDescent="0.25">
      <c r="A200" s="5" t="s">
        <v>13</v>
      </c>
      <c r="B200" s="6" t="s">
        <v>120</v>
      </c>
      <c r="C200" s="6" t="s">
        <v>131</v>
      </c>
      <c r="D200" s="6" t="s">
        <v>132</v>
      </c>
      <c r="E200" s="7" t="s">
        <v>86</v>
      </c>
      <c r="F200" s="6">
        <v>-2</v>
      </c>
      <c r="G200" s="6">
        <v>20250301</v>
      </c>
      <c r="H200" s="6" t="s">
        <v>18</v>
      </c>
      <c r="I200" s="8">
        <v>-86.34</v>
      </c>
      <c r="J200" s="8">
        <v>3</v>
      </c>
      <c r="K200" s="8">
        <v>-6</v>
      </c>
    </row>
    <row r="201" spans="1:11" ht="15.75" x14ac:dyDescent="0.25">
      <c r="A201" s="5" t="s">
        <v>13</v>
      </c>
      <c r="B201" s="6" t="s">
        <v>120</v>
      </c>
      <c r="C201" s="6" t="s">
        <v>133</v>
      </c>
      <c r="D201" s="6" t="s">
        <v>134</v>
      </c>
      <c r="E201" s="7" t="s">
        <v>86</v>
      </c>
      <c r="F201" s="6">
        <v>-2</v>
      </c>
      <c r="G201" s="6">
        <v>20250201</v>
      </c>
      <c r="H201" s="6" t="s">
        <v>18</v>
      </c>
      <c r="I201" s="8">
        <v>-149.62</v>
      </c>
      <c r="J201" s="8">
        <v>3</v>
      </c>
      <c r="K201" s="8">
        <v>-6</v>
      </c>
    </row>
    <row r="202" spans="1:11" ht="15.75" x14ac:dyDescent="0.25">
      <c r="A202" s="5" t="s">
        <v>13</v>
      </c>
      <c r="B202" s="6" t="s">
        <v>120</v>
      </c>
      <c r="C202" s="6" t="s">
        <v>133</v>
      </c>
      <c r="D202" s="6" t="s">
        <v>134</v>
      </c>
      <c r="E202" s="7" t="s">
        <v>86</v>
      </c>
      <c r="F202" s="6">
        <v>-2</v>
      </c>
      <c r="G202" s="6">
        <v>20250301</v>
      </c>
      <c r="H202" s="6" t="s">
        <v>18</v>
      </c>
      <c r="I202" s="8">
        <v>-149.62</v>
      </c>
      <c r="J202" s="8">
        <v>3</v>
      </c>
      <c r="K202" s="8">
        <v>-6</v>
      </c>
    </row>
    <row r="203" spans="1:11" ht="15.75" x14ac:dyDescent="0.25">
      <c r="A203" s="5" t="s">
        <v>13</v>
      </c>
      <c r="B203" s="6" t="s">
        <v>120</v>
      </c>
      <c r="C203" s="6" t="s">
        <v>135</v>
      </c>
      <c r="D203" s="6" t="s">
        <v>136</v>
      </c>
      <c r="E203" s="7" t="s">
        <v>86</v>
      </c>
      <c r="F203" s="6">
        <v>-2</v>
      </c>
      <c r="G203" s="6">
        <v>20250201</v>
      </c>
      <c r="H203" s="6" t="s">
        <v>18</v>
      </c>
      <c r="I203" s="8">
        <v>-621.96</v>
      </c>
      <c r="J203" s="8">
        <v>3</v>
      </c>
      <c r="K203" s="8">
        <v>-6</v>
      </c>
    </row>
    <row r="204" spans="1:11" ht="15.75" x14ac:dyDescent="0.25">
      <c r="A204" s="5" t="s">
        <v>13</v>
      </c>
      <c r="B204" s="6" t="s">
        <v>120</v>
      </c>
      <c r="C204" s="6" t="s">
        <v>137</v>
      </c>
      <c r="D204" s="6" t="s">
        <v>138</v>
      </c>
      <c r="E204" s="7" t="s">
        <v>86</v>
      </c>
      <c r="F204" s="6">
        <v>-2</v>
      </c>
      <c r="G204" s="6">
        <v>20250201</v>
      </c>
      <c r="H204" s="6" t="s">
        <v>18</v>
      </c>
      <c r="I204" s="8">
        <v>-62.71</v>
      </c>
      <c r="J204" s="8">
        <v>3</v>
      </c>
      <c r="K204" s="8">
        <v>-6</v>
      </c>
    </row>
    <row r="205" spans="1:11" ht="15.75" x14ac:dyDescent="0.25">
      <c r="A205" s="5" t="s">
        <v>13</v>
      </c>
      <c r="B205" s="6" t="s">
        <v>120</v>
      </c>
      <c r="C205" s="6" t="s">
        <v>137</v>
      </c>
      <c r="D205" s="6" t="s">
        <v>138</v>
      </c>
      <c r="E205" s="7" t="s">
        <v>86</v>
      </c>
      <c r="F205" s="6">
        <v>-2</v>
      </c>
      <c r="G205" s="6">
        <v>20250301</v>
      </c>
      <c r="H205" s="6" t="s">
        <v>18</v>
      </c>
      <c r="I205" s="8">
        <v>-62.71</v>
      </c>
      <c r="J205" s="8">
        <v>3</v>
      </c>
      <c r="K205" s="8">
        <v>-6</v>
      </c>
    </row>
    <row r="206" spans="1:11" ht="15.75" x14ac:dyDescent="0.25">
      <c r="A206" s="5" t="s">
        <v>13</v>
      </c>
      <c r="B206" s="6" t="s">
        <v>120</v>
      </c>
      <c r="C206" s="6" t="s">
        <v>139</v>
      </c>
      <c r="D206" s="6" t="s">
        <v>140</v>
      </c>
      <c r="E206" s="7" t="s">
        <v>86</v>
      </c>
      <c r="F206" s="6">
        <v>-2</v>
      </c>
      <c r="G206" s="6">
        <v>20250201</v>
      </c>
      <c r="H206" s="6" t="s">
        <v>18</v>
      </c>
      <c r="I206" s="8">
        <v>-2.78</v>
      </c>
      <c r="J206" s="8">
        <v>3</v>
      </c>
      <c r="K206" s="8">
        <v>-6</v>
      </c>
    </row>
    <row r="207" spans="1:11" ht="15.75" x14ac:dyDescent="0.25">
      <c r="A207" s="5" t="s">
        <v>13</v>
      </c>
      <c r="B207" s="6" t="s">
        <v>120</v>
      </c>
      <c r="C207" s="6" t="s">
        <v>141</v>
      </c>
      <c r="D207" s="6" t="s">
        <v>142</v>
      </c>
      <c r="E207" s="7" t="s">
        <v>86</v>
      </c>
      <c r="F207" s="6">
        <v>-1</v>
      </c>
      <c r="G207" s="6">
        <v>20250201</v>
      </c>
      <c r="H207" s="6" t="s">
        <v>18</v>
      </c>
      <c r="I207" s="8">
        <v>-533.29999999999995</v>
      </c>
      <c r="J207" s="8">
        <v>3</v>
      </c>
      <c r="K207" s="8">
        <v>-3</v>
      </c>
    </row>
    <row r="208" spans="1:11" ht="15.75" x14ac:dyDescent="0.25">
      <c r="A208" s="5" t="s">
        <v>13</v>
      </c>
      <c r="B208" s="6" t="s">
        <v>120</v>
      </c>
      <c r="C208" s="6" t="s">
        <v>141</v>
      </c>
      <c r="D208" s="6" t="s">
        <v>142</v>
      </c>
      <c r="E208" s="7" t="s">
        <v>86</v>
      </c>
      <c r="F208" s="6">
        <v>-1</v>
      </c>
      <c r="G208" s="6">
        <v>20250301</v>
      </c>
      <c r="H208" s="6" t="s">
        <v>18</v>
      </c>
      <c r="I208" s="8">
        <v>-533.29999999999995</v>
      </c>
      <c r="J208" s="8">
        <v>3</v>
      </c>
      <c r="K208" s="8">
        <v>-3</v>
      </c>
    </row>
    <row r="209" spans="1:11" ht="15.75" x14ac:dyDescent="0.25">
      <c r="A209" s="5" t="s">
        <v>13</v>
      </c>
      <c r="B209" s="6" t="s">
        <v>120</v>
      </c>
      <c r="C209" s="6" t="s">
        <v>143</v>
      </c>
      <c r="D209" s="6" t="s">
        <v>144</v>
      </c>
      <c r="E209" s="7" t="s">
        <v>86</v>
      </c>
      <c r="F209" s="6">
        <v>-1</v>
      </c>
      <c r="G209" s="6">
        <v>20250201</v>
      </c>
      <c r="H209" s="6" t="s">
        <v>18</v>
      </c>
      <c r="I209" s="8">
        <v>-87.38</v>
      </c>
      <c r="J209" s="8">
        <v>3</v>
      </c>
      <c r="K209" s="8">
        <v>-3</v>
      </c>
    </row>
    <row r="210" spans="1:11" ht="15.75" x14ac:dyDescent="0.25">
      <c r="A210" s="5" t="s">
        <v>13</v>
      </c>
      <c r="B210" s="6" t="s">
        <v>120</v>
      </c>
      <c r="C210" s="6" t="s">
        <v>143</v>
      </c>
      <c r="D210" s="6" t="s">
        <v>144</v>
      </c>
      <c r="E210" s="7" t="s">
        <v>86</v>
      </c>
      <c r="F210" s="6">
        <v>-1</v>
      </c>
      <c r="G210" s="6">
        <v>20250301</v>
      </c>
      <c r="H210" s="6" t="s">
        <v>18</v>
      </c>
      <c r="I210" s="8">
        <v>-29.68</v>
      </c>
      <c r="J210" s="8">
        <v>3</v>
      </c>
      <c r="K210" s="8">
        <v>-3</v>
      </c>
    </row>
    <row r="211" spans="1:11" ht="15.75" x14ac:dyDescent="0.25">
      <c r="A211" s="5" t="s">
        <v>13</v>
      </c>
      <c r="B211" s="6" t="s">
        <v>120</v>
      </c>
      <c r="C211" s="6" t="s">
        <v>145</v>
      </c>
      <c r="D211" s="6" t="s">
        <v>146</v>
      </c>
      <c r="E211" s="7" t="s">
        <v>86</v>
      </c>
      <c r="F211" s="6">
        <v>-1</v>
      </c>
      <c r="G211" s="6">
        <v>20250201</v>
      </c>
      <c r="H211" s="6" t="s">
        <v>18</v>
      </c>
      <c r="I211" s="8">
        <v>-225.91</v>
      </c>
      <c r="J211" s="8">
        <v>3</v>
      </c>
      <c r="K211" s="8">
        <v>-3</v>
      </c>
    </row>
    <row r="212" spans="1:11" ht="15.75" x14ac:dyDescent="0.25">
      <c r="A212" s="5" t="s">
        <v>13</v>
      </c>
      <c r="B212" s="6" t="s">
        <v>120</v>
      </c>
      <c r="C212" s="6" t="s">
        <v>145</v>
      </c>
      <c r="D212" s="6" t="s">
        <v>146</v>
      </c>
      <c r="E212" s="7" t="s">
        <v>86</v>
      </c>
      <c r="F212" s="6">
        <v>-1</v>
      </c>
      <c r="G212" s="6">
        <v>20250301</v>
      </c>
      <c r="H212" s="6" t="s">
        <v>18</v>
      </c>
      <c r="I212" s="8">
        <v>-225.91</v>
      </c>
      <c r="J212" s="8">
        <v>3</v>
      </c>
      <c r="K212" s="8">
        <v>-3</v>
      </c>
    </row>
    <row r="213" spans="1:11" ht="15.75" x14ac:dyDescent="0.25">
      <c r="A213" s="5" t="s">
        <v>13</v>
      </c>
      <c r="B213" s="6" t="s">
        <v>120</v>
      </c>
      <c r="C213" s="6" t="s">
        <v>147</v>
      </c>
      <c r="D213" s="6" t="s">
        <v>148</v>
      </c>
      <c r="E213" s="7" t="s">
        <v>86</v>
      </c>
      <c r="F213" s="6">
        <v>-1</v>
      </c>
      <c r="G213" s="6">
        <v>20250201</v>
      </c>
      <c r="H213" s="6" t="s">
        <v>18</v>
      </c>
      <c r="I213" s="8">
        <v>-32.159999999999997</v>
      </c>
      <c r="J213" s="8">
        <v>3</v>
      </c>
      <c r="K213" s="8">
        <v>-3</v>
      </c>
    </row>
    <row r="214" spans="1:11" ht="15.75" x14ac:dyDescent="0.25">
      <c r="A214" s="5" t="s">
        <v>13</v>
      </c>
      <c r="B214" s="6" t="s">
        <v>120</v>
      </c>
      <c r="C214" s="6" t="s">
        <v>147</v>
      </c>
      <c r="D214" s="6" t="s">
        <v>148</v>
      </c>
      <c r="E214" s="7" t="s">
        <v>86</v>
      </c>
      <c r="F214" s="6">
        <v>-1</v>
      </c>
      <c r="G214" s="6">
        <v>20250301</v>
      </c>
      <c r="H214" s="6" t="s">
        <v>18</v>
      </c>
      <c r="I214" s="8">
        <v>-32.159999999999997</v>
      </c>
      <c r="J214" s="8">
        <v>3</v>
      </c>
      <c r="K214" s="8">
        <v>-3</v>
      </c>
    </row>
    <row r="215" spans="1:11" ht="15.75" x14ac:dyDescent="0.25">
      <c r="A215" s="5" t="s">
        <v>13</v>
      </c>
      <c r="B215" s="6" t="s">
        <v>120</v>
      </c>
      <c r="C215" s="6" t="s">
        <v>149</v>
      </c>
      <c r="D215" s="6" t="s">
        <v>150</v>
      </c>
      <c r="E215" s="7" t="s">
        <v>86</v>
      </c>
      <c r="F215" s="6">
        <v>-1</v>
      </c>
      <c r="G215" s="6">
        <v>20250201</v>
      </c>
      <c r="H215" s="6" t="s">
        <v>18</v>
      </c>
      <c r="I215" s="8">
        <v>-387.35</v>
      </c>
      <c r="J215" s="8">
        <v>3</v>
      </c>
      <c r="K215" s="8">
        <v>-3</v>
      </c>
    </row>
    <row r="216" spans="1:11" ht="15.75" x14ac:dyDescent="0.25">
      <c r="A216" s="5" t="s">
        <v>13</v>
      </c>
      <c r="B216" s="6" t="s">
        <v>120</v>
      </c>
      <c r="C216" s="6" t="s">
        <v>151</v>
      </c>
      <c r="D216" s="6" t="s">
        <v>152</v>
      </c>
      <c r="E216" s="7" t="s">
        <v>86</v>
      </c>
      <c r="F216" s="6">
        <v>-1</v>
      </c>
      <c r="G216" s="6">
        <v>20250201</v>
      </c>
      <c r="H216" s="6" t="s">
        <v>18</v>
      </c>
      <c r="I216" s="8">
        <v>-362.1</v>
      </c>
      <c r="J216" s="8">
        <v>3</v>
      </c>
      <c r="K216" s="8">
        <v>-3</v>
      </c>
    </row>
    <row r="217" spans="1:11" ht="15.75" x14ac:dyDescent="0.25">
      <c r="A217" s="5" t="s">
        <v>13</v>
      </c>
      <c r="B217" s="6" t="s">
        <v>120</v>
      </c>
      <c r="C217" s="6" t="s">
        <v>151</v>
      </c>
      <c r="D217" s="6" t="s">
        <v>152</v>
      </c>
      <c r="E217" s="7" t="s">
        <v>86</v>
      </c>
      <c r="F217" s="6">
        <v>-1</v>
      </c>
      <c r="G217" s="6">
        <v>20250301</v>
      </c>
      <c r="H217" s="6" t="s">
        <v>18</v>
      </c>
      <c r="I217" s="8">
        <v>-362.1</v>
      </c>
      <c r="J217" s="8">
        <v>3</v>
      </c>
      <c r="K217" s="8">
        <v>-3</v>
      </c>
    </row>
    <row r="218" spans="1:11" ht="15.75" x14ac:dyDescent="0.25">
      <c r="A218" s="5" t="s">
        <v>13</v>
      </c>
      <c r="B218" s="6" t="s">
        <v>120</v>
      </c>
      <c r="C218" s="6" t="s">
        <v>153</v>
      </c>
      <c r="D218" s="6" t="s">
        <v>154</v>
      </c>
      <c r="E218" s="7" t="s">
        <v>86</v>
      </c>
      <c r="F218" s="6">
        <v>-1</v>
      </c>
      <c r="G218" s="6">
        <v>20250201</v>
      </c>
      <c r="H218" s="6" t="s">
        <v>18</v>
      </c>
      <c r="I218" s="8">
        <v>-446.73</v>
      </c>
      <c r="J218" s="8">
        <v>3</v>
      </c>
      <c r="K218" s="8">
        <v>-3</v>
      </c>
    </row>
    <row r="219" spans="1:11" ht="15.75" x14ac:dyDescent="0.25">
      <c r="A219" s="5" t="s">
        <v>13</v>
      </c>
      <c r="B219" s="6" t="s">
        <v>120</v>
      </c>
      <c r="C219" s="6" t="s">
        <v>153</v>
      </c>
      <c r="D219" s="6" t="s">
        <v>154</v>
      </c>
      <c r="E219" s="7" t="s">
        <v>86</v>
      </c>
      <c r="F219" s="6">
        <v>-1</v>
      </c>
      <c r="G219" s="6">
        <v>20250301</v>
      </c>
      <c r="H219" s="6" t="s">
        <v>18</v>
      </c>
      <c r="I219" s="8">
        <v>-446.73</v>
      </c>
      <c r="J219" s="8">
        <v>3</v>
      </c>
      <c r="K219" s="8">
        <v>-3</v>
      </c>
    </row>
    <row r="220" spans="1:11" ht="15.75" x14ac:dyDescent="0.25">
      <c r="A220" s="5" t="s">
        <v>13</v>
      </c>
      <c r="B220" s="6" t="s">
        <v>120</v>
      </c>
      <c r="C220" s="6" t="s">
        <v>155</v>
      </c>
      <c r="D220" s="6" t="s">
        <v>156</v>
      </c>
      <c r="E220" s="7" t="s">
        <v>86</v>
      </c>
      <c r="F220" s="6">
        <v>-1</v>
      </c>
      <c r="G220" s="6">
        <v>20250201</v>
      </c>
      <c r="H220" s="6" t="s">
        <v>18</v>
      </c>
      <c r="I220" s="8">
        <v>-187.08</v>
      </c>
      <c r="J220" s="8">
        <v>3</v>
      </c>
      <c r="K220" s="8">
        <v>-3</v>
      </c>
    </row>
    <row r="221" spans="1:11" ht="15.75" x14ac:dyDescent="0.25">
      <c r="A221" s="5" t="s">
        <v>13</v>
      </c>
      <c r="B221" s="6" t="s">
        <v>120</v>
      </c>
      <c r="C221" s="6" t="s">
        <v>155</v>
      </c>
      <c r="D221" s="6" t="s">
        <v>156</v>
      </c>
      <c r="E221" s="7" t="s">
        <v>86</v>
      </c>
      <c r="F221" s="6">
        <v>-1</v>
      </c>
      <c r="G221" s="6">
        <v>20250301</v>
      </c>
      <c r="H221" s="6" t="s">
        <v>18</v>
      </c>
      <c r="I221" s="8">
        <v>-187.08</v>
      </c>
      <c r="J221" s="8">
        <v>3</v>
      </c>
      <c r="K221" s="8">
        <v>-3</v>
      </c>
    </row>
    <row r="222" spans="1:11" ht="15.75" x14ac:dyDescent="0.25">
      <c r="A222" s="5" t="s">
        <v>13</v>
      </c>
      <c r="B222" s="6" t="s">
        <v>120</v>
      </c>
      <c r="C222" s="6" t="s">
        <v>157</v>
      </c>
      <c r="D222" s="6" t="s">
        <v>158</v>
      </c>
      <c r="E222" s="7" t="s">
        <v>86</v>
      </c>
      <c r="F222" s="6">
        <v>-1</v>
      </c>
      <c r="G222" s="6">
        <v>20250201</v>
      </c>
      <c r="H222" s="6" t="s">
        <v>18</v>
      </c>
      <c r="I222" s="8">
        <v>-1</v>
      </c>
      <c r="J222" s="8">
        <v>3</v>
      </c>
      <c r="K222" s="8">
        <v>-3</v>
      </c>
    </row>
    <row r="223" spans="1:11" ht="15.75" x14ac:dyDescent="0.25">
      <c r="A223" s="5" t="s">
        <v>13</v>
      </c>
      <c r="B223" s="6" t="s">
        <v>120</v>
      </c>
      <c r="C223" s="6" t="s">
        <v>159</v>
      </c>
      <c r="D223" s="6" t="s">
        <v>160</v>
      </c>
      <c r="E223" s="7" t="s">
        <v>86</v>
      </c>
      <c r="F223" s="6">
        <v>-1</v>
      </c>
      <c r="G223" s="6">
        <v>20250201</v>
      </c>
      <c r="H223" s="6" t="s">
        <v>18</v>
      </c>
      <c r="I223" s="8">
        <v>-219.28</v>
      </c>
      <c r="J223" s="8">
        <v>3</v>
      </c>
      <c r="K223" s="8">
        <v>-3</v>
      </c>
    </row>
    <row r="224" spans="1:11" ht="15.75" x14ac:dyDescent="0.25">
      <c r="A224" s="5" t="s">
        <v>13</v>
      </c>
      <c r="B224" s="6" t="s">
        <v>120</v>
      </c>
      <c r="C224" s="6" t="s">
        <v>159</v>
      </c>
      <c r="D224" s="6" t="s">
        <v>160</v>
      </c>
      <c r="E224" s="7" t="s">
        <v>86</v>
      </c>
      <c r="F224" s="6">
        <v>-1</v>
      </c>
      <c r="G224" s="6">
        <v>20250301</v>
      </c>
      <c r="H224" s="6" t="s">
        <v>18</v>
      </c>
      <c r="I224" s="8">
        <v>-219.28</v>
      </c>
      <c r="J224" s="8">
        <v>3</v>
      </c>
      <c r="K224" s="8">
        <v>-3</v>
      </c>
    </row>
    <row r="225" spans="1:11" ht="15.75" x14ac:dyDescent="0.25">
      <c r="A225" s="5" t="s">
        <v>13</v>
      </c>
      <c r="B225" s="6" t="s">
        <v>120</v>
      </c>
      <c r="C225" s="6" t="s">
        <v>161</v>
      </c>
      <c r="D225" s="6" t="s">
        <v>162</v>
      </c>
      <c r="E225" s="7" t="s">
        <v>86</v>
      </c>
      <c r="F225" s="6">
        <v>-1</v>
      </c>
      <c r="G225" s="6">
        <v>20250201</v>
      </c>
      <c r="H225" s="6" t="s">
        <v>18</v>
      </c>
      <c r="I225" s="8">
        <v>-2.0499999999999998</v>
      </c>
      <c r="J225" s="8">
        <v>3</v>
      </c>
      <c r="K225" s="8">
        <v>-3</v>
      </c>
    </row>
    <row r="226" spans="1:11" ht="15.75" x14ac:dyDescent="0.25">
      <c r="A226" s="5" t="s">
        <v>13</v>
      </c>
      <c r="B226" s="6" t="s">
        <v>120</v>
      </c>
      <c r="C226" s="6" t="s">
        <v>163</v>
      </c>
      <c r="D226" s="6" t="s">
        <v>164</v>
      </c>
      <c r="E226" s="7" t="s">
        <v>86</v>
      </c>
      <c r="F226" s="6">
        <v>-1</v>
      </c>
      <c r="G226" s="6">
        <v>20250201</v>
      </c>
      <c r="H226" s="6" t="s">
        <v>18</v>
      </c>
      <c r="I226" s="8">
        <v>-97.95</v>
      </c>
      <c r="J226" s="8">
        <v>3</v>
      </c>
      <c r="K226" s="8">
        <v>-3</v>
      </c>
    </row>
    <row r="227" spans="1:11" ht="15.75" x14ac:dyDescent="0.25">
      <c r="A227" s="5" t="s">
        <v>13</v>
      </c>
      <c r="B227" s="6" t="s">
        <v>120</v>
      </c>
      <c r="C227" s="6" t="s">
        <v>163</v>
      </c>
      <c r="D227" s="6" t="s">
        <v>164</v>
      </c>
      <c r="E227" s="7" t="s">
        <v>86</v>
      </c>
      <c r="F227" s="6">
        <v>-1</v>
      </c>
      <c r="G227" s="6">
        <v>20250301</v>
      </c>
      <c r="H227" s="6" t="s">
        <v>18</v>
      </c>
      <c r="I227" s="8">
        <v>-97.95</v>
      </c>
      <c r="J227" s="8">
        <v>3</v>
      </c>
      <c r="K227" s="8">
        <v>-3</v>
      </c>
    </row>
    <row r="228" spans="1:11" ht="15.75" x14ac:dyDescent="0.25">
      <c r="A228" s="5" t="s">
        <v>13</v>
      </c>
      <c r="B228" s="6" t="s">
        <v>120</v>
      </c>
      <c r="C228" s="6" t="s">
        <v>165</v>
      </c>
      <c r="D228" s="6" t="s">
        <v>166</v>
      </c>
      <c r="E228" s="7" t="s">
        <v>86</v>
      </c>
      <c r="F228" s="6">
        <v>-1</v>
      </c>
      <c r="G228" s="6">
        <v>20250201</v>
      </c>
      <c r="H228" s="6" t="s">
        <v>18</v>
      </c>
      <c r="I228" s="8">
        <v>-102.52</v>
      </c>
      <c r="J228" s="8">
        <v>3</v>
      </c>
      <c r="K228" s="8">
        <v>-3</v>
      </c>
    </row>
    <row r="229" spans="1:11" ht="15.75" x14ac:dyDescent="0.25">
      <c r="A229" s="5" t="s">
        <v>13</v>
      </c>
      <c r="B229" s="6" t="s">
        <v>120</v>
      </c>
      <c r="C229" s="6" t="s">
        <v>165</v>
      </c>
      <c r="D229" s="6" t="s">
        <v>166</v>
      </c>
      <c r="E229" s="7" t="s">
        <v>86</v>
      </c>
      <c r="F229" s="6">
        <v>-1</v>
      </c>
      <c r="G229" s="6">
        <v>20250301</v>
      </c>
      <c r="H229" s="6" t="s">
        <v>18</v>
      </c>
      <c r="I229" s="8">
        <v>-102.52</v>
      </c>
      <c r="J229" s="8">
        <v>3</v>
      </c>
      <c r="K229" s="8">
        <v>-3</v>
      </c>
    </row>
    <row r="230" spans="1:11" ht="15.75" x14ac:dyDescent="0.25">
      <c r="A230" s="5" t="s">
        <v>13</v>
      </c>
      <c r="B230" s="6" t="s">
        <v>120</v>
      </c>
      <c r="C230" s="6" t="s">
        <v>167</v>
      </c>
      <c r="D230" s="6" t="s">
        <v>168</v>
      </c>
      <c r="E230" s="7" t="s">
        <v>86</v>
      </c>
      <c r="F230" s="6">
        <v>-1</v>
      </c>
      <c r="G230" s="6">
        <v>20250201</v>
      </c>
      <c r="H230" s="6" t="s">
        <v>18</v>
      </c>
      <c r="I230" s="8">
        <v>-225.95</v>
      </c>
      <c r="J230" s="8">
        <v>3</v>
      </c>
      <c r="K230" s="8">
        <v>-3</v>
      </c>
    </row>
    <row r="231" spans="1:11" ht="15.75" x14ac:dyDescent="0.25">
      <c r="A231" s="5" t="s">
        <v>13</v>
      </c>
      <c r="B231" s="6" t="s">
        <v>120</v>
      </c>
      <c r="C231" s="6" t="s">
        <v>167</v>
      </c>
      <c r="D231" s="6" t="s">
        <v>168</v>
      </c>
      <c r="E231" s="7" t="s">
        <v>86</v>
      </c>
      <c r="F231" s="6">
        <v>-1</v>
      </c>
      <c r="G231" s="6">
        <v>20250301</v>
      </c>
      <c r="H231" s="6" t="s">
        <v>18</v>
      </c>
      <c r="I231" s="8">
        <v>-225.95</v>
      </c>
      <c r="J231" s="8">
        <v>3</v>
      </c>
      <c r="K231" s="8">
        <v>-3</v>
      </c>
    </row>
    <row r="232" spans="1:11" ht="15.75" x14ac:dyDescent="0.25">
      <c r="A232" s="5" t="s">
        <v>13</v>
      </c>
      <c r="B232" s="6" t="s">
        <v>120</v>
      </c>
      <c r="C232" s="6" t="s">
        <v>169</v>
      </c>
      <c r="D232" s="6" t="s">
        <v>170</v>
      </c>
      <c r="E232" s="7" t="s">
        <v>86</v>
      </c>
      <c r="F232" s="6">
        <v>-1</v>
      </c>
      <c r="G232" s="6">
        <v>20250201</v>
      </c>
      <c r="H232" s="6" t="s">
        <v>18</v>
      </c>
      <c r="I232" s="8">
        <v>-265.89999999999998</v>
      </c>
      <c r="J232" s="8">
        <v>3</v>
      </c>
      <c r="K232" s="8">
        <v>-3</v>
      </c>
    </row>
    <row r="233" spans="1:11" ht="15.75" x14ac:dyDescent="0.25">
      <c r="A233" s="5" t="s">
        <v>13</v>
      </c>
      <c r="B233" s="6" t="s">
        <v>120</v>
      </c>
      <c r="C233" s="6" t="s">
        <v>171</v>
      </c>
      <c r="D233" s="6" t="s">
        <v>172</v>
      </c>
      <c r="E233" s="7" t="s">
        <v>86</v>
      </c>
      <c r="F233" s="6">
        <v>-1</v>
      </c>
      <c r="G233" s="6">
        <v>20250201</v>
      </c>
      <c r="H233" s="6" t="s">
        <v>18</v>
      </c>
      <c r="I233" s="8">
        <v>-869.74</v>
      </c>
      <c r="J233" s="8">
        <v>3</v>
      </c>
      <c r="K233" s="8">
        <v>-3</v>
      </c>
    </row>
    <row r="234" spans="1:11" ht="15.75" x14ac:dyDescent="0.25">
      <c r="A234" s="5" t="s">
        <v>13</v>
      </c>
      <c r="B234" s="6" t="s">
        <v>120</v>
      </c>
      <c r="C234" s="6" t="s">
        <v>171</v>
      </c>
      <c r="D234" s="6" t="s">
        <v>172</v>
      </c>
      <c r="E234" s="7" t="s">
        <v>86</v>
      </c>
      <c r="F234" s="6">
        <v>-1</v>
      </c>
      <c r="G234" s="6">
        <v>20250301</v>
      </c>
      <c r="H234" s="6" t="s">
        <v>18</v>
      </c>
      <c r="I234" s="8">
        <v>-869.74</v>
      </c>
      <c r="J234" s="8">
        <v>3</v>
      </c>
      <c r="K234" s="8">
        <v>-3</v>
      </c>
    </row>
    <row r="235" spans="1:11" ht="15.75" x14ac:dyDescent="0.25">
      <c r="A235" s="5" t="s">
        <v>13</v>
      </c>
      <c r="B235" s="6" t="s">
        <v>120</v>
      </c>
      <c r="C235" s="6" t="s">
        <v>173</v>
      </c>
      <c r="D235" s="6" t="s">
        <v>174</v>
      </c>
      <c r="E235" s="7" t="s">
        <v>86</v>
      </c>
      <c r="F235" s="6">
        <v>-1</v>
      </c>
      <c r="G235" s="6">
        <v>20250201</v>
      </c>
      <c r="H235" s="6" t="s">
        <v>18</v>
      </c>
      <c r="I235" s="8">
        <v>-283.73</v>
      </c>
      <c r="J235" s="8">
        <v>3</v>
      </c>
      <c r="K235" s="8">
        <v>-3</v>
      </c>
    </row>
    <row r="236" spans="1:11" ht="15.75" x14ac:dyDescent="0.25">
      <c r="A236" s="5" t="s">
        <v>13</v>
      </c>
      <c r="B236" s="6" t="s">
        <v>120</v>
      </c>
      <c r="C236" s="6" t="s">
        <v>175</v>
      </c>
      <c r="D236" s="6" t="s">
        <v>176</v>
      </c>
      <c r="E236" s="7" t="s">
        <v>86</v>
      </c>
      <c r="F236" s="6">
        <v>-1</v>
      </c>
      <c r="G236" s="6">
        <v>20250201</v>
      </c>
      <c r="H236" s="6" t="s">
        <v>18</v>
      </c>
      <c r="I236" s="8">
        <v>-14.26</v>
      </c>
      <c r="J236" s="8">
        <v>3</v>
      </c>
      <c r="K236" s="8">
        <v>-3</v>
      </c>
    </row>
    <row r="237" spans="1:11" ht="15.75" x14ac:dyDescent="0.25">
      <c r="A237" s="5" t="s">
        <v>13</v>
      </c>
      <c r="B237" s="6" t="s">
        <v>120</v>
      </c>
      <c r="C237" s="6" t="s">
        <v>175</v>
      </c>
      <c r="D237" s="6" t="s">
        <v>176</v>
      </c>
      <c r="E237" s="7" t="s">
        <v>86</v>
      </c>
      <c r="F237" s="6">
        <v>-1</v>
      </c>
      <c r="G237" s="6">
        <v>20250301</v>
      </c>
      <c r="H237" s="6" t="s">
        <v>18</v>
      </c>
      <c r="I237" s="8">
        <v>-14.26</v>
      </c>
      <c r="J237" s="8">
        <v>3</v>
      </c>
      <c r="K237" s="8">
        <v>-3</v>
      </c>
    </row>
    <row r="238" spans="1:11" ht="15.75" x14ac:dyDescent="0.25">
      <c r="A238" s="5" t="s">
        <v>13</v>
      </c>
      <c r="B238" s="6" t="s">
        <v>120</v>
      </c>
      <c r="C238" s="6" t="s">
        <v>177</v>
      </c>
      <c r="D238" s="6" t="s">
        <v>178</v>
      </c>
      <c r="E238" s="7" t="s">
        <v>86</v>
      </c>
      <c r="F238" s="6">
        <v>-1</v>
      </c>
      <c r="G238" s="6">
        <v>20250201</v>
      </c>
      <c r="H238" s="6" t="s">
        <v>18</v>
      </c>
      <c r="I238" s="8">
        <v>-487.98</v>
      </c>
      <c r="J238" s="8">
        <v>3</v>
      </c>
      <c r="K238" s="8">
        <v>-3</v>
      </c>
    </row>
    <row r="239" spans="1:11" ht="15.75" x14ac:dyDescent="0.25">
      <c r="A239" s="5" t="s">
        <v>13</v>
      </c>
      <c r="B239" s="6" t="s">
        <v>120</v>
      </c>
      <c r="C239" s="6" t="s">
        <v>179</v>
      </c>
      <c r="D239" s="6" t="s">
        <v>180</v>
      </c>
      <c r="E239" s="7" t="s">
        <v>86</v>
      </c>
      <c r="F239" s="6">
        <v>-1</v>
      </c>
      <c r="G239" s="6">
        <v>20250201</v>
      </c>
      <c r="H239" s="6" t="s">
        <v>18</v>
      </c>
      <c r="I239" s="8">
        <v>-105.62</v>
      </c>
      <c r="J239" s="8">
        <v>3</v>
      </c>
      <c r="K239" s="8">
        <v>-3</v>
      </c>
    </row>
    <row r="240" spans="1:11" ht="15.75" x14ac:dyDescent="0.25">
      <c r="A240" s="5" t="s">
        <v>13</v>
      </c>
      <c r="B240" s="6" t="s">
        <v>120</v>
      </c>
      <c r="C240" s="6" t="s">
        <v>179</v>
      </c>
      <c r="D240" s="6" t="s">
        <v>180</v>
      </c>
      <c r="E240" s="7" t="s">
        <v>86</v>
      </c>
      <c r="F240" s="6">
        <v>-1</v>
      </c>
      <c r="G240" s="6">
        <v>20250301</v>
      </c>
      <c r="H240" s="6" t="s">
        <v>18</v>
      </c>
      <c r="I240" s="8">
        <v>-105.62</v>
      </c>
      <c r="J240" s="8">
        <v>3</v>
      </c>
      <c r="K240" s="8">
        <v>-3</v>
      </c>
    </row>
    <row r="241" spans="1:11" ht="15.75" x14ac:dyDescent="0.25">
      <c r="A241" s="5" t="s">
        <v>13</v>
      </c>
      <c r="B241" s="6" t="s">
        <v>120</v>
      </c>
      <c r="C241" s="6" t="s">
        <v>181</v>
      </c>
      <c r="D241" s="6" t="s">
        <v>182</v>
      </c>
      <c r="E241" s="7" t="s">
        <v>86</v>
      </c>
      <c r="F241" s="6">
        <v>-1</v>
      </c>
      <c r="G241" s="6">
        <v>20250201</v>
      </c>
      <c r="H241" s="6" t="s">
        <v>18</v>
      </c>
      <c r="I241" s="8">
        <v>-399.52</v>
      </c>
      <c r="J241" s="8">
        <v>3</v>
      </c>
      <c r="K241" s="8">
        <v>-3</v>
      </c>
    </row>
    <row r="242" spans="1:11" ht="15.75" x14ac:dyDescent="0.25">
      <c r="A242" s="5" t="s">
        <v>13</v>
      </c>
      <c r="B242" s="6" t="s">
        <v>120</v>
      </c>
      <c r="C242" s="6" t="s">
        <v>183</v>
      </c>
      <c r="D242" s="6" t="s">
        <v>184</v>
      </c>
      <c r="E242" s="7" t="s">
        <v>86</v>
      </c>
      <c r="F242" s="6">
        <v>-1</v>
      </c>
      <c r="G242" s="6">
        <v>20250201</v>
      </c>
      <c r="H242" s="6" t="s">
        <v>18</v>
      </c>
      <c r="I242" s="8">
        <v>-387.5</v>
      </c>
      <c r="J242" s="8">
        <v>3</v>
      </c>
      <c r="K242" s="8">
        <v>-3</v>
      </c>
    </row>
    <row r="243" spans="1:11" ht="15.75" x14ac:dyDescent="0.25">
      <c r="A243" s="5" t="s">
        <v>13</v>
      </c>
      <c r="B243" s="6" t="s">
        <v>120</v>
      </c>
      <c r="C243" s="6" t="s">
        <v>183</v>
      </c>
      <c r="D243" s="6" t="s">
        <v>184</v>
      </c>
      <c r="E243" s="7" t="s">
        <v>86</v>
      </c>
      <c r="F243" s="6">
        <v>-1</v>
      </c>
      <c r="G243" s="6">
        <v>20250301</v>
      </c>
      <c r="H243" s="6" t="s">
        <v>18</v>
      </c>
      <c r="I243" s="8">
        <v>-387.5</v>
      </c>
      <c r="J243" s="8">
        <v>3</v>
      </c>
      <c r="K243" s="8">
        <v>-3</v>
      </c>
    </row>
    <row r="244" spans="1:11" ht="15.75" x14ac:dyDescent="0.25">
      <c r="A244" s="5" t="s">
        <v>13</v>
      </c>
      <c r="B244" s="6" t="s">
        <v>120</v>
      </c>
      <c r="C244" s="6" t="s">
        <v>185</v>
      </c>
      <c r="D244" s="6" t="s">
        <v>186</v>
      </c>
      <c r="E244" s="7" t="s">
        <v>86</v>
      </c>
      <c r="F244" s="6">
        <v>-1</v>
      </c>
      <c r="G244" s="6">
        <v>20250201</v>
      </c>
      <c r="H244" s="6" t="s">
        <v>18</v>
      </c>
      <c r="I244" s="8">
        <v>-96.47</v>
      </c>
      <c r="J244" s="8">
        <v>3</v>
      </c>
      <c r="K244" s="8">
        <v>-3</v>
      </c>
    </row>
    <row r="245" spans="1:11" ht="15.75" x14ac:dyDescent="0.25">
      <c r="A245" s="5" t="s">
        <v>13</v>
      </c>
      <c r="B245" s="6" t="s">
        <v>120</v>
      </c>
      <c r="C245" s="6" t="s">
        <v>185</v>
      </c>
      <c r="D245" s="6" t="s">
        <v>186</v>
      </c>
      <c r="E245" s="7" t="s">
        <v>86</v>
      </c>
      <c r="F245" s="6">
        <v>-1</v>
      </c>
      <c r="G245" s="6">
        <v>20250301</v>
      </c>
      <c r="H245" s="6" t="s">
        <v>18</v>
      </c>
      <c r="I245" s="8">
        <v>-96.47</v>
      </c>
      <c r="J245" s="8">
        <v>3</v>
      </c>
      <c r="K245" s="8">
        <v>-3</v>
      </c>
    </row>
    <row r="246" spans="1:11" ht="15.75" x14ac:dyDescent="0.25">
      <c r="A246" s="5" t="s">
        <v>13</v>
      </c>
      <c r="B246" s="6" t="s">
        <v>120</v>
      </c>
      <c r="C246" s="6" t="s">
        <v>187</v>
      </c>
      <c r="D246" s="6" t="s">
        <v>188</v>
      </c>
      <c r="E246" s="7" t="s">
        <v>86</v>
      </c>
      <c r="F246" s="6">
        <v>-1</v>
      </c>
      <c r="G246" s="6">
        <v>20250201</v>
      </c>
      <c r="H246" s="6" t="s">
        <v>18</v>
      </c>
      <c r="I246" s="8">
        <v>-25.78</v>
      </c>
      <c r="J246" s="8">
        <v>3</v>
      </c>
      <c r="K246" s="8">
        <v>-3</v>
      </c>
    </row>
    <row r="247" spans="1:11" ht="15.75" x14ac:dyDescent="0.25">
      <c r="A247" s="5" t="s">
        <v>13</v>
      </c>
      <c r="B247" s="6" t="s">
        <v>120</v>
      </c>
      <c r="C247" s="6" t="s">
        <v>187</v>
      </c>
      <c r="D247" s="6" t="s">
        <v>188</v>
      </c>
      <c r="E247" s="7" t="s">
        <v>86</v>
      </c>
      <c r="F247" s="6">
        <v>-1</v>
      </c>
      <c r="G247" s="6">
        <v>20250301</v>
      </c>
      <c r="H247" s="6" t="s">
        <v>18</v>
      </c>
      <c r="I247" s="8">
        <v>-25.78</v>
      </c>
      <c r="J247" s="8">
        <v>3</v>
      </c>
      <c r="K247" s="8">
        <v>-3</v>
      </c>
    </row>
    <row r="248" spans="1:11" ht="15.75" x14ac:dyDescent="0.25">
      <c r="A248" s="5" t="s">
        <v>13</v>
      </c>
      <c r="B248" s="6" t="s">
        <v>120</v>
      </c>
      <c r="C248" s="6" t="s">
        <v>189</v>
      </c>
      <c r="D248" s="6" t="s">
        <v>190</v>
      </c>
      <c r="E248" s="7" t="s">
        <v>86</v>
      </c>
      <c r="F248" s="6">
        <v>-1</v>
      </c>
      <c r="G248" s="6">
        <v>20250201</v>
      </c>
      <c r="H248" s="6" t="s">
        <v>18</v>
      </c>
      <c r="I248" s="8">
        <v>-176.15</v>
      </c>
      <c r="J248" s="8">
        <v>3</v>
      </c>
      <c r="K248" s="8">
        <v>-3</v>
      </c>
    </row>
    <row r="249" spans="1:11" ht="15.75" x14ac:dyDescent="0.25">
      <c r="A249" s="5" t="s">
        <v>13</v>
      </c>
      <c r="B249" s="6" t="s">
        <v>120</v>
      </c>
      <c r="C249" s="6" t="s">
        <v>189</v>
      </c>
      <c r="D249" s="6" t="s">
        <v>190</v>
      </c>
      <c r="E249" s="7" t="s">
        <v>86</v>
      </c>
      <c r="F249" s="6">
        <v>-1</v>
      </c>
      <c r="G249" s="6">
        <v>20250301</v>
      </c>
      <c r="H249" s="6" t="s">
        <v>18</v>
      </c>
      <c r="I249" s="8">
        <v>-176.15</v>
      </c>
      <c r="J249" s="8">
        <v>3</v>
      </c>
      <c r="K249" s="8">
        <v>-3</v>
      </c>
    </row>
    <row r="250" spans="1:11" ht="15.75" x14ac:dyDescent="0.25">
      <c r="A250" s="5" t="s">
        <v>13</v>
      </c>
      <c r="B250" s="6" t="s">
        <v>120</v>
      </c>
      <c r="C250" s="6" t="s">
        <v>141</v>
      </c>
      <c r="D250" s="6" t="s">
        <v>142</v>
      </c>
      <c r="E250" s="7" t="s">
        <v>86</v>
      </c>
      <c r="F250" s="6">
        <v>1</v>
      </c>
      <c r="G250" s="6">
        <v>20250201</v>
      </c>
      <c r="H250" s="6" t="s">
        <v>18</v>
      </c>
      <c r="I250" s="8">
        <v>533.29999999999995</v>
      </c>
      <c r="J250" s="8">
        <v>3</v>
      </c>
      <c r="K250" s="8">
        <v>3</v>
      </c>
    </row>
    <row r="251" spans="1:11" ht="15.75" x14ac:dyDescent="0.25">
      <c r="A251" s="5" t="s">
        <v>13</v>
      </c>
      <c r="B251" s="6" t="s">
        <v>120</v>
      </c>
      <c r="C251" s="6" t="s">
        <v>141</v>
      </c>
      <c r="D251" s="6" t="s">
        <v>142</v>
      </c>
      <c r="E251" s="7" t="s">
        <v>86</v>
      </c>
      <c r="F251" s="6">
        <v>1</v>
      </c>
      <c r="G251" s="6">
        <v>20250301</v>
      </c>
      <c r="H251" s="6" t="s">
        <v>18</v>
      </c>
      <c r="I251" s="8">
        <v>533.29999999999995</v>
      </c>
      <c r="J251" s="8">
        <v>3</v>
      </c>
      <c r="K251" s="8">
        <v>3</v>
      </c>
    </row>
    <row r="252" spans="1:11" ht="15.75" x14ac:dyDescent="0.25">
      <c r="A252" s="5" t="s">
        <v>13</v>
      </c>
      <c r="B252" s="6" t="s">
        <v>120</v>
      </c>
      <c r="C252" s="6" t="s">
        <v>141</v>
      </c>
      <c r="D252" s="6" t="s">
        <v>142</v>
      </c>
      <c r="E252" s="7" t="s">
        <v>86</v>
      </c>
      <c r="F252" s="6">
        <v>1</v>
      </c>
      <c r="G252" s="6">
        <v>20250401</v>
      </c>
      <c r="H252" s="6" t="s">
        <v>18</v>
      </c>
      <c r="I252" s="8">
        <v>533.29999999999995</v>
      </c>
      <c r="J252" s="8">
        <v>3</v>
      </c>
      <c r="K252" s="8">
        <v>3</v>
      </c>
    </row>
    <row r="253" spans="1:11" ht="15.75" x14ac:dyDescent="0.25">
      <c r="A253" s="5" t="s">
        <v>13</v>
      </c>
      <c r="B253" s="6" t="s">
        <v>120</v>
      </c>
      <c r="C253" s="6" t="s">
        <v>143</v>
      </c>
      <c r="D253" s="6" t="s">
        <v>144</v>
      </c>
      <c r="E253" s="7" t="s">
        <v>86</v>
      </c>
      <c r="F253" s="6">
        <v>1</v>
      </c>
      <c r="G253" s="6">
        <v>20250201</v>
      </c>
      <c r="H253" s="6" t="s">
        <v>18</v>
      </c>
      <c r="I253" s="8">
        <v>29.68</v>
      </c>
      <c r="J253" s="8">
        <v>3</v>
      </c>
      <c r="K253" s="8">
        <v>3</v>
      </c>
    </row>
    <row r="254" spans="1:11" ht="15.75" x14ac:dyDescent="0.25">
      <c r="A254" s="5" t="s">
        <v>13</v>
      </c>
      <c r="B254" s="6" t="s">
        <v>120</v>
      </c>
      <c r="C254" s="6" t="s">
        <v>143</v>
      </c>
      <c r="D254" s="6" t="s">
        <v>144</v>
      </c>
      <c r="E254" s="7" t="s">
        <v>86</v>
      </c>
      <c r="F254" s="6">
        <v>1</v>
      </c>
      <c r="G254" s="6">
        <v>20250301</v>
      </c>
      <c r="H254" s="6" t="s">
        <v>18</v>
      </c>
      <c r="I254" s="8">
        <v>29.68</v>
      </c>
      <c r="J254" s="8">
        <v>3</v>
      </c>
      <c r="K254" s="8">
        <v>3</v>
      </c>
    </row>
    <row r="255" spans="1:11" ht="15.75" x14ac:dyDescent="0.25">
      <c r="A255" s="5" t="s">
        <v>13</v>
      </c>
      <c r="B255" s="6" t="s">
        <v>120</v>
      </c>
      <c r="C255" s="6" t="s">
        <v>143</v>
      </c>
      <c r="D255" s="6" t="s">
        <v>144</v>
      </c>
      <c r="E255" s="7" t="s">
        <v>86</v>
      </c>
      <c r="F255" s="6">
        <v>1</v>
      </c>
      <c r="G255" s="6">
        <v>20250401</v>
      </c>
      <c r="H255" s="6" t="s">
        <v>18</v>
      </c>
      <c r="I255" s="8">
        <v>29.68</v>
      </c>
      <c r="J255" s="8">
        <v>3</v>
      </c>
      <c r="K255" s="8">
        <v>3</v>
      </c>
    </row>
    <row r="256" spans="1:11" ht="15.75" x14ac:dyDescent="0.25">
      <c r="A256" s="5" t="s">
        <v>13</v>
      </c>
      <c r="B256" s="6" t="s">
        <v>120</v>
      </c>
      <c r="C256" s="6" t="s">
        <v>145</v>
      </c>
      <c r="D256" s="6" t="s">
        <v>146</v>
      </c>
      <c r="E256" s="7" t="s">
        <v>86</v>
      </c>
      <c r="F256" s="6">
        <v>1</v>
      </c>
      <c r="G256" s="6">
        <v>20250201</v>
      </c>
      <c r="H256" s="6" t="s">
        <v>18</v>
      </c>
      <c r="I256" s="8">
        <v>225.91</v>
      </c>
      <c r="J256" s="8">
        <v>3</v>
      </c>
      <c r="K256" s="8">
        <v>3</v>
      </c>
    </row>
    <row r="257" spans="1:11" ht="15.75" x14ac:dyDescent="0.25">
      <c r="A257" s="5" t="s">
        <v>13</v>
      </c>
      <c r="B257" s="6" t="s">
        <v>120</v>
      </c>
      <c r="C257" s="6" t="s">
        <v>145</v>
      </c>
      <c r="D257" s="6" t="s">
        <v>146</v>
      </c>
      <c r="E257" s="7" t="s">
        <v>86</v>
      </c>
      <c r="F257" s="6">
        <v>1</v>
      </c>
      <c r="G257" s="6">
        <v>20250301</v>
      </c>
      <c r="H257" s="6" t="s">
        <v>18</v>
      </c>
      <c r="I257" s="8">
        <v>225.91</v>
      </c>
      <c r="J257" s="8">
        <v>3</v>
      </c>
      <c r="K257" s="8">
        <v>3</v>
      </c>
    </row>
    <row r="258" spans="1:11" ht="15.75" x14ac:dyDescent="0.25">
      <c r="A258" s="5" t="s">
        <v>13</v>
      </c>
      <c r="B258" s="6" t="s">
        <v>120</v>
      </c>
      <c r="C258" s="6" t="s">
        <v>145</v>
      </c>
      <c r="D258" s="6" t="s">
        <v>146</v>
      </c>
      <c r="E258" s="7" t="s">
        <v>86</v>
      </c>
      <c r="F258" s="6">
        <v>1</v>
      </c>
      <c r="G258" s="6">
        <v>20250401</v>
      </c>
      <c r="H258" s="6" t="s">
        <v>18</v>
      </c>
      <c r="I258" s="8">
        <v>225.91</v>
      </c>
      <c r="J258" s="8">
        <v>3</v>
      </c>
      <c r="K258" s="8">
        <v>3</v>
      </c>
    </row>
    <row r="259" spans="1:11" ht="15.75" x14ac:dyDescent="0.25">
      <c r="A259" s="5" t="s">
        <v>13</v>
      </c>
      <c r="B259" s="6" t="s">
        <v>120</v>
      </c>
      <c r="C259" s="6" t="s">
        <v>147</v>
      </c>
      <c r="D259" s="6" t="s">
        <v>148</v>
      </c>
      <c r="E259" s="7" t="s">
        <v>86</v>
      </c>
      <c r="F259" s="6">
        <v>1</v>
      </c>
      <c r="G259" s="6">
        <v>20250201</v>
      </c>
      <c r="H259" s="6" t="s">
        <v>18</v>
      </c>
      <c r="I259" s="8">
        <v>32.159999999999997</v>
      </c>
      <c r="J259" s="8">
        <v>3</v>
      </c>
      <c r="K259" s="8">
        <v>3</v>
      </c>
    </row>
    <row r="260" spans="1:11" ht="15.75" x14ac:dyDescent="0.25">
      <c r="A260" s="5" t="s">
        <v>13</v>
      </c>
      <c r="B260" s="6" t="s">
        <v>120</v>
      </c>
      <c r="C260" s="6" t="s">
        <v>147</v>
      </c>
      <c r="D260" s="6" t="s">
        <v>148</v>
      </c>
      <c r="E260" s="7" t="s">
        <v>86</v>
      </c>
      <c r="F260" s="6">
        <v>1</v>
      </c>
      <c r="G260" s="6">
        <v>20250301</v>
      </c>
      <c r="H260" s="6" t="s">
        <v>18</v>
      </c>
      <c r="I260" s="8">
        <v>32.159999999999997</v>
      </c>
      <c r="J260" s="8">
        <v>3</v>
      </c>
      <c r="K260" s="8">
        <v>3</v>
      </c>
    </row>
    <row r="261" spans="1:11" ht="15.75" x14ac:dyDescent="0.25">
      <c r="A261" s="5" t="s">
        <v>13</v>
      </c>
      <c r="B261" s="6" t="s">
        <v>120</v>
      </c>
      <c r="C261" s="6" t="s">
        <v>147</v>
      </c>
      <c r="D261" s="6" t="s">
        <v>148</v>
      </c>
      <c r="E261" s="7" t="s">
        <v>86</v>
      </c>
      <c r="F261" s="6">
        <v>1</v>
      </c>
      <c r="G261" s="6">
        <v>20250401</v>
      </c>
      <c r="H261" s="6" t="s">
        <v>18</v>
      </c>
      <c r="I261" s="8">
        <v>32.159999999999997</v>
      </c>
      <c r="J261" s="8">
        <v>3</v>
      </c>
      <c r="K261" s="8">
        <v>3</v>
      </c>
    </row>
    <row r="262" spans="1:11" ht="15.75" x14ac:dyDescent="0.25">
      <c r="A262" s="5" t="s">
        <v>13</v>
      </c>
      <c r="B262" s="6" t="s">
        <v>120</v>
      </c>
      <c r="C262" s="6" t="s">
        <v>149</v>
      </c>
      <c r="D262" s="6" t="s">
        <v>150</v>
      </c>
      <c r="E262" s="7" t="s">
        <v>86</v>
      </c>
      <c r="F262" s="6">
        <v>1</v>
      </c>
      <c r="G262" s="6">
        <v>20250201</v>
      </c>
      <c r="H262" s="6" t="s">
        <v>18</v>
      </c>
      <c r="I262" s="8">
        <v>1</v>
      </c>
      <c r="J262" s="8">
        <v>3</v>
      </c>
      <c r="K262" s="8">
        <v>3</v>
      </c>
    </row>
    <row r="263" spans="1:11" ht="15.75" x14ac:dyDescent="0.25">
      <c r="A263" s="5" t="s">
        <v>13</v>
      </c>
      <c r="B263" s="6" t="s">
        <v>120</v>
      </c>
      <c r="C263" s="6" t="s">
        <v>149</v>
      </c>
      <c r="D263" s="6" t="s">
        <v>150</v>
      </c>
      <c r="E263" s="7" t="s">
        <v>86</v>
      </c>
      <c r="F263" s="6">
        <v>1</v>
      </c>
      <c r="G263" s="6">
        <v>20250301</v>
      </c>
      <c r="H263" s="6" t="s">
        <v>18</v>
      </c>
      <c r="I263" s="8">
        <v>1</v>
      </c>
      <c r="J263" s="8">
        <v>3</v>
      </c>
      <c r="K263" s="8">
        <v>3</v>
      </c>
    </row>
    <row r="264" spans="1:11" ht="15.75" x14ac:dyDescent="0.25">
      <c r="A264" s="5" t="s">
        <v>13</v>
      </c>
      <c r="B264" s="6" t="s">
        <v>120</v>
      </c>
      <c r="C264" s="6" t="s">
        <v>151</v>
      </c>
      <c r="D264" s="6" t="s">
        <v>152</v>
      </c>
      <c r="E264" s="7" t="s">
        <v>86</v>
      </c>
      <c r="F264" s="6">
        <v>1</v>
      </c>
      <c r="G264" s="6">
        <v>20250201</v>
      </c>
      <c r="H264" s="6" t="s">
        <v>18</v>
      </c>
      <c r="I264" s="8">
        <v>362.1</v>
      </c>
      <c r="J264" s="8">
        <v>3</v>
      </c>
      <c r="K264" s="8">
        <v>3</v>
      </c>
    </row>
    <row r="265" spans="1:11" ht="15.75" x14ac:dyDescent="0.25">
      <c r="A265" s="5" t="s">
        <v>13</v>
      </c>
      <c r="B265" s="6" t="s">
        <v>120</v>
      </c>
      <c r="C265" s="6" t="s">
        <v>151</v>
      </c>
      <c r="D265" s="6" t="s">
        <v>152</v>
      </c>
      <c r="E265" s="7" t="s">
        <v>86</v>
      </c>
      <c r="F265" s="6">
        <v>1</v>
      </c>
      <c r="G265" s="6">
        <v>20250301</v>
      </c>
      <c r="H265" s="6" t="s">
        <v>18</v>
      </c>
      <c r="I265" s="8">
        <v>362.1</v>
      </c>
      <c r="J265" s="8">
        <v>3</v>
      </c>
      <c r="K265" s="8">
        <v>3</v>
      </c>
    </row>
    <row r="266" spans="1:11" ht="15.75" x14ac:dyDescent="0.25">
      <c r="A266" s="5" t="s">
        <v>13</v>
      </c>
      <c r="B266" s="6" t="s">
        <v>120</v>
      </c>
      <c r="C266" s="6" t="s">
        <v>151</v>
      </c>
      <c r="D266" s="6" t="s">
        <v>152</v>
      </c>
      <c r="E266" s="7" t="s">
        <v>86</v>
      </c>
      <c r="F266" s="6">
        <v>1</v>
      </c>
      <c r="G266" s="6">
        <v>20250401</v>
      </c>
      <c r="H266" s="6" t="s">
        <v>18</v>
      </c>
      <c r="I266" s="8">
        <v>362.1</v>
      </c>
      <c r="J266" s="8">
        <v>3</v>
      </c>
      <c r="K266" s="8">
        <v>3</v>
      </c>
    </row>
    <row r="267" spans="1:11" ht="15.75" x14ac:dyDescent="0.25">
      <c r="A267" s="5" t="s">
        <v>13</v>
      </c>
      <c r="B267" s="6" t="s">
        <v>120</v>
      </c>
      <c r="C267" s="6" t="s">
        <v>153</v>
      </c>
      <c r="D267" s="6" t="s">
        <v>154</v>
      </c>
      <c r="E267" s="7" t="s">
        <v>86</v>
      </c>
      <c r="F267" s="6">
        <v>1</v>
      </c>
      <c r="G267" s="6">
        <v>20250201</v>
      </c>
      <c r="H267" s="6" t="s">
        <v>18</v>
      </c>
      <c r="I267" s="8">
        <v>446.73</v>
      </c>
      <c r="J267" s="8">
        <v>3</v>
      </c>
      <c r="K267" s="8">
        <v>3</v>
      </c>
    </row>
    <row r="268" spans="1:11" ht="15.75" x14ac:dyDescent="0.25">
      <c r="A268" s="5" t="s">
        <v>13</v>
      </c>
      <c r="B268" s="6" t="s">
        <v>120</v>
      </c>
      <c r="C268" s="6" t="s">
        <v>153</v>
      </c>
      <c r="D268" s="6" t="s">
        <v>154</v>
      </c>
      <c r="E268" s="7" t="s">
        <v>86</v>
      </c>
      <c r="F268" s="6">
        <v>1</v>
      </c>
      <c r="G268" s="6">
        <v>20250301</v>
      </c>
      <c r="H268" s="6" t="s">
        <v>18</v>
      </c>
      <c r="I268" s="8">
        <v>446.73</v>
      </c>
      <c r="J268" s="8">
        <v>3</v>
      </c>
      <c r="K268" s="8">
        <v>3</v>
      </c>
    </row>
    <row r="269" spans="1:11" ht="15.75" x14ac:dyDescent="0.25">
      <c r="A269" s="5" t="s">
        <v>13</v>
      </c>
      <c r="B269" s="6" t="s">
        <v>120</v>
      </c>
      <c r="C269" s="6" t="s">
        <v>153</v>
      </c>
      <c r="D269" s="6" t="s">
        <v>154</v>
      </c>
      <c r="E269" s="7" t="s">
        <v>86</v>
      </c>
      <c r="F269" s="6">
        <v>1</v>
      </c>
      <c r="G269" s="6">
        <v>20250401</v>
      </c>
      <c r="H269" s="6" t="s">
        <v>18</v>
      </c>
      <c r="I269" s="8">
        <v>446.73</v>
      </c>
      <c r="J269" s="8">
        <v>3</v>
      </c>
      <c r="K269" s="8">
        <v>3</v>
      </c>
    </row>
    <row r="270" spans="1:11" ht="15.75" x14ac:dyDescent="0.25">
      <c r="A270" s="5" t="s">
        <v>13</v>
      </c>
      <c r="B270" s="6" t="s">
        <v>120</v>
      </c>
      <c r="C270" s="6" t="s">
        <v>155</v>
      </c>
      <c r="D270" s="6" t="s">
        <v>156</v>
      </c>
      <c r="E270" s="7" t="s">
        <v>86</v>
      </c>
      <c r="F270" s="6">
        <v>1</v>
      </c>
      <c r="G270" s="6">
        <v>20250201</v>
      </c>
      <c r="H270" s="6" t="s">
        <v>18</v>
      </c>
      <c r="I270" s="8">
        <v>187.08</v>
      </c>
      <c r="J270" s="8">
        <v>3</v>
      </c>
      <c r="K270" s="8">
        <v>3</v>
      </c>
    </row>
    <row r="271" spans="1:11" ht="15.75" x14ac:dyDescent="0.25">
      <c r="A271" s="5" t="s">
        <v>13</v>
      </c>
      <c r="B271" s="6" t="s">
        <v>120</v>
      </c>
      <c r="C271" s="6" t="s">
        <v>155</v>
      </c>
      <c r="D271" s="6" t="s">
        <v>156</v>
      </c>
      <c r="E271" s="7" t="s">
        <v>86</v>
      </c>
      <c r="F271" s="6">
        <v>1</v>
      </c>
      <c r="G271" s="6">
        <v>20250301</v>
      </c>
      <c r="H271" s="6" t="s">
        <v>18</v>
      </c>
      <c r="I271" s="8">
        <v>187.08</v>
      </c>
      <c r="J271" s="8">
        <v>3</v>
      </c>
      <c r="K271" s="8">
        <v>3</v>
      </c>
    </row>
    <row r="272" spans="1:11" ht="15.75" x14ac:dyDescent="0.25">
      <c r="A272" s="5" t="s">
        <v>13</v>
      </c>
      <c r="B272" s="6" t="s">
        <v>120</v>
      </c>
      <c r="C272" s="6" t="s">
        <v>157</v>
      </c>
      <c r="D272" s="6" t="s">
        <v>158</v>
      </c>
      <c r="E272" s="7" t="s">
        <v>86</v>
      </c>
      <c r="F272" s="6">
        <v>1</v>
      </c>
      <c r="G272" s="6">
        <v>20250201</v>
      </c>
      <c r="H272" s="6" t="s">
        <v>18</v>
      </c>
      <c r="I272" s="8">
        <v>1</v>
      </c>
      <c r="J272" s="8">
        <v>3</v>
      </c>
      <c r="K272" s="8">
        <v>3</v>
      </c>
    </row>
    <row r="273" spans="1:11" ht="15.75" x14ac:dyDescent="0.25">
      <c r="A273" s="5" t="s">
        <v>13</v>
      </c>
      <c r="B273" s="6" t="s">
        <v>120</v>
      </c>
      <c r="C273" s="6" t="s">
        <v>157</v>
      </c>
      <c r="D273" s="6" t="s">
        <v>158</v>
      </c>
      <c r="E273" s="7" t="s">
        <v>86</v>
      </c>
      <c r="F273" s="6">
        <v>1</v>
      </c>
      <c r="G273" s="6">
        <v>20250301</v>
      </c>
      <c r="H273" s="6" t="s">
        <v>18</v>
      </c>
      <c r="I273" s="8">
        <v>1</v>
      </c>
      <c r="J273" s="8">
        <v>3</v>
      </c>
      <c r="K273" s="8">
        <v>3</v>
      </c>
    </row>
    <row r="274" spans="1:11" ht="15.75" x14ac:dyDescent="0.25">
      <c r="A274" s="5" t="s">
        <v>13</v>
      </c>
      <c r="B274" s="6" t="s">
        <v>120</v>
      </c>
      <c r="C274" s="6" t="s">
        <v>159</v>
      </c>
      <c r="D274" s="6" t="s">
        <v>160</v>
      </c>
      <c r="E274" s="7" t="s">
        <v>86</v>
      </c>
      <c r="F274" s="6">
        <v>1</v>
      </c>
      <c r="G274" s="6">
        <v>20250201</v>
      </c>
      <c r="H274" s="6" t="s">
        <v>18</v>
      </c>
      <c r="I274" s="8">
        <v>219.28</v>
      </c>
      <c r="J274" s="8">
        <v>3</v>
      </c>
      <c r="K274" s="8">
        <v>3</v>
      </c>
    </row>
    <row r="275" spans="1:11" ht="15.75" x14ac:dyDescent="0.25">
      <c r="A275" s="5" t="s">
        <v>13</v>
      </c>
      <c r="B275" s="6" t="s">
        <v>120</v>
      </c>
      <c r="C275" s="6" t="s">
        <v>159</v>
      </c>
      <c r="D275" s="6" t="s">
        <v>160</v>
      </c>
      <c r="E275" s="7" t="s">
        <v>86</v>
      </c>
      <c r="F275" s="6">
        <v>1</v>
      </c>
      <c r="G275" s="6">
        <v>20250301</v>
      </c>
      <c r="H275" s="6" t="s">
        <v>18</v>
      </c>
      <c r="I275" s="8">
        <v>219.28</v>
      </c>
      <c r="J275" s="8">
        <v>3</v>
      </c>
      <c r="K275" s="8">
        <v>3</v>
      </c>
    </row>
    <row r="276" spans="1:11" ht="15.75" x14ac:dyDescent="0.25">
      <c r="A276" s="5" t="s">
        <v>13</v>
      </c>
      <c r="B276" s="6" t="s">
        <v>120</v>
      </c>
      <c r="C276" s="6" t="s">
        <v>161</v>
      </c>
      <c r="D276" s="6" t="s">
        <v>162</v>
      </c>
      <c r="E276" s="7" t="s">
        <v>86</v>
      </c>
      <c r="F276" s="6">
        <v>1</v>
      </c>
      <c r="G276" s="6">
        <v>20250201</v>
      </c>
      <c r="H276" s="6" t="s">
        <v>18</v>
      </c>
      <c r="I276" s="8">
        <v>2.0499999999999998</v>
      </c>
      <c r="J276" s="8">
        <v>3</v>
      </c>
      <c r="K276" s="8">
        <v>3</v>
      </c>
    </row>
    <row r="277" spans="1:11" ht="15.75" x14ac:dyDescent="0.25">
      <c r="A277" s="5" t="s">
        <v>13</v>
      </c>
      <c r="B277" s="6" t="s">
        <v>120</v>
      </c>
      <c r="C277" s="6" t="s">
        <v>161</v>
      </c>
      <c r="D277" s="6" t="s">
        <v>162</v>
      </c>
      <c r="E277" s="7" t="s">
        <v>86</v>
      </c>
      <c r="F277" s="6">
        <v>1</v>
      </c>
      <c r="G277" s="6">
        <v>20250301</v>
      </c>
      <c r="H277" s="6" t="s">
        <v>18</v>
      </c>
      <c r="I277" s="8">
        <v>2.0499999999999998</v>
      </c>
      <c r="J277" s="8">
        <v>3</v>
      </c>
      <c r="K277" s="8">
        <v>3</v>
      </c>
    </row>
    <row r="278" spans="1:11" ht="15.75" x14ac:dyDescent="0.25">
      <c r="A278" s="5" t="s">
        <v>13</v>
      </c>
      <c r="B278" s="6" t="s">
        <v>120</v>
      </c>
      <c r="C278" s="6" t="s">
        <v>163</v>
      </c>
      <c r="D278" s="6" t="s">
        <v>164</v>
      </c>
      <c r="E278" s="7" t="s">
        <v>86</v>
      </c>
      <c r="F278" s="6">
        <v>1</v>
      </c>
      <c r="G278" s="6">
        <v>20250201</v>
      </c>
      <c r="H278" s="6" t="s">
        <v>18</v>
      </c>
      <c r="I278" s="8">
        <v>97.95</v>
      </c>
      <c r="J278" s="8">
        <v>3</v>
      </c>
      <c r="K278" s="8">
        <v>3</v>
      </c>
    </row>
    <row r="279" spans="1:11" ht="15.75" x14ac:dyDescent="0.25">
      <c r="A279" s="5" t="s">
        <v>13</v>
      </c>
      <c r="B279" s="6" t="s">
        <v>120</v>
      </c>
      <c r="C279" s="6" t="s">
        <v>163</v>
      </c>
      <c r="D279" s="6" t="s">
        <v>164</v>
      </c>
      <c r="E279" s="7" t="s">
        <v>86</v>
      </c>
      <c r="F279" s="6">
        <v>1</v>
      </c>
      <c r="G279" s="6">
        <v>20250301</v>
      </c>
      <c r="H279" s="6" t="s">
        <v>18</v>
      </c>
      <c r="I279" s="8">
        <v>97.95</v>
      </c>
      <c r="J279" s="8">
        <v>3</v>
      </c>
      <c r="K279" s="8">
        <v>3</v>
      </c>
    </row>
    <row r="280" spans="1:11" ht="15.75" x14ac:dyDescent="0.25">
      <c r="A280" s="5" t="s">
        <v>13</v>
      </c>
      <c r="B280" s="6" t="s">
        <v>120</v>
      </c>
      <c r="C280" s="6" t="s">
        <v>163</v>
      </c>
      <c r="D280" s="6" t="s">
        <v>164</v>
      </c>
      <c r="E280" s="7" t="s">
        <v>86</v>
      </c>
      <c r="F280" s="6">
        <v>1</v>
      </c>
      <c r="G280" s="6">
        <v>20250401</v>
      </c>
      <c r="H280" s="6" t="s">
        <v>18</v>
      </c>
      <c r="I280" s="8">
        <v>97.95</v>
      </c>
      <c r="J280" s="8">
        <v>3</v>
      </c>
      <c r="K280" s="8">
        <v>3</v>
      </c>
    </row>
    <row r="281" spans="1:11" ht="15.75" x14ac:dyDescent="0.25">
      <c r="A281" s="5" t="s">
        <v>13</v>
      </c>
      <c r="B281" s="6" t="s">
        <v>120</v>
      </c>
      <c r="C281" s="6" t="s">
        <v>165</v>
      </c>
      <c r="D281" s="6" t="s">
        <v>166</v>
      </c>
      <c r="E281" s="7" t="s">
        <v>86</v>
      </c>
      <c r="F281" s="6">
        <v>1</v>
      </c>
      <c r="G281" s="6">
        <v>20250201</v>
      </c>
      <c r="H281" s="6" t="s">
        <v>18</v>
      </c>
      <c r="I281" s="8">
        <v>102.52</v>
      </c>
      <c r="J281" s="8">
        <v>3</v>
      </c>
      <c r="K281" s="8">
        <v>3</v>
      </c>
    </row>
    <row r="282" spans="1:11" ht="15.75" x14ac:dyDescent="0.25">
      <c r="A282" s="5" t="s">
        <v>13</v>
      </c>
      <c r="B282" s="6" t="s">
        <v>120</v>
      </c>
      <c r="C282" s="6" t="s">
        <v>165</v>
      </c>
      <c r="D282" s="6" t="s">
        <v>166</v>
      </c>
      <c r="E282" s="7" t="s">
        <v>86</v>
      </c>
      <c r="F282" s="6">
        <v>1</v>
      </c>
      <c r="G282" s="6">
        <v>20250301</v>
      </c>
      <c r="H282" s="6" t="s">
        <v>18</v>
      </c>
      <c r="I282" s="8">
        <v>102.52</v>
      </c>
      <c r="J282" s="8">
        <v>3</v>
      </c>
      <c r="K282" s="8">
        <v>3</v>
      </c>
    </row>
    <row r="283" spans="1:11" ht="15.75" x14ac:dyDescent="0.25">
      <c r="A283" s="5" t="s">
        <v>13</v>
      </c>
      <c r="B283" s="6" t="s">
        <v>120</v>
      </c>
      <c r="C283" s="6" t="s">
        <v>165</v>
      </c>
      <c r="D283" s="6" t="s">
        <v>166</v>
      </c>
      <c r="E283" s="7" t="s">
        <v>86</v>
      </c>
      <c r="F283" s="6">
        <v>1</v>
      </c>
      <c r="G283" s="6">
        <v>20250401</v>
      </c>
      <c r="H283" s="6" t="s">
        <v>18</v>
      </c>
      <c r="I283" s="8">
        <v>102.52</v>
      </c>
      <c r="J283" s="8">
        <v>3</v>
      </c>
      <c r="K283" s="8">
        <v>3</v>
      </c>
    </row>
    <row r="284" spans="1:11" ht="15.75" x14ac:dyDescent="0.25">
      <c r="A284" s="5" t="s">
        <v>13</v>
      </c>
      <c r="B284" s="6" t="s">
        <v>120</v>
      </c>
      <c r="C284" s="6" t="s">
        <v>191</v>
      </c>
      <c r="D284" s="6" t="s">
        <v>192</v>
      </c>
      <c r="E284" s="7" t="s">
        <v>86</v>
      </c>
      <c r="F284" s="6">
        <v>1</v>
      </c>
      <c r="G284" s="6">
        <v>20250201</v>
      </c>
      <c r="H284" s="6" t="s">
        <v>18</v>
      </c>
      <c r="I284" s="8">
        <v>2.0499999999999998</v>
      </c>
      <c r="J284" s="8">
        <v>3</v>
      </c>
      <c r="K284" s="8">
        <v>3</v>
      </c>
    </row>
    <row r="285" spans="1:11" ht="15.75" x14ac:dyDescent="0.25">
      <c r="A285" s="5" t="s">
        <v>13</v>
      </c>
      <c r="B285" s="6" t="s">
        <v>120</v>
      </c>
      <c r="C285" s="6" t="s">
        <v>191</v>
      </c>
      <c r="D285" s="6" t="s">
        <v>192</v>
      </c>
      <c r="E285" s="7" t="s">
        <v>86</v>
      </c>
      <c r="F285" s="6">
        <v>1</v>
      </c>
      <c r="G285" s="6">
        <v>20250301</v>
      </c>
      <c r="H285" s="6" t="s">
        <v>18</v>
      </c>
      <c r="I285" s="8">
        <v>2.0499999999999998</v>
      </c>
      <c r="J285" s="8">
        <v>3</v>
      </c>
      <c r="K285" s="8">
        <v>3</v>
      </c>
    </row>
    <row r="286" spans="1:11" ht="15.75" x14ac:dyDescent="0.25">
      <c r="A286" s="5" t="s">
        <v>13</v>
      </c>
      <c r="B286" s="6" t="s">
        <v>120</v>
      </c>
      <c r="C286" s="6" t="s">
        <v>167</v>
      </c>
      <c r="D286" s="6" t="s">
        <v>168</v>
      </c>
      <c r="E286" s="7" t="s">
        <v>86</v>
      </c>
      <c r="F286" s="6">
        <v>1</v>
      </c>
      <c r="G286" s="6">
        <v>20250201</v>
      </c>
      <c r="H286" s="6" t="s">
        <v>18</v>
      </c>
      <c r="I286" s="8">
        <v>225.95</v>
      </c>
      <c r="J286" s="8">
        <v>3</v>
      </c>
      <c r="K286" s="8">
        <v>3</v>
      </c>
    </row>
    <row r="287" spans="1:11" ht="15.75" x14ac:dyDescent="0.25">
      <c r="A287" s="5" t="s">
        <v>13</v>
      </c>
      <c r="B287" s="6" t="s">
        <v>120</v>
      </c>
      <c r="C287" s="6" t="s">
        <v>167</v>
      </c>
      <c r="D287" s="6" t="s">
        <v>168</v>
      </c>
      <c r="E287" s="7" t="s">
        <v>86</v>
      </c>
      <c r="F287" s="6">
        <v>1</v>
      </c>
      <c r="G287" s="6">
        <v>20250301</v>
      </c>
      <c r="H287" s="6" t="s">
        <v>18</v>
      </c>
      <c r="I287" s="8">
        <v>225.95</v>
      </c>
      <c r="J287" s="8">
        <v>3</v>
      </c>
      <c r="K287" s="8">
        <v>3</v>
      </c>
    </row>
    <row r="288" spans="1:11" ht="15.75" x14ac:dyDescent="0.25">
      <c r="A288" s="5" t="s">
        <v>13</v>
      </c>
      <c r="B288" s="6" t="s">
        <v>120</v>
      </c>
      <c r="C288" s="6" t="s">
        <v>167</v>
      </c>
      <c r="D288" s="6" t="s">
        <v>168</v>
      </c>
      <c r="E288" s="7" t="s">
        <v>86</v>
      </c>
      <c r="F288" s="6">
        <v>1</v>
      </c>
      <c r="G288" s="6">
        <v>20250401</v>
      </c>
      <c r="H288" s="6" t="s">
        <v>18</v>
      </c>
      <c r="I288" s="8">
        <v>225.95</v>
      </c>
      <c r="J288" s="8">
        <v>3</v>
      </c>
      <c r="K288" s="8">
        <v>3</v>
      </c>
    </row>
    <row r="289" spans="1:11" ht="15.75" x14ac:dyDescent="0.25">
      <c r="A289" s="5" t="s">
        <v>13</v>
      </c>
      <c r="B289" s="6" t="s">
        <v>120</v>
      </c>
      <c r="C289" s="6" t="s">
        <v>169</v>
      </c>
      <c r="D289" s="6" t="s">
        <v>170</v>
      </c>
      <c r="E289" s="7" t="s">
        <v>86</v>
      </c>
      <c r="F289" s="6">
        <v>1</v>
      </c>
      <c r="G289" s="6">
        <v>20250201</v>
      </c>
      <c r="H289" s="6" t="s">
        <v>18</v>
      </c>
      <c r="I289" s="8">
        <v>265.89999999999998</v>
      </c>
      <c r="J289" s="8">
        <v>3</v>
      </c>
      <c r="K289" s="8">
        <v>3</v>
      </c>
    </row>
    <row r="290" spans="1:11" ht="15.75" x14ac:dyDescent="0.25">
      <c r="A290" s="5" t="s">
        <v>13</v>
      </c>
      <c r="B290" s="6" t="s">
        <v>120</v>
      </c>
      <c r="C290" s="6" t="s">
        <v>169</v>
      </c>
      <c r="D290" s="6" t="s">
        <v>170</v>
      </c>
      <c r="E290" s="7" t="s">
        <v>86</v>
      </c>
      <c r="F290" s="6">
        <v>1</v>
      </c>
      <c r="G290" s="6">
        <v>20250301</v>
      </c>
      <c r="H290" s="6" t="s">
        <v>18</v>
      </c>
      <c r="I290" s="8">
        <v>67.98</v>
      </c>
      <c r="J290" s="8">
        <v>3</v>
      </c>
      <c r="K290" s="8">
        <v>3</v>
      </c>
    </row>
    <row r="291" spans="1:11" ht="15.75" x14ac:dyDescent="0.25">
      <c r="A291" s="5" t="s">
        <v>13</v>
      </c>
      <c r="B291" s="6" t="s">
        <v>120</v>
      </c>
      <c r="C291" s="6" t="s">
        <v>171</v>
      </c>
      <c r="D291" s="6" t="s">
        <v>172</v>
      </c>
      <c r="E291" s="7" t="s">
        <v>86</v>
      </c>
      <c r="F291" s="6">
        <v>1</v>
      </c>
      <c r="G291" s="6">
        <v>20250201</v>
      </c>
      <c r="H291" s="6" t="s">
        <v>18</v>
      </c>
      <c r="I291" s="8">
        <v>869.74</v>
      </c>
      <c r="J291" s="8">
        <v>3</v>
      </c>
      <c r="K291" s="8">
        <v>3</v>
      </c>
    </row>
    <row r="292" spans="1:11" ht="15.75" x14ac:dyDescent="0.25">
      <c r="A292" s="5" t="s">
        <v>13</v>
      </c>
      <c r="B292" s="6" t="s">
        <v>120</v>
      </c>
      <c r="C292" s="6" t="s">
        <v>171</v>
      </c>
      <c r="D292" s="6" t="s">
        <v>172</v>
      </c>
      <c r="E292" s="7" t="s">
        <v>86</v>
      </c>
      <c r="F292" s="6">
        <v>1</v>
      </c>
      <c r="G292" s="6">
        <v>20250301</v>
      </c>
      <c r="H292" s="6" t="s">
        <v>18</v>
      </c>
      <c r="I292" s="8">
        <v>869.74</v>
      </c>
      <c r="J292" s="8">
        <v>3</v>
      </c>
      <c r="K292" s="8">
        <v>3</v>
      </c>
    </row>
    <row r="293" spans="1:11" ht="15.75" x14ac:dyDescent="0.25">
      <c r="A293" s="5" t="s">
        <v>13</v>
      </c>
      <c r="B293" s="6" t="s">
        <v>120</v>
      </c>
      <c r="C293" s="6" t="s">
        <v>171</v>
      </c>
      <c r="D293" s="6" t="s">
        <v>172</v>
      </c>
      <c r="E293" s="7" t="s">
        <v>86</v>
      </c>
      <c r="F293" s="6">
        <v>1</v>
      </c>
      <c r="G293" s="6">
        <v>20250401</v>
      </c>
      <c r="H293" s="6" t="s">
        <v>18</v>
      </c>
      <c r="I293" s="8">
        <v>869.74</v>
      </c>
      <c r="J293" s="8">
        <v>3</v>
      </c>
      <c r="K293" s="8">
        <v>3</v>
      </c>
    </row>
    <row r="294" spans="1:11" ht="15.75" x14ac:dyDescent="0.25">
      <c r="A294" s="5" t="s">
        <v>13</v>
      </c>
      <c r="B294" s="6" t="s">
        <v>120</v>
      </c>
      <c r="C294" s="6" t="s">
        <v>173</v>
      </c>
      <c r="D294" s="6" t="s">
        <v>174</v>
      </c>
      <c r="E294" s="7" t="s">
        <v>86</v>
      </c>
      <c r="F294" s="6">
        <v>1</v>
      </c>
      <c r="G294" s="6">
        <v>20250201</v>
      </c>
      <c r="H294" s="6" t="s">
        <v>18</v>
      </c>
      <c r="I294" s="8">
        <v>283.73</v>
      </c>
      <c r="J294" s="8">
        <v>3</v>
      </c>
      <c r="K294" s="8">
        <v>3</v>
      </c>
    </row>
    <row r="295" spans="1:11" ht="15.75" x14ac:dyDescent="0.25">
      <c r="A295" s="5" t="s">
        <v>13</v>
      </c>
      <c r="B295" s="6" t="s">
        <v>120</v>
      </c>
      <c r="C295" s="6" t="s">
        <v>175</v>
      </c>
      <c r="D295" s="6" t="s">
        <v>176</v>
      </c>
      <c r="E295" s="7" t="s">
        <v>86</v>
      </c>
      <c r="F295" s="6">
        <v>1</v>
      </c>
      <c r="G295" s="6">
        <v>20250201</v>
      </c>
      <c r="H295" s="6" t="s">
        <v>18</v>
      </c>
      <c r="I295" s="8">
        <v>14.26</v>
      </c>
      <c r="J295" s="8">
        <v>3</v>
      </c>
      <c r="K295" s="8">
        <v>3</v>
      </c>
    </row>
    <row r="296" spans="1:11" ht="15.75" x14ac:dyDescent="0.25">
      <c r="A296" s="5" t="s">
        <v>13</v>
      </c>
      <c r="B296" s="6" t="s">
        <v>120</v>
      </c>
      <c r="C296" s="6" t="s">
        <v>175</v>
      </c>
      <c r="D296" s="6" t="s">
        <v>176</v>
      </c>
      <c r="E296" s="7" t="s">
        <v>86</v>
      </c>
      <c r="F296" s="6">
        <v>1</v>
      </c>
      <c r="G296" s="6">
        <v>20250301</v>
      </c>
      <c r="H296" s="6" t="s">
        <v>18</v>
      </c>
      <c r="I296" s="8">
        <v>14.26</v>
      </c>
      <c r="J296" s="8">
        <v>3</v>
      </c>
      <c r="K296" s="8">
        <v>3</v>
      </c>
    </row>
    <row r="297" spans="1:11" ht="15.75" x14ac:dyDescent="0.25">
      <c r="A297" s="5" t="s">
        <v>13</v>
      </c>
      <c r="B297" s="6" t="s">
        <v>120</v>
      </c>
      <c r="C297" s="6" t="s">
        <v>175</v>
      </c>
      <c r="D297" s="6" t="s">
        <v>176</v>
      </c>
      <c r="E297" s="7" t="s">
        <v>86</v>
      </c>
      <c r="F297" s="6">
        <v>1</v>
      </c>
      <c r="G297" s="6">
        <v>20250401</v>
      </c>
      <c r="H297" s="6" t="s">
        <v>18</v>
      </c>
      <c r="I297" s="8">
        <v>14.26</v>
      </c>
      <c r="J297" s="8">
        <v>3</v>
      </c>
      <c r="K297" s="8">
        <v>3</v>
      </c>
    </row>
    <row r="298" spans="1:11" ht="15.75" x14ac:dyDescent="0.25">
      <c r="A298" s="5" t="s">
        <v>13</v>
      </c>
      <c r="B298" s="6" t="s">
        <v>120</v>
      </c>
      <c r="C298" s="6" t="s">
        <v>177</v>
      </c>
      <c r="D298" s="6" t="s">
        <v>178</v>
      </c>
      <c r="E298" s="7" t="s">
        <v>86</v>
      </c>
      <c r="F298" s="6">
        <v>1</v>
      </c>
      <c r="G298" s="6">
        <v>20250201</v>
      </c>
      <c r="H298" s="6" t="s">
        <v>18</v>
      </c>
      <c r="I298" s="8">
        <v>487.98</v>
      </c>
      <c r="J298" s="8">
        <v>3</v>
      </c>
      <c r="K298" s="8">
        <v>3</v>
      </c>
    </row>
    <row r="299" spans="1:11" ht="15.75" x14ac:dyDescent="0.25">
      <c r="A299" s="5" t="s">
        <v>13</v>
      </c>
      <c r="B299" s="6" t="s">
        <v>120</v>
      </c>
      <c r="C299" s="6" t="s">
        <v>177</v>
      </c>
      <c r="D299" s="6" t="s">
        <v>178</v>
      </c>
      <c r="E299" s="7" t="s">
        <v>86</v>
      </c>
      <c r="F299" s="6">
        <v>1</v>
      </c>
      <c r="G299" s="6">
        <v>20250301</v>
      </c>
      <c r="H299" s="6" t="s">
        <v>18</v>
      </c>
      <c r="I299" s="8">
        <v>487.98</v>
      </c>
      <c r="J299" s="8">
        <v>3</v>
      </c>
      <c r="K299" s="8">
        <v>3</v>
      </c>
    </row>
    <row r="300" spans="1:11" ht="15.75" x14ac:dyDescent="0.25">
      <c r="A300" s="5" t="s">
        <v>13</v>
      </c>
      <c r="B300" s="6" t="s">
        <v>120</v>
      </c>
      <c r="C300" s="6" t="s">
        <v>179</v>
      </c>
      <c r="D300" s="6" t="s">
        <v>180</v>
      </c>
      <c r="E300" s="7" t="s">
        <v>86</v>
      </c>
      <c r="F300" s="6">
        <v>1</v>
      </c>
      <c r="G300" s="6">
        <v>20250201</v>
      </c>
      <c r="H300" s="6" t="s">
        <v>18</v>
      </c>
      <c r="I300" s="8">
        <v>105.62</v>
      </c>
      <c r="J300" s="8">
        <v>3</v>
      </c>
      <c r="K300" s="8">
        <v>3</v>
      </c>
    </row>
    <row r="301" spans="1:11" ht="15.75" x14ac:dyDescent="0.25">
      <c r="A301" s="5" t="s">
        <v>13</v>
      </c>
      <c r="B301" s="6" t="s">
        <v>120</v>
      </c>
      <c r="C301" s="6" t="s">
        <v>179</v>
      </c>
      <c r="D301" s="6" t="s">
        <v>180</v>
      </c>
      <c r="E301" s="7" t="s">
        <v>86</v>
      </c>
      <c r="F301" s="6">
        <v>1</v>
      </c>
      <c r="G301" s="6">
        <v>20250301</v>
      </c>
      <c r="H301" s="6" t="s">
        <v>18</v>
      </c>
      <c r="I301" s="8">
        <v>105.62</v>
      </c>
      <c r="J301" s="8">
        <v>3</v>
      </c>
      <c r="K301" s="8">
        <v>3</v>
      </c>
    </row>
    <row r="302" spans="1:11" ht="15.75" x14ac:dyDescent="0.25">
      <c r="A302" s="5" t="s">
        <v>13</v>
      </c>
      <c r="B302" s="6" t="s">
        <v>120</v>
      </c>
      <c r="C302" s="6" t="s">
        <v>179</v>
      </c>
      <c r="D302" s="6" t="s">
        <v>180</v>
      </c>
      <c r="E302" s="7" t="s">
        <v>86</v>
      </c>
      <c r="F302" s="6">
        <v>1</v>
      </c>
      <c r="G302" s="6">
        <v>20250401</v>
      </c>
      <c r="H302" s="6" t="s">
        <v>18</v>
      </c>
      <c r="I302" s="8">
        <v>105.62</v>
      </c>
      <c r="J302" s="8">
        <v>3</v>
      </c>
      <c r="K302" s="8">
        <v>3</v>
      </c>
    </row>
    <row r="303" spans="1:11" ht="15.75" x14ac:dyDescent="0.25">
      <c r="A303" s="5" t="s">
        <v>13</v>
      </c>
      <c r="B303" s="6" t="s">
        <v>120</v>
      </c>
      <c r="C303" s="6" t="s">
        <v>181</v>
      </c>
      <c r="D303" s="6" t="s">
        <v>182</v>
      </c>
      <c r="E303" s="7" t="s">
        <v>86</v>
      </c>
      <c r="F303" s="6">
        <v>1</v>
      </c>
      <c r="G303" s="6">
        <v>20250201</v>
      </c>
      <c r="H303" s="6" t="s">
        <v>18</v>
      </c>
      <c r="I303" s="8">
        <v>399.52</v>
      </c>
      <c r="J303" s="8">
        <v>3</v>
      </c>
      <c r="K303" s="8">
        <v>3</v>
      </c>
    </row>
    <row r="304" spans="1:11" ht="15.75" x14ac:dyDescent="0.25">
      <c r="A304" s="5" t="s">
        <v>13</v>
      </c>
      <c r="B304" s="6" t="s">
        <v>120</v>
      </c>
      <c r="C304" s="6" t="s">
        <v>193</v>
      </c>
      <c r="D304" s="6" t="s">
        <v>194</v>
      </c>
      <c r="E304" s="7" t="s">
        <v>86</v>
      </c>
      <c r="F304" s="6">
        <v>1</v>
      </c>
      <c r="G304" s="6">
        <v>20250401</v>
      </c>
      <c r="H304" s="6" t="s">
        <v>18</v>
      </c>
      <c r="I304" s="8">
        <v>71.39</v>
      </c>
      <c r="J304" s="8">
        <v>3</v>
      </c>
      <c r="K304" s="8">
        <v>3</v>
      </c>
    </row>
    <row r="305" spans="1:11" ht="15.75" x14ac:dyDescent="0.25">
      <c r="A305" s="5" t="s">
        <v>13</v>
      </c>
      <c r="B305" s="6" t="s">
        <v>120</v>
      </c>
      <c r="C305" s="6" t="s">
        <v>183</v>
      </c>
      <c r="D305" s="6" t="s">
        <v>184</v>
      </c>
      <c r="E305" s="7" t="s">
        <v>86</v>
      </c>
      <c r="F305" s="6">
        <v>1</v>
      </c>
      <c r="G305" s="6">
        <v>20250201</v>
      </c>
      <c r="H305" s="6" t="s">
        <v>18</v>
      </c>
      <c r="I305" s="8">
        <v>387.5</v>
      </c>
      <c r="J305" s="8">
        <v>3</v>
      </c>
      <c r="K305" s="8">
        <v>3</v>
      </c>
    </row>
    <row r="306" spans="1:11" ht="15.75" x14ac:dyDescent="0.25">
      <c r="A306" s="5" t="s">
        <v>13</v>
      </c>
      <c r="B306" s="6" t="s">
        <v>120</v>
      </c>
      <c r="C306" s="6" t="s">
        <v>183</v>
      </c>
      <c r="D306" s="6" t="s">
        <v>184</v>
      </c>
      <c r="E306" s="7" t="s">
        <v>86</v>
      </c>
      <c r="F306" s="6">
        <v>1</v>
      </c>
      <c r="G306" s="6">
        <v>20250301</v>
      </c>
      <c r="H306" s="6" t="s">
        <v>18</v>
      </c>
      <c r="I306" s="8">
        <v>387.5</v>
      </c>
      <c r="J306" s="8">
        <v>3</v>
      </c>
      <c r="K306" s="8">
        <v>3</v>
      </c>
    </row>
    <row r="307" spans="1:11" ht="15.75" x14ac:dyDescent="0.25">
      <c r="A307" s="5" t="s">
        <v>13</v>
      </c>
      <c r="B307" s="6" t="s">
        <v>120</v>
      </c>
      <c r="C307" s="6" t="s">
        <v>183</v>
      </c>
      <c r="D307" s="6" t="s">
        <v>184</v>
      </c>
      <c r="E307" s="7" t="s">
        <v>86</v>
      </c>
      <c r="F307" s="6">
        <v>1</v>
      </c>
      <c r="G307" s="6">
        <v>20250401</v>
      </c>
      <c r="H307" s="6" t="s">
        <v>18</v>
      </c>
      <c r="I307" s="8">
        <v>387.5</v>
      </c>
      <c r="J307" s="8">
        <v>3</v>
      </c>
      <c r="K307" s="8">
        <v>3</v>
      </c>
    </row>
    <row r="308" spans="1:11" ht="15.75" x14ac:dyDescent="0.25">
      <c r="A308" s="5" t="s">
        <v>13</v>
      </c>
      <c r="B308" s="6" t="s">
        <v>120</v>
      </c>
      <c r="C308" s="6" t="s">
        <v>185</v>
      </c>
      <c r="D308" s="6" t="s">
        <v>186</v>
      </c>
      <c r="E308" s="7" t="s">
        <v>86</v>
      </c>
      <c r="F308" s="6">
        <v>1</v>
      </c>
      <c r="G308" s="6">
        <v>20250201</v>
      </c>
      <c r="H308" s="6" t="s">
        <v>18</v>
      </c>
      <c r="I308" s="8">
        <v>96.47</v>
      </c>
      <c r="J308" s="8">
        <v>3</v>
      </c>
      <c r="K308" s="8">
        <v>3</v>
      </c>
    </row>
    <row r="309" spans="1:11" ht="15.75" x14ac:dyDescent="0.25">
      <c r="A309" s="5" t="s">
        <v>13</v>
      </c>
      <c r="B309" s="6" t="s">
        <v>120</v>
      </c>
      <c r="C309" s="6" t="s">
        <v>185</v>
      </c>
      <c r="D309" s="6" t="s">
        <v>186</v>
      </c>
      <c r="E309" s="7" t="s">
        <v>86</v>
      </c>
      <c r="F309" s="6">
        <v>1</v>
      </c>
      <c r="G309" s="6">
        <v>20250301</v>
      </c>
      <c r="H309" s="6" t="s">
        <v>18</v>
      </c>
      <c r="I309" s="8">
        <v>96.47</v>
      </c>
      <c r="J309" s="8">
        <v>3</v>
      </c>
      <c r="K309" s="8">
        <v>3</v>
      </c>
    </row>
    <row r="310" spans="1:11" ht="15.75" x14ac:dyDescent="0.25">
      <c r="A310" s="5" t="s">
        <v>13</v>
      </c>
      <c r="B310" s="6" t="s">
        <v>120</v>
      </c>
      <c r="C310" s="6" t="s">
        <v>187</v>
      </c>
      <c r="D310" s="6" t="s">
        <v>188</v>
      </c>
      <c r="E310" s="7" t="s">
        <v>86</v>
      </c>
      <c r="F310" s="6">
        <v>1</v>
      </c>
      <c r="G310" s="6">
        <v>20250201</v>
      </c>
      <c r="H310" s="6" t="s">
        <v>18</v>
      </c>
      <c r="I310" s="8">
        <v>25.78</v>
      </c>
      <c r="J310" s="8">
        <v>3</v>
      </c>
      <c r="K310" s="8">
        <v>3</v>
      </c>
    </row>
    <row r="311" spans="1:11" ht="15.75" x14ac:dyDescent="0.25">
      <c r="A311" s="5" t="s">
        <v>13</v>
      </c>
      <c r="B311" s="6" t="s">
        <v>120</v>
      </c>
      <c r="C311" s="6" t="s">
        <v>187</v>
      </c>
      <c r="D311" s="6" t="s">
        <v>188</v>
      </c>
      <c r="E311" s="7" t="s">
        <v>86</v>
      </c>
      <c r="F311" s="6">
        <v>1</v>
      </c>
      <c r="G311" s="6">
        <v>20250301</v>
      </c>
      <c r="H311" s="6" t="s">
        <v>18</v>
      </c>
      <c r="I311" s="8">
        <v>25.78</v>
      </c>
      <c r="J311" s="8">
        <v>3</v>
      </c>
      <c r="K311" s="8">
        <v>3</v>
      </c>
    </row>
    <row r="312" spans="1:11" ht="15.75" x14ac:dyDescent="0.25">
      <c r="A312" s="5" t="s">
        <v>13</v>
      </c>
      <c r="B312" s="6" t="s">
        <v>120</v>
      </c>
      <c r="C312" s="6" t="s">
        <v>187</v>
      </c>
      <c r="D312" s="6" t="s">
        <v>188</v>
      </c>
      <c r="E312" s="7" t="s">
        <v>86</v>
      </c>
      <c r="F312" s="6">
        <v>1</v>
      </c>
      <c r="G312" s="6">
        <v>20250401</v>
      </c>
      <c r="H312" s="6" t="s">
        <v>18</v>
      </c>
      <c r="I312" s="8">
        <v>25.78</v>
      </c>
      <c r="J312" s="8">
        <v>3</v>
      </c>
      <c r="K312" s="8">
        <v>3</v>
      </c>
    </row>
    <row r="313" spans="1:11" ht="15.75" x14ac:dyDescent="0.25">
      <c r="A313" s="5" t="s">
        <v>13</v>
      </c>
      <c r="B313" s="6" t="s">
        <v>120</v>
      </c>
      <c r="C313" s="6" t="s">
        <v>189</v>
      </c>
      <c r="D313" s="6" t="s">
        <v>190</v>
      </c>
      <c r="E313" s="7" t="s">
        <v>86</v>
      </c>
      <c r="F313" s="6">
        <v>1</v>
      </c>
      <c r="G313" s="6">
        <v>20250201</v>
      </c>
      <c r="H313" s="6" t="s">
        <v>18</v>
      </c>
      <c r="I313" s="8">
        <v>176.15</v>
      </c>
      <c r="J313" s="8">
        <v>3</v>
      </c>
      <c r="K313" s="8">
        <v>3</v>
      </c>
    </row>
    <row r="314" spans="1:11" ht="15.75" x14ac:dyDescent="0.25">
      <c r="A314" s="5" t="s">
        <v>13</v>
      </c>
      <c r="B314" s="6" t="s">
        <v>120</v>
      </c>
      <c r="C314" s="6" t="s">
        <v>189</v>
      </c>
      <c r="D314" s="6" t="s">
        <v>190</v>
      </c>
      <c r="E314" s="7" t="s">
        <v>86</v>
      </c>
      <c r="F314" s="6">
        <v>1</v>
      </c>
      <c r="G314" s="6">
        <v>20250301</v>
      </c>
      <c r="H314" s="6" t="s">
        <v>18</v>
      </c>
      <c r="I314" s="8">
        <v>176.15</v>
      </c>
      <c r="J314" s="8">
        <v>3</v>
      </c>
      <c r="K314" s="8">
        <v>3</v>
      </c>
    </row>
    <row r="315" spans="1:11" ht="15.75" x14ac:dyDescent="0.25">
      <c r="A315" s="5" t="s">
        <v>13</v>
      </c>
      <c r="B315" s="6" t="s">
        <v>120</v>
      </c>
      <c r="C315" s="6" t="s">
        <v>189</v>
      </c>
      <c r="D315" s="6" t="s">
        <v>190</v>
      </c>
      <c r="E315" s="7" t="s">
        <v>86</v>
      </c>
      <c r="F315" s="6">
        <v>1</v>
      </c>
      <c r="G315" s="6">
        <v>20250401</v>
      </c>
      <c r="H315" s="6" t="s">
        <v>18</v>
      </c>
      <c r="I315" s="8">
        <v>176.15</v>
      </c>
      <c r="J315" s="8">
        <v>3</v>
      </c>
      <c r="K315" s="8">
        <v>3</v>
      </c>
    </row>
    <row r="316" spans="1:11" ht="15.75" x14ac:dyDescent="0.25">
      <c r="A316" s="5" t="s">
        <v>13</v>
      </c>
      <c r="B316" s="6" t="s">
        <v>120</v>
      </c>
      <c r="C316" s="6" t="s">
        <v>191</v>
      </c>
      <c r="D316" s="6" t="s">
        <v>192</v>
      </c>
      <c r="E316" s="7" t="s">
        <v>86</v>
      </c>
      <c r="F316" s="6">
        <v>1</v>
      </c>
      <c r="G316" s="6">
        <v>20250101</v>
      </c>
      <c r="H316" s="6" t="s">
        <v>18</v>
      </c>
      <c r="I316" s="8">
        <v>0</v>
      </c>
      <c r="J316" s="8">
        <v>3</v>
      </c>
      <c r="K316" s="8">
        <v>3</v>
      </c>
    </row>
    <row r="317" spans="1:11" ht="15.75" x14ac:dyDescent="0.25">
      <c r="A317" s="5" t="s">
        <v>13</v>
      </c>
      <c r="B317" s="6" t="s">
        <v>120</v>
      </c>
      <c r="C317" s="6" t="s">
        <v>131</v>
      </c>
      <c r="D317" s="6" t="s">
        <v>132</v>
      </c>
      <c r="E317" s="7" t="s">
        <v>86</v>
      </c>
      <c r="F317" s="6">
        <v>2</v>
      </c>
      <c r="G317" s="6">
        <v>20250201</v>
      </c>
      <c r="H317" s="6" t="s">
        <v>18</v>
      </c>
      <c r="I317" s="8">
        <v>86.34</v>
      </c>
      <c r="J317" s="8">
        <v>3</v>
      </c>
      <c r="K317" s="8">
        <v>6</v>
      </c>
    </row>
    <row r="318" spans="1:11" ht="15.75" x14ac:dyDescent="0.25">
      <c r="A318" s="5" t="s">
        <v>13</v>
      </c>
      <c r="B318" s="6" t="s">
        <v>120</v>
      </c>
      <c r="C318" s="6" t="s">
        <v>131</v>
      </c>
      <c r="D318" s="6" t="s">
        <v>132</v>
      </c>
      <c r="E318" s="7" t="s">
        <v>86</v>
      </c>
      <c r="F318" s="6">
        <v>2</v>
      </c>
      <c r="G318" s="6">
        <v>20250301</v>
      </c>
      <c r="H318" s="6" t="s">
        <v>18</v>
      </c>
      <c r="I318" s="8">
        <v>86.34</v>
      </c>
      <c r="J318" s="8">
        <v>3</v>
      </c>
      <c r="K318" s="8">
        <v>6</v>
      </c>
    </row>
    <row r="319" spans="1:11" ht="15.75" x14ac:dyDescent="0.25">
      <c r="A319" s="5" t="s">
        <v>13</v>
      </c>
      <c r="B319" s="6" t="s">
        <v>120</v>
      </c>
      <c r="C319" s="6" t="s">
        <v>133</v>
      </c>
      <c r="D319" s="6" t="s">
        <v>134</v>
      </c>
      <c r="E319" s="7" t="s">
        <v>86</v>
      </c>
      <c r="F319" s="6">
        <v>2</v>
      </c>
      <c r="G319" s="6">
        <v>20250201</v>
      </c>
      <c r="H319" s="6" t="s">
        <v>18</v>
      </c>
      <c r="I319" s="8">
        <v>149.62</v>
      </c>
      <c r="J319" s="8">
        <v>3</v>
      </c>
      <c r="K319" s="8">
        <v>6</v>
      </c>
    </row>
    <row r="320" spans="1:11" ht="15.75" x14ac:dyDescent="0.25">
      <c r="A320" s="5" t="s">
        <v>13</v>
      </c>
      <c r="B320" s="6" t="s">
        <v>120</v>
      </c>
      <c r="C320" s="6" t="s">
        <v>133</v>
      </c>
      <c r="D320" s="6" t="s">
        <v>134</v>
      </c>
      <c r="E320" s="7" t="s">
        <v>86</v>
      </c>
      <c r="F320" s="6">
        <v>2</v>
      </c>
      <c r="G320" s="6">
        <v>20250301</v>
      </c>
      <c r="H320" s="6" t="s">
        <v>18</v>
      </c>
      <c r="I320" s="8">
        <v>149.62</v>
      </c>
      <c r="J320" s="8">
        <v>3</v>
      </c>
      <c r="K320" s="8">
        <v>6</v>
      </c>
    </row>
    <row r="321" spans="1:11" ht="15.75" x14ac:dyDescent="0.25">
      <c r="A321" s="5" t="s">
        <v>13</v>
      </c>
      <c r="B321" s="6" t="s">
        <v>120</v>
      </c>
      <c r="C321" s="6" t="s">
        <v>133</v>
      </c>
      <c r="D321" s="6" t="s">
        <v>134</v>
      </c>
      <c r="E321" s="7" t="s">
        <v>86</v>
      </c>
      <c r="F321" s="6">
        <v>2</v>
      </c>
      <c r="G321" s="6">
        <v>20250401</v>
      </c>
      <c r="H321" s="6" t="s">
        <v>18</v>
      </c>
      <c r="I321" s="8">
        <v>149.62</v>
      </c>
      <c r="J321" s="8">
        <v>3</v>
      </c>
      <c r="K321" s="8">
        <v>6</v>
      </c>
    </row>
    <row r="322" spans="1:11" ht="15.75" x14ac:dyDescent="0.25">
      <c r="A322" s="5" t="s">
        <v>13</v>
      </c>
      <c r="B322" s="6" t="s">
        <v>120</v>
      </c>
      <c r="C322" s="6" t="s">
        <v>135</v>
      </c>
      <c r="D322" s="6" t="s">
        <v>136</v>
      </c>
      <c r="E322" s="7" t="s">
        <v>86</v>
      </c>
      <c r="F322" s="6">
        <v>2</v>
      </c>
      <c r="G322" s="6">
        <v>20250201</v>
      </c>
      <c r="H322" s="6" t="s">
        <v>18</v>
      </c>
      <c r="I322" s="8">
        <v>621.96</v>
      </c>
      <c r="J322" s="8">
        <v>3</v>
      </c>
      <c r="K322" s="8">
        <v>6</v>
      </c>
    </row>
    <row r="323" spans="1:11" ht="15.75" x14ac:dyDescent="0.25">
      <c r="A323" s="5" t="s">
        <v>13</v>
      </c>
      <c r="B323" s="6" t="s">
        <v>120</v>
      </c>
      <c r="C323" s="6" t="s">
        <v>135</v>
      </c>
      <c r="D323" s="6" t="s">
        <v>136</v>
      </c>
      <c r="E323" s="7" t="s">
        <v>86</v>
      </c>
      <c r="F323" s="6">
        <v>2</v>
      </c>
      <c r="G323" s="6">
        <v>20250301</v>
      </c>
      <c r="H323" s="6" t="s">
        <v>18</v>
      </c>
      <c r="I323" s="8">
        <v>621.96</v>
      </c>
      <c r="J323" s="8">
        <v>3</v>
      </c>
      <c r="K323" s="8">
        <v>6</v>
      </c>
    </row>
    <row r="324" spans="1:11" ht="15.75" x14ac:dyDescent="0.25">
      <c r="A324" s="5" t="s">
        <v>13</v>
      </c>
      <c r="B324" s="6" t="s">
        <v>120</v>
      </c>
      <c r="C324" s="6" t="s">
        <v>137</v>
      </c>
      <c r="D324" s="6" t="s">
        <v>138</v>
      </c>
      <c r="E324" s="7" t="s">
        <v>86</v>
      </c>
      <c r="F324" s="6">
        <v>2</v>
      </c>
      <c r="G324" s="6">
        <v>20250201</v>
      </c>
      <c r="H324" s="6" t="s">
        <v>18</v>
      </c>
      <c r="I324" s="8">
        <v>62.71</v>
      </c>
      <c r="J324" s="8">
        <v>3</v>
      </c>
      <c r="K324" s="8">
        <v>6</v>
      </c>
    </row>
    <row r="325" spans="1:11" ht="15.75" x14ac:dyDescent="0.25">
      <c r="A325" s="5" t="s">
        <v>13</v>
      </c>
      <c r="B325" s="6" t="s">
        <v>120</v>
      </c>
      <c r="C325" s="6" t="s">
        <v>137</v>
      </c>
      <c r="D325" s="6" t="s">
        <v>138</v>
      </c>
      <c r="E325" s="7" t="s">
        <v>86</v>
      </c>
      <c r="F325" s="6">
        <v>2</v>
      </c>
      <c r="G325" s="6">
        <v>20250301</v>
      </c>
      <c r="H325" s="6" t="s">
        <v>18</v>
      </c>
      <c r="I325" s="8">
        <v>62.71</v>
      </c>
      <c r="J325" s="8">
        <v>3</v>
      </c>
      <c r="K325" s="8">
        <v>6</v>
      </c>
    </row>
    <row r="326" spans="1:11" ht="15.75" x14ac:dyDescent="0.25">
      <c r="A326" s="5" t="s">
        <v>13</v>
      </c>
      <c r="B326" s="6" t="s">
        <v>120</v>
      </c>
      <c r="C326" s="6" t="s">
        <v>137</v>
      </c>
      <c r="D326" s="6" t="s">
        <v>138</v>
      </c>
      <c r="E326" s="7" t="s">
        <v>86</v>
      </c>
      <c r="F326" s="6">
        <v>2</v>
      </c>
      <c r="G326" s="6">
        <v>20250401</v>
      </c>
      <c r="H326" s="6" t="s">
        <v>18</v>
      </c>
      <c r="I326" s="8">
        <v>62.71</v>
      </c>
      <c r="J326" s="8">
        <v>3</v>
      </c>
      <c r="K326" s="8">
        <v>6</v>
      </c>
    </row>
    <row r="327" spans="1:11" ht="15.75" x14ac:dyDescent="0.25">
      <c r="A327" s="5" t="s">
        <v>13</v>
      </c>
      <c r="B327" s="6" t="s">
        <v>120</v>
      </c>
      <c r="C327" s="6" t="s">
        <v>139</v>
      </c>
      <c r="D327" s="6" t="s">
        <v>140</v>
      </c>
      <c r="E327" s="7" t="s">
        <v>86</v>
      </c>
      <c r="F327" s="6">
        <v>2</v>
      </c>
      <c r="G327" s="6">
        <v>20250201</v>
      </c>
      <c r="H327" s="6" t="s">
        <v>18</v>
      </c>
      <c r="I327" s="8">
        <v>2.78</v>
      </c>
      <c r="J327" s="8">
        <v>3</v>
      </c>
      <c r="K327" s="8">
        <v>6</v>
      </c>
    </row>
    <row r="328" spans="1:11" ht="15.75" x14ac:dyDescent="0.25">
      <c r="A328" s="5" t="s">
        <v>13</v>
      </c>
      <c r="B328" s="6" t="s">
        <v>120</v>
      </c>
      <c r="C328" s="6" t="s">
        <v>139</v>
      </c>
      <c r="D328" s="6" t="s">
        <v>140</v>
      </c>
      <c r="E328" s="7" t="s">
        <v>86</v>
      </c>
      <c r="F328" s="6">
        <v>2</v>
      </c>
      <c r="G328" s="6">
        <v>20250301</v>
      </c>
      <c r="H328" s="6" t="s">
        <v>18</v>
      </c>
      <c r="I328" s="8">
        <v>2.78</v>
      </c>
      <c r="J328" s="8">
        <v>3</v>
      </c>
      <c r="K328" s="8">
        <v>6</v>
      </c>
    </row>
    <row r="329" spans="1:11" ht="15.75" x14ac:dyDescent="0.25">
      <c r="A329" s="5" t="s">
        <v>13</v>
      </c>
      <c r="B329" s="6" t="s">
        <v>120</v>
      </c>
      <c r="C329" s="6" t="s">
        <v>125</v>
      </c>
      <c r="D329" s="6" t="s">
        <v>126</v>
      </c>
      <c r="E329" s="7" t="s">
        <v>86</v>
      </c>
      <c r="F329" s="6">
        <v>3</v>
      </c>
      <c r="G329" s="6">
        <v>20250201</v>
      </c>
      <c r="H329" s="6" t="s">
        <v>18</v>
      </c>
      <c r="I329" s="8">
        <v>847.34</v>
      </c>
      <c r="J329" s="8">
        <v>3</v>
      </c>
      <c r="K329" s="8">
        <v>9</v>
      </c>
    </row>
    <row r="330" spans="1:11" ht="15.75" x14ac:dyDescent="0.25">
      <c r="A330" s="5" t="s">
        <v>13</v>
      </c>
      <c r="B330" s="6" t="s">
        <v>120</v>
      </c>
      <c r="C330" s="6" t="s">
        <v>125</v>
      </c>
      <c r="D330" s="6" t="s">
        <v>126</v>
      </c>
      <c r="E330" s="7" t="s">
        <v>86</v>
      </c>
      <c r="F330" s="6">
        <v>3</v>
      </c>
      <c r="G330" s="6">
        <v>20250301</v>
      </c>
      <c r="H330" s="6" t="s">
        <v>18</v>
      </c>
      <c r="I330" s="8">
        <v>847.34</v>
      </c>
      <c r="J330" s="8">
        <v>3</v>
      </c>
      <c r="K330" s="8">
        <v>9</v>
      </c>
    </row>
    <row r="331" spans="1:11" ht="15.75" x14ac:dyDescent="0.25">
      <c r="A331" s="5" t="s">
        <v>13</v>
      </c>
      <c r="B331" s="6" t="s">
        <v>120</v>
      </c>
      <c r="C331" s="6" t="s">
        <v>125</v>
      </c>
      <c r="D331" s="6" t="s">
        <v>126</v>
      </c>
      <c r="E331" s="7" t="s">
        <v>86</v>
      </c>
      <c r="F331" s="6">
        <v>3</v>
      </c>
      <c r="G331" s="6">
        <v>20250401</v>
      </c>
      <c r="H331" s="6" t="s">
        <v>18</v>
      </c>
      <c r="I331" s="8">
        <v>847.34</v>
      </c>
      <c r="J331" s="8">
        <v>3</v>
      </c>
      <c r="K331" s="8">
        <v>9</v>
      </c>
    </row>
    <row r="332" spans="1:11" ht="15.75" x14ac:dyDescent="0.25">
      <c r="A332" s="5" t="s">
        <v>13</v>
      </c>
      <c r="B332" s="6" t="s">
        <v>120</v>
      </c>
      <c r="C332" s="6" t="s">
        <v>127</v>
      </c>
      <c r="D332" s="6" t="s">
        <v>128</v>
      </c>
      <c r="E332" s="7" t="s">
        <v>86</v>
      </c>
      <c r="F332" s="6">
        <v>3</v>
      </c>
      <c r="G332" s="6">
        <v>20250201</v>
      </c>
      <c r="H332" s="6" t="s">
        <v>18</v>
      </c>
      <c r="I332" s="8">
        <v>468.79</v>
      </c>
      <c r="J332" s="8">
        <v>3</v>
      </c>
      <c r="K332" s="8">
        <v>9</v>
      </c>
    </row>
    <row r="333" spans="1:11" ht="15.75" x14ac:dyDescent="0.25">
      <c r="A333" s="5" t="s">
        <v>13</v>
      </c>
      <c r="B333" s="6" t="s">
        <v>120</v>
      </c>
      <c r="C333" s="6" t="s">
        <v>127</v>
      </c>
      <c r="D333" s="6" t="s">
        <v>128</v>
      </c>
      <c r="E333" s="7" t="s">
        <v>86</v>
      </c>
      <c r="F333" s="6">
        <v>3</v>
      </c>
      <c r="G333" s="6">
        <v>20250301</v>
      </c>
      <c r="H333" s="6" t="s">
        <v>18</v>
      </c>
      <c r="I333" s="8">
        <v>468.79</v>
      </c>
      <c r="J333" s="8">
        <v>3</v>
      </c>
      <c r="K333" s="8">
        <v>9</v>
      </c>
    </row>
    <row r="334" spans="1:11" ht="15.75" x14ac:dyDescent="0.25">
      <c r="A334" s="5" t="s">
        <v>13</v>
      </c>
      <c r="B334" s="6" t="s">
        <v>120</v>
      </c>
      <c r="C334" s="6" t="s">
        <v>127</v>
      </c>
      <c r="D334" s="6" t="s">
        <v>128</v>
      </c>
      <c r="E334" s="7" t="s">
        <v>86</v>
      </c>
      <c r="F334" s="6">
        <v>3</v>
      </c>
      <c r="G334" s="6">
        <v>20250401</v>
      </c>
      <c r="H334" s="6" t="s">
        <v>18</v>
      </c>
      <c r="I334" s="8">
        <v>468.79</v>
      </c>
      <c r="J334" s="8">
        <v>3</v>
      </c>
      <c r="K334" s="8">
        <v>9</v>
      </c>
    </row>
    <row r="335" spans="1:11" ht="15.75" x14ac:dyDescent="0.25">
      <c r="A335" s="5" t="s">
        <v>13</v>
      </c>
      <c r="B335" s="6" t="s">
        <v>120</v>
      </c>
      <c r="C335" s="6" t="s">
        <v>195</v>
      </c>
      <c r="D335" s="6" t="s">
        <v>196</v>
      </c>
      <c r="E335" s="7" t="s">
        <v>86</v>
      </c>
      <c r="F335" s="6">
        <v>3</v>
      </c>
      <c r="G335" s="6">
        <v>20250201</v>
      </c>
      <c r="H335" s="6" t="s">
        <v>18</v>
      </c>
      <c r="I335" s="8">
        <v>1604.64</v>
      </c>
      <c r="J335" s="8">
        <v>3</v>
      </c>
      <c r="K335" s="8">
        <v>9</v>
      </c>
    </row>
    <row r="336" spans="1:11" ht="15.75" x14ac:dyDescent="0.25">
      <c r="A336" s="5" t="s">
        <v>13</v>
      </c>
      <c r="B336" s="6" t="s">
        <v>120</v>
      </c>
      <c r="C336" s="6" t="s">
        <v>195</v>
      </c>
      <c r="D336" s="6" t="s">
        <v>196</v>
      </c>
      <c r="E336" s="7" t="s">
        <v>86</v>
      </c>
      <c r="F336" s="6">
        <v>3</v>
      </c>
      <c r="G336" s="6">
        <v>20250301</v>
      </c>
      <c r="H336" s="6" t="s">
        <v>18</v>
      </c>
      <c r="I336" s="8">
        <v>1604.64</v>
      </c>
      <c r="J336" s="8">
        <v>3</v>
      </c>
      <c r="K336" s="8">
        <v>9</v>
      </c>
    </row>
    <row r="337" spans="1:11" ht="15.75" x14ac:dyDescent="0.25">
      <c r="A337" s="5" t="s">
        <v>13</v>
      </c>
      <c r="B337" s="6" t="s">
        <v>120</v>
      </c>
      <c r="C337" s="6" t="s">
        <v>129</v>
      </c>
      <c r="D337" s="6" t="s">
        <v>130</v>
      </c>
      <c r="E337" s="7" t="s">
        <v>86</v>
      </c>
      <c r="F337" s="6">
        <v>3</v>
      </c>
      <c r="G337" s="6">
        <v>20250201</v>
      </c>
      <c r="H337" s="6" t="s">
        <v>18</v>
      </c>
      <c r="I337" s="8">
        <v>1053.33</v>
      </c>
      <c r="J337" s="8">
        <v>3</v>
      </c>
      <c r="K337" s="8">
        <v>9</v>
      </c>
    </row>
    <row r="338" spans="1:11" ht="15.75" x14ac:dyDescent="0.25">
      <c r="A338" s="5" t="s">
        <v>13</v>
      </c>
      <c r="B338" s="6" t="s">
        <v>120</v>
      </c>
      <c r="C338" s="6" t="s">
        <v>129</v>
      </c>
      <c r="D338" s="6" t="s">
        <v>130</v>
      </c>
      <c r="E338" s="7" t="s">
        <v>86</v>
      </c>
      <c r="F338" s="6">
        <v>3</v>
      </c>
      <c r="G338" s="6">
        <v>20250301</v>
      </c>
      <c r="H338" s="6" t="s">
        <v>18</v>
      </c>
      <c r="I338" s="8">
        <v>1053.33</v>
      </c>
      <c r="J338" s="8">
        <v>3</v>
      </c>
      <c r="K338" s="8">
        <v>9</v>
      </c>
    </row>
    <row r="339" spans="1:11" ht="15.75" x14ac:dyDescent="0.25">
      <c r="A339" s="5" t="s">
        <v>13</v>
      </c>
      <c r="B339" s="6" t="s">
        <v>120</v>
      </c>
      <c r="C339" s="6" t="s">
        <v>129</v>
      </c>
      <c r="D339" s="6" t="s">
        <v>130</v>
      </c>
      <c r="E339" s="7" t="s">
        <v>86</v>
      </c>
      <c r="F339" s="6">
        <v>3</v>
      </c>
      <c r="G339" s="6">
        <v>20250401</v>
      </c>
      <c r="H339" s="6" t="s">
        <v>18</v>
      </c>
      <c r="I339" s="8">
        <v>1053.33</v>
      </c>
      <c r="J339" s="8">
        <v>3</v>
      </c>
      <c r="K339" s="8">
        <v>9</v>
      </c>
    </row>
    <row r="340" spans="1:11" ht="15.75" x14ac:dyDescent="0.25">
      <c r="A340" s="5" t="s">
        <v>13</v>
      </c>
      <c r="B340" s="6" t="s">
        <v>120</v>
      </c>
      <c r="C340" s="6" t="s">
        <v>195</v>
      </c>
      <c r="D340" s="6" t="s">
        <v>196</v>
      </c>
      <c r="E340" s="7" t="s">
        <v>86</v>
      </c>
      <c r="F340" s="6">
        <v>3</v>
      </c>
      <c r="G340" s="6">
        <v>20241201</v>
      </c>
      <c r="H340" s="6" t="s">
        <v>18</v>
      </c>
      <c r="I340" s="8">
        <v>1528.14</v>
      </c>
      <c r="J340" s="8">
        <v>3</v>
      </c>
      <c r="K340" s="8">
        <v>9</v>
      </c>
    </row>
    <row r="341" spans="1:11" ht="15.75" x14ac:dyDescent="0.25">
      <c r="A341" s="5" t="s">
        <v>13</v>
      </c>
      <c r="B341" s="6" t="s">
        <v>120</v>
      </c>
      <c r="C341" s="6" t="s">
        <v>195</v>
      </c>
      <c r="D341" s="6" t="s">
        <v>196</v>
      </c>
      <c r="E341" s="7" t="s">
        <v>86</v>
      </c>
      <c r="F341" s="6">
        <v>3</v>
      </c>
      <c r="G341" s="6">
        <v>20250101</v>
      </c>
      <c r="H341" s="6" t="s">
        <v>18</v>
      </c>
      <c r="I341" s="8">
        <v>1604.64</v>
      </c>
      <c r="J341" s="8">
        <v>3</v>
      </c>
      <c r="K341" s="8">
        <v>9</v>
      </c>
    </row>
    <row r="342" spans="1:11" ht="15.75" x14ac:dyDescent="0.25">
      <c r="A342" s="5" t="s">
        <v>13</v>
      </c>
      <c r="B342" s="6" t="s">
        <v>120</v>
      </c>
      <c r="C342" s="6" t="s">
        <v>121</v>
      </c>
      <c r="D342" s="6" t="s">
        <v>122</v>
      </c>
      <c r="E342" s="7" t="s">
        <v>86</v>
      </c>
      <c r="F342" s="6">
        <v>4</v>
      </c>
      <c r="G342" s="6">
        <v>20250201</v>
      </c>
      <c r="H342" s="6" t="s">
        <v>18</v>
      </c>
      <c r="I342" s="8">
        <v>513.26</v>
      </c>
      <c r="J342" s="8">
        <v>3</v>
      </c>
      <c r="K342" s="8">
        <v>12</v>
      </c>
    </row>
    <row r="343" spans="1:11" ht="15.75" x14ac:dyDescent="0.25">
      <c r="A343" s="5" t="s">
        <v>13</v>
      </c>
      <c r="B343" s="6" t="s">
        <v>120</v>
      </c>
      <c r="C343" s="6" t="s">
        <v>121</v>
      </c>
      <c r="D343" s="6" t="s">
        <v>122</v>
      </c>
      <c r="E343" s="7" t="s">
        <v>86</v>
      </c>
      <c r="F343" s="6">
        <v>4</v>
      </c>
      <c r="G343" s="6">
        <v>20250301</v>
      </c>
      <c r="H343" s="6" t="s">
        <v>18</v>
      </c>
      <c r="I343" s="8">
        <v>513.26</v>
      </c>
      <c r="J343" s="8">
        <v>3</v>
      </c>
      <c r="K343" s="8">
        <v>12</v>
      </c>
    </row>
    <row r="344" spans="1:11" ht="15.75" x14ac:dyDescent="0.25">
      <c r="A344" s="5" t="s">
        <v>13</v>
      </c>
      <c r="B344" s="6" t="s">
        <v>120</v>
      </c>
      <c r="C344" s="6" t="s">
        <v>121</v>
      </c>
      <c r="D344" s="6" t="s">
        <v>122</v>
      </c>
      <c r="E344" s="7" t="s">
        <v>86</v>
      </c>
      <c r="F344" s="6">
        <v>4</v>
      </c>
      <c r="G344" s="6">
        <v>20250401</v>
      </c>
      <c r="H344" s="6" t="s">
        <v>18</v>
      </c>
      <c r="I344" s="8">
        <v>513.26</v>
      </c>
      <c r="J344" s="8">
        <v>3</v>
      </c>
      <c r="K344" s="8">
        <v>12</v>
      </c>
    </row>
    <row r="345" spans="1:11" ht="15.75" x14ac:dyDescent="0.25">
      <c r="A345" s="5" t="s">
        <v>13</v>
      </c>
      <c r="B345" s="6" t="s">
        <v>120</v>
      </c>
      <c r="C345" s="6" t="s">
        <v>123</v>
      </c>
      <c r="D345" s="6" t="s">
        <v>124</v>
      </c>
      <c r="E345" s="7" t="s">
        <v>86</v>
      </c>
      <c r="F345" s="6">
        <v>4</v>
      </c>
      <c r="G345" s="6">
        <v>20250201</v>
      </c>
      <c r="H345" s="6" t="s">
        <v>18</v>
      </c>
      <c r="I345" s="8">
        <v>438.09</v>
      </c>
      <c r="J345" s="8">
        <v>3</v>
      </c>
      <c r="K345" s="8">
        <v>12</v>
      </c>
    </row>
    <row r="346" spans="1:11" ht="15.75" x14ac:dyDescent="0.25">
      <c r="A346" s="5" t="s">
        <v>13</v>
      </c>
      <c r="B346" s="6" t="s">
        <v>120</v>
      </c>
      <c r="C346" s="6" t="s">
        <v>123</v>
      </c>
      <c r="D346" s="6" t="s">
        <v>124</v>
      </c>
      <c r="E346" s="7" t="s">
        <v>86</v>
      </c>
      <c r="F346" s="6">
        <v>4</v>
      </c>
      <c r="G346" s="6">
        <v>20250301</v>
      </c>
      <c r="H346" s="6" t="s">
        <v>18</v>
      </c>
      <c r="I346" s="8">
        <v>438.09</v>
      </c>
      <c r="J346" s="8">
        <v>3</v>
      </c>
      <c r="K346" s="8">
        <v>12</v>
      </c>
    </row>
    <row r="347" spans="1:11" ht="15.75" x14ac:dyDescent="0.25">
      <c r="A347" s="5" t="s">
        <v>13</v>
      </c>
      <c r="B347" s="6" t="s">
        <v>197</v>
      </c>
      <c r="C347" s="6" t="s">
        <v>198</v>
      </c>
      <c r="D347" s="6" t="s">
        <v>199</v>
      </c>
      <c r="E347" s="7" t="s">
        <v>22</v>
      </c>
      <c r="F347" s="6">
        <v>-1</v>
      </c>
      <c r="G347" s="6">
        <v>20250201</v>
      </c>
      <c r="H347" s="6" t="s">
        <v>18</v>
      </c>
      <c r="I347" s="8">
        <v>-176.4</v>
      </c>
      <c r="J347" s="8">
        <v>3</v>
      </c>
      <c r="K347" s="8">
        <v>-3</v>
      </c>
    </row>
    <row r="348" spans="1:11" ht="15.75" x14ac:dyDescent="0.25">
      <c r="A348" s="5" t="s">
        <v>13</v>
      </c>
      <c r="B348" s="6" t="s">
        <v>197</v>
      </c>
      <c r="C348" s="6" t="s">
        <v>198</v>
      </c>
      <c r="D348" s="6" t="s">
        <v>199</v>
      </c>
      <c r="E348" s="7" t="s">
        <v>22</v>
      </c>
      <c r="F348" s="6">
        <v>-1</v>
      </c>
      <c r="G348" s="6">
        <v>20250301</v>
      </c>
      <c r="H348" s="6" t="s">
        <v>18</v>
      </c>
      <c r="I348" s="8">
        <v>-176.4</v>
      </c>
      <c r="J348" s="8">
        <v>3</v>
      </c>
      <c r="K348" s="8">
        <v>-3</v>
      </c>
    </row>
    <row r="349" spans="1:11" ht="15.75" x14ac:dyDescent="0.25">
      <c r="A349" s="5" t="s">
        <v>13</v>
      </c>
      <c r="B349" s="6" t="s">
        <v>197</v>
      </c>
      <c r="C349" s="6" t="s">
        <v>200</v>
      </c>
      <c r="D349" s="6" t="s">
        <v>201</v>
      </c>
      <c r="E349" s="7" t="s">
        <v>22</v>
      </c>
      <c r="F349" s="6">
        <v>-1</v>
      </c>
      <c r="G349" s="6">
        <v>20250201</v>
      </c>
      <c r="H349" s="6" t="s">
        <v>18</v>
      </c>
      <c r="I349" s="8">
        <v>-345</v>
      </c>
      <c r="J349" s="8">
        <v>3</v>
      </c>
      <c r="K349" s="8">
        <v>-3</v>
      </c>
    </row>
    <row r="350" spans="1:11" ht="15.75" x14ac:dyDescent="0.25">
      <c r="A350" s="5" t="s">
        <v>13</v>
      </c>
      <c r="B350" s="6" t="s">
        <v>197</v>
      </c>
      <c r="C350" s="6" t="s">
        <v>200</v>
      </c>
      <c r="D350" s="6" t="s">
        <v>201</v>
      </c>
      <c r="E350" s="7" t="s">
        <v>22</v>
      </c>
      <c r="F350" s="6">
        <v>-1</v>
      </c>
      <c r="G350" s="6">
        <v>20250301</v>
      </c>
      <c r="H350" s="6" t="s">
        <v>18</v>
      </c>
      <c r="I350" s="8">
        <v>-124.29</v>
      </c>
      <c r="J350" s="8">
        <v>3</v>
      </c>
      <c r="K350" s="8">
        <v>-3</v>
      </c>
    </row>
    <row r="351" spans="1:11" ht="15.75" x14ac:dyDescent="0.25">
      <c r="A351" s="5" t="s">
        <v>13</v>
      </c>
      <c r="B351" s="6" t="s">
        <v>197</v>
      </c>
      <c r="C351" s="6" t="s">
        <v>198</v>
      </c>
      <c r="D351" s="6" t="s">
        <v>199</v>
      </c>
      <c r="E351" s="7" t="s">
        <v>22</v>
      </c>
      <c r="F351" s="6">
        <v>1</v>
      </c>
      <c r="G351" s="6">
        <v>20250201</v>
      </c>
      <c r="H351" s="6" t="s">
        <v>18</v>
      </c>
      <c r="I351" s="8">
        <v>176.4</v>
      </c>
      <c r="J351" s="8">
        <v>3</v>
      </c>
      <c r="K351" s="8">
        <v>3</v>
      </c>
    </row>
    <row r="352" spans="1:11" ht="15.75" x14ac:dyDescent="0.25">
      <c r="A352" s="5" t="s">
        <v>13</v>
      </c>
      <c r="B352" s="6" t="s">
        <v>197</v>
      </c>
      <c r="C352" s="6" t="s">
        <v>198</v>
      </c>
      <c r="D352" s="6" t="s">
        <v>199</v>
      </c>
      <c r="E352" s="7" t="s">
        <v>22</v>
      </c>
      <c r="F352" s="6">
        <v>1</v>
      </c>
      <c r="G352" s="6">
        <v>20250301</v>
      </c>
      <c r="H352" s="6" t="s">
        <v>18</v>
      </c>
      <c r="I352" s="8">
        <v>176.4</v>
      </c>
      <c r="J352" s="8">
        <v>3</v>
      </c>
      <c r="K352" s="8">
        <v>3</v>
      </c>
    </row>
    <row r="353" spans="1:11" ht="15.75" x14ac:dyDescent="0.25">
      <c r="A353" s="5" t="s">
        <v>13</v>
      </c>
      <c r="B353" s="6" t="s">
        <v>197</v>
      </c>
      <c r="C353" s="6" t="s">
        <v>198</v>
      </c>
      <c r="D353" s="6" t="s">
        <v>199</v>
      </c>
      <c r="E353" s="7" t="s">
        <v>22</v>
      </c>
      <c r="F353" s="6">
        <v>1</v>
      </c>
      <c r="G353" s="6">
        <v>20250401</v>
      </c>
      <c r="H353" s="6" t="s">
        <v>18</v>
      </c>
      <c r="I353" s="8">
        <v>176.4</v>
      </c>
      <c r="J353" s="8">
        <v>3</v>
      </c>
      <c r="K353" s="8">
        <v>3</v>
      </c>
    </row>
    <row r="354" spans="1:11" ht="15.75" x14ac:dyDescent="0.25">
      <c r="A354" s="5" t="s">
        <v>13</v>
      </c>
      <c r="B354" s="6" t="s">
        <v>197</v>
      </c>
      <c r="C354" s="6" t="s">
        <v>200</v>
      </c>
      <c r="D354" s="6" t="s">
        <v>201</v>
      </c>
      <c r="E354" s="7" t="s">
        <v>22</v>
      </c>
      <c r="F354" s="6">
        <v>1</v>
      </c>
      <c r="G354" s="6">
        <v>20250201</v>
      </c>
      <c r="H354" s="6" t="s">
        <v>18</v>
      </c>
      <c r="I354" s="8">
        <v>124.29</v>
      </c>
      <c r="J354" s="8">
        <v>3</v>
      </c>
      <c r="K354" s="8">
        <v>3</v>
      </c>
    </row>
    <row r="355" spans="1:11" ht="15.75" x14ac:dyDescent="0.25">
      <c r="A355" s="5" t="s">
        <v>13</v>
      </c>
      <c r="B355" s="6" t="s">
        <v>197</v>
      </c>
      <c r="C355" s="6" t="s">
        <v>200</v>
      </c>
      <c r="D355" s="6" t="s">
        <v>201</v>
      </c>
      <c r="E355" s="7" t="s">
        <v>22</v>
      </c>
      <c r="F355" s="6">
        <v>1</v>
      </c>
      <c r="G355" s="6">
        <v>20250301</v>
      </c>
      <c r="H355" s="6" t="s">
        <v>18</v>
      </c>
      <c r="I355" s="8">
        <v>124.29</v>
      </c>
      <c r="J355" s="8">
        <v>3</v>
      </c>
      <c r="K355" s="8">
        <v>3</v>
      </c>
    </row>
    <row r="356" spans="1:11" ht="15.75" x14ac:dyDescent="0.25">
      <c r="A356" s="5" t="s">
        <v>13</v>
      </c>
      <c r="B356" s="6" t="s">
        <v>197</v>
      </c>
      <c r="C356" s="6" t="s">
        <v>200</v>
      </c>
      <c r="D356" s="6" t="s">
        <v>201</v>
      </c>
      <c r="E356" s="7" t="s">
        <v>22</v>
      </c>
      <c r="F356" s="6">
        <v>1</v>
      </c>
      <c r="G356" s="6">
        <v>20250401</v>
      </c>
      <c r="H356" s="6" t="s">
        <v>18</v>
      </c>
      <c r="I356" s="8">
        <v>124.29</v>
      </c>
      <c r="J356" s="8">
        <v>3</v>
      </c>
      <c r="K356" s="8">
        <v>3</v>
      </c>
    </row>
    <row r="357" spans="1:11" ht="15.75" x14ac:dyDescent="0.25">
      <c r="A357" s="5" t="s">
        <v>13</v>
      </c>
      <c r="B357" s="6" t="s">
        <v>202</v>
      </c>
      <c r="C357" s="6" t="s">
        <v>203</v>
      </c>
      <c r="D357" s="6" t="s">
        <v>204</v>
      </c>
      <c r="E357" s="7" t="s">
        <v>33</v>
      </c>
      <c r="F357" s="6">
        <v>-1</v>
      </c>
      <c r="G357" s="6">
        <v>20250201</v>
      </c>
      <c r="H357" s="6" t="s">
        <v>12</v>
      </c>
      <c r="I357" s="8">
        <v>-10.06</v>
      </c>
      <c r="J357" s="8">
        <v>3</v>
      </c>
      <c r="K357" s="8">
        <v>-3</v>
      </c>
    </row>
    <row r="358" spans="1:11" ht="15.75" x14ac:dyDescent="0.25">
      <c r="A358" s="5" t="s">
        <v>13</v>
      </c>
      <c r="B358" s="6" t="s">
        <v>202</v>
      </c>
      <c r="C358" s="6" t="s">
        <v>203</v>
      </c>
      <c r="D358" s="6" t="s">
        <v>204</v>
      </c>
      <c r="E358" s="7" t="s">
        <v>33</v>
      </c>
      <c r="F358" s="6">
        <v>-1</v>
      </c>
      <c r="G358" s="6">
        <v>20250301</v>
      </c>
      <c r="H358" s="6" t="s">
        <v>12</v>
      </c>
      <c r="I358" s="8">
        <v>-10.06</v>
      </c>
      <c r="J358" s="8">
        <v>3</v>
      </c>
      <c r="K358" s="8">
        <v>-3</v>
      </c>
    </row>
    <row r="359" spans="1:11" ht="15.75" x14ac:dyDescent="0.25">
      <c r="A359" s="5" t="s">
        <v>13</v>
      </c>
      <c r="B359" s="6" t="s">
        <v>202</v>
      </c>
      <c r="C359" s="6" t="s">
        <v>203</v>
      </c>
      <c r="D359" s="6" t="s">
        <v>204</v>
      </c>
      <c r="E359" s="7" t="s">
        <v>33</v>
      </c>
      <c r="F359" s="6">
        <v>1</v>
      </c>
      <c r="G359" s="6">
        <v>20250201</v>
      </c>
      <c r="H359" s="6" t="s">
        <v>12</v>
      </c>
      <c r="I359" s="8">
        <v>10.06</v>
      </c>
      <c r="J359" s="8">
        <v>3</v>
      </c>
      <c r="K359" s="8">
        <v>3</v>
      </c>
    </row>
    <row r="360" spans="1:11" ht="15.75" x14ac:dyDescent="0.25">
      <c r="A360" s="5" t="s">
        <v>13</v>
      </c>
      <c r="B360" s="6" t="s">
        <v>202</v>
      </c>
      <c r="C360" s="6" t="s">
        <v>203</v>
      </c>
      <c r="D360" s="6" t="s">
        <v>204</v>
      </c>
      <c r="E360" s="7" t="s">
        <v>33</v>
      </c>
      <c r="F360" s="6">
        <v>1</v>
      </c>
      <c r="G360" s="6">
        <v>20250301</v>
      </c>
      <c r="H360" s="6" t="s">
        <v>12</v>
      </c>
      <c r="I360" s="8">
        <v>10.06</v>
      </c>
      <c r="J360" s="8">
        <v>3</v>
      </c>
      <c r="K360" s="8">
        <v>3</v>
      </c>
    </row>
    <row r="361" spans="1:11" ht="15.75" x14ac:dyDescent="0.25">
      <c r="A361" s="5" t="s">
        <v>13</v>
      </c>
      <c r="B361" s="6" t="s">
        <v>202</v>
      </c>
      <c r="C361" s="6" t="s">
        <v>203</v>
      </c>
      <c r="D361" s="6" t="s">
        <v>204</v>
      </c>
      <c r="E361" s="7" t="s">
        <v>33</v>
      </c>
      <c r="F361" s="6">
        <v>1</v>
      </c>
      <c r="G361" s="6">
        <v>20250401</v>
      </c>
      <c r="H361" s="6" t="s">
        <v>12</v>
      </c>
      <c r="I361" s="8">
        <v>10.06</v>
      </c>
      <c r="J361" s="8">
        <v>3</v>
      </c>
      <c r="K361" s="8">
        <v>3</v>
      </c>
    </row>
    <row r="362" spans="1:11" ht="15.75" x14ac:dyDescent="0.25">
      <c r="A362" s="5" t="s">
        <v>13</v>
      </c>
      <c r="B362" s="6" t="s">
        <v>205</v>
      </c>
      <c r="C362" s="6" t="s">
        <v>206</v>
      </c>
      <c r="D362" s="6" t="s">
        <v>207</v>
      </c>
      <c r="E362" s="7" t="s">
        <v>17</v>
      </c>
      <c r="F362" s="6">
        <v>-5</v>
      </c>
      <c r="G362" s="6">
        <v>20250201</v>
      </c>
      <c r="H362" s="6" t="s">
        <v>18</v>
      </c>
      <c r="I362" s="8">
        <v>-152.88999999999999</v>
      </c>
      <c r="J362" s="8">
        <v>3</v>
      </c>
      <c r="K362" s="8">
        <v>-15</v>
      </c>
    </row>
    <row r="363" spans="1:11" ht="15.75" x14ac:dyDescent="0.25">
      <c r="A363" s="5" t="s">
        <v>13</v>
      </c>
      <c r="B363" s="6" t="s">
        <v>205</v>
      </c>
      <c r="C363" s="6" t="s">
        <v>206</v>
      </c>
      <c r="D363" s="6" t="s">
        <v>207</v>
      </c>
      <c r="E363" s="7" t="s">
        <v>17</v>
      </c>
      <c r="F363" s="6">
        <v>-5</v>
      </c>
      <c r="G363" s="6">
        <v>20250301</v>
      </c>
      <c r="H363" s="6" t="s">
        <v>18</v>
      </c>
      <c r="I363" s="8">
        <v>-152.88999999999999</v>
      </c>
      <c r="J363" s="8">
        <v>3</v>
      </c>
      <c r="K363" s="8">
        <v>-15</v>
      </c>
    </row>
    <row r="364" spans="1:11" ht="15.75" x14ac:dyDescent="0.25">
      <c r="A364" s="5" t="s">
        <v>13</v>
      </c>
      <c r="B364" s="6" t="s">
        <v>205</v>
      </c>
      <c r="C364" s="6" t="s">
        <v>208</v>
      </c>
      <c r="D364" s="6" t="s">
        <v>209</v>
      </c>
      <c r="E364" s="7" t="s">
        <v>22</v>
      </c>
      <c r="F364" s="6">
        <v>-1</v>
      </c>
      <c r="G364" s="6">
        <v>20250201</v>
      </c>
      <c r="H364" s="6" t="s">
        <v>18</v>
      </c>
      <c r="I364" s="8">
        <v>-826.63</v>
      </c>
      <c r="J364" s="8">
        <v>3</v>
      </c>
      <c r="K364" s="8">
        <v>-3</v>
      </c>
    </row>
    <row r="365" spans="1:11" ht="15.75" x14ac:dyDescent="0.25">
      <c r="A365" s="5" t="s">
        <v>13</v>
      </c>
      <c r="B365" s="6" t="s">
        <v>205</v>
      </c>
      <c r="C365" s="6" t="s">
        <v>208</v>
      </c>
      <c r="D365" s="6" t="s">
        <v>209</v>
      </c>
      <c r="E365" s="7" t="s">
        <v>22</v>
      </c>
      <c r="F365" s="6">
        <v>-1</v>
      </c>
      <c r="G365" s="6">
        <v>20250301</v>
      </c>
      <c r="H365" s="6" t="s">
        <v>18</v>
      </c>
      <c r="I365" s="8">
        <v>-826.63</v>
      </c>
      <c r="J365" s="8">
        <v>3</v>
      </c>
      <c r="K365" s="8">
        <v>-3</v>
      </c>
    </row>
    <row r="366" spans="1:11" ht="15.75" x14ac:dyDescent="0.25">
      <c r="A366" s="5" t="s">
        <v>13</v>
      </c>
      <c r="B366" s="6" t="s">
        <v>205</v>
      </c>
      <c r="C366" s="6" t="s">
        <v>210</v>
      </c>
      <c r="D366" s="6" t="s">
        <v>211</v>
      </c>
      <c r="E366" s="7" t="s">
        <v>22</v>
      </c>
      <c r="F366" s="6">
        <v>-1</v>
      </c>
      <c r="G366" s="6">
        <v>20250201</v>
      </c>
      <c r="H366" s="6" t="s">
        <v>18</v>
      </c>
      <c r="I366" s="8">
        <v>-1094.27</v>
      </c>
      <c r="J366" s="8">
        <v>3</v>
      </c>
      <c r="K366" s="8">
        <v>-3</v>
      </c>
    </row>
    <row r="367" spans="1:11" ht="15.75" x14ac:dyDescent="0.25">
      <c r="A367" s="5" t="s">
        <v>13</v>
      </c>
      <c r="B367" s="6" t="s">
        <v>205</v>
      </c>
      <c r="C367" s="6" t="s">
        <v>210</v>
      </c>
      <c r="D367" s="6" t="s">
        <v>211</v>
      </c>
      <c r="E367" s="7" t="s">
        <v>22</v>
      </c>
      <c r="F367" s="6">
        <v>-1</v>
      </c>
      <c r="G367" s="6">
        <v>20250301</v>
      </c>
      <c r="H367" s="6" t="s">
        <v>18</v>
      </c>
      <c r="I367" s="8">
        <v>-1094.27</v>
      </c>
      <c r="J367" s="8">
        <v>3</v>
      </c>
      <c r="K367" s="8">
        <v>-3</v>
      </c>
    </row>
    <row r="368" spans="1:11" ht="15.75" x14ac:dyDescent="0.25">
      <c r="A368" s="5" t="s">
        <v>13</v>
      </c>
      <c r="B368" s="6" t="s">
        <v>205</v>
      </c>
      <c r="C368" s="6" t="s">
        <v>208</v>
      </c>
      <c r="D368" s="6" t="s">
        <v>209</v>
      </c>
      <c r="E368" s="7" t="s">
        <v>22</v>
      </c>
      <c r="F368" s="6">
        <v>1</v>
      </c>
      <c r="G368" s="6">
        <v>20250201</v>
      </c>
      <c r="H368" s="6" t="s">
        <v>18</v>
      </c>
      <c r="I368" s="8">
        <v>826.63</v>
      </c>
      <c r="J368" s="8">
        <v>3</v>
      </c>
      <c r="K368" s="8">
        <v>3</v>
      </c>
    </row>
    <row r="369" spans="1:11" ht="15.75" x14ac:dyDescent="0.25">
      <c r="A369" s="5" t="s">
        <v>13</v>
      </c>
      <c r="B369" s="6" t="s">
        <v>205</v>
      </c>
      <c r="C369" s="6" t="s">
        <v>208</v>
      </c>
      <c r="D369" s="6" t="s">
        <v>209</v>
      </c>
      <c r="E369" s="7" t="s">
        <v>22</v>
      </c>
      <c r="F369" s="6">
        <v>1</v>
      </c>
      <c r="G369" s="6">
        <v>20250301</v>
      </c>
      <c r="H369" s="6" t="s">
        <v>18</v>
      </c>
      <c r="I369" s="8">
        <v>826.63</v>
      </c>
      <c r="J369" s="8">
        <v>3</v>
      </c>
      <c r="K369" s="8">
        <v>3</v>
      </c>
    </row>
    <row r="370" spans="1:11" ht="15.75" x14ac:dyDescent="0.25">
      <c r="A370" s="5" t="s">
        <v>13</v>
      </c>
      <c r="B370" s="6" t="s">
        <v>205</v>
      </c>
      <c r="C370" s="6" t="s">
        <v>208</v>
      </c>
      <c r="D370" s="6" t="s">
        <v>209</v>
      </c>
      <c r="E370" s="7" t="s">
        <v>22</v>
      </c>
      <c r="F370" s="6">
        <v>1</v>
      </c>
      <c r="G370" s="6">
        <v>20250401</v>
      </c>
      <c r="H370" s="6" t="s">
        <v>18</v>
      </c>
      <c r="I370" s="8">
        <v>826.63</v>
      </c>
      <c r="J370" s="8">
        <v>3</v>
      </c>
      <c r="K370" s="8">
        <v>3</v>
      </c>
    </row>
    <row r="371" spans="1:11" ht="15.75" x14ac:dyDescent="0.25">
      <c r="A371" s="5" t="s">
        <v>13</v>
      </c>
      <c r="B371" s="6" t="s">
        <v>205</v>
      </c>
      <c r="C371" s="6" t="s">
        <v>210</v>
      </c>
      <c r="D371" s="6" t="s">
        <v>211</v>
      </c>
      <c r="E371" s="7" t="s">
        <v>22</v>
      </c>
      <c r="F371" s="6">
        <v>1</v>
      </c>
      <c r="G371" s="6">
        <v>20250201</v>
      </c>
      <c r="H371" s="6" t="s">
        <v>18</v>
      </c>
      <c r="I371" s="8">
        <v>1094.27</v>
      </c>
      <c r="J371" s="8">
        <v>3</v>
      </c>
      <c r="K371" s="8">
        <v>3</v>
      </c>
    </row>
    <row r="372" spans="1:11" ht="15.75" x14ac:dyDescent="0.25">
      <c r="A372" s="5" t="s">
        <v>13</v>
      </c>
      <c r="B372" s="6" t="s">
        <v>205</v>
      </c>
      <c r="C372" s="6" t="s">
        <v>210</v>
      </c>
      <c r="D372" s="6" t="s">
        <v>211</v>
      </c>
      <c r="E372" s="7" t="s">
        <v>22</v>
      </c>
      <c r="F372" s="6">
        <v>1</v>
      </c>
      <c r="G372" s="6">
        <v>20250301</v>
      </c>
      <c r="H372" s="6" t="s">
        <v>18</v>
      </c>
      <c r="I372" s="8">
        <v>1094.27</v>
      </c>
      <c r="J372" s="8">
        <v>3</v>
      </c>
      <c r="K372" s="8">
        <v>3</v>
      </c>
    </row>
    <row r="373" spans="1:11" ht="15.75" x14ac:dyDescent="0.25">
      <c r="A373" s="5" t="s">
        <v>13</v>
      </c>
      <c r="B373" s="6" t="s">
        <v>205</v>
      </c>
      <c r="C373" s="6" t="s">
        <v>210</v>
      </c>
      <c r="D373" s="6" t="s">
        <v>211</v>
      </c>
      <c r="E373" s="7" t="s">
        <v>22</v>
      </c>
      <c r="F373" s="6">
        <v>1</v>
      </c>
      <c r="G373" s="6">
        <v>20250401</v>
      </c>
      <c r="H373" s="6" t="s">
        <v>18</v>
      </c>
      <c r="I373" s="8">
        <v>1094.27</v>
      </c>
      <c r="J373" s="8">
        <v>3</v>
      </c>
      <c r="K373" s="8">
        <v>3</v>
      </c>
    </row>
    <row r="374" spans="1:11" ht="15.75" x14ac:dyDescent="0.25">
      <c r="A374" s="5" t="s">
        <v>13</v>
      </c>
      <c r="B374" s="6" t="s">
        <v>205</v>
      </c>
      <c r="C374" s="6" t="s">
        <v>206</v>
      </c>
      <c r="D374" s="6" t="s">
        <v>207</v>
      </c>
      <c r="E374" s="7" t="s">
        <v>17</v>
      </c>
      <c r="F374" s="6">
        <v>5</v>
      </c>
      <c r="G374" s="6">
        <v>20250201</v>
      </c>
      <c r="H374" s="6" t="s">
        <v>18</v>
      </c>
      <c r="I374" s="8">
        <v>152.88999999999999</v>
      </c>
      <c r="J374" s="8">
        <v>3</v>
      </c>
      <c r="K374" s="8">
        <v>15</v>
      </c>
    </row>
    <row r="375" spans="1:11" ht="15.75" x14ac:dyDescent="0.25">
      <c r="A375" s="5" t="s">
        <v>13</v>
      </c>
      <c r="B375" s="6" t="s">
        <v>205</v>
      </c>
      <c r="C375" s="6" t="s">
        <v>206</v>
      </c>
      <c r="D375" s="6" t="s">
        <v>207</v>
      </c>
      <c r="E375" s="7" t="s">
        <v>17</v>
      </c>
      <c r="F375" s="6">
        <v>5</v>
      </c>
      <c r="G375" s="6">
        <v>20250301</v>
      </c>
      <c r="H375" s="6" t="s">
        <v>18</v>
      </c>
      <c r="I375" s="8">
        <v>119.79</v>
      </c>
      <c r="J375" s="8">
        <v>3</v>
      </c>
      <c r="K375" s="8">
        <v>15</v>
      </c>
    </row>
    <row r="376" spans="1:11" ht="15.75" x14ac:dyDescent="0.25">
      <c r="A376" s="5" t="s">
        <v>13</v>
      </c>
      <c r="B376" s="6" t="s">
        <v>205</v>
      </c>
      <c r="C376" s="6" t="s">
        <v>206</v>
      </c>
      <c r="D376" s="6" t="s">
        <v>207</v>
      </c>
      <c r="E376" s="7" t="s">
        <v>17</v>
      </c>
      <c r="F376" s="6">
        <v>5</v>
      </c>
      <c r="G376" s="6">
        <v>20250401</v>
      </c>
      <c r="H376" s="6" t="s">
        <v>18</v>
      </c>
      <c r="I376" s="8">
        <v>33.1</v>
      </c>
      <c r="J376" s="8">
        <v>3</v>
      </c>
      <c r="K376" s="8">
        <v>15</v>
      </c>
    </row>
    <row r="377" spans="1:11" ht="15.75" x14ac:dyDescent="0.25">
      <c r="A377" s="5" t="s">
        <v>13</v>
      </c>
      <c r="B377" s="6" t="s">
        <v>212</v>
      </c>
      <c r="C377" s="6" t="s">
        <v>213</v>
      </c>
      <c r="D377" s="6" t="s">
        <v>214</v>
      </c>
      <c r="E377" s="7" t="s">
        <v>22</v>
      </c>
      <c r="F377" s="6">
        <v>-2</v>
      </c>
      <c r="G377" s="6">
        <v>20250201</v>
      </c>
      <c r="H377" s="6" t="s">
        <v>18</v>
      </c>
      <c r="I377" s="8">
        <v>-2269.06</v>
      </c>
      <c r="J377" s="8">
        <v>3</v>
      </c>
      <c r="K377" s="8">
        <v>-6</v>
      </c>
    </row>
    <row r="378" spans="1:11" ht="15.75" x14ac:dyDescent="0.25">
      <c r="A378" s="5" t="s">
        <v>13</v>
      </c>
      <c r="B378" s="6" t="s">
        <v>212</v>
      </c>
      <c r="C378" s="6" t="s">
        <v>213</v>
      </c>
      <c r="D378" s="6" t="s">
        <v>214</v>
      </c>
      <c r="E378" s="7" t="s">
        <v>22</v>
      </c>
      <c r="F378" s="6">
        <v>-2</v>
      </c>
      <c r="G378" s="6">
        <v>20250301</v>
      </c>
      <c r="H378" s="6" t="s">
        <v>18</v>
      </c>
      <c r="I378" s="8">
        <v>-2269.06</v>
      </c>
      <c r="J378" s="8">
        <v>3</v>
      </c>
      <c r="K378" s="8">
        <v>-6</v>
      </c>
    </row>
    <row r="379" spans="1:11" ht="15.75" x14ac:dyDescent="0.25">
      <c r="A379" s="5" t="s">
        <v>13</v>
      </c>
      <c r="B379" s="6" t="s">
        <v>212</v>
      </c>
      <c r="C379" s="6" t="s">
        <v>215</v>
      </c>
      <c r="D379" s="6" t="s">
        <v>216</v>
      </c>
      <c r="E379" s="7" t="s">
        <v>17</v>
      </c>
      <c r="F379" s="6">
        <v>-1</v>
      </c>
      <c r="G379" s="6">
        <v>20250201</v>
      </c>
      <c r="H379" s="6" t="s">
        <v>18</v>
      </c>
      <c r="I379" s="8">
        <v>-11.37</v>
      </c>
      <c r="J379" s="8">
        <v>3</v>
      </c>
      <c r="K379" s="8">
        <v>-3</v>
      </c>
    </row>
    <row r="380" spans="1:11" ht="15.75" x14ac:dyDescent="0.25">
      <c r="A380" s="5" t="s">
        <v>13</v>
      </c>
      <c r="B380" s="6" t="s">
        <v>212</v>
      </c>
      <c r="C380" s="6" t="s">
        <v>215</v>
      </c>
      <c r="D380" s="6" t="s">
        <v>216</v>
      </c>
      <c r="E380" s="7" t="s">
        <v>17</v>
      </c>
      <c r="F380" s="6">
        <v>-1</v>
      </c>
      <c r="G380" s="6">
        <v>20250301</v>
      </c>
      <c r="H380" s="6" t="s">
        <v>18</v>
      </c>
      <c r="I380" s="8">
        <v>-11.37</v>
      </c>
      <c r="J380" s="8">
        <v>3</v>
      </c>
      <c r="K380" s="8">
        <v>-3</v>
      </c>
    </row>
    <row r="381" spans="1:11" ht="15.75" x14ac:dyDescent="0.25">
      <c r="A381" s="5" t="s">
        <v>13</v>
      </c>
      <c r="B381" s="6" t="s">
        <v>212</v>
      </c>
      <c r="C381" s="6" t="s">
        <v>217</v>
      </c>
      <c r="D381" s="6" t="s">
        <v>218</v>
      </c>
      <c r="E381" s="7" t="s">
        <v>17</v>
      </c>
      <c r="F381" s="6">
        <v>-1</v>
      </c>
      <c r="G381" s="6">
        <v>20250201</v>
      </c>
      <c r="H381" s="6" t="s">
        <v>18</v>
      </c>
      <c r="I381" s="8">
        <v>0</v>
      </c>
      <c r="J381" s="8">
        <v>3</v>
      </c>
      <c r="K381" s="8">
        <v>-3</v>
      </c>
    </row>
    <row r="382" spans="1:11" ht="15.75" x14ac:dyDescent="0.25">
      <c r="A382" s="5" t="s">
        <v>13</v>
      </c>
      <c r="B382" s="6" t="s">
        <v>212</v>
      </c>
      <c r="C382" s="6" t="s">
        <v>217</v>
      </c>
      <c r="D382" s="6" t="s">
        <v>218</v>
      </c>
      <c r="E382" s="7" t="s">
        <v>17</v>
      </c>
      <c r="F382" s="6">
        <v>-1</v>
      </c>
      <c r="G382" s="6">
        <v>20250301</v>
      </c>
      <c r="H382" s="6" t="s">
        <v>18</v>
      </c>
      <c r="I382" s="8">
        <v>0</v>
      </c>
      <c r="J382" s="8">
        <v>3</v>
      </c>
      <c r="K382" s="8">
        <v>-3</v>
      </c>
    </row>
    <row r="383" spans="1:11" ht="15.75" x14ac:dyDescent="0.25">
      <c r="A383" s="5" t="s">
        <v>13</v>
      </c>
      <c r="B383" s="6" t="s">
        <v>212</v>
      </c>
      <c r="C383" s="6" t="s">
        <v>219</v>
      </c>
      <c r="D383" s="6" t="s">
        <v>220</v>
      </c>
      <c r="E383" s="7" t="s">
        <v>17</v>
      </c>
      <c r="F383" s="6">
        <v>-1</v>
      </c>
      <c r="G383" s="6">
        <v>20250201</v>
      </c>
      <c r="H383" s="6" t="s">
        <v>18</v>
      </c>
      <c r="I383" s="8">
        <v>0</v>
      </c>
      <c r="J383" s="8">
        <v>3</v>
      </c>
      <c r="K383" s="8">
        <v>-3</v>
      </c>
    </row>
    <row r="384" spans="1:11" ht="15.75" x14ac:dyDescent="0.25">
      <c r="A384" s="5" t="s">
        <v>13</v>
      </c>
      <c r="B384" s="6" t="s">
        <v>212</v>
      </c>
      <c r="C384" s="6" t="s">
        <v>219</v>
      </c>
      <c r="D384" s="6" t="s">
        <v>220</v>
      </c>
      <c r="E384" s="7" t="s">
        <v>17</v>
      </c>
      <c r="F384" s="6">
        <v>-1</v>
      </c>
      <c r="G384" s="6">
        <v>20250301</v>
      </c>
      <c r="H384" s="6" t="s">
        <v>18</v>
      </c>
      <c r="I384" s="8">
        <v>0</v>
      </c>
      <c r="J384" s="8">
        <v>3</v>
      </c>
      <c r="K384" s="8">
        <v>-3</v>
      </c>
    </row>
    <row r="385" spans="1:11" ht="15.75" x14ac:dyDescent="0.25">
      <c r="A385" s="5" t="s">
        <v>13</v>
      </c>
      <c r="B385" s="6" t="s">
        <v>212</v>
      </c>
      <c r="C385" s="6" t="s">
        <v>215</v>
      </c>
      <c r="D385" s="6" t="s">
        <v>216</v>
      </c>
      <c r="E385" s="7" t="s">
        <v>17</v>
      </c>
      <c r="F385" s="6">
        <v>1</v>
      </c>
      <c r="G385" s="6">
        <v>20250201</v>
      </c>
      <c r="H385" s="6" t="s">
        <v>18</v>
      </c>
      <c r="I385" s="8">
        <v>11.37</v>
      </c>
      <c r="J385" s="8">
        <v>3</v>
      </c>
      <c r="K385" s="8">
        <v>3</v>
      </c>
    </row>
    <row r="386" spans="1:11" ht="15.75" x14ac:dyDescent="0.25">
      <c r="A386" s="5" t="s">
        <v>13</v>
      </c>
      <c r="B386" s="6" t="s">
        <v>212</v>
      </c>
      <c r="C386" s="6" t="s">
        <v>215</v>
      </c>
      <c r="D386" s="6" t="s">
        <v>216</v>
      </c>
      <c r="E386" s="7" t="s">
        <v>17</v>
      </c>
      <c r="F386" s="6">
        <v>1</v>
      </c>
      <c r="G386" s="6">
        <v>20250301</v>
      </c>
      <c r="H386" s="6" t="s">
        <v>18</v>
      </c>
      <c r="I386" s="8">
        <v>11.37</v>
      </c>
      <c r="J386" s="8">
        <v>3</v>
      </c>
      <c r="K386" s="8">
        <v>3</v>
      </c>
    </row>
    <row r="387" spans="1:11" ht="15.75" x14ac:dyDescent="0.25">
      <c r="A387" s="5" t="s">
        <v>13</v>
      </c>
      <c r="B387" s="6" t="s">
        <v>212</v>
      </c>
      <c r="C387" s="6" t="s">
        <v>215</v>
      </c>
      <c r="D387" s="6" t="s">
        <v>216</v>
      </c>
      <c r="E387" s="7" t="s">
        <v>17</v>
      </c>
      <c r="F387" s="6">
        <v>1</v>
      </c>
      <c r="G387" s="6">
        <v>20250401</v>
      </c>
      <c r="H387" s="6" t="s">
        <v>18</v>
      </c>
      <c r="I387" s="8">
        <v>11.37</v>
      </c>
      <c r="J387" s="8">
        <v>3</v>
      </c>
      <c r="K387" s="8">
        <v>3</v>
      </c>
    </row>
    <row r="388" spans="1:11" ht="15.75" x14ac:dyDescent="0.25">
      <c r="A388" s="5" t="s">
        <v>13</v>
      </c>
      <c r="B388" s="6" t="s">
        <v>212</v>
      </c>
      <c r="C388" s="6" t="s">
        <v>217</v>
      </c>
      <c r="D388" s="6" t="s">
        <v>218</v>
      </c>
      <c r="E388" s="7" t="s">
        <v>17</v>
      </c>
      <c r="F388" s="6">
        <v>1</v>
      </c>
      <c r="G388" s="6">
        <v>20250201</v>
      </c>
      <c r="H388" s="6" t="s">
        <v>18</v>
      </c>
      <c r="I388" s="8">
        <v>956.51</v>
      </c>
      <c r="J388" s="8">
        <v>3</v>
      </c>
      <c r="K388" s="8">
        <v>3</v>
      </c>
    </row>
    <row r="389" spans="1:11" ht="15.75" x14ac:dyDescent="0.25">
      <c r="A389" s="5" t="s">
        <v>13</v>
      </c>
      <c r="B389" s="6" t="s">
        <v>212</v>
      </c>
      <c r="C389" s="6" t="s">
        <v>217</v>
      </c>
      <c r="D389" s="6" t="s">
        <v>218</v>
      </c>
      <c r="E389" s="7" t="s">
        <v>17</v>
      </c>
      <c r="F389" s="6">
        <v>1</v>
      </c>
      <c r="G389" s="6">
        <v>20250301</v>
      </c>
      <c r="H389" s="6" t="s">
        <v>18</v>
      </c>
      <c r="I389" s="8">
        <v>956.51</v>
      </c>
      <c r="J389" s="8">
        <v>3</v>
      </c>
      <c r="K389" s="8">
        <v>3</v>
      </c>
    </row>
    <row r="390" spans="1:11" ht="15.75" x14ac:dyDescent="0.25">
      <c r="A390" s="5" t="s">
        <v>13</v>
      </c>
      <c r="B390" s="6" t="s">
        <v>212</v>
      </c>
      <c r="C390" s="6" t="s">
        <v>219</v>
      </c>
      <c r="D390" s="6" t="s">
        <v>220</v>
      </c>
      <c r="E390" s="7" t="s">
        <v>17</v>
      </c>
      <c r="F390" s="6">
        <v>1</v>
      </c>
      <c r="G390" s="6">
        <v>20250201</v>
      </c>
      <c r="H390" s="6" t="s">
        <v>18</v>
      </c>
      <c r="I390" s="8">
        <v>865.32</v>
      </c>
      <c r="J390" s="8">
        <v>3</v>
      </c>
      <c r="K390" s="8">
        <v>3</v>
      </c>
    </row>
    <row r="391" spans="1:11" ht="15.75" x14ac:dyDescent="0.25">
      <c r="A391" s="5" t="s">
        <v>13</v>
      </c>
      <c r="B391" s="6" t="s">
        <v>212</v>
      </c>
      <c r="C391" s="6" t="s">
        <v>219</v>
      </c>
      <c r="D391" s="6" t="s">
        <v>220</v>
      </c>
      <c r="E391" s="7" t="s">
        <v>17</v>
      </c>
      <c r="F391" s="6">
        <v>1</v>
      </c>
      <c r="G391" s="6">
        <v>20250301</v>
      </c>
      <c r="H391" s="6" t="s">
        <v>18</v>
      </c>
      <c r="I391" s="8">
        <v>865.32</v>
      </c>
      <c r="J391" s="8">
        <v>3</v>
      </c>
      <c r="K391" s="8">
        <v>3</v>
      </c>
    </row>
    <row r="392" spans="1:11" ht="15.75" x14ac:dyDescent="0.25">
      <c r="A392" s="5" t="s">
        <v>13</v>
      </c>
      <c r="B392" s="6" t="s">
        <v>212</v>
      </c>
      <c r="C392" s="6" t="s">
        <v>213</v>
      </c>
      <c r="D392" s="6" t="s">
        <v>214</v>
      </c>
      <c r="E392" s="7" t="s">
        <v>22</v>
      </c>
      <c r="F392" s="6">
        <v>2</v>
      </c>
      <c r="G392" s="6">
        <v>20250201</v>
      </c>
      <c r="H392" s="6" t="s">
        <v>18</v>
      </c>
      <c r="I392" s="8">
        <v>2269.06</v>
      </c>
      <c r="J392" s="8">
        <v>3</v>
      </c>
      <c r="K392" s="8">
        <v>6</v>
      </c>
    </row>
    <row r="393" spans="1:11" ht="15.75" x14ac:dyDescent="0.25">
      <c r="A393" s="5" t="s">
        <v>13</v>
      </c>
      <c r="B393" s="6" t="s">
        <v>212</v>
      </c>
      <c r="C393" s="6" t="s">
        <v>213</v>
      </c>
      <c r="D393" s="6" t="s">
        <v>214</v>
      </c>
      <c r="E393" s="7" t="s">
        <v>22</v>
      </c>
      <c r="F393" s="6">
        <v>2</v>
      </c>
      <c r="G393" s="6">
        <v>20250301</v>
      </c>
      <c r="H393" s="6" t="s">
        <v>18</v>
      </c>
      <c r="I393" s="8">
        <v>2269.06</v>
      </c>
      <c r="J393" s="8">
        <v>3</v>
      </c>
      <c r="K393" s="8">
        <v>6</v>
      </c>
    </row>
    <row r="394" spans="1:11" ht="15.75" x14ac:dyDescent="0.25">
      <c r="A394" s="5" t="s">
        <v>13</v>
      </c>
      <c r="B394" s="6" t="s">
        <v>212</v>
      </c>
      <c r="C394" s="6" t="s">
        <v>213</v>
      </c>
      <c r="D394" s="6" t="s">
        <v>214</v>
      </c>
      <c r="E394" s="7" t="s">
        <v>22</v>
      </c>
      <c r="F394" s="6">
        <v>2</v>
      </c>
      <c r="G394" s="6">
        <v>20250401</v>
      </c>
      <c r="H394" s="6" t="s">
        <v>18</v>
      </c>
      <c r="I394" s="8">
        <v>2269.06</v>
      </c>
      <c r="J394" s="8">
        <v>3</v>
      </c>
      <c r="K394" s="8">
        <v>6</v>
      </c>
    </row>
    <row r="395" spans="1:11" ht="15.75" x14ac:dyDescent="0.25">
      <c r="A395" s="5" t="s">
        <v>13</v>
      </c>
      <c r="B395" s="6" t="s">
        <v>221</v>
      </c>
      <c r="C395" s="6" t="s">
        <v>222</v>
      </c>
      <c r="D395" s="6" t="s">
        <v>223</v>
      </c>
      <c r="E395" s="7" t="s">
        <v>33</v>
      </c>
      <c r="F395" s="6">
        <v>-1</v>
      </c>
      <c r="G395" s="6">
        <v>20250201</v>
      </c>
      <c r="H395" s="6" t="s">
        <v>12</v>
      </c>
      <c r="I395" s="8">
        <v>-117.37</v>
      </c>
      <c r="J395" s="8">
        <v>3</v>
      </c>
      <c r="K395" s="8">
        <v>-3</v>
      </c>
    </row>
    <row r="396" spans="1:11" ht="15.75" x14ac:dyDescent="0.25">
      <c r="A396" s="5" t="s">
        <v>13</v>
      </c>
      <c r="B396" s="6" t="s">
        <v>221</v>
      </c>
      <c r="C396" s="6" t="s">
        <v>222</v>
      </c>
      <c r="D396" s="6" t="s">
        <v>223</v>
      </c>
      <c r="E396" s="7" t="s">
        <v>33</v>
      </c>
      <c r="F396" s="6">
        <v>-1</v>
      </c>
      <c r="G396" s="6">
        <v>20250301</v>
      </c>
      <c r="H396" s="6" t="s">
        <v>12</v>
      </c>
      <c r="I396" s="8">
        <v>-117.37</v>
      </c>
      <c r="J396" s="8">
        <v>3</v>
      </c>
      <c r="K396" s="8">
        <v>-3</v>
      </c>
    </row>
    <row r="397" spans="1:11" ht="15.75" x14ac:dyDescent="0.25">
      <c r="A397" s="5" t="s">
        <v>13</v>
      </c>
      <c r="B397" s="6" t="s">
        <v>221</v>
      </c>
      <c r="C397" s="6" t="s">
        <v>224</v>
      </c>
      <c r="D397" s="6" t="s">
        <v>225</v>
      </c>
      <c r="E397" s="7" t="s">
        <v>33</v>
      </c>
      <c r="F397" s="6">
        <v>-1</v>
      </c>
      <c r="G397" s="6">
        <v>20250201</v>
      </c>
      <c r="H397" s="6" t="s">
        <v>12</v>
      </c>
      <c r="I397" s="8">
        <v>-387.85</v>
      </c>
      <c r="J397" s="8">
        <v>3</v>
      </c>
      <c r="K397" s="8">
        <v>-3</v>
      </c>
    </row>
    <row r="398" spans="1:11" ht="15.75" x14ac:dyDescent="0.25">
      <c r="A398" s="5" t="s">
        <v>13</v>
      </c>
      <c r="B398" s="6" t="s">
        <v>221</v>
      </c>
      <c r="C398" s="6" t="s">
        <v>224</v>
      </c>
      <c r="D398" s="6" t="s">
        <v>225</v>
      </c>
      <c r="E398" s="7" t="s">
        <v>33</v>
      </c>
      <c r="F398" s="6">
        <v>-1</v>
      </c>
      <c r="G398" s="6">
        <v>20250301</v>
      </c>
      <c r="H398" s="6" t="s">
        <v>12</v>
      </c>
      <c r="I398" s="8">
        <v>-387.85</v>
      </c>
      <c r="J398" s="8">
        <v>3</v>
      </c>
      <c r="K398" s="8">
        <v>-3</v>
      </c>
    </row>
    <row r="399" spans="1:11" ht="15.75" x14ac:dyDescent="0.25">
      <c r="A399" s="5" t="s">
        <v>13</v>
      </c>
      <c r="B399" s="6" t="s">
        <v>221</v>
      </c>
      <c r="C399" s="6" t="s">
        <v>222</v>
      </c>
      <c r="D399" s="6" t="s">
        <v>223</v>
      </c>
      <c r="E399" s="7" t="s">
        <v>33</v>
      </c>
      <c r="F399" s="6">
        <v>1</v>
      </c>
      <c r="G399" s="6">
        <v>20250201</v>
      </c>
      <c r="H399" s="6" t="s">
        <v>12</v>
      </c>
      <c r="I399" s="8">
        <v>117.37</v>
      </c>
      <c r="J399" s="8">
        <v>3</v>
      </c>
      <c r="K399" s="8">
        <v>3</v>
      </c>
    </row>
    <row r="400" spans="1:11" ht="15.75" x14ac:dyDescent="0.25">
      <c r="A400" s="5" t="s">
        <v>13</v>
      </c>
      <c r="B400" s="6" t="s">
        <v>221</v>
      </c>
      <c r="C400" s="6" t="s">
        <v>222</v>
      </c>
      <c r="D400" s="6" t="s">
        <v>223</v>
      </c>
      <c r="E400" s="7" t="s">
        <v>33</v>
      </c>
      <c r="F400" s="6">
        <v>1</v>
      </c>
      <c r="G400" s="6">
        <v>20250301</v>
      </c>
      <c r="H400" s="6" t="s">
        <v>12</v>
      </c>
      <c r="I400" s="8">
        <v>117.37</v>
      </c>
      <c r="J400" s="8">
        <v>3</v>
      </c>
      <c r="K400" s="8">
        <v>3</v>
      </c>
    </row>
    <row r="401" spans="1:11" ht="15.75" x14ac:dyDescent="0.25">
      <c r="A401" s="5" t="s">
        <v>13</v>
      </c>
      <c r="B401" s="6" t="s">
        <v>221</v>
      </c>
      <c r="C401" s="6" t="s">
        <v>222</v>
      </c>
      <c r="D401" s="6" t="s">
        <v>223</v>
      </c>
      <c r="E401" s="7" t="s">
        <v>33</v>
      </c>
      <c r="F401" s="6">
        <v>1</v>
      </c>
      <c r="G401" s="6">
        <v>20250401</v>
      </c>
      <c r="H401" s="6" t="s">
        <v>12</v>
      </c>
      <c r="I401" s="8">
        <v>117.37</v>
      </c>
      <c r="J401" s="8">
        <v>3</v>
      </c>
      <c r="K401" s="8">
        <v>3</v>
      </c>
    </row>
    <row r="402" spans="1:11" ht="15.75" x14ac:dyDescent="0.25">
      <c r="A402" s="5" t="s">
        <v>13</v>
      </c>
      <c r="B402" s="6" t="s">
        <v>221</v>
      </c>
      <c r="C402" s="6" t="s">
        <v>224</v>
      </c>
      <c r="D402" s="6" t="s">
        <v>225</v>
      </c>
      <c r="E402" s="7" t="s">
        <v>33</v>
      </c>
      <c r="F402" s="6">
        <v>1</v>
      </c>
      <c r="G402" s="6">
        <v>20250201</v>
      </c>
      <c r="H402" s="6" t="s">
        <v>12</v>
      </c>
      <c r="I402" s="8">
        <v>387.85</v>
      </c>
      <c r="J402" s="8">
        <v>3</v>
      </c>
      <c r="K402" s="8">
        <v>3</v>
      </c>
    </row>
    <row r="403" spans="1:11" ht="15.75" x14ac:dyDescent="0.25">
      <c r="A403" s="5" t="s">
        <v>13</v>
      </c>
      <c r="B403" s="6" t="s">
        <v>221</v>
      </c>
      <c r="C403" s="6" t="s">
        <v>224</v>
      </c>
      <c r="D403" s="6" t="s">
        <v>225</v>
      </c>
      <c r="E403" s="7" t="s">
        <v>33</v>
      </c>
      <c r="F403" s="6">
        <v>1</v>
      </c>
      <c r="G403" s="6">
        <v>20250301</v>
      </c>
      <c r="H403" s="6" t="s">
        <v>12</v>
      </c>
      <c r="I403" s="8">
        <v>387.85</v>
      </c>
      <c r="J403" s="8">
        <v>3</v>
      </c>
      <c r="K403" s="8">
        <v>3</v>
      </c>
    </row>
    <row r="404" spans="1:11" ht="15.75" x14ac:dyDescent="0.25">
      <c r="A404" s="5" t="s">
        <v>13</v>
      </c>
      <c r="B404" s="6" t="s">
        <v>221</v>
      </c>
      <c r="C404" s="6" t="s">
        <v>224</v>
      </c>
      <c r="D404" s="6" t="s">
        <v>225</v>
      </c>
      <c r="E404" s="7" t="s">
        <v>33</v>
      </c>
      <c r="F404" s="6">
        <v>1</v>
      </c>
      <c r="G404" s="6">
        <v>20250401</v>
      </c>
      <c r="H404" s="6" t="s">
        <v>12</v>
      </c>
      <c r="I404" s="8">
        <v>387.85</v>
      </c>
      <c r="J404" s="8">
        <v>3</v>
      </c>
      <c r="K404" s="8">
        <v>3</v>
      </c>
    </row>
    <row r="405" spans="1:11" ht="15.75" x14ac:dyDescent="0.25">
      <c r="A405" s="5" t="s">
        <v>13</v>
      </c>
      <c r="B405" s="6" t="s">
        <v>226</v>
      </c>
      <c r="C405" s="6" t="s">
        <v>227</v>
      </c>
      <c r="D405" s="6" t="s">
        <v>228</v>
      </c>
      <c r="E405" s="7" t="s">
        <v>17</v>
      </c>
      <c r="F405" s="6">
        <v>-6</v>
      </c>
      <c r="G405" s="6">
        <v>20250201</v>
      </c>
      <c r="H405" s="6" t="s">
        <v>18</v>
      </c>
      <c r="I405" s="8">
        <v>-19.02</v>
      </c>
      <c r="J405" s="8">
        <v>3</v>
      </c>
      <c r="K405" s="8">
        <v>-18</v>
      </c>
    </row>
    <row r="406" spans="1:11" ht="15.75" x14ac:dyDescent="0.25">
      <c r="A406" s="5" t="s">
        <v>13</v>
      </c>
      <c r="B406" s="6" t="s">
        <v>226</v>
      </c>
      <c r="C406" s="6" t="s">
        <v>227</v>
      </c>
      <c r="D406" s="6" t="s">
        <v>228</v>
      </c>
      <c r="E406" s="7" t="s">
        <v>17</v>
      </c>
      <c r="F406" s="6">
        <v>-6</v>
      </c>
      <c r="G406" s="6">
        <v>20250301</v>
      </c>
      <c r="H406" s="6" t="s">
        <v>18</v>
      </c>
      <c r="I406" s="8">
        <v>-19.02</v>
      </c>
      <c r="J406" s="8">
        <v>3</v>
      </c>
      <c r="K406" s="8">
        <v>-18</v>
      </c>
    </row>
    <row r="407" spans="1:11" ht="15.75" x14ac:dyDescent="0.25">
      <c r="A407" s="5" t="s">
        <v>13</v>
      </c>
      <c r="B407" s="6" t="s">
        <v>226</v>
      </c>
      <c r="C407" s="6" t="s">
        <v>227</v>
      </c>
      <c r="D407" s="6" t="s">
        <v>228</v>
      </c>
      <c r="E407" s="7" t="s">
        <v>17</v>
      </c>
      <c r="F407" s="6">
        <v>6</v>
      </c>
      <c r="G407" s="6">
        <v>20250201</v>
      </c>
      <c r="H407" s="6" t="s">
        <v>18</v>
      </c>
      <c r="I407" s="8">
        <v>19.02</v>
      </c>
      <c r="J407" s="8">
        <v>3</v>
      </c>
      <c r="K407" s="8">
        <v>18</v>
      </c>
    </row>
    <row r="408" spans="1:11" ht="15.75" x14ac:dyDescent="0.25">
      <c r="A408" s="5" t="s">
        <v>13</v>
      </c>
      <c r="B408" s="6" t="s">
        <v>226</v>
      </c>
      <c r="C408" s="6" t="s">
        <v>227</v>
      </c>
      <c r="D408" s="6" t="s">
        <v>228</v>
      </c>
      <c r="E408" s="7" t="s">
        <v>17</v>
      </c>
      <c r="F408" s="6">
        <v>6</v>
      </c>
      <c r="G408" s="6">
        <v>20250301</v>
      </c>
      <c r="H408" s="6" t="s">
        <v>18</v>
      </c>
      <c r="I408" s="8">
        <v>19.02</v>
      </c>
      <c r="J408" s="8">
        <v>3</v>
      </c>
      <c r="K408" s="8">
        <v>18</v>
      </c>
    </row>
    <row r="409" spans="1:11" ht="15.75" x14ac:dyDescent="0.25">
      <c r="A409" s="5" t="s">
        <v>13</v>
      </c>
      <c r="B409" s="6" t="s">
        <v>226</v>
      </c>
      <c r="C409" s="6" t="s">
        <v>227</v>
      </c>
      <c r="D409" s="6" t="s">
        <v>228</v>
      </c>
      <c r="E409" s="7" t="s">
        <v>17</v>
      </c>
      <c r="F409" s="6">
        <v>6</v>
      </c>
      <c r="G409" s="6">
        <v>20250401</v>
      </c>
      <c r="H409" s="6" t="s">
        <v>18</v>
      </c>
      <c r="I409" s="8">
        <v>19.02</v>
      </c>
      <c r="J409" s="8">
        <v>3</v>
      </c>
      <c r="K409" s="8">
        <v>18</v>
      </c>
    </row>
    <row r="410" spans="1:11" ht="15.75" x14ac:dyDescent="0.25">
      <c r="A410" s="5" t="s">
        <v>13</v>
      </c>
      <c r="B410" s="6" t="s">
        <v>229</v>
      </c>
      <c r="C410" s="6" t="s">
        <v>230</v>
      </c>
      <c r="D410" s="6" t="s">
        <v>231</v>
      </c>
      <c r="E410" s="7" t="s">
        <v>50</v>
      </c>
      <c r="F410" s="6">
        <v>-3</v>
      </c>
      <c r="G410" s="6">
        <v>20250201</v>
      </c>
      <c r="H410" s="6" t="s">
        <v>18</v>
      </c>
      <c r="I410" s="8">
        <v>-48.55</v>
      </c>
      <c r="J410" s="8">
        <v>3</v>
      </c>
      <c r="K410" s="8">
        <v>-9</v>
      </c>
    </row>
    <row r="411" spans="1:11" ht="15.75" x14ac:dyDescent="0.25">
      <c r="A411" s="5" t="s">
        <v>13</v>
      </c>
      <c r="B411" s="6" t="s">
        <v>229</v>
      </c>
      <c r="C411" s="6" t="s">
        <v>230</v>
      </c>
      <c r="D411" s="6" t="s">
        <v>231</v>
      </c>
      <c r="E411" s="7" t="s">
        <v>50</v>
      </c>
      <c r="F411" s="6">
        <v>-3</v>
      </c>
      <c r="G411" s="6">
        <v>20250301</v>
      </c>
      <c r="H411" s="6" t="s">
        <v>18</v>
      </c>
      <c r="I411" s="8">
        <v>-48.55</v>
      </c>
      <c r="J411" s="8">
        <v>3</v>
      </c>
      <c r="K411" s="8">
        <v>-9</v>
      </c>
    </row>
    <row r="412" spans="1:11" ht="15.75" x14ac:dyDescent="0.25">
      <c r="A412" s="5" t="s">
        <v>13</v>
      </c>
      <c r="B412" s="6" t="s">
        <v>229</v>
      </c>
      <c r="C412" s="6" t="s">
        <v>232</v>
      </c>
      <c r="D412" s="6" t="s">
        <v>233</v>
      </c>
      <c r="E412" s="7" t="s">
        <v>50</v>
      </c>
      <c r="F412" s="6">
        <v>-1</v>
      </c>
      <c r="G412" s="6">
        <v>20250201</v>
      </c>
      <c r="H412" s="6" t="s">
        <v>18</v>
      </c>
      <c r="I412" s="8">
        <v>-271.88</v>
      </c>
      <c r="J412" s="8">
        <v>3</v>
      </c>
      <c r="K412" s="8">
        <v>-3</v>
      </c>
    </row>
    <row r="413" spans="1:11" ht="15.75" x14ac:dyDescent="0.25">
      <c r="A413" s="5" t="s">
        <v>13</v>
      </c>
      <c r="B413" s="6" t="s">
        <v>229</v>
      </c>
      <c r="C413" s="6" t="s">
        <v>232</v>
      </c>
      <c r="D413" s="6" t="s">
        <v>233</v>
      </c>
      <c r="E413" s="7" t="s">
        <v>50</v>
      </c>
      <c r="F413" s="6">
        <v>-1</v>
      </c>
      <c r="G413" s="6">
        <v>20250301</v>
      </c>
      <c r="H413" s="6" t="s">
        <v>18</v>
      </c>
      <c r="I413" s="8">
        <v>-271.88</v>
      </c>
      <c r="J413" s="8">
        <v>3</v>
      </c>
      <c r="K413" s="8">
        <v>-3</v>
      </c>
    </row>
    <row r="414" spans="1:11" ht="15.75" x14ac:dyDescent="0.25">
      <c r="A414" s="5" t="s">
        <v>13</v>
      </c>
      <c r="B414" s="6" t="s">
        <v>229</v>
      </c>
      <c r="C414" s="6" t="s">
        <v>232</v>
      </c>
      <c r="D414" s="6" t="s">
        <v>233</v>
      </c>
      <c r="E414" s="7" t="s">
        <v>50</v>
      </c>
      <c r="F414" s="6">
        <v>1</v>
      </c>
      <c r="G414" s="6">
        <v>20250201</v>
      </c>
      <c r="H414" s="6" t="s">
        <v>18</v>
      </c>
      <c r="I414" s="8">
        <v>271.88</v>
      </c>
      <c r="J414" s="8">
        <v>3</v>
      </c>
      <c r="K414" s="8">
        <v>3</v>
      </c>
    </row>
    <row r="415" spans="1:11" ht="15.75" x14ac:dyDescent="0.25">
      <c r="A415" s="5" t="s">
        <v>13</v>
      </c>
      <c r="B415" s="6" t="s">
        <v>229</v>
      </c>
      <c r="C415" s="6" t="s">
        <v>232</v>
      </c>
      <c r="D415" s="6" t="s">
        <v>233</v>
      </c>
      <c r="E415" s="7" t="s">
        <v>50</v>
      </c>
      <c r="F415" s="6">
        <v>1</v>
      </c>
      <c r="G415" s="6">
        <v>20250301</v>
      </c>
      <c r="H415" s="6" t="s">
        <v>18</v>
      </c>
      <c r="I415" s="8">
        <v>271.88</v>
      </c>
      <c r="J415" s="8">
        <v>3</v>
      </c>
      <c r="K415" s="8">
        <v>3</v>
      </c>
    </row>
    <row r="416" spans="1:11" ht="15.75" x14ac:dyDescent="0.25">
      <c r="A416" s="5" t="s">
        <v>13</v>
      </c>
      <c r="B416" s="6" t="s">
        <v>229</v>
      </c>
      <c r="C416" s="6" t="s">
        <v>232</v>
      </c>
      <c r="D416" s="6" t="s">
        <v>233</v>
      </c>
      <c r="E416" s="7" t="s">
        <v>50</v>
      </c>
      <c r="F416" s="6">
        <v>1</v>
      </c>
      <c r="G416" s="6">
        <v>20250401</v>
      </c>
      <c r="H416" s="6" t="s">
        <v>18</v>
      </c>
      <c r="I416" s="8">
        <v>271.88</v>
      </c>
      <c r="J416" s="8">
        <v>3</v>
      </c>
      <c r="K416" s="8">
        <v>3</v>
      </c>
    </row>
    <row r="417" spans="1:11" ht="15.75" x14ac:dyDescent="0.25">
      <c r="A417" s="5" t="s">
        <v>13</v>
      </c>
      <c r="B417" s="6" t="s">
        <v>229</v>
      </c>
      <c r="C417" s="6" t="s">
        <v>230</v>
      </c>
      <c r="D417" s="6" t="s">
        <v>231</v>
      </c>
      <c r="E417" s="7" t="s">
        <v>50</v>
      </c>
      <c r="F417" s="6">
        <v>3</v>
      </c>
      <c r="G417" s="6">
        <v>20250201</v>
      </c>
      <c r="H417" s="6" t="s">
        <v>18</v>
      </c>
      <c r="I417" s="8">
        <v>48.55</v>
      </c>
      <c r="J417" s="8">
        <v>3</v>
      </c>
      <c r="K417" s="8">
        <v>9</v>
      </c>
    </row>
    <row r="418" spans="1:11" ht="15.75" x14ac:dyDescent="0.25">
      <c r="A418" s="5" t="s">
        <v>13</v>
      </c>
      <c r="B418" s="6" t="s">
        <v>229</v>
      </c>
      <c r="C418" s="6" t="s">
        <v>230</v>
      </c>
      <c r="D418" s="6" t="s">
        <v>231</v>
      </c>
      <c r="E418" s="7" t="s">
        <v>50</v>
      </c>
      <c r="F418" s="6">
        <v>3</v>
      </c>
      <c r="G418" s="6">
        <v>20250301</v>
      </c>
      <c r="H418" s="6" t="s">
        <v>18</v>
      </c>
      <c r="I418" s="8">
        <v>48.55</v>
      </c>
      <c r="J418" s="8">
        <v>3</v>
      </c>
      <c r="K418" s="8">
        <v>9</v>
      </c>
    </row>
    <row r="419" spans="1:11" ht="15.75" x14ac:dyDescent="0.25">
      <c r="A419" s="5" t="s">
        <v>13</v>
      </c>
      <c r="B419" s="6" t="s">
        <v>229</v>
      </c>
      <c r="C419" s="6" t="s">
        <v>230</v>
      </c>
      <c r="D419" s="6" t="s">
        <v>231</v>
      </c>
      <c r="E419" s="7" t="s">
        <v>50</v>
      </c>
      <c r="F419" s="6">
        <v>3</v>
      </c>
      <c r="G419" s="6">
        <v>20250401</v>
      </c>
      <c r="H419" s="6" t="s">
        <v>18</v>
      </c>
      <c r="I419" s="8">
        <v>48.55</v>
      </c>
      <c r="J419" s="8">
        <v>3</v>
      </c>
      <c r="K419" s="8">
        <v>9</v>
      </c>
    </row>
    <row r="420" spans="1:11" ht="15.75" x14ac:dyDescent="0.25">
      <c r="A420" s="5" t="s">
        <v>13</v>
      </c>
      <c r="B420" s="6"/>
      <c r="C420" s="6"/>
      <c r="D420" s="6"/>
      <c r="E420" s="7"/>
      <c r="F420" s="6"/>
      <c r="G420" s="6"/>
      <c r="H420" s="6"/>
      <c r="I420" s="8"/>
      <c r="J420" s="8" t="s">
        <v>234</v>
      </c>
      <c r="K420" s="8">
        <v>420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06AAD-0900-42B4-A08E-99BB781B2F54}">
  <dimension ref="A1:O419"/>
  <sheetViews>
    <sheetView tabSelected="1" topLeftCell="A271" workbookViewId="0">
      <selection activeCell="A289" sqref="A289:XFD293"/>
    </sheetView>
  </sheetViews>
  <sheetFormatPr defaultRowHeight="15" x14ac:dyDescent="0.25"/>
  <cols>
    <col min="1" max="1" width="35.42578125" customWidth="1"/>
    <col min="2" max="2" width="37.28515625" customWidth="1"/>
    <col min="3" max="3" width="33.28515625" customWidth="1"/>
    <col min="4" max="5" width="11.42578125" customWidth="1"/>
    <col min="6" max="6" width="6" customWidth="1"/>
    <col min="7" max="7" width="8.7109375" customWidth="1"/>
    <col min="8" max="10" width="10.140625" customWidth="1"/>
    <col min="11" max="11" width="17" customWidth="1"/>
    <col min="12" max="12" width="12.28515625" customWidth="1"/>
    <col min="13" max="13" width="8.5703125" customWidth="1"/>
    <col min="14" max="14" width="12.7109375" customWidth="1"/>
  </cols>
  <sheetData>
    <row r="1" spans="1:15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2" t="s">
        <v>6</v>
      </c>
      <c r="I1" s="2"/>
      <c r="J1" s="2"/>
      <c r="K1" s="3" t="s">
        <v>7</v>
      </c>
      <c r="L1" s="4" t="s">
        <v>8</v>
      </c>
      <c r="M1" s="4" t="s">
        <v>9</v>
      </c>
      <c r="N1" s="4" t="s">
        <v>10</v>
      </c>
    </row>
    <row r="2" spans="1:15" ht="15.75" x14ac:dyDescent="0.25">
      <c r="A2" s="5" t="s">
        <v>13</v>
      </c>
      <c r="B2" s="6">
        <v>20411454</v>
      </c>
      <c r="C2" s="6" t="s">
        <v>161</v>
      </c>
      <c r="D2" s="6" t="s">
        <v>162</v>
      </c>
      <c r="E2" s="6" t="str">
        <f>CONCATENATE(D2,1)</f>
        <v>42N39C1</v>
      </c>
      <c r="F2" s="7" t="s">
        <v>86</v>
      </c>
      <c r="G2" s="6">
        <v>-1</v>
      </c>
      <c r="H2" s="6">
        <v>20250201</v>
      </c>
      <c r="I2" s="6" t="str">
        <f>TEXT(DATE(LEFT(H2,4), MID(H2,5,2), RIGHT(H2,2)), "M/d/yyyy")</f>
        <v>2/1/2025</v>
      </c>
      <c r="J2" s="9">
        <f>DATE(YEAR(I2), MONTH(I2) +1, DAY(I2))</f>
        <v>45717</v>
      </c>
      <c r="K2" s="6" t="s">
        <v>18</v>
      </c>
      <c r="L2" s="8">
        <v>-2.0499999999999998</v>
      </c>
      <c r="M2" s="8">
        <v>3</v>
      </c>
      <c r="N2" s="8">
        <v>-3</v>
      </c>
      <c r="O2" t="s">
        <v>235</v>
      </c>
    </row>
    <row r="3" spans="1:15" ht="15.75" x14ac:dyDescent="0.25">
      <c r="A3" s="5" t="s">
        <v>13</v>
      </c>
      <c r="B3" s="6">
        <v>20411454</v>
      </c>
      <c r="C3" s="6" t="s">
        <v>161</v>
      </c>
      <c r="D3" s="6" t="s">
        <v>162</v>
      </c>
      <c r="E3" s="6" t="str">
        <f>CONCATENATE(D3,1)</f>
        <v>42N39C1</v>
      </c>
      <c r="F3" s="7" t="s">
        <v>86</v>
      </c>
      <c r="G3" s="6">
        <v>1</v>
      </c>
      <c r="H3" s="6">
        <v>20250201</v>
      </c>
      <c r="I3" s="6" t="str">
        <f>TEXT(DATE(LEFT(H3,4), MID(H3,5,2), RIGHT(H3,2)), "M/d/yyyy")</f>
        <v>2/1/2025</v>
      </c>
      <c r="J3" s="9">
        <f>DATE(YEAR(I3), MONTH(I3) +1, DAY(I3))</f>
        <v>45717</v>
      </c>
      <c r="K3" s="6" t="s">
        <v>18</v>
      </c>
      <c r="L3" s="8">
        <v>2.0499999999999998</v>
      </c>
      <c r="M3" s="8">
        <v>3</v>
      </c>
      <c r="N3" s="8">
        <v>3</v>
      </c>
      <c r="O3" t="s">
        <v>235</v>
      </c>
    </row>
    <row r="4" spans="1:15" ht="15.75" x14ac:dyDescent="0.25">
      <c r="A4" s="5" t="s">
        <v>13</v>
      </c>
      <c r="B4" s="6">
        <v>20411454</v>
      </c>
      <c r="C4" s="6" t="s">
        <v>161</v>
      </c>
      <c r="D4" s="6" t="s">
        <v>162</v>
      </c>
      <c r="E4" s="6" t="str">
        <f>CONCATENATE(D4,1)</f>
        <v>42N39C1</v>
      </c>
      <c r="F4" s="7" t="s">
        <v>86</v>
      </c>
      <c r="G4" s="6">
        <v>1</v>
      </c>
      <c r="H4" s="6">
        <v>20250301</v>
      </c>
      <c r="I4" s="6" t="str">
        <f>TEXT(DATE(LEFT(H4,4), MID(H4,5,2), RIGHT(H4,2)), "M/d/yyyy")</f>
        <v>3/1/2025</v>
      </c>
      <c r="J4" s="9">
        <f>DATE(YEAR(I4), MONTH(I4) +1, DAY(I4))</f>
        <v>45748</v>
      </c>
      <c r="K4" s="6" t="s">
        <v>18</v>
      </c>
      <c r="L4" s="8">
        <v>2.0499999999999998</v>
      </c>
      <c r="M4" s="8">
        <v>3</v>
      </c>
      <c r="N4" s="8">
        <v>3</v>
      </c>
      <c r="O4" t="s">
        <v>235</v>
      </c>
    </row>
    <row r="5" spans="1:15" ht="15.75" x14ac:dyDescent="0.25">
      <c r="A5" s="5" t="s">
        <v>13</v>
      </c>
      <c r="B5" s="6">
        <v>20411454</v>
      </c>
      <c r="C5" s="6" t="s">
        <v>222</v>
      </c>
      <c r="D5" s="6" t="s">
        <v>223</v>
      </c>
      <c r="E5" s="6" t="str">
        <f>CONCATENATE(D5,1)</f>
        <v>68NK461</v>
      </c>
      <c r="F5" s="7" t="s">
        <v>33</v>
      </c>
      <c r="G5" s="6">
        <v>-1</v>
      </c>
      <c r="H5" s="6">
        <v>20250201</v>
      </c>
      <c r="I5" s="6" t="str">
        <f>TEXT(DATE(LEFT(H5,4), MID(H5,5,2), RIGHT(H5,2)), "M/d/yyyy")</f>
        <v>2/1/2025</v>
      </c>
      <c r="J5" s="9">
        <f>DATE(YEAR(I5), MONTH(I5) +1, DAY(I5))</f>
        <v>45717</v>
      </c>
      <c r="K5" s="6" t="s">
        <v>12</v>
      </c>
      <c r="L5" s="8">
        <v>-117.37</v>
      </c>
      <c r="M5" s="8">
        <v>3</v>
      </c>
      <c r="N5" s="8">
        <v>-3</v>
      </c>
      <c r="O5" t="s">
        <v>235</v>
      </c>
    </row>
    <row r="6" spans="1:15" ht="15.75" x14ac:dyDescent="0.25">
      <c r="A6" s="5" t="s">
        <v>13</v>
      </c>
      <c r="B6" s="6">
        <v>20411454</v>
      </c>
      <c r="C6" s="6" t="s">
        <v>222</v>
      </c>
      <c r="D6" s="6" t="s">
        <v>223</v>
      </c>
      <c r="E6" s="6" t="str">
        <f>CONCATENATE(D6,1)</f>
        <v>68NK461</v>
      </c>
      <c r="F6" s="7" t="s">
        <v>33</v>
      </c>
      <c r="G6" s="6">
        <v>-1</v>
      </c>
      <c r="H6" s="6">
        <v>20250301</v>
      </c>
      <c r="I6" s="6" t="str">
        <f>TEXT(DATE(LEFT(H6,4), MID(H6,5,2), RIGHT(H6,2)), "M/d/yyyy")</f>
        <v>3/1/2025</v>
      </c>
      <c r="J6" s="9">
        <f>DATE(YEAR(I6), MONTH(I6) +1, DAY(I6))</f>
        <v>45748</v>
      </c>
      <c r="K6" s="6" t="s">
        <v>12</v>
      </c>
      <c r="L6" s="8">
        <v>-117.37</v>
      </c>
      <c r="M6" s="8">
        <v>3</v>
      </c>
      <c r="N6" s="8">
        <v>-3</v>
      </c>
      <c r="O6" t="s">
        <v>235</v>
      </c>
    </row>
    <row r="7" spans="1:15" ht="15.75" x14ac:dyDescent="0.25">
      <c r="A7" s="5" t="s">
        <v>13</v>
      </c>
      <c r="B7" s="6">
        <v>20411454</v>
      </c>
      <c r="C7" s="6" t="s">
        <v>222</v>
      </c>
      <c r="D7" s="6" t="s">
        <v>223</v>
      </c>
      <c r="E7" s="6" t="str">
        <f>CONCATENATE(D7,1)</f>
        <v>68NK461</v>
      </c>
      <c r="F7" s="7" t="s">
        <v>33</v>
      </c>
      <c r="G7" s="6">
        <v>1</v>
      </c>
      <c r="H7" s="6">
        <v>20250201</v>
      </c>
      <c r="I7" s="6" t="str">
        <f>TEXT(DATE(LEFT(H7,4), MID(H7,5,2), RIGHT(H7,2)), "M/d/yyyy")</f>
        <v>2/1/2025</v>
      </c>
      <c r="J7" s="9">
        <f>DATE(YEAR(I7), MONTH(I7) +1, DAY(I7))</f>
        <v>45717</v>
      </c>
      <c r="K7" s="6" t="s">
        <v>12</v>
      </c>
      <c r="L7" s="8">
        <v>117.37</v>
      </c>
      <c r="M7" s="8">
        <v>3</v>
      </c>
      <c r="N7" s="8">
        <v>3</v>
      </c>
      <c r="O7" t="s">
        <v>235</v>
      </c>
    </row>
    <row r="8" spans="1:15" ht="15.75" x14ac:dyDescent="0.25">
      <c r="A8" s="5" t="s">
        <v>13</v>
      </c>
      <c r="B8" s="6">
        <v>20411454</v>
      </c>
      <c r="C8" s="6" t="s">
        <v>222</v>
      </c>
      <c r="D8" s="6" t="s">
        <v>223</v>
      </c>
      <c r="E8" s="6" t="str">
        <f>CONCATENATE(D8,1)</f>
        <v>68NK461</v>
      </c>
      <c r="F8" s="7" t="s">
        <v>33</v>
      </c>
      <c r="G8" s="6">
        <v>1</v>
      </c>
      <c r="H8" s="6">
        <v>20250301</v>
      </c>
      <c r="I8" s="6" t="str">
        <f>TEXT(DATE(LEFT(H8,4), MID(H8,5,2), RIGHT(H8,2)), "M/d/yyyy")</f>
        <v>3/1/2025</v>
      </c>
      <c r="J8" s="9">
        <f>DATE(YEAR(I8), MONTH(I8) +1, DAY(I8))</f>
        <v>45748</v>
      </c>
      <c r="K8" s="6" t="s">
        <v>12</v>
      </c>
      <c r="L8" s="8">
        <v>117.37</v>
      </c>
      <c r="M8" s="8">
        <v>3</v>
      </c>
      <c r="N8" s="8">
        <v>3</v>
      </c>
      <c r="O8" t="s">
        <v>235</v>
      </c>
    </row>
    <row r="9" spans="1:15" ht="15.75" x14ac:dyDescent="0.25">
      <c r="A9" s="5" t="s">
        <v>13</v>
      </c>
      <c r="B9" s="6">
        <v>20411454</v>
      </c>
      <c r="C9" s="6" t="s">
        <v>222</v>
      </c>
      <c r="D9" s="6" t="s">
        <v>223</v>
      </c>
      <c r="E9" s="6" t="str">
        <f>CONCATENATE(D9,1)</f>
        <v>68NK461</v>
      </c>
      <c r="F9" s="7" t="s">
        <v>33</v>
      </c>
      <c r="G9" s="6">
        <v>1</v>
      </c>
      <c r="H9" s="6">
        <v>20250401</v>
      </c>
      <c r="I9" s="6" t="str">
        <f>TEXT(DATE(LEFT(H9,4), MID(H9,5,2), RIGHT(H9,2)), "M/d/yyyy")</f>
        <v>4/1/2025</v>
      </c>
      <c r="J9" s="9">
        <f>DATE(YEAR(I9), MONTH(I9) +1, DAY(I9))</f>
        <v>45778</v>
      </c>
      <c r="K9" s="6" t="s">
        <v>12</v>
      </c>
      <c r="L9" s="8">
        <v>117.37</v>
      </c>
      <c r="M9" s="8">
        <v>3</v>
      </c>
      <c r="N9" s="8">
        <v>3</v>
      </c>
      <c r="O9" t="s">
        <v>235</v>
      </c>
    </row>
    <row r="10" spans="1:15" ht="15.75" x14ac:dyDescent="0.25">
      <c r="A10" s="5" t="s">
        <v>13</v>
      </c>
      <c r="B10" s="6">
        <v>20411454</v>
      </c>
      <c r="C10" s="6" t="s">
        <v>118</v>
      </c>
      <c r="D10" s="6" t="s">
        <v>119</v>
      </c>
      <c r="E10" s="6" t="str">
        <f>CONCATENATE(D10,1)</f>
        <v>69E5F91</v>
      </c>
      <c r="F10" s="7" t="s">
        <v>22</v>
      </c>
      <c r="G10" s="6">
        <v>-1</v>
      </c>
      <c r="H10" s="6">
        <v>20250201</v>
      </c>
      <c r="I10" s="6" t="str">
        <f>TEXT(DATE(LEFT(H10,4), MID(H10,5,2), RIGHT(H10,2)), "M/d/yyyy")</f>
        <v>2/1/2025</v>
      </c>
      <c r="J10" s="9">
        <f>DATE(YEAR(I10), MONTH(I10) +1, DAY(I10))</f>
        <v>45717</v>
      </c>
      <c r="K10" s="6" t="s">
        <v>18</v>
      </c>
      <c r="L10" s="8">
        <v>-324.38</v>
      </c>
      <c r="M10" s="8">
        <v>3</v>
      </c>
      <c r="N10" s="8">
        <v>-3</v>
      </c>
      <c r="O10" t="s">
        <v>235</v>
      </c>
    </row>
    <row r="11" spans="1:15" ht="15.75" x14ac:dyDescent="0.25">
      <c r="A11" s="5" t="s">
        <v>13</v>
      </c>
      <c r="B11" s="6">
        <v>20411454</v>
      </c>
      <c r="C11" s="6" t="s">
        <v>118</v>
      </c>
      <c r="D11" s="6" t="s">
        <v>119</v>
      </c>
      <c r="E11" s="6" t="str">
        <f>CONCATENATE(D11,1)</f>
        <v>69E5F91</v>
      </c>
      <c r="F11" s="7" t="s">
        <v>22</v>
      </c>
      <c r="G11" s="6">
        <v>-1</v>
      </c>
      <c r="H11" s="6">
        <v>20250301</v>
      </c>
      <c r="I11" s="6" t="str">
        <f>TEXT(DATE(LEFT(H11,4), MID(H11,5,2), RIGHT(H11,2)), "M/d/yyyy")</f>
        <v>3/1/2025</v>
      </c>
      <c r="J11" s="9">
        <f>DATE(YEAR(I11), MONTH(I11) +1, DAY(I11))</f>
        <v>45748</v>
      </c>
      <c r="K11" s="6" t="s">
        <v>18</v>
      </c>
      <c r="L11" s="8">
        <v>-324.38</v>
      </c>
      <c r="M11" s="8">
        <v>3</v>
      </c>
      <c r="N11" s="8">
        <v>-3</v>
      </c>
      <c r="O11" t="s">
        <v>235</v>
      </c>
    </row>
    <row r="12" spans="1:15" ht="15.75" x14ac:dyDescent="0.25">
      <c r="A12" s="5" t="s">
        <v>13</v>
      </c>
      <c r="B12" s="6">
        <v>20411454</v>
      </c>
      <c r="C12" s="6" t="s">
        <v>118</v>
      </c>
      <c r="D12" s="6" t="s">
        <v>119</v>
      </c>
      <c r="E12" s="6" t="str">
        <f>CONCATENATE(D12,1)</f>
        <v>69E5F91</v>
      </c>
      <c r="F12" s="7" t="s">
        <v>22</v>
      </c>
      <c r="G12" s="6">
        <v>1</v>
      </c>
      <c r="H12" s="6">
        <v>20250201</v>
      </c>
      <c r="I12" s="6" t="str">
        <f>TEXT(DATE(LEFT(H12,4), MID(H12,5,2), RIGHT(H12,2)), "M/d/yyyy")</f>
        <v>2/1/2025</v>
      </c>
      <c r="J12" s="9">
        <f>DATE(YEAR(I12), MONTH(I12) +1, DAY(I12))</f>
        <v>45717</v>
      </c>
      <c r="K12" s="6" t="s">
        <v>18</v>
      </c>
      <c r="L12" s="8">
        <v>324.38</v>
      </c>
      <c r="M12" s="8">
        <v>3</v>
      </c>
      <c r="N12" s="8">
        <v>3</v>
      </c>
      <c r="O12" t="s">
        <v>235</v>
      </c>
    </row>
    <row r="13" spans="1:15" ht="15.75" x14ac:dyDescent="0.25">
      <c r="A13" s="5" t="s">
        <v>13</v>
      </c>
      <c r="B13" s="6">
        <v>20411454</v>
      </c>
      <c r="C13" s="6" t="s">
        <v>118</v>
      </c>
      <c r="D13" s="6" t="s">
        <v>119</v>
      </c>
      <c r="E13" s="6" t="str">
        <f>CONCATENATE(D13,1)</f>
        <v>69E5F91</v>
      </c>
      <c r="F13" s="7" t="s">
        <v>22</v>
      </c>
      <c r="G13" s="6">
        <v>1</v>
      </c>
      <c r="H13" s="6">
        <v>20250301</v>
      </c>
      <c r="I13" s="6" t="str">
        <f>TEXT(DATE(LEFT(H13,4), MID(H13,5,2), RIGHT(H13,2)), "M/d/yyyy")</f>
        <v>3/1/2025</v>
      </c>
      <c r="J13" s="9">
        <f>DATE(YEAR(I13), MONTH(I13) +1, DAY(I13))</f>
        <v>45748</v>
      </c>
      <c r="K13" s="6" t="s">
        <v>18</v>
      </c>
      <c r="L13" s="8">
        <v>324.38</v>
      </c>
      <c r="M13" s="8">
        <v>3</v>
      </c>
      <c r="N13" s="8">
        <v>3</v>
      </c>
      <c r="O13" t="s">
        <v>235</v>
      </c>
    </row>
    <row r="14" spans="1:15" ht="15.75" x14ac:dyDescent="0.25">
      <c r="A14" s="5" t="s">
        <v>13</v>
      </c>
      <c r="B14" s="6">
        <v>20411454</v>
      </c>
      <c r="C14" s="6" t="s">
        <v>118</v>
      </c>
      <c r="D14" s="6" t="s">
        <v>119</v>
      </c>
      <c r="E14" s="6" t="str">
        <f>CONCATENATE(D14,1)</f>
        <v>69E5F91</v>
      </c>
      <c r="F14" s="7" t="s">
        <v>22</v>
      </c>
      <c r="G14" s="6">
        <v>1</v>
      </c>
      <c r="H14" s="6">
        <v>20250401</v>
      </c>
      <c r="I14" s="6" t="str">
        <f>TEXT(DATE(LEFT(H14,4), MID(H14,5,2), RIGHT(H14,2)), "M/d/yyyy")</f>
        <v>4/1/2025</v>
      </c>
      <c r="J14" s="9">
        <f>DATE(YEAR(I14), MONTH(I14) +1, DAY(I14))</f>
        <v>45778</v>
      </c>
      <c r="K14" s="6" t="s">
        <v>18</v>
      </c>
      <c r="L14" s="8">
        <v>324.38</v>
      </c>
      <c r="M14" s="8">
        <v>3</v>
      </c>
      <c r="N14" s="8">
        <v>3</v>
      </c>
      <c r="O14" t="s">
        <v>235</v>
      </c>
    </row>
    <row r="15" spans="1:15" ht="15.75" x14ac:dyDescent="0.25">
      <c r="A15" s="5" t="s">
        <v>13</v>
      </c>
      <c r="B15" s="6">
        <v>20411454</v>
      </c>
      <c r="C15" s="6" t="s">
        <v>62</v>
      </c>
      <c r="D15" s="6" t="s">
        <v>63</v>
      </c>
      <c r="E15" s="6" t="str">
        <f>CONCATENATE(D15,1)</f>
        <v>8T66A81</v>
      </c>
      <c r="F15" s="7" t="s">
        <v>33</v>
      </c>
      <c r="G15" s="6">
        <v>-1</v>
      </c>
      <c r="H15" s="6">
        <v>20250201</v>
      </c>
      <c r="I15" s="6" t="str">
        <f>TEXT(DATE(LEFT(H15,4), MID(H15,5,2), RIGHT(H15,2)), "M/d/yyyy")</f>
        <v>2/1/2025</v>
      </c>
      <c r="J15" s="9">
        <f>DATE(YEAR(I15), MONTH(I15) +1, DAY(I15))</f>
        <v>45717</v>
      </c>
      <c r="K15" s="6" t="s">
        <v>12</v>
      </c>
      <c r="L15" s="8">
        <v>-148.30000000000001</v>
      </c>
      <c r="M15" s="8">
        <v>3</v>
      </c>
      <c r="N15" s="8">
        <v>-3</v>
      </c>
      <c r="O15" t="s">
        <v>235</v>
      </c>
    </row>
    <row r="16" spans="1:15" ht="15.75" x14ac:dyDescent="0.25">
      <c r="A16" s="5" t="s">
        <v>13</v>
      </c>
      <c r="B16" s="6">
        <v>20411454</v>
      </c>
      <c r="C16" s="6" t="s">
        <v>62</v>
      </c>
      <c r="D16" s="6" t="s">
        <v>63</v>
      </c>
      <c r="E16" s="6" t="str">
        <f>CONCATENATE(D16,1)</f>
        <v>8T66A81</v>
      </c>
      <c r="F16" s="7" t="s">
        <v>33</v>
      </c>
      <c r="G16" s="6">
        <v>-1</v>
      </c>
      <c r="H16" s="6">
        <v>20250301</v>
      </c>
      <c r="I16" s="6" t="str">
        <f>TEXT(DATE(LEFT(H16,4), MID(H16,5,2), RIGHT(H16,2)), "M/d/yyyy")</f>
        <v>3/1/2025</v>
      </c>
      <c r="J16" s="9">
        <f>DATE(YEAR(I16), MONTH(I16) +1, DAY(I16))</f>
        <v>45748</v>
      </c>
      <c r="K16" s="6" t="s">
        <v>12</v>
      </c>
      <c r="L16" s="8">
        <v>-148.30000000000001</v>
      </c>
      <c r="M16" s="8">
        <v>3</v>
      </c>
      <c r="N16" s="8">
        <v>-3</v>
      </c>
      <c r="O16" t="s">
        <v>235</v>
      </c>
    </row>
    <row r="17" spans="1:15" ht="15.75" x14ac:dyDescent="0.25">
      <c r="A17" s="5" t="s">
        <v>13</v>
      </c>
      <c r="B17" s="6">
        <v>20411454</v>
      </c>
      <c r="C17" s="6" t="s">
        <v>62</v>
      </c>
      <c r="D17" s="6" t="s">
        <v>63</v>
      </c>
      <c r="E17" s="6" t="str">
        <f>CONCATENATE(D17,1)</f>
        <v>8T66A81</v>
      </c>
      <c r="F17" s="7" t="s">
        <v>33</v>
      </c>
      <c r="G17" s="6">
        <v>1</v>
      </c>
      <c r="H17" s="6">
        <v>20250201</v>
      </c>
      <c r="I17" s="6" t="str">
        <f>TEXT(DATE(LEFT(H17,4), MID(H17,5,2), RIGHT(H17,2)), "M/d/yyyy")</f>
        <v>2/1/2025</v>
      </c>
      <c r="J17" s="9">
        <f>DATE(YEAR(I17), MONTH(I17) +1, DAY(I17))</f>
        <v>45717</v>
      </c>
      <c r="K17" s="6" t="s">
        <v>12</v>
      </c>
      <c r="L17" s="8">
        <v>148.30000000000001</v>
      </c>
      <c r="M17" s="8">
        <v>3</v>
      </c>
      <c r="N17" s="8">
        <v>3</v>
      </c>
      <c r="O17" t="s">
        <v>235</v>
      </c>
    </row>
    <row r="18" spans="1:15" ht="15.75" x14ac:dyDescent="0.25">
      <c r="A18" s="5" t="s">
        <v>13</v>
      </c>
      <c r="B18" s="6">
        <v>20411454</v>
      </c>
      <c r="C18" s="6" t="s">
        <v>62</v>
      </c>
      <c r="D18" s="6" t="s">
        <v>63</v>
      </c>
      <c r="E18" s="6" t="str">
        <f>CONCATENATE(D18,1)</f>
        <v>8T66A81</v>
      </c>
      <c r="F18" s="7" t="s">
        <v>33</v>
      </c>
      <c r="G18" s="6">
        <v>1</v>
      </c>
      <c r="H18" s="6">
        <v>20250301</v>
      </c>
      <c r="I18" s="6" t="str">
        <f>TEXT(DATE(LEFT(H18,4), MID(H18,5,2), RIGHT(H18,2)), "M/d/yyyy")</f>
        <v>3/1/2025</v>
      </c>
      <c r="J18" s="9">
        <f>DATE(YEAR(I18), MONTH(I18) +1, DAY(I18))</f>
        <v>45748</v>
      </c>
      <c r="K18" s="6" t="s">
        <v>12</v>
      </c>
      <c r="L18" s="8">
        <v>148.30000000000001</v>
      </c>
      <c r="M18" s="8">
        <v>3</v>
      </c>
      <c r="N18" s="8">
        <v>3</v>
      </c>
      <c r="O18" t="s">
        <v>235</v>
      </c>
    </row>
    <row r="19" spans="1:15" ht="15.75" x14ac:dyDescent="0.25">
      <c r="A19" s="5" t="s">
        <v>13</v>
      </c>
      <c r="B19" s="6">
        <v>20411454</v>
      </c>
      <c r="C19" s="6" t="s">
        <v>62</v>
      </c>
      <c r="D19" s="6" t="s">
        <v>63</v>
      </c>
      <c r="E19" s="6" t="str">
        <f>CONCATENATE(D19,1)</f>
        <v>8T66A81</v>
      </c>
      <c r="F19" s="7" t="s">
        <v>33</v>
      </c>
      <c r="G19" s="6">
        <v>1</v>
      </c>
      <c r="H19" s="6">
        <v>20250401</v>
      </c>
      <c r="I19" s="6" t="str">
        <f>TEXT(DATE(LEFT(H19,4), MID(H19,5,2), RIGHT(H19,2)), "M/d/yyyy")</f>
        <v>4/1/2025</v>
      </c>
      <c r="J19" s="9">
        <f>DATE(YEAR(I19), MONTH(I19) +1, DAY(I19))</f>
        <v>45778</v>
      </c>
      <c r="K19" s="6" t="s">
        <v>12</v>
      </c>
      <c r="L19" s="8">
        <v>148.30000000000001</v>
      </c>
      <c r="M19" s="8">
        <v>3</v>
      </c>
      <c r="N19" s="8">
        <v>3</v>
      </c>
      <c r="O19" t="s">
        <v>235</v>
      </c>
    </row>
    <row r="20" spans="1:15" ht="15.75" x14ac:dyDescent="0.25">
      <c r="A20" s="5" t="s">
        <v>13</v>
      </c>
      <c r="B20" s="6">
        <v>20411454</v>
      </c>
      <c r="C20" s="6" t="s">
        <v>179</v>
      </c>
      <c r="D20" s="6" t="s">
        <v>180</v>
      </c>
      <c r="E20" s="6" t="str">
        <f>CONCATENATE(D20,1)</f>
        <v>79PL321</v>
      </c>
      <c r="F20" s="7" t="s">
        <v>86</v>
      </c>
      <c r="G20" s="6">
        <v>-1</v>
      </c>
      <c r="H20" s="6">
        <v>20250201</v>
      </c>
      <c r="I20" s="6" t="str">
        <f>TEXT(DATE(LEFT(H20,4), MID(H20,5,2), RIGHT(H20,2)), "M/d/yyyy")</f>
        <v>2/1/2025</v>
      </c>
      <c r="J20" s="9">
        <f>DATE(YEAR(I20), MONTH(I20) +1, DAY(I20))</f>
        <v>45717</v>
      </c>
      <c r="K20" s="6" t="s">
        <v>18</v>
      </c>
      <c r="L20" s="8">
        <v>-105.62</v>
      </c>
      <c r="M20" s="8">
        <v>3</v>
      </c>
      <c r="N20" s="8">
        <v>-3</v>
      </c>
      <c r="O20" t="s">
        <v>235</v>
      </c>
    </row>
    <row r="21" spans="1:15" ht="15.75" x14ac:dyDescent="0.25">
      <c r="A21" s="5" t="s">
        <v>13</v>
      </c>
      <c r="B21" s="6">
        <v>20411454</v>
      </c>
      <c r="C21" s="6" t="s">
        <v>179</v>
      </c>
      <c r="D21" s="6" t="s">
        <v>180</v>
      </c>
      <c r="E21" s="6" t="str">
        <f>CONCATENATE(D21,1)</f>
        <v>79PL321</v>
      </c>
      <c r="F21" s="7" t="s">
        <v>86</v>
      </c>
      <c r="G21" s="6">
        <v>-1</v>
      </c>
      <c r="H21" s="6">
        <v>20250301</v>
      </c>
      <c r="I21" s="6" t="str">
        <f>TEXT(DATE(LEFT(H21,4), MID(H21,5,2), RIGHT(H21,2)), "M/d/yyyy")</f>
        <v>3/1/2025</v>
      </c>
      <c r="J21" s="9">
        <f>DATE(YEAR(I21), MONTH(I21) +1, DAY(I21))</f>
        <v>45748</v>
      </c>
      <c r="K21" s="6" t="s">
        <v>18</v>
      </c>
      <c r="L21" s="8">
        <v>-105.62</v>
      </c>
      <c r="M21" s="8">
        <v>3</v>
      </c>
      <c r="N21" s="8">
        <v>-3</v>
      </c>
      <c r="O21" t="s">
        <v>235</v>
      </c>
    </row>
    <row r="22" spans="1:15" ht="15.75" x14ac:dyDescent="0.25">
      <c r="A22" s="5" t="s">
        <v>13</v>
      </c>
      <c r="B22" s="6">
        <v>20411454</v>
      </c>
      <c r="C22" s="6" t="s">
        <v>179</v>
      </c>
      <c r="D22" s="6" t="s">
        <v>180</v>
      </c>
      <c r="E22" s="6" t="str">
        <f>CONCATENATE(D22,1)</f>
        <v>79PL321</v>
      </c>
      <c r="F22" s="7" t="s">
        <v>86</v>
      </c>
      <c r="G22" s="6">
        <v>1</v>
      </c>
      <c r="H22" s="6">
        <v>20250201</v>
      </c>
      <c r="I22" s="6" t="str">
        <f>TEXT(DATE(LEFT(H22,4), MID(H22,5,2), RIGHT(H22,2)), "M/d/yyyy")</f>
        <v>2/1/2025</v>
      </c>
      <c r="J22" s="9">
        <f>DATE(YEAR(I22), MONTH(I22) +1, DAY(I22))</f>
        <v>45717</v>
      </c>
      <c r="K22" s="6" t="s">
        <v>18</v>
      </c>
      <c r="L22" s="8">
        <v>105.62</v>
      </c>
      <c r="M22" s="8">
        <v>3</v>
      </c>
      <c r="N22" s="8">
        <v>3</v>
      </c>
      <c r="O22" t="s">
        <v>235</v>
      </c>
    </row>
    <row r="23" spans="1:15" ht="15.75" x14ac:dyDescent="0.25">
      <c r="A23" s="5" t="s">
        <v>13</v>
      </c>
      <c r="B23" s="6">
        <v>20411454</v>
      </c>
      <c r="C23" s="6" t="s">
        <v>179</v>
      </c>
      <c r="D23" s="6" t="s">
        <v>180</v>
      </c>
      <c r="E23" s="6" t="str">
        <f>CONCATENATE(D23,1)</f>
        <v>79PL321</v>
      </c>
      <c r="F23" s="7" t="s">
        <v>86</v>
      </c>
      <c r="G23" s="6">
        <v>1</v>
      </c>
      <c r="H23" s="6">
        <v>20250301</v>
      </c>
      <c r="I23" s="6" t="str">
        <f>TEXT(DATE(LEFT(H23,4), MID(H23,5,2), RIGHT(H23,2)), "M/d/yyyy")</f>
        <v>3/1/2025</v>
      </c>
      <c r="J23" s="9">
        <f>DATE(YEAR(I23), MONTH(I23) +1, DAY(I23))</f>
        <v>45748</v>
      </c>
      <c r="K23" s="6" t="s">
        <v>18</v>
      </c>
      <c r="L23" s="8">
        <v>105.62</v>
      </c>
      <c r="M23" s="8">
        <v>3</v>
      </c>
      <c r="N23" s="8">
        <v>3</v>
      </c>
      <c r="O23" t="s">
        <v>235</v>
      </c>
    </row>
    <row r="24" spans="1:15" ht="15.75" x14ac:dyDescent="0.25">
      <c r="A24" s="5" t="s">
        <v>13</v>
      </c>
      <c r="B24" s="6">
        <v>20411454</v>
      </c>
      <c r="C24" s="6" t="s">
        <v>179</v>
      </c>
      <c r="D24" s="6" t="s">
        <v>180</v>
      </c>
      <c r="E24" s="6" t="str">
        <f>CONCATENATE(D24,1)</f>
        <v>79PL321</v>
      </c>
      <c r="F24" s="7" t="s">
        <v>86</v>
      </c>
      <c r="G24" s="6">
        <v>1</v>
      </c>
      <c r="H24" s="6">
        <v>20250401</v>
      </c>
      <c r="I24" s="6" t="str">
        <f>TEXT(DATE(LEFT(H24,4), MID(H24,5,2), RIGHT(H24,2)), "M/d/yyyy")</f>
        <v>4/1/2025</v>
      </c>
      <c r="J24" s="9">
        <f>DATE(YEAR(I24), MONTH(I24) +1, DAY(I24))</f>
        <v>45778</v>
      </c>
      <c r="K24" s="6" t="s">
        <v>18</v>
      </c>
      <c r="L24" s="8">
        <v>105.62</v>
      </c>
      <c r="M24" s="8">
        <v>3</v>
      </c>
      <c r="N24" s="8">
        <v>3</v>
      </c>
      <c r="O24" t="s">
        <v>235</v>
      </c>
    </row>
    <row r="25" spans="1:15" ht="15.75" x14ac:dyDescent="0.25">
      <c r="A25" s="5" t="s">
        <v>13</v>
      </c>
      <c r="B25" s="6">
        <v>20411454</v>
      </c>
      <c r="C25" s="6" t="s">
        <v>57</v>
      </c>
      <c r="D25" s="6" t="s">
        <v>58</v>
      </c>
      <c r="E25" s="6" t="str">
        <f>CONCATENATE(D25,1)</f>
        <v>5YB0361</v>
      </c>
      <c r="F25" s="7" t="s">
        <v>50</v>
      </c>
      <c r="G25" s="6">
        <v>-1</v>
      </c>
      <c r="H25" s="6">
        <v>20250201</v>
      </c>
      <c r="I25" s="6" t="str">
        <f>TEXT(DATE(LEFT(H25,4), MID(H25,5,2), RIGHT(H25,2)), "M/d/yyyy")</f>
        <v>2/1/2025</v>
      </c>
      <c r="J25" s="9">
        <f>DATE(YEAR(I25), MONTH(I25) +1, DAY(I25))</f>
        <v>45717</v>
      </c>
      <c r="K25" s="6" t="s">
        <v>18</v>
      </c>
      <c r="L25" s="8">
        <v>-168.73</v>
      </c>
      <c r="M25" s="8">
        <v>3</v>
      </c>
      <c r="N25" s="8">
        <v>-3</v>
      </c>
      <c r="O25" t="s">
        <v>235</v>
      </c>
    </row>
    <row r="26" spans="1:15" ht="15.75" x14ac:dyDescent="0.25">
      <c r="A26" s="5" t="s">
        <v>13</v>
      </c>
      <c r="B26" s="6">
        <v>20411454</v>
      </c>
      <c r="C26" s="6" t="s">
        <v>57</v>
      </c>
      <c r="D26" s="6" t="s">
        <v>58</v>
      </c>
      <c r="E26" s="6" t="str">
        <f>CONCATENATE(D26,1)</f>
        <v>5YB0361</v>
      </c>
      <c r="F26" s="7" t="s">
        <v>50</v>
      </c>
      <c r="G26" s="6">
        <v>-1</v>
      </c>
      <c r="H26" s="6">
        <v>20250301</v>
      </c>
      <c r="I26" s="6" t="str">
        <f>TEXT(DATE(LEFT(H26,4), MID(H26,5,2), RIGHT(H26,2)), "M/d/yyyy")</f>
        <v>3/1/2025</v>
      </c>
      <c r="J26" s="9">
        <f>DATE(YEAR(I26), MONTH(I26) +1, DAY(I26))</f>
        <v>45748</v>
      </c>
      <c r="K26" s="6" t="s">
        <v>18</v>
      </c>
      <c r="L26" s="8">
        <v>-168.73</v>
      </c>
      <c r="M26" s="8">
        <v>3</v>
      </c>
      <c r="N26" s="8">
        <v>-3</v>
      </c>
      <c r="O26" t="s">
        <v>235</v>
      </c>
    </row>
    <row r="27" spans="1:15" ht="15.75" x14ac:dyDescent="0.25">
      <c r="A27" s="5" t="s">
        <v>13</v>
      </c>
      <c r="B27" s="6">
        <v>20411454</v>
      </c>
      <c r="C27" s="6" t="s">
        <v>57</v>
      </c>
      <c r="D27" s="6" t="s">
        <v>58</v>
      </c>
      <c r="E27" s="6" t="str">
        <f>CONCATENATE(D27,1)</f>
        <v>5YB0361</v>
      </c>
      <c r="F27" s="7" t="s">
        <v>50</v>
      </c>
      <c r="G27" s="6">
        <v>1</v>
      </c>
      <c r="H27" s="6">
        <v>20250201</v>
      </c>
      <c r="I27" s="6" t="str">
        <f>TEXT(DATE(LEFT(H27,4), MID(H27,5,2), RIGHT(H27,2)), "M/d/yyyy")</f>
        <v>2/1/2025</v>
      </c>
      <c r="J27" s="9">
        <f>DATE(YEAR(I27), MONTH(I27) +1, DAY(I27))</f>
        <v>45717</v>
      </c>
      <c r="K27" s="6" t="s">
        <v>18</v>
      </c>
      <c r="L27" s="8">
        <v>168.73</v>
      </c>
      <c r="M27" s="8">
        <v>3</v>
      </c>
      <c r="N27" s="8">
        <v>3</v>
      </c>
      <c r="O27" t="s">
        <v>235</v>
      </c>
    </row>
    <row r="28" spans="1:15" ht="15.75" x14ac:dyDescent="0.25">
      <c r="A28" s="5" t="s">
        <v>13</v>
      </c>
      <c r="B28" s="6">
        <v>20411454</v>
      </c>
      <c r="C28" s="6" t="s">
        <v>57</v>
      </c>
      <c r="D28" s="6" t="s">
        <v>58</v>
      </c>
      <c r="E28" s="6" t="str">
        <f>CONCATENATE(D28,1)</f>
        <v>5YB0361</v>
      </c>
      <c r="F28" s="7" t="s">
        <v>50</v>
      </c>
      <c r="G28" s="6">
        <v>1</v>
      </c>
      <c r="H28" s="6">
        <v>20250301</v>
      </c>
      <c r="I28" s="6" t="str">
        <f>TEXT(DATE(LEFT(H28,4), MID(H28,5,2), RIGHT(H28,2)), "M/d/yyyy")</f>
        <v>3/1/2025</v>
      </c>
      <c r="J28" s="9">
        <f>DATE(YEAR(I28), MONTH(I28) +1, DAY(I28))</f>
        <v>45748</v>
      </c>
      <c r="K28" s="6" t="s">
        <v>18</v>
      </c>
      <c r="L28" s="8">
        <v>168.73</v>
      </c>
      <c r="M28" s="8">
        <v>3</v>
      </c>
      <c r="N28" s="8">
        <v>3</v>
      </c>
      <c r="O28" t="s">
        <v>235</v>
      </c>
    </row>
    <row r="29" spans="1:15" ht="15.75" x14ac:dyDescent="0.25">
      <c r="A29" s="5" t="s">
        <v>13</v>
      </c>
      <c r="B29" s="6">
        <v>20411454</v>
      </c>
      <c r="C29" s="6" t="s">
        <v>57</v>
      </c>
      <c r="D29" s="6" t="s">
        <v>58</v>
      </c>
      <c r="E29" s="6" t="str">
        <f>CONCATENATE(D29,1)</f>
        <v>5YB0361</v>
      </c>
      <c r="F29" s="7" t="s">
        <v>50</v>
      </c>
      <c r="G29" s="6">
        <v>1</v>
      </c>
      <c r="H29" s="6">
        <v>20250401</v>
      </c>
      <c r="I29" s="6" t="str">
        <f>TEXT(DATE(LEFT(H29,4), MID(H29,5,2), RIGHT(H29,2)), "M/d/yyyy")</f>
        <v>4/1/2025</v>
      </c>
      <c r="J29" s="9">
        <f>DATE(YEAR(I29), MONTH(I29) +1, DAY(I29))</f>
        <v>45778</v>
      </c>
      <c r="K29" s="6" t="s">
        <v>18</v>
      </c>
      <c r="L29" s="8">
        <v>168.73</v>
      </c>
      <c r="M29" s="8">
        <v>3</v>
      </c>
      <c r="N29" s="8">
        <v>3</v>
      </c>
      <c r="O29" t="s">
        <v>235</v>
      </c>
    </row>
    <row r="30" spans="1:15" ht="15.75" x14ac:dyDescent="0.25">
      <c r="A30" s="5" t="s">
        <v>13</v>
      </c>
      <c r="B30" s="6">
        <v>20411454</v>
      </c>
      <c r="C30" s="6" t="s">
        <v>45</v>
      </c>
      <c r="D30" s="6" t="s">
        <v>46</v>
      </c>
      <c r="E30" s="6" t="str">
        <f>CONCATENATE(D30,1)</f>
        <v>41Q71G1</v>
      </c>
      <c r="F30" s="7" t="s">
        <v>17</v>
      </c>
      <c r="G30" s="6">
        <v>-1</v>
      </c>
      <c r="H30" s="6">
        <v>20250201</v>
      </c>
      <c r="I30" s="6" t="str">
        <f>TEXT(DATE(LEFT(H30,4), MID(H30,5,2), RIGHT(H30,2)), "M/d/yyyy")</f>
        <v>2/1/2025</v>
      </c>
      <c r="J30" s="9">
        <f>DATE(YEAR(I30), MONTH(I30) +1, DAY(I30))</f>
        <v>45717</v>
      </c>
      <c r="K30" s="6" t="s">
        <v>18</v>
      </c>
      <c r="L30" s="8">
        <v>-192.18</v>
      </c>
      <c r="M30" s="8">
        <v>3</v>
      </c>
      <c r="N30" s="8">
        <v>-3</v>
      </c>
      <c r="O30" t="s">
        <v>235</v>
      </c>
    </row>
    <row r="31" spans="1:15" ht="15.75" x14ac:dyDescent="0.25">
      <c r="A31" s="5" t="s">
        <v>13</v>
      </c>
      <c r="B31" s="6">
        <v>20411454</v>
      </c>
      <c r="C31" s="6" t="s">
        <v>45</v>
      </c>
      <c r="D31" s="6" t="s">
        <v>46</v>
      </c>
      <c r="E31" s="6" t="str">
        <f>CONCATENATE(D31,1)</f>
        <v>41Q71G1</v>
      </c>
      <c r="F31" s="7" t="s">
        <v>17</v>
      </c>
      <c r="G31" s="6">
        <v>-1</v>
      </c>
      <c r="H31" s="6">
        <v>20250301</v>
      </c>
      <c r="I31" s="6" t="str">
        <f>TEXT(DATE(LEFT(H31,4), MID(H31,5,2), RIGHT(H31,2)), "M/d/yyyy")</f>
        <v>3/1/2025</v>
      </c>
      <c r="J31" s="9">
        <f>DATE(YEAR(I31), MONTH(I31) +1, DAY(I31))</f>
        <v>45748</v>
      </c>
      <c r="K31" s="6" t="s">
        <v>18</v>
      </c>
      <c r="L31" s="8">
        <v>-192.18</v>
      </c>
      <c r="M31" s="8">
        <v>3</v>
      </c>
      <c r="N31" s="8">
        <v>-3</v>
      </c>
      <c r="O31" t="s">
        <v>235</v>
      </c>
    </row>
    <row r="32" spans="1:15" ht="15.75" x14ac:dyDescent="0.25">
      <c r="A32" s="5" t="s">
        <v>13</v>
      </c>
      <c r="B32" s="6">
        <v>20411454</v>
      </c>
      <c r="C32" s="6" t="s">
        <v>45</v>
      </c>
      <c r="D32" s="6" t="s">
        <v>46</v>
      </c>
      <c r="E32" s="6" t="str">
        <f>CONCATENATE(D32,1)</f>
        <v>41Q71G1</v>
      </c>
      <c r="F32" s="7" t="s">
        <v>17</v>
      </c>
      <c r="G32" s="6">
        <v>1</v>
      </c>
      <c r="H32" s="6">
        <v>20250201</v>
      </c>
      <c r="I32" s="6" t="str">
        <f>TEXT(DATE(LEFT(H32,4), MID(H32,5,2), RIGHT(H32,2)), "M/d/yyyy")</f>
        <v>2/1/2025</v>
      </c>
      <c r="J32" s="9">
        <f>DATE(YEAR(I32), MONTH(I32) +1, DAY(I32))</f>
        <v>45717</v>
      </c>
      <c r="K32" s="6" t="s">
        <v>18</v>
      </c>
      <c r="L32" s="8">
        <v>192.18</v>
      </c>
      <c r="M32" s="8">
        <v>3</v>
      </c>
      <c r="N32" s="8">
        <v>3</v>
      </c>
      <c r="O32" t="s">
        <v>235</v>
      </c>
    </row>
    <row r="33" spans="1:15" ht="15.75" x14ac:dyDescent="0.25">
      <c r="A33" s="5" t="s">
        <v>13</v>
      </c>
      <c r="B33" s="6">
        <v>20411454</v>
      </c>
      <c r="C33" s="6" t="s">
        <v>45</v>
      </c>
      <c r="D33" s="6" t="s">
        <v>46</v>
      </c>
      <c r="E33" s="6" t="str">
        <f>CONCATENATE(D33,1)</f>
        <v>41Q71G1</v>
      </c>
      <c r="F33" s="7" t="s">
        <v>17</v>
      </c>
      <c r="G33" s="6">
        <v>1</v>
      </c>
      <c r="H33" s="6">
        <v>20250301</v>
      </c>
      <c r="I33" s="6" t="str">
        <f>TEXT(DATE(LEFT(H33,4), MID(H33,5,2), RIGHT(H33,2)), "M/d/yyyy")</f>
        <v>3/1/2025</v>
      </c>
      <c r="J33" s="9">
        <f>DATE(YEAR(I33), MONTH(I33) +1, DAY(I33))</f>
        <v>45748</v>
      </c>
      <c r="K33" s="6" t="s">
        <v>18</v>
      </c>
      <c r="L33" s="8">
        <v>192.18</v>
      </c>
      <c r="M33" s="8">
        <v>3</v>
      </c>
      <c r="N33" s="8">
        <v>3</v>
      </c>
      <c r="O33" t="s">
        <v>235</v>
      </c>
    </row>
    <row r="34" spans="1:15" ht="15.75" x14ac:dyDescent="0.25">
      <c r="A34" s="5" t="s">
        <v>13</v>
      </c>
      <c r="B34" s="6">
        <v>20411454</v>
      </c>
      <c r="C34" s="6" t="s">
        <v>45</v>
      </c>
      <c r="D34" s="6" t="s">
        <v>46</v>
      </c>
      <c r="E34" s="6" t="str">
        <f>CONCATENATE(D34,1)</f>
        <v>41Q71G1</v>
      </c>
      <c r="F34" s="7" t="s">
        <v>17</v>
      </c>
      <c r="G34" s="6">
        <v>1</v>
      </c>
      <c r="H34" s="6">
        <v>20250401</v>
      </c>
      <c r="I34" s="6" t="str">
        <f>TEXT(DATE(LEFT(H34,4), MID(H34,5,2), RIGHT(H34,2)), "M/d/yyyy")</f>
        <v>4/1/2025</v>
      </c>
      <c r="J34" s="9">
        <f>DATE(YEAR(I34), MONTH(I34) +1, DAY(I34))</f>
        <v>45778</v>
      </c>
      <c r="K34" s="6" t="s">
        <v>18</v>
      </c>
      <c r="L34" s="8">
        <v>192.18</v>
      </c>
      <c r="M34" s="8">
        <v>3</v>
      </c>
      <c r="N34" s="8">
        <v>3</v>
      </c>
      <c r="O34" t="s">
        <v>235</v>
      </c>
    </row>
    <row r="35" spans="1:15" ht="15.75" x14ac:dyDescent="0.25">
      <c r="A35" s="5" t="s">
        <v>13</v>
      </c>
      <c r="B35" s="6">
        <v>20411454</v>
      </c>
      <c r="C35" s="6" t="s">
        <v>183</v>
      </c>
      <c r="D35" s="6" t="s">
        <v>184</v>
      </c>
      <c r="E35" s="6" t="str">
        <f>CONCATENATE(D35,1)</f>
        <v>86QL761</v>
      </c>
      <c r="F35" s="7" t="s">
        <v>86</v>
      </c>
      <c r="G35" s="6">
        <v>-1</v>
      </c>
      <c r="H35" s="6">
        <v>20250201</v>
      </c>
      <c r="I35" s="6" t="str">
        <f>TEXT(DATE(LEFT(H35,4), MID(H35,5,2), RIGHT(H35,2)), "M/d/yyyy")</f>
        <v>2/1/2025</v>
      </c>
      <c r="J35" s="9">
        <f>DATE(YEAR(I35), MONTH(I35) +1, DAY(I35))</f>
        <v>45717</v>
      </c>
      <c r="K35" s="6" t="s">
        <v>18</v>
      </c>
      <c r="L35" s="8">
        <v>-387.5</v>
      </c>
      <c r="M35" s="8">
        <v>3</v>
      </c>
      <c r="N35" s="8">
        <v>-3</v>
      </c>
      <c r="O35" t="s">
        <v>235</v>
      </c>
    </row>
    <row r="36" spans="1:15" ht="15.75" x14ac:dyDescent="0.25">
      <c r="A36" s="5" t="s">
        <v>13</v>
      </c>
      <c r="B36" s="6">
        <v>20411454</v>
      </c>
      <c r="C36" s="6" t="s">
        <v>183</v>
      </c>
      <c r="D36" s="6" t="s">
        <v>184</v>
      </c>
      <c r="E36" s="6" t="str">
        <f>CONCATENATE(D36,1)</f>
        <v>86QL761</v>
      </c>
      <c r="F36" s="7" t="s">
        <v>86</v>
      </c>
      <c r="G36" s="6">
        <v>-1</v>
      </c>
      <c r="H36" s="6">
        <v>20250301</v>
      </c>
      <c r="I36" s="6" t="str">
        <f>TEXT(DATE(LEFT(H36,4), MID(H36,5,2), RIGHT(H36,2)), "M/d/yyyy")</f>
        <v>3/1/2025</v>
      </c>
      <c r="J36" s="9">
        <f>DATE(YEAR(I36), MONTH(I36) +1, DAY(I36))</f>
        <v>45748</v>
      </c>
      <c r="K36" s="6" t="s">
        <v>18</v>
      </c>
      <c r="L36" s="8">
        <v>-387.5</v>
      </c>
      <c r="M36" s="8">
        <v>3</v>
      </c>
      <c r="N36" s="8">
        <v>-3</v>
      </c>
      <c r="O36" t="s">
        <v>235</v>
      </c>
    </row>
    <row r="37" spans="1:15" ht="15.75" x14ac:dyDescent="0.25">
      <c r="A37" s="5" t="s">
        <v>13</v>
      </c>
      <c r="B37" s="6">
        <v>20411454</v>
      </c>
      <c r="C37" s="6" t="s">
        <v>183</v>
      </c>
      <c r="D37" s="6" t="s">
        <v>184</v>
      </c>
      <c r="E37" s="6" t="str">
        <f>CONCATENATE(D37,1)</f>
        <v>86QL761</v>
      </c>
      <c r="F37" s="7" t="s">
        <v>86</v>
      </c>
      <c r="G37" s="6">
        <v>1</v>
      </c>
      <c r="H37" s="6">
        <v>20250201</v>
      </c>
      <c r="I37" s="6" t="str">
        <f>TEXT(DATE(LEFT(H37,4), MID(H37,5,2), RIGHT(H37,2)), "M/d/yyyy")</f>
        <v>2/1/2025</v>
      </c>
      <c r="J37" s="9">
        <f>DATE(YEAR(I37), MONTH(I37) +1, DAY(I37))</f>
        <v>45717</v>
      </c>
      <c r="K37" s="6" t="s">
        <v>18</v>
      </c>
      <c r="L37" s="8">
        <v>387.5</v>
      </c>
      <c r="M37" s="8">
        <v>3</v>
      </c>
      <c r="N37" s="8">
        <v>3</v>
      </c>
      <c r="O37" t="s">
        <v>235</v>
      </c>
    </row>
    <row r="38" spans="1:15" ht="15.75" x14ac:dyDescent="0.25">
      <c r="A38" s="5" t="s">
        <v>13</v>
      </c>
      <c r="B38" s="6">
        <v>20411454</v>
      </c>
      <c r="C38" s="6" t="s">
        <v>183</v>
      </c>
      <c r="D38" s="6" t="s">
        <v>184</v>
      </c>
      <c r="E38" s="6" t="str">
        <f>CONCATENATE(D38,1)</f>
        <v>86QL761</v>
      </c>
      <c r="F38" s="7" t="s">
        <v>86</v>
      </c>
      <c r="G38" s="6">
        <v>1</v>
      </c>
      <c r="H38" s="6">
        <v>20250301</v>
      </c>
      <c r="I38" s="6" t="str">
        <f>TEXT(DATE(LEFT(H38,4), MID(H38,5,2), RIGHT(H38,2)), "M/d/yyyy")</f>
        <v>3/1/2025</v>
      </c>
      <c r="J38" s="9">
        <f>DATE(YEAR(I38), MONTH(I38) +1, DAY(I38))</f>
        <v>45748</v>
      </c>
      <c r="K38" s="6" t="s">
        <v>18</v>
      </c>
      <c r="L38" s="8">
        <v>387.5</v>
      </c>
      <c r="M38" s="8">
        <v>3</v>
      </c>
      <c r="N38" s="8">
        <v>3</v>
      </c>
      <c r="O38" t="s">
        <v>235</v>
      </c>
    </row>
    <row r="39" spans="1:15" ht="15.75" x14ac:dyDescent="0.25">
      <c r="A39" s="5" t="s">
        <v>13</v>
      </c>
      <c r="B39" s="6">
        <v>20411454</v>
      </c>
      <c r="C39" s="6" t="s">
        <v>183</v>
      </c>
      <c r="D39" s="6" t="s">
        <v>184</v>
      </c>
      <c r="E39" s="6" t="str">
        <f>CONCATENATE(D39,1)</f>
        <v>86QL761</v>
      </c>
      <c r="F39" s="7" t="s">
        <v>86</v>
      </c>
      <c r="G39" s="6">
        <v>1</v>
      </c>
      <c r="H39" s="6">
        <v>20250401</v>
      </c>
      <c r="I39" s="6" t="str">
        <f>TEXT(DATE(LEFT(H39,4), MID(H39,5,2), RIGHT(H39,2)), "M/d/yyyy")</f>
        <v>4/1/2025</v>
      </c>
      <c r="J39" s="9">
        <f>DATE(YEAR(I39), MONTH(I39) +1, DAY(I39))</f>
        <v>45778</v>
      </c>
      <c r="K39" s="6" t="s">
        <v>18</v>
      </c>
      <c r="L39" s="8">
        <v>387.5</v>
      </c>
      <c r="M39" s="8">
        <v>3</v>
      </c>
      <c r="N39" s="8">
        <v>3</v>
      </c>
      <c r="O39" t="s">
        <v>235</v>
      </c>
    </row>
    <row r="40" spans="1:15" ht="15.75" x14ac:dyDescent="0.25">
      <c r="A40" s="5" t="s">
        <v>13</v>
      </c>
      <c r="B40" s="6">
        <v>20411454</v>
      </c>
      <c r="C40" s="6" t="s">
        <v>195</v>
      </c>
      <c r="D40" s="6" t="s">
        <v>196</v>
      </c>
      <c r="E40" s="6" t="str">
        <f>CONCATENATE(D40,1)</f>
        <v>41Q3R21</v>
      </c>
      <c r="F40" s="7" t="s">
        <v>86</v>
      </c>
      <c r="G40" s="6">
        <v>3</v>
      </c>
      <c r="H40" s="6">
        <v>20250201</v>
      </c>
      <c r="I40" s="6" t="str">
        <f>TEXT(DATE(LEFT(H40,4), MID(H40,5,2), RIGHT(H40,2)), "M/d/yyyy")</f>
        <v>2/1/2025</v>
      </c>
      <c r="J40" s="9">
        <f>DATE(YEAR(I40), MONTH(I40) +1, DAY(I40))</f>
        <v>45717</v>
      </c>
      <c r="K40" s="6" t="s">
        <v>18</v>
      </c>
      <c r="L40" s="8">
        <v>1604.64</v>
      </c>
      <c r="M40" s="8">
        <v>3</v>
      </c>
      <c r="N40" s="8">
        <v>9</v>
      </c>
      <c r="O40" t="s">
        <v>235</v>
      </c>
    </row>
    <row r="41" spans="1:15" ht="15.75" x14ac:dyDescent="0.25">
      <c r="A41" s="5" t="s">
        <v>13</v>
      </c>
      <c r="B41" s="6">
        <v>20411454</v>
      </c>
      <c r="C41" s="6" t="s">
        <v>195</v>
      </c>
      <c r="D41" s="6" t="s">
        <v>196</v>
      </c>
      <c r="E41" s="6" t="str">
        <f>CONCATENATE(D41,1)</f>
        <v>41Q3R21</v>
      </c>
      <c r="F41" s="7" t="s">
        <v>86</v>
      </c>
      <c r="G41" s="6">
        <v>3</v>
      </c>
      <c r="H41" s="6">
        <v>20250301</v>
      </c>
      <c r="I41" s="6" t="str">
        <f>TEXT(DATE(LEFT(H41,4), MID(H41,5,2), RIGHT(H41,2)), "M/d/yyyy")</f>
        <v>3/1/2025</v>
      </c>
      <c r="J41" s="9">
        <f>DATE(YEAR(I41), MONTH(I41) +1, DAY(I41))</f>
        <v>45748</v>
      </c>
      <c r="K41" s="6" t="s">
        <v>18</v>
      </c>
      <c r="L41" s="8">
        <v>1604.64</v>
      </c>
      <c r="M41" s="8">
        <v>3</v>
      </c>
      <c r="N41" s="8">
        <v>9</v>
      </c>
      <c r="O41" t="s">
        <v>235</v>
      </c>
    </row>
    <row r="42" spans="1:15" ht="15.75" x14ac:dyDescent="0.25">
      <c r="A42" s="5" t="s">
        <v>13</v>
      </c>
      <c r="B42" s="6">
        <v>20411454</v>
      </c>
      <c r="C42" s="6" t="s">
        <v>195</v>
      </c>
      <c r="D42" s="6" t="s">
        <v>196</v>
      </c>
      <c r="E42" s="6" t="str">
        <f>CONCATENATE(D42,1)</f>
        <v>41Q3R21</v>
      </c>
      <c r="F42" s="7" t="s">
        <v>86</v>
      </c>
      <c r="G42" s="6">
        <v>3</v>
      </c>
      <c r="H42" s="6">
        <v>20241201</v>
      </c>
      <c r="I42" s="6" t="str">
        <f>TEXT(DATE(LEFT(H42,4), MID(H42,5,2), RIGHT(H42,2)), "M/d/yyyy")</f>
        <v>12/1/2024</v>
      </c>
      <c r="J42" s="9">
        <f>DATE(YEAR(I42), MONTH(I42) +1, DAY(I42))</f>
        <v>45658</v>
      </c>
      <c r="K42" s="6" t="s">
        <v>18</v>
      </c>
      <c r="L42" s="8">
        <v>1528.14</v>
      </c>
      <c r="M42" s="8">
        <v>3</v>
      </c>
      <c r="N42" s="8">
        <v>9</v>
      </c>
      <c r="O42" t="s">
        <v>235</v>
      </c>
    </row>
    <row r="43" spans="1:15" ht="15.75" x14ac:dyDescent="0.25">
      <c r="A43" s="5" t="s">
        <v>13</v>
      </c>
      <c r="B43" s="6">
        <v>20411454</v>
      </c>
      <c r="C43" s="6" t="s">
        <v>195</v>
      </c>
      <c r="D43" s="6" t="s">
        <v>196</v>
      </c>
      <c r="E43" s="6" t="str">
        <f>CONCATENATE(D43,1)</f>
        <v>41Q3R21</v>
      </c>
      <c r="F43" s="7" t="s">
        <v>86</v>
      </c>
      <c r="G43" s="6">
        <v>3</v>
      </c>
      <c r="H43" s="6">
        <v>20250101</v>
      </c>
      <c r="I43" s="6" t="str">
        <f>TEXT(DATE(LEFT(H43,4), MID(H43,5,2), RIGHT(H43,2)), "M/d/yyyy")</f>
        <v>1/1/2025</v>
      </c>
      <c r="J43" s="9">
        <f>DATE(YEAR(I43), MONTH(I43) +1, DAY(I43))</f>
        <v>45689</v>
      </c>
      <c r="K43" s="6" t="s">
        <v>18</v>
      </c>
      <c r="L43" s="8">
        <v>1604.64</v>
      </c>
      <c r="M43" s="8">
        <v>3</v>
      </c>
      <c r="N43" s="8">
        <v>9</v>
      </c>
      <c r="O43" t="s">
        <v>235</v>
      </c>
    </row>
    <row r="44" spans="1:15" ht="15.75" x14ac:dyDescent="0.25">
      <c r="A44" s="5" t="s">
        <v>13</v>
      </c>
      <c r="B44" s="6">
        <v>20411454</v>
      </c>
      <c r="C44" s="6" t="s">
        <v>87</v>
      </c>
      <c r="D44" s="6" t="s">
        <v>88</v>
      </c>
      <c r="E44" s="6" t="str">
        <f>CONCATENATE(D44,1)</f>
        <v>01R6J91</v>
      </c>
      <c r="F44" s="7" t="s">
        <v>86</v>
      </c>
      <c r="G44" s="6">
        <v>-1</v>
      </c>
      <c r="H44" s="6">
        <v>20250201</v>
      </c>
      <c r="I44" s="6" t="str">
        <f>TEXT(DATE(LEFT(H44,4), MID(H44,5,2), RIGHT(H44,2)), "M/d/yyyy")</f>
        <v>2/1/2025</v>
      </c>
      <c r="J44" s="9">
        <f>DATE(YEAR(I44), MONTH(I44) +1, DAY(I44))</f>
        <v>45717</v>
      </c>
      <c r="K44" s="6" t="s">
        <v>18</v>
      </c>
      <c r="L44" s="8">
        <v>-51.56</v>
      </c>
      <c r="M44" s="8">
        <v>3</v>
      </c>
      <c r="N44" s="8">
        <v>-3</v>
      </c>
      <c r="O44" t="s">
        <v>235</v>
      </c>
    </row>
    <row r="45" spans="1:15" ht="15.75" x14ac:dyDescent="0.25">
      <c r="A45" s="5" t="s">
        <v>13</v>
      </c>
      <c r="B45" s="6">
        <v>20411454</v>
      </c>
      <c r="C45" s="6" t="s">
        <v>87</v>
      </c>
      <c r="D45" s="6" t="s">
        <v>88</v>
      </c>
      <c r="E45" s="6" t="str">
        <f>CONCATENATE(D45,1)</f>
        <v>01R6J91</v>
      </c>
      <c r="F45" s="7" t="s">
        <v>86</v>
      </c>
      <c r="G45" s="6">
        <v>-1</v>
      </c>
      <c r="H45" s="6">
        <v>20250301</v>
      </c>
      <c r="I45" s="6" t="str">
        <f>TEXT(DATE(LEFT(H45,4), MID(H45,5,2), RIGHT(H45,2)), "M/d/yyyy")</f>
        <v>3/1/2025</v>
      </c>
      <c r="J45" s="9">
        <f>DATE(YEAR(I45), MONTH(I45) +1, DAY(I45))</f>
        <v>45748</v>
      </c>
      <c r="K45" s="6" t="s">
        <v>18</v>
      </c>
      <c r="L45" s="8">
        <v>-51.56</v>
      </c>
      <c r="M45" s="8">
        <v>3</v>
      </c>
      <c r="N45" s="8">
        <v>-3</v>
      </c>
      <c r="O45" t="s">
        <v>235</v>
      </c>
    </row>
    <row r="46" spans="1:15" ht="15.75" x14ac:dyDescent="0.25">
      <c r="A46" s="5" t="s">
        <v>13</v>
      </c>
      <c r="B46" s="6">
        <v>20411454</v>
      </c>
      <c r="C46" s="6" t="s">
        <v>87</v>
      </c>
      <c r="D46" s="6" t="s">
        <v>88</v>
      </c>
      <c r="E46" s="6" t="str">
        <f>CONCATENATE(D46,1)</f>
        <v>01R6J91</v>
      </c>
      <c r="F46" s="7" t="s">
        <v>86</v>
      </c>
      <c r="G46" s="6">
        <v>1</v>
      </c>
      <c r="H46" s="6">
        <v>20250201</v>
      </c>
      <c r="I46" s="6" t="str">
        <f>TEXT(DATE(LEFT(H46,4), MID(H46,5,2), RIGHT(H46,2)), "M/d/yyyy")</f>
        <v>2/1/2025</v>
      </c>
      <c r="J46" s="9">
        <f>DATE(YEAR(I46), MONTH(I46) +1, DAY(I46))</f>
        <v>45717</v>
      </c>
      <c r="K46" s="6" t="s">
        <v>18</v>
      </c>
      <c r="L46" s="8">
        <v>51.56</v>
      </c>
      <c r="M46" s="8">
        <v>3</v>
      </c>
      <c r="N46" s="8">
        <v>3</v>
      </c>
      <c r="O46" t="s">
        <v>235</v>
      </c>
    </row>
    <row r="47" spans="1:15" ht="15.75" x14ac:dyDescent="0.25">
      <c r="A47" s="5" t="s">
        <v>13</v>
      </c>
      <c r="B47" s="6">
        <v>20411454</v>
      </c>
      <c r="C47" s="6" t="s">
        <v>87</v>
      </c>
      <c r="D47" s="6" t="s">
        <v>88</v>
      </c>
      <c r="E47" s="6" t="str">
        <f>CONCATENATE(D47,1)</f>
        <v>01R6J91</v>
      </c>
      <c r="F47" s="7" t="s">
        <v>86</v>
      </c>
      <c r="G47" s="6">
        <v>1</v>
      </c>
      <c r="H47" s="6">
        <v>20250301</v>
      </c>
      <c r="I47" s="6" t="str">
        <f>TEXT(DATE(LEFT(H47,4), MID(H47,5,2), RIGHT(H47,2)), "M/d/yyyy")</f>
        <v>3/1/2025</v>
      </c>
      <c r="J47" s="9">
        <f>DATE(YEAR(I47), MONTH(I47) +1, DAY(I47))</f>
        <v>45748</v>
      </c>
      <c r="K47" s="6" t="s">
        <v>18</v>
      </c>
      <c r="L47" s="8">
        <v>51.56</v>
      </c>
      <c r="M47" s="8">
        <v>3</v>
      </c>
      <c r="N47" s="8">
        <v>3</v>
      </c>
      <c r="O47" t="s">
        <v>235</v>
      </c>
    </row>
    <row r="48" spans="1:15" ht="15.75" x14ac:dyDescent="0.25">
      <c r="A48" s="5" t="s">
        <v>13</v>
      </c>
      <c r="B48" s="6">
        <v>20411454</v>
      </c>
      <c r="C48" s="6" t="s">
        <v>87</v>
      </c>
      <c r="D48" s="6" t="s">
        <v>88</v>
      </c>
      <c r="E48" s="6" t="str">
        <f>CONCATENATE(D48,1)</f>
        <v>01R6J91</v>
      </c>
      <c r="F48" s="7" t="s">
        <v>86</v>
      </c>
      <c r="G48" s="6">
        <v>1</v>
      </c>
      <c r="H48" s="6">
        <v>20250401</v>
      </c>
      <c r="I48" s="6" t="str">
        <f>TEXT(DATE(LEFT(H48,4), MID(H48,5,2), RIGHT(H48,2)), "M/d/yyyy")</f>
        <v>4/1/2025</v>
      </c>
      <c r="J48" s="9">
        <f>DATE(YEAR(I48), MONTH(I48) +1, DAY(I48))</f>
        <v>45778</v>
      </c>
      <c r="K48" s="6" t="s">
        <v>18</v>
      </c>
      <c r="L48" s="8">
        <v>51.56</v>
      </c>
      <c r="M48" s="8">
        <v>3</v>
      </c>
      <c r="N48" s="8">
        <v>3</v>
      </c>
      <c r="O48" t="s">
        <v>235</v>
      </c>
    </row>
    <row r="49" spans="1:15" ht="15.75" x14ac:dyDescent="0.25">
      <c r="A49" s="5" t="s">
        <v>13</v>
      </c>
      <c r="B49" s="6">
        <v>20411454</v>
      </c>
      <c r="C49" s="6" t="s">
        <v>97</v>
      </c>
      <c r="D49" s="6" t="s">
        <v>98</v>
      </c>
      <c r="E49" s="6" t="str">
        <f>CONCATENATE(D49,1)</f>
        <v>52N5M31</v>
      </c>
      <c r="F49" s="7" t="s">
        <v>86</v>
      </c>
      <c r="G49" s="6">
        <v>-1</v>
      </c>
      <c r="H49" s="6">
        <v>20250201</v>
      </c>
      <c r="I49" s="6" t="str">
        <f>TEXT(DATE(LEFT(H49,4), MID(H49,5,2), RIGHT(H49,2)), "M/d/yyyy")</f>
        <v>2/1/2025</v>
      </c>
      <c r="J49" s="9">
        <f>DATE(YEAR(I49), MONTH(I49) +1, DAY(I49))</f>
        <v>45717</v>
      </c>
      <c r="K49" s="6" t="s">
        <v>18</v>
      </c>
      <c r="L49" s="8">
        <v>-1</v>
      </c>
      <c r="M49" s="8">
        <v>3</v>
      </c>
      <c r="N49" s="8">
        <v>-3</v>
      </c>
      <c r="O49" t="s">
        <v>235</v>
      </c>
    </row>
    <row r="50" spans="1:15" ht="15.75" x14ac:dyDescent="0.25">
      <c r="A50" s="5" t="s">
        <v>13</v>
      </c>
      <c r="B50" s="6">
        <v>20411454</v>
      </c>
      <c r="C50" s="6" t="s">
        <v>97</v>
      </c>
      <c r="D50" s="6" t="s">
        <v>98</v>
      </c>
      <c r="E50" s="6" t="str">
        <f>CONCATENATE(D50,1)</f>
        <v>52N5M31</v>
      </c>
      <c r="F50" s="7" t="s">
        <v>86</v>
      </c>
      <c r="G50" s="6">
        <v>1</v>
      </c>
      <c r="H50" s="6">
        <v>20250201</v>
      </c>
      <c r="I50" s="6" t="str">
        <f>TEXT(DATE(LEFT(H50,4), MID(H50,5,2), RIGHT(H50,2)), "M/d/yyyy")</f>
        <v>2/1/2025</v>
      </c>
      <c r="J50" s="9">
        <f>DATE(YEAR(I50), MONTH(I50) +1, DAY(I50))</f>
        <v>45717</v>
      </c>
      <c r="K50" s="6" t="s">
        <v>18</v>
      </c>
      <c r="L50" s="8">
        <v>1</v>
      </c>
      <c r="M50" s="8">
        <v>3</v>
      </c>
      <c r="N50" s="8">
        <v>3</v>
      </c>
      <c r="O50" t="s">
        <v>235</v>
      </c>
    </row>
    <row r="51" spans="1:15" ht="15.75" x14ac:dyDescent="0.25">
      <c r="A51" s="5" t="s">
        <v>13</v>
      </c>
      <c r="B51" s="6">
        <v>20411454</v>
      </c>
      <c r="C51" s="6" t="s">
        <v>97</v>
      </c>
      <c r="D51" s="6" t="s">
        <v>98</v>
      </c>
      <c r="E51" s="6" t="str">
        <f>CONCATENATE(D51,1)</f>
        <v>52N5M31</v>
      </c>
      <c r="F51" s="7" t="s">
        <v>86</v>
      </c>
      <c r="G51" s="6">
        <v>1</v>
      </c>
      <c r="H51" s="6">
        <v>20250301</v>
      </c>
      <c r="I51" s="6" t="str">
        <f>TEXT(DATE(LEFT(H51,4), MID(H51,5,2), RIGHT(H51,2)), "M/d/yyyy")</f>
        <v>3/1/2025</v>
      </c>
      <c r="J51" s="9">
        <f>DATE(YEAR(I51), MONTH(I51) +1, DAY(I51))</f>
        <v>45748</v>
      </c>
      <c r="K51" s="6" t="s">
        <v>18</v>
      </c>
      <c r="L51" s="8">
        <v>1</v>
      </c>
      <c r="M51" s="8">
        <v>3</v>
      </c>
      <c r="N51" s="8">
        <v>3</v>
      </c>
      <c r="O51" t="s">
        <v>235</v>
      </c>
    </row>
    <row r="52" spans="1:15" ht="15.75" x14ac:dyDescent="0.25">
      <c r="A52" s="5" t="s">
        <v>13</v>
      </c>
      <c r="B52" s="6">
        <v>20411454</v>
      </c>
      <c r="C52" s="6" t="s">
        <v>227</v>
      </c>
      <c r="D52" s="6" t="s">
        <v>228</v>
      </c>
      <c r="E52" s="6" t="str">
        <f>CONCATENATE(D52,1)</f>
        <v>44T3C61</v>
      </c>
      <c r="F52" s="7" t="s">
        <v>17</v>
      </c>
      <c r="G52" s="6">
        <v>-6</v>
      </c>
      <c r="H52" s="6">
        <v>20250201</v>
      </c>
      <c r="I52" s="6" t="str">
        <f>TEXT(DATE(LEFT(H52,4), MID(H52,5,2), RIGHT(H52,2)), "M/d/yyyy")</f>
        <v>2/1/2025</v>
      </c>
      <c r="J52" s="9">
        <f>DATE(YEAR(I52), MONTH(I52) +1, DAY(I52))</f>
        <v>45717</v>
      </c>
      <c r="K52" s="6" t="s">
        <v>18</v>
      </c>
      <c r="L52" s="8">
        <v>-19.02</v>
      </c>
      <c r="M52" s="8">
        <v>3</v>
      </c>
      <c r="N52" s="8">
        <v>-18</v>
      </c>
      <c r="O52" t="s">
        <v>235</v>
      </c>
    </row>
    <row r="53" spans="1:15" ht="15.75" x14ac:dyDescent="0.25">
      <c r="A53" s="5" t="s">
        <v>13</v>
      </c>
      <c r="B53" s="6">
        <v>20411454</v>
      </c>
      <c r="C53" s="6" t="s">
        <v>227</v>
      </c>
      <c r="D53" s="6" t="s">
        <v>228</v>
      </c>
      <c r="E53" s="6" t="str">
        <f>CONCATENATE(D53,1)</f>
        <v>44T3C61</v>
      </c>
      <c r="F53" s="7" t="s">
        <v>17</v>
      </c>
      <c r="G53" s="6">
        <v>-6</v>
      </c>
      <c r="H53" s="6">
        <v>20250301</v>
      </c>
      <c r="I53" s="6" t="str">
        <f>TEXT(DATE(LEFT(H53,4), MID(H53,5,2), RIGHT(H53,2)), "M/d/yyyy")</f>
        <v>3/1/2025</v>
      </c>
      <c r="J53" s="9">
        <f>DATE(YEAR(I53), MONTH(I53) +1, DAY(I53))</f>
        <v>45748</v>
      </c>
      <c r="K53" s="6" t="s">
        <v>18</v>
      </c>
      <c r="L53" s="8">
        <v>-19.02</v>
      </c>
      <c r="M53" s="8">
        <v>3</v>
      </c>
      <c r="N53" s="8">
        <v>-18</v>
      </c>
      <c r="O53" t="s">
        <v>235</v>
      </c>
    </row>
    <row r="54" spans="1:15" ht="15.75" x14ac:dyDescent="0.25">
      <c r="A54" s="5" t="s">
        <v>13</v>
      </c>
      <c r="B54" s="6">
        <v>20411454</v>
      </c>
      <c r="C54" s="6" t="s">
        <v>227</v>
      </c>
      <c r="D54" s="6" t="s">
        <v>228</v>
      </c>
      <c r="E54" s="6" t="str">
        <f>CONCATENATE(D54,1)</f>
        <v>44T3C61</v>
      </c>
      <c r="F54" s="7" t="s">
        <v>17</v>
      </c>
      <c r="G54" s="6">
        <v>6</v>
      </c>
      <c r="H54" s="6">
        <v>20250201</v>
      </c>
      <c r="I54" s="6" t="str">
        <f>TEXT(DATE(LEFT(H54,4), MID(H54,5,2), RIGHT(H54,2)), "M/d/yyyy")</f>
        <v>2/1/2025</v>
      </c>
      <c r="J54" s="9">
        <f>DATE(YEAR(I54), MONTH(I54) +1, DAY(I54))</f>
        <v>45717</v>
      </c>
      <c r="K54" s="6" t="s">
        <v>18</v>
      </c>
      <c r="L54" s="8">
        <v>19.02</v>
      </c>
      <c r="M54" s="8">
        <v>3</v>
      </c>
      <c r="N54" s="8">
        <v>18</v>
      </c>
      <c r="O54" t="s">
        <v>235</v>
      </c>
    </row>
    <row r="55" spans="1:15" ht="15.75" x14ac:dyDescent="0.25">
      <c r="A55" s="5" t="s">
        <v>13</v>
      </c>
      <c r="B55" s="6">
        <v>20411454</v>
      </c>
      <c r="C55" s="6" t="s">
        <v>227</v>
      </c>
      <c r="D55" s="6" t="s">
        <v>228</v>
      </c>
      <c r="E55" s="6" t="str">
        <f>CONCATENATE(D55,1)</f>
        <v>44T3C61</v>
      </c>
      <c r="F55" s="7" t="s">
        <v>17</v>
      </c>
      <c r="G55" s="6">
        <v>6</v>
      </c>
      <c r="H55" s="6">
        <v>20250301</v>
      </c>
      <c r="I55" s="6" t="str">
        <f>TEXT(DATE(LEFT(H55,4), MID(H55,5,2), RIGHT(H55,2)), "M/d/yyyy")</f>
        <v>3/1/2025</v>
      </c>
      <c r="J55" s="9">
        <f>DATE(YEAR(I55), MONTH(I55) +1, DAY(I55))</f>
        <v>45748</v>
      </c>
      <c r="K55" s="6" t="s">
        <v>18</v>
      </c>
      <c r="L55" s="8">
        <v>19.02</v>
      </c>
      <c r="M55" s="8">
        <v>3</v>
      </c>
      <c r="N55" s="8">
        <v>18</v>
      </c>
      <c r="O55" t="s">
        <v>235</v>
      </c>
    </row>
    <row r="56" spans="1:15" ht="15.75" x14ac:dyDescent="0.25">
      <c r="A56" s="5" t="s">
        <v>13</v>
      </c>
      <c r="B56" s="6">
        <v>20411454</v>
      </c>
      <c r="C56" s="6" t="s">
        <v>227</v>
      </c>
      <c r="D56" s="6" t="s">
        <v>228</v>
      </c>
      <c r="E56" s="6" t="str">
        <f>CONCATENATE(D56,1)</f>
        <v>44T3C61</v>
      </c>
      <c r="F56" s="7" t="s">
        <v>17</v>
      </c>
      <c r="G56" s="6">
        <v>6</v>
      </c>
      <c r="H56" s="6">
        <v>20250401</v>
      </c>
      <c r="I56" s="6" t="str">
        <f>TEXT(DATE(LEFT(H56,4), MID(H56,5,2), RIGHT(H56,2)), "M/d/yyyy")</f>
        <v>4/1/2025</v>
      </c>
      <c r="J56" s="9">
        <f>DATE(YEAR(I56), MONTH(I56) +1, DAY(I56))</f>
        <v>45778</v>
      </c>
      <c r="K56" s="6" t="s">
        <v>18</v>
      </c>
      <c r="L56" s="8">
        <v>19.02</v>
      </c>
      <c r="M56" s="8">
        <v>3</v>
      </c>
      <c r="N56" s="8">
        <v>18</v>
      </c>
      <c r="O56" t="s">
        <v>235</v>
      </c>
    </row>
    <row r="57" spans="1:15" ht="15.75" x14ac:dyDescent="0.25">
      <c r="A57" s="5" t="s">
        <v>13</v>
      </c>
      <c r="B57" s="6">
        <v>20411454</v>
      </c>
      <c r="C57" s="6" t="s">
        <v>114</v>
      </c>
      <c r="D57" s="6" t="s">
        <v>115</v>
      </c>
      <c r="E57" s="6" t="str">
        <f>CONCATENATE(D57,1)</f>
        <v>63P29C1</v>
      </c>
      <c r="F57" s="7" t="s">
        <v>17</v>
      </c>
      <c r="G57" s="6">
        <v>-2</v>
      </c>
      <c r="H57" s="6">
        <v>20250201</v>
      </c>
      <c r="I57" s="6" t="str">
        <f>TEXT(DATE(LEFT(H57,4), MID(H57,5,2), RIGHT(H57,2)), "M/d/yyyy")</f>
        <v>2/1/2025</v>
      </c>
      <c r="J57" s="9">
        <f>DATE(YEAR(I57), MONTH(I57) +1, DAY(I57))</f>
        <v>45717</v>
      </c>
      <c r="K57" s="6" t="s">
        <v>18</v>
      </c>
      <c r="L57" s="8">
        <v>-508.69</v>
      </c>
      <c r="M57" s="8">
        <v>3</v>
      </c>
      <c r="N57" s="8">
        <v>-6</v>
      </c>
      <c r="O57" t="s">
        <v>235</v>
      </c>
    </row>
    <row r="58" spans="1:15" ht="15.75" x14ac:dyDescent="0.25">
      <c r="A58" s="5" t="s">
        <v>13</v>
      </c>
      <c r="B58" s="6">
        <v>20411454</v>
      </c>
      <c r="C58" s="6" t="s">
        <v>114</v>
      </c>
      <c r="D58" s="6" t="s">
        <v>115</v>
      </c>
      <c r="E58" s="6" t="str">
        <f>CONCATENATE(D58,1)</f>
        <v>63P29C1</v>
      </c>
      <c r="F58" s="7" t="s">
        <v>17</v>
      </c>
      <c r="G58" s="6">
        <v>-2</v>
      </c>
      <c r="H58" s="6">
        <v>20250301</v>
      </c>
      <c r="I58" s="6" t="str">
        <f>TEXT(DATE(LEFT(H58,4), MID(H58,5,2), RIGHT(H58,2)), "M/d/yyyy")</f>
        <v>3/1/2025</v>
      </c>
      <c r="J58" s="9">
        <f>DATE(YEAR(I58), MONTH(I58) +1, DAY(I58))</f>
        <v>45748</v>
      </c>
      <c r="K58" s="6" t="s">
        <v>18</v>
      </c>
      <c r="L58" s="8">
        <v>-508.69</v>
      </c>
      <c r="M58" s="8">
        <v>3</v>
      </c>
      <c r="N58" s="8">
        <v>-6</v>
      </c>
      <c r="O58" t="s">
        <v>235</v>
      </c>
    </row>
    <row r="59" spans="1:15" ht="15.75" x14ac:dyDescent="0.25">
      <c r="A59" s="5" t="s">
        <v>13</v>
      </c>
      <c r="B59" s="6">
        <v>20411454</v>
      </c>
      <c r="C59" s="6" t="s">
        <v>114</v>
      </c>
      <c r="D59" s="6" t="s">
        <v>115</v>
      </c>
      <c r="E59" s="6" t="str">
        <f>CONCATENATE(D59,1)</f>
        <v>63P29C1</v>
      </c>
      <c r="F59" s="7" t="s">
        <v>17</v>
      </c>
      <c r="G59" s="6">
        <v>2</v>
      </c>
      <c r="H59" s="6">
        <v>20250201</v>
      </c>
      <c r="I59" s="6" t="str">
        <f>TEXT(DATE(LEFT(H59,4), MID(H59,5,2), RIGHT(H59,2)), "M/d/yyyy")</f>
        <v>2/1/2025</v>
      </c>
      <c r="J59" s="9">
        <f>DATE(YEAR(I59), MONTH(I59) +1, DAY(I59))</f>
        <v>45717</v>
      </c>
      <c r="K59" s="6" t="s">
        <v>18</v>
      </c>
      <c r="L59" s="8">
        <v>508.69</v>
      </c>
      <c r="M59" s="8">
        <v>3</v>
      </c>
      <c r="N59" s="8">
        <v>6</v>
      </c>
      <c r="O59" t="s">
        <v>235</v>
      </c>
    </row>
    <row r="60" spans="1:15" ht="15.75" x14ac:dyDescent="0.25">
      <c r="A60" s="5" t="s">
        <v>13</v>
      </c>
      <c r="B60" s="6">
        <v>20411454</v>
      </c>
      <c r="C60" s="6" t="s">
        <v>114</v>
      </c>
      <c r="D60" s="6" t="s">
        <v>115</v>
      </c>
      <c r="E60" s="6" t="str">
        <f>CONCATENATE(D60,1)</f>
        <v>63P29C1</v>
      </c>
      <c r="F60" s="7" t="s">
        <v>17</v>
      </c>
      <c r="G60" s="6">
        <v>2</v>
      </c>
      <c r="H60" s="6">
        <v>20250301</v>
      </c>
      <c r="I60" s="6" t="str">
        <f>TEXT(DATE(LEFT(H60,4), MID(H60,5,2), RIGHT(H60,2)), "M/d/yyyy")</f>
        <v>3/1/2025</v>
      </c>
      <c r="J60" s="9">
        <f>DATE(YEAR(I60), MONTH(I60) +1, DAY(I60))</f>
        <v>45748</v>
      </c>
      <c r="K60" s="6" t="s">
        <v>18</v>
      </c>
      <c r="L60" s="8">
        <v>508.69</v>
      </c>
      <c r="M60" s="8">
        <v>3</v>
      </c>
      <c r="N60" s="8">
        <v>6</v>
      </c>
      <c r="O60" t="s">
        <v>235</v>
      </c>
    </row>
    <row r="61" spans="1:15" ht="15.75" x14ac:dyDescent="0.25">
      <c r="A61" s="5" t="s">
        <v>13</v>
      </c>
      <c r="B61" s="6">
        <v>20411454</v>
      </c>
      <c r="C61" s="6" t="s">
        <v>114</v>
      </c>
      <c r="D61" s="6" t="s">
        <v>115</v>
      </c>
      <c r="E61" s="6" t="str">
        <f>CONCATENATE(D61,1)</f>
        <v>63P29C1</v>
      </c>
      <c r="F61" s="7" t="s">
        <v>17</v>
      </c>
      <c r="G61" s="6">
        <v>2</v>
      </c>
      <c r="H61" s="6">
        <v>20250401</v>
      </c>
      <c r="I61" s="6" t="str">
        <f>TEXT(DATE(LEFT(H61,4), MID(H61,5,2), RIGHT(H61,2)), "M/d/yyyy")</f>
        <v>4/1/2025</v>
      </c>
      <c r="J61" s="9">
        <f>DATE(YEAR(I61), MONTH(I61) +1, DAY(I61))</f>
        <v>45778</v>
      </c>
      <c r="K61" s="6" t="s">
        <v>18</v>
      </c>
      <c r="L61" s="8">
        <v>508.69</v>
      </c>
      <c r="M61" s="8">
        <v>3</v>
      </c>
      <c r="N61" s="8">
        <v>6</v>
      </c>
      <c r="O61" t="s">
        <v>235</v>
      </c>
    </row>
    <row r="62" spans="1:15" ht="15.75" x14ac:dyDescent="0.25">
      <c r="A62" s="5" t="s">
        <v>13</v>
      </c>
      <c r="B62" s="6">
        <v>20411454</v>
      </c>
      <c r="C62" s="6" t="s">
        <v>145</v>
      </c>
      <c r="D62" s="6" t="s">
        <v>146</v>
      </c>
      <c r="E62" s="6" t="str">
        <f>CONCATENATE(D62,1)</f>
        <v>11N4X31</v>
      </c>
      <c r="F62" s="7" t="s">
        <v>86</v>
      </c>
      <c r="G62" s="6">
        <v>-1</v>
      </c>
      <c r="H62" s="6">
        <v>20250201</v>
      </c>
      <c r="I62" s="6" t="str">
        <f>TEXT(DATE(LEFT(H62,4), MID(H62,5,2), RIGHT(H62,2)), "M/d/yyyy")</f>
        <v>2/1/2025</v>
      </c>
      <c r="J62" s="9">
        <f>DATE(YEAR(I62), MONTH(I62) +1, DAY(I62))</f>
        <v>45717</v>
      </c>
      <c r="K62" s="6" t="s">
        <v>18</v>
      </c>
      <c r="L62" s="8">
        <v>-225.91</v>
      </c>
      <c r="M62" s="8">
        <v>3</v>
      </c>
      <c r="N62" s="8">
        <v>-3</v>
      </c>
      <c r="O62" t="s">
        <v>235</v>
      </c>
    </row>
    <row r="63" spans="1:15" ht="15.75" x14ac:dyDescent="0.25">
      <c r="A63" s="5" t="s">
        <v>13</v>
      </c>
      <c r="B63" s="6">
        <v>20411454</v>
      </c>
      <c r="C63" s="6" t="s">
        <v>145</v>
      </c>
      <c r="D63" s="6" t="s">
        <v>146</v>
      </c>
      <c r="E63" s="6" t="str">
        <f>CONCATENATE(D63,1)</f>
        <v>11N4X31</v>
      </c>
      <c r="F63" s="7" t="s">
        <v>86</v>
      </c>
      <c r="G63" s="6">
        <v>-1</v>
      </c>
      <c r="H63" s="6">
        <v>20250301</v>
      </c>
      <c r="I63" s="6" t="str">
        <f>TEXT(DATE(LEFT(H63,4), MID(H63,5,2), RIGHT(H63,2)), "M/d/yyyy")</f>
        <v>3/1/2025</v>
      </c>
      <c r="J63" s="9">
        <f>DATE(YEAR(I63), MONTH(I63) +1, DAY(I63))</f>
        <v>45748</v>
      </c>
      <c r="K63" s="6" t="s">
        <v>18</v>
      </c>
      <c r="L63" s="8">
        <v>-225.91</v>
      </c>
      <c r="M63" s="8">
        <v>3</v>
      </c>
      <c r="N63" s="8">
        <v>-3</v>
      </c>
      <c r="O63" t="s">
        <v>235</v>
      </c>
    </row>
    <row r="64" spans="1:15" ht="15.75" x14ac:dyDescent="0.25">
      <c r="A64" s="5" t="s">
        <v>13</v>
      </c>
      <c r="B64" s="6">
        <v>20411454</v>
      </c>
      <c r="C64" s="6" t="s">
        <v>145</v>
      </c>
      <c r="D64" s="6" t="s">
        <v>146</v>
      </c>
      <c r="E64" s="6" t="str">
        <f>CONCATENATE(D64,1)</f>
        <v>11N4X31</v>
      </c>
      <c r="F64" s="7" t="s">
        <v>86</v>
      </c>
      <c r="G64" s="6">
        <v>1</v>
      </c>
      <c r="H64" s="6">
        <v>20250201</v>
      </c>
      <c r="I64" s="6" t="str">
        <f>TEXT(DATE(LEFT(H64,4), MID(H64,5,2), RIGHT(H64,2)), "M/d/yyyy")</f>
        <v>2/1/2025</v>
      </c>
      <c r="J64" s="9">
        <f>DATE(YEAR(I64), MONTH(I64) +1, DAY(I64))</f>
        <v>45717</v>
      </c>
      <c r="K64" s="6" t="s">
        <v>18</v>
      </c>
      <c r="L64" s="8">
        <v>225.91</v>
      </c>
      <c r="M64" s="8">
        <v>3</v>
      </c>
      <c r="N64" s="8">
        <v>3</v>
      </c>
      <c r="O64" t="s">
        <v>235</v>
      </c>
    </row>
    <row r="65" spans="1:15" ht="15.75" x14ac:dyDescent="0.25">
      <c r="A65" s="5" t="s">
        <v>13</v>
      </c>
      <c r="B65" s="6">
        <v>20411454</v>
      </c>
      <c r="C65" s="6" t="s">
        <v>145</v>
      </c>
      <c r="D65" s="6" t="s">
        <v>146</v>
      </c>
      <c r="E65" s="6" t="str">
        <f>CONCATENATE(D65,1)</f>
        <v>11N4X31</v>
      </c>
      <c r="F65" s="7" t="s">
        <v>86</v>
      </c>
      <c r="G65" s="6">
        <v>1</v>
      </c>
      <c r="H65" s="6">
        <v>20250301</v>
      </c>
      <c r="I65" s="6" t="str">
        <f>TEXT(DATE(LEFT(H65,4), MID(H65,5,2), RIGHT(H65,2)), "M/d/yyyy")</f>
        <v>3/1/2025</v>
      </c>
      <c r="J65" s="9">
        <f>DATE(YEAR(I65), MONTH(I65) +1, DAY(I65))</f>
        <v>45748</v>
      </c>
      <c r="K65" s="6" t="s">
        <v>18</v>
      </c>
      <c r="L65" s="8">
        <v>225.91</v>
      </c>
      <c r="M65" s="8">
        <v>3</v>
      </c>
      <c r="N65" s="8">
        <v>3</v>
      </c>
      <c r="O65" t="s">
        <v>235</v>
      </c>
    </row>
    <row r="66" spans="1:15" ht="15.75" x14ac:dyDescent="0.25">
      <c r="A66" s="5" t="s">
        <v>13</v>
      </c>
      <c r="B66" s="6">
        <v>20411454</v>
      </c>
      <c r="C66" s="6" t="s">
        <v>145</v>
      </c>
      <c r="D66" s="6" t="s">
        <v>146</v>
      </c>
      <c r="E66" s="6" t="str">
        <f>CONCATENATE(D66,1)</f>
        <v>11N4X31</v>
      </c>
      <c r="F66" s="7" t="s">
        <v>86</v>
      </c>
      <c r="G66" s="6">
        <v>1</v>
      </c>
      <c r="H66" s="6">
        <v>20250401</v>
      </c>
      <c r="I66" s="6" t="str">
        <f>TEXT(DATE(LEFT(H66,4), MID(H66,5,2), RIGHT(H66,2)), "M/d/yyyy")</f>
        <v>4/1/2025</v>
      </c>
      <c r="J66" s="9">
        <f>DATE(YEAR(I66), MONTH(I66) +1, DAY(I66))</f>
        <v>45778</v>
      </c>
      <c r="K66" s="6" t="s">
        <v>18</v>
      </c>
      <c r="L66" s="8">
        <v>225.91</v>
      </c>
      <c r="M66" s="8">
        <v>3</v>
      </c>
      <c r="N66" s="8">
        <v>3</v>
      </c>
      <c r="O66" t="s">
        <v>235</v>
      </c>
    </row>
    <row r="67" spans="1:15" ht="15.75" x14ac:dyDescent="0.25">
      <c r="A67" s="5" t="s">
        <v>13</v>
      </c>
      <c r="B67" s="6">
        <v>20411454</v>
      </c>
      <c r="C67" s="6" t="s">
        <v>137</v>
      </c>
      <c r="D67" s="6" t="s">
        <v>138</v>
      </c>
      <c r="E67" s="6" t="str">
        <f>CONCATENATE(D67,1)</f>
        <v>58RJ261</v>
      </c>
      <c r="F67" s="7" t="s">
        <v>86</v>
      </c>
      <c r="G67" s="6">
        <v>-2</v>
      </c>
      <c r="H67" s="6">
        <v>20250201</v>
      </c>
      <c r="I67" s="6" t="str">
        <f>TEXT(DATE(LEFT(H67,4), MID(H67,5,2), RIGHT(H67,2)), "M/d/yyyy")</f>
        <v>2/1/2025</v>
      </c>
      <c r="J67" s="9">
        <f>DATE(YEAR(I67), MONTH(I67) +1, DAY(I67))</f>
        <v>45717</v>
      </c>
      <c r="K67" s="6" t="s">
        <v>18</v>
      </c>
      <c r="L67" s="8">
        <v>-62.71</v>
      </c>
      <c r="M67" s="8">
        <v>3</v>
      </c>
      <c r="N67" s="8">
        <v>-6</v>
      </c>
      <c r="O67" t="s">
        <v>235</v>
      </c>
    </row>
    <row r="68" spans="1:15" ht="15.75" x14ac:dyDescent="0.25">
      <c r="A68" s="5" t="s">
        <v>13</v>
      </c>
      <c r="B68" s="6">
        <v>20411454</v>
      </c>
      <c r="C68" s="6" t="s">
        <v>137</v>
      </c>
      <c r="D68" s="6" t="s">
        <v>138</v>
      </c>
      <c r="E68" s="6" t="str">
        <f>CONCATENATE(D68,1)</f>
        <v>58RJ261</v>
      </c>
      <c r="F68" s="7" t="s">
        <v>86</v>
      </c>
      <c r="G68" s="6">
        <v>-2</v>
      </c>
      <c r="H68" s="6">
        <v>20250301</v>
      </c>
      <c r="I68" s="6" t="str">
        <f>TEXT(DATE(LEFT(H68,4), MID(H68,5,2), RIGHT(H68,2)), "M/d/yyyy")</f>
        <v>3/1/2025</v>
      </c>
      <c r="J68" s="9">
        <f>DATE(YEAR(I68), MONTH(I68) +1, DAY(I68))</f>
        <v>45748</v>
      </c>
      <c r="K68" s="6" t="s">
        <v>18</v>
      </c>
      <c r="L68" s="8">
        <v>-62.71</v>
      </c>
      <c r="M68" s="8">
        <v>3</v>
      </c>
      <c r="N68" s="8">
        <v>-6</v>
      </c>
      <c r="O68" t="s">
        <v>235</v>
      </c>
    </row>
    <row r="69" spans="1:15" ht="15.75" x14ac:dyDescent="0.25">
      <c r="A69" s="5" t="s">
        <v>13</v>
      </c>
      <c r="B69" s="6">
        <v>20411454</v>
      </c>
      <c r="C69" s="6" t="s">
        <v>137</v>
      </c>
      <c r="D69" s="6" t="s">
        <v>138</v>
      </c>
      <c r="E69" s="6" t="str">
        <f>CONCATENATE(D69,1)</f>
        <v>58RJ261</v>
      </c>
      <c r="F69" s="7" t="s">
        <v>86</v>
      </c>
      <c r="G69" s="6">
        <v>2</v>
      </c>
      <c r="H69" s="6">
        <v>20250201</v>
      </c>
      <c r="I69" s="6" t="str">
        <f>TEXT(DATE(LEFT(H69,4), MID(H69,5,2), RIGHT(H69,2)), "M/d/yyyy")</f>
        <v>2/1/2025</v>
      </c>
      <c r="J69" s="9">
        <f>DATE(YEAR(I69), MONTH(I69) +1, DAY(I69))</f>
        <v>45717</v>
      </c>
      <c r="K69" s="6" t="s">
        <v>18</v>
      </c>
      <c r="L69" s="8">
        <v>62.71</v>
      </c>
      <c r="M69" s="8">
        <v>3</v>
      </c>
      <c r="N69" s="8">
        <v>6</v>
      </c>
      <c r="O69" t="s">
        <v>235</v>
      </c>
    </row>
    <row r="70" spans="1:15" ht="15.75" x14ac:dyDescent="0.25">
      <c r="A70" s="5" t="s">
        <v>13</v>
      </c>
      <c r="B70" s="6">
        <v>20411454</v>
      </c>
      <c r="C70" s="6" t="s">
        <v>137</v>
      </c>
      <c r="D70" s="6" t="s">
        <v>138</v>
      </c>
      <c r="E70" s="6" t="str">
        <f>CONCATENATE(D70,1)</f>
        <v>58RJ261</v>
      </c>
      <c r="F70" s="7" t="s">
        <v>86</v>
      </c>
      <c r="G70" s="6">
        <v>2</v>
      </c>
      <c r="H70" s="6">
        <v>20250301</v>
      </c>
      <c r="I70" s="6" t="str">
        <f>TEXT(DATE(LEFT(H70,4), MID(H70,5,2), RIGHT(H70,2)), "M/d/yyyy")</f>
        <v>3/1/2025</v>
      </c>
      <c r="J70" s="9">
        <f>DATE(YEAR(I70), MONTH(I70) +1, DAY(I70))</f>
        <v>45748</v>
      </c>
      <c r="K70" s="6" t="s">
        <v>18</v>
      </c>
      <c r="L70" s="8">
        <v>62.71</v>
      </c>
      <c r="M70" s="8">
        <v>3</v>
      </c>
      <c r="N70" s="8">
        <v>6</v>
      </c>
      <c r="O70" t="s">
        <v>235</v>
      </c>
    </row>
    <row r="71" spans="1:15" ht="15.75" x14ac:dyDescent="0.25">
      <c r="A71" s="5" t="s">
        <v>13</v>
      </c>
      <c r="B71" s="6">
        <v>20411454</v>
      </c>
      <c r="C71" s="6" t="s">
        <v>137</v>
      </c>
      <c r="D71" s="6" t="s">
        <v>138</v>
      </c>
      <c r="E71" s="6" t="str">
        <f>CONCATENATE(D71,1)</f>
        <v>58RJ261</v>
      </c>
      <c r="F71" s="7" t="s">
        <v>86</v>
      </c>
      <c r="G71" s="6">
        <v>2</v>
      </c>
      <c r="H71" s="6">
        <v>20250401</v>
      </c>
      <c r="I71" s="6" t="str">
        <f>TEXT(DATE(LEFT(H71,4), MID(H71,5,2), RIGHT(H71,2)), "M/d/yyyy")</f>
        <v>4/1/2025</v>
      </c>
      <c r="J71" s="9">
        <f>DATE(YEAR(I71), MONTH(I71) +1, DAY(I71))</f>
        <v>45778</v>
      </c>
      <c r="K71" s="6" t="s">
        <v>18</v>
      </c>
      <c r="L71" s="8">
        <v>62.71</v>
      </c>
      <c r="M71" s="8">
        <v>3</v>
      </c>
      <c r="N71" s="8">
        <v>6</v>
      </c>
      <c r="O71" t="s">
        <v>235</v>
      </c>
    </row>
    <row r="72" spans="1:15" ht="15.75" x14ac:dyDescent="0.25">
      <c r="A72" s="5" t="s">
        <v>13</v>
      </c>
      <c r="B72" s="6">
        <v>20411454</v>
      </c>
      <c r="C72" s="6" t="s">
        <v>75</v>
      </c>
      <c r="D72" s="6" t="s">
        <v>76</v>
      </c>
      <c r="E72" s="6" t="str">
        <f>CONCATENATE(D72,1)</f>
        <v>5Y6K121</v>
      </c>
      <c r="F72" s="7" t="s">
        <v>44</v>
      </c>
      <c r="G72" s="6">
        <v>-1</v>
      </c>
      <c r="H72" s="6">
        <v>20250201</v>
      </c>
      <c r="I72" s="6" t="str">
        <f>TEXT(DATE(LEFT(H72,4), MID(H72,5,2), RIGHT(H72,2)), "M/d/yyyy")</f>
        <v>2/1/2025</v>
      </c>
      <c r="J72" s="9">
        <f>DATE(YEAR(I72), MONTH(I72) +1, DAY(I72))</f>
        <v>45717</v>
      </c>
      <c r="K72" s="6" t="s">
        <v>12</v>
      </c>
      <c r="L72" s="8">
        <v>-107.75</v>
      </c>
      <c r="M72" s="8">
        <v>3</v>
      </c>
      <c r="N72" s="8">
        <v>-3</v>
      </c>
      <c r="O72" t="s">
        <v>235</v>
      </c>
    </row>
    <row r="73" spans="1:15" ht="15.75" x14ac:dyDescent="0.25">
      <c r="A73" s="5" t="s">
        <v>13</v>
      </c>
      <c r="B73" s="6">
        <v>20411454</v>
      </c>
      <c r="C73" s="6" t="s">
        <v>75</v>
      </c>
      <c r="D73" s="6" t="s">
        <v>76</v>
      </c>
      <c r="E73" s="6" t="str">
        <f>CONCATENATE(D73,1)</f>
        <v>5Y6K121</v>
      </c>
      <c r="F73" s="7" t="s">
        <v>44</v>
      </c>
      <c r="G73" s="6">
        <v>-1</v>
      </c>
      <c r="H73" s="6">
        <v>20250301</v>
      </c>
      <c r="I73" s="6" t="str">
        <f>TEXT(DATE(LEFT(H73,4), MID(H73,5,2), RIGHT(H73,2)), "M/d/yyyy")</f>
        <v>3/1/2025</v>
      </c>
      <c r="J73" s="9">
        <f>DATE(YEAR(I73), MONTH(I73) +1, DAY(I73))</f>
        <v>45748</v>
      </c>
      <c r="K73" s="6" t="s">
        <v>12</v>
      </c>
      <c r="L73" s="8">
        <v>-107.75</v>
      </c>
      <c r="M73" s="8">
        <v>3</v>
      </c>
      <c r="N73" s="8">
        <v>-3</v>
      </c>
      <c r="O73" t="s">
        <v>235</v>
      </c>
    </row>
    <row r="74" spans="1:15" ht="15.75" x14ac:dyDescent="0.25">
      <c r="A74" s="5" t="s">
        <v>13</v>
      </c>
      <c r="B74" s="6">
        <v>20411454</v>
      </c>
      <c r="C74" s="6" t="s">
        <v>75</v>
      </c>
      <c r="D74" s="6" t="s">
        <v>76</v>
      </c>
      <c r="E74" s="6" t="str">
        <f>CONCATENATE(D74,1)</f>
        <v>5Y6K121</v>
      </c>
      <c r="F74" s="7" t="s">
        <v>44</v>
      </c>
      <c r="G74" s="6">
        <v>1</v>
      </c>
      <c r="H74" s="6">
        <v>20250201</v>
      </c>
      <c r="I74" s="6" t="str">
        <f>TEXT(DATE(LEFT(H74,4), MID(H74,5,2), RIGHT(H74,2)), "M/d/yyyy")</f>
        <v>2/1/2025</v>
      </c>
      <c r="J74" s="9">
        <f>DATE(YEAR(I74), MONTH(I74) +1, DAY(I74))</f>
        <v>45717</v>
      </c>
      <c r="K74" s="6" t="s">
        <v>12</v>
      </c>
      <c r="L74" s="8">
        <v>107.75</v>
      </c>
      <c r="M74" s="8">
        <v>3</v>
      </c>
      <c r="N74" s="8">
        <v>3</v>
      </c>
      <c r="O74" t="s">
        <v>235</v>
      </c>
    </row>
    <row r="75" spans="1:15" ht="15.75" x14ac:dyDescent="0.25">
      <c r="A75" s="5" t="s">
        <v>13</v>
      </c>
      <c r="B75" s="6">
        <v>20411454</v>
      </c>
      <c r="C75" s="6" t="s">
        <v>75</v>
      </c>
      <c r="D75" s="6" t="s">
        <v>76</v>
      </c>
      <c r="E75" s="6" t="str">
        <f>CONCATENATE(D75,1)</f>
        <v>5Y6K121</v>
      </c>
      <c r="F75" s="7" t="s">
        <v>44</v>
      </c>
      <c r="G75" s="6">
        <v>1</v>
      </c>
      <c r="H75" s="6">
        <v>20250301</v>
      </c>
      <c r="I75" s="6" t="str">
        <f>TEXT(DATE(LEFT(H75,4), MID(H75,5,2), RIGHT(H75,2)), "M/d/yyyy")</f>
        <v>3/1/2025</v>
      </c>
      <c r="J75" s="9">
        <f>DATE(YEAR(I75), MONTH(I75) +1, DAY(I75))</f>
        <v>45748</v>
      </c>
      <c r="K75" s="6" t="s">
        <v>12</v>
      </c>
      <c r="L75" s="8">
        <v>107.75</v>
      </c>
      <c r="M75" s="8">
        <v>3</v>
      </c>
      <c r="N75" s="8">
        <v>3</v>
      </c>
      <c r="O75" t="s">
        <v>235</v>
      </c>
    </row>
    <row r="76" spans="1:15" ht="15.75" x14ac:dyDescent="0.25">
      <c r="A76" s="5" t="s">
        <v>13</v>
      </c>
      <c r="B76" s="6">
        <v>20411454</v>
      </c>
      <c r="C76" s="6" t="s">
        <v>75</v>
      </c>
      <c r="D76" s="6" t="s">
        <v>76</v>
      </c>
      <c r="E76" s="6" t="str">
        <f>CONCATENATE(D76,1)</f>
        <v>5Y6K121</v>
      </c>
      <c r="F76" s="7" t="s">
        <v>44</v>
      </c>
      <c r="G76" s="6">
        <v>1</v>
      </c>
      <c r="H76" s="6">
        <v>20250401</v>
      </c>
      <c r="I76" s="6" t="str">
        <f>TEXT(DATE(LEFT(H76,4), MID(H76,5,2), RIGHT(H76,2)), "M/d/yyyy")</f>
        <v>4/1/2025</v>
      </c>
      <c r="J76" s="9">
        <f>DATE(YEAR(I76), MONTH(I76) +1, DAY(I76))</f>
        <v>45778</v>
      </c>
      <c r="K76" s="6" t="s">
        <v>12</v>
      </c>
      <c r="L76" s="8">
        <v>107.75</v>
      </c>
      <c r="M76" s="8">
        <v>3</v>
      </c>
      <c r="N76" s="8">
        <v>3</v>
      </c>
      <c r="O76" t="s">
        <v>235</v>
      </c>
    </row>
    <row r="77" spans="1:15" ht="15.75" x14ac:dyDescent="0.25">
      <c r="A77" s="5" t="s">
        <v>13</v>
      </c>
      <c r="B77" s="6">
        <v>20411454</v>
      </c>
      <c r="C77" s="6" t="s">
        <v>151</v>
      </c>
      <c r="D77" s="6" t="s">
        <v>152</v>
      </c>
      <c r="E77" s="6" t="str">
        <f>CONCATENATE(D77,1)</f>
        <v>20N0M31</v>
      </c>
      <c r="F77" s="7" t="s">
        <v>86</v>
      </c>
      <c r="G77" s="6">
        <v>-1</v>
      </c>
      <c r="H77" s="6">
        <v>20250201</v>
      </c>
      <c r="I77" s="6" t="str">
        <f>TEXT(DATE(LEFT(H77,4), MID(H77,5,2), RIGHT(H77,2)), "M/d/yyyy")</f>
        <v>2/1/2025</v>
      </c>
      <c r="J77" s="9">
        <f>DATE(YEAR(I77), MONTH(I77) +1, DAY(I77))</f>
        <v>45717</v>
      </c>
      <c r="K77" s="6" t="s">
        <v>18</v>
      </c>
      <c r="L77" s="8">
        <v>-362.1</v>
      </c>
      <c r="M77" s="8">
        <v>3</v>
      </c>
      <c r="N77" s="8">
        <v>-3</v>
      </c>
      <c r="O77" t="s">
        <v>235</v>
      </c>
    </row>
    <row r="78" spans="1:15" ht="15.75" x14ac:dyDescent="0.25">
      <c r="A78" s="5" t="s">
        <v>13</v>
      </c>
      <c r="B78" s="6">
        <v>20411454</v>
      </c>
      <c r="C78" s="6" t="s">
        <v>151</v>
      </c>
      <c r="D78" s="6" t="s">
        <v>152</v>
      </c>
      <c r="E78" s="6" t="str">
        <f>CONCATENATE(D78,1)</f>
        <v>20N0M31</v>
      </c>
      <c r="F78" s="7" t="s">
        <v>86</v>
      </c>
      <c r="G78" s="6">
        <v>-1</v>
      </c>
      <c r="H78" s="6">
        <v>20250301</v>
      </c>
      <c r="I78" s="6" t="str">
        <f>TEXT(DATE(LEFT(H78,4), MID(H78,5,2), RIGHT(H78,2)), "M/d/yyyy")</f>
        <v>3/1/2025</v>
      </c>
      <c r="J78" s="9">
        <f>DATE(YEAR(I78), MONTH(I78) +1, DAY(I78))</f>
        <v>45748</v>
      </c>
      <c r="K78" s="6" t="s">
        <v>18</v>
      </c>
      <c r="L78" s="8">
        <v>-362.1</v>
      </c>
      <c r="M78" s="8">
        <v>3</v>
      </c>
      <c r="N78" s="8">
        <v>-3</v>
      </c>
      <c r="O78" t="s">
        <v>235</v>
      </c>
    </row>
    <row r="79" spans="1:15" ht="15.75" x14ac:dyDescent="0.25">
      <c r="A79" s="5" t="s">
        <v>13</v>
      </c>
      <c r="B79" s="6">
        <v>20411454</v>
      </c>
      <c r="C79" s="6" t="s">
        <v>151</v>
      </c>
      <c r="D79" s="6" t="s">
        <v>152</v>
      </c>
      <c r="E79" s="6" t="str">
        <f>CONCATENATE(D79,1)</f>
        <v>20N0M31</v>
      </c>
      <c r="F79" s="7" t="s">
        <v>86</v>
      </c>
      <c r="G79" s="6">
        <v>1</v>
      </c>
      <c r="H79" s="6">
        <v>20250201</v>
      </c>
      <c r="I79" s="6" t="str">
        <f>TEXT(DATE(LEFT(H79,4), MID(H79,5,2), RIGHT(H79,2)), "M/d/yyyy")</f>
        <v>2/1/2025</v>
      </c>
      <c r="J79" s="9">
        <f>DATE(YEAR(I79), MONTH(I79) +1, DAY(I79))</f>
        <v>45717</v>
      </c>
      <c r="K79" s="6" t="s">
        <v>18</v>
      </c>
      <c r="L79" s="8">
        <v>362.1</v>
      </c>
      <c r="M79" s="8">
        <v>3</v>
      </c>
      <c r="N79" s="8">
        <v>3</v>
      </c>
      <c r="O79" t="s">
        <v>235</v>
      </c>
    </row>
    <row r="80" spans="1:15" ht="15.75" x14ac:dyDescent="0.25">
      <c r="A80" s="5" t="s">
        <v>13</v>
      </c>
      <c r="B80" s="6">
        <v>20411454</v>
      </c>
      <c r="C80" s="6" t="s">
        <v>151</v>
      </c>
      <c r="D80" s="6" t="s">
        <v>152</v>
      </c>
      <c r="E80" s="6" t="str">
        <f>CONCATENATE(D80,1)</f>
        <v>20N0M31</v>
      </c>
      <c r="F80" s="7" t="s">
        <v>86</v>
      </c>
      <c r="G80" s="6">
        <v>1</v>
      </c>
      <c r="H80" s="6">
        <v>20250301</v>
      </c>
      <c r="I80" s="6" t="str">
        <f>TEXT(DATE(LEFT(H80,4), MID(H80,5,2), RIGHT(H80,2)), "M/d/yyyy")</f>
        <v>3/1/2025</v>
      </c>
      <c r="J80" s="9">
        <f>DATE(YEAR(I80), MONTH(I80) +1, DAY(I80))</f>
        <v>45748</v>
      </c>
      <c r="K80" s="6" t="s">
        <v>18</v>
      </c>
      <c r="L80" s="8">
        <v>362.1</v>
      </c>
      <c r="M80" s="8">
        <v>3</v>
      </c>
      <c r="N80" s="8">
        <v>3</v>
      </c>
      <c r="O80" t="s">
        <v>235</v>
      </c>
    </row>
    <row r="81" spans="1:15" ht="15.75" x14ac:dyDescent="0.25">
      <c r="A81" s="5" t="s">
        <v>13</v>
      </c>
      <c r="B81" s="6">
        <v>20411454</v>
      </c>
      <c r="C81" s="6" t="s">
        <v>151</v>
      </c>
      <c r="D81" s="6" t="s">
        <v>152</v>
      </c>
      <c r="E81" s="6" t="str">
        <f>CONCATENATE(D81,1)</f>
        <v>20N0M31</v>
      </c>
      <c r="F81" s="7" t="s">
        <v>86</v>
      </c>
      <c r="G81" s="6">
        <v>1</v>
      </c>
      <c r="H81" s="6">
        <v>20250401</v>
      </c>
      <c r="I81" s="6" t="str">
        <f>TEXT(DATE(LEFT(H81,4), MID(H81,5,2), RIGHT(H81,2)), "M/d/yyyy")</f>
        <v>4/1/2025</v>
      </c>
      <c r="J81" s="9">
        <f>DATE(YEAR(I81), MONTH(I81) +1, DAY(I81))</f>
        <v>45778</v>
      </c>
      <c r="K81" s="6" t="s">
        <v>18</v>
      </c>
      <c r="L81" s="8">
        <v>362.1</v>
      </c>
      <c r="M81" s="8">
        <v>3</v>
      </c>
      <c r="N81" s="8">
        <v>3</v>
      </c>
      <c r="O81" t="s">
        <v>235</v>
      </c>
    </row>
    <row r="82" spans="1:15" ht="15.75" x14ac:dyDescent="0.25">
      <c r="A82" s="5" t="s">
        <v>13</v>
      </c>
      <c r="B82" s="6">
        <v>20411454</v>
      </c>
      <c r="C82" s="6" t="s">
        <v>107</v>
      </c>
      <c r="D82" s="6" t="s">
        <v>108</v>
      </c>
      <c r="E82" s="6" t="str">
        <f>CONCATENATE(D82,1)</f>
        <v>86P73K1</v>
      </c>
      <c r="F82" s="7" t="s">
        <v>86</v>
      </c>
      <c r="G82" s="6">
        <v>1</v>
      </c>
      <c r="H82" s="6">
        <v>20250201</v>
      </c>
      <c r="I82" s="6" t="str">
        <f>TEXT(DATE(LEFT(H82,4), MID(H82,5,2), RIGHT(H82,2)), "M/d/yyyy")</f>
        <v>2/1/2025</v>
      </c>
      <c r="J82" s="9">
        <f>DATE(YEAR(I82), MONTH(I82) +1, DAY(I82))</f>
        <v>45717</v>
      </c>
      <c r="K82" s="6" t="s">
        <v>18</v>
      </c>
      <c r="L82" s="8">
        <v>473.23</v>
      </c>
      <c r="M82" s="8">
        <v>3</v>
      </c>
      <c r="N82" s="8">
        <v>3</v>
      </c>
      <c r="O82" t="s">
        <v>235</v>
      </c>
    </row>
    <row r="83" spans="1:15" ht="15.75" x14ac:dyDescent="0.25">
      <c r="A83" s="5" t="s">
        <v>13</v>
      </c>
      <c r="B83" s="6">
        <v>20411454</v>
      </c>
      <c r="C83" s="6" t="s">
        <v>107</v>
      </c>
      <c r="D83" s="6" t="s">
        <v>108</v>
      </c>
      <c r="E83" s="6" t="str">
        <f>CONCATENATE(D83,1)</f>
        <v>86P73K1</v>
      </c>
      <c r="F83" s="7" t="s">
        <v>86</v>
      </c>
      <c r="G83" s="6">
        <v>1</v>
      </c>
      <c r="H83" s="6">
        <v>20250301</v>
      </c>
      <c r="I83" s="6" t="str">
        <f>TEXT(DATE(LEFT(H83,4), MID(H83,5,2), RIGHT(H83,2)), "M/d/yyyy")</f>
        <v>3/1/2025</v>
      </c>
      <c r="J83" s="9">
        <f>DATE(YEAR(I83), MONTH(I83) +1, DAY(I83))</f>
        <v>45748</v>
      </c>
      <c r="K83" s="6" t="s">
        <v>18</v>
      </c>
      <c r="L83" s="8">
        <v>473.23</v>
      </c>
      <c r="M83" s="8">
        <v>3</v>
      </c>
      <c r="N83" s="8">
        <v>3</v>
      </c>
      <c r="O83" t="s">
        <v>235</v>
      </c>
    </row>
    <row r="84" spans="1:15" ht="15.75" x14ac:dyDescent="0.25">
      <c r="A84" s="5" t="s">
        <v>13</v>
      </c>
      <c r="B84" s="6">
        <v>20411454</v>
      </c>
      <c r="C84" s="6" t="s">
        <v>107</v>
      </c>
      <c r="D84" s="6" t="s">
        <v>108</v>
      </c>
      <c r="E84" s="6" t="str">
        <f>CONCATENATE(D84,1)</f>
        <v>86P73K1</v>
      </c>
      <c r="F84" s="7" t="s">
        <v>86</v>
      </c>
      <c r="G84" s="6">
        <v>1</v>
      </c>
      <c r="H84" s="6">
        <v>20250401</v>
      </c>
      <c r="I84" s="6" t="str">
        <f>TEXT(DATE(LEFT(H84,4), MID(H84,5,2), RIGHT(H84,2)), "M/d/yyyy")</f>
        <v>4/1/2025</v>
      </c>
      <c r="J84" s="9">
        <f>DATE(YEAR(I84), MONTH(I84) +1, DAY(I84))</f>
        <v>45778</v>
      </c>
      <c r="K84" s="6" t="s">
        <v>18</v>
      </c>
      <c r="L84" s="8">
        <v>473.23</v>
      </c>
      <c r="M84" s="8">
        <v>3</v>
      </c>
      <c r="N84" s="8">
        <v>3</v>
      </c>
      <c r="O84" t="s">
        <v>235</v>
      </c>
    </row>
    <row r="85" spans="1:15" ht="15.75" x14ac:dyDescent="0.25">
      <c r="A85" s="5" t="s">
        <v>13</v>
      </c>
      <c r="B85" s="6">
        <v>20411454</v>
      </c>
      <c r="C85" s="6" t="s">
        <v>107</v>
      </c>
      <c r="D85" s="6" t="s">
        <v>108</v>
      </c>
      <c r="E85" s="6" t="str">
        <f>CONCATENATE(D85,1)</f>
        <v>86P73K1</v>
      </c>
      <c r="F85" s="7" t="s">
        <v>86</v>
      </c>
      <c r="G85" s="6">
        <v>1</v>
      </c>
      <c r="H85" s="6">
        <v>20241201</v>
      </c>
      <c r="I85" s="6" t="str">
        <f>TEXT(DATE(LEFT(H85,4), MID(H85,5,2), RIGHT(H85,2)), "M/d/yyyy")</f>
        <v>12/1/2024</v>
      </c>
      <c r="J85" s="9">
        <f>DATE(YEAR(I85), MONTH(I85) +1, DAY(I85))</f>
        <v>45658</v>
      </c>
      <c r="K85" s="6" t="s">
        <v>18</v>
      </c>
      <c r="L85" s="8">
        <v>439.85</v>
      </c>
      <c r="M85" s="8">
        <v>3</v>
      </c>
      <c r="N85" s="8">
        <v>3</v>
      </c>
      <c r="O85" t="s">
        <v>235</v>
      </c>
    </row>
    <row r="86" spans="1:15" ht="15.75" x14ac:dyDescent="0.25">
      <c r="A86" s="5" t="s">
        <v>13</v>
      </c>
      <c r="B86" s="6">
        <v>20411454</v>
      </c>
      <c r="C86" s="6" t="s">
        <v>107</v>
      </c>
      <c r="D86" s="6" t="s">
        <v>108</v>
      </c>
      <c r="E86" s="6" t="str">
        <f>CONCATENATE(D86,1)</f>
        <v>86P73K1</v>
      </c>
      <c r="F86" s="7" t="s">
        <v>86</v>
      </c>
      <c r="G86" s="6">
        <v>1</v>
      </c>
      <c r="H86" s="6">
        <v>20250101</v>
      </c>
      <c r="I86" s="6" t="str">
        <f>TEXT(DATE(LEFT(H86,4), MID(H86,5,2), RIGHT(H86,2)), "M/d/yyyy")</f>
        <v>1/1/2025</v>
      </c>
      <c r="J86" s="9">
        <f>DATE(YEAR(I86), MONTH(I86) +1, DAY(I86))</f>
        <v>45689</v>
      </c>
      <c r="K86" s="6" t="s">
        <v>18</v>
      </c>
      <c r="L86" s="8">
        <v>473.23</v>
      </c>
      <c r="M86" s="8">
        <v>3</v>
      </c>
      <c r="N86" s="8">
        <v>3</v>
      </c>
      <c r="O86" t="s">
        <v>235</v>
      </c>
    </row>
    <row r="87" spans="1:15" ht="15.75" x14ac:dyDescent="0.25">
      <c r="A87" s="5" t="s">
        <v>13</v>
      </c>
      <c r="B87" s="6">
        <v>20411454</v>
      </c>
      <c r="C87" s="6" t="s">
        <v>81</v>
      </c>
      <c r="D87" s="6" t="s">
        <v>82</v>
      </c>
      <c r="E87" s="6" t="str">
        <f>CONCATENATE(D87,1)</f>
        <v>7TR1131</v>
      </c>
      <c r="F87" s="7" t="s">
        <v>50</v>
      </c>
      <c r="G87" s="6">
        <v>-1</v>
      </c>
      <c r="H87" s="6">
        <v>20250201</v>
      </c>
      <c r="I87" s="6" t="str">
        <f>TEXT(DATE(LEFT(H87,4), MID(H87,5,2), RIGHT(H87,2)), "M/d/yyyy")</f>
        <v>2/1/2025</v>
      </c>
      <c r="J87" s="9">
        <f>DATE(YEAR(I87), MONTH(I87) +1, DAY(I87))</f>
        <v>45717</v>
      </c>
      <c r="K87" s="6" t="s">
        <v>18</v>
      </c>
      <c r="L87" s="8">
        <v>-11.9</v>
      </c>
      <c r="M87" s="8">
        <v>3</v>
      </c>
      <c r="N87" s="8">
        <v>-3</v>
      </c>
      <c r="O87" t="s">
        <v>235</v>
      </c>
    </row>
    <row r="88" spans="1:15" ht="15.75" x14ac:dyDescent="0.25">
      <c r="A88" s="5" t="s">
        <v>13</v>
      </c>
      <c r="B88" s="6">
        <v>20411454</v>
      </c>
      <c r="C88" s="6" t="s">
        <v>81</v>
      </c>
      <c r="D88" s="6" t="s">
        <v>82</v>
      </c>
      <c r="E88" s="6" t="str">
        <f>CONCATENATE(D88,1)</f>
        <v>7TR1131</v>
      </c>
      <c r="F88" s="7" t="s">
        <v>50</v>
      </c>
      <c r="G88" s="6">
        <v>-1</v>
      </c>
      <c r="H88" s="6">
        <v>20250301</v>
      </c>
      <c r="I88" s="6" t="str">
        <f>TEXT(DATE(LEFT(H88,4), MID(H88,5,2), RIGHT(H88,2)), "M/d/yyyy")</f>
        <v>3/1/2025</v>
      </c>
      <c r="J88" s="9">
        <f>DATE(YEAR(I88), MONTH(I88) +1, DAY(I88))</f>
        <v>45748</v>
      </c>
      <c r="K88" s="6" t="s">
        <v>18</v>
      </c>
      <c r="L88" s="8">
        <v>-11.9</v>
      </c>
      <c r="M88" s="8">
        <v>3</v>
      </c>
      <c r="N88" s="8">
        <v>-3</v>
      </c>
      <c r="O88" t="s">
        <v>235</v>
      </c>
    </row>
    <row r="89" spans="1:15" ht="15.75" x14ac:dyDescent="0.25">
      <c r="A89" s="5" t="s">
        <v>13</v>
      </c>
      <c r="B89" s="6">
        <v>20411454</v>
      </c>
      <c r="C89" s="6" t="s">
        <v>81</v>
      </c>
      <c r="D89" s="6" t="s">
        <v>82</v>
      </c>
      <c r="E89" s="6" t="str">
        <f>CONCATENATE(D89,1)</f>
        <v>7TR1131</v>
      </c>
      <c r="F89" s="7" t="s">
        <v>50</v>
      </c>
      <c r="G89" s="6">
        <v>1</v>
      </c>
      <c r="H89" s="6">
        <v>20250201</v>
      </c>
      <c r="I89" s="6" t="str">
        <f>TEXT(DATE(LEFT(H89,4), MID(H89,5,2), RIGHT(H89,2)), "M/d/yyyy")</f>
        <v>2/1/2025</v>
      </c>
      <c r="J89" s="9">
        <f>DATE(YEAR(I89), MONTH(I89) +1, DAY(I89))</f>
        <v>45717</v>
      </c>
      <c r="K89" s="6" t="s">
        <v>18</v>
      </c>
      <c r="L89" s="8">
        <v>11.9</v>
      </c>
      <c r="M89" s="8">
        <v>3</v>
      </c>
      <c r="N89" s="8">
        <v>3</v>
      </c>
      <c r="O89" t="s">
        <v>235</v>
      </c>
    </row>
    <row r="90" spans="1:15" ht="15.75" x14ac:dyDescent="0.25">
      <c r="A90" s="5" t="s">
        <v>13</v>
      </c>
      <c r="B90" s="6">
        <v>20411454</v>
      </c>
      <c r="C90" s="6" t="s">
        <v>81</v>
      </c>
      <c r="D90" s="6" t="s">
        <v>82</v>
      </c>
      <c r="E90" s="6" t="str">
        <f>CONCATENATE(D90,1)</f>
        <v>7TR1131</v>
      </c>
      <c r="F90" s="7" t="s">
        <v>50</v>
      </c>
      <c r="G90" s="6">
        <v>1</v>
      </c>
      <c r="H90" s="6">
        <v>20250301</v>
      </c>
      <c r="I90" s="6" t="str">
        <f>TEXT(DATE(LEFT(H90,4), MID(H90,5,2), RIGHT(H90,2)), "M/d/yyyy")</f>
        <v>3/1/2025</v>
      </c>
      <c r="J90" s="9">
        <f>DATE(YEAR(I90), MONTH(I90) +1, DAY(I90))</f>
        <v>45748</v>
      </c>
      <c r="K90" s="6" t="s">
        <v>18</v>
      </c>
      <c r="L90" s="8">
        <v>11.9</v>
      </c>
      <c r="M90" s="8">
        <v>3</v>
      </c>
      <c r="N90" s="8">
        <v>3</v>
      </c>
      <c r="O90" t="s">
        <v>235</v>
      </c>
    </row>
    <row r="91" spans="1:15" ht="15.75" x14ac:dyDescent="0.25">
      <c r="A91" s="5" t="s">
        <v>13</v>
      </c>
      <c r="B91" s="6">
        <v>20411454</v>
      </c>
      <c r="C91" s="6" t="s">
        <v>81</v>
      </c>
      <c r="D91" s="6" t="s">
        <v>82</v>
      </c>
      <c r="E91" s="6" t="str">
        <f>CONCATENATE(D91,1)</f>
        <v>7TR1131</v>
      </c>
      <c r="F91" s="7" t="s">
        <v>50</v>
      </c>
      <c r="G91" s="6">
        <v>1</v>
      </c>
      <c r="H91" s="6">
        <v>20250401</v>
      </c>
      <c r="I91" s="6" t="str">
        <f>TEXT(DATE(LEFT(H91,4), MID(H91,5,2), RIGHT(H91,2)), "M/d/yyyy")</f>
        <v>4/1/2025</v>
      </c>
      <c r="J91" s="9">
        <f>DATE(YEAR(I91), MONTH(I91) +1, DAY(I91))</f>
        <v>45778</v>
      </c>
      <c r="K91" s="6" t="s">
        <v>18</v>
      </c>
      <c r="L91" s="8">
        <v>11.9</v>
      </c>
      <c r="M91" s="8">
        <v>3</v>
      </c>
      <c r="N91" s="8">
        <v>3</v>
      </c>
      <c r="O91" t="s">
        <v>235</v>
      </c>
    </row>
    <row r="92" spans="1:15" ht="15.75" x14ac:dyDescent="0.25">
      <c r="A92" s="5" t="s">
        <v>13</v>
      </c>
      <c r="B92" s="6">
        <v>20411454</v>
      </c>
      <c r="C92" s="6" t="s">
        <v>40</v>
      </c>
      <c r="D92" s="6" t="s">
        <v>41</v>
      </c>
      <c r="E92" s="6" t="str">
        <f>CONCATENATE(D92,1)</f>
        <v>0J4F071</v>
      </c>
      <c r="F92" s="7" t="s">
        <v>22</v>
      </c>
      <c r="G92" s="6">
        <v>-3</v>
      </c>
      <c r="H92" s="6">
        <v>20250201</v>
      </c>
      <c r="I92" s="6" t="str">
        <f>TEXT(DATE(LEFT(H92,4), MID(H92,5,2), RIGHT(H92,2)), "M/d/yyyy")</f>
        <v>2/1/2025</v>
      </c>
      <c r="J92" s="9">
        <f>DATE(YEAR(I92), MONTH(I92) +1, DAY(I92))</f>
        <v>45717</v>
      </c>
      <c r="K92" s="6" t="s">
        <v>18</v>
      </c>
      <c r="L92" s="8">
        <v>-191.23</v>
      </c>
      <c r="M92" s="8">
        <v>3</v>
      </c>
      <c r="N92" s="8">
        <v>-9</v>
      </c>
      <c r="O92" t="s">
        <v>235</v>
      </c>
    </row>
    <row r="93" spans="1:15" ht="15.75" x14ac:dyDescent="0.25">
      <c r="A93" s="5" t="s">
        <v>13</v>
      </c>
      <c r="B93" s="6">
        <v>20411454</v>
      </c>
      <c r="C93" s="6" t="s">
        <v>40</v>
      </c>
      <c r="D93" s="6" t="s">
        <v>41</v>
      </c>
      <c r="E93" s="6" t="str">
        <f>CONCATENATE(D93,1)</f>
        <v>0J4F071</v>
      </c>
      <c r="F93" s="7" t="s">
        <v>22</v>
      </c>
      <c r="G93" s="6">
        <v>-3</v>
      </c>
      <c r="H93" s="6">
        <v>20250301</v>
      </c>
      <c r="I93" s="6" t="str">
        <f>TEXT(DATE(LEFT(H93,4), MID(H93,5,2), RIGHT(H93,2)), "M/d/yyyy")</f>
        <v>3/1/2025</v>
      </c>
      <c r="J93" s="9">
        <f>DATE(YEAR(I93), MONTH(I93) +1, DAY(I93))</f>
        <v>45748</v>
      </c>
      <c r="K93" s="6" t="s">
        <v>18</v>
      </c>
      <c r="L93" s="8">
        <v>-191.23</v>
      </c>
      <c r="M93" s="8">
        <v>3</v>
      </c>
      <c r="N93" s="8">
        <v>-9</v>
      </c>
      <c r="O93" t="s">
        <v>235</v>
      </c>
    </row>
    <row r="94" spans="1:15" ht="15.75" x14ac:dyDescent="0.25">
      <c r="A94" s="5" t="s">
        <v>13</v>
      </c>
      <c r="B94" s="6">
        <v>20411454</v>
      </c>
      <c r="C94" s="6" t="s">
        <v>40</v>
      </c>
      <c r="D94" s="6" t="s">
        <v>41</v>
      </c>
      <c r="E94" s="6" t="str">
        <f>CONCATENATE(D94,1)</f>
        <v>0J4F071</v>
      </c>
      <c r="F94" s="7" t="s">
        <v>22</v>
      </c>
      <c r="G94" s="6">
        <v>3</v>
      </c>
      <c r="H94" s="6">
        <v>20250201</v>
      </c>
      <c r="I94" s="6" t="str">
        <f>TEXT(DATE(LEFT(H94,4), MID(H94,5,2), RIGHT(H94,2)), "M/d/yyyy")</f>
        <v>2/1/2025</v>
      </c>
      <c r="J94" s="9">
        <f>DATE(YEAR(I94), MONTH(I94) +1, DAY(I94))</f>
        <v>45717</v>
      </c>
      <c r="K94" s="6" t="s">
        <v>18</v>
      </c>
      <c r="L94" s="8">
        <v>191.23</v>
      </c>
      <c r="M94" s="8">
        <v>3</v>
      </c>
      <c r="N94" s="8">
        <v>9</v>
      </c>
      <c r="O94" t="s">
        <v>235</v>
      </c>
    </row>
    <row r="95" spans="1:15" ht="15.75" x14ac:dyDescent="0.25">
      <c r="A95" s="5" t="s">
        <v>13</v>
      </c>
      <c r="B95" s="6">
        <v>20411454</v>
      </c>
      <c r="C95" s="6" t="s">
        <v>40</v>
      </c>
      <c r="D95" s="6" t="s">
        <v>41</v>
      </c>
      <c r="E95" s="6" t="str">
        <f>CONCATENATE(D95,1)</f>
        <v>0J4F071</v>
      </c>
      <c r="F95" s="7" t="s">
        <v>22</v>
      </c>
      <c r="G95" s="6">
        <v>3</v>
      </c>
      <c r="H95" s="6">
        <v>20250301</v>
      </c>
      <c r="I95" s="6" t="str">
        <f>TEXT(DATE(LEFT(H95,4), MID(H95,5,2), RIGHT(H95,2)), "M/d/yyyy")</f>
        <v>3/1/2025</v>
      </c>
      <c r="J95" s="9">
        <f>DATE(YEAR(I95), MONTH(I95) +1, DAY(I95))</f>
        <v>45748</v>
      </c>
      <c r="K95" s="6" t="s">
        <v>18</v>
      </c>
      <c r="L95" s="8">
        <v>191.23</v>
      </c>
      <c r="M95" s="8">
        <v>3</v>
      </c>
      <c r="N95" s="8">
        <v>9</v>
      </c>
      <c r="O95" t="s">
        <v>235</v>
      </c>
    </row>
    <row r="96" spans="1:15" ht="15.75" x14ac:dyDescent="0.25">
      <c r="A96" s="5" t="s">
        <v>13</v>
      </c>
      <c r="B96" s="6">
        <v>20411454</v>
      </c>
      <c r="C96" s="6" t="s">
        <v>40</v>
      </c>
      <c r="D96" s="6" t="s">
        <v>41</v>
      </c>
      <c r="E96" s="6" t="str">
        <f>CONCATENATE(D96,1)</f>
        <v>0J4F071</v>
      </c>
      <c r="F96" s="7" t="s">
        <v>22</v>
      </c>
      <c r="G96" s="6">
        <v>3</v>
      </c>
      <c r="H96" s="6">
        <v>20250401</v>
      </c>
      <c r="I96" s="6" t="str">
        <f>TEXT(DATE(LEFT(H96,4), MID(H96,5,2), RIGHT(H96,2)), "M/d/yyyy")</f>
        <v>4/1/2025</v>
      </c>
      <c r="J96" s="9">
        <f>DATE(YEAR(I96), MONTH(I96) +1, DAY(I96))</f>
        <v>45778</v>
      </c>
      <c r="K96" s="6" t="s">
        <v>18</v>
      </c>
      <c r="L96" s="8">
        <v>191.23</v>
      </c>
      <c r="M96" s="8">
        <v>3</v>
      </c>
      <c r="N96" s="8">
        <v>9</v>
      </c>
      <c r="O96" t="s">
        <v>235</v>
      </c>
    </row>
    <row r="97" spans="1:15" ht="15.75" x14ac:dyDescent="0.25">
      <c r="A97" s="5" t="s">
        <v>13</v>
      </c>
      <c r="B97" s="6">
        <v>20411454</v>
      </c>
      <c r="C97" s="6" t="s">
        <v>99</v>
      </c>
      <c r="D97" s="6" t="s">
        <v>100</v>
      </c>
      <c r="E97" s="6" t="str">
        <f>CONCATENATE(D97,1)</f>
        <v>72P58Q1</v>
      </c>
      <c r="F97" s="7" t="s">
        <v>86</v>
      </c>
      <c r="G97" s="6">
        <v>-1</v>
      </c>
      <c r="H97" s="6">
        <v>20250201</v>
      </c>
      <c r="I97" s="6" t="str">
        <f>TEXT(DATE(LEFT(H97,4), MID(H97,5,2), RIGHT(H97,2)), "M/d/yyyy")</f>
        <v>2/1/2025</v>
      </c>
      <c r="J97" s="9">
        <f>DATE(YEAR(I97), MONTH(I97) +1, DAY(I97))</f>
        <v>45717</v>
      </c>
      <c r="K97" s="6" t="s">
        <v>18</v>
      </c>
      <c r="L97" s="8">
        <v>-55.34</v>
      </c>
      <c r="M97" s="8">
        <v>3</v>
      </c>
      <c r="N97" s="8">
        <v>-3</v>
      </c>
      <c r="O97" t="s">
        <v>235</v>
      </c>
    </row>
    <row r="98" spans="1:15" ht="15.75" x14ac:dyDescent="0.25">
      <c r="A98" s="5" t="s">
        <v>13</v>
      </c>
      <c r="B98" s="6">
        <v>20411454</v>
      </c>
      <c r="C98" s="6" t="s">
        <v>99</v>
      </c>
      <c r="D98" s="6" t="s">
        <v>100</v>
      </c>
      <c r="E98" s="6" t="str">
        <f>CONCATENATE(D98,1)</f>
        <v>72P58Q1</v>
      </c>
      <c r="F98" s="7" t="s">
        <v>86</v>
      </c>
      <c r="G98" s="6">
        <v>-1</v>
      </c>
      <c r="H98" s="6">
        <v>20250301</v>
      </c>
      <c r="I98" s="6" t="str">
        <f>TEXT(DATE(LEFT(H98,4), MID(H98,5,2), RIGHT(H98,2)), "M/d/yyyy")</f>
        <v>3/1/2025</v>
      </c>
      <c r="J98" s="9">
        <f>DATE(YEAR(I98), MONTH(I98) +1, DAY(I98))</f>
        <v>45748</v>
      </c>
      <c r="K98" s="6" t="s">
        <v>18</v>
      </c>
      <c r="L98" s="8">
        <v>-55.34</v>
      </c>
      <c r="M98" s="8">
        <v>3</v>
      </c>
      <c r="N98" s="8">
        <v>-3</v>
      </c>
      <c r="O98" t="s">
        <v>235</v>
      </c>
    </row>
    <row r="99" spans="1:15" ht="15.75" x14ac:dyDescent="0.25">
      <c r="A99" s="5" t="s">
        <v>13</v>
      </c>
      <c r="B99" s="6">
        <v>20411454</v>
      </c>
      <c r="C99" s="6" t="s">
        <v>99</v>
      </c>
      <c r="D99" s="6" t="s">
        <v>100</v>
      </c>
      <c r="E99" s="6" t="str">
        <f>CONCATENATE(D99,1)</f>
        <v>72P58Q1</v>
      </c>
      <c r="F99" s="7" t="s">
        <v>86</v>
      </c>
      <c r="G99" s="6">
        <v>1</v>
      </c>
      <c r="H99" s="6">
        <v>20250201</v>
      </c>
      <c r="I99" s="6" t="str">
        <f>TEXT(DATE(LEFT(H99,4), MID(H99,5,2), RIGHT(H99,2)), "M/d/yyyy")</f>
        <v>2/1/2025</v>
      </c>
      <c r="J99" s="9">
        <f>DATE(YEAR(I99), MONTH(I99) +1, DAY(I99))</f>
        <v>45717</v>
      </c>
      <c r="K99" s="6" t="s">
        <v>18</v>
      </c>
      <c r="L99" s="8">
        <v>55.34</v>
      </c>
      <c r="M99" s="8">
        <v>3</v>
      </c>
      <c r="N99" s="8">
        <v>3</v>
      </c>
      <c r="O99" t="s">
        <v>235</v>
      </c>
    </row>
    <row r="100" spans="1:15" ht="15.75" x14ac:dyDescent="0.25">
      <c r="A100" s="5" t="s">
        <v>13</v>
      </c>
      <c r="B100" s="6">
        <v>20411454</v>
      </c>
      <c r="C100" s="6" t="s">
        <v>99</v>
      </c>
      <c r="D100" s="6" t="s">
        <v>100</v>
      </c>
      <c r="E100" s="6" t="str">
        <f>CONCATENATE(D100,1)</f>
        <v>72P58Q1</v>
      </c>
      <c r="F100" s="7" t="s">
        <v>86</v>
      </c>
      <c r="G100" s="6">
        <v>1</v>
      </c>
      <c r="H100" s="6">
        <v>20250301</v>
      </c>
      <c r="I100" s="6" t="str">
        <f>TEXT(DATE(LEFT(H100,4), MID(H100,5,2), RIGHT(H100,2)), "M/d/yyyy")</f>
        <v>3/1/2025</v>
      </c>
      <c r="J100" s="9">
        <f>DATE(YEAR(I100), MONTH(I100) +1, DAY(I100))</f>
        <v>45748</v>
      </c>
      <c r="K100" s="6" t="s">
        <v>18</v>
      </c>
      <c r="L100" s="8">
        <v>55.34</v>
      </c>
      <c r="M100" s="8">
        <v>3</v>
      </c>
      <c r="N100" s="8">
        <v>3</v>
      </c>
      <c r="O100" t="s">
        <v>235</v>
      </c>
    </row>
    <row r="101" spans="1:15" ht="15.75" x14ac:dyDescent="0.25">
      <c r="A101" s="5" t="s">
        <v>13</v>
      </c>
      <c r="B101" s="6">
        <v>20411454</v>
      </c>
      <c r="C101" s="6" t="s">
        <v>171</v>
      </c>
      <c r="D101" s="6" t="s">
        <v>172</v>
      </c>
      <c r="E101" s="6" t="str">
        <f>CONCATENATE(D101,1)</f>
        <v>62N9M21</v>
      </c>
      <c r="F101" s="7" t="s">
        <v>86</v>
      </c>
      <c r="G101" s="6">
        <v>-1</v>
      </c>
      <c r="H101" s="6">
        <v>20250201</v>
      </c>
      <c r="I101" s="6" t="str">
        <f>TEXT(DATE(LEFT(H101,4), MID(H101,5,2), RIGHT(H101,2)), "M/d/yyyy")</f>
        <v>2/1/2025</v>
      </c>
      <c r="J101" s="9">
        <f>DATE(YEAR(I101), MONTH(I101) +1, DAY(I101))</f>
        <v>45717</v>
      </c>
      <c r="K101" s="6" t="s">
        <v>18</v>
      </c>
      <c r="L101" s="8">
        <v>-869.74</v>
      </c>
      <c r="M101" s="8">
        <v>3</v>
      </c>
      <c r="N101" s="8">
        <v>-3</v>
      </c>
      <c r="O101" t="s">
        <v>235</v>
      </c>
    </row>
    <row r="102" spans="1:15" ht="15.75" x14ac:dyDescent="0.25">
      <c r="A102" s="5" t="s">
        <v>13</v>
      </c>
      <c r="B102" s="6">
        <v>20411454</v>
      </c>
      <c r="C102" s="6" t="s">
        <v>171</v>
      </c>
      <c r="D102" s="6" t="s">
        <v>172</v>
      </c>
      <c r="E102" s="6" t="str">
        <f>CONCATENATE(D102,1)</f>
        <v>62N9M21</v>
      </c>
      <c r="F102" s="7" t="s">
        <v>86</v>
      </c>
      <c r="G102" s="6">
        <v>-1</v>
      </c>
      <c r="H102" s="6">
        <v>20250301</v>
      </c>
      <c r="I102" s="6" t="str">
        <f>TEXT(DATE(LEFT(H102,4), MID(H102,5,2), RIGHT(H102,2)), "M/d/yyyy")</f>
        <v>3/1/2025</v>
      </c>
      <c r="J102" s="9">
        <f>DATE(YEAR(I102), MONTH(I102) +1, DAY(I102))</f>
        <v>45748</v>
      </c>
      <c r="K102" s="6" t="s">
        <v>18</v>
      </c>
      <c r="L102" s="8">
        <v>-869.74</v>
      </c>
      <c r="M102" s="8">
        <v>3</v>
      </c>
      <c r="N102" s="8">
        <v>-3</v>
      </c>
      <c r="O102" t="s">
        <v>235</v>
      </c>
    </row>
    <row r="103" spans="1:15" ht="15.75" x14ac:dyDescent="0.25">
      <c r="A103" s="5" t="s">
        <v>13</v>
      </c>
      <c r="B103" s="6">
        <v>20411454</v>
      </c>
      <c r="C103" s="6" t="s">
        <v>171</v>
      </c>
      <c r="D103" s="6" t="s">
        <v>172</v>
      </c>
      <c r="E103" s="6" t="str">
        <f>CONCATENATE(D103,1)</f>
        <v>62N9M21</v>
      </c>
      <c r="F103" s="7" t="s">
        <v>86</v>
      </c>
      <c r="G103" s="6">
        <v>1</v>
      </c>
      <c r="H103" s="6">
        <v>20250201</v>
      </c>
      <c r="I103" s="6" t="str">
        <f>TEXT(DATE(LEFT(H103,4), MID(H103,5,2), RIGHT(H103,2)), "M/d/yyyy")</f>
        <v>2/1/2025</v>
      </c>
      <c r="J103" s="9">
        <f>DATE(YEAR(I103), MONTH(I103) +1, DAY(I103))</f>
        <v>45717</v>
      </c>
      <c r="K103" s="6" t="s">
        <v>18</v>
      </c>
      <c r="L103" s="8">
        <v>869.74</v>
      </c>
      <c r="M103" s="8">
        <v>3</v>
      </c>
      <c r="N103" s="8">
        <v>3</v>
      </c>
      <c r="O103" t="s">
        <v>235</v>
      </c>
    </row>
    <row r="104" spans="1:15" ht="15.75" x14ac:dyDescent="0.25">
      <c r="A104" s="5" t="s">
        <v>13</v>
      </c>
      <c r="B104" s="6">
        <v>20411454</v>
      </c>
      <c r="C104" s="6" t="s">
        <v>171</v>
      </c>
      <c r="D104" s="6" t="s">
        <v>172</v>
      </c>
      <c r="E104" s="6" t="str">
        <f>CONCATENATE(D104,1)</f>
        <v>62N9M21</v>
      </c>
      <c r="F104" s="7" t="s">
        <v>86</v>
      </c>
      <c r="G104" s="6">
        <v>1</v>
      </c>
      <c r="H104" s="6">
        <v>20250301</v>
      </c>
      <c r="I104" s="6" t="str">
        <f>TEXT(DATE(LEFT(H104,4), MID(H104,5,2), RIGHT(H104,2)), "M/d/yyyy")</f>
        <v>3/1/2025</v>
      </c>
      <c r="J104" s="9">
        <f>DATE(YEAR(I104), MONTH(I104) +1, DAY(I104))</f>
        <v>45748</v>
      </c>
      <c r="K104" s="6" t="s">
        <v>18</v>
      </c>
      <c r="L104" s="8">
        <v>869.74</v>
      </c>
      <c r="M104" s="8">
        <v>3</v>
      </c>
      <c r="N104" s="8">
        <v>3</v>
      </c>
      <c r="O104" t="s">
        <v>235</v>
      </c>
    </row>
    <row r="105" spans="1:15" ht="15.75" x14ac:dyDescent="0.25">
      <c r="A105" s="5" t="s">
        <v>13</v>
      </c>
      <c r="B105" s="6">
        <v>20411454</v>
      </c>
      <c r="C105" s="6" t="s">
        <v>171</v>
      </c>
      <c r="D105" s="6" t="s">
        <v>172</v>
      </c>
      <c r="E105" s="6" t="str">
        <f>CONCATENATE(D105,1)</f>
        <v>62N9M21</v>
      </c>
      <c r="F105" s="7" t="s">
        <v>86</v>
      </c>
      <c r="G105" s="6">
        <v>1</v>
      </c>
      <c r="H105" s="6">
        <v>20250401</v>
      </c>
      <c r="I105" s="6" t="str">
        <f>TEXT(DATE(LEFT(H105,4), MID(H105,5,2), RIGHT(H105,2)), "M/d/yyyy")</f>
        <v>4/1/2025</v>
      </c>
      <c r="J105" s="9">
        <f>DATE(YEAR(I105), MONTH(I105) +1, DAY(I105))</f>
        <v>45778</v>
      </c>
      <c r="K105" s="6" t="s">
        <v>18</v>
      </c>
      <c r="L105" s="8">
        <v>869.74</v>
      </c>
      <c r="M105" s="8">
        <v>3</v>
      </c>
      <c r="N105" s="8">
        <v>3</v>
      </c>
      <c r="O105" t="s">
        <v>235</v>
      </c>
    </row>
    <row r="106" spans="1:15" ht="15.75" x14ac:dyDescent="0.25">
      <c r="A106" s="5" t="s">
        <v>13</v>
      </c>
      <c r="B106" s="6">
        <v>20411454</v>
      </c>
      <c r="C106" s="6" t="s">
        <v>139</v>
      </c>
      <c r="D106" s="6" t="s">
        <v>140</v>
      </c>
      <c r="E106" s="6" t="str">
        <f>CONCATENATE(D106,1)</f>
        <v>78P06Q1</v>
      </c>
      <c r="F106" s="7" t="s">
        <v>86</v>
      </c>
      <c r="G106" s="6">
        <v>-2</v>
      </c>
      <c r="H106" s="6">
        <v>20250201</v>
      </c>
      <c r="I106" s="6" t="str">
        <f>TEXT(DATE(LEFT(H106,4), MID(H106,5,2), RIGHT(H106,2)), "M/d/yyyy")</f>
        <v>2/1/2025</v>
      </c>
      <c r="J106" s="9">
        <f>DATE(YEAR(I106), MONTH(I106) +1, DAY(I106))</f>
        <v>45717</v>
      </c>
      <c r="K106" s="6" t="s">
        <v>18</v>
      </c>
      <c r="L106" s="8">
        <v>-2.78</v>
      </c>
      <c r="M106" s="8">
        <v>3</v>
      </c>
      <c r="N106" s="8">
        <v>-6</v>
      </c>
      <c r="O106" t="s">
        <v>235</v>
      </c>
    </row>
    <row r="107" spans="1:15" ht="15.75" x14ac:dyDescent="0.25">
      <c r="A107" s="5" t="s">
        <v>13</v>
      </c>
      <c r="B107" s="6">
        <v>20411454</v>
      </c>
      <c r="C107" s="6" t="s">
        <v>139</v>
      </c>
      <c r="D107" s="6" t="s">
        <v>140</v>
      </c>
      <c r="E107" s="6" t="str">
        <f>CONCATENATE(D107,1)</f>
        <v>78P06Q1</v>
      </c>
      <c r="F107" s="7" t="s">
        <v>86</v>
      </c>
      <c r="G107" s="6">
        <v>2</v>
      </c>
      <c r="H107" s="6">
        <v>20250201</v>
      </c>
      <c r="I107" s="6" t="str">
        <f>TEXT(DATE(LEFT(H107,4), MID(H107,5,2), RIGHT(H107,2)), "M/d/yyyy")</f>
        <v>2/1/2025</v>
      </c>
      <c r="J107" s="9">
        <f>DATE(YEAR(I107), MONTH(I107) +1, DAY(I107))</f>
        <v>45717</v>
      </c>
      <c r="K107" s="6" t="s">
        <v>18</v>
      </c>
      <c r="L107" s="8">
        <v>2.78</v>
      </c>
      <c r="M107" s="8">
        <v>3</v>
      </c>
      <c r="N107" s="8">
        <v>6</v>
      </c>
      <c r="O107" t="s">
        <v>235</v>
      </c>
    </row>
    <row r="108" spans="1:15" ht="15.75" x14ac:dyDescent="0.25">
      <c r="A108" s="5" t="s">
        <v>13</v>
      </c>
      <c r="B108" s="6">
        <v>20411454</v>
      </c>
      <c r="C108" s="6" t="s">
        <v>139</v>
      </c>
      <c r="D108" s="6" t="s">
        <v>140</v>
      </c>
      <c r="E108" s="6" t="str">
        <f>CONCATENATE(D108,1)</f>
        <v>78P06Q1</v>
      </c>
      <c r="F108" s="7" t="s">
        <v>86</v>
      </c>
      <c r="G108" s="6">
        <v>2</v>
      </c>
      <c r="H108" s="6">
        <v>20250301</v>
      </c>
      <c r="I108" s="6" t="str">
        <f>TEXT(DATE(LEFT(H108,4), MID(H108,5,2), RIGHT(H108,2)), "M/d/yyyy")</f>
        <v>3/1/2025</v>
      </c>
      <c r="J108" s="9">
        <f>DATE(YEAR(I108), MONTH(I108) +1, DAY(I108))</f>
        <v>45748</v>
      </c>
      <c r="K108" s="6" t="s">
        <v>18</v>
      </c>
      <c r="L108" s="8">
        <v>2.78</v>
      </c>
      <c r="M108" s="8">
        <v>3</v>
      </c>
      <c r="N108" s="8">
        <v>6</v>
      </c>
      <c r="O108" t="s">
        <v>235</v>
      </c>
    </row>
    <row r="109" spans="1:15" ht="15.75" x14ac:dyDescent="0.25">
      <c r="A109" s="5" t="s">
        <v>13</v>
      </c>
      <c r="B109" s="6">
        <v>20411454</v>
      </c>
      <c r="C109" s="6" t="s">
        <v>143</v>
      </c>
      <c r="D109" s="6" t="s">
        <v>144</v>
      </c>
      <c r="E109" s="6" t="str">
        <f>CONCATENATE(D109,1)</f>
        <v>04N2X01</v>
      </c>
      <c r="F109" s="7" t="s">
        <v>86</v>
      </c>
      <c r="G109" s="6">
        <v>-1</v>
      </c>
      <c r="H109" s="6">
        <v>20250201</v>
      </c>
      <c r="I109" s="6" t="str">
        <f>TEXT(DATE(LEFT(H109,4), MID(H109,5,2), RIGHT(H109,2)), "M/d/yyyy")</f>
        <v>2/1/2025</v>
      </c>
      <c r="J109" s="9">
        <f>DATE(YEAR(I109), MONTH(I109) +1, DAY(I109))</f>
        <v>45717</v>
      </c>
      <c r="K109" s="6" t="s">
        <v>18</v>
      </c>
      <c r="L109" s="8">
        <v>-87.38</v>
      </c>
      <c r="M109" s="8">
        <v>3</v>
      </c>
      <c r="N109" s="8">
        <v>-3</v>
      </c>
      <c r="O109" t="s">
        <v>235</v>
      </c>
    </row>
    <row r="110" spans="1:15" ht="15.75" x14ac:dyDescent="0.25">
      <c r="A110" s="5" t="s">
        <v>13</v>
      </c>
      <c r="B110" s="6">
        <v>20411454</v>
      </c>
      <c r="C110" s="6" t="s">
        <v>143</v>
      </c>
      <c r="D110" s="6" t="s">
        <v>144</v>
      </c>
      <c r="E110" s="6" t="str">
        <f>CONCATENATE(D110,1)</f>
        <v>04N2X01</v>
      </c>
      <c r="F110" s="7" t="s">
        <v>86</v>
      </c>
      <c r="G110" s="6">
        <v>-1</v>
      </c>
      <c r="H110" s="6">
        <v>20250301</v>
      </c>
      <c r="I110" s="6" t="str">
        <f>TEXT(DATE(LEFT(H110,4), MID(H110,5,2), RIGHT(H110,2)), "M/d/yyyy")</f>
        <v>3/1/2025</v>
      </c>
      <c r="J110" s="9">
        <f>DATE(YEAR(I110), MONTH(I110) +1, DAY(I110))</f>
        <v>45748</v>
      </c>
      <c r="K110" s="6" t="s">
        <v>18</v>
      </c>
      <c r="L110" s="8">
        <v>-29.68</v>
      </c>
      <c r="M110" s="8">
        <v>3</v>
      </c>
      <c r="N110" s="8">
        <v>-3</v>
      </c>
      <c r="O110" t="s">
        <v>235</v>
      </c>
    </row>
    <row r="111" spans="1:15" ht="15.75" x14ac:dyDescent="0.25">
      <c r="A111" s="5" t="s">
        <v>13</v>
      </c>
      <c r="B111" s="6">
        <v>20411454</v>
      </c>
      <c r="C111" s="6" t="s">
        <v>143</v>
      </c>
      <c r="D111" s="6" t="s">
        <v>144</v>
      </c>
      <c r="E111" s="6" t="str">
        <f>CONCATENATE(D111,1)</f>
        <v>04N2X01</v>
      </c>
      <c r="F111" s="7" t="s">
        <v>86</v>
      </c>
      <c r="G111" s="6">
        <v>1</v>
      </c>
      <c r="H111" s="6">
        <v>20250201</v>
      </c>
      <c r="I111" s="6" t="str">
        <f>TEXT(DATE(LEFT(H111,4), MID(H111,5,2), RIGHT(H111,2)), "M/d/yyyy")</f>
        <v>2/1/2025</v>
      </c>
      <c r="J111" s="9">
        <f>DATE(YEAR(I111), MONTH(I111) +1, DAY(I111))</f>
        <v>45717</v>
      </c>
      <c r="K111" s="6" t="s">
        <v>18</v>
      </c>
      <c r="L111" s="8">
        <v>29.68</v>
      </c>
      <c r="M111" s="8">
        <v>3</v>
      </c>
      <c r="N111" s="8">
        <v>3</v>
      </c>
      <c r="O111" t="s">
        <v>235</v>
      </c>
    </row>
    <row r="112" spans="1:15" ht="15.75" x14ac:dyDescent="0.25">
      <c r="A112" s="5" t="s">
        <v>13</v>
      </c>
      <c r="B112" s="6">
        <v>20411454</v>
      </c>
      <c r="C112" s="6" t="s">
        <v>143</v>
      </c>
      <c r="D112" s="6" t="s">
        <v>144</v>
      </c>
      <c r="E112" s="6" t="str">
        <f>CONCATENATE(D112,1)</f>
        <v>04N2X01</v>
      </c>
      <c r="F112" s="7" t="s">
        <v>86</v>
      </c>
      <c r="G112" s="6">
        <v>1</v>
      </c>
      <c r="H112" s="6">
        <v>20250301</v>
      </c>
      <c r="I112" s="6" t="str">
        <f>TEXT(DATE(LEFT(H112,4), MID(H112,5,2), RIGHT(H112,2)), "M/d/yyyy")</f>
        <v>3/1/2025</v>
      </c>
      <c r="J112" s="9">
        <f>DATE(YEAR(I112), MONTH(I112) +1, DAY(I112))</f>
        <v>45748</v>
      </c>
      <c r="K112" s="6" t="s">
        <v>18</v>
      </c>
      <c r="L112" s="8">
        <v>29.68</v>
      </c>
      <c r="M112" s="8">
        <v>3</v>
      </c>
      <c r="N112" s="8">
        <v>3</v>
      </c>
      <c r="O112" t="s">
        <v>235</v>
      </c>
    </row>
    <row r="113" spans="1:15" ht="15.75" x14ac:dyDescent="0.25">
      <c r="A113" s="5" t="s">
        <v>13</v>
      </c>
      <c r="B113" s="6">
        <v>20411454</v>
      </c>
      <c r="C113" s="6" t="s">
        <v>143</v>
      </c>
      <c r="D113" s="6" t="s">
        <v>144</v>
      </c>
      <c r="E113" s="6" t="str">
        <f>CONCATENATE(D113,1)</f>
        <v>04N2X01</v>
      </c>
      <c r="F113" s="7" t="s">
        <v>86</v>
      </c>
      <c r="G113" s="6">
        <v>1</v>
      </c>
      <c r="H113" s="6">
        <v>20250401</v>
      </c>
      <c r="I113" s="6" t="str">
        <f>TEXT(DATE(LEFT(H113,4), MID(H113,5,2), RIGHT(H113,2)), "M/d/yyyy")</f>
        <v>4/1/2025</v>
      </c>
      <c r="J113" s="9">
        <f>DATE(YEAR(I113), MONTH(I113) +1, DAY(I113))</f>
        <v>45778</v>
      </c>
      <c r="K113" s="6" t="s">
        <v>18</v>
      </c>
      <c r="L113" s="8">
        <v>29.68</v>
      </c>
      <c r="M113" s="8">
        <v>3</v>
      </c>
      <c r="N113" s="8">
        <v>3</v>
      </c>
      <c r="O113" t="s">
        <v>235</v>
      </c>
    </row>
    <row r="114" spans="1:15" ht="15.75" x14ac:dyDescent="0.25">
      <c r="A114" s="5" t="s">
        <v>13</v>
      </c>
      <c r="B114" s="6">
        <v>20411454</v>
      </c>
      <c r="C114" s="6" t="s">
        <v>123</v>
      </c>
      <c r="D114" s="6" t="s">
        <v>124</v>
      </c>
      <c r="E114" s="6" t="str">
        <f>CONCATENATE(D114,1)</f>
        <v>50QL361</v>
      </c>
      <c r="F114" s="7" t="s">
        <v>86</v>
      </c>
      <c r="G114" s="6">
        <v>-4</v>
      </c>
      <c r="H114" s="6">
        <v>20250201</v>
      </c>
      <c r="I114" s="6" t="str">
        <f>TEXT(DATE(LEFT(H114,4), MID(H114,5,2), RIGHT(H114,2)), "M/d/yyyy")</f>
        <v>2/1/2025</v>
      </c>
      <c r="J114" s="9">
        <f>DATE(YEAR(I114), MONTH(I114) +1, DAY(I114))</f>
        <v>45717</v>
      </c>
      <c r="K114" s="6" t="s">
        <v>18</v>
      </c>
      <c r="L114" s="8">
        <v>-438.09</v>
      </c>
      <c r="M114" s="8">
        <v>3</v>
      </c>
      <c r="N114" s="8">
        <v>-12</v>
      </c>
      <c r="O114" t="s">
        <v>235</v>
      </c>
    </row>
    <row r="115" spans="1:15" ht="15.75" x14ac:dyDescent="0.25">
      <c r="A115" s="5" t="s">
        <v>13</v>
      </c>
      <c r="B115" s="6">
        <v>20411454</v>
      </c>
      <c r="C115" s="6" t="s">
        <v>123</v>
      </c>
      <c r="D115" s="6" t="s">
        <v>124</v>
      </c>
      <c r="E115" s="6" t="str">
        <f>CONCATENATE(D115,1)</f>
        <v>50QL361</v>
      </c>
      <c r="F115" s="7" t="s">
        <v>86</v>
      </c>
      <c r="G115" s="6">
        <v>4</v>
      </c>
      <c r="H115" s="6">
        <v>20250201</v>
      </c>
      <c r="I115" s="6" t="str">
        <f>TEXT(DATE(LEFT(H115,4), MID(H115,5,2), RIGHT(H115,2)), "M/d/yyyy")</f>
        <v>2/1/2025</v>
      </c>
      <c r="J115" s="9">
        <f>DATE(YEAR(I115), MONTH(I115) +1, DAY(I115))</f>
        <v>45717</v>
      </c>
      <c r="K115" s="6" t="s">
        <v>18</v>
      </c>
      <c r="L115" s="8">
        <v>438.09</v>
      </c>
      <c r="M115" s="8">
        <v>3</v>
      </c>
      <c r="N115" s="8">
        <v>12</v>
      </c>
      <c r="O115" t="s">
        <v>235</v>
      </c>
    </row>
    <row r="116" spans="1:15" ht="15.75" x14ac:dyDescent="0.25">
      <c r="A116" s="5" t="s">
        <v>13</v>
      </c>
      <c r="B116" s="6">
        <v>20411454</v>
      </c>
      <c r="C116" s="6" t="s">
        <v>123</v>
      </c>
      <c r="D116" s="6" t="s">
        <v>124</v>
      </c>
      <c r="E116" s="6" t="str">
        <f>CONCATENATE(D116,1)</f>
        <v>50QL361</v>
      </c>
      <c r="F116" s="7" t="s">
        <v>86</v>
      </c>
      <c r="G116" s="6">
        <v>4</v>
      </c>
      <c r="H116" s="6">
        <v>20250301</v>
      </c>
      <c r="I116" s="6" t="str">
        <f>TEXT(DATE(LEFT(H116,4), MID(H116,5,2), RIGHT(H116,2)), "M/d/yyyy")</f>
        <v>3/1/2025</v>
      </c>
      <c r="J116" s="9">
        <f>DATE(YEAR(I116), MONTH(I116) +1, DAY(I116))</f>
        <v>45748</v>
      </c>
      <c r="K116" s="6" t="s">
        <v>18</v>
      </c>
      <c r="L116" s="8">
        <v>438.09</v>
      </c>
      <c r="M116" s="8">
        <v>3</v>
      </c>
      <c r="N116" s="8">
        <v>12</v>
      </c>
      <c r="O116" t="s">
        <v>235</v>
      </c>
    </row>
    <row r="117" spans="1:15" ht="15.75" x14ac:dyDescent="0.25">
      <c r="A117" s="5" t="s">
        <v>13</v>
      </c>
      <c r="B117" s="6">
        <v>20411454</v>
      </c>
      <c r="C117" s="6" t="s">
        <v>48</v>
      </c>
      <c r="D117" s="6" t="s">
        <v>49</v>
      </c>
      <c r="E117" s="6" t="str">
        <f>CONCATENATE(D117,1)</f>
        <v>1N92F41</v>
      </c>
      <c r="F117" s="7" t="s">
        <v>50</v>
      </c>
      <c r="G117" s="6">
        <v>-1</v>
      </c>
      <c r="H117" s="6">
        <v>20250201</v>
      </c>
      <c r="I117" s="6" t="str">
        <f>TEXT(DATE(LEFT(H117,4), MID(H117,5,2), RIGHT(H117,2)), "M/d/yyyy")</f>
        <v>2/1/2025</v>
      </c>
      <c r="J117" s="9">
        <f>DATE(YEAR(I117), MONTH(I117) +1, DAY(I117))</f>
        <v>45717</v>
      </c>
      <c r="K117" s="6" t="s">
        <v>18</v>
      </c>
      <c r="L117" s="8">
        <v>-17.690000000000001</v>
      </c>
      <c r="M117" s="8">
        <v>3</v>
      </c>
      <c r="N117" s="8">
        <v>-3</v>
      </c>
      <c r="O117" t="s">
        <v>235</v>
      </c>
    </row>
    <row r="118" spans="1:15" ht="15.75" x14ac:dyDescent="0.25">
      <c r="A118" s="5" t="s">
        <v>13</v>
      </c>
      <c r="B118" s="6">
        <v>20411454</v>
      </c>
      <c r="C118" s="6" t="s">
        <v>48</v>
      </c>
      <c r="D118" s="6" t="s">
        <v>49</v>
      </c>
      <c r="E118" s="6" t="str">
        <f>CONCATENATE(D118,1)</f>
        <v>1N92F41</v>
      </c>
      <c r="F118" s="7" t="s">
        <v>50</v>
      </c>
      <c r="G118" s="6">
        <v>-1</v>
      </c>
      <c r="H118" s="6">
        <v>20250301</v>
      </c>
      <c r="I118" s="6" t="str">
        <f>TEXT(DATE(LEFT(H118,4), MID(H118,5,2), RIGHT(H118,2)), "M/d/yyyy")</f>
        <v>3/1/2025</v>
      </c>
      <c r="J118" s="9">
        <f>DATE(YEAR(I118), MONTH(I118) +1, DAY(I118))</f>
        <v>45748</v>
      </c>
      <c r="K118" s="6" t="s">
        <v>18</v>
      </c>
      <c r="L118" s="8">
        <v>-17.690000000000001</v>
      </c>
      <c r="M118" s="8">
        <v>3</v>
      </c>
      <c r="N118" s="8">
        <v>-3</v>
      </c>
      <c r="O118" t="s">
        <v>235</v>
      </c>
    </row>
    <row r="119" spans="1:15" ht="15.75" x14ac:dyDescent="0.25">
      <c r="A119" s="5" t="s">
        <v>13</v>
      </c>
      <c r="B119" s="6">
        <v>20411454</v>
      </c>
      <c r="C119" s="6" t="s">
        <v>48</v>
      </c>
      <c r="D119" s="6" t="s">
        <v>49</v>
      </c>
      <c r="E119" s="6" t="str">
        <f>CONCATENATE(D119,1)</f>
        <v>1N92F41</v>
      </c>
      <c r="F119" s="7" t="s">
        <v>50</v>
      </c>
      <c r="G119" s="6">
        <v>1</v>
      </c>
      <c r="H119" s="6">
        <v>20250201</v>
      </c>
      <c r="I119" s="6" t="str">
        <f>TEXT(DATE(LEFT(H119,4), MID(H119,5,2), RIGHT(H119,2)), "M/d/yyyy")</f>
        <v>2/1/2025</v>
      </c>
      <c r="J119" s="9">
        <f>DATE(YEAR(I119), MONTH(I119) +1, DAY(I119))</f>
        <v>45717</v>
      </c>
      <c r="K119" s="6" t="s">
        <v>18</v>
      </c>
      <c r="L119" s="8">
        <v>17.690000000000001</v>
      </c>
      <c r="M119" s="8">
        <v>3</v>
      </c>
      <c r="N119" s="8">
        <v>3</v>
      </c>
      <c r="O119" t="s">
        <v>235</v>
      </c>
    </row>
    <row r="120" spans="1:15" ht="15.75" x14ac:dyDescent="0.25">
      <c r="A120" s="5" t="s">
        <v>13</v>
      </c>
      <c r="B120" s="6">
        <v>20411454</v>
      </c>
      <c r="C120" s="6" t="s">
        <v>48</v>
      </c>
      <c r="D120" s="6" t="s">
        <v>49</v>
      </c>
      <c r="E120" s="6" t="str">
        <f>CONCATENATE(D120,1)</f>
        <v>1N92F41</v>
      </c>
      <c r="F120" s="7" t="s">
        <v>50</v>
      </c>
      <c r="G120" s="6">
        <v>1</v>
      </c>
      <c r="H120" s="6">
        <v>20250301</v>
      </c>
      <c r="I120" s="6" t="str">
        <f>TEXT(DATE(LEFT(H120,4), MID(H120,5,2), RIGHT(H120,2)), "M/d/yyyy")</f>
        <v>3/1/2025</v>
      </c>
      <c r="J120" s="9">
        <f>DATE(YEAR(I120), MONTH(I120) +1, DAY(I120))</f>
        <v>45748</v>
      </c>
      <c r="K120" s="6" t="s">
        <v>18</v>
      </c>
      <c r="L120" s="8">
        <v>17.690000000000001</v>
      </c>
      <c r="M120" s="8">
        <v>3</v>
      </c>
      <c r="N120" s="8">
        <v>3</v>
      </c>
      <c r="O120" t="s">
        <v>235</v>
      </c>
    </row>
    <row r="121" spans="1:15" ht="15.75" x14ac:dyDescent="0.25">
      <c r="A121" s="5" t="s">
        <v>13</v>
      </c>
      <c r="B121" s="6">
        <v>20411454</v>
      </c>
      <c r="C121" s="6" t="s">
        <v>48</v>
      </c>
      <c r="D121" s="6" t="s">
        <v>49</v>
      </c>
      <c r="E121" s="6" t="str">
        <f>CONCATENATE(D121,1)</f>
        <v>1N92F41</v>
      </c>
      <c r="F121" s="7" t="s">
        <v>50</v>
      </c>
      <c r="G121" s="6">
        <v>1</v>
      </c>
      <c r="H121" s="6">
        <v>20250401</v>
      </c>
      <c r="I121" s="6" t="str">
        <f>TEXT(DATE(LEFT(H121,4), MID(H121,5,2), RIGHT(H121,2)), "M/d/yyyy")</f>
        <v>4/1/2025</v>
      </c>
      <c r="J121" s="9">
        <f>DATE(YEAR(I121), MONTH(I121) +1, DAY(I121))</f>
        <v>45778</v>
      </c>
      <c r="K121" s="6" t="s">
        <v>18</v>
      </c>
      <c r="L121" s="8">
        <v>17.690000000000001</v>
      </c>
      <c r="M121" s="8">
        <v>3</v>
      </c>
      <c r="N121" s="8">
        <v>3</v>
      </c>
      <c r="O121" t="s">
        <v>235</v>
      </c>
    </row>
    <row r="122" spans="1:15" ht="15.75" x14ac:dyDescent="0.25">
      <c r="A122" s="5" t="s">
        <v>13</v>
      </c>
      <c r="B122" s="6">
        <v>20411454</v>
      </c>
      <c r="C122" s="6" t="s">
        <v>51</v>
      </c>
      <c r="D122" s="6" t="s">
        <v>52</v>
      </c>
      <c r="E122" s="6" t="str">
        <f>CONCATENATE(D122,1)</f>
        <v>32A6E41</v>
      </c>
      <c r="F122" s="7" t="s">
        <v>50</v>
      </c>
      <c r="G122" s="6">
        <v>-1</v>
      </c>
      <c r="H122" s="6">
        <v>20250201</v>
      </c>
      <c r="I122" s="6" t="str">
        <f>TEXT(DATE(LEFT(H122,4), MID(H122,5,2), RIGHT(H122,2)), "M/d/yyyy")</f>
        <v>2/1/2025</v>
      </c>
      <c r="J122" s="9">
        <f>DATE(YEAR(I122), MONTH(I122) +1, DAY(I122))</f>
        <v>45717</v>
      </c>
      <c r="K122" s="6" t="s">
        <v>18</v>
      </c>
      <c r="L122" s="8">
        <v>-17.690000000000001</v>
      </c>
      <c r="M122" s="8">
        <v>3</v>
      </c>
      <c r="N122" s="8">
        <v>-3</v>
      </c>
      <c r="O122" t="s">
        <v>235</v>
      </c>
    </row>
    <row r="123" spans="1:15" ht="15.75" x14ac:dyDescent="0.25">
      <c r="A123" s="5" t="s">
        <v>13</v>
      </c>
      <c r="B123" s="6">
        <v>20411454</v>
      </c>
      <c r="C123" s="6" t="s">
        <v>51</v>
      </c>
      <c r="D123" s="6" t="s">
        <v>52</v>
      </c>
      <c r="E123" s="6" t="str">
        <f>CONCATENATE(D123,1)</f>
        <v>32A6E41</v>
      </c>
      <c r="F123" s="7" t="s">
        <v>50</v>
      </c>
      <c r="G123" s="6">
        <v>-1</v>
      </c>
      <c r="H123" s="6">
        <v>20250301</v>
      </c>
      <c r="I123" s="6" t="str">
        <f>TEXT(DATE(LEFT(H123,4), MID(H123,5,2), RIGHT(H123,2)), "M/d/yyyy")</f>
        <v>3/1/2025</v>
      </c>
      <c r="J123" s="9">
        <f>DATE(YEAR(I123), MONTH(I123) +1, DAY(I123))</f>
        <v>45748</v>
      </c>
      <c r="K123" s="6" t="s">
        <v>18</v>
      </c>
      <c r="L123" s="8">
        <v>-17.690000000000001</v>
      </c>
      <c r="M123" s="8">
        <v>3</v>
      </c>
      <c r="N123" s="8">
        <v>-3</v>
      </c>
      <c r="O123" t="s">
        <v>235</v>
      </c>
    </row>
    <row r="124" spans="1:15" ht="15.75" x14ac:dyDescent="0.25">
      <c r="A124" s="5" t="s">
        <v>13</v>
      </c>
      <c r="B124" s="6">
        <v>20411454</v>
      </c>
      <c r="C124" s="6" t="s">
        <v>51</v>
      </c>
      <c r="D124" s="6" t="s">
        <v>52</v>
      </c>
      <c r="E124" s="6" t="str">
        <f>CONCATENATE(D124,1)</f>
        <v>32A6E41</v>
      </c>
      <c r="F124" s="7" t="s">
        <v>50</v>
      </c>
      <c r="G124" s="6">
        <v>1</v>
      </c>
      <c r="H124" s="6">
        <v>20250201</v>
      </c>
      <c r="I124" s="6" t="str">
        <f>TEXT(DATE(LEFT(H124,4), MID(H124,5,2), RIGHT(H124,2)), "M/d/yyyy")</f>
        <v>2/1/2025</v>
      </c>
      <c r="J124" s="9">
        <f>DATE(YEAR(I124), MONTH(I124) +1, DAY(I124))</f>
        <v>45717</v>
      </c>
      <c r="K124" s="6" t="s">
        <v>18</v>
      </c>
      <c r="L124" s="8">
        <v>17.690000000000001</v>
      </c>
      <c r="M124" s="8">
        <v>3</v>
      </c>
      <c r="N124" s="8">
        <v>3</v>
      </c>
      <c r="O124" t="s">
        <v>235</v>
      </c>
    </row>
    <row r="125" spans="1:15" ht="15.75" x14ac:dyDescent="0.25">
      <c r="A125" s="5" t="s">
        <v>13</v>
      </c>
      <c r="B125" s="6">
        <v>20411454</v>
      </c>
      <c r="C125" s="6" t="s">
        <v>51</v>
      </c>
      <c r="D125" s="6" t="s">
        <v>52</v>
      </c>
      <c r="E125" s="6" t="str">
        <f>CONCATENATE(D125,1)</f>
        <v>32A6E41</v>
      </c>
      <c r="F125" s="7" t="s">
        <v>50</v>
      </c>
      <c r="G125" s="6">
        <v>1</v>
      </c>
      <c r="H125" s="6">
        <v>20250301</v>
      </c>
      <c r="I125" s="6" t="str">
        <f>TEXT(DATE(LEFT(H125,4), MID(H125,5,2), RIGHT(H125,2)), "M/d/yyyy")</f>
        <v>3/1/2025</v>
      </c>
      <c r="J125" s="9">
        <f>DATE(YEAR(I125), MONTH(I125) +1, DAY(I125))</f>
        <v>45748</v>
      </c>
      <c r="K125" s="6" t="s">
        <v>18</v>
      </c>
      <c r="L125" s="8">
        <v>17.690000000000001</v>
      </c>
      <c r="M125" s="8">
        <v>3</v>
      </c>
      <c r="N125" s="8">
        <v>3</v>
      </c>
      <c r="O125" t="s">
        <v>235</v>
      </c>
    </row>
    <row r="126" spans="1:15" ht="15.75" x14ac:dyDescent="0.25">
      <c r="A126" s="5" t="s">
        <v>13</v>
      </c>
      <c r="B126" s="6">
        <v>20411454</v>
      </c>
      <c r="C126" s="6" t="s">
        <v>51</v>
      </c>
      <c r="D126" s="6" t="s">
        <v>52</v>
      </c>
      <c r="E126" s="6" t="str">
        <f>CONCATENATE(D126,1)</f>
        <v>32A6E41</v>
      </c>
      <c r="F126" s="7" t="s">
        <v>50</v>
      </c>
      <c r="G126" s="6">
        <v>1</v>
      </c>
      <c r="H126" s="6">
        <v>20250401</v>
      </c>
      <c r="I126" s="6" t="str">
        <f>TEXT(DATE(LEFT(H126,4), MID(H126,5,2), RIGHT(H126,2)), "M/d/yyyy")</f>
        <v>4/1/2025</v>
      </c>
      <c r="J126" s="9">
        <f>DATE(YEAR(I126), MONTH(I126) +1, DAY(I126))</f>
        <v>45778</v>
      </c>
      <c r="K126" s="6" t="s">
        <v>18</v>
      </c>
      <c r="L126" s="8">
        <v>17.690000000000001</v>
      </c>
      <c r="M126" s="8">
        <v>3</v>
      </c>
      <c r="N126" s="8">
        <v>3</v>
      </c>
      <c r="O126" t="s">
        <v>235</v>
      </c>
    </row>
    <row r="127" spans="1:15" ht="15.75" x14ac:dyDescent="0.25">
      <c r="A127" s="5" t="s">
        <v>13</v>
      </c>
      <c r="B127" s="6">
        <v>20411454</v>
      </c>
      <c r="C127" s="6" t="s">
        <v>159</v>
      </c>
      <c r="D127" s="6" t="s">
        <v>160</v>
      </c>
      <c r="E127" s="6" t="str">
        <f>CONCATENATE(D127,1)</f>
        <v>41R91U1</v>
      </c>
      <c r="F127" s="7" t="s">
        <v>86</v>
      </c>
      <c r="G127" s="6">
        <v>-1</v>
      </c>
      <c r="H127" s="6">
        <v>20250201</v>
      </c>
      <c r="I127" s="6" t="str">
        <f>TEXT(DATE(LEFT(H127,4), MID(H127,5,2), RIGHT(H127,2)), "M/d/yyyy")</f>
        <v>2/1/2025</v>
      </c>
      <c r="J127" s="9">
        <f>DATE(YEAR(I127), MONTH(I127) +1, DAY(I127))</f>
        <v>45717</v>
      </c>
      <c r="K127" s="6" t="s">
        <v>18</v>
      </c>
      <c r="L127" s="8">
        <v>-219.28</v>
      </c>
      <c r="M127" s="8">
        <v>3</v>
      </c>
      <c r="N127" s="8">
        <v>-3</v>
      </c>
      <c r="O127" t="s">
        <v>235</v>
      </c>
    </row>
    <row r="128" spans="1:15" ht="15.75" x14ac:dyDescent="0.25">
      <c r="A128" s="5" t="s">
        <v>13</v>
      </c>
      <c r="B128" s="6">
        <v>20411454</v>
      </c>
      <c r="C128" s="6" t="s">
        <v>159</v>
      </c>
      <c r="D128" s="6" t="s">
        <v>160</v>
      </c>
      <c r="E128" s="6" t="str">
        <f>CONCATENATE(D128,1)</f>
        <v>41R91U1</v>
      </c>
      <c r="F128" s="7" t="s">
        <v>86</v>
      </c>
      <c r="G128" s="6">
        <v>-1</v>
      </c>
      <c r="H128" s="6">
        <v>20250301</v>
      </c>
      <c r="I128" s="6" t="str">
        <f>TEXT(DATE(LEFT(H128,4), MID(H128,5,2), RIGHT(H128,2)), "M/d/yyyy")</f>
        <v>3/1/2025</v>
      </c>
      <c r="J128" s="9">
        <f>DATE(YEAR(I128), MONTH(I128) +1, DAY(I128))</f>
        <v>45748</v>
      </c>
      <c r="K128" s="6" t="s">
        <v>18</v>
      </c>
      <c r="L128" s="8">
        <v>-219.28</v>
      </c>
      <c r="M128" s="8">
        <v>3</v>
      </c>
      <c r="N128" s="8">
        <v>-3</v>
      </c>
      <c r="O128" t="s">
        <v>235</v>
      </c>
    </row>
    <row r="129" spans="1:15" ht="15.75" x14ac:dyDescent="0.25">
      <c r="A129" s="5" t="s">
        <v>13</v>
      </c>
      <c r="B129" s="6">
        <v>20411454</v>
      </c>
      <c r="C129" s="6" t="s">
        <v>159</v>
      </c>
      <c r="D129" s="6" t="s">
        <v>160</v>
      </c>
      <c r="E129" s="6" t="str">
        <f>CONCATENATE(D129,1)</f>
        <v>41R91U1</v>
      </c>
      <c r="F129" s="7" t="s">
        <v>86</v>
      </c>
      <c r="G129" s="6">
        <v>1</v>
      </c>
      <c r="H129" s="6">
        <v>20250201</v>
      </c>
      <c r="I129" s="6" t="str">
        <f>TEXT(DATE(LEFT(H129,4), MID(H129,5,2), RIGHT(H129,2)), "M/d/yyyy")</f>
        <v>2/1/2025</v>
      </c>
      <c r="J129" s="9">
        <f>DATE(YEAR(I129), MONTH(I129) +1, DAY(I129))</f>
        <v>45717</v>
      </c>
      <c r="K129" s="6" t="s">
        <v>18</v>
      </c>
      <c r="L129" s="8">
        <v>219.28</v>
      </c>
      <c r="M129" s="8">
        <v>3</v>
      </c>
      <c r="N129" s="8">
        <v>3</v>
      </c>
      <c r="O129" t="s">
        <v>235</v>
      </c>
    </row>
    <row r="130" spans="1:15" ht="15.75" x14ac:dyDescent="0.25">
      <c r="A130" s="5" t="s">
        <v>13</v>
      </c>
      <c r="B130" s="6">
        <v>20411454</v>
      </c>
      <c r="C130" s="6" t="s">
        <v>159</v>
      </c>
      <c r="D130" s="6" t="s">
        <v>160</v>
      </c>
      <c r="E130" s="6" t="str">
        <f>CONCATENATE(D130,1)</f>
        <v>41R91U1</v>
      </c>
      <c r="F130" s="7" t="s">
        <v>86</v>
      </c>
      <c r="G130" s="6">
        <v>1</v>
      </c>
      <c r="H130" s="6">
        <v>20250301</v>
      </c>
      <c r="I130" s="6" t="str">
        <f>TEXT(DATE(LEFT(H130,4), MID(H130,5,2), RIGHT(H130,2)), "M/d/yyyy")</f>
        <v>3/1/2025</v>
      </c>
      <c r="J130" s="9">
        <f>DATE(YEAR(I130), MONTH(I130) +1, DAY(I130))</f>
        <v>45748</v>
      </c>
      <c r="K130" s="6" t="s">
        <v>18</v>
      </c>
      <c r="L130" s="8">
        <v>219.28</v>
      </c>
      <c r="M130" s="8">
        <v>3</v>
      </c>
      <c r="N130" s="8">
        <v>3</v>
      </c>
      <c r="O130" t="s">
        <v>235</v>
      </c>
    </row>
    <row r="131" spans="1:15" ht="15.75" x14ac:dyDescent="0.25">
      <c r="A131" s="5" t="s">
        <v>13</v>
      </c>
      <c r="B131" s="6">
        <v>20411454</v>
      </c>
      <c r="C131" s="6" t="s">
        <v>28</v>
      </c>
      <c r="D131" s="6" t="s">
        <v>29</v>
      </c>
      <c r="E131" s="6" t="str">
        <f>CONCATENATE(D131,1)</f>
        <v>49CL671</v>
      </c>
      <c r="F131" s="7" t="s">
        <v>25</v>
      </c>
      <c r="G131" s="6">
        <v>-1</v>
      </c>
      <c r="H131" s="6">
        <v>20250201</v>
      </c>
      <c r="I131" s="6" t="str">
        <f>TEXT(DATE(LEFT(H131,4), MID(H131,5,2), RIGHT(H131,2)), "M/d/yyyy")</f>
        <v>2/1/2025</v>
      </c>
      <c r="J131" s="9">
        <f>DATE(YEAR(I131), MONTH(I131) +1, DAY(I131))</f>
        <v>45717</v>
      </c>
      <c r="K131" s="6" t="s">
        <v>18</v>
      </c>
      <c r="L131" s="8">
        <v>-698.24</v>
      </c>
      <c r="M131" s="8">
        <v>3</v>
      </c>
      <c r="N131" s="8">
        <v>-3</v>
      </c>
      <c r="O131" t="s">
        <v>235</v>
      </c>
    </row>
    <row r="132" spans="1:15" ht="15.75" x14ac:dyDescent="0.25">
      <c r="A132" s="5" t="s">
        <v>13</v>
      </c>
      <c r="B132" s="6">
        <v>20411454</v>
      </c>
      <c r="C132" s="6" t="s">
        <v>28</v>
      </c>
      <c r="D132" s="6" t="s">
        <v>29</v>
      </c>
      <c r="E132" s="6" t="str">
        <f>CONCATENATE(D132,1)</f>
        <v>49CL671</v>
      </c>
      <c r="F132" s="7" t="s">
        <v>25</v>
      </c>
      <c r="G132" s="6">
        <v>-1</v>
      </c>
      <c r="H132" s="6">
        <v>20250301</v>
      </c>
      <c r="I132" s="6" t="str">
        <f>TEXT(DATE(LEFT(H132,4), MID(H132,5,2), RIGHT(H132,2)), "M/d/yyyy")</f>
        <v>3/1/2025</v>
      </c>
      <c r="J132" s="9">
        <f>DATE(YEAR(I132), MONTH(I132) +1, DAY(I132))</f>
        <v>45748</v>
      </c>
      <c r="K132" s="6" t="s">
        <v>18</v>
      </c>
      <c r="L132" s="8">
        <v>-698.24</v>
      </c>
      <c r="M132" s="8">
        <v>3</v>
      </c>
      <c r="N132" s="8">
        <v>-3</v>
      </c>
      <c r="O132" t="s">
        <v>235</v>
      </c>
    </row>
    <row r="133" spans="1:15" ht="15.75" x14ac:dyDescent="0.25">
      <c r="A133" s="5" t="s">
        <v>13</v>
      </c>
      <c r="B133" s="6">
        <v>20411454</v>
      </c>
      <c r="C133" s="6" t="s">
        <v>28</v>
      </c>
      <c r="D133" s="6" t="s">
        <v>29</v>
      </c>
      <c r="E133" s="6" t="str">
        <f>CONCATENATE(D133,1)</f>
        <v>49CL671</v>
      </c>
      <c r="F133" s="7" t="s">
        <v>25</v>
      </c>
      <c r="G133" s="6">
        <v>1</v>
      </c>
      <c r="H133" s="6">
        <v>20250201</v>
      </c>
      <c r="I133" s="6" t="str">
        <f>TEXT(DATE(LEFT(H133,4), MID(H133,5,2), RIGHT(H133,2)), "M/d/yyyy")</f>
        <v>2/1/2025</v>
      </c>
      <c r="J133" s="9">
        <f>DATE(YEAR(I133), MONTH(I133) +1, DAY(I133))</f>
        <v>45717</v>
      </c>
      <c r="K133" s="6" t="s">
        <v>18</v>
      </c>
      <c r="L133" s="8">
        <v>698.24</v>
      </c>
      <c r="M133" s="8">
        <v>3</v>
      </c>
      <c r="N133" s="8">
        <v>3</v>
      </c>
      <c r="O133" t="s">
        <v>235</v>
      </c>
    </row>
    <row r="134" spans="1:15" ht="15.75" x14ac:dyDescent="0.25">
      <c r="A134" s="5" t="s">
        <v>13</v>
      </c>
      <c r="B134" s="6">
        <v>20411454</v>
      </c>
      <c r="C134" s="6" t="s">
        <v>28</v>
      </c>
      <c r="D134" s="6" t="s">
        <v>29</v>
      </c>
      <c r="E134" s="6" t="str">
        <f>CONCATENATE(D134,1)</f>
        <v>49CL671</v>
      </c>
      <c r="F134" s="7" t="s">
        <v>25</v>
      </c>
      <c r="G134" s="6">
        <v>1</v>
      </c>
      <c r="H134" s="6">
        <v>20250301</v>
      </c>
      <c r="I134" s="6" t="str">
        <f>TEXT(DATE(LEFT(H134,4), MID(H134,5,2), RIGHT(H134,2)), "M/d/yyyy")</f>
        <v>3/1/2025</v>
      </c>
      <c r="J134" s="9">
        <f>DATE(YEAR(I134), MONTH(I134) +1, DAY(I134))</f>
        <v>45748</v>
      </c>
      <c r="K134" s="6" t="s">
        <v>18</v>
      </c>
      <c r="L134" s="8">
        <v>698.24</v>
      </c>
      <c r="M134" s="8">
        <v>3</v>
      </c>
      <c r="N134" s="8">
        <v>3</v>
      </c>
      <c r="O134" t="s">
        <v>235</v>
      </c>
    </row>
    <row r="135" spans="1:15" ht="15.75" x14ac:dyDescent="0.25">
      <c r="A135" s="5" t="s">
        <v>13</v>
      </c>
      <c r="B135" s="6">
        <v>20411454</v>
      </c>
      <c r="C135" s="6" t="s">
        <v>28</v>
      </c>
      <c r="D135" s="6" t="s">
        <v>29</v>
      </c>
      <c r="E135" s="6" t="str">
        <f>CONCATENATE(D135,1)</f>
        <v>49CL671</v>
      </c>
      <c r="F135" s="7" t="s">
        <v>25</v>
      </c>
      <c r="G135" s="6">
        <v>1</v>
      </c>
      <c r="H135" s="6">
        <v>20250401</v>
      </c>
      <c r="I135" s="6" t="str">
        <f>TEXT(DATE(LEFT(H135,4), MID(H135,5,2), RIGHT(H135,2)), "M/d/yyyy")</f>
        <v>4/1/2025</v>
      </c>
      <c r="J135" s="9">
        <f>DATE(YEAR(I135), MONTH(I135) +1, DAY(I135))</f>
        <v>45778</v>
      </c>
      <c r="K135" s="6" t="s">
        <v>18</v>
      </c>
      <c r="L135" s="8">
        <v>698.24</v>
      </c>
      <c r="M135" s="8">
        <v>3</v>
      </c>
      <c r="N135" s="8">
        <v>3</v>
      </c>
      <c r="O135" t="s">
        <v>235</v>
      </c>
    </row>
    <row r="136" spans="1:15" ht="15.75" x14ac:dyDescent="0.25">
      <c r="A136" s="5" t="s">
        <v>13</v>
      </c>
      <c r="B136" s="6">
        <v>20411454</v>
      </c>
      <c r="C136" s="6" t="s">
        <v>91</v>
      </c>
      <c r="D136" s="6" t="s">
        <v>92</v>
      </c>
      <c r="E136" s="6" t="str">
        <f>CONCATENATE(D136,1)</f>
        <v>26R7J91</v>
      </c>
      <c r="F136" s="7" t="s">
        <v>86</v>
      </c>
      <c r="G136" s="6">
        <v>-1</v>
      </c>
      <c r="H136" s="6">
        <v>20250201</v>
      </c>
      <c r="I136" s="6" t="str">
        <f>TEXT(DATE(LEFT(H136,4), MID(H136,5,2), RIGHT(H136,2)), "M/d/yyyy")</f>
        <v>2/1/2025</v>
      </c>
      <c r="J136" s="9">
        <f>DATE(YEAR(I136), MONTH(I136) +1, DAY(I136))</f>
        <v>45717</v>
      </c>
      <c r="K136" s="6" t="s">
        <v>18</v>
      </c>
      <c r="L136" s="8">
        <v>-258.48</v>
      </c>
      <c r="M136" s="8">
        <v>3</v>
      </c>
      <c r="N136" s="8">
        <v>-3</v>
      </c>
      <c r="O136" t="s">
        <v>235</v>
      </c>
    </row>
    <row r="137" spans="1:15" ht="15.75" x14ac:dyDescent="0.25">
      <c r="A137" s="5" t="s">
        <v>13</v>
      </c>
      <c r="B137" s="6">
        <v>20411454</v>
      </c>
      <c r="C137" s="6" t="s">
        <v>91</v>
      </c>
      <c r="D137" s="6" t="s">
        <v>92</v>
      </c>
      <c r="E137" s="6" t="str">
        <f>CONCATENATE(D137,1)</f>
        <v>26R7J91</v>
      </c>
      <c r="F137" s="7" t="s">
        <v>86</v>
      </c>
      <c r="G137" s="6">
        <v>-1</v>
      </c>
      <c r="H137" s="6">
        <v>20250301</v>
      </c>
      <c r="I137" s="6" t="str">
        <f>TEXT(DATE(LEFT(H137,4), MID(H137,5,2), RIGHT(H137,2)), "M/d/yyyy")</f>
        <v>3/1/2025</v>
      </c>
      <c r="J137" s="9">
        <f>DATE(YEAR(I137), MONTH(I137) +1, DAY(I137))</f>
        <v>45748</v>
      </c>
      <c r="K137" s="6" t="s">
        <v>18</v>
      </c>
      <c r="L137" s="8">
        <v>-258.48</v>
      </c>
      <c r="M137" s="8">
        <v>3</v>
      </c>
      <c r="N137" s="8">
        <v>-3</v>
      </c>
      <c r="O137" t="s">
        <v>235</v>
      </c>
    </row>
    <row r="138" spans="1:15" ht="15.75" x14ac:dyDescent="0.25">
      <c r="A138" s="5" t="s">
        <v>13</v>
      </c>
      <c r="B138" s="6">
        <v>20411454</v>
      </c>
      <c r="C138" s="6" t="s">
        <v>91</v>
      </c>
      <c r="D138" s="6" t="s">
        <v>92</v>
      </c>
      <c r="E138" s="6" t="str">
        <f>CONCATENATE(D138,1)</f>
        <v>26R7J91</v>
      </c>
      <c r="F138" s="7" t="s">
        <v>86</v>
      </c>
      <c r="G138" s="6">
        <v>1</v>
      </c>
      <c r="H138" s="6">
        <v>20250201</v>
      </c>
      <c r="I138" s="6" t="str">
        <f>TEXT(DATE(LEFT(H138,4), MID(H138,5,2), RIGHT(H138,2)), "M/d/yyyy")</f>
        <v>2/1/2025</v>
      </c>
      <c r="J138" s="9">
        <f>DATE(YEAR(I138), MONTH(I138) +1, DAY(I138))</f>
        <v>45717</v>
      </c>
      <c r="K138" s="6" t="s">
        <v>18</v>
      </c>
      <c r="L138" s="8">
        <v>258.48</v>
      </c>
      <c r="M138" s="8">
        <v>3</v>
      </c>
      <c r="N138" s="8">
        <v>3</v>
      </c>
      <c r="O138" t="s">
        <v>235</v>
      </c>
    </row>
    <row r="139" spans="1:15" ht="15.75" x14ac:dyDescent="0.25">
      <c r="A139" s="5" t="s">
        <v>13</v>
      </c>
      <c r="B139" s="6">
        <v>20411454</v>
      </c>
      <c r="C139" s="6" t="s">
        <v>91</v>
      </c>
      <c r="D139" s="6" t="s">
        <v>92</v>
      </c>
      <c r="E139" s="6" t="str">
        <f>CONCATENATE(D139,1)</f>
        <v>26R7J91</v>
      </c>
      <c r="F139" s="7" t="s">
        <v>86</v>
      </c>
      <c r="G139" s="6">
        <v>1</v>
      </c>
      <c r="H139" s="6">
        <v>20250301</v>
      </c>
      <c r="I139" s="6" t="str">
        <f>TEXT(DATE(LEFT(H139,4), MID(H139,5,2), RIGHT(H139,2)), "M/d/yyyy")</f>
        <v>3/1/2025</v>
      </c>
      <c r="J139" s="9">
        <f>DATE(YEAR(I139), MONTH(I139) +1, DAY(I139))</f>
        <v>45748</v>
      </c>
      <c r="K139" s="6" t="s">
        <v>18</v>
      </c>
      <c r="L139" s="8">
        <v>258.48</v>
      </c>
      <c r="M139" s="8">
        <v>3</v>
      </c>
      <c r="N139" s="8">
        <v>3</v>
      </c>
      <c r="O139" t="s">
        <v>235</v>
      </c>
    </row>
    <row r="140" spans="1:15" ht="15.75" x14ac:dyDescent="0.25">
      <c r="A140" s="5" t="s">
        <v>13</v>
      </c>
      <c r="B140" s="6">
        <v>20411454</v>
      </c>
      <c r="C140" s="6" t="s">
        <v>91</v>
      </c>
      <c r="D140" s="6" t="s">
        <v>92</v>
      </c>
      <c r="E140" s="6" t="str">
        <f>CONCATENATE(D140,1)</f>
        <v>26R7J91</v>
      </c>
      <c r="F140" s="7" t="s">
        <v>86</v>
      </c>
      <c r="G140" s="6">
        <v>1</v>
      </c>
      <c r="H140" s="6">
        <v>20250401</v>
      </c>
      <c r="I140" s="6" t="str">
        <f>TEXT(DATE(LEFT(H140,4), MID(H140,5,2), RIGHT(H140,2)), "M/d/yyyy")</f>
        <v>4/1/2025</v>
      </c>
      <c r="J140" s="9">
        <f>DATE(YEAR(I140), MONTH(I140) +1, DAY(I140))</f>
        <v>45778</v>
      </c>
      <c r="K140" s="6" t="s">
        <v>18</v>
      </c>
      <c r="L140" s="8">
        <v>258.48</v>
      </c>
      <c r="M140" s="8">
        <v>3</v>
      </c>
      <c r="N140" s="8">
        <v>3</v>
      </c>
      <c r="O140" t="s">
        <v>235</v>
      </c>
    </row>
    <row r="141" spans="1:15" ht="15.75" x14ac:dyDescent="0.25">
      <c r="A141" s="5" t="s">
        <v>13</v>
      </c>
      <c r="B141" s="6">
        <v>20411454</v>
      </c>
      <c r="C141" s="6" t="s">
        <v>203</v>
      </c>
      <c r="D141" s="6" t="s">
        <v>204</v>
      </c>
      <c r="E141" s="6" t="str">
        <f>CONCATENATE(D141,1)</f>
        <v>7K17M21</v>
      </c>
      <c r="F141" s="7" t="s">
        <v>33</v>
      </c>
      <c r="G141" s="6">
        <v>-1</v>
      </c>
      <c r="H141" s="6">
        <v>20250201</v>
      </c>
      <c r="I141" s="6" t="str">
        <f>TEXT(DATE(LEFT(H141,4), MID(H141,5,2), RIGHT(H141,2)), "M/d/yyyy")</f>
        <v>2/1/2025</v>
      </c>
      <c r="J141" s="9">
        <f>DATE(YEAR(I141), MONTH(I141) +1, DAY(I141))</f>
        <v>45717</v>
      </c>
      <c r="K141" s="6" t="s">
        <v>12</v>
      </c>
      <c r="L141" s="8">
        <v>-10.06</v>
      </c>
      <c r="M141" s="8">
        <v>3</v>
      </c>
      <c r="N141" s="8">
        <v>-3</v>
      </c>
      <c r="O141" t="s">
        <v>235</v>
      </c>
    </row>
    <row r="142" spans="1:15" ht="15.75" x14ac:dyDescent="0.25">
      <c r="A142" s="5" t="s">
        <v>13</v>
      </c>
      <c r="B142" s="6">
        <v>20411454</v>
      </c>
      <c r="C142" s="6" t="s">
        <v>203</v>
      </c>
      <c r="D142" s="6" t="s">
        <v>204</v>
      </c>
      <c r="E142" s="6" t="str">
        <f>CONCATENATE(D142,1)</f>
        <v>7K17M21</v>
      </c>
      <c r="F142" s="7" t="s">
        <v>33</v>
      </c>
      <c r="G142" s="6">
        <v>-1</v>
      </c>
      <c r="H142" s="6">
        <v>20250301</v>
      </c>
      <c r="I142" s="6" t="str">
        <f>TEXT(DATE(LEFT(H142,4), MID(H142,5,2), RIGHT(H142,2)), "M/d/yyyy")</f>
        <v>3/1/2025</v>
      </c>
      <c r="J142" s="9">
        <f>DATE(YEAR(I142), MONTH(I142) +1, DAY(I142))</f>
        <v>45748</v>
      </c>
      <c r="K142" s="6" t="s">
        <v>12</v>
      </c>
      <c r="L142" s="8">
        <v>-10.06</v>
      </c>
      <c r="M142" s="8">
        <v>3</v>
      </c>
      <c r="N142" s="8">
        <v>-3</v>
      </c>
      <c r="O142" t="s">
        <v>235</v>
      </c>
    </row>
    <row r="143" spans="1:15" ht="15.75" x14ac:dyDescent="0.25">
      <c r="A143" s="5" t="s">
        <v>13</v>
      </c>
      <c r="B143" s="6">
        <v>20411454</v>
      </c>
      <c r="C143" s="6" t="s">
        <v>203</v>
      </c>
      <c r="D143" s="6" t="s">
        <v>204</v>
      </c>
      <c r="E143" s="6" t="str">
        <f>CONCATENATE(D143,1)</f>
        <v>7K17M21</v>
      </c>
      <c r="F143" s="7" t="s">
        <v>33</v>
      </c>
      <c r="G143" s="6">
        <v>1</v>
      </c>
      <c r="H143" s="6">
        <v>20250201</v>
      </c>
      <c r="I143" s="6" t="str">
        <f>TEXT(DATE(LEFT(H143,4), MID(H143,5,2), RIGHT(H143,2)), "M/d/yyyy")</f>
        <v>2/1/2025</v>
      </c>
      <c r="J143" s="9">
        <f>DATE(YEAR(I143), MONTH(I143) +1, DAY(I143))</f>
        <v>45717</v>
      </c>
      <c r="K143" s="6" t="s">
        <v>12</v>
      </c>
      <c r="L143" s="8">
        <v>10.06</v>
      </c>
      <c r="M143" s="8">
        <v>3</v>
      </c>
      <c r="N143" s="8">
        <v>3</v>
      </c>
      <c r="O143" t="s">
        <v>235</v>
      </c>
    </row>
    <row r="144" spans="1:15" ht="15.75" x14ac:dyDescent="0.25">
      <c r="A144" s="5" t="s">
        <v>13</v>
      </c>
      <c r="B144" s="6">
        <v>20411454</v>
      </c>
      <c r="C144" s="6" t="s">
        <v>203</v>
      </c>
      <c r="D144" s="6" t="s">
        <v>204</v>
      </c>
      <c r="E144" s="6" t="str">
        <f>CONCATENATE(D144,1)</f>
        <v>7K17M21</v>
      </c>
      <c r="F144" s="7" t="s">
        <v>33</v>
      </c>
      <c r="G144" s="6">
        <v>1</v>
      </c>
      <c r="H144" s="6">
        <v>20250301</v>
      </c>
      <c r="I144" s="6" t="str">
        <f>TEXT(DATE(LEFT(H144,4), MID(H144,5,2), RIGHT(H144,2)), "M/d/yyyy")</f>
        <v>3/1/2025</v>
      </c>
      <c r="J144" s="9">
        <f>DATE(YEAR(I144), MONTH(I144) +1, DAY(I144))</f>
        <v>45748</v>
      </c>
      <c r="K144" s="6" t="s">
        <v>12</v>
      </c>
      <c r="L144" s="8">
        <v>10.06</v>
      </c>
      <c r="M144" s="8">
        <v>3</v>
      </c>
      <c r="N144" s="8">
        <v>3</v>
      </c>
      <c r="O144" t="s">
        <v>235</v>
      </c>
    </row>
    <row r="145" spans="1:15" ht="15.75" x14ac:dyDescent="0.25">
      <c r="A145" s="5" t="s">
        <v>13</v>
      </c>
      <c r="B145" s="6">
        <v>20411454</v>
      </c>
      <c r="C145" s="6" t="s">
        <v>203</v>
      </c>
      <c r="D145" s="6" t="s">
        <v>204</v>
      </c>
      <c r="E145" s="6" t="str">
        <f>CONCATENATE(D145,1)</f>
        <v>7K17M21</v>
      </c>
      <c r="F145" s="7" t="s">
        <v>33</v>
      </c>
      <c r="G145" s="6">
        <v>1</v>
      </c>
      <c r="H145" s="6">
        <v>20250401</v>
      </c>
      <c r="I145" s="6" t="str">
        <f>TEXT(DATE(LEFT(H145,4), MID(H145,5,2), RIGHT(H145,2)), "M/d/yyyy")</f>
        <v>4/1/2025</v>
      </c>
      <c r="J145" s="9">
        <f>DATE(YEAR(I145), MONTH(I145) +1, DAY(I145))</f>
        <v>45778</v>
      </c>
      <c r="K145" s="6" t="s">
        <v>12</v>
      </c>
      <c r="L145" s="8">
        <v>10.06</v>
      </c>
      <c r="M145" s="8">
        <v>3</v>
      </c>
      <c r="N145" s="8">
        <v>3</v>
      </c>
      <c r="O145" t="s">
        <v>235</v>
      </c>
    </row>
    <row r="146" spans="1:15" ht="15.75" x14ac:dyDescent="0.25">
      <c r="A146" s="5" t="s">
        <v>13</v>
      </c>
      <c r="B146" s="6">
        <v>20411454</v>
      </c>
      <c r="C146" s="6" t="s">
        <v>131</v>
      </c>
      <c r="D146" s="6" t="s">
        <v>132</v>
      </c>
      <c r="E146" s="6" t="str">
        <f>CONCATENATE(D146,1)</f>
        <v>22RQ681</v>
      </c>
      <c r="F146" s="7" t="s">
        <v>86</v>
      </c>
      <c r="G146" s="6">
        <v>-2</v>
      </c>
      <c r="H146" s="6">
        <v>20250201</v>
      </c>
      <c r="I146" s="6" t="str">
        <f>TEXT(DATE(LEFT(H146,4), MID(H146,5,2), RIGHT(H146,2)), "M/d/yyyy")</f>
        <v>2/1/2025</v>
      </c>
      <c r="J146" s="9">
        <f>DATE(YEAR(I146), MONTH(I146) +1, DAY(I146))</f>
        <v>45717</v>
      </c>
      <c r="K146" s="6" t="s">
        <v>18</v>
      </c>
      <c r="L146" s="8">
        <v>-86.34</v>
      </c>
      <c r="M146" s="8">
        <v>3</v>
      </c>
      <c r="N146" s="8">
        <v>-6</v>
      </c>
      <c r="O146" t="s">
        <v>235</v>
      </c>
    </row>
    <row r="147" spans="1:15" ht="15.75" x14ac:dyDescent="0.25">
      <c r="A147" s="5" t="s">
        <v>13</v>
      </c>
      <c r="B147" s="6">
        <v>20411454</v>
      </c>
      <c r="C147" s="6" t="s">
        <v>131</v>
      </c>
      <c r="D147" s="6" t="s">
        <v>132</v>
      </c>
      <c r="E147" s="6" t="str">
        <f>CONCATENATE(D147,1)</f>
        <v>22RQ681</v>
      </c>
      <c r="F147" s="7" t="s">
        <v>86</v>
      </c>
      <c r="G147" s="6">
        <v>-2</v>
      </c>
      <c r="H147" s="6">
        <v>20250301</v>
      </c>
      <c r="I147" s="6" t="str">
        <f>TEXT(DATE(LEFT(H147,4), MID(H147,5,2), RIGHT(H147,2)), "M/d/yyyy")</f>
        <v>3/1/2025</v>
      </c>
      <c r="J147" s="9">
        <f>DATE(YEAR(I147), MONTH(I147) +1, DAY(I147))</f>
        <v>45748</v>
      </c>
      <c r="K147" s="6" t="s">
        <v>18</v>
      </c>
      <c r="L147" s="8">
        <v>-86.34</v>
      </c>
      <c r="M147" s="8">
        <v>3</v>
      </c>
      <c r="N147" s="8">
        <v>-6</v>
      </c>
      <c r="O147" t="s">
        <v>235</v>
      </c>
    </row>
    <row r="148" spans="1:15" ht="15.75" x14ac:dyDescent="0.25">
      <c r="A148" s="5" t="s">
        <v>13</v>
      </c>
      <c r="B148" s="6">
        <v>20411454</v>
      </c>
      <c r="C148" s="6" t="s">
        <v>131</v>
      </c>
      <c r="D148" s="6" t="s">
        <v>132</v>
      </c>
      <c r="E148" s="6" t="str">
        <f>CONCATENATE(D148,1)</f>
        <v>22RQ681</v>
      </c>
      <c r="F148" s="7" t="s">
        <v>86</v>
      </c>
      <c r="G148" s="6">
        <v>2</v>
      </c>
      <c r="H148" s="6">
        <v>20250201</v>
      </c>
      <c r="I148" s="6" t="str">
        <f>TEXT(DATE(LEFT(H148,4), MID(H148,5,2), RIGHT(H148,2)), "M/d/yyyy")</f>
        <v>2/1/2025</v>
      </c>
      <c r="J148" s="9">
        <f>DATE(YEAR(I148), MONTH(I148) +1, DAY(I148))</f>
        <v>45717</v>
      </c>
      <c r="K148" s="6" t="s">
        <v>18</v>
      </c>
      <c r="L148" s="8">
        <v>86.34</v>
      </c>
      <c r="M148" s="8">
        <v>3</v>
      </c>
      <c r="N148" s="8">
        <v>6</v>
      </c>
      <c r="O148" t="s">
        <v>235</v>
      </c>
    </row>
    <row r="149" spans="1:15" ht="15.75" x14ac:dyDescent="0.25">
      <c r="A149" s="5" t="s">
        <v>13</v>
      </c>
      <c r="B149" s="6">
        <v>20411454</v>
      </c>
      <c r="C149" s="6" t="s">
        <v>131</v>
      </c>
      <c r="D149" s="6" t="s">
        <v>132</v>
      </c>
      <c r="E149" s="6" t="str">
        <f>CONCATENATE(D149,1)</f>
        <v>22RQ681</v>
      </c>
      <c r="F149" s="7" t="s">
        <v>86</v>
      </c>
      <c r="G149" s="6">
        <v>2</v>
      </c>
      <c r="H149" s="6">
        <v>20250301</v>
      </c>
      <c r="I149" s="6" t="str">
        <f>TEXT(DATE(LEFT(H149,4), MID(H149,5,2), RIGHT(H149,2)), "M/d/yyyy")</f>
        <v>3/1/2025</v>
      </c>
      <c r="J149" s="9">
        <f>DATE(YEAR(I149), MONTH(I149) +1, DAY(I149))</f>
        <v>45748</v>
      </c>
      <c r="K149" s="6" t="s">
        <v>18</v>
      </c>
      <c r="L149" s="8">
        <v>86.34</v>
      </c>
      <c r="M149" s="8">
        <v>3</v>
      </c>
      <c r="N149" s="8">
        <v>6</v>
      </c>
      <c r="O149" t="s">
        <v>235</v>
      </c>
    </row>
    <row r="150" spans="1:15" ht="15.75" x14ac:dyDescent="0.25">
      <c r="A150" s="5" t="s">
        <v>13</v>
      </c>
      <c r="B150" s="6">
        <v>20411454</v>
      </c>
      <c r="C150" s="6" t="s">
        <v>89</v>
      </c>
      <c r="D150" s="6" t="s">
        <v>90</v>
      </c>
      <c r="E150" s="6" t="str">
        <f>CONCATENATE(D150,1)</f>
        <v>12RY361</v>
      </c>
      <c r="F150" s="7" t="s">
        <v>86</v>
      </c>
      <c r="G150" s="6">
        <v>-1</v>
      </c>
      <c r="H150" s="6">
        <v>20250201</v>
      </c>
      <c r="I150" s="6" t="str">
        <f>TEXT(DATE(LEFT(H150,4), MID(H150,5,2), RIGHT(H150,2)), "M/d/yyyy")</f>
        <v>2/1/2025</v>
      </c>
      <c r="J150" s="9">
        <f>DATE(YEAR(I150), MONTH(I150) +1, DAY(I150))</f>
        <v>45717</v>
      </c>
      <c r="K150" s="6" t="s">
        <v>18</v>
      </c>
      <c r="L150" s="8">
        <v>-640.73</v>
      </c>
      <c r="M150" s="8">
        <v>3</v>
      </c>
      <c r="N150" s="8">
        <v>-3</v>
      </c>
      <c r="O150" t="s">
        <v>235</v>
      </c>
    </row>
    <row r="151" spans="1:15" ht="15.75" x14ac:dyDescent="0.25">
      <c r="A151" s="5" t="s">
        <v>13</v>
      </c>
      <c r="B151" s="6">
        <v>20411454</v>
      </c>
      <c r="C151" s="6" t="s">
        <v>89</v>
      </c>
      <c r="D151" s="6" t="s">
        <v>90</v>
      </c>
      <c r="E151" s="6" t="str">
        <f>CONCATENATE(D151,1)</f>
        <v>12RY361</v>
      </c>
      <c r="F151" s="7" t="s">
        <v>86</v>
      </c>
      <c r="G151" s="6">
        <v>-1</v>
      </c>
      <c r="H151" s="6">
        <v>20250301</v>
      </c>
      <c r="I151" s="6" t="str">
        <f>TEXT(DATE(LEFT(H151,4), MID(H151,5,2), RIGHT(H151,2)), "M/d/yyyy")</f>
        <v>3/1/2025</v>
      </c>
      <c r="J151" s="9">
        <f>DATE(YEAR(I151), MONTH(I151) +1, DAY(I151))</f>
        <v>45748</v>
      </c>
      <c r="K151" s="6" t="s">
        <v>18</v>
      </c>
      <c r="L151" s="8">
        <v>-640.73</v>
      </c>
      <c r="M151" s="8">
        <v>3</v>
      </c>
      <c r="N151" s="8">
        <v>-3</v>
      </c>
      <c r="O151" t="s">
        <v>235</v>
      </c>
    </row>
    <row r="152" spans="1:15" ht="15.75" x14ac:dyDescent="0.25">
      <c r="A152" s="5" t="s">
        <v>13</v>
      </c>
      <c r="B152" s="6">
        <v>20411454</v>
      </c>
      <c r="C152" s="6" t="s">
        <v>89</v>
      </c>
      <c r="D152" s="6" t="s">
        <v>90</v>
      </c>
      <c r="E152" s="6" t="str">
        <f>CONCATENATE(D152,1)</f>
        <v>12RY361</v>
      </c>
      <c r="F152" s="7" t="s">
        <v>86</v>
      </c>
      <c r="G152" s="6">
        <v>1</v>
      </c>
      <c r="H152" s="6">
        <v>20250201</v>
      </c>
      <c r="I152" s="6" t="str">
        <f>TEXT(DATE(LEFT(H152,4), MID(H152,5,2), RIGHT(H152,2)), "M/d/yyyy")</f>
        <v>2/1/2025</v>
      </c>
      <c r="J152" s="9">
        <f>DATE(YEAR(I152), MONTH(I152) +1, DAY(I152))</f>
        <v>45717</v>
      </c>
      <c r="K152" s="6" t="s">
        <v>18</v>
      </c>
      <c r="L152" s="8">
        <v>640.73</v>
      </c>
      <c r="M152" s="8">
        <v>3</v>
      </c>
      <c r="N152" s="8">
        <v>3</v>
      </c>
      <c r="O152" t="s">
        <v>235</v>
      </c>
    </row>
    <row r="153" spans="1:15" ht="15.75" x14ac:dyDescent="0.25">
      <c r="A153" s="5" t="s">
        <v>13</v>
      </c>
      <c r="B153" s="6">
        <v>20411454</v>
      </c>
      <c r="C153" s="6" t="s">
        <v>89</v>
      </c>
      <c r="D153" s="6" t="s">
        <v>90</v>
      </c>
      <c r="E153" s="6" t="str">
        <f>CONCATENATE(D153,1)</f>
        <v>12RY361</v>
      </c>
      <c r="F153" s="7" t="s">
        <v>86</v>
      </c>
      <c r="G153" s="6">
        <v>1</v>
      </c>
      <c r="H153" s="6">
        <v>20250301</v>
      </c>
      <c r="I153" s="6" t="str">
        <f>TEXT(DATE(LEFT(H153,4), MID(H153,5,2), RIGHT(H153,2)), "M/d/yyyy")</f>
        <v>3/1/2025</v>
      </c>
      <c r="J153" s="9">
        <f>DATE(YEAR(I153), MONTH(I153) +1, DAY(I153))</f>
        <v>45748</v>
      </c>
      <c r="K153" s="6" t="s">
        <v>18</v>
      </c>
      <c r="L153" s="8">
        <v>640.73</v>
      </c>
      <c r="M153" s="8">
        <v>3</v>
      </c>
      <c r="N153" s="8">
        <v>3</v>
      </c>
      <c r="O153" t="s">
        <v>235</v>
      </c>
    </row>
    <row r="154" spans="1:15" ht="15.75" x14ac:dyDescent="0.25">
      <c r="A154" s="5" t="s">
        <v>13</v>
      </c>
      <c r="B154" s="6">
        <v>20411454</v>
      </c>
      <c r="C154" s="6" t="s">
        <v>89</v>
      </c>
      <c r="D154" s="6" t="s">
        <v>90</v>
      </c>
      <c r="E154" s="6" t="str">
        <f>CONCATENATE(D154,1)</f>
        <v>12RY361</v>
      </c>
      <c r="F154" s="7" t="s">
        <v>86</v>
      </c>
      <c r="G154" s="6">
        <v>1</v>
      </c>
      <c r="H154" s="6">
        <v>20250401</v>
      </c>
      <c r="I154" s="6" t="str">
        <f>TEXT(DATE(LEFT(H154,4), MID(H154,5,2), RIGHT(H154,2)), "M/d/yyyy")</f>
        <v>4/1/2025</v>
      </c>
      <c r="J154" s="9">
        <f>DATE(YEAR(I154), MONTH(I154) +1, DAY(I154))</f>
        <v>45778</v>
      </c>
      <c r="K154" s="6" t="s">
        <v>18</v>
      </c>
      <c r="L154" s="8">
        <v>640.73</v>
      </c>
      <c r="M154" s="8">
        <v>3</v>
      </c>
      <c r="N154" s="8">
        <v>3</v>
      </c>
      <c r="O154" t="s">
        <v>235</v>
      </c>
    </row>
    <row r="155" spans="1:15" ht="15.75" x14ac:dyDescent="0.25">
      <c r="A155" s="5" t="s">
        <v>13</v>
      </c>
      <c r="B155" s="6">
        <v>20411454</v>
      </c>
      <c r="C155" s="6" t="s">
        <v>230</v>
      </c>
      <c r="D155" s="6" t="s">
        <v>231</v>
      </c>
      <c r="E155" s="6" t="str">
        <f>CONCATENATE(D155,1)</f>
        <v>69E35K1</v>
      </c>
      <c r="F155" s="7" t="s">
        <v>50</v>
      </c>
      <c r="G155" s="6">
        <v>-3</v>
      </c>
      <c r="H155" s="6">
        <v>20250201</v>
      </c>
      <c r="I155" s="6" t="str">
        <f>TEXT(DATE(LEFT(H155,4), MID(H155,5,2), RIGHT(H155,2)), "M/d/yyyy")</f>
        <v>2/1/2025</v>
      </c>
      <c r="J155" s="9">
        <f>DATE(YEAR(I155), MONTH(I155) +1, DAY(I155))</f>
        <v>45717</v>
      </c>
      <c r="K155" s="6" t="s">
        <v>18</v>
      </c>
      <c r="L155" s="8">
        <v>-48.55</v>
      </c>
      <c r="M155" s="8">
        <v>3</v>
      </c>
      <c r="N155" s="8">
        <v>-9</v>
      </c>
      <c r="O155" t="s">
        <v>235</v>
      </c>
    </row>
    <row r="156" spans="1:15" ht="15.75" x14ac:dyDescent="0.25">
      <c r="A156" s="5" t="s">
        <v>13</v>
      </c>
      <c r="B156" s="6">
        <v>20411454</v>
      </c>
      <c r="C156" s="6" t="s">
        <v>230</v>
      </c>
      <c r="D156" s="6" t="s">
        <v>231</v>
      </c>
      <c r="E156" s="6" t="str">
        <f>CONCATENATE(D156,1)</f>
        <v>69E35K1</v>
      </c>
      <c r="F156" s="7" t="s">
        <v>50</v>
      </c>
      <c r="G156" s="6">
        <v>-3</v>
      </c>
      <c r="H156" s="6">
        <v>20250301</v>
      </c>
      <c r="I156" s="6" t="str">
        <f>TEXT(DATE(LEFT(H156,4), MID(H156,5,2), RIGHT(H156,2)), "M/d/yyyy")</f>
        <v>3/1/2025</v>
      </c>
      <c r="J156" s="9">
        <f>DATE(YEAR(I156), MONTH(I156) +1, DAY(I156))</f>
        <v>45748</v>
      </c>
      <c r="K156" s="6" t="s">
        <v>18</v>
      </c>
      <c r="L156" s="8">
        <v>-48.55</v>
      </c>
      <c r="M156" s="8">
        <v>3</v>
      </c>
      <c r="N156" s="8">
        <v>-9</v>
      </c>
      <c r="O156" t="s">
        <v>235</v>
      </c>
    </row>
    <row r="157" spans="1:15" ht="15.75" x14ac:dyDescent="0.25">
      <c r="A157" s="5" t="s">
        <v>13</v>
      </c>
      <c r="B157" s="6">
        <v>20411454</v>
      </c>
      <c r="C157" s="6" t="s">
        <v>230</v>
      </c>
      <c r="D157" s="6" t="s">
        <v>231</v>
      </c>
      <c r="E157" s="6" t="str">
        <f>CONCATENATE(D157,1)</f>
        <v>69E35K1</v>
      </c>
      <c r="F157" s="7" t="s">
        <v>50</v>
      </c>
      <c r="G157" s="6">
        <v>3</v>
      </c>
      <c r="H157" s="6">
        <v>20250201</v>
      </c>
      <c r="I157" s="6" t="str">
        <f>TEXT(DATE(LEFT(H157,4), MID(H157,5,2), RIGHT(H157,2)), "M/d/yyyy")</f>
        <v>2/1/2025</v>
      </c>
      <c r="J157" s="9">
        <f>DATE(YEAR(I157), MONTH(I157) +1, DAY(I157))</f>
        <v>45717</v>
      </c>
      <c r="K157" s="6" t="s">
        <v>18</v>
      </c>
      <c r="L157" s="8">
        <v>48.55</v>
      </c>
      <c r="M157" s="8">
        <v>3</v>
      </c>
      <c r="N157" s="8">
        <v>9</v>
      </c>
      <c r="O157" t="s">
        <v>235</v>
      </c>
    </row>
    <row r="158" spans="1:15" ht="15.75" x14ac:dyDescent="0.25">
      <c r="A158" s="5" t="s">
        <v>13</v>
      </c>
      <c r="B158" s="6">
        <v>20411454</v>
      </c>
      <c r="C158" s="6" t="s">
        <v>230</v>
      </c>
      <c r="D158" s="6" t="s">
        <v>231</v>
      </c>
      <c r="E158" s="6" t="str">
        <f>CONCATENATE(D158,1)</f>
        <v>69E35K1</v>
      </c>
      <c r="F158" s="7" t="s">
        <v>50</v>
      </c>
      <c r="G158" s="6">
        <v>3</v>
      </c>
      <c r="H158" s="6">
        <v>20250301</v>
      </c>
      <c r="I158" s="6" t="str">
        <f>TEXT(DATE(LEFT(H158,4), MID(H158,5,2), RIGHT(H158,2)), "M/d/yyyy")</f>
        <v>3/1/2025</v>
      </c>
      <c r="J158" s="9">
        <f>DATE(YEAR(I158), MONTH(I158) +1, DAY(I158))</f>
        <v>45748</v>
      </c>
      <c r="K158" s="6" t="s">
        <v>18</v>
      </c>
      <c r="L158" s="8">
        <v>48.55</v>
      </c>
      <c r="M158" s="8">
        <v>3</v>
      </c>
      <c r="N158" s="8">
        <v>9</v>
      </c>
      <c r="O158" t="s">
        <v>235</v>
      </c>
    </row>
    <row r="159" spans="1:15" ht="15.75" x14ac:dyDescent="0.25">
      <c r="A159" s="5" t="s">
        <v>13</v>
      </c>
      <c r="B159" s="6">
        <v>20411454</v>
      </c>
      <c r="C159" s="6" t="s">
        <v>230</v>
      </c>
      <c r="D159" s="6" t="s">
        <v>231</v>
      </c>
      <c r="E159" s="6" t="str">
        <f>CONCATENATE(D159,1)</f>
        <v>69E35K1</v>
      </c>
      <c r="F159" s="7" t="s">
        <v>50</v>
      </c>
      <c r="G159" s="6">
        <v>3</v>
      </c>
      <c r="H159" s="6">
        <v>20250401</v>
      </c>
      <c r="I159" s="6" t="str">
        <f>TEXT(DATE(LEFT(H159,4), MID(H159,5,2), RIGHT(H159,2)), "M/d/yyyy")</f>
        <v>4/1/2025</v>
      </c>
      <c r="J159" s="9">
        <f>DATE(YEAR(I159), MONTH(I159) +1, DAY(I159))</f>
        <v>45778</v>
      </c>
      <c r="K159" s="6" t="s">
        <v>18</v>
      </c>
      <c r="L159" s="8">
        <v>48.55</v>
      </c>
      <c r="M159" s="8">
        <v>3</v>
      </c>
      <c r="N159" s="8">
        <v>9</v>
      </c>
      <c r="O159" t="s">
        <v>235</v>
      </c>
    </row>
    <row r="160" spans="1:15" ht="15.75" x14ac:dyDescent="0.25">
      <c r="A160" s="5" t="s">
        <v>13</v>
      </c>
      <c r="B160" s="6">
        <v>20411454</v>
      </c>
      <c r="C160" s="6" t="s">
        <v>193</v>
      </c>
      <c r="D160" s="6" t="s">
        <v>194</v>
      </c>
      <c r="E160" s="6" t="str">
        <f>CONCATENATE(D160,1)</f>
        <v>84T61H1</v>
      </c>
      <c r="F160" s="7" t="s">
        <v>86</v>
      </c>
      <c r="G160" s="6">
        <v>1</v>
      </c>
      <c r="H160" s="6">
        <v>20250401</v>
      </c>
      <c r="I160" s="6" t="str">
        <f>TEXT(DATE(LEFT(H160,4), MID(H160,5,2), RIGHT(H160,2)), "M/d/yyyy")</f>
        <v>4/1/2025</v>
      </c>
      <c r="J160" s="9">
        <f>DATE(YEAR(I160), MONTH(I160) +1, DAY(I160))</f>
        <v>45778</v>
      </c>
      <c r="K160" s="6" t="s">
        <v>18</v>
      </c>
      <c r="L160" s="8">
        <v>71.39</v>
      </c>
      <c r="M160" s="8">
        <v>3</v>
      </c>
      <c r="N160" s="8">
        <v>3</v>
      </c>
      <c r="O160" t="s">
        <v>235</v>
      </c>
    </row>
    <row r="161" spans="1:15" ht="15.75" x14ac:dyDescent="0.25">
      <c r="A161" s="5" t="s">
        <v>13</v>
      </c>
      <c r="B161" s="6">
        <v>20411454</v>
      </c>
      <c r="C161" s="6" t="s">
        <v>173</v>
      </c>
      <c r="D161" s="6" t="s">
        <v>174</v>
      </c>
      <c r="E161" s="6" t="str">
        <f>CONCATENATE(D161,1)</f>
        <v>63QL201</v>
      </c>
      <c r="F161" s="7" t="s">
        <v>86</v>
      </c>
      <c r="G161" s="6">
        <v>-1</v>
      </c>
      <c r="H161" s="6">
        <v>20250201</v>
      </c>
      <c r="I161" s="6" t="str">
        <f>TEXT(DATE(LEFT(H161,4), MID(H161,5,2), RIGHT(H161,2)), "M/d/yyyy")</f>
        <v>2/1/2025</v>
      </c>
      <c r="J161" s="9">
        <f>DATE(YEAR(I161), MONTH(I161) +1, DAY(I161))</f>
        <v>45717</v>
      </c>
      <c r="K161" s="6" t="s">
        <v>18</v>
      </c>
      <c r="L161" s="8">
        <v>-283.73</v>
      </c>
      <c r="M161" s="8">
        <v>3</v>
      </c>
      <c r="N161" s="8">
        <v>-3</v>
      </c>
      <c r="O161" t="s">
        <v>235</v>
      </c>
    </row>
    <row r="162" spans="1:15" ht="15.75" x14ac:dyDescent="0.25">
      <c r="A162" s="5" t="s">
        <v>13</v>
      </c>
      <c r="B162" s="6">
        <v>20411454</v>
      </c>
      <c r="C162" s="6" t="s">
        <v>173</v>
      </c>
      <c r="D162" s="6" t="s">
        <v>174</v>
      </c>
      <c r="E162" s="6" t="str">
        <f>CONCATENATE(D162,1)</f>
        <v>63QL201</v>
      </c>
      <c r="F162" s="7" t="s">
        <v>86</v>
      </c>
      <c r="G162" s="6">
        <v>1</v>
      </c>
      <c r="H162" s="6">
        <v>20250201</v>
      </c>
      <c r="I162" s="6" t="str">
        <f>TEXT(DATE(LEFT(H162,4), MID(H162,5,2), RIGHT(H162,2)), "M/d/yyyy")</f>
        <v>2/1/2025</v>
      </c>
      <c r="J162" s="9">
        <f>DATE(YEAR(I162), MONTH(I162) +1, DAY(I162))</f>
        <v>45717</v>
      </c>
      <c r="K162" s="6" t="s">
        <v>18</v>
      </c>
      <c r="L162" s="8">
        <v>283.73</v>
      </c>
      <c r="M162" s="8">
        <v>3</v>
      </c>
      <c r="N162" s="8">
        <v>3</v>
      </c>
      <c r="O162" t="s">
        <v>235</v>
      </c>
    </row>
    <row r="163" spans="1:15" ht="15.75" x14ac:dyDescent="0.25">
      <c r="A163" s="5" t="s">
        <v>13</v>
      </c>
      <c r="B163" s="6">
        <v>20411454</v>
      </c>
      <c r="C163" s="6" t="s">
        <v>77</v>
      </c>
      <c r="D163" s="6" t="s">
        <v>78</v>
      </c>
      <c r="E163" s="6" t="str">
        <f>CONCATENATE(D163,1)</f>
        <v>1KD5981</v>
      </c>
      <c r="F163" s="7" t="s">
        <v>22</v>
      </c>
      <c r="G163" s="6">
        <v>-1</v>
      </c>
      <c r="H163" s="6">
        <v>20250201</v>
      </c>
      <c r="I163" s="6" t="str">
        <f>TEXT(DATE(LEFT(H163,4), MID(H163,5,2), RIGHT(H163,2)), "M/d/yyyy")</f>
        <v>2/1/2025</v>
      </c>
      <c r="J163" s="9">
        <f>DATE(YEAR(I163), MONTH(I163) +1, DAY(I163))</f>
        <v>45717</v>
      </c>
      <c r="K163" s="6" t="s">
        <v>18</v>
      </c>
      <c r="L163" s="8">
        <v>-361.06</v>
      </c>
      <c r="M163" s="8">
        <v>3</v>
      </c>
      <c r="N163" s="8">
        <v>-3</v>
      </c>
      <c r="O163" t="s">
        <v>235</v>
      </c>
    </row>
    <row r="164" spans="1:15" ht="15.75" x14ac:dyDescent="0.25">
      <c r="A164" s="5" t="s">
        <v>13</v>
      </c>
      <c r="B164" s="6">
        <v>20411454</v>
      </c>
      <c r="C164" s="6" t="s">
        <v>77</v>
      </c>
      <c r="D164" s="6" t="s">
        <v>78</v>
      </c>
      <c r="E164" s="6" t="str">
        <f>CONCATENATE(D164,1)</f>
        <v>1KD5981</v>
      </c>
      <c r="F164" s="7" t="s">
        <v>22</v>
      </c>
      <c r="G164" s="6">
        <v>-1</v>
      </c>
      <c r="H164" s="6">
        <v>20250301</v>
      </c>
      <c r="I164" s="6" t="str">
        <f>TEXT(DATE(LEFT(H164,4), MID(H164,5,2), RIGHT(H164,2)), "M/d/yyyy")</f>
        <v>3/1/2025</v>
      </c>
      <c r="J164" s="9">
        <f>DATE(YEAR(I164), MONTH(I164) +1, DAY(I164))</f>
        <v>45748</v>
      </c>
      <c r="K164" s="6" t="s">
        <v>18</v>
      </c>
      <c r="L164" s="8">
        <v>-361.06</v>
      </c>
      <c r="M164" s="8">
        <v>3</v>
      </c>
      <c r="N164" s="8">
        <v>-3</v>
      </c>
      <c r="O164" t="s">
        <v>235</v>
      </c>
    </row>
    <row r="165" spans="1:15" ht="15.75" x14ac:dyDescent="0.25">
      <c r="A165" s="5" t="s">
        <v>13</v>
      </c>
      <c r="B165" s="6">
        <v>20411454</v>
      </c>
      <c r="C165" s="6" t="s">
        <v>77</v>
      </c>
      <c r="D165" s="6" t="s">
        <v>78</v>
      </c>
      <c r="E165" s="6" t="str">
        <f>CONCATENATE(D165,1)</f>
        <v>1KD5981</v>
      </c>
      <c r="F165" s="7" t="s">
        <v>22</v>
      </c>
      <c r="G165" s="6">
        <v>1</v>
      </c>
      <c r="H165" s="6">
        <v>20250201</v>
      </c>
      <c r="I165" s="6" t="str">
        <f>TEXT(DATE(LEFT(H165,4), MID(H165,5,2), RIGHT(H165,2)), "M/d/yyyy")</f>
        <v>2/1/2025</v>
      </c>
      <c r="J165" s="9">
        <f>DATE(YEAR(I165), MONTH(I165) +1, DAY(I165))</f>
        <v>45717</v>
      </c>
      <c r="K165" s="6" t="s">
        <v>18</v>
      </c>
      <c r="L165" s="8">
        <v>361.06</v>
      </c>
      <c r="M165" s="8">
        <v>3</v>
      </c>
      <c r="N165" s="8">
        <v>3</v>
      </c>
      <c r="O165" t="s">
        <v>235</v>
      </c>
    </row>
    <row r="166" spans="1:15" ht="15.75" x14ac:dyDescent="0.25">
      <c r="A166" s="5" t="s">
        <v>13</v>
      </c>
      <c r="B166" s="6">
        <v>20411454</v>
      </c>
      <c r="C166" s="6" t="s">
        <v>77</v>
      </c>
      <c r="D166" s="6" t="s">
        <v>78</v>
      </c>
      <c r="E166" s="6" t="str">
        <f>CONCATENATE(D166,1)</f>
        <v>1KD5981</v>
      </c>
      <c r="F166" s="7" t="s">
        <v>22</v>
      </c>
      <c r="G166" s="6">
        <v>1</v>
      </c>
      <c r="H166" s="6">
        <v>20250301</v>
      </c>
      <c r="I166" s="6" t="str">
        <f>TEXT(DATE(LEFT(H166,4), MID(H166,5,2), RIGHT(H166,2)), "M/d/yyyy")</f>
        <v>3/1/2025</v>
      </c>
      <c r="J166" s="9">
        <f>DATE(YEAR(I166), MONTH(I166) +1, DAY(I166))</f>
        <v>45748</v>
      </c>
      <c r="K166" s="6" t="s">
        <v>18</v>
      </c>
      <c r="L166" s="8">
        <v>361.06</v>
      </c>
      <c r="M166" s="8">
        <v>3</v>
      </c>
      <c r="N166" s="8">
        <v>3</v>
      </c>
      <c r="O166" t="s">
        <v>235</v>
      </c>
    </row>
    <row r="167" spans="1:15" ht="15.75" x14ac:dyDescent="0.25">
      <c r="A167" s="5" t="s">
        <v>13</v>
      </c>
      <c r="B167" s="6">
        <v>20411454</v>
      </c>
      <c r="C167" s="6" t="s">
        <v>127</v>
      </c>
      <c r="D167" s="6" t="s">
        <v>128</v>
      </c>
      <c r="E167" s="6" t="str">
        <f>CONCATENATE(D167,1)</f>
        <v>34PJ621</v>
      </c>
      <c r="F167" s="7" t="s">
        <v>86</v>
      </c>
      <c r="G167" s="6">
        <v>-3</v>
      </c>
      <c r="H167" s="6">
        <v>20250201</v>
      </c>
      <c r="I167" s="6" t="str">
        <f>TEXT(DATE(LEFT(H167,4), MID(H167,5,2), RIGHT(H167,2)), "M/d/yyyy")</f>
        <v>2/1/2025</v>
      </c>
      <c r="J167" s="9">
        <f>DATE(YEAR(I167), MONTH(I167) +1, DAY(I167))</f>
        <v>45717</v>
      </c>
      <c r="K167" s="6" t="s">
        <v>18</v>
      </c>
      <c r="L167" s="8">
        <v>-468.79</v>
      </c>
      <c r="M167" s="8">
        <v>3</v>
      </c>
      <c r="N167" s="8">
        <v>-9</v>
      </c>
      <c r="O167" t="s">
        <v>235</v>
      </c>
    </row>
    <row r="168" spans="1:15" ht="15.75" x14ac:dyDescent="0.25">
      <c r="A168" s="5" t="s">
        <v>13</v>
      </c>
      <c r="B168" s="6">
        <v>20411454</v>
      </c>
      <c r="C168" s="6" t="s">
        <v>127</v>
      </c>
      <c r="D168" s="6" t="s">
        <v>128</v>
      </c>
      <c r="E168" s="6" t="str">
        <f>CONCATENATE(D168,1)</f>
        <v>34PJ621</v>
      </c>
      <c r="F168" s="7" t="s">
        <v>86</v>
      </c>
      <c r="G168" s="6">
        <v>-3</v>
      </c>
      <c r="H168" s="6">
        <v>20250301</v>
      </c>
      <c r="I168" s="6" t="str">
        <f>TEXT(DATE(LEFT(H168,4), MID(H168,5,2), RIGHT(H168,2)), "M/d/yyyy")</f>
        <v>3/1/2025</v>
      </c>
      <c r="J168" s="9">
        <f>DATE(YEAR(I168), MONTH(I168) +1, DAY(I168))</f>
        <v>45748</v>
      </c>
      <c r="K168" s="6" t="s">
        <v>18</v>
      </c>
      <c r="L168" s="8">
        <v>-468.79</v>
      </c>
      <c r="M168" s="8">
        <v>3</v>
      </c>
      <c r="N168" s="8">
        <v>-9</v>
      </c>
      <c r="O168" t="s">
        <v>235</v>
      </c>
    </row>
    <row r="169" spans="1:15" ht="15.75" x14ac:dyDescent="0.25">
      <c r="A169" s="5" t="s">
        <v>13</v>
      </c>
      <c r="B169" s="6">
        <v>20411454</v>
      </c>
      <c r="C169" s="6" t="s">
        <v>127</v>
      </c>
      <c r="D169" s="6" t="s">
        <v>128</v>
      </c>
      <c r="E169" s="6" t="str">
        <f>CONCATENATE(D169,1)</f>
        <v>34PJ621</v>
      </c>
      <c r="F169" s="7" t="s">
        <v>86</v>
      </c>
      <c r="G169" s="6">
        <v>3</v>
      </c>
      <c r="H169" s="6">
        <v>20250201</v>
      </c>
      <c r="I169" s="6" t="str">
        <f>TEXT(DATE(LEFT(H169,4), MID(H169,5,2), RIGHT(H169,2)), "M/d/yyyy")</f>
        <v>2/1/2025</v>
      </c>
      <c r="J169" s="9">
        <f>DATE(YEAR(I169), MONTH(I169) +1, DAY(I169))</f>
        <v>45717</v>
      </c>
      <c r="K169" s="6" t="s">
        <v>18</v>
      </c>
      <c r="L169" s="8">
        <v>468.79</v>
      </c>
      <c r="M169" s="8">
        <v>3</v>
      </c>
      <c r="N169" s="8">
        <v>9</v>
      </c>
      <c r="O169" t="s">
        <v>235</v>
      </c>
    </row>
    <row r="170" spans="1:15" ht="15.75" x14ac:dyDescent="0.25">
      <c r="A170" s="5" t="s">
        <v>13</v>
      </c>
      <c r="B170" s="6">
        <v>20411454</v>
      </c>
      <c r="C170" s="6" t="s">
        <v>127</v>
      </c>
      <c r="D170" s="6" t="s">
        <v>128</v>
      </c>
      <c r="E170" s="6" t="str">
        <f>CONCATENATE(D170,1)</f>
        <v>34PJ621</v>
      </c>
      <c r="F170" s="7" t="s">
        <v>86</v>
      </c>
      <c r="G170" s="6">
        <v>3</v>
      </c>
      <c r="H170" s="6">
        <v>20250301</v>
      </c>
      <c r="I170" s="6" t="str">
        <f>TEXT(DATE(LEFT(H170,4), MID(H170,5,2), RIGHT(H170,2)), "M/d/yyyy")</f>
        <v>3/1/2025</v>
      </c>
      <c r="J170" s="9">
        <f>DATE(YEAR(I170), MONTH(I170) +1, DAY(I170))</f>
        <v>45748</v>
      </c>
      <c r="K170" s="6" t="s">
        <v>18</v>
      </c>
      <c r="L170" s="8">
        <v>468.79</v>
      </c>
      <c r="M170" s="8">
        <v>3</v>
      </c>
      <c r="N170" s="8">
        <v>9</v>
      </c>
      <c r="O170" t="s">
        <v>235</v>
      </c>
    </row>
    <row r="171" spans="1:15" ht="15.75" x14ac:dyDescent="0.25">
      <c r="A171" s="5" t="s">
        <v>13</v>
      </c>
      <c r="B171" s="6">
        <v>20411454</v>
      </c>
      <c r="C171" s="6" t="s">
        <v>127</v>
      </c>
      <c r="D171" s="6" t="s">
        <v>128</v>
      </c>
      <c r="E171" s="6" t="str">
        <f>CONCATENATE(D171,1)</f>
        <v>34PJ621</v>
      </c>
      <c r="F171" s="7" t="s">
        <v>86</v>
      </c>
      <c r="G171" s="6">
        <v>3</v>
      </c>
      <c r="H171" s="6">
        <v>20250401</v>
      </c>
      <c r="I171" s="6" t="str">
        <f>TEXT(DATE(LEFT(H171,4), MID(H171,5,2), RIGHT(H171,2)), "M/d/yyyy")</f>
        <v>4/1/2025</v>
      </c>
      <c r="J171" s="9">
        <f>DATE(YEAR(I171), MONTH(I171) +1, DAY(I171))</f>
        <v>45778</v>
      </c>
      <c r="K171" s="6" t="s">
        <v>18</v>
      </c>
      <c r="L171" s="8">
        <v>468.79</v>
      </c>
      <c r="M171" s="8">
        <v>3</v>
      </c>
      <c r="N171" s="8">
        <v>9</v>
      </c>
      <c r="O171" t="s">
        <v>235</v>
      </c>
    </row>
    <row r="172" spans="1:15" ht="15.75" x14ac:dyDescent="0.25">
      <c r="A172" s="5" t="s">
        <v>13</v>
      </c>
      <c r="B172" s="6">
        <v>20411454</v>
      </c>
      <c r="C172" s="6" t="s">
        <v>191</v>
      </c>
      <c r="D172" s="6" t="s">
        <v>192</v>
      </c>
      <c r="E172" s="6" t="str">
        <f>CONCATENATE(D172,1)</f>
        <v>58R70C1</v>
      </c>
      <c r="F172" s="7" t="s">
        <v>86</v>
      </c>
      <c r="G172" s="6">
        <v>1</v>
      </c>
      <c r="H172" s="6">
        <v>20250201</v>
      </c>
      <c r="I172" s="6" t="str">
        <f>TEXT(DATE(LEFT(H172,4), MID(H172,5,2), RIGHT(H172,2)), "M/d/yyyy")</f>
        <v>2/1/2025</v>
      </c>
      <c r="J172" s="9">
        <f>DATE(YEAR(I172), MONTH(I172) +1, DAY(I172))</f>
        <v>45717</v>
      </c>
      <c r="K172" s="6" t="s">
        <v>18</v>
      </c>
      <c r="L172" s="8">
        <v>2.0499999999999998</v>
      </c>
      <c r="M172" s="8">
        <v>3</v>
      </c>
      <c r="N172" s="8">
        <v>3</v>
      </c>
      <c r="O172" t="s">
        <v>235</v>
      </c>
    </row>
    <row r="173" spans="1:15" ht="15.75" x14ac:dyDescent="0.25">
      <c r="A173" s="5" t="s">
        <v>13</v>
      </c>
      <c r="B173" s="6">
        <v>20411454</v>
      </c>
      <c r="C173" s="6" t="s">
        <v>191</v>
      </c>
      <c r="D173" s="6" t="s">
        <v>192</v>
      </c>
      <c r="E173" s="6" t="str">
        <f>CONCATENATE(D173,1)</f>
        <v>58R70C1</v>
      </c>
      <c r="F173" s="7" t="s">
        <v>86</v>
      </c>
      <c r="G173" s="6">
        <v>1</v>
      </c>
      <c r="H173" s="6">
        <v>20250301</v>
      </c>
      <c r="I173" s="6" t="str">
        <f>TEXT(DATE(LEFT(H173,4), MID(H173,5,2), RIGHT(H173,2)), "M/d/yyyy")</f>
        <v>3/1/2025</v>
      </c>
      <c r="J173" s="9">
        <f>DATE(YEAR(I173), MONTH(I173) +1, DAY(I173))</f>
        <v>45748</v>
      </c>
      <c r="K173" s="6" t="s">
        <v>18</v>
      </c>
      <c r="L173" s="8">
        <v>2.0499999999999998</v>
      </c>
      <c r="M173" s="8">
        <v>3</v>
      </c>
      <c r="N173" s="8">
        <v>3</v>
      </c>
      <c r="O173" t="s">
        <v>235</v>
      </c>
    </row>
    <row r="174" spans="1:15" ht="15.75" x14ac:dyDescent="0.25">
      <c r="A174" s="5" t="s">
        <v>13</v>
      </c>
      <c r="B174" s="6">
        <v>20411454</v>
      </c>
      <c r="C174" s="6" t="s">
        <v>191</v>
      </c>
      <c r="D174" s="6" t="s">
        <v>192</v>
      </c>
      <c r="E174" s="6" t="str">
        <f>CONCATENATE(D174,1)</f>
        <v>58R70C1</v>
      </c>
      <c r="F174" s="7" t="s">
        <v>86</v>
      </c>
      <c r="G174" s="6">
        <v>1</v>
      </c>
      <c r="H174" s="6">
        <v>20250101</v>
      </c>
      <c r="I174" s="6" t="str">
        <f>TEXT(DATE(LEFT(H174,4), MID(H174,5,2), RIGHT(H174,2)), "M/d/yyyy")</f>
        <v>1/1/2025</v>
      </c>
      <c r="J174" s="9">
        <f>DATE(YEAR(I174), MONTH(I174) +1, DAY(I174))</f>
        <v>45689</v>
      </c>
      <c r="K174" s="6" t="s">
        <v>18</v>
      </c>
      <c r="L174" s="8">
        <v>0</v>
      </c>
      <c r="M174" s="8">
        <v>3</v>
      </c>
      <c r="N174" s="8">
        <v>3</v>
      </c>
      <c r="O174" t="s">
        <v>235</v>
      </c>
    </row>
    <row r="175" spans="1:15" ht="15.75" x14ac:dyDescent="0.25">
      <c r="A175" s="5" t="s">
        <v>13</v>
      </c>
      <c r="B175" s="6">
        <v>20411454</v>
      </c>
      <c r="C175" s="6" t="s">
        <v>31</v>
      </c>
      <c r="D175" s="6" t="s">
        <v>32</v>
      </c>
      <c r="E175" s="6" t="str">
        <f>CONCATENATE(D175,1)</f>
        <v>89T8P51</v>
      </c>
      <c r="F175" s="7" t="s">
        <v>33</v>
      </c>
      <c r="G175" s="6">
        <v>3</v>
      </c>
      <c r="H175" s="6">
        <v>20250401</v>
      </c>
      <c r="I175" s="6" t="str">
        <f>TEXT(DATE(LEFT(H175,4), MID(H175,5,2), RIGHT(H175,2)), "M/d/yyyy")</f>
        <v>4/1/2025</v>
      </c>
      <c r="J175" s="9">
        <f>DATE(YEAR(I175), MONTH(I175) +1, DAY(I175))</f>
        <v>45778</v>
      </c>
      <c r="K175" s="6" t="s">
        <v>12</v>
      </c>
      <c r="L175" s="8">
        <v>114.33</v>
      </c>
      <c r="M175" s="8">
        <v>3</v>
      </c>
      <c r="N175" s="8">
        <v>9</v>
      </c>
      <c r="O175" t="s">
        <v>235</v>
      </c>
    </row>
    <row r="176" spans="1:15" ht="15.75" x14ac:dyDescent="0.25">
      <c r="A176" s="5" t="s">
        <v>13</v>
      </c>
      <c r="B176" s="6">
        <v>20411454</v>
      </c>
      <c r="C176" s="6" t="s">
        <v>210</v>
      </c>
      <c r="D176" s="6" t="s">
        <v>211</v>
      </c>
      <c r="E176" s="6" t="str">
        <f>CONCATENATE(D176,1)</f>
        <v>98Q49J1</v>
      </c>
      <c r="F176" s="7" t="s">
        <v>22</v>
      </c>
      <c r="G176" s="6">
        <v>-1</v>
      </c>
      <c r="H176" s="6">
        <v>20250201</v>
      </c>
      <c r="I176" s="6" t="str">
        <f>TEXT(DATE(LEFT(H176,4), MID(H176,5,2), RIGHT(H176,2)), "M/d/yyyy")</f>
        <v>2/1/2025</v>
      </c>
      <c r="J176" s="9">
        <f>DATE(YEAR(I176), MONTH(I176) +1, DAY(I176))</f>
        <v>45717</v>
      </c>
      <c r="K176" s="6" t="s">
        <v>18</v>
      </c>
      <c r="L176" s="8">
        <v>-1094.27</v>
      </c>
      <c r="M176" s="8">
        <v>3</v>
      </c>
      <c r="N176" s="8">
        <v>-3</v>
      </c>
      <c r="O176" t="s">
        <v>235</v>
      </c>
    </row>
    <row r="177" spans="1:15" ht="15.75" x14ac:dyDescent="0.25">
      <c r="A177" s="5" t="s">
        <v>13</v>
      </c>
      <c r="B177" s="6">
        <v>20411454</v>
      </c>
      <c r="C177" s="6" t="s">
        <v>210</v>
      </c>
      <c r="D177" s="6" t="s">
        <v>211</v>
      </c>
      <c r="E177" s="6" t="str">
        <f>CONCATENATE(D177,1)</f>
        <v>98Q49J1</v>
      </c>
      <c r="F177" s="7" t="s">
        <v>22</v>
      </c>
      <c r="G177" s="6">
        <v>-1</v>
      </c>
      <c r="H177" s="6">
        <v>20250301</v>
      </c>
      <c r="I177" s="6" t="str">
        <f>TEXT(DATE(LEFT(H177,4), MID(H177,5,2), RIGHT(H177,2)), "M/d/yyyy")</f>
        <v>3/1/2025</v>
      </c>
      <c r="J177" s="9">
        <f>DATE(YEAR(I177), MONTH(I177) +1, DAY(I177))</f>
        <v>45748</v>
      </c>
      <c r="K177" s="6" t="s">
        <v>18</v>
      </c>
      <c r="L177" s="8">
        <v>-1094.27</v>
      </c>
      <c r="M177" s="8">
        <v>3</v>
      </c>
      <c r="N177" s="8">
        <v>-3</v>
      </c>
      <c r="O177" t="s">
        <v>235</v>
      </c>
    </row>
    <row r="178" spans="1:15" ht="15.75" x14ac:dyDescent="0.25">
      <c r="A178" s="5" t="s">
        <v>13</v>
      </c>
      <c r="B178" s="6">
        <v>20411454</v>
      </c>
      <c r="C178" s="6" t="s">
        <v>210</v>
      </c>
      <c r="D178" s="6" t="s">
        <v>211</v>
      </c>
      <c r="E178" s="6" t="str">
        <f>CONCATENATE(D178,1)</f>
        <v>98Q49J1</v>
      </c>
      <c r="F178" s="7" t="s">
        <v>22</v>
      </c>
      <c r="G178" s="6">
        <v>1</v>
      </c>
      <c r="H178" s="6">
        <v>20250201</v>
      </c>
      <c r="I178" s="6" t="str">
        <f>TEXT(DATE(LEFT(H178,4), MID(H178,5,2), RIGHT(H178,2)), "M/d/yyyy")</f>
        <v>2/1/2025</v>
      </c>
      <c r="J178" s="9">
        <f>DATE(YEAR(I178), MONTH(I178) +1, DAY(I178))</f>
        <v>45717</v>
      </c>
      <c r="K178" s="6" t="s">
        <v>18</v>
      </c>
      <c r="L178" s="8">
        <v>1094.27</v>
      </c>
      <c r="M178" s="8">
        <v>3</v>
      </c>
      <c r="N178" s="8">
        <v>3</v>
      </c>
      <c r="O178" t="s">
        <v>235</v>
      </c>
    </row>
    <row r="179" spans="1:15" ht="15.75" x14ac:dyDescent="0.25">
      <c r="A179" s="5" t="s">
        <v>13</v>
      </c>
      <c r="B179" s="6">
        <v>20411454</v>
      </c>
      <c r="C179" s="6" t="s">
        <v>210</v>
      </c>
      <c r="D179" s="6" t="s">
        <v>211</v>
      </c>
      <c r="E179" s="6" t="str">
        <f>CONCATENATE(D179,1)</f>
        <v>98Q49J1</v>
      </c>
      <c r="F179" s="7" t="s">
        <v>22</v>
      </c>
      <c r="G179" s="6">
        <v>1</v>
      </c>
      <c r="H179" s="6">
        <v>20250301</v>
      </c>
      <c r="I179" s="6" t="str">
        <f>TEXT(DATE(LEFT(H179,4), MID(H179,5,2), RIGHT(H179,2)), "M/d/yyyy")</f>
        <v>3/1/2025</v>
      </c>
      <c r="J179" s="9">
        <f>DATE(YEAR(I179), MONTH(I179) +1, DAY(I179))</f>
        <v>45748</v>
      </c>
      <c r="K179" s="6" t="s">
        <v>18</v>
      </c>
      <c r="L179" s="8">
        <v>1094.27</v>
      </c>
      <c r="M179" s="8">
        <v>3</v>
      </c>
      <c r="N179" s="8">
        <v>3</v>
      </c>
      <c r="O179" t="s">
        <v>235</v>
      </c>
    </row>
    <row r="180" spans="1:15" ht="15.75" x14ac:dyDescent="0.25">
      <c r="A180" s="5" t="s">
        <v>13</v>
      </c>
      <c r="B180" s="6">
        <v>20411454</v>
      </c>
      <c r="C180" s="6" t="s">
        <v>210</v>
      </c>
      <c r="D180" s="6" t="s">
        <v>211</v>
      </c>
      <c r="E180" s="6" t="str">
        <f>CONCATENATE(D180,1)</f>
        <v>98Q49J1</v>
      </c>
      <c r="F180" s="7" t="s">
        <v>22</v>
      </c>
      <c r="G180" s="6">
        <v>1</v>
      </c>
      <c r="H180" s="6">
        <v>20250401</v>
      </c>
      <c r="I180" s="6" t="str">
        <f>TEXT(DATE(LEFT(H180,4), MID(H180,5,2), RIGHT(H180,2)), "M/d/yyyy")</f>
        <v>4/1/2025</v>
      </c>
      <c r="J180" s="9">
        <f>DATE(YEAR(I180), MONTH(I180) +1, DAY(I180))</f>
        <v>45778</v>
      </c>
      <c r="K180" s="6" t="s">
        <v>18</v>
      </c>
      <c r="L180" s="8">
        <v>1094.27</v>
      </c>
      <c r="M180" s="8">
        <v>3</v>
      </c>
      <c r="N180" s="8">
        <v>3</v>
      </c>
      <c r="O180" t="s">
        <v>235</v>
      </c>
    </row>
    <row r="181" spans="1:15" ht="15.75" x14ac:dyDescent="0.25">
      <c r="A181" s="5" t="s">
        <v>13</v>
      </c>
      <c r="B181" s="6">
        <v>20411454</v>
      </c>
      <c r="C181" s="6" t="s">
        <v>101</v>
      </c>
      <c r="D181" s="6" t="s">
        <v>102</v>
      </c>
      <c r="E181" s="6" t="str">
        <f>CONCATENATE(D181,1)</f>
        <v>74R5D71</v>
      </c>
      <c r="F181" s="7" t="s">
        <v>86</v>
      </c>
      <c r="G181" s="6">
        <v>-1</v>
      </c>
      <c r="H181" s="6">
        <v>20250201</v>
      </c>
      <c r="I181" s="6" t="str">
        <f>TEXT(DATE(LEFT(H181,4), MID(H181,5,2), RIGHT(H181,2)), "M/d/yyyy")</f>
        <v>2/1/2025</v>
      </c>
      <c r="J181" s="9">
        <f>DATE(YEAR(I181), MONTH(I181) +1, DAY(I181))</f>
        <v>45717</v>
      </c>
      <c r="K181" s="6" t="s">
        <v>18</v>
      </c>
      <c r="L181" s="8">
        <v>-60.04</v>
      </c>
      <c r="M181" s="8">
        <v>3</v>
      </c>
      <c r="N181" s="8">
        <v>-3</v>
      </c>
      <c r="O181" t="s">
        <v>235</v>
      </c>
    </row>
    <row r="182" spans="1:15" ht="15.75" x14ac:dyDescent="0.25">
      <c r="A182" s="5" t="s">
        <v>13</v>
      </c>
      <c r="B182" s="6">
        <v>20411454</v>
      </c>
      <c r="C182" s="6" t="s">
        <v>101</v>
      </c>
      <c r="D182" s="6" t="s">
        <v>102</v>
      </c>
      <c r="E182" s="6" t="str">
        <f>CONCATENATE(D182,1)</f>
        <v>74R5D71</v>
      </c>
      <c r="F182" s="7" t="s">
        <v>86</v>
      </c>
      <c r="G182" s="6">
        <v>1</v>
      </c>
      <c r="H182" s="6">
        <v>20250201</v>
      </c>
      <c r="I182" s="6" t="str">
        <f>TEXT(DATE(LEFT(H182,4), MID(H182,5,2), RIGHT(H182,2)), "M/d/yyyy")</f>
        <v>2/1/2025</v>
      </c>
      <c r="J182" s="9">
        <f>DATE(YEAR(I182), MONTH(I182) +1, DAY(I182))</f>
        <v>45717</v>
      </c>
      <c r="K182" s="6" t="s">
        <v>18</v>
      </c>
      <c r="L182" s="8">
        <v>60.04</v>
      </c>
      <c r="M182" s="8">
        <v>3</v>
      </c>
      <c r="N182" s="8">
        <v>3</v>
      </c>
      <c r="O182" t="s">
        <v>235</v>
      </c>
    </row>
    <row r="183" spans="1:15" ht="15.75" x14ac:dyDescent="0.25">
      <c r="A183" s="5" t="s">
        <v>13</v>
      </c>
      <c r="B183" s="6">
        <v>20411454</v>
      </c>
      <c r="C183" s="6" t="s">
        <v>101</v>
      </c>
      <c r="D183" s="6" t="s">
        <v>102</v>
      </c>
      <c r="E183" s="6" t="str">
        <f>CONCATENATE(D183,1)</f>
        <v>74R5D71</v>
      </c>
      <c r="F183" s="7" t="s">
        <v>86</v>
      </c>
      <c r="G183" s="6">
        <v>1</v>
      </c>
      <c r="H183" s="6">
        <v>20250301</v>
      </c>
      <c r="I183" s="6" t="str">
        <f>TEXT(DATE(LEFT(H183,4), MID(H183,5,2), RIGHT(H183,2)), "M/d/yyyy")</f>
        <v>3/1/2025</v>
      </c>
      <c r="J183" s="9">
        <f>DATE(YEAR(I183), MONTH(I183) +1, DAY(I183))</f>
        <v>45748</v>
      </c>
      <c r="K183" s="6" t="s">
        <v>18</v>
      </c>
      <c r="L183" s="8">
        <v>337.3</v>
      </c>
      <c r="M183" s="8">
        <v>3</v>
      </c>
      <c r="N183" s="8">
        <v>3</v>
      </c>
      <c r="O183" t="s">
        <v>235</v>
      </c>
    </row>
    <row r="184" spans="1:15" ht="15.75" x14ac:dyDescent="0.25">
      <c r="A184" s="5" t="s">
        <v>13</v>
      </c>
      <c r="B184" s="6">
        <v>20411454</v>
      </c>
      <c r="C184" s="6" t="s">
        <v>73</v>
      </c>
      <c r="D184" s="6" t="s">
        <v>74</v>
      </c>
      <c r="E184" s="6" t="str">
        <f>CONCATENATE(D184,1)</f>
        <v>35DH741</v>
      </c>
      <c r="F184" s="7" t="s">
        <v>11</v>
      </c>
      <c r="G184" s="6">
        <v>-1</v>
      </c>
      <c r="H184" s="6">
        <v>20250201</v>
      </c>
      <c r="I184" s="6" t="str">
        <f>TEXT(DATE(LEFT(H184,4), MID(H184,5,2), RIGHT(H184,2)), "M/d/yyyy")</f>
        <v>2/1/2025</v>
      </c>
      <c r="J184" s="9">
        <f>DATE(YEAR(I184), MONTH(I184) +1, DAY(I184))</f>
        <v>45717</v>
      </c>
      <c r="K184" s="6" t="s">
        <v>12</v>
      </c>
      <c r="L184" s="8">
        <v>-348.22</v>
      </c>
      <c r="M184" s="8">
        <v>3</v>
      </c>
      <c r="N184" s="8">
        <v>-3</v>
      </c>
      <c r="O184" t="s">
        <v>235</v>
      </c>
    </row>
    <row r="185" spans="1:15" ht="15.75" x14ac:dyDescent="0.25">
      <c r="A185" s="5" t="s">
        <v>13</v>
      </c>
      <c r="B185" s="6">
        <v>20411454</v>
      </c>
      <c r="C185" s="6" t="s">
        <v>73</v>
      </c>
      <c r="D185" s="6" t="s">
        <v>74</v>
      </c>
      <c r="E185" s="6" t="str">
        <f>CONCATENATE(D185,1)</f>
        <v>35DH741</v>
      </c>
      <c r="F185" s="7" t="s">
        <v>11</v>
      </c>
      <c r="G185" s="6">
        <v>-1</v>
      </c>
      <c r="H185" s="6">
        <v>20250301</v>
      </c>
      <c r="I185" s="6" t="str">
        <f>TEXT(DATE(LEFT(H185,4), MID(H185,5,2), RIGHT(H185,2)), "M/d/yyyy")</f>
        <v>3/1/2025</v>
      </c>
      <c r="J185" s="9">
        <f>DATE(YEAR(I185), MONTH(I185) +1, DAY(I185))</f>
        <v>45748</v>
      </c>
      <c r="K185" s="6" t="s">
        <v>12</v>
      </c>
      <c r="L185" s="8">
        <v>-348.22</v>
      </c>
      <c r="M185" s="8">
        <v>3</v>
      </c>
      <c r="N185" s="8">
        <v>-3</v>
      </c>
      <c r="O185" t="s">
        <v>235</v>
      </c>
    </row>
    <row r="186" spans="1:15" ht="15.75" x14ac:dyDescent="0.25">
      <c r="A186" s="5" t="s">
        <v>13</v>
      </c>
      <c r="B186" s="6">
        <v>20411454</v>
      </c>
      <c r="C186" s="6" t="s">
        <v>73</v>
      </c>
      <c r="D186" s="6" t="s">
        <v>74</v>
      </c>
      <c r="E186" s="6" t="str">
        <f>CONCATENATE(D186,1)</f>
        <v>35DH741</v>
      </c>
      <c r="F186" s="7" t="s">
        <v>11</v>
      </c>
      <c r="G186" s="6">
        <v>1</v>
      </c>
      <c r="H186" s="6">
        <v>20250201</v>
      </c>
      <c r="I186" s="6" t="str">
        <f>TEXT(DATE(LEFT(H186,4), MID(H186,5,2), RIGHT(H186,2)), "M/d/yyyy")</f>
        <v>2/1/2025</v>
      </c>
      <c r="J186" s="9">
        <f>DATE(YEAR(I186), MONTH(I186) +1, DAY(I186))</f>
        <v>45717</v>
      </c>
      <c r="K186" s="6" t="s">
        <v>12</v>
      </c>
      <c r="L186" s="8">
        <v>348.22</v>
      </c>
      <c r="M186" s="8">
        <v>3</v>
      </c>
      <c r="N186" s="8">
        <v>3</v>
      </c>
      <c r="O186" t="s">
        <v>235</v>
      </c>
    </row>
    <row r="187" spans="1:15" ht="15.75" x14ac:dyDescent="0.25">
      <c r="A187" s="5" t="s">
        <v>13</v>
      </c>
      <c r="B187" s="6">
        <v>20411454</v>
      </c>
      <c r="C187" s="6" t="s">
        <v>73</v>
      </c>
      <c r="D187" s="6" t="s">
        <v>74</v>
      </c>
      <c r="E187" s="6" t="str">
        <f>CONCATENATE(D187,1)</f>
        <v>35DH741</v>
      </c>
      <c r="F187" s="7" t="s">
        <v>11</v>
      </c>
      <c r="G187" s="6">
        <v>1</v>
      </c>
      <c r="H187" s="6">
        <v>20250301</v>
      </c>
      <c r="I187" s="6" t="str">
        <f>TEXT(DATE(LEFT(H187,4), MID(H187,5,2), RIGHT(H187,2)), "M/d/yyyy")</f>
        <v>3/1/2025</v>
      </c>
      <c r="J187" s="9">
        <f>DATE(YEAR(I187), MONTH(I187) +1, DAY(I187))</f>
        <v>45748</v>
      </c>
      <c r="K187" s="6" t="s">
        <v>12</v>
      </c>
      <c r="L187" s="8">
        <v>348.22</v>
      </c>
      <c r="M187" s="8">
        <v>3</v>
      </c>
      <c r="N187" s="8">
        <v>3</v>
      </c>
      <c r="O187" t="s">
        <v>235</v>
      </c>
    </row>
    <row r="188" spans="1:15" ht="15.75" x14ac:dyDescent="0.25">
      <c r="A188" s="5" t="s">
        <v>13</v>
      </c>
      <c r="B188" s="6">
        <v>20411454</v>
      </c>
      <c r="C188" s="6" t="s">
        <v>125</v>
      </c>
      <c r="D188" s="6" t="s">
        <v>126</v>
      </c>
      <c r="E188" s="6" t="str">
        <f>CONCATENATE(D188,1)</f>
        <v>04TM481</v>
      </c>
      <c r="F188" s="7" t="s">
        <v>86</v>
      </c>
      <c r="G188" s="6">
        <v>-3</v>
      </c>
      <c r="H188" s="6">
        <v>20250201</v>
      </c>
      <c r="I188" s="6" t="str">
        <f>TEXT(DATE(LEFT(H188,4), MID(H188,5,2), RIGHT(H188,2)), "M/d/yyyy")</f>
        <v>2/1/2025</v>
      </c>
      <c r="J188" s="9">
        <f>DATE(YEAR(I188), MONTH(I188) +1, DAY(I188))</f>
        <v>45717</v>
      </c>
      <c r="K188" s="6" t="s">
        <v>18</v>
      </c>
      <c r="L188" s="8">
        <v>-847.34</v>
      </c>
      <c r="M188" s="8">
        <v>3</v>
      </c>
      <c r="N188" s="8">
        <v>-9</v>
      </c>
      <c r="O188" t="s">
        <v>235</v>
      </c>
    </row>
    <row r="189" spans="1:15" ht="15.75" x14ac:dyDescent="0.25">
      <c r="A189" s="5" t="s">
        <v>13</v>
      </c>
      <c r="B189" s="6">
        <v>20411454</v>
      </c>
      <c r="C189" s="6" t="s">
        <v>125</v>
      </c>
      <c r="D189" s="6" t="s">
        <v>126</v>
      </c>
      <c r="E189" s="6" t="str">
        <f>CONCATENATE(D189,1)</f>
        <v>04TM481</v>
      </c>
      <c r="F189" s="7" t="s">
        <v>86</v>
      </c>
      <c r="G189" s="6">
        <v>-3</v>
      </c>
      <c r="H189" s="6">
        <v>20250301</v>
      </c>
      <c r="I189" s="6" t="str">
        <f>TEXT(DATE(LEFT(H189,4), MID(H189,5,2), RIGHT(H189,2)), "M/d/yyyy")</f>
        <v>3/1/2025</v>
      </c>
      <c r="J189" s="9">
        <f>DATE(YEAR(I189), MONTH(I189) +1, DAY(I189))</f>
        <v>45748</v>
      </c>
      <c r="K189" s="6" t="s">
        <v>18</v>
      </c>
      <c r="L189" s="8">
        <v>-847.34</v>
      </c>
      <c r="M189" s="8">
        <v>3</v>
      </c>
      <c r="N189" s="8">
        <v>-9</v>
      </c>
      <c r="O189" t="s">
        <v>235</v>
      </c>
    </row>
    <row r="190" spans="1:15" ht="15.75" x14ac:dyDescent="0.25">
      <c r="A190" s="5" t="s">
        <v>13</v>
      </c>
      <c r="B190" s="6">
        <v>20411454</v>
      </c>
      <c r="C190" s="6" t="s">
        <v>125</v>
      </c>
      <c r="D190" s="6" t="s">
        <v>126</v>
      </c>
      <c r="E190" s="6" t="str">
        <f>CONCATENATE(D190,1)</f>
        <v>04TM481</v>
      </c>
      <c r="F190" s="7" t="s">
        <v>86</v>
      </c>
      <c r="G190" s="6">
        <v>3</v>
      </c>
      <c r="H190" s="6">
        <v>20250201</v>
      </c>
      <c r="I190" s="6" t="str">
        <f>TEXT(DATE(LEFT(H190,4), MID(H190,5,2), RIGHT(H190,2)), "M/d/yyyy")</f>
        <v>2/1/2025</v>
      </c>
      <c r="J190" s="9">
        <f>DATE(YEAR(I190), MONTH(I190) +1, DAY(I190))</f>
        <v>45717</v>
      </c>
      <c r="K190" s="6" t="s">
        <v>18</v>
      </c>
      <c r="L190" s="8">
        <v>847.34</v>
      </c>
      <c r="M190" s="8">
        <v>3</v>
      </c>
      <c r="N190" s="8">
        <v>9</v>
      </c>
      <c r="O190" t="s">
        <v>235</v>
      </c>
    </row>
    <row r="191" spans="1:15" ht="15.75" x14ac:dyDescent="0.25">
      <c r="A191" s="5" t="s">
        <v>13</v>
      </c>
      <c r="B191" s="6">
        <v>20411454</v>
      </c>
      <c r="C191" s="6" t="s">
        <v>125</v>
      </c>
      <c r="D191" s="6" t="s">
        <v>126</v>
      </c>
      <c r="E191" s="6" t="str">
        <f>CONCATENATE(D191,1)</f>
        <v>04TM481</v>
      </c>
      <c r="F191" s="7" t="s">
        <v>86</v>
      </c>
      <c r="G191" s="6">
        <v>3</v>
      </c>
      <c r="H191" s="6">
        <v>20250301</v>
      </c>
      <c r="I191" s="6" t="str">
        <f>TEXT(DATE(LEFT(H191,4), MID(H191,5,2), RIGHT(H191,2)), "M/d/yyyy")</f>
        <v>3/1/2025</v>
      </c>
      <c r="J191" s="9">
        <f>DATE(YEAR(I191), MONTH(I191) +1, DAY(I191))</f>
        <v>45748</v>
      </c>
      <c r="K191" s="6" t="s">
        <v>18</v>
      </c>
      <c r="L191" s="8">
        <v>847.34</v>
      </c>
      <c r="M191" s="8">
        <v>3</v>
      </c>
      <c r="N191" s="8">
        <v>9</v>
      </c>
      <c r="O191" t="s">
        <v>235</v>
      </c>
    </row>
    <row r="192" spans="1:15" ht="15.75" x14ac:dyDescent="0.25">
      <c r="A192" s="5" t="s">
        <v>13</v>
      </c>
      <c r="B192" s="6">
        <v>20411454</v>
      </c>
      <c r="C192" s="6" t="s">
        <v>125</v>
      </c>
      <c r="D192" s="6" t="s">
        <v>126</v>
      </c>
      <c r="E192" s="6" t="str">
        <f>CONCATENATE(D192,1)</f>
        <v>04TM481</v>
      </c>
      <c r="F192" s="7" t="s">
        <v>86</v>
      </c>
      <c r="G192" s="6">
        <v>3</v>
      </c>
      <c r="H192" s="6">
        <v>20250401</v>
      </c>
      <c r="I192" s="6" t="str">
        <f>TEXT(DATE(LEFT(H192,4), MID(H192,5,2), RIGHT(H192,2)), "M/d/yyyy")</f>
        <v>4/1/2025</v>
      </c>
      <c r="J192" s="9">
        <f>DATE(YEAR(I192), MONTH(I192) +1, DAY(I192))</f>
        <v>45778</v>
      </c>
      <c r="K192" s="6" t="s">
        <v>18</v>
      </c>
      <c r="L192" s="8">
        <v>847.34</v>
      </c>
      <c r="M192" s="8">
        <v>3</v>
      </c>
      <c r="N192" s="8">
        <v>9</v>
      </c>
      <c r="O192" t="s">
        <v>235</v>
      </c>
    </row>
    <row r="193" spans="1:15" ht="15.75" x14ac:dyDescent="0.25">
      <c r="A193" s="5" t="s">
        <v>13</v>
      </c>
      <c r="B193" s="6">
        <v>20411454</v>
      </c>
      <c r="C193" s="6" t="s">
        <v>181</v>
      </c>
      <c r="D193" s="6" t="s">
        <v>182</v>
      </c>
      <c r="E193" s="6" t="str">
        <f>CONCATENATE(D193,1)</f>
        <v>79TD171</v>
      </c>
      <c r="F193" s="7" t="s">
        <v>86</v>
      </c>
      <c r="G193" s="6">
        <v>-1</v>
      </c>
      <c r="H193" s="6">
        <v>20250201</v>
      </c>
      <c r="I193" s="6" t="str">
        <f>TEXT(DATE(LEFT(H193,4), MID(H193,5,2), RIGHT(H193,2)), "M/d/yyyy")</f>
        <v>2/1/2025</v>
      </c>
      <c r="J193" s="9">
        <f>DATE(YEAR(I193), MONTH(I193) +1, DAY(I193))</f>
        <v>45717</v>
      </c>
      <c r="K193" s="6" t="s">
        <v>18</v>
      </c>
      <c r="L193" s="8">
        <v>-399.52</v>
      </c>
      <c r="M193" s="8">
        <v>3</v>
      </c>
      <c r="N193" s="8">
        <v>-3</v>
      </c>
      <c r="O193" t="s">
        <v>235</v>
      </c>
    </row>
    <row r="194" spans="1:15" ht="15.75" x14ac:dyDescent="0.25">
      <c r="A194" s="5" t="s">
        <v>13</v>
      </c>
      <c r="B194" s="6">
        <v>20411454</v>
      </c>
      <c r="C194" s="6" t="s">
        <v>181</v>
      </c>
      <c r="D194" s="6" t="s">
        <v>182</v>
      </c>
      <c r="E194" s="6" t="str">
        <f>CONCATENATE(D194,1)</f>
        <v>79TD171</v>
      </c>
      <c r="F194" s="7" t="s">
        <v>86</v>
      </c>
      <c r="G194" s="6">
        <v>1</v>
      </c>
      <c r="H194" s="6">
        <v>20250201</v>
      </c>
      <c r="I194" s="6" t="str">
        <f>TEXT(DATE(LEFT(H194,4), MID(H194,5,2), RIGHT(H194,2)), "M/d/yyyy")</f>
        <v>2/1/2025</v>
      </c>
      <c r="J194" s="9">
        <f>DATE(YEAR(I194), MONTH(I194) +1, DAY(I194))</f>
        <v>45717</v>
      </c>
      <c r="K194" s="6" t="s">
        <v>18</v>
      </c>
      <c r="L194" s="8">
        <v>399.52</v>
      </c>
      <c r="M194" s="8">
        <v>3</v>
      </c>
      <c r="N194" s="8">
        <v>3</v>
      </c>
      <c r="O194" t="s">
        <v>235</v>
      </c>
    </row>
    <row r="195" spans="1:15" ht="15.75" x14ac:dyDescent="0.25">
      <c r="A195" s="5" t="s">
        <v>13</v>
      </c>
      <c r="B195" s="6">
        <v>20411454</v>
      </c>
      <c r="C195" s="6" t="s">
        <v>208</v>
      </c>
      <c r="D195" s="6" t="s">
        <v>209</v>
      </c>
      <c r="E195" s="6" t="str">
        <f>CONCATENATE(D195,1)</f>
        <v>03Q06K1</v>
      </c>
      <c r="F195" s="7" t="s">
        <v>22</v>
      </c>
      <c r="G195" s="6">
        <v>-1</v>
      </c>
      <c r="H195" s="6">
        <v>20250201</v>
      </c>
      <c r="I195" s="6" t="str">
        <f>TEXT(DATE(LEFT(H195,4), MID(H195,5,2), RIGHT(H195,2)), "M/d/yyyy")</f>
        <v>2/1/2025</v>
      </c>
      <c r="J195" s="9">
        <f>DATE(YEAR(I195), MONTH(I195) +1, DAY(I195))</f>
        <v>45717</v>
      </c>
      <c r="K195" s="6" t="s">
        <v>18</v>
      </c>
      <c r="L195" s="8">
        <v>-826.63</v>
      </c>
      <c r="M195" s="8">
        <v>3</v>
      </c>
      <c r="N195" s="8">
        <v>-3</v>
      </c>
      <c r="O195" t="s">
        <v>235</v>
      </c>
    </row>
    <row r="196" spans="1:15" ht="15.75" x14ac:dyDescent="0.25">
      <c r="A196" s="5" t="s">
        <v>13</v>
      </c>
      <c r="B196" s="6">
        <v>20411454</v>
      </c>
      <c r="C196" s="6" t="s">
        <v>208</v>
      </c>
      <c r="D196" s="6" t="s">
        <v>209</v>
      </c>
      <c r="E196" s="6" t="str">
        <f>CONCATENATE(D196,1)</f>
        <v>03Q06K1</v>
      </c>
      <c r="F196" s="7" t="s">
        <v>22</v>
      </c>
      <c r="G196" s="6">
        <v>-1</v>
      </c>
      <c r="H196" s="6">
        <v>20250301</v>
      </c>
      <c r="I196" s="6" t="str">
        <f>TEXT(DATE(LEFT(H196,4), MID(H196,5,2), RIGHT(H196,2)), "M/d/yyyy")</f>
        <v>3/1/2025</v>
      </c>
      <c r="J196" s="9">
        <f>DATE(YEAR(I196), MONTH(I196) +1, DAY(I196))</f>
        <v>45748</v>
      </c>
      <c r="K196" s="6" t="s">
        <v>18</v>
      </c>
      <c r="L196" s="8">
        <v>-826.63</v>
      </c>
      <c r="M196" s="8">
        <v>3</v>
      </c>
      <c r="N196" s="8">
        <v>-3</v>
      </c>
      <c r="O196" t="s">
        <v>235</v>
      </c>
    </row>
    <row r="197" spans="1:15" ht="15.75" x14ac:dyDescent="0.25">
      <c r="A197" s="5" t="s">
        <v>13</v>
      </c>
      <c r="B197" s="6">
        <v>20411454</v>
      </c>
      <c r="C197" s="6" t="s">
        <v>208</v>
      </c>
      <c r="D197" s="6" t="s">
        <v>209</v>
      </c>
      <c r="E197" s="6" t="str">
        <f>CONCATENATE(D197,1)</f>
        <v>03Q06K1</v>
      </c>
      <c r="F197" s="7" t="s">
        <v>22</v>
      </c>
      <c r="G197" s="6">
        <v>1</v>
      </c>
      <c r="H197" s="6">
        <v>20250201</v>
      </c>
      <c r="I197" s="6" t="str">
        <f>TEXT(DATE(LEFT(H197,4), MID(H197,5,2), RIGHT(H197,2)), "M/d/yyyy")</f>
        <v>2/1/2025</v>
      </c>
      <c r="J197" s="9">
        <f>DATE(YEAR(I197), MONTH(I197) +1, DAY(I197))</f>
        <v>45717</v>
      </c>
      <c r="K197" s="6" t="s">
        <v>18</v>
      </c>
      <c r="L197" s="8">
        <v>826.63</v>
      </c>
      <c r="M197" s="8">
        <v>3</v>
      </c>
      <c r="N197" s="8">
        <v>3</v>
      </c>
      <c r="O197" t="s">
        <v>235</v>
      </c>
    </row>
    <row r="198" spans="1:15" ht="15.75" x14ac:dyDescent="0.25">
      <c r="A198" s="5" t="s">
        <v>13</v>
      </c>
      <c r="B198" s="6">
        <v>20411454</v>
      </c>
      <c r="C198" s="6" t="s">
        <v>208</v>
      </c>
      <c r="D198" s="6" t="s">
        <v>209</v>
      </c>
      <c r="E198" s="6" t="str">
        <f>CONCATENATE(D198,1)</f>
        <v>03Q06K1</v>
      </c>
      <c r="F198" s="7" t="s">
        <v>22</v>
      </c>
      <c r="G198" s="6">
        <v>1</v>
      </c>
      <c r="H198" s="6">
        <v>20250301</v>
      </c>
      <c r="I198" s="6" t="str">
        <f>TEXT(DATE(LEFT(H198,4), MID(H198,5,2), RIGHT(H198,2)), "M/d/yyyy")</f>
        <v>3/1/2025</v>
      </c>
      <c r="J198" s="9">
        <f>DATE(YEAR(I198), MONTH(I198) +1, DAY(I198))</f>
        <v>45748</v>
      </c>
      <c r="K198" s="6" t="s">
        <v>18</v>
      </c>
      <c r="L198" s="8">
        <v>826.63</v>
      </c>
      <c r="M198" s="8">
        <v>3</v>
      </c>
      <c r="N198" s="8">
        <v>3</v>
      </c>
      <c r="O198" t="s">
        <v>235</v>
      </c>
    </row>
    <row r="199" spans="1:15" ht="15.75" x14ac:dyDescent="0.25">
      <c r="A199" s="5" t="s">
        <v>13</v>
      </c>
      <c r="B199" s="6">
        <v>20411454</v>
      </c>
      <c r="C199" s="6" t="s">
        <v>208</v>
      </c>
      <c r="D199" s="6" t="s">
        <v>209</v>
      </c>
      <c r="E199" s="6" t="str">
        <f>CONCATENATE(D199,1)</f>
        <v>03Q06K1</v>
      </c>
      <c r="F199" s="7" t="s">
        <v>22</v>
      </c>
      <c r="G199" s="6">
        <v>1</v>
      </c>
      <c r="H199" s="6">
        <v>20250401</v>
      </c>
      <c r="I199" s="6" t="str">
        <f>TEXT(DATE(LEFT(H199,4), MID(H199,5,2), RIGHT(H199,2)), "M/d/yyyy")</f>
        <v>4/1/2025</v>
      </c>
      <c r="J199" s="9">
        <f>DATE(YEAR(I199), MONTH(I199) +1, DAY(I199))</f>
        <v>45778</v>
      </c>
      <c r="K199" s="6" t="s">
        <v>18</v>
      </c>
      <c r="L199" s="8">
        <v>826.63</v>
      </c>
      <c r="M199" s="8">
        <v>3</v>
      </c>
      <c r="N199" s="8">
        <v>3</v>
      </c>
      <c r="O199" t="s">
        <v>235</v>
      </c>
    </row>
    <row r="200" spans="1:15" ht="15.75" x14ac:dyDescent="0.25">
      <c r="A200" s="5" t="s">
        <v>13</v>
      </c>
      <c r="B200" s="6">
        <v>20411454</v>
      </c>
      <c r="C200" s="6" t="s">
        <v>175</v>
      </c>
      <c r="D200" s="6" t="s">
        <v>176</v>
      </c>
      <c r="E200" s="6" t="str">
        <f>CONCATENATE(D200,1)</f>
        <v>6HM4121</v>
      </c>
      <c r="F200" s="7" t="s">
        <v>86</v>
      </c>
      <c r="G200" s="6">
        <v>-1</v>
      </c>
      <c r="H200" s="6">
        <v>20250201</v>
      </c>
      <c r="I200" s="6" t="str">
        <f>TEXT(DATE(LEFT(H200,4), MID(H200,5,2), RIGHT(H200,2)), "M/d/yyyy")</f>
        <v>2/1/2025</v>
      </c>
      <c r="J200" s="9">
        <f>DATE(YEAR(I200), MONTH(I200) +1, DAY(I200))</f>
        <v>45717</v>
      </c>
      <c r="K200" s="6" t="s">
        <v>18</v>
      </c>
      <c r="L200" s="8">
        <v>-14.26</v>
      </c>
      <c r="M200" s="8">
        <v>3</v>
      </c>
      <c r="N200" s="8">
        <v>-3</v>
      </c>
      <c r="O200" t="s">
        <v>235</v>
      </c>
    </row>
    <row r="201" spans="1:15" ht="15.75" x14ac:dyDescent="0.25">
      <c r="A201" s="5" t="s">
        <v>13</v>
      </c>
      <c r="B201" s="6">
        <v>20411454</v>
      </c>
      <c r="C201" s="6" t="s">
        <v>175</v>
      </c>
      <c r="D201" s="6" t="s">
        <v>176</v>
      </c>
      <c r="E201" s="6" t="str">
        <f>CONCATENATE(D201,1)</f>
        <v>6HM4121</v>
      </c>
      <c r="F201" s="7" t="s">
        <v>86</v>
      </c>
      <c r="G201" s="6">
        <v>-1</v>
      </c>
      <c r="H201" s="6">
        <v>20250301</v>
      </c>
      <c r="I201" s="6" t="str">
        <f>TEXT(DATE(LEFT(H201,4), MID(H201,5,2), RIGHT(H201,2)), "M/d/yyyy")</f>
        <v>3/1/2025</v>
      </c>
      <c r="J201" s="9">
        <f>DATE(YEAR(I201), MONTH(I201) +1, DAY(I201))</f>
        <v>45748</v>
      </c>
      <c r="K201" s="6" t="s">
        <v>18</v>
      </c>
      <c r="L201" s="8">
        <v>-14.26</v>
      </c>
      <c r="M201" s="8">
        <v>3</v>
      </c>
      <c r="N201" s="8">
        <v>-3</v>
      </c>
      <c r="O201" t="s">
        <v>235</v>
      </c>
    </row>
    <row r="202" spans="1:15" ht="15.75" x14ac:dyDescent="0.25">
      <c r="A202" s="5" t="s">
        <v>13</v>
      </c>
      <c r="B202" s="6">
        <v>20411454</v>
      </c>
      <c r="C202" s="6" t="s">
        <v>175</v>
      </c>
      <c r="D202" s="6" t="s">
        <v>176</v>
      </c>
      <c r="E202" s="6" t="str">
        <f>CONCATENATE(D202,1)</f>
        <v>6HM4121</v>
      </c>
      <c r="F202" s="7" t="s">
        <v>86</v>
      </c>
      <c r="G202" s="6">
        <v>1</v>
      </c>
      <c r="H202" s="6">
        <v>20250201</v>
      </c>
      <c r="I202" s="6" t="str">
        <f>TEXT(DATE(LEFT(H202,4), MID(H202,5,2), RIGHT(H202,2)), "M/d/yyyy")</f>
        <v>2/1/2025</v>
      </c>
      <c r="J202" s="9">
        <f>DATE(YEAR(I202), MONTH(I202) +1, DAY(I202))</f>
        <v>45717</v>
      </c>
      <c r="K202" s="6" t="s">
        <v>18</v>
      </c>
      <c r="L202" s="8">
        <v>14.26</v>
      </c>
      <c r="M202" s="8">
        <v>3</v>
      </c>
      <c r="N202" s="8">
        <v>3</v>
      </c>
      <c r="O202" t="s">
        <v>235</v>
      </c>
    </row>
    <row r="203" spans="1:15" ht="15.75" x14ac:dyDescent="0.25">
      <c r="A203" s="5" t="s">
        <v>13</v>
      </c>
      <c r="B203" s="6">
        <v>20411454</v>
      </c>
      <c r="C203" s="6" t="s">
        <v>175</v>
      </c>
      <c r="D203" s="6" t="s">
        <v>176</v>
      </c>
      <c r="E203" s="6" t="str">
        <f>CONCATENATE(D203,1)</f>
        <v>6HM4121</v>
      </c>
      <c r="F203" s="7" t="s">
        <v>86</v>
      </c>
      <c r="G203" s="6">
        <v>1</v>
      </c>
      <c r="H203" s="6">
        <v>20250301</v>
      </c>
      <c r="I203" s="6" t="str">
        <f>TEXT(DATE(LEFT(H203,4), MID(H203,5,2), RIGHT(H203,2)), "M/d/yyyy")</f>
        <v>3/1/2025</v>
      </c>
      <c r="J203" s="9">
        <f>DATE(YEAR(I203), MONTH(I203) +1, DAY(I203))</f>
        <v>45748</v>
      </c>
      <c r="K203" s="6" t="s">
        <v>18</v>
      </c>
      <c r="L203" s="8">
        <v>14.26</v>
      </c>
      <c r="M203" s="8">
        <v>3</v>
      </c>
      <c r="N203" s="8">
        <v>3</v>
      </c>
      <c r="O203" t="s">
        <v>235</v>
      </c>
    </row>
    <row r="204" spans="1:15" ht="15.75" x14ac:dyDescent="0.25">
      <c r="A204" s="5" t="s">
        <v>13</v>
      </c>
      <c r="B204" s="6">
        <v>20411454</v>
      </c>
      <c r="C204" s="6" t="s">
        <v>175</v>
      </c>
      <c r="D204" s="6" t="s">
        <v>176</v>
      </c>
      <c r="E204" s="6" t="str">
        <f>CONCATENATE(D204,1)</f>
        <v>6HM4121</v>
      </c>
      <c r="F204" s="7" t="s">
        <v>86</v>
      </c>
      <c r="G204" s="6">
        <v>1</v>
      </c>
      <c r="H204" s="6">
        <v>20250401</v>
      </c>
      <c r="I204" s="6" t="str">
        <f>TEXT(DATE(LEFT(H204,4), MID(H204,5,2), RIGHT(H204,2)), "M/d/yyyy")</f>
        <v>4/1/2025</v>
      </c>
      <c r="J204" s="9">
        <f>DATE(YEAR(I204), MONTH(I204) +1, DAY(I204))</f>
        <v>45778</v>
      </c>
      <c r="K204" s="6" t="s">
        <v>18</v>
      </c>
      <c r="L204" s="8">
        <v>14.26</v>
      </c>
      <c r="M204" s="8">
        <v>3</v>
      </c>
      <c r="N204" s="8">
        <v>3</v>
      </c>
      <c r="O204" t="s">
        <v>235</v>
      </c>
    </row>
    <row r="205" spans="1:15" ht="15.75" x14ac:dyDescent="0.25">
      <c r="A205" s="5" t="s">
        <v>13</v>
      </c>
      <c r="B205" s="6">
        <v>20411454</v>
      </c>
      <c r="C205" s="6" t="s">
        <v>163</v>
      </c>
      <c r="D205" s="6" t="s">
        <v>164</v>
      </c>
      <c r="E205" s="6" t="str">
        <f>CONCATENATE(D205,1)</f>
        <v>46Q2X51</v>
      </c>
      <c r="F205" s="7" t="s">
        <v>86</v>
      </c>
      <c r="G205" s="6">
        <v>-1</v>
      </c>
      <c r="H205" s="6">
        <v>20250201</v>
      </c>
      <c r="I205" s="6" t="str">
        <f>TEXT(DATE(LEFT(H205,4), MID(H205,5,2), RIGHT(H205,2)), "M/d/yyyy")</f>
        <v>2/1/2025</v>
      </c>
      <c r="J205" s="9">
        <f>DATE(YEAR(I205), MONTH(I205) +1, DAY(I205))</f>
        <v>45717</v>
      </c>
      <c r="K205" s="6" t="s">
        <v>18</v>
      </c>
      <c r="L205" s="8">
        <v>-97.95</v>
      </c>
      <c r="M205" s="8">
        <v>3</v>
      </c>
      <c r="N205" s="8">
        <v>-3</v>
      </c>
      <c r="O205" t="s">
        <v>235</v>
      </c>
    </row>
    <row r="206" spans="1:15" ht="15.75" x14ac:dyDescent="0.25">
      <c r="A206" s="5" t="s">
        <v>13</v>
      </c>
      <c r="B206" s="6">
        <v>20411454</v>
      </c>
      <c r="C206" s="6" t="s">
        <v>163</v>
      </c>
      <c r="D206" s="6" t="s">
        <v>164</v>
      </c>
      <c r="E206" s="6" t="str">
        <f>CONCATENATE(D206,1)</f>
        <v>46Q2X51</v>
      </c>
      <c r="F206" s="7" t="s">
        <v>86</v>
      </c>
      <c r="G206" s="6">
        <v>-1</v>
      </c>
      <c r="H206" s="6">
        <v>20250301</v>
      </c>
      <c r="I206" s="6" t="str">
        <f>TEXT(DATE(LEFT(H206,4), MID(H206,5,2), RIGHT(H206,2)), "M/d/yyyy")</f>
        <v>3/1/2025</v>
      </c>
      <c r="J206" s="9">
        <f>DATE(YEAR(I206), MONTH(I206) +1, DAY(I206))</f>
        <v>45748</v>
      </c>
      <c r="K206" s="6" t="s">
        <v>18</v>
      </c>
      <c r="L206" s="8">
        <v>-97.95</v>
      </c>
      <c r="M206" s="8">
        <v>3</v>
      </c>
      <c r="N206" s="8">
        <v>-3</v>
      </c>
      <c r="O206" t="s">
        <v>235</v>
      </c>
    </row>
    <row r="207" spans="1:15" ht="15.75" x14ac:dyDescent="0.25">
      <c r="A207" s="5" t="s">
        <v>13</v>
      </c>
      <c r="B207" s="6">
        <v>20411454</v>
      </c>
      <c r="C207" s="6" t="s">
        <v>163</v>
      </c>
      <c r="D207" s="6" t="s">
        <v>164</v>
      </c>
      <c r="E207" s="6" t="str">
        <f>CONCATENATE(D207,1)</f>
        <v>46Q2X51</v>
      </c>
      <c r="F207" s="7" t="s">
        <v>86</v>
      </c>
      <c r="G207" s="6">
        <v>1</v>
      </c>
      <c r="H207" s="6">
        <v>20250201</v>
      </c>
      <c r="I207" s="6" t="str">
        <f>TEXT(DATE(LEFT(H207,4), MID(H207,5,2), RIGHT(H207,2)), "M/d/yyyy")</f>
        <v>2/1/2025</v>
      </c>
      <c r="J207" s="9">
        <f>DATE(YEAR(I207), MONTH(I207) +1, DAY(I207))</f>
        <v>45717</v>
      </c>
      <c r="K207" s="6" t="s">
        <v>18</v>
      </c>
      <c r="L207" s="8">
        <v>97.95</v>
      </c>
      <c r="M207" s="8">
        <v>3</v>
      </c>
      <c r="N207" s="8">
        <v>3</v>
      </c>
      <c r="O207" t="s">
        <v>235</v>
      </c>
    </row>
    <row r="208" spans="1:15" ht="15.75" x14ac:dyDescent="0.25">
      <c r="A208" s="5" t="s">
        <v>13</v>
      </c>
      <c r="B208" s="6">
        <v>20411454</v>
      </c>
      <c r="C208" s="6" t="s">
        <v>163</v>
      </c>
      <c r="D208" s="6" t="s">
        <v>164</v>
      </c>
      <c r="E208" s="6" t="str">
        <f>CONCATENATE(D208,1)</f>
        <v>46Q2X51</v>
      </c>
      <c r="F208" s="7" t="s">
        <v>86</v>
      </c>
      <c r="G208" s="6">
        <v>1</v>
      </c>
      <c r="H208" s="6">
        <v>20250301</v>
      </c>
      <c r="I208" s="6" t="str">
        <f>TEXT(DATE(LEFT(H208,4), MID(H208,5,2), RIGHT(H208,2)), "M/d/yyyy")</f>
        <v>3/1/2025</v>
      </c>
      <c r="J208" s="9">
        <f>DATE(YEAR(I208), MONTH(I208) +1, DAY(I208))</f>
        <v>45748</v>
      </c>
      <c r="K208" s="6" t="s">
        <v>18</v>
      </c>
      <c r="L208" s="8">
        <v>97.95</v>
      </c>
      <c r="M208" s="8">
        <v>3</v>
      </c>
      <c r="N208" s="8">
        <v>3</v>
      </c>
      <c r="O208" t="s">
        <v>235</v>
      </c>
    </row>
    <row r="209" spans="1:15" ht="15.75" x14ac:dyDescent="0.25">
      <c r="A209" s="5" t="s">
        <v>13</v>
      </c>
      <c r="B209" s="6">
        <v>20411454</v>
      </c>
      <c r="C209" s="6" t="s">
        <v>163</v>
      </c>
      <c r="D209" s="6" t="s">
        <v>164</v>
      </c>
      <c r="E209" s="6" t="str">
        <f>CONCATENATE(D209,1)</f>
        <v>46Q2X51</v>
      </c>
      <c r="F209" s="7" t="s">
        <v>86</v>
      </c>
      <c r="G209" s="6">
        <v>1</v>
      </c>
      <c r="H209" s="6">
        <v>20250401</v>
      </c>
      <c r="I209" s="6" t="str">
        <f>TEXT(DATE(LEFT(H209,4), MID(H209,5,2), RIGHT(H209,2)), "M/d/yyyy")</f>
        <v>4/1/2025</v>
      </c>
      <c r="J209" s="9">
        <f>DATE(YEAR(I209), MONTH(I209) +1, DAY(I209))</f>
        <v>45778</v>
      </c>
      <c r="K209" s="6" t="s">
        <v>18</v>
      </c>
      <c r="L209" s="8">
        <v>97.95</v>
      </c>
      <c r="M209" s="8">
        <v>3</v>
      </c>
      <c r="N209" s="8">
        <v>3</v>
      </c>
      <c r="O209" t="s">
        <v>235</v>
      </c>
    </row>
    <row r="210" spans="1:15" ht="15.75" x14ac:dyDescent="0.25">
      <c r="A210" s="5" t="s">
        <v>13</v>
      </c>
      <c r="B210" s="6">
        <v>20411454</v>
      </c>
      <c r="C210" s="6" t="s">
        <v>116</v>
      </c>
      <c r="D210" s="6" t="s">
        <v>117</v>
      </c>
      <c r="E210" s="6" t="str">
        <f>CONCATENATE(D210,1)</f>
        <v>0Y84T51</v>
      </c>
      <c r="F210" s="7" t="s">
        <v>33</v>
      </c>
      <c r="G210" s="6">
        <v>-1</v>
      </c>
      <c r="H210" s="6">
        <v>20250201</v>
      </c>
      <c r="I210" s="6" t="str">
        <f>TEXT(DATE(LEFT(H210,4), MID(H210,5,2), RIGHT(H210,2)), "M/d/yyyy")</f>
        <v>2/1/2025</v>
      </c>
      <c r="J210" s="9">
        <f>DATE(YEAR(I210), MONTH(I210) +1, DAY(I210))</f>
        <v>45717</v>
      </c>
      <c r="K210" s="6" t="s">
        <v>12</v>
      </c>
      <c r="L210" s="8">
        <v>-868.53</v>
      </c>
      <c r="M210" s="8">
        <v>3</v>
      </c>
      <c r="N210" s="8">
        <v>-3</v>
      </c>
      <c r="O210" t="s">
        <v>235</v>
      </c>
    </row>
    <row r="211" spans="1:15" ht="15.75" x14ac:dyDescent="0.25">
      <c r="A211" s="5" t="s">
        <v>13</v>
      </c>
      <c r="B211" s="6">
        <v>20411454</v>
      </c>
      <c r="C211" s="6" t="s">
        <v>116</v>
      </c>
      <c r="D211" s="6" t="s">
        <v>117</v>
      </c>
      <c r="E211" s="6" t="str">
        <f>CONCATENATE(D211,1)</f>
        <v>0Y84T51</v>
      </c>
      <c r="F211" s="7" t="s">
        <v>33</v>
      </c>
      <c r="G211" s="6">
        <v>-1</v>
      </c>
      <c r="H211" s="6">
        <v>20250301</v>
      </c>
      <c r="I211" s="6" t="str">
        <f>TEXT(DATE(LEFT(H211,4), MID(H211,5,2), RIGHT(H211,2)), "M/d/yyyy")</f>
        <v>3/1/2025</v>
      </c>
      <c r="J211" s="9">
        <f>DATE(YEAR(I211), MONTH(I211) +1, DAY(I211))</f>
        <v>45748</v>
      </c>
      <c r="K211" s="6" t="s">
        <v>12</v>
      </c>
      <c r="L211" s="8">
        <v>-868.53</v>
      </c>
      <c r="M211" s="8">
        <v>3</v>
      </c>
      <c r="N211" s="8">
        <v>-3</v>
      </c>
      <c r="O211" t="s">
        <v>235</v>
      </c>
    </row>
    <row r="212" spans="1:15" ht="15.75" x14ac:dyDescent="0.25">
      <c r="A212" s="5" t="s">
        <v>13</v>
      </c>
      <c r="B212" s="6">
        <v>20411454</v>
      </c>
      <c r="C212" s="6" t="s">
        <v>116</v>
      </c>
      <c r="D212" s="6" t="s">
        <v>117</v>
      </c>
      <c r="E212" s="6" t="str">
        <f>CONCATENATE(D212,1)</f>
        <v>0Y84T51</v>
      </c>
      <c r="F212" s="7" t="s">
        <v>33</v>
      </c>
      <c r="G212" s="6">
        <v>1</v>
      </c>
      <c r="H212" s="6">
        <v>20250201</v>
      </c>
      <c r="I212" s="6" t="str">
        <f>TEXT(DATE(LEFT(H212,4), MID(H212,5,2), RIGHT(H212,2)), "M/d/yyyy")</f>
        <v>2/1/2025</v>
      </c>
      <c r="J212" s="9">
        <f>DATE(YEAR(I212), MONTH(I212) +1, DAY(I212))</f>
        <v>45717</v>
      </c>
      <c r="K212" s="6" t="s">
        <v>12</v>
      </c>
      <c r="L212" s="8">
        <v>868.53</v>
      </c>
      <c r="M212" s="8">
        <v>3</v>
      </c>
      <c r="N212" s="8">
        <v>3</v>
      </c>
      <c r="O212" t="s">
        <v>235</v>
      </c>
    </row>
    <row r="213" spans="1:15" ht="15.75" x14ac:dyDescent="0.25">
      <c r="A213" s="5" t="s">
        <v>13</v>
      </c>
      <c r="B213" s="6">
        <v>20411454</v>
      </c>
      <c r="C213" s="6" t="s">
        <v>116</v>
      </c>
      <c r="D213" s="6" t="s">
        <v>117</v>
      </c>
      <c r="E213" s="6" t="str">
        <f>CONCATENATE(D213,1)</f>
        <v>0Y84T51</v>
      </c>
      <c r="F213" s="7" t="s">
        <v>33</v>
      </c>
      <c r="G213" s="6">
        <v>1</v>
      </c>
      <c r="H213" s="6">
        <v>20250301</v>
      </c>
      <c r="I213" s="6" t="str">
        <f>TEXT(DATE(LEFT(H213,4), MID(H213,5,2), RIGHT(H213,2)), "M/d/yyyy")</f>
        <v>3/1/2025</v>
      </c>
      <c r="J213" s="9">
        <f>DATE(YEAR(I213), MONTH(I213) +1, DAY(I213))</f>
        <v>45748</v>
      </c>
      <c r="K213" s="6" t="s">
        <v>12</v>
      </c>
      <c r="L213" s="8">
        <v>868.53</v>
      </c>
      <c r="M213" s="8">
        <v>3</v>
      </c>
      <c r="N213" s="8">
        <v>3</v>
      </c>
      <c r="O213" t="s">
        <v>235</v>
      </c>
    </row>
    <row r="214" spans="1:15" ht="15.75" x14ac:dyDescent="0.25">
      <c r="A214" s="5" t="s">
        <v>13</v>
      </c>
      <c r="B214" s="6">
        <v>20411454</v>
      </c>
      <c r="C214" s="6" t="s">
        <v>116</v>
      </c>
      <c r="D214" s="6" t="s">
        <v>117</v>
      </c>
      <c r="E214" s="6" t="str">
        <f>CONCATENATE(D214,1)</f>
        <v>0Y84T51</v>
      </c>
      <c r="F214" s="7" t="s">
        <v>33</v>
      </c>
      <c r="G214" s="6">
        <v>1</v>
      </c>
      <c r="H214" s="6">
        <v>20250401</v>
      </c>
      <c r="I214" s="6" t="str">
        <f>TEXT(DATE(LEFT(H214,4), MID(H214,5,2), RIGHT(H214,2)), "M/d/yyyy")</f>
        <v>4/1/2025</v>
      </c>
      <c r="J214" s="9">
        <f>DATE(YEAR(I214), MONTH(I214) +1, DAY(I214))</f>
        <v>45778</v>
      </c>
      <c r="K214" s="6" t="s">
        <v>12</v>
      </c>
      <c r="L214" s="8">
        <v>868.53</v>
      </c>
      <c r="M214" s="8">
        <v>3</v>
      </c>
      <c r="N214" s="8">
        <v>3</v>
      </c>
      <c r="O214" t="s">
        <v>235</v>
      </c>
    </row>
    <row r="215" spans="1:15" ht="15.75" x14ac:dyDescent="0.25">
      <c r="A215" s="5" t="s">
        <v>13</v>
      </c>
      <c r="B215" s="6">
        <v>20411454</v>
      </c>
      <c r="C215" s="6" t="s">
        <v>215</v>
      </c>
      <c r="D215" s="6" t="s">
        <v>216</v>
      </c>
      <c r="E215" s="6" t="str">
        <f>CONCATENATE(D215,1)</f>
        <v>27P4G41</v>
      </c>
      <c r="F215" s="7" t="s">
        <v>17</v>
      </c>
      <c r="G215" s="6">
        <v>-1</v>
      </c>
      <c r="H215" s="6">
        <v>20250201</v>
      </c>
      <c r="I215" s="6" t="str">
        <f>TEXT(DATE(LEFT(H215,4), MID(H215,5,2), RIGHT(H215,2)), "M/d/yyyy")</f>
        <v>2/1/2025</v>
      </c>
      <c r="J215" s="9">
        <f>DATE(YEAR(I215), MONTH(I215) +1, DAY(I215))</f>
        <v>45717</v>
      </c>
      <c r="K215" s="6" t="s">
        <v>18</v>
      </c>
      <c r="L215" s="8">
        <v>-11.37</v>
      </c>
      <c r="M215" s="8">
        <v>3</v>
      </c>
      <c r="N215" s="8">
        <v>-3</v>
      </c>
      <c r="O215" t="s">
        <v>235</v>
      </c>
    </row>
    <row r="216" spans="1:15" ht="15.75" x14ac:dyDescent="0.25">
      <c r="A216" s="5" t="s">
        <v>13</v>
      </c>
      <c r="B216" s="6">
        <v>20411454</v>
      </c>
      <c r="C216" s="6" t="s">
        <v>215</v>
      </c>
      <c r="D216" s="6" t="s">
        <v>216</v>
      </c>
      <c r="E216" s="6" t="str">
        <f>CONCATENATE(D216,1)</f>
        <v>27P4G41</v>
      </c>
      <c r="F216" s="7" t="s">
        <v>17</v>
      </c>
      <c r="G216" s="6">
        <v>-1</v>
      </c>
      <c r="H216" s="6">
        <v>20250301</v>
      </c>
      <c r="I216" s="6" t="str">
        <f>TEXT(DATE(LEFT(H216,4), MID(H216,5,2), RIGHT(H216,2)), "M/d/yyyy")</f>
        <v>3/1/2025</v>
      </c>
      <c r="J216" s="9">
        <f>DATE(YEAR(I216), MONTH(I216) +1, DAY(I216))</f>
        <v>45748</v>
      </c>
      <c r="K216" s="6" t="s">
        <v>18</v>
      </c>
      <c r="L216" s="8">
        <v>-11.37</v>
      </c>
      <c r="M216" s="8">
        <v>3</v>
      </c>
      <c r="N216" s="8">
        <v>-3</v>
      </c>
      <c r="O216" t="s">
        <v>235</v>
      </c>
    </row>
    <row r="217" spans="1:15" ht="15.75" x14ac:dyDescent="0.25">
      <c r="A217" s="5" t="s">
        <v>13</v>
      </c>
      <c r="B217" s="6">
        <v>20411454</v>
      </c>
      <c r="C217" s="6" t="s">
        <v>215</v>
      </c>
      <c r="D217" s="6" t="s">
        <v>216</v>
      </c>
      <c r="E217" s="6" t="str">
        <f>CONCATENATE(D217,1)</f>
        <v>27P4G41</v>
      </c>
      <c r="F217" s="7" t="s">
        <v>17</v>
      </c>
      <c r="G217" s="6">
        <v>1</v>
      </c>
      <c r="H217" s="6">
        <v>20250201</v>
      </c>
      <c r="I217" s="6" t="str">
        <f>TEXT(DATE(LEFT(H217,4), MID(H217,5,2), RIGHT(H217,2)), "M/d/yyyy")</f>
        <v>2/1/2025</v>
      </c>
      <c r="J217" s="9">
        <f>DATE(YEAR(I217), MONTH(I217) +1, DAY(I217))</f>
        <v>45717</v>
      </c>
      <c r="K217" s="6" t="s">
        <v>18</v>
      </c>
      <c r="L217" s="8">
        <v>11.37</v>
      </c>
      <c r="M217" s="8">
        <v>3</v>
      </c>
      <c r="N217" s="8">
        <v>3</v>
      </c>
      <c r="O217" t="s">
        <v>235</v>
      </c>
    </row>
    <row r="218" spans="1:15" ht="15.75" x14ac:dyDescent="0.25">
      <c r="A218" s="5" t="s">
        <v>13</v>
      </c>
      <c r="B218" s="6">
        <v>20411454</v>
      </c>
      <c r="C218" s="6" t="s">
        <v>215</v>
      </c>
      <c r="D218" s="6" t="s">
        <v>216</v>
      </c>
      <c r="E218" s="6" t="str">
        <f>CONCATENATE(D218,1)</f>
        <v>27P4G41</v>
      </c>
      <c r="F218" s="7" t="s">
        <v>17</v>
      </c>
      <c r="G218" s="6">
        <v>1</v>
      </c>
      <c r="H218" s="6">
        <v>20250301</v>
      </c>
      <c r="I218" s="6" t="str">
        <f>TEXT(DATE(LEFT(H218,4), MID(H218,5,2), RIGHT(H218,2)), "M/d/yyyy")</f>
        <v>3/1/2025</v>
      </c>
      <c r="J218" s="9">
        <f>DATE(YEAR(I218), MONTH(I218) +1, DAY(I218))</f>
        <v>45748</v>
      </c>
      <c r="K218" s="6" t="s">
        <v>18</v>
      </c>
      <c r="L218" s="8">
        <v>11.37</v>
      </c>
      <c r="M218" s="8">
        <v>3</v>
      </c>
      <c r="N218" s="8">
        <v>3</v>
      </c>
      <c r="O218" t="s">
        <v>235</v>
      </c>
    </row>
    <row r="219" spans="1:15" ht="15.75" x14ac:dyDescent="0.25">
      <c r="A219" s="5" t="s">
        <v>13</v>
      </c>
      <c r="B219" s="6">
        <v>20411454</v>
      </c>
      <c r="C219" s="6" t="s">
        <v>215</v>
      </c>
      <c r="D219" s="6" t="s">
        <v>216</v>
      </c>
      <c r="E219" s="6" t="str">
        <f>CONCATENATE(D219,1)</f>
        <v>27P4G41</v>
      </c>
      <c r="F219" s="7" t="s">
        <v>17</v>
      </c>
      <c r="G219" s="6">
        <v>1</v>
      </c>
      <c r="H219" s="6">
        <v>20250401</v>
      </c>
      <c r="I219" s="6" t="str">
        <f>TEXT(DATE(LEFT(H219,4), MID(H219,5,2), RIGHT(H219,2)), "M/d/yyyy")</f>
        <v>4/1/2025</v>
      </c>
      <c r="J219" s="9">
        <f>DATE(YEAR(I219), MONTH(I219) +1, DAY(I219))</f>
        <v>45778</v>
      </c>
      <c r="K219" s="6" t="s">
        <v>18</v>
      </c>
      <c r="L219" s="8">
        <v>11.37</v>
      </c>
      <c r="M219" s="8">
        <v>3</v>
      </c>
      <c r="N219" s="8">
        <v>3</v>
      </c>
      <c r="O219" t="s">
        <v>235</v>
      </c>
    </row>
    <row r="220" spans="1:15" ht="15.75" x14ac:dyDescent="0.25">
      <c r="A220" s="5" t="s">
        <v>13</v>
      </c>
      <c r="B220" s="6">
        <v>20411454</v>
      </c>
      <c r="C220" s="6" t="s">
        <v>95</v>
      </c>
      <c r="D220" s="6" t="s">
        <v>96</v>
      </c>
      <c r="E220" s="6" t="str">
        <f>CONCATENATE(D220,1)</f>
        <v>34R26L1</v>
      </c>
      <c r="F220" s="7" t="s">
        <v>86</v>
      </c>
      <c r="G220" s="6">
        <v>-1</v>
      </c>
      <c r="H220" s="6">
        <v>20250201</v>
      </c>
      <c r="I220" s="6" t="str">
        <f>TEXT(DATE(LEFT(H220,4), MID(H220,5,2), RIGHT(H220,2)), "M/d/yyyy")</f>
        <v>2/1/2025</v>
      </c>
      <c r="J220" s="9">
        <f>DATE(YEAR(I220), MONTH(I220) +1, DAY(I220))</f>
        <v>45717</v>
      </c>
      <c r="K220" s="6" t="s">
        <v>18</v>
      </c>
      <c r="L220" s="8">
        <v>-260.33</v>
      </c>
      <c r="M220" s="8">
        <v>3</v>
      </c>
      <c r="N220" s="8">
        <v>-3</v>
      </c>
      <c r="O220" t="s">
        <v>235</v>
      </c>
    </row>
    <row r="221" spans="1:15" ht="15.75" x14ac:dyDescent="0.25">
      <c r="A221" s="5" t="s">
        <v>13</v>
      </c>
      <c r="B221" s="6">
        <v>20411454</v>
      </c>
      <c r="C221" s="6" t="s">
        <v>95</v>
      </c>
      <c r="D221" s="6" t="s">
        <v>96</v>
      </c>
      <c r="E221" s="6" t="str">
        <f>CONCATENATE(D221,1)</f>
        <v>34R26L1</v>
      </c>
      <c r="F221" s="7" t="s">
        <v>86</v>
      </c>
      <c r="G221" s="6">
        <v>-1</v>
      </c>
      <c r="H221" s="6">
        <v>20250301</v>
      </c>
      <c r="I221" s="6" t="str">
        <f>TEXT(DATE(LEFT(H221,4), MID(H221,5,2), RIGHT(H221,2)), "M/d/yyyy")</f>
        <v>3/1/2025</v>
      </c>
      <c r="J221" s="9">
        <f>DATE(YEAR(I221), MONTH(I221) +1, DAY(I221))</f>
        <v>45748</v>
      </c>
      <c r="K221" s="6" t="s">
        <v>18</v>
      </c>
      <c r="L221" s="8">
        <v>-260.33</v>
      </c>
      <c r="M221" s="8">
        <v>3</v>
      </c>
      <c r="N221" s="8">
        <v>-3</v>
      </c>
      <c r="O221" t="s">
        <v>235</v>
      </c>
    </row>
    <row r="222" spans="1:15" ht="15.75" x14ac:dyDescent="0.25">
      <c r="A222" s="5" t="s">
        <v>13</v>
      </c>
      <c r="B222" s="6">
        <v>20411454</v>
      </c>
      <c r="C222" s="6" t="s">
        <v>95</v>
      </c>
      <c r="D222" s="6" t="s">
        <v>96</v>
      </c>
      <c r="E222" s="6" t="str">
        <f>CONCATENATE(D222,1)</f>
        <v>34R26L1</v>
      </c>
      <c r="F222" s="7" t="s">
        <v>86</v>
      </c>
      <c r="G222" s="6">
        <v>1</v>
      </c>
      <c r="H222" s="6">
        <v>20250201</v>
      </c>
      <c r="I222" s="6" t="str">
        <f>TEXT(DATE(LEFT(H222,4), MID(H222,5,2), RIGHT(H222,2)), "M/d/yyyy")</f>
        <v>2/1/2025</v>
      </c>
      <c r="J222" s="9">
        <f>DATE(YEAR(I222), MONTH(I222) +1, DAY(I222))</f>
        <v>45717</v>
      </c>
      <c r="K222" s="6" t="s">
        <v>18</v>
      </c>
      <c r="L222" s="8">
        <v>260.33</v>
      </c>
      <c r="M222" s="8">
        <v>3</v>
      </c>
      <c r="N222" s="8">
        <v>3</v>
      </c>
      <c r="O222" t="s">
        <v>235</v>
      </c>
    </row>
    <row r="223" spans="1:15" ht="15.75" x14ac:dyDescent="0.25">
      <c r="A223" s="5" t="s">
        <v>13</v>
      </c>
      <c r="B223" s="6">
        <v>20411454</v>
      </c>
      <c r="C223" s="6" t="s">
        <v>95</v>
      </c>
      <c r="D223" s="6" t="s">
        <v>96</v>
      </c>
      <c r="E223" s="6" t="str">
        <f>CONCATENATE(D223,1)</f>
        <v>34R26L1</v>
      </c>
      <c r="F223" s="7" t="s">
        <v>86</v>
      </c>
      <c r="G223" s="6">
        <v>1</v>
      </c>
      <c r="H223" s="6">
        <v>20250301</v>
      </c>
      <c r="I223" s="6" t="str">
        <f>TEXT(DATE(LEFT(H223,4), MID(H223,5,2), RIGHT(H223,2)), "M/d/yyyy")</f>
        <v>3/1/2025</v>
      </c>
      <c r="J223" s="9">
        <f>DATE(YEAR(I223), MONTH(I223) +1, DAY(I223))</f>
        <v>45748</v>
      </c>
      <c r="K223" s="6" t="s">
        <v>18</v>
      </c>
      <c r="L223" s="8">
        <v>260.33</v>
      </c>
      <c r="M223" s="8">
        <v>3</v>
      </c>
      <c r="N223" s="8">
        <v>3</v>
      </c>
      <c r="O223" t="s">
        <v>235</v>
      </c>
    </row>
    <row r="224" spans="1:15" ht="15.75" x14ac:dyDescent="0.25">
      <c r="A224" s="5" t="s">
        <v>13</v>
      </c>
      <c r="B224" s="6">
        <v>20411454</v>
      </c>
      <c r="C224" s="6" t="s">
        <v>95</v>
      </c>
      <c r="D224" s="6" t="s">
        <v>96</v>
      </c>
      <c r="E224" s="6" t="str">
        <f>CONCATENATE(D224,1)</f>
        <v>34R26L1</v>
      </c>
      <c r="F224" s="7" t="s">
        <v>86</v>
      </c>
      <c r="G224" s="6">
        <v>1</v>
      </c>
      <c r="H224" s="6">
        <v>20250401</v>
      </c>
      <c r="I224" s="6" t="str">
        <f>TEXT(DATE(LEFT(H224,4), MID(H224,5,2), RIGHT(H224,2)), "M/d/yyyy")</f>
        <v>4/1/2025</v>
      </c>
      <c r="J224" s="9">
        <f>DATE(YEAR(I224), MONTH(I224) +1, DAY(I224))</f>
        <v>45778</v>
      </c>
      <c r="K224" s="6" t="s">
        <v>18</v>
      </c>
      <c r="L224" s="8">
        <v>260.33</v>
      </c>
      <c r="M224" s="8">
        <v>3</v>
      </c>
      <c r="N224" s="8">
        <v>3</v>
      </c>
      <c r="O224" t="s">
        <v>235</v>
      </c>
    </row>
    <row r="225" spans="1:15" ht="15.75" x14ac:dyDescent="0.25">
      <c r="A225" s="5" t="s">
        <v>13</v>
      </c>
      <c r="B225" s="6">
        <v>20411454</v>
      </c>
      <c r="C225" s="6" t="s">
        <v>65</v>
      </c>
      <c r="D225" s="6" t="s">
        <v>66</v>
      </c>
      <c r="E225" s="6" t="str">
        <f>CONCATENATE(D225,1)</f>
        <v>1V05L01</v>
      </c>
      <c r="F225" s="7" t="s">
        <v>50</v>
      </c>
      <c r="G225" s="6">
        <v>-4</v>
      </c>
      <c r="H225" s="6">
        <v>20250201</v>
      </c>
      <c r="I225" s="6" t="str">
        <f>TEXT(DATE(LEFT(H225,4), MID(H225,5,2), RIGHT(H225,2)), "M/d/yyyy")</f>
        <v>2/1/2025</v>
      </c>
      <c r="J225" s="9">
        <f>DATE(YEAR(I225), MONTH(I225) +1, DAY(I225))</f>
        <v>45717</v>
      </c>
      <c r="K225" s="6" t="s">
        <v>18</v>
      </c>
      <c r="L225" s="8">
        <v>-39.950000000000003</v>
      </c>
      <c r="M225" s="8">
        <v>3</v>
      </c>
      <c r="N225" s="8">
        <v>-12</v>
      </c>
      <c r="O225" t="s">
        <v>235</v>
      </c>
    </row>
    <row r="226" spans="1:15" ht="15.75" x14ac:dyDescent="0.25">
      <c r="A226" s="5" t="s">
        <v>13</v>
      </c>
      <c r="B226" s="6">
        <v>20411454</v>
      </c>
      <c r="C226" s="6" t="s">
        <v>65</v>
      </c>
      <c r="D226" s="6" t="s">
        <v>66</v>
      </c>
      <c r="E226" s="6" t="str">
        <f>CONCATENATE(D226,1)</f>
        <v>1V05L01</v>
      </c>
      <c r="F226" s="7" t="s">
        <v>50</v>
      </c>
      <c r="G226" s="6">
        <v>-4</v>
      </c>
      <c r="H226" s="6">
        <v>20250301</v>
      </c>
      <c r="I226" s="6" t="str">
        <f>TEXT(DATE(LEFT(H226,4), MID(H226,5,2), RIGHT(H226,2)), "M/d/yyyy")</f>
        <v>3/1/2025</v>
      </c>
      <c r="J226" s="9">
        <f>DATE(YEAR(I226), MONTH(I226) +1, DAY(I226))</f>
        <v>45748</v>
      </c>
      <c r="K226" s="6" t="s">
        <v>18</v>
      </c>
      <c r="L226" s="8">
        <v>-39.950000000000003</v>
      </c>
      <c r="M226" s="8">
        <v>3</v>
      </c>
      <c r="N226" s="8">
        <v>-12</v>
      </c>
      <c r="O226" t="s">
        <v>235</v>
      </c>
    </row>
    <row r="227" spans="1:15" ht="15.75" x14ac:dyDescent="0.25">
      <c r="A227" s="5" t="s">
        <v>13</v>
      </c>
      <c r="B227" s="6">
        <v>20411454</v>
      </c>
      <c r="C227" s="6" t="s">
        <v>65</v>
      </c>
      <c r="D227" s="6" t="s">
        <v>66</v>
      </c>
      <c r="E227" s="6" t="str">
        <f>CONCATENATE(D227,1)</f>
        <v>1V05L01</v>
      </c>
      <c r="F227" s="7" t="s">
        <v>50</v>
      </c>
      <c r="G227" s="6">
        <v>4</v>
      </c>
      <c r="H227" s="6">
        <v>20250201</v>
      </c>
      <c r="I227" s="6" t="str">
        <f>TEXT(DATE(LEFT(H227,4), MID(H227,5,2), RIGHT(H227,2)), "M/d/yyyy")</f>
        <v>2/1/2025</v>
      </c>
      <c r="J227" s="9">
        <f>DATE(YEAR(I227), MONTH(I227) +1, DAY(I227))</f>
        <v>45717</v>
      </c>
      <c r="K227" s="6" t="s">
        <v>18</v>
      </c>
      <c r="L227" s="8">
        <v>39.950000000000003</v>
      </c>
      <c r="M227" s="8">
        <v>3</v>
      </c>
      <c r="N227" s="8">
        <v>12</v>
      </c>
      <c r="O227" t="s">
        <v>235</v>
      </c>
    </row>
    <row r="228" spans="1:15" ht="15.75" x14ac:dyDescent="0.25">
      <c r="A228" s="5" t="s">
        <v>13</v>
      </c>
      <c r="B228" s="6">
        <v>20411454</v>
      </c>
      <c r="C228" s="6" t="s">
        <v>65</v>
      </c>
      <c r="D228" s="6" t="s">
        <v>66</v>
      </c>
      <c r="E228" s="6" t="str">
        <f>CONCATENATE(D228,1)</f>
        <v>1V05L01</v>
      </c>
      <c r="F228" s="7" t="s">
        <v>50</v>
      </c>
      <c r="G228" s="6">
        <v>4</v>
      </c>
      <c r="H228" s="6">
        <v>20250301</v>
      </c>
      <c r="I228" s="6" t="str">
        <f>TEXT(DATE(LEFT(H228,4), MID(H228,5,2), RIGHT(H228,2)), "M/d/yyyy")</f>
        <v>3/1/2025</v>
      </c>
      <c r="J228" s="9">
        <f>DATE(YEAR(I228), MONTH(I228) +1, DAY(I228))</f>
        <v>45748</v>
      </c>
      <c r="K228" s="6" t="s">
        <v>18</v>
      </c>
      <c r="L228" s="8">
        <v>39.950000000000003</v>
      </c>
      <c r="M228" s="8">
        <v>3</v>
      </c>
      <c r="N228" s="8">
        <v>12</v>
      </c>
      <c r="O228" t="s">
        <v>235</v>
      </c>
    </row>
    <row r="229" spans="1:15" ht="15.75" x14ac:dyDescent="0.25">
      <c r="A229" s="5" t="s">
        <v>13</v>
      </c>
      <c r="B229" s="6">
        <v>20411454</v>
      </c>
      <c r="C229" s="6" t="s">
        <v>65</v>
      </c>
      <c r="D229" s="6" t="s">
        <v>66</v>
      </c>
      <c r="E229" s="6" t="str">
        <f>CONCATENATE(D229,1)</f>
        <v>1V05L01</v>
      </c>
      <c r="F229" s="7" t="s">
        <v>50</v>
      </c>
      <c r="G229" s="6">
        <v>4</v>
      </c>
      <c r="H229" s="6">
        <v>20250401</v>
      </c>
      <c r="I229" s="6" t="str">
        <f>TEXT(DATE(LEFT(H229,4), MID(H229,5,2), RIGHT(H229,2)), "M/d/yyyy")</f>
        <v>4/1/2025</v>
      </c>
      <c r="J229" s="9">
        <f>DATE(YEAR(I229), MONTH(I229) +1, DAY(I229))</f>
        <v>45778</v>
      </c>
      <c r="K229" s="6" t="s">
        <v>18</v>
      </c>
      <c r="L229" s="8">
        <v>39.950000000000003</v>
      </c>
      <c r="M229" s="8">
        <v>3</v>
      </c>
      <c r="N229" s="8">
        <v>12</v>
      </c>
      <c r="O229" t="s">
        <v>235</v>
      </c>
    </row>
    <row r="230" spans="1:15" ht="15.75" x14ac:dyDescent="0.25">
      <c r="A230" s="5" t="s">
        <v>13</v>
      </c>
      <c r="B230" s="6">
        <v>20411454</v>
      </c>
      <c r="C230" s="6" t="s">
        <v>200</v>
      </c>
      <c r="D230" s="6" t="s">
        <v>201</v>
      </c>
      <c r="E230" s="6" t="str">
        <f>CONCATENATE(D230,1)</f>
        <v>56P6N91</v>
      </c>
      <c r="F230" s="7" t="s">
        <v>22</v>
      </c>
      <c r="G230" s="6">
        <v>-1</v>
      </c>
      <c r="H230" s="6">
        <v>20250201</v>
      </c>
      <c r="I230" s="6" t="str">
        <f>TEXT(DATE(LEFT(H230,4), MID(H230,5,2), RIGHT(H230,2)), "M/d/yyyy")</f>
        <v>2/1/2025</v>
      </c>
      <c r="J230" s="9">
        <f>DATE(YEAR(I230), MONTH(I230) +1, DAY(I230))</f>
        <v>45717</v>
      </c>
      <c r="K230" s="6" t="s">
        <v>18</v>
      </c>
      <c r="L230" s="8">
        <v>-345</v>
      </c>
      <c r="M230" s="8">
        <v>3</v>
      </c>
      <c r="N230" s="8">
        <v>-3</v>
      </c>
      <c r="O230" t="s">
        <v>235</v>
      </c>
    </row>
    <row r="231" spans="1:15" ht="15.75" x14ac:dyDescent="0.25">
      <c r="A231" s="5" t="s">
        <v>13</v>
      </c>
      <c r="B231" s="6">
        <v>20411454</v>
      </c>
      <c r="C231" s="6" t="s">
        <v>200</v>
      </c>
      <c r="D231" s="6" t="s">
        <v>201</v>
      </c>
      <c r="E231" s="6" t="str">
        <f>CONCATENATE(D231,1)</f>
        <v>56P6N91</v>
      </c>
      <c r="F231" s="7" t="s">
        <v>22</v>
      </c>
      <c r="G231" s="6">
        <v>-1</v>
      </c>
      <c r="H231" s="6">
        <v>20250301</v>
      </c>
      <c r="I231" s="6" t="str">
        <f>TEXT(DATE(LEFT(H231,4), MID(H231,5,2), RIGHT(H231,2)), "M/d/yyyy")</f>
        <v>3/1/2025</v>
      </c>
      <c r="J231" s="9">
        <f>DATE(YEAR(I231), MONTH(I231) +1, DAY(I231))</f>
        <v>45748</v>
      </c>
      <c r="K231" s="6" t="s">
        <v>18</v>
      </c>
      <c r="L231" s="8">
        <v>-124.29</v>
      </c>
      <c r="M231" s="8">
        <v>3</v>
      </c>
      <c r="N231" s="8">
        <v>-3</v>
      </c>
      <c r="O231" t="s">
        <v>235</v>
      </c>
    </row>
    <row r="232" spans="1:15" ht="15.75" x14ac:dyDescent="0.25">
      <c r="A232" s="5" t="s">
        <v>13</v>
      </c>
      <c r="B232" s="6">
        <v>20411454</v>
      </c>
      <c r="C232" s="6" t="s">
        <v>200</v>
      </c>
      <c r="D232" s="6" t="s">
        <v>201</v>
      </c>
      <c r="E232" s="6" t="str">
        <f>CONCATENATE(D232,1)</f>
        <v>56P6N91</v>
      </c>
      <c r="F232" s="7" t="s">
        <v>22</v>
      </c>
      <c r="G232" s="6">
        <v>1</v>
      </c>
      <c r="H232" s="6">
        <v>20250201</v>
      </c>
      <c r="I232" s="6" t="str">
        <f>TEXT(DATE(LEFT(H232,4), MID(H232,5,2), RIGHT(H232,2)), "M/d/yyyy")</f>
        <v>2/1/2025</v>
      </c>
      <c r="J232" s="9">
        <f>DATE(YEAR(I232), MONTH(I232) +1, DAY(I232))</f>
        <v>45717</v>
      </c>
      <c r="K232" s="6" t="s">
        <v>18</v>
      </c>
      <c r="L232" s="8">
        <v>124.29</v>
      </c>
      <c r="M232" s="8">
        <v>3</v>
      </c>
      <c r="N232" s="8">
        <v>3</v>
      </c>
      <c r="O232" t="s">
        <v>235</v>
      </c>
    </row>
    <row r="233" spans="1:15" ht="15.75" x14ac:dyDescent="0.25">
      <c r="A233" s="5" t="s">
        <v>13</v>
      </c>
      <c r="B233" s="6">
        <v>20411454</v>
      </c>
      <c r="C233" s="6" t="s">
        <v>200</v>
      </c>
      <c r="D233" s="6" t="s">
        <v>201</v>
      </c>
      <c r="E233" s="6" t="str">
        <f>CONCATENATE(D233,1)</f>
        <v>56P6N91</v>
      </c>
      <c r="F233" s="7" t="s">
        <v>22</v>
      </c>
      <c r="G233" s="6">
        <v>1</v>
      </c>
      <c r="H233" s="6">
        <v>20250301</v>
      </c>
      <c r="I233" s="6" t="str">
        <f>TEXT(DATE(LEFT(H233,4), MID(H233,5,2), RIGHT(H233,2)), "M/d/yyyy")</f>
        <v>3/1/2025</v>
      </c>
      <c r="J233" s="9">
        <f>DATE(YEAR(I233), MONTH(I233) +1, DAY(I233))</f>
        <v>45748</v>
      </c>
      <c r="K233" s="6" t="s">
        <v>18</v>
      </c>
      <c r="L233" s="8">
        <v>124.29</v>
      </c>
      <c r="M233" s="8">
        <v>3</v>
      </c>
      <c r="N233" s="8">
        <v>3</v>
      </c>
      <c r="O233" t="s">
        <v>235</v>
      </c>
    </row>
    <row r="234" spans="1:15" ht="15.75" x14ac:dyDescent="0.25">
      <c r="A234" s="5" t="s">
        <v>13</v>
      </c>
      <c r="B234" s="6">
        <v>20411454</v>
      </c>
      <c r="C234" s="6" t="s">
        <v>200</v>
      </c>
      <c r="D234" s="6" t="s">
        <v>201</v>
      </c>
      <c r="E234" s="6" t="str">
        <f>CONCATENATE(D234,1)</f>
        <v>56P6N91</v>
      </c>
      <c r="F234" s="7" t="s">
        <v>22</v>
      </c>
      <c r="G234" s="6">
        <v>1</v>
      </c>
      <c r="H234" s="6">
        <v>20250401</v>
      </c>
      <c r="I234" s="6" t="str">
        <f>TEXT(DATE(LEFT(H234,4), MID(H234,5,2), RIGHT(H234,2)), "M/d/yyyy")</f>
        <v>4/1/2025</v>
      </c>
      <c r="J234" s="9">
        <f>DATE(YEAR(I234), MONTH(I234) +1, DAY(I234))</f>
        <v>45778</v>
      </c>
      <c r="K234" s="6" t="s">
        <v>18</v>
      </c>
      <c r="L234" s="8">
        <v>124.29</v>
      </c>
      <c r="M234" s="8">
        <v>3</v>
      </c>
      <c r="N234" s="8">
        <v>3</v>
      </c>
      <c r="O234" t="s">
        <v>235</v>
      </c>
    </row>
    <row r="235" spans="1:15" ht="15.75" x14ac:dyDescent="0.25">
      <c r="A235" s="5" t="s">
        <v>13</v>
      </c>
      <c r="B235" s="6">
        <v>20411454</v>
      </c>
      <c r="C235" s="6" t="s">
        <v>15</v>
      </c>
      <c r="D235" s="6" t="s">
        <v>16</v>
      </c>
      <c r="E235" s="6" t="str">
        <f>CONCATENATE(D235,1)</f>
        <v>2XH6061</v>
      </c>
      <c r="F235" s="7" t="s">
        <v>17</v>
      </c>
      <c r="G235" s="6">
        <v>-1</v>
      </c>
      <c r="H235" s="6">
        <v>20250201</v>
      </c>
      <c r="I235" s="6" t="str">
        <f>TEXT(DATE(LEFT(H235,4), MID(H235,5,2), RIGHT(H235,2)), "M/d/yyyy")</f>
        <v>2/1/2025</v>
      </c>
      <c r="J235" s="9">
        <f>DATE(YEAR(I235), MONTH(I235) +1, DAY(I235))</f>
        <v>45717</v>
      </c>
      <c r="K235" s="6" t="s">
        <v>18</v>
      </c>
      <c r="L235" s="8">
        <v>-162.19999999999999</v>
      </c>
      <c r="M235" s="8">
        <v>3</v>
      </c>
      <c r="N235" s="8">
        <v>-3</v>
      </c>
      <c r="O235" t="s">
        <v>235</v>
      </c>
    </row>
    <row r="236" spans="1:15" ht="15.75" x14ac:dyDescent="0.25">
      <c r="A236" s="5" t="s">
        <v>13</v>
      </c>
      <c r="B236" s="6">
        <v>20411454</v>
      </c>
      <c r="C236" s="6" t="s">
        <v>15</v>
      </c>
      <c r="D236" s="6" t="s">
        <v>16</v>
      </c>
      <c r="E236" s="6" t="str">
        <f>CONCATENATE(D236,1)</f>
        <v>2XH6061</v>
      </c>
      <c r="F236" s="7" t="s">
        <v>17</v>
      </c>
      <c r="G236" s="6">
        <v>-1</v>
      </c>
      <c r="H236" s="6">
        <v>20250301</v>
      </c>
      <c r="I236" s="6" t="str">
        <f>TEXT(DATE(LEFT(H236,4), MID(H236,5,2), RIGHT(H236,2)), "M/d/yyyy")</f>
        <v>3/1/2025</v>
      </c>
      <c r="J236" s="9">
        <f>DATE(YEAR(I236), MONTH(I236) +1, DAY(I236))</f>
        <v>45748</v>
      </c>
      <c r="K236" s="6" t="s">
        <v>18</v>
      </c>
      <c r="L236" s="8">
        <v>-162.19999999999999</v>
      </c>
      <c r="M236" s="8">
        <v>3</v>
      </c>
      <c r="N236" s="8">
        <v>-3</v>
      </c>
      <c r="O236" t="s">
        <v>235</v>
      </c>
    </row>
    <row r="237" spans="1:15" ht="15.75" x14ac:dyDescent="0.25">
      <c r="A237" s="5" t="s">
        <v>13</v>
      </c>
      <c r="B237" s="6">
        <v>20411454</v>
      </c>
      <c r="C237" s="6" t="s">
        <v>15</v>
      </c>
      <c r="D237" s="6" t="s">
        <v>16</v>
      </c>
      <c r="E237" s="6" t="str">
        <f>CONCATENATE(D237,1)</f>
        <v>2XH6061</v>
      </c>
      <c r="F237" s="7" t="s">
        <v>17</v>
      </c>
      <c r="G237" s="6">
        <v>1</v>
      </c>
      <c r="H237" s="6">
        <v>20250201</v>
      </c>
      <c r="I237" s="6" t="str">
        <f>TEXT(DATE(LEFT(H237,4), MID(H237,5,2), RIGHT(H237,2)), "M/d/yyyy")</f>
        <v>2/1/2025</v>
      </c>
      <c r="J237" s="9">
        <f>DATE(YEAR(I237), MONTH(I237) +1, DAY(I237))</f>
        <v>45717</v>
      </c>
      <c r="K237" s="6" t="s">
        <v>18</v>
      </c>
      <c r="L237" s="8">
        <v>162.19999999999999</v>
      </c>
      <c r="M237" s="8">
        <v>3</v>
      </c>
      <c r="N237" s="8">
        <v>3</v>
      </c>
      <c r="O237" t="s">
        <v>235</v>
      </c>
    </row>
    <row r="238" spans="1:15" ht="15.75" x14ac:dyDescent="0.25">
      <c r="A238" s="5" t="s">
        <v>13</v>
      </c>
      <c r="B238" s="6">
        <v>20411454</v>
      </c>
      <c r="C238" s="6" t="s">
        <v>15</v>
      </c>
      <c r="D238" s="6" t="s">
        <v>16</v>
      </c>
      <c r="E238" s="6" t="str">
        <f>CONCATENATE(D238,1)</f>
        <v>2XH6061</v>
      </c>
      <c r="F238" s="7" t="s">
        <v>17</v>
      </c>
      <c r="G238" s="6">
        <v>1</v>
      </c>
      <c r="H238" s="6">
        <v>20250301</v>
      </c>
      <c r="I238" s="6" t="str">
        <f>TEXT(DATE(LEFT(H238,4), MID(H238,5,2), RIGHT(H238,2)), "M/d/yyyy")</f>
        <v>3/1/2025</v>
      </c>
      <c r="J238" s="9">
        <f>DATE(YEAR(I238), MONTH(I238) +1, DAY(I238))</f>
        <v>45748</v>
      </c>
      <c r="K238" s="6" t="s">
        <v>18</v>
      </c>
      <c r="L238" s="8">
        <v>162.19999999999999</v>
      </c>
      <c r="M238" s="8">
        <v>3</v>
      </c>
      <c r="N238" s="8">
        <v>3</v>
      </c>
      <c r="O238" t="s">
        <v>235</v>
      </c>
    </row>
    <row r="239" spans="1:15" ht="15.75" x14ac:dyDescent="0.25">
      <c r="A239" s="5" t="s">
        <v>13</v>
      </c>
      <c r="B239" s="6">
        <v>20411454</v>
      </c>
      <c r="C239" s="6" t="s">
        <v>15</v>
      </c>
      <c r="D239" s="6" t="s">
        <v>16</v>
      </c>
      <c r="E239" s="6" t="str">
        <f>CONCATENATE(D239,1)</f>
        <v>2XH6061</v>
      </c>
      <c r="F239" s="7" t="s">
        <v>17</v>
      </c>
      <c r="G239" s="6">
        <v>1</v>
      </c>
      <c r="H239" s="6">
        <v>20250401</v>
      </c>
      <c r="I239" s="6" t="str">
        <f>TEXT(DATE(LEFT(H239,4), MID(H239,5,2), RIGHT(H239,2)), "M/d/yyyy")</f>
        <v>4/1/2025</v>
      </c>
      <c r="J239" s="9">
        <f>DATE(YEAR(I239), MONTH(I239) +1, DAY(I239))</f>
        <v>45778</v>
      </c>
      <c r="K239" s="6" t="s">
        <v>18</v>
      </c>
      <c r="L239" s="8">
        <v>162.19999999999999</v>
      </c>
      <c r="M239" s="8">
        <v>3</v>
      </c>
      <c r="N239" s="8">
        <v>3</v>
      </c>
      <c r="O239" t="s">
        <v>235</v>
      </c>
    </row>
    <row r="240" spans="1:15" ht="15.75" x14ac:dyDescent="0.25">
      <c r="A240" s="5" t="s">
        <v>13</v>
      </c>
      <c r="B240" s="6">
        <v>20411454</v>
      </c>
      <c r="C240" s="6" t="s">
        <v>26</v>
      </c>
      <c r="D240" s="6" t="s">
        <v>27</v>
      </c>
      <c r="E240" s="6" t="str">
        <f>CONCATENATE(D240,1)</f>
        <v>34C9J51</v>
      </c>
      <c r="F240" s="7" t="s">
        <v>25</v>
      </c>
      <c r="G240" s="6">
        <v>-1</v>
      </c>
      <c r="H240" s="6">
        <v>20250201</v>
      </c>
      <c r="I240" s="6" t="str">
        <f>TEXT(DATE(LEFT(H240,4), MID(H240,5,2), RIGHT(H240,2)), "M/d/yyyy")</f>
        <v>2/1/2025</v>
      </c>
      <c r="J240" s="9">
        <f>DATE(YEAR(I240), MONTH(I240) +1, DAY(I240))</f>
        <v>45717</v>
      </c>
      <c r="K240" s="6" t="s">
        <v>18</v>
      </c>
      <c r="L240" s="8">
        <v>-334.97</v>
      </c>
      <c r="M240" s="8">
        <v>3</v>
      </c>
      <c r="N240" s="8">
        <v>-3</v>
      </c>
      <c r="O240" t="s">
        <v>235</v>
      </c>
    </row>
    <row r="241" spans="1:15" ht="15.75" x14ac:dyDescent="0.25">
      <c r="A241" s="5" t="s">
        <v>13</v>
      </c>
      <c r="B241" s="6">
        <v>20411454</v>
      </c>
      <c r="C241" s="6" t="s">
        <v>26</v>
      </c>
      <c r="D241" s="6" t="s">
        <v>27</v>
      </c>
      <c r="E241" s="6" t="str">
        <f>CONCATENATE(D241,1)</f>
        <v>34C9J51</v>
      </c>
      <c r="F241" s="7" t="s">
        <v>25</v>
      </c>
      <c r="G241" s="6">
        <v>-1</v>
      </c>
      <c r="H241" s="6">
        <v>20250301</v>
      </c>
      <c r="I241" s="6" t="str">
        <f>TEXT(DATE(LEFT(H241,4), MID(H241,5,2), RIGHT(H241,2)), "M/d/yyyy")</f>
        <v>3/1/2025</v>
      </c>
      <c r="J241" s="9">
        <f>DATE(YEAR(I241), MONTH(I241) +1, DAY(I241))</f>
        <v>45748</v>
      </c>
      <c r="K241" s="6" t="s">
        <v>18</v>
      </c>
      <c r="L241" s="8">
        <v>-334.97</v>
      </c>
      <c r="M241" s="8">
        <v>3</v>
      </c>
      <c r="N241" s="8">
        <v>-3</v>
      </c>
      <c r="O241" t="s">
        <v>235</v>
      </c>
    </row>
    <row r="242" spans="1:15" ht="15.75" x14ac:dyDescent="0.25">
      <c r="A242" s="5" t="s">
        <v>13</v>
      </c>
      <c r="B242" s="6">
        <v>20411454</v>
      </c>
      <c r="C242" s="6" t="s">
        <v>26</v>
      </c>
      <c r="D242" s="6" t="s">
        <v>27</v>
      </c>
      <c r="E242" s="6" t="str">
        <f>CONCATENATE(D242,1)</f>
        <v>34C9J51</v>
      </c>
      <c r="F242" s="7" t="s">
        <v>25</v>
      </c>
      <c r="G242" s="6">
        <v>1</v>
      </c>
      <c r="H242" s="6">
        <v>20250201</v>
      </c>
      <c r="I242" s="6" t="str">
        <f>TEXT(DATE(LEFT(H242,4), MID(H242,5,2), RIGHT(H242,2)), "M/d/yyyy")</f>
        <v>2/1/2025</v>
      </c>
      <c r="J242" s="9">
        <f>DATE(YEAR(I242), MONTH(I242) +1, DAY(I242))</f>
        <v>45717</v>
      </c>
      <c r="K242" s="6" t="s">
        <v>18</v>
      </c>
      <c r="L242" s="8">
        <v>334.97</v>
      </c>
      <c r="M242" s="8">
        <v>3</v>
      </c>
      <c r="N242" s="8">
        <v>3</v>
      </c>
      <c r="O242" t="s">
        <v>235</v>
      </c>
    </row>
    <row r="243" spans="1:15" ht="15.75" x14ac:dyDescent="0.25">
      <c r="A243" s="5" t="s">
        <v>13</v>
      </c>
      <c r="B243" s="6">
        <v>20411454</v>
      </c>
      <c r="C243" s="6" t="s">
        <v>26</v>
      </c>
      <c r="D243" s="6" t="s">
        <v>27</v>
      </c>
      <c r="E243" s="6" t="str">
        <f>CONCATENATE(D243,1)</f>
        <v>34C9J51</v>
      </c>
      <c r="F243" s="7" t="s">
        <v>25</v>
      </c>
      <c r="G243" s="6">
        <v>1</v>
      </c>
      <c r="H243" s="6">
        <v>20250301</v>
      </c>
      <c r="I243" s="6" t="str">
        <f>TEXT(DATE(LEFT(H243,4), MID(H243,5,2), RIGHT(H243,2)), "M/d/yyyy")</f>
        <v>3/1/2025</v>
      </c>
      <c r="J243" s="9">
        <f>DATE(YEAR(I243), MONTH(I243) +1, DAY(I243))</f>
        <v>45748</v>
      </c>
      <c r="K243" s="6" t="s">
        <v>18</v>
      </c>
      <c r="L243" s="8">
        <v>334.97</v>
      </c>
      <c r="M243" s="8">
        <v>3</v>
      </c>
      <c r="N243" s="8">
        <v>3</v>
      </c>
      <c r="O243" t="s">
        <v>235</v>
      </c>
    </row>
    <row r="244" spans="1:15" ht="15.75" x14ac:dyDescent="0.25">
      <c r="A244" s="5" t="s">
        <v>13</v>
      </c>
      <c r="B244" s="6">
        <v>20411454</v>
      </c>
      <c r="C244" s="6" t="s">
        <v>26</v>
      </c>
      <c r="D244" s="6" t="s">
        <v>27</v>
      </c>
      <c r="E244" s="6" t="str">
        <f>CONCATENATE(D244,1)</f>
        <v>34C9J51</v>
      </c>
      <c r="F244" s="7" t="s">
        <v>25</v>
      </c>
      <c r="G244" s="6">
        <v>1</v>
      </c>
      <c r="H244" s="6">
        <v>20250401</v>
      </c>
      <c r="I244" s="6" t="str">
        <f>TEXT(DATE(LEFT(H244,4), MID(H244,5,2), RIGHT(H244,2)), "M/d/yyyy")</f>
        <v>4/1/2025</v>
      </c>
      <c r="J244" s="9">
        <f>DATE(YEAR(I244), MONTH(I244) +1, DAY(I244))</f>
        <v>45778</v>
      </c>
      <c r="K244" s="6" t="s">
        <v>18</v>
      </c>
      <c r="L244" s="8">
        <v>334.97</v>
      </c>
      <c r="M244" s="8">
        <v>3</v>
      </c>
      <c r="N244" s="8">
        <v>3</v>
      </c>
      <c r="O244" t="s">
        <v>235</v>
      </c>
    </row>
    <row r="245" spans="1:15" ht="15.75" x14ac:dyDescent="0.25">
      <c r="A245" s="5" t="s">
        <v>13</v>
      </c>
      <c r="B245" s="6">
        <v>20411454</v>
      </c>
      <c r="C245" s="6" t="s">
        <v>157</v>
      </c>
      <c r="D245" s="6" t="s">
        <v>158</v>
      </c>
      <c r="E245" s="6" t="str">
        <f>CONCATENATE(D245,1)</f>
        <v>39N2C41</v>
      </c>
      <c r="F245" s="7" t="s">
        <v>86</v>
      </c>
      <c r="G245" s="6">
        <v>-1</v>
      </c>
      <c r="H245" s="6">
        <v>20250201</v>
      </c>
      <c r="I245" s="6" t="str">
        <f>TEXT(DATE(LEFT(H245,4), MID(H245,5,2), RIGHT(H245,2)), "M/d/yyyy")</f>
        <v>2/1/2025</v>
      </c>
      <c r="J245" s="9">
        <f>DATE(YEAR(I245), MONTH(I245) +1, DAY(I245))</f>
        <v>45717</v>
      </c>
      <c r="K245" s="6" t="s">
        <v>18</v>
      </c>
      <c r="L245" s="8">
        <v>-1</v>
      </c>
      <c r="M245" s="8">
        <v>3</v>
      </c>
      <c r="N245" s="8">
        <v>-3</v>
      </c>
      <c r="O245" t="s">
        <v>235</v>
      </c>
    </row>
    <row r="246" spans="1:15" ht="15.75" x14ac:dyDescent="0.25">
      <c r="A246" s="5" t="s">
        <v>13</v>
      </c>
      <c r="B246" s="6">
        <v>20411454</v>
      </c>
      <c r="C246" s="6" t="s">
        <v>157</v>
      </c>
      <c r="D246" s="6" t="s">
        <v>158</v>
      </c>
      <c r="E246" s="6" t="str">
        <f>CONCATENATE(D246,1)</f>
        <v>39N2C41</v>
      </c>
      <c r="F246" s="7" t="s">
        <v>86</v>
      </c>
      <c r="G246" s="6">
        <v>1</v>
      </c>
      <c r="H246" s="6">
        <v>20250201</v>
      </c>
      <c r="I246" s="6" t="str">
        <f>TEXT(DATE(LEFT(H246,4), MID(H246,5,2), RIGHT(H246,2)), "M/d/yyyy")</f>
        <v>2/1/2025</v>
      </c>
      <c r="J246" s="9">
        <f>DATE(YEAR(I246), MONTH(I246) +1, DAY(I246))</f>
        <v>45717</v>
      </c>
      <c r="K246" s="6" t="s">
        <v>18</v>
      </c>
      <c r="L246" s="8">
        <v>1</v>
      </c>
      <c r="M246" s="8">
        <v>3</v>
      </c>
      <c r="N246" s="8">
        <v>3</v>
      </c>
      <c r="O246" t="s">
        <v>235</v>
      </c>
    </row>
    <row r="247" spans="1:15" ht="15.75" x14ac:dyDescent="0.25">
      <c r="A247" s="5" t="s">
        <v>13</v>
      </c>
      <c r="B247" s="6">
        <v>20411454</v>
      </c>
      <c r="C247" s="6" t="s">
        <v>157</v>
      </c>
      <c r="D247" s="6" t="s">
        <v>158</v>
      </c>
      <c r="E247" s="6" t="str">
        <f>CONCATENATE(D247,1)</f>
        <v>39N2C41</v>
      </c>
      <c r="F247" s="7" t="s">
        <v>86</v>
      </c>
      <c r="G247" s="6">
        <v>1</v>
      </c>
      <c r="H247" s="6">
        <v>20250301</v>
      </c>
      <c r="I247" s="6" t="str">
        <f>TEXT(DATE(LEFT(H247,4), MID(H247,5,2), RIGHT(H247,2)), "M/d/yyyy")</f>
        <v>3/1/2025</v>
      </c>
      <c r="J247" s="9">
        <f>DATE(YEAR(I247), MONTH(I247) +1, DAY(I247))</f>
        <v>45748</v>
      </c>
      <c r="K247" s="6" t="s">
        <v>18</v>
      </c>
      <c r="L247" s="8">
        <v>1</v>
      </c>
      <c r="M247" s="8">
        <v>3</v>
      </c>
      <c r="N247" s="8">
        <v>3</v>
      </c>
      <c r="O247" t="s">
        <v>235</v>
      </c>
    </row>
    <row r="248" spans="1:15" ht="15.75" x14ac:dyDescent="0.25">
      <c r="A248" s="5" t="s">
        <v>13</v>
      </c>
      <c r="B248" s="6">
        <v>20411454</v>
      </c>
      <c r="C248" s="6" t="s">
        <v>167</v>
      </c>
      <c r="D248" s="6" t="s">
        <v>168</v>
      </c>
      <c r="E248" s="6" t="str">
        <f>CONCATENATE(D248,1)</f>
        <v>58TH181</v>
      </c>
      <c r="F248" s="7" t="s">
        <v>86</v>
      </c>
      <c r="G248" s="6">
        <v>-1</v>
      </c>
      <c r="H248" s="6">
        <v>20250201</v>
      </c>
      <c r="I248" s="6" t="str">
        <f>TEXT(DATE(LEFT(H248,4), MID(H248,5,2), RIGHT(H248,2)), "M/d/yyyy")</f>
        <v>2/1/2025</v>
      </c>
      <c r="J248" s="9">
        <f>DATE(YEAR(I248), MONTH(I248) +1, DAY(I248))</f>
        <v>45717</v>
      </c>
      <c r="K248" s="6" t="s">
        <v>18</v>
      </c>
      <c r="L248" s="8">
        <v>-225.95</v>
      </c>
      <c r="M248" s="8">
        <v>3</v>
      </c>
      <c r="N248" s="8">
        <v>-3</v>
      </c>
      <c r="O248" t="s">
        <v>235</v>
      </c>
    </row>
    <row r="249" spans="1:15" ht="15.75" x14ac:dyDescent="0.25">
      <c r="A249" s="5" t="s">
        <v>13</v>
      </c>
      <c r="B249" s="6">
        <v>20411454</v>
      </c>
      <c r="C249" s="6" t="s">
        <v>167</v>
      </c>
      <c r="D249" s="6" t="s">
        <v>168</v>
      </c>
      <c r="E249" s="6" t="str">
        <f>CONCATENATE(D249,1)</f>
        <v>58TH181</v>
      </c>
      <c r="F249" s="7" t="s">
        <v>86</v>
      </c>
      <c r="G249" s="6">
        <v>-1</v>
      </c>
      <c r="H249" s="6">
        <v>20250301</v>
      </c>
      <c r="I249" s="6" t="str">
        <f>TEXT(DATE(LEFT(H249,4), MID(H249,5,2), RIGHT(H249,2)), "M/d/yyyy")</f>
        <v>3/1/2025</v>
      </c>
      <c r="J249" s="9">
        <f>DATE(YEAR(I249), MONTH(I249) +1, DAY(I249))</f>
        <v>45748</v>
      </c>
      <c r="K249" s="6" t="s">
        <v>18</v>
      </c>
      <c r="L249" s="8">
        <v>-225.95</v>
      </c>
      <c r="M249" s="8">
        <v>3</v>
      </c>
      <c r="N249" s="8">
        <v>-3</v>
      </c>
      <c r="O249" t="s">
        <v>235</v>
      </c>
    </row>
    <row r="250" spans="1:15" ht="15.75" x14ac:dyDescent="0.25">
      <c r="A250" s="5" t="s">
        <v>13</v>
      </c>
      <c r="B250" s="6">
        <v>20411454</v>
      </c>
      <c r="C250" s="6" t="s">
        <v>167</v>
      </c>
      <c r="D250" s="6" t="s">
        <v>168</v>
      </c>
      <c r="E250" s="6" t="str">
        <f>CONCATENATE(D250,1)</f>
        <v>58TH181</v>
      </c>
      <c r="F250" s="7" t="s">
        <v>86</v>
      </c>
      <c r="G250" s="6">
        <v>1</v>
      </c>
      <c r="H250" s="6">
        <v>20250201</v>
      </c>
      <c r="I250" s="6" t="str">
        <f>TEXT(DATE(LEFT(H250,4), MID(H250,5,2), RIGHT(H250,2)), "M/d/yyyy")</f>
        <v>2/1/2025</v>
      </c>
      <c r="J250" s="9">
        <f>DATE(YEAR(I250), MONTH(I250) +1, DAY(I250))</f>
        <v>45717</v>
      </c>
      <c r="K250" s="6" t="s">
        <v>18</v>
      </c>
      <c r="L250" s="8">
        <v>225.95</v>
      </c>
      <c r="M250" s="8">
        <v>3</v>
      </c>
      <c r="N250" s="8">
        <v>3</v>
      </c>
      <c r="O250" t="s">
        <v>235</v>
      </c>
    </row>
    <row r="251" spans="1:15" ht="15.75" x14ac:dyDescent="0.25">
      <c r="A251" s="5" t="s">
        <v>13</v>
      </c>
      <c r="B251" s="6">
        <v>20411454</v>
      </c>
      <c r="C251" s="6" t="s">
        <v>167</v>
      </c>
      <c r="D251" s="6" t="s">
        <v>168</v>
      </c>
      <c r="E251" s="6" t="str">
        <f>CONCATENATE(D251,1)</f>
        <v>58TH181</v>
      </c>
      <c r="F251" s="7" t="s">
        <v>86</v>
      </c>
      <c r="G251" s="6">
        <v>1</v>
      </c>
      <c r="H251" s="6">
        <v>20250301</v>
      </c>
      <c r="I251" s="6" t="str">
        <f>TEXT(DATE(LEFT(H251,4), MID(H251,5,2), RIGHT(H251,2)), "M/d/yyyy")</f>
        <v>3/1/2025</v>
      </c>
      <c r="J251" s="9">
        <f>DATE(YEAR(I251), MONTH(I251) +1, DAY(I251))</f>
        <v>45748</v>
      </c>
      <c r="K251" s="6" t="s">
        <v>18</v>
      </c>
      <c r="L251" s="8">
        <v>225.95</v>
      </c>
      <c r="M251" s="8">
        <v>3</v>
      </c>
      <c r="N251" s="8">
        <v>3</v>
      </c>
      <c r="O251" t="s">
        <v>235</v>
      </c>
    </row>
    <row r="252" spans="1:15" ht="15.75" x14ac:dyDescent="0.25">
      <c r="A252" s="5" t="s">
        <v>13</v>
      </c>
      <c r="B252" s="6">
        <v>20411454</v>
      </c>
      <c r="C252" s="6" t="s">
        <v>167</v>
      </c>
      <c r="D252" s="6" t="s">
        <v>168</v>
      </c>
      <c r="E252" s="6" t="str">
        <f>CONCATENATE(D252,1)</f>
        <v>58TH181</v>
      </c>
      <c r="F252" s="7" t="s">
        <v>86</v>
      </c>
      <c r="G252" s="6">
        <v>1</v>
      </c>
      <c r="H252" s="6">
        <v>20250401</v>
      </c>
      <c r="I252" s="6" t="str">
        <f>TEXT(DATE(LEFT(H252,4), MID(H252,5,2), RIGHT(H252,2)), "M/d/yyyy")</f>
        <v>4/1/2025</v>
      </c>
      <c r="J252" s="9">
        <f>DATE(YEAR(I252), MONTH(I252) +1, DAY(I252))</f>
        <v>45778</v>
      </c>
      <c r="K252" s="6" t="s">
        <v>18</v>
      </c>
      <c r="L252" s="8">
        <v>225.95</v>
      </c>
      <c r="M252" s="8">
        <v>3</v>
      </c>
      <c r="N252" s="8">
        <v>3</v>
      </c>
      <c r="O252" t="s">
        <v>235</v>
      </c>
    </row>
    <row r="253" spans="1:15" ht="15.75" x14ac:dyDescent="0.25">
      <c r="A253" s="5" t="s">
        <v>13</v>
      </c>
      <c r="B253" s="6">
        <v>20411454</v>
      </c>
      <c r="C253" s="6" t="s">
        <v>206</v>
      </c>
      <c r="D253" s="6" t="s">
        <v>207</v>
      </c>
      <c r="E253" s="6" t="str">
        <f>CONCATENATE(D253,1)</f>
        <v>77Q50P1</v>
      </c>
      <c r="F253" s="7" t="s">
        <v>17</v>
      </c>
      <c r="G253" s="6">
        <v>-5</v>
      </c>
      <c r="H253" s="6">
        <v>20250201</v>
      </c>
      <c r="I253" s="6" t="str">
        <f>TEXT(DATE(LEFT(H253,4), MID(H253,5,2), RIGHT(H253,2)), "M/d/yyyy")</f>
        <v>2/1/2025</v>
      </c>
      <c r="J253" s="9">
        <f>DATE(YEAR(I253), MONTH(I253) +1, DAY(I253))</f>
        <v>45717</v>
      </c>
      <c r="K253" s="6" t="s">
        <v>18</v>
      </c>
      <c r="L253" s="8">
        <v>-152.88999999999999</v>
      </c>
      <c r="M253" s="8">
        <v>3</v>
      </c>
      <c r="N253" s="8">
        <v>-15</v>
      </c>
      <c r="O253" t="s">
        <v>235</v>
      </c>
    </row>
    <row r="254" spans="1:15" ht="15.75" x14ac:dyDescent="0.25">
      <c r="A254" s="5" t="s">
        <v>13</v>
      </c>
      <c r="B254" s="6">
        <v>20411454</v>
      </c>
      <c r="C254" s="6" t="s">
        <v>206</v>
      </c>
      <c r="D254" s="6" t="s">
        <v>207</v>
      </c>
      <c r="E254" s="6" t="str">
        <f>CONCATENATE(D254,1)</f>
        <v>77Q50P1</v>
      </c>
      <c r="F254" s="7" t="s">
        <v>17</v>
      </c>
      <c r="G254" s="6">
        <v>-5</v>
      </c>
      <c r="H254" s="6">
        <v>20250301</v>
      </c>
      <c r="I254" s="6" t="str">
        <f>TEXT(DATE(LEFT(H254,4), MID(H254,5,2), RIGHT(H254,2)), "M/d/yyyy")</f>
        <v>3/1/2025</v>
      </c>
      <c r="J254" s="9">
        <f>DATE(YEAR(I254), MONTH(I254) +1, DAY(I254))</f>
        <v>45748</v>
      </c>
      <c r="K254" s="6" t="s">
        <v>18</v>
      </c>
      <c r="L254" s="8">
        <v>-152.88999999999999</v>
      </c>
      <c r="M254" s="8">
        <v>3</v>
      </c>
      <c r="N254" s="8">
        <v>-15</v>
      </c>
      <c r="O254" t="s">
        <v>235</v>
      </c>
    </row>
    <row r="255" spans="1:15" ht="15.75" x14ac:dyDescent="0.25">
      <c r="A255" s="5" t="s">
        <v>13</v>
      </c>
      <c r="B255" s="6">
        <v>20411454</v>
      </c>
      <c r="C255" s="6" t="s">
        <v>206</v>
      </c>
      <c r="D255" s="6" t="s">
        <v>207</v>
      </c>
      <c r="E255" s="6" t="str">
        <f>CONCATENATE(D255,1)</f>
        <v>77Q50P1</v>
      </c>
      <c r="F255" s="7" t="s">
        <v>17</v>
      </c>
      <c r="G255" s="6">
        <v>5</v>
      </c>
      <c r="H255" s="6">
        <v>20250201</v>
      </c>
      <c r="I255" s="6" t="str">
        <f>TEXT(DATE(LEFT(H255,4), MID(H255,5,2), RIGHT(H255,2)), "M/d/yyyy")</f>
        <v>2/1/2025</v>
      </c>
      <c r="J255" s="9">
        <f>DATE(YEAR(I255), MONTH(I255) +1, DAY(I255))</f>
        <v>45717</v>
      </c>
      <c r="K255" s="6" t="s">
        <v>18</v>
      </c>
      <c r="L255" s="8">
        <v>152.88999999999999</v>
      </c>
      <c r="M255" s="8">
        <v>3</v>
      </c>
      <c r="N255" s="8">
        <v>15</v>
      </c>
      <c r="O255" t="s">
        <v>235</v>
      </c>
    </row>
    <row r="256" spans="1:15" ht="15.75" x14ac:dyDescent="0.25">
      <c r="A256" s="5" t="s">
        <v>13</v>
      </c>
      <c r="B256" s="6">
        <v>20411454</v>
      </c>
      <c r="C256" s="6" t="s">
        <v>206</v>
      </c>
      <c r="D256" s="6" t="s">
        <v>207</v>
      </c>
      <c r="E256" s="6" t="str">
        <f>CONCATENATE(D256,1)</f>
        <v>77Q50P1</v>
      </c>
      <c r="F256" s="7" t="s">
        <v>17</v>
      </c>
      <c r="G256" s="6">
        <v>5</v>
      </c>
      <c r="H256" s="6">
        <v>20250301</v>
      </c>
      <c r="I256" s="6" t="str">
        <f>TEXT(DATE(LEFT(H256,4), MID(H256,5,2), RIGHT(H256,2)), "M/d/yyyy")</f>
        <v>3/1/2025</v>
      </c>
      <c r="J256" s="9">
        <f>DATE(YEAR(I256), MONTH(I256) +1, DAY(I256))</f>
        <v>45748</v>
      </c>
      <c r="K256" s="6" t="s">
        <v>18</v>
      </c>
      <c r="L256" s="8">
        <v>119.79</v>
      </c>
      <c r="M256" s="8">
        <v>3</v>
      </c>
      <c r="N256" s="8">
        <v>15</v>
      </c>
      <c r="O256" t="s">
        <v>235</v>
      </c>
    </row>
    <row r="257" spans="1:15" ht="15.75" x14ac:dyDescent="0.25">
      <c r="A257" s="5" t="s">
        <v>13</v>
      </c>
      <c r="B257" s="6">
        <v>20411454</v>
      </c>
      <c r="C257" s="6" t="s">
        <v>206</v>
      </c>
      <c r="D257" s="6" t="s">
        <v>207</v>
      </c>
      <c r="E257" s="6" t="str">
        <f>CONCATENATE(D257,1)</f>
        <v>77Q50P1</v>
      </c>
      <c r="F257" s="7" t="s">
        <v>17</v>
      </c>
      <c r="G257" s="6">
        <v>5</v>
      </c>
      <c r="H257" s="6">
        <v>20250401</v>
      </c>
      <c r="I257" s="6" t="str">
        <f>TEXT(DATE(LEFT(H257,4), MID(H257,5,2), RIGHT(H257,2)), "M/d/yyyy")</f>
        <v>4/1/2025</v>
      </c>
      <c r="J257" s="9">
        <f>DATE(YEAR(I257), MONTH(I257) +1, DAY(I257))</f>
        <v>45778</v>
      </c>
      <c r="K257" s="6" t="s">
        <v>18</v>
      </c>
      <c r="L257" s="8">
        <v>33.1</v>
      </c>
      <c r="M257" s="8">
        <v>3</v>
      </c>
      <c r="N257" s="8">
        <v>15</v>
      </c>
      <c r="O257" t="s">
        <v>235</v>
      </c>
    </row>
    <row r="258" spans="1:15" ht="15.75" x14ac:dyDescent="0.25">
      <c r="A258" s="5" t="s">
        <v>13</v>
      </c>
      <c r="B258" s="6">
        <v>20411454</v>
      </c>
      <c r="C258" s="6" t="s">
        <v>103</v>
      </c>
      <c r="D258" s="6" t="s">
        <v>104</v>
      </c>
      <c r="E258" s="6" t="str">
        <f>CONCATENATE(D258,1)</f>
        <v>80RC361</v>
      </c>
      <c r="F258" s="7" t="s">
        <v>86</v>
      </c>
      <c r="G258" s="6">
        <v>-1</v>
      </c>
      <c r="H258" s="6">
        <v>20250201</v>
      </c>
      <c r="I258" s="6" t="str">
        <f>TEXT(DATE(LEFT(H258,4), MID(H258,5,2), RIGHT(H258,2)), "M/d/yyyy")</f>
        <v>2/1/2025</v>
      </c>
      <c r="J258" s="9">
        <f>DATE(YEAR(I258), MONTH(I258) +1, DAY(I258))</f>
        <v>45717</v>
      </c>
      <c r="K258" s="6" t="s">
        <v>18</v>
      </c>
      <c r="L258" s="8">
        <v>-13.77</v>
      </c>
      <c r="M258" s="8">
        <v>3</v>
      </c>
      <c r="N258" s="8">
        <v>-3</v>
      </c>
      <c r="O258" t="s">
        <v>235</v>
      </c>
    </row>
    <row r="259" spans="1:15" ht="15.75" x14ac:dyDescent="0.25">
      <c r="A259" s="5" t="s">
        <v>13</v>
      </c>
      <c r="B259" s="6">
        <v>20411454</v>
      </c>
      <c r="C259" s="6" t="s">
        <v>103</v>
      </c>
      <c r="D259" s="6" t="s">
        <v>104</v>
      </c>
      <c r="E259" s="6" t="str">
        <f>CONCATENATE(D259,1)</f>
        <v>80RC361</v>
      </c>
      <c r="F259" s="7" t="s">
        <v>86</v>
      </c>
      <c r="G259" s="6">
        <v>-1</v>
      </c>
      <c r="H259" s="6">
        <v>20250301</v>
      </c>
      <c r="I259" s="6" t="str">
        <f>TEXT(DATE(LEFT(H259,4), MID(H259,5,2), RIGHT(H259,2)), "M/d/yyyy")</f>
        <v>3/1/2025</v>
      </c>
      <c r="J259" s="9">
        <f>DATE(YEAR(I259), MONTH(I259) +1, DAY(I259))</f>
        <v>45748</v>
      </c>
      <c r="K259" s="6" t="s">
        <v>18</v>
      </c>
      <c r="L259" s="8">
        <v>-13.77</v>
      </c>
      <c r="M259" s="8">
        <v>3</v>
      </c>
      <c r="N259" s="8">
        <v>-3</v>
      </c>
      <c r="O259" t="s">
        <v>235</v>
      </c>
    </row>
    <row r="260" spans="1:15" ht="15.75" x14ac:dyDescent="0.25">
      <c r="A260" s="5" t="s">
        <v>13</v>
      </c>
      <c r="B260" s="6">
        <v>20411454</v>
      </c>
      <c r="C260" s="6" t="s">
        <v>103</v>
      </c>
      <c r="D260" s="6" t="s">
        <v>104</v>
      </c>
      <c r="E260" s="6" t="str">
        <f>CONCATENATE(D260,1)</f>
        <v>80RC361</v>
      </c>
      <c r="F260" s="7" t="s">
        <v>86</v>
      </c>
      <c r="G260" s="6">
        <v>1</v>
      </c>
      <c r="H260" s="6">
        <v>20250201</v>
      </c>
      <c r="I260" s="6" t="str">
        <f>TEXT(DATE(LEFT(H260,4), MID(H260,5,2), RIGHT(H260,2)), "M/d/yyyy")</f>
        <v>2/1/2025</v>
      </c>
      <c r="J260" s="9">
        <f>DATE(YEAR(I260), MONTH(I260) +1, DAY(I260))</f>
        <v>45717</v>
      </c>
      <c r="K260" s="6" t="s">
        <v>18</v>
      </c>
      <c r="L260" s="8">
        <v>13.77</v>
      </c>
      <c r="M260" s="8">
        <v>3</v>
      </c>
      <c r="N260" s="8">
        <v>3</v>
      </c>
      <c r="O260" t="s">
        <v>235</v>
      </c>
    </row>
    <row r="261" spans="1:15" ht="15.75" x14ac:dyDescent="0.25">
      <c r="A261" s="5" t="s">
        <v>13</v>
      </c>
      <c r="B261" s="6">
        <v>20411454</v>
      </c>
      <c r="C261" s="6" t="s">
        <v>103</v>
      </c>
      <c r="D261" s="6" t="s">
        <v>104</v>
      </c>
      <c r="E261" s="6" t="str">
        <f>CONCATENATE(D261,1)</f>
        <v>80RC361</v>
      </c>
      <c r="F261" s="7" t="s">
        <v>86</v>
      </c>
      <c r="G261" s="6">
        <v>1</v>
      </c>
      <c r="H261" s="6">
        <v>20250301</v>
      </c>
      <c r="I261" s="6" t="str">
        <f>TEXT(DATE(LEFT(H261,4), MID(H261,5,2), RIGHT(H261,2)), "M/d/yyyy")</f>
        <v>3/1/2025</v>
      </c>
      <c r="J261" s="9">
        <f>DATE(YEAR(I261), MONTH(I261) +1, DAY(I261))</f>
        <v>45748</v>
      </c>
      <c r="K261" s="6" t="s">
        <v>18</v>
      </c>
      <c r="L261" s="8">
        <v>13.77</v>
      </c>
      <c r="M261" s="8">
        <v>3</v>
      </c>
      <c r="N261" s="8">
        <v>3</v>
      </c>
      <c r="O261" t="s">
        <v>235</v>
      </c>
    </row>
    <row r="262" spans="1:15" ht="15.75" x14ac:dyDescent="0.25">
      <c r="A262" s="5" t="s">
        <v>13</v>
      </c>
      <c r="B262" s="6">
        <v>20411454</v>
      </c>
      <c r="C262" s="6" t="s">
        <v>55</v>
      </c>
      <c r="D262" s="6" t="s">
        <v>56</v>
      </c>
      <c r="E262" s="6" t="str">
        <f>CONCATENATE(D262,1)</f>
        <v>37HH171</v>
      </c>
      <c r="F262" s="7" t="s">
        <v>50</v>
      </c>
      <c r="G262" s="6">
        <v>-1</v>
      </c>
      <c r="H262" s="6">
        <v>20250201</v>
      </c>
      <c r="I262" s="6" t="str">
        <f>TEXT(DATE(LEFT(H262,4), MID(H262,5,2), RIGHT(H262,2)), "M/d/yyyy")</f>
        <v>2/1/2025</v>
      </c>
      <c r="J262" s="9">
        <f>DATE(YEAR(I262), MONTH(I262) +1, DAY(I262))</f>
        <v>45717</v>
      </c>
      <c r="K262" s="6" t="s">
        <v>18</v>
      </c>
      <c r="L262" s="8">
        <v>-31.2</v>
      </c>
      <c r="M262" s="8">
        <v>3</v>
      </c>
      <c r="N262" s="8">
        <v>-3</v>
      </c>
      <c r="O262" t="s">
        <v>235</v>
      </c>
    </row>
    <row r="263" spans="1:15" ht="15.75" x14ac:dyDescent="0.25">
      <c r="A263" s="5" t="s">
        <v>13</v>
      </c>
      <c r="B263" s="6">
        <v>20411454</v>
      </c>
      <c r="C263" s="6" t="s">
        <v>55</v>
      </c>
      <c r="D263" s="6" t="s">
        <v>56</v>
      </c>
      <c r="E263" s="6" t="str">
        <f>CONCATENATE(D263,1)</f>
        <v>37HH171</v>
      </c>
      <c r="F263" s="7" t="s">
        <v>50</v>
      </c>
      <c r="G263" s="6">
        <v>-1</v>
      </c>
      <c r="H263" s="6">
        <v>20250301</v>
      </c>
      <c r="I263" s="6" t="str">
        <f>TEXT(DATE(LEFT(H263,4), MID(H263,5,2), RIGHT(H263,2)), "M/d/yyyy")</f>
        <v>3/1/2025</v>
      </c>
      <c r="J263" s="9">
        <f>DATE(YEAR(I263), MONTH(I263) +1, DAY(I263))</f>
        <v>45748</v>
      </c>
      <c r="K263" s="6" t="s">
        <v>18</v>
      </c>
      <c r="L263" s="8">
        <v>-31.2</v>
      </c>
      <c r="M263" s="8">
        <v>3</v>
      </c>
      <c r="N263" s="8">
        <v>-3</v>
      </c>
      <c r="O263" t="s">
        <v>235</v>
      </c>
    </row>
    <row r="264" spans="1:15" ht="15.75" x14ac:dyDescent="0.25">
      <c r="A264" s="5" t="s">
        <v>13</v>
      </c>
      <c r="B264" s="6">
        <v>20411454</v>
      </c>
      <c r="C264" s="6" t="s">
        <v>55</v>
      </c>
      <c r="D264" s="6" t="s">
        <v>56</v>
      </c>
      <c r="E264" s="6" t="str">
        <f>CONCATENATE(D264,1)</f>
        <v>37HH171</v>
      </c>
      <c r="F264" s="7" t="s">
        <v>50</v>
      </c>
      <c r="G264" s="6">
        <v>1</v>
      </c>
      <c r="H264" s="6">
        <v>20250201</v>
      </c>
      <c r="I264" s="6" t="str">
        <f>TEXT(DATE(LEFT(H264,4), MID(H264,5,2), RIGHT(H264,2)), "M/d/yyyy")</f>
        <v>2/1/2025</v>
      </c>
      <c r="J264" s="9">
        <f>DATE(YEAR(I264), MONTH(I264) +1, DAY(I264))</f>
        <v>45717</v>
      </c>
      <c r="K264" s="6" t="s">
        <v>18</v>
      </c>
      <c r="L264" s="8">
        <v>31.2</v>
      </c>
      <c r="M264" s="8">
        <v>3</v>
      </c>
      <c r="N264" s="8">
        <v>3</v>
      </c>
      <c r="O264" t="s">
        <v>235</v>
      </c>
    </row>
    <row r="265" spans="1:15" ht="15.75" x14ac:dyDescent="0.25">
      <c r="A265" s="5" t="s">
        <v>13</v>
      </c>
      <c r="B265" s="6">
        <v>20411454</v>
      </c>
      <c r="C265" s="6" t="s">
        <v>55</v>
      </c>
      <c r="D265" s="6" t="s">
        <v>56</v>
      </c>
      <c r="E265" s="6" t="str">
        <f>CONCATENATE(D265,1)</f>
        <v>37HH171</v>
      </c>
      <c r="F265" s="7" t="s">
        <v>50</v>
      </c>
      <c r="G265" s="6">
        <v>1</v>
      </c>
      <c r="H265" s="6">
        <v>20250301</v>
      </c>
      <c r="I265" s="6" t="str">
        <f>TEXT(DATE(LEFT(H265,4), MID(H265,5,2), RIGHT(H265,2)), "M/d/yyyy")</f>
        <v>3/1/2025</v>
      </c>
      <c r="J265" s="9">
        <f>DATE(YEAR(I265), MONTH(I265) +1, DAY(I265))</f>
        <v>45748</v>
      </c>
      <c r="K265" s="6" t="s">
        <v>18</v>
      </c>
      <c r="L265" s="8">
        <v>31.2</v>
      </c>
      <c r="M265" s="8">
        <v>3</v>
      </c>
      <c r="N265" s="8">
        <v>3</v>
      </c>
      <c r="O265" t="s">
        <v>235</v>
      </c>
    </row>
    <row r="266" spans="1:15" ht="15.75" x14ac:dyDescent="0.25">
      <c r="A266" s="5" t="s">
        <v>13</v>
      </c>
      <c r="B266" s="6">
        <v>20411454</v>
      </c>
      <c r="C266" s="6" t="s">
        <v>55</v>
      </c>
      <c r="D266" s="6" t="s">
        <v>56</v>
      </c>
      <c r="E266" s="6" t="str">
        <f>CONCATENATE(D266,1)</f>
        <v>37HH171</v>
      </c>
      <c r="F266" s="7" t="s">
        <v>50</v>
      </c>
      <c r="G266" s="6">
        <v>1</v>
      </c>
      <c r="H266" s="6">
        <v>20250401</v>
      </c>
      <c r="I266" s="6" t="str">
        <f>TEXT(DATE(LEFT(H266,4), MID(H266,5,2), RIGHT(H266,2)), "M/d/yyyy")</f>
        <v>4/1/2025</v>
      </c>
      <c r="J266" s="9">
        <f>DATE(YEAR(I266), MONTH(I266) +1, DAY(I266))</f>
        <v>45778</v>
      </c>
      <c r="K266" s="6" t="s">
        <v>18</v>
      </c>
      <c r="L266" s="8">
        <v>31.2</v>
      </c>
      <c r="M266" s="8">
        <v>3</v>
      </c>
      <c r="N266" s="8">
        <v>3</v>
      </c>
      <c r="O266" t="s">
        <v>235</v>
      </c>
    </row>
    <row r="267" spans="1:15" ht="15.75" x14ac:dyDescent="0.25">
      <c r="A267" s="5" t="s">
        <v>13</v>
      </c>
      <c r="B267" s="6">
        <v>20411454</v>
      </c>
      <c r="C267" s="6" t="s">
        <v>53</v>
      </c>
      <c r="D267" s="6" t="s">
        <v>54</v>
      </c>
      <c r="E267" s="6" t="str">
        <f>CONCATENATE(D267,1)</f>
        <v>35K3N11</v>
      </c>
      <c r="F267" s="7" t="s">
        <v>50</v>
      </c>
      <c r="G267" s="6">
        <v>-1</v>
      </c>
      <c r="H267" s="6">
        <v>20250201</v>
      </c>
      <c r="I267" s="6" t="str">
        <f>TEXT(DATE(LEFT(H267,4), MID(H267,5,2), RIGHT(H267,2)), "M/d/yyyy")</f>
        <v>2/1/2025</v>
      </c>
      <c r="J267" s="9">
        <f>DATE(YEAR(I267), MONTH(I267) +1, DAY(I267))</f>
        <v>45717</v>
      </c>
      <c r="K267" s="6" t="s">
        <v>18</v>
      </c>
      <c r="L267" s="8">
        <v>-122.19</v>
      </c>
      <c r="M267" s="8">
        <v>3</v>
      </c>
      <c r="N267" s="8">
        <v>-3</v>
      </c>
      <c r="O267" t="s">
        <v>235</v>
      </c>
    </row>
    <row r="268" spans="1:15" ht="15.75" x14ac:dyDescent="0.25">
      <c r="A268" s="5" t="s">
        <v>13</v>
      </c>
      <c r="B268" s="6">
        <v>20411454</v>
      </c>
      <c r="C268" s="6" t="s">
        <v>53</v>
      </c>
      <c r="D268" s="6" t="s">
        <v>54</v>
      </c>
      <c r="E268" s="6" t="str">
        <f>CONCATENATE(D268,1)</f>
        <v>35K3N11</v>
      </c>
      <c r="F268" s="7" t="s">
        <v>50</v>
      </c>
      <c r="G268" s="6">
        <v>-1</v>
      </c>
      <c r="H268" s="6">
        <v>20250301</v>
      </c>
      <c r="I268" s="6" t="str">
        <f>TEXT(DATE(LEFT(H268,4), MID(H268,5,2), RIGHT(H268,2)), "M/d/yyyy")</f>
        <v>3/1/2025</v>
      </c>
      <c r="J268" s="9">
        <f>DATE(YEAR(I268), MONTH(I268) +1, DAY(I268))</f>
        <v>45748</v>
      </c>
      <c r="K268" s="6" t="s">
        <v>18</v>
      </c>
      <c r="L268" s="8">
        <v>-122.19</v>
      </c>
      <c r="M268" s="8">
        <v>3</v>
      </c>
      <c r="N268" s="8">
        <v>-3</v>
      </c>
      <c r="O268" t="s">
        <v>235</v>
      </c>
    </row>
    <row r="269" spans="1:15" ht="15.75" x14ac:dyDescent="0.25">
      <c r="A269" s="5" t="s">
        <v>13</v>
      </c>
      <c r="B269" s="6">
        <v>20411454</v>
      </c>
      <c r="C269" s="6" t="s">
        <v>53</v>
      </c>
      <c r="D269" s="6" t="s">
        <v>54</v>
      </c>
      <c r="E269" s="6" t="str">
        <f>CONCATENATE(D269,1)</f>
        <v>35K3N11</v>
      </c>
      <c r="F269" s="7" t="s">
        <v>50</v>
      </c>
      <c r="G269" s="6">
        <v>1</v>
      </c>
      <c r="H269" s="6">
        <v>20250201</v>
      </c>
      <c r="I269" s="6" t="str">
        <f>TEXT(DATE(LEFT(H269,4), MID(H269,5,2), RIGHT(H269,2)), "M/d/yyyy")</f>
        <v>2/1/2025</v>
      </c>
      <c r="J269" s="9">
        <f>DATE(YEAR(I269), MONTH(I269) +1, DAY(I269))</f>
        <v>45717</v>
      </c>
      <c r="K269" s="6" t="s">
        <v>18</v>
      </c>
      <c r="L269" s="8">
        <v>122.19</v>
      </c>
      <c r="M269" s="8">
        <v>3</v>
      </c>
      <c r="N269" s="8">
        <v>3</v>
      </c>
      <c r="O269" t="s">
        <v>235</v>
      </c>
    </row>
    <row r="270" spans="1:15" ht="15.75" x14ac:dyDescent="0.25">
      <c r="A270" s="5" t="s">
        <v>13</v>
      </c>
      <c r="B270" s="6">
        <v>20411454</v>
      </c>
      <c r="C270" s="6" t="s">
        <v>53</v>
      </c>
      <c r="D270" s="6" t="s">
        <v>54</v>
      </c>
      <c r="E270" s="6" t="str">
        <f>CONCATENATE(D270,1)</f>
        <v>35K3N11</v>
      </c>
      <c r="F270" s="7" t="s">
        <v>50</v>
      </c>
      <c r="G270" s="6">
        <v>1</v>
      </c>
      <c r="H270" s="6">
        <v>20250301</v>
      </c>
      <c r="I270" s="6" t="str">
        <f>TEXT(DATE(LEFT(H270,4), MID(H270,5,2), RIGHT(H270,2)), "M/d/yyyy")</f>
        <v>3/1/2025</v>
      </c>
      <c r="J270" s="9">
        <f>DATE(YEAR(I270), MONTH(I270) +1, DAY(I270))</f>
        <v>45748</v>
      </c>
      <c r="K270" s="6" t="s">
        <v>18</v>
      </c>
      <c r="L270" s="8">
        <v>122.19</v>
      </c>
      <c r="M270" s="8">
        <v>3</v>
      </c>
      <c r="N270" s="8">
        <v>3</v>
      </c>
      <c r="O270" t="s">
        <v>235</v>
      </c>
    </row>
    <row r="271" spans="1:15" ht="15.75" x14ac:dyDescent="0.25">
      <c r="A271" s="5" t="s">
        <v>13</v>
      </c>
      <c r="B271" s="6">
        <v>20411454</v>
      </c>
      <c r="C271" s="6" t="s">
        <v>129</v>
      </c>
      <c r="D271" s="6" t="s">
        <v>130</v>
      </c>
      <c r="E271" s="6" t="str">
        <f>CONCATENATE(D271,1)</f>
        <v>74Q11G1</v>
      </c>
      <c r="F271" s="7" t="s">
        <v>86</v>
      </c>
      <c r="G271" s="6">
        <v>-3</v>
      </c>
      <c r="H271" s="6">
        <v>20250201</v>
      </c>
      <c r="I271" s="6" t="str">
        <f>TEXT(DATE(LEFT(H271,4), MID(H271,5,2), RIGHT(H271,2)), "M/d/yyyy")</f>
        <v>2/1/2025</v>
      </c>
      <c r="J271" s="9">
        <f>DATE(YEAR(I271), MONTH(I271) +1, DAY(I271))</f>
        <v>45717</v>
      </c>
      <c r="K271" s="6" t="s">
        <v>18</v>
      </c>
      <c r="L271" s="8">
        <v>-1053.33</v>
      </c>
      <c r="M271" s="8">
        <v>3</v>
      </c>
      <c r="N271" s="8">
        <v>-9</v>
      </c>
      <c r="O271" t="s">
        <v>235</v>
      </c>
    </row>
    <row r="272" spans="1:15" ht="15.75" x14ac:dyDescent="0.25">
      <c r="A272" s="5" t="s">
        <v>13</v>
      </c>
      <c r="B272" s="6">
        <v>20411454</v>
      </c>
      <c r="C272" s="6" t="s">
        <v>129</v>
      </c>
      <c r="D272" s="6" t="s">
        <v>130</v>
      </c>
      <c r="E272" s="6" t="str">
        <f>CONCATENATE(D272,1)</f>
        <v>74Q11G1</v>
      </c>
      <c r="F272" s="7" t="s">
        <v>86</v>
      </c>
      <c r="G272" s="6">
        <v>-3</v>
      </c>
      <c r="H272" s="6">
        <v>20250301</v>
      </c>
      <c r="I272" s="6" t="str">
        <f>TEXT(DATE(LEFT(H272,4), MID(H272,5,2), RIGHT(H272,2)), "M/d/yyyy")</f>
        <v>3/1/2025</v>
      </c>
      <c r="J272" s="9">
        <f>DATE(YEAR(I272), MONTH(I272) +1, DAY(I272))</f>
        <v>45748</v>
      </c>
      <c r="K272" s="6" t="s">
        <v>18</v>
      </c>
      <c r="L272" s="8">
        <v>-1053.33</v>
      </c>
      <c r="M272" s="8">
        <v>3</v>
      </c>
      <c r="N272" s="8">
        <v>-9</v>
      </c>
      <c r="O272" t="s">
        <v>235</v>
      </c>
    </row>
    <row r="273" spans="1:15" ht="15.75" x14ac:dyDescent="0.25">
      <c r="A273" s="5" t="s">
        <v>13</v>
      </c>
      <c r="B273" s="6">
        <v>20411454</v>
      </c>
      <c r="C273" s="6" t="s">
        <v>129</v>
      </c>
      <c r="D273" s="6" t="s">
        <v>130</v>
      </c>
      <c r="E273" s="6" t="str">
        <f>CONCATENATE(D273,1)</f>
        <v>74Q11G1</v>
      </c>
      <c r="F273" s="7" t="s">
        <v>86</v>
      </c>
      <c r="G273" s="6">
        <v>3</v>
      </c>
      <c r="H273" s="6">
        <v>20250201</v>
      </c>
      <c r="I273" s="6" t="str">
        <f>TEXT(DATE(LEFT(H273,4), MID(H273,5,2), RIGHT(H273,2)), "M/d/yyyy")</f>
        <v>2/1/2025</v>
      </c>
      <c r="J273" s="9">
        <f>DATE(YEAR(I273), MONTH(I273) +1, DAY(I273))</f>
        <v>45717</v>
      </c>
      <c r="K273" s="6" t="s">
        <v>18</v>
      </c>
      <c r="L273" s="8">
        <v>1053.33</v>
      </c>
      <c r="M273" s="8">
        <v>3</v>
      </c>
      <c r="N273" s="8">
        <v>9</v>
      </c>
      <c r="O273" t="s">
        <v>235</v>
      </c>
    </row>
    <row r="274" spans="1:15" ht="15.75" x14ac:dyDescent="0.25">
      <c r="A274" s="5" t="s">
        <v>13</v>
      </c>
      <c r="B274" s="6">
        <v>20411454</v>
      </c>
      <c r="C274" s="6" t="s">
        <v>129</v>
      </c>
      <c r="D274" s="6" t="s">
        <v>130</v>
      </c>
      <c r="E274" s="6" t="str">
        <f>CONCATENATE(D274,1)</f>
        <v>74Q11G1</v>
      </c>
      <c r="F274" s="7" t="s">
        <v>86</v>
      </c>
      <c r="G274" s="6">
        <v>3</v>
      </c>
      <c r="H274" s="6">
        <v>20250301</v>
      </c>
      <c r="I274" s="6" t="str">
        <f>TEXT(DATE(LEFT(H274,4), MID(H274,5,2), RIGHT(H274,2)), "M/d/yyyy")</f>
        <v>3/1/2025</v>
      </c>
      <c r="J274" s="9">
        <f>DATE(YEAR(I274), MONTH(I274) +1, DAY(I274))</f>
        <v>45748</v>
      </c>
      <c r="K274" s="6" t="s">
        <v>18</v>
      </c>
      <c r="L274" s="8">
        <v>1053.33</v>
      </c>
      <c r="M274" s="8">
        <v>3</v>
      </c>
      <c r="N274" s="8">
        <v>9</v>
      </c>
      <c r="O274" t="s">
        <v>235</v>
      </c>
    </row>
    <row r="275" spans="1:15" ht="15.75" x14ac:dyDescent="0.25">
      <c r="A275" s="5" t="s">
        <v>13</v>
      </c>
      <c r="B275" s="6">
        <v>20411454</v>
      </c>
      <c r="C275" s="6" t="s">
        <v>129</v>
      </c>
      <c r="D275" s="6" t="s">
        <v>130</v>
      </c>
      <c r="E275" s="6" t="str">
        <f>CONCATENATE(D275,1)</f>
        <v>74Q11G1</v>
      </c>
      <c r="F275" s="7" t="s">
        <v>86</v>
      </c>
      <c r="G275" s="6">
        <v>3</v>
      </c>
      <c r="H275" s="6">
        <v>20250401</v>
      </c>
      <c r="I275" s="6" t="str">
        <f>TEXT(DATE(LEFT(H275,4), MID(H275,5,2), RIGHT(H275,2)), "M/d/yyyy")</f>
        <v>4/1/2025</v>
      </c>
      <c r="J275" s="9">
        <f>DATE(YEAR(I275), MONTH(I275) +1, DAY(I275))</f>
        <v>45778</v>
      </c>
      <c r="K275" s="6" t="s">
        <v>18</v>
      </c>
      <c r="L275" s="8">
        <v>1053.33</v>
      </c>
      <c r="M275" s="8">
        <v>3</v>
      </c>
      <c r="N275" s="8">
        <v>9</v>
      </c>
      <c r="O275" t="s">
        <v>235</v>
      </c>
    </row>
    <row r="276" spans="1:15" ht="15.75" x14ac:dyDescent="0.25">
      <c r="A276" s="5" t="s">
        <v>13</v>
      </c>
      <c r="B276" s="6">
        <v>20411454</v>
      </c>
      <c r="C276" s="6" t="s">
        <v>23</v>
      </c>
      <c r="D276" s="6" t="s">
        <v>24</v>
      </c>
      <c r="E276" s="6" t="str">
        <f>CONCATENATE(D276,1)</f>
        <v>27C3J81</v>
      </c>
      <c r="F276" s="7" t="s">
        <v>25</v>
      </c>
      <c r="G276" s="6">
        <v>-1</v>
      </c>
      <c r="H276" s="6">
        <v>20250201</v>
      </c>
      <c r="I276" s="6" t="str">
        <f>TEXT(DATE(LEFT(H276,4), MID(H276,5,2), RIGHT(H276,2)), "M/d/yyyy")</f>
        <v>2/1/2025</v>
      </c>
      <c r="J276" s="9">
        <f>DATE(YEAR(I276), MONTH(I276) +1, DAY(I276))</f>
        <v>45717</v>
      </c>
      <c r="K276" s="6" t="s">
        <v>18</v>
      </c>
      <c r="L276" s="8">
        <v>-69.2</v>
      </c>
      <c r="M276" s="8">
        <v>3</v>
      </c>
      <c r="N276" s="8">
        <v>-3</v>
      </c>
      <c r="O276" t="s">
        <v>235</v>
      </c>
    </row>
    <row r="277" spans="1:15" ht="15.75" x14ac:dyDescent="0.25">
      <c r="A277" s="5" t="s">
        <v>13</v>
      </c>
      <c r="B277" s="6">
        <v>20411454</v>
      </c>
      <c r="C277" s="6" t="s">
        <v>23</v>
      </c>
      <c r="D277" s="6" t="s">
        <v>24</v>
      </c>
      <c r="E277" s="6" t="str">
        <f>CONCATENATE(D277,1)</f>
        <v>27C3J81</v>
      </c>
      <c r="F277" s="7" t="s">
        <v>25</v>
      </c>
      <c r="G277" s="6">
        <v>-1</v>
      </c>
      <c r="H277" s="6">
        <v>20250301</v>
      </c>
      <c r="I277" s="6" t="str">
        <f>TEXT(DATE(LEFT(H277,4), MID(H277,5,2), RIGHT(H277,2)), "M/d/yyyy")</f>
        <v>3/1/2025</v>
      </c>
      <c r="J277" s="9">
        <f>DATE(YEAR(I277), MONTH(I277) +1, DAY(I277))</f>
        <v>45748</v>
      </c>
      <c r="K277" s="6" t="s">
        <v>18</v>
      </c>
      <c r="L277" s="8">
        <v>-69.2</v>
      </c>
      <c r="M277" s="8">
        <v>3</v>
      </c>
      <c r="N277" s="8">
        <v>-3</v>
      </c>
      <c r="O277" t="s">
        <v>235</v>
      </c>
    </row>
    <row r="278" spans="1:15" ht="15.75" x14ac:dyDescent="0.25">
      <c r="A278" s="5" t="s">
        <v>13</v>
      </c>
      <c r="B278" s="6">
        <v>20411454</v>
      </c>
      <c r="C278" s="6" t="s">
        <v>23</v>
      </c>
      <c r="D278" s="6" t="s">
        <v>24</v>
      </c>
      <c r="E278" s="6" t="str">
        <f>CONCATENATE(D278,1)</f>
        <v>27C3J81</v>
      </c>
      <c r="F278" s="7" t="s">
        <v>25</v>
      </c>
      <c r="G278" s="6">
        <v>1</v>
      </c>
      <c r="H278" s="6">
        <v>20250201</v>
      </c>
      <c r="I278" s="6" t="str">
        <f>TEXT(DATE(LEFT(H278,4), MID(H278,5,2), RIGHT(H278,2)), "M/d/yyyy")</f>
        <v>2/1/2025</v>
      </c>
      <c r="J278" s="9">
        <f>DATE(YEAR(I278), MONTH(I278) +1, DAY(I278))</f>
        <v>45717</v>
      </c>
      <c r="K278" s="6" t="s">
        <v>18</v>
      </c>
      <c r="L278" s="8">
        <v>69.2</v>
      </c>
      <c r="M278" s="8">
        <v>3</v>
      </c>
      <c r="N278" s="8">
        <v>3</v>
      </c>
      <c r="O278" t="s">
        <v>235</v>
      </c>
    </row>
    <row r="279" spans="1:15" ht="15.75" x14ac:dyDescent="0.25">
      <c r="A279" s="5" t="s">
        <v>13</v>
      </c>
      <c r="B279" s="6">
        <v>20411454</v>
      </c>
      <c r="C279" s="6" t="s">
        <v>23</v>
      </c>
      <c r="D279" s="6" t="s">
        <v>24</v>
      </c>
      <c r="E279" s="6" t="str">
        <f>CONCATENATE(D279,1)</f>
        <v>27C3J81</v>
      </c>
      <c r="F279" s="7" t="s">
        <v>25</v>
      </c>
      <c r="G279" s="6">
        <v>1</v>
      </c>
      <c r="H279" s="6">
        <v>20250301</v>
      </c>
      <c r="I279" s="6" t="str">
        <f>TEXT(DATE(LEFT(H279,4), MID(H279,5,2), RIGHT(H279,2)), "M/d/yyyy")</f>
        <v>3/1/2025</v>
      </c>
      <c r="J279" s="9">
        <f>DATE(YEAR(I279), MONTH(I279) +1, DAY(I279))</f>
        <v>45748</v>
      </c>
      <c r="K279" s="6" t="s">
        <v>18</v>
      </c>
      <c r="L279" s="8">
        <v>69.2</v>
      </c>
      <c r="M279" s="8">
        <v>3</v>
      </c>
      <c r="N279" s="8">
        <v>3</v>
      </c>
      <c r="O279" t="s">
        <v>235</v>
      </c>
    </row>
    <row r="280" spans="1:15" ht="15.75" x14ac:dyDescent="0.25">
      <c r="A280" s="5" t="s">
        <v>13</v>
      </c>
      <c r="B280" s="6">
        <v>20411454</v>
      </c>
      <c r="C280" s="6" t="s">
        <v>23</v>
      </c>
      <c r="D280" s="6" t="s">
        <v>24</v>
      </c>
      <c r="E280" s="6" t="str">
        <f>CONCATENATE(D280,1)</f>
        <v>27C3J81</v>
      </c>
      <c r="F280" s="7" t="s">
        <v>25</v>
      </c>
      <c r="G280" s="6">
        <v>1</v>
      </c>
      <c r="H280" s="6">
        <v>20250401</v>
      </c>
      <c r="I280" s="6" t="str">
        <f>TEXT(DATE(LEFT(H280,4), MID(H280,5,2), RIGHT(H280,2)), "M/d/yyyy")</f>
        <v>4/1/2025</v>
      </c>
      <c r="J280" s="9">
        <f>DATE(YEAR(I280), MONTH(I280) +1, DAY(I280))</f>
        <v>45778</v>
      </c>
      <c r="K280" s="6" t="s">
        <v>18</v>
      </c>
      <c r="L280" s="8">
        <v>69.2</v>
      </c>
      <c r="M280" s="8">
        <v>3</v>
      </c>
      <c r="N280" s="8">
        <v>3</v>
      </c>
      <c r="O280" t="s">
        <v>235</v>
      </c>
    </row>
    <row r="281" spans="1:15" ht="15.75" x14ac:dyDescent="0.25">
      <c r="A281" s="5" t="s">
        <v>13</v>
      </c>
      <c r="B281" s="6">
        <v>20411454</v>
      </c>
      <c r="C281" s="6" t="s">
        <v>109</v>
      </c>
      <c r="D281" s="6" t="s">
        <v>110</v>
      </c>
      <c r="E281" s="6" t="str">
        <f>CONCATENATE(D281,1)</f>
        <v>88T35K1</v>
      </c>
      <c r="F281" s="7" t="s">
        <v>86</v>
      </c>
      <c r="G281" s="6">
        <v>1</v>
      </c>
      <c r="H281" s="6">
        <v>20250401</v>
      </c>
      <c r="I281" s="6" t="str">
        <f>TEXT(DATE(LEFT(H281,4), MID(H281,5,2), RIGHT(H281,2)), "M/d/yyyy")</f>
        <v>4/1/2025</v>
      </c>
      <c r="J281" s="9">
        <f>DATE(YEAR(I281), MONTH(I281) +1, DAY(I281))</f>
        <v>45778</v>
      </c>
      <c r="K281" s="6" t="s">
        <v>18</v>
      </c>
      <c r="L281" s="8">
        <v>165.78</v>
      </c>
      <c r="M281" s="8">
        <v>3</v>
      </c>
      <c r="N281" s="8">
        <v>3</v>
      </c>
      <c r="O281" t="s">
        <v>235</v>
      </c>
    </row>
    <row r="282" spans="1:15" ht="15.75" x14ac:dyDescent="0.25">
      <c r="A282" s="5" t="s">
        <v>13</v>
      </c>
      <c r="B282" s="6">
        <v>20411454</v>
      </c>
      <c r="C282" s="6" t="s">
        <v>84</v>
      </c>
      <c r="D282" s="6" t="s">
        <v>85</v>
      </c>
      <c r="E282" s="6" t="str">
        <f>CONCATENATE(D282,1)</f>
        <v>01T3B21</v>
      </c>
      <c r="F282" s="7" t="s">
        <v>86</v>
      </c>
      <c r="G282" s="6">
        <v>-2</v>
      </c>
      <c r="H282" s="6">
        <v>20250301</v>
      </c>
      <c r="I282" s="6" t="str">
        <f>TEXT(DATE(LEFT(H282,4), MID(H282,5,2), RIGHT(H282,2)), "M/d/yyyy")</f>
        <v>3/1/2025</v>
      </c>
      <c r="J282" s="9">
        <f>DATE(YEAR(I282), MONTH(I282) +1, DAY(I282))</f>
        <v>45748</v>
      </c>
      <c r="K282" s="6" t="s">
        <v>18</v>
      </c>
      <c r="L282" s="8">
        <v>-983.89</v>
      </c>
      <c r="M282" s="8">
        <v>3</v>
      </c>
      <c r="N282" s="8">
        <v>-6</v>
      </c>
      <c r="O282" t="s">
        <v>235</v>
      </c>
    </row>
    <row r="283" spans="1:15" ht="15.75" x14ac:dyDescent="0.25">
      <c r="A283" s="5" t="s">
        <v>13</v>
      </c>
      <c r="B283" s="6">
        <v>20411454</v>
      </c>
      <c r="C283" s="6" t="s">
        <v>84</v>
      </c>
      <c r="D283" s="6" t="s">
        <v>85</v>
      </c>
      <c r="E283" s="6" t="str">
        <f>CONCATENATE(D283,1)</f>
        <v>01T3B21</v>
      </c>
      <c r="F283" s="7" t="s">
        <v>86</v>
      </c>
      <c r="G283" s="6">
        <v>2</v>
      </c>
      <c r="H283" s="6">
        <v>20250301</v>
      </c>
      <c r="I283" s="6" t="str">
        <f>TEXT(DATE(LEFT(H283,4), MID(H283,5,2), RIGHT(H283,2)), "M/d/yyyy")</f>
        <v>3/1/2025</v>
      </c>
      <c r="J283" s="9">
        <f>DATE(YEAR(I283), MONTH(I283) +1, DAY(I283))</f>
        <v>45748</v>
      </c>
      <c r="K283" s="6" t="s">
        <v>18</v>
      </c>
      <c r="L283" s="8">
        <v>983.89</v>
      </c>
      <c r="M283" s="8">
        <v>3</v>
      </c>
      <c r="N283" s="8">
        <v>6</v>
      </c>
      <c r="O283" t="s">
        <v>235</v>
      </c>
    </row>
    <row r="284" spans="1:15" ht="15.75" x14ac:dyDescent="0.25">
      <c r="A284" s="5" t="s">
        <v>13</v>
      </c>
      <c r="B284" s="6">
        <v>20411454</v>
      </c>
      <c r="C284" s="6" t="s">
        <v>224</v>
      </c>
      <c r="D284" s="6" t="s">
        <v>225</v>
      </c>
      <c r="E284" s="6" t="str">
        <f>CONCATENATE(D284,1)</f>
        <v>80D61C1</v>
      </c>
      <c r="F284" s="7" t="s">
        <v>33</v>
      </c>
      <c r="G284" s="6">
        <v>-1</v>
      </c>
      <c r="H284" s="6">
        <v>20250201</v>
      </c>
      <c r="I284" s="6" t="str">
        <f>TEXT(DATE(LEFT(H284,4), MID(H284,5,2), RIGHT(H284,2)), "M/d/yyyy")</f>
        <v>2/1/2025</v>
      </c>
      <c r="J284" s="9">
        <f>DATE(YEAR(I284), MONTH(I284) +1, DAY(I284))</f>
        <v>45717</v>
      </c>
      <c r="K284" s="6" t="s">
        <v>12</v>
      </c>
      <c r="L284" s="8">
        <v>-387.85</v>
      </c>
      <c r="M284" s="8">
        <v>3</v>
      </c>
      <c r="N284" s="8">
        <v>-3</v>
      </c>
      <c r="O284" t="s">
        <v>235</v>
      </c>
    </row>
    <row r="285" spans="1:15" ht="15.75" x14ac:dyDescent="0.25">
      <c r="A285" s="5" t="s">
        <v>13</v>
      </c>
      <c r="B285" s="6">
        <v>20411454</v>
      </c>
      <c r="C285" s="6" t="s">
        <v>224</v>
      </c>
      <c r="D285" s="6" t="s">
        <v>225</v>
      </c>
      <c r="E285" s="6" t="str">
        <f>CONCATENATE(D285,1)</f>
        <v>80D61C1</v>
      </c>
      <c r="F285" s="7" t="s">
        <v>33</v>
      </c>
      <c r="G285" s="6">
        <v>-1</v>
      </c>
      <c r="H285" s="6">
        <v>20250301</v>
      </c>
      <c r="I285" s="6" t="str">
        <f>TEXT(DATE(LEFT(H285,4), MID(H285,5,2), RIGHT(H285,2)), "M/d/yyyy")</f>
        <v>3/1/2025</v>
      </c>
      <c r="J285" s="9">
        <f>DATE(YEAR(I285), MONTH(I285) +1, DAY(I285))</f>
        <v>45748</v>
      </c>
      <c r="K285" s="6" t="s">
        <v>12</v>
      </c>
      <c r="L285" s="8">
        <v>-387.85</v>
      </c>
      <c r="M285" s="8">
        <v>3</v>
      </c>
      <c r="N285" s="8">
        <v>-3</v>
      </c>
      <c r="O285" t="s">
        <v>235</v>
      </c>
    </row>
    <row r="286" spans="1:15" ht="15.75" x14ac:dyDescent="0.25">
      <c r="A286" s="5" t="s">
        <v>13</v>
      </c>
      <c r="B286" s="6">
        <v>20411454</v>
      </c>
      <c r="C286" s="6" t="s">
        <v>224</v>
      </c>
      <c r="D286" s="6" t="s">
        <v>225</v>
      </c>
      <c r="E286" s="6" t="str">
        <f>CONCATENATE(D286,1)</f>
        <v>80D61C1</v>
      </c>
      <c r="F286" s="7" t="s">
        <v>33</v>
      </c>
      <c r="G286" s="6">
        <v>1</v>
      </c>
      <c r="H286" s="6">
        <v>20250201</v>
      </c>
      <c r="I286" s="6" t="str">
        <f>TEXT(DATE(LEFT(H286,4), MID(H286,5,2), RIGHT(H286,2)), "M/d/yyyy")</f>
        <v>2/1/2025</v>
      </c>
      <c r="J286" s="9">
        <f>DATE(YEAR(I286), MONTH(I286) +1, DAY(I286))</f>
        <v>45717</v>
      </c>
      <c r="K286" s="6" t="s">
        <v>12</v>
      </c>
      <c r="L286" s="8">
        <v>387.85</v>
      </c>
      <c r="M286" s="8">
        <v>3</v>
      </c>
      <c r="N286" s="8">
        <v>3</v>
      </c>
      <c r="O286" t="s">
        <v>235</v>
      </c>
    </row>
    <row r="287" spans="1:15" ht="15.75" x14ac:dyDescent="0.25">
      <c r="A287" s="5" t="s">
        <v>13</v>
      </c>
      <c r="B287" s="6">
        <v>20411454</v>
      </c>
      <c r="C287" s="6" t="s">
        <v>224</v>
      </c>
      <c r="D287" s="6" t="s">
        <v>225</v>
      </c>
      <c r="E287" s="6" t="str">
        <f>CONCATENATE(D287,1)</f>
        <v>80D61C1</v>
      </c>
      <c r="F287" s="7" t="s">
        <v>33</v>
      </c>
      <c r="G287" s="6">
        <v>1</v>
      </c>
      <c r="H287" s="6">
        <v>20250301</v>
      </c>
      <c r="I287" s="6" t="str">
        <f>TEXT(DATE(LEFT(H287,4), MID(H287,5,2), RIGHT(H287,2)), "M/d/yyyy")</f>
        <v>3/1/2025</v>
      </c>
      <c r="J287" s="9">
        <f>DATE(YEAR(I287), MONTH(I287) +1, DAY(I287))</f>
        <v>45748</v>
      </c>
      <c r="K287" s="6" t="s">
        <v>12</v>
      </c>
      <c r="L287" s="8">
        <v>387.85</v>
      </c>
      <c r="M287" s="8">
        <v>3</v>
      </c>
      <c r="N287" s="8">
        <v>3</v>
      </c>
      <c r="O287" t="s">
        <v>235</v>
      </c>
    </row>
    <row r="288" spans="1:15" ht="15.75" x14ac:dyDescent="0.25">
      <c r="A288" s="5" t="s">
        <v>13</v>
      </c>
      <c r="B288" s="6">
        <v>20411454</v>
      </c>
      <c r="C288" s="6" t="s">
        <v>224</v>
      </c>
      <c r="D288" s="6" t="s">
        <v>225</v>
      </c>
      <c r="E288" s="6" t="str">
        <f>CONCATENATE(D288,1)</f>
        <v>80D61C1</v>
      </c>
      <c r="F288" s="7" t="s">
        <v>33</v>
      </c>
      <c r="G288" s="6">
        <v>1</v>
      </c>
      <c r="H288" s="6">
        <v>20250401</v>
      </c>
      <c r="I288" s="6" t="str">
        <f>TEXT(DATE(LEFT(H288,4), MID(H288,5,2), RIGHT(H288,2)), "M/d/yyyy")</f>
        <v>4/1/2025</v>
      </c>
      <c r="J288" s="9">
        <f>DATE(YEAR(I288), MONTH(I288) +1, DAY(I288))</f>
        <v>45778</v>
      </c>
      <c r="K288" s="6" t="s">
        <v>12</v>
      </c>
      <c r="L288" s="8">
        <v>387.85</v>
      </c>
      <c r="M288" s="8">
        <v>3</v>
      </c>
      <c r="N288" s="8">
        <v>3</v>
      </c>
      <c r="O288" t="s">
        <v>235</v>
      </c>
    </row>
    <row r="289" spans="1:15" ht="15.75" x14ac:dyDescent="0.25">
      <c r="A289" s="5" t="s">
        <v>13</v>
      </c>
      <c r="B289" s="6">
        <v>20411454</v>
      </c>
      <c r="C289" s="6" t="s">
        <v>198</v>
      </c>
      <c r="D289" s="6" t="s">
        <v>199</v>
      </c>
      <c r="E289" s="6" t="str">
        <f>CONCATENATE(D289,1)</f>
        <v>13M41V1</v>
      </c>
      <c r="F289" s="7" t="s">
        <v>22</v>
      </c>
      <c r="G289" s="6">
        <v>-1</v>
      </c>
      <c r="H289" s="6">
        <v>20250201</v>
      </c>
      <c r="I289" s="6" t="str">
        <f>TEXT(DATE(LEFT(H289,4), MID(H289,5,2), RIGHT(H289,2)), "M/d/yyyy")</f>
        <v>2/1/2025</v>
      </c>
      <c r="J289" s="9">
        <f>DATE(YEAR(I289), MONTH(I289) +1, DAY(I289))</f>
        <v>45717</v>
      </c>
      <c r="K289" s="6" t="s">
        <v>18</v>
      </c>
      <c r="L289" s="8">
        <v>-176.4</v>
      </c>
      <c r="M289" s="8">
        <v>3</v>
      </c>
      <c r="N289" s="8">
        <v>-3</v>
      </c>
      <c r="O289" t="s">
        <v>235</v>
      </c>
    </row>
    <row r="290" spans="1:15" ht="15.75" x14ac:dyDescent="0.25">
      <c r="A290" s="5" t="s">
        <v>13</v>
      </c>
      <c r="B290" s="6">
        <v>20411454</v>
      </c>
      <c r="C290" s="6" t="s">
        <v>198</v>
      </c>
      <c r="D290" s="6" t="s">
        <v>199</v>
      </c>
      <c r="E290" s="6" t="str">
        <f>CONCATENATE(D290,1)</f>
        <v>13M41V1</v>
      </c>
      <c r="F290" s="7" t="s">
        <v>22</v>
      </c>
      <c r="G290" s="6">
        <v>-1</v>
      </c>
      <c r="H290" s="6">
        <v>20250301</v>
      </c>
      <c r="I290" s="6" t="str">
        <f>TEXT(DATE(LEFT(H290,4), MID(H290,5,2), RIGHT(H290,2)), "M/d/yyyy")</f>
        <v>3/1/2025</v>
      </c>
      <c r="J290" s="9">
        <f>DATE(YEAR(I290), MONTH(I290) +1, DAY(I290))</f>
        <v>45748</v>
      </c>
      <c r="K290" s="6" t="s">
        <v>18</v>
      </c>
      <c r="L290" s="8">
        <v>-176.4</v>
      </c>
      <c r="M290" s="8">
        <v>3</v>
      </c>
      <c r="N290" s="8">
        <v>-3</v>
      </c>
      <c r="O290" t="s">
        <v>235</v>
      </c>
    </row>
    <row r="291" spans="1:15" ht="15.75" x14ac:dyDescent="0.25">
      <c r="A291" s="5" t="s">
        <v>13</v>
      </c>
      <c r="B291" s="6">
        <v>20411454</v>
      </c>
      <c r="C291" s="6" t="s">
        <v>198</v>
      </c>
      <c r="D291" s="6" t="s">
        <v>199</v>
      </c>
      <c r="E291" s="6" t="str">
        <f>CONCATENATE(D291,1)</f>
        <v>13M41V1</v>
      </c>
      <c r="F291" s="7" t="s">
        <v>22</v>
      </c>
      <c r="G291" s="6">
        <v>1</v>
      </c>
      <c r="H291" s="6">
        <v>20250201</v>
      </c>
      <c r="I291" s="6" t="str">
        <f>TEXT(DATE(LEFT(H291,4), MID(H291,5,2), RIGHT(H291,2)), "M/d/yyyy")</f>
        <v>2/1/2025</v>
      </c>
      <c r="J291" s="9">
        <f>DATE(YEAR(I291), MONTH(I291) +1, DAY(I291))</f>
        <v>45717</v>
      </c>
      <c r="K291" s="6" t="s">
        <v>18</v>
      </c>
      <c r="L291" s="8">
        <v>176.4</v>
      </c>
      <c r="M291" s="8">
        <v>3</v>
      </c>
      <c r="N291" s="8">
        <v>3</v>
      </c>
      <c r="O291" t="s">
        <v>235</v>
      </c>
    </row>
    <row r="292" spans="1:15" ht="15.75" x14ac:dyDescent="0.25">
      <c r="A292" s="5" t="s">
        <v>13</v>
      </c>
      <c r="B292" s="6">
        <v>20411454</v>
      </c>
      <c r="C292" s="6" t="s">
        <v>198</v>
      </c>
      <c r="D292" s="6" t="s">
        <v>199</v>
      </c>
      <c r="E292" s="6" t="str">
        <f>CONCATENATE(D292,1)</f>
        <v>13M41V1</v>
      </c>
      <c r="F292" s="7" t="s">
        <v>22</v>
      </c>
      <c r="G292" s="6">
        <v>1</v>
      </c>
      <c r="H292" s="6">
        <v>20250301</v>
      </c>
      <c r="I292" s="6" t="str">
        <f>TEXT(DATE(LEFT(H292,4), MID(H292,5,2), RIGHT(H292,2)), "M/d/yyyy")</f>
        <v>3/1/2025</v>
      </c>
      <c r="J292" s="9">
        <f>DATE(YEAR(I292), MONTH(I292) +1, DAY(I292))</f>
        <v>45748</v>
      </c>
      <c r="K292" s="6" t="s">
        <v>18</v>
      </c>
      <c r="L292" s="8">
        <v>176.4</v>
      </c>
      <c r="M292" s="8">
        <v>3</v>
      </c>
      <c r="N292" s="8">
        <v>3</v>
      </c>
      <c r="O292" t="s">
        <v>235</v>
      </c>
    </row>
    <row r="293" spans="1:15" ht="15.75" x14ac:dyDescent="0.25">
      <c r="A293" s="5" t="s">
        <v>13</v>
      </c>
      <c r="B293" s="6">
        <v>20411454</v>
      </c>
      <c r="C293" s="6" t="s">
        <v>198</v>
      </c>
      <c r="D293" s="6" t="s">
        <v>199</v>
      </c>
      <c r="E293" s="6" t="str">
        <f>CONCATENATE(D293,1)</f>
        <v>13M41V1</v>
      </c>
      <c r="F293" s="7" t="s">
        <v>22</v>
      </c>
      <c r="G293" s="6">
        <v>1</v>
      </c>
      <c r="H293" s="6">
        <v>20250401</v>
      </c>
      <c r="I293" s="6" t="str">
        <f>TEXT(DATE(LEFT(H293,4), MID(H293,5,2), RIGHT(H293,2)), "M/d/yyyy")</f>
        <v>4/1/2025</v>
      </c>
      <c r="J293" s="9">
        <f>DATE(YEAR(I293), MONTH(I293) +1, DAY(I293))</f>
        <v>45778</v>
      </c>
      <c r="K293" s="6" t="s">
        <v>18</v>
      </c>
      <c r="L293" s="8">
        <v>176.4</v>
      </c>
      <c r="M293" s="8">
        <v>3</v>
      </c>
      <c r="N293" s="8">
        <v>3</v>
      </c>
      <c r="O293" t="s">
        <v>235</v>
      </c>
    </row>
    <row r="294" spans="1:15" ht="15.75" x14ac:dyDescent="0.25">
      <c r="A294" s="5" t="s">
        <v>13</v>
      </c>
      <c r="B294" s="6">
        <v>20411454</v>
      </c>
      <c r="C294" s="6" t="s">
        <v>219</v>
      </c>
      <c r="D294" s="6" t="s">
        <v>220</v>
      </c>
      <c r="E294" s="6" t="str">
        <f>CONCATENATE(D294,1)</f>
        <v>8PJ6531</v>
      </c>
      <c r="F294" s="7" t="s">
        <v>17</v>
      </c>
      <c r="G294" s="6">
        <v>-1</v>
      </c>
      <c r="H294" s="6">
        <v>20250201</v>
      </c>
      <c r="I294" s="6" t="str">
        <f>TEXT(DATE(LEFT(H294,4), MID(H294,5,2), RIGHT(H294,2)), "M/d/yyyy")</f>
        <v>2/1/2025</v>
      </c>
      <c r="J294" s="9">
        <f>DATE(YEAR(I294), MONTH(I294) +1, DAY(I294))</f>
        <v>45717</v>
      </c>
      <c r="K294" s="6" t="s">
        <v>18</v>
      </c>
      <c r="L294" s="8">
        <v>0</v>
      </c>
      <c r="M294" s="8">
        <v>3</v>
      </c>
      <c r="N294" s="8">
        <v>-3</v>
      </c>
      <c r="O294" t="s">
        <v>235</v>
      </c>
    </row>
    <row r="295" spans="1:15" ht="15.75" x14ac:dyDescent="0.25">
      <c r="A295" s="5" t="s">
        <v>13</v>
      </c>
      <c r="B295" s="6">
        <v>20411454</v>
      </c>
      <c r="C295" s="6" t="s">
        <v>219</v>
      </c>
      <c r="D295" s="6" t="s">
        <v>220</v>
      </c>
      <c r="E295" s="6" t="str">
        <f>CONCATENATE(D295,1)</f>
        <v>8PJ6531</v>
      </c>
      <c r="F295" s="7" t="s">
        <v>17</v>
      </c>
      <c r="G295" s="6">
        <v>-1</v>
      </c>
      <c r="H295" s="6">
        <v>20250301</v>
      </c>
      <c r="I295" s="6" t="str">
        <f>TEXT(DATE(LEFT(H295,4), MID(H295,5,2), RIGHT(H295,2)), "M/d/yyyy")</f>
        <v>3/1/2025</v>
      </c>
      <c r="J295" s="9">
        <f>DATE(YEAR(I295), MONTH(I295) +1, DAY(I295))</f>
        <v>45748</v>
      </c>
      <c r="K295" s="6" t="s">
        <v>18</v>
      </c>
      <c r="L295" s="8">
        <v>0</v>
      </c>
      <c r="M295" s="8">
        <v>3</v>
      </c>
      <c r="N295" s="8">
        <v>-3</v>
      </c>
      <c r="O295" t="s">
        <v>235</v>
      </c>
    </row>
    <row r="296" spans="1:15" ht="15.75" x14ac:dyDescent="0.25">
      <c r="A296" s="5" t="s">
        <v>13</v>
      </c>
      <c r="B296" s="6">
        <v>20411454</v>
      </c>
      <c r="C296" s="6" t="s">
        <v>219</v>
      </c>
      <c r="D296" s="6" t="s">
        <v>220</v>
      </c>
      <c r="E296" s="6" t="str">
        <f>CONCATENATE(D296,1)</f>
        <v>8PJ6531</v>
      </c>
      <c r="F296" s="7" t="s">
        <v>17</v>
      </c>
      <c r="G296" s="6">
        <v>1</v>
      </c>
      <c r="H296" s="6">
        <v>20250201</v>
      </c>
      <c r="I296" s="6" t="str">
        <f>TEXT(DATE(LEFT(H296,4), MID(H296,5,2), RIGHT(H296,2)), "M/d/yyyy")</f>
        <v>2/1/2025</v>
      </c>
      <c r="J296" s="9">
        <f>DATE(YEAR(I296), MONTH(I296) +1, DAY(I296))</f>
        <v>45717</v>
      </c>
      <c r="K296" s="6" t="s">
        <v>18</v>
      </c>
      <c r="L296" s="8">
        <v>865.32</v>
      </c>
      <c r="M296" s="8">
        <v>3</v>
      </c>
      <c r="N296" s="8">
        <v>3</v>
      </c>
      <c r="O296" t="s">
        <v>235</v>
      </c>
    </row>
    <row r="297" spans="1:15" ht="15.75" x14ac:dyDescent="0.25">
      <c r="A297" s="5" t="s">
        <v>13</v>
      </c>
      <c r="B297" s="6">
        <v>20411454</v>
      </c>
      <c r="C297" s="6" t="s">
        <v>219</v>
      </c>
      <c r="D297" s="6" t="s">
        <v>220</v>
      </c>
      <c r="E297" s="6" t="str">
        <f>CONCATENATE(D297,1)</f>
        <v>8PJ6531</v>
      </c>
      <c r="F297" s="7" t="s">
        <v>17</v>
      </c>
      <c r="G297" s="6">
        <v>1</v>
      </c>
      <c r="H297" s="6">
        <v>20250301</v>
      </c>
      <c r="I297" s="6" t="str">
        <f>TEXT(DATE(LEFT(H297,4), MID(H297,5,2), RIGHT(H297,2)), "M/d/yyyy")</f>
        <v>3/1/2025</v>
      </c>
      <c r="J297" s="9">
        <f>DATE(YEAR(I297), MONTH(I297) +1, DAY(I297))</f>
        <v>45748</v>
      </c>
      <c r="K297" s="6" t="s">
        <v>18</v>
      </c>
      <c r="L297" s="8">
        <v>865.32</v>
      </c>
      <c r="M297" s="8">
        <v>3</v>
      </c>
      <c r="N297" s="8">
        <v>3</v>
      </c>
      <c r="O297" t="s">
        <v>235</v>
      </c>
    </row>
    <row r="298" spans="1:15" ht="15.75" x14ac:dyDescent="0.25">
      <c r="A298" s="5" t="s">
        <v>13</v>
      </c>
      <c r="B298" s="6">
        <v>20411454</v>
      </c>
      <c r="C298" s="6" t="s">
        <v>217</v>
      </c>
      <c r="D298" s="6" t="s">
        <v>218</v>
      </c>
      <c r="E298" s="6" t="str">
        <f>CONCATENATE(D298,1)</f>
        <v>46DX331</v>
      </c>
      <c r="F298" s="7" t="s">
        <v>17</v>
      </c>
      <c r="G298" s="6">
        <v>-1</v>
      </c>
      <c r="H298" s="6">
        <v>20250201</v>
      </c>
      <c r="I298" s="6" t="str">
        <f>TEXT(DATE(LEFT(H298,4), MID(H298,5,2), RIGHT(H298,2)), "M/d/yyyy")</f>
        <v>2/1/2025</v>
      </c>
      <c r="J298" s="9">
        <f>DATE(YEAR(I298), MONTH(I298) +1, DAY(I298))</f>
        <v>45717</v>
      </c>
      <c r="K298" s="6" t="s">
        <v>18</v>
      </c>
      <c r="L298" s="8">
        <v>0</v>
      </c>
      <c r="M298" s="8">
        <v>3</v>
      </c>
      <c r="N298" s="8">
        <v>-3</v>
      </c>
      <c r="O298" t="s">
        <v>235</v>
      </c>
    </row>
    <row r="299" spans="1:15" ht="15.75" x14ac:dyDescent="0.25">
      <c r="A299" s="5" t="s">
        <v>13</v>
      </c>
      <c r="B299" s="6">
        <v>20411454</v>
      </c>
      <c r="C299" s="6" t="s">
        <v>217</v>
      </c>
      <c r="D299" s="6" t="s">
        <v>218</v>
      </c>
      <c r="E299" s="6" t="str">
        <f>CONCATENATE(D299,1)</f>
        <v>46DX331</v>
      </c>
      <c r="F299" s="7" t="s">
        <v>17</v>
      </c>
      <c r="G299" s="6">
        <v>-1</v>
      </c>
      <c r="H299" s="6">
        <v>20250301</v>
      </c>
      <c r="I299" s="6" t="str">
        <f>TEXT(DATE(LEFT(H299,4), MID(H299,5,2), RIGHT(H299,2)), "M/d/yyyy")</f>
        <v>3/1/2025</v>
      </c>
      <c r="J299" s="9">
        <f>DATE(YEAR(I299), MONTH(I299) +1, DAY(I299))</f>
        <v>45748</v>
      </c>
      <c r="K299" s="6" t="s">
        <v>18</v>
      </c>
      <c r="L299" s="8">
        <v>0</v>
      </c>
      <c r="M299" s="8">
        <v>3</v>
      </c>
      <c r="N299" s="8">
        <v>-3</v>
      </c>
      <c r="O299" t="s">
        <v>235</v>
      </c>
    </row>
    <row r="300" spans="1:15" ht="15.75" x14ac:dyDescent="0.25">
      <c r="A300" s="5" t="s">
        <v>13</v>
      </c>
      <c r="B300" s="6">
        <v>20411454</v>
      </c>
      <c r="C300" s="6" t="s">
        <v>217</v>
      </c>
      <c r="D300" s="6" t="s">
        <v>218</v>
      </c>
      <c r="E300" s="6" t="str">
        <f>CONCATENATE(D300,1)</f>
        <v>46DX331</v>
      </c>
      <c r="F300" s="7" t="s">
        <v>17</v>
      </c>
      <c r="G300" s="6">
        <v>1</v>
      </c>
      <c r="H300" s="6">
        <v>20250201</v>
      </c>
      <c r="I300" s="6" t="str">
        <f>TEXT(DATE(LEFT(H300,4), MID(H300,5,2), RIGHT(H300,2)), "M/d/yyyy")</f>
        <v>2/1/2025</v>
      </c>
      <c r="J300" s="9">
        <f>DATE(YEAR(I300), MONTH(I300) +1, DAY(I300))</f>
        <v>45717</v>
      </c>
      <c r="K300" s="6" t="s">
        <v>18</v>
      </c>
      <c r="L300" s="8">
        <v>956.51</v>
      </c>
      <c r="M300" s="8">
        <v>3</v>
      </c>
      <c r="N300" s="8">
        <v>3</v>
      </c>
      <c r="O300" t="s">
        <v>235</v>
      </c>
    </row>
    <row r="301" spans="1:15" ht="15.75" x14ac:dyDescent="0.25">
      <c r="A301" s="5" t="s">
        <v>13</v>
      </c>
      <c r="B301" s="6">
        <v>20411454</v>
      </c>
      <c r="C301" s="6" t="s">
        <v>217</v>
      </c>
      <c r="D301" s="6" t="s">
        <v>218</v>
      </c>
      <c r="E301" s="6" t="str">
        <f>CONCATENATE(D301,1)</f>
        <v>46DX331</v>
      </c>
      <c r="F301" s="7" t="s">
        <v>17</v>
      </c>
      <c r="G301" s="6">
        <v>1</v>
      </c>
      <c r="H301" s="6">
        <v>20250301</v>
      </c>
      <c r="I301" s="6" t="str">
        <f>TEXT(DATE(LEFT(H301,4), MID(H301,5,2), RIGHT(H301,2)), "M/d/yyyy")</f>
        <v>3/1/2025</v>
      </c>
      <c r="J301" s="9">
        <f>DATE(YEAR(I301), MONTH(I301) +1, DAY(I301))</f>
        <v>45748</v>
      </c>
      <c r="K301" s="6" t="s">
        <v>18</v>
      </c>
      <c r="L301" s="8">
        <v>956.51</v>
      </c>
      <c r="M301" s="8">
        <v>3</v>
      </c>
      <c r="N301" s="8">
        <v>3</v>
      </c>
      <c r="O301" t="s">
        <v>235</v>
      </c>
    </row>
    <row r="302" spans="1:15" ht="15.75" x14ac:dyDescent="0.25">
      <c r="A302" s="5" t="s">
        <v>13</v>
      </c>
      <c r="B302" s="6">
        <v>20411454</v>
      </c>
      <c r="C302" s="6" t="s">
        <v>111</v>
      </c>
      <c r="D302" s="6" t="s">
        <v>112</v>
      </c>
      <c r="E302" s="6" t="str">
        <f>CONCATENATE(D302,1)</f>
        <v>47R5L91</v>
      </c>
      <c r="F302" s="7" t="s">
        <v>86</v>
      </c>
      <c r="G302" s="6">
        <v>2</v>
      </c>
      <c r="H302" s="6">
        <v>20250201</v>
      </c>
      <c r="I302" s="6" t="str">
        <f>TEXT(DATE(LEFT(H302,4), MID(H302,5,2), RIGHT(H302,2)), "M/d/yyyy")</f>
        <v>2/1/2025</v>
      </c>
      <c r="J302" s="9">
        <f>DATE(YEAR(I302), MONTH(I302) +1, DAY(I302))</f>
        <v>45717</v>
      </c>
      <c r="K302" s="6" t="s">
        <v>18</v>
      </c>
      <c r="L302" s="8">
        <v>4.1500000000000004</v>
      </c>
      <c r="M302" s="8">
        <v>3</v>
      </c>
      <c r="N302" s="8">
        <v>6</v>
      </c>
      <c r="O302" t="s">
        <v>235</v>
      </c>
    </row>
    <row r="303" spans="1:15" ht="15.75" x14ac:dyDescent="0.25">
      <c r="A303" s="5" t="s">
        <v>13</v>
      </c>
      <c r="B303" s="6">
        <v>20411454</v>
      </c>
      <c r="C303" s="6" t="s">
        <v>111</v>
      </c>
      <c r="D303" s="6" t="s">
        <v>112</v>
      </c>
      <c r="E303" s="6" t="str">
        <f>CONCATENATE(D303,1)</f>
        <v>47R5L91</v>
      </c>
      <c r="F303" s="7" t="s">
        <v>86</v>
      </c>
      <c r="G303" s="6">
        <v>2</v>
      </c>
      <c r="H303" s="6">
        <v>20250301</v>
      </c>
      <c r="I303" s="6" t="str">
        <f>TEXT(DATE(LEFT(H303,4), MID(H303,5,2), RIGHT(H303,2)), "M/d/yyyy")</f>
        <v>3/1/2025</v>
      </c>
      <c r="J303" s="9">
        <f>DATE(YEAR(I303), MONTH(I303) +1, DAY(I303))</f>
        <v>45748</v>
      </c>
      <c r="K303" s="6" t="s">
        <v>18</v>
      </c>
      <c r="L303" s="8">
        <v>4.1500000000000004</v>
      </c>
      <c r="M303" s="8">
        <v>3</v>
      </c>
      <c r="N303" s="8">
        <v>6</v>
      </c>
      <c r="O303" t="s">
        <v>235</v>
      </c>
    </row>
    <row r="304" spans="1:15" ht="15.75" x14ac:dyDescent="0.25">
      <c r="A304" s="5" t="s">
        <v>13</v>
      </c>
      <c r="B304" s="6">
        <v>20411454</v>
      </c>
      <c r="C304" s="6" t="s">
        <v>37</v>
      </c>
      <c r="D304" s="6" t="s">
        <v>38</v>
      </c>
      <c r="E304" s="6" t="str">
        <f>CONCATENATE(D304,1)</f>
        <v>70P91M1</v>
      </c>
      <c r="F304" s="7" t="s">
        <v>33</v>
      </c>
      <c r="G304" s="6">
        <v>-1</v>
      </c>
      <c r="H304" s="6">
        <v>20250201</v>
      </c>
      <c r="I304" s="6" t="str">
        <f>TEXT(DATE(LEFT(H304,4), MID(H304,5,2), RIGHT(H304,2)), "M/d/yyyy")</f>
        <v>2/1/2025</v>
      </c>
      <c r="J304" s="9">
        <f>DATE(YEAR(I304), MONTH(I304) +1, DAY(I304))</f>
        <v>45717</v>
      </c>
      <c r="K304" s="6" t="s">
        <v>12</v>
      </c>
      <c r="L304" s="8">
        <v>-462.11</v>
      </c>
      <c r="M304" s="8">
        <v>3</v>
      </c>
      <c r="N304" s="8">
        <v>-3</v>
      </c>
      <c r="O304" t="s">
        <v>235</v>
      </c>
    </row>
    <row r="305" spans="1:15" ht="15.75" x14ac:dyDescent="0.25">
      <c r="A305" s="5" t="s">
        <v>13</v>
      </c>
      <c r="B305" s="6">
        <v>20411454</v>
      </c>
      <c r="C305" s="6" t="s">
        <v>37</v>
      </c>
      <c r="D305" s="6" t="s">
        <v>38</v>
      </c>
      <c r="E305" s="6" t="str">
        <f>CONCATENATE(D305,1)</f>
        <v>70P91M1</v>
      </c>
      <c r="F305" s="7" t="s">
        <v>33</v>
      </c>
      <c r="G305" s="6">
        <v>-1</v>
      </c>
      <c r="H305" s="6">
        <v>20250301</v>
      </c>
      <c r="I305" s="6" t="str">
        <f>TEXT(DATE(LEFT(H305,4), MID(H305,5,2), RIGHT(H305,2)), "M/d/yyyy")</f>
        <v>3/1/2025</v>
      </c>
      <c r="J305" s="9">
        <f>DATE(YEAR(I305), MONTH(I305) +1, DAY(I305))</f>
        <v>45748</v>
      </c>
      <c r="K305" s="6" t="s">
        <v>12</v>
      </c>
      <c r="L305" s="8">
        <v>-462.11</v>
      </c>
      <c r="M305" s="8">
        <v>3</v>
      </c>
      <c r="N305" s="8">
        <v>-3</v>
      </c>
      <c r="O305" t="s">
        <v>235</v>
      </c>
    </row>
    <row r="306" spans="1:15" ht="15.75" x14ac:dyDescent="0.25">
      <c r="A306" s="5" t="s">
        <v>13</v>
      </c>
      <c r="B306" s="6">
        <v>20411454</v>
      </c>
      <c r="C306" s="6" t="s">
        <v>37</v>
      </c>
      <c r="D306" s="6" t="s">
        <v>38</v>
      </c>
      <c r="E306" s="6" t="str">
        <f>CONCATENATE(D306,1)</f>
        <v>70P91M1</v>
      </c>
      <c r="F306" s="7" t="s">
        <v>33</v>
      </c>
      <c r="G306" s="6">
        <v>1</v>
      </c>
      <c r="H306" s="6">
        <v>20250201</v>
      </c>
      <c r="I306" s="6" t="str">
        <f>TEXT(DATE(LEFT(H306,4), MID(H306,5,2), RIGHT(H306,2)), "M/d/yyyy")</f>
        <v>2/1/2025</v>
      </c>
      <c r="J306" s="9">
        <f>DATE(YEAR(I306), MONTH(I306) +1, DAY(I306))</f>
        <v>45717</v>
      </c>
      <c r="K306" s="6" t="s">
        <v>12</v>
      </c>
      <c r="L306" s="8">
        <v>462.11</v>
      </c>
      <c r="M306" s="8">
        <v>3</v>
      </c>
      <c r="N306" s="8">
        <v>3</v>
      </c>
      <c r="O306" t="s">
        <v>235</v>
      </c>
    </row>
    <row r="307" spans="1:15" ht="15.75" x14ac:dyDescent="0.25">
      <c r="A307" s="5" t="s">
        <v>13</v>
      </c>
      <c r="B307" s="6">
        <v>20411454</v>
      </c>
      <c r="C307" s="6" t="s">
        <v>37</v>
      </c>
      <c r="D307" s="6" t="s">
        <v>38</v>
      </c>
      <c r="E307" s="6" t="str">
        <f>CONCATENATE(D307,1)</f>
        <v>70P91M1</v>
      </c>
      <c r="F307" s="7" t="s">
        <v>33</v>
      </c>
      <c r="G307" s="6">
        <v>1</v>
      </c>
      <c r="H307" s="6">
        <v>20250301</v>
      </c>
      <c r="I307" s="6" t="str">
        <f>TEXT(DATE(LEFT(H307,4), MID(H307,5,2), RIGHT(H307,2)), "M/d/yyyy")</f>
        <v>3/1/2025</v>
      </c>
      <c r="J307" s="9">
        <f>DATE(YEAR(I307), MONTH(I307) +1, DAY(I307))</f>
        <v>45748</v>
      </c>
      <c r="K307" s="6" t="s">
        <v>12</v>
      </c>
      <c r="L307" s="8">
        <v>462.11</v>
      </c>
      <c r="M307" s="8">
        <v>3</v>
      </c>
      <c r="N307" s="8">
        <v>3</v>
      </c>
      <c r="O307" t="s">
        <v>235</v>
      </c>
    </row>
    <row r="308" spans="1:15" ht="15.75" x14ac:dyDescent="0.25">
      <c r="A308" s="5" t="s">
        <v>13</v>
      </c>
      <c r="B308" s="6">
        <v>20411454</v>
      </c>
      <c r="C308" s="6" t="s">
        <v>37</v>
      </c>
      <c r="D308" s="6" t="s">
        <v>38</v>
      </c>
      <c r="E308" s="6" t="str">
        <f>CONCATENATE(D308,1)</f>
        <v>70P91M1</v>
      </c>
      <c r="F308" s="7" t="s">
        <v>33</v>
      </c>
      <c r="G308" s="6">
        <v>1</v>
      </c>
      <c r="H308" s="6">
        <v>20250401</v>
      </c>
      <c r="I308" s="6" t="str">
        <f>TEXT(DATE(LEFT(H308,4), MID(H308,5,2), RIGHT(H308,2)), "M/d/yyyy")</f>
        <v>4/1/2025</v>
      </c>
      <c r="J308" s="9">
        <f>DATE(YEAR(I308), MONTH(I308) +1, DAY(I308))</f>
        <v>45778</v>
      </c>
      <c r="K308" s="6" t="s">
        <v>12</v>
      </c>
      <c r="L308" s="8">
        <v>462.11</v>
      </c>
      <c r="M308" s="8">
        <v>3</v>
      </c>
      <c r="N308" s="8">
        <v>3</v>
      </c>
      <c r="O308" t="s">
        <v>235</v>
      </c>
    </row>
    <row r="309" spans="1:15" ht="15.75" x14ac:dyDescent="0.25">
      <c r="A309" s="5" t="s">
        <v>13</v>
      </c>
      <c r="B309" s="6">
        <v>20411454</v>
      </c>
      <c r="C309" s="6" t="s">
        <v>177</v>
      </c>
      <c r="D309" s="6" t="s">
        <v>178</v>
      </c>
      <c r="E309" s="6" t="str">
        <f>CONCATENATE(D309,1)</f>
        <v>74Q8R81</v>
      </c>
      <c r="F309" s="7" t="s">
        <v>86</v>
      </c>
      <c r="G309" s="6">
        <v>-1</v>
      </c>
      <c r="H309" s="6">
        <v>20250201</v>
      </c>
      <c r="I309" s="6" t="str">
        <f>TEXT(DATE(LEFT(H309,4), MID(H309,5,2), RIGHT(H309,2)), "M/d/yyyy")</f>
        <v>2/1/2025</v>
      </c>
      <c r="J309" s="9">
        <f>DATE(YEAR(I309), MONTH(I309) +1, DAY(I309))</f>
        <v>45717</v>
      </c>
      <c r="K309" s="6" t="s">
        <v>18</v>
      </c>
      <c r="L309" s="8">
        <v>-487.98</v>
      </c>
      <c r="M309" s="8">
        <v>3</v>
      </c>
      <c r="N309" s="8">
        <v>-3</v>
      </c>
      <c r="O309" t="s">
        <v>235</v>
      </c>
    </row>
    <row r="310" spans="1:15" ht="15.75" x14ac:dyDescent="0.25">
      <c r="A310" s="5" t="s">
        <v>13</v>
      </c>
      <c r="B310" s="6">
        <v>20411454</v>
      </c>
      <c r="C310" s="6" t="s">
        <v>177</v>
      </c>
      <c r="D310" s="6" t="s">
        <v>178</v>
      </c>
      <c r="E310" s="6" t="str">
        <f>CONCATENATE(D310,1)</f>
        <v>74Q8R81</v>
      </c>
      <c r="F310" s="7" t="s">
        <v>86</v>
      </c>
      <c r="G310" s="6">
        <v>1</v>
      </c>
      <c r="H310" s="6">
        <v>20250201</v>
      </c>
      <c r="I310" s="6" t="str">
        <f>TEXT(DATE(LEFT(H310,4), MID(H310,5,2), RIGHT(H310,2)), "M/d/yyyy")</f>
        <v>2/1/2025</v>
      </c>
      <c r="J310" s="9">
        <f>DATE(YEAR(I310), MONTH(I310) +1, DAY(I310))</f>
        <v>45717</v>
      </c>
      <c r="K310" s="6" t="s">
        <v>18</v>
      </c>
      <c r="L310" s="8">
        <v>487.98</v>
      </c>
      <c r="M310" s="8">
        <v>3</v>
      </c>
      <c r="N310" s="8">
        <v>3</v>
      </c>
      <c r="O310" t="s">
        <v>235</v>
      </c>
    </row>
    <row r="311" spans="1:15" ht="15.75" x14ac:dyDescent="0.25">
      <c r="A311" s="5" t="s">
        <v>13</v>
      </c>
      <c r="B311" s="6">
        <v>20411454</v>
      </c>
      <c r="C311" s="6" t="s">
        <v>177</v>
      </c>
      <c r="D311" s="6" t="s">
        <v>178</v>
      </c>
      <c r="E311" s="6" t="str">
        <f>CONCATENATE(D311,1)</f>
        <v>74Q8R81</v>
      </c>
      <c r="F311" s="7" t="s">
        <v>86</v>
      </c>
      <c r="G311" s="6">
        <v>1</v>
      </c>
      <c r="H311" s="6">
        <v>20250301</v>
      </c>
      <c r="I311" s="6" t="str">
        <f>TEXT(DATE(LEFT(H311,4), MID(H311,5,2), RIGHT(H311,2)), "M/d/yyyy")</f>
        <v>3/1/2025</v>
      </c>
      <c r="J311" s="9">
        <f>DATE(YEAR(I311), MONTH(I311) +1, DAY(I311))</f>
        <v>45748</v>
      </c>
      <c r="K311" s="6" t="s">
        <v>18</v>
      </c>
      <c r="L311" s="8">
        <v>487.98</v>
      </c>
      <c r="M311" s="8">
        <v>3</v>
      </c>
      <c r="N311" s="8">
        <v>3</v>
      </c>
      <c r="O311" t="s">
        <v>235</v>
      </c>
    </row>
    <row r="312" spans="1:15" ht="15.75" x14ac:dyDescent="0.25">
      <c r="A312" s="5" t="s">
        <v>13</v>
      </c>
      <c r="B312" s="6">
        <v>20411454</v>
      </c>
      <c r="C312" s="6" t="s">
        <v>213</v>
      </c>
      <c r="D312" s="6" t="s">
        <v>214</v>
      </c>
      <c r="E312" s="6" t="str">
        <f>CONCATENATE(D312,1)</f>
        <v>02LM351</v>
      </c>
      <c r="F312" s="7" t="s">
        <v>22</v>
      </c>
      <c r="G312" s="6">
        <v>-2</v>
      </c>
      <c r="H312" s="6">
        <v>20250201</v>
      </c>
      <c r="I312" s="6" t="str">
        <f>TEXT(DATE(LEFT(H312,4), MID(H312,5,2), RIGHT(H312,2)), "M/d/yyyy")</f>
        <v>2/1/2025</v>
      </c>
      <c r="J312" s="9">
        <f>DATE(YEAR(I312), MONTH(I312) +1, DAY(I312))</f>
        <v>45717</v>
      </c>
      <c r="K312" s="6" t="s">
        <v>18</v>
      </c>
      <c r="L312" s="8">
        <v>-2269.06</v>
      </c>
      <c r="M312" s="8">
        <v>3</v>
      </c>
      <c r="N312" s="8">
        <v>-6</v>
      </c>
      <c r="O312" t="s">
        <v>235</v>
      </c>
    </row>
    <row r="313" spans="1:15" ht="15.75" x14ac:dyDescent="0.25">
      <c r="A313" s="5" t="s">
        <v>13</v>
      </c>
      <c r="B313" s="6">
        <v>20411454</v>
      </c>
      <c r="C313" s="6" t="s">
        <v>213</v>
      </c>
      <c r="D313" s="6" t="s">
        <v>214</v>
      </c>
      <c r="E313" s="6" t="str">
        <f>CONCATENATE(D313,1)</f>
        <v>02LM351</v>
      </c>
      <c r="F313" s="7" t="s">
        <v>22</v>
      </c>
      <c r="G313" s="6">
        <v>-2</v>
      </c>
      <c r="H313" s="6">
        <v>20250301</v>
      </c>
      <c r="I313" s="6" t="str">
        <f>TEXT(DATE(LEFT(H313,4), MID(H313,5,2), RIGHT(H313,2)), "M/d/yyyy")</f>
        <v>3/1/2025</v>
      </c>
      <c r="J313" s="9">
        <f>DATE(YEAR(I313), MONTH(I313) +1, DAY(I313))</f>
        <v>45748</v>
      </c>
      <c r="K313" s="6" t="s">
        <v>18</v>
      </c>
      <c r="L313" s="8">
        <v>-2269.06</v>
      </c>
      <c r="M313" s="8">
        <v>3</v>
      </c>
      <c r="N313" s="8">
        <v>-6</v>
      </c>
      <c r="O313" t="s">
        <v>235</v>
      </c>
    </row>
    <row r="314" spans="1:15" ht="15.75" x14ac:dyDescent="0.25">
      <c r="A314" s="5" t="s">
        <v>13</v>
      </c>
      <c r="B314" s="6">
        <v>20411454</v>
      </c>
      <c r="C314" s="6" t="s">
        <v>213</v>
      </c>
      <c r="D314" s="6" t="s">
        <v>214</v>
      </c>
      <c r="E314" s="6" t="str">
        <f>CONCATENATE(D314,1)</f>
        <v>02LM351</v>
      </c>
      <c r="F314" s="7" t="s">
        <v>22</v>
      </c>
      <c r="G314" s="6">
        <v>2</v>
      </c>
      <c r="H314" s="6">
        <v>20250201</v>
      </c>
      <c r="I314" s="6" t="str">
        <f>TEXT(DATE(LEFT(H314,4), MID(H314,5,2), RIGHT(H314,2)), "M/d/yyyy")</f>
        <v>2/1/2025</v>
      </c>
      <c r="J314" s="9">
        <f>DATE(YEAR(I314), MONTH(I314) +1, DAY(I314))</f>
        <v>45717</v>
      </c>
      <c r="K314" s="6" t="s">
        <v>18</v>
      </c>
      <c r="L314" s="8">
        <v>2269.06</v>
      </c>
      <c r="M314" s="8">
        <v>3</v>
      </c>
      <c r="N314" s="8">
        <v>6</v>
      </c>
      <c r="O314" t="s">
        <v>235</v>
      </c>
    </row>
    <row r="315" spans="1:15" ht="15.75" x14ac:dyDescent="0.25">
      <c r="A315" s="5" t="s">
        <v>13</v>
      </c>
      <c r="B315" s="6">
        <v>20411454</v>
      </c>
      <c r="C315" s="6" t="s">
        <v>213</v>
      </c>
      <c r="D315" s="6" t="s">
        <v>214</v>
      </c>
      <c r="E315" s="6" t="str">
        <f>CONCATENATE(D315,1)</f>
        <v>02LM351</v>
      </c>
      <c r="F315" s="7" t="s">
        <v>22</v>
      </c>
      <c r="G315" s="6">
        <v>2</v>
      </c>
      <c r="H315" s="6">
        <v>20250301</v>
      </c>
      <c r="I315" s="6" t="str">
        <f>TEXT(DATE(LEFT(H315,4), MID(H315,5,2), RIGHT(H315,2)), "M/d/yyyy")</f>
        <v>3/1/2025</v>
      </c>
      <c r="J315" s="9">
        <f>DATE(YEAR(I315), MONTH(I315) +1, DAY(I315))</f>
        <v>45748</v>
      </c>
      <c r="K315" s="6" t="s">
        <v>18</v>
      </c>
      <c r="L315" s="8">
        <v>2269.06</v>
      </c>
      <c r="M315" s="8">
        <v>3</v>
      </c>
      <c r="N315" s="8">
        <v>6</v>
      </c>
      <c r="O315" t="s">
        <v>235</v>
      </c>
    </row>
    <row r="316" spans="1:15" ht="15.75" x14ac:dyDescent="0.25">
      <c r="A316" s="5" t="s">
        <v>13</v>
      </c>
      <c r="B316" s="6">
        <v>20411454</v>
      </c>
      <c r="C316" s="6" t="s">
        <v>213</v>
      </c>
      <c r="D316" s="6" t="s">
        <v>214</v>
      </c>
      <c r="E316" s="6" t="str">
        <f>CONCATENATE(D316,1)</f>
        <v>02LM351</v>
      </c>
      <c r="F316" s="7" t="s">
        <v>22</v>
      </c>
      <c r="G316" s="6">
        <v>2</v>
      </c>
      <c r="H316" s="6">
        <v>20250401</v>
      </c>
      <c r="I316" s="6" t="str">
        <f>TEXT(DATE(LEFT(H316,4), MID(H316,5,2), RIGHT(H316,2)), "M/d/yyyy")</f>
        <v>4/1/2025</v>
      </c>
      <c r="J316" s="9">
        <f>DATE(YEAR(I316), MONTH(I316) +1, DAY(I316))</f>
        <v>45778</v>
      </c>
      <c r="K316" s="6" t="s">
        <v>18</v>
      </c>
      <c r="L316" s="8">
        <v>2269.06</v>
      </c>
      <c r="M316" s="8">
        <v>3</v>
      </c>
      <c r="N316" s="8">
        <v>6</v>
      </c>
      <c r="O316" t="s">
        <v>235</v>
      </c>
    </row>
    <row r="317" spans="1:15" ht="15.75" x14ac:dyDescent="0.25">
      <c r="A317" s="5" t="s">
        <v>13</v>
      </c>
      <c r="B317" s="6">
        <v>20411454</v>
      </c>
      <c r="C317" s="6" t="s">
        <v>70</v>
      </c>
      <c r="D317" s="6" t="s">
        <v>71</v>
      </c>
      <c r="E317" s="6" t="str">
        <f>CONCATENATE(D317,1)</f>
        <v>75T08D1</v>
      </c>
      <c r="F317" s="7" t="s">
        <v>33</v>
      </c>
      <c r="G317" s="6">
        <v>1</v>
      </c>
      <c r="H317" s="6">
        <v>20250401</v>
      </c>
      <c r="I317" s="6" t="str">
        <f>TEXT(DATE(LEFT(H317,4), MID(H317,5,2), RIGHT(H317,2)), "M/d/yyyy")</f>
        <v>4/1/2025</v>
      </c>
      <c r="J317" s="9">
        <f>DATE(YEAR(I317), MONTH(I317) +1, DAY(I317))</f>
        <v>45778</v>
      </c>
      <c r="K317" s="6" t="s">
        <v>12</v>
      </c>
      <c r="L317" s="8">
        <v>71.42</v>
      </c>
      <c r="M317" s="8">
        <v>3</v>
      </c>
      <c r="N317" s="8">
        <v>3</v>
      </c>
      <c r="O317" t="s">
        <v>235</v>
      </c>
    </row>
    <row r="318" spans="1:15" ht="15.75" x14ac:dyDescent="0.25">
      <c r="A318" s="5" t="s">
        <v>13</v>
      </c>
      <c r="B318" s="6">
        <v>20411454</v>
      </c>
      <c r="C318" s="6" t="s">
        <v>93</v>
      </c>
      <c r="D318" s="6" t="s">
        <v>94</v>
      </c>
      <c r="E318" s="6" t="str">
        <f>CONCATENATE(D318,1)</f>
        <v>30R16R1</v>
      </c>
      <c r="F318" s="7" t="s">
        <v>86</v>
      </c>
      <c r="G318" s="6">
        <v>-1</v>
      </c>
      <c r="H318" s="6">
        <v>20250201</v>
      </c>
      <c r="I318" s="6" t="str">
        <f>TEXT(DATE(LEFT(H318,4), MID(H318,5,2), RIGHT(H318,2)), "M/d/yyyy")</f>
        <v>2/1/2025</v>
      </c>
      <c r="J318" s="9">
        <f>DATE(YEAR(I318), MONTH(I318) +1, DAY(I318))</f>
        <v>45717</v>
      </c>
      <c r="K318" s="6" t="s">
        <v>18</v>
      </c>
      <c r="L318" s="8">
        <v>-424.37</v>
      </c>
      <c r="M318" s="8">
        <v>3</v>
      </c>
      <c r="N318" s="8">
        <v>-3</v>
      </c>
      <c r="O318" t="s">
        <v>235</v>
      </c>
    </row>
    <row r="319" spans="1:15" ht="15.75" x14ac:dyDescent="0.25">
      <c r="A319" s="5" t="s">
        <v>13</v>
      </c>
      <c r="B319" s="6">
        <v>20411454</v>
      </c>
      <c r="C319" s="6" t="s">
        <v>93</v>
      </c>
      <c r="D319" s="6" t="s">
        <v>94</v>
      </c>
      <c r="E319" s="6" t="str">
        <f>CONCATENATE(D319,1)</f>
        <v>30R16R1</v>
      </c>
      <c r="F319" s="7" t="s">
        <v>86</v>
      </c>
      <c r="G319" s="6">
        <v>-1</v>
      </c>
      <c r="H319" s="6">
        <v>20250301</v>
      </c>
      <c r="I319" s="6" t="str">
        <f>TEXT(DATE(LEFT(H319,4), MID(H319,5,2), RIGHT(H319,2)), "M/d/yyyy")</f>
        <v>3/1/2025</v>
      </c>
      <c r="J319" s="9">
        <f>DATE(YEAR(I319), MONTH(I319) +1, DAY(I319))</f>
        <v>45748</v>
      </c>
      <c r="K319" s="6" t="s">
        <v>18</v>
      </c>
      <c r="L319" s="8">
        <v>-37.78</v>
      </c>
      <c r="M319" s="8">
        <v>3</v>
      </c>
      <c r="N319" s="8">
        <v>-3</v>
      </c>
      <c r="O319" t="s">
        <v>235</v>
      </c>
    </row>
    <row r="320" spans="1:15" ht="15.75" x14ac:dyDescent="0.25">
      <c r="A320" s="5" t="s">
        <v>13</v>
      </c>
      <c r="B320" s="6">
        <v>20411454</v>
      </c>
      <c r="C320" s="6" t="s">
        <v>93</v>
      </c>
      <c r="D320" s="6" t="s">
        <v>94</v>
      </c>
      <c r="E320" s="6" t="str">
        <f>CONCATENATE(D320,1)</f>
        <v>30R16R1</v>
      </c>
      <c r="F320" s="7" t="s">
        <v>86</v>
      </c>
      <c r="G320" s="6">
        <v>1</v>
      </c>
      <c r="H320" s="6">
        <v>20250201</v>
      </c>
      <c r="I320" s="6" t="str">
        <f>TEXT(DATE(LEFT(H320,4), MID(H320,5,2), RIGHT(H320,2)), "M/d/yyyy")</f>
        <v>2/1/2025</v>
      </c>
      <c r="J320" s="9">
        <f>DATE(YEAR(I320), MONTH(I320) +1, DAY(I320))</f>
        <v>45717</v>
      </c>
      <c r="K320" s="6" t="s">
        <v>18</v>
      </c>
      <c r="L320" s="8">
        <v>37.78</v>
      </c>
      <c r="M320" s="8">
        <v>3</v>
      </c>
      <c r="N320" s="8">
        <v>3</v>
      </c>
      <c r="O320" t="s">
        <v>235</v>
      </c>
    </row>
    <row r="321" spans="1:15" ht="15.75" x14ac:dyDescent="0.25">
      <c r="A321" s="5" t="s">
        <v>13</v>
      </c>
      <c r="B321" s="6">
        <v>20411454</v>
      </c>
      <c r="C321" s="6" t="s">
        <v>93</v>
      </c>
      <c r="D321" s="6" t="s">
        <v>94</v>
      </c>
      <c r="E321" s="6" t="str">
        <f>CONCATENATE(D321,1)</f>
        <v>30R16R1</v>
      </c>
      <c r="F321" s="7" t="s">
        <v>86</v>
      </c>
      <c r="G321" s="6">
        <v>1</v>
      </c>
      <c r="H321" s="6">
        <v>20250301</v>
      </c>
      <c r="I321" s="6" t="str">
        <f>TEXT(DATE(LEFT(H321,4), MID(H321,5,2), RIGHT(H321,2)), "M/d/yyyy")</f>
        <v>3/1/2025</v>
      </c>
      <c r="J321" s="9">
        <f>DATE(YEAR(I321), MONTH(I321) +1, DAY(I321))</f>
        <v>45748</v>
      </c>
      <c r="K321" s="6" t="s">
        <v>18</v>
      </c>
      <c r="L321" s="8">
        <v>37.78</v>
      </c>
      <c r="M321" s="8">
        <v>3</v>
      </c>
      <c r="N321" s="8">
        <v>3</v>
      </c>
      <c r="O321" t="s">
        <v>235</v>
      </c>
    </row>
    <row r="322" spans="1:15" ht="15.75" x14ac:dyDescent="0.25">
      <c r="A322" s="5" t="s">
        <v>13</v>
      </c>
      <c r="B322" s="6">
        <v>20411454</v>
      </c>
      <c r="C322" s="6" t="s">
        <v>93</v>
      </c>
      <c r="D322" s="6" t="s">
        <v>94</v>
      </c>
      <c r="E322" s="6" t="str">
        <f>CONCATENATE(D322,1)</f>
        <v>30R16R1</v>
      </c>
      <c r="F322" s="7" t="s">
        <v>86</v>
      </c>
      <c r="G322" s="6">
        <v>1</v>
      </c>
      <c r="H322" s="6">
        <v>20250401</v>
      </c>
      <c r="I322" s="6" t="str">
        <f>TEXT(DATE(LEFT(H322,4), MID(H322,5,2), RIGHT(H322,2)), "M/d/yyyy")</f>
        <v>4/1/2025</v>
      </c>
      <c r="J322" s="9">
        <f>DATE(YEAR(I322), MONTH(I322) +1, DAY(I322))</f>
        <v>45778</v>
      </c>
      <c r="K322" s="6" t="s">
        <v>18</v>
      </c>
      <c r="L322" s="8">
        <v>37.78</v>
      </c>
      <c r="M322" s="8">
        <v>3</v>
      </c>
      <c r="N322" s="8">
        <v>3</v>
      </c>
      <c r="O322" t="s">
        <v>235</v>
      </c>
    </row>
    <row r="323" spans="1:15" ht="15.75" x14ac:dyDescent="0.25">
      <c r="A323" s="5" t="s">
        <v>13</v>
      </c>
      <c r="B323" s="6">
        <v>20411454</v>
      </c>
      <c r="C323" s="6" t="s">
        <v>35</v>
      </c>
      <c r="D323" s="6" t="s">
        <v>36</v>
      </c>
      <c r="E323" s="6" t="str">
        <f>CONCATENATE(D323,1)</f>
        <v>74N3X51</v>
      </c>
      <c r="F323" s="7" t="s">
        <v>33</v>
      </c>
      <c r="G323" s="6">
        <v>-3</v>
      </c>
      <c r="H323" s="6">
        <v>20250201</v>
      </c>
      <c r="I323" s="6" t="str">
        <f>TEXT(DATE(LEFT(H323,4), MID(H323,5,2), RIGHT(H323,2)), "M/d/yyyy")</f>
        <v>2/1/2025</v>
      </c>
      <c r="J323" s="9">
        <f>DATE(YEAR(I323), MONTH(I323) +1, DAY(I323))</f>
        <v>45717</v>
      </c>
      <c r="K323" s="6" t="s">
        <v>12</v>
      </c>
      <c r="L323" s="8">
        <v>-30.84</v>
      </c>
      <c r="M323" s="8">
        <v>3</v>
      </c>
      <c r="N323" s="8">
        <v>-9</v>
      </c>
      <c r="O323" t="s">
        <v>235</v>
      </c>
    </row>
    <row r="324" spans="1:15" ht="15.75" x14ac:dyDescent="0.25">
      <c r="A324" s="5" t="s">
        <v>13</v>
      </c>
      <c r="B324" s="6">
        <v>20411454</v>
      </c>
      <c r="C324" s="6" t="s">
        <v>35</v>
      </c>
      <c r="D324" s="6" t="s">
        <v>36</v>
      </c>
      <c r="E324" s="6" t="str">
        <f>CONCATENATE(D324,1)</f>
        <v>74N3X51</v>
      </c>
      <c r="F324" s="7" t="s">
        <v>33</v>
      </c>
      <c r="G324" s="6">
        <v>-3</v>
      </c>
      <c r="H324" s="6">
        <v>20250301</v>
      </c>
      <c r="I324" s="6" t="str">
        <f>TEXT(DATE(LEFT(H324,4), MID(H324,5,2), RIGHT(H324,2)), "M/d/yyyy")</f>
        <v>3/1/2025</v>
      </c>
      <c r="J324" s="9">
        <f>DATE(YEAR(I324), MONTH(I324) +1, DAY(I324))</f>
        <v>45748</v>
      </c>
      <c r="K324" s="6" t="s">
        <v>12</v>
      </c>
      <c r="L324" s="8">
        <v>-30.84</v>
      </c>
      <c r="M324" s="8">
        <v>3</v>
      </c>
      <c r="N324" s="8">
        <v>-9</v>
      </c>
      <c r="O324" t="s">
        <v>235</v>
      </c>
    </row>
    <row r="325" spans="1:15" ht="15.75" x14ac:dyDescent="0.25">
      <c r="A325" s="5" t="s">
        <v>13</v>
      </c>
      <c r="B325" s="6">
        <v>20411454</v>
      </c>
      <c r="C325" s="6" t="s">
        <v>35</v>
      </c>
      <c r="D325" s="6" t="s">
        <v>36</v>
      </c>
      <c r="E325" s="6" t="str">
        <f>CONCATENATE(D325,1)</f>
        <v>74N3X51</v>
      </c>
      <c r="F325" s="7" t="s">
        <v>33</v>
      </c>
      <c r="G325" s="6">
        <v>3</v>
      </c>
      <c r="H325" s="6">
        <v>20250201</v>
      </c>
      <c r="I325" s="6" t="str">
        <f>TEXT(DATE(LEFT(H325,4), MID(H325,5,2), RIGHT(H325,2)), "M/d/yyyy")</f>
        <v>2/1/2025</v>
      </c>
      <c r="J325" s="9">
        <f>DATE(YEAR(I325), MONTH(I325) +1, DAY(I325))</f>
        <v>45717</v>
      </c>
      <c r="K325" s="6" t="s">
        <v>12</v>
      </c>
      <c r="L325" s="8">
        <v>30.84</v>
      </c>
      <c r="M325" s="8">
        <v>3</v>
      </c>
      <c r="N325" s="8">
        <v>9</v>
      </c>
      <c r="O325" t="s">
        <v>235</v>
      </c>
    </row>
    <row r="326" spans="1:15" ht="15.75" x14ac:dyDescent="0.25">
      <c r="A326" s="5" t="s">
        <v>13</v>
      </c>
      <c r="B326" s="6">
        <v>20411454</v>
      </c>
      <c r="C326" s="6" t="s">
        <v>35</v>
      </c>
      <c r="D326" s="6" t="s">
        <v>36</v>
      </c>
      <c r="E326" s="6" t="str">
        <f>CONCATENATE(D326,1)</f>
        <v>74N3X51</v>
      </c>
      <c r="F326" s="7" t="s">
        <v>33</v>
      </c>
      <c r="G326" s="6">
        <v>3</v>
      </c>
      <c r="H326" s="6">
        <v>20250301</v>
      </c>
      <c r="I326" s="6" t="str">
        <f>TEXT(DATE(LEFT(H326,4), MID(H326,5,2), RIGHT(H326,2)), "M/d/yyyy")</f>
        <v>3/1/2025</v>
      </c>
      <c r="J326" s="9">
        <f>DATE(YEAR(I326), MONTH(I326) +1, DAY(I326))</f>
        <v>45748</v>
      </c>
      <c r="K326" s="6" t="s">
        <v>12</v>
      </c>
      <c r="L326" s="8">
        <v>30.84</v>
      </c>
      <c r="M326" s="8">
        <v>3</v>
      </c>
      <c r="N326" s="8">
        <v>9</v>
      </c>
      <c r="O326" t="s">
        <v>235</v>
      </c>
    </row>
    <row r="327" spans="1:15" ht="15.75" x14ac:dyDescent="0.25">
      <c r="A327" s="5" t="s">
        <v>13</v>
      </c>
      <c r="B327" s="6">
        <v>20411454</v>
      </c>
      <c r="C327" s="6" t="s">
        <v>35</v>
      </c>
      <c r="D327" s="6" t="s">
        <v>36</v>
      </c>
      <c r="E327" s="6" t="str">
        <f>CONCATENATE(D327,1)</f>
        <v>74N3X51</v>
      </c>
      <c r="F327" s="7" t="s">
        <v>33</v>
      </c>
      <c r="G327" s="6">
        <v>3</v>
      </c>
      <c r="H327" s="6">
        <v>20250401</v>
      </c>
      <c r="I327" s="6" t="str">
        <f>TEXT(DATE(LEFT(H327,4), MID(H327,5,2), RIGHT(H327,2)), "M/d/yyyy")</f>
        <v>4/1/2025</v>
      </c>
      <c r="J327" s="9">
        <f>DATE(YEAR(I327), MONTH(I327) +1, DAY(I327))</f>
        <v>45778</v>
      </c>
      <c r="K327" s="6" t="s">
        <v>12</v>
      </c>
      <c r="L327" s="8">
        <v>30.84</v>
      </c>
      <c r="M327" s="8">
        <v>3</v>
      </c>
      <c r="N327" s="8">
        <v>9</v>
      </c>
      <c r="O327" t="s">
        <v>235</v>
      </c>
    </row>
    <row r="328" spans="1:15" ht="15.75" x14ac:dyDescent="0.25">
      <c r="A328" s="5" t="s">
        <v>13</v>
      </c>
      <c r="B328" s="6">
        <v>20411454</v>
      </c>
      <c r="C328" s="6" t="s">
        <v>147</v>
      </c>
      <c r="D328" s="6" t="s">
        <v>148</v>
      </c>
      <c r="E328" s="6" t="str">
        <f>CONCATENATE(D328,1)</f>
        <v>15Q51K1</v>
      </c>
      <c r="F328" s="7" t="s">
        <v>86</v>
      </c>
      <c r="G328" s="6">
        <v>-1</v>
      </c>
      <c r="H328" s="6">
        <v>20250201</v>
      </c>
      <c r="I328" s="6" t="str">
        <f>TEXT(DATE(LEFT(H328,4), MID(H328,5,2), RIGHT(H328,2)), "M/d/yyyy")</f>
        <v>2/1/2025</v>
      </c>
      <c r="J328" s="9">
        <f>DATE(YEAR(I328), MONTH(I328) +1, DAY(I328))</f>
        <v>45717</v>
      </c>
      <c r="K328" s="6" t="s">
        <v>18</v>
      </c>
      <c r="L328" s="8">
        <v>-32.159999999999997</v>
      </c>
      <c r="M328" s="8">
        <v>3</v>
      </c>
      <c r="N328" s="8">
        <v>-3</v>
      </c>
      <c r="O328" t="s">
        <v>235</v>
      </c>
    </row>
    <row r="329" spans="1:15" ht="15.75" x14ac:dyDescent="0.25">
      <c r="A329" s="5" t="s">
        <v>13</v>
      </c>
      <c r="B329" s="6">
        <v>20411454</v>
      </c>
      <c r="C329" s="6" t="s">
        <v>147</v>
      </c>
      <c r="D329" s="6" t="s">
        <v>148</v>
      </c>
      <c r="E329" s="6" t="str">
        <f>CONCATENATE(D329,1)</f>
        <v>15Q51K1</v>
      </c>
      <c r="F329" s="7" t="s">
        <v>86</v>
      </c>
      <c r="G329" s="6">
        <v>-1</v>
      </c>
      <c r="H329" s="6">
        <v>20250301</v>
      </c>
      <c r="I329" s="6" t="str">
        <f>TEXT(DATE(LEFT(H329,4), MID(H329,5,2), RIGHT(H329,2)), "M/d/yyyy")</f>
        <v>3/1/2025</v>
      </c>
      <c r="J329" s="9">
        <f>DATE(YEAR(I329), MONTH(I329) +1, DAY(I329))</f>
        <v>45748</v>
      </c>
      <c r="K329" s="6" t="s">
        <v>18</v>
      </c>
      <c r="L329" s="8">
        <v>-32.159999999999997</v>
      </c>
      <c r="M329" s="8">
        <v>3</v>
      </c>
      <c r="N329" s="8">
        <v>-3</v>
      </c>
      <c r="O329" t="s">
        <v>235</v>
      </c>
    </row>
    <row r="330" spans="1:15" ht="15.75" x14ac:dyDescent="0.25">
      <c r="A330" s="5" t="s">
        <v>13</v>
      </c>
      <c r="B330" s="6">
        <v>20411454</v>
      </c>
      <c r="C330" s="6" t="s">
        <v>147</v>
      </c>
      <c r="D330" s="6" t="s">
        <v>148</v>
      </c>
      <c r="E330" s="6" t="str">
        <f>CONCATENATE(D330,1)</f>
        <v>15Q51K1</v>
      </c>
      <c r="F330" s="7" t="s">
        <v>86</v>
      </c>
      <c r="G330" s="6">
        <v>1</v>
      </c>
      <c r="H330" s="6">
        <v>20250201</v>
      </c>
      <c r="I330" s="6" t="str">
        <f>TEXT(DATE(LEFT(H330,4), MID(H330,5,2), RIGHT(H330,2)), "M/d/yyyy")</f>
        <v>2/1/2025</v>
      </c>
      <c r="J330" s="9">
        <f>DATE(YEAR(I330), MONTH(I330) +1, DAY(I330))</f>
        <v>45717</v>
      </c>
      <c r="K330" s="6" t="s">
        <v>18</v>
      </c>
      <c r="L330" s="8">
        <v>32.159999999999997</v>
      </c>
      <c r="M330" s="8">
        <v>3</v>
      </c>
      <c r="N330" s="8">
        <v>3</v>
      </c>
      <c r="O330" t="s">
        <v>235</v>
      </c>
    </row>
    <row r="331" spans="1:15" ht="15.75" x14ac:dyDescent="0.25">
      <c r="A331" s="5" t="s">
        <v>13</v>
      </c>
      <c r="B331" s="6">
        <v>20411454</v>
      </c>
      <c r="C331" s="6" t="s">
        <v>147</v>
      </c>
      <c r="D331" s="6" t="s">
        <v>148</v>
      </c>
      <c r="E331" s="6" t="str">
        <f>CONCATENATE(D331,1)</f>
        <v>15Q51K1</v>
      </c>
      <c r="F331" s="7" t="s">
        <v>86</v>
      </c>
      <c r="G331" s="6">
        <v>1</v>
      </c>
      <c r="H331" s="6">
        <v>20250301</v>
      </c>
      <c r="I331" s="6" t="str">
        <f>TEXT(DATE(LEFT(H331,4), MID(H331,5,2), RIGHT(H331,2)), "M/d/yyyy")</f>
        <v>3/1/2025</v>
      </c>
      <c r="J331" s="9">
        <f>DATE(YEAR(I331), MONTH(I331) +1, DAY(I331))</f>
        <v>45748</v>
      </c>
      <c r="K331" s="6" t="s">
        <v>18</v>
      </c>
      <c r="L331" s="8">
        <v>32.159999999999997</v>
      </c>
      <c r="M331" s="8">
        <v>3</v>
      </c>
      <c r="N331" s="8">
        <v>3</v>
      </c>
      <c r="O331" t="s">
        <v>235</v>
      </c>
    </row>
    <row r="332" spans="1:15" ht="15.75" x14ac:dyDescent="0.25">
      <c r="A332" s="5" t="s">
        <v>13</v>
      </c>
      <c r="B332" s="6">
        <v>20411454</v>
      </c>
      <c r="C332" s="6" t="s">
        <v>147</v>
      </c>
      <c r="D332" s="6" t="s">
        <v>148</v>
      </c>
      <c r="E332" s="6" t="str">
        <f>CONCATENATE(D332,1)</f>
        <v>15Q51K1</v>
      </c>
      <c r="F332" s="7" t="s">
        <v>86</v>
      </c>
      <c r="G332" s="6">
        <v>1</v>
      </c>
      <c r="H332" s="6">
        <v>20250401</v>
      </c>
      <c r="I332" s="6" t="str">
        <f>TEXT(DATE(LEFT(H332,4), MID(H332,5,2), RIGHT(H332,2)), "M/d/yyyy")</f>
        <v>4/1/2025</v>
      </c>
      <c r="J332" s="9">
        <f>DATE(YEAR(I332), MONTH(I332) +1, DAY(I332))</f>
        <v>45778</v>
      </c>
      <c r="K332" s="6" t="s">
        <v>18</v>
      </c>
      <c r="L332" s="8">
        <v>32.159999999999997</v>
      </c>
      <c r="M332" s="8">
        <v>3</v>
      </c>
      <c r="N332" s="8">
        <v>3</v>
      </c>
      <c r="O332" t="s">
        <v>235</v>
      </c>
    </row>
    <row r="333" spans="1:15" ht="15.75" x14ac:dyDescent="0.25">
      <c r="A333" s="5" t="s">
        <v>13</v>
      </c>
      <c r="B333" s="6">
        <v>20411454</v>
      </c>
      <c r="C333" s="6" t="s">
        <v>141</v>
      </c>
      <c r="D333" s="6" t="s">
        <v>142</v>
      </c>
      <c r="E333" s="6" t="str">
        <f>CONCATENATE(D333,1)</f>
        <v>02R28F1</v>
      </c>
      <c r="F333" s="7" t="s">
        <v>86</v>
      </c>
      <c r="G333" s="6">
        <v>-1</v>
      </c>
      <c r="H333" s="6">
        <v>20250201</v>
      </c>
      <c r="I333" s="6" t="str">
        <f>TEXT(DATE(LEFT(H333,4), MID(H333,5,2), RIGHT(H333,2)), "M/d/yyyy")</f>
        <v>2/1/2025</v>
      </c>
      <c r="J333" s="9">
        <f>DATE(YEAR(I333), MONTH(I333) +1, DAY(I333))</f>
        <v>45717</v>
      </c>
      <c r="K333" s="6" t="s">
        <v>18</v>
      </c>
      <c r="L333" s="8">
        <v>-533.29999999999995</v>
      </c>
      <c r="M333" s="8">
        <v>3</v>
      </c>
      <c r="N333" s="8">
        <v>-3</v>
      </c>
      <c r="O333" t="s">
        <v>235</v>
      </c>
    </row>
    <row r="334" spans="1:15" ht="15.75" x14ac:dyDescent="0.25">
      <c r="A334" s="5" t="s">
        <v>13</v>
      </c>
      <c r="B334" s="6">
        <v>20411454</v>
      </c>
      <c r="C334" s="6" t="s">
        <v>141</v>
      </c>
      <c r="D334" s="6" t="s">
        <v>142</v>
      </c>
      <c r="E334" s="6" t="str">
        <f>CONCATENATE(D334,1)</f>
        <v>02R28F1</v>
      </c>
      <c r="F334" s="7" t="s">
        <v>86</v>
      </c>
      <c r="G334" s="6">
        <v>-1</v>
      </c>
      <c r="H334" s="6">
        <v>20250301</v>
      </c>
      <c r="I334" s="6" t="str">
        <f>TEXT(DATE(LEFT(H334,4), MID(H334,5,2), RIGHT(H334,2)), "M/d/yyyy")</f>
        <v>3/1/2025</v>
      </c>
      <c r="J334" s="9">
        <f>DATE(YEAR(I334), MONTH(I334) +1, DAY(I334))</f>
        <v>45748</v>
      </c>
      <c r="K334" s="6" t="s">
        <v>18</v>
      </c>
      <c r="L334" s="8">
        <v>-533.29999999999995</v>
      </c>
      <c r="M334" s="8">
        <v>3</v>
      </c>
      <c r="N334" s="8">
        <v>-3</v>
      </c>
      <c r="O334" t="s">
        <v>235</v>
      </c>
    </row>
    <row r="335" spans="1:15" ht="15.75" x14ac:dyDescent="0.25">
      <c r="A335" s="5" t="s">
        <v>13</v>
      </c>
      <c r="B335" s="6">
        <v>20411454</v>
      </c>
      <c r="C335" s="6" t="s">
        <v>141</v>
      </c>
      <c r="D335" s="6" t="s">
        <v>142</v>
      </c>
      <c r="E335" s="6" t="str">
        <f>CONCATENATE(D335,1)</f>
        <v>02R28F1</v>
      </c>
      <c r="F335" s="7" t="s">
        <v>86</v>
      </c>
      <c r="G335" s="6">
        <v>1</v>
      </c>
      <c r="H335" s="6">
        <v>20250201</v>
      </c>
      <c r="I335" s="6" t="str">
        <f>TEXT(DATE(LEFT(H335,4), MID(H335,5,2), RIGHT(H335,2)), "M/d/yyyy")</f>
        <v>2/1/2025</v>
      </c>
      <c r="J335" s="9">
        <f>DATE(YEAR(I335), MONTH(I335) +1, DAY(I335))</f>
        <v>45717</v>
      </c>
      <c r="K335" s="6" t="s">
        <v>18</v>
      </c>
      <c r="L335" s="8">
        <v>533.29999999999995</v>
      </c>
      <c r="M335" s="8">
        <v>3</v>
      </c>
      <c r="N335" s="8">
        <v>3</v>
      </c>
      <c r="O335" t="s">
        <v>235</v>
      </c>
    </row>
    <row r="336" spans="1:15" ht="15.75" x14ac:dyDescent="0.25">
      <c r="A336" s="5" t="s">
        <v>13</v>
      </c>
      <c r="B336" s="6">
        <v>20411454</v>
      </c>
      <c r="C336" s="6" t="s">
        <v>141</v>
      </c>
      <c r="D336" s="6" t="s">
        <v>142</v>
      </c>
      <c r="E336" s="6" t="str">
        <f>CONCATENATE(D336,1)</f>
        <v>02R28F1</v>
      </c>
      <c r="F336" s="7" t="s">
        <v>86</v>
      </c>
      <c r="G336" s="6">
        <v>1</v>
      </c>
      <c r="H336" s="6">
        <v>20250301</v>
      </c>
      <c r="I336" s="6" t="str">
        <f>TEXT(DATE(LEFT(H336,4), MID(H336,5,2), RIGHT(H336,2)), "M/d/yyyy")</f>
        <v>3/1/2025</v>
      </c>
      <c r="J336" s="9">
        <f>DATE(YEAR(I336), MONTH(I336) +1, DAY(I336))</f>
        <v>45748</v>
      </c>
      <c r="K336" s="6" t="s">
        <v>18</v>
      </c>
      <c r="L336" s="8">
        <v>533.29999999999995</v>
      </c>
      <c r="M336" s="8">
        <v>3</v>
      </c>
      <c r="N336" s="8">
        <v>3</v>
      </c>
      <c r="O336" t="s">
        <v>235</v>
      </c>
    </row>
    <row r="337" spans="1:15" ht="15.75" x14ac:dyDescent="0.25">
      <c r="A337" s="5" t="s">
        <v>13</v>
      </c>
      <c r="B337" s="6">
        <v>20411454</v>
      </c>
      <c r="C337" s="6" t="s">
        <v>141</v>
      </c>
      <c r="D337" s="6" t="s">
        <v>142</v>
      </c>
      <c r="E337" s="6" t="str">
        <f>CONCATENATE(D337,1)</f>
        <v>02R28F1</v>
      </c>
      <c r="F337" s="7" t="s">
        <v>86</v>
      </c>
      <c r="G337" s="6">
        <v>1</v>
      </c>
      <c r="H337" s="6">
        <v>20250401</v>
      </c>
      <c r="I337" s="6" t="str">
        <f>TEXT(DATE(LEFT(H337,4), MID(H337,5,2), RIGHT(H337,2)), "M/d/yyyy")</f>
        <v>4/1/2025</v>
      </c>
      <c r="J337" s="9">
        <f>DATE(YEAR(I337), MONTH(I337) +1, DAY(I337))</f>
        <v>45778</v>
      </c>
      <c r="K337" s="6" t="s">
        <v>18</v>
      </c>
      <c r="L337" s="8">
        <v>533.29999999999995</v>
      </c>
      <c r="M337" s="8">
        <v>3</v>
      </c>
      <c r="N337" s="8">
        <v>3</v>
      </c>
      <c r="O337" t="s">
        <v>235</v>
      </c>
    </row>
    <row r="338" spans="1:15" ht="15.75" x14ac:dyDescent="0.25">
      <c r="A338" s="5" t="s">
        <v>13</v>
      </c>
      <c r="B338" s="6">
        <v>20411454</v>
      </c>
      <c r="C338" s="6" t="s">
        <v>135</v>
      </c>
      <c r="D338" s="6" t="s">
        <v>136</v>
      </c>
      <c r="E338" s="6" t="str">
        <f>CONCATENATE(D338,1)</f>
        <v>42T7F31</v>
      </c>
      <c r="F338" s="7" t="s">
        <v>86</v>
      </c>
      <c r="G338" s="6">
        <v>-2</v>
      </c>
      <c r="H338" s="6">
        <v>20250201</v>
      </c>
      <c r="I338" s="6" t="str">
        <f>TEXT(DATE(LEFT(H338,4), MID(H338,5,2), RIGHT(H338,2)), "M/d/yyyy")</f>
        <v>2/1/2025</v>
      </c>
      <c r="J338" s="9">
        <f>DATE(YEAR(I338), MONTH(I338) +1, DAY(I338))</f>
        <v>45717</v>
      </c>
      <c r="K338" s="6" t="s">
        <v>18</v>
      </c>
      <c r="L338" s="8">
        <v>-621.96</v>
      </c>
      <c r="M338" s="8">
        <v>3</v>
      </c>
      <c r="N338" s="8">
        <v>-6</v>
      </c>
      <c r="O338" t="s">
        <v>235</v>
      </c>
    </row>
    <row r="339" spans="1:15" ht="15.75" x14ac:dyDescent="0.25">
      <c r="A339" s="5" t="s">
        <v>13</v>
      </c>
      <c r="B339" s="6">
        <v>20411454</v>
      </c>
      <c r="C339" s="6" t="s">
        <v>135</v>
      </c>
      <c r="D339" s="6" t="s">
        <v>136</v>
      </c>
      <c r="E339" s="6" t="str">
        <f>CONCATENATE(D339,1)</f>
        <v>42T7F31</v>
      </c>
      <c r="F339" s="7" t="s">
        <v>86</v>
      </c>
      <c r="G339" s="6">
        <v>2</v>
      </c>
      <c r="H339" s="6">
        <v>20250201</v>
      </c>
      <c r="I339" s="6" t="str">
        <f>TEXT(DATE(LEFT(H339,4), MID(H339,5,2), RIGHT(H339,2)), "M/d/yyyy")</f>
        <v>2/1/2025</v>
      </c>
      <c r="J339" s="9">
        <f>DATE(YEAR(I339), MONTH(I339) +1, DAY(I339))</f>
        <v>45717</v>
      </c>
      <c r="K339" s="6" t="s">
        <v>18</v>
      </c>
      <c r="L339" s="8">
        <v>621.96</v>
      </c>
      <c r="M339" s="8">
        <v>3</v>
      </c>
      <c r="N339" s="8">
        <v>6</v>
      </c>
      <c r="O339" t="s">
        <v>235</v>
      </c>
    </row>
    <row r="340" spans="1:15" ht="15.75" x14ac:dyDescent="0.25">
      <c r="A340" s="5" t="s">
        <v>13</v>
      </c>
      <c r="B340" s="6">
        <v>20411454</v>
      </c>
      <c r="C340" s="6" t="s">
        <v>135</v>
      </c>
      <c r="D340" s="6" t="s">
        <v>136</v>
      </c>
      <c r="E340" s="6" t="str">
        <f>CONCATENATE(D340,1)</f>
        <v>42T7F31</v>
      </c>
      <c r="F340" s="7" t="s">
        <v>86</v>
      </c>
      <c r="G340" s="6">
        <v>2</v>
      </c>
      <c r="H340" s="6">
        <v>20250301</v>
      </c>
      <c r="I340" s="6" t="str">
        <f>TEXT(DATE(LEFT(H340,4), MID(H340,5,2), RIGHT(H340,2)), "M/d/yyyy")</f>
        <v>3/1/2025</v>
      </c>
      <c r="J340" s="9">
        <f>DATE(YEAR(I340), MONTH(I340) +1, DAY(I340))</f>
        <v>45748</v>
      </c>
      <c r="K340" s="6" t="s">
        <v>18</v>
      </c>
      <c r="L340" s="8">
        <v>621.96</v>
      </c>
      <c r="M340" s="8">
        <v>3</v>
      </c>
      <c r="N340" s="8">
        <v>6</v>
      </c>
      <c r="O340" t="s">
        <v>235</v>
      </c>
    </row>
    <row r="341" spans="1:15" ht="15.75" x14ac:dyDescent="0.25">
      <c r="A341" s="5" t="s">
        <v>13</v>
      </c>
      <c r="B341" s="6">
        <v>20411454</v>
      </c>
      <c r="C341" s="6" t="s">
        <v>189</v>
      </c>
      <c r="D341" s="6" t="s">
        <v>190</v>
      </c>
      <c r="E341" s="6" t="str">
        <f>CONCATENATE(D341,1)</f>
        <v>98Q9Q81</v>
      </c>
      <c r="F341" s="7" t="s">
        <v>86</v>
      </c>
      <c r="G341" s="6">
        <v>-1</v>
      </c>
      <c r="H341" s="6">
        <v>20250201</v>
      </c>
      <c r="I341" s="6" t="str">
        <f>TEXT(DATE(LEFT(H341,4), MID(H341,5,2), RIGHT(H341,2)), "M/d/yyyy")</f>
        <v>2/1/2025</v>
      </c>
      <c r="J341" s="9">
        <f>DATE(YEAR(I341), MONTH(I341) +1, DAY(I341))</f>
        <v>45717</v>
      </c>
      <c r="K341" s="6" t="s">
        <v>18</v>
      </c>
      <c r="L341" s="8">
        <v>-176.15</v>
      </c>
      <c r="M341" s="8">
        <v>3</v>
      </c>
      <c r="N341" s="8">
        <v>-3</v>
      </c>
      <c r="O341" t="s">
        <v>235</v>
      </c>
    </row>
    <row r="342" spans="1:15" ht="15.75" x14ac:dyDescent="0.25">
      <c r="A342" s="5" t="s">
        <v>13</v>
      </c>
      <c r="B342" s="6">
        <v>20411454</v>
      </c>
      <c r="C342" s="6" t="s">
        <v>189</v>
      </c>
      <c r="D342" s="6" t="s">
        <v>190</v>
      </c>
      <c r="E342" s="6" t="str">
        <f>CONCATENATE(D342,1)</f>
        <v>98Q9Q81</v>
      </c>
      <c r="F342" s="7" t="s">
        <v>86</v>
      </c>
      <c r="G342" s="6">
        <v>-1</v>
      </c>
      <c r="H342" s="6">
        <v>20250301</v>
      </c>
      <c r="I342" s="6" t="str">
        <f>TEXT(DATE(LEFT(H342,4), MID(H342,5,2), RIGHT(H342,2)), "M/d/yyyy")</f>
        <v>3/1/2025</v>
      </c>
      <c r="J342" s="9">
        <f>DATE(YEAR(I342), MONTH(I342) +1, DAY(I342))</f>
        <v>45748</v>
      </c>
      <c r="K342" s="6" t="s">
        <v>18</v>
      </c>
      <c r="L342" s="8">
        <v>-176.15</v>
      </c>
      <c r="M342" s="8">
        <v>3</v>
      </c>
      <c r="N342" s="8">
        <v>-3</v>
      </c>
      <c r="O342" t="s">
        <v>235</v>
      </c>
    </row>
    <row r="343" spans="1:15" ht="15.75" x14ac:dyDescent="0.25">
      <c r="A343" s="5" t="s">
        <v>13</v>
      </c>
      <c r="B343" s="6">
        <v>20411454</v>
      </c>
      <c r="C343" s="6" t="s">
        <v>189</v>
      </c>
      <c r="D343" s="6" t="s">
        <v>190</v>
      </c>
      <c r="E343" s="6" t="str">
        <f>CONCATENATE(D343,1)</f>
        <v>98Q9Q81</v>
      </c>
      <c r="F343" s="7" t="s">
        <v>86</v>
      </c>
      <c r="G343" s="6">
        <v>1</v>
      </c>
      <c r="H343" s="6">
        <v>20250201</v>
      </c>
      <c r="I343" s="6" t="str">
        <f>TEXT(DATE(LEFT(H343,4), MID(H343,5,2), RIGHT(H343,2)), "M/d/yyyy")</f>
        <v>2/1/2025</v>
      </c>
      <c r="J343" s="9">
        <f>DATE(YEAR(I343), MONTH(I343) +1, DAY(I343))</f>
        <v>45717</v>
      </c>
      <c r="K343" s="6" t="s">
        <v>18</v>
      </c>
      <c r="L343" s="8">
        <v>176.15</v>
      </c>
      <c r="M343" s="8">
        <v>3</v>
      </c>
      <c r="N343" s="8">
        <v>3</v>
      </c>
      <c r="O343" t="s">
        <v>235</v>
      </c>
    </row>
    <row r="344" spans="1:15" ht="15.75" x14ac:dyDescent="0.25">
      <c r="A344" s="5" t="s">
        <v>13</v>
      </c>
      <c r="B344" s="6">
        <v>20411454</v>
      </c>
      <c r="C344" s="6" t="s">
        <v>189</v>
      </c>
      <c r="D344" s="6" t="s">
        <v>190</v>
      </c>
      <c r="E344" s="6" t="str">
        <f>CONCATENATE(D344,1)</f>
        <v>98Q9Q81</v>
      </c>
      <c r="F344" s="7" t="s">
        <v>86</v>
      </c>
      <c r="G344" s="6">
        <v>1</v>
      </c>
      <c r="H344" s="6">
        <v>20250301</v>
      </c>
      <c r="I344" s="6" t="str">
        <f>TEXT(DATE(LEFT(H344,4), MID(H344,5,2), RIGHT(H344,2)), "M/d/yyyy")</f>
        <v>3/1/2025</v>
      </c>
      <c r="J344" s="9">
        <f>DATE(YEAR(I344), MONTH(I344) +1, DAY(I344))</f>
        <v>45748</v>
      </c>
      <c r="K344" s="6" t="s">
        <v>18</v>
      </c>
      <c r="L344" s="8">
        <v>176.15</v>
      </c>
      <c r="M344" s="8">
        <v>3</v>
      </c>
      <c r="N344" s="8">
        <v>3</v>
      </c>
      <c r="O344" t="s">
        <v>235</v>
      </c>
    </row>
    <row r="345" spans="1:15" ht="15.75" x14ac:dyDescent="0.25">
      <c r="A345" s="5" t="s">
        <v>13</v>
      </c>
      <c r="B345" s="6">
        <v>20411454</v>
      </c>
      <c r="C345" s="6" t="s">
        <v>189</v>
      </c>
      <c r="D345" s="6" t="s">
        <v>190</v>
      </c>
      <c r="E345" s="6" t="str">
        <f>CONCATENATE(D345,1)</f>
        <v>98Q9Q81</v>
      </c>
      <c r="F345" s="7" t="s">
        <v>86</v>
      </c>
      <c r="G345" s="6">
        <v>1</v>
      </c>
      <c r="H345" s="6">
        <v>20250401</v>
      </c>
      <c r="I345" s="6" t="str">
        <f>TEXT(DATE(LEFT(H345,4), MID(H345,5,2), RIGHT(H345,2)), "M/d/yyyy")</f>
        <v>4/1/2025</v>
      </c>
      <c r="J345" s="9">
        <f>DATE(YEAR(I345), MONTH(I345) +1, DAY(I345))</f>
        <v>45778</v>
      </c>
      <c r="K345" s="6" t="s">
        <v>18</v>
      </c>
      <c r="L345" s="8">
        <v>176.15</v>
      </c>
      <c r="M345" s="8">
        <v>3</v>
      </c>
      <c r="N345" s="8">
        <v>3</v>
      </c>
      <c r="O345" t="s">
        <v>235</v>
      </c>
    </row>
    <row r="346" spans="1:15" ht="15.75" x14ac:dyDescent="0.25">
      <c r="A346" s="5" t="s">
        <v>13</v>
      </c>
      <c r="B346" s="6">
        <v>20411454</v>
      </c>
      <c r="C346" s="6" t="s">
        <v>121</v>
      </c>
      <c r="D346" s="6" t="s">
        <v>122</v>
      </c>
      <c r="E346" s="6" t="str">
        <f>CONCATENATE(D346,1)</f>
        <v>43R2H91</v>
      </c>
      <c r="F346" s="7" t="s">
        <v>86</v>
      </c>
      <c r="G346" s="6">
        <v>-4</v>
      </c>
      <c r="H346" s="6">
        <v>20250201</v>
      </c>
      <c r="I346" s="6" t="str">
        <f>TEXT(DATE(LEFT(H346,4), MID(H346,5,2), RIGHT(H346,2)), "M/d/yyyy")</f>
        <v>2/1/2025</v>
      </c>
      <c r="J346" s="9">
        <f>DATE(YEAR(I346), MONTH(I346) +1, DAY(I346))</f>
        <v>45717</v>
      </c>
      <c r="K346" s="6" t="s">
        <v>18</v>
      </c>
      <c r="L346" s="8">
        <v>-513.26</v>
      </c>
      <c r="M346" s="8">
        <v>3</v>
      </c>
      <c r="N346" s="8">
        <v>-12</v>
      </c>
      <c r="O346" t="s">
        <v>235</v>
      </c>
    </row>
    <row r="347" spans="1:15" ht="15.75" x14ac:dyDescent="0.25">
      <c r="A347" s="5" t="s">
        <v>13</v>
      </c>
      <c r="B347" s="6">
        <v>20411454</v>
      </c>
      <c r="C347" s="6" t="s">
        <v>121</v>
      </c>
      <c r="D347" s="6" t="s">
        <v>122</v>
      </c>
      <c r="E347" s="6" t="str">
        <f>CONCATENATE(D347,1)</f>
        <v>43R2H91</v>
      </c>
      <c r="F347" s="7" t="s">
        <v>86</v>
      </c>
      <c r="G347" s="6">
        <v>-4</v>
      </c>
      <c r="H347" s="6">
        <v>20250301</v>
      </c>
      <c r="I347" s="6" t="str">
        <f>TEXT(DATE(LEFT(H347,4), MID(H347,5,2), RIGHT(H347,2)), "M/d/yyyy")</f>
        <v>3/1/2025</v>
      </c>
      <c r="J347" s="9">
        <f>DATE(YEAR(I347), MONTH(I347) +1, DAY(I347))</f>
        <v>45748</v>
      </c>
      <c r="K347" s="6" t="s">
        <v>18</v>
      </c>
      <c r="L347" s="8">
        <v>-513.26</v>
      </c>
      <c r="M347" s="8">
        <v>3</v>
      </c>
      <c r="N347" s="8">
        <v>-12</v>
      </c>
      <c r="O347" t="s">
        <v>235</v>
      </c>
    </row>
    <row r="348" spans="1:15" ht="15.75" x14ac:dyDescent="0.25">
      <c r="A348" s="5" t="s">
        <v>13</v>
      </c>
      <c r="B348" s="6">
        <v>20411454</v>
      </c>
      <c r="C348" s="6" t="s">
        <v>121</v>
      </c>
      <c r="D348" s="6" t="s">
        <v>122</v>
      </c>
      <c r="E348" s="6" t="str">
        <f>CONCATENATE(D348,1)</f>
        <v>43R2H91</v>
      </c>
      <c r="F348" s="7" t="s">
        <v>86</v>
      </c>
      <c r="G348" s="6">
        <v>4</v>
      </c>
      <c r="H348" s="6">
        <v>20250201</v>
      </c>
      <c r="I348" s="6" t="str">
        <f>TEXT(DATE(LEFT(H348,4), MID(H348,5,2), RIGHT(H348,2)), "M/d/yyyy")</f>
        <v>2/1/2025</v>
      </c>
      <c r="J348" s="9">
        <f>DATE(YEAR(I348), MONTH(I348) +1, DAY(I348))</f>
        <v>45717</v>
      </c>
      <c r="K348" s="6" t="s">
        <v>18</v>
      </c>
      <c r="L348" s="8">
        <v>513.26</v>
      </c>
      <c r="M348" s="8">
        <v>3</v>
      </c>
      <c r="N348" s="8">
        <v>12</v>
      </c>
      <c r="O348" t="s">
        <v>235</v>
      </c>
    </row>
    <row r="349" spans="1:15" ht="15.75" x14ac:dyDescent="0.25">
      <c r="A349" s="5" t="s">
        <v>13</v>
      </c>
      <c r="B349" s="6">
        <v>20411454</v>
      </c>
      <c r="C349" s="6" t="s">
        <v>121</v>
      </c>
      <c r="D349" s="6" t="s">
        <v>122</v>
      </c>
      <c r="E349" s="6" t="str">
        <f>CONCATENATE(D349,1)</f>
        <v>43R2H91</v>
      </c>
      <c r="F349" s="7" t="s">
        <v>86</v>
      </c>
      <c r="G349" s="6">
        <v>4</v>
      </c>
      <c r="H349" s="6">
        <v>20250301</v>
      </c>
      <c r="I349" s="6" t="str">
        <f>TEXT(DATE(LEFT(H349,4), MID(H349,5,2), RIGHT(H349,2)), "M/d/yyyy")</f>
        <v>3/1/2025</v>
      </c>
      <c r="J349" s="9">
        <f>DATE(YEAR(I349), MONTH(I349) +1, DAY(I349))</f>
        <v>45748</v>
      </c>
      <c r="K349" s="6" t="s">
        <v>18</v>
      </c>
      <c r="L349" s="8">
        <v>513.26</v>
      </c>
      <c r="M349" s="8">
        <v>3</v>
      </c>
      <c r="N349" s="8">
        <v>12</v>
      </c>
      <c r="O349" t="s">
        <v>235</v>
      </c>
    </row>
    <row r="350" spans="1:15" ht="15.75" x14ac:dyDescent="0.25">
      <c r="A350" s="5" t="s">
        <v>13</v>
      </c>
      <c r="B350" s="6">
        <v>20411454</v>
      </c>
      <c r="C350" s="6" t="s">
        <v>121</v>
      </c>
      <c r="D350" s="6" t="s">
        <v>122</v>
      </c>
      <c r="E350" s="6" t="str">
        <f>CONCATENATE(D350,1)</f>
        <v>43R2H91</v>
      </c>
      <c r="F350" s="7" t="s">
        <v>86</v>
      </c>
      <c r="G350" s="6">
        <v>4</v>
      </c>
      <c r="H350" s="6">
        <v>20250401</v>
      </c>
      <c r="I350" s="6" t="str">
        <f>TEXT(DATE(LEFT(H350,4), MID(H350,5,2), RIGHT(H350,2)), "M/d/yyyy")</f>
        <v>4/1/2025</v>
      </c>
      <c r="J350" s="9">
        <f>DATE(YEAR(I350), MONTH(I350) +1, DAY(I350))</f>
        <v>45778</v>
      </c>
      <c r="K350" s="6" t="s">
        <v>18</v>
      </c>
      <c r="L350" s="8">
        <v>513.26</v>
      </c>
      <c r="M350" s="8">
        <v>3</v>
      </c>
      <c r="N350" s="8">
        <v>12</v>
      </c>
      <c r="O350" t="s">
        <v>235</v>
      </c>
    </row>
    <row r="351" spans="1:15" ht="15.75" x14ac:dyDescent="0.25">
      <c r="A351" s="5" t="s">
        <v>13</v>
      </c>
      <c r="B351" s="6">
        <v>20411454</v>
      </c>
      <c r="C351" s="6" t="s">
        <v>42</v>
      </c>
      <c r="D351" s="6" t="s">
        <v>43</v>
      </c>
      <c r="E351" s="6" t="str">
        <f>CONCATENATE(D351,1)</f>
        <v>01F2T51</v>
      </c>
      <c r="F351" s="7" t="s">
        <v>44</v>
      </c>
      <c r="G351" s="6">
        <v>-1</v>
      </c>
      <c r="H351" s="6">
        <v>20250201</v>
      </c>
      <c r="I351" s="6" t="str">
        <f>TEXT(DATE(LEFT(H351,4), MID(H351,5,2), RIGHT(H351,2)), "M/d/yyyy")</f>
        <v>2/1/2025</v>
      </c>
      <c r="J351" s="9">
        <f>DATE(YEAR(I351), MONTH(I351) +1, DAY(I351))</f>
        <v>45717</v>
      </c>
      <c r="K351" s="6" t="s">
        <v>12</v>
      </c>
      <c r="L351" s="8">
        <v>-40.03</v>
      </c>
      <c r="M351" s="8">
        <v>3</v>
      </c>
      <c r="N351" s="8">
        <v>-3</v>
      </c>
      <c r="O351" t="s">
        <v>235</v>
      </c>
    </row>
    <row r="352" spans="1:15" ht="15.75" x14ac:dyDescent="0.25">
      <c r="A352" s="5" t="s">
        <v>13</v>
      </c>
      <c r="B352" s="6">
        <v>20411454</v>
      </c>
      <c r="C352" s="6" t="s">
        <v>42</v>
      </c>
      <c r="D352" s="6" t="s">
        <v>43</v>
      </c>
      <c r="E352" s="6" t="str">
        <f>CONCATENATE(D352,1)</f>
        <v>01F2T51</v>
      </c>
      <c r="F352" s="7" t="s">
        <v>44</v>
      </c>
      <c r="G352" s="6">
        <v>-1</v>
      </c>
      <c r="H352" s="6">
        <v>20250301</v>
      </c>
      <c r="I352" s="6" t="str">
        <f>TEXT(DATE(LEFT(H352,4), MID(H352,5,2), RIGHT(H352,2)), "M/d/yyyy")</f>
        <v>3/1/2025</v>
      </c>
      <c r="J352" s="9">
        <f>DATE(YEAR(I352), MONTH(I352) +1, DAY(I352))</f>
        <v>45748</v>
      </c>
      <c r="K352" s="6" t="s">
        <v>12</v>
      </c>
      <c r="L352" s="8">
        <v>-40.03</v>
      </c>
      <c r="M352" s="8">
        <v>3</v>
      </c>
      <c r="N352" s="8">
        <v>-3</v>
      </c>
      <c r="O352" t="s">
        <v>235</v>
      </c>
    </row>
    <row r="353" spans="1:15" ht="15.75" x14ac:dyDescent="0.25">
      <c r="A353" s="5" t="s">
        <v>13</v>
      </c>
      <c r="B353" s="6">
        <v>20411454</v>
      </c>
      <c r="C353" s="6" t="s">
        <v>42</v>
      </c>
      <c r="D353" s="6" t="s">
        <v>43</v>
      </c>
      <c r="E353" s="6" t="str">
        <f>CONCATENATE(D353,1)</f>
        <v>01F2T51</v>
      </c>
      <c r="F353" s="7" t="s">
        <v>44</v>
      </c>
      <c r="G353" s="6">
        <v>1</v>
      </c>
      <c r="H353" s="6">
        <v>20250201</v>
      </c>
      <c r="I353" s="6" t="str">
        <f>TEXT(DATE(LEFT(H353,4), MID(H353,5,2), RIGHT(H353,2)), "M/d/yyyy")</f>
        <v>2/1/2025</v>
      </c>
      <c r="J353" s="9">
        <f>DATE(YEAR(I353), MONTH(I353) +1, DAY(I353))</f>
        <v>45717</v>
      </c>
      <c r="K353" s="6" t="s">
        <v>12</v>
      </c>
      <c r="L353" s="8">
        <v>40.03</v>
      </c>
      <c r="M353" s="8">
        <v>3</v>
      </c>
      <c r="N353" s="8">
        <v>3</v>
      </c>
      <c r="O353" t="s">
        <v>235</v>
      </c>
    </row>
    <row r="354" spans="1:15" ht="15.75" x14ac:dyDescent="0.25">
      <c r="A354" s="5" t="s">
        <v>13</v>
      </c>
      <c r="B354" s="6">
        <v>20411454</v>
      </c>
      <c r="C354" s="6" t="s">
        <v>42</v>
      </c>
      <c r="D354" s="6" t="s">
        <v>43</v>
      </c>
      <c r="E354" s="6" t="str">
        <f>CONCATENATE(D354,1)</f>
        <v>01F2T51</v>
      </c>
      <c r="F354" s="7" t="s">
        <v>44</v>
      </c>
      <c r="G354" s="6">
        <v>1</v>
      </c>
      <c r="H354" s="6">
        <v>20250301</v>
      </c>
      <c r="I354" s="6" t="str">
        <f>TEXT(DATE(LEFT(H354,4), MID(H354,5,2), RIGHT(H354,2)), "M/d/yyyy")</f>
        <v>3/1/2025</v>
      </c>
      <c r="J354" s="9">
        <f>DATE(YEAR(I354), MONTH(I354) +1, DAY(I354))</f>
        <v>45748</v>
      </c>
      <c r="K354" s="6" t="s">
        <v>12</v>
      </c>
      <c r="L354" s="8">
        <v>40.03</v>
      </c>
      <c r="M354" s="8">
        <v>3</v>
      </c>
      <c r="N354" s="8">
        <v>3</v>
      </c>
      <c r="O354" t="s">
        <v>235</v>
      </c>
    </row>
    <row r="355" spans="1:15" ht="15.75" x14ac:dyDescent="0.25">
      <c r="A355" s="5" t="s">
        <v>13</v>
      </c>
      <c r="B355" s="6">
        <v>20411454</v>
      </c>
      <c r="C355" s="6" t="s">
        <v>42</v>
      </c>
      <c r="D355" s="6" t="s">
        <v>43</v>
      </c>
      <c r="E355" s="6" t="str">
        <f>CONCATENATE(D355,1)</f>
        <v>01F2T51</v>
      </c>
      <c r="F355" s="7" t="s">
        <v>44</v>
      </c>
      <c r="G355" s="6">
        <v>1</v>
      </c>
      <c r="H355" s="6">
        <v>20250401</v>
      </c>
      <c r="I355" s="6" t="str">
        <f>TEXT(DATE(LEFT(H355,4), MID(H355,5,2), RIGHT(H355,2)), "M/d/yyyy")</f>
        <v>4/1/2025</v>
      </c>
      <c r="J355" s="9">
        <f>DATE(YEAR(I355), MONTH(I355) +1, DAY(I355))</f>
        <v>45778</v>
      </c>
      <c r="K355" s="6" t="s">
        <v>12</v>
      </c>
      <c r="L355" s="8">
        <v>40.03</v>
      </c>
      <c r="M355" s="8">
        <v>3</v>
      </c>
      <c r="N355" s="8">
        <v>3</v>
      </c>
      <c r="O355" t="s">
        <v>235</v>
      </c>
    </row>
    <row r="356" spans="1:15" ht="15.75" x14ac:dyDescent="0.25">
      <c r="A356" s="5" t="s">
        <v>13</v>
      </c>
      <c r="B356" s="6">
        <v>20411454</v>
      </c>
      <c r="C356" s="6" t="s">
        <v>68</v>
      </c>
      <c r="D356" s="6" t="s">
        <v>69</v>
      </c>
      <c r="E356" s="6" t="str">
        <f>CONCATENATE(D356,1)</f>
        <v>24T3Q31</v>
      </c>
      <c r="F356" s="7" t="s">
        <v>33</v>
      </c>
      <c r="G356" s="6">
        <v>-1</v>
      </c>
      <c r="H356" s="6">
        <v>20250201</v>
      </c>
      <c r="I356" s="6" t="str">
        <f>TEXT(DATE(LEFT(H356,4), MID(H356,5,2), RIGHT(H356,2)), "M/d/yyyy")</f>
        <v>2/1/2025</v>
      </c>
      <c r="J356" s="9">
        <f>DATE(YEAR(I356), MONTH(I356) +1, DAY(I356))</f>
        <v>45717</v>
      </c>
      <c r="K356" s="6" t="s">
        <v>12</v>
      </c>
      <c r="L356" s="8">
        <v>-896</v>
      </c>
      <c r="M356" s="8">
        <v>3</v>
      </c>
      <c r="N356" s="8">
        <v>-3</v>
      </c>
      <c r="O356" t="s">
        <v>235</v>
      </c>
    </row>
    <row r="357" spans="1:15" ht="15.75" x14ac:dyDescent="0.25">
      <c r="A357" s="5" t="s">
        <v>13</v>
      </c>
      <c r="B357" s="6">
        <v>20411454</v>
      </c>
      <c r="C357" s="6" t="s">
        <v>68</v>
      </c>
      <c r="D357" s="6" t="s">
        <v>69</v>
      </c>
      <c r="E357" s="6" t="str">
        <f>CONCATENATE(D357,1)</f>
        <v>24T3Q31</v>
      </c>
      <c r="F357" s="7" t="s">
        <v>33</v>
      </c>
      <c r="G357" s="6">
        <v>-1</v>
      </c>
      <c r="H357" s="6">
        <v>20250301</v>
      </c>
      <c r="I357" s="6" t="str">
        <f>TEXT(DATE(LEFT(H357,4), MID(H357,5,2), RIGHT(H357,2)), "M/d/yyyy")</f>
        <v>3/1/2025</v>
      </c>
      <c r="J357" s="9">
        <f>DATE(YEAR(I357), MONTH(I357) +1, DAY(I357))</f>
        <v>45748</v>
      </c>
      <c r="K357" s="6" t="s">
        <v>12</v>
      </c>
      <c r="L357" s="8">
        <v>-215.88</v>
      </c>
      <c r="M357" s="8">
        <v>3</v>
      </c>
      <c r="N357" s="8">
        <v>-3</v>
      </c>
      <c r="O357" t="s">
        <v>235</v>
      </c>
    </row>
    <row r="358" spans="1:15" ht="15.75" x14ac:dyDescent="0.25">
      <c r="A358" s="5" t="s">
        <v>13</v>
      </c>
      <c r="B358" s="6">
        <v>20411454</v>
      </c>
      <c r="C358" s="6" t="s">
        <v>68</v>
      </c>
      <c r="D358" s="6" t="s">
        <v>69</v>
      </c>
      <c r="E358" s="6" t="str">
        <f>CONCATENATE(D358,1)</f>
        <v>24T3Q31</v>
      </c>
      <c r="F358" s="7" t="s">
        <v>33</v>
      </c>
      <c r="G358" s="6">
        <v>1</v>
      </c>
      <c r="H358" s="6">
        <v>20250201</v>
      </c>
      <c r="I358" s="6" t="str">
        <f>TEXT(DATE(LEFT(H358,4), MID(H358,5,2), RIGHT(H358,2)), "M/d/yyyy")</f>
        <v>2/1/2025</v>
      </c>
      <c r="J358" s="9">
        <f>DATE(YEAR(I358), MONTH(I358) +1, DAY(I358))</f>
        <v>45717</v>
      </c>
      <c r="K358" s="6" t="s">
        <v>12</v>
      </c>
      <c r="L358" s="8">
        <v>215.88</v>
      </c>
      <c r="M358" s="8">
        <v>3</v>
      </c>
      <c r="N358" s="8">
        <v>3</v>
      </c>
      <c r="O358" t="s">
        <v>235</v>
      </c>
    </row>
    <row r="359" spans="1:15" ht="15.75" x14ac:dyDescent="0.25">
      <c r="A359" s="5" t="s">
        <v>13</v>
      </c>
      <c r="B359" s="6">
        <v>20411454</v>
      </c>
      <c r="C359" s="6" t="s">
        <v>68</v>
      </c>
      <c r="D359" s="6" t="s">
        <v>69</v>
      </c>
      <c r="E359" s="6" t="str">
        <f>CONCATENATE(D359,1)</f>
        <v>24T3Q31</v>
      </c>
      <c r="F359" s="7" t="s">
        <v>33</v>
      </c>
      <c r="G359" s="6">
        <v>1</v>
      </c>
      <c r="H359" s="6">
        <v>20250301</v>
      </c>
      <c r="I359" s="6" t="str">
        <f>TEXT(DATE(LEFT(H359,4), MID(H359,5,2), RIGHT(H359,2)), "M/d/yyyy")</f>
        <v>3/1/2025</v>
      </c>
      <c r="J359" s="9">
        <f>DATE(YEAR(I359), MONTH(I359) +1, DAY(I359))</f>
        <v>45748</v>
      </c>
      <c r="K359" s="6" t="s">
        <v>12</v>
      </c>
      <c r="L359" s="8">
        <v>215.88</v>
      </c>
      <c r="M359" s="8">
        <v>3</v>
      </c>
      <c r="N359" s="8">
        <v>3</v>
      </c>
      <c r="O359" t="s">
        <v>235</v>
      </c>
    </row>
    <row r="360" spans="1:15" ht="15.75" x14ac:dyDescent="0.25">
      <c r="A360" s="5" t="s">
        <v>13</v>
      </c>
      <c r="B360" s="6">
        <v>20411454</v>
      </c>
      <c r="C360" s="6" t="s">
        <v>68</v>
      </c>
      <c r="D360" s="6" t="s">
        <v>69</v>
      </c>
      <c r="E360" s="6" t="str">
        <f>CONCATENATE(D360,1)</f>
        <v>24T3Q31</v>
      </c>
      <c r="F360" s="7" t="s">
        <v>33</v>
      </c>
      <c r="G360" s="6">
        <v>1</v>
      </c>
      <c r="H360" s="6">
        <v>20250401</v>
      </c>
      <c r="I360" s="6" t="str">
        <f>TEXT(DATE(LEFT(H360,4), MID(H360,5,2), RIGHT(H360,2)), "M/d/yyyy")</f>
        <v>4/1/2025</v>
      </c>
      <c r="J360" s="9">
        <f>DATE(YEAR(I360), MONTH(I360) +1, DAY(I360))</f>
        <v>45778</v>
      </c>
      <c r="K360" s="6" t="s">
        <v>12</v>
      </c>
      <c r="L360" s="8">
        <v>215.88</v>
      </c>
      <c r="M360" s="8">
        <v>3</v>
      </c>
      <c r="N360" s="8">
        <v>3</v>
      </c>
      <c r="O360" t="s">
        <v>235</v>
      </c>
    </row>
    <row r="361" spans="1:15" ht="15.75" x14ac:dyDescent="0.25">
      <c r="A361" s="5" t="s">
        <v>13</v>
      </c>
      <c r="B361" s="6">
        <v>20411454</v>
      </c>
      <c r="C361" s="6" t="s">
        <v>105</v>
      </c>
      <c r="D361" s="6" t="s">
        <v>106</v>
      </c>
      <c r="E361" s="6" t="str">
        <f>CONCATENATE(D361,1)</f>
        <v>83R5P11</v>
      </c>
      <c r="F361" s="7" t="s">
        <v>86</v>
      </c>
      <c r="G361" s="6">
        <v>-1</v>
      </c>
      <c r="H361" s="6">
        <v>20250201</v>
      </c>
      <c r="I361" s="6" t="str">
        <f>TEXT(DATE(LEFT(H361,4), MID(H361,5,2), RIGHT(H361,2)), "M/d/yyyy")</f>
        <v>2/1/2025</v>
      </c>
      <c r="J361" s="9">
        <f>DATE(YEAR(I361), MONTH(I361) +1, DAY(I361))</f>
        <v>45717</v>
      </c>
      <c r="K361" s="6" t="s">
        <v>18</v>
      </c>
      <c r="L361" s="8">
        <v>-420.4</v>
      </c>
      <c r="M361" s="8">
        <v>3</v>
      </c>
      <c r="N361" s="8">
        <v>-3</v>
      </c>
      <c r="O361" t="s">
        <v>235</v>
      </c>
    </row>
    <row r="362" spans="1:15" ht="15.75" x14ac:dyDescent="0.25">
      <c r="A362" s="5" t="s">
        <v>13</v>
      </c>
      <c r="B362" s="6">
        <v>20411454</v>
      </c>
      <c r="C362" s="6" t="s">
        <v>105</v>
      </c>
      <c r="D362" s="6" t="s">
        <v>106</v>
      </c>
      <c r="E362" s="6" t="str">
        <f>CONCATENATE(D362,1)</f>
        <v>83R5P11</v>
      </c>
      <c r="F362" s="7" t="s">
        <v>86</v>
      </c>
      <c r="G362" s="6">
        <v>-1</v>
      </c>
      <c r="H362" s="6">
        <v>20250301</v>
      </c>
      <c r="I362" s="6" t="str">
        <f>TEXT(DATE(LEFT(H362,4), MID(H362,5,2), RIGHT(H362,2)), "M/d/yyyy")</f>
        <v>3/1/2025</v>
      </c>
      <c r="J362" s="9">
        <f>DATE(YEAR(I362), MONTH(I362) +1, DAY(I362))</f>
        <v>45748</v>
      </c>
      <c r="K362" s="6" t="s">
        <v>18</v>
      </c>
      <c r="L362" s="8">
        <v>-420.4</v>
      </c>
      <c r="M362" s="8">
        <v>3</v>
      </c>
      <c r="N362" s="8">
        <v>-3</v>
      </c>
      <c r="O362" t="s">
        <v>235</v>
      </c>
    </row>
    <row r="363" spans="1:15" ht="15.75" x14ac:dyDescent="0.25">
      <c r="A363" s="5" t="s">
        <v>13</v>
      </c>
      <c r="B363" s="6">
        <v>20411454</v>
      </c>
      <c r="C363" s="6" t="s">
        <v>105</v>
      </c>
      <c r="D363" s="6" t="s">
        <v>106</v>
      </c>
      <c r="E363" s="6" t="str">
        <f>CONCATENATE(D363,1)</f>
        <v>83R5P11</v>
      </c>
      <c r="F363" s="7" t="s">
        <v>86</v>
      </c>
      <c r="G363" s="6">
        <v>1</v>
      </c>
      <c r="H363" s="6">
        <v>20250201</v>
      </c>
      <c r="I363" s="6" t="str">
        <f>TEXT(DATE(LEFT(H363,4), MID(H363,5,2), RIGHT(H363,2)), "M/d/yyyy")</f>
        <v>2/1/2025</v>
      </c>
      <c r="J363" s="9">
        <f>DATE(YEAR(I363), MONTH(I363) +1, DAY(I363))</f>
        <v>45717</v>
      </c>
      <c r="K363" s="6" t="s">
        <v>18</v>
      </c>
      <c r="L363" s="8">
        <v>420.4</v>
      </c>
      <c r="M363" s="8">
        <v>3</v>
      </c>
      <c r="N363" s="8">
        <v>3</v>
      </c>
      <c r="O363" t="s">
        <v>235</v>
      </c>
    </row>
    <row r="364" spans="1:15" ht="15.75" x14ac:dyDescent="0.25">
      <c r="A364" s="5" t="s">
        <v>13</v>
      </c>
      <c r="B364" s="6">
        <v>20411454</v>
      </c>
      <c r="C364" s="6" t="s">
        <v>105</v>
      </c>
      <c r="D364" s="6" t="s">
        <v>106</v>
      </c>
      <c r="E364" s="6" t="str">
        <f>CONCATENATE(D364,1)</f>
        <v>83R5P11</v>
      </c>
      <c r="F364" s="7" t="s">
        <v>86</v>
      </c>
      <c r="G364" s="6">
        <v>1</v>
      </c>
      <c r="H364" s="6">
        <v>20250301</v>
      </c>
      <c r="I364" s="6" t="str">
        <f>TEXT(DATE(LEFT(H364,4), MID(H364,5,2), RIGHT(H364,2)), "M/d/yyyy")</f>
        <v>3/1/2025</v>
      </c>
      <c r="J364" s="9">
        <f>DATE(YEAR(I364), MONTH(I364) +1, DAY(I364))</f>
        <v>45748</v>
      </c>
      <c r="K364" s="6" t="s">
        <v>18</v>
      </c>
      <c r="L364" s="8">
        <v>420.4</v>
      </c>
      <c r="M364" s="8">
        <v>3</v>
      </c>
      <c r="N364" s="8">
        <v>3</v>
      </c>
      <c r="O364" t="s">
        <v>235</v>
      </c>
    </row>
    <row r="365" spans="1:15" ht="15.75" x14ac:dyDescent="0.25">
      <c r="A365" s="5" t="s">
        <v>13</v>
      </c>
      <c r="B365" s="6">
        <v>20411454</v>
      </c>
      <c r="C365" s="6" t="s">
        <v>105</v>
      </c>
      <c r="D365" s="6" t="s">
        <v>106</v>
      </c>
      <c r="E365" s="6" t="str">
        <f>CONCATENATE(D365,1)</f>
        <v>83R5P11</v>
      </c>
      <c r="F365" s="7" t="s">
        <v>86</v>
      </c>
      <c r="G365" s="6">
        <v>1</v>
      </c>
      <c r="H365" s="6">
        <v>20250401</v>
      </c>
      <c r="I365" s="6" t="str">
        <f>TEXT(DATE(LEFT(H365,4), MID(H365,5,2), RIGHT(H365,2)), "M/d/yyyy")</f>
        <v>4/1/2025</v>
      </c>
      <c r="J365" s="9">
        <f>DATE(YEAR(I365), MONTH(I365) +1, DAY(I365))</f>
        <v>45778</v>
      </c>
      <c r="K365" s="6" t="s">
        <v>18</v>
      </c>
      <c r="L365" s="8">
        <v>420.4</v>
      </c>
      <c r="M365" s="8">
        <v>3</v>
      </c>
      <c r="N365" s="8">
        <v>3</v>
      </c>
      <c r="O365" t="s">
        <v>235</v>
      </c>
    </row>
    <row r="366" spans="1:15" ht="15.75" x14ac:dyDescent="0.25">
      <c r="A366" s="5" t="s">
        <v>13</v>
      </c>
      <c r="B366" s="6">
        <v>20411454</v>
      </c>
      <c r="C366" s="6" t="s">
        <v>20</v>
      </c>
      <c r="D366" s="6" t="s">
        <v>21</v>
      </c>
      <c r="E366" s="6" t="str">
        <f>CONCATENATE(D366,1)</f>
        <v>0W61U51</v>
      </c>
      <c r="F366" s="7" t="s">
        <v>22</v>
      </c>
      <c r="G366" s="6">
        <v>-1</v>
      </c>
      <c r="H366" s="6">
        <v>20250201</v>
      </c>
      <c r="I366" s="6" t="str">
        <f>TEXT(DATE(LEFT(H366,4), MID(H366,5,2), RIGHT(H366,2)), "M/d/yyyy")</f>
        <v>2/1/2025</v>
      </c>
      <c r="J366" s="9">
        <f>DATE(YEAR(I366), MONTH(I366) +1, DAY(I366))</f>
        <v>45717</v>
      </c>
      <c r="K366" s="6" t="s">
        <v>18</v>
      </c>
      <c r="L366" s="8">
        <v>-151.52000000000001</v>
      </c>
      <c r="M366" s="8">
        <v>3</v>
      </c>
      <c r="N366" s="8">
        <v>-3</v>
      </c>
      <c r="O366" t="s">
        <v>235</v>
      </c>
    </row>
    <row r="367" spans="1:15" ht="15.75" x14ac:dyDescent="0.25">
      <c r="A367" s="5" t="s">
        <v>13</v>
      </c>
      <c r="B367" s="6">
        <v>20411454</v>
      </c>
      <c r="C367" s="6" t="s">
        <v>20</v>
      </c>
      <c r="D367" s="6" t="s">
        <v>21</v>
      </c>
      <c r="E367" s="6" t="str">
        <f>CONCATENATE(D367,1)</f>
        <v>0W61U51</v>
      </c>
      <c r="F367" s="7" t="s">
        <v>22</v>
      </c>
      <c r="G367" s="6">
        <v>-1</v>
      </c>
      <c r="H367" s="6">
        <v>20250301</v>
      </c>
      <c r="I367" s="6" t="str">
        <f>TEXT(DATE(LEFT(H367,4), MID(H367,5,2), RIGHT(H367,2)), "M/d/yyyy")</f>
        <v>3/1/2025</v>
      </c>
      <c r="J367" s="9">
        <f>DATE(YEAR(I367), MONTH(I367) +1, DAY(I367))</f>
        <v>45748</v>
      </c>
      <c r="K367" s="6" t="s">
        <v>18</v>
      </c>
      <c r="L367" s="8">
        <v>-151.52000000000001</v>
      </c>
      <c r="M367" s="8">
        <v>3</v>
      </c>
      <c r="N367" s="8">
        <v>-3</v>
      </c>
      <c r="O367" t="s">
        <v>235</v>
      </c>
    </row>
    <row r="368" spans="1:15" ht="15.75" x14ac:dyDescent="0.25">
      <c r="A368" s="5" t="s">
        <v>13</v>
      </c>
      <c r="B368" s="6">
        <v>20411454</v>
      </c>
      <c r="C368" s="6" t="s">
        <v>20</v>
      </c>
      <c r="D368" s="6" t="s">
        <v>21</v>
      </c>
      <c r="E368" s="6" t="str">
        <f>CONCATENATE(D368,1)</f>
        <v>0W61U51</v>
      </c>
      <c r="F368" s="7" t="s">
        <v>22</v>
      </c>
      <c r="G368" s="6">
        <v>1</v>
      </c>
      <c r="H368" s="6">
        <v>20250201</v>
      </c>
      <c r="I368" s="6" t="str">
        <f>TEXT(DATE(LEFT(H368,4), MID(H368,5,2), RIGHT(H368,2)), "M/d/yyyy")</f>
        <v>2/1/2025</v>
      </c>
      <c r="J368" s="9">
        <f>DATE(YEAR(I368), MONTH(I368) +1, DAY(I368))</f>
        <v>45717</v>
      </c>
      <c r="K368" s="6" t="s">
        <v>18</v>
      </c>
      <c r="L368" s="8">
        <v>151.52000000000001</v>
      </c>
      <c r="M368" s="8">
        <v>3</v>
      </c>
      <c r="N368" s="8">
        <v>3</v>
      </c>
      <c r="O368" t="s">
        <v>235</v>
      </c>
    </row>
    <row r="369" spans="1:15" ht="15.75" x14ac:dyDescent="0.25">
      <c r="A369" s="5" t="s">
        <v>13</v>
      </c>
      <c r="B369" s="6">
        <v>20411454</v>
      </c>
      <c r="C369" s="6" t="s">
        <v>20</v>
      </c>
      <c r="D369" s="6" t="s">
        <v>21</v>
      </c>
      <c r="E369" s="6" t="str">
        <f>CONCATENATE(D369,1)</f>
        <v>0W61U51</v>
      </c>
      <c r="F369" s="7" t="s">
        <v>22</v>
      </c>
      <c r="G369" s="6">
        <v>1</v>
      </c>
      <c r="H369" s="6">
        <v>20250301</v>
      </c>
      <c r="I369" s="6" t="str">
        <f>TEXT(DATE(LEFT(H369,4), MID(H369,5,2), RIGHT(H369,2)), "M/d/yyyy")</f>
        <v>3/1/2025</v>
      </c>
      <c r="J369" s="9">
        <f>DATE(YEAR(I369), MONTH(I369) +1, DAY(I369))</f>
        <v>45748</v>
      </c>
      <c r="K369" s="6" t="s">
        <v>18</v>
      </c>
      <c r="L369" s="8">
        <v>151.52000000000001</v>
      </c>
      <c r="M369" s="8">
        <v>3</v>
      </c>
      <c r="N369" s="8">
        <v>3</v>
      </c>
      <c r="O369" t="s">
        <v>235</v>
      </c>
    </row>
    <row r="370" spans="1:15" ht="15.75" x14ac:dyDescent="0.25">
      <c r="A370" s="5" t="s">
        <v>13</v>
      </c>
      <c r="B370" s="6">
        <v>20411454</v>
      </c>
      <c r="C370" s="6" t="s">
        <v>20</v>
      </c>
      <c r="D370" s="6" t="s">
        <v>21</v>
      </c>
      <c r="E370" s="6" t="str">
        <f>CONCATENATE(D370,1)</f>
        <v>0W61U51</v>
      </c>
      <c r="F370" s="7" t="s">
        <v>22</v>
      </c>
      <c r="G370" s="6">
        <v>1</v>
      </c>
      <c r="H370" s="6">
        <v>20250401</v>
      </c>
      <c r="I370" s="6" t="str">
        <f>TEXT(DATE(LEFT(H370,4), MID(H370,5,2), RIGHT(H370,2)), "M/d/yyyy")</f>
        <v>4/1/2025</v>
      </c>
      <c r="J370" s="9">
        <f>DATE(YEAR(I370), MONTH(I370) +1, DAY(I370))</f>
        <v>45778</v>
      </c>
      <c r="K370" s="6" t="s">
        <v>18</v>
      </c>
      <c r="L370" s="8">
        <v>151.52000000000001</v>
      </c>
      <c r="M370" s="8">
        <v>3</v>
      </c>
      <c r="N370" s="8">
        <v>3</v>
      </c>
      <c r="O370" t="s">
        <v>235</v>
      </c>
    </row>
    <row r="371" spans="1:15" ht="15.75" x14ac:dyDescent="0.25">
      <c r="A371" s="5" t="s">
        <v>13</v>
      </c>
      <c r="B371" s="6">
        <v>20411454</v>
      </c>
      <c r="C371" s="6" t="s">
        <v>149</v>
      </c>
      <c r="D371" s="6" t="s">
        <v>150</v>
      </c>
      <c r="E371" s="6" t="str">
        <f>CONCATENATE(D371,1)</f>
        <v>18P65E1</v>
      </c>
      <c r="F371" s="7" t="s">
        <v>86</v>
      </c>
      <c r="G371" s="6">
        <v>-1</v>
      </c>
      <c r="H371" s="6">
        <v>20250201</v>
      </c>
      <c r="I371" s="6" t="str">
        <f>TEXT(DATE(LEFT(H371,4), MID(H371,5,2), RIGHT(H371,2)), "M/d/yyyy")</f>
        <v>2/1/2025</v>
      </c>
      <c r="J371" s="9">
        <f>DATE(YEAR(I371), MONTH(I371) +1, DAY(I371))</f>
        <v>45717</v>
      </c>
      <c r="K371" s="6" t="s">
        <v>18</v>
      </c>
      <c r="L371" s="8">
        <v>-387.35</v>
      </c>
      <c r="M371" s="8">
        <v>3</v>
      </c>
      <c r="N371" s="8">
        <v>-3</v>
      </c>
      <c r="O371" t="s">
        <v>235</v>
      </c>
    </row>
    <row r="372" spans="1:15" ht="15.75" x14ac:dyDescent="0.25">
      <c r="A372" s="5" t="s">
        <v>13</v>
      </c>
      <c r="B372" s="6">
        <v>20411454</v>
      </c>
      <c r="C372" s="6" t="s">
        <v>149</v>
      </c>
      <c r="D372" s="6" t="s">
        <v>150</v>
      </c>
      <c r="E372" s="6" t="str">
        <f>CONCATENATE(D372,1)</f>
        <v>18P65E1</v>
      </c>
      <c r="F372" s="7" t="s">
        <v>86</v>
      </c>
      <c r="G372" s="6">
        <v>1</v>
      </c>
      <c r="H372" s="6">
        <v>20250201</v>
      </c>
      <c r="I372" s="6" t="str">
        <f>TEXT(DATE(LEFT(H372,4), MID(H372,5,2), RIGHT(H372,2)), "M/d/yyyy")</f>
        <v>2/1/2025</v>
      </c>
      <c r="J372" s="9">
        <f>DATE(YEAR(I372), MONTH(I372) +1, DAY(I372))</f>
        <v>45717</v>
      </c>
      <c r="K372" s="6" t="s">
        <v>18</v>
      </c>
      <c r="L372" s="8">
        <v>1</v>
      </c>
      <c r="M372" s="8">
        <v>3</v>
      </c>
      <c r="N372" s="8">
        <v>3</v>
      </c>
      <c r="O372" t="s">
        <v>235</v>
      </c>
    </row>
    <row r="373" spans="1:15" ht="15.75" x14ac:dyDescent="0.25">
      <c r="A373" s="5" t="s">
        <v>13</v>
      </c>
      <c r="B373" s="6">
        <v>20411454</v>
      </c>
      <c r="C373" s="6" t="s">
        <v>149</v>
      </c>
      <c r="D373" s="6" t="s">
        <v>150</v>
      </c>
      <c r="E373" s="6" t="str">
        <f>CONCATENATE(D373,1)</f>
        <v>18P65E1</v>
      </c>
      <c r="F373" s="7" t="s">
        <v>86</v>
      </c>
      <c r="G373" s="6">
        <v>1</v>
      </c>
      <c r="H373" s="6">
        <v>20250301</v>
      </c>
      <c r="I373" s="6" t="str">
        <f>TEXT(DATE(LEFT(H373,4), MID(H373,5,2), RIGHT(H373,2)), "M/d/yyyy")</f>
        <v>3/1/2025</v>
      </c>
      <c r="J373" s="9">
        <f>DATE(YEAR(I373), MONTH(I373) +1, DAY(I373))</f>
        <v>45748</v>
      </c>
      <c r="K373" s="6" t="s">
        <v>18</v>
      </c>
      <c r="L373" s="8">
        <v>1</v>
      </c>
      <c r="M373" s="8">
        <v>3</v>
      </c>
      <c r="N373" s="8">
        <v>3</v>
      </c>
      <c r="O373" t="s">
        <v>235</v>
      </c>
    </row>
    <row r="374" spans="1:15" ht="15.75" x14ac:dyDescent="0.25">
      <c r="A374" s="5" t="s">
        <v>13</v>
      </c>
      <c r="B374" s="6">
        <v>20411454</v>
      </c>
      <c r="C374" s="6" t="s">
        <v>133</v>
      </c>
      <c r="D374" s="6" t="s">
        <v>134</v>
      </c>
      <c r="E374" s="6" t="str">
        <f>CONCATENATE(D374,1)</f>
        <v>22TF461</v>
      </c>
      <c r="F374" s="7" t="s">
        <v>86</v>
      </c>
      <c r="G374" s="6">
        <v>-2</v>
      </c>
      <c r="H374" s="6">
        <v>20250201</v>
      </c>
      <c r="I374" s="6" t="str">
        <f>TEXT(DATE(LEFT(H374,4), MID(H374,5,2), RIGHT(H374,2)), "M/d/yyyy")</f>
        <v>2/1/2025</v>
      </c>
      <c r="J374" s="9">
        <f>DATE(YEAR(I374), MONTH(I374) +1, DAY(I374))</f>
        <v>45717</v>
      </c>
      <c r="K374" s="6" t="s">
        <v>18</v>
      </c>
      <c r="L374" s="8">
        <v>-149.62</v>
      </c>
      <c r="M374" s="8">
        <v>3</v>
      </c>
      <c r="N374" s="8">
        <v>-6</v>
      </c>
      <c r="O374" t="s">
        <v>235</v>
      </c>
    </row>
    <row r="375" spans="1:15" ht="15.75" x14ac:dyDescent="0.25">
      <c r="A375" s="5" t="s">
        <v>13</v>
      </c>
      <c r="B375" s="6">
        <v>20411454</v>
      </c>
      <c r="C375" s="6" t="s">
        <v>133</v>
      </c>
      <c r="D375" s="6" t="s">
        <v>134</v>
      </c>
      <c r="E375" s="6" t="str">
        <f>CONCATENATE(D375,1)</f>
        <v>22TF461</v>
      </c>
      <c r="F375" s="7" t="s">
        <v>86</v>
      </c>
      <c r="G375" s="6">
        <v>-2</v>
      </c>
      <c r="H375" s="6">
        <v>20250301</v>
      </c>
      <c r="I375" s="6" t="str">
        <f>TEXT(DATE(LEFT(H375,4), MID(H375,5,2), RIGHT(H375,2)), "M/d/yyyy")</f>
        <v>3/1/2025</v>
      </c>
      <c r="J375" s="9">
        <f>DATE(YEAR(I375), MONTH(I375) +1, DAY(I375))</f>
        <v>45748</v>
      </c>
      <c r="K375" s="6" t="s">
        <v>18</v>
      </c>
      <c r="L375" s="8">
        <v>-149.62</v>
      </c>
      <c r="M375" s="8">
        <v>3</v>
      </c>
      <c r="N375" s="8">
        <v>-6</v>
      </c>
      <c r="O375" t="s">
        <v>235</v>
      </c>
    </row>
    <row r="376" spans="1:15" ht="15.75" x14ac:dyDescent="0.25">
      <c r="A376" s="5" t="s">
        <v>13</v>
      </c>
      <c r="B376" s="6">
        <v>20411454</v>
      </c>
      <c r="C376" s="6" t="s">
        <v>133</v>
      </c>
      <c r="D376" s="6" t="s">
        <v>134</v>
      </c>
      <c r="E376" s="6" t="str">
        <f>CONCATENATE(D376,1)</f>
        <v>22TF461</v>
      </c>
      <c r="F376" s="7" t="s">
        <v>86</v>
      </c>
      <c r="G376" s="6">
        <v>2</v>
      </c>
      <c r="H376" s="6">
        <v>20250201</v>
      </c>
      <c r="I376" s="6" t="str">
        <f>TEXT(DATE(LEFT(H376,4), MID(H376,5,2), RIGHT(H376,2)), "M/d/yyyy")</f>
        <v>2/1/2025</v>
      </c>
      <c r="J376" s="9">
        <f>DATE(YEAR(I376), MONTH(I376) +1, DAY(I376))</f>
        <v>45717</v>
      </c>
      <c r="K376" s="6" t="s">
        <v>18</v>
      </c>
      <c r="L376" s="8">
        <v>149.62</v>
      </c>
      <c r="M376" s="8">
        <v>3</v>
      </c>
      <c r="N376" s="8">
        <v>6</v>
      </c>
      <c r="O376" t="s">
        <v>235</v>
      </c>
    </row>
    <row r="377" spans="1:15" ht="15.75" x14ac:dyDescent="0.25">
      <c r="A377" s="5" t="s">
        <v>13</v>
      </c>
      <c r="B377" s="6">
        <v>20411454</v>
      </c>
      <c r="C377" s="6" t="s">
        <v>133</v>
      </c>
      <c r="D377" s="6" t="s">
        <v>134</v>
      </c>
      <c r="E377" s="6" t="str">
        <f>CONCATENATE(D377,1)</f>
        <v>22TF461</v>
      </c>
      <c r="F377" s="7" t="s">
        <v>86</v>
      </c>
      <c r="G377" s="6">
        <v>2</v>
      </c>
      <c r="H377" s="6">
        <v>20250301</v>
      </c>
      <c r="I377" s="6" t="str">
        <f>TEXT(DATE(LEFT(H377,4), MID(H377,5,2), RIGHT(H377,2)), "M/d/yyyy")</f>
        <v>3/1/2025</v>
      </c>
      <c r="J377" s="9">
        <f>DATE(YEAR(I377), MONTH(I377) +1, DAY(I377))</f>
        <v>45748</v>
      </c>
      <c r="K377" s="6" t="s">
        <v>18</v>
      </c>
      <c r="L377" s="8">
        <v>149.62</v>
      </c>
      <c r="M377" s="8">
        <v>3</v>
      </c>
      <c r="N377" s="8">
        <v>6</v>
      </c>
      <c r="O377" t="s">
        <v>235</v>
      </c>
    </row>
    <row r="378" spans="1:15" ht="15.75" x14ac:dyDescent="0.25">
      <c r="A378" s="5" t="s">
        <v>13</v>
      </c>
      <c r="B378" s="6">
        <v>20411454</v>
      </c>
      <c r="C378" s="6" t="s">
        <v>133</v>
      </c>
      <c r="D378" s="6" t="s">
        <v>134</v>
      </c>
      <c r="E378" s="6" t="str">
        <f>CONCATENATE(D378,1)</f>
        <v>22TF461</v>
      </c>
      <c r="F378" s="7" t="s">
        <v>86</v>
      </c>
      <c r="G378" s="6">
        <v>2</v>
      </c>
      <c r="H378" s="6">
        <v>20250401</v>
      </c>
      <c r="I378" s="6" t="str">
        <f>TEXT(DATE(LEFT(H378,4), MID(H378,5,2), RIGHT(H378,2)), "M/d/yyyy")</f>
        <v>4/1/2025</v>
      </c>
      <c r="J378" s="9">
        <f>DATE(YEAR(I378), MONTH(I378) +1, DAY(I378))</f>
        <v>45778</v>
      </c>
      <c r="K378" s="6" t="s">
        <v>18</v>
      </c>
      <c r="L378" s="8">
        <v>149.62</v>
      </c>
      <c r="M378" s="8">
        <v>3</v>
      </c>
      <c r="N378" s="8">
        <v>6</v>
      </c>
      <c r="O378" t="s">
        <v>235</v>
      </c>
    </row>
    <row r="379" spans="1:15" ht="15.75" x14ac:dyDescent="0.25">
      <c r="A379" s="5" t="s">
        <v>13</v>
      </c>
      <c r="B379" s="6">
        <v>20411454</v>
      </c>
      <c r="C379" s="6" t="s">
        <v>155</v>
      </c>
      <c r="D379" s="6" t="s">
        <v>156</v>
      </c>
      <c r="E379" s="6" t="str">
        <f>CONCATENATE(D379,1)</f>
        <v>25R0J71</v>
      </c>
      <c r="F379" s="7" t="s">
        <v>86</v>
      </c>
      <c r="G379" s="6">
        <v>-1</v>
      </c>
      <c r="H379" s="6">
        <v>20250201</v>
      </c>
      <c r="I379" s="6" t="str">
        <f>TEXT(DATE(LEFT(H379,4), MID(H379,5,2), RIGHT(H379,2)), "M/d/yyyy")</f>
        <v>2/1/2025</v>
      </c>
      <c r="J379" s="9">
        <f>DATE(YEAR(I379), MONTH(I379) +1, DAY(I379))</f>
        <v>45717</v>
      </c>
      <c r="K379" s="6" t="s">
        <v>18</v>
      </c>
      <c r="L379" s="8">
        <v>-187.08</v>
      </c>
      <c r="M379" s="8">
        <v>3</v>
      </c>
      <c r="N379" s="8">
        <v>-3</v>
      </c>
      <c r="O379" t="s">
        <v>235</v>
      </c>
    </row>
    <row r="380" spans="1:15" ht="15.75" x14ac:dyDescent="0.25">
      <c r="A380" s="5" t="s">
        <v>13</v>
      </c>
      <c r="B380" s="6">
        <v>20411454</v>
      </c>
      <c r="C380" s="6" t="s">
        <v>155</v>
      </c>
      <c r="D380" s="6" t="s">
        <v>156</v>
      </c>
      <c r="E380" s="6" t="str">
        <f>CONCATENATE(D380,1)</f>
        <v>25R0J71</v>
      </c>
      <c r="F380" s="7" t="s">
        <v>86</v>
      </c>
      <c r="G380" s="6">
        <v>-1</v>
      </c>
      <c r="H380" s="6">
        <v>20250301</v>
      </c>
      <c r="I380" s="6" t="str">
        <f>TEXT(DATE(LEFT(H380,4), MID(H380,5,2), RIGHT(H380,2)), "M/d/yyyy")</f>
        <v>3/1/2025</v>
      </c>
      <c r="J380" s="9">
        <f>DATE(YEAR(I380), MONTH(I380) +1, DAY(I380))</f>
        <v>45748</v>
      </c>
      <c r="K380" s="6" t="s">
        <v>18</v>
      </c>
      <c r="L380" s="8">
        <v>-187.08</v>
      </c>
      <c r="M380" s="8">
        <v>3</v>
      </c>
      <c r="N380" s="8">
        <v>-3</v>
      </c>
      <c r="O380" t="s">
        <v>235</v>
      </c>
    </row>
    <row r="381" spans="1:15" ht="15.75" x14ac:dyDescent="0.25">
      <c r="A381" s="5" t="s">
        <v>13</v>
      </c>
      <c r="B381" s="6">
        <v>20411454</v>
      </c>
      <c r="C381" s="6" t="s">
        <v>155</v>
      </c>
      <c r="D381" s="6" t="s">
        <v>156</v>
      </c>
      <c r="E381" s="6" t="str">
        <f>CONCATENATE(D381,1)</f>
        <v>25R0J71</v>
      </c>
      <c r="F381" s="7" t="s">
        <v>86</v>
      </c>
      <c r="G381" s="6">
        <v>1</v>
      </c>
      <c r="H381" s="6">
        <v>20250201</v>
      </c>
      <c r="I381" s="6" t="str">
        <f>TEXT(DATE(LEFT(H381,4), MID(H381,5,2), RIGHT(H381,2)), "M/d/yyyy")</f>
        <v>2/1/2025</v>
      </c>
      <c r="J381" s="9">
        <f>DATE(YEAR(I381), MONTH(I381) +1, DAY(I381))</f>
        <v>45717</v>
      </c>
      <c r="K381" s="6" t="s">
        <v>18</v>
      </c>
      <c r="L381" s="8">
        <v>187.08</v>
      </c>
      <c r="M381" s="8">
        <v>3</v>
      </c>
      <c r="N381" s="8">
        <v>3</v>
      </c>
      <c r="O381" t="s">
        <v>235</v>
      </c>
    </row>
    <row r="382" spans="1:15" ht="15.75" x14ac:dyDescent="0.25">
      <c r="A382" s="5" t="s">
        <v>13</v>
      </c>
      <c r="B382" s="6">
        <v>20411454</v>
      </c>
      <c r="C382" s="6" t="s">
        <v>155</v>
      </c>
      <c r="D382" s="6" t="s">
        <v>156</v>
      </c>
      <c r="E382" s="6" t="str">
        <f>CONCATENATE(D382,1)</f>
        <v>25R0J71</v>
      </c>
      <c r="F382" s="7" t="s">
        <v>86</v>
      </c>
      <c r="G382" s="6">
        <v>1</v>
      </c>
      <c r="H382" s="6">
        <v>20250301</v>
      </c>
      <c r="I382" s="6" t="str">
        <f>TEXT(DATE(LEFT(H382,4), MID(H382,5,2), RIGHT(H382,2)), "M/d/yyyy")</f>
        <v>3/1/2025</v>
      </c>
      <c r="J382" s="9">
        <f>DATE(YEAR(I382), MONTH(I382) +1, DAY(I382))</f>
        <v>45748</v>
      </c>
      <c r="K382" s="6" t="s">
        <v>18</v>
      </c>
      <c r="L382" s="8">
        <v>187.08</v>
      </c>
      <c r="M382" s="8">
        <v>3</v>
      </c>
      <c r="N382" s="8">
        <v>3</v>
      </c>
      <c r="O382" t="s">
        <v>235</v>
      </c>
    </row>
    <row r="383" spans="1:15" ht="15.75" x14ac:dyDescent="0.25">
      <c r="A383" s="5" t="s">
        <v>13</v>
      </c>
      <c r="B383" s="6">
        <v>20411454</v>
      </c>
      <c r="C383" s="6" t="s">
        <v>59</v>
      </c>
      <c r="D383" s="6" t="s">
        <v>60</v>
      </c>
      <c r="E383" s="6" t="str">
        <f>CONCATENATE(D383,1)</f>
        <v>85P3D21</v>
      </c>
      <c r="F383" s="7" t="s">
        <v>50</v>
      </c>
      <c r="G383" s="6">
        <v>-1</v>
      </c>
      <c r="H383" s="6">
        <v>20250201</v>
      </c>
      <c r="I383" s="6" t="str">
        <f>TEXT(DATE(LEFT(H383,4), MID(H383,5,2), RIGHT(H383,2)), "M/d/yyyy")</f>
        <v>2/1/2025</v>
      </c>
      <c r="J383" s="9">
        <f>DATE(YEAR(I383), MONTH(I383) +1, DAY(I383))</f>
        <v>45717</v>
      </c>
      <c r="K383" s="6" t="s">
        <v>18</v>
      </c>
      <c r="L383" s="8">
        <v>-219.6</v>
      </c>
      <c r="M383" s="8">
        <v>3</v>
      </c>
      <c r="N383" s="8">
        <v>-3</v>
      </c>
      <c r="O383" t="s">
        <v>235</v>
      </c>
    </row>
    <row r="384" spans="1:15" ht="15.75" x14ac:dyDescent="0.25">
      <c r="A384" s="5" t="s">
        <v>13</v>
      </c>
      <c r="B384" s="6">
        <v>20411454</v>
      </c>
      <c r="C384" s="6" t="s">
        <v>59</v>
      </c>
      <c r="D384" s="6" t="s">
        <v>60</v>
      </c>
      <c r="E384" s="6" t="str">
        <f>CONCATENATE(D384,1)</f>
        <v>85P3D21</v>
      </c>
      <c r="F384" s="7" t="s">
        <v>50</v>
      </c>
      <c r="G384" s="6">
        <v>-1</v>
      </c>
      <c r="H384" s="6">
        <v>20250301</v>
      </c>
      <c r="I384" s="6" t="str">
        <f>TEXT(DATE(LEFT(H384,4), MID(H384,5,2), RIGHT(H384,2)), "M/d/yyyy")</f>
        <v>3/1/2025</v>
      </c>
      <c r="J384" s="9">
        <f>DATE(YEAR(I384), MONTH(I384) +1, DAY(I384))</f>
        <v>45748</v>
      </c>
      <c r="K384" s="6" t="s">
        <v>18</v>
      </c>
      <c r="L384" s="8">
        <v>-219.6</v>
      </c>
      <c r="M384" s="8">
        <v>3</v>
      </c>
      <c r="N384" s="8">
        <v>-3</v>
      </c>
      <c r="O384" t="s">
        <v>235</v>
      </c>
    </row>
    <row r="385" spans="1:15" ht="15.75" x14ac:dyDescent="0.25">
      <c r="A385" s="5" t="s">
        <v>13</v>
      </c>
      <c r="B385" s="6">
        <v>20411454</v>
      </c>
      <c r="C385" s="6" t="s">
        <v>59</v>
      </c>
      <c r="D385" s="6" t="s">
        <v>60</v>
      </c>
      <c r="E385" s="6" t="str">
        <f>CONCATENATE(D385,1)</f>
        <v>85P3D21</v>
      </c>
      <c r="F385" s="7" t="s">
        <v>50</v>
      </c>
      <c r="G385" s="6">
        <v>1</v>
      </c>
      <c r="H385" s="6">
        <v>20250201</v>
      </c>
      <c r="I385" s="6" t="str">
        <f>TEXT(DATE(LEFT(H385,4), MID(H385,5,2), RIGHT(H385,2)), "M/d/yyyy")</f>
        <v>2/1/2025</v>
      </c>
      <c r="J385" s="9">
        <f>DATE(YEAR(I385), MONTH(I385) +1, DAY(I385))</f>
        <v>45717</v>
      </c>
      <c r="K385" s="6" t="s">
        <v>18</v>
      </c>
      <c r="L385" s="8">
        <v>219.6</v>
      </c>
      <c r="M385" s="8">
        <v>3</v>
      </c>
      <c r="N385" s="8">
        <v>3</v>
      </c>
      <c r="O385" t="s">
        <v>235</v>
      </c>
    </row>
    <row r="386" spans="1:15" ht="15.75" x14ac:dyDescent="0.25">
      <c r="A386" s="5" t="s">
        <v>13</v>
      </c>
      <c r="B386" s="6">
        <v>20411454</v>
      </c>
      <c r="C386" s="6" t="s">
        <v>59</v>
      </c>
      <c r="D386" s="6" t="s">
        <v>60</v>
      </c>
      <c r="E386" s="6" t="str">
        <f>CONCATENATE(D386,1)</f>
        <v>85P3D21</v>
      </c>
      <c r="F386" s="7" t="s">
        <v>50</v>
      </c>
      <c r="G386" s="6">
        <v>1</v>
      </c>
      <c r="H386" s="6">
        <v>20250301</v>
      </c>
      <c r="I386" s="6" t="str">
        <f>TEXT(DATE(LEFT(H386,4), MID(H386,5,2), RIGHT(H386,2)), "M/d/yyyy")</f>
        <v>3/1/2025</v>
      </c>
      <c r="J386" s="9">
        <f>DATE(YEAR(I386), MONTH(I386) +1, DAY(I386))</f>
        <v>45748</v>
      </c>
      <c r="K386" s="6" t="s">
        <v>18</v>
      </c>
      <c r="L386" s="8">
        <v>219.6</v>
      </c>
      <c r="M386" s="8">
        <v>3</v>
      </c>
      <c r="N386" s="8">
        <v>3</v>
      </c>
      <c r="O386" t="s">
        <v>235</v>
      </c>
    </row>
    <row r="387" spans="1:15" ht="15.75" x14ac:dyDescent="0.25">
      <c r="A387" s="5" t="s">
        <v>13</v>
      </c>
      <c r="B387" s="6">
        <v>20411454</v>
      </c>
      <c r="C387" s="6" t="s">
        <v>59</v>
      </c>
      <c r="D387" s="6" t="s">
        <v>60</v>
      </c>
      <c r="E387" s="6" t="str">
        <f>CONCATENATE(D387,1)</f>
        <v>85P3D21</v>
      </c>
      <c r="F387" s="7" t="s">
        <v>50</v>
      </c>
      <c r="G387" s="6">
        <v>1</v>
      </c>
      <c r="H387" s="6">
        <v>20250401</v>
      </c>
      <c r="I387" s="6" t="str">
        <f>TEXT(DATE(LEFT(H387,4), MID(H387,5,2), RIGHT(H387,2)), "M/d/yyyy")</f>
        <v>4/1/2025</v>
      </c>
      <c r="J387" s="9">
        <f>DATE(YEAR(I387), MONTH(I387) +1, DAY(I387))</f>
        <v>45778</v>
      </c>
      <c r="K387" s="6" t="s">
        <v>18</v>
      </c>
      <c r="L387" s="8">
        <v>219.6</v>
      </c>
      <c r="M387" s="8">
        <v>3</v>
      </c>
      <c r="N387" s="8">
        <v>3</v>
      </c>
      <c r="O387" t="s">
        <v>235</v>
      </c>
    </row>
    <row r="388" spans="1:15" ht="15.75" x14ac:dyDescent="0.25">
      <c r="A388" s="5" t="s">
        <v>13</v>
      </c>
      <c r="B388" s="6">
        <v>20411454</v>
      </c>
      <c r="C388" s="6" t="s">
        <v>187</v>
      </c>
      <c r="D388" s="6" t="s">
        <v>188</v>
      </c>
      <c r="E388" s="6" t="str">
        <f>CONCATENATE(D388,1)</f>
        <v>98PH141</v>
      </c>
      <c r="F388" s="7" t="s">
        <v>86</v>
      </c>
      <c r="G388" s="6">
        <v>-1</v>
      </c>
      <c r="H388" s="6">
        <v>20250201</v>
      </c>
      <c r="I388" s="6" t="str">
        <f>TEXT(DATE(LEFT(H388,4), MID(H388,5,2), RIGHT(H388,2)), "M/d/yyyy")</f>
        <v>2/1/2025</v>
      </c>
      <c r="J388" s="9">
        <f>DATE(YEAR(I388), MONTH(I388) +1, DAY(I388))</f>
        <v>45717</v>
      </c>
      <c r="K388" s="6" t="s">
        <v>18</v>
      </c>
      <c r="L388" s="8">
        <v>-25.78</v>
      </c>
      <c r="M388" s="8">
        <v>3</v>
      </c>
      <c r="N388" s="8">
        <v>-3</v>
      </c>
      <c r="O388" t="s">
        <v>235</v>
      </c>
    </row>
    <row r="389" spans="1:15" ht="15.75" x14ac:dyDescent="0.25">
      <c r="A389" s="5" t="s">
        <v>13</v>
      </c>
      <c r="B389" s="6">
        <v>20411454</v>
      </c>
      <c r="C389" s="6" t="s">
        <v>187</v>
      </c>
      <c r="D389" s="6" t="s">
        <v>188</v>
      </c>
      <c r="E389" s="6" t="str">
        <f>CONCATENATE(D389,1)</f>
        <v>98PH141</v>
      </c>
      <c r="F389" s="7" t="s">
        <v>86</v>
      </c>
      <c r="G389" s="6">
        <v>-1</v>
      </c>
      <c r="H389" s="6">
        <v>20250301</v>
      </c>
      <c r="I389" s="6" t="str">
        <f>TEXT(DATE(LEFT(H389,4), MID(H389,5,2), RIGHT(H389,2)), "M/d/yyyy")</f>
        <v>3/1/2025</v>
      </c>
      <c r="J389" s="9">
        <f>DATE(YEAR(I389), MONTH(I389) +1, DAY(I389))</f>
        <v>45748</v>
      </c>
      <c r="K389" s="6" t="s">
        <v>18</v>
      </c>
      <c r="L389" s="8">
        <v>-25.78</v>
      </c>
      <c r="M389" s="8">
        <v>3</v>
      </c>
      <c r="N389" s="8">
        <v>-3</v>
      </c>
      <c r="O389" t="s">
        <v>235</v>
      </c>
    </row>
    <row r="390" spans="1:15" ht="15.75" x14ac:dyDescent="0.25">
      <c r="A390" s="5" t="s">
        <v>13</v>
      </c>
      <c r="B390" s="6">
        <v>20411454</v>
      </c>
      <c r="C390" s="6" t="s">
        <v>187</v>
      </c>
      <c r="D390" s="6" t="s">
        <v>188</v>
      </c>
      <c r="E390" s="6" t="str">
        <f>CONCATENATE(D390,1)</f>
        <v>98PH141</v>
      </c>
      <c r="F390" s="7" t="s">
        <v>86</v>
      </c>
      <c r="G390" s="6">
        <v>1</v>
      </c>
      <c r="H390" s="6">
        <v>20250201</v>
      </c>
      <c r="I390" s="6" t="str">
        <f>TEXT(DATE(LEFT(H390,4), MID(H390,5,2), RIGHT(H390,2)), "M/d/yyyy")</f>
        <v>2/1/2025</v>
      </c>
      <c r="J390" s="9">
        <f>DATE(YEAR(I390), MONTH(I390) +1, DAY(I390))</f>
        <v>45717</v>
      </c>
      <c r="K390" s="6" t="s">
        <v>18</v>
      </c>
      <c r="L390" s="8">
        <v>25.78</v>
      </c>
      <c r="M390" s="8">
        <v>3</v>
      </c>
      <c r="N390" s="8">
        <v>3</v>
      </c>
      <c r="O390" t="s">
        <v>235</v>
      </c>
    </row>
    <row r="391" spans="1:15" ht="15.75" x14ac:dyDescent="0.25">
      <c r="A391" s="5" t="s">
        <v>13</v>
      </c>
      <c r="B391" s="6">
        <v>20411454</v>
      </c>
      <c r="C391" s="6" t="s">
        <v>187</v>
      </c>
      <c r="D391" s="6" t="s">
        <v>188</v>
      </c>
      <c r="E391" s="6" t="str">
        <f>CONCATENATE(D391,1)</f>
        <v>98PH141</v>
      </c>
      <c r="F391" s="7" t="s">
        <v>86</v>
      </c>
      <c r="G391" s="6">
        <v>1</v>
      </c>
      <c r="H391" s="6">
        <v>20250301</v>
      </c>
      <c r="I391" s="6" t="str">
        <f>TEXT(DATE(LEFT(H391,4), MID(H391,5,2), RIGHT(H391,2)), "M/d/yyyy")</f>
        <v>3/1/2025</v>
      </c>
      <c r="J391" s="9">
        <f>DATE(YEAR(I391), MONTH(I391) +1, DAY(I391))</f>
        <v>45748</v>
      </c>
      <c r="K391" s="6" t="s">
        <v>18</v>
      </c>
      <c r="L391" s="8">
        <v>25.78</v>
      </c>
      <c r="M391" s="8">
        <v>3</v>
      </c>
      <c r="N391" s="8">
        <v>3</v>
      </c>
      <c r="O391" t="s">
        <v>235</v>
      </c>
    </row>
    <row r="392" spans="1:15" ht="15.75" x14ac:dyDescent="0.25">
      <c r="A392" s="5" t="s">
        <v>13</v>
      </c>
      <c r="B392" s="6">
        <v>20411454</v>
      </c>
      <c r="C392" s="6" t="s">
        <v>187</v>
      </c>
      <c r="D392" s="6" t="s">
        <v>188</v>
      </c>
      <c r="E392" s="6" t="str">
        <f>CONCATENATE(D392,1)</f>
        <v>98PH141</v>
      </c>
      <c r="F392" s="7" t="s">
        <v>86</v>
      </c>
      <c r="G392" s="6">
        <v>1</v>
      </c>
      <c r="H392" s="6">
        <v>20250401</v>
      </c>
      <c r="I392" s="6" t="str">
        <f>TEXT(DATE(LEFT(H392,4), MID(H392,5,2), RIGHT(H392,2)), "M/d/yyyy")</f>
        <v>4/1/2025</v>
      </c>
      <c r="J392" s="9">
        <f>DATE(YEAR(I392), MONTH(I392) +1, DAY(I392))</f>
        <v>45778</v>
      </c>
      <c r="K392" s="6" t="s">
        <v>18</v>
      </c>
      <c r="L392" s="8">
        <v>25.78</v>
      </c>
      <c r="M392" s="8">
        <v>3</v>
      </c>
      <c r="N392" s="8">
        <v>3</v>
      </c>
      <c r="O392" t="s">
        <v>235</v>
      </c>
    </row>
    <row r="393" spans="1:15" ht="15.75" x14ac:dyDescent="0.25">
      <c r="A393" s="5" t="s">
        <v>13</v>
      </c>
      <c r="B393" s="6">
        <v>20411454</v>
      </c>
      <c r="C393" s="6" t="s">
        <v>185</v>
      </c>
      <c r="D393" s="6" t="s">
        <v>186</v>
      </c>
      <c r="E393" s="6" t="str">
        <f>CONCATENATE(D393,1)</f>
        <v>87RD731</v>
      </c>
      <c r="F393" s="7" t="s">
        <v>86</v>
      </c>
      <c r="G393" s="6">
        <v>-1</v>
      </c>
      <c r="H393" s="6">
        <v>20250201</v>
      </c>
      <c r="I393" s="6" t="str">
        <f>TEXT(DATE(LEFT(H393,4), MID(H393,5,2), RIGHT(H393,2)), "M/d/yyyy")</f>
        <v>2/1/2025</v>
      </c>
      <c r="J393" s="9">
        <f>DATE(YEAR(I393), MONTH(I393) +1, DAY(I393))</f>
        <v>45717</v>
      </c>
      <c r="K393" s="6" t="s">
        <v>18</v>
      </c>
      <c r="L393" s="8">
        <v>-96.47</v>
      </c>
      <c r="M393" s="8">
        <v>3</v>
      </c>
      <c r="N393" s="8">
        <v>-3</v>
      </c>
      <c r="O393" t="s">
        <v>235</v>
      </c>
    </row>
    <row r="394" spans="1:15" ht="15.75" x14ac:dyDescent="0.25">
      <c r="A394" s="5" t="s">
        <v>13</v>
      </c>
      <c r="B394" s="6">
        <v>20411454</v>
      </c>
      <c r="C394" s="6" t="s">
        <v>185</v>
      </c>
      <c r="D394" s="6" t="s">
        <v>186</v>
      </c>
      <c r="E394" s="6" t="str">
        <f>CONCATENATE(D394,1)</f>
        <v>87RD731</v>
      </c>
      <c r="F394" s="7" t="s">
        <v>86</v>
      </c>
      <c r="G394" s="6">
        <v>-1</v>
      </c>
      <c r="H394" s="6">
        <v>20250301</v>
      </c>
      <c r="I394" s="6" t="str">
        <f>TEXT(DATE(LEFT(H394,4), MID(H394,5,2), RIGHT(H394,2)), "M/d/yyyy")</f>
        <v>3/1/2025</v>
      </c>
      <c r="J394" s="9">
        <f>DATE(YEAR(I394), MONTH(I394) +1, DAY(I394))</f>
        <v>45748</v>
      </c>
      <c r="K394" s="6" t="s">
        <v>18</v>
      </c>
      <c r="L394" s="8">
        <v>-96.47</v>
      </c>
      <c r="M394" s="8">
        <v>3</v>
      </c>
      <c r="N394" s="8">
        <v>-3</v>
      </c>
      <c r="O394" t="s">
        <v>235</v>
      </c>
    </row>
    <row r="395" spans="1:15" ht="15.75" x14ac:dyDescent="0.25">
      <c r="A395" s="5" t="s">
        <v>13</v>
      </c>
      <c r="B395" s="6">
        <v>20411454</v>
      </c>
      <c r="C395" s="6" t="s">
        <v>185</v>
      </c>
      <c r="D395" s="6" t="s">
        <v>186</v>
      </c>
      <c r="E395" s="6" t="str">
        <f>CONCATENATE(D395,1)</f>
        <v>87RD731</v>
      </c>
      <c r="F395" s="7" t="s">
        <v>86</v>
      </c>
      <c r="G395" s="6">
        <v>1</v>
      </c>
      <c r="H395" s="6">
        <v>20250201</v>
      </c>
      <c r="I395" s="6" t="str">
        <f>TEXT(DATE(LEFT(H395,4), MID(H395,5,2), RIGHT(H395,2)), "M/d/yyyy")</f>
        <v>2/1/2025</v>
      </c>
      <c r="J395" s="9">
        <f>DATE(YEAR(I395), MONTH(I395) +1, DAY(I395))</f>
        <v>45717</v>
      </c>
      <c r="K395" s="6" t="s">
        <v>18</v>
      </c>
      <c r="L395" s="8">
        <v>96.47</v>
      </c>
      <c r="M395" s="8">
        <v>3</v>
      </c>
      <c r="N395" s="8">
        <v>3</v>
      </c>
      <c r="O395" t="s">
        <v>235</v>
      </c>
    </row>
    <row r="396" spans="1:15" ht="15.75" x14ac:dyDescent="0.25">
      <c r="A396" s="5" t="s">
        <v>13</v>
      </c>
      <c r="B396" s="6">
        <v>20411454</v>
      </c>
      <c r="C396" s="6" t="s">
        <v>185</v>
      </c>
      <c r="D396" s="6" t="s">
        <v>186</v>
      </c>
      <c r="E396" s="6" t="str">
        <f>CONCATENATE(D396,1)</f>
        <v>87RD731</v>
      </c>
      <c r="F396" s="7" t="s">
        <v>86</v>
      </c>
      <c r="G396" s="6">
        <v>1</v>
      </c>
      <c r="H396" s="6">
        <v>20250301</v>
      </c>
      <c r="I396" s="6" t="str">
        <f>TEXT(DATE(LEFT(H396,4), MID(H396,5,2), RIGHT(H396,2)), "M/d/yyyy")</f>
        <v>3/1/2025</v>
      </c>
      <c r="J396" s="9">
        <f>DATE(YEAR(I396), MONTH(I396) +1, DAY(I396))</f>
        <v>45748</v>
      </c>
      <c r="K396" s="6" t="s">
        <v>18</v>
      </c>
      <c r="L396" s="8">
        <v>96.47</v>
      </c>
      <c r="M396" s="8">
        <v>3</v>
      </c>
      <c r="N396" s="8">
        <v>3</v>
      </c>
      <c r="O396" t="s">
        <v>235</v>
      </c>
    </row>
    <row r="397" spans="1:15" ht="15.75" x14ac:dyDescent="0.25">
      <c r="A397" s="5" t="s">
        <v>13</v>
      </c>
      <c r="B397" s="6">
        <v>20411454</v>
      </c>
      <c r="C397" s="6" t="s">
        <v>232</v>
      </c>
      <c r="D397" s="6" t="s">
        <v>233</v>
      </c>
      <c r="E397" s="6" t="str">
        <f>CONCATENATE(D397,1)</f>
        <v>94Q69A1</v>
      </c>
      <c r="F397" s="7" t="s">
        <v>50</v>
      </c>
      <c r="G397" s="6">
        <v>-1</v>
      </c>
      <c r="H397" s="6">
        <v>20250201</v>
      </c>
      <c r="I397" s="6" t="str">
        <f>TEXT(DATE(LEFT(H397,4), MID(H397,5,2), RIGHT(H397,2)), "M/d/yyyy")</f>
        <v>2/1/2025</v>
      </c>
      <c r="J397" s="9">
        <f>DATE(YEAR(I397), MONTH(I397) +1, DAY(I397))</f>
        <v>45717</v>
      </c>
      <c r="K397" s="6" t="s">
        <v>18</v>
      </c>
      <c r="L397" s="8">
        <v>-271.88</v>
      </c>
      <c r="M397" s="8">
        <v>3</v>
      </c>
      <c r="N397" s="8">
        <v>-3</v>
      </c>
      <c r="O397" t="s">
        <v>235</v>
      </c>
    </row>
    <row r="398" spans="1:15" ht="15.75" x14ac:dyDescent="0.25">
      <c r="A398" s="5" t="s">
        <v>13</v>
      </c>
      <c r="B398" s="6">
        <v>20411454</v>
      </c>
      <c r="C398" s="6" t="s">
        <v>232</v>
      </c>
      <c r="D398" s="6" t="s">
        <v>233</v>
      </c>
      <c r="E398" s="6" t="str">
        <f>CONCATENATE(D398,1)</f>
        <v>94Q69A1</v>
      </c>
      <c r="F398" s="7" t="s">
        <v>50</v>
      </c>
      <c r="G398" s="6">
        <v>-1</v>
      </c>
      <c r="H398" s="6">
        <v>20250301</v>
      </c>
      <c r="I398" s="6" t="str">
        <f>TEXT(DATE(LEFT(H398,4), MID(H398,5,2), RIGHT(H398,2)), "M/d/yyyy")</f>
        <v>3/1/2025</v>
      </c>
      <c r="J398" s="9">
        <f>DATE(YEAR(I398), MONTH(I398) +1, DAY(I398))</f>
        <v>45748</v>
      </c>
      <c r="K398" s="6" t="s">
        <v>18</v>
      </c>
      <c r="L398" s="8">
        <v>-271.88</v>
      </c>
      <c r="M398" s="8">
        <v>3</v>
      </c>
      <c r="N398" s="8">
        <v>-3</v>
      </c>
      <c r="O398" t="s">
        <v>235</v>
      </c>
    </row>
    <row r="399" spans="1:15" ht="15.75" x14ac:dyDescent="0.25">
      <c r="A399" s="5" t="s">
        <v>13</v>
      </c>
      <c r="B399" s="6">
        <v>20411454</v>
      </c>
      <c r="C399" s="6" t="s">
        <v>232</v>
      </c>
      <c r="D399" s="6" t="s">
        <v>233</v>
      </c>
      <c r="E399" s="6" t="str">
        <f>CONCATENATE(D399,1)</f>
        <v>94Q69A1</v>
      </c>
      <c r="F399" s="7" t="s">
        <v>50</v>
      </c>
      <c r="G399" s="6">
        <v>1</v>
      </c>
      <c r="H399" s="6">
        <v>20250201</v>
      </c>
      <c r="I399" s="6" t="str">
        <f>TEXT(DATE(LEFT(H399,4), MID(H399,5,2), RIGHT(H399,2)), "M/d/yyyy")</f>
        <v>2/1/2025</v>
      </c>
      <c r="J399" s="9">
        <f>DATE(YEAR(I399), MONTH(I399) +1, DAY(I399))</f>
        <v>45717</v>
      </c>
      <c r="K399" s="6" t="s">
        <v>18</v>
      </c>
      <c r="L399" s="8">
        <v>271.88</v>
      </c>
      <c r="M399" s="8">
        <v>3</v>
      </c>
      <c r="N399" s="8">
        <v>3</v>
      </c>
      <c r="O399" t="s">
        <v>235</v>
      </c>
    </row>
    <row r="400" spans="1:15" ht="15.75" x14ac:dyDescent="0.25">
      <c r="A400" s="5" t="s">
        <v>13</v>
      </c>
      <c r="B400" s="6">
        <v>20411454</v>
      </c>
      <c r="C400" s="6" t="s">
        <v>232</v>
      </c>
      <c r="D400" s="6" t="s">
        <v>233</v>
      </c>
      <c r="E400" s="6" t="str">
        <f>CONCATENATE(D400,1)</f>
        <v>94Q69A1</v>
      </c>
      <c r="F400" s="7" t="s">
        <v>50</v>
      </c>
      <c r="G400" s="6">
        <v>1</v>
      </c>
      <c r="H400" s="6">
        <v>20250301</v>
      </c>
      <c r="I400" s="6" t="str">
        <f>TEXT(DATE(LEFT(H400,4), MID(H400,5,2), RIGHT(H400,2)), "M/d/yyyy")</f>
        <v>3/1/2025</v>
      </c>
      <c r="J400" s="9">
        <f>DATE(YEAR(I400), MONTH(I400) +1, DAY(I400))</f>
        <v>45748</v>
      </c>
      <c r="K400" s="6" t="s">
        <v>18</v>
      </c>
      <c r="L400" s="8">
        <v>271.88</v>
      </c>
      <c r="M400" s="8">
        <v>3</v>
      </c>
      <c r="N400" s="8">
        <v>3</v>
      </c>
      <c r="O400" t="s">
        <v>235</v>
      </c>
    </row>
    <row r="401" spans="1:15" ht="15.75" x14ac:dyDescent="0.25">
      <c r="A401" s="5" t="s">
        <v>13</v>
      </c>
      <c r="B401" s="6">
        <v>20411454</v>
      </c>
      <c r="C401" s="6" t="s">
        <v>232</v>
      </c>
      <c r="D401" s="6" t="s">
        <v>233</v>
      </c>
      <c r="E401" s="6" t="str">
        <f>CONCATENATE(D401,1)</f>
        <v>94Q69A1</v>
      </c>
      <c r="F401" s="7" t="s">
        <v>50</v>
      </c>
      <c r="G401" s="6">
        <v>1</v>
      </c>
      <c r="H401" s="6">
        <v>20250401</v>
      </c>
      <c r="I401" s="6" t="str">
        <f>TEXT(DATE(LEFT(H401,4), MID(H401,5,2), RIGHT(H401,2)), "M/d/yyyy")</f>
        <v>4/1/2025</v>
      </c>
      <c r="J401" s="9">
        <f>DATE(YEAR(I401), MONTH(I401) +1, DAY(I401))</f>
        <v>45778</v>
      </c>
      <c r="K401" s="6" t="s">
        <v>18</v>
      </c>
      <c r="L401" s="8">
        <v>271.88</v>
      </c>
      <c r="M401" s="8">
        <v>3</v>
      </c>
      <c r="N401" s="8">
        <v>3</v>
      </c>
      <c r="O401" t="s">
        <v>235</v>
      </c>
    </row>
    <row r="402" spans="1:15" ht="15.75" x14ac:dyDescent="0.25">
      <c r="A402" s="5" t="s">
        <v>13</v>
      </c>
      <c r="B402" s="6">
        <v>20411454</v>
      </c>
      <c r="C402" s="6" t="s">
        <v>79</v>
      </c>
      <c r="D402" s="6" t="s">
        <v>80</v>
      </c>
      <c r="E402" s="6" t="str">
        <f>CONCATENATE(D402,1)</f>
        <v>5G6W801</v>
      </c>
      <c r="F402" s="7" t="s">
        <v>50</v>
      </c>
      <c r="G402" s="6">
        <v>-1</v>
      </c>
      <c r="H402" s="6">
        <v>20250201</v>
      </c>
      <c r="I402" s="6" t="str">
        <f>TEXT(DATE(LEFT(H402,4), MID(H402,5,2), RIGHT(H402,2)), "M/d/yyyy")</f>
        <v>2/1/2025</v>
      </c>
      <c r="J402" s="9">
        <f>DATE(YEAR(I402), MONTH(I402) +1, DAY(I402))</f>
        <v>45717</v>
      </c>
      <c r="K402" s="6" t="s">
        <v>18</v>
      </c>
      <c r="L402" s="8">
        <v>-126.18</v>
      </c>
      <c r="M402" s="8">
        <v>3</v>
      </c>
      <c r="N402" s="8">
        <v>-3</v>
      </c>
      <c r="O402" t="s">
        <v>235</v>
      </c>
    </row>
    <row r="403" spans="1:15" ht="15.75" x14ac:dyDescent="0.25">
      <c r="A403" s="5" t="s">
        <v>13</v>
      </c>
      <c r="B403" s="6">
        <v>20411454</v>
      </c>
      <c r="C403" s="6" t="s">
        <v>79</v>
      </c>
      <c r="D403" s="6" t="s">
        <v>80</v>
      </c>
      <c r="E403" s="6" t="str">
        <f>CONCATENATE(D403,1)</f>
        <v>5G6W801</v>
      </c>
      <c r="F403" s="7" t="s">
        <v>50</v>
      </c>
      <c r="G403" s="6">
        <v>-1</v>
      </c>
      <c r="H403" s="6">
        <v>20250301</v>
      </c>
      <c r="I403" s="6" t="str">
        <f>TEXT(DATE(LEFT(H403,4), MID(H403,5,2), RIGHT(H403,2)), "M/d/yyyy")</f>
        <v>3/1/2025</v>
      </c>
      <c r="J403" s="9">
        <f>DATE(YEAR(I403), MONTH(I403) +1, DAY(I403))</f>
        <v>45748</v>
      </c>
      <c r="K403" s="6" t="s">
        <v>18</v>
      </c>
      <c r="L403" s="8">
        <v>-126.18</v>
      </c>
      <c r="M403" s="8">
        <v>3</v>
      </c>
      <c r="N403" s="8">
        <v>-3</v>
      </c>
      <c r="O403" t="s">
        <v>235</v>
      </c>
    </row>
    <row r="404" spans="1:15" ht="15.75" x14ac:dyDescent="0.25">
      <c r="A404" s="5" t="s">
        <v>13</v>
      </c>
      <c r="B404" s="6">
        <v>20411454</v>
      </c>
      <c r="C404" s="6" t="s">
        <v>79</v>
      </c>
      <c r="D404" s="6" t="s">
        <v>80</v>
      </c>
      <c r="E404" s="6" t="str">
        <f>CONCATENATE(D404,1)</f>
        <v>5G6W801</v>
      </c>
      <c r="F404" s="7" t="s">
        <v>50</v>
      </c>
      <c r="G404" s="6">
        <v>1</v>
      </c>
      <c r="H404" s="6">
        <v>20250201</v>
      </c>
      <c r="I404" s="6" t="str">
        <f>TEXT(DATE(LEFT(H404,4), MID(H404,5,2), RIGHT(H404,2)), "M/d/yyyy")</f>
        <v>2/1/2025</v>
      </c>
      <c r="J404" s="9">
        <f>DATE(YEAR(I404), MONTH(I404) +1, DAY(I404))</f>
        <v>45717</v>
      </c>
      <c r="K404" s="6" t="s">
        <v>18</v>
      </c>
      <c r="L404" s="8">
        <v>126.18</v>
      </c>
      <c r="M404" s="8">
        <v>3</v>
      </c>
      <c r="N404" s="8">
        <v>3</v>
      </c>
      <c r="O404" t="s">
        <v>235</v>
      </c>
    </row>
    <row r="405" spans="1:15" ht="15.75" x14ac:dyDescent="0.25">
      <c r="A405" s="5" t="s">
        <v>13</v>
      </c>
      <c r="B405" s="6">
        <v>20411454</v>
      </c>
      <c r="C405" s="6" t="s">
        <v>79</v>
      </c>
      <c r="D405" s="6" t="s">
        <v>80</v>
      </c>
      <c r="E405" s="6" t="str">
        <f>CONCATENATE(D405,1)</f>
        <v>5G6W801</v>
      </c>
      <c r="F405" s="7" t="s">
        <v>50</v>
      </c>
      <c r="G405" s="6">
        <v>1</v>
      </c>
      <c r="H405" s="6">
        <v>20250301</v>
      </c>
      <c r="I405" s="6" t="str">
        <f>TEXT(DATE(LEFT(H405,4), MID(H405,5,2), RIGHT(H405,2)), "M/d/yyyy")</f>
        <v>3/1/2025</v>
      </c>
      <c r="J405" s="9">
        <f>DATE(YEAR(I405), MONTH(I405) +1, DAY(I405))</f>
        <v>45748</v>
      </c>
      <c r="K405" s="6" t="s">
        <v>18</v>
      </c>
      <c r="L405" s="8">
        <v>126.18</v>
      </c>
      <c r="M405" s="8">
        <v>3</v>
      </c>
      <c r="N405" s="8">
        <v>3</v>
      </c>
      <c r="O405" t="s">
        <v>235</v>
      </c>
    </row>
    <row r="406" spans="1:15" ht="15.75" x14ac:dyDescent="0.25">
      <c r="A406" s="5" t="s">
        <v>13</v>
      </c>
      <c r="B406" s="6">
        <v>20411454</v>
      </c>
      <c r="C406" s="6" t="s">
        <v>79</v>
      </c>
      <c r="D406" s="6" t="s">
        <v>80</v>
      </c>
      <c r="E406" s="6" t="str">
        <f>CONCATENATE(D406,1)</f>
        <v>5G6W801</v>
      </c>
      <c r="F406" s="7" t="s">
        <v>50</v>
      </c>
      <c r="G406" s="6">
        <v>1</v>
      </c>
      <c r="H406" s="6">
        <v>20250401</v>
      </c>
      <c r="I406" s="6" t="str">
        <f>TEXT(DATE(LEFT(H406,4), MID(H406,5,2), RIGHT(H406,2)), "M/d/yyyy")</f>
        <v>4/1/2025</v>
      </c>
      <c r="J406" s="9">
        <f>DATE(YEAR(I406), MONTH(I406) +1, DAY(I406))</f>
        <v>45778</v>
      </c>
      <c r="K406" s="6" t="s">
        <v>18</v>
      </c>
      <c r="L406" s="8">
        <v>126.18</v>
      </c>
      <c r="M406" s="8">
        <v>3</v>
      </c>
      <c r="N406" s="8">
        <v>3</v>
      </c>
      <c r="O406" t="s">
        <v>235</v>
      </c>
    </row>
    <row r="407" spans="1:15" ht="15.75" x14ac:dyDescent="0.25">
      <c r="A407" s="5" t="s">
        <v>13</v>
      </c>
      <c r="B407" s="6">
        <v>20411454</v>
      </c>
      <c r="C407" s="6" t="s">
        <v>169</v>
      </c>
      <c r="D407" s="6" t="s">
        <v>170</v>
      </c>
      <c r="E407" s="6" t="str">
        <f>CONCATENATE(D407,1)</f>
        <v>61N8M11</v>
      </c>
      <c r="F407" s="7" t="s">
        <v>86</v>
      </c>
      <c r="G407" s="6">
        <v>-1</v>
      </c>
      <c r="H407" s="6">
        <v>20250201</v>
      </c>
      <c r="I407" s="6" t="str">
        <f>TEXT(DATE(LEFT(H407,4), MID(H407,5,2), RIGHT(H407,2)), "M/d/yyyy")</f>
        <v>2/1/2025</v>
      </c>
      <c r="J407" s="9">
        <f>DATE(YEAR(I407), MONTH(I407) +1, DAY(I407))</f>
        <v>45717</v>
      </c>
      <c r="K407" s="6" t="s">
        <v>18</v>
      </c>
      <c r="L407" s="8">
        <v>-265.89999999999998</v>
      </c>
      <c r="M407" s="8">
        <v>3</v>
      </c>
      <c r="N407" s="8">
        <v>-3</v>
      </c>
      <c r="O407" t="s">
        <v>235</v>
      </c>
    </row>
    <row r="408" spans="1:15" ht="15.75" x14ac:dyDescent="0.25">
      <c r="A408" s="5" t="s">
        <v>13</v>
      </c>
      <c r="B408" s="6">
        <v>20411454</v>
      </c>
      <c r="C408" s="6" t="s">
        <v>169</v>
      </c>
      <c r="D408" s="6" t="s">
        <v>170</v>
      </c>
      <c r="E408" s="6" t="str">
        <f>CONCATENATE(D408,1)</f>
        <v>61N8M11</v>
      </c>
      <c r="F408" s="7" t="s">
        <v>86</v>
      </c>
      <c r="G408" s="6">
        <v>1</v>
      </c>
      <c r="H408" s="6">
        <v>20250201</v>
      </c>
      <c r="I408" s="6" t="str">
        <f>TEXT(DATE(LEFT(H408,4), MID(H408,5,2), RIGHT(H408,2)), "M/d/yyyy")</f>
        <v>2/1/2025</v>
      </c>
      <c r="J408" s="9">
        <f>DATE(YEAR(I408), MONTH(I408) +1, DAY(I408))</f>
        <v>45717</v>
      </c>
      <c r="K408" s="6" t="s">
        <v>18</v>
      </c>
      <c r="L408" s="8">
        <v>265.89999999999998</v>
      </c>
      <c r="M408" s="8">
        <v>3</v>
      </c>
      <c r="N408" s="8">
        <v>3</v>
      </c>
      <c r="O408" t="s">
        <v>235</v>
      </c>
    </row>
    <row r="409" spans="1:15" ht="15.75" x14ac:dyDescent="0.25">
      <c r="A409" s="5" t="s">
        <v>13</v>
      </c>
      <c r="B409" s="6">
        <v>20411454</v>
      </c>
      <c r="C409" s="6" t="s">
        <v>169</v>
      </c>
      <c r="D409" s="6" t="s">
        <v>170</v>
      </c>
      <c r="E409" s="6" t="str">
        <f>CONCATENATE(D409,1)</f>
        <v>61N8M11</v>
      </c>
      <c r="F409" s="7" t="s">
        <v>86</v>
      </c>
      <c r="G409" s="6">
        <v>1</v>
      </c>
      <c r="H409" s="6">
        <v>20250301</v>
      </c>
      <c r="I409" s="6" t="str">
        <f>TEXT(DATE(LEFT(H409,4), MID(H409,5,2), RIGHT(H409,2)), "M/d/yyyy")</f>
        <v>3/1/2025</v>
      </c>
      <c r="J409" s="9">
        <f>DATE(YEAR(I409), MONTH(I409) +1, DAY(I409))</f>
        <v>45748</v>
      </c>
      <c r="K409" s="6" t="s">
        <v>18</v>
      </c>
      <c r="L409" s="8">
        <v>67.98</v>
      </c>
      <c r="M409" s="8">
        <v>3</v>
      </c>
      <c r="N409" s="8">
        <v>3</v>
      </c>
      <c r="O409" t="s">
        <v>235</v>
      </c>
    </row>
    <row r="410" spans="1:15" ht="15.75" x14ac:dyDescent="0.25">
      <c r="A410" s="5" t="s">
        <v>13</v>
      </c>
      <c r="B410" s="6">
        <v>20411454</v>
      </c>
      <c r="C410" s="6" t="s">
        <v>165</v>
      </c>
      <c r="D410" s="6" t="s">
        <v>166</v>
      </c>
      <c r="E410" s="6" t="str">
        <f>CONCATENATE(D410,1)</f>
        <v>56TP961</v>
      </c>
      <c r="F410" s="7" t="s">
        <v>86</v>
      </c>
      <c r="G410" s="6">
        <v>-1</v>
      </c>
      <c r="H410" s="6">
        <v>20250201</v>
      </c>
      <c r="I410" s="6" t="str">
        <f>TEXT(DATE(LEFT(H410,4), MID(H410,5,2), RIGHT(H410,2)), "M/d/yyyy")</f>
        <v>2/1/2025</v>
      </c>
      <c r="J410" s="9">
        <f>DATE(YEAR(I410), MONTH(I410) +1, DAY(I410))</f>
        <v>45717</v>
      </c>
      <c r="K410" s="6" t="s">
        <v>18</v>
      </c>
      <c r="L410" s="8">
        <v>-102.52</v>
      </c>
      <c r="M410" s="8">
        <v>3</v>
      </c>
      <c r="N410" s="8">
        <v>-3</v>
      </c>
      <c r="O410" t="s">
        <v>235</v>
      </c>
    </row>
    <row r="411" spans="1:15" ht="15.75" x14ac:dyDescent="0.25">
      <c r="A411" s="5" t="s">
        <v>13</v>
      </c>
      <c r="B411" s="6">
        <v>20411454</v>
      </c>
      <c r="C411" s="6" t="s">
        <v>165</v>
      </c>
      <c r="D411" s="6" t="s">
        <v>166</v>
      </c>
      <c r="E411" s="6" t="str">
        <f>CONCATENATE(D411,1)</f>
        <v>56TP961</v>
      </c>
      <c r="F411" s="7" t="s">
        <v>86</v>
      </c>
      <c r="G411" s="6">
        <v>-1</v>
      </c>
      <c r="H411" s="6">
        <v>20250301</v>
      </c>
      <c r="I411" s="6" t="str">
        <f>TEXT(DATE(LEFT(H411,4), MID(H411,5,2), RIGHT(H411,2)), "M/d/yyyy")</f>
        <v>3/1/2025</v>
      </c>
      <c r="J411" s="9">
        <f>DATE(YEAR(I411), MONTH(I411) +1, DAY(I411))</f>
        <v>45748</v>
      </c>
      <c r="K411" s="6" t="s">
        <v>18</v>
      </c>
      <c r="L411" s="8">
        <v>-102.52</v>
      </c>
      <c r="M411" s="8">
        <v>3</v>
      </c>
      <c r="N411" s="8">
        <v>-3</v>
      </c>
      <c r="O411" t="s">
        <v>235</v>
      </c>
    </row>
    <row r="412" spans="1:15" ht="15.75" x14ac:dyDescent="0.25">
      <c r="A412" s="5" t="s">
        <v>13</v>
      </c>
      <c r="B412" s="6">
        <v>20411454</v>
      </c>
      <c r="C412" s="6" t="s">
        <v>165</v>
      </c>
      <c r="D412" s="6" t="s">
        <v>166</v>
      </c>
      <c r="E412" s="6" t="str">
        <f>CONCATENATE(D412,1)</f>
        <v>56TP961</v>
      </c>
      <c r="F412" s="7" t="s">
        <v>86</v>
      </c>
      <c r="G412" s="6">
        <v>1</v>
      </c>
      <c r="H412" s="6">
        <v>20250201</v>
      </c>
      <c r="I412" s="6" t="str">
        <f>TEXT(DATE(LEFT(H412,4), MID(H412,5,2), RIGHT(H412,2)), "M/d/yyyy")</f>
        <v>2/1/2025</v>
      </c>
      <c r="J412" s="9">
        <f>DATE(YEAR(I412), MONTH(I412) +1, DAY(I412))</f>
        <v>45717</v>
      </c>
      <c r="K412" s="6" t="s">
        <v>18</v>
      </c>
      <c r="L412" s="8">
        <v>102.52</v>
      </c>
      <c r="M412" s="8">
        <v>3</v>
      </c>
      <c r="N412" s="8">
        <v>3</v>
      </c>
      <c r="O412" t="s">
        <v>235</v>
      </c>
    </row>
    <row r="413" spans="1:15" ht="15.75" x14ac:dyDescent="0.25">
      <c r="A413" s="5" t="s">
        <v>13</v>
      </c>
      <c r="B413" s="6">
        <v>20411454</v>
      </c>
      <c r="C413" s="6" t="s">
        <v>165</v>
      </c>
      <c r="D413" s="6" t="s">
        <v>166</v>
      </c>
      <c r="E413" s="6" t="str">
        <f>CONCATENATE(D413,1)</f>
        <v>56TP961</v>
      </c>
      <c r="F413" s="7" t="s">
        <v>86</v>
      </c>
      <c r="G413" s="6">
        <v>1</v>
      </c>
      <c r="H413" s="6">
        <v>20250301</v>
      </c>
      <c r="I413" s="6" t="str">
        <f>TEXT(DATE(LEFT(H413,4), MID(H413,5,2), RIGHT(H413,2)), "M/d/yyyy")</f>
        <v>3/1/2025</v>
      </c>
      <c r="J413" s="9">
        <f>DATE(YEAR(I413), MONTH(I413) +1, DAY(I413))</f>
        <v>45748</v>
      </c>
      <c r="K413" s="6" t="s">
        <v>18</v>
      </c>
      <c r="L413" s="8">
        <v>102.52</v>
      </c>
      <c r="M413" s="8">
        <v>3</v>
      </c>
      <c r="N413" s="8">
        <v>3</v>
      </c>
      <c r="O413" t="s">
        <v>235</v>
      </c>
    </row>
    <row r="414" spans="1:15" ht="15.75" x14ac:dyDescent="0.25">
      <c r="A414" s="5" t="s">
        <v>13</v>
      </c>
      <c r="B414" s="6">
        <v>20411454</v>
      </c>
      <c r="C414" s="6" t="s">
        <v>165</v>
      </c>
      <c r="D414" s="6" t="s">
        <v>166</v>
      </c>
      <c r="E414" s="6" t="str">
        <f>CONCATENATE(D414,1)</f>
        <v>56TP961</v>
      </c>
      <c r="F414" s="7" t="s">
        <v>86</v>
      </c>
      <c r="G414" s="6">
        <v>1</v>
      </c>
      <c r="H414" s="6">
        <v>20250401</v>
      </c>
      <c r="I414" s="6" t="str">
        <f>TEXT(DATE(LEFT(H414,4), MID(H414,5,2), RIGHT(H414,2)), "M/d/yyyy")</f>
        <v>4/1/2025</v>
      </c>
      <c r="J414" s="9">
        <f>DATE(YEAR(I414), MONTH(I414) +1, DAY(I414))</f>
        <v>45778</v>
      </c>
      <c r="K414" s="6" t="s">
        <v>18</v>
      </c>
      <c r="L414" s="8">
        <v>102.52</v>
      </c>
      <c r="M414" s="8">
        <v>3</v>
      </c>
      <c r="N414" s="8">
        <v>3</v>
      </c>
      <c r="O414" t="s">
        <v>235</v>
      </c>
    </row>
    <row r="415" spans="1:15" ht="15.75" x14ac:dyDescent="0.25">
      <c r="A415" s="5" t="s">
        <v>13</v>
      </c>
      <c r="B415" s="6">
        <v>20411454</v>
      </c>
      <c r="C415" s="6" t="s">
        <v>153</v>
      </c>
      <c r="D415" s="6" t="s">
        <v>154</v>
      </c>
      <c r="E415" s="6" t="str">
        <f>CONCATENATE(D415,1)</f>
        <v>20Q85U1</v>
      </c>
      <c r="F415" s="7" t="s">
        <v>86</v>
      </c>
      <c r="G415" s="6">
        <v>-1</v>
      </c>
      <c r="H415" s="6">
        <v>20250201</v>
      </c>
      <c r="I415" s="6" t="str">
        <f>TEXT(DATE(LEFT(H415,4), MID(H415,5,2), RIGHT(H415,2)), "M/d/yyyy")</f>
        <v>2/1/2025</v>
      </c>
      <c r="J415" s="9">
        <f>DATE(YEAR(I415), MONTH(I415) +1, DAY(I415))</f>
        <v>45717</v>
      </c>
      <c r="K415" s="6" t="s">
        <v>18</v>
      </c>
      <c r="L415" s="8">
        <v>-446.73</v>
      </c>
      <c r="M415" s="8">
        <v>3</v>
      </c>
      <c r="N415" s="8">
        <v>-3</v>
      </c>
      <c r="O415" t="s">
        <v>235</v>
      </c>
    </row>
    <row r="416" spans="1:15" ht="15.75" x14ac:dyDescent="0.25">
      <c r="A416" s="5" t="s">
        <v>13</v>
      </c>
      <c r="B416" s="6">
        <v>20411454</v>
      </c>
      <c r="C416" s="6" t="s">
        <v>153</v>
      </c>
      <c r="D416" s="6" t="s">
        <v>154</v>
      </c>
      <c r="E416" s="6" t="str">
        <f>CONCATENATE(D416,1)</f>
        <v>20Q85U1</v>
      </c>
      <c r="F416" s="7" t="s">
        <v>86</v>
      </c>
      <c r="G416" s="6">
        <v>-1</v>
      </c>
      <c r="H416" s="6">
        <v>20250301</v>
      </c>
      <c r="I416" s="6" t="str">
        <f>TEXT(DATE(LEFT(H416,4), MID(H416,5,2), RIGHT(H416,2)), "M/d/yyyy")</f>
        <v>3/1/2025</v>
      </c>
      <c r="J416" s="9">
        <f>DATE(YEAR(I416), MONTH(I416) +1, DAY(I416))</f>
        <v>45748</v>
      </c>
      <c r="K416" s="6" t="s">
        <v>18</v>
      </c>
      <c r="L416" s="8">
        <v>-446.73</v>
      </c>
      <c r="M416" s="8">
        <v>3</v>
      </c>
      <c r="N416" s="8">
        <v>-3</v>
      </c>
      <c r="O416" t="s">
        <v>235</v>
      </c>
    </row>
    <row r="417" spans="1:15" ht="15.75" x14ac:dyDescent="0.25">
      <c r="A417" s="5" t="s">
        <v>13</v>
      </c>
      <c r="B417" s="6">
        <v>20411454</v>
      </c>
      <c r="C417" s="6" t="s">
        <v>153</v>
      </c>
      <c r="D417" s="6" t="s">
        <v>154</v>
      </c>
      <c r="E417" s="6" t="str">
        <f>CONCATENATE(D417,1)</f>
        <v>20Q85U1</v>
      </c>
      <c r="F417" s="7" t="s">
        <v>86</v>
      </c>
      <c r="G417" s="6">
        <v>1</v>
      </c>
      <c r="H417" s="6">
        <v>20250201</v>
      </c>
      <c r="I417" s="6" t="str">
        <f>TEXT(DATE(LEFT(H417,4), MID(H417,5,2), RIGHT(H417,2)), "M/d/yyyy")</f>
        <v>2/1/2025</v>
      </c>
      <c r="J417" s="9">
        <f>DATE(YEAR(I417), MONTH(I417) +1, DAY(I417))</f>
        <v>45717</v>
      </c>
      <c r="K417" s="6" t="s">
        <v>18</v>
      </c>
      <c r="L417" s="8">
        <v>446.73</v>
      </c>
      <c r="M417" s="8">
        <v>3</v>
      </c>
      <c r="N417" s="8">
        <v>3</v>
      </c>
      <c r="O417" t="s">
        <v>235</v>
      </c>
    </row>
    <row r="418" spans="1:15" ht="15.75" x14ac:dyDescent="0.25">
      <c r="A418" s="5" t="s">
        <v>13</v>
      </c>
      <c r="B418" s="6">
        <v>20411454</v>
      </c>
      <c r="C418" s="6" t="s">
        <v>153</v>
      </c>
      <c r="D418" s="6" t="s">
        <v>154</v>
      </c>
      <c r="E418" s="6" t="str">
        <f>CONCATENATE(D418,1)</f>
        <v>20Q85U1</v>
      </c>
      <c r="F418" s="7" t="s">
        <v>86</v>
      </c>
      <c r="G418" s="6">
        <v>1</v>
      </c>
      <c r="H418" s="6">
        <v>20250301</v>
      </c>
      <c r="I418" s="6" t="str">
        <f>TEXT(DATE(LEFT(H418,4), MID(H418,5,2), RIGHT(H418,2)), "M/d/yyyy")</f>
        <v>3/1/2025</v>
      </c>
      <c r="J418" s="9">
        <f>DATE(YEAR(I418), MONTH(I418) +1, DAY(I418))</f>
        <v>45748</v>
      </c>
      <c r="K418" s="6" t="s">
        <v>18</v>
      </c>
      <c r="L418" s="8">
        <v>446.73</v>
      </c>
      <c r="M418" s="8">
        <v>3</v>
      </c>
      <c r="N418" s="8">
        <v>3</v>
      </c>
      <c r="O418" t="s">
        <v>235</v>
      </c>
    </row>
    <row r="419" spans="1:15" ht="15.75" x14ac:dyDescent="0.25">
      <c r="A419" s="5" t="s">
        <v>13</v>
      </c>
      <c r="B419" s="6">
        <v>20411454</v>
      </c>
      <c r="C419" s="6" t="s">
        <v>153</v>
      </c>
      <c r="D419" s="6" t="s">
        <v>154</v>
      </c>
      <c r="E419" s="6" t="str">
        <f>CONCATENATE(D419,1)</f>
        <v>20Q85U1</v>
      </c>
      <c r="F419" s="7" t="s">
        <v>86</v>
      </c>
      <c r="G419" s="6">
        <v>1</v>
      </c>
      <c r="H419" s="6">
        <v>20250401</v>
      </c>
      <c r="I419" s="6" t="str">
        <f>TEXT(DATE(LEFT(H419,4), MID(H419,5,2), RIGHT(H419,2)), "M/d/yyyy")</f>
        <v>4/1/2025</v>
      </c>
      <c r="J419" s="9">
        <f>DATE(YEAR(I419), MONTH(I419) +1, DAY(I419))</f>
        <v>45778</v>
      </c>
      <c r="K419" s="6" t="s">
        <v>18</v>
      </c>
      <c r="L419" s="8">
        <v>446.73</v>
      </c>
      <c r="M419" s="8">
        <v>3</v>
      </c>
      <c r="N419" s="8">
        <v>3</v>
      </c>
      <c r="O419" t="s">
        <v>235</v>
      </c>
    </row>
  </sheetData>
  <sortState xmlns:xlrd2="http://schemas.microsoft.com/office/spreadsheetml/2017/richdata2" ref="A2:O419">
    <sortCondition ref="C2:C4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- Cigna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Atkinson</dc:creator>
  <cp:lastModifiedBy>Cabel, Denisse Raeka</cp:lastModifiedBy>
  <dcterms:created xsi:type="dcterms:W3CDTF">2025-04-21T14:24:30Z</dcterms:created>
  <dcterms:modified xsi:type="dcterms:W3CDTF">2025-05-07T12:47:12Z</dcterms:modified>
</cp:coreProperties>
</file>