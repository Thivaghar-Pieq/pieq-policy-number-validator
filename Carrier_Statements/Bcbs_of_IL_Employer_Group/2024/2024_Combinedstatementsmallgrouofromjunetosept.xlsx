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of IL small group\"/>
    </mc:Choice>
  </mc:AlternateContent>
  <xr:revisionPtr revIDLastSave="0" documentId="13_ncr:1_{481568DA-A54F-4FDE-8BAC-146C98C4F0EA}" xr6:coauthVersionLast="47" xr6:coauthVersionMax="47" xr10:uidLastSave="{00000000-0000-0000-0000-000000000000}"/>
  <bookViews>
    <workbookView xWindow="-57720" yWindow="-120" windowWidth="29040" windowHeight="15720" xr2:uid="{FADBD7F2-6B0F-457B-83C4-0782E9AC9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29" i="1"/>
  <c r="D3" i="1"/>
  <c r="D4" i="1"/>
  <c r="D7" i="1"/>
  <c r="D6" i="1"/>
  <c r="D5" i="1"/>
  <c r="D14" i="1"/>
  <c r="D15" i="1"/>
  <c r="D16" i="1"/>
  <c r="D18" i="1"/>
  <c r="D17" i="1"/>
  <c r="D19" i="1"/>
  <c r="D20" i="1"/>
  <c r="D21" i="1"/>
  <c r="D22" i="1"/>
  <c r="D23" i="1"/>
  <c r="D24" i="1"/>
  <c r="D25" i="1"/>
  <c r="D26" i="1"/>
  <c r="D27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D29" authorId="0" shapeId="0" xr:uid="{E96B0798-31AB-49EB-8BAE-01E5BA1EF4F3}">
      <text>
        <r>
          <rPr>
            <b/>
            <sz val="9"/>
            <color indexed="81"/>
            <rFont val="Tahoma"/>
            <family val="2"/>
          </rPr>
          <t>Janki Patel:</t>
        </r>
        <r>
          <rPr>
            <sz val="9"/>
            <color indexed="81"/>
            <rFont val="Tahoma"/>
            <family val="2"/>
          </rPr>
          <t xml:space="preserve">
for this put it on hold until we know the agent 
</t>
        </r>
      </text>
    </comment>
  </commentList>
</comments>
</file>

<file path=xl/sharedStrings.xml><?xml version="1.0" encoding="utf-8"?>
<sst xmlns="http://schemas.openxmlformats.org/spreadsheetml/2006/main" count="363" uniqueCount="117">
  <si>
    <t>Client Key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</si>
  <si>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</si>
  <si>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</si>
  <si>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</si>
  <si>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</si>
  <si>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</si>
  <si>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</si>
  <si>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</si>
  <si>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</si>
  <si>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</si>
  <si>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</si>
  <si>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</si>
  <si>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</si>
  <si>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</si>
  <si>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</si>
  <si>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</si>
  <si>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</si>
  <si>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</si>
  <si>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</si>
  <si>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</si>
  <si>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</si>
  <si>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</si>
  <si>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</si>
  <si>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PR</t>
  </si>
  <si>
    <t>E04396</t>
  </si>
  <si>
    <t>CRABTREE FINANCIAL SERVICES</t>
  </si>
  <si>
    <t>B0000862670</t>
  </si>
  <si>
    <t>P</t>
  </si>
  <si>
    <t>$/Contract EO</t>
  </si>
  <si>
    <t>000,000.00</t>
  </si>
  <si>
    <t>0,000,725.04</t>
  </si>
  <si>
    <t>0,000,027.00</t>
  </si>
  <si>
    <t>BLUECP</t>
  </si>
  <si>
    <t>$/Contract EF</t>
  </si>
  <si>
    <t>0EU569</t>
  </si>
  <si>
    <t>B0000258976</t>
  </si>
  <si>
    <t>0,009,918.72</t>
  </si>
  <si>
    <t>0,000,405.00</t>
  </si>
  <si>
    <t>0EZ643</t>
  </si>
  <si>
    <t>BLUEOP</t>
  </si>
  <si>
    <t>0,006,612.48</t>
  </si>
  <si>
    <t>BLUPRE</t>
  </si>
  <si>
    <t>SOLUTIONS TRAVEL LLC</t>
  </si>
  <si>
    <t>B0000045893</t>
  </si>
  <si>
    <t>0,005,808.03</t>
  </si>
  <si>
    <t>0,000,154.00</t>
  </si>
  <si>
    <t>ILLINOIS PRAIRIE COMMUNITY FOUNDATION</t>
  </si>
  <si>
    <t>B0000189067</t>
  </si>
  <si>
    <t>0,000,108.00</t>
  </si>
  <si>
    <t>0EZ816</t>
  </si>
  <si>
    <t>0,004,104.32</t>
  </si>
  <si>
    <t>0,000,000.00</t>
  </si>
  <si>
    <t>% Premium Flat</t>
  </si>
  <si>
    <t>PDENT</t>
  </si>
  <si>
    <t>PET CENTRAL HELPS</t>
  </si>
  <si>
    <t>B0000514807</t>
  </si>
  <si>
    <t>0,000,920.86</t>
  </si>
  <si>
    <t>0,000,054.00</t>
  </si>
  <si>
    <t>POPUP INC</t>
  </si>
  <si>
    <t>B0000235258</t>
  </si>
  <si>
    <t>0,001,474.49</t>
  </si>
  <si>
    <t>0,000,081.00</t>
  </si>
  <si>
    <t>E18534</t>
  </si>
  <si>
    <t>R28255</t>
  </si>
  <si>
    <t>BALMORAL INTERESTS INC</t>
  </si>
  <si>
    <t>B0000069369</t>
  </si>
  <si>
    <t>0,000,131.00</t>
  </si>
  <si>
    <t>MSC BLINDS LLC</t>
  </si>
  <si>
    <t>B0000079654</t>
  </si>
  <si>
    <t>0,011,916.52</t>
  </si>
  <si>
    <t>0,000,231.00</t>
  </si>
  <si>
    <t>0ET867</t>
  </si>
  <si>
    <t>BLOOMINGTON MED SPA LTD</t>
  </si>
  <si>
    <t>B0000163813</t>
  </si>
  <si>
    <t>0,016,319.53</t>
  </si>
  <si>
    <t>0,000,104.00</t>
  </si>
  <si>
    <t>000,022.21</t>
  </si>
  <si>
    <t>0,001,025.73</t>
  </si>
  <si>
    <t>0,000,000.44</t>
  </si>
  <si>
    <t>LAKEVIEW VENTURES MANAGEMENT INC</t>
  </si>
  <si>
    <t>B0000846276</t>
  </si>
  <si>
    <t>0,000,505.56</t>
  </si>
  <si>
    <t>0M0636</t>
  </si>
  <si>
    <t>OLSON ELECTRIC</t>
  </si>
  <si>
    <t>B0000991151</t>
  </si>
  <si>
    <t>0,008,721.40</t>
  </si>
  <si>
    <t>BLUECS</t>
  </si>
  <si>
    <t>0,000,674.49</t>
  </si>
  <si>
    <t>0,000,077.00</t>
  </si>
  <si>
    <t>0,000,270.00</t>
  </si>
  <si>
    <t>0,000,135.00</t>
  </si>
  <si>
    <t>0,002,077.09</t>
  </si>
  <si>
    <t>ALWAYS UNDERGROUND LLC</t>
  </si>
  <si>
    <t>B0000517503</t>
  </si>
  <si>
    <t>% Prem Graded</t>
  </si>
  <si>
    <t>0,019,110.00</t>
  </si>
  <si>
    <t>0,001,528.80</t>
  </si>
  <si>
    <t>Name</t>
  </si>
  <si>
    <t>SANTOS</t>
  </si>
  <si>
    <t>DUNAVANT</t>
  </si>
  <si>
    <t>BENEFITS</t>
  </si>
  <si>
    <t>DEATON</t>
  </si>
  <si>
    <t>EDWARD</t>
  </si>
  <si>
    <t>SERIO</t>
  </si>
  <si>
    <t>LISKOVEC</t>
  </si>
  <si>
    <t>SEMPREVIVO</t>
  </si>
  <si>
    <t>PORTUGAL</t>
  </si>
  <si>
    <t>RICARDO</t>
  </si>
  <si>
    <t>MAINLINE</t>
  </si>
  <si>
    <t>MICHAEL</t>
  </si>
  <si>
    <t>PAMELA</t>
  </si>
  <si>
    <t>FRANK</t>
  </si>
  <si>
    <t>GARY</t>
  </si>
  <si>
    <t xml:space="preserve">Anthony </t>
  </si>
  <si>
    <t>Hunsberger</t>
  </si>
  <si>
    <t>agent</t>
  </si>
  <si>
    <t>HAVECO TOOL &amp; MFG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</si>
</sst>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8" fontId="0" fillId="0" borderId="0" xfId="0" applyNumberFormat="1"/>
    <xf numFmtId="4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9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E6C3-78B1-4055-902B-28DE5A4AC9C1}">
  <dimension ref="A1:Z29"/>
  <sheetViews>
    <sheetView tabSelected="1" topLeftCell="F1" workbookViewId="0">
      <selection activeCell="I12" sqref="I12"/>
    </sheetView>
  </sheetViews>
  <sheetFormatPr defaultRowHeight="15" x14ac:dyDescent="0.25"/>
  <cols>
    <col min="1" max="1" width="9.42578125" bestFit="1" customWidth="1"/>
    <col min="2" max="2" width="10" customWidth="1"/>
    <col min="3" max="3" width="12" customWidth="1"/>
    <col min="4" max="4" width="35.42578125" customWidth="1"/>
    <col min="5" max="5" width="20.140625" bestFit="1" customWidth="1"/>
    <col min="6" max="6" width="8.140625" bestFit="1" customWidth="1"/>
    <col min="7" max="7" width="19.28515625" bestFit="1" customWidth="1"/>
    <col min="8" max="8" width="7.5703125" bestFit="1" customWidth="1"/>
    <col min="9" max="9" width="40.28515625" bestFit="1" customWidth="1"/>
    <col min="10" max="10" width="12.7109375" bestFit="1" customWidth="1"/>
    <col min="11" max="11" width="19.42578125" bestFit="1" customWidth="1"/>
    <col min="12" max="12" width="13.140625" bestFit="1" customWidth="1"/>
    <col min="13" max="13" width="12.140625" bestFit="1" customWidth="1"/>
    <col min="14" max="14" width="12" bestFit="1" customWidth="1"/>
    <col min="15" max="15" width="16.42578125" bestFit="1" customWidth="1"/>
    <col min="16" max="16" width="15.140625" bestFit="1" customWidth="1"/>
    <col min="17" max="17" width="17.85546875" bestFit="1" customWidth="1"/>
    <col min="18" max="18" width="17.7109375" bestFit="1" customWidth="1"/>
    <col min="19" max="19" width="17.42578125" bestFit="1" customWidth="1"/>
    <col min="20" max="20" width="12.85546875" bestFit="1" customWidth="1"/>
    <col min="21" max="21" width="16.140625" bestFit="1" customWidth="1"/>
    <col min="22" max="22" width="17" bestFit="1" customWidth="1"/>
    <col min="23" max="23" width="8.85546875" bestFit="1" customWidth="1"/>
    <col min="24" max="24" width="12.28515625" bestFit="1" customWidth="1"/>
    <col min="25" max="25" width="7" bestFit="1" customWidth="1"/>
    <col min="26" max="26" width="13.7109375" bestFit="1" customWidth="1"/>
  </cols>
  <sheetData>
    <row r="1" spans="1:26" x14ac:dyDescent="0.25">
      <c r="A1" t="s">
        <v>0</v>
      </c>
      <c r="B1" t="s">
        <v>97</v>
      </c>
      <c r="D1" t="s">
        <v>115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 x14ac:dyDescent="0.25">
      <c r="A2" s="1">
        <v>1000102</v>
      </c>
      <c r="B2" t="s">
        <v>113</v>
      </c>
      <c r="C2" t="s">
        <v>114</v>
      </c>
      <c r="D2" t="str">
        <f>CONCATENATE(B2, " ",C2)</f>
        <v>Anthony  Hunsberger</v>
      </c>
      <c r="E2" s="1">
        <v>7146581</v>
      </c>
      <c r="F2" s="1">
        <v>323251</v>
      </c>
      <c r="G2" t="s">
        <v>23</v>
      </c>
      <c r="H2" s="1">
        <v>323251</v>
      </c>
      <c r="I2" t="s">
        <v>92</v>
      </c>
      <c r="J2" t="s">
        <v>93</v>
      </c>
      <c r="K2" s="1">
        <v>0</v>
      </c>
      <c r="L2" t="s">
        <v>27</v>
      </c>
      <c r="M2" s="4">
        <v>45505</v>
      </c>
      <c r="N2" s="4">
        <v>45536</v>
      </c>
      <c r="O2" t="s">
        <v>94</v>
      </c>
      <c r="P2" s="1">
        <v>100</v>
      </c>
      <c r="Q2" s="3">
        <v>19110</v>
      </c>
      <c r="R2" s="5">
        <v>0.08</v>
      </c>
      <c r="S2" s="3">
        <v>1528.8</v>
      </c>
      <c r="T2" t="s">
        <v>95</v>
      </c>
      <c r="U2" t="s">
        <v>96</v>
      </c>
      <c r="V2" t="s">
        <v>96</v>
      </c>
      <c r="W2" s="1">
        <v>0</v>
      </c>
      <c r="X2" s="1">
        <v>1</v>
      </c>
      <c r="Z2" t="s">
        <v>39</v>
      </c>
    </row>
    <row r="3" spans="1:26" x14ac:dyDescent="0.25">
      <c r="A3" s="1">
        <v>1000102</v>
      </c>
      <c r="B3" t="s">
        <v>107</v>
      </c>
      <c r="C3" t="s">
        <v>98</v>
      </c>
      <c r="D3" t="str">
        <f>CONCATENATE(B3, " ",C3)</f>
        <v>RICARDO SANTOS</v>
      </c>
      <c r="E3" s="1">
        <v>19200754</v>
      </c>
      <c r="F3" s="1">
        <v>328255</v>
      </c>
      <c r="G3" t="s">
        <v>23</v>
      </c>
      <c r="H3" t="s">
        <v>63</v>
      </c>
      <c r="I3" t="s">
        <v>64</v>
      </c>
      <c r="J3" t="s">
        <v>65</v>
      </c>
      <c r="K3" s="1">
        <v>1</v>
      </c>
      <c r="L3" t="s">
        <v>27</v>
      </c>
      <c r="M3" s="4">
        <v>45536</v>
      </c>
      <c r="N3" s="4">
        <v>45566</v>
      </c>
      <c r="O3" t="s">
        <v>33</v>
      </c>
      <c r="P3" s="2">
        <v>1</v>
      </c>
      <c r="Q3" t="s">
        <v>29</v>
      </c>
      <c r="R3" s="1">
        <v>50</v>
      </c>
      <c r="S3">
        <v>50</v>
      </c>
      <c r="T3" t="s">
        <v>51</v>
      </c>
      <c r="U3" t="s">
        <v>66</v>
      </c>
      <c r="V3" t="s">
        <v>66</v>
      </c>
      <c r="W3" s="1">
        <v>0</v>
      </c>
      <c r="X3" s="1">
        <v>1</v>
      </c>
      <c r="Z3" t="s">
        <v>41</v>
      </c>
    </row>
    <row r="4" spans="1:26" x14ac:dyDescent="0.25">
      <c r="A4" s="1">
        <v>1000102</v>
      </c>
      <c r="B4" t="s">
        <v>107</v>
      </c>
      <c r="C4" t="s">
        <v>98</v>
      </c>
      <c r="D4" t="str">
        <f>CONCATENATE(B4, " ",C4)</f>
        <v>RICARDO SANTOS</v>
      </c>
      <c r="E4" s="1">
        <v>19200754</v>
      </c>
      <c r="F4" s="1">
        <v>328255</v>
      </c>
      <c r="G4" t="s">
        <v>23</v>
      </c>
      <c r="H4" t="s">
        <v>63</v>
      </c>
      <c r="I4" t="s">
        <v>64</v>
      </c>
      <c r="J4" t="s">
        <v>65</v>
      </c>
      <c r="K4" s="1">
        <v>3</v>
      </c>
      <c r="L4" t="s">
        <v>27</v>
      </c>
      <c r="M4" s="4">
        <v>45536</v>
      </c>
      <c r="N4" s="4">
        <v>45566</v>
      </c>
      <c r="O4" t="s">
        <v>28</v>
      </c>
      <c r="P4" s="2">
        <v>1</v>
      </c>
      <c r="Q4" t="s">
        <v>29</v>
      </c>
      <c r="R4" s="1">
        <v>27</v>
      </c>
      <c r="S4">
        <v>81</v>
      </c>
      <c r="T4" t="s">
        <v>51</v>
      </c>
      <c r="U4" t="s">
        <v>66</v>
      </c>
      <c r="V4" t="s">
        <v>66</v>
      </c>
      <c r="W4" s="1">
        <v>0</v>
      </c>
      <c r="X4" s="1">
        <v>1</v>
      </c>
      <c r="Z4" t="s">
        <v>41</v>
      </c>
    </row>
    <row r="5" spans="1:26" s="11" customFormat="1" x14ac:dyDescent="0.25">
      <c r="A5" s="10">
        <v>1000102</v>
      </c>
      <c r="B5" s="11" t="s">
        <v>109</v>
      </c>
      <c r="C5" s="11" t="s">
        <v>99</v>
      </c>
      <c r="D5" s="11" t="str">
        <f>CONCATENATE(B5, " ",C5)</f>
        <v>MICHAEL DUNAVANT</v>
      </c>
      <c r="E5" s="10">
        <v>18828278</v>
      </c>
      <c r="F5" s="10">
        <v>273109</v>
      </c>
      <c r="G5" s="11" t="s">
        <v>23</v>
      </c>
      <c r="H5" s="10">
        <v>273109</v>
      </c>
      <c r="I5" s="11" t="s">
        <v>72</v>
      </c>
      <c r="J5" s="11" t="s">
        <v>73</v>
      </c>
      <c r="K5" s="10">
        <v>3</v>
      </c>
      <c r="L5" s="11" t="s">
        <v>27</v>
      </c>
      <c r="M5" s="12">
        <v>44331</v>
      </c>
      <c r="N5" s="12">
        <v>45580</v>
      </c>
      <c r="O5" s="11" t="s">
        <v>52</v>
      </c>
      <c r="P5" s="10">
        <v>100</v>
      </c>
      <c r="Q5" s="11" t="s">
        <v>76</v>
      </c>
      <c r="R5" s="13">
        <v>0.02</v>
      </c>
      <c r="S5" s="11">
        <v>0.44</v>
      </c>
      <c r="T5" s="11" t="s">
        <v>77</v>
      </c>
      <c r="U5" s="11" t="s">
        <v>78</v>
      </c>
      <c r="V5" s="11" t="s">
        <v>78</v>
      </c>
      <c r="W5" s="10">
        <v>0</v>
      </c>
      <c r="X5" s="10">
        <v>41</v>
      </c>
      <c r="Z5" s="11" t="s">
        <v>53</v>
      </c>
    </row>
    <row r="6" spans="1:26" s="11" customFormat="1" x14ac:dyDescent="0.25">
      <c r="A6" s="10">
        <v>1000102</v>
      </c>
      <c r="B6" s="11" t="s">
        <v>109</v>
      </c>
      <c r="C6" s="11" t="s">
        <v>99</v>
      </c>
      <c r="D6" s="11" t="str">
        <f>CONCATENATE(B6, " ",C6)</f>
        <v>MICHAEL DUNAVANT</v>
      </c>
      <c r="E6" s="10">
        <v>18828278</v>
      </c>
      <c r="F6" s="10">
        <v>273109</v>
      </c>
      <c r="G6" s="11" t="s">
        <v>23</v>
      </c>
      <c r="H6" s="11" t="s">
        <v>71</v>
      </c>
      <c r="I6" s="11" t="s">
        <v>72</v>
      </c>
      <c r="J6" s="11" t="s">
        <v>73</v>
      </c>
      <c r="K6" s="10">
        <v>1</v>
      </c>
      <c r="L6" s="11" t="s">
        <v>27</v>
      </c>
      <c r="M6" s="12">
        <v>44331</v>
      </c>
      <c r="N6" s="12">
        <v>45580</v>
      </c>
      <c r="O6" s="11" t="s">
        <v>33</v>
      </c>
      <c r="P6" s="14">
        <v>1</v>
      </c>
      <c r="Q6" s="11" t="s">
        <v>29</v>
      </c>
      <c r="R6" s="10">
        <v>50</v>
      </c>
      <c r="S6" s="11">
        <v>50</v>
      </c>
      <c r="T6" s="11" t="s">
        <v>74</v>
      </c>
      <c r="U6" s="11" t="s">
        <v>75</v>
      </c>
      <c r="V6" s="11" t="s">
        <v>75</v>
      </c>
      <c r="W6" s="10">
        <v>0</v>
      </c>
      <c r="X6" s="10">
        <v>41</v>
      </c>
      <c r="Z6" s="11" t="s">
        <v>32</v>
      </c>
    </row>
    <row r="7" spans="1:26" s="11" customFormat="1" x14ac:dyDescent="0.25">
      <c r="A7" s="10">
        <v>1000102</v>
      </c>
      <c r="B7" s="11" t="s">
        <v>109</v>
      </c>
      <c r="C7" s="11" t="s">
        <v>99</v>
      </c>
      <c r="D7" s="11" t="str">
        <f>CONCATENATE(B7, " ",C7)</f>
        <v>MICHAEL DUNAVANT</v>
      </c>
      <c r="E7" s="10">
        <v>18828278</v>
      </c>
      <c r="F7" s="10">
        <v>273109</v>
      </c>
      <c r="G7" s="11" t="s">
        <v>23</v>
      </c>
      <c r="H7" s="11" t="s">
        <v>71</v>
      </c>
      <c r="I7" s="11" t="s">
        <v>72</v>
      </c>
      <c r="J7" s="11" t="s">
        <v>73</v>
      </c>
      <c r="K7" s="10">
        <v>2</v>
      </c>
      <c r="L7" s="11" t="s">
        <v>27</v>
      </c>
      <c r="M7" s="12">
        <v>44331</v>
      </c>
      <c r="N7" s="12">
        <v>45580</v>
      </c>
      <c r="O7" s="11" t="s">
        <v>28</v>
      </c>
      <c r="P7" s="14">
        <v>1</v>
      </c>
      <c r="Q7" s="11" t="s">
        <v>29</v>
      </c>
      <c r="R7" s="10">
        <v>27</v>
      </c>
      <c r="S7" s="11">
        <v>54</v>
      </c>
      <c r="T7" s="11" t="s">
        <v>74</v>
      </c>
      <c r="U7" s="11" t="s">
        <v>75</v>
      </c>
      <c r="V7" s="11" t="s">
        <v>75</v>
      </c>
      <c r="W7" s="10">
        <v>0</v>
      </c>
      <c r="X7" s="10">
        <v>41</v>
      </c>
      <c r="Z7" s="11" t="s">
        <v>32</v>
      </c>
    </row>
    <row r="8" spans="1:26" x14ac:dyDescent="0.25">
      <c r="A8" s="1">
        <v>1000102</v>
      </c>
      <c r="B8" t="s">
        <v>113</v>
      </c>
      <c r="C8" t="s">
        <v>114</v>
      </c>
      <c r="D8" t="str">
        <f t="shared" ref="D8:D13" si="0">CONCATENATE(B8, " ",C8)</f>
        <v>Anthony  Hunsberger</v>
      </c>
      <c r="E8" s="1">
        <v>7146581</v>
      </c>
      <c r="F8" s="1">
        <v>176722</v>
      </c>
      <c r="G8" t="s">
        <v>23</v>
      </c>
      <c r="H8" t="s">
        <v>38</v>
      </c>
      <c r="I8" t="s">
        <v>116</v>
      </c>
      <c r="J8" t="s">
        <v>35</v>
      </c>
      <c r="K8" s="1">
        <v>1</v>
      </c>
      <c r="L8" t="s">
        <v>27</v>
      </c>
      <c r="M8" s="4">
        <v>42552</v>
      </c>
      <c r="N8" s="4">
        <v>45566</v>
      </c>
      <c r="O8" t="s">
        <v>28</v>
      </c>
      <c r="P8" s="2">
        <v>1</v>
      </c>
      <c r="Q8" t="s">
        <v>29</v>
      </c>
      <c r="R8" s="1">
        <v>27</v>
      </c>
      <c r="S8">
        <v>27</v>
      </c>
      <c r="T8" t="s">
        <v>36</v>
      </c>
      <c r="U8" t="s">
        <v>37</v>
      </c>
      <c r="V8" t="s">
        <v>37</v>
      </c>
      <c r="W8" s="1">
        <v>0</v>
      </c>
      <c r="X8" s="1">
        <v>99</v>
      </c>
      <c r="Z8" t="s">
        <v>32</v>
      </c>
    </row>
    <row r="9" spans="1:26" x14ac:dyDescent="0.25">
      <c r="A9" s="1">
        <v>1000102</v>
      </c>
      <c r="B9" t="s">
        <v>113</v>
      </c>
      <c r="C9" t="s">
        <v>114</v>
      </c>
      <c r="D9" t="str">
        <f t="shared" si="0"/>
        <v>Anthony  Hunsberger</v>
      </c>
      <c r="E9" s="1">
        <v>7146581</v>
      </c>
      <c r="F9" s="1">
        <v>176722</v>
      </c>
      <c r="G9" t="s">
        <v>23</v>
      </c>
      <c r="H9" t="s">
        <v>38</v>
      </c>
      <c r="I9" t="s">
        <v>116</v>
      </c>
      <c r="J9" t="s">
        <v>35</v>
      </c>
      <c r="K9" s="1">
        <v>1</v>
      </c>
      <c r="L9" t="s">
        <v>27</v>
      </c>
      <c r="M9" s="4">
        <v>42552</v>
      </c>
      <c r="N9" s="4">
        <v>45536</v>
      </c>
      <c r="O9" t="s">
        <v>28</v>
      </c>
      <c r="P9" s="2">
        <v>1</v>
      </c>
      <c r="Q9" t="s">
        <v>29</v>
      </c>
      <c r="R9" s="1">
        <v>27</v>
      </c>
      <c r="S9">
        <v>27</v>
      </c>
      <c r="T9" t="s">
        <v>40</v>
      </c>
      <c r="U9" t="s">
        <v>89</v>
      </c>
      <c r="V9" t="s">
        <v>89</v>
      </c>
      <c r="W9" s="1">
        <v>0</v>
      </c>
      <c r="X9" s="1">
        <v>98</v>
      </c>
      <c r="Z9" t="s">
        <v>32</v>
      </c>
    </row>
    <row r="10" spans="1:26" x14ac:dyDescent="0.25">
      <c r="A10" s="1">
        <v>1000102</v>
      </c>
      <c r="B10" t="s">
        <v>113</v>
      </c>
      <c r="C10" t="s">
        <v>114</v>
      </c>
      <c r="D10" t="str">
        <f t="shared" si="0"/>
        <v>Anthony  Hunsberger</v>
      </c>
      <c r="E10" s="1">
        <v>7146581</v>
      </c>
      <c r="F10" s="1">
        <v>176722</v>
      </c>
      <c r="G10" t="s">
        <v>23</v>
      </c>
      <c r="H10" t="s">
        <v>38</v>
      </c>
      <c r="I10" t="s">
        <v>116</v>
      </c>
      <c r="J10" t="s">
        <v>35</v>
      </c>
      <c r="K10" s="1">
        <v>1</v>
      </c>
      <c r="L10" t="s">
        <v>27</v>
      </c>
      <c r="M10" s="4">
        <v>42552</v>
      </c>
      <c r="N10" s="4">
        <v>45505</v>
      </c>
      <c r="O10" t="s">
        <v>28</v>
      </c>
      <c r="P10" s="2">
        <v>1</v>
      </c>
      <c r="Q10" t="s">
        <v>29</v>
      </c>
      <c r="R10" s="1">
        <v>27</v>
      </c>
      <c r="S10">
        <v>27</v>
      </c>
      <c r="T10" t="s">
        <v>91</v>
      </c>
      <c r="U10" t="s">
        <v>90</v>
      </c>
      <c r="V10" t="s">
        <v>90</v>
      </c>
      <c r="W10" s="1">
        <v>0</v>
      </c>
      <c r="X10" s="1">
        <v>97</v>
      </c>
      <c r="Z10" t="s">
        <v>32</v>
      </c>
    </row>
    <row r="11" spans="1:26" x14ac:dyDescent="0.25">
      <c r="A11" s="1">
        <v>1000102</v>
      </c>
      <c r="B11" t="s">
        <v>113</v>
      </c>
      <c r="C11" t="s">
        <v>114</v>
      </c>
      <c r="D11" t="str">
        <f t="shared" si="0"/>
        <v>Anthony  Hunsberger</v>
      </c>
      <c r="E11" s="1">
        <v>7146581</v>
      </c>
      <c r="F11" s="1">
        <v>176722</v>
      </c>
      <c r="G11" t="s">
        <v>23</v>
      </c>
      <c r="H11" t="s">
        <v>34</v>
      </c>
      <c r="I11" t="s">
        <v>116</v>
      </c>
      <c r="J11" t="s">
        <v>35</v>
      </c>
      <c r="K11" s="1">
        <v>4</v>
      </c>
      <c r="L11" t="s">
        <v>27</v>
      </c>
      <c r="M11" s="4">
        <v>42552</v>
      </c>
      <c r="N11" s="4">
        <v>45566</v>
      </c>
      <c r="O11" t="s">
        <v>28</v>
      </c>
      <c r="P11" s="2">
        <v>1</v>
      </c>
      <c r="Q11" t="s">
        <v>29</v>
      </c>
      <c r="R11" s="1">
        <v>27</v>
      </c>
      <c r="S11">
        <v>108</v>
      </c>
      <c r="T11" t="s">
        <v>36</v>
      </c>
      <c r="U11" t="s">
        <v>37</v>
      </c>
      <c r="V11" t="s">
        <v>37</v>
      </c>
      <c r="W11" s="1">
        <v>0</v>
      </c>
      <c r="X11" s="1">
        <v>99</v>
      </c>
      <c r="Z11" t="s">
        <v>32</v>
      </c>
    </row>
    <row r="12" spans="1:26" x14ac:dyDescent="0.25">
      <c r="A12" s="1">
        <v>1000102</v>
      </c>
      <c r="B12" t="s">
        <v>113</v>
      </c>
      <c r="C12" t="s">
        <v>114</v>
      </c>
      <c r="D12" t="str">
        <f t="shared" si="0"/>
        <v>Anthony  Hunsberger</v>
      </c>
      <c r="E12" s="1">
        <v>7146581</v>
      </c>
      <c r="F12" s="1">
        <v>176722</v>
      </c>
      <c r="G12" t="s">
        <v>23</v>
      </c>
      <c r="H12" t="s">
        <v>34</v>
      </c>
      <c r="I12" t="s">
        <v>116</v>
      </c>
      <c r="J12" t="s">
        <v>35</v>
      </c>
      <c r="K12" s="1">
        <v>4</v>
      </c>
      <c r="L12" t="s">
        <v>27</v>
      </c>
      <c r="M12" s="4">
        <v>42552</v>
      </c>
      <c r="N12" s="4">
        <v>45536</v>
      </c>
      <c r="O12" t="s">
        <v>28</v>
      </c>
      <c r="P12" s="2">
        <v>1</v>
      </c>
      <c r="Q12" t="s">
        <v>29</v>
      </c>
      <c r="R12" s="1">
        <v>27</v>
      </c>
      <c r="S12">
        <v>108</v>
      </c>
      <c r="T12" t="s">
        <v>40</v>
      </c>
      <c r="U12" t="s">
        <v>89</v>
      </c>
      <c r="V12" t="s">
        <v>89</v>
      </c>
      <c r="W12" s="1">
        <v>0</v>
      </c>
      <c r="X12" s="1">
        <v>98</v>
      </c>
      <c r="Z12" t="s">
        <v>32</v>
      </c>
    </row>
    <row r="13" spans="1:26" x14ac:dyDescent="0.25">
      <c r="A13" s="1">
        <v>1000102</v>
      </c>
      <c r="B13" t="s">
        <v>113</v>
      </c>
      <c r="C13" t="s">
        <v>114</v>
      </c>
      <c r="D13" t="str">
        <f t="shared" si="0"/>
        <v>Anthony  Hunsberger</v>
      </c>
      <c r="E13" s="1">
        <v>7146581</v>
      </c>
      <c r="F13" s="1">
        <v>176722</v>
      </c>
      <c r="G13" t="s">
        <v>23</v>
      </c>
      <c r="H13" t="s">
        <v>34</v>
      </c>
      <c r="I13" t="s">
        <v>116</v>
      </c>
      <c r="J13" t="s">
        <v>35</v>
      </c>
      <c r="K13" s="1">
        <v>4</v>
      </c>
      <c r="L13" t="s">
        <v>27</v>
      </c>
      <c r="M13" s="4">
        <v>42552</v>
      </c>
      <c r="N13" s="4">
        <v>45505</v>
      </c>
      <c r="O13" t="s">
        <v>28</v>
      </c>
      <c r="P13" s="2">
        <v>1</v>
      </c>
      <c r="Q13" t="s">
        <v>29</v>
      </c>
      <c r="R13" s="1">
        <v>27</v>
      </c>
      <c r="S13">
        <v>108</v>
      </c>
      <c r="T13" t="s">
        <v>91</v>
      </c>
      <c r="U13" t="s">
        <v>90</v>
      </c>
      <c r="V13" t="s">
        <v>90</v>
      </c>
      <c r="W13" s="1">
        <v>0</v>
      </c>
      <c r="X13" s="1">
        <v>97</v>
      </c>
      <c r="Z13" t="s">
        <v>32</v>
      </c>
    </row>
    <row r="14" spans="1:26" x14ac:dyDescent="0.25">
      <c r="A14" s="1">
        <v>1000102</v>
      </c>
      <c r="B14" t="s">
        <v>110</v>
      </c>
      <c r="C14" t="s">
        <v>101</v>
      </c>
      <c r="D14" t="str">
        <f>CONCATENATE(B14, " ",C14)</f>
        <v>PAMELA DEATON</v>
      </c>
      <c r="E14" s="1">
        <v>8244481</v>
      </c>
      <c r="F14" s="1">
        <v>17914</v>
      </c>
      <c r="G14" t="s">
        <v>23</v>
      </c>
      <c r="H14" t="s">
        <v>49</v>
      </c>
      <c r="I14" t="s">
        <v>46</v>
      </c>
      <c r="J14" t="s">
        <v>47</v>
      </c>
      <c r="K14" s="1">
        <v>2</v>
      </c>
      <c r="L14" t="s">
        <v>27</v>
      </c>
      <c r="M14" s="4">
        <v>42948</v>
      </c>
      <c r="N14" s="4">
        <v>45566</v>
      </c>
      <c r="O14" t="s">
        <v>28</v>
      </c>
      <c r="P14" s="2">
        <v>1</v>
      </c>
      <c r="Q14" t="s">
        <v>29</v>
      </c>
      <c r="R14" s="1">
        <v>27</v>
      </c>
      <c r="S14">
        <v>54</v>
      </c>
      <c r="T14" t="s">
        <v>50</v>
      </c>
      <c r="U14" t="s">
        <v>48</v>
      </c>
      <c r="V14" t="s">
        <v>48</v>
      </c>
      <c r="W14" s="1">
        <v>0</v>
      </c>
      <c r="X14" s="1">
        <v>86</v>
      </c>
      <c r="Z14" t="s">
        <v>32</v>
      </c>
    </row>
    <row r="15" spans="1:26" x14ac:dyDescent="0.25">
      <c r="A15" s="1">
        <v>1000102</v>
      </c>
      <c r="B15" t="s">
        <v>102</v>
      </c>
      <c r="C15" t="s">
        <v>103</v>
      </c>
      <c r="D15" t="str">
        <f>CONCATENATE(B15, " ",C15)</f>
        <v>EDWARD SERIO</v>
      </c>
      <c r="E15" s="1">
        <v>20490188</v>
      </c>
      <c r="F15" s="1">
        <v>327985</v>
      </c>
      <c r="G15" t="s">
        <v>23</v>
      </c>
      <c r="H15" s="1">
        <v>327985</v>
      </c>
      <c r="I15" t="s">
        <v>79</v>
      </c>
      <c r="J15" t="s">
        <v>80</v>
      </c>
      <c r="K15" s="1">
        <v>1</v>
      </c>
      <c r="L15" t="s">
        <v>27</v>
      </c>
      <c r="M15" s="4">
        <v>45536</v>
      </c>
      <c r="N15" s="4">
        <v>45566</v>
      </c>
      <c r="O15" t="s">
        <v>28</v>
      </c>
      <c r="P15" s="2">
        <v>1</v>
      </c>
      <c r="Q15" t="s">
        <v>29</v>
      </c>
      <c r="R15" s="1">
        <v>27</v>
      </c>
      <c r="S15">
        <v>27</v>
      </c>
      <c r="T15" t="s">
        <v>81</v>
      </c>
      <c r="U15" t="s">
        <v>31</v>
      </c>
      <c r="V15" t="s">
        <v>31</v>
      </c>
      <c r="W15" s="1">
        <v>0</v>
      </c>
      <c r="X15" s="1">
        <v>1</v>
      </c>
      <c r="Z15" t="s">
        <v>39</v>
      </c>
    </row>
    <row r="16" spans="1:26" x14ac:dyDescent="0.25">
      <c r="A16" s="1">
        <v>1000102</v>
      </c>
      <c r="B16" t="s">
        <v>111</v>
      </c>
      <c r="C16" t="s">
        <v>104</v>
      </c>
      <c r="D16" t="str">
        <f>CONCATENATE(B16, " ",C16)</f>
        <v>FRANK LISKOVEC</v>
      </c>
      <c r="E16" s="1">
        <v>8814784</v>
      </c>
      <c r="F16" s="1">
        <v>319540</v>
      </c>
      <c r="G16" t="s">
        <v>23</v>
      </c>
      <c r="H16" s="1">
        <v>319865</v>
      </c>
      <c r="I16" t="s">
        <v>67</v>
      </c>
      <c r="J16" t="s">
        <v>68</v>
      </c>
      <c r="K16" s="1">
        <v>1</v>
      </c>
      <c r="L16" t="s">
        <v>27</v>
      </c>
      <c r="M16" s="4">
        <v>45474</v>
      </c>
      <c r="N16" s="4">
        <v>45566</v>
      </c>
      <c r="O16" t="s">
        <v>28</v>
      </c>
      <c r="P16" s="2">
        <v>1</v>
      </c>
      <c r="Q16" t="s">
        <v>29</v>
      </c>
      <c r="R16" s="1">
        <v>27</v>
      </c>
      <c r="S16">
        <v>27</v>
      </c>
      <c r="T16" t="s">
        <v>69</v>
      </c>
      <c r="U16" t="s">
        <v>70</v>
      </c>
      <c r="V16" t="s">
        <v>70</v>
      </c>
      <c r="W16" s="1">
        <v>0</v>
      </c>
      <c r="X16" s="1">
        <v>3</v>
      </c>
      <c r="Z16" t="s">
        <v>39</v>
      </c>
    </row>
    <row r="17" spans="1:26" x14ac:dyDescent="0.25">
      <c r="A17" s="1">
        <v>1000102</v>
      </c>
      <c r="B17" t="s">
        <v>111</v>
      </c>
      <c r="C17" t="s">
        <v>104</v>
      </c>
      <c r="D17" t="str">
        <f>CONCATENATE(B17, " ",C17)</f>
        <v>FRANK LISKOVEC</v>
      </c>
      <c r="E17" s="1">
        <v>8814784</v>
      </c>
      <c r="F17" s="1">
        <v>319540</v>
      </c>
      <c r="G17" t="s">
        <v>23</v>
      </c>
      <c r="H17" s="1">
        <v>319865</v>
      </c>
      <c r="I17" t="s">
        <v>67</v>
      </c>
      <c r="J17" t="s">
        <v>68</v>
      </c>
      <c r="K17" s="1">
        <v>1</v>
      </c>
      <c r="L17" t="s">
        <v>27</v>
      </c>
      <c r="M17" s="4">
        <v>45474</v>
      </c>
      <c r="N17" s="4">
        <v>45505</v>
      </c>
      <c r="O17" t="s">
        <v>28</v>
      </c>
      <c r="P17" s="2">
        <v>1</v>
      </c>
      <c r="Q17" t="s">
        <v>29</v>
      </c>
      <c r="R17" s="1">
        <v>27</v>
      </c>
      <c r="S17">
        <v>27</v>
      </c>
      <c r="T17" t="s">
        <v>51</v>
      </c>
      <c r="U17" t="s">
        <v>88</v>
      </c>
      <c r="V17" t="s">
        <v>88</v>
      </c>
      <c r="W17" s="1">
        <v>0</v>
      </c>
      <c r="X17" s="1">
        <v>1</v>
      </c>
      <c r="Z17" t="s">
        <v>39</v>
      </c>
    </row>
    <row r="18" spans="1:26" x14ac:dyDescent="0.25">
      <c r="A18" s="1">
        <v>1000102</v>
      </c>
      <c r="B18" t="s">
        <v>111</v>
      </c>
      <c r="C18" t="s">
        <v>104</v>
      </c>
      <c r="D18" t="str">
        <f>CONCATENATE(B18, " ",C18)</f>
        <v>FRANK LISKOVEC</v>
      </c>
      <c r="E18" s="1">
        <v>8814784</v>
      </c>
      <c r="F18" s="1">
        <v>319540</v>
      </c>
      <c r="G18" t="s">
        <v>23</v>
      </c>
      <c r="H18" s="1">
        <v>319867</v>
      </c>
      <c r="I18" t="s">
        <v>67</v>
      </c>
      <c r="J18" t="s">
        <v>68</v>
      </c>
      <c r="K18" s="1">
        <v>1</v>
      </c>
      <c r="L18" t="s">
        <v>27</v>
      </c>
      <c r="M18" s="4">
        <v>45474</v>
      </c>
      <c r="N18" s="4">
        <v>45566</v>
      </c>
      <c r="O18" t="s">
        <v>33</v>
      </c>
      <c r="P18" s="2">
        <v>1</v>
      </c>
      <c r="Q18" t="s">
        <v>29</v>
      </c>
      <c r="R18" s="1">
        <v>50</v>
      </c>
      <c r="S18">
        <v>50</v>
      </c>
      <c r="T18" t="s">
        <v>69</v>
      </c>
      <c r="U18" t="s">
        <v>70</v>
      </c>
      <c r="V18" t="s">
        <v>70</v>
      </c>
      <c r="W18" s="1">
        <v>0</v>
      </c>
      <c r="X18" s="1">
        <v>3</v>
      </c>
      <c r="Z18" t="s">
        <v>39</v>
      </c>
    </row>
    <row r="19" spans="1:26" x14ac:dyDescent="0.25">
      <c r="A19" s="1">
        <v>1000102</v>
      </c>
      <c r="B19" t="s">
        <v>111</v>
      </c>
      <c r="C19" t="s">
        <v>104</v>
      </c>
      <c r="D19" t="str">
        <f>CONCATENATE(B19, " ",C19)</f>
        <v>FRANK LISKOVEC</v>
      </c>
      <c r="E19" s="1">
        <v>8814784</v>
      </c>
      <c r="F19" s="1">
        <v>319540</v>
      </c>
      <c r="G19" t="s">
        <v>23</v>
      </c>
      <c r="H19" s="1">
        <v>319867</v>
      </c>
      <c r="I19" t="s">
        <v>67</v>
      </c>
      <c r="J19" t="s">
        <v>68</v>
      </c>
      <c r="K19" s="1">
        <v>1</v>
      </c>
      <c r="L19" t="s">
        <v>27</v>
      </c>
      <c r="M19" s="4">
        <v>45474</v>
      </c>
      <c r="N19" s="4">
        <v>45505</v>
      </c>
      <c r="O19" t="s">
        <v>33</v>
      </c>
      <c r="P19" s="2">
        <v>1</v>
      </c>
      <c r="Q19" t="s">
        <v>29</v>
      </c>
      <c r="R19" s="1">
        <v>50</v>
      </c>
      <c r="S19">
        <v>50</v>
      </c>
      <c r="T19" t="s">
        <v>51</v>
      </c>
      <c r="U19" t="s">
        <v>88</v>
      </c>
      <c r="V19" t="s">
        <v>88</v>
      </c>
      <c r="W19" s="1">
        <v>0</v>
      </c>
      <c r="X19" s="1">
        <v>1</v>
      </c>
      <c r="Z19" t="s">
        <v>39</v>
      </c>
    </row>
    <row r="20" spans="1:26" x14ac:dyDescent="0.25">
      <c r="A20" s="1">
        <v>1000102</v>
      </c>
      <c r="B20" t="s">
        <v>109</v>
      </c>
      <c r="C20" t="s">
        <v>105</v>
      </c>
      <c r="D20" t="str">
        <f>CONCATENATE(B20, " ",C20)</f>
        <v>MICHAEL SEMPREVIVO</v>
      </c>
      <c r="E20" s="1">
        <v>6375605</v>
      </c>
      <c r="F20" s="1">
        <v>130652</v>
      </c>
      <c r="G20" t="s">
        <v>23</v>
      </c>
      <c r="H20" t="s">
        <v>82</v>
      </c>
      <c r="I20" t="s">
        <v>83</v>
      </c>
      <c r="J20" t="s">
        <v>84</v>
      </c>
      <c r="K20" s="1">
        <v>2</v>
      </c>
      <c r="L20" t="s">
        <v>27</v>
      </c>
      <c r="M20" s="4">
        <v>41623</v>
      </c>
      <c r="N20" s="4">
        <v>45580</v>
      </c>
      <c r="O20" t="s">
        <v>28</v>
      </c>
      <c r="P20" s="2">
        <v>1</v>
      </c>
      <c r="Q20" t="s">
        <v>29</v>
      </c>
      <c r="R20" s="1">
        <v>27</v>
      </c>
      <c r="S20">
        <v>54</v>
      </c>
      <c r="T20" t="s">
        <v>85</v>
      </c>
      <c r="U20" t="s">
        <v>57</v>
      </c>
      <c r="V20" t="s">
        <v>57</v>
      </c>
      <c r="W20" s="1">
        <v>0</v>
      </c>
      <c r="X20" s="1">
        <v>130</v>
      </c>
      <c r="Z20" t="s">
        <v>86</v>
      </c>
    </row>
    <row r="21" spans="1:26" x14ac:dyDescent="0.25">
      <c r="A21" s="1">
        <v>1000102</v>
      </c>
      <c r="B21" t="s">
        <v>110</v>
      </c>
      <c r="C21" t="s">
        <v>101</v>
      </c>
      <c r="D21" t="str">
        <f>CONCATENATE(B21, " ",C21)</f>
        <v>PAMELA DEATON</v>
      </c>
      <c r="E21" s="1">
        <v>8244481</v>
      </c>
      <c r="F21" s="1">
        <v>322043</v>
      </c>
      <c r="G21" t="s">
        <v>23</v>
      </c>
      <c r="H21" s="1">
        <v>322043</v>
      </c>
      <c r="I21" t="s">
        <v>54</v>
      </c>
      <c r="J21" t="s">
        <v>55</v>
      </c>
      <c r="K21" s="1">
        <v>1</v>
      </c>
      <c r="L21" t="s">
        <v>27</v>
      </c>
      <c r="M21" s="4">
        <v>45505</v>
      </c>
      <c r="N21" s="4">
        <v>45566</v>
      </c>
      <c r="O21" t="s">
        <v>28</v>
      </c>
      <c r="P21" s="2">
        <v>1</v>
      </c>
      <c r="Q21" t="s">
        <v>29</v>
      </c>
      <c r="R21" s="1">
        <v>27</v>
      </c>
      <c r="S21">
        <v>27</v>
      </c>
      <c r="T21" t="s">
        <v>56</v>
      </c>
      <c r="U21" t="s">
        <v>57</v>
      </c>
      <c r="V21" t="s">
        <v>57</v>
      </c>
      <c r="W21" s="1">
        <v>0</v>
      </c>
      <c r="X21" s="1">
        <v>2</v>
      </c>
      <c r="Z21" t="s">
        <v>39</v>
      </c>
    </row>
    <row r="22" spans="1:26" x14ac:dyDescent="0.25">
      <c r="A22" s="1">
        <v>1000102</v>
      </c>
      <c r="B22" t="s">
        <v>110</v>
      </c>
      <c r="C22" t="s">
        <v>101</v>
      </c>
      <c r="D22" t="str">
        <f>CONCATENATE(B22, " ",C22)</f>
        <v>PAMELA DEATON</v>
      </c>
      <c r="E22" s="1">
        <v>8244481</v>
      </c>
      <c r="F22" s="1">
        <v>318534</v>
      </c>
      <c r="G22" t="s">
        <v>23</v>
      </c>
      <c r="H22" t="s">
        <v>62</v>
      </c>
      <c r="I22" t="s">
        <v>58</v>
      </c>
      <c r="J22" t="s">
        <v>59</v>
      </c>
      <c r="K22" s="1">
        <v>1</v>
      </c>
      <c r="L22" t="s">
        <v>27</v>
      </c>
      <c r="M22" s="4">
        <v>45474</v>
      </c>
      <c r="N22" s="4">
        <v>45566</v>
      </c>
      <c r="O22" t="s">
        <v>28</v>
      </c>
      <c r="P22" s="2">
        <v>1</v>
      </c>
      <c r="Q22" t="s">
        <v>29</v>
      </c>
      <c r="R22" s="1">
        <v>27</v>
      </c>
      <c r="S22">
        <v>27</v>
      </c>
      <c r="T22" t="s">
        <v>60</v>
      </c>
      <c r="U22" t="s">
        <v>61</v>
      </c>
      <c r="V22" t="s">
        <v>61</v>
      </c>
      <c r="W22" s="1">
        <v>0</v>
      </c>
      <c r="X22" s="1">
        <v>3</v>
      </c>
      <c r="Z22" t="s">
        <v>32</v>
      </c>
    </row>
    <row r="23" spans="1:26" x14ac:dyDescent="0.25">
      <c r="A23" s="1">
        <v>1000102</v>
      </c>
      <c r="B23" t="s">
        <v>110</v>
      </c>
      <c r="C23" t="s">
        <v>101</v>
      </c>
      <c r="D23" t="str">
        <f>CONCATENATE(B23, " ",C23)</f>
        <v>PAMELA DEATON</v>
      </c>
      <c r="E23" s="1">
        <v>8244481</v>
      </c>
      <c r="F23" s="1">
        <v>318534</v>
      </c>
      <c r="G23" t="s">
        <v>23</v>
      </c>
      <c r="H23" t="s">
        <v>62</v>
      </c>
      <c r="I23" t="s">
        <v>58</v>
      </c>
      <c r="J23" t="s">
        <v>59</v>
      </c>
      <c r="K23" s="1">
        <v>1</v>
      </c>
      <c r="L23" t="s">
        <v>27</v>
      </c>
      <c r="M23" s="4">
        <v>45474</v>
      </c>
      <c r="N23" s="4">
        <v>45505</v>
      </c>
      <c r="O23" t="s">
        <v>28</v>
      </c>
      <c r="P23" s="2">
        <v>1</v>
      </c>
      <c r="Q23" t="s">
        <v>29</v>
      </c>
      <c r="R23" s="1">
        <v>27</v>
      </c>
      <c r="S23">
        <v>27</v>
      </c>
      <c r="T23" t="s">
        <v>87</v>
      </c>
      <c r="U23" t="s">
        <v>31</v>
      </c>
      <c r="V23" t="s">
        <v>31</v>
      </c>
      <c r="W23" s="1">
        <v>0</v>
      </c>
      <c r="X23" s="1">
        <v>1</v>
      </c>
      <c r="Z23" t="s">
        <v>32</v>
      </c>
    </row>
    <row r="24" spans="1:26" x14ac:dyDescent="0.25">
      <c r="A24" s="1">
        <v>1000102</v>
      </c>
      <c r="B24" t="s">
        <v>112</v>
      </c>
      <c r="C24" t="s">
        <v>106</v>
      </c>
      <c r="D24" t="str">
        <f>CONCATENATE(B24, " ",C24)</f>
        <v>GARY PORTUGAL</v>
      </c>
      <c r="E24" s="1">
        <v>9213293</v>
      </c>
      <c r="F24" s="1">
        <v>324286</v>
      </c>
      <c r="G24" t="s">
        <v>23</v>
      </c>
      <c r="H24" s="1">
        <v>324286</v>
      </c>
      <c r="I24" t="s">
        <v>42</v>
      </c>
      <c r="J24" t="s">
        <v>43</v>
      </c>
      <c r="K24" s="1">
        <v>1</v>
      </c>
      <c r="L24" t="s">
        <v>27</v>
      </c>
      <c r="M24" s="4">
        <v>45536</v>
      </c>
      <c r="N24" s="4">
        <v>45566</v>
      </c>
      <c r="O24" t="s">
        <v>28</v>
      </c>
      <c r="P24" s="2">
        <v>1</v>
      </c>
      <c r="Q24" t="s">
        <v>29</v>
      </c>
      <c r="R24" s="1">
        <v>27</v>
      </c>
      <c r="S24">
        <v>27</v>
      </c>
      <c r="T24" t="s">
        <v>44</v>
      </c>
      <c r="U24" t="s">
        <v>45</v>
      </c>
      <c r="V24" t="s">
        <v>45</v>
      </c>
      <c r="W24" s="1">
        <v>0</v>
      </c>
      <c r="X24" s="1">
        <v>1</v>
      </c>
      <c r="Z24" t="s">
        <v>39</v>
      </c>
    </row>
    <row r="25" spans="1:26" x14ac:dyDescent="0.25">
      <c r="A25" s="1">
        <v>1000102</v>
      </c>
      <c r="B25" t="s">
        <v>112</v>
      </c>
      <c r="C25" t="s">
        <v>106</v>
      </c>
      <c r="D25" t="str">
        <f>CONCATENATE(B25, " ",C25)</f>
        <v>GARY PORTUGAL</v>
      </c>
      <c r="E25" s="1">
        <v>9213293</v>
      </c>
      <c r="F25" s="1">
        <v>324286</v>
      </c>
      <c r="G25" t="s">
        <v>23</v>
      </c>
      <c r="H25" s="1">
        <v>328306</v>
      </c>
      <c r="I25" t="s">
        <v>42</v>
      </c>
      <c r="J25" t="s">
        <v>43</v>
      </c>
      <c r="K25" s="1">
        <v>1</v>
      </c>
      <c r="L25" t="s">
        <v>27</v>
      </c>
      <c r="M25" s="4">
        <v>45536</v>
      </c>
      <c r="N25" s="4">
        <v>45566</v>
      </c>
      <c r="O25" t="s">
        <v>28</v>
      </c>
      <c r="P25" s="2">
        <v>1</v>
      </c>
      <c r="Q25" t="s">
        <v>29</v>
      </c>
      <c r="R25" s="1">
        <v>27</v>
      </c>
      <c r="S25">
        <v>27</v>
      </c>
      <c r="T25" t="s">
        <v>44</v>
      </c>
      <c r="U25" t="s">
        <v>45</v>
      </c>
      <c r="V25" t="s">
        <v>45</v>
      </c>
      <c r="W25" s="1">
        <v>0</v>
      </c>
      <c r="X25" s="1">
        <v>1</v>
      </c>
      <c r="Z25" t="s">
        <v>39</v>
      </c>
    </row>
    <row r="26" spans="1:26" x14ac:dyDescent="0.25">
      <c r="A26" s="1">
        <v>1000102</v>
      </c>
      <c r="B26" t="s">
        <v>112</v>
      </c>
      <c r="C26" t="s">
        <v>106</v>
      </c>
      <c r="D26" t="str">
        <f>CONCATENATE(B26, " ",C26)</f>
        <v>GARY PORTUGAL</v>
      </c>
      <c r="E26" s="1">
        <v>9213293</v>
      </c>
      <c r="F26" s="1">
        <v>324286</v>
      </c>
      <c r="G26" t="s">
        <v>23</v>
      </c>
      <c r="H26" s="1">
        <v>328307</v>
      </c>
      <c r="I26" t="s">
        <v>42</v>
      </c>
      <c r="J26" t="s">
        <v>43</v>
      </c>
      <c r="K26" s="1">
        <v>1</v>
      </c>
      <c r="L26" t="s">
        <v>27</v>
      </c>
      <c r="M26" s="4">
        <v>45536</v>
      </c>
      <c r="N26" s="4">
        <v>45566</v>
      </c>
      <c r="O26" t="s">
        <v>33</v>
      </c>
      <c r="P26" s="2">
        <v>1</v>
      </c>
      <c r="Q26" t="s">
        <v>29</v>
      </c>
      <c r="R26" s="1">
        <v>50</v>
      </c>
      <c r="S26">
        <v>50</v>
      </c>
      <c r="T26" t="s">
        <v>44</v>
      </c>
      <c r="U26" t="s">
        <v>45</v>
      </c>
      <c r="V26" t="s">
        <v>45</v>
      </c>
      <c r="W26" s="1">
        <v>0</v>
      </c>
      <c r="X26" s="1">
        <v>1</v>
      </c>
      <c r="Z26" t="s">
        <v>39</v>
      </c>
    </row>
    <row r="27" spans="1:26" x14ac:dyDescent="0.25">
      <c r="A27" s="1">
        <v>1000102</v>
      </c>
      <c r="B27" t="s">
        <v>112</v>
      </c>
      <c r="C27" t="s">
        <v>106</v>
      </c>
      <c r="D27" t="str">
        <f>CONCATENATE(B27, " ",C27)</f>
        <v>GARY PORTUGAL</v>
      </c>
      <c r="E27" s="1">
        <v>9213293</v>
      </c>
      <c r="F27" s="1">
        <v>324286</v>
      </c>
      <c r="G27" t="s">
        <v>23</v>
      </c>
      <c r="H27" s="1">
        <v>328312</v>
      </c>
      <c r="I27" t="s">
        <v>42</v>
      </c>
      <c r="J27" t="s">
        <v>43</v>
      </c>
      <c r="K27" s="1">
        <v>1</v>
      </c>
      <c r="L27" t="s">
        <v>27</v>
      </c>
      <c r="M27" s="4">
        <v>45536</v>
      </c>
      <c r="N27" s="4">
        <v>45566</v>
      </c>
      <c r="O27" t="s">
        <v>33</v>
      </c>
      <c r="P27" s="2">
        <v>1</v>
      </c>
      <c r="Q27" t="s">
        <v>29</v>
      </c>
      <c r="R27" s="1">
        <v>50</v>
      </c>
      <c r="S27">
        <v>50</v>
      </c>
      <c r="T27" t="s">
        <v>44</v>
      </c>
      <c r="U27" t="s">
        <v>45</v>
      </c>
      <c r="V27" t="s">
        <v>45</v>
      </c>
      <c r="W27" s="1">
        <v>0</v>
      </c>
      <c r="X27" s="1">
        <v>1</v>
      </c>
      <c r="Z27" t="s">
        <v>39</v>
      </c>
    </row>
    <row r="29" spans="1:26" s="7" customFormat="1" x14ac:dyDescent="0.25">
      <c r="A29" s="6">
        <v>1000102</v>
      </c>
      <c r="B29" s="7" t="s">
        <v>108</v>
      </c>
      <c r="C29" s="7" t="s">
        <v>100</v>
      </c>
      <c r="D29" s="7" t="str">
        <f>CONCATENATE(B29, " ",C29)</f>
        <v>MAINLINE BENEFITS</v>
      </c>
      <c r="E29" s="6">
        <v>107864418</v>
      </c>
      <c r="F29" s="6">
        <v>327153</v>
      </c>
      <c r="G29" s="7" t="s">
        <v>23</v>
      </c>
      <c r="H29" s="7" t="s">
        <v>24</v>
      </c>
      <c r="I29" s="7" t="s">
        <v>25</v>
      </c>
      <c r="J29" s="7" t="s">
        <v>26</v>
      </c>
      <c r="K29" s="6">
        <v>1</v>
      </c>
      <c r="L29" s="7" t="s">
        <v>27</v>
      </c>
      <c r="M29" s="8">
        <v>45536</v>
      </c>
      <c r="N29" s="8">
        <v>45566</v>
      </c>
      <c r="O29" s="7" t="s">
        <v>28</v>
      </c>
      <c r="P29" s="9">
        <v>1</v>
      </c>
      <c r="Q29" s="7" t="s">
        <v>29</v>
      </c>
      <c r="R29" s="6">
        <v>27</v>
      </c>
      <c r="S29" s="7">
        <v>27</v>
      </c>
      <c r="T29" s="7" t="s">
        <v>30</v>
      </c>
      <c r="U29" s="7" t="s">
        <v>31</v>
      </c>
      <c r="V29" s="7" t="s">
        <v>31</v>
      </c>
      <c r="W29" s="6">
        <v>0</v>
      </c>
      <c r="X29" s="6">
        <v>1</v>
      </c>
      <c r="Z29" s="7" t="s">
        <v>32</v>
      </c>
    </row>
  </sheetData>
  <sortState xmlns:xlrd2="http://schemas.microsoft.com/office/spreadsheetml/2017/richdata2" ref="A2:Z27">
    <sortCondition ref="I2:I27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2024-11-07T13:39:47Z</dcterms:created>
  <dcterms:modified xsi:type="dcterms:W3CDTF">2024-11-07T16:37:36Z</dcterms:modified>
</cp:coreProperties>
</file>