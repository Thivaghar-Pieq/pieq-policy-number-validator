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F0B0E0F9-8992-4962-AAB6-E6E2612813F1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clean sheet" sheetId="3" r:id="rId1"/>
    <sheet name="Sheet1" sheetId="4" r:id="rId2"/>
  </sheets>
  <definedNames>
    <definedName name="_xlnm._FilterDatabase" localSheetId="1" hidden="1">Sheet1!$A$1:$P$46</definedName>
    <definedName name="page\x2dtotal">#REF!</definedName>
    <definedName name="page\x2dtotal\x2dmaster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4" l="1"/>
  <c r="P21" i="4"/>
  <c r="P2" i="4"/>
  <c r="P15" i="4"/>
  <c r="P42" i="4"/>
  <c r="P11" i="4"/>
  <c r="P12" i="4"/>
  <c r="P13" i="4"/>
  <c r="P7" i="4"/>
  <c r="P6" i="4"/>
  <c r="P23" i="4"/>
  <c r="P24" i="4"/>
  <c r="P29" i="4"/>
  <c r="P28" i="4"/>
  <c r="P33" i="4"/>
  <c r="P30" i="4"/>
  <c r="P31" i="4"/>
  <c r="P32" i="4"/>
  <c r="P34" i="4"/>
  <c r="P35" i="4"/>
  <c r="P36" i="4"/>
  <c r="P37" i="4"/>
  <c r="P40" i="4"/>
  <c r="P38" i="4"/>
  <c r="P39" i="4"/>
  <c r="P43" i="4"/>
  <c r="P26" i="4"/>
  <c r="P3" i="4"/>
  <c r="P5" i="4"/>
  <c r="P8" i="4"/>
  <c r="P14" i="4"/>
  <c r="P9" i="4"/>
  <c r="P10" i="4"/>
  <c r="P18" i="4"/>
  <c r="P22" i="4"/>
  <c r="P44" i="4"/>
  <c r="P41" i="4"/>
  <c r="P16" i="4"/>
  <c r="P17" i="4"/>
  <c r="P19" i="4"/>
  <c r="P25" i="4"/>
  <c r="P27" i="4"/>
  <c r="P45" i="4"/>
  <c r="P46" i="4"/>
  <c r="P4" i="4"/>
</calcChain>
</file>

<file path=xl/sharedStrings.xml><?xml version="1.0" encoding="utf-8"?>
<sst xmlns="http://schemas.openxmlformats.org/spreadsheetml/2006/main" count="885" uniqueCount="219">
  <si>
    <t/>
  </si>
  <si>
    <t>74054</t>
  </si>
  <si>
    <t>Compensation Amount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</si>
  <si>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</si>
  <si>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</si>
  <si>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</si>
  <si>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</si>
  <si>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</si>
  <si>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</si>
  <si>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</si>
  <si>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</si>
  <si>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</si>
  <si>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</si>
  <si>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</si>
  <si>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</si>
  <si>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</si>
  <si>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</si>
  <si>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</si>
  <si>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05-2025</t>
  </si>
  <si>
    <r>
      <rPr>
        <sz val="10"/>
        <color theme="1"/>
        <rFont val="Arial"/>
      </rPr>
      <t>IBA</t>
    </r>
    <r>
      <rPr>
        <sz val="10"/>
        <color rgb="FF003300"/>
        <rFont val="Arial"/>
      </rPr>
      <t xml:space="preserve"> </t>
    </r>
  </si>
  <si>
    <t>IDEN-01-PPO</t>
  </si>
  <si>
    <t>Renaissance</t>
  </si>
  <si>
    <t>193909-0-1</t>
  </si>
  <si>
    <t>Meinke, Gerald</t>
  </si>
  <si>
    <t>05-16-2025</t>
  </si>
  <si>
    <t>Barry Schumann</t>
  </si>
  <si>
    <t>95834</t>
  </si>
  <si>
    <t>996201566</t>
  </si>
  <si>
    <t>ISTM.MM-12-RB2</t>
  </si>
  <si>
    <t>North River</t>
  </si>
  <si>
    <t>592978-0-1</t>
  </si>
  <si>
    <t>Stemko, Teresa</t>
  </si>
  <si>
    <t>05-15-2025</t>
  </si>
  <si>
    <t>Peter Richter</t>
  </si>
  <si>
    <t>96125</t>
  </si>
  <si>
    <t>P0727008</t>
  </si>
  <si>
    <t>ISTM-22-RB2</t>
  </si>
  <si>
    <t>Companion Life</t>
  </si>
  <si>
    <t>593421-0-1</t>
  </si>
  <si>
    <t>Rubman, Cheryl</t>
  </si>
  <si>
    <t>05-20-2025</t>
  </si>
  <si>
    <t>Carol Foley</t>
  </si>
  <si>
    <t>81570</t>
  </si>
  <si>
    <t>P0727653</t>
  </si>
  <si>
    <t>600927-0-1</t>
  </si>
  <si>
    <t>Tropeano, Andrea</t>
  </si>
  <si>
    <t>05-17-2025</t>
  </si>
  <si>
    <t>P0739016</t>
  </si>
  <si>
    <t>626150-0-1</t>
  </si>
  <si>
    <t>Zabkar, Lynette</t>
  </si>
  <si>
    <t>05-14-2025</t>
  </si>
  <si>
    <t>Scott Aguglia</t>
  </si>
  <si>
    <t>81722</t>
  </si>
  <si>
    <t>P0774702</t>
  </si>
  <si>
    <t>626310-0-1</t>
  </si>
  <si>
    <t>McWilliams, Dustin</t>
  </si>
  <si>
    <t>Timothy Hodgman</t>
  </si>
  <si>
    <t>95788</t>
  </si>
  <si>
    <t>P0774941</t>
  </si>
  <si>
    <t>ISTM-25-RBP</t>
  </si>
  <si>
    <t>Pan-American Life</t>
  </si>
  <si>
    <t>626312-0-1</t>
  </si>
  <si>
    <t>P0774945</t>
  </si>
  <si>
    <t>194374-0-1</t>
  </si>
  <si>
    <t>Duran, Jose</t>
  </si>
  <si>
    <t>05-11-2025</t>
  </si>
  <si>
    <t>Dale Walenga</t>
  </si>
  <si>
    <t>96477</t>
  </si>
  <si>
    <t>996202029</t>
  </si>
  <si>
    <t>595579-0-1</t>
  </si>
  <si>
    <t>Tobias, Robert</t>
  </si>
  <si>
    <t>05-10-2025</t>
  </si>
  <si>
    <t>Ricardo Santos</t>
  </si>
  <si>
    <t>95807</t>
  </si>
  <si>
    <t>P0730697</t>
  </si>
  <si>
    <t>622829-0-1</t>
  </si>
  <si>
    <t>Shimon, Mayci</t>
  </si>
  <si>
    <t>05-13-2025</t>
  </si>
  <si>
    <t>Lori Tunstall</t>
  </si>
  <si>
    <t>82178</t>
  </si>
  <si>
    <t>P0769964</t>
  </si>
  <si>
    <t>625199-0-1</t>
  </si>
  <si>
    <t>Callozzo, Janis</t>
  </si>
  <si>
    <t>06-01-2025</t>
  </si>
  <si>
    <t>P0773346</t>
  </si>
  <si>
    <t>194510-0-1</t>
  </si>
  <si>
    <t>Avila Ortiz, Orlando</t>
  </si>
  <si>
    <t>05-01-2025</t>
  </si>
  <si>
    <t>996202166</t>
  </si>
  <si>
    <t>ISTM-11-PPO</t>
  </si>
  <si>
    <t>591813-0-1</t>
  </si>
  <si>
    <t>Arriaza, Carl</t>
  </si>
  <si>
    <t>05-04-2025</t>
  </si>
  <si>
    <t>Heather Geske</t>
  </si>
  <si>
    <t>95609</t>
  </si>
  <si>
    <t>P0725338</t>
  </si>
  <si>
    <t>592872-0-1</t>
  </si>
  <si>
    <t>Lu, Ming</t>
  </si>
  <si>
    <t>Deborah Inskipt</t>
  </si>
  <si>
    <t>96033</t>
  </si>
  <si>
    <t>P0726862</t>
  </si>
  <si>
    <t>593409-0-1</t>
  </si>
  <si>
    <t>Baker, Kelly</t>
  </si>
  <si>
    <t>Jason Hoffmann</t>
  </si>
  <si>
    <t>P0727638</t>
  </si>
  <si>
    <t>595089-0-1</t>
  </si>
  <si>
    <t>Turner, Patrick</t>
  </si>
  <si>
    <t>05-06-2025</t>
  </si>
  <si>
    <t>P0729995</t>
  </si>
  <si>
    <t>ISTM.MM-12-PPO</t>
  </si>
  <si>
    <t>597235-0-1</t>
  </si>
  <si>
    <t>Mepham, Laura</t>
  </si>
  <si>
    <t>Andrew Choi</t>
  </si>
  <si>
    <t>95737</t>
  </si>
  <si>
    <t>P0733198</t>
  </si>
  <si>
    <t>601197-0-1</t>
  </si>
  <si>
    <t>Stango, Lisa</t>
  </si>
  <si>
    <t>P0739455</t>
  </si>
  <si>
    <t>610945-1-1</t>
  </si>
  <si>
    <t>Fullerton, Jeffry</t>
  </si>
  <si>
    <t>05-03-2025</t>
  </si>
  <si>
    <t>P0753057</t>
  </si>
  <si>
    <t>612270-1-1</t>
  </si>
  <si>
    <t>Katz, Michael</t>
  </si>
  <si>
    <t>P0755089</t>
  </si>
  <si>
    <t>612695-1-1</t>
  </si>
  <si>
    <t>Cucunato, Dina</t>
  </si>
  <si>
    <t>Chris Taugner</t>
  </si>
  <si>
    <t>95679</t>
  </si>
  <si>
    <t>P0755741</t>
  </si>
  <si>
    <t>612731-1-1</t>
  </si>
  <si>
    <t>P0755795</t>
  </si>
  <si>
    <t>615376-0-1</t>
  </si>
  <si>
    <t>Tobinus, Rachael</t>
  </si>
  <si>
    <t>P0759612</t>
  </si>
  <si>
    <t>616606-0-1</t>
  </si>
  <si>
    <t>Cece, Saverio</t>
  </si>
  <si>
    <t>Colleen Finnigan</t>
  </si>
  <si>
    <t>80671</t>
  </si>
  <si>
    <t>P0761655</t>
  </si>
  <si>
    <t>616670-0-1</t>
  </si>
  <si>
    <t>Kenst, Joshua</t>
  </si>
  <si>
    <t>P0761267</t>
  </si>
  <si>
    <t>616787-0-1</t>
  </si>
  <si>
    <t>Keivan, Robert</t>
  </si>
  <si>
    <t>05-02-2025</t>
  </si>
  <si>
    <t>P0761443</t>
  </si>
  <si>
    <t>616980-0-1</t>
  </si>
  <si>
    <t>Tijerina, Bryan</t>
  </si>
  <si>
    <t>P0761903</t>
  </si>
  <si>
    <t>620740-0-1</t>
  </si>
  <si>
    <t>Mills, Jane</t>
  </si>
  <si>
    <t>P0767076</t>
  </si>
  <si>
    <t>621754-0-1</t>
  </si>
  <si>
    <t>Housenick, Stephen</t>
  </si>
  <si>
    <t>P0768506</t>
  </si>
  <si>
    <t>622089-0-1</t>
  </si>
  <si>
    <t>Corradi, Chase</t>
  </si>
  <si>
    <t>P0768963</t>
  </si>
  <si>
    <t>622214-0-1</t>
  </si>
  <si>
    <t>Davis, Tamia</t>
  </si>
  <si>
    <t>05-05-2025</t>
  </si>
  <si>
    <t>P0769125</t>
  </si>
  <si>
    <t>622236-0-1</t>
  </si>
  <si>
    <t>Murphy, Michael</t>
  </si>
  <si>
    <t>P0769150</t>
  </si>
  <si>
    <t>04-2025</t>
  </si>
  <si>
    <t>590060-0-1</t>
  </si>
  <si>
    <t>Klein, Grey</t>
  </si>
  <si>
    <t>04-22-2025</t>
  </si>
  <si>
    <t>P0722806</t>
  </si>
  <si>
    <t>590413-0-1</t>
  </si>
  <si>
    <t>Foley, Gerald</t>
  </si>
  <si>
    <t>04-21-2025</t>
  </si>
  <si>
    <t>P0723330</t>
  </si>
  <si>
    <t>590770-0-1</t>
  </si>
  <si>
    <t>Theodos, Dean</t>
  </si>
  <si>
    <t>04-24-2025</t>
  </si>
  <si>
    <t>P0723861</t>
  </si>
  <si>
    <t>591074-0-1</t>
  </si>
  <si>
    <t>Amos, Robert</t>
  </si>
  <si>
    <t>04-29-2025</t>
  </si>
  <si>
    <t>P0724291</t>
  </si>
  <si>
    <t>04-20-2025</t>
  </si>
  <si>
    <t>594296-0-1</t>
  </si>
  <si>
    <t>Naidoo, Jiovani</t>
  </si>
  <si>
    <t>04-28-2025</t>
  </si>
  <si>
    <t>P0728904</t>
  </si>
  <si>
    <t>601667-0-1</t>
  </si>
  <si>
    <t>Hibbard, Mathias</t>
  </si>
  <si>
    <t>04-30-2025</t>
  </si>
  <si>
    <t>P0740266</t>
  </si>
  <si>
    <t>601839-0-1</t>
  </si>
  <si>
    <t>Thompson, Christopher</t>
  </si>
  <si>
    <t>04-23-2025</t>
  </si>
  <si>
    <t>P0740544</t>
  </si>
  <si>
    <t>602346-0-1</t>
  </si>
  <si>
    <t>Madden, James</t>
  </si>
  <si>
    <t>P0741383</t>
  </si>
  <si>
    <t>611876-1-1</t>
  </si>
  <si>
    <t>Pucci, Anna</t>
  </si>
  <si>
    <t>Frank Liskovec</t>
  </si>
  <si>
    <t>95755</t>
  </si>
  <si>
    <t>P0754441</t>
  </si>
  <si>
    <t>620761-0-1</t>
  </si>
  <si>
    <t>Louis, Anthony</t>
  </si>
  <si>
    <t>Jacob Yale</t>
  </si>
  <si>
    <t>95760</t>
  </si>
  <si>
    <t>P0767110</t>
  </si>
  <si>
    <t>04-13-2025</t>
  </si>
  <si>
    <t>623754-0-1</t>
  </si>
  <si>
    <t>Lum, Wayland</t>
  </si>
  <si>
    <t>04-27-2025</t>
  </si>
  <si>
    <t>P0771326</t>
  </si>
  <si>
    <t>Renaissance Dental</t>
  </si>
  <si>
    <t>ST &amp; Bridge EX DE IA IN KS MI MS ND NE NH OH TN VA</t>
  </si>
  <si>
    <t>ST &amp; Bridge IA IN MI MS ND NE TN</t>
  </si>
  <si>
    <t>%</t>
  </si>
  <si>
    <t>Pivot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</si>
</sst>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6" x14ac:knownFonts="1">
    <font>
      <sz val="11"/>
      <color theme="1"/>
      <name val="Calibri"/>
    </font>
    <font>
      <sz val="10"/>
      <color theme="1"/>
      <name val="Arial"/>
    </font>
    <font>
      <b/>
      <sz val="9"/>
      <color theme="1"/>
      <name val="Arial"/>
    </font>
    <font>
      <sz val="10"/>
      <color rgb="FF003300"/>
      <name val="Arial"/>
    </font>
    <font>
      <sz val="11"/>
      <color theme="1"/>
      <name val="Calibri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4" fontId="1" fillId="0" borderId="1" xfId="0" applyNumberFormat="1" applyFont="1" applyBorder="1" applyAlignment="1">
      <alignment horizontal="right" vertical="top" wrapText="1"/>
    </xf>
    <xf numFmtId="164" fontId="1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3" fontId="1" fillId="0" borderId="1" xfId="0" applyNumberFormat="1" applyFont="1" applyBorder="1" applyAlignment="1">
      <alignment horizontal="left" vertical="top" wrapText="1"/>
    </xf>
    <xf numFmtId="4" fontId="0" fillId="0" borderId="0" xfId="0" applyNumberFormat="1"/>
    <xf numFmtId="0" fontId="2" fillId="2" borderId="3" xfId="0" applyFont="1" applyFill="1" applyBorder="1" applyAlignment="1">
      <alignment horizontal="left" vertical="top" wrapText="1"/>
    </xf>
    <xf numFmtId="4" fontId="1" fillId="0" borderId="3" xfId="0" applyNumberFormat="1" applyFont="1" applyBorder="1" applyAlignment="1">
      <alignment horizontal="right" vertical="top" wrapText="1"/>
    </xf>
    <xf numFmtId="0" fontId="5" fillId="2" borderId="2" xfId="0" applyFont="1" applyFill="1" applyBorder="1" applyAlignment="1">
      <alignment horizontal="left" vertical="top" wrapText="1"/>
    </xf>
    <xf numFmtId="9" fontId="0" fillId="0" borderId="2" xfId="1" applyFont="1" applyBorder="1"/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6A84E-F1B1-42F2-9B97-F3C356322586}">
  <dimension ref="A1:Q49"/>
  <sheetViews>
    <sheetView workbookViewId="0">
      <selection sqref="A1:XFD1048576"/>
    </sheetView>
  </sheetViews>
  <sheetFormatPr defaultRowHeight="15" x14ac:dyDescent="0.25"/>
  <cols>
    <col min="1" max="1" width="11.42578125" customWidth="1"/>
    <col min="3" max="3" width="13" customWidth="1"/>
    <col min="4" max="4" width="15.28515625" customWidth="1"/>
    <col min="5" max="5" width="13" customWidth="1"/>
    <col min="6" max="6" width="19.85546875" customWidth="1"/>
    <col min="7" max="8" width="13" customWidth="1"/>
    <col min="9" max="9" width="13.7109375" customWidth="1"/>
    <col min="10" max="10" width="16.7109375" customWidth="1"/>
    <col min="11" max="11" width="13.7109375" customWidth="1"/>
    <col min="12" max="12" width="12.140625" customWidth="1"/>
    <col min="13" max="13" width="13.7109375" customWidth="1"/>
    <col min="14" max="14" width="10.7109375" customWidth="1"/>
    <col min="15" max="15" width="15.28515625" customWidth="1"/>
    <col min="16" max="16" width="45" customWidth="1"/>
    <col min="17" max="17" width="14.42578125" customWidth="1"/>
  </cols>
  <sheetData>
    <row r="1" spans="1:17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24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2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</row>
    <row r="4" spans="1:17" x14ac:dyDescent="0.25">
      <c r="A4" s="1" t="s">
        <v>18</v>
      </c>
      <c r="B4" s="3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4" t="s">
        <v>24</v>
      </c>
      <c r="H4" s="5">
        <v>92.56</v>
      </c>
      <c r="I4" s="5">
        <v>12.04</v>
      </c>
      <c r="J4" s="1" t="s">
        <v>25</v>
      </c>
      <c r="K4" s="1" t="s">
        <v>26</v>
      </c>
      <c r="L4" s="6">
        <v>45489</v>
      </c>
      <c r="M4" s="7"/>
      <c r="N4" s="7"/>
      <c r="O4" s="1" t="s">
        <v>27</v>
      </c>
      <c r="P4" s="7"/>
    </row>
    <row r="5" spans="1:17" ht="25.5" x14ac:dyDescent="0.25">
      <c r="A5" s="1" t="s">
        <v>18</v>
      </c>
      <c r="B5" s="3" t="s">
        <v>19</v>
      </c>
      <c r="C5" s="1" t="s">
        <v>28</v>
      </c>
      <c r="D5" s="1" t="s">
        <v>29</v>
      </c>
      <c r="E5" s="1" t="s">
        <v>30</v>
      </c>
      <c r="F5" s="1" t="s">
        <v>31</v>
      </c>
      <c r="G5" s="4" t="s">
        <v>32</v>
      </c>
      <c r="H5" s="5">
        <v>317.2</v>
      </c>
      <c r="I5" s="5">
        <v>79.3</v>
      </c>
      <c r="J5" s="1" t="s">
        <v>33</v>
      </c>
      <c r="K5" s="1" t="s">
        <v>34</v>
      </c>
      <c r="L5" s="6">
        <v>45458</v>
      </c>
      <c r="M5" s="7"/>
      <c r="N5" s="8">
        <v>364</v>
      </c>
      <c r="O5" s="1" t="s">
        <v>35</v>
      </c>
      <c r="P5" s="7"/>
    </row>
    <row r="6" spans="1:17" x14ac:dyDescent="0.25">
      <c r="A6" s="1" t="s">
        <v>18</v>
      </c>
      <c r="B6" s="3" t="s">
        <v>19</v>
      </c>
      <c r="C6" s="1" t="s">
        <v>36</v>
      </c>
      <c r="D6" s="1" t="s">
        <v>37</v>
      </c>
      <c r="E6" s="1" t="s">
        <v>38</v>
      </c>
      <c r="F6" s="1" t="s">
        <v>39</v>
      </c>
      <c r="G6" s="4" t="s">
        <v>40</v>
      </c>
      <c r="H6" s="5">
        <v>606.54</v>
      </c>
      <c r="I6" s="5">
        <v>151.63999999999999</v>
      </c>
      <c r="J6" s="1" t="s">
        <v>41</v>
      </c>
      <c r="K6" s="1" t="s">
        <v>42</v>
      </c>
      <c r="L6" s="6">
        <v>45463</v>
      </c>
      <c r="M6" s="7"/>
      <c r="N6" s="8">
        <v>364</v>
      </c>
      <c r="O6" s="1" t="s">
        <v>43</v>
      </c>
      <c r="P6" s="7"/>
    </row>
    <row r="7" spans="1:17" ht="25.5" x14ac:dyDescent="0.25">
      <c r="A7" s="1" t="s">
        <v>18</v>
      </c>
      <c r="B7" s="3" t="s">
        <v>19</v>
      </c>
      <c r="C7" s="1" t="s">
        <v>28</v>
      </c>
      <c r="D7" s="1" t="s">
        <v>29</v>
      </c>
      <c r="E7" s="1" t="s">
        <v>44</v>
      </c>
      <c r="F7" s="1" t="s">
        <v>45</v>
      </c>
      <c r="G7" s="4" t="s">
        <v>46</v>
      </c>
      <c r="H7" s="5">
        <v>251.63</v>
      </c>
      <c r="I7" s="5">
        <v>62.91</v>
      </c>
      <c r="J7" s="1" t="s">
        <v>41</v>
      </c>
      <c r="K7" s="1" t="s">
        <v>42</v>
      </c>
      <c r="L7" s="6">
        <v>45521</v>
      </c>
      <c r="M7" s="7"/>
      <c r="N7" s="8">
        <v>364</v>
      </c>
      <c r="O7" s="1" t="s">
        <v>47</v>
      </c>
      <c r="P7" s="7"/>
    </row>
    <row r="8" spans="1:17" ht="25.5" x14ac:dyDescent="0.25">
      <c r="A8" s="1" t="s">
        <v>18</v>
      </c>
      <c r="B8" s="3" t="s">
        <v>19</v>
      </c>
      <c r="C8" s="1" t="s">
        <v>28</v>
      </c>
      <c r="D8" s="1" t="s">
        <v>29</v>
      </c>
      <c r="E8" s="1" t="s">
        <v>48</v>
      </c>
      <c r="F8" s="1" t="s">
        <v>49</v>
      </c>
      <c r="G8" s="4" t="s">
        <v>50</v>
      </c>
      <c r="H8" s="5">
        <v>212.45</v>
      </c>
      <c r="I8" s="5">
        <v>53.11</v>
      </c>
      <c r="J8" s="1" t="s">
        <v>51</v>
      </c>
      <c r="K8" s="1" t="s">
        <v>52</v>
      </c>
      <c r="L8" s="6">
        <v>45791</v>
      </c>
      <c r="M8" s="6">
        <v>45913</v>
      </c>
      <c r="N8" s="8">
        <v>123</v>
      </c>
      <c r="O8" s="1" t="s">
        <v>53</v>
      </c>
      <c r="P8" s="7"/>
    </row>
    <row r="9" spans="1:17" x14ac:dyDescent="0.25">
      <c r="A9" s="1" t="s">
        <v>18</v>
      </c>
      <c r="B9" s="3" t="s">
        <v>19</v>
      </c>
      <c r="C9" s="1" t="s">
        <v>36</v>
      </c>
      <c r="D9" s="1" t="s">
        <v>37</v>
      </c>
      <c r="E9" s="1" t="s">
        <v>54</v>
      </c>
      <c r="F9" s="1" t="s">
        <v>55</v>
      </c>
      <c r="G9" s="4" t="s">
        <v>32</v>
      </c>
      <c r="H9" s="5">
        <v>107.39</v>
      </c>
      <c r="I9" s="5">
        <v>26.85</v>
      </c>
      <c r="J9" s="1" t="s">
        <v>56</v>
      </c>
      <c r="K9" s="1" t="s">
        <v>57</v>
      </c>
      <c r="L9" s="6">
        <v>45792</v>
      </c>
      <c r="M9" s="6">
        <v>45914</v>
      </c>
      <c r="N9" s="8">
        <v>123</v>
      </c>
      <c r="O9" s="1" t="s">
        <v>58</v>
      </c>
      <c r="P9" s="7"/>
    </row>
    <row r="10" spans="1:17" ht="25.5" x14ac:dyDescent="0.25">
      <c r="A10" s="1" t="s">
        <v>18</v>
      </c>
      <c r="B10" s="3" t="s">
        <v>19</v>
      </c>
      <c r="C10" s="1" t="s">
        <v>59</v>
      </c>
      <c r="D10" s="1" t="s">
        <v>60</v>
      </c>
      <c r="E10" s="1" t="s">
        <v>61</v>
      </c>
      <c r="F10" s="1" t="s">
        <v>55</v>
      </c>
      <c r="G10" s="4" t="s">
        <v>32</v>
      </c>
      <c r="H10" s="5">
        <v>130.6</v>
      </c>
      <c r="I10" s="5">
        <v>32.65</v>
      </c>
      <c r="J10" s="1" t="s">
        <v>56</v>
      </c>
      <c r="K10" s="1" t="s">
        <v>57</v>
      </c>
      <c r="L10" s="6">
        <v>45792</v>
      </c>
      <c r="M10" s="6">
        <v>45914</v>
      </c>
      <c r="N10" s="8">
        <v>123</v>
      </c>
      <c r="O10" s="1" t="s">
        <v>62</v>
      </c>
      <c r="P10" s="7"/>
    </row>
    <row r="11" spans="1:17" x14ac:dyDescent="0.25">
      <c r="A11" s="1" t="s">
        <v>18</v>
      </c>
      <c r="B11" s="3" t="s">
        <v>19</v>
      </c>
      <c r="C11" s="1" t="s">
        <v>20</v>
      </c>
      <c r="D11" s="1" t="s">
        <v>21</v>
      </c>
      <c r="E11" s="1" t="s">
        <v>63</v>
      </c>
      <c r="F11" s="1" t="s">
        <v>64</v>
      </c>
      <c r="G11" s="4" t="s">
        <v>65</v>
      </c>
      <c r="H11" s="5">
        <v>28.1</v>
      </c>
      <c r="I11" s="5">
        <v>3.65</v>
      </c>
      <c r="J11" s="1" t="s">
        <v>66</v>
      </c>
      <c r="K11" s="1" t="s">
        <v>67</v>
      </c>
      <c r="L11" s="6">
        <v>45637</v>
      </c>
      <c r="M11" s="7"/>
      <c r="N11" s="7"/>
      <c r="O11" s="1" t="s">
        <v>68</v>
      </c>
      <c r="P11" s="7"/>
    </row>
    <row r="12" spans="1:17" ht="25.5" x14ac:dyDescent="0.25">
      <c r="A12" s="1" t="s">
        <v>18</v>
      </c>
      <c r="B12" s="3" t="s">
        <v>19</v>
      </c>
      <c r="C12" s="1" t="s">
        <v>28</v>
      </c>
      <c r="D12" s="1" t="s">
        <v>29</v>
      </c>
      <c r="E12" s="1" t="s">
        <v>69</v>
      </c>
      <c r="F12" s="1" t="s">
        <v>70</v>
      </c>
      <c r="G12" s="4" t="s">
        <v>71</v>
      </c>
      <c r="H12" s="5">
        <v>460.93</v>
      </c>
      <c r="I12" s="5">
        <v>115.23</v>
      </c>
      <c r="J12" s="1" t="s">
        <v>72</v>
      </c>
      <c r="K12" s="1" t="s">
        <v>73</v>
      </c>
      <c r="L12" s="6">
        <v>45483</v>
      </c>
      <c r="M12" s="7"/>
      <c r="N12" s="8">
        <v>364</v>
      </c>
      <c r="O12" s="1" t="s">
        <v>74</v>
      </c>
      <c r="P12" s="7"/>
    </row>
    <row r="13" spans="1:17" ht="25.5" x14ac:dyDescent="0.25">
      <c r="A13" s="1" t="s">
        <v>18</v>
      </c>
      <c r="B13" s="3" t="s">
        <v>19</v>
      </c>
      <c r="C13" s="1" t="s">
        <v>28</v>
      </c>
      <c r="D13" s="1" t="s">
        <v>29</v>
      </c>
      <c r="E13" s="1" t="s">
        <v>75</v>
      </c>
      <c r="F13" s="1" t="s">
        <v>76</v>
      </c>
      <c r="G13" s="4" t="s">
        <v>77</v>
      </c>
      <c r="H13" s="5">
        <v>137.38999999999999</v>
      </c>
      <c r="I13" s="5">
        <v>13.74</v>
      </c>
      <c r="J13" s="1" t="s">
        <v>78</v>
      </c>
      <c r="K13" s="1" t="s">
        <v>79</v>
      </c>
      <c r="L13" s="6">
        <v>45760</v>
      </c>
      <c r="M13" s="6">
        <v>45881</v>
      </c>
      <c r="N13" s="8">
        <v>122</v>
      </c>
      <c r="O13" s="1" t="s">
        <v>80</v>
      </c>
      <c r="P13" s="7"/>
    </row>
    <row r="14" spans="1:17" ht="25.5" x14ac:dyDescent="0.25">
      <c r="A14" s="1" t="s">
        <v>18</v>
      </c>
      <c r="B14" s="3" t="s">
        <v>19</v>
      </c>
      <c r="C14" s="1" t="s">
        <v>59</v>
      </c>
      <c r="D14" s="1" t="s">
        <v>60</v>
      </c>
      <c r="E14" s="1" t="s">
        <v>81</v>
      </c>
      <c r="F14" s="1" t="s">
        <v>82</v>
      </c>
      <c r="G14" s="4" t="s">
        <v>83</v>
      </c>
      <c r="H14" s="5">
        <v>323.52999999999997</v>
      </c>
      <c r="I14" s="5">
        <v>80.88</v>
      </c>
      <c r="J14" s="1" t="s">
        <v>56</v>
      </c>
      <c r="K14" s="1" t="s">
        <v>57</v>
      </c>
      <c r="L14" s="6">
        <v>45809</v>
      </c>
      <c r="M14" s="6">
        <v>45930</v>
      </c>
      <c r="N14" s="8">
        <v>122</v>
      </c>
      <c r="O14" s="1" t="s">
        <v>84</v>
      </c>
      <c r="P14" s="7"/>
    </row>
    <row r="15" spans="1:17" x14ac:dyDescent="0.25">
      <c r="A15" s="1" t="s">
        <v>18</v>
      </c>
      <c r="B15" s="3" t="s">
        <v>19</v>
      </c>
      <c r="C15" s="1" t="s">
        <v>20</v>
      </c>
      <c r="D15" s="1" t="s">
        <v>21</v>
      </c>
      <c r="E15" s="1" t="s">
        <v>85</v>
      </c>
      <c r="F15" s="1" t="s">
        <v>86</v>
      </c>
      <c r="G15" s="4" t="s">
        <v>87</v>
      </c>
      <c r="H15" s="5">
        <v>34.25</v>
      </c>
      <c r="I15" s="5">
        <v>4.45</v>
      </c>
      <c r="J15" s="1" t="s">
        <v>66</v>
      </c>
      <c r="K15" s="1" t="s">
        <v>67</v>
      </c>
      <c r="L15" s="6">
        <v>45658</v>
      </c>
      <c r="M15" s="7"/>
      <c r="N15" s="7"/>
      <c r="O15" s="1" t="s">
        <v>88</v>
      </c>
      <c r="P15" s="7"/>
    </row>
    <row r="16" spans="1:17" x14ac:dyDescent="0.25">
      <c r="A16" s="1" t="s">
        <v>18</v>
      </c>
      <c r="B16" s="3" t="s">
        <v>19</v>
      </c>
      <c r="C16" s="1" t="s">
        <v>89</v>
      </c>
      <c r="D16" s="1" t="s">
        <v>37</v>
      </c>
      <c r="E16" s="1" t="s">
        <v>90</v>
      </c>
      <c r="F16" s="1" t="s">
        <v>91</v>
      </c>
      <c r="G16" s="4" t="s">
        <v>92</v>
      </c>
      <c r="H16" s="5">
        <v>289.45999999999998</v>
      </c>
      <c r="I16" s="5">
        <v>72.37</v>
      </c>
      <c r="J16" s="1" t="s">
        <v>93</v>
      </c>
      <c r="K16" s="1" t="s">
        <v>94</v>
      </c>
      <c r="L16" s="6">
        <v>45447</v>
      </c>
      <c r="M16" s="7"/>
      <c r="N16" s="8">
        <v>364</v>
      </c>
      <c r="O16" s="1" t="s">
        <v>95</v>
      </c>
      <c r="P16" s="7"/>
    </row>
    <row r="17" spans="1:16" ht="25.5" x14ac:dyDescent="0.25">
      <c r="A17" s="1" t="s">
        <v>18</v>
      </c>
      <c r="B17" s="3" t="s">
        <v>19</v>
      </c>
      <c r="C17" s="1" t="s">
        <v>28</v>
      </c>
      <c r="D17" s="1" t="s">
        <v>29</v>
      </c>
      <c r="E17" s="1" t="s">
        <v>96</v>
      </c>
      <c r="F17" s="1" t="s">
        <v>97</v>
      </c>
      <c r="G17" s="4" t="s">
        <v>87</v>
      </c>
      <c r="H17" s="5">
        <v>312.08999999999997</v>
      </c>
      <c r="I17" s="5">
        <v>78.02</v>
      </c>
      <c r="J17" s="1" t="s">
        <v>98</v>
      </c>
      <c r="K17" s="1" t="s">
        <v>99</v>
      </c>
      <c r="L17" s="6">
        <v>45474</v>
      </c>
      <c r="M17" s="7"/>
      <c r="N17" s="8">
        <v>364</v>
      </c>
      <c r="O17" s="1" t="s">
        <v>100</v>
      </c>
      <c r="P17" s="7"/>
    </row>
    <row r="18" spans="1:16" ht="25.5" x14ac:dyDescent="0.25">
      <c r="A18" s="1" t="s">
        <v>18</v>
      </c>
      <c r="B18" s="3" t="s">
        <v>19</v>
      </c>
      <c r="C18" s="1" t="s">
        <v>28</v>
      </c>
      <c r="D18" s="1" t="s">
        <v>29</v>
      </c>
      <c r="E18" s="1" t="s">
        <v>101</v>
      </c>
      <c r="F18" s="1" t="s">
        <v>102</v>
      </c>
      <c r="G18" s="4" t="s">
        <v>87</v>
      </c>
      <c r="H18" s="5">
        <v>115.65</v>
      </c>
      <c r="I18" s="5">
        <v>28.91</v>
      </c>
      <c r="J18" s="1" t="s">
        <v>103</v>
      </c>
      <c r="K18" s="1" t="s">
        <v>1</v>
      </c>
      <c r="L18" s="6">
        <v>45474</v>
      </c>
      <c r="M18" s="7"/>
      <c r="N18" s="8">
        <v>364</v>
      </c>
      <c r="O18" s="1" t="s">
        <v>104</v>
      </c>
      <c r="P18" s="7"/>
    </row>
    <row r="19" spans="1:16" ht="25.5" x14ac:dyDescent="0.25">
      <c r="A19" s="1" t="s">
        <v>18</v>
      </c>
      <c r="B19" s="3" t="s">
        <v>19</v>
      </c>
      <c r="C19" s="1" t="s">
        <v>28</v>
      </c>
      <c r="D19" s="1" t="s">
        <v>29</v>
      </c>
      <c r="E19" s="1" t="s">
        <v>105</v>
      </c>
      <c r="F19" s="1" t="s">
        <v>106</v>
      </c>
      <c r="G19" s="4" t="s">
        <v>107</v>
      </c>
      <c r="H19" s="5">
        <v>152.94999999999999</v>
      </c>
      <c r="I19" s="5">
        <v>38.24</v>
      </c>
      <c r="J19" s="1" t="s">
        <v>33</v>
      </c>
      <c r="K19" s="1" t="s">
        <v>34</v>
      </c>
      <c r="L19" s="6">
        <v>45479</v>
      </c>
      <c r="M19" s="7"/>
      <c r="N19" s="8">
        <v>364</v>
      </c>
      <c r="O19" s="1" t="s">
        <v>108</v>
      </c>
      <c r="P19" s="7"/>
    </row>
    <row r="20" spans="1:16" ht="25.5" x14ac:dyDescent="0.25">
      <c r="A20" s="1" t="s">
        <v>18</v>
      </c>
      <c r="B20" s="3" t="s">
        <v>19</v>
      </c>
      <c r="C20" s="1" t="s">
        <v>109</v>
      </c>
      <c r="D20" s="1" t="s">
        <v>29</v>
      </c>
      <c r="E20" s="1" t="s">
        <v>110</v>
      </c>
      <c r="F20" s="1" t="s">
        <v>111</v>
      </c>
      <c r="G20" s="4" t="s">
        <v>87</v>
      </c>
      <c r="H20" s="5">
        <v>967.78</v>
      </c>
      <c r="I20" s="5">
        <v>241.95</v>
      </c>
      <c r="J20" s="1" t="s">
        <v>112</v>
      </c>
      <c r="K20" s="1" t="s">
        <v>113</v>
      </c>
      <c r="L20" s="6">
        <v>45505</v>
      </c>
      <c r="M20" s="7"/>
      <c r="N20" s="8">
        <v>364</v>
      </c>
      <c r="O20" s="1" t="s">
        <v>114</v>
      </c>
      <c r="P20" s="7"/>
    </row>
    <row r="21" spans="1:16" ht="25.5" x14ac:dyDescent="0.25">
      <c r="A21" s="1" t="s">
        <v>18</v>
      </c>
      <c r="B21" s="3" t="s">
        <v>19</v>
      </c>
      <c r="C21" s="1" t="s">
        <v>28</v>
      </c>
      <c r="D21" s="1" t="s">
        <v>29</v>
      </c>
      <c r="E21" s="1" t="s">
        <v>115</v>
      </c>
      <c r="F21" s="1" t="s">
        <v>116</v>
      </c>
      <c r="G21" s="4" t="s">
        <v>87</v>
      </c>
      <c r="H21" s="5">
        <v>222.41</v>
      </c>
      <c r="I21" s="5">
        <v>55.6</v>
      </c>
      <c r="J21" s="1" t="s">
        <v>41</v>
      </c>
      <c r="K21" s="1" t="s">
        <v>42</v>
      </c>
      <c r="L21" s="6">
        <v>45536</v>
      </c>
      <c r="M21" s="7"/>
      <c r="N21" s="8">
        <v>364</v>
      </c>
      <c r="O21" s="1" t="s">
        <v>117</v>
      </c>
      <c r="P21" s="7"/>
    </row>
    <row r="22" spans="1:16" ht="25.5" x14ac:dyDescent="0.25">
      <c r="A22" s="1" t="s">
        <v>18</v>
      </c>
      <c r="B22" s="3" t="s">
        <v>19</v>
      </c>
      <c r="C22" s="1" t="s">
        <v>28</v>
      </c>
      <c r="D22" s="1" t="s">
        <v>29</v>
      </c>
      <c r="E22" s="1" t="s">
        <v>118</v>
      </c>
      <c r="F22" s="1" t="s">
        <v>119</v>
      </c>
      <c r="G22" s="4" t="s">
        <v>120</v>
      </c>
      <c r="H22" s="5">
        <v>512.71</v>
      </c>
      <c r="I22" s="5">
        <v>128.19999999999999</v>
      </c>
      <c r="J22" s="1" t="s">
        <v>56</v>
      </c>
      <c r="K22" s="1" t="s">
        <v>57</v>
      </c>
      <c r="L22" s="6">
        <v>45750</v>
      </c>
      <c r="M22" s="6">
        <v>45869</v>
      </c>
      <c r="N22" s="8">
        <v>120</v>
      </c>
      <c r="O22" s="1" t="s">
        <v>121</v>
      </c>
      <c r="P22" s="7"/>
    </row>
    <row r="23" spans="1:16" x14ac:dyDescent="0.25">
      <c r="A23" s="1" t="s">
        <v>18</v>
      </c>
      <c r="B23" s="3" t="s">
        <v>19</v>
      </c>
      <c r="C23" s="1" t="s">
        <v>36</v>
      </c>
      <c r="D23" s="1" t="s">
        <v>37</v>
      </c>
      <c r="E23" s="1" t="s">
        <v>122</v>
      </c>
      <c r="F23" s="1" t="s">
        <v>123</v>
      </c>
      <c r="G23" s="4" t="s">
        <v>87</v>
      </c>
      <c r="H23" s="5">
        <v>529.74</v>
      </c>
      <c r="I23" s="5">
        <v>132.44</v>
      </c>
      <c r="J23" s="1" t="s">
        <v>41</v>
      </c>
      <c r="K23" s="1" t="s">
        <v>42</v>
      </c>
      <c r="L23" s="6">
        <v>45778</v>
      </c>
      <c r="M23" s="6">
        <v>45897</v>
      </c>
      <c r="N23" s="8">
        <v>120</v>
      </c>
      <c r="O23" s="1" t="s">
        <v>124</v>
      </c>
      <c r="P23" s="7"/>
    </row>
    <row r="24" spans="1:16" x14ac:dyDescent="0.25">
      <c r="A24" s="1" t="s">
        <v>18</v>
      </c>
      <c r="B24" s="3" t="s">
        <v>19</v>
      </c>
      <c r="C24" s="1" t="s">
        <v>36</v>
      </c>
      <c r="D24" s="1" t="s">
        <v>37</v>
      </c>
      <c r="E24" s="1" t="s">
        <v>125</v>
      </c>
      <c r="F24" s="1" t="s">
        <v>126</v>
      </c>
      <c r="G24" s="4" t="s">
        <v>87</v>
      </c>
      <c r="H24" s="5">
        <v>429.3</v>
      </c>
      <c r="I24" s="5">
        <v>107.33</v>
      </c>
      <c r="J24" s="1" t="s">
        <v>127</v>
      </c>
      <c r="K24" s="1" t="s">
        <v>128</v>
      </c>
      <c r="L24" s="6">
        <v>45778</v>
      </c>
      <c r="M24" s="6">
        <v>45895</v>
      </c>
      <c r="N24" s="8">
        <v>118</v>
      </c>
      <c r="O24" s="1" t="s">
        <v>129</v>
      </c>
      <c r="P24" s="7"/>
    </row>
    <row r="25" spans="1:16" x14ac:dyDescent="0.25">
      <c r="A25" s="1" t="s">
        <v>18</v>
      </c>
      <c r="B25" s="3" t="s">
        <v>19</v>
      </c>
      <c r="C25" s="1" t="s">
        <v>36</v>
      </c>
      <c r="D25" s="1" t="s">
        <v>37</v>
      </c>
      <c r="E25" s="1" t="s">
        <v>130</v>
      </c>
      <c r="F25" s="1" t="s">
        <v>86</v>
      </c>
      <c r="G25" s="4" t="s">
        <v>87</v>
      </c>
      <c r="H25" s="5">
        <v>115.05</v>
      </c>
      <c r="I25" s="5">
        <v>28.76</v>
      </c>
      <c r="J25" s="1" t="s">
        <v>66</v>
      </c>
      <c r="K25" s="1" t="s">
        <v>67</v>
      </c>
      <c r="L25" s="6">
        <v>45778</v>
      </c>
      <c r="M25" s="6">
        <v>45900</v>
      </c>
      <c r="N25" s="8">
        <v>123</v>
      </c>
      <c r="O25" s="1" t="s">
        <v>131</v>
      </c>
      <c r="P25" s="7"/>
    </row>
    <row r="26" spans="1:16" ht="25.5" x14ac:dyDescent="0.25">
      <c r="A26" s="1" t="s">
        <v>18</v>
      </c>
      <c r="B26" s="3" t="s">
        <v>19</v>
      </c>
      <c r="C26" s="1" t="s">
        <v>28</v>
      </c>
      <c r="D26" s="1" t="s">
        <v>29</v>
      </c>
      <c r="E26" s="1" t="s">
        <v>132</v>
      </c>
      <c r="F26" s="1" t="s">
        <v>133</v>
      </c>
      <c r="G26" s="4" t="s">
        <v>87</v>
      </c>
      <c r="H26" s="5">
        <v>82.37</v>
      </c>
      <c r="I26" s="5">
        <v>8.24</v>
      </c>
      <c r="J26" s="1" t="s">
        <v>78</v>
      </c>
      <c r="K26" s="1" t="s">
        <v>79</v>
      </c>
      <c r="L26" s="6">
        <v>45689</v>
      </c>
      <c r="M26" s="6">
        <v>45808</v>
      </c>
      <c r="N26" s="8">
        <v>120</v>
      </c>
      <c r="O26" s="1" t="s">
        <v>134</v>
      </c>
      <c r="P26" s="7"/>
    </row>
    <row r="27" spans="1:16" ht="25.5" x14ac:dyDescent="0.25">
      <c r="A27" s="1" t="s">
        <v>18</v>
      </c>
      <c r="B27" s="3" t="s">
        <v>19</v>
      </c>
      <c r="C27" s="1" t="s">
        <v>59</v>
      </c>
      <c r="D27" s="1" t="s">
        <v>60</v>
      </c>
      <c r="E27" s="1" t="s">
        <v>135</v>
      </c>
      <c r="F27" s="1" t="s">
        <v>136</v>
      </c>
      <c r="G27" s="4" t="s">
        <v>92</v>
      </c>
      <c r="H27" s="5">
        <v>483.04</v>
      </c>
      <c r="I27" s="5">
        <v>120.76</v>
      </c>
      <c r="J27" s="1" t="s">
        <v>137</v>
      </c>
      <c r="K27" s="1" t="s">
        <v>138</v>
      </c>
      <c r="L27" s="6">
        <v>45720</v>
      </c>
      <c r="M27" s="6">
        <v>45841</v>
      </c>
      <c r="N27" s="8">
        <v>122</v>
      </c>
      <c r="O27" s="1" t="s">
        <v>139</v>
      </c>
      <c r="P27" s="7"/>
    </row>
    <row r="28" spans="1:16" ht="25.5" x14ac:dyDescent="0.25">
      <c r="A28" s="1" t="s">
        <v>18</v>
      </c>
      <c r="B28" s="3" t="s">
        <v>19</v>
      </c>
      <c r="C28" s="1" t="s">
        <v>28</v>
      </c>
      <c r="D28" s="1" t="s">
        <v>29</v>
      </c>
      <c r="E28" s="1" t="s">
        <v>140</v>
      </c>
      <c r="F28" s="1" t="s">
        <v>141</v>
      </c>
      <c r="G28" s="4" t="s">
        <v>87</v>
      </c>
      <c r="H28" s="5">
        <v>38.299999999999997</v>
      </c>
      <c r="I28" s="5">
        <v>9.58</v>
      </c>
      <c r="J28" s="1" t="s">
        <v>98</v>
      </c>
      <c r="K28" s="1" t="s">
        <v>99</v>
      </c>
      <c r="L28" s="6">
        <v>45689</v>
      </c>
      <c r="M28" s="6">
        <v>45808</v>
      </c>
      <c r="N28" s="8">
        <v>120</v>
      </c>
      <c r="O28" s="1" t="s">
        <v>142</v>
      </c>
      <c r="P28" s="7"/>
    </row>
    <row r="29" spans="1:16" ht="25.5" x14ac:dyDescent="0.25">
      <c r="A29" s="1" t="s">
        <v>18</v>
      </c>
      <c r="B29" s="3" t="s">
        <v>19</v>
      </c>
      <c r="C29" s="1" t="s">
        <v>59</v>
      </c>
      <c r="D29" s="1" t="s">
        <v>60</v>
      </c>
      <c r="E29" s="1" t="s">
        <v>143</v>
      </c>
      <c r="F29" s="1" t="s">
        <v>144</v>
      </c>
      <c r="G29" s="4" t="s">
        <v>145</v>
      </c>
      <c r="H29" s="5">
        <v>337.06</v>
      </c>
      <c r="I29" s="5">
        <v>84.27</v>
      </c>
      <c r="J29" s="1" t="s">
        <v>127</v>
      </c>
      <c r="K29" s="1" t="s">
        <v>128</v>
      </c>
      <c r="L29" s="6">
        <v>45690</v>
      </c>
      <c r="M29" s="6">
        <v>45809</v>
      </c>
      <c r="N29" s="8">
        <v>120</v>
      </c>
      <c r="O29" s="1" t="s">
        <v>146</v>
      </c>
      <c r="P29" s="7"/>
    </row>
    <row r="30" spans="1:16" ht="25.5" x14ac:dyDescent="0.25">
      <c r="A30" s="1" t="s">
        <v>18</v>
      </c>
      <c r="B30" s="3" t="s">
        <v>19</v>
      </c>
      <c r="C30" s="1" t="s">
        <v>59</v>
      </c>
      <c r="D30" s="1" t="s">
        <v>60</v>
      </c>
      <c r="E30" s="1" t="s">
        <v>147</v>
      </c>
      <c r="F30" s="1" t="s">
        <v>148</v>
      </c>
      <c r="G30" s="4" t="s">
        <v>107</v>
      </c>
      <c r="H30" s="5">
        <v>159.28</v>
      </c>
      <c r="I30" s="5">
        <v>39.82</v>
      </c>
      <c r="J30" s="1" t="s">
        <v>127</v>
      </c>
      <c r="K30" s="1" t="s">
        <v>128</v>
      </c>
      <c r="L30" s="6">
        <v>45694</v>
      </c>
      <c r="M30" s="6">
        <v>45813</v>
      </c>
      <c r="N30" s="8">
        <v>120</v>
      </c>
      <c r="O30" s="1" t="s">
        <v>149</v>
      </c>
      <c r="P30" s="7"/>
    </row>
    <row r="31" spans="1:16" ht="25.5" x14ac:dyDescent="0.25">
      <c r="A31" s="1" t="s">
        <v>18</v>
      </c>
      <c r="B31" s="3" t="s">
        <v>19</v>
      </c>
      <c r="C31" s="1" t="s">
        <v>28</v>
      </c>
      <c r="D31" s="1" t="s">
        <v>29</v>
      </c>
      <c r="E31" s="1" t="s">
        <v>150</v>
      </c>
      <c r="F31" s="1" t="s">
        <v>151</v>
      </c>
      <c r="G31" s="4" t="s">
        <v>87</v>
      </c>
      <c r="H31" s="5">
        <v>466.8</v>
      </c>
      <c r="I31" s="5">
        <v>46.68</v>
      </c>
      <c r="J31" s="1" t="s">
        <v>78</v>
      </c>
      <c r="K31" s="1" t="s">
        <v>79</v>
      </c>
      <c r="L31" s="6">
        <v>45748</v>
      </c>
      <c r="M31" s="6">
        <v>45869</v>
      </c>
      <c r="N31" s="8">
        <v>122</v>
      </c>
      <c r="O31" s="1" t="s">
        <v>152</v>
      </c>
      <c r="P31" s="7"/>
    </row>
    <row r="32" spans="1:16" ht="25.5" x14ac:dyDescent="0.25">
      <c r="A32" s="1" t="s">
        <v>18</v>
      </c>
      <c r="B32" s="3" t="s">
        <v>19</v>
      </c>
      <c r="C32" s="1" t="s">
        <v>28</v>
      </c>
      <c r="D32" s="1" t="s">
        <v>29</v>
      </c>
      <c r="E32" s="1" t="s">
        <v>153</v>
      </c>
      <c r="F32" s="1" t="s">
        <v>154</v>
      </c>
      <c r="G32" s="4" t="s">
        <v>145</v>
      </c>
      <c r="H32" s="5">
        <v>63.29</v>
      </c>
      <c r="I32" s="5">
        <v>6.33</v>
      </c>
      <c r="J32" s="1" t="s">
        <v>78</v>
      </c>
      <c r="K32" s="1" t="s">
        <v>79</v>
      </c>
      <c r="L32" s="6">
        <v>45749</v>
      </c>
      <c r="M32" s="6">
        <v>45870</v>
      </c>
      <c r="N32" s="8">
        <v>122</v>
      </c>
      <c r="O32" s="1" t="s">
        <v>155</v>
      </c>
      <c r="P32" s="7"/>
    </row>
    <row r="33" spans="1:16" ht="25.5" x14ac:dyDescent="0.25">
      <c r="A33" s="1" t="s">
        <v>18</v>
      </c>
      <c r="B33" s="3" t="s">
        <v>19</v>
      </c>
      <c r="C33" s="1" t="s">
        <v>28</v>
      </c>
      <c r="D33" s="1" t="s">
        <v>29</v>
      </c>
      <c r="E33" s="1" t="s">
        <v>156</v>
      </c>
      <c r="F33" s="1" t="s">
        <v>157</v>
      </c>
      <c r="G33" s="4" t="s">
        <v>92</v>
      </c>
      <c r="H33" s="5">
        <v>80.650000000000006</v>
      </c>
      <c r="I33" s="5">
        <v>20.16</v>
      </c>
      <c r="J33" s="1" t="s">
        <v>51</v>
      </c>
      <c r="K33" s="1" t="s">
        <v>52</v>
      </c>
      <c r="L33" s="6">
        <v>45751</v>
      </c>
      <c r="M33" s="6">
        <v>45872</v>
      </c>
      <c r="N33" s="8">
        <v>122</v>
      </c>
      <c r="O33" s="1" t="s">
        <v>158</v>
      </c>
      <c r="P33" s="7"/>
    </row>
    <row r="34" spans="1:16" ht="25.5" x14ac:dyDescent="0.25">
      <c r="A34" s="1" t="s">
        <v>18</v>
      </c>
      <c r="B34" s="3" t="s">
        <v>19</v>
      </c>
      <c r="C34" s="1" t="s">
        <v>28</v>
      </c>
      <c r="D34" s="1" t="s">
        <v>29</v>
      </c>
      <c r="E34" s="1" t="s">
        <v>159</v>
      </c>
      <c r="F34" s="1" t="s">
        <v>160</v>
      </c>
      <c r="G34" s="4" t="s">
        <v>161</v>
      </c>
      <c r="H34" s="5">
        <v>363.93</v>
      </c>
      <c r="I34" s="5">
        <v>90.99</v>
      </c>
      <c r="J34" s="1" t="s">
        <v>51</v>
      </c>
      <c r="K34" s="1" t="s">
        <v>52</v>
      </c>
      <c r="L34" s="6">
        <v>45752</v>
      </c>
      <c r="M34" s="6">
        <v>45873</v>
      </c>
      <c r="N34" s="8">
        <v>122</v>
      </c>
      <c r="O34" s="1" t="s">
        <v>162</v>
      </c>
      <c r="P34" s="7"/>
    </row>
    <row r="35" spans="1:16" ht="25.5" x14ac:dyDescent="0.25">
      <c r="A35" s="1" t="s">
        <v>18</v>
      </c>
      <c r="B35" s="3" t="s">
        <v>19</v>
      </c>
      <c r="C35" s="1" t="s">
        <v>28</v>
      </c>
      <c r="D35" s="1" t="s">
        <v>29</v>
      </c>
      <c r="E35" s="1" t="s">
        <v>163</v>
      </c>
      <c r="F35" s="1" t="s">
        <v>164</v>
      </c>
      <c r="G35" s="4" t="s">
        <v>107</v>
      </c>
      <c r="H35" s="5">
        <v>94.26</v>
      </c>
      <c r="I35" s="5">
        <v>23.57</v>
      </c>
      <c r="J35" s="1" t="s">
        <v>41</v>
      </c>
      <c r="K35" s="1" t="s">
        <v>42</v>
      </c>
      <c r="L35" s="6">
        <v>45753</v>
      </c>
      <c r="M35" s="6">
        <v>45874</v>
      </c>
      <c r="N35" s="8">
        <v>122</v>
      </c>
      <c r="O35" s="1" t="s">
        <v>165</v>
      </c>
      <c r="P35" s="7"/>
    </row>
    <row r="36" spans="1:16" ht="25.5" x14ac:dyDescent="0.25">
      <c r="A36" s="1" t="s">
        <v>166</v>
      </c>
      <c r="B36" s="3" t="s">
        <v>19</v>
      </c>
      <c r="C36" s="1" t="s">
        <v>28</v>
      </c>
      <c r="D36" s="1" t="s">
        <v>29</v>
      </c>
      <c r="E36" s="1" t="s">
        <v>167</v>
      </c>
      <c r="F36" s="1" t="s">
        <v>168</v>
      </c>
      <c r="G36" s="4" t="s">
        <v>169</v>
      </c>
      <c r="H36" s="5">
        <v>68.64</v>
      </c>
      <c r="I36" s="5">
        <v>17.16</v>
      </c>
      <c r="J36" s="1" t="s">
        <v>41</v>
      </c>
      <c r="K36" s="1" t="s">
        <v>42</v>
      </c>
      <c r="L36" s="6">
        <v>45434</v>
      </c>
      <c r="M36" s="7"/>
      <c r="N36" s="8">
        <v>364</v>
      </c>
      <c r="O36" s="1" t="s">
        <v>170</v>
      </c>
      <c r="P36" s="7"/>
    </row>
    <row r="37" spans="1:16" ht="25.5" x14ac:dyDescent="0.25">
      <c r="A37" s="1" t="s">
        <v>166</v>
      </c>
      <c r="B37" s="3" t="s">
        <v>19</v>
      </c>
      <c r="C37" s="1" t="s">
        <v>28</v>
      </c>
      <c r="D37" s="1" t="s">
        <v>29</v>
      </c>
      <c r="E37" s="1" t="s">
        <v>171</v>
      </c>
      <c r="F37" s="1" t="s">
        <v>172</v>
      </c>
      <c r="G37" s="4" t="s">
        <v>173</v>
      </c>
      <c r="H37" s="5">
        <v>352.84</v>
      </c>
      <c r="I37" s="5">
        <v>88.21</v>
      </c>
      <c r="J37" s="1" t="s">
        <v>41</v>
      </c>
      <c r="K37" s="1" t="s">
        <v>42</v>
      </c>
      <c r="L37" s="6">
        <v>45433</v>
      </c>
      <c r="M37" s="7"/>
      <c r="N37" s="8">
        <v>364</v>
      </c>
      <c r="O37" s="1" t="s">
        <v>174</v>
      </c>
      <c r="P37" s="7"/>
    </row>
    <row r="38" spans="1:16" ht="25.5" x14ac:dyDescent="0.25">
      <c r="A38" s="1" t="s">
        <v>166</v>
      </c>
      <c r="B38" s="3" t="s">
        <v>19</v>
      </c>
      <c r="C38" s="1" t="s">
        <v>28</v>
      </c>
      <c r="D38" s="1" t="s">
        <v>29</v>
      </c>
      <c r="E38" s="1" t="s">
        <v>175</v>
      </c>
      <c r="F38" s="1" t="s">
        <v>176</v>
      </c>
      <c r="G38" s="4" t="s">
        <v>177</v>
      </c>
      <c r="H38" s="5">
        <v>128.13999999999999</v>
      </c>
      <c r="I38" s="5">
        <v>32.04</v>
      </c>
      <c r="J38" s="1" t="s">
        <v>103</v>
      </c>
      <c r="K38" s="1" t="s">
        <v>1</v>
      </c>
      <c r="L38" s="6">
        <v>45436</v>
      </c>
      <c r="M38" s="7"/>
      <c r="N38" s="8">
        <v>364</v>
      </c>
      <c r="O38" s="1" t="s">
        <v>178</v>
      </c>
      <c r="P38" s="7"/>
    </row>
    <row r="39" spans="1:16" ht="25.5" x14ac:dyDescent="0.25">
      <c r="A39" s="1" t="s">
        <v>166</v>
      </c>
      <c r="B39" s="3" t="s">
        <v>19</v>
      </c>
      <c r="C39" s="1" t="s">
        <v>109</v>
      </c>
      <c r="D39" s="1" t="s">
        <v>29</v>
      </c>
      <c r="E39" s="1" t="s">
        <v>179</v>
      </c>
      <c r="F39" s="1" t="s">
        <v>180</v>
      </c>
      <c r="G39" s="4" t="s">
        <v>181</v>
      </c>
      <c r="H39" s="5">
        <v>523.25</v>
      </c>
      <c r="I39" s="5">
        <v>130.81</v>
      </c>
      <c r="J39" s="1" t="s">
        <v>127</v>
      </c>
      <c r="K39" s="1" t="s">
        <v>128</v>
      </c>
      <c r="L39" s="6">
        <v>45441</v>
      </c>
      <c r="M39" s="7"/>
      <c r="N39" s="8">
        <v>364</v>
      </c>
      <c r="O39" s="1" t="s">
        <v>182</v>
      </c>
      <c r="P39" s="7"/>
    </row>
    <row r="40" spans="1:16" x14ac:dyDescent="0.25">
      <c r="A40" s="1" t="s">
        <v>166</v>
      </c>
      <c r="B40" s="3" t="s">
        <v>19</v>
      </c>
      <c r="C40" s="1" t="s">
        <v>36</v>
      </c>
      <c r="D40" s="1" t="s">
        <v>37</v>
      </c>
      <c r="E40" s="1" t="s">
        <v>38</v>
      </c>
      <c r="F40" s="1" t="s">
        <v>39</v>
      </c>
      <c r="G40" s="4" t="s">
        <v>183</v>
      </c>
      <c r="H40" s="5">
        <v>606.54</v>
      </c>
      <c r="I40" s="5">
        <v>151.63999999999999</v>
      </c>
      <c r="J40" s="1" t="s">
        <v>41</v>
      </c>
      <c r="K40" s="1" t="s">
        <v>42</v>
      </c>
      <c r="L40" s="6">
        <v>45463</v>
      </c>
      <c r="M40" s="7"/>
      <c r="N40" s="8">
        <v>364</v>
      </c>
      <c r="O40" s="1" t="s">
        <v>43</v>
      </c>
      <c r="P40" s="7"/>
    </row>
    <row r="41" spans="1:16" x14ac:dyDescent="0.25">
      <c r="A41" s="1" t="s">
        <v>166</v>
      </c>
      <c r="B41" s="3" t="s">
        <v>19</v>
      </c>
      <c r="C41" s="1" t="s">
        <v>36</v>
      </c>
      <c r="D41" s="1" t="s">
        <v>37</v>
      </c>
      <c r="E41" s="1" t="s">
        <v>184</v>
      </c>
      <c r="F41" s="1" t="s">
        <v>185</v>
      </c>
      <c r="G41" s="4" t="s">
        <v>186</v>
      </c>
      <c r="H41" s="5">
        <v>248.4</v>
      </c>
      <c r="I41" s="5">
        <v>62.1</v>
      </c>
      <c r="J41" s="1" t="s">
        <v>41</v>
      </c>
      <c r="K41" s="1" t="s">
        <v>42</v>
      </c>
      <c r="L41" s="6">
        <v>45471</v>
      </c>
      <c r="M41" s="7"/>
      <c r="N41" s="8">
        <v>364</v>
      </c>
      <c r="O41" s="1" t="s">
        <v>187</v>
      </c>
      <c r="P41" s="7"/>
    </row>
    <row r="42" spans="1:16" ht="25.5" x14ac:dyDescent="0.25">
      <c r="A42" s="1" t="s">
        <v>166</v>
      </c>
      <c r="B42" s="3" t="s">
        <v>19</v>
      </c>
      <c r="C42" s="1" t="s">
        <v>109</v>
      </c>
      <c r="D42" s="1" t="s">
        <v>29</v>
      </c>
      <c r="E42" s="1" t="s">
        <v>188</v>
      </c>
      <c r="F42" s="1" t="s">
        <v>189</v>
      </c>
      <c r="G42" s="4" t="s">
        <v>190</v>
      </c>
      <c r="H42" s="5">
        <v>206.21</v>
      </c>
      <c r="I42" s="5">
        <v>51.55</v>
      </c>
      <c r="J42" s="1" t="s">
        <v>56</v>
      </c>
      <c r="K42" s="1" t="s">
        <v>57</v>
      </c>
      <c r="L42" s="6">
        <v>45534</v>
      </c>
      <c r="M42" s="7"/>
      <c r="N42" s="8">
        <v>364</v>
      </c>
      <c r="O42" s="1" t="s">
        <v>191</v>
      </c>
      <c r="P42" s="7"/>
    </row>
    <row r="43" spans="1:16" ht="25.5" x14ac:dyDescent="0.25">
      <c r="A43" s="1" t="s">
        <v>166</v>
      </c>
      <c r="B43" s="3" t="s">
        <v>19</v>
      </c>
      <c r="C43" s="1" t="s">
        <v>36</v>
      </c>
      <c r="D43" s="1" t="s">
        <v>37</v>
      </c>
      <c r="E43" s="1" t="s">
        <v>192</v>
      </c>
      <c r="F43" s="1" t="s">
        <v>193</v>
      </c>
      <c r="G43" s="4" t="s">
        <v>194</v>
      </c>
      <c r="H43" s="5">
        <v>364.38</v>
      </c>
      <c r="I43" s="5">
        <v>80.16</v>
      </c>
      <c r="J43" s="1" t="s">
        <v>112</v>
      </c>
      <c r="K43" s="1" t="s">
        <v>113</v>
      </c>
      <c r="L43" s="6">
        <v>45527</v>
      </c>
      <c r="M43" s="7"/>
      <c r="N43" s="8">
        <v>364</v>
      </c>
      <c r="O43" s="1" t="s">
        <v>195</v>
      </c>
      <c r="P43" s="7"/>
    </row>
    <row r="44" spans="1:16" x14ac:dyDescent="0.25">
      <c r="A44" s="1" t="s">
        <v>166</v>
      </c>
      <c r="B44" s="3" t="s">
        <v>19</v>
      </c>
      <c r="C44" s="1" t="s">
        <v>36</v>
      </c>
      <c r="D44" s="1" t="s">
        <v>37</v>
      </c>
      <c r="E44" s="1" t="s">
        <v>196</v>
      </c>
      <c r="F44" s="1" t="s">
        <v>197</v>
      </c>
      <c r="G44" s="4" t="s">
        <v>181</v>
      </c>
      <c r="H44" s="5">
        <v>747.39</v>
      </c>
      <c r="I44" s="5">
        <v>186.84</v>
      </c>
      <c r="J44" s="1" t="s">
        <v>56</v>
      </c>
      <c r="K44" s="1" t="s">
        <v>57</v>
      </c>
      <c r="L44" s="6">
        <v>45533</v>
      </c>
      <c r="M44" s="7"/>
      <c r="N44" s="8">
        <v>364</v>
      </c>
      <c r="O44" s="1" t="s">
        <v>198</v>
      </c>
      <c r="P44" s="7"/>
    </row>
    <row r="45" spans="1:16" ht="25.5" x14ac:dyDescent="0.25">
      <c r="A45" s="1" t="s">
        <v>166</v>
      </c>
      <c r="B45" s="3" t="s">
        <v>19</v>
      </c>
      <c r="C45" s="1" t="s">
        <v>59</v>
      </c>
      <c r="D45" s="1" t="s">
        <v>60</v>
      </c>
      <c r="E45" s="1" t="s">
        <v>199</v>
      </c>
      <c r="F45" s="1" t="s">
        <v>200</v>
      </c>
      <c r="G45" s="4" t="s">
        <v>194</v>
      </c>
      <c r="H45" s="5">
        <v>437.79</v>
      </c>
      <c r="I45" s="5">
        <v>109.45</v>
      </c>
      <c r="J45" s="1" t="s">
        <v>201</v>
      </c>
      <c r="K45" s="1" t="s">
        <v>202</v>
      </c>
      <c r="L45" s="6">
        <v>45770</v>
      </c>
      <c r="M45" s="6">
        <v>45889</v>
      </c>
      <c r="N45" s="8">
        <v>120</v>
      </c>
      <c r="O45" s="1" t="s">
        <v>203</v>
      </c>
      <c r="P45" s="7"/>
    </row>
    <row r="46" spans="1:16" ht="25.5" x14ac:dyDescent="0.25">
      <c r="A46" s="1" t="s">
        <v>166</v>
      </c>
      <c r="B46" s="3" t="s">
        <v>19</v>
      </c>
      <c r="C46" s="1" t="s">
        <v>59</v>
      </c>
      <c r="D46" s="1" t="s">
        <v>60</v>
      </c>
      <c r="E46" s="1" t="s">
        <v>204</v>
      </c>
      <c r="F46" s="1" t="s">
        <v>205</v>
      </c>
      <c r="G46" s="4" t="s">
        <v>169</v>
      </c>
      <c r="H46" s="5">
        <v>146.93</v>
      </c>
      <c r="I46" s="5">
        <v>36.729999999999997</v>
      </c>
      <c r="J46" s="1" t="s">
        <v>206</v>
      </c>
      <c r="K46" s="1" t="s">
        <v>207</v>
      </c>
      <c r="L46" s="6">
        <v>45738</v>
      </c>
      <c r="M46" s="6">
        <v>45859</v>
      </c>
      <c r="N46" s="8">
        <v>122</v>
      </c>
      <c r="O46" s="1" t="s">
        <v>208</v>
      </c>
      <c r="P46" s="7"/>
    </row>
    <row r="47" spans="1:16" ht="25.5" x14ac:dyDescent="0.25">
      <c r="A47" s="1" t="s">
        <v>166</v>
      </c>
      <c r="B47" s="3" t="s">
        <v>19</v>
      </c>
      <c r="C47" s="1" t="s">
        <v>28</v>
      </c>
      <c r="D47" s="1" t="s">
        <v>29</v>
      </c>
      <c r="E47" s="1" t="s">
        <v>75</v>
      </c>
      <c r="F47" s="1" t="s">
        <v>76</v>
      </c>
      <c r="G47" s="4" t="s">
        <v>209</v>
      </c>
      <c r="H47" s="5">
        <v>137.38999999999999</v>
      </c>
      <c r="I47" s="5">
        <v>13.74</v>
      </c>
      <c r="J47" s="1" t="s">
        <v>78</v>
      </c>
      <c r="K47" s="1" t="s">
        <v>79</v>
      </c>
      <c r="L47" s="6">
        <v>45760</v>
      </c>
      <c r="M47" s="6">
        <v>45881</v>
      </c>
      <c r="N47" s="8">
        <v>122</v>
      </c>
      <c r="O47" s="1" t="s">
        <v>80</v>
      </c>
      <c r="P47" s="7"/>
    </row>
    <row r="48" spans="1:16" x14ac:dyDescent="0.25">
      <c r="A48" s="1" t="s">
        <v>166</v>
      </c>
      <c r="B48" s="3" t="s">
        <v>19</v>
      </c>
      <c r="C48" s="1" t="s">
        <v>36</v>
      </c>
      <c r="D48" s="1" t="s">
        <v>37</v>
      </c>
      <c r="E48" s="1" t="s">
        <v>210</v>
      </c>
      <c r="F48" s="1" t="s">
        <v>211</v>
      </c>
      <c r="G48" s="4" t="s">
        <v>212</v>
      </c>
      <c r="H48" s="5">
        <v>259.64999999999998</v>
      </c>
      <c r="I48" s="5">
        <v>64.91</v>
      </c>
      <c r="J48" s="1" t="s">
        <v>25</v>
      </c>
      <c r="K48" s="1" t="s">
        <v>26</v>
      </c>
      <c r="L48" s="6">
        <v>45774</v>
      </c>
      <c r="M48" s="6">
        <v>45895</v>
      </c>
      <c r="N48" s="8">
        <v>122</v>
      </c>
      <c r="O48" s="1" t="s">
        <v>213</v>
      </c>
      <c r="P48" s="7"/>
    </row>
    <row r="49" spans="9:9" x14ac:dyDescent="0.25">
      <c r="I49" s="9"/>
    </row>
  </sheetData>
  <mergeCells count="2">
    <mergeCell ref="A1:Q1"/>
    <mergeCell ref="A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925E0-AB12-476F-B222-7522550B1BD4}">
  <dimension ref="A1:P47"/>
  <sheetViews>
    <sheetView tabSelected="1" workbookViewId="0">
      <selection activeCell="L5" sqref="L5"/>
    </sheetView>
  </sheetViews>
  <sheetFormatPr defaultRowHeight="15" x14ac:dyDescent="0.25"/>
  <cols>
    <col min="1" max="1" width="11.42578125" customWidth="1"/>
    <col min="3" max="3" width="48.7109375" customWidth="1"/>
    <col min="4" max="4" width="15.28515625" customWidth="1"/>
    <col min="5" max="5" width="13" customWidth="1"/>
    <col min="6" max="6" width="19.85546875" customWidth="1"/>
    <col min="7" max="7" width="13" customWidth="1"/>
    <col min="8" max="8" width="16.7109375" customWidth="1"/>
    <col min="9" max="9" width="13.7109375" customWidth="1"/>
    <col min="10" max="10" width="12.140625" customWidth="1"/>
    <col min="11" max="11" width="13.7109375" customWidth="1"/>
    <col min="12" max="12" width="10.7109375" customWidth="1"/>
    <col min="13" max="13" width="15.28515625" customWidth="1"/>
    <col min="14" max="14" width="13" customWidth="1"/>
    <col min="15" max="15" width="13.7109375" customWidth="1"/>
  </cols>
  <sheetData>
    <row r="1" spans="1:16" ht="24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10</v>
      </c>
      <c r="O1" s="10" t="s">
        <v>2</v>
      </c>
      <c r="P1" s="12" t="s">
        <v>217</v>
      </c>
    </row>
    <row r="2" spans="1:16" ht="25.5" x14ac:dyDescent="0.25">
      <c r="A2" s="1" t="s">
        <v>18</v>
      </c>
      <c r="B2" s="3" t="s">
        <v>19</v>
      </c>
      <c r="C2" s="1" t="s">
        <v>215</v>
      </c>
      <c r="D2" s="1" t="s">
        <v>29</v>
      </c>
      <c r="E2" s="1" t="s">
        <v>110</v>
      </c>
      <c r="F2" s="1" t="s">
        <v>111</v>
      </c>
      <c r="G2" s="4" t="s">
        <v>87</v>
      </c>
      <c r="H2" s="1" t="s">
        <v>112</v>
      </c>
      <c r="I2" s="1">
        <v>7470776</v>
      </c>
      <c r="J2" s="6">
        <v>45505</v>
      </c>
      <c r="K2" s="7"/>
      <c r="L2" s="8">
        <v>364</v>
      </c>
      <c r="M2" s="1" t="s">
        <v>114</v>
      </c>
      <c r="N2" s="5">
        <v>967.78</v>
      </c>
      <c r="O2" s="11">
        <v>241.95</v>
      </c>
      <c r="P2" s="13">
        <f>SUM(O2/N2*100%)</f>
        <v>0.25000516646345244</v>
      </c>
    </row>
    <row r="3" spans="1:16" ht="25.5" x14ac:dyDescent="0.25">
      <c r="A3" s="1" t="s">
        <v>166</v>
      </c>
      <c r="B3" s="3" t="s">
        <v>19</v>
      </c>
      <c r="C3" s="1" t="s">
        <v>216</v>
      </c>
      <c r="D3" s="1" t="s">
        <v>37</v>
      </c>
      <c r="E3" s="1" t="s">
        <v>192</v>
      </c>
      <c r="F3" s="1" t="s">
        <v>193</v>
      </c>
      <c r="G3" s="4" t="s">
        <v>194</v>
      </c>
      <c r="H3" s="1" t="s">
        <v>112</v>
      </c>
      <c r="I3" s="1">
        <v>7470776</v>
      </c>
      <c r="J3" s="6">
        <v>45527</v>
      </c>
      <c r="K3" s="7"/>
      <c r="L3" s="8">
        <v>364</v>
      </c>
      <c r="M3" s="1" t="s">
        <v>195</v>
      </c>
      <c r="N3" s="5">
        <v>364.38</v>
      </c>
      <c r="O3" s="11">
        <v>80.16</v>
      </c>
      <c r="P3" s="13">
        <f>SUM(O3/N3*100%)</f>
        <v>0.21999012020418243</v>
      </c>
    </row>
    <row r="4" spans="1:16" x14ac:dyDescent="0.25">
      <c r="A4" s="1" t="s">
        <v>18</v>
      </c>
      <c r="B4" s="3" t="s">
        <v>19</v>
      </c>
      <c r="C4" s="1" t="s">
        <v>214</v>
      </c>
      <c r="D4" s="1" t="s">
        <v>21</v>
      </c>
      <c r="E4" s="1" t="s">
        <v>22</v>
      </c>
      <c r="F4" s="1" t="s">
        <v>23</v>
      </c>
      <c r="G4" s="4" t="s">
        <v>24</v>
      </c>
      <c r="H4" s="1" t="s">
        <v>25</v>
      </c>
      <c r="I4" s="1">
        <v>19586992</v>
      </c>
      <c r="J4" s="6">
        <v>45489</v>
      </c>
      <c r="K4" s="7"/>
      <c r="L4" s="7"/>
      <c r="M4" s="1">
        <v>996201566</v>
      </c>
      <c r="N4" s="5">
        <v>92.56</v>
      </c>
      <c r="O4" s="11">
        <v>12.04</v>
      </c>
      <c r="P4" s="13">
        <f>SUM(O4/N4*100%)</f>
        <v>0.13007778738115816</v>
      </c>
    </row>
    <row r="5" spans="1:16" x14ac:dyDescent="0.25">
      <c r="A5" s="1" t="s">
        <v>166</v>
      </c>
      <c r="B5" s="3" t="s">
        <v>19</v>
      </c>
      <c r="C5" s="1" t="s">
        <v>216</v>
      </c>
      <c r="D5" s="1" t="s">
        <v>37</v>
      </c>
      <c r="E5" s="1" t="s">
        <v>210</v>
      </c>
      <c r="F5" s="1" t="s">
        <v>211</v>
      </c>
      <c r="G5" s="4" t="s">
        <v>212</v>
      </c>
      <c r="H5" s="1" t="s">
        <v>25</v>
      </c>
      <c r="I5" s="1">
        <v>19586992</v>
      </c>
      <c r="J5" s="6">
        <v>45774</v>
      </c>
      <c r="K5" s="6">
        <v>45895</v>
      </c>
      <c r="L5" s="8">
        <v>122</v>
      </c>
      <c r="M5" s="1" t="s">
        <v>213</v>
      </c>
      <c r="N5" s="5">
        <v>259.64999999999998</v>
      </c>
      <c r="O5" s="11">
        <v>64.91</v>
      </c>
      <c r="P5" s="13">
        <f>SUM(O5/N5*100%)</f>
        <v>0.24999037165414983</v>
      </c>
    </row>
    <row r="6" spans="1:16" ht="25.5" x14ac:dyDescent="0.25">
      <c r="A6" s="1" t="s">
        <v>166</v>
      </c>
      <c r="B6" s="3" t="s">
        <v>19</v>
      </c>
      <c r="C6" s="1" t="s">
        <v>215</v>
      </c>
      <c r="D6" s="1" t="s">
        <v>29</v>
      </c>
      <c r="E6" s="1" t="s">
        <v>171</v>
      </c>
      <c r="F6" s="1" t="s">
        <v>172</v>
      </c>
      <c r="G6" s="4" t="s">
        <v>173</v>
      </c>
      <c r="H6" s="1" t="s">
        <v>41</v>
      </c>
      <c r="I6" s="1">
        <v>17425766</v>
      </c>
      <c r="J6" s="6">
        <v>45433</v>
      </c>
      <c r="K6" s="7"/>
      <c r="L6" s="8">
        <v>364</v>
      </c>
      <c r="M6" s="1" t="s">
        <v>174</v>
      </c>
      <c r="N6" s="5">
        <v>352.84</v>
      </c>
      <c r="O6" s="11">
        <v>88.21</v>
      </c>
      <c r="P6" s="13">
        <f>SUM(O6/N6*100%)</f>
        <v>0.25</v>
      </c>
    </row>
    <row r="7" spans="1:16" ht="25.5" x14ac:dyDescent="0.25">
      <c r="A7" s="1" t="s">
        <v>166</v>
      </c>
      <c r="B7" s="3" t="s">
        <v>19</v>
      </c>
      <c r="C7" s="1" t="s">
        <v>215</v>
      </c>
      <c r="D7" s="1" t="s">
        <v>29</v>
      </c>
      <c r="E7" s="1" t="s">
        <v>167</v>
      </c>
      <c r="F7" s="1" t="s">
        <v>168</v>
      </c>
      <c r="G7" s="4" t="s">
        <v>169</v>
      </c>
      <c r="H7" s="1" t="s">
        <v>41</v>
      </c>
      <c r="I7" s="1">
        <v>17425766</v>
      </c>
      <c r="J7" s="6">
        <v>45434</v>
      </c>
      <c r="K7" s="7"/>
      <c r="L7" s="8">
        <v>364</v>
      </c>
      <c r="M7" s="1" t="s">
        <v>170</v>
      </c>
      <c r="N7" s="5">
        <v>68.64</v>
      </c>
      <c r="O7" s="11">
        <v>17.16</v>
      </c>
      <c r="P7" s="13">
        <f>SUM(O7/N7*100%)</f>
        <v>0.25</v>
      </c>
    </row>
    <row r="8" spans="1:16" x14ac:dyDescent="0.25">
      <c r="A8" s="1" t="s">
        <v>18</v>
      </c>
      <c r="B8" s="3" t="s">
        <v>19</v>
      </c>
      <c r="C8" s="1" t="s">
        <v>216</v>
      </c>
      <c r="D8" s="1" t="s">
        <v>37</v>
      </c>
      <c r="E8" s="1" t="s">
        <v>38</v>
      </c>
      <c r="F8" s="1" t="s">
        <v>39</v>
      </c>
      <c r="G8" s="4" t="s">
        <v>40</v>
      </c>
      <c r="H8" s="1" t="s">
        <v>41</v>
      </c>
      <c r="I8" s="1">
        <v>17425766</v>
      </c>
      <c r="J8" s="6">
        <v>45463</v>
      </c>
      <c r="K8" s="7"/>
      <c r="L8" s="8">
        <v>364</v>
      </c>
      <c r="M8" s="1" t="s">
        <v>43</v>
      </c>
      <c r="N8" s="5">
        <v>606.54</v>
      </c>
      <c r="O8" s="11">
        <v>151.63999999999999</v>
      </c>
      <c r="P8" s="13">
        <f>SUM(O8/N8*100%)</f>
        <v>0.25000824347940775</v>
      </c>
    </row>
    <row r="9" spans="1:16" x14ac:dyDescent="0.25">
      <c r="A9" s="1" t="s">
        <v>166</v>
      </c>
      <c r="B9" s="3" t="s">
        <v>19</v>
      </c>
      <c r="C9" s="1" t="s">
        <v>216</v>
      </c>
      <c r="D9" s="1" t="s">
        <v>37</v>
      </c>
      <c r="E9" s="1" t="s">
        <v>38</v>
      </c>
      <c r="F9" s="1" t="s">
        <v>39</v>
      </c>
      <c r="G9" s="4" t="s">
        <v>183</v>
      </c>
      <c r="H9" s="1" t="s">
        <v>41</v>
      </c>
      <c r="I9" s="1">
        <v>17425766</v>
      </c>
      <c r="J9" s="6">
        <v>45463</v>
      </c>
      <c r="K9" s="7"/>
      <c r="L9" s="8">
        <v>364</v>
      </c>
      <c r="M9" s="1" t="s">
        <v>43</v>
      </c>
      <c r="N9" s="5">
        <v>606.54</v>
      </c>
      <c r="O9" s="11">
        <v>151.63999999999999</v>
      </c>
      <c r="P9" s="13">
        <f>SUM(O9/N9*100%)</f>
        <v>0.25000824347940775</v>
      </c>
    </row>
    <row r="10" spans="1:16" x14ac:dyDescent="0.25">
      <c r="A10" s="1" t="s">
        <v>166</v>
      </c>
      <c r="B10" s="3" t="s">
        <v>19</v>
      </c>
      <c r="C10" s="1" t="s">
        <v>216</v>
      </c>
      <c r="D10" s="1" t="s">
        <v>37</v>
      </c>
      <c r="E10" s="1" t="s">
        <v>184</v>
      </c>
      <c r="F10" s="1" t="s">
        <v>185</v>
      </c>
      <c r="G10" s="4" t="s">
        <v>186</v>
      </c>
      <c r="H10" s="1" t="s">
        <v>41</v>
      </c>
      <c r="I10" s="1">
        <v>17425766</v>
      </c>
      <c r="J10" s="6">
        <v>45471</v>
      </c>
      <c r="K10" s="7"/>
      <c r="L10" s="8">
        <v>364</v>
      </c>
      <c r="M10" s="1" t="s">
        <v>187</v>
      </c>
      <c r="N10" s="5">
        <v>248.4</v>
      </c>
      <c r="O10" s="11">
        <v>62.1</v>
      </c>
      <c r="P10" s="13">
        <f>SUM(O10/N10*100%)</f>
        <v>0.25</v>
      </c>
    </row>
    <row r="11" spans="1:16" ht="25.5" x14ac:dyDescent="0.25">
      <c r="A11" s="1" t="s">
        <v>18</v>
      </c>
      <c r="B11" s="3" t="s">
        <v>19</v>
      </c>
      <c r="C11" s="1" t="s">
        <v>215</v>
      </c>
      <c r="D11" s="1" t="s">
        <v>29</v>
      </c>
      <c r="E11" s="1" t="s">
        <v>44</v>
      </c>
      <c r="F11" s="1" t="s">
        <v>45</v>
      </c>
      <c r="G11" s="4" t="s">
        <v>46</v>
      </c>
      <c r="H11" s="1" t="s">
        <v>41</v>
      </c>
      <c r="I11" s="1">
        <v>17425766</v>
      </c>
      <c r="J11" s="6">
        <v>45521</v>
      </c>
      <c r="K11" s="7"/>
      <c r="L11" s="8">
        <v>364</v>
      </c>
      <c r="M11" s="1" t="s">
        <v>47</v>
      </c>
      <c r="N11" s="5">
        <v>251.63</v>
      </c>
      <c r="O11" s="11">
        <v>62.91</v>
      </c>
      <c r="P11" s="13">
        <f>SUM(O11/N11*100%)</f>
        <v>0.25000993522235027</v>
      </c>
    </row>
    <row r="12" spans="1:16" ht="25.5" x14ac:dyDescent="0.25">
      <c r="A12" s="1" t="s">
        <v>18</v>
      </c>
      <c r="B12" s="3" t="s">
        <v>19</v>
      </c>
      <c r="C12" s="1" t="s">
        <v>215</v>
      </c>
      <c r="D12" s="1" t="s">
        <v>29</v>
      </c>
      <c r="E12" s="1" t="s">
        <v>115</v>
      </c>
      <c r="F12" s="1" t="s">
        <v>116</v>
      </c>
      <c r="G12" s="4" t="s">
        <v>87</v>
      </c>
      <c r="H12" s="1" t="s">
        <v>41</v>
      </c>
      <c r="I12" s="1">
        <v>17425766</v>
      </c>
      <c r="J12" s="6">
        <v>45536</v>
      </c>
      <c r="K12" s="7"/>
      <c r="L12" s="8">
        <v>364</v>
      </c>
      <c r="M12" s="1" t="s">
        <v>117</v>
      </c>
      <c r="N12" s="5">
        <v>222.41</v>
      </c>
      <c r="O12" s="11">
        <v>55.6</v>
      </c>
      <c r="P12" s="13">
        <f>SUM(O12/N12*100%)</f>
        <v>0.24998875949822402</v>
      </c>
    </row>
    <row r="13" spans="1:16" ht="25.5" x14ac:dyDescent="0.25">
      <c r="A13" s="1" t="s">
        <v>18</v>
      </c>
      <c r="B13" s="3" t="s">
        <v>19</v>
      </c>
      <c r="C13" s="1" t="s">
        <v>215</v>
      </c>
      <c r="D13" s="1" t="s">
        <v>29</v>
      </c>
      <c r="E13" s="1" t="s">
        <v>163</v>
      </c>
      <c r="F13" s="1" t="s">
        <v>164</v>
      </c>
      <c r="G13" s="4" t="s">
        <v>107</v>
      </c>
      <c r="H13" s="1" t="s">
        <v>41</v>
      </c>
      <c r="I13" s="1">
        <v>17425766</v>
      </c>
      <c r="J13" s="6">
        <v>45753</v>
      </c>
      <c r="K13" s="6">
        <v>45874</v>
      </c>
      <c r="L13" s="8">
        <v>122</v>
      </c>
      <c r="M13" s="1" t="s">
        <v>165</v>
      </c>
      <c r="N13" s="5">
        <v>94.26</v>
      </c>
      <c r="O13" s="11">
        <v>23.57</v>
      </c>
      <c r="P13" s="13">
        <f>SUM(O13/N13*100%)</f>
        <v>0.25005304476978568</v>
      </c>
    </row>
    <row r="14" spans="1:16" x14ac:dyDescent="0.25">
      <c r="A14" s="1" t="s">
        <v>18</v>
      </c>
      <c r="B14" s="3" t="s">
        <v>19</v>
      </c>
      <c r="C14" s="1" t="s">
        <v>216</v>
      </c>
      <c r="D14" s="1" t="s">
        <v>37</v>
      </c>
      <c r="E14" s="1" t="s">
        <v>122</v>
      </c>
      <c r="F14" s="1" t="s">
        <v>123</v>
      </c>
      <c r="G14" s="4" t="s">
        <v>87</v>
      </c>
      <c r="H14" s="1" t="s">
        <v>41</v>
      </c>
      <c r="I14" s="1">
        <v>17425766</v>
      </c>
      <c r="J14" s="6">
        <v>45778</v>
      </c>
      <c r="K14" s="6">
        <v>45897</v>
      </c>
      <c r="L14" s="8">
        <v>120</v>
      </c>
      <c r="M14" s="1" t="s">
        <v>124</v>
      </c>
      <c r="N14" s="5">
        <v>529.74</v>
      </c>
      <c r="O14" s="11">
        <v>132.44</v>
      </c>
      <c r="P14" s="13">
        <f>SUM(O14/N14*100%)</f>
        <v>0.25000943859251706</v>
      </c>
    </row>
    <row r="15" spans="1:16" ht="25.5" x14ac:dyDescent="0.25">
      <c r="A15" s="1" t="s">
        <v>166</v>
      </c>
      <c r="B15" s="3" t="s">
        <v>19</v>
      </c>
      <c r="C15" s="1" t="s">
        <v>215</v>
      </c>
      <c r="D15" s="1" t="s">
        <v>29</v>
      </c>
      <c r="E15" s="1" t="s">
        <v>179</v>
      </c>
      <c r="F15" s="1" t="s">
        <v>180</v>
      </c>
      <c r="G15" s="4" t="s">
        <v>181</v>
      </c>
      <c r="H15" s="1" t="s">
        <v>127</v>
      </c>
      <c r="I15" s="1">
        <v>19681796</v>
      </c>
      <c r="J15" s="6">
        <v>45441</v>
      </c>
      <c r="K15" s="7"/>
      <c r="L15" s="8">
        <v>364</v>
      </c>
      <c r="M15" s="1" t="s">
        <v>182</v>
      </c>
      <c r="N15" s="5">
        <v>523.25</v>
      </c>
      <c r="O15" s="11">
        <v>130.81</v>
      </c>
      <c r="P15" s="13">
        <f>SUM(O15/N15*100%)</f>
        <v>0.24999522216913522</v>
      </c>
    </row>
    <row r="16" spans="1:16" ht="25.5" x14ac:dyDescent="0.25">
      <c r="A16" s="1" t="s">
        <v>18</v>
      </c>
      <c r="B16" s="3" t="s">
        <v>19</v>
      </c>
      <c r="C16" s="1" t="s">
        <v>215</v>
      </c>
      <c r="D16" s="1" t="s">
        <v>60</v>
      </c>
      <c r="E16" s="1" t="s">
        <v>143</v>
      </c>
      <c r="F16" s="1" t="s">
        <v>144</v>
      </c>
      <c r="G16" s="4" t="s">
        <v>145</v>
      </c>
      <c r="H16" s="1" t="s">
        <v>127</v>
      </c>
      <c r="I16" s="1">
        <v>19681796</v>
      </c>
      <c r="J16" s="6">
        <v>45690</v>
      </c>
      <c r="K16" s="6">
        <v>45809</v>
      </c>
      <c r="L16" s="8">
        <v>120</v>
      </c>
      <c r="M16" s="1" t="s">
        <v>146</v>
      </c>
      <c r="N16" s="5">
        <v>337.06</v>
      </c>
      <c r="O16" s="11">
        <v>84.27</v>
      </c>
      <c r="P16" s="13">
        <f>SUM(O16/N16*100%)</f>
        <v>0.25001483415415654</v>
      </c>
    </row>
    <row r="17" spans="1:16" ht="25.5" x14ac:dyDescent="0.25">
      <c r="A17" s="1" t="s">
        <v>18</v>
      </c>
      <c r="B17" s="3" t="s">
        <v>19</v>
      </c>
      <c r="C17" s="1" t="s">
        <v>215</v>
      </c>
      <c r="D17" s="1" t="s">
        <v>60</v>
      </c>
      <c r="E17" s="1" t="s">
        <v>147</v>
      </c>
      <c r="F17" s="1" t="s">
        <v>148</v>
      </c>
      <c r="G17" s="4" t="s">
        <v>107</v>
      </c>
      <c r="H17" s="1" t="s">
        <v>127</v>
      </c>
      <c r="I17" s="1">
        <v>19681796</v>
      </c>
      <c r="J17" s="6">
        <v>45694</v>
      </c>
      <c r="K17" s="6">
        <v>45813</v>
      </c>
      <c r="L17" s="8">
        <v>120</v>
      </c>
      <c r="M17" s="1" t="s">
        <v>149</v>
      </c>
      <c r="N17" s="5">
        <v>159.28</v>
      </c>
      <c r="O17" s="11">
        <v>39.82</v>
      </c>
      <c r="P17" s="13">
        <f>SUM(O17/N17*100%)</f>
        <v>0.25</v>
      </c>
    </row>
    <row r="18" spans="1:16" x14ac:dyDescent="0.25">
      <c r="A18" s="1" t="s">
        <v>18</v>
      </c>
      <c r="B18" s="3" t="s">
        <v>19</v>
      </c>
      <c r="C18" s="1" t="s">
        <v>216</v>
      </c>
      <c r="D18" s="1" t="s">
        <v>37</v>
      </c>
      <c r="E18" s="1" t="s">
        <v>125</v>
      </c>
      <c r="F18" s="1" t="s">
        <v>126</v>
      </c>
      <c r="G18" s="4" t="s">
        <v>87</v>
      </c>
      <c r="H18" s="1" t="s">
        <v>127</v>
      </c>
      <c r="I18" s="1">
        <v>19681796</v>
      </c>
      <c r="J18" s="6">
        <v>45778</v>
      </c>
      <c r="K18" s="6">
        <v>45895</v>
      </c>
      <c r="L18" s="8">
        <v>118</v>
      </c>
      <c r="M18" s="1" t="s">
        <v>129</v>
      </c>
      <c r="N18" s="5">
        <v>429.3</v>
      </c>
      <c r="O18" s="11">
        <v>107.33</v>
      </c>
      <c r="P18" s="13">
        <f>SUM(O18/N18*100%)</f>
        <v>0.25001164686699279</v>
      </c>
    </row>
    <row r="19" spans="1:16" ht="25.5" x14ac:dyDescent="0.25">
      <c r="A19" s="1" t="s">
        <v>18</v>
      </c>
      <c r="B19" s="3" t="s">
        <v>19</v>
      </c>
      <c r="C19" s="1" t="s">
        <v>215</v>
      </c>
      <c r="D19" s="1" t="s">
        <v>60</v>
      </c>
      <c r="E19" s="1" t="s">
        <v>135</v>
      </c>
      <c r="F19" s="1" t="s">
        <v>136</v>
      </c>
      <c r="G19" s="4" t="s">
        <v>92</v>
      </c>
      <c r="H19" s="1" t="s">
        <v>137</v>
      </c>
      <c r="I19" s="1">
        <v>17437820</v>
      </c>
      <c r="J19" s="6">
        <v>45720</v>
      </c>
      <c r="K19" s="6">
        <v>45841</v>
      </c>
      <c r="L19" s="8">
        <v>122</v>
      </c>
      <c r="M19" s="1" t="s">
        <v>139</v>
      </c>
      <c r="N19" s="5">
        <v>483.04</v>
      </c>
      <c r="O19" s="11">
        <v>120.76</v>
      </c>
      <c r="P19" s="13">
        <f>SUM(O19/N19*100%)</f>
        <v>0.25</v>
      </c>
    </row>
    <row r="20" spans="1:16" x14ac:dyDescent="0.25">
      <c r="A20" s="1" t="s">
        <v>18</v>
      </c>
      <c r="B20" s="3" t="s">
        <v>19</v>
      </c>
      <c r="C20" s="1" t="s">
        <v>214</v>
      </c>
      <c r="D20" s="1" t="s">
        <v>21</v>
      </c>
      <c r="E20" s="1" t="s">
        <v>63</v>
      </c>
      <c r="F20" s="1" t="s">
        <v>64</v>
      </c>
      <c r="G20" s="4" t="s">
        <v>65</v>
      </c>
      <c r="H20" s="1" t="s">
        <v>66</v>
      </c>
      <c r="I20" s="1">
        <v>8325282</v>
      </c>
      <c r="J20" s="6">
        <v>45637</v>
      </c>
      <c r="K20" s="7"/>
      <c r="L20" s="7"/>
      <c r="M20" s="1">
        <v>996202029</v>
      </c>
      <c r="N20" s="5">
        <v>28.1</v>
      </c>
      <c r="O20" s="11">
        <v>3.65</v>
      </c>
      <c r="P20" s="13">
        <f>SUM(O20/N20*100%)</f>
        <v>0.1298932384341637</v>
      </c>
    </row>
    <row r="21" spans="1:16" x14ac:dyDescent="0.25">
      <c r="A21" s="1" t="s">
        <v>18</v>
      </c>
      <c r="B21" s="3" t="s">
        <v>19</v>
      </c>
      <c r="C21" s="1" t="s">
        <v>214</v>
      </c>
      <c r="D21" s="1" t="s">
        <v>21</v>
      </c>
      <c r="E21" s="1" t="s">
        <v>85</v>
      </c>
      <c r="F21" s="1" t="s">
        <v>86</v>
      </c>
      <c r="G21" s="4" t="s">
        <v>87</v>
      </c>
      <c r="H21" s="1" t="s">
        <v>66</v>
      </c>
      <c r="I21" s="1">
        <v>8325282</v>
      </c>
      <c r="J21" s="6">
        <v>45658</v>
      </c>
      <c r="K21" s="7"/>
      <c r="L21" s="7"/>
      <c r="M21" s="1">
        <v>996202166</v>
      </c>
      <c r="N21" s="5">
        <v>34.25</v>
      </c>
      <c r="O21" s="11">
        <v>4.45</v>
      </c>
      <c r="P21" s="13">
        <f>SUM(O21/N21*100%)</f>
        <v>0.12992700729927009</v>
      </c>
    </row>
    <row r="22" spans="1:16" x14ac:dyDescent="0.25">
      <c r="A22" s="1" t="s">
        <v>18</v>
      </c>
      <c r="B22" s="3" t="s">
        <v>19</v>
      </c>
      <c r="C22" s="1" t="s">
        <v>216</v>
      </c>
      <c r="D22" s="1" t="s">
        <v>37</v>
      </c>
      <c r="E22" s="1" t="s">
        <v>130</v>
      </c>
      <c r="F22" s="1" t="s">
        <v>86</v>
      </c>
      <c r="G22" s="4" t="s">
        <v>87</v>
      </c>
      <c r="H22" s="1" t="s">
        <v>66</v>
      </c>
      <c r="I22" s="1">
        <v>8325282</v>
      </c>
      <c r="J22" s="6">
        <v>45778</v>
      </c>
      <c r="K22" s="6">
        <v>45900</v>
      </c>
      <c r="L22" s="8">
        <v>123</v>
      </c>
      <c r="M22" s="1" t="s">
        <v>131</v>
      </c>
      <c r="N22" s="5">
        <v>115.05</v>
      </c>
      <c r="O22" s="11">
        <v>28.76</v>
      </c>
      <c r="P22" s="13">
        <f>SUM(O22/N22*100%)</f>
        <v>0.24997827031725339</v>
      </c>
    </row>
    <row r="23" spans="1:16" ht="25.5" x14ac:dyDescent="0.25">
      <c r="A23" s="1" t="s">
        <v>18</v>
      </c>
      <c r="B23" s="3" t="s">
        <v>19</v>
      </c>
      <c r="C23" s="1" t="s">
        <v>215</v>
      </c>
      <c r="D23" s="1" t="s">
        <v>29</v>
      </c>
      <c r="E23" s="1" t="s">
        <v>96</v>
      </c>
      <c r="F23" s="1" t="s">
        <v>97</v>
      </c>
      <c r="G23" s="4" t="s">
        <v>87</v>
      </c>
      <c r="H23" s="1" t="s">
        <v>98</v>
      </c>
      <c r="I23" s="1">
        <v>17528908</v>
      </c>
      <c r="J23" s="6">
        <v>45474</v>
      </c>
      <c r="K23" s="7"/>
      <c r="L23" s="8">
        <v>364</v>
      </c>
      <c r="M23" s="1" t="s">
        <v>100</v>
      </c>
      <c r="N23" s="5">
        <v>312.08999999999997</v>
      </c>
      <c r="O23" s="11">
        <v>78.02</v>
      </c>
      <c r="P23" s="13">
        <f>SUM(O23/N23*100%)</f>
        <v>0.24999198949021117</v>
      </c>
    </row>
    <row r="24" spans="1:16" ht="25.5" x14ac:dyDescent="0.25">
      <c r="A24" s="1" t="s">
        <v>18</v>
      </c>
      <c r="B24" s="3" t="s">
        <v>19</v>
      </c>
      <c r="C24" s="1" t="s">
        <v>215</v>
      </c>
      <c r="D24" s="1" t="s">
        <v>29</v>
      </c>
      <c r="E24" s="1" t="s">
        <v>140</v>
      </c>
      <c r="F24" s="1" t="s">
        <v>141</v>
      </c>
      <c r="G24" s="4" t="s">
        <v>87</v>
      </c>
      <c r="H24" s="1" t="s">
        <v>98</v>
      </c>
      <c r="I24" s="1">
        <v>17528908</v>
      </c>
      <c r="J24" s="6">
        <v>45689</v>
      </c>
      <c r="K24" s="6">
        <v>45808</v>
      </c>
      <c r="L24" s="8">
        <v>120</v>
      </c>
      <c r="M24" s="1" t="s">
        <v>142</v>
      </c>
      <c r="N24" s="5">
        <v>38.299999999999997</v>
      </c>
      <c r="O24" s="11">
        <v>9.58</v>
      </c>
      <c r="P24" s="13">
        <f>SUM(O24/N24*100%)</f>
        <v>0.25013054830287207</v>
      </c>
    </row>
    <row r="25" spans="1:16" ht="25.5" x14ac:dyDescent="0.25">
      <c r="A25" s="1" t="s">
        <v>166</v>
      </c>
      <c r="B25" s="3" t="s">
        <v>19</v>
      </c>
      <c r="C25" s="1" t="s">
        <v>215</v>
      </c>
      <c r="D25" s="1" t="s">
        <v>60</v>
      </c>
      <c r="E25" s="1" t="s">
        <v>199</v>
      </c>
      <c r="F25" s="1" t="s">
        <v>200</v>
      </c>
      <c r="G25" s="4" t="s">
        <v>194</v>
      </c>
      <c r="H25" s="1" t="s">
        <v>201</v>
      </c>
      <c r="I25" s="1">
        <v>8814784</v>
      </c>
      <c r="J25" s="6">
        <v>45770</v>
      </c>
      <c r="K25" s="6">
        <v>45889</v>
      </c>
      <c r="L25" s="8">
        <v>120</v>
      </c>
      <c r="M25" s="1" t="s">
        <v>203</v>
      </c>
      <c r="N25" s="5">
        <v>437.79</v>
      </c>
      <c r="O25" s="11">
        <v>109.45</v>
      </c>
      <c r="P25" s="13">
        <f>SUM(O25/N25*100%)</f>
        <v>0.25000571050046827</v>
      </c>
    </row>
    <row r="26" spans="1:16" ht="25.5" x14ac:dyDescent="0.25">
      <c r="A26" s="1" t="s">
        <v>18</v>
      </c>
      <c r="B26" s="3" t="s">
        <v>19</v>
      </c>
      <c r="C26" s="1" t="s">
        <v>215</v>
      </c>
      <c r="D26" s="1" t="s">
        <v>37</v>
      </c>
      <c r="E26" s="1" t="s">
        <v>90</v>
      </c>
      <c r="F26" s="1" t="s">
        <v>91</v>
      </c>
      <c r="G26" s="4" t="s">
        <v>92</v>
      </c>
      <c r="H26" s="1" t="s">
        <v>93</v>
      </c>
      <c r="I26" s="1">
        <v>16865615</v>
      </c>
      <c r="J26" s="6">
        <v>45447</v>
      </c>
      <c r="K26" s="7"/>
      <c r="L26" s="8">
        <v>364</v>
      </c>
      <c r="M26" s="1" t="s">
        <v>95</v>
      </c>
      <c r="N26" s="5">
        <v>289.45999999999998</v>
      </c>
      <c r="O26" s="11">
        <v>72.37</v>
      </c>
      <c r="P26" s="13">
        <f>SUM(O26/N26*100%)</f>
        <v>0.25001727354384029</v>
      </c>
    </row>
    <row r="27" spans="1:16" ht="25.5" x14ac:dyDescent="0.25">
      <c r="A27" s="1" t="s">
        <v>166</v>
      </c>
      <c r="B27" s="3" t="s">
        <v>19</v>
      </c>
      <c r="C27" s="1" t="s">
        <v>215</v>
      </c>
      <c r="D27" s="1" t="s">
        <v>60</v>
      </c>
      <c r="E27" s="1" t="s">
        <v>204</v>
      </c>
      <c r="F27" s="1" t="s">
        <v>205</v>
      </c>
      <c r="G27" s="4" t="s">
        <v>169</v>
      </c>
      <c r="H27" s="1" t="s">
        <v>206</v>
      </c>
      <c r="I27" s="1">
        <v>18754354</v>
      </c>
      <c r="J27" s="6">
        <v>45738</v>
      </c>
      <c r="K27" s="6">
        <v>45859</v>
      </c>
      <c r="L27" s="8">
        <v>122</v>
      </c>
      <c r="M27" s="1" t="s">
        <v>208</v>
      </c>
      <c r="N27" s="5">
        <v>146.93</v>
      </c>
      <c r="O27" s="11">
        <v>36.729999999999997</v>
      </c>
      <c r="P27" s="13">
        <f>SUM(O27/N27*100%)</f>
        <v>0.24998298509494313</v>
      </c>
    </row>
    <row r="28" spans="1:16" ht="25.5" x14ac:dyDescent="0.25">
      <c r="A28" s="1" t="s">
        <v>166</v>
      </c>
      <c r="B28" s="3" t="s">
        <v>19</v>
      </c>
      <c r="C28" s="1" t="s">
        <v>215</v>
      </c>
      <c r="D28" s="1" t="s">
        <v>29</v>
      </c>
      <c r="E28" s="1" t="s">
        <v>175</v>
      </c>
      <c r="F28" s="1" t="s">
        <v>176</v>
      </c>
      <c r="G28" s="4" t="s">
        <v>177</v>
      </c>
      <c r="H28" s="1" t="s">
        <v>103</v>
      </c>
      <c r="I28" s="1">
        <v>15278437</v>
      </c>
      <c r="J28" s="6">
        <v>45436</v>
      </c>
      <c r="K28" s="7"/>
      <c r="L28" s="8">
        <v>364</v>
      </c>
      <c r="M28" s="1" t="s">
        <v>178</v>
      </c>
      <c r="N28" s="5">
        <v>128.13999999999999</v>
      </c>
      <c r="O28" s="11">
        <v>32.04</v>
      </c>
      <c r="P28" s="13">
        <f>SUM(O28/N28*100%)</f>
        <v>0.25003901982206961</v>
      </c>
    </row>
    <row r="29" spans="1:16" ht="25.5" x14ac:dyDescent="0.25">
      <c r="A29" s="1" t="s">
        <v>18</v>
      </c>
      <c r="B29" s="3" t="s">
        <v>19</v>
      </c>
      <c r="C29" s="1" t="s">
        <v>215</v>
      </c>
      <c r="D29" s="1" t="s">
        <v>29</v>
      </c>
      <c r="E29" s="1" t="s">
        <v>101</v>
      </c>
      <c r="F29" s="1" t="s">
        <v>102</v>
      </c>
      <c r="G29" s="4" t="s">
        <v>87</v>
      </c>
      <c r="H29" s="1" t="s">
        <v>103</v>
      </c>
      <c r="I29" s="1">
        <v>15278437</v>
      </c>
      <c r="J29" s="6">
        <v>45474</v>
      </c>
      <c r="K29" s="7"/>
      <c r="L29" s="8">
        <v>364</v>
      </c>
      <c r="M29" s="1" t="s">
        <v>104</v>
      </c>
      <c r="N29" s="5">
        <v>115.65</v>
      </c>
      <c r="O29" s="11">
        <v>28.91</v>
      </c>
      <c r="P29" s="13">
        <f>SUM(O29/N29*100%)</f>
        <v>0.24997838305231301</v>
      </c>
    </row>
    <row r="30" spans="1:16" x14ac:dyDescent="0.25">
      <c r="A30" s="1" t="s">
        <v>18</v>
      </c>
      <c r="B30" s="3" t="s">
        <v>19</v>
      </c>
      <c r="C30" s="1" t="s">
        <v>218</v>
      </c>
      <c r="D30" s="1" t="s">
        <v>29</v>
      </c>
      <c r="E30" s="1" t="s">
        <v>132</v>
      </c>
      <c r="F30" s="1" t="s">
        <v>133</v>
      </c>
      <c r="G30" s="4" t="s">
        <v>87</v>
      </c>
      <c r="H30" s="1" t="s">
        <v>78</v>
      </c>
      <c r="I30" s="1">
        <v>18134413</v>
      </c>
      <c r="J30" s="6">
        <v>45689</v>
      </c>
      <c r="K30" s="6">
        <v>45808</v>
      </c>
      <c r="L30" s="8">
        <v>120</v>
      </c>
      <c r="M30" s="1" t="s">
        <v>134</v>
      </c>
      <c r="N30" s="5">
        <v>8.24</v>
      </c>
      <c r="O30" s="11">
        <v>8.24</v>
      </c>
      <c r="P30" s="13">
        <f>SUM(O30/N30*100%)</f>
        <v>1</v>
      </c>
    </row>
    <row r="31" spans="1:16" x14ac:dyDescent="0.25">
      <c r="A31" s="1" t="s">
        <v>18</v>
      </c>
      <c r="B31" s="3" t="s">
        <v>19</v>
      </c>
      <c r="C31" s="1" t="s">
        <v>218</v>
      </c>
      <c r="D31" s="1" t="s">
        <v>29</v>
      </c>
      <c r="E31" s="1" t="s">
        <v>150</v>
      </c>
      <c r="F31" s="1" t="s">
        <v>151</v>
      </c>
      <c r="G31" s="4" t="s">
        <v>87</v>
      </c>
      <c r="H31" s="1" t="s">
        <v>78</v>
      </c>
      <c r="I31" s="1">
        <v>18134413</v>
      </c>
      <c r="J31" s="6">
        <v>45748</v>
      </c>
      <c r="K31" s="6">
        <v>45869</v>
      </c>
      <c r="L31" s="8">
        <v>122</v>
      </c>
      <c r="M31" s="1" t="s">
        <v>152</v>
      </c>
      <c r="N31" s="5">
        <v>46.68</v>
      </c>
      <c r="O31" s="11">
        <v>46.68</v>
      </c>
      <c r="P31" s="13">
        <f>SUM(O31/N31*100%)</f>
        <v>1</v>
      </c>
    </row>
    <row r="32" spans="1:16" x14ac:dyDescent="0.25">
      <c r="A32" s="1" t="s">
        <v>18</v>
      </c>
      <c r="B32" s="3" t="s">
        <v>19</v>
      </c>
      <c r="C32" s="1" t="s">
        <v>218</v>
      </c>
      <c r="D32" s="1" t="s">
        <v>29</v>
      </c>
      <c r="E32" s="1" t="s">
        <v>153</v>
      </c>
      <c r="F32" s="1" t="s">
        <v>154</v>
      </c>
      <c r="G32" s="4" t="s">
        <v>145</v>
      </c>
      <c r="H32" s="1" t="s">
        <v>78</v>
      </c>
      <c r="I32" s="1">
        <v>18134413</v>
      </c>
      <c r="J32" s="6">
        <v>45749</v>
      </c>
      <c r="K32" s="6">
        <v>45870</v>
      </c>
      <c r="L32" s="8">
        <v>122</v>
      </c>
      <c r="M32" s="1">
        <v>6</v>
      </c>
      <c r="N32" s="5">
        <v>6.33</v>
      </c>
      <c r="O32" s="11">
        <v>6.33</v>
      </c>
      <c r="P32" s="13">
        <f>SUM(O32/N32*100%)</f>
        <v>1</v>
      </c>
    </row>
    <row r="33" spans="1:16" x14ac:dyDescent="0.25">
      <c r="A33" s="1" t="s">
        <v>18</v>
      </c>
      <c r="B33" s="3" t="s">
        <v>19</v>
      </c>
      <c r="C33" s="1" t="s">
        <v>218</v>
      </c>
      <c r="D33" s="1" t="s">
        <v>29</v>
      </c>
      <c r="E33" s="1" t="s">
        <v>75</v>
      </c>
      <c r="F33" s="1" t="s">
        <v>76</v>
      </c>
      <c r="G33" s="4" t="s">
        <v>77</v>
      </c>
      <c r="H33" s="1" t="s">
        <v>78</v>
      </c>
      <c r="I33" s="1">
        <v>18134413</v>
      </c>
      <c r="J33" s="6">
        <v>45760</v>
      </c>
      <c r="K33" s="6">
        <v>45881</v>
      </c>
      <c r="L33" s="8">
        <v>122</v>
      </c>
      <c r="M33" s="1" t="s">
        <v>80</v>
      </c>
      <c r="N33" s="5">
        <v>13.74</v>
      </c>
      <c r="O33" s="11">
        <v>13.74</v>
      </c>
      <c r="P33" s="13">
        <f>SUM(O33/N33*100%)</f>
        <v>1</v>
      </c>
    </row>
    <row r="34" spans="1:16" x14ac:dyDescent="0.25">
      <c r="A34" s="1" t="s">
        <v>166</v>
      </c>
      <c r="B34" s="3" t="s">
        <v>19</v>
      </c>
      <c r="C34" s="1" t="s">
        <v>218</v>
      </c>
      <c r="D34" s="1" t="s">
        <v>29</v>
      </c>
      <c r="E34" s="1" t="s">
        <v>75</v>
      </c>
      <c r="F34" s="1" t="s">
        <v>76</v>
      </c>
      <c r="G34" s="4" t="s">
        <v>209</v>
      </c>
      <c r="H34" s="1" t="s">
        <v>78</v>
      </c>
      <c r="I34" s="1">
        <v>18134413</v>
      </c>
      <c r="J34" s="6">
        <v>45760</v>
      </c>
      <c r="K34" s="6">
        <v>45881</v>
      </c>
      <c r="L34" s="8">
        <v>122</v>
      </c>
      <c r="M34" s="1" t="s">
        <v>80</v>
      </c>
      <c r="N34" s="5">
        <v>13.74</v>
      </c>
      <c r="O34" s="11">
        <v>13.74</v>
      </c>
      <c r="P34" s="13">
        <f>SUM(O34/N34*100%)</f>
        <v>1</v>
      </c>
    </row>
    <row r="35" spans="1:16" ht="25.5" x14ac:dyDescent="0.25">
      <c r="A35" s="1" t="s">
        <v>18</v>
      </c>
      <c r="B35" s="3" t="s">
        <v>19</v>
      </c>
      <c r="C35" s="1" t="s">
        <v>215</v>
      </c>
      <c r="D35" s="1" t="s">
        <v>29</v>
      </c>
      <c r="E35" s="1" t="s">
        <v>30</v>
      </c>
      <c r="F35" s="1" t="s">
        <v>31</v>
      </c>
      <c r="G35" s="4" t="s">
        <v>32</v>
      </c>
      <c r="H35" s="1" t="s">
        <v>33</v>
      </c>
      <c r="I35" s="1">
        <v>16509456</v>
      </c>
      <c r="J35" s="6">
        <v>45458</v>
      </c>
      <c r="K35" s="7"/>
      <c r="L35" s="8">
        <v>364</v>
      </c>
      <c r="M35" s="1" t="s">
        <v>35</v>
      </c>
      <c r="N35" s="5">
        <v>79.3</v>
      </c>
      <c r="O35" s="11">
        <v>79.3</v>
      </c>
      <c r="P35" s="13">
        <f>SUM(O35/N35*100%)</f>
        <v>1</v>
      </c>
    </row>
    <row r="36" spans="1:16" ht="25.5" x14ac:dyDescent="0.25">
      <c r="A36" s="1" t="s">
        <v>18</v>
      </c>
      <c r="B36" s="3" t="s">
        <v>19</v>
      </c>
      <c r="C36" s="1" t="s">
        <v>215</v>
      </c>
      <c r="D36" s="1" t="s">
        <v>29</v>
      </c>
      <c r="E36" s="1" t="s">
        <v>105</v>
      </c>
      <c r="F36" s="1" t="s">
        <v>106</v>
      </c>
      <c r="G36" s="4" t="s">
        <v>107</v>
      </c>
      <c r="H36" s="1" t="s">
        <v>33</v>
      </c>
      <c r="I36" s="1">
        <v>16509456</v>
      </c>
      <c r="J36" s="6">
        <v>45479</v>
      </c>
      <c r="K36" s="7"/>
      <c r="L36" s="8">
        <v>364</v>
      </c>
      <c r="M36" s="1" t="s">
        <v>108</v>
      </c>
      <c r="N36" s="5">
        <v>152.94999999999999</v>
      </c>
      <c r="O36" s="11">
        <v>38.24</v>
      </c>
      <c r="P36" s="13">
        <f>SUM(O36/N36*100%)</f>
        <v>0.25001634521085325</v>
      </c>
    </row>
    <row r="37" spans="1:16" ht="25.5" x14ac:dyDescent="0.25">
      <c r="A37" s="1" t="s">
        <v>18</v>
      </c>
      <c r="B37" s="3" t="s">
        <v>19</v>
      </c>
      <c r="C37" s="1" t="s">
        <v>215</v>
      </c>
      <c r="D37" s="1" t="s">
        <v>29</v>
      </c>
      <c r="E37" s="1" t="s">
        <v>69</v>
      </c>
      <c r="F37" s="1" t="s">
        <v>70</v>
      </c>
      <c r="G37" s="4" t="s">
        <v>71</v>
      </c>
      <c r="H37" s="1" t="s">
        <v>72</v>
      </c>
      <c r="I37" s="1">
        <v>19200754</v>
      </c>
      <c r="J37" s="6">
        <v>45483</v>
      </c>
      <c r="K37" s="7"/>
      <c r="L37" s="8">
        <v>364</v>
      </c>
      <c r="M37" s="1" t="s">
        <v>74</v>
      </c>
      <c r="N37" s="5">
        <v>460.93</v>
      </c>
      <c r="O37" s="11">
        <v>115.23</v>
      </c>
      <c r="P37" s="13">
        <f>SUM(O37/N37*100%)</f>
        <v>0.2499945761829345</v>
      </c>
    </row>
    <row r="38" spans="1:16" ht="25.5" x14ac:dyDescent="0.25">
      <c r="A38" s="1" t="s">
        <v>18</v>
      </c>
      <c r="B38" s="3" t="s">
        <v>19</v>
      </c>
      <c r="C38" s="1" t="s">
        <v>215</v>
      </c>
      <c r="D38" s="1" t="s">
        <v>29</v>
      </c>
      <c r="E38" s="1" t="s">
        <v>156</v>
      </c>
      <c r="F38" s="1" t="s">
        <v>157</v>
      </c>
      <c r="G38" s="4" t="s">
        <v>92</v>
      </c>
      <c r="H38" s="1" t="s">
        <v>51</v>
      </c>
      <c r="I38" s="1">
        <v>8971826</v>
      </c>
      <c r="J38" s="6">
        <v>45751</v>
      </c>
      <c r="K38" s="6">
        <v>45872</v>
      </c>
      <c r="L38" s="8">
        <v>122</v>
      </c>
      <c r="M38" s="1" t="s">
        <v>158</v>
      </c>
      <c r="N38" s="5">
        <v>80.650000000000006</v>
      </c>
      <c r="O38" s="11">
        <v>20.16</v>
      </c>
      <c r="P38" s="13">
        <f>SUM(O38/N38*100%)</f>
        <v>0.24996900185988838</v>
      </c>
    </row>
    <row r="39" spans="1:16" ht="25.5" x14ac:dyDescent="0.25">
      <c r="A39" s="1" t="s">
        <v>18</v>
      </c>
      <c r="B39" s="3" t="s">
        <v>19</v>
      </c>
      <c r="C39" s="1" t="s">
        <v>215</v>
      </c>
      <c r="D39" s="1" t="s">
        <v>29</v>
      </c>
      <c r="E39" s="1" t="s">
        <v>159</v>
      </c>
      <c r="F39" s="1" t="s">
        <v>160</v>
      </c>
      <c r="G39" s="4" t="s">
        <v>161</v>
      </c>
      <c r="H39" s="1" t="s">
        <v>51</v>
      </c>
      <c r="I39" s="1">
        <v>8971826</v>
      </c>
      <c r="J39" s="6">
        <v>45752</v>
      </c>
      <c r="K39" s="6">
        <v>45873</v>
      </c>
      <c r="L39" s="8">
        <v>122</v>
      </c>
      <c r="M39" s="1" t="s">
        <v>162</v>
      </c>
      <c r="N39" s="5">
        <v>363.93</v>
      </c>
      <c r="O39" s="11">
        <v>90.99</v>
      </c>
      <c r="P39" s="13">
        <f>SUM(O39/N39*100%)</f>
        <v>0.25002060835875028</v>
      </c>
    </row>
    <row r="40" spans="1:16" ht="25.5" x14ac:dyDescent="0.25">
      <c r="A40" s="1" t="s">
        <v>18</v>
      </c>
      <c r="B40" s="3" t="s">
        <v>19</v>
      </c>
      <c r="C40" s="1" t="s">
        <v>215</v>
      </c>
      <c r="D40" s="1" t="s">
        <v>29</v>
      </c>
      <c r="E40" s="1" t="s">
        <v>48</v>
      </c>
      <c r="F40" s="1" t="s">
        <v>49</v>
      </c>
      <c r="G40" s="4" t="s">
        <v>50</v>
      </c>
      <c r="H40" s="1" t="s">
        <v>51</v>
      </c>
      <c r="I40" s="1">
        <v>8971826</v>
      </c>
      <c r="J40" s="6">
        <v>45791</v>
      </c>
      <c r="K40" s="6">
        <v>45913</v>
      </c>
      <c r="L40" s="8">
        <v>123</v>
      </c>
      <c r="M40" s="1" t="s">
        <v>53</v>
      </c>
      <c r="N40" s="5">
        <v>212.45</v>
      </c>
      <c r="O40" s="11">
        <v>53.11</v>
      </c>
      <c r="P40" s="13">
        <f>SUM(O40/N40*100%)</f>
        <v>0.24998823252530009</v>
      </c>
    </row>
    <row r="41" spans="1:16" x14ac:dyDescent="0.25">
      <c r="A41" s="1" t="s">
        <v>166</v>
      </c>
      <c r="B41" s="3" t="s">
        <v>19</v>
      </c>
      <c r="C41" s="1" t="s">
        <v>216</v>
      </c>
      <c r="D41" s="1" t="s">
        <v>37</v>
      </c>
      <c r="E41" s="1" t="s">
        <v>196</v>
      </c>
      <c r="F41" s="1" t="s">
        <v>197</v>
      </c>
      <c r="G41" s="4" t="s">
        <v>181</v>
      </c>
      <c r="H41" s="1" t="s">
        <v>56</v>
      </c>
      <c r="I41" s="1">
        <v>18581063</v>
      </c>
      <c r="J41" s="6">
        <v>45533</v>
      </c>
      <c r="K41" s="7"/>
      <c r="L41" s="8">
        <v>364</v>
      </c>
      <c r="M41" s="1" t="s">
        <v>198</v>
      </c>
      <c r="N41" s="5">
        <v>747.39</v>
      </c>
      <c r="O41" s="11">
        <v>186.84</v>
      </c>
      <c r="P41" s="13">
        <f>SUM(O41/N41*100%)</f>
        <v>0.2499899650784731</v>
      </c>
    </row>
    <row r="42" spans="1:16" ht="25.5" x14ac:dyDescent="0.25">
      <c r="A42" s="1" t="s">
        <v>166</v>
      </c>
      <c r="B42" s="3" t="s">
        <v>19</v>
      </c>
      <c r="C42" s="1" t="s">
        <v>215</v>
      </c>
      <c r="D42" s="1" t="s">
        <v>29</v>
      </c>
      <c r="E42" s="1" t="s">
        <v>188</v>
      </c>
      <c r="F42" s="1" t="s">
        <v>189</v>
      </c>
      <c r="G42" s="4" t="s">
        <v>190</v>
      </c>
      <c r="H42" s="1" t="s">
        <v>56</v>
      </c>
      <c r="I42" s="1">
        <v>18581063</v>
      </c>
      <c r="J42" s="6">
        <v>45534</v>
      </c>
      <c r="K42" s="7"/>
      <c r="L42" s="8">
        <v>364</v>
      </c>
      <c r="M42" s="1" t="s">
        <v>191</v>
      </c>
      <c r="N42" s="5">
        <v>206.21</v>
      </c>
      <c r="O42" s="11">
        <v>51.55</v>
      </c>
      <c r="P42" s="13">
        <f>SUM(O42/N42*100%)</f>
        <v>0.24998787643664225</v>
      </c>
    </row>
    <row r="43" spans="1:16" ht="25.5" x14ac:dyDescent="0.25">
      <c r="A43" s="1" t="s">
        <v>18</v>
      </c>
      <c r="B43" s="3" t="s">
        <v>19</v>
      </c>
      <c r="C43" s="1" t="s">
        <v>215</v>
      </c>
      <c r="D43" s="1" t="s">
        <v>29</v>
      </c>
      <c r="E43" s="1" t="s">
        <v>118</v>
      </c>
      <c r="F43" s="1" t="s">
        <v>119</v>
      </c>
      <c r="G43" s="4" t="s">
        <v>120</v>
      </c>
      <c r="H43" s="1" t="s">
        <v>56</v>
      </c>
      <c r="I43" s="1">
        <v>18581063</v>
      </c>
      <c r="J43" s="6">
        <v>45750</v>
      </c>
      <c r="K43" s="6">
        <v>45869</v>
      </c>
      <c r="L43" s="8">
        <v>120</v>
      </c>
      <c r="M43" s="1" t="s">
        <v>121</v>
      </c>
      <c r="N43" s="5">
        <v>512.71</v>
      </c>
      <c r="O43" s="11">
        <v>128.19999999999999</v>
      </c>
      <c r="P43" s="13">
        <f>SUM(O43/N43*100%)</f>
        <v>0.25004388445710046</v>
      </c>
    </row>
    <row r="44" spans="1:16" x14ac:dyDescent="0.25">
      <c r="A44" s="1" t="s">
        <v>18</v>
      </c>
      <c r="B44" s="3" t="s">
        <v>19</v>
      </c>
      <c r="C44" s="1" t="s">
        <v>216</v>
      </c>
      <c r="D44" s="1" t="s">
        <v>37</v>
      </c>
      <c r="E44" s="1" t="s">
        <v>54</v>
      </c>
      <c r="F44" s="1" t="s">
        <v>55</v>
      </c>
      <c r="G44" s="4" t="s">
        <v>32</v>
      </c>
      <c r="H44" s="1" t="s">
        <v>56</v>
      </c>
      <c r="I44" s="1">
        <v>18581063</v>
      </c>
      <c r="J44" s="6">
        <v>45792</v>
      </c>
      <c r="K44" s="6">
        <v>45914</v>
      </c>
      <c r="L44" s="8">
        <v>123</v>
      </c>
      <c r="M44" s="1" t="s">
        <v>58</v>
      </c>
      <c r="N44" s="5">
        <v>107.39</v>
      </c>
      <c r="O44" s="11">
        <v>26.85</v>
      </c>
      <c r="P44" s="13">
        <f>SUM(O44/N44*100%)</f>
        <v>0.25002327963497534</v>
      </c>
    </row>
    <row r="45" spans="1:16" ht="25.5" x14ac:dyDescent="0.25">
      <c r="A45" s="1" t="s">
        <v>18</v>
      </c>
      <c r="B45" s="3" t="s">
        <v>19</v>
      </c>
      <c r="C45" s="1" t="s">
        <v>215</v>
      </c>
      <c r="D45" s="1" t="s">
        <v>60</v>
      </c>
      <c r="E45" s="1" t="s">
        <v>61</v>
      </c>
      <c r="F45" s="1" t="s">
        <v>55</v>
      </c>
      <c r="G45" s="4" t="s">
        <v>32</v>
      </c>
      <c r="H45" s="1" t="s">
        <v>56</v>
      </c>
      <c r="I45" s="1">
        <v>18581063</v>
      </c>
      <c r="J45" s="6">
        <v>45792</v>
      </c>
      <c r="K45" s="6">
        <v>45914</v>
      </c>
      <c r="L45" s="8">
        <v>123</v>
      </c>
      <c r="M45" s="1" t="s">
        <v>62</v>
      </c>
      <c r="N45" s="5">
        <v>130.6</v>
      </c>
      <c r="O45" s="11">
        <v>32.65</v>
      </c>
      <c r="P45" s="13">
        <f>SUM(O45/N45*100%)</f>
        <v>0.25</v>
      </c>
    </row>
    <row r="46" spans="1:16" ht="25.5" x14ac:dyDescent="0.25">
      <c r="A46" s="1" t="s">
        <v>18</v>
      </c>
      <c r="B46" s="3" t="s">
        <v>19</v>
      </c>
      <c r="C46" s="1" t="s">
        <v>215</v>
      </c>
      <c r="D46" s="1" t="s">
        <v>60</v>
      </c>
      <c r="E46" s="1" t="s">
        <v>81</v>
      </c>
      <c r="F46" s="1" t="s">
        <v>82</v>
      </c>
      <c r="G46" s="4" t="s">
        <v>83</v>
      </c>
      <c r="H46" s="1" t="s">
        <v>56</v>
      </c>
      <c r="I46" s="1">
        <v>18581063</v>
      </c>
      <c r="J46" s="6">
        <v>45809</v>
      </c>
      <c r="K46" s="6">
        <v>45930</v>
      </c>
      <c r="L46" s="8">
        <v>122</v>
      </c>
      <c r="M46" s="1" t="s">
        <v>84</v>
      </c>
      <c r="N46" s="5">
        <v>323.52999999999997</v>
      </c>
      <c r="O46" s="11">
        <v>80.88</v>
      </c>
      <c r="P46" s="13">
        <f>SUM(O46/N46*100%)</f>
        <v>0.2499922727413223</v>
      </c>
    </row>
    <row r="47" spans="1:16" x14ac:dyDescent="0.25">
      <c r="O47" s="9"/>
    </row>
  </sheetData>
  <autoFilter ref="A1:P46" xr:uid="{28B925E0-AB12-476F-B222-7522550B1BD4}">
    <sortState xmlns:xlrd2="http://schemas.microsoft.com/office/spreadsheetml/2017/richdata2" ref="A2:P46">
      <sortCondition ref="H1:H46"/>
    </sortState>
  </autoFilter>
  <sortState xmlns:xlrd2="http://schemas.microsoft.com/office/spreadsheetml/2017/richdata2" ref="A2:P46">
    <sortCondition ref="J2:J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 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2025-05-23T22:10:35Z</dcterms:created>
  <dcterms:modified xsi:type="dcterms:W3CDTF">2025-06-03T22:47:29Z</dcterms:modified>
</cp:coreProperties>
</file>