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82958181-0AC3-4333-89D2-4C2184187D3A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Cover_Page" sheetId="1" r:id="rId1"/>
    <sheet name="Details" sheetId="2" r:id="rId2"/>
    <sheet name="clean sheet" sheetId="3" r:id="rId3"/>
    <sheet name="Sheet2" sheetId="4" r:id="rId4"/>
  </sheets>
  <externalReferences>
    <externalReference r:id="rId5"/>
  </externalReferences>
  <definedNames>
    <definedName name="_xlnm._FilterDatabase" localSheetId="2" hidden="1">'clean sheet'!$A$1:$P$72</definedName>
    <definedName name="_xlnm._FilterDatabase" localSheetId="1" hidden="1">Details!$A$1:$Q$75</definedName>
    <definedName name="page\x2dtotal">Details!$A$75</definedName>
    <definedName name="page\x2dtotal\x2dmaster0">Details!$A$75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 a="1"/>
  <c r="B1" i="4" s="1"/>
  <c r="P19" i="3"/>
  <c r="P18" i="3"/>
  <c r="P63" i="3"/>
  <c r="P53" i="3"/>
  <c r="P45" i="3"/>
  <c r="P22" i="3"/>
  <c r="P4" i="3"/>
  <c r="P56" i="3"/>
  <c r="P5" i="3"/>
  <c r="P58" i="3"/>
  <c r="P42" i="3"/>
  <c r="P20" i="3"/>
  <c r="P65" i="3"/>
  <c r="P40" i="3"/>
  <c r="P69" i="3"/>
  <c r="P44" i="3"/>
  <c r="P47" i="3"/>
  <c r="P38" i="3"/>
  <c r="P2" i="3"/>
  <c r="P24" i="3"/>
  <c r="P23" i="3"/>
  <c r="P35" i="3"/>
  <c r="P36" i="3"/>
  <c r="P57" i="3"/>
  <c r="P25" i="3"/>
  <c r="P46" i="3"/>
  <c r="P21" i="3"/>
  <c r="P14" i="3"/>
  <c r="P31" i="3"/>
  <c r="P59" i="3"/>
  <c r="P26" i="3"/>
  <c r="P39" i="3"/>
  <c r="P43" i="3"/>
  <c r="P7" i="3"/>
  <c r="P29" i="3"/>
  <c r="P66" i="3"/>
  <c r="P10" i="3"/>
  <c r="P55" i="3"/>
  <c r="P27" i="3"/>
  <c r="P64" i="3"/>
  <c r="P16" i="3"/>
  <c r="P15" i="3"/>
  <c r="P13" i="3"/>
  <c r="P41" i="3"/>
  <c r="P34" i="3"/>
  <c r="P37" i="3"/>
  <c r="P50" i="3"/>
  <c r="P60" i="3"/>
  <c r="P61" i="3"/>
  <c r="P30" i="3"/>
  <c r="P33" i="3"/>
  <c r="P9" i="3"/>
  <c r="P68" i="3"/>
  <c r="P8" i="3"/>
  <c r="P67" i="3"/>
  <c r="P3" i="3"/>
  <c r="P28" i="3"/>
  <c r="P11" i="3"/>
  <c r="P51" i="3"/>
  <c r="P52" i="3"/>
  <c r="P62" i="3"/>
  <c r="P6" i="3"/>
  <c r="P12" i="3"/>
  <c r="P48" i="3"/>
  <c r="P32" i="3"/>
  <c r="P54" i="3"/>
  <c r="P49" i="3"/>
  <c r="P1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<sst xmlns="http://schemas.openxmlformats.org/spreadsheetml/2006/main" count="1316" uniqueCount="269">
  <si>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</si>
  <si>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</si>
  <si>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</si>
  <si>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</si>
  <si>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</si>
  <si>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</si>
  <si>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</si>
  <si>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</si>
  <si>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</si>
  <si>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</si>
  <si>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10-22-2025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</si>
  <si>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</si>
  <si>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</si>
  <si>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</si>
  <si>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</si>
  <si>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</si>
  <si>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</si>
  <si>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</si>
  <si>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</si>
  <si>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</si>
  <si>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</si>
  <si>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</si>
  <si>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</si>
  <si>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</si>
  <si>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</si>
  <si>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</si>
  <si>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</si>
  <si>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</si>
  <si>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</si>
  <si>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</si>
  <si>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</si>
  <si>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</si>
  <si>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</si>
  <si>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</si>
  <si>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</si>
  <si>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</si>
  <si>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</si>
  <si>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</si>
  <si>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</si>
  <si>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</si>
  <si>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</si>
  <si>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</si>
  <si>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10-2025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</si>
  <si>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</si>
  <si>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ISTM-22-RB2</t>
  </si>
  <si>
    <t>Companion Life</t>
  </si>
  <si>
    <t>593421-1-1</t>
  </si>
  <si>
    <t>Rubman, Cheryl</t>
  </si>
  <si>
    <t>10-19-2025</t>
  </si>
  <si>
    <t>Carol Foley</t>
  </si>
  <si>
    <t>P0727654</t>
  </si>
  <si>
    <t>611876-2-1</t>
  </si>
  <si>
    <t>Pucci, Anna</t>
  </si>
  <si>
    <t>10-21-2025</t>
  </si>
  <si>
    <t>Frank Liskovec</t>
  </si>
  <si>
    <t>P0754442</t>
  </si>
  <si>
    <t>ISTM-25-RBP</t>
  </si>
  <si>
    <t>Pan-American Life</t>
  </si>
  <si>
    <t>612270-2-1</t>
  </si>
  <si>
    <t>Katz, Michael</t>
  </si>
  <si>
    <t>08-29-2025</t>
  </si>
  <si>
    <t>P0755090</t>
  </si>
  <si>
    <t>09-29-2025</t>
  </si>
  <si>
    <t>626312-1-1</t>
  </si>
  <si>
    <t>McWilliams, Dustin</t>
  </si>
  <si>
    <t>10-15-2025</t>
  </si>
  <si>
    <t>Timothy Hodgman</t>
  </si>
  <si>
    <t>P0774946</t>
  </si>
  <si>
    <t>633835-0-1</t>
  </si>
  <si>
    <t>Tobias, Robert</t>
  </si>
  <si>
    <t>10-16-2025</t>
  </si>
  <si>
    <t>Ricardo Santos</t>
  </si>
  <si>
    <t>P0785722</t>
  </si>
  <si>
    <t>ISTM.MM-12-RB2</t>
  </si>
  <si>
    <t>North River</t>
  </si>
  <si>
    <t>639002-0-1</t>
  </si>
  <si>
    <t>Lippolis, James</t>
  </si>
  <si>
    <t>Peter Richter</t>
  </si>
  <si>
    <t>P0792811</t>
  </si>
  <si>
    <t>639159-0-1</t>
  </si>
  <si>
    <t>Milas, Nicholas</t>
  </si>
  <si>
    <t>10-20-2025</t>
  </si>
  <si>
    <t>Deborah Inskipt</t>
  </si>
  <si>
    <t>P0792988</t>
  </si>
  <si>
    <t>640599-0-1</t>
  </si>
  <si>
    <t>Stango, Lisa</t>
  </si>
  <si>
    <t>09-01-2025</t>
  </si>
  <si>
    <t>P0794594</t>
  </si>
  <si>
    <t>643058-0-1</t>
  </si>
  <si>
    <t>Hubert, Spencer</t>
  </si>
  <si>
    <t>10-17-2025</t>
  </si>
  <si>
    <t>P0797606</t>
  </si>
  <si>
    <t>643100-0-1</t>
  </si>
  <si>
    <t>Zabkar, Lynette</t>
  </si>
  <si>
    <t>Scott Aguglia</t>
  </si>
  <si>
    <t>P0797651</t>
  </si>
  <si>
    <t>644976-0-1</t>
  </si>
  <si>
    <t>11-01-2025</t>
  </si>
  <si>
    <t>P0799979</t>
  </si>
  <si>
    <t>645607-0-1</t>
  </si>
  <si>
    <t>Sloan, Edward</t>
  </si>
  <si>
    <t>10-09-2025</t>
  </si>
  <si>
    <t>Michelle McCorkle</t>
  </si>
  <si>
    <t>P0829501</t>
  </si>
  <si>
    <t>Totals</t>
  </si>
  <si>
    <t>P0800305</t>
  </si>
  <si>
    <t>Kuhn, Neal</t>
  </si>
  <si>
    <t>645245-0-1</t>
  </si>
  <si>
    <t>ISTM.MM-12-PPO</t>
  </si>
  <si>
    <t>P0799568</t>
  </si>
  <si>
    <t>Lori Tunstall</t>
  </si>
  <si>
    <t>10-01-2025</t>
  </si>
  <si>
    <t>Incudine, Daniel</t>
  </si>
  <si>
    <t>644635-0-1</t>
  </si>
  <si>
    <t>P0797030</t>
  </si>
  <si>
    <t>10-12-2025</t>
  </si>
  <si>
    <t>Dellis, Louis</t>
  </si>
  <si>
    <t>642591-0-1</t>
  </si>
  <si>
    <t>P0790435</t>
  </si>
  <si>
    <t>10-07-2025</t>
  </si>
  <si>
    <t>Davis, Charles</t>
  </si>
  <si>
    <t>637226-0-1</t>
  </si>
  <si>
    <t>P0786072</t>
  </si>
  <si>
    <t>Saadia Abdul</t>
  </si>
  <si>
    <t>Woods, Thomas</t>
  </si>
  <si>
    <t>634079-0-1</t>
  </si>
  <si>
    <t>P0784445</t>
  </si>
  <si>
    <t>Stier, John</t>
  </si>
  <si>
    <t>632950-0-1</t>
  </si>
  <si>
    <t>P0778892</t>
  </si>
  <si>
    <t>Heather Geske</t>
  </si>
  <si>
    <t>10-08-2025</t>
  </si>
  <si>
    <t>Arriaza, Carl</t>
  </si>
  <si>
    <t>629065-1-1</t>
  </si>
  <si>
    <t>996202029</t>
  </si>
  <si>
    <t>Dale Walenga</t>
  </si>
  <si>
    <t>10-11-2025</t>
  </si>
  <si>
    <t>Duran, Jose</t>
  </si>
  <si>
    <t>194374-0-1</t>
  </si>
  <si>
    <t>Renaissance</t>
  </si>
  <si>
    <t>IDEN-01-PPO</t>
  </si>
  <si>
    <t>P0795141</t>
  </si>
  <si>
    <t>Olson, Nathan</t>
  </si>
  <si>
    <t>641054-0-1</t>
  </si>
  <si>
    <t>P0791552</t>
  </si>
  <si>
    <t>09-12-2025</t>
  </si>
  <si>
    <t>Hollendonner, Nicholas</t>
  </si>
  <si>
    <t>638056-0-1</t>
  </si>
  <si>
    <t>P0788253</t>
  </si>
  <si>
    <t>Ryan Caltagirone</t>
  </si>
  <si>
    <t>Sobie, Jill</t>
  </si>
  <si>
    <t>635616-0-1</t>
  </si>
  <si>
    <t>P0783487</t>
  </si>
  <si>
    <t>Wesley Ellis</t>
  </si>
  <si>
    <t>09-03-2025</t>
  </si>
  <si>
    <t>Edley Kenton, Robyne</t>
  </si>
  <si>
    <t>632292-0-1</t>
  </si>
  <si>
    <t>10-03-2025</t>
  </si>
  <si>
    <t>P0783401</t>
  </si>
  <si>
    <t>Jacob Yale</t>
  </si>
  <si>
    <t>Fonseca Moreno, Nickolas</t>
  </si>
  <si>
    <t>632236-0-1</t>
  </si>
  <si>
    <t>P0783378</t>
  </si>
  <si>
    <t>Lopes, Betty</t>
  </si>
  <si>
    <t>632219-0-1</t>
  </si>
  <si>
    <t>P0782761</t>
  </si>
  <si>
    <t>Stemko, Theresa</t>
  </si>
  <si>
    <t>631781-0-1</t>
  </si>
  <si>
    <t>P0782694</t>
  </si>
  <si>
    <t>Spitzer, Thomas</t>
  </si>
  <si>
    <t>631738-0-1</t>
  </si>
  <si>
    <t>P0781577</t>
  </si>
  <si>
    <t>Monckton, Marilyn</t>
  </si>
  <si>
    <t>630948-0-1</t>
  </si>
  <si>
    <t>P0778699</t>
  </si>
  <si>
    <t>Vollmer, Gene</t>
  </si>
  <si>
    <t>628930-0-1</t>
  </si>
  <si>
    <t>P0777510</t>
  </si>
  <si>
    <t>Ferreira, Lara</t>
  </si>
  <si>
    <t>628086-1-1</t>
  </si>
  <si>
    <t>P0773347</t>
  </si>
  <si>
    <t>Callozzo, Janis</t>
  </si>
  <si>
    <t>625199-1-1</t>
  </si>
  <si>
    <t>P0767077</t>
  </si>
  <si>
    <t>Mills, Jane</t>
  </si>
  <si>
    <t>620740-1-1</t>
  </si>
  <si>
    <t>P0761905</t>
  </si>
  <si>
    <t>Chris Taugner</t>
  </si>
  <si>
    <t>10-06-2025</t>
  </si>
  <si>
    <t>Tijerina, Bryan</t>
  </si>
  <si>
    <t>616980-2-1</t>
  </si>
  <si>
    <t>P0761445</t>
  </si>
  <si>
    <t>10-02-2025</t>
  </si>
  <si>
    <t>Keivan, Robert</t>
  </si>
  <si>
    <t>616787-2-1</t>
  </si>
  <si>
    <t>P0761656</t>
  </si>
  <si>
    <t>Colleen Finnigan</t>
  </si>
  <si>
    <t>10-04-2025</t>
  </si>
  <si>
    <t>Cece, Saverio</t>
  </si>
  <si>
    <t>616606-1-1</t>
  </si>
  <si>
    <t>P0755796</t>
  </si>
  <si>
    <t>Avila Ortiz, Orlando</t>
  </si>
  <si>
    <t>612731-2-1</t>
  </si>
  <si>
    <t>P0753058</t>
  </si>
  <si>
    <t>Fullerton, Jeffry</t>
  </si>
  <si>
    <t>610945-2-1</t>
  </si>
  <si>
    <t>194510-0-1</t>
  </si>
  <si>
    <t>09-17-2025</t>
  </si>
  <si>
    <t>09-2025</t>
  </si>
  <si>
    <t>P0794206</t>
  </si>
  <si>
    <t>Jason Hoffmann</t>
  </si>
  <si>
    <t>09-27-2025</t>
  </si>
  <si>
    <t>Fitzgerald, Brian</t>
  </si>
  <si>
    <t>640275-0-1</t>
  </si>
  <si>
    <t>08-27-2025</t>
  </si>
  <si>
    <t>09-20-2025</t>
  </si>
  <si>
    <t>P0786457</t>
  </si>
  <si>
    <t>09-19-2025</t>
  </si>
  <si>
    <t>Kenst, Joshua</t>
  </si>
  <si>
    <t>634342-0-1</t>
  </si>
  <si>
    <t>P0781824</t>
  </si>
  <si>
    <t>Naidoo, Jiovani</t>
  </si>
  <si>
    <t>631121-0-1</t>
  </si>
  <si>
    <t>P0771327</t>
  </si>
  <si>
    <t>Barry Schumann</t>
  </si>
  <si>
    <t>Lum, Wayland</t>
  </si>
  <si>
    <t>623754-1-1</t>
  </si>
  <si>
    <t>P0767111</t>
  </si>
  <si>
    <t>09-22-2025</t>
  </si>
  <si>
    <t>Louis, Anthony</t>
  </si>
  <si>
    <t>620761-1-1</t>
  </si>
  <si>
    <t>09-21-2025</t>
  </si>
  <si>
    <t>P0741384</t>
  </si>
  <si>
    <t>09-28-2025</t>
  </si>
  <si>
    <t>Madden, James</t>
  </si>
  <si>
    <t>602346-1-1</t>
  </si>
  <si>
    <t>P0790701</t>
  </si>
  <si>
    <t>08-08-2025</t>
  </si>
  <si>
    <t>Austin, Carlos</t>
  </si>
  <si>
    <t>637420-0-1</t>
  </si>
  <si>
    <t>09-16-2025</t>
  </si>
  <si>
    <t>09-15-2025</t>
  </si>
  <si>
    <t>P0791541</t>
  </si>
  <si>
    <t>Erica Solivan</t>
  </si>
  <si>
    <t>08-18-2025</t>
  </si>
  <si>
    <t>Mathews, Caleb</t>
  </si>
  <si>
    <t>638046-0-1</t>
  </si>
  <si>
    <t>09-07-2025</t>
  </si>
  <si>
    <t>08-01-2025</t>
  </si>
  <si>
    <t>09-09-2025</t>
  </si>
  <si>
    <t>P0778891</t>
  </si>
  <si>
    <t>09-08-2025</t>
  </si>
  <si>
    <t>629065-0-1</t>
  </si>
  <si>
    <t>P0761904</t>
  </si>
  <si>
    <t>09-06-2025</t>
  </si>
  <si>
    <t>616980-1-1</t>
  </si>
  <si>
    <t>09-11-2025</t>
  </si>
  <si>
    <t>paycode</t>
  </si>
  <si>
    <t>AV1</t>
  </si>
  <si>
    <t>AE</t>
  </si>
  <si>
    <t>product</t>
  </si>
  <si>
    <t>percentage</t>
  </si>
  <si>
    <t>Renaissance Dental</t>
  </si>
  <si>
    <t>Pivot OVR</t>
  </si>
  <si>
    <t>ST &amp; Bridge DE NH OH VA</t>
  </si>
  <si>
    <t>ST &amp; Bridge IA IN MI MS ND NE TN</t>
  </si>
  <si>
    <t>ST &amp; Bridge EX DE IA IN KS MI MS ND NE NH OH TN VA</t>
  </si>
  <si>
    <t>Mainline benefits</t>
  </si>
  <si>
    <t>Christian Taugner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</si>
</sst>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12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  <font>
      <sz val="11"/>
      <color theme="1"/>
      <name val="Calibri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7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1" fillId="0" borderId="2" xfId="0" applyNumberFormat="1" applyFont="1" applyBorder="1" applyAlignment="1">
      <alignment horizontal="left" vertical="top" wrapText="1"/>
    </xf>
    <xf numFmtId="14" fontId="3" fillId="2" borderId="2" xfId="0" applyNumberFormat="1" applyFont="1" applyFill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right" vertical="top" wrapText="1"/>
    </xf>
    <xf numFmtId="14" fontId="0" fillId="0" borderId="0" xfId="0" applyNumberFormat="1"/>
    <xf numFmtId="0" fontId="9" fillId="0" borderId="0" xfId="0" applyFont="1"/>
    <xf numFmtId="0" fontId="10" fillId="2" borderId="6" xfId="0" applyFont="1" applyFill="1" applyBorder="1" applyAlignment="1">
      <alignment horizontal="left" vertical="top" wrapText="1"/>
    </xf>
    <xf numFmtId="0" fontId="9" fillId="0" borderId="0" xfId="0" applyFont="1" applyFill="1" applyBorder="1"/>
    <xf numFmtId="9" fontId="0" fillId="0" borderId="0" xfId="1" applyFont="1"/>
    <xf numFmtId="0" fontId="11" fillId="0" borderId="2" xfId="0" applyFont="1" applyBorder="1" applyAlignment="1">
      <alignment horizontal="left" vertical="top" wrapText="1"/>
    </xf>
    <xf numFmtId="14" fontId="1" fillId="0" borderId="2" xfId="0" applyNumberFormat="1" applyFont="1" applyBorder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nactive"/>
    </sheetNames>
    <sheetDataSet>
      <sheetData sheetId="0" refreshError="1"/>
      <sheetData sheetId="1">
        <row r="1">
          <cell r="A1" t="str">
            <v>Abbie  Hall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Autumn Pham</v>
          </cell>
          <cell r="B18">
            <v>21704702</v>
          </cell>
        </row>
        <row r="19">
          <cell r="A19" t="str">
            <v>Barry Brenner</v>
          </cell>
          <cell r="B19">
            <v>21348299</v>
          </cell>
        </row>
        <row r="20">
          <cell r="A20" t="str">
            <v>Barry Schumann</v>
          </cell>
          <cell r="B20">
            <v>19586992</v>
          </cell>
        </row>
        <row r="21">
          <cell r="A21" t="str">
            <v>Brian Raughter</v>
          </cell>
          <cell r="B21">
            <v>18406006</v>
          </cell>
        </row>
        <row r="22">
          <cell r="A22" t="str">
            <v>Brian Strohman</v>
          </cell>
          <cell r="B22">
            <v>21104854</v>
          </cell>
        </row>
        <row r="23">
          <cell r="A23" t="str">
            <v>Brittany Oliver</v>
          </cell>
          <cell r="B23">
            <v>17554531</v>
          </cell>
        </row>
        <row r="24">
          <cell r="A24" t="str">
            <v>Carol Foley</v>
          </cell>
          <cell r="B24">
            <v>17425766</v>
          </cell>
        </row>
        <row r="25">
          <cell r="A25" t="str">
            <v>Carol Fritz</v>
          </cell>
          <cell r="B25">
            <v>19268643</v>
          </cell>
        </row>
        <row r="26">
          <cell r="A26" t="str">
            <v>Carolyn Wilson Smith</v>
          </cell>
          <cell r="B26">
            <v>7387433</v>
          </cell>
        </row>
        <row r="27">
          <cell r="A27" t="str">
            <v>Cassandra McAllister</v>
          </cell>
          <cell r="B27">
            <v>21085517</v>
          </cell>
        </row>
        <row r="28">
          <cell r="A28" t="str">
            <v>Cathy Lemon</v>
          </cell>
          <cell r="B28">
            <v>17195620</v>
          </cell>
        </row>
        <row r="29">
          <cell r="A29" t="str">
            <v>Chad Bender</v>
          </cell>
          <cell r="B29">
            <v>18598357</v>
          </cell>
        </row>
        <row r="30">
          <cell r="A30" t="str">
            <v>Chad Yale</v>
          </cell>
          <cell r="B30">
            <v>20003537</v>
          </cell>
        </row>
        <row r="31">
          <cell r="A31" t="str">
            <v>Cheryl Frazier</v>
          </cell>
          <cell r="B31">
            <v>8499606</v>
          </cell>
        </row>
        <row r="32">
          <cell r="A32" t="str">
            <v>Christian Taugner</v>
          </cell>
          <cell r="B32">
            <v>19681796</v>
          </cell>
        </row>
        <row r="33">
          <cell r="A33" t="str">
            <v>Christopher Brousseau</v>
          </cell>
          <cell r="B33">
            <v>21435997</v>
          </cell>
        </row>
        <row r="34">
          <cell r="A34" t="str">
            <v>Clarissa Powell</v>
          </cell>
          <cell r="B34">
            <v>17785596</v>
          </cell>
        </row>
        <row r="35">
          <cell r="A35" t="str">
            <v>Colleen Finnigan</v>
          </cell>
          <cell r="B35">
            <v>17437820</v>
          </cell>
        </row>
        <row r="36">
          <cell r="A36" t="str">
            <v>Colleen Jerger</v>
          </cell>
          <cell r="B36">
            <v>3333476</v>
          </cell>
        </row>
        <row r="37">
          <cell r="A37" t="str">
            <v>Connor  Green</v>
          </cell>
          <cell r="B37">
            <v>20811434</v>
          </cell>
        </row>
        <row r="38">
          <cell r="A38" t="str">
            <v>Cora Kuykendall</v>
          </cell>
          <cell r="B38">
            <v>22021577</v>
          </cell>
        </row>
        <row r="39">
          <cell r="A39" t="str">
            <v>Curtis Dodd</v>
          </cell>
          <cell r="B39">
            <v>10599300</v>
          </cell>
        </row>
        <row r="40">
          <cell r="A40" t="str">
            <v>Curtis Dean Sparkman</v>
          </cell>
          <cell r="B40">
            <v>21708146</v>
          </cell>
        </row>
        <row r="41">
          <cell r="A41" t="str">
            <v>Dale Walenga</v>
          </cell>
          <cell r="B41">
            <v>8325282</v>
          </cell>
        </row>
        <row r="42">
          <cell r="A42" t="str">
            <v>Danna Green</v>
          </cell>
          <cell r="B42">
            <v>16849453</v>
          </cell>
        </row>
        <row r="43">
          <cell r="A43" t="str">
            <v>Deborah Inskipt</v>
          </cell>
          <cell r="B43">
            <v>17528908</v>
          </cell>
        </row>
        <row r="44">
          <cell r="A44" t="str">
            <v>Deborah Powers</v>
          </cell>
          <cell r="B44">
            <v>19606009</v>
          </cell>
        </row>
        <row r="45">
          <cell r="A45" t="str">
            <v>Dennis Holyn</v>
          </cell>
          <cell r="B45">
            <v>7152559</v>
          </cell>
        </row>
        <row r="46">
          <cell r="A46" t="str">
            <v>Diana Zimmerman</v>
          </cell>
          <cell r="B46">
            <v>17640026</v>
          </cell>
        </row>
        <row r="47">
          <cell r="A47" t="str">
            <v>Dolores Dunbar</v>
          </cell>
          <cell r="B47">
            <v>17774994</v>
          </cell>
        </row>
        <row r="48">
          <cell r="A48" t="str">
            <v xml:space="preserve">Eliseo Tajanlangit </v>
          </cell>
          <cell r="B48">
            <v>18207434</v>
          </cell>
        </row>
        <row r="49">
          <cell r="A49" t="str">
            <v>Erica Solivan</v>
          </cell>
          <cell r="B49">
            <v>21605264</v>
          </cell>
        </row>
        <row r="50">
          <cell r="A50" t="str">
            <v>Esther "Estee" Herrera-Larsen</v>
          </cell>
          <cell r="B50">
            <v>17301495</v>
          </cell>
        </row>
        <row r="51">
          <cell r="A51" t="str">
            <v>Frank Liskovec</v>
          </cell>
          <cell r="B51">
            <v>8814784</v>
          </cell>
        </row>
        <row r="52">
          <cell r="A52" t="str">
            <v>Gary Portugal</v>
          </cell>
          <cell r="B52">
            <v>9213293</v>
          </cell>
        </row>
        <row r="53">
          <cell r="A53" t="str">
            <v>gregory teipel</v>
          </cell>
          <cell r="B53">
            <v>8307933</v>
          </cell>
        </row>
        <row r="54">
          <cell r="A54" t="str">
            <v>Gregg Arenson</v>
          </cell>
          <cell r="B54">
            <v>20776610</v>
          </cell>
        </row>
        <row r="55">
          <cell r="A55" t="str">
            <v>Gregory Hansford</v>
          </cell>
          <cell r="B55">
            <v>17094718</v>
          </cell>
        </row>
        <row r="56">
          <cell r="A56" t="str">
            <v>H Allan</v>
          </cell>
          <cell r="B56">
            <v>8046194</v>
          </cell>
        </row>
        <row r="57">
          <cell r="A57" t="str">
            <v>Heather Geske</v>
          </cell>
          <cell r="B57">
            <v>16865615</v>
          </cell>
        </row>
        <row r="58">
          <cell r="A58" t="str">
            <v>Heidi Berthelsen</v>
          </cell>
          <cell r="B58">
            <v>19617796</v>
          </cell>
        </row>
        <row r="59">
          <cell r="A59" t="str">
            <v>Hilary Bartholomew</v>
          </cell>
          <cell r="B59" t="str">
            <v>NA</v>
          </cell>
        </row>
        <row r="60">
          <cell r="A60" t="str">
            <v>Ines Berg</v>
          </cell>
          <cell r="B60">
            <v>17117649</v>
          </cell>
        </row>
        <row r="61">
          <cell r="A61" t="str">
            <v>Jack  Jerger</v>
          </cell>
          <cell r="B61" t="str">
            <v>NA</v>
          </cell>
        </row>
        <row r="62">
          <cell r="A62" t="str">
            <v>Jacob Yale</v>
          </cell>
          <cell r="B62">
            <v>18754354</v>
          </cell>
        </row>
        <row r="63">
          <cell r="A63" t="str">
            <v>Jake Shulman</v>
          </cell>
          <cell r="B63">
            <v>18201929</v>
          </cell>
        </row>
        <row r="64">
          <cell r="A64" t="str">
            <v>Jalyne Vogel</v>
          </cell>
          <cell r="B64" t="str">
            <v>?</v>
          </cell>
        </row>
        <row r="65">
          <cell r="A65" t="str">
            <v>James Allen</v>
          </cell>
          <cell r="B65">
            <v>17143996</v>
          </cell>
        </row>
        <row r="66">
          <cell r="A66" t="str">
            <v>Jared Kinyua</v>
          </cell>
          <cell r="B66">
            <v>19279958</v>
          </cell>
        </row>
        <row r="67">
          <cell r="A67" t="str">
            <v>Jason Hoffmann</v>
          </cell>
          <cell r="B67">
            <v>15278437</v>
          </cell>
        </row>
        <row r="68">
          <cell r="A68" t="str">
            <v>Jason Roller</v>
          </cell>
          <cell r="B68">
            <v>16228684</v>
          </cell>
        </row>
        <row r="69">
          <cell r="A69" t="str">
            <v>Jeanet Reyes</v>
          </cell>
          <cell r="B69">
            <v>16997303</v>
          </cell>
        </row>
        <row r="70">
          <cell r="A70" t="str">
            <v>Jeffrey Horn</v>
          </cell>
          <cell r="B70">
            <v>2158366</v>
          </cell>
        </row>
        <row r="71">
          <cell r="A71" t="str">
            <v>Jennifer Hess</v>
          </cell>
          <cell r="B71">
            <v>17740520</v>
          </cell>
        </row>
        <row r="72">
          <cell r="A72" t="str">
            <v>Jennifer  Halsaver</v>
          </cell>
          <cell r="B72">
            <v>21564088</v>
          </cell>
        </row>
        <row r="73">
          <cell r="A73" t="str">
            <v>Jennifer  Hunsberger</v>
          </cell>
          <cell r="B73" t="str">
            <v>?</v>
          </cell>
        </row>
        <row r="74">
          <cell r="A74" t="str">
            <v>Jessica Sandifer</v>
          </cell>
          <cell r="B74">
            <v>6115727</v>
          </cell>
        </row>
        <row r="75">
          <cell r="A75" t="str">
            <v>Jill Shepard</v>
          </cell>
          <cell r="B75">
            <v>18142208</v>
          </cell>
        </row>
        <row r="76">
          <cell r="A76" t="str">
            <v>Joel Lee</v>
          </cell>
          <cell r="B76">
            <v>6634327</v>
          </cell>
        </row>
        <row r="77">
          <cell r="A77" t="str">
            <v>John Kelly</v>
          </cell>
          <cell r="B77" t="str">
            <v>working on license</v>
          </cell>
        </row>
        <row r="78">
          <cell r="A78" t="str">
            <v>John Risely</v>
          </cell>
          <cell r="B78">
            <v>20551344</v>
          </cell>
        </row>
        <row r="79">
          <cell r="A79" t="str">
            <v>John Roken</v>
          </cell>
          <cell r="B79">
            <v>18781057</v>
          </cell>
        </row>
        <row r="80">
          <cell r="A80" t="str">
            <v>John Puccio</v>
          </cell>
          <cell r="B80">
            <v>21638421</v>
          </cell>
        </row>
        <row r="81">
          <cell r="A81" t="str">
            <v>John  Karns</v>
          </cell>
          <cell r="B81">
            <v>21128342</v>
          </cell>
        </row>
        <row r="82">
          <cell r="A82" t="str">
            <v>Jonathan Aloff</v>
          </cell>
          <cell r="B82">
            <v>16683808</v>
          </cell>
        </row>
        <row r="83">
          <cell r="A83" t="str">
            <v>Jose Torres</v>
          </cell>
          <cell r="B83">
            <v>20212926</v>
          </cell>
        </row>
        <row r="84">
          <cell r="A84" t="str">
            <v>Joseph Sexton</v>
          </cell>
          <cell r="B84">
            <v>21505953</v>
          </cell>
        </row>
        <row r="85">
          <cell r="A85" t="str">
            <v>Josiah  Luse</v>
          </cell>
          <cell r="B85">
            <v>20405298</v>
          </cell>
        </row>
        <row r="86">
          <cell r="A86" t="str">
            <v>Karen  Flowers</v>
          </cell>
        </row>
        <row r="87">
          <cell r="A87" t="str">
            <v>Kasandra Holland</v>
          </cell>
          <cell r="B87">
            <v>21284072</v>
          </cell>
        </row>
        <row r="88">
          <cell r="A88" t="str">
            <v>Katelan Wick</v>
          </cell>
          <cell r="B88">
            <v>19271047</v>
          </cell>
        </row>
        <row r="89">
          <cell r="A89" t="str">
            <v xml:space="preserve">Katelenn Caltagirone </v>
          </cell>
          <cell r="B89">
            <v>20436896</v>
          </cell>
        </row>
        <row r="90">
          <cell r="A90" t="str">
            <v>Kendall Gillespie</v>
          </cell>
          <cell r="B90">
            <v>21645031</v>
          </cell>
        </row>
        <row r="91">
          <cell r="A91" t="str">
            <v>Kenneth Weitzman</v>
          </cell>
          <cell r="B91">
            <v>17516272</v>
          </cell>
        </row>
        <row r="92">
          <cell r="A92" t="str">
            <v>Kimberly Dickerson</v>
          </cell>
          <cell r="B92">
            <v>16243811</v>
          </cell>
        </row>
        <row r="93">
          <cell r="A93" t="str">
            <v>Kimberly Edwards</v>
          </cell>
          <cell r="B93">
            <v>21128256</v>
          </cell>
        </row>
        <row r="94">
          <cell r="A94" t="str">
            <v>Kimberly Foley</v>
          </cell>
          <cell r="B94">
            <v>21577652</v>
          </cell>
        </row>
        <row r="95">
          <cell r="A95" t="str">
            <v>Kirk Tigue</v>
          </cell>
          <cell r="B95">
            <v>21421111</v>
          </cell>
        </row>
        <row r="96">
          <cell r="A96" t="str">
            <v>LaNeece White</v>
          </cell>
          <cell r="B96">
            <v>13496370</v>
          </cell>
        </row>
        <row r="97">
          <cell r="A97" t="str">
            <v>Latesha Rose</v>
          </cell>
          <cell r="B97">
            <v>21436172</v>
          </cell>
        </row>
        <row r="98">
          <cell r="A98" t="str">
            <v>Laurie Casta</v>
          </cell>
          <cell r="B98">
            <v>20697692</v>
          </cell>
        </row>
        <row r="99">
          <cell r="A99" t="str">
            <v>Leandrus Gaskins</v>
          </cell>
          <cell r="B99">
            <v>19642342</v>
          </cell>
        </row>
        <row r="100">
          <cell r="A100" t="str">
            <v>Lensie Gonzalez</v>
          </cell>
          <cell r="B100">
            <v>17859093</v>
          </cell>
        </row>
        <row r="101">
          <cell r="A101" t="str">
            <v>Linda  Wolfson</v>
          </cell>
          <cell r="B101" t="str">
            <v>NA</v>
          </cell>
        </row>
        <row r="102">
          <cell r="A102" t="str">
            <v>Lori Tunstall</v>
          </cell>
          <cell r="B102">
            <v>18134413</v>
          </cell>
        </row>
        <row r="103">
          <cell r="A103" t="str">
            <v>Luis Ybanez</v>
          </cell>
          <cell r="B103">
            <v>15735937</v>
          </cell>
        </row>
        <row r="104">
          <cell r="A104" t="str">
            <v>Margaret Smith</v>
          </cell>
          <cell r="B104">
            <v>20253958</v>
          </cell>
        </row>
        <row r="105">
          <cell r="A105" t="str">
            <v>Margaret Finnegan</v>
          </cell>
          <cell r="B105">
            <v>19861194</v>
          </cell>
        </row>
        <row r="106">
          <cell r="A106" t="str">
            <v>Marina Obrien</v>
          </cell>
          <cell r="B106">
            <v>16865242</v>
          </cell>
        </row>
        <row r="107">
          <cell r="A107" t="str">
            <v>Marissa Porraz</v>
          </cell>
          <cell r="B107">
            <v>21617661</v>
          </cell>
        </row>
        <row r="108">
          <cell r="A108" t="str">
            <v>Mark Roccia</v>
          </cell>
          <cell r="B108">
            <v>21618313</v>
          </cell>
        </row>
        <row r="109">
          <cell r="A109" t="str">
            <v>Marsha  Sanderock</v>
          </cell>
          <cell r="B109">
            <v>20724564</v>
          </cell>
        </row>
        <row r="110">
          <cell r="A110" t="str">
            <v>matthew daugherty</v>
          </cell>
          <cell r="B110">
            <v>1706194</v>
          </cell>
        </row>
        <row r="111">
          <cell r="A111" t="str">
            <v>Matthew Wasserman</v>
          </cell>
          <cell r="B111">
            <v>21247158</v>
          </cell>
        </row>
        <row r="112">
          <cell r="A112" t="str">
            <v>Matthew Sherman</v>
          </cell>
          <cell r="B112">
            <v>8812322</v>
          </cell>
        </row>
        <row r="113">
          <cell r="A113" t="str">
            <v>Melissa Tatro</v>
          </cell>
          <cell r="B113">
            <v>14177521</v>
          </cell>
        </row>
        <row r="114">
          <cell r="A114" t="str">
            <v>Michael Dunavant</v>
          </cell>
          <cell r="B114">
            <v>18828278</v>
          </cell>
        </row>
        <row r="115">
          <cell r="A115" t="str">
            <v>Michael Foley</v>
          </cell>
          <cell r="B115">
            <v>20995076</v>
          </cell>
        </row>
        <row r="116">
          <cell r="A116" t="str">
            <v>Michael Garnett</v>
          </cell>
          <cell r="B116">
            <v>21222981</v>
          </cell>
        </row>
        <row r="117">
          <cell r="A117" t="str">
            <v>Michael Lutz</v>
          </cell>
          <cell r="B117">
            <v>16751785</v>
          </cell>
        </row>
        <row r="118">
          <cell r="A118" t="str">
            <v>Michael Semprevivo</v>
          </cell>
          <cell r="B118">
            <v>6375605</v>
          </cell>
        </row>
        <row r="119">
          <cell r="A119" t="str">
            <v xml:space="preserve">Michael Wilston </v>
          </cell>
          <cell r="B119">
            <v>20178878</v>
          </cell>
        </row>
        <row r="120">
          <cell r="A120" t="str">
            <v>Michelle Hamel</v>
          </cell>
          <cell r="B120">
            <v>20591229</v>
          </cell>
        </row>
        <row r="121">
          <cell r="A121" t="str">
            <v>Michelle McCorkle</v>
          </cell>
          <cell r="B121">
            <v>18710070</v>
          </cell>
        </row>
        <row r="122">
          <cell r="A122" t="str">
            <v>Murray Sterner</v>
          </cell>
          <cell r="B122">
            <v>16212649</v>
          </cell>
        </row>
        <row r="123">
          <cell r="A123" t="str">
            <v>Nanette Sue Pegors</v>
          </cell>
          <cell r="B123">
            <v>6932235</v>
          </cell>
        </row>
        <row r="124">
          <cell r="A124" t="str">
            <v>Nasandelger Zana</v>
          </cell>
          <cell r="B124">
            <v>20220688</v>
          </cell>
        </row>
        <row r="125">
          <cell r="A125" t="str">
            <v>Nathan Weller</v>
          </cell>
          <cell r="B125">
            <v>19219478</v>
          </cell>
        </row>
        <row r="126">
          <cell r="A126" t="str">
            <v>Nava Livne</v>
          </cell>
          <cell r="B126">
            <v>20552652</v>
          </cell>
        </row>
        <row r="127">
          <cell r="A127" t="str">
            <v>Noah Dionesotes</v>
          </cell>
          <cell r="B127">
            <v>21607778</v>
          </cell>
        </row>
        <row r="128">
          <cell r="A128" t="str">
            <v>Odeny  Fernandez</v>
          </cell>
          <cell r="B128">
            <v>18155813</v>
          </cell>
        </row>
        <row r="129">
          <cell r="A129" t="str">
            <v>Odmaa Enkhtur</v>
          </cell>
          <cell r="B129">
            <v>20999157</v>
          </cell>
        </row>
        <row r="130">
          <cell r="A130" t="str">
            <v>Pamela Deaton</v>
          </cell>
          <cell r="B130">
            <v>8244481</v>
          </cell>
        </row>
        <row r="131">
          <cell r="A131" t="str">
            <v>Patricia  Long</v>
          </cell>
          <cell r="B131">
            <v>18794740</v>
          </cell>
        </row>
        <row r="132">
          <cell r="A132" t="str">
            <v>Patrick Byrne</v>
          </cell>
          <cell r="B132">
            <v>16615811</v>
          </cell>
        </row>
        <row r="133">
          <cell r="A133" t="str">
            <v>Patrick Geske</v>
          </cell>
          <cell r="B133">
            <v>21726248</v>
          </cell>
        </row>
        <row r="134">
          <cell r="A134" t="str">
            <v>Patsamon Thanadabouth</v>
          </cell>
          <cell r="B134">
            <v>8405446</v>
          </cell>
        </row>
        <row r="135">
          <cell r="A135" t="str">
            <v>Paul Berk</v>
          </cell>
          <cell r="B135">
            <v>2048099</v>
          </cell>
        </row>
        <row r="136">
          <cell r="A136" t="str">
            <v>Paul Robinson</v>
          </cell>
          <cell r="B136">
            <v>16983460</v>
          </cell>
        </row>
        <row r="137">
          <cell r="A137" t="str">
            <v>Paul Miller</v>
          </cell>
          <cell r="B137">
            <v>13353571</v>
          </cell>
        </row>
        <row r="138">
          <cell r="A138" t="str">
            <v>Peggy Kolanko</v>
          </cell>
          <cell r="B138">
            <v>1250871</v>
          </cell>
        </row>
        <row r="139">
          <cell r="A139" t="str">
            <v>Peter Elvart</v>
          </cell>
          <cell r="B139">
            <v>6778759</v>
          </cell>
        </row>
        <row r="140">
          <cell r="A140" t="str">
            <v>Peter Richter</v>
          </cell>
          <cell r="B140">
            <v>16509456</v>
          </cell>
        </row>
        <row r="141">
          <cell r="A141" t="str">
            <v>Raluca Cheregi</v>
          </cell>
          <cell r="B141">
            <v>21648482</v>
          </cell>
        </row>
        <row r="142">
          <cell r="A142" t="str">
            <v>Randy Tapper</v>
          </cell>
          <cell r="B142">
            <v>18935660</v>
          </cell>
        </row>
        <row r="143">
          <cell r="A143" t="str">
            <v>Renee Russell</v>
          </cell>
          <cell r="B143" t="str">
            <v>NA</v>
          </cell>
        </row>
        <row r="144">
          <cell r="A144" t="str">
            <v>Ricardo Santos</v>
          </cell>
          <cell r="B144">
            <v>19200754</v>
          </cell>
        </row>
        <row r="145">
          <cell r="A145" t="str">
            <v>Richard Skarnulis</v>
          </cell>
          <cell r="B145">
            <v>13374569</v>
          </cell>
        </row>
        <row r="146">
          <cell r="A146" t="str">
            <v>Richard Wuensch</v>
          </cell>
          <cell r="B146">
            <v>19615078</v>
          </cell>
        </row>
        <row r="147">
          <cell r="A147" t="str">
            <v>Richard Yale</v>
          </cell>
          <cell r="B147">
            <v>16633294</v>
          </cell>
        </row>
        <row r="148">
          <cell r="A148" t="str">
            <v>Robert Adcock</v>
          </cell>
          <cell r="B148">
            <v>20872981</v>
          </cell>
        </row>
        <row r="149">
          <cell r="A149" t="str">
            <v>Robert Shapiro</v>
          </cell>
          <cell r="B149">
            <v>7565575</v>
          </cell>
        </row>
        <row r="150">
          <cell r="A150" t="str">
            <v>Robert  Sievewright</v>
          </cell>
          <cell r="B150">
            <v>7307857</v>
          </cell>
        </row>
        <row r="151">
          <cell r="A151" t="str">
            <v>Ronald Max</v>
          </cell>
          <cell r="B151">
            <v>5442438</v>
          </cell>
        </row>
        <row r="152">
          <cell r="A152" t="str">
            <v>ryan caltagirone</v>
          </cell>
          <cell r="B152">
            <v>8977234</v>
          </cell>
        </row>
        <row r="153">
          <cell r="A153" t="str">
            <v>Ryan Stocker</v>
          </cell>
          <cell r="B153">
            <v>15950276</v>
          </cell>
        </row>
        <row r="154">
          <cell r="A154" t="str">
            <v>Ryan Shepard</v>
          </cell>
          <cell r="B154">
            <v>16170994</v>
          </cell>
        </row>
        <row r="155">
          <cell r="A155" t="str">
            <v>Saadia Abdul</v>
          </cell>
          <cell r="B155">
            <v>19396223</v>
          </cell>
        </row>
        <row r="156">
          <cell r="A156" t="str">
            <v>Sandra Sentman</v>
          </cell>
          <cell r="B156">
            <v>21475206</v>
          </cell>
        </row>
        <row r="157">
          <cell r="A157" t="str">
            <v>Scott Aguglia</v>
          </cell>
          <cell r="B157">
            <v>8971826</v>
          </cell>
        </row>
        <row r="158">
          <cell r="A158" t="str">
            <v>Scott Fine</v>
          </cell>
          <cell r="B158">
            <v>19106640</v>
          </cell>
        </row>
        <row r="159">
          <cell r="A159" t="str">
            <v>Shannon Stump</v>
          </cell>
          <cell r="B159">
            <v>18943687</v>
          </cell>
        </row>
        <row r="160">
          <cell r="A160" t="str">
            <v>Shawn Gastelo</v>
          </cell>
          <cell r="B160">
            <v>21122864</v>
          </cell>
        </row>
        <row r="161">
          <cell r="A161" t="str">
            <v>Shirley Babilya</v>
          </cell>
          <cell r="B161">
            <v>18522974</v>
          </cell>
        </row>
        <row r="162">
          <cell r="A162" t="str">
            <v>Stacey Portugal</v>
          </cell>
          <cell r="B162">
            <v>19645587</v>
          </cell>
        </row>
        <row r="163">
          <cell r="A163" t="str">
            <v>Stephanie Drapac</v>
          </cell>
          <cell r="B163">
            <v>17126004</v>
          </cell>
        </row>
        <row r="164">
          <cell r="A164" t="str">
            <v>Steven Werner</v>
          </cell>
          <cell r="B164">
            <v>19481808</v>
          </cell>
        </row>
        <row r="165">
          <cell r="A165" t="str">
            <v>Steven Brandt</v>
          </cell>
          <cell r="B165">
            <v>19491313</v>
          </cell>
        </row>
        <row r="166">
          <cell r="A166" t="str">
            <v>Steven  Levin</v>
          </cell>
          <cell r="B166">
            <v>1592053</v>
          </cell>
        </row>
        <row r="167">
          <cell r="A167" t="str">
            <v>Taliah Ferguson</v>
          </cell>
          <cell r="B167">
            <v>21561165</v>
          </cell>
        </row>
        <row r="168">
          <cell r="A168" t="str">
            <v>Teri Foster</v>
          </cell>
          <cell r="B168">
            <v>20098658</v>
          </cell>
        </row>
        <row r="169">
          <cell r="A169" t="str">
            <v>Thomas Bentley</v>
          </cell>
          <cell r="B169">
            <v>2118374</v>
          </cell>
        </row>
        <row r="170">
          <cell r="A170" t="str">
            <v>Thomas Ervolina</v>
          </cell>
          <cell r="B170">
            <v>8477730</v>
          </cell>
        </row>
        <row r="171">
          <cell r="A171" t="str">
            <v>Thomas Kucan</v>
          </cell>
          <cell r="B171">
            <v>16202925</v>
          </cell>
        </row>
        <row r="172">
          <cell r="A172" t="str">
            <v>Thomas Serio</v>
          </cell>
          <cell r="B172">
            <v>20490188</v>
          </cell>
        </row>
        <row r="173">
          <cell r="A173" t="str">
            <v>Timothy Hodgman</v>
          </cell>
          <cell r="B173">
            <v>18581063</v>
          </cell>
        </row>
        <row r="174">
          <cell r="A174" t="str">
            <v>Timothy Merced</v>
          </cell>
          <cell r="B174">
            <v>17418075</v>
          </cell>
        </row>
        <row r="175">
          <cell r="A175" t="str">
            <v>Timothy Powers</v>
          </cell>
          <cell r="B175">
            <v>17886092</v>
          </cell>
        </row>
        <row r="176">
          <cell r="A176" t="str">
            <v>thomas pardue</v>
          </cell>
          <cell r="B176">
            <v>371819</v>
          </cell>
        </row>
        <row r="177">
          <cell r="A177" t="str">
            <v>Traci Barton</v>
          </cell>
          <cell r="B177">
            <v>20678727</v>
          </cell>
        </row>
        <row r="178">
          <cell r="A178" t="str">
            <v>victor fuentes</v>
          </cell>
          <cell r="B178">
            <v>21283956</v>
          </cell>
        </row>
        <row r="179">
          <cell r="A179" t="str">
            <v>Wesley Ellis</v>
          </cell>
          <cell r="B179">
            <v>19396919</v>
          </cell>
        </row>
        <row r="180">
          <cell r="A180" t="str">
            <v>William Schaeffer</v>
          </cell>
          <cell r="B180">
            <v>18010408</v>
          </cell>
        </row>
        <row r="181">
          <cell r="A181" t="str">
            <v>William  Geske</v>
          </cell>
          <cell r="B181">
            <v>21313588</v>
          </cell>
        </row>
        <row r="182">
          <cell r="A182" t="str">
            <v>Zameer  Kotadia</v>
          </cell>
          <cell r="B182">
            <v>21101146</v>
          </cell>
        </row>
        <row r="183">
          <cell r="A183" t="str">
            <v>Zulfunar Yavuzkan-Rasin</v>
          </cell>
          <cell r="B183">
            <v>8692488</v>
          </cell>
        </row>
        <row r="184">
          <cell r="A184" t="str">
            <v>Bryan Krobath</v>
          </cell>
          <cell r="B184">
            <v>17429706</v>
          </cell>
        </row>
        <row r="185">
          <cell r="A185" t="str">
            <v>Main line benefits</v>
          </cell>
          <cell r="B185">
            <v>20411454</v>
          </cell>
        </row>
        <row r="186">
          <cell r="A186" t="str">
            <v>Jennifer Mixell-Hoffman</v>
          </cell>
          <cell r="B186">
            <v>4567262</v>
          </cell>
        </row>
        <row r="187">
          <cell r="A187" t="str">
            <v>Jane Zec</v>
          </cell>
          <cell r="B187">
            <v>1487750</v>
          </cell>
        </row>
        <row r="188">
          <cell r="A188" t="str">
            <v>Antennian DeCarlo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opLeftCell="A2" workbookViewId="0">
      <selection sqref="A1:G1"/>
    </sheetView>
  </sheetViews>
  <sheetFormatPr defaultRowHeight="15" x14ac:dyDescent="0.25"/>
  <cols>
    <col min="1" max="1" width="35" customWidth="1"/>
    <col min="2" max="2" width="14.42578125" customWidth="1"/>
    <col min="3" max="3" width="11.42578125" customWidth="1"/>
    <col min="4" max="4" width="2.28515625" customWidth="1"/>
    <col min="5" max="5" width="16.7109375" customWidth="1"/>
    <col min="6" max="6" width="13.7109375" customWidth="1"/>
    <col min="7" max="7" width="169.140625" customWidth="1"/>
  </cols>
  <sheetData>
    <row r="1" spans="1:7" x14ac:dyDescent="0.25">
      <c r="A1" s="20" t="s">
        <v>0</v>
      </c>
      <c r="B1" s="20"/>
      <c r="C1" s="20"/>
      <c r="D1" s="20"/>
      <c r="E1" s="20"/>
      <c r="F1" s="20"/>
      <c r="G1" s="20"/>
    </row>
    <row r="4" spans="1:7" x14ac:dyDescent="0.25">
      <c r="A4" s="25" t="s">
        <v>1</v>
      </c>
      <c r="B4" s="25"/>
      <c r="C4" s="25"/>
      <c r="D4" s="25"/>
      <c r="E4" s="25"/>
      <c r="F4" s="25"/>
      <c r="G4" s="25"/>
    </row>
    <row r="5" spans="1:7" x14ac:dyDescent="0.25">
      <c r="A5" s="26" t="s">
        <v>2</v>
      </c>
      <c r="B5" s="26"/>
      <c r="C5" s="26"/>
      <c r="D5" s="26"/>
      <c r="E5" s="26"/>
      <c r="F5" s="26"/>
      <c r="G5" s="26"/>
    </row>
    <row r="6" spans="1:7" x14ac:dyDescent="0.25">
      <c r="A6" s="26" t="s">
        <v>3</v>
      </c>
      <c r="B6" s="26"/>
      <c r="C6" s="26"/>
      <c r="D6" s="26"/>
      <c r="E6" s="26"/>
      <c r="F6" s="26"/>
      <c r="G6" s="26"/>
    </row>
    <row r="7" spans="1:7" x14ac:dyDescent="0.25">
      <c r="A7" s="12" t="s">
        <v>4</v>
      </c>
      <c r="B7" s="12"/>
      <c r="C7" s="12"/>
      <c r="D7" s="12"/>
      <c r="E7" s="12"/>
      <c r="F7" s="12"/>
      <c r="G7" s="12"/>
    </row>
    <row r="8" spans="1:7" x14ac:dyDescent="0.25">
      <c r="A8" s="20" t="s">
        <v>5</v>
      </c>
      <c r="B8" s="20"/>
      <c r="C8" s="20"/>
      <c r="D8" s="20"/>
      <c r="E8" s="20"/>
      <c r="F8" s="20"/>
      <c r="G8" s="20"/>
    </row>
    <row r="9" spans="1:7" x14ac:dyDescent="0.25">
      <c r="A9" s="20" t="s">
        <v>6</v>
      </c>
      <c r="B9" s="20"/>
      <c r="C9" s="20"/>
      <c r="D9" s="20"/>
      <c r="E9" s="20"/>
      <c r="F9" s="20"/>
      <c r="G9" s="20"/>
    </row>
    <row r="10" spans="1:7" x14ac:dyDescent="0.25">
      <c r="A10" s="20" t="s">
        <v>7</v>
      </c>
      <c r="B10" s="20"/>
      <c r="C10" s="20"/>
      <c r="D10" s="20"/>
      <c r="E10" s="20"/>
      <c r="F10" s="20"/>
      <c r="G10" s="20"/>
    </row>
    <row r="11" spans="1:7" x14ac:dyDescent="0.25">
      <c r="A11" s="12" t="s">
        <v>4</v>
      </c>
      <c r="B11" s="12"/>
      <c r="C11" s="12"/>
      <c r="D11" s="12"/>
      <c r="E11" s="12"/>
      <c r="F11" s="12"/>
      <c r="G11" s="12"/>
    </row>
    <row r="12" spans="1:7" x14ac:dyDescent="0.25">
      <c r="A12" s="21" t="s">
        <v>8</v>
      </c>
      <c r="B12" s="21"/>
      <c r="C12" s="22" t="s">
        <v>4</v>
      </c>
      <c r="D12" s="23"/>
      <c r="E12" s="1" t="s">
        <v>9</v>
      </c>
      <c r="F12" s="1" t="s">
        <v>10</v>
      </c>
    </row>
    <row r="13" spans="1:7" x14ac:dyDescent="0.25">
      <c r="A13" s="21" t="s">
        <v>11</v>
      </c>
      <c r="B13" s="21"/>
      <c r="C13" s="22" t="s">
        <v>4</v>
      </c>
      <c r="D13" s="23"/>
      <c r="E13" s="1" t="s">
        <v>12</v>
      </c>
      <c r="F13" s="2">
        <v>2541523</v>
      </c>
    </row>
    <row r="14" spans="1:7" x14ac:dyDescent="0.25">
      <c r="A14" s="24" t="s">
        <v>13</v>
      </c>
      <c r="B14" s="24"/>
      <c r="C14" s="22" t="s">
        <v>4</v>
      </c>
      <c r="D14" s="23"/>
      <c r="E14" s="1" t="s">
        <v>14</v>
      </c>
      <c r="F14" s="1" t="s">
        <v>15</v>
      </c>
    </row>
    <row r="15" spans="1:7" x14ac:dyDescent="0.25">
      <c r="A15" s="12" t="s">
        <v>4</v>
      </c>
      <c r="B15" s="12"/>
      <c r="C15" s="12"/>
      <c r="D15" s="12"/>
      <c r="E15" s="12"/>
      <c r="F15" s="12"/>
      <c r="G15" s="12"/>
    </row>
    <row r="16" spans="1:7" x14ac:dyDescent="0.25">
      <c r="A16" s="20" t="s">
        <v>16</v>
      </c>
      <c r="B16" s="20"/>
      <c r="C16" s="20"/>
      <c r="D16" s="20"/>
      <c r="E16" s="20"/>
      <c r="F16" s="20"/>
      <c r="G16" s="20"/>
    </row>
    <row r="17" spans="1:7" x14ac:dyDescent="0.25">
      <c r="A17" s="12" t="s">
        <v>4</v>
      </c>
      <c r="B17" s="12"/>
      <c r="C17" s="12"/>
      <c r="D17" s="12"/>
      <c r="E17" s="12"/>
      <c r="F17" s="12"/>
      <c r="G17" s="12"/>
    </row>
    <row r="18" spans="1:7" x14ac:dyDescent="0.25">
      <c r="A18" s="20" t="s">
        <v>17</v>
      </c>
      <c r="B18" s="20"/>
      <c r="C18" s="20"/>
      <c r="D18" s="20"/>
      <c r="E18" s="20"/>
      <c r="F18" s="20"/>
      <c r="G18" s="20"/>
    </row>
    <row r="19" spans="1:7" x14ac:dyDescent="0.25">
      <c r="A19" s="12" t="s">
        <v>4</v>
      </c>
      <c r="B19" s="12"/>
      <c r="C19" s="12"/>
      <c r="D19" s="12"/>
      <c r="E19" s="12"/>
      <c r="F19" s="12"/>
      <c r="G19" s="12"/>
    </row>
    <row r="20" spans="1:7" x14ac:dyDescent="0.25">
      <c r="A20" s="12" t="s">
        <v>18</v>
      </c>
      <c r="B20" s="12"/>
      <c r="C20" s="12"/>
      <c r="D20" s="12"/>
      <c r="E20" s="12"/>
      <c r="F20" s="12"/>
      <c r="G20" s="12"/>
    </row>
    <row r="21" spans="1:7" x14ac:dyDescent="0.25">
      <c r="A21" s="12" t="s">
        <v>4</v>
      </c>
      <c r="B21" s="12"/>
      <c r="C21" s="12"/>
      <c r="D21" s="12"/>
      <c r="E21" s="12"/>
      <c r="F21" s="12"/>
      <c r="G21" s="12"/>
    </row>
    <row r="22" spans="1:7" x14ac:dyDescent="0.25">
      <c r="A22" s="17" t="s">
        <v>19</v>
      </c>
      <c r="B22" s="18"/>
      <c r="C22" s="19"/>
    </row>
    <row r="23" spans="1:7" x14ac:dyDescent="0.25">
      <c r="A23" s="1" t="s">
        <v>20</v>
      </c>
      <c r="B23" s="13">
        <v>550.17999999999995</v>
      </c>
      <c r="C23" s="14"/>
    </row>
    <row r="24" spans="1:7" x14ac:dyDescent="0.25">
      <c r="A24" s="1" t="s">
        <v>21</v>
      </c>
      <c r="B24" s="13">
        <v>550.17999999999995</v>
      </c>
      <c r="C24" s="14"/>
    </row>
    <row r="25" spans="1:7" x14ac:dyDescent="0.25">
      <c r="A25" s="1" t="s">
        <v>22</v>
      </c>
      <c r="B25" s="13">
        <v>0</v>
      </c>
      <c r="C25" s="14"/>
    </row>
    <row r="26" spans="1:7" x14ac:dyDescent="0.25">
      <c r="A26" s="1" t="s">
        <v>23</v>
      </c>
      <c r="B26" s="13">
        <v>821.27</v>
      </c>
      <c r="C26" s="14"/>
    </row>
    <row r="27" spans="1:7" x14ac:dyDescent="0.25">
      <c r="A27" s="1" t="s">
        <v>24</v>
      </c>
      <c r="B27" s="13">
        <v>821.27</v>
      </c>
      <c r="C27" s="14"/>
    </row>
    <row r="28" spans="1:7" x14ac:dyDescent="0.25">
      <c r="A28" s="1" t="s">
        <v>25</v>
      </c>
      <c r="B28" s="15" t="s">
        <v>26</v>
      </c>
      <c r="C28" s="16"/>
    </row>
    <row r="29" spans="1:7" x14ac:dyDescent="0.25">
      <c r="A29" s="12" t="s">
        <v>4</v>
      </c>
      <c r="B29" s="12"/>
      <c r="C29" s="12"/>
      <c r="D29" s="12"/>
      <c r="E29" s="12"/>
      <c r="F29" s="12"/>
      <c r="G29" s="12"/>
    </row>
    <row r="30" spans="1:7" x14ac:dyDescent="0.25">
      <c r="A30" s="12" t="s">
        <v>4</v>
      </c>
      <c r="B30" s="12"/>
      <c r="C30" s="12"/>
      <c r="D30" s="12"/>
      <c r="E30" s="12"/>
      <c r="F30" s="12"/>
      <c r="G30" s="12"/>
    </row>
    <row r="31" spans="1:7" x14ac:dyDescent="0.25">
      <c r="A31" s="12" t="s">
        <v>4</v>
      </c>
      <c r="B31" s="12"/>
      <c r="C31" s="12"/>
      <c r="D31" s="12"/>
      <c r="E31" s="12"/>
      <c r="F31" s="12"/>
      <c r="G31" s="12"/>
    </row>
    <row r="32" spans="1:7" x14ac:dyDescent="0.25">
      <c r="A32" s="12" t="s">
        <v>4</v>
      </c>
      <c r="B32" s="12"/>
      <c r="C32" s="12"/>
      <c r="D32" s="12"/>
      <c r="E32" s="12"/>
      <c r="F32" s="12"/>
      <c r="G32" s="12"/>
    </row>
  </sheetData>
  <mergeCells count="33">
    <mergeCell ref="A1:G1"/>
    <mergeCell ref="A4:G4"/>
    <mergeCell ref="A5:G5"/>
    <mergeCell ref="A6:G6"/>
    <mergeCell ref="A7:G7"/>
    <mergeCell ref="A8:G8"/>
    <mergeCell ref="A9:G9"/>
    <mergeCell ref="A10:G10"/>
    <mergeCell ref="A11:G11"/>
    <mergeCell ref="A12:B12"/>
    <mergeCell ref="C12:D12"/>
    <mergeCell ref="A13:B13"/>
    <mergeCell ref="C13:D13"/>
    <mergeCell ref="A14:B14"/>
    <mergeCell ref="C14:D14"/>
    <mergeCell ref="A15:G15"/>
    <mergeCell ref="A16:G16"/>
    <mergeCell ref="A17:G17"/>
    <mergeCell ref="A18:G18"/>
    <mergeCell ref="A19:G19"/>
    <mergeCell ref="A20:G20"/>
    <mergeCell ref="A21:G21"/>
    <mergeCell ref="A22:C22"/>
    <mergeCell ref="B23:C23"/>
    <mergeCell ref="B24:C24"/>
    <mergeCell ref="B25:C25"/>
    <mergeCell ref="A31:G31"/>
    <mergeCell ref="A32:G32"/>
    <mergeCell ref="B26:C26"/>
    <mergeCell ref="B27:C27"/>
    <mergeCell ref="B28:C28"/>
    <mergeCell ref="A29:G29"/>
    <mergeCell ref="A30:G30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5"/>
  <sheetViews>
    <sheetView showGridLines="0" workbookViewId="0">
      <selection activeCell="E11" sqref="E11"/>
    </sheetView>
  </sheetViews>
  <sheetFormatPr defaultRowHeight="15" x14ac:dyDescent="0.25"/>
  <cols>
    <col min="1" max="1" width="11.42578125" customWidth="1"/>
    <col min="2" max="2" width="9.140625" customWidth="1"/>
    <col min="3" max="3" width="13" customWidth="1"/>
    <col min="4" max="4" width="15.28515625" customWidth="1"/>
    <col min="5" max="5" width="13" customWidth="1"/>
    <col min="6" max="6" width="19.85546875" customWidth="1"/>
    <col min="7" max="8" width="13" customWidth="1"/>
    <col min="9" max="9" width="13.7109375" customWidth="1"/>
    <col min="10" max="10" width="16.7109375" customWidth="1"/>
    <col min="11" max="11" width="13.7109375" customWidth="1"/>
    <col min="12" max="12" width="12.140625" customWidth="1"/>
    <col min="13" max="13" width="13.7109375" customWidth="1"/>
    <col min="14" max="14" width="10.7109375" customWidth="1"/>
    <col min="15" max="15" width="15.28515625" customWidth="1"/>
    <col min="16" max="16" width="45" customWidth="1"/>
    <col min="17" max="17" width="14.42578125" customWidth="1"/>
  </cols>
  <sheetData>
    <row r="1" spans="1:16" ht="24" x14ac:dyDescent="0.25">
      <c r="A1" s="3" t="s">
        <v>27</v>
      </c>
      <c r="B1" s="3" t="s">
        <v>28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23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</row>
    <row r="2" spans="1:16" x14ac:dyDescent="0.25">
      <c r="A2" s="1" t="s">
        <v>42</v>
      </c>
      <c r="B2" s="4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5" t="s">
        <v>48</v>
      </c>
      <c r="H2" s="6">
        <v>606.54</v>
      </c>
      <c r="I2" s="6">
        <v>151.63999999999999</v>
      </c>
      <c r="J2" s="1" t="s">
        <v>49</v>
      </c>
      <c r="K2" s="1">
        <v>81570</v>
      </c>
      <c r="L2" s="7">
        <v>45827</v>
      </c>
      <c r="M2" s="8"/>
      <c r="N2" s="9">
        <v>364</v>
      </c>
      <c r="O2" s="1" t="s">
        <v>50</v>
      </c>
      <c r="P2" s="8"/>
    </row>
    <row r="3" spans="1:16" x14ac:dyDescent="0.25">
      <c r="A3" s="1" t="s">
        <v>42</v>
      </c>
      <c r="B3" s="4" t="s">
        <v>43</v>
      </c>
      <c r="C3" s="1" t="s">
        <v>44</v>
      </c>
      <c r="D3" s="1" t="s">
        <v>45</v>
      </c>
      <c r="E3" s="1" t="s">
        <v>51</v>
      </c>
      <c r="F3" s="1" t="s">
        <v>52</v>
      </c>
      <c r="G3" s="5" t="s">
        <v>53</v>
      </c>
      <c r="H3" s="6">
        <v>331.27</v>
      </c>
      <c r="I3" s="6">
        <v>82.82</v>
      </c>
      <c r="J3" s="1" t="s">
        <v>54</v>
      </c>
      <c r="K3" s="1">
        <v>95755</v>
      </c>
      <c r="L3" s="7">
        <v>45890</v>
      </c>
      <c r="M3" s="7">
        <v>46009</v>
      </c>
      <c r="N3" s="9">
        <v>120</v>
      </c>
      <c r="O3" s="1" t="s">
        <v>55</v>
      </c>
      <c r="P3" s="8"/>
    </row>
    <row r="4" spans="1:16" ht="25.5" x14ac:dyDescent="0.25">
      <c r="A4" s="1" t="s">
        <v>42</v>
      </c>
      <c r="B4" s="4" t="s">
        <v>43</v>
      </c>
      <c r="C4" s="1" t="s">
        <v>56</v>
      </c>
      <c r="D4" s="1" t="s">
        <v>57</v>
      </c>
      <c r="E4" s="1" t="s">
        <v>58</v>
      </c>
      <c r="F4" s="1" t="s">
        <v>59</v>
      </c>
      <c r="G4" s="5" t="s">
        <v>60</v>
      </c>
      <c r="H4" s="6">
        <v>608.88</v>
      </c>
      <c r="I4" s="6">
        <v>152.22</v>
      </c>
      <c r="J4" s="1" t="s">
        <v>49</v>
      </c>
      <c r="K4" s="1">
        <v>81570</v>
      </c>
      <c r="L4" s="7">
        <v>45898</v>
      </c>
      <c r="M4" s="7">
        <v>45930</v>
      </c>
      <c r="N4" s="9">
        <v>41</v>
      </c>
      <c r="O4" s="1" t="s">
        <v>61</v>
      </c>
      <c r="P4" s="8"/>
    </row>
    <row r="5" spans="1:16" ht="25.5" x14ac:dyDescent="0.25">
      <c r="A5" s="1" t="s">
        <v>42</v>
      </c>
      <c r="B5" s="4" t="s">
        <v>43</v>
      </c>
      <c r="C5" s="1" t="s">
        <v>56</v>
      </c>
      <c r="D5" s="1" t="s">
        <v>57</v>
      </c>
      <c r="E5" s="1" t="s">
        <v>58</v>
      </c>
      <c r="F5" s="1" t="s">
        <v>59</v>
      </c>
      <c r="G5" s="5" t="s">
        <v>62</v>
      </c>
      <c r="H5" s="6">
        <v>40.590000000000003</v>
      </c>
      <c r="I5" s="6">
        <v>10.15</v>
      </c>
      <c r="J5" s="1" t="s">
        <v>49</v>
      </c>
      <c r="K5" s="1">
        <v>81570</v>
      </c>
      <c r="L5" s="7">
        <v>45898</v>
      </c>
      <c r="M5" s="7">
        <v>45930</v>
      </c>
      <c r="N5" s="9">
        <v>41</v>
      </c>
      <c r="O5" s="1" t="s">
        <v>61</v>
      </c>
      <c r="P5" s="8"/>
    </row>
    <row r="6" spans="1:16" x14ac:dyDescent="0.25">
      <c r="A6" s="1" t="s">
        <v>42</v>
      </c>
      <c r="B6" s="4" t="s">
        <v>43</v>
      </c>
      <c r="C6" s="1" t="s">
        <v>44</v>
      </c>
      <c r="D6" s="1" t="s">
        <v>45</v>
      </c>
      <c r="E6" s="1" t="s">
        <v>63</v>
      </c>
      <c r="F6" s="1" t="s">
        <v>64</v>
      </c>
      <c r="G6" s="5" t="s">
        <v>65</v>
      </c>
      <c r="H6" s="6">
        <v>107.39</v>
      </c>
      <c r="I6" s="6">
        <v>26.85</v>
      </c>
      <c r="J6" s="1" t="s">
        <v>66</v>
      </c>
      <c r="K6" s="1">
        <v>95788</v>
      </c>
      <c r="L6" s="7">
        <v>45915</v>
      </c>
      <c r="M6" s="7">
        <v>46036</v>
      </c>
      <c r="N6" s="9">
        <v>122</v>
      </c>
      <c r="O6" s="1" t="s">
        <v>67</v>
      </c>
      <c r="P6" s="8"/>
    </row>
    <row r="7" spans="1:16" ht="25.5" x14ac:dyDescent="0.25">
      <c r="A7" s="1" t="s">
        <v>42</v>
      </c>
      <c r="B7" s="4" t="s">
        <v>43</v>
      </c>
      <c r="C7" s="1" t="s">
        <v>56</v>
      </c>
      <c r="D7" s="1" t="s">
        <v>57</v>
      </c>
      <c r="E7" s="1" t="s">
        <v>68</v>
      </c>
      <c r="F7" s="1" t="s">
        <v>69</v>
      </c>
      <c r="G7" s="5" t="s">
        <v>70</v>
      </c>
      <c r="H7" s="6">
        <v>451.99</v>
      </c>
      <c r="I7" s="6">
        <v>113</v>
      </c>
      <c r="J7" s="1" t="s">
        <v>71</v>
      </c>
      <c r="K7" s="1">
        <v>95807</v>
      </c>
      <c r="L7" s="7">
        <v>45854</v>
      </c>
      <c r="M7" s="7">
        <v>45976</v>
      </c>
      <c r="N7" s="9">
        <v>123</v>
      </c>
      <c r="O7" s="1" t="s">
        <v>72</v>
      </c>
      <c r="P7" s="8"/>
    </row>
    <row r="8" spans="1:16" ht="25.5" x14ac:dyDescent="0.25">
      <c r="A8" s="1" t="s">
        <v>42</v>
      </c>
      <c r="B8" s="4" t="s">
        <v>43</v>
      </c>
      <c r="C8" s="1" t="s">
        <v>73</v>
      </c>
      <c r="D8" s="1" t="s">
        <v>74</v>
      </c>
      <c r="E8" s="1" t="s">
        <v>75</v>
      </c>
      <c r="F8" s="1" t="s">
        <v>76</v>
      </c>
      <c r="G8" s="5" t="s">
        <v>48</v>
      </c>
      <c r="H8" s="6">
        <v>231.68</v>
      </c>
      <c r="I8" s="6">
        <v>57.92</v>
      </c>
      <c r="J8" s="1" t="s">
        <v>77</v>
      </c>
      <c r="K8" s="1">
        <v>96125</v>
      </c>
      <c r="L8" s="7">
        <v>45888</v>
      </c>
      <c r="M8" s="8"/>
      <c r="N8" s="9">
        <v>180</v>
      </c>
      <c r="O8" s="1" t="s">
        <v>78</v>
      </c>
      <c r="P8" s="8"/>
    </row>
    <row r="9" spans="1:16" ht="25.5" x14ac:dyDescent="0.25">
      <c r="A9" s="1" t="s">
        <v>42</v>
      </c>
      <c r="B9" s="4" t="s">
        <v>43</v>
      </c>
      <c r="C9" s="1" t="s">
        <v>73</v>
      </c>
      <c r="D9" s="1" t="s">
        <v>74</v>
      </c>
      <c r="E9" s="1" t="s">
        <v>79</v>
      </c>
      <c r="F9" s="1" t="s">
        <v>80</v>
      </c>
      <c r="G9" s="5" t="s">
        <v>81</v>
      </c>
      <c r="H9" s="6">
        <v>63.13</v>
      </c>
      <c r="I9" s="6">
        <v>15.78</v>
      </c>
      <c r="J9" s="1" t="s">
        <v>82</v>
      </c>
      <c r="K9" s="1">
        <v>96033</v>
      </c>
      <c r="L9" s="7">
        <v>45889</v>
      </c>
      <c r="M9" s="8"/>
      <c r="N9" s="9">
        <v>180</v>
      </c>
      <c r="O9" s="1" t="s">
        <v>83</v>
      </c>
      <c r="P9" s="8"/>
    </row>
    <row r="10" spans="1:16" ht="25.5" x14ac:dyDescent="0.25">
      <c r="A10" s="1" t="s">
        <v>42</v>
      </c>
      <c r="B10" s="4" t="s">
        <v>43</v>
      </c>
      <c r="C10" s="1" t="s">
        <v>73</v>
      </c>
      <c r="D10" s="1" t="s">
        <v>74</v>
      </c>
      <c r="E10" s="1" t="s">
        <v>84</v>
      </c>
      <c r="F10" s="1" t="s">
        <v>85</v>
      </c>
      <c r="G10" s="5" t="s">
        <v>86</v>
      </c>
      <c r="H10" s="6">
        <v>188.17</v>
      </c>
      <c r="I10" s="6">
        <v>47.04</v>
      </c>
      <c r="J10" s="1" t="s">
        <v>49</v>
      </c>
      <c r="K10" s="1">
        <v>81570</v>
      </c>
      <c r="L10" s="7">
        <v>45901</v>
      </c>
      <c r="M10" s="8"/>
      <c r="N10" s="9">
        <v>364</v>
      </c>
      <c r="O10" s="1" t="s">
        <v>87</v>
      </c>
      <c r="P10" s="8"/>
    </row>
    <row r="11" spans="1:16" x14ac:dyDescent="0.25">
      <c r="A11" s="1" t="s">
        <v>42</v>
      </c>
      <c r="B11" s="4" t="s">
        <v>43</v>
      </c>
      <c r="C11" s="1" t="s">
        <v>44</v>
      </c>
      <c r="D11" s="1" t="s">
        <v>45</v>
      </c>
      <c r="E11" s="1" t="s">
        <v>88</v>
      </c>
      <c r="F11" s="1" t="s">
        <v>89</v>
      </c>
      <c r="G11" s="5" t="s">
        <v>90</v>
      </c>
      <c r="H11" s="6">
        <v>0</v>
      </c>
      <c r="I11" s="6">
        <v>0</v>
      </c>
      <c r="J11" s="1" t="s">
        <v>66</v>
      </c>
      <c r="K11" s="1">
        <v>95788</v>
      </c>
      <c r="L11" s="7">
        <v>45917</v>
      </c>
      <c r="M11" s="7">
        <v>46038</v>
      </c>
      <c r="N11" s="9">
        <v>122</v>
      </c>
      <c r="O11" s="1" t="s">
        <v>91</v>
      </c>
      <c r="P11" s="8"/>
    </row>
    <row r="12" spans="1:16" ht="25.5" x14ac:dyDescent="0.25">
      <c r="A12" s="1" t="s">
        <v>42</v>
      </c>
      <c r="B12" s="4" t="s">
        <v>43</v>
      </c>
      <c r="C12" s="1" t="s">
        <v>73</v>
      </c>
      <c r="D12" s="1" t="s">
        <v>74</v>
      </c>
      <c r="E12" s="1" t="s">
        <v>92</v>
      </c>
      <c r="F12" s="1" t="s">
        <v>93</v>
      </c>
      <c r="G12" s="5" t="s">
        <v>90</v>
      </c>
      <c r="H12" s="6">
        <v>250.08</v>
      </c>
      <c r="I12" s="6">
        <v>62.52</v>
      </c>
      <c r="J12" s="1" t="s">
        <v>94</v>
      </c>
      <c r="K12" s="1">
        <v>81722</v>
      </c>
      <c r="L12" s="7">
        <v>45917</v>
      </c>
      <c r="M12" s="8"/>
      <c r="N12" s="9">
        <v>180</v>
      </c>
      <c r="O12" s="1" t="s">
        <v>95</v>
      </c>
      <c r="P12" s="8"/>
    </row>
    <row r="13" spans="1:16" ht="25.5" x14ac:dyDescent="0.25">
      <c r="A13" s="1" t="s">
        <v>42</v>
      </c>
      <c r="B13" s="4" t="s">
        <v>43</v>
      </c>
      <c r="C13" s="1" t="s">
        <v>73</v>
      </c>
      <c r="D13" s="1" t="s">
        <v>74</v>
      </c>
      <c r="E13" s="1" t="s">
        <v>96</v>
      </c>
      <c r="F13" s="1" t="s">
        <v>85</v>
      </c>
      <c r="G13" s="5" t="s">
        <v>97</v>
      </c>
      <c r="H13" s="6">
        <v>213.85</v>
      </c>
      <c r="I13" s="6">
        <v>53.46</v>
      </c>
      <c r="J13" s="1" t="s">
        <v>49</v>
      </c>
      <c r="K13" s="1">
        <v>81570</v>
      </c>
      <c r="L13" s="7">
        <v>45962</v>
      </c>
      <c r="M13" s="8"/>
      <c r="N13" s="9">
        <v>364</v>
      </c>
      <c r="O13" s="1" t="s">
        <v>98</v>
      </c>
      <c r="P13" s="8"/>
    </row>
    <row r="14" spans="1:16" x14ac:dyDescent="0.25">
      <c r="A14" s="1" t="s">
        <v>42</v>
      </c>
      <c r="B14" s="4" t="s">
        <v>43</v>
      </c>
      <c r="C14" s="1" t="s">
        <v>140</v>
      </c>
      <c r="D14" s="1" t="s">
        <v>139</v>
      </c>
      <c r="E14" s="1" t="s">
        <v>138</v>
      </c>
      <c r="F14" s="1" t="s">
        <v>137</v>
      </c>
      <c r="G14" s="5" t="s">
        <v>136</v>
      </c>
      <c r="H14" s="6">
        <v>28.1</v>
      </c>
      <c r="I14" s="6">
        <v>3.65</v>
      </c>
      <c r="J14" s="1" t="s">
        <v>135</v>
      </c>
      <c r="K14" s="1">
        <v>96477</v>
      </c>
      <c r="L14" s="7">
        <v>45637</v>
      </c>
      <c r="M14" s="8"/>
      <c r="N14" s="8"/>
      <c r="O14" s="1" t="s">
        <v>134</v>
      </c>
      <c r="P14" s="8"/>
    </row>
    <row r="15" spans="1:16" ht="25.5" x14ac:dyDescent="0.25">
      <c r="A15" s="1" t="s">
        <v>42</v>
      </c>
      <c r="B15" s="4" t="s">
        <v>43</v>
      </c>
      <c r="C15" s="1" t="s">
        <v>56</v>
      </c>
      <c r="D15" s="1" t="s">
        <v>57</v>
      </c>
      <c r="E15" s="1" t="s">
        <v>133</v>
      </c>
      <c r="F15" s="1" t="s">
        <v>132</v>
      </c>
      <c r="G15" s="5" t="s">
        <v>131</v>
      </c>
      <c r="H15" s="6">
        <v>322.67</v>
      </c>
      <c r="I15" s="6">
        <v>80.67</v>
      </c>
      <c r="J15" s="1" t="s">
        <v>130</v>
      </c>
      <c r="K15" s="1">
        <v>95609</v>
      </c>
      <c r="L15" s="7">
        <v>45938</v>
      </c>
      <c r="M15" s="7">
        <v>46060</v>
      </c>
      <c r="N15" s="9">
        <v>123</v>
      </c>
      <c r="O15" s="1" t="s">
        <v>129</v>
      </c>
      <c r="P15" s="8"/>
    </row>
    <row r="16" spans="1:16" x14ac:dyDescent="0.25">
      <c r="A16" s="1" t="s">
        <v>42</v>
      </c>
      <c r="B16" s="4" t="s">
        <v>43</v>
      </c>
      <c r="C16" s="1" t="s">
        <v>44</v>
      </c>
      <c r="D16" s="1" t="s">
        <v>45</v>
      </c>
      <c r="E16" s="1" t="s">
        <v>128</v>
      </c>
      <c r="F16" s="1" t="s">
        <v>127</v>
      </c>
      <c r="G16" s="5" t="s">
        <v>101</v>
      </c>
      <c r="H16" s="6">
        <v>117.06</v>
      </c>
      <c r="I16" s="6">
        <v>29.27</v>
      </c>
      <c r="J16" s="1" t="s">
        <v>49</v>
      </c>
      <c r="K16" s="1">
        <v>81570</v>
      </c>
      <c r="L16" s="7">
        <v>45847</v>
      </c>
      <c r="M16" s="7">
        <v>45969</v>
      </c>
      <c r="N16" s="9">
        <v>123</v>
      </c>
      <c r="O16" s="1" t="s">
        <v>126</v>
      </c>
      <c r="P16" s="8"/>
    </row>
    <row r="17" spans="1:16" x14ac:dyDescent="0.25">
      <c r="A17" s="1" t="s">
        <v>42</v>
      </c>
      <c r="B17" s="4" t="s">
        <v>43</v>
      </c>
      <c r="C17" s="1" t="s">
        <v>44</v>
      </c>
      <c r="D17" s="1" t="s">
        <v>45</v>
      </c>
      <c r="E17" s="1" t="s">
        <v>125</v>
      </c>
      <c r="F17" s="1" t="s">
        <v>124</v>
      </c>
      <c r="G17" s="5" t="s">
        <v>111</v>
      </c>
      <c r="H17" s="6">
        <v>451.49</v>
      </c>
      <c r="I17" s="6">
        <v>112.88</v>
      </c>
      <c r="J17" s="1" t="s">
        <v>123</v>
      </c>
      <c r="K17" s="1">
        <v>95631</v>
      </c>
      <c r="L17" s="7">
        <v>45870</v>
      </c>
      <c r="M17" s="7">
        <v>45991</v>
      </c>
      <c r="N17" s="9">
        <v>122</v>
      </c>
      <c r="O17" s="1" t="s">
        <v>122</v>
      </c>
      <c r="P17" s="8"/>
    </row>
    <row r="18" spans="1:16" ht="25.5" x14ac:dyDescent="0.25">
      <c r="A18" s="1" t="s">
        <v>42</v>
      </c>
      <c r="B18" s="4" t="s">
        <v>43</v>
      </c>
      <c r="C18" s="1" t="s">
        <v>73</v>
      </c>
      <c r="D18" s="1" t="s">
        <v>74</v>
      </c>
      <c r="E18" s="1" t="s">
        <v>121</v>
      </c>
      <c r="F18" s="1" t="s">
        <v>120</v>
      </c>
      <c r="G18" s="5" t="s">
        <v>119</v>
      </c>
      <c r="H18" s="6">
        <v>373.58</v>
      </c>
      <c r="I18" s="6">
        <v>93.4</v>
      </c>
      <c r="J18" s="1" t="s">
        <v>94</v>
      </c>
      <c r="K18" s="1">
        <v>81722</v>
      </c>
      <c r="L18" s="7">
        <v>45876</v>
      </c>
      <c r="M18" s="7">
        <v>45997</v>
      </c>
      <c r="N18" s="9">
        <v>122</v>
      </c>
      <c r="O18" s="1" t="s">
        <v>118</v>
      </c>
      <c r="P18" s="8"/>
    </row>
    <row r="19" spans="1:16" x14ac:dyDescent="0.25">
      <c r="A19" s="1" t="s">
        <v>42</v>
      </c>
      <c r="B19" s="4" t="s">
        <v>43</v>
      </c>
      <c r="C19" s="1" t="s">
        <v>44</v>
      </c>
      <c r="D19" s="1" t="s">
        <v>45</v>
      </c>
      <c r="E19" s="1" t="s">
        <v>117</v>
      </c>
      <c r="F19" s="1" t="s">
        <v>116</v>
      </c>
      <c r="G19" s="5" t="s">
        <v>115</v>
      </c>
      <c r="H19" s="6">
        <v>126.89</v>
      </c>
      <c r="I19" s="6">
        <v>31.72</v>
      </c>
      <c r="J19" s="1" t="s">
        <v>54</v>
      </c>
      <c r="K19" s="1">
        <v>95755</v>
      </c>
      <c r="L19" s="7">
        <v>45912</v>
      </c>
      <c r="M19" s="8"/>
      <c r="N19" s="9">
        <v>180</v>
      </c>
      <c r="O19" s="1" t="s">
        <v>114</v>
      </c>
      <c r="P19" s="8"/>
    </row>
    <row r="20" spans="1:16" ht="25.5" x14ac:dyDescent="0.25">
      <c r="A20" s="1" t="s">
        <v>42</v>
      </c>
      <c r="B20" s="4" t="s">
        <v>43</v>
      </c>
      <c r="C20" s="1" t="s">
        <v>73</v>
      </c>
      <c r="D20" s="1" t="s">
        <v>74</v>
      </c>
      <c r="E20" s="1" t="s">
        <v>113</v>
      </c>
      <c r="F20" s="1" t="s">
        <v>112</v>
      </c>
      <c r="G20" s="5" t="s">
        <v>111</v>
      </c>
      <c r="H20" s="6">
        <v>231.56</v>
      </c>
      <c r="I20" s="6">
        <v>23.16</v>
      </c>
      <c r="J20" s="1" t="s">
        <v>110</v>
      </c>
      <c r="K20" s="1">
        <v>82178</v>
      </c>
      <c r="L20" s="7">
        <v>45931</v>
      </c>
      <c r="M20" s="8"/>
      <c r="N20" s="9">
        <v>180</v>
      </c>
      <c r="O20" s="1" t="s">
        <v>109</v>
      </c>
      <c r="P20" s="8"/>
    </row>
    <row r="21" spans="1:16" ht="25.5" x14ac:dyDescent="0.25">
      <c r="A21" s="1" t="s">
        <v>42</v>
      </c>
      <c r="B21" s="4" t="s">
        <v>43</v>
      </c>
      <c r="C21" s="1" t="s">
        <v>108</v>
      </c>
      <c r="D21" s="1" t="s">
        <v>74</v>
      </c>
      <c r="E21" s="1" t="s">
        <v>107</v>
      </c>
      <c r="F21" s="1" t="s">
        <v>106</v>
      </c>
      <c r="G21" s="5" t="s">
        <v>97</v>
      </c>
      <c r="H21" s="6">
        <v>701.73</v>
      </c>
      <c r="I21" s="6">
        <v>175.43</v>
      </c>
      <c r="J21" s="1" t="s">
        <v>66</v>
      </c>
      <c r="K21" s="1">
        <v>95788</v>
      </c>
      <c r="L21" s="7">
        <v>45962</v>
      </c>
      <c r="M21" s="8"/>
      <c r="N21" s="9">
        <v>364</v>
      </c>
      <c r="O21" s="1" t="s">
        <v>105</v>
      </c>
      <c r="P21" s="8"/>
    </row>
    <row r="22" spans="1:16" x14ac:dyDescent="0.25">
      <c r="A22" s="1" t="s">
        <v>42</v>
      </c>
      <c r="B22" s="4" t="s">
        <v>43</v>
      </c>
      <c r="C22" s="1" t="s">
        <v>140</v>
      </c>
      <c r="D22" s="1" t="s">
        <v>139</v>
      </c>
      <c r="E22" s="1" t="s">
        <v>206</v>
      </c>
      <c r="F22" s="1" t="s">
        <v>201</v>
      </c>
      <c r="G22" s="5" t="s">
        <v>111</v>
      </c>
      <c r="H22" s="6">
        <v>34.25</v>
      </c>
      <c r="I22" s="6">
        <v>4.45</v>
      </c>
      <c r="J22" s="1" t="s">
        <v>135</v>
      </c>
      <c r="K22" s="1">
        <v>96477</v>
      </c>
      <c r="L22" s="7">
        <v>45658</v>
      </c>
      <c r="M22" s="8"/>
      <c r="N22" s="8"/>
      <c r="O22" s="27">
        <v>996202166</v>
      </c>
      <c r="P22" s="8"/>
    </row>
    <row r="23" spans="1:16" x14ac:dyDescent="0.25">
      <c r="A23" s="1" t="s">
        <v>42</v>
      </c>
      <c r="B23" s="4" t="s">
        <v>43</v>
      </c>
      <c r="C23" s="1" t="s">
        <v>44</v>
      </c>
      <c r="D23" s="1" t="s">
        <v>45</v>
      </c>
      <c r="E23" s="1" t="s">
        <v>205</v>
      </c>
      <c r="F23" s="1" t="s">
        <v>204</v>
      </c>
      <c r="G23" s="5" t="s">
        <v>111</v>
      </c>
      <c r="H23" s="6">
        <v>532.38</v>
      </c>
      <c r="I23" s="6">
        <v>133.1</v>
      </c>
      <c r="J23" s="1" t="s">
        <v>66</v>
      </c>
      <c r="K23" s="1">
        <v>95788</v>
      </c>
      <c r="L23" s="7">
        <v>45870</v>
      </c>
      <c r="M23" s="7">
        <v>45989</v>
      </c>
      <c r="N23" s="9">
        <v>120</v>
      </c>
      <c r="O23" s="1" t="s">
        <v>203</v>
      </c>
      <c r="P23" s="8"/>
    </row>
    <row r="24" spans="1:16" ht="25.5" x14ac:dyDescent="0.25">
      <c r="A24" s="1" t="s">
        <v>42</v>
      </c>
      <c r="B24" s="4" t="s">
        <v>43</v>
      </c>
      <c r="C24" s="1" t="s">
        <v>73</v>
      </c>
      <c r="D24" s="1" t="s">
        <v>74</v>
      </c>
      <c r="E24" s="1" t="s">
        <v>202</v>
      </c>
      <c r="F24" s="1" t="s">
        <v>201</v>
      </c>
      <c r="G24" s="5" t="s">
        <v>111</v>
      </c>
      <c r="H24" s="6">
        <v>110.8</v>
      </c>
      <c r="I24" s="6">
        <v>27.7</v>
      </c>
      <c r="J24" s="1" t="s">
        <v>135</v>
      </c>
      <c r="K24" s="1">
        <v>96477</v>
      </c>
      <c r="L24" s="7">
        <v>45901</v>
      </c>
      <c r="M24" s="7">
        <v>46022</v>
      </c>
      <c r="N24" s="9">
        <v>122</v>
      </c>
      <c r="O24" s="1" t="s">
        <v>200</v>
      </c>
      <c r="P24" s="8"/>
    </row>
    <row r="25" spans="1:16" x14ac:dyDescent="0.25">
      <c r="A25" s="1" t="s">
        <v>42</v>
      </c>
      <c r="B25" s="4" t="s">
        <v>43</v>
      </c>
      <c r="C25" s="1" t="s">
        <v>44</v>
      </c>
      <c r="D25" s="1" t="s">
        <v>45</v>
      </c>
      <c r="E25" s="1" t="s">
        <v>199</v>
      </c>
      <c r="F25" s="1" t="s">
        <v>198</v>
      </c>
      <c r="G25" s="5" t="s">
        <v>197</v>
      </c>
      <c r="H25" s="6">
        <v>406.55</v>
      </c>
      <c r="I25" s="6">
        <v>101.64</v>
      </c>
      <c r="J25" s="1" t="s">
        <v>196</v>
      </c>
      <c r="K25" s="1">
        <v>80671</v>
      </c>
      <c r="L25" s="7">
        <v>45842</v>
      </c>
      <c r="M25" s="7">
        <v>45964</v>
      </c>
      <c r="N25" s="9">
        <v>123</v>
      </c>
      <c r="O25" s="1" t="s">
        <v>195</v>
      </c>
      <c r="P25" s="8"/>
    </row>
    <row r="26" spans="1:16" x14ac:dyDescent="0.25">
      <c r="A26" s="1" t="s">
        <v>42</v>
      </c>
      <c r="B26" s="4" t="s">
        <v>43</v>
      </c>
      <c r="C26" s="1" t="s">
        <v>44</v>
      </c>
      <c r="D26" s="1" t="s">
        <v>45</v>
      </c>
      <c r="E26" s="1" t="s">
        <v>194</v>
      </c>
      <c r="F26" s="1" t="s">
        <v>193</v>
      </c>
      <c r="G26" s="5" t="s">
        <v>192</v>
      </c>
      <c r="H26" s="6">
        <v>281.67</v>
      </c>
      <c r="I26" s="6">
        <v>70.42</v>
      </c>
      <c r="J26" s="1" t="s">
        <v>187</v>
      </c>
      <c r="K26" s="1">
        <v>95679</v>
      </c>
      <c r="L26" s="7">
        <v>45932</v>
      </c>
      <c r="M26" s="7">
        <v>46054</v>
      </c>
      <c r="N26" s="9">
        <v>123</v>
      </c>
      <c r="O26" s="1" t="s">
        <v>191</v>
      </c>
      <c r="P26" s="8"/>
    </row>
    <row r="27" spans="1:16" x14ac:dyDescent="0.25">
      <c r="A27" s="1" t="s">
        <v>42</v>
      </c>
      <c r="B27" s="4" t="s">
        <v>43</v>
      </c>
      <c r="C27" s="1" t="s">
        <v>44</v>
      </c>
      <c r="D27" s="1" t="s">
        <v>45</v>
      </c>
      <c r="E27" s="1" t="s">
        <v>190</v>
      </c>
      <c r="F27" s="1" t="s">
        <v>189</v>
      </c>
      <c r="G27" s="5" t="s">
        <v>188</v>
      </c>
      <c r="H27" s="6">
        <v>134.61000000000001</v>
      </c>
      <c r="I27" s="6">
        <v>33.65</v>
      </c>
      <c r="J27" s="1" t="s">
        <v>187</v>
      </c>
      <c r="K27" s="1">
        <v>95679</v>
      </c>
      <c r="L27" s="7">
        <v>45936</v>
      </c>
      <c r="M27" s="7">
        <v>46058</v>
      </c>
      <c r="N27" s="9">
        <v>123</v>
      </c>
      <c r="O27" s="1" t="s">
        <v>186</v>
      </c>
      <c r="P27" s="8"/>
    </row>
    <row r="28" spans="1:16" x14ac:dyDescent="0.25">
      <c r="A28" s="1" t="s">
        <v>42</v>
      </c>
      <c r="B28" s="4" t="s">
        <v>43</v>
      </c>
      <c r="C28" s="1" t="s">
        <v>44</v>
      </c>
      <c r="D28" s="1" t="s">
        <v>45</v>
      </c>
      <c r="E28" s="1" t="s">
        <v>185</v>
      </c>
      <c r="F28" s="1" t="s">
        <v>184</v>
      </c>
      <c r="G28" s="5" t="s">
        <v>111</v>
      </c>
      <c r="H28" s="6">
        <v>484.69</v>
      </c>
      <c r="I28" s="6">
        <v>48.47</v>
      </c>
      <c r="J28" s="1" t="s">
        <v>110</v>
      </c>
      <c r="K28" s="1">
        <v>82178</v>
      </c>
      <c r="L28" s="7">
        <v>45870</v>
      </c>
      <c r="M28" s="7">
        <v>45991</v>
      </c>
      <c r="N28" s="9">
        <v>122</v>
      </c>
      <c r="O28" s="1" t="s">
        <v>183</v>
      </c>
      <c r="P28" s="8"/>
    </row>
    <row r="29" spans="1:16" ht="25.5" x14ac:dyDescent="0.25">
      <c r="A29" s="1" t="s">
        <v>42</v>
      </c>
      <c r="B29" s="4" t="s">
        <v>43</v>
      </c>
      <c r="C29" s="1" t="s">
        <v>73</v>
      </c>
      <c r="D29" s="1" t="s">
        <v>74</v>
      </c>
      <c r="E29" s="1" t="s">
        <v>182</v>
      </c>
      <c r="F29" s="1" t="s">
        <v>181</v>
      </c>
      <c r="G29" s="5" t="s">
        <v>111</v>
      </c>
      <c r="H29" s="6">
        <v>251.31</v>
      </c>
      <c r="I29" s="6">
        <v>62.83</v>
      </c>
      <c r="J29" s="1" t="s">
        <v>66</v>
      </c>
      <c r="K29" s="1">
        <v>95788</v>
      </c>
      <c r="L29" s="7">
        <v>45931</v>
      </c>
      <c r="M29" s="7">
        <v>46053</v>
      </c>
      <c r="N29" s="9">
        <v>123</v>
      </c>
      <c r="O29" s="1" t="s">
        <v>180</v>
      </c>
      <c r="P29" s="8"/>
    </row>
    <row r="30" spans="1:16" ht="25.5" x14ac:dyDescent="0.25">
      <c r="A30" s="1" t="s">
        <v>42</v>
      </c>
      <c r="B30" s="4" t="s">
        <v>43</v>
      </c>
      <c r="C30" s="1" t="s">
        <v>73</v>
      </c>
      <c r="D30" s="1" t="s">
        <v>74</v>
      </c>
      <c r="E30" s="1" t="s">
        <v>179</v>
      </c>
      <c r="F30" s="1" t="s">
        <v>178</v>
      </c>
      <c r="G30" s="5" t="s">
        <v>111</v>
      </c>
      <c r="H30" s="6">
        <v>251.23</v>
      </c>
      <c r="I30" s="6">
        <v>25.12</v>
      </c>
      <c r="J30" s="1" t="s">
        <v>110</v>
      </c>
      <c r="K30" s="1">
        <v>82178</v>
      </c>
      <c r="L30" s="7">
        <v>45931</v>
      </c>
      <c r="M30" s="7">
        <v>46053</v>
      </c>
      <c r="N30" s="9">
        <v>123</v>
      </c>
      <c r="O30" s="1" t="s">
        <v>177</v>
      </c>
      <c r="P30" s="8"/>
    </row>
    <row r="31" spans="1:16" ht="25.5" x14ac:dyDescent="0.25">
      <c r="A31" s="1" t="s">
        <v>42</v>
      </c>
      <c r="B31" s="4" t="s">
        <v>43</v>
      </c>
      <c r="C31" s="1" t="s">
        <v>56</v>
      </c>
      <c r="D31" s="1" t="s">
        <v>57</v>
      </c>
      <c r="E31" s="1" t="s">
        <v>176</v>
      </c>
      <c r="F31" s="1" t="s">
        <v>175</v>
      </c>
      <c r="G31" s="5" t="s">
        <v>111</v>
      </c>
      <c r="H31" s="6">
        <v>342.5</v>
      </c>
      <c r="I31" s="6">
        <v>85.63</v>
      </c>
      <c r="J31" s="1" t="s">
        <v>149</v>
      </c>
      <c r="K31" s="1">
        <v>80640</v>
      </c>
      <c r="L31" s="7">
        <v>45839</v>
      </c>
      <c r="M31" s="7">
        <v>45961</v>
      </c>
      <c r="N31" s="9">
        <v>123</v>
      </c>
      <c r="O31" s="1" t="s">
        <v>174</v>
      </c>
      <c r="P31" s="8"/>
    </row>
    <row r="32" spans="1:16" ht="25.5" x14ac:dyDescent="0.25">
      <c r="A32" s="1" t="s">
        <v>42</v>
      </c>
      <c r="B32" s="4" t="s">
        <v>43</v>
      </c>
      <c r="C32" s="1" t="s">
        <v>73</v>
      </c>
      <c r="D32" s="1" t="s">
        <v>74</v>
      </c>
      <c r="E32" s="1" t="s">
        <v>173</v>
      </c>
      <c r="F32" s="1" t="s">
        <v>172</v>
      </c>
      <c r="G32" s="5" t="s">
        <v>111</v>
      </c>
      <c r="H32" s="6">
        <v>310.33999999999997</v>
      </c>
      <c r="I32" s="6">
        <v>77.59</v>
      </c>
      <c r="J32" s="1" t="s">
        <v>153</v>
      </c>
      <c r="K32" s="1">
        <v>2223</v>
      </c>
      <c r="L32" s="7">
        <v>45870</v>
      </c>
      <c r="M32" s="7">
        <v>45991</v>
      </c>
      <c r="N32" s="9">
        <v>122</v>
      </c>
      <c r="O32" s="1" t="s">
        <v>171</v>
      </c>
      <c r="P32" s="8"/>
    </row>
    <row r="33" spans="1:16" ht="25.5" x14ac:dyDescent="0.25">
      <c r="A33" s="1" t="s">
        <v>42</v>
      </c>
      <c r="B33" s="4" t="s">
        <v>43</v>
      </c>
      <c r="C33" s="1" t="s">
        <v>73</v>
      </c>
      <c r="D33" s="1" t="s">
        <v>74</v>
      </c>
      <c r="E33" s="1" t="s">
        <v>170</v>
      </c>
      <c r="F33" s="1" t="s">
        <v>169</v>
      </c>
      <c r="G33" s="5" t="s">
        <v>111</v>
      </c>
      <c r="H33" s="6">
        <v>164.89</v>
      </c>
      <c r="I33" s="6">
        <v>41.22</v>
      </c>
      <c r="J33" s="1" t="s">
        <v>77</v>
      </c>
      <c r="K33" s="1">
        <v>96125</v>
      </c>
      <c r="L33" s="7">
        <v>45839</v>
      </c>
      <c r="M33" s="7">
        <v>45961</v>
      </c>
      <c r="N33" s="9">
        <v>123</v>
      </c>
      <c r="O33" s="1" t="s">
        <v>168</v>
      </c>
      <c r="P33" s="8"/>
    </row>
    <row r="34" spans="1:16" ht="25.5" x14ac:dyDescent="0.25">
      <c r="A34" s="1" t="s">
        <v>42</v>
      </c>
      <c r="B34" s="4" t="s">
        <v>43</v>
      </c>
      <c r="C34" s="1" t="s">
        <v>73</v>
      </c>
      <c r="D34" s="1" t="s">
        <v>74</v>
      </c>
      <c r="E34" s="1" t="s">
        <v>167</v>
      </c>
      <c r="F34" s="1" t="s">
        <v>166</v>
      </c>
      <c r="G34" s="5" t="s">
        <v>111</v>
      </c>
      <c r="H34" s="6">
        <v>214.63</v>
      </c>
      <c r="I34" s="6">
        <v>53.66</v>
      </c>
      <c r="J34" s="1" t="s">
        <v>77</v>
      </c>
      <c r="K34" s="1">
        <v>96125</v>
      </c>
      <c r="L34" s="7">
        <v>45839</v>
      </c>
      <c r="M34" s="7">
        <v>45961</v>
      </c>
      <c r="N34" s="9">
        <v>123</v>
      </c>
      <c r="O34" s="1" t="s">
        <v>165</v>
      </c>
      <c r="P34" s="8"/>
    </row>
    <row r="35" spans="1:16" ht="25.5" x14ac:dyDescent="0.25">
      <c r="A35" s="1" t="s">
        <v>42</v>
      </c>
      <c r="B35" s="4" t="s">
        <v>43</v>
      </c>
      <c r="C35" s="1" t="s">
        <v>108</v>
      </c>
      <c r="D35" s="1" t="s">
        <v>74</v>
      </c>
      <c r="E35" s="1" t="s">
        <v>164</v>
      </c>
      <c r="F35" s="1" t="s">
        <v>163</v>
      </c>
      <c r="G35" s="5" t="s">
        <v>157</v>
      </c>
      <c r="H35" s="6">
        <v>311.79000000000002</v>
      </c>
      <c r="I35" s="6">
        <v>77.95</v>
      </c>
      <c r="J35" s="1" t="s">
        <v>149</v>
      </c>
      <c r="K35" s="1">
        <v>80640</v>
      </c>
      <c r="L35" s="7">
        <v>45841</v>
      </c>
      <c r="M35" s="7">
        <v>45961</v>
      </c>
      <c r="N35" s="9">
        <v>123</v>
      </c>
      <c r="O35" s="1" t="s">
        <v>162</v>
      </c>
      <c r="P35" s="8"/>
    </row>
    <row r="36" spans="1:16" ht="25.5" x14ac:dyDescent="0.25">
      <c r="A36" s="1" t="s">
        <v>42</v>
      </c>
      <c r="B36" s="4" t="s">
        <v>43</v>
      </c>
      <c r="C36" s="1" t="s">
        <v>44</v>
      </c>
      <c r="D36" s="1" t="s">
        <v>45</v>
      </c>
      <c r="E36" s="1" t="s">
        <v>161</v>
      </c>
      <c r="F36" s="1" t="s">
        <v>160</v>
      </c>
      <c r="G36" s="5" t="s">
        <v>157</v>
      </c>
      <c r="H36" s="6">
        <v>74.75</v>
      </c>
      <c r="I36" s="6">
        <v>18.690000000000001</v>
      </c>
      <c r="J36" s="1" t="s">
        <v>159</v>
      </c>
      <c r="K36" s="1">
        <v>95760</v>
      </c>
      <c r="L36" s="7">
        <v>45841</v>
      </c>
      <c r="M36" s="7">
        <v>45963</v>
      </c>
      <c r="N36" s="9">
        <v>123</v>
      </c>
      <c r="O36" s="1" t="s">
        <v>158</v>
      </c>
      <c r="P36" s="8"/>
    </row>
    <row r="37" spans="1:16" x14ac:dyDescent="0.25">
      <c r="A37" s="1" t="s">
        <v>42</v>
      </c>
      <c r="B37" s="4" t="s">
        <v>43</v>
      </c>
      <c r="C37" s="1" t="s">
        <v>44</v>
      </c>
      <c r="D37" s="1" t="s">
        <v>45</v>
      </c>
      <c r="E37" s="1" t="s">
        <v>156</v>
      </c>
      <c r="F37" s="1" t="s">
        <v>155</v>
      </c>
      <c r="G37" s="5" t="s">
        <v>157</v>
      </c>
      <c r="H37" s="6">
        <v>0</v>
      </c>
      <c r="I37" s="6">
        <v>0</v>
      </c>
      <c r="J37" s="1" t="s">
        <v>153</v>
      </c>
      <c r="K37" s="1">
        <v>2223</v>
      </c>
      <c r="L37" s="7">
        <v>45841</v>
      </c>
      <c r="M37" s="7">
        <v>45930</v>
      </c>
      <c r="N37" s="9">
        <v>123</v>
      </c>
      <c r="O37" s="1" t="s">
        <v>152</v>
      </c>
      <c r="P37" s="8"/>
    </row>
    <row r="38" spans="1:16" x14ac:dyDescent="0.25">
      <c r="A38" s="1" t="s">
        <v>42</v>
      </c>
      <c r="B38" s="4" t="s">
        <v>43</v>
      </c>
      <c r="C38" s="1" t="s">
        <v>44</v>
      </c>
      <c r="D38" s="1" t="s">
        <v>45</v>
      </c>
      <c r="E38" s="1" t="s">
        <v>156</v>
      </c>
      <c r="F38" s="1" t="s">
        <v>155</v>
      </c>
      <c r="G38" s="5" t="s">
        <v>154</v>
      </c>
      <c r="H38" s="6">
        <v>-7.36</v>
      </c>
      <c r="I38" s="6">
        <v>-0.52</v>
      </c>
      <c r="J38" s="1" t="s">
        <v>153</v>
      </c>
      <c r="K38" s="1">
        <v>2223</v>
      </c>
      <c r="L38" s="7">
        <v>45841</v>
      </c>
      <c r="M38" s="7">
        <v>45930</v>
      </c>
      <c r="N38" s="9">
        <v>123</v>
      </c>
      <c r="O38" s="1" t="s">
        <v>152</v>
      </c>
      <c r="P38" s="8"/>
    </row>
    <row r="39" spans="1:16" x14ac:dyDescent="0.25">
      <c r="A39" s="1" t="s">
        <v>42</v>
      </c>
      <c r="B39" s="4" t="s">
        <v>43</v>
      </c>
      <c r="C39" s="1" t="s">
        <v>44</v>
      </c>
      <c r="D39" s="1" t="s">
        <v>45</v>
      </c>
      <c r="E39" s="1" t="s">
        <v>151</v>
      </c>
      <c r="F39" s="1" t="s">
        <v>150</v>
      </c>
      <c r="G39" s="5" t="s">
        <v>111</v>
      </c>
      <c r="H39" s="6">
        <v>197.23</v>
      </c>
      <c r="I39" s="6">
        <v>43.39</v>
      </c>
      <c r="J39" s="1" t="s">
        <v>149</v>
      </c>
      <c r="K39" s="1">
        <v>80640</v>
      </c>
      <c r="L39" s="7">
        <v>45870</v>
      </c>
      <c r="M39" s="7">
        <v>45991</v>
      </c>
      <c r="N39" s="9">
        <v>122</v>
      </c>
      <c r="O39" s="1" t="s">
        <v>148</v>
      </c>
      <c r="P39" s="8"/>
    </row>
    <row r="40" spans="1:16" ht="25.5" x14ac:dyDescent="0.25">
      <c r="A40" s="1" t="s">
        <v>42</v>
      </c>
      <c r="B40" s="4" t="s">
        <v>43</v>
      </c>
      <c r="C40" s="1" t="s">
        <v>44</v>
      </c>
      <c r="D40" s="1" t="s">
        <v>45</v>
      </c>
      <c r="E40" s="1" t="s">
        <v>147</v>
      </c>
      <c r="F40" s="1" t="s">
        <v>146</v>
      </c>
      <c r="G40" s="5" t="s">
        <v>145</v>
      </c>
      <c r="H40" s="6">
        <v>-128.16</v>
      </c>
      <c r="I40" s="6">
        <v>-32.03</v>
      </c>
      <c r="J40" s="1" t="s">
        <v>66</v>
      </c>
      <c r="K40" s="1">
        <v>95788</v>
      </c>
      <c r="L40" s="7">
        <v>45881</v>
      </c>
      <c r="M40" s="7">
        <v>45926</v>
      </c>
      <c r="N40" s="9">
        <v>122</v>
      </c>
      <c r="O40" s="1" t="s">
        <v>144</v>
      </c>
      <c r="P40" s="8"/>
    </row>
    <row r="41" spans="1:16" ht="25.5" x14ac:dyDescent="0.25">
      <c r="A41" s="1" t="s">
        <v>42</v>
      </c>
      <c r="B41" s="4" t="s">
        <v>43</v>
      </c>
      <c r="C41" s="1" t="s">
        <v>73</v>
      </c>
      <c r="D41" s="1" t="s">
        <v>74</v>
      </c>
      <c r="E41" s="1" t="s">
        <v>143</v>
      </c>
      <c r="F41" s="1" t="s">
        <v>142</v>
      </c>
      <c r="G41" s="5" t="s">
        <v>111</v>
      </c>
      <c r="H41" s="6">
        <v>312.67</v>
      </c>
      <c r="I41" s="6">
        <v>31.26</v>
      </c>
      <c r="J41" s="1" t="s">
        <v>110</v>
      </c>
      <c r="K41" s="1">
        <v>82178</v>
      </c>
      <c r="L41" s="7">
        <v>45901</v>
      </c>
      <c r="M41" s="8"/>
      <c r="N41" s="9">
        <v>180</v>
      </c>
      <c r="O41" s="1" t="s">
        <v>141</v>
      </c>
      <c r="P41" s="8"/>
    </row>
    <row r="42" spans="1:16" x14ac:dyDescent="0.25">
      <c r="A42" s="1" t="s">
        <v>208</v>
      </c>
      <c r="B42" s="4" t="s">
        <v>43</v>
      </c>
      <c r="C42" s="1" t="s">
        <v>44</v>
      </c>
      <c r="D42" s="1" t="s">
        <v>45</v>
      </c>
      <c r="E42" s="1" t="s">
        <v>235</v>
      </c>
      <c r="F42" s="1" t="s">
        <v>234</v>
      </c>
      <c r="G42" s="5" t="s">
        <v>233</v>
      </c>
      <c r="H42" s="6">
        <v>747.39</v>
      </c>
      <c r="I42" s="6">
        <v>186.84</v>
      </c>
      <c r="J42" s="1" t="s">
        <v>66</v>
      </c>
      <c r="K42" s="1">
        <v>95788</v>
      </c>
      <c r="L42" s="7">
        <v>45897</v>
      </c>
      <c r="M42" s="8"/>
      <c r="N42" s="9">
        <v>180</v>
      </c>
      <c r="O42" s="1" t="s">
        <v>232</v>
      </c>
      <c r="P42" s="8"/>
    </row>
    <row r="43" spans="1:16" x14ac:dyDescent="0.25">
      <c r="A43" s="1" t="s">
        <v>208</v>
      </c>
      <c r="B43" s="4" t="s">
        <v>43</v>
      </c>
      <c r="C43" s="1" t="s">
        <v>44</v>
      </c>
      <c r="D43" s="1" t="s">
        <v>45</v>
      </c>
      <c r="E43" s="1" t="s">
        <v>51</v>
      </c>
      <c r="F43" s="1" t="s">
        <v>52</v>
      </c>
      <c r="G43" s="5" t="s">
        <v>231</v>
      </c>
      <c r="H43" s="6">
        <v>331.27</v>
      </c>
      <c r="I43" s="6">
        <v>82.82</v>
      </c>
      <c r="J43" s="1" t="s">
        <v>54</v>
      </c>
      <c r="K43" s="1">
        <v>95755</v>
      </c>
      <c r="L43" s="7">
        <v>45890</v>
      </c>
      <c r="M43" s="7">
        <v>46009</v>
      </c>
      <c r="N43" s="9">
        <v>120</v>
      </c>
      <c r="O43" s="1" t="s">
        <v>55</v>
      </c>
      <c r="P43" s="8"/>
    </row>
    <row r="44" spans="1:16" x14ac:dyDescent="0.25">
      <c r="A44" s="1" t="s">
        <v>208</v>
      </c>
      <c r="B44" s="4" t="s">
        <v>43</v>
      </c>
      <c r="C44" s="1" t="s">
        <v>44</v>
      </c>
      <c r="D44" s="1" t="s">
        <v>45</v>
      </c>
      <c r="E44" s="1" t="s">
        <v>230</v>
      </c>
      <c r="F44" s="1" t="s">
        <v>229</v>
      </c>
      <c r="G44" s="5" t="s">
        <v>228</v>
      </c>
      <c r="H44" s="6">
        <v>121.25</v>
      </c>
      <c r="I44" s="6">
        <v>30.31</v>
      </c>
      <c r="J44" s="1" t="s">
        <v>159</v>
      </c>
      <c r="K44" s="1">
        <v>95760</v>
      </c>
      <c r="L44" s="7">
        <v>45860</v>
      </c>
      <c r="M44" s="7">
        <v>45982</v>
      </c>
      <c r="N44" s="9">
        <v>123</v>
      </c>
      <c r="O44" s="1" t="s">
        <v>227</v>
      </c>
      <c r="P44" s="8"/>
    </row>
    <row r="45" spans="1:16" ht="25.5" x14ac:dyDescent="0.25">
      <c r="A45" s="1" t="s">
        <v>208</v>
      </c>
      <c r="B45" s="4" t="s">
        <v>43</v>
      </c>
      <c r="C45" s="1" t="s">
        <v>73</v>
      </c>
      <c r="D45" s="1" t="s">
        <v>74</v>
      </c>
      <c r="E45" s="1" t="s">
        <v>226</v>
      </c>
      <c r="F45" s="1" t="s">
        <v>225</v>
      </c>
      <c r="G45" s="5" t="s">
        <v>211</v>
      </c>
      <c r="H45" s="6">
        <v>250.07</v>
      </c>
      <c r="I45" s="6">
        <v>62.52</v>
      </c>
      <c r="J45" s="1" t="s">
        <v>224</v>
      </c>
      <c r="K45" s="1">
        <v>95834</v>
      </c>
      <c r="L45" s="7">
        <v>45896</v>
      </c>
      <c r="M45" s="7">
        <v>46017</v>
      </c>
      <c r="N45" s="9">
        <v>122</v>
      </c>
      <c r="O45" s="1" t="s">
        <v>223</v>
      </c>
      <c r="P45" s="8"/>
    </row>
    <row r="46" spans="1:16" x14ac:dyDescent="0.25">
      <c r="A46" s="1" t="s">
        <v>208</v>
      </c>
      <c r="B46" s="4" t="s">
        <v>43</v>
      </c>
      <c r="C46" s="1" t="s">
        <v>44</v>
      </c>
      <c r="D46" s="1" t="s">
        <v>45</v>
      </c>
      <c r="E46" s="1" t="s">
        <v>222</v>
      </c>
      <c r="F46" s="1" t="s">
        <v>221</v>
      </c>
      <c r="G46" s="5" t="s">
        <v>211</v>
      </c>
      <c r="H46" s="6">
        <v>104.11</v>
      </c>
      <c r="I46" s="6">
        <v>26.03</v>
      </c>
      <c r="J46" s="1" t="s">
        <v>49</v>
      </c>
      <c r="K46" s="1">
        <v>81570</v>
      </c>
      <c r="L46" s="7">
        <v>45835</v>
      </c>
      <c r="M46" s="7">
        <v>45956</v>
      </c>
      <c r="N46" s="9">
        <v>122</v>
      </c>
      <c r="O46" s="1" t="s">
        <v>220</v>
      </c>
      <c r="P46" s="8"/>
    </row>
    <row r="47" spans="1:16" ht="25.5" x14ac:dyDescent="0.25">
      <c r="A47" s="1" t="s">
        <v>208</v>
      </c>
      <c r="B47" s="4" t="s">
        <v>43</v>
      </c>
      <c r="C47" s="1" t="s">
        <v>73</v>
      </c>
      <c r="D47" s="1" t="s">
        <v>74</v>
      </c>
      <c r="E47" s="1" t="s">
        <v>219</v>
      </c>
      <c r="F47" s="1" t="s">
        <v>218</v>
      </c>
      <c r="G47" s="5" t="s">
        <v>217</v>
      </c>
      <c r="H47" s="6">
        <v>-35.75</v>
      </c>
      <c r="I47" s="6">
        <v>-8.94</v>
      </c>
      <c r="J47" s="1" t="s">
        <v>82</v>
      </c>
      <c r="K47" s="1">
        <v>96033</v>
      </c>
      <c r="L47" s="7">
        <v>45857</v>
      </c>
      <c r="M47" s="7">
        <v>45920</v>
      </c>
      <c r="N47" s="9">
        <v>123</v>
      </c>
      <c r="O47" s="1" t="s">
        <v>216</v>
      </c>
      <c r="P47" s="8"/>
    </row>
    <row r="48" spans="1:16" ht="25.5" x14ac:dyDescent="0.25">
      <c r="A48" s="1" t="s">
        <v>208</v>
      </c>
      <c r="B48" s="4" t="s">
        <v>43</v>
      </c>
      <c r="C48" s="1" t="s">
        <v>73</v>
      </c>
      <c r="D48" s="1" t="s">
        <v>74</v>
      </c>
      <c r="E48" s="1" t="s">
        <v>79</v>
      </c>
      <c r="F48" s="1" t="s">
        <v>80</v>
      </c>
      <c r="G48" s="5" t="s">
        <v>215</v>
      </c>
      <c r="H48" s="6">
        <v>63.13</v>
      </c>
      <c r="I48" s="6">
        <v>15.78</v>
      </c>
      <c r="J48" s="1" t="s">
        <v>82</v>
      </c>
      <c r="K48" s="1">
        <v>96033</v>
      </c>
      <c r="L48" s="7">
        <v>45889</v>
      </c>
      <c r="M48" s="8"/>
      <c r="N48" s="9">
        <v>180</v>
      </c>
      <c r="O48" s="1" t="s">
        <v>83</v>
      </c>
      <c r="P48" s="8"/>
    </row>
    <row r="49" spans="1:16" ht="25.5" x14ac:dyDescent="0.25">
      <c r="A49" s="1" t="s">
        <v>208</v>
      </c>
      <c r="B49" s="4" t="s">
        <v>43</v>
      </c>
      <c r="C49" s="1" t="s">
        <v>73</v>
      </c>
      <c r="D49" s="1" t="s">
        <v>74</v>
      </c>
      <c r="E49" s="1" t="s">
        <v>213</v>
      </c>
      <c r="F49" s="1" t="s">
        <v>212</v>
      </c>
      <c r="G49" s="5" t="s">
        <v>214</v>
      </c>
      <c r="H49" s="6">
        <v>405.34</v>
      </c>
      <c r="I49" s="6">
        <v>101.34</v>
      </c>
      <c r="J49" s="1" t="s">
        <v>210</v>
      </c>
      <c r="K49" s="1">
        <v>74054</v>
      </c>
      <c r="L49" s="7">
        <v>45896</v>
      </c>
      <c r="M49" s="8"/>
      <c r="N49" s="9">
        <v>180</v>
      </c>
      <c r="O49" s="1" t="s">
        <v>209</v>
      </c>
      <c r="P49" s="8"/>
    </row>
    <row r="50" spans="1:16" ht="25.5" x14ac:dyDescent="0.25">
      <c r="A50" s="1" t="s">
        <v>208</v>
      </c>
      <c r="B50" s="4" t="s">
        <v>43</v>
      </c>
      <c r="C50" s="1" t="s">
        <v>73</v>
      </c>
      <c r="D50" s="1" t="s">
        <v>74</v>
      </c>
      <c r="E50" s="1" t="s">
        <v>213</v>
      </c>
      <c r="F50" s="1" t="s">
        <v>212</v>
      </c>
      <c r="G50" s="5" t="s">
        <v>211</v>
      </c>
      <c r="H50" s="6">
        <v>405.34</v>
      </c>
      <c r="I50" s="6">
        <v>101.34</v>
      </c>
      <c r="J50" s="1" t="s">
        <v>210</v>
      </c>
      <c r="K50" s="1">
        <v>74054</v>
      </c>
      <c r="L50" s="7">
        <v>45896</v>
      </c>
      <c r="M50" s="8"/>
      <c r="N50" s="9">
        <v>180</v>
      </c>
      <c r="O50" s="1" t="s">
        <v>209</v>
      </c>
      <c r="P50" s="8"/>
    </row>
    <row r="51" spans="1:16" x14ac:dyDescent="0.25">
      <c r="A51" s="1" t="s">
        <v>208</v>
      </c>
      <c r="B51" s="4" t="s">
        <v>43</v>
      </c>
      <c r="C51" s="1" t="s">
        <v>44</v>
      </c>
      <c r="D51" s="1" t="s">
        <v>45</v>
      </c>
      <c r="E51" s="1" t="s">
        <v>88</v>
      </c>
      <c r="F51" s="1" t="s">
        <v>89</v>
      </c>
      <c r="G51" s="5" t="s">
        <v>207</v>
      </c>
      <c r="H51" s="6">
        <v>107.46</v>
      </c>
      <c r="I51" s="6">
        <v>26.87</v>
      </c>
      <c r="J51" s="1" t="s">
        <v>66</v>
      </c>
      <c r="K51" s="1">
        <v>95788</v>
      </c>
      <c r="L51" s="7">
        <v>45917</v>
      </c>
      <c r="M51" s="7">
        <v>46038</v>
      </c>
      <c r="N51" s="9">
        <v>122</v>
      </c>
      <c r="O51" s="1" t="s">
        <v>91</v>
      </c>
      <c r="P51" s="8"/>
    </row>
    <row r="52" spans="1:16" ht="25.5" x14ac:dyDescent="0.25">
      <c r="A52" s="1" t="s">
        <v>208</v>
      </c>
      <c r="B52" s="4" t="s">
        <v>43</v>
      </c>
      <c r="C52" s="1" t="s">
        <v>73</v>
      </c>
      <c r="D52" s="1" t="s">
        <v>74</v>
      </c>
      <c r="E52" s="1" t="s">
        <v>92</v>
      </c>
      <c r="F52" s="1" t="s">
        <v>93</v>
      </c>
      <c r="G52" s="5" t="s">
        <v>207</v>
      </c>
      <c r="H52" s="6">
        <v>250.08</v>
      </c>
      <c r="I52" s="6">
        <v>62.52</v>
      </c>
      <c r="J52" s="1" t="s">
        <v>94</v>
      </c>
      <c r="K52" s="1">
        <v>81722</v>
      </c>
      <c r="L52" s="7">
        <v>45917</v>
      </c>
      <c r="M52" s="8"/>
      <c r="N52" s="9">
        <v>180</v>
      </c>
      <c r="O52" s="1" t="s">
        <v>95</v>
      </c>
      <c r="P52" s="8"/>
    </row>
    <row r="53" spans="1:16" x14ac:dyDescent="0.25">
      <c r="A53" s="1" t="s">
        <v>208</v>
      </c>
      <c r="B53" s="4" t="s">
        <v>43</v>
      </c>
      <c r="C53" s="1" t="s">
        <v>44</v>
      </c>
      <c r="D53" s="1" t="s">
        <v>45</v>
      </c>
      <c r="E53" s="1" t="s">
        <v>46</v>
      </c>
      <c r="F53" s="1" t="s">
        <v>47</v>
      </c>
      <c r="G53" s="5" t="s">
        <v>217</v>
      </c>
      <c r="H53" s="6">
        <v>606.54</v>
      </c>
      <c r="I53" s="6">
        <v>151.63999999999999</v>
      </c>
      <c r="J53" s="1" t="s">
        <v>49</v>
      </c>
      <c r="K53" s="1">
        <v>81570</v>
      </c>
      <c r="L53" s="7">
        <v>45827</v>
      </c>
      <c r="M53" s="8"/>
      <c r="N53" s="9">
        <v>364</v>
      </c>
      <c r="O53" s="1" t="s">
        <v>50</v>
      </c>
      <c r="P53" s="8"/>
    </row>
    <row r="54" spans="1:16" x14ac:dyDescent="0.25">
      <c r="A54" s="1" t="s">
        <v>208</v>
      </c>
      <c r="B54" s="4" t="s">
        <v>43</v>
      </c>
      <c r="C54" s="1" t="s">
        <v>44</v>
      </c>
      <c r="D54" s="1" t="s">
        <v>45</v>
      </c>
      <c r="E54" s="1" t="s">
        <v>63</v>
      </c>
      <c r="F54" s="1" t="s">
        <v>64</v>
      </c>
      <c r="G54" s="5" t="s">
        <v>241</v>
      </c>
      <c r="H54" s="6">
        <v>107.39</v>
      </c>
      <c r="I54" s="6">
        <v>26.85</v>
      </c>
      <c r="J54" s="1" t="s">
        <v>66</v>
      </c>
      <c r="K54" s="1">
        <v>95788</v>
      </c>
      <c r="L54" s="7">
        <v>45915</v>
      </c>
      <c r="M54" s="7">
        <v>46036</v>
      </c>
      <c r="N54" s="9">
        <v>122</v>
      </c>
      <c r="O54" s="1" t="s">
        <v>67</v>
      </c>
      <c r="P54" s="8"/>
    </row>
    <row r="55" spans="1:16" ht="25.5" x14ac:dyDescent="0.25">
      <c r="A55" s="1" t="s">
        <v>208</v>
      </c>
      <c r="B55" s="4" t="s">
        <v>43</v>
      </c>
      <c r="C55" s="1" t="s">
        <v>56</v>
      </c>
      <c r="D55" s="1" t="s">
        <v>57</v>
      </c>
      <c r="E55" s="1" t="s">
        <v>68</v>
      </c>
      <c r="F55" s="1" t="s">
        <v>69</v>
      </c>
      <c r="G55" s="5" t="s">
        <v>240</v>
      </c>
      <c r="H55" s="6">
        <v>451.99</v>
      </c>
      <c r="I55" s="6">
        <v>113</v>
      </c>
      <c r="J55" s="1" t="s">
        <v>71</v>
      </c>
      <c r="K55" s="1">
        <v>95807</v>
      </c>
      <c r="L55" s="7">
        <v>45854</v>
      </c>
      <c r="M55" s="7">
        <v>45976</v>
      </c>
      <c r="N55" s="9">
        <v>123</v>
      </c>
      <c r="O55" s="1" t="s">
        <v>72</v>
      </c>
      <c r="P55" s="8"/>
    </row>
    <row r="56" spans="1:16" ht="25.5" x14ac:dyDescent="0.25">
      <c r="A56" s="1" t="s">
        <v>208</v>
      </c>
      <c r="B56" s="4" t="s">
        <v>43</v>
      </c>
      <c r="C56" s="1" t="s">
        <v>73</v>
      </c>
      <c r="D56" s="1" t="s">
        <v>74</v>
      </c>
      <c r="E56" s="1" t="s">
        <v>219</v>
      </c>
      <c r="F56" s="1" t="s">
        <v>218</v>
      </c>
      <c r="G56" s="5" t="s">
        <v>217</v>
      </c>
      <c r="H56" s="6">
        <v>38.299999999999997</v>
      </c>
      <c r="I56" s="6">
        <v>9.58</v>
      </c>
      <c r="J56" s="1" t="s">
        <v>82</v>
      </c>
      <c r="K56" s="1">
        <v>96033</v>
      </c>
      <c r="L56" s="7">
        <v>45857</v>
      </c>
      <c r="M56" s="7">
        <v>45979</v>
      </c>
      <c r="N56" s="9">
        <v>123</v>
      </c>
      <c r="O56" s="1" t="s">
        <v>216</v>
      </c>
      <c r="P56" s="8"/>
    </row>
    <row r="57" spans="1:16" x14ac:dyDescent="0.25">
      <c r="A57" s="1" t="s">
        <v>208</v>
      </c>
      <c r="B57" s="4" t="s">
        <v>43</v>
      </c>
      <c r="C57" s="1" t="s">
        <v>44</v>
      </c>
      <c r="D57" s="1" t="s">
        <v>45</v>
      </c>
      <c r="E57" s="1" t="s">
        <v>239</v>
      </c>
      <c r="F57" s="1" t="s">
        <v>238</v>
      </c>
      <c r="G57" s="5" t="s">
        <v>237</v>
      </c>
      <c r="H57" s="6">
        <v>104.76</v>
      </c>
      <c r="I57" s="6">
        <v>20.95</v>
      </c>
      <c r="J57" s="1" t="s">
        <v>49</v>
      </c>
      <c r="K57" s="1">
        <v>81570</v>
      </c>
      <c r="L57" s="7">
        <v>45877</v>
      </c>
      <c r="M57" s="7">
        <v>45968</v>
      </c>
      <c r="N57" s="9">
        <v>92</v>
      </c>
      <c r="O57" s="1" t="s">
        <v>236</v>
      </c>
      <c r="P57" s="8"/>
    </row>
    <row r="58" spans="1:16" ht="25.5" x14ac:dyDescent="0.25">
      <c r="A58" s="1" t="s">
        <v>208</v>
      </c>
      <c r="B58" s="4" t="s">
        <v>43</v>
      </c>
      <c r="C58" s="1" t="s">
        <v>73</v>
      </c>
      <c r="D58" s="1" t="s">
        <v>74</v>
      </c>
      <c r="E58" s="1" t="s">
        <v>75</v>
      </c>
      <c r="F58" s="1" t="s">
        <v>76</v>
      </c>
      <c r="G58" s="5" t="s">
        <v>217</v>
      </c>
      <c r="H58" s="6">
        <v>231.68</v>
      </c>
      <c r="I58" s="6">
        <v>57.92</v>
      </c>
      <c r="J58" s="1" t="s">
        <v>77</v>
      </c>
      <c r="K58" s="1">
        <v>96125</v>
      </c>
      <c r="L58" s="7">
        <v>45888</v>
      </c>
      <c r="M58" s="8"/>
      <c r="N58" s="9">
        <v>180</v>
      </c>
      <c r="O58" s="1" t="s">
        <v>78</v>
      </c>
      <c r="P58" s="8"/>
    </row>
    <row r="59" spans="1:16" x14ac:dyDescent="0.25">
      <c r="A59" s="1" t="s">
        <v>208</v>
      </c>
      <c r="B59" s="4" t="s">
        <v>43</v>
      </c>
      <c r="C59" s="1" t="s">
        <v>44</v>
      </c>
      <c r="D59" s="1" t="s">
        <v>45</v>
      </c>
      <c r="E59" s="1" t="s">
        <v>117</v>
      </c>
      <c r="F59" s="1" t="s">
        <v>116</v>
      </c>
      <c r="G59" s="5" t="s">
        <v>145</v>
      </c>
      <c r="H59" s="6">
        <v>126.89</v>
      </c>
      <c r="I59" s="6">
        <v>31.72</v>
      </c>
      <c r="J59" s="1" t="s">
        <v>54</v>
      </c>
      <c r="K59" s="1">
        <v>95755</v>
      </c>
      <c r="L59" s="7">
        <v>45912</v>
      </c>
      <c r="M59" s="8"/>
      <c r="N59" s="9">
        <v>180</v>
      </c>
      <c r="O59" s="1" t="s">
        <v>114</v>
      </c>
      <c r="P59" s="8"/>
    </row>
    <row r="60" spans="1:16" x14ac:dyDescent="0.25">
      <c r="A60" s="1" t="s">
        <v>208</v>
      </c>
      <c r="B60" s="4" t="s">
        <v>43</v>
      </c>
      <c r="C60" s="1" t="s">
        <v>140</v>
      </c>
      <c r="D60" s="1" t="s">
        <v>139</v>
      </c>
      <c r="E60" s="1" t="s">
        <v>138</v>
      </c>
      <c r="F60" s="1" t="s">
        <v>137</v>
      </c>
      <c r="G60" s="5" t="s">
        <v>256</v>
      </c>
      <c r="H60" s="6">
        <v>28.1</v>
      </c>
      <c r="I60" s="6">
        <v>3.65</v>
      </c>
      <c r="J60" s="1" t="s">
        <v>135</v>
      </c>
      <c r="K60" s="1">
        <v>96477</v>
      </c>
      <c r="L60" s="7">
        <v>45637</v>
      </c>
      <c r="M60" s="8"/>
      <c r="N60" s="8"/>
      <c r="O60" s="1" t="s">
        <v>134</v>
      </c>
      <c r="P60" s="8"/>
    </row>
    <row r="61" spans="1:16" ht="25.5" x14ac:dyDescent="0.25">
      <c r="A61" s="1" t="s">
        <v>208</v>
      </c>
      <c r="B61" s="4" t="s">
        <v>43</v>
      </c>
      <c r="C61" s="1" t="s">
        <v>73</v>
      </c>
      <c r="D61" s="1" t="s">
        <v>74</v>
      </c>
      <c r="E61" s="1" t="s">
        <v>202</v>
      </c>
      <c r="F61" s="1" t="s">
        <v>201</v>
      </c>
      <c r="G61" s="5" t="s">
        <v>86</v>
      </c>
      <c r="H61" s="6">
        <v>110.8</v>
      </c>
      <c r="I61" s="6">
        <v>27.7</v>
      </c>
      <c r="J61" s="1" t="s">
        <v>135</v>
      </c>
      <c r="K61" s="1">
        <v>96477</v>
      </c>
      <c r="L61" s="7">
        <v>45901</v>
      </c>
      <c r="M61" s="7">
        <v>46022</v>
      </c>
      <c r="N61" s="9">
        <v>122</v>
      </c>
      <c r="O61" s="1" t="s">
        <v>200</v>
      </c>
      <c r="P61" s="8"/>
    </row>
    <row r="62" spans="1:16" ht="25.5" x14ac:dyDescent="0.25">
      <c r="A62" s="1" t="s">
        <v>208</v>
      </c>
      <c r="B62" s="4" t="s">
        <v>43</v>
      </c>
      <c r="C62" s="1" t="s">
        <v>73</v>
      </c>
      <c r="D62" s="1" t="s">
        <v>74</v>
      </c>
      <c r="E62" s="1" t="s">
        <v>255</v>
      </c>
      <c r="F62" s="1" t="s">
        <v>189</v>
      </c>
      <c r="G62" s="5" t="s">
        <v>254</v>
      </c>
      <c r="H62" s="6">
        <v>129.63999999999999</v>
      </c>
      <c r="I62" s="6">
        <v>32.409999999999997</v>
      </c>
      <c r="J62" s="1" t="s">
        <v>187</v>
      </c>
      <c r="K62" s="1">
        <v>95679</v>
      </c>
      <c r="L62" s="7">
        <v>45814</v>
      </c>
      <c r="M62" s="7">
        <v>45935</v>
      </c>
      <c r="N62" s="9">
        <v>122</v>
      </c>
      <c r="O62" s="1" t="s">
        <v>253</v>
      </c>
      <c r="P62" s="8"/>
    </row>
    <row r="63" spans="1:16" ht="25.5" x14ac:dyDescent="0.25">
      <c r="A63" s="1" t="s">
        <v>208</v>
      </c>
      <c r="B63" s="4" t="s">
        <v>43</v>
      </c>
      <c r="C63" s="1" t="s">
        <v>73</v>
      </c>
      <c r="D63" s="1" t="s">
        <v>74</v>
      </c>
      <c r="E63" s="1" t="s">
        <v>252</v>
      </c>
      <c r="F63" s="1" t="s">
        <v>132</v>
      </c>
      <c r="G63" s="5" t="s">
        <v>251</v>
      </c>
      <c r="H63" s="6">
        <v>245.09</v>
      </c>
      <c r="I63" s="6">
        <v>61.27</v>
      </c>
      <c r="J63" s="1" t="s">
        <v>130</v>
      </c>
      <c r="K63" s="1">
        <v>95609</v>
      </c>
      <c r="L63" s="7">
        <v>45816</v>
      </c>
      <c r="M63" s="7">
        <v>45937</v>
      </c>
      <c r="N63" s="9">
        <v>122</v>
      </c>
      <c r="O63" s="1" t="s">
        <v>250</v>
      </c>
      <c r="P63" s="8"/>
    </row>
    <row r="64" spans="1:16" x14ac:dyDescent="0.25">
      <c r="A64" s="1" t="s">
        <v>208</v>
      </c>
      <c r="B64" s="4" t="s">
        <v>43</v>
      </c>
      <c r="C64" s="1" t="s">
        <v>44</v>
      </c>
      <c r="D64" s="1" t="s">
        <v>45</v>
      </c>
      <c r="E64" s="1" t="s">
        <v>128</v>
      </c>
      <c r="F64" s="1" t="s">
        <v>127</v>
      </c>
      <c r="G64" s="5" t="s">
        <v>249</v>
      </c>
      <c r="H64" s="6">
        <v>117.06</v>
      </c>
      <c r="I64" s="6">
        <v>29.27</v>
      </c>
      <c r="J64" s="1" t="s">
        <v>49</v>
      </c>
      <c r="K64" s="1">
        <v>81570</v>
      </c>
      <c r="L64" s="7">
        <v>45847</v>
      </c>
      <c r="M64" s="7">
        <v>45969</v>
      </c>
      <c r="N64" s="9">
        <v>123</v>
      </c>
      <c r="O64" s="1" t="s">
        <v>126</v>
      </c>
      <c r="P64" s="8"/>
    </row>
    <row r="65" spans="1:17" x14ac:dyDescent="0.25">
      <c r="A65" s="1" t="s">
        <v>208</v>
      </c>
      <c r="B65" s="4" t="s">
        <v>43</v>
      </c>
      <c r="C65" s="1" t="s">
        <v>44</v>
      </c>
      <c r="D65" s="1" t="s">
        <v>45</v>
      </c>
      <c r="E65" s="1" t="s">
        <v>151</v>
      </c>
      <c r="F65" s="1" t="s">
        <v>150</v>
      </c>
      <c r="G65" s="5" t="s">
        <v>248</v>
      </c>
      <c r="H65" s="6">
        <v>197.23</v>
      </c>
      <c r="I65" s="6">
        <v>43.39</v>
      </c>
      <c r="J65" s="1" t="s">
        <v>149</v>
      </c>
      <c r="K65" s="1">
        <v>80640</v>
      </c>
      <c r="L65" s="7">
        <v>45870</v>
      </c>
      <c r="M65" s="7">
        <v>45991</v>
      </c>
      <c r="N65" s="9">
        <v>122</v>
      </c>
      <c r="O65" s="1" t="s">
        <v>148</v>
      </c>
      <c r="P65" s="8"/>
    </row>
    <row r="66" spans="1:17" x14ac:dyDescent="0.25">
      <c r="A66" s="1" t="s">
        <v>208</v>
      </c>
      <c r="B66" s="4" t="s">
        <v>43</v>
      </c>
      <c r="C66" s="1" t="s">
        <v>44</v>
      </c>
      <c r="D66" s="1" t="s">
        <v>45</v>
      </c>
      <c r="E66" s="1" t="s">
        <v>151</v>
      </c>
      <c r="F66" s="1" t="s">
        <v>150</v>
      </c>
      <c r="G66" s="5" t="s">
        <v>86</v>
      </c>
      <c r="H66" s="6">
        <v>197.23</v>
      </c>
      <c r="I66" s="6">
        <v>43.39</v>
      </c>
      <c r="J66" s="1" t="s">
        <v>149</v>
      </c>
      <c r="K66" s="1">
        <v>80640</v>
      </c>
      <c r="L66" s="7">
        <v>45870</v>
      </c>
      <c r="M66" s="7">
        <v>45991</v>
      </c>
      <c r="N66" s="9">
        <v>122</v>
      </c>
      <c r="O66" s="1" t="s">
        <v>148</v>
      </c>
      <c r="P66" s="8"/>
    </row>
    <row r="67" spans="1:17" ht="25.5" x14ac:dyDescent="0.25">
      <c r="A67" s="1" t="s">
        <v>208</v>
      </c>
      <c r="B67" s="4" t="s">
        <v>43</v>
      </c>
      <c r="C67" s="1" t="s">
        <v>73</v>
      </c>
      <c r="D67" s="1" t="s">
        <v>74</v>
      </c>
      <c r="E67" s="1" t="s">
        <v>121</v>
      </c>
      <c r="F67" s="1" t="s">
        <v>120</v>
      </c>
      <c r="G67" s="5" t="s">
        <v>247</v>
      </c>
      <c r="H67" s="6">
        <v>373.58</v>
      </c>
      <c r="I67" s="6">
        <v>93.4</v>
      </c>
      <c r="J67" s="1" t="s">
        <v>94</v>
      </c>
      <c r="K67" s="1">
        <v>81722</v>
      </c>
      <c r="L67" s="7">
        <v>45876</v>
      </c>
      <c r="M67" s="7">
        <v>45997</v>
      </c>
      <c r="N67" s="9">
        <v>122</v>
      </c>
      <c r="O67" s="1" t="s">
        <v>118</v>
      </c>
      <c r="P67" s="8"/>
    </row>
    <row r="68" spans="1:17" ht="25.5" x14ac:dyDescent="0.25">
      <c r="A68" s="1" t="s">
        <v>208</v>
      </c>
      <c r="B68" s="4" t="s">
        <v>43</v>
      </c>
      <c r="C68" s="1" t="s">
        <v>73</v>
      </c>
      <c r="D68" s="1" t="s">
        <v>74</v>
      </c>
      <c r="E68" s="1" t="s">
        <v>246</v>
      </c>
      <c r="F68" s="1" t="s">
        <v>245</v>
      </c>
      <c r="G68" s="5" t="s">
        <v>244</v>
      </c>
      <c r="H68" s="6">
        <v>393.8</v>
      </c>
      <c r="I68" s="6">
        <v>98.45</v>
      </c>
      <c r="J68" s="1" t="s">
        <v>243</v>
      </c>
      <c r="K68" s="1">
        <v>2658</v>
      </c>
      <c r="L68" s="7">
        <v>45887</v>
      </c>
      <c r="M68" s="7">
        <v>46008</v>
      </c>
      <c r="N68" s="9">
        <v>122</v>
      </c>
      <c r="O68" s="1" t="s">
        <v>242</v>
      </c>
      <c r="P68" s="8"/>
    </row>
    <row r="69" spans="1:17" ht="25.5" x14ac:dyDescent="0.25">
      <c r="A69" s="1" t="s">
        <v>208</v>
      </c>
      <c r="B69" s="4" t="s">
        <v>43</v>
      </c>
      <c r="C69" s="1" t="s">
        <v>44</v>
      </c>
      <c r="D69" s="1" t="s">
        <v>45</v>
      </c>
      <c r="E69" s="1" t="s">
        <v>147</v>
      </c>
      <c r="F69" s="1" t="s">
        <v>146</v>
      </c>
      <c r="G69" s="5" t="s">
        <v>145</v>
      </c>
      <c r="H69" s="6">
        <v>256.33</v>
      </c>
      <c r="I69" s="6">
        <v>64.08</v>
      </c>
      <c r="J69" s="1" t="s">
        <v>66</v>
      </c>
      <c r="K69" s="1">
        <v>95788</v>
      </c>
      <c r="L69" s="7">
        <v>45881</v>
      </c>
      <c r="M69" s="7">
        <v>46002</v>
      </c>
      <c r="N69" s="9">
        <v>122</v>
      </c>
      <c r="O69" s="1" t="s">
        <v>144</v>
      </c>
      <c r="P69" s="8"/>
    </row>
    <row r="70" spans="1:17" ht="25.5" x14ac:dyDescent="0.25">
      <c r="A70" s="1" t="s">
        <v>208</v>
      </c>
      <c r="B70" s="4" t="s">
        <v>43</v>
      </c>
      <c r="C70" s="1" t="s">
        <v>73</v>
      </c>
      <c r="D70" s="1" t="s">
        <v>74</v>
      </c>
      <c r="E70" s="1" t="s">
        <v>143</v>
      </c>
      <c r="F70" s="1" t="s">
        <v>142</v>
      </c>
      <c r="G70" s="5" t="s">
        <v>86</v>
      </c>
      <c r="H70" s="6">
        <v>312.67</v>
      </c>
      <c r="I70" s="6">
        <v>31.26</v>
      </c>
      <c r="J70" s="1" t="s">
        <v>110</v>
      </c>
      <c r="K70" s="1">
        <v>82178</v>
      </c>
      <c r="L70" s="7">
        <v>45901</v>
      </c>
      <c r="M70" s="8"/>
      <c r="N70" s="9">
        <v>180</v>
      </c>
      <c r="O70" s="1" t="s">
        <v>141</v>
      </c>
      <c r="P70" s="8"/>
    </row>
    <row r="71" spans="1:17" ht="25.5" x14ac:dyDescent="0.25">
      <c r="A71" s="1" t="s">
        <v>42</v>
      </c>
      <c r="B71" s="4" t="s">
        <v>43</v>
      </c>
      <c r="C71" s="1" t="s">
        <v>73</v>
      </c>
      <c r="D71" s="1" t="s">
        <v>74</v>
      </c>
      <c r="E71" s="1" t="s">
        <v>99</v>
      </c>
      <c r="F71" s="1" t="s">
        <v>100</v>
      </c>
      <c r="G71" s="5" t="s">
        <v>101</v>
      </c>
      <c r="H71" s="6">
        <v>191.49</v>
      </c>
      <c r="I71" s="6">
        <v>47.87</v>
      </c>
      <c r="J71" s="1" t="s">
        <v>102</v>
      </c>
      <c r="K71" s="1">
        <v>81775</v>
      </c>
      <c r="L71" s="7">
        <v>45939</v>
      </c>
      <c r="M71" s="8"/>
      <c r="N71" s="9">
        <v>180</v>
      </c>
      <c r="O71" s="1" t="s">
        <v>103</v>
      </c>
      <c r="P71" s="8"/>
    </row>
    <row r="72" spans="1:17" x14ac:dyDescent="0.25">
      <c r="A72" s="10" t="s">
        <v>104</v>
      </c>
      <c r="B72" s="4"/>
      <c r="C72" s="4"/>
      <c r="D72" s="4"/>
      <c r="E72" s="4"/>
      <c r="F72" s="4"/>
      <c r="G72" s="4"/>
      <c r="H72" s="6">
        <v>3285.0599999999995</v>
      </c>
      <c r="I72" s="6">
        <v>821.26999999999987</v>
      </c>
      <c r="J72" s="4"/>
      <c r="K72" s="4"/>
      <c r="L72" s="4"/>
      <c r="M72" s="4"/>
      <c r="N72" s="4"/>
      <c r="O72" s="4"/>
      <c r="P72" s="4"/>
    </row>
    <row r="73" spans="1:17" x14ac:dyDescent="0.25">
      <c r="A73" s="12" t="s">
        <v>4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spans="1:17" x14ac:dyDescent="0.25">
      <c r="A74" s="12" t="s">
        <v>4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spans="1:17" x14ac:dyDescent="0.25">
      <c r="A75" s="12" t="s">
        <v>4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</sheetData>
  <mergeCells count="3">
    <mergeCell ref="A73:Q73"/>
    <mergeCell ref="A74:Q74"/>
    <mergeCell ref="A75:Q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517C-A8DD-428C-AAAC-66AC4217627D}">
  <dimension ref="A1:P72"/>
  <sheetViews>
    <sheetView tabSelected="1" topLeftCell="A46" workbookViewId="0">
      <selection activeCell="U54" sqref="U54"/>
    </sheetView>
  </sheetViews>
  <sheetFormatPr defaultRowHeight="15" x14ac:dyDescent="0.25"/>
  <cols>
    <col min="1" max="1" width="10.5703125" bestFit="1" customWidth="1"/>
    <col min="2" max="2" width="7.42578125" bestFit="1" customWidth="1"/>
    <col min="3" max="3" width="16.42578125" bestFit="1" customWidth="1"/>
    <col min="4" max="4" width="10.7109375" bestFit="1" customWidth="1"/>
    <col min="5" max="5" width="12.42578125" bestFit="1" customWidth="1"/>
    <col min="6" max="6" width="13.85546875" bestFit="1" customWidth="1"/>
    <col min="7" max="7" width="10.140625" bestFit="1" customWidth="1"/>
    <col min="8" max="8" width="19.85546875" customWidth="1"/>
    <col min="9" max="9" width="12.140625" customWidth="1"/>
    <col min="10" max="10" width="10.140625" style="30" bestFit="1" customWidth="1"/>
    <col min="11" max="11" width="10.7109375" bestFit="1" customWidth="1"/>
    <col min="12" max="12" width="8.42578125" bestFit="1" customWidth="1"/>
    <col min="13" max="13" width="12.7109375" bestFit="1" customWidth="1"/>
    <col min="16" max="16" width="10.85546875" customWidth="1"/>
  </cols>
  <sheetData>
    <row r="1" spans="1:16" ht="24" x14ac:dyDescent="0.25">
      <c r="A1" s="3" t="s">
        <v>27</v>
      </c>
      <c r="B1" s="3" t="s">
        <v>28</v>
      </c>
      <c r="C1" s="3" t="s">
        <v>35</v>
      </c>
      <c r="D1" s="3" t="s">
        <v>36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37</v>
      </c>
      <c r="J1" s="28" t="s">
        <v>33</v>
      </c>
      <c r="K1" s="3" t="s">
        <v>38</v>
      </c>
      <c r="L1" s="3" t="s">
        <v>34</v>
      </c>
      <c r="M1" s="3" t="s">
        <v>23</v>
      </c>
      <c r="N1" s="32" t="s">
        <v>257</v>
      </c>
      <c r="O1" s="32" t="s">
        <v>260</v>
      </c>
      <c r="P1" s="32" t="s">
        <v>261</v>
      </c>
    </row>
    <row r="2" spans="1:16" ht="25.5" x14ac:dyDescent="0.25">
      <c r="A2" s="36">
        <v>45870</v>
      </c>
      <c r="B2" s="4" t="s">
        <v>43</v>
      </c>
      <c r="C2" s="1" t="s">
        <v>224</v>
      </c>
      <c r="D2" s="1">
        <v>19586992</v>
      </c>
      <c r="E2" s="1" t="s">
        <v>73</v>
      </c>
      <c r="F2" s="1" t="s">
        <v>74</v>
      </c>
      <c r="G2" s="1" t="s">
        <v>226</v>
      </c>
      <c r="H2" s="1" t="s">
        <v>225</v>
      </c>
      <c r="I2" s="7">
        <v>45896</v>
      </c>
      <c r="J2" s="29">
        <v>45927</v>
      </c>
      <c r="K2" s="7">
        <v>46017</v>
      </c>
      <c r="L2" s="6">
        <v>250.07</v>
      </c>
      <c r="M2" s="6">
        <v>62.52</v>
      </c>
      <c r="N2" s="33" t="s">
        <v>259</v>
      </c>
      <c r="O2" t="s">
        <v>266</v>
      </c>
      <c r="P2" s="34">
        <f>SUM(M2/L2)</f>
        <v>0.25000999720078382</v>
      </c>
    </row>
    <row r="3" spans="1:16" x14ac:dyDescent="0.25">
      <c r="A3" s="36">
        <v>45870</v>
      </c>
      <c r="B3" s="4" t="s">
        <v>43</v>
      </c>
      <c r="C3" s="1" t="s">
        <v>49</v>
      </c>
      <c r="D3" s="1">
        <v>17425766</v>
      </c>
      <c r="E3" s="1" t="s">
        <v>44</v>
      </c>
      <c r="F3" s="1" t="s">
        <v>45</v>
      </c>
      <c r="G3" s="1" t="s">
        <v>239</v>
      </c>
      <c r="H3" s="1" t="s">
        <v>238</v>
      </c>
      <c r="I3" s="7">
        <v>45877</v>
      </c>
      <c r="J3" s="29">
        <v>45877</v>
      </c>
      <c r="K3" s="7">
        <v>45968</v>
      </c>
      <c r="L3" s="6">
        <v>104.76</v>
      </c>
      <c r="M3" s="6">
        <v>20.95</v>
      </c>
      <c r="N3" s="33" t="s">
        <v>259</v>
      </c>
      <c r="O3" t="s">
        <v>264</v>
      </c>
      <c r="P3" s="34">
        <f>SUM(M3/L3)</f>
        <v>0.19998090874379532</v>
      </c>
    </row>
    <row r="4" spans="1:16" ht="25.5" x14ac:dyDescent="0.25">
      <c r="A4" s="36">
        <v>45901</v>
      </c>
      <c r="B4" s="4" t="s">
        <v>43</v>
      </c>
      <c r="C4" s="1" t="s">
        <v>49</v>
      </c>
      <c r="D4" s="1">
        <v>17425766</v>
      </c>
      <c r="E4" s="1" t="s">
        <v>73</v>
      </c>
      <c r="F4" s="1" t="s">
        <v>74</v>
      </c>
      <c r="G4" s="1" t="s">
        <v>84</v>
      </c>
      <c r="H4" s="1" t="s">
        <v>85</v>
      </c>
      <c r="I4" s="7">
        <v>45901</v>
      </c>
      <c r="J4" s="29">
        <v>45901</v>
      </c>
      <c r="K4" s="8"/>
      <c r="L4" s="6">
        <v>188.17</v>
      </c>
      <c r="M4" s="6">
        <v>47.04</v>
      </c>
      <c r="N4" s="33" t="s">
        <v>259</v>
      </c>
      <c r="O4" t="s">
        <v>266</v>
      </c>
      <c r="P4" s="34">
        <f>SUM(M4/L4)</f>
        <v>0.24998671414146784</v>
      </c>
    </row>
    <row r="5" spans="1:16" ht="25.5" x14ac:dyDescent="0.25">
      <c r="A5" s="36">
        <v>45901</v>
      </c>
      <c r="B5" s="4" t="s">
        <v>43</v>
      </c>
      <c r="C5" s="1" t="s">
        <v>49</v>
      </c>
      <c r="D5" s="1">
        <v>17425766</v>
      </c>
      <c r="E5" s="1" t="s">
        <v>73</v>
      </c>
      <c r="F5" s="1" t="s">
        <v>74</v>
      </c>
      <c r="G5" s="1" t="s">
        <v>96</v>
      </c>
      <c r="H5" s="1" t="s">
        <v>85</v>
      </c>
      <c r="I5" s="7">
        <v>45962</v>
      </c>
      <c r="J5" s="29">
        <v>45962</v>
      </c>
      <c r="K5" s="8"/>
      <c r="L5" s="6">
        <v>213.85</v>
      </c>
      <c r="M5" s="6">
        <v>53.46</v>
      </c>
      <c r="N5" s="33" t="s">
        <v>259</v>
      </c>
      <c r="O5" t="s">
        <v>266</v>
      </c>
      <c r="P5" s="34">
        <f>SUM(M5/L5)</f>
        <v>0.24998830956277765</v>
      </c>
    </row>
    <row r="6" spans="1:16" ht="25.5" x14ac:dyDescent="0.25">
      <c r="A6" s="36">
        <v>45901</v>
      </c>
      <c r="B6" s="4" t="s">
        <v>43</v>
      </c>
      <c r="C6" s="1" t="s">
        <v>49</v>
      </c>
      <c r="D6" s="1">
        <v>17425766</v>
      </c>
      <c r="E6" s="1" t="s">
        <v>56</v>
      </c>
      <c r="F6" s="1" t="s">
        <v>57</v>
      </c>
      <c r="G6" s="1" t="s">
        <v>58</v>
      </c>
      <c r="H6" s="1" t="s">
        <v>59</v>
      </c>
      <c r="I6" s="7">
        <v>45898</v>
      </c>
      <c r="J6" s="29">
        <v>45898</v>
      </c>
      <c r="K6" s="7">
        <v>45930</v>
      </c>
      <c r="L6" s="6">
        <v>608.88</v>
      </c>
      <c r="M6" s="6">
        <v>152.22</v>
      </c>
      <c r="N6" s="33" t="s">
        <v>259</v>
      </c>
      <c r="O6" t="s">
        <v>266</v>
      </c>
      <c r="P6" s="34">
        <f>SUM(M6/L6)</f>
        <v>0.25</v>
      </c>
    </row>
    <row r="7" spans="1:16" x14ac:dyDescent="0.25">
      <c r="A7" s="36">
        <v>45901</v>
      </c>
      <c r="B7" s="4" t="s">
        <v>43</v>
      </c>
      <c r="C7" s="1" t="s">
        <v>49</v>
      </c>
      <c r="D7" s="1">
        <v>17425766</v>
      </c>
      <c r="E7" s="1" t="s">
        <v>44</v>
      </c>
      <c r="F7" s="1" t="s">
        <v>45</v>
      </c>
      <c r="G7" s="1" t="s">
        <v>46</v>
      </c>
      <c r="H7" s="1" t="s">
        <v>47</v>
      </c>
      <c r="I7" s="7">
        <v>45827</v>
      </c>
      <c r="J7" s="29">
        <v>45949</v>
      </c>
      <c r="K7" s="8"/>
      <c r="L7" s="6">
        <v>606.54</v>
      </c>
      <c r="M7" s="6">
        <v>151.63999999999999</v>
      </c>
      <c r="N7" s="33" t="s">
        <v>259</v>
      </c>
      <c r="O7" t="s">
        <v>266</v>
      </c>
      <c r="P7" s="34">
        <f>SUM(M7/L7)</f>
        <v>0.25000824347940775</v>
      </c>
    </row>
    <row r="8" spans="1:16" x14ac:dyDescent="0.25">
      <c r="A8" s="36">
        <v>45870</v>
      </c>
      <c r="B8" s="4" t="s">
        <v>43</v>
      </c>
      <c r="C8" s="1" t="s">
        <v>49</v>
      </c>
      <c r="D8" s="1">
        <v>17425766</v>
      </c>
      <c r="E8" s="1" t="s">
        <v>44</v>
      </c>
      <c r="F8" s="1" t="s">
        <v>45</v>
      </c>
      <c r="G8" s="1" t="s">
        <v>46</v>
      </c>
      <c r="H8" s="1" t="s">
        <v>47</v>
      </c>
      <c r="I8" s="7">
        <v>45827</v>
      </c>
      <c r="J8" s="29">
        <v>45919</v>
      </c>
      <c r="K8" s="8"/>
      <c r="L8" s="6">
        <v>606.54</v>
      </c>
      <c r="M8" s="6">
        <v>151.63999999999999</v>
      </c>
      <c r="N8" s="33" t="s">
        <v>259</v>
      </c>
      <c r="O8" t="s">
        <v>266</v>
      </c>
      <c r="P8" s="34">
        <f>SUM(M8/L8)</f>
        <v>0.25000824347940775</v>
      </c>
    </row>
    <row r="9" spans="1:16" x14ac:dyDescent="0.25">
      <c r="A9" s="36">
        <v>45870</v>
      </c>
      <c r="B9" s="4" t="s">
        <v>43</v>
      </c>
      <c r="C9" s="1" t="s">
        <v>49</v>
      </c>
      <c r="D9" s="1">
        <v>17425766</v>
      </c>
      <c r="E9" s="1" t="s">
        <v>44</v>
      </c>
      <c r="F9" s="1" t="s">
        <v>45</v>
      </c>
      <c r="G9" s="1" t="s">
        <v>222</v>
      </c>
      <c r="H9" s="1" t="s">
        <v>221</v>
      </c>
      <c r="I9" s="7">
        <v>45835</v>
      </c>
      <c r="J9" s="29">
        <v>45927</v>
      </c>
      <c r="K9" s="7">
        <v>45956</v>
      </c>
      <c r="L9" s="6">
        <v>104.11</v>
      </c>
      <c r="M9" s="6">
        <v>26.03</v>
      </c>
      <c r="N9" s="33" t="s">
        <v>259</v>
      </c>
      <c r="O9" t="s">
        <v>266</v>
      </c>
      <c r="P9" s="34">
        <f>SUM(M9/L9)</f>
        <v>0.25002401306310634</v>
      </c>
    </row>
    <row r="10" spans="1:16" x14ac:dyDescent="0.25">
      <c r="A10" s="36">
        <v>45901</v>
      </c>
      <c r="B10" s="4" t="s">
        <v>43</v>
      </c>
      <c r="C10" s="1" t="s">
        <v>49</v>
      </c>
      <c r="D10" s="1">
        <v>17425766</v>
      </c>
      <c r="E10" s="1" t="s">
        <v>44</v>
      </c>
      <c r="F10" s="1" t="s">
        <v>45</v>
      </c>
      <c r="G10" s="1" t="s">
        <v>128</v>
      </c>
      <c r="H10" s="1" t="s">
        <v>127</v>
      </c>
      <c r="I10" s="7">
        <v>45847</v>
      </c>
      <c r="J10" s="29">
        <v>45939</v>
      </c>
      <c r="K10" s="7">
        <v>45969</v>
      </c>
      <c r="L10" s="6">
        <v>117.06</v>
      </c>
      <c r="M10" s="6">
        <v>29.27</v>
      </c>
      <c r="N10" s="33" t="s">
        <v>259</v>
      </c>
      <c r="O10" t="s">
        <v>266</v>
      </c>
      <c r="P10" s="34">
        <f>SUM(M10/L10)</f>
        <v>0.25004271313856141</v>
      </c>
    </row>
    <row r="11" spans="1:16" x14ac:dyDescent="0.25">
      <c r="A11" s="36">
        <v>45870</v>
      </c>
      <c r="B11" s="4" t="s">
        <v>43</v>
      </c>
      <c r="C11" s="1" t="s">
        <v>49</v>
      </c>
      <c r="D11" s="1">
        <v>17425766</v>
      </c>
      <c r="E11" s="1" t="s">
        <v>44</v>
      </c>
      <c r="F11" s="1" t="s">
        <v>45</v>
      </c>
      <c r="G11" s="1" t="s">
        <v>128</v>
      </c>
      <c r="H11" s="1" t="s">
        <v>127</v>
      </c>
      <c r="I11" s="7">
        <v>45847</v>
      </c>
      <c r="J11" s="29">
        <v>45909</v>
      </c>
      <c r="K11" s="7">
        <v>45969</v>
      </c>
      <c r="L11" s="6">
        <v>117.06</v>
      </c>
      <c r="M11" s="6">
        <v>29.27</v>
      </c>
      <c r="N11" s="33" t="s">
        <v>259</v>
      </c>
      <c r="O11" t="s">
        <v>266</v>
      </c>
      <c r="P11" s="34">
        <f>SUM(M11/L11)</f>
        <v>0.25004271313856141</v>
      </c>
    </row>
    <row r="12" spans="1:16" ht="25.5" x14ac:dyDescent="0.25">
      <c r="A12" s="36">
        <v>45901</v>
      </c>
      <c r="B12" s="4" t="s">
        <v>43</v>
      </c>
      <c r="C12" s="1" t="s">
        <v>49</v>
      </c>
      <c r="D12" s="1">
        <v>17425766</v>
      </c>
      <c r="E12" s="1" t="s">
        <v>56</v>
      </c>
      <c r="F12" s="1" t="s">
        <v>57</v>
      </c>
      <c r="G12" s="1" t="s">
        <v>58</v>
      </c>
      <c r="H12" s="1" t="s">
        <v>59</v>
      </c>
      <c r="I12" s="7">
        <v>45898</v>
      </c>
      <c r="J12" s="29">
        <v>45929</v>
      </c>
      <c r="K12" s="7">
        <v>45930</v>
      </c>
      <c r="L12" s="6">
        <v>40.590000000000003</v>
      </c>
      <c r="M12" s="6">
        <v>10.15</v>
      </c>
      <c r="N12" s="33" t="s">
        <v>259</v>
      </c>
      <c r="O12" t="s">
        <v>266</v>
      </c>
      <c r="P12" s="34">
        <f>SUM(M12/L12)</f>
        <v>0.25006159152500612</v>
      </c>
    </row>
    <row r="13" spans="1:16" x14ac:dyDescent="0.25">
      <c r="A13" s="36">
        <v>45901</v>
      </c>
      <c r="B13" s="4" t="s">
        <v>43</v>
      </c>
      <c r="C13" s="1" t="s">
        <v>187</v>
      </c>
      <c r="D13" s="1">
        <v>19681796</v>
      </c>
      <c r="E13" s="1" t="s">
        <v>44</v>
      </c>
      <c r="F13" s="1" t="s">
        <v>45</v>
      </c>
      <c r="G13" s="1" t="s">
        <v>190</v>
      </c>
      <c r="H13" s="1" t="s">
        <v>189</v>
      </c>
      <c r="I13" s="7">
        <v>45936</v>
      </c>
      <c r="J13" s="29">
        <v>45936</v>
      </c>
      <c r="K13" s="7">
        <v>46058</v>
      </c>
      <c r="L13" s="6">
        <v>134.61000000000001</v>
      </c>
      <c r="M13" s="6">
        <v>33.65</v>
      </c>
      <c r="N13" s="33" t="s">
        <v>259</v>
      </c>
      <c r="O13" t="s">
        <v>266</v>
      </c>
      <c r="P13" s="34">
        <f>SUM(M13/L13)</f>
        <v>0.24998142782854169</v>
      </c>
    </row>
    <row r="14" spans="1:16" ht="25.5" x14ac:dyDescent="0.25">
      <c r="A14" s="36">
        <v>45870</v>
      </c>
      <c r="B14" s="4" t="s">
        <v>43</v>
      </c>
      <c r="C14" s="1" t="s">
        <v>187</v>
      </c>
      <c r="D14" s="1">
        <v>19681796</v>
      </c>
      <c r="E14" s="1" t="s">
        <v>73</v>
      </c>
      <c r="F14" s="1" t="s">
        <v>74</v>
      </c>
      <c r="G14" s="1" t="s">
        <v>255</v>
      </c>
      <c r="H14" s="1" t="s">
        <v>189</v>
      </c>
      <c r="I14" s="7">
        <v>45814</v>
      </c>
      <c r="J14" s="29">
        <v>45906</v>
      </c>
      <c r="K14" s="7">
        <v>45935</v>
      </c>
      <c r="L14" s="6">
        <v>129.63999999999999</v>
      </c>
      <c r="M14" s="6">
        <v>32.409999999999997</v>
      </c>
      <c r="N14" s="33" t="s">
        <v>259</v>
      </c>
      <c r="O14" t="s">
        <v>266</v>
      </c>
      <c r="P14" s="34">
        <f>SUM(M14/L14)</f>
        <v>0.25</v>
      </c>
    </row>
    <row r="15" spans="1:16" x14ac:dyDescent="0.25">
      <c r="A15" s="36">
        <v>45901</v>
      </c>
      <c r="B15" s="4" t="s">
        <v>43</v>
      </c>
      <c r="C15" s="1" t="s">
        <v>187</v>
      </c>
      <c r="D15" s="1">
        <v>19681796</v>
      </c>
      <c r="E15" s="1" t="s">
        <v>44</v>
      </c>
      <c r="F15" s="1" t="s">
        <v>45</v>
      </c>
      <c r="G15" s="1" t="s">
        <v>194</v>
      </c>
      <c r="H15" s="1" t="s">
        <v>193</v>
      </c>
      <c r="I15" s="7">
        <v>45932</v>
      </c>
      <c r="J15" s="29">
        <v>45932</v>
      </c>
      <c r="K15" s="7">
        <v>46054</v>
      </c>
      <c r="L15" s="6">
        <v>281.67</v>
      </c>
      <c r="M15" s="6">
        <v>70.42</v>
      </c>
      <c r="N15" s="33" t="s">
        <v>259</v>
      </c>
      <c r="O15" t="s">
        <v>266</v>
      </c>
      <c r="P15" s="34">
        <f>SUM(M15/L15)</f>
        <v>0.25000887563460789</v>
      </c>
    </row>
    <row r="16" spans="1:16" x14ac:dyDescent="0.25">
      <c r="A16" s="36">
        <v>45901</v>
      </c>
      <c r="B16" s="4" t="s">
        <v>43</v>
      </c>
      <c r="C16" s="1" t="s">
        <v>196</v>
      </c>
      <c r="D16" s="1">
        <v>17437820</v>
      </c>
      <c r="E16" s="1" t="s">
        <v>44</v>
      </c>
      <c r="F16" s="1" t="s">
        <v>45</v>
      </c>
      <c r="G16" s="1" t="s">
        <v>199</v>
      </c>
      <c r="H16" s="1" t="s">
        <v>198</v>
      </c>
      <c r="I16" s="7">
        <v>45842</v>
      </c>
      <c r="J16" s="29">
        <v>45934</v>
      </c>
      <c r="K16" s="7">
        <v>45964</v>
      </c>
      <c r="L16" s="6">
        <v>406.55</v>
      </c>
      <c r="M16" s="6">
        <v>101.64</v>
      </c>
      <c r="N16" s="33" t="s">
        <v>259</v>
      </c>
      <c r="O16" t="s">
        <v>266</v>
      </c>
      <c r="P16" s="34">
        <f>SUM(M16/L16)</f>
        <v>0.25000614930512849</v>
      </c>
    </row>
    <row r="17" spans="1:16" x14ac:dyDescent="0.25">
      <c r="A17" s="36">
        <v>45901</v>
      </c>
      <c r="B17" s="4" t="s">
        <v>43</v>
      </c>
      <c r="C17" s="1" t="s">
        <v>135</v>
      </c>
      <c r="D17" s="1">
        <v>8325282</v>
      </c>
      <c r="E17" s="1" t="s">
        <v>140</v>
      </c>
      <c r="F17" s="1" t="s">
        <v>139</v>
      </c>
      <c r="G17" s="1" t="s">
        <v>138</v>
      </c>
      <c r="H17" s="1" t="s">
        <v>137</v>
      </c>
      <c r="I17" s="7">
        <v>45637</v>
      </c>
      <c r="J17" s="29">
        <v>45941</v>
      </c>
      <c r="K17" s="8"/>
      <c r="L17" s="6">
        <v>28.1</v>
      </c>
      <c r="M17" s="6">
        <v>3.65</v>
      </c>
      <c r="N17" s="31" t="s">
        <v>258</v>
      </c>
      <c r="O17" t="s">
        <v>262</v>
      </c>
      <c r="P17" s="34">
        <f>SUM(M17/L17)</f>
        <v>0.1298932384341637</v>
      </c>
    </row>
    <row r="18" spans="1:16" x14ac:dyDescent="0.25">
      <c r="A18" s="36">
        <v>45870</v>
      </c>
      <c r="B18" s="4" t="s">
        <v>43</v>
      </c>
      <c r="C18" s="1" t="s">
        <v>135</v>
      </c>
      <c r="D18" s="1">
        <v>8325282</v>
      </c>
      <c r="E18" s="1" t="s">
        <v>140</v>
      </c>
      <c r="F18" s="1" t="s">
        <v>139</v>
      </c>
      <c r="G18" s="1" t="s">
        <v>138</v>
      </c>
      <c r="H18" s="1" t="s">
        <v>137</v>
      </c>
      <c r="I18" s="7">
        <v>45637</v>
      </c>
      <c r="J18" s="29">
        <v>45911</v>
      </c>
      <c r="K18" s="8"/>
      <c r="L18" s="6">
        <v>28.1</v>
      </c>
      <c r="M18" s="6">
        <v>3.65</v>
      </c>
      <c r="N18" s="31" t="s">
        <v>258</v>
      </c>
      <c r="O18" t="s">
        <v>262</v>
      </c>
      <c r="P18" s="34">
        <f>SUM(M18/L18)</f>
        <v>0.1298932384341637</v>
      </c>
    </row>
    <row r="19" spans="1:16" x14ac:dyDescent="0.25">
      <c r="A19" s="36">
        <v>45901</v>
      </c>
      <c r="B19" s="4" t="s">
        <v>43</v>
      </c>
      <c r="C19" s="1" t="s">
        <v>135</v>
      </c>
      <c r="D19" s="1">
        <v>8325282</v>
      </c>
      <c r="E19" s="1" t="s">
        <v>140</v>
      </c>
      <c r="F19" s="1" t="s">
        <v>139</v>
      </c>
      <c r="G19" s="1" t="s">
        <v>206</v>
      </c>
      <c r="H19" s="1" t="s">
        <v>201</v>
      </c>
      <c r="I19" s="7">
        <v>45658</v>
      </c>
      <c r="J19" s="29">
        <v>45931</v>
      </c>
      <c r="K19" s="8"/>
      <c r="L19" s="6">
        <v>34.25</v>
      </c>
      <c r="M19" s="6">
        <v>4.45</v>
      </c>
      <c r="N19" s="31" t="s">
        <v>258</v>
      </c>
      <c r="O19" t="s">
        <v>262</v>
      </c>
      <c r="P19" s="34">
        <f>SUM(M19/L19)</f>
        <v>0.12992700729927009</v>
      </c>
    </row>
    <row r="20" spans="1:16" ht="25.5" x14ac:dyDescent="0.25">
      <c r="A20" s="36">
        <v>45901</v>
      </c>
      <c r="B20" s="4" t="s">
        <v>43</v>
      </c>
      <c r="C20" s="1" t="s">
        <v>135</v>
      </c>
      <c r="D20" s="1">
        <v>8325282</v>
      </c>
      <c r="E20" s="1" t="s">
        <v>73</v>
      </c>
      <c r="F20" s="1" t="s">
        <v>74</v>
      </c>
      <c r="G20" s="1" t="s">
        <v>202</v>
      </c>
      <c r="H20" s="1" t="s">
        <v>201</v>
      </c>
      <c r="I20" s="7">
        <v>45901</v>
      </c>
      <c r="J20" s="29">
        <v>45931</v>
      </c>
      <c r="K20" s="7">
        <v>46022</v>
      </c>
      <c r="L20" s="6">
        <v>110.8</v>
      </c>
      <c r="M20" s="6">
        <v>27.7</v>
      </c>
      <c r="N20" s="33" t="s">
        <v>259</v>
      </c>
      <c r="O20" t="s">
        <v>266</v>
      </c>
      <c r="P20" s="34">
        <f>SUM(M20/L20)</f>
        <v>0.25</v>
      </c>
    </row>
    <row r="21" spans="1:16" ht="25.5" x14ac:dyDescent="0.25">
      <c r="A21" s="36">
        <v>45870</v>
      </c>
      <c r="B21" s="4" t="s">
        <v>43</v>
      </c>
      <c r="C21" s="1" t="s">
        <v>135</v>
      </c>
      <c r="D21" s="1">
        <v>8325282</v>
      </c>
      <c r="E21" s="1" t="s">
        <v>73</v>
      </c>
      <c r="F21" s="1" t="s">
        <v>74</v>
      </c>
      <c r="G21" s="1" t="s">
        <v>202</v>
      </c>
      <c r="H21" s="1" t="s">
        <v>201</v>
      </c>
      <c r="I21" s="7">
        <v>45901</v>
      </c>
      <c r="J21" s="29">
        <v>45901</v>
      </c>
      <c r="K21" s="7">
        <v>46022</v>
      </c>
      <c r="L21" s="6">
        <v>110.8</v>
      </c>
      <c r="M21" s="6">
        <v>27.7</v>
      </c>
      <c r="N21" s="33" t="s">
        <v>259</v>
      </c>
      <c r="O21" t="s">
        <v>266</v>
      </c>
      <c r="P21" s="34">
        <f>SUM(M21/L21)</f>
        <v>0.25</v>
      </c>
    </row>
    <row r="22" spans="1:16" ht="25.5" x14ac:dyDescent="0.25">
      <c r="A22" s="36">
        <v>45901</v>
      </c>
      <c r="B22" s="4" t="s">
        <v>43</v>
      </c>
      <c r="C22" s="1" t="s">
        <v>82</v>
      </c>
      <c r="D22" s="1">
        <v>17528908</v>
      </c>
      <c r="E22" s="1" t="s">
        <v>73</v>
      </c>
      <c r="F22" s="1" t="s">
        <v>74</v>
      </c>
      <c r="G22" s="1" t="s">
        <v>79</v>
      </c>
      <c r="H22" s="1" t="s">
        <v>80</v>
      </c>
      <c r="I22" s="7">
        <v>45889</v>
      </c>
      <c r="J22" s="29">
        <v>45950</v>
      </c>
      <c r="K22" s="8"/>
      <c r="L22" s="6">
        <v>63.13</v>
      </c>
      <c r="M22" s="6">
        <v>15.78</v>
      </c>
      <c r="N22" s="33" t="s">
        <v>259</v>
      </c>
      <c r="O22" t="s">
        <v>266</v>
      </c>
      <c r="P22" s="34">
        <f>SUM(M22/L22)</f>
        <v>0.24996039917630283</v>
      </c>
    </row>
    <row r="23" spans="1:16" ht="25.5" x14ac:dyDescent="0.25">
      <c r="A23" s="36">
        <v>45870</v>
      </c>
      <c r="B23" s="4" t="s">
        <v>43</v>
      </c>
      <c r="C23" s="1" t="s">
        <v>82</v>
      </c>
      <c r="D23" s="1">
        <v>17528908</v>
      </c>
      <c r="E23" s="1" t="s">
        <v>73</v>
      </c>
      <c r="F23" s="1" t="s">
        <v>74</v>
      </c>
      <c r="G23" s="1" t="s">
        <v>79</v>
      </c>
      <c r="H23" s="1" t="s">
        <v>80</v>
      </c>
      <c r="I23" s="7">
        <v>45889</v>
      </c>
      <c r="J23" s="29">
        <v>45920</v>
      </c>
      <c r="K23" s="8"/>
      <c r="L23" s="6">
        <v>63.13</v>
      </c>
      <c r="M23" s="6">
        <v>15.78</v>
      </c>
      <c r="N23" s="33" t="s">
        <v>259</v>
      </c>
      <c r="O23" t="s">
        <v>266</v>
      </c>
      <c r="P23" s="34">
        <f>SUM(M23/L23)</f>
        <v>0.24996039917630283</v>
      </c>
    </row>
    <row r="24" spans="1:16" ht="25.5" x14ac:dyDescent="0.25">
      <c r="A24" s="36">
        <v>45870</v>
      </c>
      <c r="B24" s="4" t="s">
        <v>43</v>
      </c>
      <c r="C24" s="1" t="s">
        <v>82</v>
      </c>
      <c r="D24" s="1">
        <v>17528908</v>
      </c>
      <c r="E24" s="1" t="s">
        <v>73</v>
      </c>
      <c r="F24" s="1" t="s">
        <v>74</v>
      </c>
      <c r="G24" s="1" t="s">
        <v>219</v>
      </c>
      <c r="H24" s="1" t="s">
        <v>218</v>
      </c>
      <c r="I24" s="7">
        <v>45857</v>
      </c>
      <c r="J24" s="29">
        <v>45919</v>
      </c>
      <c r="K24" s="7">
        <v>45920</v>
      </c>
      <c r="L24" s="6">
        <v>-35.75</v>
      </c>
      <c r="M24" s="6">
        <v>-8.94</v>
      </c>
      <c r="N24" s="33" t="s">
        <v>259</v>
      </c>
      <c r="O24" t="s">
        <v>266</v>
      </c>
      <c r="P24" s="34">
        <f>SUM(M24/L24)</f>
        <v>0.25006993006993006</v>
      </c>
    </row>
    <row r="25" spans="1:16" ht="25.5" x14ac:dyDescent="0.25">
      <c r="A25" s="36">
        <v>45870</v>
      </c>
      <c r="B25" s="4" t="s">
        <v>43</v>
      </c>
      <c r="C25" s="1" t="s">
        <v>82</v>
      </c>
      <c r="D25" s="1">
        <v>17528908</v>
      </c>
      <c r="E25" s="1" t="s">
        <v>73</v>
      </c>
      <c r="F25" s="1" t="s">
        <v>74</v>
      </c>
      <c r="G25" s="1" t="s">
        <v>219</v>
      </c>
      <c r="H25" s="1" t="s">
        <v>218</v>
      </c>
      <c r="I25" s="7">
        <v>45857</v>
      </c>
      <c r="J25" s="29">
        <v>45919</v>
      </c>
      <c r="K25" s="7">
        <v>45979</v>
      </c>
      <c r="L25" s="6">
        <v>38.299999999999997</v>
      </c>
      <c r="M25" s="6">
        <v>9.58</v>
      </c>
      <c r="N25" s="33" t="s">
        <v>259</v>
      </c>
      <c r="O25" t="s">
        <v>266</v>
      </c>
      <c r="P25" s="34">
        <f>SUM(M25/L25)</f>
        <v>0.25013054830287207</v>
      </c>
    </row>
    <row r="26" spans="1:16" ht="25.5" x14ac:dyDescent="0.25">
      <c r="A26" s="36">
        <v>45870</v>
      </c>
      <c r="B26" s="4" t="s">
        <v>43</v>
      </c>
      <c r="C26" s="1" t="s">
        <v>243</v>
      </c>
      <c r="D26" s="1">
        <v>21605264</v>
      </c>
      <c r="E26" s="1" t="s">
        <v>73</v>
      </c>
      <c r="F26" s="1" t="s">
        <v>74</v>
      </c>
      <c r="G26" s="1" t="s">
        <v>246</v>
      </c>
      <c r="H26" s="1" t="s">
        <v>245</v>
      </c>
      <c r="I26" s="7">
        <v>45887</v>
      </c>
      <c r="J26" s="29">
        <v>45887</v>
      </c>
      <c r="K26" s="7">
        <v>46008</v>
      </c>
      <c r="L26" s="6">
        <v>393.8</v>
      </c>
      <c r="M26" s="6">
        <v>98.45</v>
      </c>
      <c r="N26" s="33" t="s">
        <v>259</v>
      </c>
      <c r="O26" t="s">
        <v>266</v>
      </c>
      <c r="P26" s="34">
        <f>SUM(M26/L26)</f>
        <v>0.25</v>
      </c>
    </row>
    <row r="27" spans="1:16" x14ac:dyDescent="0.25">
      <c r="A27" s="36">
        <v>45901</v>
      </c>
      <c r="B27" s="4" t="s">
        <v>43</v>
      </c>
      <c r="C27" s="1" t="s">
        <v>54</v>
      </c>
      <c r="D27" s="1">
        <v>8814784</v>
      </c>
      <c r="E27" s="1" t="s">
        <v>44</v>
      </c>
      <c r="F27" s="1" t="s">
        <v>45</v>
      </c>
      <c r="G27" s="1" t="s">
        <v>117</v>
      </c>
      <c r="H27" s="1" t="s">
        <v>116</v>
      </c>
      <c r="I27" s="7">
        <v>45912</v>
      </c>
      <c r="J27" s="29">
        <v>45942</v>
      </c>
      <c r="K27" s="8"/>
      <c r="L27" s="6">
        <v>126.89</v>
      </c>
      <c r="M27" s="6">
        <v>31.72</v>
      </c>
      <c r="N27" s="33" t="s">
        <v>259</v>
      </c>
      <c r="O27" t="s">
        <v>266</v>
      </c>
      <c r="P27" s="34">
        <f>SUM(M27/L27)</f>
        <v>0.24998029789581527</v>
      </c>
    </row>
    <row r="28" spans="1:16" x14ac:dyDescent="0.25">
      <c r="A28" s="36">
        <v>45870</v>
      </c>
      <c r="B28" s="4" t="s">
        <v>43</v>
      </c>
      <c r="C28" s="1" t="s">
        <v>54</v>
      </c>
      <c r="D28" s="1">
        <v>8814784</v>
      </c>
      <c r="E28" s="1" t="s">
        <v>44</v>
      </c>
      <c r="F28" s="1" t="s">
        <v>45</v>
      </c>
      <c r="G28" s="1" t="s">
        <v>117</v>
      </c>
      <c r="H28" s="1" t="s">
        <v>116</v>
      </c>
      <c r="I28" s="7">
        <v>45912</v>
      </c>
      <c r="J28" s="29">
        <v>45912</v>
      </c>
      <c r="K28" s="8"/>
      <c r="L28" s="6">
        <v>126.89</v>
      </c>
      <c r="M28" s="6">
        <v>31.72</v>
      </c>
      <c r="N28" s="33" t="s">
        <v>259</v>
      </c>
      <c r="O28" t="s">
        <v>266</v>
      </c>
      <c r="P28" s="34">
        <f>SUM(M28/L28)</f>
        <v>0.24998029789581527</v>
      </c>
    </row>
    <row r="29" spans="1:16" x14ac:dyDescent="0.25">
      <c r="A29" s="36">
        <v>45901</v>
      </c>
      <c r="B29" s="4" t="s">
        <v>43</v>
      </c>
      <c r="C29" s="1" t="s">
        <v>54</v>
      </c>
      <c r="D29" s="1">
        <v>8814784</v>
      </c>
      <c r="E29" s="1" t="s">
        <v>44</v>
      </c>
      <c r="F29" s="1" t="s">
        <v>45</v>
      </c>
      <c r="G29" s="1" t="s">
        <v>51</v>
      </c>
      <c r="H29" s="1" t="s">
        <v>52</v>
      </c>
      <c r="I29" s="7">
        <v>45890</v>
      </c>
      <c r="J29" s="29">
        <v>45951</v>
      </c>
      <c r="K29" s="7">
        <v>46009</v>
      </c>
      <c r="L29" s="6">
        <v>331.27</v>
      </c>
      <c r="M29" s="6">
        <v>82.82</v>
      </c>
      <c r="N29" s="33" t="s">
        <v>259</v>
      </c>
      <c r="O29" t="s">
        <v>266</v>
      </c>
      <c r="P29" s="34">
        <f>SUM(M29/L29)</f>
        <v>0.25000754671416064</v>
      </c>
    </row>
    <row r="30" spans="1:16" x14ac:dyDescent="0.25">
      <c r="A30" s="36">
        <v>45870</v>
      </c>
      <c r="B30" s="4" t="s">
        <v>43</v>
      </c>
      <c r="C30" s="1" t="s">
        <v>54</v>
      </c>
      <c r="D30" s="1">
        <v>8814784</v>
      </c>
      <c r="E30" s="1" t="s">
        <v>44</v>
      </c>
      <c r="F30" s="1" t="s">
        <v>45</v>
      </c>
      <c r="G30" s="1" t="s">
        <v>51</v>
      </c>
      <c r="H30" s="1" t="s">
        <v>52</v>
      </c>
      <c r="I30" s="7">
        <v>45890</v>
      </c>
      <c r="J30" s="29">
        <v>45921</v>
      </c>
      <c r="K30" s="7">
        <v>46009</v>
      </c>
      <c r="L30" s="6">
        <v>331.27</v>
      </c>
      <c r="M30" s="6">
        <v>82.82</v>
      </c>
      <c r="N30" s="33" t="s">
        <v>259</v>
      </c>
      <c r="O30" t="s">
        <v>266</v>
      </c>
      <c r="P30" s="34">
        <f>SUM(M30/L30)</f>
        <v>0.25000754671416064</v>
      </c>
    </row>
    <row r="31" spans="1:16" ht="25.5" x14ac:dyDescent="0.25">
      <c r="A31" s="36">
        <v>45870</v>
      </c>
      <c r="B31" s="4" t="s">
        <v>43</v>
      </c>
      <c r="C31" s="1" t="s">
        <v>130</v>
      </c>
      <c r="D31" s="1">
        <v>16865615</v>
      </c>
      <c r="E31" s="1" t="s">
        <v>73</v>
      </c>
      <c r="F31" s="1" t="s">
        <v>74</v>
      </c>
      <c r="G31" s="1" t="s">
        <v>252</v>
      </c>
      <c r="H31" s="1" t="s">
        <v>132</v>
      </c>
      <c r="I31" s="7">
        <v>45816</v>
      </c>
      <c r="J31" s="29">
        <v>45908</v>
      </c>
      <c r="K31" s="7">
        <v>45937</v>
      </c>
      <c r="L31" s="6">
        <v>245.09</v>
      </c>
      <c r="M31" s="6">
        <v>61.27</v>
      </c>
      <c r="N31" s="33" t="s">
        <v>259</v>
      </c>
      <c r="O31" t="s">
        <v>266</v>
      </c>
      <c r="P31" s="34">
        <f>SUM(M31/L31)</f>
        <v>0.24998979966542903</v>
      </c>
    </row>
    <row r="32" spans="1:16" ht="25.5" x14ac:dyDescent="0.25">
      <c r="A32" s="36">
        <v>45901</v>
      </c>
      <c r="B32" s="4" t="s">
        <v>43</v>
      </c>
      <c r="C32" s="1" t="s">
        <v>130</v>
      </c>
      <c r="D32" s="1">
        <v>16865615</v>
      </c>
      <c r="E32" s="1" t="s">
        <v>56</v>
      </c>
      <c r="F32" s="1" t="s">
        <v>57</v>
      </c>
      <c r="G32" s="1" t="s">
        <v>133</v>
      </c>
      <c r="H32" s="1" t="s">
        <v>132</v>
      </c>
      <c r="I32" s="7">
        <v>45938</v>
      </c>
      <c r="J32" s="29">
        <v>45938</v>
      </c>
      <c r="K32" s="7">
        <v>46060</v>
      </c>
      <c r="L32" s="6">
        <v>322.67</v>
      </c>
      <c r="M32" s="6">
        <v>80.67</v>
      </c>
      <c r="N32" s="33" t="s">
        <v>259</v>
      </c>
      <c r="O32" t="s">
        <v>266</v>
      </c>
      <c r="P32" s="34">
        <f>SUM(M32/L32)</f>
        <v>0.2500077478538445</v>
      </c>
    </row>
    <row r="33" spans="1:16" x14ac:dyDescent="0.25">
      <c r="A33" s="36">
        <v>45870</v>
      </c>
      <c r="B33" s="4" t="s">
        <v>43</v>
      </c>
      <c r="C33" s="1" t="s">
        <v>159</v>
      </c>
      <c r="D33" s="1">
        <v>18754354</v>
      </c>
      <c r="E33" s="1" t="s">
        <v>44</v>
      </c>
      <c r="F33" s="1" t="s">
        <v>45</v>
      </c>
      <c r="G33" s="1" t="s">
        <v>230</v>
      </c>
      <c r="H33" s="1" t="s">
        <v>229</v>
      </c>
      <c r="I33" s="7">
        <v>45860</v>
      </c>
      <c r="J33" s="29">
        <v>45922</v>
      </c>
      <c r="K33" s="7">
        <v>45982</v>
      </c>
      <c r="L33" s="6">
        <v>121.25</v>
      </c>
      <c r="M33" s="6">
        <v>30.31</v>
      </c>
      <c r="N33" s="33" t="s">
        <v>259</v>
      </c>
      <c r="O33" t="s">
        <v>266</v>
      </c>
      <c r="P33" s="34">
        <f>SUM(M33/L33)</f>
        <v>0.24997938144329895</v>
      </c>
    </row>
    <row r="34" spans="1:16" ht="25.5" x14ac:dyDescent="0.25">
      <c r="A34" s="36">
        <v>45901</v>
      </c>
      <c r="B34" s="4" t="s">
        <v>43</v>
      </c>
      <c r="C34" s="1" t="s">
        <v>159</v>
      </c>
      <c r="D34" s="1">
        <v>18754354</v>
      </c>
      <c r="E34" s="1" t="s">
        <v>44</v>
      </c>
      <c r="F34" s="1" t="s">
        <v>45</v>
      </c>
      <c r="G34" s="1" t="s">
        <v>161</v>
      </c>
      <c r="H34" s="1" t="s">
        <v>160</v>
      </c>
      <c r="I34" s="7">
        <v>45841</v>
      </c>
      <c r="J34" s="29">
        <v>45933</v>
      </c>
      <c r="K34" s="7">
        <v>45963</v>
      </c>
      <c r="L34" s="6">
        <v>74.75</v>
      </c>
      <c r="M34" s="6">
        <v>18.690000000000001</v>
      </c>
      <c r="N34" s="33" t="s">
        <v>259</v>
      </c>
      <c r="O34" t="s">
        <v>266</v>
      </c>
      <c r="P34" s="34">
        <f>SUM(M34/L34)</f>
        <v>0.25003344481605355</v>
      </c>
    </row>
    <row r="35" spans="1:16" ht="25.5" x14ac:dyDescent="0.25">
      <c r="A35" s="36">
        <v>45870</v>
      </c>
      <c r="B35" s="4" t="s">
        <v>43</v>
      </c>
      <c r="C35" s="1" t="s">
        <v>210</v>
      </c>
      <c r="D35" s="1">
        <v>15278437</v>
      </c>
      <c r="E35" s="1" t="s">
        <v>73</v>
      </c>
      <c r="F35" s="1" t="s">
        <v>74</v>
      </c>
      <c r="G35" s="1" t="s">
        <v>213</v>
      </c>
      <c r="H35" s="1" t="s">
        <v>212</v>
      </c>
      <c r="I35" s="7">
        <v>45896</v>
      </c>
      <c r="J35" s="29">
        <v>45896</v>
      </c>
      <c r="K35" s="8"/>
      <c r="L35" s="6">
        <v>405.34</v>
      </c>
      <c r="M35" s="6">
        <v>101.34</v>
      </c>
      <c r="N35" s="33" t="s">
        <v>259</v>
      </c>
      <c r="O35" t="s">
        <v>266</v>
      </c>
      <c r="P35" s="34">
        <f>SUM(M35/L35)</f>
        <v>0.2500123353234322</v>
      </c>
    </row>
    <row r="36" spans="1:16" ht="25.5" x14ac:dyDescent="0.25">
      <c r="A36" s="36">
        <v>45870</v>
      </c>
      <c r="B36" s="4" t="s">
        <v>43</v>
      </c>
      <c r="C36" s="1" t="s">
        <v>210</v>
      </c>
      <c r="D36" s="1">
        <v>15278437</v>
      </c>
      <c r="E36" s="1" t="s">
        <v>73</v>
      </c>
      <c r="F36" s="1" t="s">
        <v>74</v>
      </c>
      <c r="G36" s="1" t="s">
        <v>213</v>
      </c>
      <c r="H36" s="1" t="s">
        <v>212</v>
      </c>
      <c r="I36" s="7">
        <v>45896</v>
      </c>
      <c r="J36" s="29">
        <v>45927</v>
      </c>
      <c r="K36" s="8"/>
      <c r="L36" s="6">
        <v>405.34</v>
      </c>
      <c r="M36" s="6">
        <v>101.34</v>
      </c>
      <c r="N36" s="33" t="s">
        <v>259</v>
      </c>
      <c r="O36" t="s">
        <v>266</v>
      </c>
      <c r="P36" s="34">
        <f>SUM(M36/L36)</f>
        <v>0.2500123353234322</v>
      </c>
    </row>
    <row r="37" spans="1:16" x14ac:dyDescent="0.25">
      <c r="A37" s="36">
        <v>45901</v>
      </c>
      <c r="B37" s="4" t="s">
        <v>43</v>
      </c>
      <c r="C37" s="35" t="s">
        <v>267</v>
      </c>
      <c r="D37" s="1">
        <v>20411454</v>
      </c>
      <c r="E37" s="1" t="s">
        <v>44</v>
      </c>
      <c r="F37" s="1" t="s">
        <v>45</v>
      </c>
      <c r="G37" s="1" t="s">
        <v>156</v>
      </c>
      <c r="H37" s="1" t="s">
        <v>155</v>
      </c>
      <c r="I37" s="7">
        <v>45841</v>
      </c>
      <c r="J37" s="29">
        <v>45903</v>
      </c>
      <c r="K37" s="7">
        <v>45930</v>
      </c>
      <c r="L37" s="6">
        <v>-0.52</v>
      </c>
      <c r="M37" s="6">
        <v>-0.52</v>
      </c>
      <c r="N37" s="33" t="s">
        <v>259</v>
      </c>
      <c r="O37" t="s">
        <v>263</v>
      </c>
      <c r="P37" s="34">
        <f>SUM(M37/L37)</f>
        <v>1</v>
      </c>
    </row>
    <row r="38" spans="1:16" ht="25.5" x14ac:dyDescent="0.25">
      <c r="A38" s="36">
        <v>45901</v>
      </c>
      <c r="B38" s="4" t="s">
        <v>43</v>
      </c>
      <c r="C38" s="35" t="s">
        <v>267</v>
      </c>
      <c r="D38" s="1">
        <v>20411454</v>
      </c>
      <c r="E38" s="1" t="s">
        <v>73</v>
      </c>
      <c r="F38" s="1" t="s">
        <v>74</v>
      </c>
      <c r="G38" s="1" t="s">
        <v>143</v>
      </c>
      <c r="H38" s="1" t="s">
        <v>142</v>
      </c>
      <c r="I38" s="7">
        <v>45901</v>
      </c>
      <c r="J38" s="29">
        <v>45931</v>
      </c>
      <c r="K38" s="8"/>
      <c r="L38" s="6">
        <v>31.26</v>
      </c>
      <c r="M38" s="6">
        <v>31.26</v>
      </c>
      <c r="N38" s="33" t="s">
        <v>259</v>
      </c>
      <c r="O38" t="s">
        <v>263</v>
      </c>
      <c r="P38" s="34">
        <f>SUM(M38/L38)</f>
        <v>1</v>
      </c>
    </row>
    <row r="39" spans="1:16" ht="25.5" x14ac:dyDescent="0.25">
      <c r="A39" s="36">
        <v>45870</v>
      </c>
      <c r="B39" s="4" t="s">
        <v>43</v>
      </c>
      <c r="C39" s="35" t="s">
        <v>267</v>
      </c>
      <c r="D39" s="1">
        <v>20411454</v>
      </c>
      <c r="E39" s="1" t="s">
        <v>73</v>
      </c>
      <c r="F39" s="1" t="s">
        <v>74</v>
      </c>
      <c r="G39" s="1" t="s">
        <v>143</v>
      </c>
      <c r="H39" s="1" t="s">
        <v>142</v>
      </c>
      <c r="I39" s="7">
        <v>45901</v>
      </c>
      <c r="J39" s="29">
        <v>45901</v>
      </c>
      <c r="K39" s="8"/>
      <c r="L39" s="6">
        <v>31.26</v>
      </c>
      <c r="M39" s="6">
        <v>31.26</v>
      </c>
      <c r="N39" s="33" t="s">
        <v>259</v>
      </c>
      <c r="O39" t="s">
        <v>263</v>
      </c>
      <c r="P39" s="34">
        <f>SUM(M39/L39)</f>
        <v>1</v>
      </c>
    </row>
    <row r="40" spans="1:16" ht="25.5" x14ac:dyDescent="0.25">
      <c r="A40" s="36">
        <v>45901</v>
      </c>
      <c r="B40" s="4" t="s">
        <v>43</v>
      </c>
      <c r="C40" s="35" t="s">
        <v>267</v>
      </c>
      <c r="D40" s="1">
        <v>20411454</v>
      </c>
      <c r="E40" s="1" t="s">
        <v>73</v>
      </c>
      <c r="F40" s="1" t="s">
        <v>74</v>
      </c>
      <c r="G40" s="1" t="s">
        <v>179</v>
      </c>
      <c r="H40" s="1" t="s">
        <v>178</v>
      </c>
      <c r="I40" s="7">
        <v>45931</v>
      </c>
      <c r="J40" s="29">
        <v>45931</v>
      </c>
      <c r="K40" s="7">
        <v>46053</v>
      </c>
      <c r="L40" s="6">
        <v>25.12</v>
      </c>
      <c r="M40" s="6">
        <v>25.12</v>
      </c>
      <c r="N40" s="33" t="s">
        <v>259</v>
      </c>
      <c r="O40" t="s">
        <v>263</v>
      </c>
      <c r="P40" s="34">
        <f>SUM(M40/L40)</f>
        <v>1</v>
      </c>
    </row>
    <row r="41" spans="1:16" x14ac:dyDescent="0.25">
      <c r="A41" s="36">
        <v>45901</v>
      </c>
      <c r="B41" s="4" t="s">
        <v>43</v>
      </c>
      <c r="C41" s="35" t="s">
        <v>267</v>
      </c>
      <c r="D41" s="1">
        <v>20411454</v>
      </c>
      <c r="E41" s="1" t="s">
        <v>44</v>
      </c>
      <c r="F41" s="1" t="s">
        <v>45</v>
      </c>
      <c r="G41" s="1" t="s">
        <v>185</v>
      </c>
      <c r="H41" s="1" t="s">
        <v>184</v>
      </c>
      <c r="I41" s="7">
        <v>45870</v>
      </c>
      <c r="J41" s="29">
        <v>45931</v>
      </c>
      <c r="K41" s="7">
        <v>45991</v>
      </c>
      <c r="L41" s="6">
        <v>48.47</v>
      </c>
      <c r="M41" s="6">
        <v>48.47</v>
      </c>
      <c r="N41" s="33" t="s">
        <v>259</v>
      </c>
      <c r="O41" t="s">
        <v>263</v>
      </c>
      <c r="P41" s="34">
        <f>SUM(M41/L41)</f>
        <v>1</v>
      </c>
    </row>
    <row r="42" spans="1:16" ht="25.5" x14ac:dyDescent="0.25">
      <c r="A42" s="36">
        <v>45901</v>
      </c>
      <c r="B42" s="4" t="s">
        <v>43</v>
      </c>
      <c r="C42" s="35" t="s">
        <v>267</v>
      </c>
      <c r="D42" s="1">
        <v>20411454</v>
      </c>
      <c r="E42" s="1" t="s">
        <v>73</v>
      </c>
      <c r="F42" s="1" t="s">
        <v>74</v>
      </c>
      <c r="G42" s="1" t="s">
        <v>113</v>
      </c>
      <c r="H42" s="1" t="s">
        <v>112</v>
      </c>
      <c r="I42" s="7">
        <v>45931</v>
      </c>
      <c r="J42" s="29">
        <v>45931</v>
      </c>
      <c r="K42" s="8"/>
      <c r="L42" s="6">
        <v>231.56</v>
      </c>
      <c r="M42" s="6">
        <v>23.16</v>
      </c>
      <c r="N42" s="33" t="s">
        <v>259</v>
      </c>
      <c r="O42" t="s">
        <v>263</v>
      </c>
      <c r="P42" s="34">
        <f>SUM(M42/L42)</f>
        <v>0.1000172741406115</v>
      </c>
    </row>
    <row r="43" spans="1:16" ht="25.5" x14ac:dyDescent="0.25">
      <c r="A43" s="36">
        <v>45901</v>
      </c>
      <c r="B43" s="4" t="s">
        <v>43</v>
      </c>
      <c r="C43" s="1" t="s">
        <v>102</v>
      </c>
      <c r="D43" s="1">
        <v>18710070</v>
      </c>
      <c r="E43" s="1" t="s">
        <v>73</v>
      </c>
      <c r="F43" s="1" t="s">
        <v>74</v>
      </c>
      <c r="G43" s="1" t="s">
        <v>99</v>
      </c>
      <c r="H43" s="1" t="s">
        <v>100</v>
      </c>
      <c r="I43" s="7">
        <v>45939</v>
      </c>
      <c r="J43" s="29">
        <v>45939</v>
      </c>
      <c r="K43" s="8"/>
      <c r="L43" s="6">
        <v>191.49</v>
      </c>
      <c r="M43" s="6">
        <v>47.87</v>
      </c>
      <c r="N43" s="33" t="s">
        <v>259</v>
      </c>
      <c r="O43" t="s">
        <v>266</v>
      </c>
      <c r="P43" s="34">
        <f>SUM(M43/L43)</f>
        <v>0.2499869444879628</v>
      </c>
    </row>
    <row r="44" spans="1:16" ht="25.5" x14ac:dyDescent="0.25">
      <c r="A44" s="36">
        <v>45901</v>
      </c>
      <c r="B44" s="4" t="s">
        <v>43</v>
      </c>
      <c r="C44" s="1" t="s">
        <v>77</v>
      </c>
      <c r="D44" s="1">
        <v>16509456</v>
      </c>
      <c r="E44" s="1" t="s">
        <v>73</v>
      </c>
      <c r="F44" s="1" t="s">
        <v>74</v>
      </c>
      <c r="G44" s="1" t="s">
        <v>170</v>
      </c>
      <c r="H44" s="1" t="s">
        <v>169</v>
      </c>
      <c r="I44" s="7">
        <v>45839</v>
      </c>
      <c r="J44" s="29">
        <v>45931</v>
      </c>
      <c r="K44" s="7">
        <v>45961</v>
      </c>
      <c r="L44" s="6">
        <v>164.89</v>
      </c>
      <c r="M44" s="6">
        <v>41.22</v>
      </c>
      <c r="N44" s="33" t="s">
        <v>259</v>
      </c>
      <c r="O44" t="s">
        <v>266</v>
      </c>
      <c r="P44" s="34">
        <f>SUM(M44/L44)</f>
        <v>0.24998483837709989</v>
      </c>
    </row>
    <row r="45" spans="1:16" ht="25.5" x14ac:dyDescent="0.25">
      <c r="A45" s="36">
        <v>45901</v>
      </c>
      <c r="B45" s="4" t="s">
        <v>43</v>
      </c>
      <c r="C45" s="1" t="s">
        <v>77</v>
      </c>
      <c r="D45" s="1">
        <v>16509456</v>
      </c>
      <c r="E45" s="1" t="s">
        <v>73</v>
      </c>
      <c r="F45" s="1" t="s">
        <v>74</v>
      </c>
      <c r="G45" s="1" t="s">
        <v>75</v>
      </c>
      <c r="H45" s="1" t="s">
        <v>76</v>
      </c>
      <c r="I45" s="7">
        <v>45888</v>
      </c>
      <c r="J45" s="29">
        <v>45949</v>
      </c>
      <c r="K45" s="8"/>
      <c r="L45" s="6">
        <v>231.68</v>
      </c>
      <c r="M45" s="6">
        <v>57.92</v>
      </c>
      <c r="N45" s="33" t="s">
        <v>259</v>
      </c>
      <c r="O45" t="s">
        <v>266</v>
      </c>
      <c r="P45" s="34">
        <f>SUM(M45/L45)</f>
        <v>0.25</v>
      </c>
    </row>
    <row r="46" spans="1:16" ht="25.5" x14ac:dyDescent="0.25">
      <c r="A46" s="36">
        <v>45870</v>
      </c>
      <c r="B46" s="4" t="s">
        <v>43</v>
      </c>
      <c r="C46" s="1" t="s">
        <v>77</v>
      </c>
      <c r="D46" s="1">
        <v>16509456</v>
      </c>
      <c r="E46" s="1" t="s">
        <v>73</v>
      </c>
      <c r="F46" s="1" t="s">
        <v>74</v>
      </c>
      <c r="G46" s="1" t="s">
        <v>75</v>
      </c>
      <c r="H46" s="1" t="s">
        <v>76</v>
      </c>
      <c r="I46" s="7">
        <v>45888</v>
      </c>
      <c r="J46" s="29">
        <v>45919</v>
      </c>
      <c r="K46" s="8"/>
      <c r="L46" s="6">
        <v>231.68</v>
      </c>
      <c r="M46" s="6">
        <v>57.92</v>
      </c>
      <c r="N46" s="33" t="s">
        <v>259</v>
      </c>
      <c r="O46" t="s">
        <v>266</v>
      </c>
      <c r="P46" s="34">
        <f>SUM(M46/L46)</f>
        <v>0.25</v>
      </c>
    </row>
    <row r="47" spans="1:16" ht="25.5" x14ac:dyDescent="0.25">
      <c r="A47" s="36">
        <v>45901</v>
      </c>
      <c r="B47" s="4" t="s">
        <v>43</v>
      </c>
      <c r="C47" s="1" t="s">
        <v>77</v>
      </c>
      <c r="D47" s="1">
        <v>16509456</v>
      </c>
      <c r="E47" s="1" t="s">
        <v>73</v>
      </c>
      <c r="F47" s="1" t="s">
        <v>74</v>
      </c>
      <c r="G47" s="1" t="s">
        <v>167</v>
      </c>
      <c r="H47" s="1" t="s">
        <v>166</v>
      </c>
      <c r="I47" s="7">
        <v>45839</v>
      </c>
      <c r="J47" s="29">
        <v>45931</v>
      </c>
      <c r="K47" s="7">
        <v>45961</v>
      </c>
      <c r="L47" s="6">
        <v>214.63</v>
      </c>
      <c r="M47" s="6">
        <v>53.66</v>
      </c>
      <c r="N47" s="33" t="s">
        <v>259</v>
      </c>
      <c r="O47" t="s">
        <v>266</v>
      </c>
      <c r="P47" s="34">
        <f>SUM(M47/L47)</f>
        <v>0.25001164795228997</v>
      </c>
    </row>
    <row r="48" spans="1:16" ht="25.5" x14ac:dyDescent="0.25">
      <c r="A48" s="36">
        <v>45901</v>
      </c>
      <c r="B48" s="4" t="s">
        <v>43</v>
      </c>
      <c r="C48" s="1" t="s">
        <v>71</v>
      </c>
      <c r="D48" s="1">
        <v>19200754</v>
      </c>
      <c r="E48" s="1" t="s">
        <v>56</v>
      </c>
      <c r="F48" s="1" t="s">
        <v>57</v>
      </c>
      <c r="G48" s="1" t="s">
        <v>68</v>
      </c>
      <c r="H48" s="1" t="s">
        <v>69</v>
      </c>
      <c r="I48" s="7">
        <v>45854</v>
      </c>
      <c r="J48" s="29">
        <v>45946</v>
      </c>
      <c r="K48" s="7">
        <v>45976</v>
      </c>
      <c r="L48" s="6">
        <v>451.99</v>
      </c>
      <c r="M48" s="6">
        <v>113</v>
      </c>
      <c r="N48" s="33" t="s">
        <v>259</v>
      </c>
      <c r="O48" t="s">
        <v>266</v>
      </c>
      <c r="P48" s="34">
        <f>SUM(M48/L48)</f>
        <v>0.25000553109582069</v>
      </c>
    </row>
    <row r="49" spans="1:16" ht="25.5" x14ac:dyDescent="0.25">
      <c r="A49" s="36">
        <v>45870</v>
      </c>
      <c r="B49" s="4" t="s">
        <v>43</v>
      </c>
      <c r="C49" s="1" t="s">
        <v>71</v>
      </c>
      <c r="D49" s="1">
        <v>19200754</v>
      </c>
      <c r="E49" s="1" t="s">
        <v>56</v>
      </c>
      <c r="F49" s="1" t="s">
        <v>57</v>
      </c>
      <c r="G49" s="1" t="s">
        <v>68</v>
      </c>
      <c r="H49" s="1" t="s">
        <v>69</v>
      </c>
      <c r="I49" s="7">
        <v>45854</v>
      </c>
      <c r="J49" s="29">
        <v>45916</v>
      </c>
      <c r="K49" s="7">
        <v>45976</v>
      </c>
      <c r="L49" s="6">
        <v>451.99</v>
      </c>
      <c r="M49" s="6">
        <v>113</v>
      </c>
      <c r="N49" s="33" t="s">
        <v>259</v>
      </c>
      <c r="O49" t="s">
        <v>266</v>
      </c>
      <c r="P49" s="34">
        <f>SUM(M49/L49)</f>
        <v>0.25000553109582069</v>
      </c>
    </row>
    <row r="50" spans="1:16" x14ac:dyDescent="0.25">
      <c r="A50" s="36">
        <v>45901</v>
      </c>
      <c r="B50" s="4" t="s">
        <v>43</v>
      </c>
      <c r="C50" s="1" t="s">
        <v>149</v>
      </c>
      <c r="D50" s="1">
        <v>8977234</v>
      </c>
      <c r="E50" s="1" t="s">
        <v>44</v>
      </c>
      <c r="F50" s="1" t="s">
        <v>45</v>
      </c>
      <c r="G50" s="1" t="s">
        <v>151</v>
      </c>
      <c r="H50" s="1" t="s">
        <v>150</v>
      </c>
      <c r="I50" s="7">
        <v>45870</v>
      </c>
      <c r="J50" s="29">
        <v>45931</v>
      </c>
      <c r="K50" s="7">
        <v>45991</v>
      </c>
      <c r="L50" s="6">
        <v>197.23</v>
      </c>
      <c r="M50" s="6">
        <v>43.39</v>
      </c>
      <c r="N50" s="33" t="s">
        <v>259</v>
      </c>
      <c r="O50" t="s">
        <v>265</v>
      </c>
      <c r="P50" s="34">
        <f>SUM(M50/L50)</f>
        <v>0.21999695786645035</v>
      </c>
    </row>
    <row r="51" spans="1:16" x14ac:dyDescent="0.25">
      <c r="A51" s="36">
        <v>45870</v>
      </c>
      <c r="B51" s="4" t="s">
        <v>43</v>
      </c>
      <c r="C51" s="1" t="s">
        <v>149</v>
      </c>
      <c r="D51" s="1">
        <v>8977234</v>
      </c>
      <c r="E51" s="1" t="s">
        <v>44</v>
      </c>
      <c r="F51" s="1" t="s">
        <v>45</v>
      </c>
      <c r="G51" s="1" t="s">
        <v>151</v>
      </c>
      <c r="H51" s="1" t="s">
        <v>150</v>
      </c>
      <c r="I51" s="7">
        <v>45870</v>
      </c>
      <c r="J51" s="29">
        <v>45870</v>
      </c>
      <c r="K51" s="7">
        <v>45991</v>
      </c>
      <c r="L51" s="6">
        <v>197.23</v>
      </c>
      <c r="M51" s="6">
        <v>43.39</v>
      </c>
      <c r="N51" s="33" t="s">
        <v>259</v>
      </c>
      <c r="O51" t="s">
        <v>265</v>
      </c>
      <c r="P51" s="34">
        <f>SUM(M51/L51)</f>
        <v>0.21999695786645035</v>
      </c>
    </row>
    <row r="52" spans="1:16" x14ac:dyDescent="0.25">
      <c r="A52" s="36">
        <v>45870</v>
      </c>
      <c r="B52" s="4" t="s">
        <v>43</v>
      </c>
      <c r="C52" s="1" t="s">
        <v>149</v>
      </c>
      <c r="D52" s="1">
        <v>8977234</v>
      </c>
      <c r="E52" s="1" t="s">
        <v>44</v>
      </c>
      <c r="F52" s="1" t="s">
        <v>45</v>
      </c>
      <c r="G52" s="1" t="s">
        <v>151</v>
      </c>
      <c r="H52" s="1" t="s">
        <v>150</v>
      </c>
      <c r="I52" s="7">
        <v>45870</v>
      </c>
      <c r="J52" s="29">
        <v>45901</v>
      </c>
      <c r="K52" s="7">
        <v>45991</v>
      </c>
      <c r="L52" s="6">
        <v>197.23</v>
      </c>
      <c r="M52" s="6">
        <v>43.39</v>
      </c>
      <c r="N52" s="33" t="s">
        <v>259</v>
      </c>
      <c r="O52" t="s">
        <v>265</v>
      </c>
      <c r="P52" s="34">
        <f>SUM(M52/L52)</f>
        <v>0.21999695786645035</v>
      </c>
    </row>
    <row r="53" spans="1:16" ht="25.5" x14ac:dyDescent="0.25">
      <c r="A53" s="36">
        <v>45901</v>
      </c>
      <c r="B53" s="4" t="s">
        <v>43</v>
      </c>
      <c r="C53" s="1" t="s">
        <v>149</v>
      </c>
      <c r="D53" s="1">
        <v>8977234</v>
      </c>
      <c r="E53" s="1" t="s">
        <v>108</v>
      </c>
      <c r="F53" s="1" t="s">
        <v>74</v>
      </c>
      <c r="G53" s="1" t="s">
        <v>164</v>
      </c>
      <c r="H53" s="1" t="s">
        <v>163</v>
      </c>
      <c r="I53" s="7">
        <v>45841</v>
      </c>
      <c r="J53" s="29">
        <v>45933</v>
      </c>
      <c r="K53" s="7">
        <v>45961</v>
      </c>
      <c r="L53" s="6">
        <v>311.79000000000002</v>
      </c>
      <c r="M53" s="6">
        <v>77.95</v>
      </c>
      <c r="N53" s="33" t="s">
        <v>259</v>
      </c>
      <c r="O53" t="s">
        <v>266</v>
      </c>
      <c r="P53" s="34">
        <f>SUM(M53/L53)</f>
        <v>0.25000801821738988</v>
      </c>
    </row>
    <row r="54" spans="1:16" ht="25.5" x14ac:dyDescent="0.25">
      <c r="A54" s="36">
        <v>45901</v>
      </c>
      <c r="B54" s="4" t="s">
        <v>43</v>
      </c>
      <c r="C54" s="1" t="s">
        <v>149</v>
      </c>
      <c r="D54" s="1">
        <v>8977234</v>
      </c>
      <c r="E54" s="1" t="s">
        <v>56</v>
      </c>
      <c r="F54" s="1" t="s">
        <v>57</v>
      </c>
      <c r="G54" s="1" t="s">
        <v>176</v>
      </c>
      <c r="H54" s="1" t="s">
        <v>175</v>
      </c>
      <c r="I54" s="7">
        <v>45839</v>
      </c>
      <c r="J54" s="29">
        <v>45931</v>
      </c>
      <c r="K54" s="7">
        <v>45961</v>
      </c>
      <c r="L54" s="6">
        <v>342.5</v>
      </c>
      <c r="M54" s="6">
        <v>85.63</v>
      </c>
      <c r="N54" s="33" t="s">
        <v>259</v>
      </c>
      <c r="O54" t="s">
        <v>266</v>
      </c>
      <c r="P54" s="34">
        <f>SUM(M54/L54)</f>
        <v>0.25001459854014596</v>
      </c>
    </row>
    <row r="55" spans="1:16" x14ac:dyDescent="0.25">
      <c r="A55" s="36">
        <v>45901</v>
      </c>
      <c r="B55" s="4" t="s">
        <v>43</v>
      </c>
      <c r="C55" s="1" t="s">
        <v>123</v>
      </c>
      <c r="D55" s="1">
        <v>19396223</v>
      </c>
      <c r="E55" s="1" t="s">
        <v>44</v>
      </c>
      <c r="F55" s="1" t="s">
        <v>45</v>
      </c>
      <c r="G55" s="1" t="s">
        <v>125</v>
      </c>
      <c r="H55" s="1" t="s">
        <v>124</v>
      </c>
      <c r="I55" s="7">
        <v>45870</v>
      </c>
      <c r="J55" s="29">
        <v>45931</v>
      </c>
      <c r="K55" s="7">
        <v>45991</v>
      </c>
      <c r="L55" s="6">
        <v>451.49</v>
      </c>
      <c r="M55" s="6">
        <v>112.88</v>
      </c>
      <c r="N55" s="33" t="s">
        <v>259</v>
      </c>
      <c r="O55" t="s">
        <v>266</v>
      </c>
      <c r="P55" s="34">
        <f>SUM(M55/L55)</f>
        <v>0.25001661166360273</v>
      </c>
    </row>
    <row r="56" spans="1:16" ht="25.5" x14ac:dyDescent="0.25">
      <c r="A56" s="36">
        <v>45901</v>
      </c>
      <c r="B56" s="4" t="s">
        <v>43</v>
      </c>
      <c r="C56" s="1" t="s">
        <v>94</v>
      </c>
      <c r="D56" s="1">
        <v>8971826</v>
      </c>
      <c r="E56" s="1" t="s">
        <v>73</v>
      </c>
      <c r="F56" s="1" t="s">
        <v>74</v>
      </c>
      <c r="G56" s="1" t="s">
        <v>92</v>
      </c>
      <c r="H56" s="1" t="s">
        <v>93</v>
      </c>
      <c r="I56" s="7">
        <v>45917</v>
      </c>
      <c r="J56" s="29">
        <v>45947</v>
      </c>
      <c r="K56" s="8"/>
      <c r="L56" s="6">
        <v>250.08</v>
      </c>
      <c r="M56" s="6">
        <v>62.52</v>
      </c>
      <c r="N56" s="33" t="s">
        <v>259</v>
      </c>
      <c r="O56" t="s">
        <v>266</v>
      </c>
      <c r="P56" s="34">
        <f>SUM(M56/L56)</f>
        <v>0.25</v>
      </c>
    </row>
    <row r="57" spans="1:16" ht="25.5" x14ac:dyDescent="0.25">
      <c r="A57" s="36">
        <v>45870</v>
      </c>
      <c r="B57" s="4" t="s">
        <v>43</v>
      </c>
      <c r="C57" s="1" t="s">
        <v>94</v>
      </c>
      <c r="D57" s="1">
        <v>8971826</v>
      </c>
      <c r="E57" s="1" t="s">
        <v>73</v>
      </c>
      <c r="F57" s="1" t="s">
        <v>74</v>
      </c>
      <c r="G57" s="1" t="s">
        <v>92</v>
      </c>
      <c r="H57" s="1" t="s">
        <v>93</v>
      </c>
      <c r="I57" s="7">
        <v>45917</v>
      </c>
      <c r="J57" s="29">
        <v>45917</v>
      </c>
      <c r="K57" s="8"/>
      <c r="L57" s="6">
        <v>250.08</v>
      </c>
      <c r="M57" s="6">
        <v>62.52</v>
      </c>
      <c r="N57" s="33" t="s">
        <v>259</v>
      </c>
      <c r="O57" t="s">
        <v>266</v>
      </c>
      <c r="P57" s="34">
        <f>SUM(M57/L57)</f>
        <v>0.25</v>
      </c>
    </row>
    <row r="58" spans="1:16" ht="25.5" x14ac:dyDescent="0.25">
      <c r="A58" s="36">
        <v>45901</v>
      </c>
      <c r="B58" s="4" t="s">
        <v>43</v>
      </c>
      <c r="C58" s="1" t="s">
        <v>94</v>
      </c>
      <c r="D58" s="1">
        <v>8971826</v>
      </c>
      <c r="E58" s="1" t="s">
        <v>73</v>
      </c>
      <c r="F58" s="1" t="s">
        <v>74</v>
      </c>
      <c r="G58" s="1" t="s">
        <v>121</v>
      </c>
      <c r="H58" s="1" t="s">
        <v>120</v>
      </c>
      <c r="I58" s="7">
        <v>45876</v>
      </c>
      <c r="J58" s="29">
        <v>45937</v>
      </c>
      <c r="K58" s="7">
        <v>45997</v>
      </c>
      <c r="L58" s="6">
        <v>373.58</v>
      </c>
      <c r="M58" s="6">
        <v>93.4</v>
      </c>
      <c r="N58" s="33" t="s">
        <v>259</v>
      </c>
      <c r="O58" t="s">
        <v>266</v>
      </c>
      <c r="P58" s="34">
        <f>SUM(M58/L58)</f>
        <v>0.25001338401413353</v>
      </c>
    </row>
    <row r="59" spans="1:16" ht="25.5" x14ac:dyDescent="0.25">
      <c r="A59" s="36">
        <v>45870</v>
      </c>
      <c r="B59" s="4" t="s">
        <v>43</v>
      </c>
      <c r="C59" s="1" t="s">
        <v>94</v>
      </c>
      <c r="D59" s="1">
        <v>8971826</v>
      </c>
      <c r="E59" s="1" t="s">
        <v>73</v>
      </c>
      <c r="F59" s="1" t="s">
        <v>74</v>
      </c>
      <c r="G59" s="1" t="s">
        <v>121</v>
      </c>
      <c r="H59" s="1" t="s">
        <v>120</v>
      </c>
      <c r="I59" s="7">
        <v>45876</v>
      </c>
      <c r="J59" s="29">
        <v>45907</v>
      </c>
      <c r="K59" s="7">
        <v>45997</v>
      </c>
      <c r="L59" s="6">
        <v>373.58</v>
      </c>
      <c r="M59" s="6">
        <v>93.4</v>
      </c>
      <c r="N59" s="33" t="s">
        <v>259</v>
      </c>
      <c r="O59" t="s">
        <v>266</v>
      </c>
      <c r="P59" s="34">
        <f>SUM(M59/L59)</f>
        <v>0.25001338401413353</v>
      </c>
    </row>
    <row r="60" spans="1:16" ht="25.5" x14ac:dyDescent="0.25">
      <c r="A60" s="36">
        <v>45901</v>
      </c>
      <c r="B60" s="4" t="s">
        <v>43</v>
      </c>
      <c r="C60" s="1" t="s">
        <v>66</v>
      </c>
      <c r="D60" s="1">
        <v>18581063</v>
      </c>
      <c r="E60" s="1" t="s">
        <v>44</v>
      </c>
      <c r="F60" s="1" t="s">
        <v>45</v>
      </c>
      <c r="G60" s="1" t="s">
        <v>147</v>
      </c>
      <c r="H60" s="1" t="s">
        <v>146</v>
      </c>
      <c r="I60" s="7">
        <v>45881</v>
      </c>
      <c r="J60" s="29">
        <v>45912</v>
      </c>
      <c r="K60" s="7">
        <v>45926</v>
      </c>
      <c r="L60" s="6">
        <v>-128.16</v>
      </c>
      <c r="M60" s="6">
        <v>-32.03</v>
      </c>
      <c r="N60" s="33" t="s">
        <v>259</v>
      </c>
      <c r="O60" t="s">
        <v>266</v>
      </c>
      <c r="P60" s="34">
        <f>SUM(M60/L60)</f>
        <v>0.2499219725343321</v>
      </c>
    </row>
    <row r="61" spans="1:16" x14ac:dyDescent="0.25">
      <c r="A61" s="36">
        <v>45870</v>
      </c>
      <c r="B61" s="4" t="s">
        <v>43</v>
      </c>
      <c r="C61" s="1" t="s">
        <v>66</v>
      </c>
      <c r="D61" s="1">
        <v>18581063</v>
      </c>
      <c r="E61" s="1" t="s">
        <v>44</v>
      </c>
      <c r="F61" s="1" t="s">
        <v>45</v>
      </c>
      <c r="G61" s="1" t="s">
        <v>235</v>
      </c>
      <c r="H61" s="1" t="s">
        <v>234</v>
      </c>
      <c r="I61" s="7">
        <v>45897</v>
      </c>
      <c r="J61" s="29">
        <v>45928</v>
      </c>
      <c r="K61" s="8"/>
      <c r="L61" s="6">
        <v>747.39</v>
      </c>
      <c r="M61" s="6">
        <v>186.84</v>
      </c>
      <c r="N61" s="33" t="s">
        <v>259</v>
      </c>
      <c r="O61" t="s">
        <v>266</v>
      </c>
      <c r="P61" s="34">
        <f>SUM(M61/L61)</f>
        <v>0.2499899650784731</v>
      </c>
    </row>
    <row r="62" spans="1:16" ht="25.5" x14ac:dyDescent="0.25">
      <c r="A62" s="36">
        <v>45870</v>
      </c>
      <c r="B62" s="4" t="s">
        <v>43</v>
      </c>
      <c r="C62" s="1" t="s">
        <v>66</v>
      </c>
      <c r="D62" s="1">
        <v>18581063</v>
      </c>
      <c r="E62" s="1" t="s">
        <v>44</v>
      </c>
      <c r="F62" s="1" t="s">
        <v>45</v>
      </c>
      <c r="G62" s="1" t="s">
        <v>147</v>
      </c>
      <c r="H62" s="1" t="s">
        <v>146</v>
      </c>
      <c r="I62" s="7">
        <v>45881</v>
      </c>
      <c r="J62" s="29">
        <v>45912</v>
      </c>
      <c r="K62" s="7">
        <v>46002</v>
      </c>
      <c r="L62" s="6">
        <v>256.33</v>
      </c>
      <c r="M62" s="6">
        <v>64.08</v>
      </c>
      <c r="N62" s="33" t="s">
        <v>259</v>
      </c>
      <c r="O62" t="s">
        <v>266</v>
      </c>
      <c r="P62" s="34">
        <f>SUM(M62/L62)</f>
        <v>0.24999024694729452</v>
      </c>
    </row>
    <row r="63" spans="1:16" ht="25.5" x14ac:dyDescent="0.25">
      <c r="A63" s="36">
        <v>45901</v>
      </c>
      <c r="B63" s="4" t="s">
        <v>43</v>
      </c>
      <c r="C63" s="1" t="s">
        <v>66</v>
      </c>
      <c r="D63" s="1">
        <v>18581063</v>
      </c>
      <c r="E63" s="1" t="s">
        <v>108</v>
      </c>
      <c r="F63" s="1" t="s">
        <v>74</v>
      </c>
      <c r="G63" s="1" t="s">
        <v>107</v>
      </c>
      <c r="H63" s="1" t="s">
        <v>106</v>
      </c>
      <c r="I63" s="7">
        <v>45962</v>
      </c>
      <c r="J63" s="29">
        <v>45962</v>
      </c>
      <c r="K63" s="8"/>
      <c r="L63" s="6">
        <v>701.73</v>
      </c>
      <c r="M63" s="6">
        <v>175.43</v>
      </c>
      <c r="N63" s="33" t="s">
        <v>259</v>
      </c>
      <c r="O63" t="s">
        <v>266</v>
      </c>
      <c r="P63" s="34">
        <f>SUM(M63/L63)</f>
        <v>0.24999643737619884</v>
      </c>
    </row>
    <row r="64" spans="1:16" x14ac:dyDescent="0.25">
      <c r="A64" s="36">
        <v>45901</v>
      </c>
      <c r="B64" s="4" t="s">
        <v>43</v>
      </c>
      <c r="C64" s="1" t="s">
        <v>66</v>
      </c>
      <c r="D64" s="1">
        <v>18581063</v>
      </c>
      <c r="E64" s="1" t="s">
        <v>44</v>
      </c>
      <c r="F64" s="1" t="s">
        <v>45</v>
      </c>
      <c r="G64" s="1" t="s">
        <v>205</v>
      </c>
      <c r="H64" s="1" t="s">
        <v>204</v>
      </c>
      <c r="I64" s="7">
        <v>45870</v>
      </c>
      <c r="J64" s="29">
        <v>45931</v>
      </c>
      <c r="K64" s="7">
        <v>45989</v>
      </c>
      <c r="L64" s="6">
        <v>532.38</v>
      </c>
      <c r="M64" s="6">
        <v>133.1</v>
      </c>
      <c r="N64" s="33" t="s">
        <v>259</v>
      </c>
      <c r="O64" t="s">
        <v>266</v>
      </c>
      <c r="P64" s="34">
        <f>SUM(M64/L64)</f>
        <v>0.25000939178782072</v>
      </c>
    </row>
    <row r="65" spans="1:16" ht="25.5" x14ac:dyDescent="0.25">
      <c r="A65" s="36">
        <v>45901</v>
      </c>
      <c r="B65" s="4" t="s">
        <v>43</v>
      </c>
      <c r="C65" s="1" t="s">
        <v>66</v>
      </c>
      <c r="D65" s="1">
        <v>18581063</v>
      </c>
      <c r="E65" s="1" t="s">
        <v>73</v>
      </c>
      <c r="F65" s="1" t="s">
        <v>74</v>
      </c>
      <c r="G65" s="1" t="s">
        <v>182</v>
      </c>
      <c r="H65" s="1" t="s">
        <v>181</v>
      </c>
      <c r="I65" s="7">
        <v>45931</v>
      </c>
      <c r="J65" s="29">
        <v>45931</v>
      </c>
      <c r="K65" s="7">
        <v>46053</v>
      </c>
      <c r="L65" s="6">
        <v>251.31</v>
      </c>
      <c r="M65" s="6">
        <v>62.83</v>
      </c>
      <c r="N65" s="33" t="s">
        <v>259</v>
      </c>
      <c r="O65" t="s">
        <v>266</v>
      </c>
      <c r="P65" s="34">
        <f>SUM(M65/L65)</f>
        <v>0.25000994787314473</v>
      </c>
    </row>
    <row r="66" spans="1:16" x14ac:dyDescent="0.25">
      <c r="A66" s="36">
        <v>45901</v>
      </c>
      <c r="B66" s="4" t="s">
        <v>43</v>
      </c>
      <c r="C66" s="1" t="s">
        <v>66</v>
      </c>
      <c r="D66" s="1">
        <v>18581063</v>
      </c>
      <c r="E66" s="1" t="s">
        <v>44</v>
      </c>
      <c r="F66" s="1" t="s">
        <v>45</v>
      </c>
      <c r="G66" s="1" t="s">
        <v>63</v>
      </c>
      <c r="H66" s="1" t="s">
        <v>64</v>
      </c>
      <c r="I66" s="7">
        <v>45915</v>
      </c>
      <c r="J66" s="29">
        <v>45945</v>
      </c>
      <c r="K66" s="7">
        <v>46036</v>
      </c>
      <c r="L66" s="6">
        <v>107.39</v>
      </c>
      <c r="M66" s="6">
        <v>26.85</v>
      </c>
      <c r="N66" s="33" t="s">
        <v>259</v>
      </c>
      <c r="O66" t="s">
        <v>266</v>
      </c>
      <c r="P66" s="34">
        <f>SUM(M66/L66)</f>
        <v>0.25002327963497534</v>
      </c>
    </row>
    <row r="67" spans="1:16" x14ac:dyDescent="0.25">
      <c r="A67" s="36">
        <v>45870</v>
      </c>
      <c r="B67" s="4" t="s">
        <v>43</v>
      </c>
      <c r="C67" s="1" t="s">
        <v>66</v>
      </c>
      <c r="D67" s="1">
        <v>18581063</v>
      </c>
      <c r="E67" s="1" t="s">
        <v>44</v>
      </c>
      <c r="F67" s="1" t="s">
        <v>45</v>
      </c>
      <c r="G67" s="1" t="s">
        <v>63</v>
      </c>
      <c r="H67" s="1" t="s">
        <v>64</v>
      </c>
      <c r="I67" s="7">
        <v>45915</v>
      </c>
      <c r="J67" s="29">
        <v>45915</v>
      </c>
      <c r="K67" s="7">
        <v>46036</v>
      </c>
      <c r="L67" s="6">
        <v>107.39</v>
      </c>
      <c r="M67" s="6">
        <v>26.85</v>
      </c>
      <c r="N67" s="33" t="s">
        <v>259</v>
      </c>
      <c r="O67" t="s">
        <v>266</v>
      </c>
      <c r="P67" s="34">
        <f>SUM(M67/L67)</f>
        <v>0.25002327963497534</v>
      </c>
    </row>
    <row r="68" spans="1:16" x14ac:dyDescent="0.25">
      <c r="A68" s="36">
        <v>45870</v>
      </c>
      <c r="B68" s="4" t="s">
        <v>43</v>
      </c>
      <c r="C68" s="1" t="s">
        <v>66</v>
      </c>
      <c r="D68" s="1">
        <v>18581063</v>
      </c>
      <c r="E68" s="1" t="s">
        <v>44</v>
      </c>
      <c r="F68" s="1" t="s">
        <v>45</v>
      </c>
      <c r="G68" s="1" t="s">
        <v>88</v>
      </c>
      <c r="H68" s="1" t="s">
        <v>89</v>
      </c>
      <c r="I68" s="7">
        <v>45917</v>
      </c>
      <c r="J68" s="29">
        <v>45917</v>
      </c>
      <c r="K68" s="7">
        <v>46038</v>
      </c>
      <c r="L68" s="6">
        <v>107.46</v>
      </c>
      <c r="M68" s="6">
        <v>26.87</v>
      </c>
      <c r="N68" s="33" t="s">
        <v>259</v>
      </c>
      <c r="O68" t="s">
        <v>266</v>
      </c>
      <c r="P68" s="34">
        <f>SUM(M68/L68)</f>
        <v>0.25004652894100132</v>
      </c>
    </row>
    <row r="69" spans="1:16" ht="25.5" x14ac:dyDescent="0.25">
      <c r="A69" s="36">
        <v>45901</v>
      </c>
      <c r="B69" s="4" t="s">
        <v>43</v>
      </c>
      <c r="C69" s="1" t="s">
        <v>153</v>
      </c>
      <c r="D69" s="1">
        <v>19396919</v>
      </c>
      <c r="E69" s="1" t="s">
        <v>73</v>
      </c>
      <c r="F69" s="1" t="s">
        <v>74</v>
      </c>
      <c r="G69" s="1" t="s">
        <v>173</v>
      </c>
      <c r="H69" s="1" t="s">
        <v>172</v>
      </c>
      <c r="I69" s="7">
        <v>45870</v>
      </c>
      <c r="J69" s="29">
        <v>45931</v>
      </c>
      <c r="K69" s="7">
        <v>45991</v>
      </c>
      <c r="L69" s="6">
        <v>310.33999999999997</v>
      </c>
      <c r="M69" s="6">
        <v>77.59</v>
      </c>
      <c r="N69" s="33" t="s">
        <v>259</v>
      </c>
      <c r="O69" t="s">
        <v>266</v>
      </c>
      <c r="P69" s="34">
        <f>SUM(M69/L69)</f>
        <v>0.25001611136173235</v>
      </c>
    </row>
    <row r="70" spans="1:16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33"/>
      <c r="P70" s="34"/>
    </row>
    <row r="71" spans="1:16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33"/>
      <c r="P71" s="34"/>
    </row>
    <row r="72" spans="1:16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33"/>
      <c r="P72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0E7B-53AA-487E-91EA-44297583C42D}">
  <dimension ref="A1:B68"/>
  <sheetViews>
    <sheetView topLeftCell="A34" workbookViewId="0">
      <selection activeCell="B1" sqref="B1:B68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224</v>
      </c>
      <c r="B1" cm="1">
        <f t="array" ref="B1:B68">VLOOKUP(A1:A68,[1]Sheet2!$A$1:$B$188,2,FALSE)</f>
        <v>19586992</v>
      </c>
    </row>
    <row r="2" spans="1:2" x14ac:dyDescent="0.25">
      <c r="A2" t="s">
        <v>49</v>
      </c>
      <c r="B2">
        <v>17425766</v>
      </c>
    </row>
    <row r="3" spans="1:2" x14ac:dyDescent="0.25">
      <c r="A3" t="s">
        <v>49</v>
      </c>
      <c r="B3">
        <v>17425766</v>
      </c>
    </row>
    <row r="4" spans="1:2" x14ac:dyDescent="0.25">
      <c r="A4" t="s">
        <v>49</v>
      </c>
      <c r="B4">
        <v>17425766</v>
      </c>
    </row>
    <row r="5" spans="1:2" x14ac:dyDescent="0.25">
      <c r="A5" t="s">
        <v>49</v>
      </c>
      <c r="B5">
        <v>17425766</v>
      </c>
    </row>
    <row r="6" spans="1:2" x14ac:dyDescent="0.25">
      <c r="A6" t="s">
        <v>49</v>
      </c>
      <c r="B6">
        <v>17425766</v>
      </c>
    </row>
    <row r="7" spans="1:2" x14ac:dyDescent="0.25">
      <c r="A7" t="s">
        <v>49</v>
      </c>
      <c r="B7">
        <v>17425766</v>
      </c>
    </row>
    <row r="8" spans="1:2" x14ac:dyDescent="0.25">
      <c r="A8" t="s">
        <v>49</v>
      </c>
      <c r="B8">
        <v>17425766</v>
      </c>
    </row>
    <row r="9" spans="1:2" x14ac:dyDescent="0.25">
      <c r="A9" t="s">
        <v>49</v>
      </c>
      <c r="B9">
        <v>17425766</v>
      </c>
    </row>
    <row r="10" spans="1:2" x14ac:dyDescent="0.25">
      <c r="A10" t="s">
        <v>49</v>
      </c>
      <c r="B10">
        <v>17425766</v>
      </c>
    </row>
    <row r="11" spans="1:2" x14ac:dyDescent="0.25">
      <c r="A11" t="s">
        <v>49</v>
      </c>
      <c r="B11">
        <v>17425766</v>
      </c>
    </row>
    <row r="12" spans="1:2" x14ac:dyDescent="0.25">
      <c r="A12" t="s">
        <v>268</v>
      </c>
      <c r="B12">
        <v>19681796</v>
      </c>
    </row>
    <row r="13" spans="1:2" x14ac:dyDescent="0.25">
      <c r="A13" t="s">
        <v>268</v>
      </c>
      <c r="B13">
        <v>19681796</v>
      </c>
    </row>
    <row r="14" spans="1:2" x14ac:dyDescent="0.25">
      <c r="A14" t="s">
        <v>268</v>
      </c>
      <c r="B14">
        <v>19681796</v>
      </c>
    </row>
    <row r="15" spans="1:2" x14ac:dyDescent="0.25">
      <c r="A15" t="s">
        <v>196</v>
      </c>
      <c r="B15">
        <v>17437820</v>
      </c>
    </row>
    <row r="16" spans="1:2" x14ac:dyDescent="0.25">
      <c r="A16" t="s">
        <v>135</v>
      </c>
      <c r="B16">
        <v>8325282</v>
      </c>
    </row>
    <row r="17" spans="1:2" x14ac:dyDescent="0.25">
      <c r="A17" t="s">
        <v>135</v>
      </c>
      <c r="B17">
        <v>8325282</v>
      </c>
    </row>
    <row r="18" spans="1:2" x14ac:dyDescent="0.25">
      <c r="A18" t="s">
        <v>135</v>
      </c>
      <c r="B18">
        <v>8325282</v>
      </c>
    </row>
    <row r="19" spans="1:2" x14ac:dyDescent="0.25">
      <c r="A19" t="s">
        <v>135</v>
      </c>
      <c r="B19">
        <v>8325282</v>
      </c>
    </row>
    <row r="20" spans="1:2" x14ac:dyDescent="0.25">
      <c r="A20" t="s">
        <v>135</v>
      </c>
      <c r="B20">
        <v>8325282</v>
      </c>
    </row>
    <row r="21" spans="1:2" x14ac:dyDescent="0.25">
      <c r="A21" t="s">
        <v>82</v>
      </c>
      <c r="B21">
        <v>17528908</v>
      </c>
    </row>
    <row r="22" spans="1:2" x14ac:dyDescent="0.25">
      <c r="A22" t="s">
        <v>82</v>
      </c>
      <c r="B22">
        <v>17528908</v>
      </c>
    </row>
    <row r="23" spans="1:2" x14ac:dyDescent="0.25">
      <c r="A23" t="s">
        <v>82</v>
      </c>
      <c r="B23">
        <v>17528908</v>
      </c>
    </row>
    <row r="24" spans="1:2" x14ac:dyDescent="0.25">
      <c r="A24" t="s">
        <v>82</v>
      </c>
      <c r="B24">
        <v>17528908</v>
      </c>
    </row>
    <row r="25" spans="1:2" x14ac:dyDescent="0.25">
      <c r="A25" t="s">
        <v>243</v>
      </c>
      <c r="B25">
        <v>21605264</v>
      </c>
    </row>
    <row r="26" spans="1:2" x14ac:dyDescent="0.25">
      <c r="A26" t="s">
        <v>54</v>
      </c>
      <c r="B26">
        <v>8814784</v>
      </c>
    </row>
    <row r="27" spans="1:2" x14ac:dyDescent="0.25">
      <c r="A27" t="s">
        <v>54</v>
      </c>
      <c r="B27">
        <v>8814784</v>
      </c>
    </row>
    <row r="28" spans="1:2" x14ac:dyDescent="0.25">
      <c r="A28" t="s">
        <v>54</v>
      </c>
      <c r="B28">
        <v>8814784</v>
      </c>
    </row>
    <row r="29" spans="1:2" x14ac:dyDescent="0.25">
      <c r="A29" t="s">
        <v>54</v>
      </c>
      <c r="B29">
        <v>8814784</v>
      </c>
    </row>
    <row r="30" spans="1:2" x14ac:dyDescent="0.25">
      <c r="A30" t="s">
        <v>130</v>
      </c>
      <c r="B30">
        <v>16865615</v>
      </c>
    </row>
    <row r="31" spans="1:2" x14ac:dyDescent="0.25">
      <c r="A31" t="s">
        <v>130</v>
      </c>
      <c r="B31">
        <v>16865615</v>
      </c>
    </row>
    <row r="32" spans="1:2" x14ac:dyDescent="0.25">
      <c r="A32" t="s">
        <v>159</v>
      </c>
      <c r="B32">
        <v>18754354</v>
      </c>
    </row>
    <row r="33" spans="1:2" x14ac:dyDescent="0.25">
      <c r="A33" t="s">
        <v>159</v>
      </c>
      <c r="B33">
        <v>18754354</v>
      </c>
    </row>
    <row r="34" spans="1:2" x14ac:dyDescent="0.25">
      <c r="A34" t="s">
        <v>210</v>
      </c>
      <c r="B34">
        <v>15278437</v>
      </c>
    </row>
    <row r="35" spans="1:2" x14ac:dyDescent="0.25">
      <c r="A35" t="s">
        <v>210</v>
      </c>
      <c r="B35">
        <v>15278437</v>
      </c>
    </row>
    <row r="36" spans="1:2" x14ac:dyDescent="0.25">
      <c r="A36" t="s">
        <v>267</v>
      </c>
      <c r="B36" t="e">
        <v>#N/A</v>
      </c>
    </row>
    <row r="37" spans="1:2" x14ac:dyDescent="0.25">
      <c r="A37" t="s">
        <v>267</v>
      </c>
      <c r="B37" t="e">
        <v>#N/A</v>
      </c>
    </row>
    <row r="38" spans="1:2" x14ac:dyDescent="0.25">
      <c r="A38" t="s">
        <v>267</v>
      </c>
      <c r="B38" t="e">
        <v>#N/A</v>
      </c>
    </row>
    <row r="39" spans="1:2" x14ac:dyDescent="0.25">
      <c r="A39" t="s">
        <v>267</v>
      </c>
      <c r="B39" t="e">
        <v>#N/A</v>
      </c>
    </row>
    <row r="40" spans="1:2" x14ac:dyDescent="0.25">
      <c r="A40" t="s">
        <v>267</v>
      </c>
      <c r="B40" t="e">
        <v>#N/A</v>
      </c>
    </row>
    <row r="41" spans="1:2" x14ac:dyDescent="0.25">
      <c r="A41" t="s">
        <v>267</v>
      </c>
      <c r="B41" t="e">
        <v>#N/A</v>
      </c>
    </row>
    <row r="42" spans="1:2" x14ac:dyDescent="0.25">
      <c r="A42" t="s">
        <v>102</v>
      </c>
      <c r="B42">
        <v>18710070</v>
      </c>
    </row>
    <row r="43" spans="1:2" x14ac:dyDescent="0.25">
      <c r="A43" t="s">
        <v>77</v>
      </c>
      <c r="B43">
        <v>16509456</v>
      </c>
    </row>
    <row r="44" spans="1:2" x14ac:dyDescent="0.25">
      <c r="A44" t="s">
        <v>77</v>
      </c>
      <c r="B44">
        <v>16509456</v>
      </c>
    </row>
    <row r="45" spans="1:2" x14ac:dyDescent="0.25">
      <c r="A45" t="s">
        <v>77</v>
      </c>
      <c r="B45">
        <v>16509456</v>
      </c>
    </row>
    <row r="46" spans="1:2" x14ac:dyDescent="0.25">
      <c r="A46" t="s">
        <v>77</v>
      </c>
      <c r="B46">
        <v>16509456</v>
      </c>
    </row>
    <row r="47" spans="1:2" x14ac:dyDescent="0.25">
      <c r="A47" t="s">
        <v>71</v>
      </c>
      <c r="B47">
        <v>19200754</v>
      </c>
    </row>
    <row r="48" spans="1:2" x14ac:dyDescent="0.25">
      <c r="A48" t="s">
        <v>71</v>
      </c>
      <c r="B48">
        <v>19200754</v>
      </c>
    </row>
    <row r="49" spans="1:2" x14ac:dyDescent="0.25">
      <c r="A49" t="s">
        <v>149</v>
      </c>
      <c r="B49">
        <v>8977234</v>
      </c>
    </row>
    <row r="50" spans="1:2" x14ac:dyDescent="0.25">
      <c r="A50" t="s">
        <v>149</v>
      </c>
      <c r="B50">
        <v>8977234</v>
      </c>
    </row>
    <row r="51" spans="1:2" x14ac:dyDescent="0.25">
      <c r="A51" t="s">
        <v>149</v>
      </c>
      <c r="B51">
        <v>8977234</v>
      </c>
    </row>
    <row r="52" spans="1:2" x14ac:dyDescent="0.25">
      <c r="A52" t="s">
        <v>149</v>
      </c>
      <c r="B52">
        <v>8977234</v>
      </c>
    </row>
    <row r="53" spans="1:2" x14ac:dyDescent="0.25">
      <c r="A53" t="s">
        <v>149</v>
      </c>
      <c r="B53">
        <v>8977234</v>
      </c>
    </row>
    <row r="54" spans="1:2" x14ac:dyDescent="0.25">
      <c r="A54" t="s">
        <v>123</v>
      </c>
      <c r="B54">
        <v>19396223</v>
      </c>
    </row>
    <row r="55" spans="1:2" x14ac:dyDescent="0.25">
      <c r="A55" t="s">
        <v>94</v>
      </c>
      <c r="B55">
        <v>8971826</v>
      </c>
    </row>
    <row r="56" spans="1:2" x14ac:dyDescent="0.25">
      <c r="A56" t="s">
        <v>94</v>
      </c>
      <c r="B56">
        <v>8971826</v>
      </c>
    </row>
    <row r="57" spans="1:2" x14ac:dyDescent="0.25">
      <c r="A57" t="s">
        <v>94</v>
      </c>
      <c r="B57">
        <v>8971826</v>
      </c>
    </row>
    <row r="58" spans="1:2" x14ac:dyDescent="0.25">
      <c r="A58" t="s">
        <v>94</v>
      </c>
      <c r="B58">
        <v>8971826</v>
      </c>
    </row>
    <row r="59" spans="1:2" x14ac:dyDescent="0.25">
      <c r="A59" t="s">
        <v>66</v>
      </c>
      <c r="B59">
        <v>18581063</v>
      </c>
    </row>
    <row r="60" spans="1:2" x14ac:dyDescent="0.25">
      <c r="A60" t="s">
        <v>66</v>
      </c>
      <c r="B60">
        <v>18581063</v>
      </c>
    </row>
    <row r="61" spans="1:2" x14ac:dyDescent="0.25">
      <c r="A61" t="s">
        <v>66</v>
      </c>
      <c r="B61">
        <v>18581063</v>
      </c>
    </row>
    <row r="62" spans="1:2" x14ac:dyDescent="0.25">
      <c r="A62" t="s">
        <v>66</v>
      </c>
      <c r="B62">
        <v>18581063</v>
      </c>
    </row>
    <row r="63" spans="1:2" x14ac:dyDescent="0.25">
      <c r="A63" t="s">
        <v>66</v>
      </c>
      <c r="B63">
        <v>18581063</v>
      </c>
    </row>
    <row r="64" spans="1:2" x14ac:dyDescent="0.25">
      <c r="A64" t="s">
        <v>66</v>
      </c>
      <c r="B64">
        <v>18581063</v>
      </c>
    </row>
    <row r="65" spans="1:2" x14ac:dyDescent="0.25">
      <c r="A65" t="s">
        <v>66</v>
      </c>
      <c r="B65">
        <v>18581063</v>
      </c>
    </row>
    <row r="66" spans="1:2" x14ac:dyDescent="0.25">
      <c r="A66" t="s">
        <v>66</v>
      </c>
      <c r="B66">
        <v>18581063</v>
      </c>
    </row>
    <row r="67" spans="1:2" x14ac:dyDescent="0.25">
      <c r="A67" t="s">
        <v>66</v>
      </c>
      <c r="B67">
        <v>18581063</v>
      </c>
    </row>
    <row r="68" spans="1:2" x14ac:dyDescent="0.25">
      <c r="A68" t="s">
        <v>153</v>
      </c>
      <c r="B68">
        <v>19396919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Cover_Page</vt:lpstr>
      <vt:lpstr>Details</vt:lpstr>
      <vt:lpstr>clean sheet</vt:lpstr>
      <vt:lpstr>Sheet2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2025-10-22T22:19:47Z</dcterms:created>
  <dcterms:modified xsi:type="dcterms:W3CDTF">2025-10-28T16:20:12Z</dcterms:modified>
</cp:coreProperties>
</file>