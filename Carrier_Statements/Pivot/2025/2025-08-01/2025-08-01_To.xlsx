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8F937EEB-5152-4F87-9FDA-27BD42A87704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Cover_Page" sheetId="1" r:id="rId1"/>
    <sheet name="Details" sheetId="2" r:id="rId2"/>
    <sheet name="clean sheet" sheetId="3" r:id="rId3"/>
  </sheets>
  <definedNames>
    <definedName name="_xlnm._FilterDatabase" localSheetId="2" hidden="1">'clean sheet'!$A$1:$Q$60</definedName>
    <definedName name="_xlnm._FilterDatabase" localSheetId="1" hidden="1">Details!$A$1:$Q$60</definedName>
    <definedName name="page\x2dtotal">Details!$A$60</definedName>
    <definedName name="page\x2dtotal\x2dmaster0">Details!$A$60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3" l="1"/>
  <c r="Q25" i="3"/>
  <c r="Q9" i="3"/>
  <c r="Q55" i="3"/>
  <c r="Q56" i="3"/>
  <c r="Q51" i="3"/>
  <c r="Q52" i="3"/>
  <c r="Q40" i="3"/>
  <c r="Q29" i="3"/>
  <c r="Q53" i="3"/>
  <c r="Q33" i="3"/>
  <c r="Q19" i="3"/>
  <c r="Q30" i="3"/>
  <c r="Q41" i="3"/>
  <c r="Q37" i="3"/>
  <c r="Q38" i="3"/>
  <c r="Q14" i="3"/>
  <c r="Q8" i="3"/>
  <c r="Q7" i="3"/>
  <c r="Q13" i="3"/>
  <c r="Q57" i="3"/>
  <c r="Q39" i="3"/>
  <c r="Q31" i="3"/>
  <c r="Q36" i="3"/>
  <c r="Q20" i="3"/>
  <c r="Q21" i="3"/>
  <c r="Q22" i="3"/>
  <c r="Q15" i="3"/>
  <c r="Q54" i="3"/>
  <c r="Q6" i="3"/>
  <c r="Q4" i="3"/>
  <c r="Q5" i="3"/>
  <c r="Q12" i="3"/>
  <c r="Q16" i="3"/>
  <c r="Q43" i="3"/>
  <c r="Q34" i="3"/>
  <c r="Q35" i="3"/>
  <c r="Q27" i="3"/>
  <c r="Q28" i="3"/>
  <c r="Q45" i="3"/>
  <c r="Q46" i="3"/>
  <c r="Q47" i="3"/>
  <c r="Q44" i="3"/>
  <c r="Q18" i="3"/>
  <c r="Q24" i="3"/>
  <c r="Q42" i="3"/>
  <c r="Q26" i="3"/>
  <c r="Q48" i="3"/>
  <c r="Q49" i="3"/>
  <c r="Q50" i="3"/>
  <c r="Q32" i="3"/>
  <c r="Q17" i="3"/>
  <c r="Q23" i="3"/>
  <c r="Q2" i="3"/>
  <c r="Q3" i="3"/>
  <c r="Q10" i="3"/>
</calcChain>
</file>

<file path=xl/sharedStrings.xml><?xml version="1.0" encoding="utf-8"?>
<sst xmlns="http://schemas.openxmlformats.org/spreadsheetml/2006/main" count="1139" uniqueCount="244">
  <si>
    <t xml:space="preserve">    </t>
  </si>
  <si>
    <r>
      <rPr>
        <sz val="10"/>
        <color theme="1"/>
        <rFont val="Arial"/>
        <family val="2"/>
      </rPr>
      <t>4551 W. 107</t>
    </r>
    <r>
      <rPr>
        <sz val="6.65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St, Suite 100</t>
    </r>
  </si>
  <si>
    <t>Overland Park, KS 66207-4037</t>
  </si>
  <si>
    <t>(913) 945-4100</t>
  </si>
  <si>
    <t/>
  </si>
  <si>
    <t>Main Line Benefits LLC</t>
  </si>
  <si>
    <t>232 E King St</t>
  </si>
  <si>
    <t xml:space="preserve">Malvern, PA  19355 </t>
  </si>
  <si>
    <t>Year To Date Commissions Paid: $37,754.91</t>
  </si>
  <si>
    <t>Statement Date</t>
  </si>
  <si>
    <t>08-01-2025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</si>
  <si>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</si>
  <si>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</si>
  <si>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</si>
  <si>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</si>
  <si>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</si>
  <si>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</si>
  <si>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</si>
  <si>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  <family val="2"/>
      </rPr>
      <t xml:space="preserve">For compensation questions visit your agent portal at </t>
    </r>
    <r>
      <rPr>
        <u/>
        <sz val="10"/>
        <color rgb="FF0563C1"/>
        <rFont val="Arial"/>
        <family val="2"/>
      </rPr>
      <t>www.AlliedNational.com</t>
    </r>
    <r>
      <rPr>
        <sz val="10"/>
        <color theme="1"/>
        <rFont val="Arial"/>
        <family val="2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</si>
  <si>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</si>
  <si>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</si>
  <si>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</si>
  <si>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</si>
  <si>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</si>
  <si>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</si>
  <si>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</si>
  <si>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</si>
  <si>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</si>
  <si>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</si>
  <si>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</si>
  <si>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</si>
  <si>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</si>
  <si>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</si>
  <si>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</si>
  <si>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</si>
  <si>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</si>
  <si>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</si>
  <si>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</si>
  <si>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</si>
  <si>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</si>
  <si>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</si>
  <si>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</si>
  <si>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07-2025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</si>
  <si>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</si>
  <si>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ISTM.MM-12-PPO</t>
  </si>
  <si>
    <t>North River</t>
  </si>
  <si>
    <t>601667-0-1</t>
  </si>
  <si>
    <t>Hibbard, Mathias</t>
  </si>
  <si>
    <t>07-30-2025</t>
  </si>
  <si>
    <t>Timothy Hodgman</t>
  </si>
  <si>
    <t>P0740266</t>
  </si>
  <si>
    <t>ISTM-22-RB2</t>
  </si>
  <si>
    <t>Companion Life</t>
  </si>
  <si>
    <t>601839-0-1</t>
  </si>
  <si>
    <t>Thompson, Christopher</t>
  </si>
  <si>
    <t>07-23-2025</t>
  </si>
  <si>
    <t>Andrew Choi</t>
  </si>
  <si>
    <t>P0740544</t>
  </si>
  <si>
    <t>602346-0-1</t>
  </si>
  <si>
    <t>Madden, James</t>
  </si>
  <si>
    <t>07-29-2025</t>
  </si>
  <si>
    <t>P0741383</t>
  </si>
  <si>
    <t>ISTM-25-RBP</t>
  </si>
  <si>
    <t>Pan-American Life</t>
  </si>
  <si>
    <t>611876-1-1</t>
  </si>
  <si>
    <t>Pucci, Anna</t>
  </si>
  <si>
    <t>Frank Liskovec</t>
  </si>
  <si>
    <t>P0754441</t>
  </si>
  <si>
    <t>616606-1-1</t>
  </si>
  <si>
    <t>Cece, Saverio</t>
  </si>
  <si>
    <t>07-04-2025</t>
  </si>
  <si>
    <t>Colleen Finnigan</t>
  </si>
  <si>
    <t>P0761656</t>
  </si>
  <si>
    <t>620761-1-1</t>
  </si>
  <si>
    <t>Louis, Anthony</t>
  </si>
  <si>
    <t>07-22-2025</t>
  </si>
  <si>
    <t>Jacob Yale</t>
  </si>
  <si>
    <t>P0767111</t>
  </si>
  <si>
    <t>623754-0-1</t>
  </si>
  <si>
    <t>Lum, Wayland</t>
  </si>
  <si>
    <t>07-27-2025</t>
  </si>
  <si>
    <t>Barry Schumann</t>
  </si>
  <si>
    <t>P0771326</t>
  </si>
  <si>
    <t>626310-0-1</t>
  </si>
  <si>
    <t>McWilliams, Dustin</t>
  </si>
  <si>
    <t>05-15-2025</t>
  </si>
  <si>
    <t>P0774941</t>
  </si>
  <si>
    <t>06-15-2025</t>
  </si>
  <si>
    <t>07-15-2025</t>
  </si>
  <si>
    <t>ISTM.MM-12-RB2</t>
  </si>
  <si>
    <t>627201-0-1</t>
  </si>
  <si>
    <t>Klein, Jeffrey</t>
  </si>
  <si>
    <t>07-24-2025</t>
  </si>
  <si>
    <t>Carol Foley</t>
  </si>
  <si>
    <t>P0776257</t>
  </si>
  <si>
    <t>627574-0-1</t>
  </si>
  <si>
    <t>Foley, Gerald</t>
  </si>
  <si>
    <t>P0776784</t>
  </si>
  <si>
    <t>628930-0-1</t>
  </si>
  <si>
    <t>Vollmer, Gene</t>
  </si>
  <si>
    <t>07-01-2025</t>
  </si>
  <si>
    <t>Ryan Caltagirone</t>
  </si>
  <si>
    <t>P0778699</t>
  </si>
  <si>
    <t>629065-0-1</t>
  </si>
  <si>
    <t>Arriaza, Carl</t>
  </si>
  <si>
    <t>06-08-2025</t>
  </si>
  <si>
    <t>Heather Geske</t>
  </si>
  <si>
    <t>P0778891</t>
  </si>
  <si>
    <t>07-08-2025</t>
  </si>
  <si>
    <t>631121-0-1</t>
  </si>
  <si>
    <t>Naidoo, Jiovani</t>
  </si>
  <si>
    <t>06-27-2025</t>
  </si>
  <si>
    <t>P0781824</t>
  </si>
  <si>
    <t>632219-0-1</t>
  </si>
  <si>
    <t>Lopes, Betty</t>
  </si>
  <si>
    <t>07-03-2025</t>
  </si>
  <si>
    <t>P0783378</t>
  </si>
  <si>
    <t>632292-0-1</t>
  </si>
  <si>
    <t>Edley Kenton, Robyne</t>
  </si>
  <si>
    <t>Wesley Ellis</t>
  </si>
  <si>
    <t>P0783487</t>
  </si>
  <si>
    <t>632950-0-1</t>
  </si>
  <si>
    <t>Stier, John</t>
  </si>
  <si>
    <t>07-09-2025</t>
  </si>
  <si>
    <t>P0784445</t>
  </si>
  <si>
    <t>634079-0-1</t>
  </si>
  <si>
    <t>Woods, Thomas</t>
  </si>
  <si>
    <t>Saadia Abdul</t>
  </si>
  <si>
    <t>P0786072</t>
  </si>
  <si>
    <t>634824-0-1</t>
  </si>
  <si>
    <t>Fanelli, Naomi</t>
  </si>
  <si>
    <t>Deborah Inskipt</t>
  </si>
  <si>
    <t>P0787130</t>
  </si>
  <si>
    <t>P0785722</t>
  </si>
  <si>
    <t>Ricardo Santos</t>
  </si>
  <si>
    <t>07-16-2025</t>
  </si>
  <si>
    <t>Tobias, Robert</t>
  </si>
  <si>
    <t>633835-0-1</t>
  </si>
  <si>
    <t>08-2025</t>
  </si>
  <si>
    <t>08-03-2025</t>
  </si>
  <si>
    <t>P0783401</t>
  </si>
  <si>
    <t>Fonseca Moreno, Nickolas</t>
  </si>
  <si>
    <t>632236-0-1</t>
  </si>
  <si>
    <t>P0782761</t>
  </si>
  <si>
    <t>Peter Richter</t>
  </si>
  <si>
    <t>Stemko, Theresa</t>
  </si>
  <si>
    <t>631781-0-1</t>
  </si>
  <si>
    <t>P0782694</t>
  </si>
  <si>
    <t>Spitzer, Thomas</t>
  </si>
  <si>
    <t>631738-0-1</t>
  </si>
  <si>
    <t>P0777509</t>
  </si>
  <si>
    <t>Lori Tunstall</t>
  </si>
  <si>
    <t>Ferreira, Lara</t>
  </si>
  <si>
    <t>628086-0-1</t>
  </si>
  <si>
    <t>P0773346</t>
  </si>
  <si>
    <t>Callozzo, Janis</t>
  </si>
  <si>
    <t>625199-0-1</t>
  </si>
  <si>
    <t>P0767077</t>
  </si>
  <si>
    <t>Mills, Jane</t>
  </si>
  <si>
    <t>620740-1-1</t>
  </si>
  <si>
    <t>P0761904</t>
  </si>
  <si>
    <t>Chris Taugner</t>
  </si>
  <si>
    <t>08-06-2025</t>
  </si>
  <si>
    <t>Tijerina, Bryan</t>
  </si>
  <si>
    <t>616980-1-1</t>
  </si>
  <si>
    <t>P0761444</t>
  </si>
  <si>
    <t>08-02-2025</t>
  </si>
  <si>
    <t>Keivan, Robert</t>
  </si>
  <si>
    <t>616787-1-1</t>
  </si>
  <si>
    <t>08-04-2025</t>
  </si>
  <si>
    <t>P0755795</t>
  </si>
  <si>
    <t>Dale Walenga</t>
  </si>
  <si>
    <t>Avila Ortiz, Orlando</t>
  </si>
  <si>
    <t>612731-1-1</t>
  </si>
  <si>
    <t>P0755089</t>
  </si>
  <si>
    <t>Katz, Michael</t>
  </si>
  <si>
    <t>612270-1-1</t>
  </si>
  <si>
    <t>P0753058</t>
  </si>
  <si>
    <t>Fullerton, Jeffry</t>
  </si>
  <si>
    <t>610945-2-1</t>
  </si>
  <si>
    <t>P0739455</t>
  </si>
  <si>
    <t>Stango, Lisa</t>
  </si>
  <si>
    <t>601197-0-1</t>
  </si>
  <si>
    <t>996202166</t>
  </si>
  <si>
    <t>194510-0-1</t>
  </si>
  <si>
    <t>Renaissance</t>
  </si>
  <si>
    <t>IDEN-01-PPO</t>
  </si>
  <si>
    <t>P0790435</t>
  </si>
  <si>
    <t>Scott Aguglia</t>
  </si>
  <si>
    <t>08-07-2025</t>
  </si>
  <si>
    <t>Davis, Charles</t>
  </si>
  <si>
    <t>637226-0-1</t>
  </si>
  <si>
    <t>P0790030</t>
  </si>
  <si>
    <t>Adam Richter</t>
  </si>
  <si>
    <t>Johnson, Madelena</t>
  </si>
  <si>
    <t>636925-0-1</t>
  </si>
  <si>
    <t>P0789324</t>
  </si>
  <si>
    <t>Burman, Samuel</t>
  </si>
  <si>
    <t>636372-0-1</t>
  </si>
  <si>
    <t>08-09-2025</t>
  </si>
  <si>
    <t>08-08-2025</t>
  </si>
  <si>
    <t>P0774702</t>
  </si>
  <si>
    <t>08-14-2025</t>
  </si>
  <si>
    <t>Zabkar, Lynette</t>
  </si>
  <si>
    <t>626150-0-1</t>
  </si>
  <si>
    <t>996202029</t>
  </si>
  <si>
    <t>08-11-2025</t>
  </si>
  <si>
    <t>Duran, Jose</t>
  </si>
  <si>
    <t>194374-0-1</t>
  </si>
  <si>
    <t>P0791552</t>
  </si>
  <si>
    <t>08-12-2025</t>
  </si>
  <si>
    <t>Hollendonner, Nicholas</t>
  </si>
  <si>
    <t>638056-0-1</t>
  </si>
  <si>
    <t>P0783528</t>
  </si>
  <si>
    <t>Spano, Richard</t>
  </si>
  <si>
    <t>637547-0-1</t>
  </si>
  <si>
    <t>ISTM-23-PPO</t>
  </si>
  <si>
    <t>P0786457</t>
  </si>
  <si>
    <t>08-19-2025</t>
  </si>
  <si>
    <t>Kenst, Joshua</t>
  </si>
  <si>
    <t>634342-0-1</t>
  </si>
  <si>
    <t>08-16-2025</t>
  </si>
  <si>
    <t>P0775545</t>
  </si>
  <si>
    <t>08-21-2025</t>
  </si>
  <si>
    <t>Dellis, Louis</t>
  </si>
  <si>
    <t>626724-0-1</t>
  </si>
  <si>
    <t>P0774945</t>
  </si>
  <si>
    <t>08-15-2025</t>
  </si>
  <si>
    <t>626312-0-1</t>
  </si>
  <si>
    <t>P0754442</t>
  </si>
  <si>
    <t>611876-2-1</t>
  </si>
  <si>
    <t>P0727654</t>
  </si>
  <si>
    <t>Rubman, Cheryl</t>
  </si>
  <si>
    <t>593421-1-1</t>
  </si>
  <si>
    <t>996201566</t>
  </si>
  <si>
    <t>Meinke, Gerald</t>
  </si>
  <si>
    <t>193909-0-1</t>
  </si>
  <si>
    <t>MLB</t>
  </si>
  <si>
    <t>Pivot OVR</t>
  </si>
  <si>
    <t>comm rate</t>
  </si>
  <si>
    <t>Renaissance Dental</t>
  </si>
  <si>
    <t>ST &amp; Bridge DE NH OH VA</t>
  </si>
  <si>
    <t>ST &amp; Bridge IA IN MI MS ND NE TN</t>
  </si>
  <si>
    <t>ST &amp; Bridge EX DE IA IN KS MI MS ND NE NH OH TN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</si>
</sst>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6.65"/>
      <color theme="1"/>
      <name val="Arial"/>
      <family val="2"/>
    </font>
    <font>
      <u/>
      <sz val="10"/>
      <color rgb="FF0563C1"/>
      <name val="Arial"/>
      <family val="2"/>
    </font>
    <font>
      <sz val="10"/>
      <color rgb="FF003300"/>
      <name val="Arial"/>
      <family val="2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8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1" fillId="0" borderId="2" xfId="0" applyNumberFormat="1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top" wrapText="1"/>
    </xf>
    <xf numFmtId="4" fontId="1" fillId="3" borderId="2" xfId="0" applyNumberFormat="1" applyFont="1" applyFill="1" applyBorder="1" applyAlignment="1">
      <alignment horizontal="right" vertical="top" wrapText="1"/>
    </xf>
    <xf numFmtId="0" fontId="1" fillId="3" borderId="2" xfId="0" applyNumberFormat="1" applyFont="1" applyFill="1" applyBorder="1" applyAlignment="1">
      <alignment horizontal="left" vertical="top" wrapText="1"/>
    </xf>
    <xf numFmtId="165" fontId="1" fillId="3" borderId="2" xfId="0" applyNumberFormat="1" applyFont="1" applyFill="1" applyBorder="1" applyAlignment="1">
      <alignment horizontal="left" vertical="top" wrapText="1"/>
    </xf>
    <xf numFmtId="3" fontId="1" fillId="3" borderId="2" xfId="0" applyNumberFormat="1" applyFont="1" applyFill="1" applyBorder="1" applyAlignment="1">
      <alignment horizontal="left" vertical="top" wrapText="1"/>
    </xf>
    <xf numFmtId="0" fontId="0" fillId="3" borderId="2" xfId="0" applyFill="1" applyBorder="1" applyAlignment="1">
      <alignment vertical="top" wrapText="1"/>
    </xf>
    <xf numFmtId="2" fontId="3" fillId="2" borderId="6" xfId="0" applyNumberFormat="1" applyFont="1" applyFill="1" applyBorder="1" applyAlignment="1">
      <alignment horizontal="left" vertical="top" wrapText="1"/>
    </xf>
    <xf numFmtId="2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workbookViewId="0">
      <selection activeCell="B25" sqref="B25:C25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9" t="s">
        <v>0</v>
      </c>
      <c r="B1" s="19"/>
      <c r="C1" s="19"/>
      <c r="D1" s="19"/>
      <c r="E1" s="19"/>
      <c r="F1" s="19"/>
      <c r="G1" s="19"/>
    </row>
    <row r="4" spans="1:7" x14ac:dyDescent="0.25">
      <c r="A4" s="24" t="s">
        <v>1</v>
      </c>
      <c r="B4" s="24"/>
      <c r="C4" s="24"/>
      <c r="D4" s="24"/>
      <c r="E4" s="24"/>
      <c r="F4" s="24"/>
      <c r="G4" s="24"/>
    </row>
    <row r="5" spans="1:7" x14ac:dyDescent="0.25">
      <c r="A5" s="25" t="s">
        <v>2</v>
      </c>
      <c r="B5" s="25"/>
      <c r="C5" s="25"/>
      <c r="D5" s="25"/>
      <c r="E5" s="25"/>
      <c r="F5" s="25"/>
      <c r="G5" s="25"/>
    </row>
    <row r="6" spans="1:7" x14ac:dyDescent="0.25">
      <c r="A6" s="25" t="s">
        <v>3</v>
      </c>
      <c r="B6" s="25"/>
      <c r="C6" s="25"/>
      <c r="D6" s="25"/>
      <c r="E6" s="25"/>
      <c r="F6" s="25"/>
      <c r="G6" s="25"/>
    </row>
    <row r="7" spans="1:7" x14ac:dyDescent="0.25">
      <c r="A7" s="11" t="s">
        <v>4</v>
      </c>
      <c r="B7" s="11"/>
      <c r="C7" s="11"/>
      <c r="D7" s="11"/>
      <c r="E7" s="11"/>
      <c r="F7" s="11"/>
      <c r="G7" s="11"/>
    </row>
    <row r="8" spans="1:7" x14ac:dyDescent="0.25">
      <c r="A8" s="19" t="s">
        <v>5</v>
      </c>
      <c r="B8" s="19"/>
      <c r="C8" s="19"/>
      <c r="D8" s="19"/>
      <c r="E8" s="19"/>
      <c r="F8" s="19"/>
      <c r="G8" s="19"/>
    </row>
    <row r="9" spans="1:7" x14ac:dyDescent="0.25">
      <c r="A9" s="19" t="s">
        <v>6</v>
      </c>
      <c r="B9" s="19"/>
      <c r="C9" s="19"/>
      <c r="D9" s="19"/>
      <c r="E9" s="19"/>
      <c r="F9" s="19"/>
      <c r="G9" s="19"/>
    </row>
    <row r="10" spans="1:7" x14ac:dyDescent="0.25">
      <c r="A10" s="19" t="s">
        <v>7</v>
      </c>
      <c r="B10" s="19"/>
      <c r="C10" s="19"/>
      <c r="D10" s="19"/>
      <c r="E10" s="19"/>
      <c r="F10" s="19"/>
      <c r="G10" s="19"/>
    </row>
    <row r="11" spans="1:7" x14ac:dyDescent="0.25">
      <c r="A11" s="11" t="s">
        <v>4</v>
      </c>
      <c r="B11" s="11"/>
      <c r="C11" s="11"/>
      <c r="D11" s="11"/>
      <c r="E11" s="11"/>
      <c r="F11" s="11"/>
      <c r="G11" s="11"/>
    </row>
    <row r="12" spans="1:7" x14ac:dyDescent="0.25">
      <c r="A12" s="20" t="s">
        <v>8</v>
      </c>
      <c r="B12" s="20"/>
      <c r="C12" s="21" t="s">
        <v>4</v>
      </c>
      <c r="D12" s="22"/>
      <c r="E12" s="1" t="s">
        <v>9</v>
      </c>
      <c r="F12" s="1" t="s">
        <v>10</v>
      </c>
    </row>
    <row r="13" spans="1:7" x14ac:dyDescent="0.25">
      <c r="A13" s="20" t="s">
        <v>11</v>
      </c>
      <c r="B13" s="20"/>
      <c r="C13" s="21" t="s">
        <v>4</v>
      </c>
      <c r="D13" s="22"/>
      <c r="E13" s="1" t="s">
        <v>12</v>
      </c>
      <c r="F13" s="2">
        <v>2461909</v>
      </c>
    </row>
    <row r="14" spans="1:7" x14ac:dyDescent="0.25">
      <c r="A14" s="23" t="s">
        <v>13</v>
      </c>
      <c r="B14" s="23"/>
      <c r="C14" s="21" t="s">
        <v>4</v>
      </c>
      <c r="D14" s="22"/>
      <c r="E14" s="1" t="s">
        <v>14</v>
      </c>
      <c r="F14" s="1" t="s">
        <v>15</v>
      </c>
    </row>
    <row r="15" spans="1:7" x14ac:dyDescent="0.25">
      <c r="A15" s="11" t="s">
        <v>4</v>
      </c>
      <c r="B15" s="11"/>
      <c r="C15" s="11"/>
      <c r="D15" s="11"/>
      <c r="E15" s="11"/>
      <c r="F15" s="11"/>
      <c r="G15" s="11"/>
    </row>
    <row r="16" spans="1:7" x14ac:dyDescent="0.25">
      <c r="A16" s="19" t="s">
        <v>16</v>
      </c>
      <c r="B16" s="19"/>
      <c r="C16" s="19"/>
      <c r="D16" s="19"/>
      <c r="E16" s="19"/>
      <c r="F16" s="19"/>
      <c r="G16" s="19"/>
    </row>
    <row r="17" spans="1:7" x14ac:dyDescent="0.25">
      <c r="A17" s="11" t="s">
        <v>4</v>
      </c>
      <c r="B17" s="11"/>
      <c r="C17" s="11"/>
      <c r="D17" s="11"/>
      <c r="E17" s="11"/>
      <c r="F17" s="11"/>
      <c r="G17" s="11"/>
    </row>
    <row r="18" spans="1:7" x14ac:dyDescent="0.25">
      <c r="A18" s="19" t="s">
        <v>17</v>
      </c>
      <c r="B18" s="19"/>
      <c r="C18" s="19"/>
      <c r="D18" s="19"/>
      <c r="E18" s="19"/>
      <c r="F18" s="19"/>
      <c r="G18" s="19"/>
    </row>
    <row r="19" spans="1:7" x14ac:dyDescent="0.25">
      <c r="A19" s="11" t="s">
        <v>4</v>
      </c>
      <c r="B19" s="11"/>
      <c r="C19" s="11"/>
      <c r="D19" s="11"/>
      <c r="E19" s="11"/>
      <c r="F19" s="11"/>
      <c r="G19" s="11"/>
    </row>
    <row r="20" spans="1:7" x14ac:dyDescent="0.25">
      <c r="A20" s="11" t="s">
        <v>18</v>
      </c>
      <c r="B20" s="11"/>
      <c r="C20" s="11"/>
      <c r="D20" s="11"/>
      <c r="E20" s="11"/>
      <c r="F20" s="11"/>
      <c r="G20" s="11"/>
    </row>
    <row r="21" spans="1:7" x14ac:dyDescent="0.25">
      <c r="A21" s="11" t="s">
        <v>4</v>
      </c>
      <c r="B21" s="11"/>
      <c r="C21" s="11"/>
      <c r="D21" s="11"/>
      <c r="E21" s="11"/>
      <c r="F21" s="11"/>
      <c r="G21" s="11"/>
    </row>
    <row r="22" spans="1:7" x14ac:dyDescent="0.25">
      <c r="A22" s="16" t="s">
        <v>19</v>
      </c>
      <c r="B22" s="17"/>
      <c r="C22" s="18"/>
    </row>
    <row r="23" spans="1:7" x14ac:dyDescent="0.25">
      <c r="A23" s="1" t="s">
        <v>20</v>
      </c>
      <c r="B23" s="12">
        <v>456.77</v>
      </c>
      <c r="C23" s="13"/>
    </row>
    <row r="24" spans="1:7" x14ac:dyDescent="0.25">
      <c r="A24" s="1" t="s">
        <v>21</v>
      </c>
      <c r="B24" s="12">
        <v>456.77</v>
      </c>
      <c r="C24" s="13"/>
    </row>
    <row r="25" spans="1:7" x14ac:dyDescent="0.25">
      <c r="A25" s="1" t="s">
        <v>22</v>
      </c>
      <c r="B25" s="12">
        <v>0</v>
      </c>
      <c r="C25" s="13"/>
    </row>
    <row r="26" spans="1:7" x14ac:dyDescent="0.25">
      <c r="A26" s="1" t="s">
        <v>23</v>
      </c>
      <c r="B26" s="12">
        <v>1161.47</v>
      </c>
      <c r="C26" s="13"/>
    </row>
    <row r="27" spans="1:7" x14ac:dyDescent="0.25">
      <c r="A27" s="1" t="s">
        <v>24</v>
      </c>
      <c r="B27" s="12">
        <v>1161.47</v>
      </c>
      <c r="C27" s="13"/>
    </row>
    <row r="28" spans="1:7" x14ac:dyDescent="0.25">
      <c r="A28" s="1" t="s">
        <v>25</v>
      </c>
      <c r="B28" s="14" t="s">
        <v>26</v>
      </c>
      <c r="C28" s="15"/>
    </row>
    <row r="29" spans="1:7" x14ac:dyDescent="0.25">
      <c r="A29" s="11" t="s">
        <v>4</v>
      </c>
      <c r="B29" s="11"/>
      <c r="C29" s="11"/>
      <c r="D29" s="11"/>
      <c r="E29" s="11"/>
      <c r="F29" s="11"/>
      <c r="G29" s="11"/>
    </row>
    <row r="30" spans="1:7" x14ac:dyDescent="0.25">
      <c r="A30" s="11" t="s">
        <v>4</v>
      </c>
      <c r="B30" s="11"/>
      <c r="C30" s="11"/>
      <c r="D30" s="11"/>
      <c r="E30" s="11"/>
      <c r="F30" s="11"/>
      <c r="G30" s="11"/>
    </row>
    <row r="31" spans="1:7" x14ac:dyDescent="0.25">
      <c r="A31" s="11" t="s">
        <v>4</v>
      </c>
      <c r="B31" s="11"/>
      <c r="C31" s="11"/>
      <c r="D31" s="11"/>
      <c r="E31" s="11"/>
      <c r="F31" s="11"/>
      <c r="G31" s="11"/>
    </row>
    <row r="32" spans="1:7" x14ac:dyDescent="0.25">
      <c r="A32" s="11" t="s">
        <v>4</v>
      </c>
      <c r="B32" s="11"/>
      <c r="C32" s="11"/>
      <c r="D32" s="11"/>
      <c r="E32" s="11"/>
      <c r="F32" s="11"/>
      <c r="G32" s="11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A31:G31"/>
    <mergeCell ref="A32:G32"/>
    <mergeCell ref="B26:C26"/>
    <mergeCell ref="B27:C27"/>
    <mergeCell ref="B28:C28"/>
    <mergeCell ref="A29:G29"/>
    <mergeCell ref="A30:G30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0"/>
  <sheetViews>
    <sheetView showGridLines="0" workbookViewId="0">
      <selection activeCell="K18" sqref="A1:Q60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6" ht="24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23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</row>
    <row r="2" spans="1:16" ht="25.5" x14ac:dyDescent="0.25">
      <c r="A2" s="1" t="s">
        <v>42</v>
      </c>
      <c r="B2" s="4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5" t="s">
        <v>48</v>
      </c>
      <c r="H2" s="6">
        <v>206.21</v>
      </c>
      <c r="I2" s="6">
        <v>51.55</v>
      </c>
      <c r="J2" s="1" t="s">
        <v>49</v>
      </c>
      <c r="K2" s="26">
        <v>95788</v>
      </c>
      <c r="L2" s="7">
        <v>45534</v>
      </c>
      <c r="M2" s="8"/>
      <c r="N2" s="9">
        <v>364</v>
      </c>
      <c r="O2" s="1" t="s">
        <v>50</v>
      </c>
      <c r="P2" s="8"/>
    </row>
    <row r="3" spans="1:16" ht="25.5" x14ac:dyDescent="0.25">
      <c r="A3" s="1" t="s">
        <v>42</v>
      </c>
      <c r="B3" s="4" t="s">
        <v>43</v>
      </c>
      <c r="C3" s="1" t="s">
        <v>51</v>
      </c>
      <c r="D3" s="1" t="s">
        <v>52</v>
      </c>
      <c r="E3" s="1" t="s">
        <v>53</v>
      </c>
      <c r="F3" s="1" t="s">
        <v>54</v>
      </c>
      <c r="G3" s="5" t="s">
        <v>55</v>
      </c>
      <c r="H3" s="6">
        <v>364.38</v>
      </c>
      <c r="I3" s="6">
        <v>80.16</v>
      </c>
      <c r="J3" s="1" t="s">
        <v>56</v>
      </c>
      <c r="K3" s="26">
        <v>95737</v>
      </c>
      <c r="L3" s="7">
        <v>45527</v>
      </c>
      <c r="M3" s="8"/>
      <c r="N3" s="9">
        <v>364</v>
      </c>
      <c r="O3" s="1" t="s">
        <v>57</v>
      </c>
      <c r="P3" s="8"/>
    </row>
    <row r="4" spans="1:16" x14ac:dyDescent="0.25">
      <c r="A4" s="1" t="s">
        <v>42</v>
      </c>
      <c r="B4" s="4" t="s">
        <v>43</v>
      </c>
      <c r="C4" s="1" t="s">
        <v>51</v>
      </c>
      <c r="D4" s="1" t="s">
        <v>52</v>
      </c>
      <c r="E4" s="1" t="s">
        <v>58</v>
      </c>
      <c r="F4" s="1" t="s">
        <v>59</v>
      </c>
      <c r="G4" s="5" t="s">
        <v>60</v>
      </c>
      <c r="H4" s="6">
        <v>747.39</v>
      </c>
      <c r="I4" s="6">
        <v>186.84</v>
      </c>
      <c r="J4" s="1" t="s">
        <v>49</v>
      </c>
      <c r="K4" s="26">
        <v>95788</v>
      </c>
      <c r="L4" s="7">
        <v>45533</v>
      </c>
      <c r="M4" s="8"/>
      <c r="N4" s="9">
        <v>364</v>
      </c>
      <c r="O4" s="1" t="s">
        <v>61</v>
      </c>
      <c r="P4" s="8"/>
    </row>
    <row r="5" spans="1:16" ht="25.5" x14ac:dyDescent="0.25">
      <c r="A5" s="1" t="s">
        <v>42</v>
      </c>
      <c r="B5" s="4" t="s">
        <v>43</v>
      </c>
      <c r="C5" s="1" t="s">
        <v>62</v>
      </c>
      <c r="D5" s="1" t="s">
        <v>63</v>
      </c>
      <c r="E5" s="1" t="s">
        <v>64</v>
      </c>
      <c r="F5" s="1" t="s">
        <v>65</v>
      </c>
      <c r="G5" s="5" t="s">
        <v>55</v>
      </c>
      <c r="H5" s="6">
        <v>409.55</v>
      </c>
      <c r="I5" s="6">
        <v>102.39</v>
      </c>
      <c r="J5" s="1" t="s">
        <v>66</v>
      </c>
      <c r="K5" s="26">
        <v>95755</v>
      </c>
      <c r="L5" s="7">
        <v>45770</v>
      </c>
      <c r="M5" s="7">
        <v>45889</v>
      </c>
      <c r="N5" s="9">
        <v>120</v>
      </c>
      <c r="O5" s="1" t="s">
        <v>67</v>
      </c>
      <c r="P5" s="8"/>
    </row>
    <row r="6" spans="1:16" x14ac:dyDescent="0.25">
      <c r="A6" s="1" t="s">
        <v>42</v>
      </c>
      <c r="B6" s="4" t="s">
        <v>43</v>
      </c>
      <c r="C6" s="1" t="s">
        <v>51</v>
      </c>
      <c r="D6" s="1" t="s">
        <v>52</v>
      </c>
      <c r="E6" s="1" t="s">
        <v>68</v>
      </c>
      <c r="F6" s="1" t="s">
        <v>69</v>
      </c>
      <c r="G6" s="5" t="s">
        <v>70</v>
      </c>
      <c r="H6" s="6">
        <v>406.55</v>
      </c>
      <c r="I6" s="6">
        <v>101.64</v>
      </c>
      <c r="J6" s="1" t="s">
        <v>71</v>
      </c>
      <c r="K6" s="26">
        <v>80671</v>
      </c>
      <c r="L6" s="7">
        <v>45842</v>
      </c>
      <c r="M6" s="7">
        <v>45964</v>
      </c>
      <c r="N6" s="9">
        <v>123</v>
      </c>
      <c r="O6" s="1" t="s">
        <v>72</v>
      </c>
      <c r="P6" s="8"/>
    </row>
    <row r="7" spans="1:16" x14ac:dyDescent="0.25">
      <c r="A7" s="1" t="s">
        <v>42</v>
      </c>
      <c r="B7" s="4" t="s">
        <v>43</v>
      </c>
      <c r="C7" s="1" t="s">
        <v>51</v>
      </c>
      <c r="D7" s="1" t="s">
        <v>52</v>
      </c>
      <c r="E7" s="1" t="s">
        <v>73</v>
      </c>
      <c r="F7" s="1" t="s">
        <v>74</v>
      </c>
      <c r="G7" s="5" t="s">
        <v>75</v>
      </c>
      <c r="H7" s="6">
        <v>121.25</v>
      </c>
      <c r="I7" s="6">
        <v>30.31</v>
      </c>
      <c r="J7" s="1" t="s">
        <v>76</v>
      </c>
      <c r="K7" s="26">
        <v>95760</v>
      </c>
      <c r="L7" s="7">
        <v>45860</v>
      </c>
      <c r="M7" s="7">
        <v>45982</v>
      </c>
      <c r="N7" s="9">
        <v>123</v>
      </c>
      <c r="O7" s="1" t="s">
        <v>77</v>
      </c>
      <c r="P7" s="8"/>
    </row>
    <row r="8" spans="1:16" x14ac:dyDescent="0.25">
      <c r="A8" s="1" t="s">
        <v>42</v>
      </c>
      <c r="B8" s="4" t="s">
        <v>43</v>
      </c>
      <c r="C8" s="1" t="s">
        <v>51</v>
      </c>
      <c r="D8" s="1" t="s">
        <v>52</v>
      </c>
      <c r="E8" s="1" t="s">
        <v>78</v>
      </c>
      <c r="F8" s="1" t="s">
        <v>79</v>
      </c>
      <c r="G8" s="5" t="s">
        <v>80</v>
      </c>
      <c r="H8" s="6">
        <v>259.64999999999998</v>
      </c>
      <c r="I8" s="6">
        <v>64.91</v>
      </c>
      <c r="J8" s="1" t="s">
        <v>81</v>
      </c>
      <c r="K8" s="26">
        <v>95834</v>
      </c>
      <c r="L8" s="7">
        <v>45774</v>
      </c>
      <c r="M8" s="7">
        <v>45895</v>
      </c>
      <c r="N8" s="9">
        <v>122</v>
      </c>
      <c r="O8" s="1" t="s">
        <v>82</v>
      </c>
      <c r="P8" s="8"/>
    </row>
    <row r="9" spans="1:16" x14ac:dyDescent="0.25">
      <c r="A9" s="1" t="s">
        <v>42</v>
      </c>
      <c r="B9" s="4" t="s">
        <v>43</v>
      </c>
      <c r="C9" s="1" t="s">
        <v>51</v>
      </c>
      <c r="D9" s="1" t="s">
        <v>52</v>
      </c>
      <c r="E9" s="1" t="s">
        <v>83</v>
      </c>
      <c r="F9" s="1" t="s">
        <v>84</v>
      </c>
      <c r="G9" s="5" t="s">
        <v>85</v>
      </c>
      <c r="H9" s="6">
        <v>-107.39</v>
      </c>
      <c r="I9" s="6">
        <v>-26.85</v>
      </c>
      <c r="J9" s="1" t="s">
        <v>49</v>
      </c>
      <c r="K9" s="26">
        <v>95788</v>
      </c>
      <c r="L9" s="7">
        <v>45792</v>
      </c>
      <c r="M9" s="7">
        <v>45791</v>
      </c>
      <c r="N9" s="9">
        <v>123</v>
      </c>
      <c r="O9" s="1" t="s">
        <v>86</v>
      </c>
      <c r="P9" s="8"/>
    </row>
    <row r="10" spans="1:16" x14ac:dyDescent="0.25">
      <c r="A10" s="1" t="s">
        <v>42</v>
      </c>
      <c r="B10" s="4" t="s">
        <v>43</v>
      </c>
      <c r="C10" s="1" t="s">
        <v>51</v>
      </c>
      <c r="D10" s="1" t="s">
        <v>52</v>
      </c>
      <c r="E10" s="1" t="s">
        <v>83</v>
      </c>
      <c r="F10" s="1" t="s">
        <v>84</v>
      </c>
      <c r="G10" s="5" t="s">
        <v>87</v>
      </c>
      <c r="H10" s="6">
        <v>-107.39</v>
      </c>
      <c r="I10" s="6">
        <v>-26.85</v>
      </c>
      <c r="J10" s="1" t="s">
        <v>49</v>
      </c>
      <c r="K10" s="26">
        <v>95788</v>
      </c>
      <c r="L10" s="7">
        <v>45792</v>
      </c>
      <c r="M10" s="7">
        <v>45791</v>
      </c>
      <c r="N10" s="9">
        <v>123</v>
      </c>
      <c r="O10" s="1" t="s">
        <v>86</v>
      </c>
      <c r="P10" s="8"/>
    </row>
    <row r="11" spans="1:16" x14ac:dyDescent="0.25">
      <c r="A11" s="1" t="s">
        <v>42</v>
      </c>
      <c r="B11" s="4" t="s">
        <v>43</v>
      </c>
      <c r="C11" s="1" t="s">
        <v>51</v>
      </c>
      <c r="D11" s="1" t="s">
        <v>52</v>
      </c>
      <c r="E11" s="1" t="s">
        <v>83</v>
      </c>
      <c r="F11" s="1" t="s">
        <v>84</v>
      </c>
      <c r="G11" s="5" t="s">
        <v>88</v>
      </c>
      <c r="H11" s="6">
        <v>-107.39</v>
      </c>
      <c r="I11" s="6">
        <v>-26.85</v>
      </c>
      <c r="J11" s="1" t="s">
        <v>49</v>
      </c>
      <c r="K11" s="26">
        <v>95788</v>
      </c>
      <c r="L11" s="7">
        <v>45792</v>
      </c>
      <c r="M11" s="7">
        <v>45791</v>
      </c>
      <c r="N11" s="9">
        <v>123</v>
      </c>
      <c r="O11" s="1" t="s">
        <v>86</v>
      </c>
      <c r="P11" s="8"/>
    </row>
    <row r="12" spans="1:16" ht="25.5" x14ac:dyDescent="0.25">
      <c r="A12" s="1" t="s">
        <v>42</v>
      </c>
      <c r="B12" s="4" t="s">
        <v>43</v>
      </c>
      <c r="C12" s="1" t="s">
        <v>89</v>
      </c>
      <c r="D12" s="1" t="s">
        <v>45</v>
      </c>
      <c r="E12" s="1" t="s">
        <v>90</v>
      </c>
      <c r="F12" s="1" t="s">
        <v>91</v>
      </c>
      <c r="G12" s="5" t="s">
        <v>92</v>
      </c>
      <c r="H12" s="6">
        <v>77.55</v>
      </c>
      <c r="I12" s="6">
        <v>19.39</v>
      </c>
      <c r="J12" s="1" t="s">
        <v>93</v>
      </c>
      <c r="K12" s="26">
        <v>81570</v>
      </c>
      <c r="L12" s="7">
        <v>45801</v>
      </c>
      <c r="M12" s="7">
        <v>45923</v>
      </c>
      <c r="N12" s="9">
        <v>123</v>
      </c>
      <c r="O12" s="1" t="s">
        <v>94</v>
      </c>
      <c r="P12" s="8"/>
    </row>
    <row r="13" spans="1:16" ht="25.5" x14ac:dyDescent="0.25">
      <c r="A13" s="1" t="s">
        <v>42</v>
      </c>
      <c r="B13" s="4" t="s">
        <v>43</v>
      </c>
      <c r="C13" s="1" t="s">
        <v>89</v>
      </c>
      <c r="D13" s="1" t="s">
        <v>45</v>
      </c>
      <c r="E13" s="1" t="s">
        <v>95</v>
      </c>
      <c r="F13" s="1" t="s">
        <v>96</v>
      </c>
      <c r="G13" s="5" t="s">
        <v>60</v>
      </c>
      <c r="H13" s="6">
        <v>357</v>
      </c>
      <c r="I13" s="6">
        <v>89.25</v>
      </c>
      <c r="J13" s="1" t="s">
        <v>93</v>
      </c>
      <c r="K13" s="26">
        <v>81570</v>
      </c>
      <c r="L13" s="7">
        <v>45806</v>
      </c>
      <c r="M13" s="7">
        <v>45928</v>
      </c>
      <c r="N13" s="9">
        <v>123</v>
      </c>
      <c r="O13" s="1" t="s">
        <v>97</v>
      </c>
      <c r="P13" s="8"/>
    </row>
    <row r="14" spans="1:16" ht="25.5" x14ac:dyDescent="0.25">
      <c r="A14" s="1" t="s">
        <v>42</v>
      </c>
      <c r="B14" s="4" t="s">
        <v>43</v>
      </c>
      <c r="C14" s="1" t="s">
        <v>62</v>
      </c>
      <c r="D14" s="1" t="s">
        <v>63</v>
      </c>
      <c r="E14" s="1" t="s">
        <v>98</v>
      </c>
      <c r="F14" s="1" t="s">
        <v>99</v>
      </c>
      <c r="G14" s="5" t="s">
        <v>100</v>
      </c>
      <c r="H14" s="6">
        <v>342.5</v>
      </c>
      <c r="I14" s="6">
        <v>85.63</v>
      </c>
      <c r="J14" s="1" t="s">
        <v>101</v>
      </c>
      <c r="K14" s="26">
        <v>80640</v>
      </c>
      <c r="L14" s="7">
        <v>45839</v>
      </c>
      <c r="M14" s="7">
        <v>45961</v>
      </c>
      <c r="N14" s="9">
        <v>123</v>
      </c>
      <c r="O14" s="1" t="s">
        <v>102</v>
      </c>
      <c r="P14" s="8"/>
    </row>
    <row r="15" spans="1:16" ht="25.5" x14ac:dyDescent="0.25">
      <c r="A15" s="1" t="s">
        <v>42</v>
      </c>
      <c r="B15" s="4" t="s">
        <v>43</v>
      </c>
      <c r="C15" s="1" t="s">
        <v>89</v>
      </c>
      <c r="D15" s="1" t="s">
        <v>45</v>
      </c>
      <c r="E15" s="1" t="s">
        <v>103</v>
      </c>
      <c r="F15" s="1" t="s">
        <v>104</v>
      </c>
      <c r="G15" s="5" t="s">
        <v>105</v>
      </c>
      <c r="H15" s="6">
        <v>245.09</v>
      </c>
      <c r="I15" s="6">
        <v>61.27</v>
      </c>
      <c r="J15" s="1" t="s">
        <v>106</v>
      </c>
      <c r="K15" s="26">
        <v>95609</v>
      </c>
      <c r="L15" s="7">
        <v>45816</v>
      </c>
      <c r="M15" s="7">
        <v>45937</v>
      </c>
      <c r="N15" s="9">
        <v>122</v>
      </c>
      <c r="O15" s="1" t="s">
        <v>107</v>
      </c>
      <c r="P15" s="8"/>
    </row>
    <row r="16" spans="1:16" ht="25.5" x14ac:dyDescent="0.25">
      <c r="A16" s="1" t="s">
        <v>42</v>
      </c>
      <c r="B16" s="4" t="s">
        <v>43</v>
      </c>
      <c r="C16" s="1" t="s">
        <v>89</v>
      </c>
      <c r="D16" s="1" t="s">
        <v>45</v>
      </c>
      <c r="E16" s="1" t="s">
        <v>103</v>
      </c>
      <c r="F16" s="1" t="s">
        <v>104</v>
      </c>
      <c r="G16" s="5" t="s">
        <v>108</v>
      </c>
      <c r="H16" s="6">
        <v>245.09</v>
      </c>
      <c r="I16" s="6">
        <v>61.27</v>
      </c>
      <c r="J16" s="1" t="s">
        <v>106</v>
      </c>
      <c r="K16" s="26">
        <v>95609</v>
      </c>
      <c r="L16" s="7">
        <v>45816</v>
      </c>
      <c r="M16" s="7">
        <v>45937</v>
      </c>
      <c r="N16" s="9">
        <v>122</v>
      </c>
      <c r="O16" s="1" t="s">
        <v>107</v>
      </c>
      <c r="P16" s="8"/>
    </row>
    <row r="17" spans="1:16" x14ac:dyDescent="0.25">
      <c r="A17" s="1" t="s">
        <v>42</v>
      </c>
      <c r="B17" s="4" t="s">
        <v>43</v>
      </c>
      <c r="C17" s="1" t="s">
        <v>51</v>
      </c>
      <c r="D17" s="1" t="s">
        <v>52</v>
      </c>
      <c r="E17" s="1" t="s">
        <v>109</v>
      </c>
      <c r="F17" s="1" t="s">
        <v>110</v>
      </c>
      <c r="G17" s="5" t="s">
        <v>111</v>
      </c>
      <c r="H17" s="6">
        <v>104.11</v>
      </c>
      <c r="I17" s="6">
        <v>26.03</v>
      </c>
      <c r="J17" s="1" t="s">
        <v>93</v>
      </c>
      <c r="K17" s="26">
        <v>81570</v>
      </c>
      <c r="L17" s="7">
        <v>45835</v>
      </c>
      <c r="M17" s="7">
        <v>45956</v>
      </c>
      <c r="N17" s="9">
        <v>122</v>
      </c>
      <c r="O17" s="1" t="s">
        <v>112</v>
      </c>
      <c r="P17" s="8"/>
    </row>
    <row r="18" spans="1:16" x14ac:dyDescent="0.25">
      <c r="A18" s="1" t="s">
        <v>42</v>
      </c>
      <c r="B18" s="4" t="s">
        <v>43</v>
      </c>
      <c r="C18" s="1" t="s">
        <v>51</v>
      </c>
      <c r="D18" s="1" t="s">
        <v>52</v>
      </c>
      <c r="E18" s="1" t="s">
        <v>109</v>
      </c>
      <c r="F18" s="1" t="s">
        <v>110</v>
      </c>
      <c r="G18" s="5" t="s">
        <v>80</v>
      </c>
      <c r="H18" s="6">
        <v>104.11</v>
      </c>
      <c r="I18" s="6">
        <v>26.03</v>
      </c>
      <c r="J18" s="1" t="s">
        <v>93</v>
      </c>
      <c r="K18" s="26">
        <v>81570</v>
      </c>
      <c r="L18" s="7">
        <v>45835</v>
      </c>
      <c r="M18" s="7">
        <v>45956</v>
      </c>
      <c r="N18" s="9">
        <v>122</v>
      </c>
      <c r="O18" s="1" t="s">
        <v>112</v>
      </c>
      <c r="P18" s="8"/>
    </row>
    <row r="19" spans="1:16" ht="25.5" x14ac:dyDescent="0.25">
      <c r="A19" s="1" t="s">
        <v>42</v>
      </c>
      <c r="B19" s="4" t="s">
        <v>43</v>
      </c>
      <c r="C19" s="1" t="s">
        <v>44</v>
      </c>
      <c r="D19" s="1" t="s">
        <v>45</v>
      </c>
      <c r="E19" s="1" t="s">
        <v>113</v>
      </c>
      <c r="F19" s="1" t="s">
        <v>114</v>
      </c>
      <c r="G19" s="5" t="s">
        <v>115</v>
      </c>
      <c r="H19" s="6">
        <v>333.29</v>
      </c>
      <c r="I19" s="6">
        <v>83.32</v>
      </c>
      <c r="J19" s="1" t="s">
        <v>101</v>
      </c>
      <c r="K19" s="26">
        <v>80640</v>
      </c>
      <c r="L19" s="7">
        <v>45841</v>
      </c>
      <c r="M19" s="7">
        <v>45963</v>
      </c>
      <c r="N19" s="9">
        <v>123</v>
      </c>
      <c r="O19" s="1" t="s">
        <v>116</v>
      </c>
      <c r="P19" s="8"/>
    </row>
    <row r="20" spans="1:16" x14ac:dyDescent="0.25">
      <c r="A20" s="1" t="s">
        <v>42</v>
      </c>
      <c r="B20" s="4" t="s">
        <v>43</v>
      </c>
      <c r="C20" s="1" t="s">
        <v>51</v>
      </c>
      <c r="D20" s="1" t="s">
        <v>52</v>
      </c>
      <c r="E20" s="1" t="s">
        <v>117</v>
      </c>
      <c r="F20" s="1" t="s">
        <v>118</v>
      </c>
      <c r="G20" s="5" t="s">
        <v>115</v>
      </c>
      <c r="H20" s="6">
        <v>110.43</v>
      </c>
      <c r="I20" s="6">
        <v>7.73</v>
      </c>
      <c r="J20" s="1" t="s">
        <v>119</v>
      </c>
      <c r="K20" s="26">
        <v>2223</v>
      </c>
      <c r="L20" s="7">
        <v>45841</v>
      </c>
      <c r="M20" s="7">
        <v>45963</v>
      </c>
      <c r="N20" s="9">
        <v>123</v>
      </c>
      <c r="O20" s="1" t="s">
        <v>120</v>
      </c>
      <c r="P20" s="8"/>
    </row>
    <row r="21" spans="1:16" x14ac:dyDescent="0.25">
      <c r="A21" s="1" t="s">
        <v>42</v>
      </c>
      <c r="B21" s="4" t="s">
        <v>43</v>
      </c>
      <c r="C21" s="1" t="s">
        <v>51</v>
      </c>
      <c r="D21" s="1" t="s">
        <v>52</v>
      </c>
      <c r="E21" s="1" t="s">
        <v>121</v>
      </c>
      <c r="F21" s="1" t="s">
        <v>122</v>
      </c>
      <c r="G21" s="5" t="s">
        <v>123</v>
      </c>
      <c r="H21" s="6">
        <v>117.06</v>
      </c>
      <c r="I21" s="6">
        <v>29.27</v>
      </c>
      <c r="J21" s="1" t="s">
        <v>93</v>
      </c>
      <c r="K21" s="26">
        <v>81570</v>
      </c>
      <c r="L21" s="7">
        <v>45847</v>
      </c>
      <c r="M21" s="7">
        <v>45969</v>
      </c>
      <c r="N21" s="9">
        <v>123</v>
      </c>
      <c r="O21" s="1" t="s">
        <v>124</v>
      </c>
      <c r="P21" s="8"/>
    </row>
    <row r="22" spans="1:16" x14ac:dyDescent="0.25">
      <c r="A22" s="1" t="s">
        <v>42</v>
      </c>
      <c r="B22" s="4" t="s">
        <v>43</v>
      </c>
      <c r="C22" s="1" t="s">
        <v>51</v>
      </c>
      <c r="D22" s="1" t="s">
        <v>52</v>
      </c>
      <c r="E22" s="1" t="s">
        <v>125</v>
      </c>
      <c r="F22" s="1" t="s">
        <v>126</v>
      </c>
      <c r="G22" s="5" t="s">
        <v>10</v>
      </c>
      <c r="H22" s="6">
        <v>451.49</v>
      </c>
      <c r="I22" s="6">
        <v>112.88</v>
      </c>
      <c r="J22" s="1" t="s">
        <v>127</v>
      </c>
      <c r="K22" s="26">
        <v>95631</v>
      </c>
      <c r="L22" s="7">
        <v>45870</v>
      </c>
      <c r="M22" s="7">
        <v>45991</v>
      </c>
      <c r="N22" s="9">
        <v>122</v>
      </c>
      <c r="O22" s="1" t="s">
        <v>128</v>
      </c>
      <c r="P22" s="8"/>
    </row>
    <row r="23" spans="1:16" x14ac:dyDescent="0.25">
      <c r="A23" s="1" t="s">
        <v>138</v>
      </c>
      <c r="B23" s="4" t="s">
        <v>43</v>
      </c>
      <c r="C23" s="1" t="s">
        <v>186</v>
      </c>
      <c r="D23" s="1" t="s">
        <v>185</v>
      </c>
      <c r="E23" s="1" t="s">
        <v>184</v>
      </c>
      <c r="F23" s="1" t="s">
        <v>172</v>
      </c>
      <c r="G23" s="5" t="s">
        <v>10</v>
      </c>
      <c r="H23" s="6">
        <v>34.25</v>
      </c>
      <c r="I23" s="6">
        <v>4.45</v>
      </c>
      <c r="J23" s="1" t="s">
        <v>171</v>
      </c>
      <c r="K23" s="26">
        <v>96477</v>
      </c>
      <c r="L23" s="7">
        <v>45658</v>
      </c>
      <c r="M23" s="8"/>
      <c r="N23" s="8"/>
      <c r="O23" s="1" t="s">
        <v>183</v>
      </c>
      <c r="P23" s="8"/>
    </row>
    <row r="24" spans="1:16" ht="25.5" x14ac:dyDescent="0.25">
      <c r="A24" s="1" t="s">
        <v>138</v>
      </c>
      <c r="B24" s="4" t="s">
        <v>43</v>
      </c>
      <c r="C24" s="1" t="s">
        <v>89</v>
      </c>
      <c r="D24" s="1" t="s">
        <v>45</v>
      </c>
      <c r="E24" s="1" t="s">
        <v>182</v>
      </c>
      <c r="F24" s="1" t="s">
        <v>181</v>
      </c>
      <c r="G24" s="5" t="s">
        <v>10</v>
      </c>
      <c r="H24" s="6">
        <v>222.41</v>
      </c>
      <c r="I24" s="6">
        <v>55.6</v>
      </c>
      <c r="J24" s="1" t="s">
        <v>93</v>
      </c>
      <c r="K24" s="26">
        <v>81570</v>
      </c>
      <c r="L24" s="7">
        <v>45536</v>
      </c>
      <c r="M24" s="8"/>
      <c r="N24" s="9">
        <v>364</v>
      </c>
      <c r="O24" s="1" t="s">
        <v>180</v>
      </c>
      <c r="P24" s="8"/>
    </row>
    <row r="25" spans="1:16" x14ac:dyDescent="0.25">
      <c r="A25" s="1" t="s">
        <v>138</v>
      </c>
      <c r="B25" s="4" t="s">
        <v>43</v>
      </c>
      <c r="C25" s="1" t="s">
        <v>51</v>
      </c>
      <c r="D25" s="1" t="s">
        <v>52</v>
      </c>
      <c r="E25" s="1" t="s">
        <v>179</v>
      </c>
      <c r="F25" s="1" t="s">
        <v>178</v>
      </c>
      <c r="G25" s="5" t="s">
        <v>10</v>
      </c>
      <c r="H25" s="6">
        <v>532.38</v>
      </c>
      <c r="I25" s="6">
        <v>133.1</v>
      </c>
      <c r="J25" s="1" t="s">
        <v>49</v>
      </c>
      <c r="K25" s="26">
        <v>95788</v>
      </c>
      <c r="L25" s="7">
        <v>45870</v>
      </c>
      <c r="M25" s="7">
        <v>45989</v>
      </c>
      <c r="N25" s="9">
        <v>120</v>
      </c>
      <c r="O25" s="1" t="s">
        <v>177</v>
      </c>
      <c r="P25" s="8"/>
    </row>
    <row r="26" spans="1:16" x14ac:dyDescent="0.25">
      <c r="A26" s="1" t="s">
        <v>138</v>
      </c>
      <c r="B26" s="4" t="s">
        <v>43</v>
      </c>
      <c r="C26" s="1" t="s">
        <v>51</v>
      </c>
      <c r="D26" s="1" t="s">
        <v>52</v>
      </c>
      <c r="E26" s="1" t="s">
        <v>176</v>
      </c>
      <c r="F26" s="1" t="s">
        <v>175</v>
      </c>
      <c r="G26" s="5" t="s">
        <v>10</v>
      </c>
      <c r="H26" s="6">
        <v>478.47</v>
      </c>
      <c r="I26" s="6">
        <v>119.62</v>
      </c>
      <c r="J26" s="1" t="s">
        <v>93</v>
      </c>
      <c r="K26" s="26">
        <v>81570</v>
      </c>
      <c r="L26" s="7">
        <v>45778</v>
      </c>
      <c r="M26" s="7">
        <v>45897</v>
      </c>
      <c r="N26" s="9">
        <v>120</v>
      </c>
      <c r="O26" s="1" t="s">
        <v>174</v>
      </c>
      <c r="P26" s="8"/>
    </row>
    <row r="27" spans="1:16" x14ac:dyDescent="0.25">
      <c r="A27" s="1" t="s">
        <v>138</v>
      </c>
      <c r="B27" s="4" t="s">
        <v>43</v>
      </c>
      <c r="C27" s="1" t="s">
        <v>51</v>
      </c>
      <c r="D27" s="1" t="s">
        <v>52</v>
      </c>
      <c r="E27" s="1" t="s">
        <v>173</v>
      </c>
      <c r="F27" s="1" t="s">
        <v>172</v>
      </c>
      <c r="G27" s="5" t="s">
        <v>10</v>
      </c>
      <c r="H27" s="6">
        <v>115.05</v>
      </c>
      <c r="I27" s="6">
        <v>28.76</v>
      </c>
      <c r="J27" s="1" t="s">
        <v>171</v>
      </c>
      <c r="K27" s="26">
        <v>96477</v>
      </c>
      <c r="L27" s="7">
        <v>45778</v>
      </c>
      <c r="M27" s="7">
        <v>45900</v>
      </c>
      <c r="N27" s="9">
        <v>123</v>
      </c>
      <c r="O27" s="1" t="s">
        <v>170</v>
      </c>
      <c r="P27" s="8"/>
    </row>
    <row r="28" spans="1:16" x14ac:dyDescent="0.25">
      <c r="A28" s="1" t="s">
        <v>138</v>
      </c>
      <c r="B28" s="4" t="s">
        <v>43</v>
      </c>
      <c r="C28" s="1" t="s">
        <v>51</v>
      </c>
      <c r="D28" s="1" t="s">
        <v>52</v>
      </c>
      <c r="E28" s="1" t="s">
        <v>68</v>
      </c>
      <c r="F28" s="1" t="s">
        <v>69</v>
      </c>
      <c r="G28" s="5" t="s">
        <v>169</v>
      </c>
      <c r="H28" s="6">
        <v>406.55</v>
      </c>
      <c r="I28" s="6">
        <v>101.64</v>
      </c>
      <c r="J28" s="1" t="s">
        <v>71</v>
      </c>
      <c r="K28" s="26">
        <v>80671</v>
      </c>
      <c r="L28" s="7">
        <v>45842</v>
      </c>
      <c r="M28" s="7">
        <v>45964</v>
      </c>
      <c r="N28" s="9">
        <v>123</v>
      </c>
      <c r="O28" s="1" t="s">
        <v>72</v>
      </c>
      <c r="P28" s="8"/>
    </row>
    <row r="29" spans="1:16" ht="25.5" x14ac:dyDescent="0.25">
      <c r="A29" s="1" t="s">
        <v>138</v>
      </c>
      <c r="B29" s="4" t="s">
        <v>43</v>
      </c>
      <c r="C29" s="1" t="s">
        <v>89</v>
      </c>
      <c r="D29" s="1" t="s">
        <v>45</v>
      </c>
      <c r="E29" s="1" t="s">
        <v>168</v>
      </c>
      <c r="F29" s="1" t="s">
        <v>167</v>
      </c>
      <c r="G29" s="5" t="s">
        <v>166</v>
      </c>
      <c r="H29" s="6">
        <v>271.27</v>
      </c>
      <c r="I29" s="6">
        <v>67.819999999999993</v>
      </c>
      <c r="J29" s="1" t="s">
        <v>161</v>
      </c>
      <c r="K29" s="26">
        <v>95679</v>
      </c>
      <c r="L29" s="7">
        <v>45810</v>
      </c>
      <c r="M29" s="7">
        <v>45931</v>
      </c>
      <c r="N29" s="9">
        <v>122</v>
      </c>
      <c r="O29" s="1" t="s">
        <v>165</v>
      </c>
      <c r="P29" s="8"/>
    </row>
    <row r="30" spans="1:16" ht="25.5" x14ac:dyDescent="0.25">
      <c r="A30" s="1" t="s">
        <v>138</v>
      </c>
      <c r="B30" s="4" t="s">
        <v>43</v>
      </c>
      <c r="C30" s="1" t="s">
        <v>89</v>
      </c>
      <c r="D30" s="1" t="s">
        <v>45</v>
      </c>
      <c r="E30" s="1" t="s">
        <v>164</v>
      </c>
      <c r="F30" s="1" t="s">
        <v>163</v>
      </c>
      <c r="G30" s="5" t="s">
        <v>162</v>
      </c>
      <c r="H30" s="6">
        <v>129.63999999999999</v>
      </c>
      <c r="I30" s="6">
        <v>32.409999999999997</v>
      </c>
      <c r="J30" s="1" t="s">
        <v>161</v>
      </c>
      <c r="K30" s="26">
        <v>95679</v>
      </c>
      <c r="L30" s="7">
        <v>45814</v>
      </c>
      <c r="M30" s="7">
        <v>45935</v>
      </c>
      <c r="N30" s="9">
        <v>122</v>
      </c>
      <c r="O30" s="1" t="s">
        <v>160</v>
      </c>
      <c r="P30" s="8"/>
    </row>
    <row r="31" spans="1:16" x14ac:dyDescent="0.25">
      <c r="A31" s="1" t="s">
        <v>138</v>
      </c>
      <c r="B31" s="4" t="s">
        <v>43</v>
      </c>
      <c r="C31" s="1" t="s">
        <v>51</v>
      </c>
      <c r="D31" s="1" t="s">
        <v>52</v>
      </c>
      <c r="E31" s="1" t="s">
        <v>159</v>
      </c>
      <c r="F31" s="1" t="s">
        <v>158</v>
      </c>
      <c r="G31" s="5" t="s">
        <v>10</v>
      </c>
      <c r="H31" s="6">
        <v>484.69</v>
      </c>
      <c r="I31" s="6">
        <v>48.47</v>
      </c>
      <c r="J31" s="1" t="s">
        <v>151</v>
      </c>
      <c r="K31" s="26">
        <v>82178</v>
      </c>
      <c r="L31" s="7">
        <v>45870</v>
      </c>
      <c r="M31" s="7">
        <v>45991</v>
      </c>
      <c r="N31" s="9">
        <v>122</v>
      </c>
      <c r="O31" s="1" t="s">
        <v>157</v>
      </c>
      <c r="P31" s="8"/>
    </row>
    <row r="32" spans="1:16" ht="25.5" x14ac:dyDescent="0.25">
      <c r="A32" s="1" t="s">
        <v>138</v>
      </c>
      <c r="B32" s="4" t="s">
        <v>43</v>
      </c>
      <c r="C32" s="1" t="s">
        <v>62</v>
      </c>
      <c r="D32" s="1" t="s">
        <v>63</v>
      </c>
      <c r="E32" s="1" t="s">
        <v>156</v>
      </c>
      <c r="F32" s="1" t="s">
        <v>155</v>
      </c>
      <c r="G32" s="5" t="s">
        <v>10</v>
      </c>
      <c r="H32" s="6">
        <v>323.52999999999997</v>
      </c>
      <c r="I32" s="6">
        <v>80.88</v>
      </c>
      <c r="J32" s="1" t="s">
        <v>49</v>
      </c>
      <c r="K32" s="26">
        <v>95788</v>
      </c>
      <c r="L32" s="7">
        <v>45809</v>
      </c>
      <c r="M32" s="7">
        <v>45930</v>
      </c>
      <c r="N32" s="9">
        <v>122</v>
      </c>
      <c r="O32" s="1" t="s">
        <v>154</v>
      </c>
      <c r="P32" s="8"/>
    </row>
    <row r="33" spans="1:16" x14ac:dyDescent="0.25">
      <c r="A33" s="1" t="s">
        <v>138</v>
      </c>
      <c r="B33" s="4" t="s">
        <v>43</v>
      </c>
      <c r="C33" s="1" t="s">
        <v>51</v>
      </c>
      <c r="D33" s="1" t="s">
        <v>52</v>
      </c>
      <c r="E33" s="1" t="s">
        <v>153</v>
      </c>
      <c r="F33" s="1" t="s">
        <v>152</v>
      </c>
      <c r="G33" s="5" t="s">
        <v>10</v>
      </c>
      <c r="H33" s="6">
        <v>260.86</v>
      </c>
      <c r="I33" s="6">
        <v>26.09</v>
      </c>
      <c r="J33" s="1" t="s">
        <v>151</v>
      </c>
      <c r="K33" s="26">
        <v>82178</v>
      </c>
      <c r="L33" s="7">
        <v>45809</v>
      </c>
      <c r="M33" s="7">
        <v>45930</v>
      </c>
      <c r="N33" s="9">
        <v>122</v>
      </c>
      <c r="O33" s="1" t="s">
        <v>150</v>
      </c>
      <c r="P33" s="8"/>
    </row>
    <row r="34" spans="1:16" ht="25.5" x14ac:dyDescent="0.25">
      <c r="A34" s="1" t="s">
        <v>138</v>
      </c>
      <c r="B34" s="4" t="s">
        <v>43</v>
      </c>
      <c r="C34" s="1" t="s">
        <v>62</v>
      </c>
      <c r="D34" s="1" t="s">
        <v>63</v>
      </c>
      <c r="E34" s="1" t="s">
        <v>98</v>
      </c>
      <c r="F34" s="1" t="s">
        <v>99</v>
      </c>
      <c r="G34" s="5" t="s">
        <v>10</v>
      </c>
      <c r="H34" s="6">
        <v>342.5</v>
      </c>
      <c r="I34" s="6">
        <v>85.63</v>
      </c>
      <c r="J34" s="1" t="s">
        <v>101</v>
      </c>
      <c r="K34" s="26">
        <v>80640</v>
      </c>
      <c r="L34" s="7">
        <v>45839</v>
      </c>
      <c r="M34" s="7">
        <v>45961</v>
      </c>
      <c r="N34" s="9">
        <v>123</v>
      </c>
      <c r="O34" s="1" t="s">
        <v>102</v>
      </c>
      <c r="P34" s="8"/>
    </row>
    <row r="35" spans="1:16" ht="25.5" x14ac:dyDescent="0.25">
      <c r="A35" s="1" t="s">
        <v>138</v>
      </c>
      <c r="B35" s="4" t="s">
        <v>43</v>
      </c>
      <c r="C35" s="1" t="s">
        <v>89</v>
      </c>
      <c r="D35" s="1" t="s">
        <v>45</v>
      </c>
      <c r="E35" s="1" t="s">
        <v>149</v>
      </c>
      <c r="F35" s="1" t="s">
        <v>148</v>
      </c>
      <c r="G35" s="5" t="s">
        <v>10</v>
      </c>
      <c r="H35" s="6">
        <v>164.89</v>
      </c>
      <c r="I35" s="6">
        <v>41.22</v>
      </c>
      <c r="J35" s="1" t="s">
        <v>144</v>
      </c>
      <c r="K35" s="26">
        <v>96125</v>
      </c>
      <c r="L35" s="7">
        <v>45839</v>
      </c>
      <c r="M35" s="7">
        <v>45961</v>
      </c>
      <c r="N35" s="9">
        <v>123</v>
      </c>
      <c r="O35" s="1" t="s">
        <v>147</v>
      </c>
      <c r="P35" s="8"/>
    </row>
    <row r="36" spans="1:16" ht="25.5" x14ac:dyDescent="0.25">
      <c r="A36" s="1" t="s">
        <v>138</v>
      </c>
      <c r="B36" s="4" t="s">
        <v>43</v>
      </c>
      <c r="C36" s="1" t="s">
        <v>89</v>
      </c>
      <c r="D36" s="1" t="s">
        <v>45</v>
      </c>
      <c r="E36" s="1" t="s">
        <v>146</v>
      </c>
      <c r="F36" s="1" t="s">
        <v>145</v>
      </c>
      <c r="G36" s="5" t="s">
        <v>10</v>
      </c>
      <c r="H36" s="6">
        <v>214.63</v>
      </c>
      <c r="I36" s="6">
        <v>53.66</v>
      </c>
      <c r="J36" s="1" t="s">
        <v>144</v>
      </c>
      <c r="K36" s="26">
        <v>96125</v>
      </c>
      <c r="L36" s="7">
        <v>45839</v>
      </c>
      <c r="M36" s="7">
        <v>45961</v>
      </c>
      <c r="N36" s="9">
        <v>123</v>
      </c>
      <c r="O36" s="1" t="s">
        <v>143</v>
      </c>
      <c r="P36" s="8"/>
    </row>
    <row r="37" spans="1:16" ht="25.5" x14ac:dyDescent="0.25">
      <c r="A37" s="1" t="s">
        <v>138</v>
      </c>
      <c r="B37" s="4" t="s">
        <v>43</v>
      </c>
      <c r="C37" s="1" t="s">
        <v>44</v>
      </c>
      <c r="D37" s="1" t="s">
        <v>45</v>
      </c>
      <c r="E37" s="1" t="s">
        <v>113</v>
      </c>
      <c r="F37" s="1" t="s">
        <v>114</v>
      </c>
      <c r="G37" s="5" t="s">
        <v>139</v>
      </c>
      <c r="H37" s="6">
        <v>333.29</v>
      </c>
      <c r="I37" s="6">
        <v>83.32</v>
      </c>
      <c r="J37" s="1" t="s">
        <v>101</v>
      </c>
      <c r="K37" s="26">
        <v>80640</v>
      </c>
      <c r="L37" s="7">
        <v>45841</v>
      </c>
      <c r="M37" s="7">
        <v>45963</v>
      </c>
      <c r="N37" s="9">
        <v>123</v>
      </c>
      <c r="O37" s="1" t="s">
        <v>116</v>
      </c>
      <c r="P37" s="8"/>
    </row>
    <row r="38" spans="1:16" ht="25.5" x14ac:dyDescent="0.25">
      <c r="A38" s="1" t="s">
        <v>138</v>
      </c>
      <c r="B38" s="4" t="s">
        <v>43</v>
      </c>
      <c r="C38" s="1" t="s">
        <v>51</v>
      </c>
      <c r="D38" s="1" t="s">
        <v>52</v>
      </c>
      <c r="E38" s="1" t="s">
        <v>142</v>
      </c>
      <c r="F38" s="1" t="s">
        <v>141</v>
      </c>
      <c r="G38" s="5" t="s">
        <v>139</v>
      </c>
      <c r="H38" s="6">
        <v>74.75</v>
      </c>
      <c r="I38" s="6">
        <v>18.690000000000001</v>
      </c>
      <c r="J38" s="1" t="s">
        <v>76</v>
      </c>
      <c r="K38" s="26">
        <v>95760</v>
      </c>
      <c r="L38" s="7">
        <v>45841</v>
      </c>
      <c r="M38" s="7">
        <v>45963</v>
      </c>
      <c r="N38" s="9">
        <v>123</v>
      </c>
      <c r="O38" s="1" t="s">
        <v>140</v>
      </c>
      <c r="P38" s="8"/>
    </row>
    <row r="39" spans="1:16" x14ac:dyDescent="0.25">
      <c r="A39" s="1" t="s">
        <v>138</v>
      </c>
      <c r="B39" s="4" t="s">
        <v>43</v>
      </c>
      <c r="C39" s="1" t="s">
        <v>51</v>
      </c>
      <c r="D39" s="1" t="s">
        <v>52</v>
      </c>
      <c r="E39" s="1" t="s">
        <v>117</v>
      </c>
      <c r="F39" s="1" t="s">
        <v>118</v>
      </c>
      <c r="G39" s="5" t="s">
        <v>139</v>
      </c>
      <c r="H39" s="6">
        <v>110.43</v>
      </c>
      <c r="I39" s="6">
        <v>7.73</v>
      </c>
      <c r="J39" s="1" t="s">
        <v>119</v>
      </c>
      <c r="K39" s="26">
        <v>2223</v>
      </c>
      <c r="L39" s="7">
        <v>45841</v>
      </c>
      <c r="M39" s="7">
        <v>45963</v>
      </c>
      <c r="N39" s="9">
        <v>123</v>
      </c>
      <c r="O39" s="1" t="s">
        <v>120</v>
      </c>
      <c r="P39" s="8"/>
    </row>
    <row r="40" spans="1:16" ht="25.5" x14ac:dyDescent="0.25">
      <c r="A40" s="1" t="s">
        <v>138</v>
      </c>
      <c r="B40" s="4" t="s">
        <v>43</v>
      </c>
      <c r="C40" s="1" t="s">
        <v>62</v>
      </c>
      <c r="D40" s="1" t="s">
        <v>63</v>
      </c>
      <c r="E40" s="1" t="s">
        <v>137</v>
      </c>
      <c r="F40" s="1" t="s">
        <v>136</v>
      </c>
      <c r="G40" s="5" t="s">
        <v>135</v>
      </c>
      <c r="H40" s="6">
        <v>451.99</v>
      </c>
      <c r="I40" s="6">
        <v>113</v>
      </c>
      <c r="J40" s="1" t="s">
        <v>134</v>
      </c>
      <c r="K40" s="26">
        <v>95807</v>
      </c>
      <c r="L40" s="7">
        <v>45854</v>
      </c>
      <c r="M40" s="7">
        <v>45976</v>
      </c>
      <c r="N40" s="9">
        <v>123</v>
      </c>
      <c r="O40" s="1" t="s">
        <v>133</v>
      </c>
      <c r="P40" s="8"/>
    </row>
    <row r="41" spans="1:16" x14ac:dyDescent="0.25">
      <c r="A41" s="1" t="s">
        <v>138</v>
      </c>
      <c r="B41" s="4" t="s">
        <v>43</v>
      </c>
      <c r="C41" s="1" t="s">
        <v>186</v>
      </c>
      <c r="D41" s="1" t="s">
        <v>185</v>
      </c>
      <c r="E41" s="1" t="s">
        <v>208</v>
      </c>
      <c r="F41" s="1" t="s">
        <v>207</v>
      </c>
      <c r="G41" s="5" t="s">
        <v>206</v>
      </c>
      <c r="H41" s="6">
        <v>28.1</v>
      </c>
      <c r="I41" s="6">
        <v>3.65</v>
      </c>
      <c r="J41" s="1" t="s">
        <v>171</v>
      </c>
      <c r="K41" s="26">
        <v>96477</v>
      </c>
      <c r="L41" s="7">
        <v>45637</v>
      </c>
      <c r="M41" s="8"/>
      <c r="N41" s="8"/>
      <c r="O41" s="1" t="s">
        <v>205</v>
      </c>
      <c r="P41" s="8"/>
    </row>
    <row r="42" spans="1:16" ht="25.5" x14ac:dyDescent="0.25">
      <c r="A42" s="1" t="s">
        <v>138</v>
      </c>
      <c r="B42" s="4" t="s">
        <v>43</v>
      </c>
      <c r="C42" s="1" t="s">
        <v>89</v>
      </c>
      <c r="D42" s="1" t="s">
        <v>45</v>
      </c>
      <c r="E42" s="1" t="s">
        <v>204</v>
      </c>
      <c r="F42" s="1" t="s">
        <v>203</v>
      </c>
      <c r="G42" s="5" t="s">
        <v>202</v>
      </c>
      <c r="H42" s="6">
        <v>212.45</v>
      </c>
      <c r="I42" s="6">
        <v>53.11</v>
      </c>
      <c r="J42" s="1" t="s">
        <v>188</v>
      </c>
      <c r="K42" s="26">
        <v>81722</v>
      </c>
      <c r="L42" s="7">
        <v>45791</v>
      </c>
      <c r="M42" s="7">
        <v>45913</v>
      </c>
      <c r="N42" s="9">
        <v>123</v>
      </c>
      <c r="O42" s="1" t="s">
        <v>201</v>
      </c>
      <c r="P42" s="8"/>
    </row>
    <row r="43" spans="1:16" ht="25.5" x14ac:dyDescent="0.25">
      <c r="A43" s="1" t="s">
        <v>138</v>
      </c>
      <c r="B43" s="4" t="s">
        <v>43</v>
      </c>
      <c r="C43" s="1" t="s">
        <v>89</v>
      </c>
      <c r="D43" s="1" t="s">
        <v>45</v>
      </c>
      <c r="E43" s="1" t="s">
        <v>103</v>
      </c>
      <c r="F43" s="1" t="s">
        <v>104</v>
      </c>
      <c r="G43" s="5" t="s">
        <v>200</v>
      </c>
      <c r="H43" s="6">
        <v>245.09</v>
      </c>
      <c r="I43" s="6">
        <v>61.27</v>
      </c>
      <c r="J43" s="1" t="s">
        <v>106</v>
      </c>
      <c r="K43" s="26">
        <v>95609</v>
      </c>
      <c r="L43" s="7">
        <v>45816</v>
      </c>
      <c r="M43" s="7">
        <v>45937</v>
      </c>
      <c r="N43" s="9">
        <v>122</v>
      </c>
      <c r="O43" s="1" t="s">
        <v>107</v>
      </c>
      <c r="P43" s="8"/>
    </row>
    <row r="44" spans="1:16" x14ac:dyDescent="0.25">
      <c r="A44" s="1" t="s">
        <v>138</v>
      </c>
      <c r="B44" s="4" t="s">
        <v>43</v>
      </c>
      <c r="C44" s="1" t="s">
        <v>51</v>
      </c>
      <c r="D44" s="1" t="s">
        <v>52</v>
      </c>
      <c r="E44" s="1" t="s">
        <v>121</v>
      </c>
      <c r="F44" s="1" t="s">
        <v>122</v>
      </c>
      <c r="G44" s="5" t="s">
        <v>199</v>
      </c>
      <c r="H44" s="6">
        <v>117.06</v>
      </c>
      <c r="I44" s="6">
        <v>29.27</v>
      </c>
      <c r="J44" s="1" t="s">
        <v>93</v>
      </c>
      <c r="K44" s="26">
        <v>81570</v>
      </c>
      <c r="L44" s="7">
        <v>45847</v>
      </c>
      <c r="M44" s="7">
        <v>45969</v>
      </c>
      <c r="N44" s="9">
        <v>123</v>
      </c>
      <c r="O44" s="1" t="s">
        <v>124</v>
      </c>
      <c r="P44" s="8"/>
    </row>
    <row r="45" spans="1:16" ht="25.5" x14ac:dyDescent="0.25">
      <c r="A45" s="1" t="s">
        <v>138</v>
      </c>
      <c r="B45" s="4" t="s">
        <v>43</v>
      </c>
      <c r="C45" s="1" t="s">
        <v>89</v>
      </c>
      <c r="D45" s="1" t="s">
        <v>45</v>
      </c>
      <c r="E45" s="1" t="s">
        <v>198</v>
      </c>
      <c r="F45" s="1" t="s">
        <v>197</v>
      </c>
      <c r="G45" s="5" t="s">
        <v>166</v>
      </c>
      <c r="H45" s="6">
        <v>90.75</v>
      </c>
      <c r="I45" s="6">
        <v>9.08</v>
      </c>
      <c r="J45" s="1" t="s">
        <v>151</v>
      </c>
      <c r="K45" s="26">
        <v>82178</v>
      </c>
      <c r="L45" s="7">
        <v>45871</v>
      </c>
      <c r="M45" s="7">
        <v>45900</v>
      </c>
      <c r="N45" s="9">
        <v>30</v>
      </c>
      <c r="O45" s="1" t="s">
        <v>196</v>
      </c>
      <c r="P45" s="8"/>
    </row>
    <row r="46" spans="1:16" x14ac:dyDescent="0.25">
      <c r="A46" s="1" t="s">
        <v>138</v>
      </c>
      <c r="B46" s="4" t="s">
        <v>43</v>
      </c>
      <c r="C46" s="1" t="s">
        <v>51</v>
      </c>
      <c r="D46" s="1" t="s">
        <v>52</v>
      </c>
      <c r="E46" s="1" t="s">
        <v>195</v>
      </c>
      <c r="F46" s="1" t="s">
        <v>194</v>
      </c>
      <c r="G46" s="5" t="s">
        <v>162</v>
      </c>
      <c r="H46" s="6">
        <v>110.43</v>
      </c>
      <c r="I46" s="6">
        <v>22.09</v>
      </c>
      <c r="J46" s="1" t="s">
        <v>193</v>
      </c>
      <c r="K46" s="26">
        <v>80604</v>
      </c>
      <c r="L46" s="7">
        <v>45875</v>
      </c>
      <c r="M46" s="7">
        <v>45996</v>
      </c>
      <c r="N46" s="9">
        <v>122</v>
      </c>
      <c r="O46" s="1" t="s">
        <v>192</v>
      </c>
      <c r="P46" s="8"/>
    </row>
    <row r="47" spans="1:16" ht="25.5" x14ac:dyDescent="0.25">
      <c r="A47" s="1" t="s">
        <v>138</v>
      </c>
      <c r="B47" s="4" t="s">
        <v>43</v>
      </c>
      <c r="C47" s="1" t="s">
        <v>89</v>
      </c>
      <c r="D47" s="1" t="s">
        <v>45</v>
      </c>
      <c r="E47" s="1" t="s">
        <v>191</v>
      </c>
      <c r="F47" s="1" t="s">
        <v>190</v>
      </c>
      <c r="G47" s="5" t="s">
        <v>189</v>
      </c>
      <c r="H47" s="6">
        <v>373.58</v>
      </c>
      <c r="I47" s="6">
        <v>93.4</v>
      </c>
      <c r="J47" s="1" t="s">
        <v>188</v>
      </c>
      <c r="K47" s="26">
        <v>81722</v>
      </c>
      <c r="L47" s="7">
        <v>45876</v>
      </c>
      <c r="M47" s="7">
        <v>45997</v>
      </c>
      <c r="N47" s="9">
        <v>122</v>
      </c>
      <c r="O47" s="1" t="s">
        <v>187</v>
      </c>
      <c r="P47" s="8"/>
    </row>
    <row r="48" spans="1:16" x14ac:dyDescent="0.25">
      <c r="A48" s="1" t="s">
        <v>138</v>
      </c>
      <c r="B48" s="4" t="s">
        <v>43</v>
      </c>
      <c r="C48" s="1" t="s">
        <v>186</v>
      </c>
      <c r="D48" s="1" t="s">
        <v>185</v>
      </c>
      <c r="E48" s="1" t="s">
        <v>236</v>
      </c>
      <c r="F48" s="1" t="s">
        <v>235</v>
      </c>
      <c r="G48" s="5" t="s">
        <v>221</v>
      </c>
      <c r="H48" s="6">
        <v>4.38</v>
      </c>
      <c r="I48" s="6">
        <v>0.56999999999999995</v>
      </c>
      <c r="J48" s="1" t="s">
        <v>81</v>
      </c>
      <c r="K48" s="26">
        <v>95834</v>
      </c>
      <c r="L48" s="7">
        <v>45489</v>
      </c>
      <c r="M48" s="7">
        <v>45887</v>
      </c>
      <c r="N48" s="8"/>
      <c r="O48" s="1" t="s">
        <v>234</v>
      </c>
      <c r="P48" s="8"/>
    </row>
    <row r="49" spans="1:17" x14ac:dyDescent="0.25">
      <c r="A49" s="1" t="s">
        <v>138</v>
      </c>
      <c r="B49" s="4" t="s">
        <v>43</v>
      </c>
      <c r="C49" s="1" t="s">
        <v>51</v>
      </c>
      <c r="D49" s="1" t="s">
        <v>52</v>
      </c>
      <c r="E49" s="1" t="s">
        <v>233</v>
      </c>
      <c r="F49" s="1" t="s">
        <v>232</v>
      </c>
      <c r="G49" s="5" t="s">
        <v>218</v>
      </c>
      <c r="H49" s="6">
        <v>606.54</v>
      </c>
      <c r="I49" s="6">
        <v>151.63999999999999</v>
      </c>
      <c r="J49" s="1" t="s">
        <v>93</v>
      </c>
      <c r="K49" s="26">
        <v>81570</v>
      </c>
      <c r="L49" s="7">
        <v>45827</v>
      </c>
      <c r="M49" s="8"/>
      <c r="N49" s="9">
        <v>364</v>
      </c>
      <c r="O49" s="1" t="s">
        <v>231</v>
      </c>
      <c r="P49" s="8"/>
    </row>
    <row r="50" spans="1:17" x14ac:dyDescent="0.25">
      <c r="A50" s="1" t="s">
        <v>138</v>
      </c>
      <c r="B50" s="4" t="s">
        <v>43</v>
      </c>
      <c r="C50" s="1" t="s">
        <v>51</v>
      </c>
      <c r="D50" s="1" t="s">
        <v>52</v>
      </c>
      <c r="E50" s="1" t="s">
        <v>230</v>
      </c>
      <c r="F50" s="1" t="s">
        <v>65</v>
      </c>
      <c r="G50" s="5" t="s">
        <v>223</v>
      </c>
      <c r="H50" s="6">
        <v>331.27</v>
      </c>
      <c r="I50" s="6">
        <v>82.82</v>
      </c>
      <c r="J50" s="1" t="s">
        <v>66</v>
      </c>
      <c r="K50" s="26">
        <v>95755</v>
      </c>
      <c r="L50" s="7">
        <v>45890</v>
      </c>
      <c r="M50" s="7">
        <v>46009</v>
      </c>
      <c r="N50" s="9">
        <v>120</v>
      </c>
      <c r="O50" s="1" t="s">
        <v>229</v>
      </c>
      <c r="P50" s="8"/>
    </row>
    <row r="51" spans="1:17" ht="25.5" x14ac:dyDescent="0.25">
      <c r="A51" s="1" t="s">
        <v>138</v>
      </c>
      <c r="B51" s="4" t="s">
        <v>43</v>
      </c>
      <c r="C51" s="1" t="s">
        <v>62</v>
      </c>
      <c r="D51" s="1" t="s">
        <v>63</v>
      </c>
      <c r="E51" s="1" t="s">
        <v>228</v>
      </c>
      <c r="F51" s="1" t="s">
        <v>84</v>
      </c>
      <c r="G51" s="5" t="s">
        <v>227</v>
      </c>
      <c r="H51" s="6">
        <v>130.6</v>
      </c>
      <c r="I51" s="6">
        <v>32.65</v>
      </c>
      <c r="J51" s="1" t="s">
        <v>49</v>
      </c>
      <c r="K51" s="26">
        <v>95788</v>
      </c>
      <c r="L51" s="7">
        <v>45792</v>
      </c>
      <c r="M51" s="7">
        <v>45914</v>
      </c>
      <c r="N51" s="9">
        <v>123</v>
      </c>
      <c r="O51" s="1" t="s">
        <v>226</v>
      </c>
      <c r="P51" s="8"/>
    </row>
    <row r="52" spans="1:17" ht="25.5" x14ac:dyDescent="0.25">
      <c r="A52" s="1" t="s">
        <v>138</v>
      </c>
      <c r="B52" s="4" t="s">
        <v>43</v>
      </c>
      <c r="C52" s="1" t="s">
        <v>89</v>
      </c>
      <c r="D52" s="1" t="s">
        <v>45</v>
      </c>
      <c r="E52" s="1" t="s">
        <v>225</v>
      </c>
      <c r="F52" s="1" t="s">
        <v>224</v>
      </c>
      <c r="G52" s="5" t="s">
        <v>223</v>
      </c>
      <c r="H52" s="6">
        <v>335.96</v>
      </c>
      <c r="I52" s="6">
        <v>83.99</v>
      </c>
      <c r="J52" s="1" t="s">
        <v>66</v>
      </c>
      <c r="K52" s="26">
        <v>95755</v>
      </c>
      <c r="L52" s="7">
        <v>45798</v>
      </c>
      <c r="M52" s="7">
        <v>45920</v>
      </c>
      <c r="N52" s="9">
        <v>123</v>
      </c>
      <c r="O52" s="1" t="s">
        <v>222</v>
      </c>
      <c r="P52" s="8"/>
    </row>
    <row r="53" spans="1:17" ht="25.5" x14ac:dyDescent="0.25">
      <c r="A53" s="1" t="s">
        <v>138</v>
      </c>
      <c r="B53" s="4" t="s">
        <v>43</v>
      </c>
      <c r="C53" s="1" t="s">
        <v>62</v>
      </c>
      <c r="D53" s="1" t="s">
        <v>63</v>
      </c>
      <c r="E53" s="1" t="s">
        <v>137</v>
      </c>
      <c r="F53" s="1" t="s">
        <v>136</v>
      </c>
      <c r="G53" s="5" t="s">
        <v>221</v>
      </c>
      <c r="H53" s="6">
        <v>451.99</v>
      </c>
      <c r="I53" s="6">
        <v>113</v>
      </c>
      <c r="J53" s="1" t="s">
        <v>134</v>
      </c>
      <c r="K53" s="26">
        <v>95807</v>
      </c>
      <c r="L53" s="7">
        <v>45854</v>
      </c>
      <c r="M53" s="7">
        <v>45976</v>
      </c>
      <c r="N53" s="9">
        <v>123</v>
      </c>
      <c r="O53" s="1" t="s">
        <v>133</v>
      </c>
      <c r="P53" s="8"/>
    </row>
    <row r="54" spans="1:17" ht="25.5" x14ac:dyDescent="0.25">
      <c r="A54" s="1" t="s">
        <v>138</v>
      </c>
      <c r="B54" s="4" t="s">
        <v>43</v>
      </c>
      <c r="C54" s="1" t="s">
        <v>89</v>
      </c>
      <c r="D54" s="1" t="s">
        <v>45</v>
      </c>
      <c r="E54" s="1" t="s">
        <v>220</v>
      </c>
      <c r="F54" s="1" t="s">
        <v>219</v>
      </c>
      <c r="G54" s="5" t="s">
        <v>218</v>
      </c>
      <c r="H54" s="6">
        <v>38.299999999999997</v>
      </c>
      <c r="I54" s="6">
        <v>9.58</v>
      </c>
      <c r="J54" s="1" t="s">
        <v>131</v>
      </c>
      <c r="K54" s="26">
        <v>96033</v>
      </c>
      <c r="L54" s="7">
        <v>45857</v>
      </c>
      <c r="M54" s="7">
        <v>45979</v>
      </c>
      <c r="N54" s="9">
        <v>123</v>
      </c>
      <c r="O54" s="1" t="s">
        <v>217</v>
      </c>
      <c r="P54" s="8"/>
    </row>
    <row r="55" spans="1:17" x14ac:dyDescent="0.25">
      <c r="A55" s="1" t="s">
        <v>138</v>
      </c>
      <c r="B55" s="4" t="s">
        <v>43</v>
      </c>
      <c r="C55" s="1" t="s">
        <v>216</v>
      </c>
      <c r="D55" s="1" t="s">
        <v>52</v>
      </c>
      <c r="E55" s="1" t="s">
        <v>215</v>
      </c>
      <c r="F55" s="1" t="s">
        <v>214</v>
      </c>
      <c r="G55" s="5" t="s">
        <v>115</v>
      </c>
      <c r="H55" s="6">
        <v>469.11</v>
      </c>
      <c r="I55" s="6">
        <v>103.21</v>
      </c>
      <c r="J55" s="1" t="s">
        <v>144</v>
      </c>
      <c r="K55" s="26">
        <v>96125</v>
      </c>
      <c r="L55" s="7">
        <v>45841</v>
      </c>
      <c r="M55" s="8"/>
      <c r="N55" s="9">
        <v>92</v>
      </c>
      <c r="O55" s="1" t="s">
        <v>213</v>
      </c>
      <c r="P55" s="8"/>
    </row>
    <row r="56" spans="1:17" ht="25.5" x14ac:dyDescent="0.25">
      <c r="A56" s="1" t="s">
        <v>138</v>
      </c>
      <c r="B56" s="4" t="s">
        <v>43</v>
      </c>
      <c r="C56" s="1" t="s">
        <v>51</v>
      </c>
      <c r="D56" s="1" t="s">
        <v>52</v>
      </c>
      <c r="E56" s="1" t="s">
        <v>212</v>
      </c>
      <c r="F56" s="1" t="s">
        <v>211</v>
      </c>
      <c r="G56" s="5" t="s">
        <v>210</v>
      </c>
      <c r="H56" s="6">
        <v>256.33</v>
      </c>
      <c r="I56" s="6">
        <v>64.08</v>
      </c>
      <c r="J56" s="1" t="s">
        <v>49</v>
      </c>
      <c r="K56" s="26">
        <v>95788</v>
      </c>
      <c r="L56" s="7">
        <v>45881</v>
      </c>
      <c r="M56" s="7">
        <v>46002</v>
      </c>
      <c r="N56" s="9">
        <v>122</v>
      </c>
      <c r="O56" s="1" t="s">
        <v>209</v>
      </c>
      <c r="P56" s="8"/>
    </row>
    <row r="57" spans="1:17" ht="25.5" x14ac:dyDescent="0.25">
      <c r="A57" s="1" t="s">
        <v>42</v>
      </c>
      <c r="B57" s="4" t="s">
        <v>43</v>
      </c>
      <c r="C57" s="1" t="s">
        <v>89</v>
      </c>
      <c r="D57" s="1" t="s">
        <v>45</v>
      </c>
      <c r="E57" s="1" t="s">
        <v>129</v>
      </c>
      <c r="F57" s="1" t="s">
        <v>130</v>
      </c>
      <c r="G57" s="5" t="s">
        <v>92</v>
      </c>
      <c r="H57" s="6">
        <v>88.61</v>
      </c>
      <c r="I57" s="6">
        <v>22.15</v>
      </c>
      <c r="J57" s="1" t="s">
        <v>131</v>
      </c>
      <c r="K57" s="26">
        <v>96033</v>
      </c>
      <c r="L57" s="7">
        <v>45862</v>
      </c>
      <c r="M57" s="7">
        <v>45984</v>
      </c>
      <c r="N57" s="9">
        <v>123</v>
      </c>
      <c r="O57" s="1" t="s">
        <v>132</v>
      </c>
      <c r="P57" s="8"/>
    </row>
    <row r="58" spans="1:17" x14ac:dyDescent="0.25">
      <c r="A58" s="11" t="s">
        <v>4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x14ac:dyDescent="0.25">
      <c r="A59" s="11" t="s">
        <v>4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x14ac:dyDescent="0.25">
      <c r="A60" s="11" t="s">
        <v>4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</sheetData>
  <mergeCells count="3">
    <mergeCell ref="A58:Q58"/>
    <mergeCell ref="A59:Q59"/>
    <mergeCell ref="A60:Q6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4C7F-D895-40F1-8CF8-D0BF057A4D64}">
  <dimension ref="A1:Q60"/>
  <sheetViews>
    <sheetView tabSelected="1" workbookViewId="0">
      <selection activeCell="G2" sqref="G1:G2"/>
    </sheetView>
  </sheetViews>
  <sheetFormatPr defaultColWidth="12.85546875" defaultRowHeight="25.5" customHeight="1" x14ac:dyDescent="0.25"/>
  <cols>
    <col min="17" max="17" width="12.85546875" style="37"/>
  </cols>
  <sheetData>
    <row r="1" spans="1:17" ht="25.5" customHeight="1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23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29</v>
      </c>
      <c r="Q1" s="35" t="s">
        <v>239</v>
      </c>
    </row>
    <row r="2" spans="1:17" ht="25.5" customHeight="1" x14ac:dyDescent="0.25">
      <c r="A2" s="1" t="s">
        <v>42</v>
      </c>
      <c r="B2" s="4" t="s">
        <v>43</v>
      </c>
      <c r="C2" s="1" t="s">
        <v>51</v>
      </c>
      <c r="D2" s="1" t="s">
        <v>52</v>
      </c>
      <c r="E2" s="1" t="s">
        <v>117</v>
      </c>
      <c r="F2" s="1" t="s">
        <v>118</v>
      </c>
      <c r="G2" s="5" t="s">
        <v>115</v>
      </c>
      <c r="H2" s="6">
        <v>7.73</v>
      </c>
      <c r="I2" s="6">
        <v>7.73</v>
      </c>
      <c r="J2" s="27" t="s">
        <v>237</v>
      </c>
      <c r="K2" s="31">
        <v>20411454</v>
      </c>
      <c r="L2" s="7">
        <v>45841</v>
      </c>
      <c r="M2" s="7">
        <v>45963</v>
      </c>
      <c r="N2" s="9">
        <v>123</v>
      </c>
      <c r="O2" s="1" t="s">
        <v>120</v>
      </c>
      <c r="P2" s="34" t="s">
        <v>238</v>
      </c>
      <c r="Q2" s="36">
        <f>SUM(I2/H2*100)</f>
        <v>100</v>
      </c>
    </row>
    <row r="3" spans="1:17" ht="25.5" customHeight="1" x14ac:dyDescent="0.25">
      <c r="A3" s="1" t="s">
        <v>138</v>
      </c>
      <c r="B3" s="4" t="s">
        <v>43</v>
      </c>
      <c r="C3" s="1" t="s">
        <v>51</v>
      </c>
      <c r="D3" s="1" t="s">
        <v>52</v>
      </c>
      <c r="E3" s="1" t="s">
        <v>117</v>
      </c>
      <c r="F3" s="1" t="s">
        <v>118</v>
      </c>
      <c r="G3" s="5" t="s">
        <v>139</v>
      </c>
      <c r="H3" s="6">
        <v>7.73</v>
      </c>
      <c r="I3" s="6">
        <v>7.73</v>
      </c>
      <c r="J3" s="27" t="s">
        <v>237</v>
      </c>
      <c r="K3" s="31">
        <v>20411454</v>
      </c>
      <c r="L3" s="7">
        <v>45841</v>
      </c>
      <c r="M3" s="7">
        <v>45963</v>
      </c>
      <c r="N3" s="9">
        <v>123</v>
      </c>
      <c r="O3" s="1" t="s">
        <v>120</v>
      </c>
      <c r="P3" s="34" t="s">
        <v>238</v>
      </c>
      <c r="Q3" s="36">
        <f>SUM(I3/H3*100)</f>
        <v>100</v>
      </c>
    </row>
    <row r="4" spans="1:17" ht="25.5" customHeight="1" x14ac:dyDescent="0.25">
      <c r="A4" s="27" t="s">
        <v>138</v>
      </c>
      <c r="B4" s="28" t="s">
        <v>43</v>
      </c>
      <c r="C4" s="27" t="s">
        <v>51</v>
      </c>
      <c r="D4" s="27" t="s">
        <v>52</v>
      </c>
      <c r="E4" s="27" t="s">
        <v>159</v>
      </c>
      <c r="F4" s="27" t="s">
        <v>158</v>
      </c>
      <c r="G4" s="29" t="s">
        <v>10</v>
      </c>
      <c r="H4" s="30">
        <v>48.47</v>
      </c>
      <c r="I4" s="30">
        <v>48.47</v>
      </c>
      <c r="J4" s="27" t="s">
        <v>237</v>
      </c>
      <c r="K4" s="31">
        <v>20411454</v>
      </c>
      <c r="L4" s="32">
        <v>45870</v>
      </c>
      <c r="M4" s="32">
        <v>45991</v>
      </c>
      <c r="N4" s="33">
        <v>122</v>
      </c>
      <c r="O4" s="27" t="s">
        <v>157</v>
      </c>
      <c r="P4" s="34" t="s">
        <v>238</v>
      </c>
      <c r="Q4" s="36">
        <f>SUM(I4/H4*100)</f>
        <v>100</v>
      </c>
    </row>
    <row r="5" spans="1:17" ht="25.5" customHeight="1" x14ac:dyDescent="0.25">
      <c r="A5" s="27" t="s">
        <v>138</v>
      </c>
      <c r="B5" s="28" t="s">
        <v>43</v>
      </c>
      <c r="C5" s="27" t="s">
        <v>51</v>
      </c>
      <c r="D5" s="27" t="s">
        <v>52</v>
      </c>
      <c r="E5" s="27" t="s">
        <v>153</v>
      </c>
      <c r="F5" s="27" t="s">
        <v>152</v>
      </c>
      <c r="G5" s="29" t="s">
        <v>10</v>
      </c>
      <c r="H5" s="30">
        <v>26.09</v>
      </c>
      <c r="I5" s="30">
        <v>26.09</v>
      </c>
      <c r="J5" s="27" t="s">
        <v>237</v>
      </c>
      <c r="K5" s="31">
        <v>20411454</v>
      </c>
      <c r="L5" s="32">
        <v>45809</v>
      </c>
      <c r="M5" s="32">
        <v>45930</v>
      </c>
      <c r="N5" s="33">
        <v>122</v>
      </c>
      <c r="O5" s="27" t="s">
        <v>150</v>
      </c>
      <c r="P5" s="34" t="s">
        <v>238</v>
      </c>
      <c r="Q5" s="36">
        <f>SUM(I5/H5*100)</f>
        <v>100</v>
      </c>
    </row>
    <row r="6" spans="1:17" ht="25.5" customHeight="1" x14ac:dyDescent="0.25">
      <c r="A6" s="27" t="s">
        <v>138</v>
      </c>
      <c r="B6" s="28" t="s">
        <v>43</v>
      </c>
      <c r="C6" s="27" t="s">
        <v>89</v>
      </c>
      <c r="D6" s="27" t="s">
        <v>45</v>
      </c>
      <c r="E6" s="27" t="s">
        <v>198</v>
      </c>
      <c r="F6" s="27" t="s">
        <v>197</v>
      </c>
      <c r="G6" s="29" t="s">
        <v>166</v>
      </c>
      <c r="H6" s="30">
        <v>9.08</v>
      </c>
      <c r="I6" s="30">
        <v>9.08</v>
      </c>
      <c r="J6" s="27" t="s">
        <v>237</v>
      </c>
      <c r="K6" s="31">
        <v>20411454</v>
      </c>
      <c r="L6" s="32">
        <v>45871</v>
      </c>
      <c r="M6" s="32">
        <v>45900</v>
      </c>
      <c r="N6" s="33">
        <v>30</v>
      </c>
      <c r="O6" s="27" t="s">
        <v>196</v>
      </c>
      <c r="P6" s="34" t="s">
        <v>238</v>
      </c>
      <c r="Q6" s="36">
        <f>SUM(I6/H6*100)</f>
        <v>100</v>
      </c>
    </row>
    <row r="7" spans="1:17" ht="25.5" customHeight="1" x14ac:dyDescent="0.25">
      <c r="A7" s="1" t="s">
        <v>138</v>
      </c>
      <c r="B7" s="4" t="s">
        <v>43</v>
      </c>
      <c r="C7" s="1" t="s">
        <v>186</v>
      </c>
      <c r="D7" s="1" t="s">
        <v>185</v>
      </c>
      <c r="E7" s="1" t="s">
        <v>208</v>
      </c>
      <c r="F7" s="1" t="s">
        <v>207</v>
      </c>
      <c r="G7" s="5" t="s">
        <v>206</v>
      </c>
      <c r="H7" s="6">
        <v>28.1</v>
      </c>
      <c r="I7" s="6">
        <v>3.65</v>
      </c>
      <c r="J7" s="1" t="s">
        <v>171</v>
      </c>
      <c r="K7" s="26">
        <v>8325282</v>
      </c>
      <c r="L7" s="7">
        <v>45637</v>
      </c>
      <c r="M7" s="8"/>
      <c r="N7" s="8"/>
      <c r="O7" s="26">
        <v>996202029</v>
      </c>
      <c r="P7" s="8" t="s">
        <v>240</v>
      </c>
      <c r="Q7" s="36">
        <f>SUM(I7/H7*100)</f>
        <v>12.98932384341637</v>
      </c>
    </row>
    <row r="8" spans="1:17" ht="25.5" customHeight="1" x14ac:dyDescent="0.25">
      <c r="A8" s="1" t="s">
        <v>138</v>
      </c>
      <c r="B8" s="4" t="s">
        <v>43</v>
      </c>
      <c r="C8" s="1" t="s">
        <v>186</v>
      </c>
      <c r="D8" s="1" t="s">
        <v>185</v>
      </c>
      <c r="E8" s="1" t="s">
        <v>184</v>
      </c>
      <c r="F8" s="1" t="s">
        <v>172</v>
      </c>
      <c r="G8" s="5" t="s">
        <v>10</v>
      </c>
      <c r="H8" s="6">
        <v>34.25</v>
      </c>
      <c r="I8" s="6">
        <v>4.45</v>
      </c>
      <c r="J8" s="1" t="s">
        <v>171</v>
      </c>
      <c r="K8" s="26">
        <v>8325282</v>
      </c>
      <c r="L8" s="7">
        <v>45658</v>
      </c>
      <c r="M8" s="8"/>
      <c r="N8" s="8"/>
      <c r="O8" s="26">
        <v>996202166</v>
      </c>
      <c r="P8" s="8" t="s">
        <v>240</v>
      </c>
      <c r="Q8" s="36">
        <f>SUM(I8/H8*100)</f>
        <v>12.992700729927009</v>
      </c>
    </row>
    <row r="9" spans="1:17" ht="25.5" customHeight="1" x14ac:dyDescent="0.25">
      <c r="A9" s="1" t="s">
        <v>138</v>
      </c>
      <c r="B9" s="4" t="s">
        <v>43</v>
      </c>
      <c r="C9" s="1" t="s">
        <v>186</v>
      </c>
      <c r="D9" s="1" t="s">
        <v>185</v>
      </c>
      <c r="E9" s="1" t="s">
        <v>236</v>
      </c>
      <c r="F9" s="1" t="s">
        <v>235</v>
      </c>
      <c r="G9" s="5" t="s">
        <v>221</v>
      </c>
      <c r="H9" s="6">
        <v>4.38</v>
      </c>
      <c r="I9" s="6">
        <v>0.56999999999999995</v>
      </c>
      <c r="J9" s="1" t="s">
        <v>81</v>
      </c>
      <c r="K9" s="26">
        <v>19586992</v>
      </c>
      <c r="L9" s="7">
        <v>45489</v>
      </c>
      <c r="M9" s="7">
        <v>45887</v>
      </c>
      <c r="N9" s="8"/>
      <c r="O9" s="26">
        <v>996201566</v>
      </c>
      <c r="P9" s="8" t="s">
        <v>240</v>
      </c>
      <c r="Q9" s="36">
        <f>SUM(I9/H9*100)</f>
        <v>13.013698630136986</v>
      </c>
    </row>
    <row r="10" spans="1:17" ht="25.5" customHeight="1" x14ac:dyDescent="0.25">
      <c r="A10" s="1" t="s">
        <v>138</v>
      </c>
      <c r="B10" s="4" t="s">
        <v>43</v>
      </c>
      <c r="C10" s="1" t="s">
        <v>51</v>
      </c>
      <c r="D10" s="1" t="s">
        <v>52</v>
      </c>
      <c r="E10" s="1" t="s">
        <v>195</v>
      </c>
      <c r="F10" s="1" t="s">
        <v>194</v>
      </c>
      <c r="G10" s="5" t="s">
        <v>162</v>
      </c>
      <c r="H10" s="6">
        <v>110.43</v>
      </c>
      <c r="I10" s="6">
        <v>22.09</v>
      </c>
      <c r="J10" s="1" t="s">
        <v>193</v>
      </c>
      <c r="K10" s="26">
        <v>9079571</v>
      </c>
      <c r="L10" s="7">
        <v>45875</v>
      </c>
      <c r="M10" s="7">
        <v>45996</v>
      </c>
      <c r="N10" s="9">
        <v>122</v>
      </c>
      <c r="O10" s="1" t="s">
        <v>192</v>
      </c>
      <c r="P10" s="8" t="s">
        <v>241</v>
      </c>
      <c r="Q10" s="36">
        <f>SUM(I10/H10*100)</f>
        <v>20.003622204111203</v>
      </c>
    </row>
    <row r="11" spans="1:17" ht="25.5" customHeight="1" x14ac:dyDescent="0.25">
      <c r="A11" s="1" t="s">
        <v>42</v>
      </c>
      <c r="B11" s="4" t="s">
        <v>43</v>
      </c>
      <c r="C11" s="1" t="s">
        <v>51</v>
      </c>
      <c r="D11" s="1" t="s">
        <v>52</v>
      </c>
      <c r="E11" s="1" t="s">
        <v>53</v>
      </c>
      <c r="F11" s="1" t="s">
        <v>54</v>
      </c>
      <c r="G11" s="5" t="s">
        <v>55</v>
      </c>
      <c r="H11" s="6">
        <v>364.38</v>
      </c>
      <c r="I11" s="6">
        <v>80.16</v>
      </c>
      <c r="J11" s="1" t="s">
        <v>56</v>
      </c>
      <c r="K11" s="26">
        <v>7470776</v>
      </c>
      <c r="L11" s="7">
        <v>45527</v>
      </c>
      <c r="M11" s="8"/>
      <c r="N11" s="9">
        <v>364</v>
      </c>
      <c r="O11" s="1" t="s">
        <v>57</v>
      </c>
      <c r="P11" s="8" t="s">
        <v>242</v>
      </c>
      <c r="Q11" s="36">
        <f>SUM(I11/H11*100)</f>
        <v>21.999012020418242</v>
      </c>
    </row>
    <row r="12" spans="1:17" ht="25.5" customHeight="1" x14ac:dyDescent="0.25">
      <c r="A12" s="1" t="s">
        <v>138</v>
      </c>
      <c r="B12" s="4" t="s">
        <v>43</v>
      </c>
      <c r="C12" s="1" t="s">
        <v>216</v>
      </c>
      <c r="D12" s="1" t="s">
        <v>52</v>
      </c>
      <c r="E12" s="1" t="s">
        <v>215</v>
      </c>
      <c r="F12" s="1" t="s">
        <v>214</v>
      </c>
      <c r="G12" s="5" t="s">
        <v>115</v>
      </c>
      <c r="H12" s="6">
        <v>469.11</v>
      </c>
      <c r="I12" s="6">
        <v>103.21</v>
      </c>
      <c r="J12" s="1" t="s">
        <v>144</v>
      </c>
      <c r="K12" s="26">
        <v>16509456</v>
      </c>
      <c r="L12" s="7">
        <v>45841</v>
      </c>
      <c r="M12" s="8"/>
      <c r="N12" s="9">
        <v>92</v>
      </c>
      <c r="O12" s="1" t="s">
        <v>213</v>
      </c>
      <c r="P12" s="8" t="s">
        <v>242</v>
      </c>
      <c r="Q12" s="36">
        <f>SUM(I12/H12*100)</f>
        <v>22.00123638379058</v>
      </c>
    </row>
    <row r="13" spans="1:17" ht="25.5" customHeight="1" x14ac:dyDescent="0.25">
      <c r="A13" s="1" t="s">
        <v>42</v>
      </c>
      <c r="B13" s="4" t="s">
        <v>43</v>
      </c>
      <c r="C13" s="1" t="s">
        <v>89</v>
      </c>
      <c r="D13" s="1" t="s">
        <v>45</v>
      </c>
      <c r="E13" s="1" t="s">
        <v>129</v>
      </c>
      <c r="F13" s="1" t="s">
        <v>130</v>
      </c>
      <c r="G13" s="5" t="s">
        <v>92</v>
      </c>
      <c r="H13" s="6">
        <v>88.61</v>
      </c>
      <c r="I13" s="6">
        <v>22.15</v>
      </c>
      <c r="J13" s="1" t="s">
        <v>131</v>
      </c>
      <c r="K13" s="26">
        <v>17528908</v>
      </c>
      <c r="L13" s="7">
        <v>45862</v>
      </c>
      <c r="M13" s="7">
        <v>45984</v>
      </c>
      <c r="N13" s="9">
        <v>123</v>
      </c>
      <c r="O13" s="1" t="s">
        <v>132</v>
      </c>
      <c r="P13" s="8" t="s">
        <v>243</v>
      </c>
      <c r="Q13" s="36">
        <f>SUM(I13/H13*100)</f>
        <v>24.997178648008127</v>
      </c>
    </row>
    <row r="14" spans="1:17" ht="25.5" customHeight="1" x14ac:dyDescent="0.25">
      <c r="A14" s="1" t="s">
        <v>138</v>
      </c>
      <c r="B14" s="4" t="s">
        <v>43</v>
      </c>
      <c r="C14" s="1" t="s">
        <v>51</v>
      </c>
      <c r="D14" s="1" t="s">
        <v>52</v>
      </c>
      <c r="E14" s="1" t="s">
        <v>173</v>
      </c>
      <c r="F14" s="1" t="s">
        <v>172</v>
      </c>
      <c r="G14" s="5" t="s">
        <v>10</v>
      </c>
      <c r="H14" s="6">
        <v>115.05</v>
      </c>
      <c r="I14" s="6">
        <v>28.76</v>
      </c>
      <c r="J14" s="1" t="s">
        <v>171</v>
      </c>
      <c r="K14" s="26">
        <v>8325282</v>
      </c>
      <c r="L14" s="7">
        <v>45778</v>
      </c>
      <c r="M14" s="7">
        <v>45900</v>
      </c>
      <c r="N14" s="9">
        <v>123</v>
      </c>
      <c r="O14" s="1" t="s">
        <v>170</v>
      </c>
      <c r="P14" s="8" t="s">
        <v>243</v>
      </c>
      <c r="Q14" s="36">
        <f>SUM(I14/H14*100)</f>
        <v>24.99782703172534</v>
      </c>
    </row>
    <row r="15" spans="1:17" ht="25.5" customHeight="1" x14ac:dyDescent="0.25">
      <c r="A15" s="1" t="s">
        <v>42</v>
      </c>
      <c r="B15" s="4" t="s">
        <v>43</v>
      </c>
      <c r="C15" s="1" t="s">
        <v>51</v>
      </c>
      <c r="D15" s="1" t="s">
        <v>52</v>
      </c>
      <c r="E15" s="1" t="s">
        <v>73</v>
      </c>
      <c r="F15" s="1" t="s">
        <v>74</v>
      </c>
      <c r="G15" s="5" t="s">
        <v>75</v>
      </c>
      <c r="H15" s="6">
        <v>121.25</v>
      </c>
      <c r="I15" s="6">
        <v>30.31</v>
      </c>
      <c r="J15" s="1" t="s">
        <v>76</v>
      </c>
      <c r="K15" s="26">
        <v>18754354</v>
      </c>
      <c r="L15" s="7">
        <v>45860</v>
      </c>
      <c r="M15" s="7">
        <v>45982</v>
      </c>
      <c r="N15" s="9">
        <v>123</v>
      </c>
      <c r="O15" s="1" t="s">
        <v>77</v>
      </c>
      <c r="P15" s="8" t="s">
        <v>243</v>
      </c>
      <c r="Q15" s="36">
        <f>SUM(I15/H15*100)</f>
        <v>24.997938144329897</v>
      </c>
    </row>
    <row r="16" spans="1:17" ht="25.5" customHeight="1" x14ac:dyDescent="0.25">
      <c r="A16" s="1" t="s">
        <v>138</v>
      </c>
      <c r="B16" s="4" t="s">
        <v>43</v>
      </c>
      <c r="C16" s="1" t="s">
        <v>89</v>
      </c>
      <c r="D16" s="1" t="s">
        <v>45</v>
      </c>
      <c r="E16" s="1" t="s">
        <v>149</v>
      </c>
      <c r="F16" s="1" t="s">
        <v>148</v>
      </c>
      <c r="G16" s="5" t="s">
        <v>10</v>
      </c>
      <c r="H16" s="6">
        <v>164.89</v>
      </c>
      <c r="I16" s="6">
        <v>41.22</v>
      </c>
      <c r="J16" s="1" t="s">
        <v>144</v>
      </c>
      <c r="K16" s="26">
        <v>16509456</v>
      </c>
      <c r="L16" s="7">
        <v>45839</v>
      </c>
      <c r="M16" s="7">
        <v>45961</v>
      </c>
      <c r="N16" s="9">
        <v>123</v>
      </c>
      <c r="O16" s="1" t="s">
        <v>147</v>
      </c>
      <c r="P16" s="8" t="s">
        <v>243</v>
      </c>
      <c r="Q16" s="36">
        <f>SUM(I16/H16*100)</f>
        <v>24.99848383770999</v>
      </c>
    </row>
    <row r="17" spans="1:17" ht="25.5" customHeight="1" x14ac:dyDescent="0.25">
      <c r="A17" s="1" t="s">
        <v>42</v>
      </c>
      <c r="B17" s="4" t="s">
        <v>43</v>
      </c>
      <c r="C17" s="1" t="s">
        <v>44</v>
      </c>
      <c r="D17" s="1" t="s">
        <v>45</v>
      </c>
      <c r="E17" s="1" t="s">
        <v>46</v>
      </c>
      <c r="F17" s="1" t="s">
        <v>47</v>
      </c>
      <c r="G17" s="5" t="s">
        <v>48</v>
      </c>
      <c r="H17" s="6">
        <v>206.21</v>
      </c>
      <c r="I17" s="6">
        <v>51.55</v>
      </c>
      <c r="J17" s="1" t="s">
        <v>49</v>
      </c>
      <c r="K17" s="26">
        <v>18581063</v>
      </c>
      <c r="L17" s="7">
        <v>45534</v>
      </c>
      <c r="M17" s="8"/>
      <c r="N17" s="9">
        <v>364</v>
      </c>
      <c r="O17" s="1" t="s">
        <v>50</v>
      </c>
      <c r="P17" s="8" t="s">
        <v>243</v>
      </c>
      <c r="Q17" s="36">
        <f>SUM(I17/H17*100)</f>
        <v>24.998787643664226</v>
      </c>
    </row>
    <row r="18" spans="1:17" ht="25.5" customHeight="1" x14ac:dyDescent="0.25">
      <c r="A18" s="1" t="s">
        <v>138</v>
      </c>
      <c r="B18" s="4" t="s">
        <v>43</v>
      </c>
      <c r="C18" s="1" t="s">
        <v>89</v>
      </c>
      <c r="D18" s="1" t="s">
        <v>45</v>
      </c>
      <c r="E18" s="1" t="s">
        <v>204</v>
      </c>
      <c r="F18" s="1" t="s">
        <v>203</v>
      </c>
      <c r="G18" s="5" t="s">
        <v>202</v>
      </c>
      <c r="H18" s="6">
        <v>212.45</v>
      </c>
      <c r="I18" s="6">
        <v>53.11</v>
      </c>
      <c r="J18" s="1" t="s">
        <v>188</v>
      </c>
      <c r="K18" s="26">
        <v>8971826</v>
      </c>
      <c r="L18" s="7">
        <v>45791</v>
      </c>
      <c r="M18" s="7">
        <v>45913</v>
      </c>
      <c r="N18" s="9">
        <v>123</v>
      </c>
      <c r="O18" s="1" t="s">
        <v>201</v>
      </c>
      <c r="P18" s="8" t="s">
        <v>243</v>
      </c>
      <c r="Q18" s="36">
        <f>SUM(I18/H18*100)</f>
        <v>24.998823252530009</v>
      </c>
    </row>
    <row r="19" spans="1:17" ht="25.5" customHeight="1" x14ac:dyDescent="0.25">
      <c r="A19" s="1" t="s">
        <v>138</v>
      </c>
      <c r="B19" s="4" t="s">
        <v>43</v>
      </c>
      <c r="C19" s="1" t="s">
        <v>89</v>
      </c>
      <c r="D19" s="1" t="s">
        <v>45</v>
      </c>
      <c r="E19" s="1" t="s">
        <v>182</v>
      </c>
      <c r="F19" s="1" t="s">
        <v>181</v>
      </c>
      <c r="G19" s="5" t="s">
        <v>10</v>
      </c>
      <c r="H19" s="6">
        <v>222.41</v>
      </c>
      <c r="I19" s="6">
        <v>55.6</v>
      </c>
      <c r="J19" s="1" t="s">
        <v>93</v>
      </c>
      <c r="K19" s="26">
        <v>17425766</v>
      </c>
      <c r="L19" s="7">
        <v>45536</v>
      </c>
      <c r="M19" s="8"/>
      <c r="N19" s="9">
        <v>364</v>
      </c>
      <c r="O19" s="1" t="s">
        <v>180</v>
      </c>
      <c r="P19" s="8" t="s">
        <v>243</v>
      </c>
      <c r="Q19" s="36">
        <f>SUM(I19/H19*100)</f>
        <v>24.998875949822402</v>
      </c>
    </row>
    <row r="20" spans="1:17" ht="25.5" customHeight="1" x14ac:dyDescent="0.25">
      <c r="A20" s="1" t="s">
        <v>42</v>
      </c>
      <c r="B20" s="4" t="s">
        <v>43</v>
      </c>
      <c r="C20" s="1" t="s">
        <v>89</v>
      </c>
      <c r="D20" s="1" t="s">
        <v>45</v>
      </c>
      <c r="E20" s="1" t="s">
        <v>103</v>
      </c>
      <c r="F20" s="1" t="s">
        <v>104</v>
      </c>
      <c r="G20" s="5" t="s">
        <v>105</v>
      </c>
      <c r="H20" s="6">
        <v>245.09</v>
      </c>
      <c r="I20" s="6">
        <v>61.27</v>
      </c>
      <c r="J20" s="1" t="s">
        <v>106</v>
      </c>
      <c r="K20" s="26">
        <v>16865615</v>
      </c>
      <c r="L20" s="7">
        <v>45816</v>
      </c>
      <c r="M20" s="7">
        <v>45937</v>
      </c>
      <c r="N20" s="9">
        <v>122</v>
      </c>
      <c r="O20" s="1" t="s">
        <v>107</v>
      </c>
      <c r="P20" s="8" t="s">
        <v>243</v>
      </c>
      <c r="Q20" s="36">
        <f>SUM(I20/H20*100)</f>
        <v>24.998979966542905</v>
      </c>
    </row>
    <row r="21" spans="1:17" ht="25.5" customHeight="1" x14ac:dyDescent="0.25">
      <c r="A21" s="1" t="s">
        <v>42</v>
      </c>
      <c r="B21" s="4" t="s">
        <v>43</v>
      </c>
      <c r="C21" s="1" t="s">
        <v>89</v>
      </c>
      <c r="D21" s="1" t="s">
        <v>45</v>
      </c>
      <c r="E21" s="1" t="s">
        <v>103</v>
      </c>
      <c r="F21" s="1" t="s">
        <v>104</v>
      </c>
      <c r="G21" s="5" t="s">
        <v>108</v>
      </c>
      <c r="H21" s="6">
        <v>245.09</v>
      </c>
      <c r="I21" s="6">
        <v>61.27</v>
      </c>
      <c r="J21" s="1" t="s">
        <v>106</v>
      </c>
      <c r="K21" s="26">
        <v>16865615</v>
      </c>
      <c r="L21" s="7">
        <v>45816</v>
      </c>
      <c r="M21" s="7">
        <v>45937</v>
      </c>
      <c r="N21" s="9">
        <v>122</v>
      </c>
      <c r="O21" s="1" t="s">
        <v>107</v>
      </c>
      <c r="P21" s="8" t="s">
        <v>243</v>
      </c>
      <c r="Q21" s="36">
        <f>SUM(I21/H21*100)</f>
        <v>24.998979966542905</v>
      </c>
    </row>
    <row r="22" spans="1:17" ht="25.5" customHeight="1" x14ac:dyDescent="0.25">
      <c r="A22" s="1" t="s">
        <v>138</v>
      </c>
      <c r="B22" s="4" t="s">
        <v>43</v>
      </c>
      <c r="C22" s="1" t="s">
        <v>89</v>
      </c>
      <c r="D22" s="1" t="s">
        <v>45</v>
      </c>
      <c r="E22" s="1" t="s">
        <v>103</v>
      </c>
      <c r="F22" s="1" t="s">
        <v>104</v>
      </c>
      <c r="G22" s="5" t="s">
        <v>200</v>
      </c>
      <c r="H22" s="6">
        <v>245.09</v>
      </c>
      <c r="I22" s="6">
        <v>61.27</v>
      </c>
      <c r="J22" s="1" t="s">
        <v>106</v>
      </c>
      <c r="K22" s="26">
        <v>16865615</v>
      </c>
      <c r="L22" s="7">
        <v>45816</v>
      </c>
      <c r="M22" s="7">
        <v>45937</v>
      </c>
      <c r="N22" s="9">
        <v>122</v>
      </c>
      <c r="O22" s="1" t="s">
        <v>107</v>
      </c>
      <c r="P22" s="8" t="s">
        <v>243</v>
      </c>
      <c r="Q22" s="36">
        <f>SUM(I22/H22*100)</f>
        <v>24.998979966542905</v>
      </c>
    </row>
    <row r="23" spans="1:17" ht="25.5" customHeight="1" x14ac:dyDescent="0.25">
      <c r="A23" s="1" t="s">
        <v>42</v>
      </c>
      <c r="B23" s="4" t="s">
        <v>43</v>
      </c>
      <c r="C23" s="1" t="s">
        <v>51</v>
      </c>
      <c r="D23" s="1" t="s">
        <v>52</v>
      </c>
      <c r="E23" s="1" t="s">
        <v>58</v>
      </c>
      <c r="F23" s="1" t="s">
        <v>59</v>
      </c>
      <c r="G23" s="5" t="s">
        <v>60</v>
      </c>
      <c r="H23" s="6">
        <v>747.39</v>
      </c>
      <c r="I23" s="6">
        <v>186.84</v>
      </c>
      <c r="J23" s="1" t="s">
        <v>49</v>
      </c>
      <c r="K23" s="26">
        <v>18581063</v>
      </c>
      <c r="L23" s="7">
        <v>45533</v>
      </c>
      <c r="M23" s="8"/>
      <c r="N23" s="9">
        <v>364</v>
      </c>
      <c r="O23" s="1" t="s">
        <v>61</v>
      </c>
      <c r="P23" s="8" t="s">
        <v>243</v>
      </c>
      <c r="Q23" s="36">
        <f>SUM(I23/H23*100)</f>
        <v>24.998996507847309</v>
      </c>
    </row>
    <row r="24" spans="1:17" ht="25.5" customHeight="1" x14ac:dyDescent="0.25">
      <c r="A24" s="1" t="s">
        <v>138</v>
      </c>
      <c r="B24" s="4" t="s">
        <v>43</v>
      </c>
      <c r="C24" s="1" t="s">
        <v>51</v>
      </c>
      <c r="D24" s="1" t="s">
        <v>52</v>
      </c>
      <c r="E24" s="1" t="s">
        <v>212</v>
      </c>
      <c r="F24" s="1" t="s">
        <v>211</v>
      </c>
      <c r="G24" s="5" t="s">
        <v>210</v>
      </c>
      <c r="H24" s="6">
        <v>256.33</v>
      </c>
      <c r="I24" s="6">
        <v>64.08</v>
      </c>
      <c r="J24" s="1" t="s">
        <v>49</v>
      </c>
      <c r="K24" s="26">
        <v>18581063</v>
      </c>
      <c r="L24" s="7">
        <v>45881</v>
      </c>
      <c r="M24" s="7">
        <v>46002</v>
      </c>
      <c r="N24" s="9">
        <v>122</v>
      </c>
      <c r="O24" s="1" t="s">
        <v>209</v>
      </c>
      <c r="P24" s="8" t="s">
        <v>243</v>
      </c>
      <c r="Q24" s="36">
        <f>SUM(I24/H24*100)</f>
        <v>24.999024694729453</v>
      </c>
    </row>
    <row r="25" spans="1:17" ht="25.5" customHeight="1" x14ac:dyDescent="0.25">
      <c r="A25" s="1" t="s">
        <v>42</v>
      </c>
      <c r="B25" s="4" t="s">
        <v>43</v>
      </c>
      <c r="C25" s="1" t="s">
        <v>51</v>
      </c>
      <c r="D25" s="1" t="s">
        <v>52</v>
      </c>
      <c r="E25" s="1" t="s">
        <v>78</v>
      </c>
      <c r="F25" s="1" t="s">
        <v>79</v>
      </c>
      <c r="G25" s="5" t="s">
        <v>80</v>
      </c>
      <c r="H25" s="6">
        <v>259.64999999999998</v>
      </c>
      <c r="I25" s="6">
        <v>64.91</v>
      </c>
      <c r="J25" s="1" t="s">
        <v>81</v>
      </c>
      <c r="K25" s="26">
        <v>19586992</v>
      </c>
      <c r="L25" s="7">
        <v>45774</v>
      </c>
      <c r="M25" s="7">
        <v>45895</v>
      </c>
      <c r="N25" s="9">
        <v>122</v>
      </c>
      <c r="O25" s="1" t="s">
        <v>82</v>
      </c>
      <c r="P25" s="8" t="s">
        <v>243</v>
      </c>
      <c r="Q25" s="36">
        <f>SUM(I25/H25*100)</f>
        <v>24.999037165414983</v>
      </c>
    </row>
    <row r="26" spans="1:17" ht="25.5" customHeight="1" x14ac:dyDescent="0.25">
      <c r="A26" s="1" t="s">
        <v>138</v>
      </c>
      <c r="B26" s="4" t="s">
        <v>43</v>
      </c>
      <c r="C26" s="1" t="s">
        <v>62</v>
      </c>
      <c r="D26" s="1" t="s">
        <v>63</v>
      </c>
      <c r="E26" s="1" t="s">
        <v>156</v>
      </c>
      <c r="F26" s="1" t="s">
        <v>155</v>
      </c>
      <c r="G26" s="5" t="s">
        <v>10</v>
      </c>
      <c r="H26" s="6">
        <v>323.52999999999997</v>
      </c>
      <c r="I26" s="6">
        <v>80.88</v>
      </c>
      <c r="J26" s="1" t="s">
        <v>49</v>
      </c>
      <c r="K26" s="26">
        <v>18581063</v>
      </c>
      <c r="L26" s="7">
        <v>45809</v>
      </c>
      <c r="M26" s="7">
        <v>45930</v>
      </c>
      <c r="N26" s="9">
        <v>122</v>
      </c>
      <c r="O26" s="1" t="s">
        <v>154</v>
      </c>
      <c r="P26" s="8" t="s">
        <v>243</v>
      </c>
      <c r="Q26" s="36">
        <f>SUM(I26/H26*100)</f>
        <v>24.999227274132231</v>
      </c>
    </row>
    <row r="27" spans="1:17" ht="25.5" customHeight="1" x14ac:dyDescent="0.25">
      <c r="A27" s="1" t="s">
        <v>42</v>
      </c>
      <c r="B27" s="4" t="s">
        <v>43</v>
      </c>
      <c r="C27" s="1" t="s">
        <v>44</v>
      </c>
      <c r="D27" s="1" t="s">
        <v>45</v>
      </c>
      <c r="E27" s="1" t="s">
        <v>113</v>
      </c>
      <c r="F27" s="1" t="s">
        <v>114</v>
      </c>
      <c r="G27" s="5" t="s">
        <v>115</v>
      </c>
      <c r="H27" s="6">
        <v>333.29</v>
      </c>
      <c r="I27" s="6">
        <v>83.32</v>
      </c>
      <c r="J27" s="1" t="s">
        <v>101</v>
      </c>
      <c r="K27" s="26">
        <v>8977234</v>
      </c>
      <c r="L27" s="7">
        <v>45841</v>
      </c>
      <c r="M27" s="7">
        <v>45963</v>
      </c>
      <c r="N27" s="9">
        <v>123</v>
      </c>
      <c r="O27" s="1" t="s">
        <v>116</v>
      </c>
      <c r="P27" s="8" t="s">
        <v>243</v>
      </c>
      <c r="Q27" s="36">
        <f>SUM(I27/H27*100)</f>
        <v>24.999249902487321</v>
      </c>
    </row>
    <row r="28" spans="1:17" ht="25.5" customHeight="1" x14ac:dyDescent="0.25">
      <c r="A28" s="1" t="s">
        <v>138</v>
      </c>
      <c r="B28" s="4" t="s">
        <v>43</v>
      </c>
      <c r="C28" s="1" t="s">
        <v>44</v>
      </c>
      <c r="D28" s="1" t="s">
        <v>45</v>
      </c>
      <c r="E28" s="1" t="s">
        <v>113</v>
      </c>
      <c r="F28" s="1" t="s">
        <v>114</v>
      </c>
      <c r="G28" s="5" t="s">
        <v>139</v>
      </c>
      <c r="H28" s="6">
        <v>333.29</v>
      </c>
      <c r="I28" s="6">
        <v>83.32</v>
      </c>
      <c r="J28" s="1" t="s">
        <v>101</v>
      </c>
      <c r="K28" s="26">
        <v>8977234</v>
      </c>
      <c r="L28" s="7">
        <v>45841</v>
      </c>
      <c r="M28" s="7">
        <v>45963</v>
      </c>
      <c r="N28" s="9">
        <v>123</v>
      </c>
      <c r="O28" s="1" t="s">
        <v>116</v>
      </c>
      <c r="P28" s="8" t="s">
        <v>243</v>
      </c>
      <c r="Q28" s="36">
        <f>SUM(I28/H28*100)</f>
        <v>24.999249902487321</v>
      </c>
    </row>
    <row r="29" spans="1:17" ht="25.5" customHeight="1" x14ac:dyDescent="0.25">
      <c r="A29" s="1" t="s">
        <v>42</v>
      </c>
      <c r="B29" s="4" t="s">
        <v>43</v>
      </c>
      <c r="C29" s="1" t="s">
        <v>89</v>
      </c>
      <c r="D29" s="1" t="s">
        <v>45</v>
      </c>
      <c r="E29" s="1" t="s">
        <v>95</v>
      </c>
      <c r="F29" s="1" t="s">
        <v>96</v>
      </c>
      <c r="G29" s="5" t="s">
        <v>60</v>
      </c>
      <c r="H29" s="6">
        <v>357</v>
      </c>
      <c r="I29" s="6">
        <v>89.25</v>
      </c>
      <c r="J29" s="1" t="s">
        <v>93</v>
      </c>
      <c r="K29" s="26">
        <v>17425766</v>
      </c>
      <c r="L29" s="7">
        <v>45806</v>
      </c>
      <c r="M29" s="7">
        <v>45928</v>
      </c>
      <c r="N29" s="9">
        <v>123</v>
      </c>
      <c r="O29" s="1" t="s">
        <v>97</v>
      </c>
      <c r="P29" s="8" t="s">
        <v>243</v>
      </c>
      <c r="Q29" s="36">
        <f>SUM(I29/H29*100)</f>
        <v>25</v>
      </c>
    </row>
    <row r="30" spans="1:17" ht="25.5" customHeight="1" x14ac:dyDescent="0.25">
      <c r="A30" s="1" t="s">
        <v>138</v>
      </c>
      <c r="B30" s="4" t="s">
        <v>43</v>
      </c>
      <c r="C30" s="1" t="s">
        <v>89</v>
      </c>
      <c r="D30" s="1" t="s">
        <v>45</v>
      </c>
      <c r="E30" s="1" t="s">
        <v>164</v>
      </c>
      <c r="F30" s="1" t="s">
        <v>163</v>
      </c>
      <c r="G30" s="5" t="s">
        <v>162</v>
      </c>
      <c r="H30" s="6">
        <v>129.63999999999999</v>
      </c>
      <c r="I30" s="6">
        <v>32.409999999999997</v>
      </c>
      <c r="J30" s="1" t="s">
        <v>161</v>
      </c>
      <c r="K30" s="26">
        <v>19681796</v>
      </c>
      <c r="L30" s="7">
        <v>45814</v>
      </c>
      <c r="M30" s="7">
        <v>45935</v>
      </c>
      <c r="N30" s="9">
        <v>122</v>
      </c>
      <c r="O30" s="1" t="s">
        <v>160</v>
      </c>
      <c r="P30" s="8" t="s">
        <v>243</v>
      </c>
      <c r="Q30" s="36">
        <f>SUM(I30/H30*100)</f>
        <v>25</v>
      </c>
    </row>
    <row r="31" spans="1:17" ht="25.5" customHeight="1" x14ac:dyDescent="0.25">
      <c r="A31" s="1" t="s">
        <v>138</v>
      </c>
      <c r="B31" s="4" t="s">
        <v>43</v>
      </c>
      <c r="C31" s="1" t="s">
        <v>89</v>
      </c>
      <c r="D31" s="1" t="s">
        <v>45</v>
      </c>
      <c r="E31" s="1" t="s">
        <v>225</v>
      </c>
      <c r="F31" s="1" t="s">
        <v>224</v>
      </c>
      <c r="G31" s="5" t="s">
        <v>223</v>
      </c>
      <c r="H31" s="6">
        <v>335.96</v>
      </c>
      <c r="I31" s="6">
        <v>83.99</v>
      </c>
      <c r="J31" s="1" t="s">
        <v>66</v>
      </c>
      <c r="K31" s="26">
        <v>8814784</v>
      </c>
      <c r="L31" s="7">
        <v>45798</v>
      </c>
      <c r="M31" s="7">
        <v>45920</v>
      </c>
      <c r="N31" s="9">
        <v>123</v>
      </c>
      <c r="O31" s="1" t="s">
        <v>222</v>
      </c>
      <c r="P31" s="8" t="s">
        <v>243</v>
      </c>
      <c r="Q31" s="36">
        <f>SUM(I31/H31*100)</f>
        <v>25</v>
      </c>
    </row>
    <row r="32" spans="1:17" ht="25.5" customHeight="1" x14ac:dyDescent="0.25">
      <c r="A32" s="1" t="s">
        <v>138</v>
      </c>
      <c r="B32" s="4" t="s">
        <v>43</v>
      </c>
      <c r="C32" s="1" t="s">
        <v>62</v>
      </c>
      <c r="D32" s="1" t="s">
        <v>63</v>
      </c>
      <c r="E32" s="1" t="s">
        <v>228</v>
      </c>
      <c r="F32" s="1" t="s">
        <v>84</v>
      </c>
      <c r="G32" s="5" t="s">
        <v>227</v>
      </c>
      <c r="H32" s="6">
        <v>130.6</v>
      </c>
      <c r="I32" s="6">
        <v>32.65</v>
      </c>
      <c r="J32" s="1" t="s">
        <v>49</v>
      </c>
      <c r="K32" s="26">
        <v>18581063</v>
      </c>
      <c r="L32" s="7">
        <v>45792</v>
      </c>
      <c r="M32" s="7">
        <v>45914</v>
      </c>
      <c r="N32" s="9">
        <v>123</v>
      </c>
      <c r="O32" s="1" t="s">
        <v>226</v>
      </c>
      <c r="P32" s="8" t="s">
        <v>243</v>
      </c>
      <c r="Q32" s="36">
        <f>SUM(I32/H32*100)</f>
        <v>25</v>
      </c>
    </row>
    <row r="33" spans="1:17" ht="25.5" customHeight="1" x14ac:dyDescent="0.25">
      <c r="A33" s="1" t="s">
        <v>138</v>
      </c>
      <c r="B33" s="4" t="s">
        <v>43</v>
      </c>
      <c r="C33" s="1" t="s">
        <v>51</v>
      </c>
      <c r="D33" s="1" t="s">
        <v>52</v>
      </c>
      <c r="E33" s="1" t="s">
        <v>176</v>
      </c>
      <c r="F33" s="1" t="s">
        <v>175</v>
      </c>
      <c r="G33" s="5" t="s">
        <v>10</v>
      </c>
      <c r="H33" s="6">
        <v>478.47</v>
      </c>
      <c r="I33" s="6">
        <v>119.62</v>
      </c>
      <c r="J33" s="1" t="s">
        <v>93</v>
      </c>
      <c r="K33" s="26">
        <v>17425766</v>
      </c>
      <c r="L33" s="7">
        <v>45778</v>
      </c>
      <c r="M33" s="7">
        <v>45897</v>
      </c>
      <c r="N33" s="9">
        <v>120</v>
      </c>
      <c r="O33" s="1" t="s">
        <v>174</v>
      </c>
      <c r="P33" s="8" t="s">
        <v>243</v>
      </c>
      <c r="Q33" s="36">
        <f>SUM(I33/H33*100)</f>
        <v>25.000522498798251</v>
      </c>
    </row>
    <row r="34" spans="1:17" ht="25.5" customHeight="1" x14ac:dyDescent="0.25">
      <c r="A34" s="1" t="s">
        <v>138</v>
      </c>
      <c r="B34" s="4" t="s">
        <v>43</v>
      </c>
      <c r="C34" s="1" t="s">
        <v>62</v>
      </c>
      <c r="D34" s="1" t="s">
        <v>63</v>
      </c>
      <c r="E34" s="1" t="s">
        <v>137</v>
      </c>
      <c r="F34" s="1" t="s">
        <v>136</v>
      </c>
      <c r="G34" s="5" t="s">
        <v>135</v>
      </c>
      <c r="H34" s="6">
        <v>451.99</v>
      </c>
      <c r="I34" s="6">
        <v>113</v>
      </c>
      <c r="J34" s="1" t="s">
        <v>134</v>
      </c>
      <c r="K34" s="26">
        <v>19200754</v>
      </c>
      <c r="L34" s="7">
        <v>45854</v>
      </c>
      <c r="M34" s="7">
        <v>45976</v>
      </c>
      <c r="N34" s="9">
        <v>123</v>
      </c>
      <c r="O34" s="1" t="s">
        <v>133</v>
      </c>
      <c r="P34" s="8" t="s">
        <v>243</v>
      </c>
      <c r="Q34" s="36">
        <f>SUM(I34/H34*100)</f>
        <v>25.000553109582068</v>
      </c>
    </row>
    <row r="35" spans="1:17" ht="25.5" customHeight="1" x14ac:dyDescent="0.25">
      <c r="A35" s="1" t="s">
        <v>138</v>
      </c>
      <c r="B35" s="4" t="s">
        <v>43</v>
      </c>
      <c r="C35" s="1" t="s">
        <v>62</v>
      </c>
      <c r="D35" s="1" t="s">
        <v>63</v>
      </c>
      <c r="E35" s="1" t="s">
        <v>137</v>
      </c>
      <c r="F35" s="1" t="s">
        <v>136</v>
      </c>
      <c r="G35" s="5" t="s">
        <v>221</v>
      </c>
      <c r="H35" s="6">
        <v>451.99</v>
      </c>
      <c r="I35" s="6">
        <v>113</v>
      </c>
      <c r="J35" s="1" t="s">
        <v>134</v>
      </c>
      <c r="K35" s="26">
        <v>19200754</v>
      </c>
      <c r="L35" s="7">
        <v>45854</v>
      </c>
      <c r="M35" s="7">
        <v>45976</v>
      </c>
      <c r="N35" s="9">
        <v>123</v>
      </c>
      <c r="O35" s="1" t="s">
        <v>133</v>
      </c>
      <c r="P35" s="8" t="s">
        <v>243</v>
      </c>
      <c r="Q35" s="36">
        <f>SUM(I35/H35*100)</f>
        <v>25.000553109582068</v>
      </c>
    </row>
    <row r="36" spans="1:17" ht="25.5" customHeight="1" x14ac:dyDescent="0.25">
      <c r="A36" s="1" t="s">
        <v>42</v>
      </c>
      <c r="B36" s="4" t="s">
        <v>43</v>
      </c>
      <c r="C36" s="1" t="s">
        <v>62</v>
      </c>
      <c r="D36" s="1" t="s">
        <v>63</v>
      </c>
      <c r="E36" s="1" t="s">
        <v>64</v>
      </c>
      <c r="F36" s="1" t="s">
        <v>65</v>
      </c>
      <c r="G36" s="5" t="s">
        <v>55</v>
      </c>
      <c r="H36" s="6">
        <v>409.55</v>
      </c>
      <c r="I36" s="6">
        <v>102.39</v>
      </c>
      <c r="J36" s="1" t="s">
        <v>66</v>
      </c>
      <c r="K36" s="26">
        <v>8814784</v>
      </c>
      <c r="L36" s="7">
        <v>45770</v>
      </c>
      <c r="M36" s="7">
        <v>45889</v>
      </c>
      <c r="N36" s="9">
        <v>120</v>
      </c>
      <c r="O36" s="1" t="s">
        <v>67</v>
      </c>
      <c r="P36" s="8" t="s">
        <v>243</v>
      </c>
      <c r="Q36" s="36">
        <f>SUM(I36/H36*100)</f>
        <v>25.000610426077401</v>
      </c>
    </row>
    <row r="37" spans="1:17" ht="25.5" customHeight="1" x14ac:dyDescent="0.25">
      <c r="A37" s="1" t="s">
        <v>42</v>
      </c>
      <c r="B37" s="4" t="s">
        <v>43</v>
      </c>
      <c r="C37" s="1" t="s">
        <v>51</v>
      </c>
      <c r="D37" s="1" t="s">
        <v>52</v>
      </c>
      <c r="E37" s="1" t="s">
        <v>68</v>
      </c>
      <c r="F37" s="1" t="s">
        <v>69</v>
      </c>
      <c r="G37" s="5" t="s">
        <v>70</v>
      </c>
      <c r="H37" s="6">
        <v>406.55</v>
      </c>
      <c r="I37" s="6">
        <v>101.64</v>
      </c>
      <c r="J37" s="1" t="s">
        <v>71</v>
      </c>
      <c r="K37" s="26">
        <v>17437820</v>
      </c>
      <c r="L37" s="7">
        <v>45842</v>
      </c>
      <c r="M37" s="7">
        <v>45964</v>
      </c>
      <c r="N37" s="9">
        <v>123</v>
      </c>
      <c r="O37" s="1" t="s">
        <v>72</v>
      </c>
      <c r="P37" s="8" t="s">
        <v>243</v>
      </c>
      <c r="Q37" s="36">
        <f>SUM(I37/H37*100)</f>
        <v>25.00061493051285</v>
      </c>
    </row>
    <row r="38" spans="1:17" ht="25.5" customHeight="1" x14ac:dyDescent="0.25">
      <c r="A38" s="1" t="s">
        <v>138</v>
      </c>
      <c r="B38" s="4" t="s">
        <v>43</v>
      </c>
      <c r="C38" s="1" t="s">
        <v>51</v>
      </c>
      <c r="D38" s="1" t="s">
        <v>52</v>
      </c>
      <c r="E38" s="1" t="s">
        <v>68</v>
      </c>
      <c r="F38" s="1" t="s">
        <v>69</v>
      </c>
      <c r="G38" s="5" t="s">
        <v>169</v>
      </c>
      <c r="H38" s="6">
        <v>406.55</v>
      </c>
      <c r="I38" s="6">
        <v>101.64</v>
      </c>
      <c r="J38" s="1" t="s">
        <v>71</v>
      </c>
      <c r="K38" s="26">
        <v>17437820</v>
      </c>
      <c r="L38" s="7">
        <v>45842</v>
      </c>
      <c r="M38" s="7">
        <v>45964</v>
      </c>
      <c r="N38" s="9">
        <v>123</v>
      </c>
      <c r="O38" s="1" t="s">
        <v>72</v>
      </c>
      <c r="P38" s="8" t="s">
        <v>243</v>
      </c>
      <c r="Q38" s="36">
        <f>SUM(I38/H38*100)</f>
        <v>25.00061493051285</v>
      </c>
    </row>
    <row r="39" spans="1:17" ht="25.5" customHeight="1" x14ac:dyDescent="0.25">
      <c r="A39" s="1" t="s">
        <v>138</v>
      </c>
      <c r="B39" s="4" t="s">
        <v>43</v>
      </c>
      <c r="C39" s="1" t="s">
        <v>51</v>
      </c>
      <c r="D39" s="1" t="s">
        <v>52</v>
      </c>
      <c r="E39" s="1" t="s">
        <v>230</v>
      </c>
      <c r="F39" s="1" t="s">
        <v>65</v>
      </c>
      <c r="G39" s="5" t="s">
        <v>223</v>
      </c>
      <c r="H39" s="6">
        <v>331.27</v>
      </c>
      <c r="I39" s="6">
        <v>82.82</v>
      </c>
      <c r="J39" s="1" t="s">
        <v>66</v>
      </c>
      <c r="K39" s="26">
        <v>8814784</v>
      </c>
      <c r="L39" s="7">
        <v>45890</v>
      </c>
      <c r="M39" s="7">
        <v>46009</v>
      </c>
      <c r="N39" s="9">
        <v>120</v>
      </c>
      <c r="O39" s="1" t="s">
        <v>229</v>
      </c>
      <c r="P39" s="8" t="s">
        <v>243</v>
      </c>
      <c r="Q39" s="36">
        <f>SUM(I39/H39*100)</f>
        <v>25.000754671416065</v>
      </c>
    </row>
    <row r="40" spans="1:17" ht="25.5" customHeight="1" x14ac:dyDescent="0.25">
      <c r="A40" s="1" t="s">
        <v>138</v>
      </c>
      <c r="B40" s="4" t="s">
        <v>43</v>
      </c>
      <c r="C40" s="1" t="s">
        <v>51</v>
      </c>
      <c r="D40" s="1" t="s">
        <v>52</v>
      </c>
      <c r="E40" s="1" t="s">
        <v>233</v>
      </c>
      <c r="F40" s="1" t="s">
        <v>232</v>
      </c>
      <c r="G40" s="5" t="s">
        <v>218</v>
      </c>
      <c r="H40" s="6">
        <v>606.54</v>
      </c>
      <c r="I40" s="6">
        <v>151.63999999999999</v>
      </c>
      <c r="J40" s="1" t="s">
        <v>93</v>
      </c>
      <c r="K40" s="26">
        <v>17425766</v>
      </c>
      <c r="L40" s="7">
        <v>45827</v>
      </c>
      <c r="M40" s="8"/>
      <c r="N40" s="9">
        <v>364</v>
      </c>
      <c r="O40" s="1" t="s">
        <v>231</v>
      </c>
      <c r="P40" s="8" t="s">
        <v>243</v>
      </c>
      <c r="Q40" s="36">
        <f>SUM(I40/H40*100)</f>
        <v>25.000824347940775</v>
      </c>
    </row>
    <row r="41" spans="1:17" ht="25.5" customHeight="1" x14ac:dyDescent="0.25">
      <c r="A41" s="1" t="s">
        <v>138</v>
      </c>
      <c r="B41" s="4" t="s">
        <v>43</v>
      </c>
      <c r="C41" s="1" t="s">
        <v>89</v>
      </c>
      <c r="D41" s="1" t="s">
        <v>45</v>
      </c>
      <c r="E41" s="1" t="s">
        <v>168</v>
      </c>
      <c r="F41" s="1" t="s">
        <v>167</v>
      </c>
      <c r="G41" s="5" t="s">
        <v>166</v>
      </c>
      <c r="H41" s="6">
        <v>271.27</v>
      </c>
      <c r="I41" s="6">
        <v>67.819999999999993</v>
      </c>
      <c r="J41" s="1" t="s">
        <v>161</v>
      </c>
      <c r="K41" s="26">
        <v>19681796</v>
      </c>
      <c r="L41" s="7">
        <v>45810</v>
      </c>
      <c r="M41" s="7">
        <v>45931</v>
      </c>
      <c r="N41" s="9">
        <v>122</v>
      </c>
      <c r="O41" s="1" t="s">
        <v>165</v>
      </c>
      <c r="P41" s="8" t="s">
        <v>243</v>
      </c>
      <c r="Q41" s="36">
        <f>SUM(I41/H41*100)</f>
        <v>25.000921591034764</v>
      </c>
    </row>
    <row r="42" spans="1:17" ht="25.5" customHeight="1" x14ac:dyDescent="0.25">
      <c r="A42" s="1" t="s">
        <v>138</v>
      </c>
      <c r="B42" s="4" t="s">
        <v>43</v>
      </c>
      <c r="C42" s="1" t="s">
        <v>51</v>
      </c>
      <c r="D42" s="1" t="s">
        <v>52</v>
      </c>
      <c r="E42" s="1" t="s">
        <v>179</v>
      </c>
      <c r="F42" s="1" t="s">
        <v>178</v>
      </c>
      <c r="G42" s="5" t="s">
        <v>10</v>
      </c>
      <c r="H42" s="6">
        <v>532.38</v>
      </c>
      <c r="I42" s="6">
        <v>133.1</v>
      </c>
      <c r="J42" s="1" t="s">
        <v>49</v>
      </c>
      <c r="K42" s="26">
        <v>18581063</v>
      </c>
      <c r="L42" s="7">
        <v>45870</v>
      </c>
      <c r="M42" s="7">
        <v>45989</v>
      </c>
      <c r="N42" s="9">
        <v>120</v>
      </c>
      <c r="O42" s="1" t="s">
        <v>177</v>
      </c>
      <c r="P42" s="8" t="s">
        <v>243</v>
      </c>
      <c r="Q42" s="36">
        <f>SUM(I42/H42*100)</f>
        <v>25.000939178782073</v>
      </c>
    </row>
    <row r="43" spans="1:17" ht="25.5" customHeight="1" x14ac:dyDescent="0.25">
      <c r="A43" s="1" t="s">
        <v>138</v>
      </c>
      <c r="B43" s="4" t="s">
        <v>43</v>
      </c>
      <c r="C43" s="1" t="s">
        <v>89</v>
      </c>
      <c r="D43" s="1" t="s">
        <v>45</v>
      </c>
      <c r="E43" s="1" t="s">
        <v>146</v>
      </c>
      <c r="F43" s="1" t="s">
        <v>145</v>
      </c>
      <c r="G43" s="5" t="s">
        <v>10</v>
      </c>
      <c r="H43" s="6">
        <v>214.63</v>
      </c>
      <c r="I43" s="6">
        <v>53.66</v>
      </c>
      <c r="J43" s="1" t="s">
        <v>144</v>
      </c>
      <c r="K43" s="26">
        <v>16509456</v>
      </c>
      <c r="L43" s="7">
        <v>45839</v>
      </c>
      <c r="M43" s="7">
        <v>45961</v>
      </c>
      <c r="N43" s="9">
        <v>123</v>
      </c>
      <c r="O43" s="1" t="s">
        <v>143</v>
      </c>
      <c r="P43" s="8" t="s">
        <v>243</v>
      </c>
      <c r="Q43" s="36">
        <f>SUM(I43/H43*100)</f>
        <v>25.001164795228998</v>
      </c>
    </row>
    <row r="44" spans="1:17" ht="25.5" customHeight="1" x14ac:dyDescent="0.25">
      <c r="A44" s="1" t="s">
        <v>138</v>
      </c>
      <c r="B44" s="4" t="s">
        <v>43</v>
      </c>
      <c r="C44" s="1" t="s">
        <v>89</v>
      </c>
      <c r="D44" s="1" t="s">
        <v>45</v>
      </c>
      <c r="E44" s="1" t="s">
        <v>191</v>
      </c>
      <c r="F44" s="1" t="s">
        <v>190</v>
      </c>
      <c r="G44" s="5" t="s">
        <v>189</v>
      </c>
      <c r="H44" s="6">
        <v>373.58</v>
      </c>
      <c r="I44" s="6">
        <v>93.4</v>
      </c>
      <c r="J44" s="1" t="s">
        <v>188</v>
      </c>
      <c r="K44" s="26">
        <v>8971826</v>
      </c>
      <c r="L44" s="7">
        <v>45876</v>
      </c>
      <c r="M44" s="7">
        <v>45997</v>
      </c>
      <c r="N44" s="9">
        <v>122</v>
      </c>
      <c r="O44" s="1" t="s">
        <v>187</v>
      </c>
      <c r="P44" s="8" t="s">
        <v>243</v>
      </c>
      <c r="Q44" s="36">
        <f>SUM(I44/H44*100)</f>
        <v>25.001338401413353</v>
      </c>
    </row>
    <row r="45" spans="1:17" ht="25.5" customHeight="1" x14ac:dyDescent="0.25">
      <c r="A45" s="1" t="s">
        <v>42</v>
      </c>
      <c r="B45" s="4" t="s">
        <v>43</v>
      </c>
      <c r="C45" s="1" t="s">
        <v>62</v>
      </c>
      <c r="D45" s="1" t="s">
        <v>63</v>
      </c>
      <c r="E45" s="1" t="s">
        <v>98</v>
      </c>
      <c r="F45" s="1" t="s">
        <v>99</v>
      </c>
      <c r="G45" s="5" t="s">
        <v>100</v>
      </c>
      <c r="H45" s="6">
        <v>342.5</v>
      </c>
      <c r="I45" s="6">
        <v>85.63</v>
      </c>
      <c r="J45" s="1" t="s">
        <v>101</v>
      </c>
      <c r="K45" s="26">
        <v>8977234</v>
      </c>
      <c r="L45" s="7">
        <v>45839</v>
      </c>
      <c r="M45" s="7">
        <v>45961</v>
      </c>
      <c r="N45" s="9">
        <v>123</v>
      </c>
      <c r="O45" s="1" t="s">
        <v>102</v>
      </c>
      <c r="P45" s="8" t="s">
        <v>243</v>
      </c>
      <c r="Q45" s="36">
        <f>SUM(I45/H45*100)</f>
        <v>25.001459854014595</v>
      </c>
    </row>
    <row r="46" spans="1:17" ht="25.5" customHeight="1" x14ac:dyDescent="0.25">
      <c r="A46" s="1" t="s">
        <v>138</v>
      </c>
      <c r="B46" s="4" t="s">
        <v>43</v>
      </c>
      <c r="C46" s="1" t="s">
        <v>62</v>
      </c>
      <c r="D46" s="1" t="s">
        <v>63</v>
      </c>
      <c r="E46" s="1" t="s">
        <v>98</v>
      </c>
      <c r="F46" s="1" t="s">
        <v>99</v>
      </c>
      <c r="G46" s="5" t="s">
        <v>10</v>
      </c>
      <c r="H46" s="6">
        <v>342.5</v>
      </c>
      <c r="I46" s="6">
        <v>85.63</v>
      </c>
      <c r="J46" s="1" t="s">
        <v>101</v>
      </c>
      <c r="K46" s="26">
        <v>8977234</v>
      </c>
      <c r="L46" s="7">
        <v>45839</v>
      </c>
      <c r="M46" s="7">
        <v>45961</v>
      </c>
      <c r="N46" s="9">
        <v>123</v>
      </c>
      <c r="O46" s="1" t="s">
        <v>102</v>
      </c>
      <c r="P46" s="8" t="s">
        <v>243</v>
      </c>
      <c r="Q46" s="36">
        <f>SUM(I46/H46*100)</f>
        <v>25.001459854014595</v>
      </c>
    </row>
    <row r="47" spans="1:17" ht="25.5" customHeight="1" x14ac:dyDescent="0.25">
      <c r="A47" s="1" t="s">
        <v>42</v>
      </c>
      <c r="B47" s="4" t="s">
        <v>43</v>
      </c>
      <c r="C47" s="1" t="s">
        <v>51</v>
      </c>
      <c r="D47" s="1" t="s">
        <v>52</v>
      </c>
      <c r="E47" s="1" t="s">
        <v>125</v>
      </c>
      <c r="F47" s="1" t="s">
        <v>126</v>
      </c>
      <c r="G47" s="5" t="s">
        <v>10</v>
      </c>
      <c r="H47" s="6">
        <v>451.49</v>
      </c>
      <c r="I47" s="6">
        <v>112.88</v>
      </c>
      <c r="J47" s="1" t="s">
        <v>127</v>
      </c>
      <c r="K47" s="26">
        <v>19396223</v>
      </c>
      <c r="L47" s="7">
        <v>45870</v>
      </c>
      <c r="M47" s="7">
        <v>45991</v>
      </c>
      <c r="N47" s="9">
        <v>122</v>
      </c>
      <c r="O47" s="1" t="s">
        <v>128</v>
      </c>
      <c r="P47" s="8" t="s">
        <v>243</v>
      </c>
      <c r="Q47" s="36">
        <f>SUM(I47/H47*100)</f>
        <v>25.001661166360272</v>
      </c>
    </row>
    <row r="48" spans="1:17" ht="25.5" customHeight="1" x14ac:dyDescent="0.25">
      <c r="A48" s="1" t="s">
        <v>42</v>
      </c>
      <c r="B48" s="4" t="s">
        <v>43</v>
      </c>
      <c r="C48" s="1" t="s">
        <v>51</v>
      </c>
      <c r="D48" s="1" t="s">
        <v>52</v>
      </c>
      <c r="E48" s="1" t="s">
        <v>83</v>
      </c>
      <c r="F48" s="1" t="s">
        <v>84</v>
      </c>
      <c r="G48" s="5" t="s">
        <v>85</v>
      </c>
      <c r="H48" s="6">
        <v>-107.39</v>
      </c>
      <c r="I48" s="6">
        <v>-26.85</v>
      </c>
      <c r="J48" s="1" t="s">
        <v>49</v>
      </c>
      <c r="K48" s="26">
        <v>18581063</v>
      </c>
      <c r="L48" s="7">
        <v>45792</v>
      </c>
      <c r="M48" s="7">
        <v>45791</v>
      </c>
      <c r="N48" s="9">
        <v>123</v>
      </c>
      <c r="O48" s="1" t="s">
        <v>86</v>
      </c>
      <c r="P48" s="8" t="s">
        <v>243</v>
      </c>
      <c r="Q48" s="36">
        <f>SUM(I48/H48*100)</f>
        <v>25.002327963497535</v>
      </c>
    </row>
    <row r="49" spans="1:17" ht="25.5" customHeight="1" x14ac:dyDescent="0.25">
      <c r="A49" s="1" t="s">
        <v>42</v>
      </c>
      <c r="B49" s="4" t="s">
        <v>43</v>
      </c>
      <c r="C49" s="1" t="s">
        <v>51</v>
      </c>
      <c r="D49" s="1" t="s">
        <v>52</v>
      </c>
      <c r="E49" s="1" t="s">
        <v>83</v>
      </c>
      <c r="F49" s="1" t="s">
        <v>84</v>
      </c>
      <c r="G49" s="5" t="s">
        <v>87</v>
      </c>
      <c r="H49" s="6">
        <v>-107.39</v>
      </c>
      <c r="I49" s="6">
        <v>-26.85</v>
      </c>
      <c r="J49" s="1" t="s">
        <v>49</v>
      </c>
      <c r="K49" s="26">
        <v>18581063</v>
      </c>
      <c r="L49" s="7">
        <v>45792</v>
      </c>
      <c r="M49" s="7">
        <v>45791</v>
      </c>
      <c r="N49" s="9">
        <v>123</v>
      </c>
      <c r="O49" s="1" t="s">
        <v>86</v>
      </c>
      <c r="P49" s="8" t="s">
        <v>243</v>
      </c>
      <c r="Q49" s="36">
        <f>SUM(I49/H49*100)</f>
        <v>25.002327963497535</v>
      </c>
    </row>
    <row r="50" spans="1:17" ht="25.5" customHeight="1" x14ac:dyDescent="0.25">
      <c r="A50" s="1" t="s">
        <v>42</v>
      </c>
      <c r="B50" s="4" t="s">
        <v>43</v>
      </c>
      <c r="C50" s="1" t="s">
        <v>51</v>
      </c>
      <c r="D50" s="1" t="s">
        <v>52</v>
      </c>
      <c r="E50" s="1" t="s">
        <v>83</v>
      </c>
      <c r="F50" s="1" t="s">
        <v>84</v>
      </c>
      <c r="G50" s="5" t="s">
        <v>88</v>
      </c>
      <c r="H50" s="6">
        <v>-107.39</v>
      </c>
      <c r="I50" s="6">
        <v>-26.85</v>
      </c>
      <c r="J50" s="1" t="s">
        <v>49</v>
      </c>
      <c r="K50" s="26">
        <v>18581063</v>
      </c>
      <c r="L50" s="7">
        <v>45792</v>
      </c>
      <c r="M50" s="7">
        <v>45791</v>
      </c>
      <c r="N50" s="9">
        <v>123</v>
      </c>
      <c r="O50" s="1" t="s">
        <v>86</v>
      </c>
      <c r="P50" s="8" t="s">
        <v>243</v>
      </c>
      <c r="Q50" s="36">
        <f>SUM(I50/H50*100)</f>
        <v>25.002327963497535</v>
      </c>
    </row>
    <row r="51" spans="1:17" ht="25.5" customHeight="1" x14ac:dyDescent="0.25">
      <c r="A51" s="1" t="s">
        <v>42</v>
      </c>
      <c r="B51" s="4" t="s">
        <v>43</v>
      </c>
      <c r="C51" s="1" t="s">
        <v>51</v>
      </c>
      <c r="D51" s="1" t="s">
        <v>52</v>
      </c>
      <c r="E51" s="1" t="s">
        <v>109</v>
      </c>
      <c r="F51" s="1" t="s">
        <v>110</v>
      </c>
      <c r="G51" s="5" t="s">
        <v>111</v>
      </c>
      <c r="H51" s="6">
        <v>104.11</v>
      </c>
      <c r="I51" s="6">
        <v>26.03</v>
      </c>
      <c r="J51" s="1" t="s">
        <v>93</v>
      </c>
      <c r="K51" s="26">
        <v>17425766</v>
      </c>
      <c r="L51" s="7">
        <v>45835</v>
      </c>
      <c r="M51" s="7">
        <v>45956</v>
      </c>
      <c r="N51" s="9">
        <v>122</v>
      </c>
      <c r="O51" s="1" t="s">
        <v>112</v>
      </c>
      <c r="P51" s="8" t="s">
        <v>243</v>
      </c>
      <c r="Q51" s="36">
        <f>SUM(I51/H51*100)</f>
        <v>25.002401306310635</v>
      </c>
    </row>
    <row r="52" spans="1:17" ht="25.5" customHeight="1" x14ac:dyDescent="0.25">
      <c r="A52" s="1" t="s">
        <v>42</v>
      </c>
      <c r="B52" s="4" t="s">
        <v>43</v>
      </c>
      <c r="C52" s="1" t="s">
        <v>51</v>
      </c>
      <c r="D52" s="1" t="s">
        <v>52</v>
      </c>
      <c r="E52" s="1" t="s">
        <v>109</v>
      </c>
      <c r="F52" s="1" t="s">
        <v>110</v>
      </c>
      <c r="G52" s="5" t="s">
        <v>80</v>
      </c>
      <c r="H52" s="6">
        <v>104.11</v>
      </c>
      <c r="I52" s="6">
        <v>26.03</v>
      </c>
      <c r="J52" s="1" t="s">
        <v>93</v>
      </c>
      <c r="K52" s="26">
        <v>17425766</v>
      </c>
      <c r="L52" s="7">
        <v>45835</v>
      </c>
      <c r="M52" s="7">
        <v>45956</v>
      </c>
      <c r="N52" s="9">
        <v>122</v>
      </c>
      <c r="O52" s="1" t="s">
        <v>112</v>
      </c>
      <c r="P52" s="8" t="s">
        <v>243</v>
      </c>
      <c r="Q52" s="36">
        <f>SUM(I52/H52*100)</f>
        <v>25.002401306310635</v>
      </c>
    </row>
    <row r="53" spans="1:17" ht="25.5" customHeight="1" x14ac:dyDescent="0.25">
      <c r="A53" s="1" t="s">
        <v>42</v>
      </c>
      <c r="B53" s="4" t="s">
        <v>43</v>
      </c>
      <c r="C53" s="1" t="s">
        <v>89</v>
      </c>
      <c r="D53" s="1" t="s">
        <v>45</v>
      </c>
      <c r="E53" s="1" t="s">
        <v>90</v>
      </c>
      <c r="F53" s="1" t="s">
        <v>91</v>
      </c>
      <c r="G53" s="5" t="s">
        <v>92</v>
      </c>
      <c r="H53" s="6">
        <v>77.55</v>
      </c>
      <c r="I53" s="6">
        <v>19.39</v>
      </c>
      <c r="J53" s="1" t="s">
        <v>93</v>
      </c>
      <c r="K53" s="26">
        <v>17425766</v>
      </c>
      <c r="L53" s="7">
        <v>45801</v>
      </c>
      <c r="M53" s="7">
        <v>45923</v>
      </c>
      <c r="N53" s="9">
        <v>123</v>
      </c>
      <c r="O53" s="1" t="s">
        <v>94</v>
      </c>
      <c r="P53" s="8" t="s">
        <v>243</v>
      </c>
      <c r="Q53" s="36">
        <f>SUM(I53/H53*100)</f>
        <v>25.003223726627983</v>
      </c>
    </row>
    <row r="54" spans="1:17" ht="25.5" customHeight="1" x14ac:dyDescent="0.25">
      <c r="A54" s="1" t="s">
        <v>138</v>
      </c>
      <c r="B54" s="4" t="s">
        <v>43</v>
      </c>
      <c r="C54" s="1" t="s">
        <v>51</v>
      </c>
      <c r="D54" s="1" t="s">
        <v>52</v>
      </c>
      <c r="E54" s="1" t="s">
        <v>142</v>
      </c>
      <c r="F54" s="1" t="s">
        <v>141</v>
      </c>
      <c r="G54" s="5" t="s">
        <v>139</v>
      </c>
      <c r="H54" s="6">
        <v>74.75</v>
      </c>
      <c r="I54" s="6">
        <v>18.690000000000001</v>
      </c>
      <c r="J54" s="1" t="s">
        <v>76</v>
      </c>
      <c r="K54" s="26">
        <v>18754354</v>
      </c>
      <c r="L54" s="7">
        <v>45841</v>
      </c>
      <c r="M54" s="7">
        <v>45963</v>
      </c>
      <c r="N54" s="9">
        <v>123</v>
      </c>
      <c r="O54" s="1" t="s">
        <v>140</v>
      </c>
      <c r="P54" s="8" t="s">
        <v>243</v>
      </c>
      <c r="Q54" s="36">
        <f>SUM(I54/H54*100)</f>
        <v>25.003344481605357</v>
      </c>
    </row>
    <row r="55" spans="1:17" ht="25.5" customHeight="1" x14ac:dyDescent="0.25">
      <c r="A55" s="1" t="s">
        <v>42</v>
      </c>
      <c r="B55" s="4" t="s">
        <v>43</v>
      </c>
      <c r="C55" s="1" t="s">
        <v>51</v>
      </c>
      <c r="D55" s="1" t="s">
        <v>52</v>
      </c>
      <c r="E55" s="1" t="s">
        <v>121</v>
      </c>
      <c r="F55" s="1" t="s">
        <v>122</v>
      </c>
      <c r="G55" s="5" t="s">
        <v>123</v>
      </c>
      <c r="H55" s="6">
        <v>117.06</v>
      </c>
      <c r="I55" s="6">
        <v>29.27</v>
      </c>
      <c r="J55" s="1" t="s">
        <v>93</v>
      </c>
      <c r="K55" s="26">
        <v>17425766</v>
      </c>
      <c r="L55" s="7">
        <v>45847</v>
      </c>
      <c r="M55" s="7">
        <v>45969</v>
      </c>
      <c r="N55" s="9">
        <v>123</v>
      </c>
      <c r="O55" s="1" t="s">
        <v>124</v>
      </c>
      <c r="P55" s="8" t="s">
        <v>243</v>
      </c>
      <c r="Q55" s="36">
        <f>SUM(I55/H55*100)</f>
        <v>25.00427131385614</v>
      </c>
    </row>
    <row r="56" spans="1:17" ht="25.5" customHeight="1" x14ac:dyDescent="0.25">
      <c r="A56" s="1" t="s">
        <v>138</v>
      </c>
      <c r="B56" s="4" t="s">
        <v>43</v>
      </c>
      <c r="C56" s="1" t="s">
        <v>51</v>
      </c>
      <c r="D56" s="1" t="s">
        <v>52</v>
      </c>
      <c r="E56" s="1" t="s">
        <v>121</v>
      </c>
      <c r="F56" s="1" t="s">
        <v>122</v>
      </c>
      <c r="G56" s="5" t="s">
        <v>199</v>
      </c>
      <c r="H56" s="6">
        <v>117.06</v>
      </c>
      <c r="I56" s="6">
        <v>29.27</v>
      </c>
      <c r="J56" s="1" t="s">
        <v>93</v>
      </c>
      <c r="K56" s="26">
        <v>17425766</v>
      </c>
      <c r="L56" s="7">
        <v>45847</v>
      </c>
      <c r="M56" s="7">
        <v>45969</v>
      </c>
      <c r="N56" s="9">
        <v>123</v>
      </c>
      <c r="O56" s="1" t="s">
        <v>124</v>
      </c>
      <c r="P56" s="8" t="s">
        <v>243</v>
      </c>
      <c r="Q56" s="36">
        <f>SUM(I56/H56*100)</f>
        <v>25.00427131385614</v>
      </c>
    </row>
    <row r="57" spans="1:17" ht="25.5" customHeight="1" x14ac:dyDescent="0.25">
      <c r="A57" s="1" t="s">
        <v>138</v>
      </c>
      <c r="B57" s="4" t="s">
        <v>43</v>
      </c>
      <c r="C57" s="1" t="s">
        <v>89</v>
      </c>
      <c r="D57" s="1" t="s">
        <v>45</v>
      </c>
      <c r="E57" s="1" t="s">
        <v>220</v>
      </c>
      <c r="F57" s="1" t="s">
        <v>219</v>
      </c>
      <c r="G57" s="5" t="s">
        <v>218</v>
      </c>
      <c r="H57" s="6">
        <v>38.299999999999997</v>
      </c>
      <c r="I57" s="6">
        <v>9.58</v>
      </c>
      <c r="J57" s="1" t="s">
        <v>131</v>
      </c>
      <c r="K57" s="26">
        <v>17528908</v>
      </c>
      <c r="L57" s="7">
        <v>45857</v>
      </c>
      <c r="M57" s="7">
        <v>45979</v>
      </c>
      <c r="N57" s="9">
        <v>123</v>
      </c>
      <c r="O57" s="1" t="s">
        <v>217</v>
      </c>
      <c r="P57" s="8" t="s">
        <v>243</v>
      </c>
      <c r="Q57" s="36">
        <f>SUM(I57/H57*100)</f>
        <v>25.013054830287206</v>
      </c>
    </row>
    <row r="58" spans="1:17" ht="25.5" customHeight="1" x14ac:dyDescent="0.25">
      <c r="A58" s="10" t="s">
        <v>4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36"/>
    </row>
    <row r="59" spans="1:17" ht="25.5" customHeight="1" x14ac:dyDescent="0.25">
      <c r="A59" s="10" t="s">
        <v>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36"/>
    </row>
    <row r="60" spans="1:17" ht="25.5" customHeight="1" x14ac:dyDescent="0.25">
      <c r="A60" s="10" t="s">
        <v>4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36"/>
    </row>
  </sheetData>
  <autoFilter ref="A1:Q60" xr:uid="{BF104C7F-D895-40F1-8CF8-D0BF057A4D64}">
    <sortState xmlns:xlrd2="http://schemas.microsoft.com/office/spreadsheetml/2017/richdata2" ref="A2:Q60">
      <sortCondition ref="Q1:Q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Cover_Page</vt:lpstr>
      <vt:lpstr>Details</vt:lpstr>
      <vt:lpstr>clean sheet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2025-08-01T22:00:39Z</dcterms:created>
  <dcterms:modified xsi:type="dcterms:W3CDTF">2025-09-04T14:08:22Z</dcterms:modified>
</cp:coreProperties>
</file>