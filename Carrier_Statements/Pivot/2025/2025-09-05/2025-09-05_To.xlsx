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8DC92E-5376-4640-8744-6DC9F70271F2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Cover_Page" sheetId="1" r:id="rId1"/>
    <sheet name="9-5-25" sheetId="3" r:id="rId2"/>
    <sheet name="9-8-25" sheetId="2" r:id="rId3"/>
    <sheet name="clean sheet" sheetId="4" r:id="rId4"/>
  </sheets>
  <definedNames>
    <definedName name="_xlnm._FilterDatabase" localSheetId="3" hidden="1">'clean sheet'!$A$1:$Q$27</definedName>
    <definedName name="page\x2dtotal">'9-8-25'!$A$24</definedName>
    <definedName name="page\x2dtotal\x2dmaster0">'9-8-25'!$A$24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" i="4"/>
</calcChain>
</file>

<file path=xl/sharedStrings.xml><?xml version="1.0" encoding="utf-8"?>
<sst xmlns="http://schemas.openxmlformats.org/spreadsheetml/2006/main" count="589" uniqueCount="164">
  <si>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</si>
  <si>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</si>
  <si>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</si>
  <si>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</si>
  <si>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</si>
  <si>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</si>
  <si>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232 E King St</t>
  </si>
  <si>
    <t xml:space="preserve">Malvern, PA  19355 </t>
  </si>
  <si>
    <t>Year To Date Commissions Paid: $37,754.91</t>
  </si>
  <si>
    <t>Statement Date</t>
  </si>
  <si>
    <t>09-08-2025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</si>
  <si>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</si>
  <si>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</si>
  <si>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</si>
  <si>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</si>
  <si>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</si>
  <si>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</si>
  <si>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</si>
  <si>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</si>
  <si>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</si>
  <si>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</si>
  <si>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</si>
  <si>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</si>
  <si>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</si>
  <si>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</si>
  <si>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</si>
  <si>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</si>
  <si>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</si>
  <si>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</si>
  <si>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</si>
  <si>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</si>
  <si>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</si>
  <si>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</si>
  <si>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</si>
  <si>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</si>
  <si>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</si>
  <si>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</si>
  <si>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</si>
  <si>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</si>
  <si>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</si>
  <si>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</si>
  <si>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</si>
  <si>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09-2025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</si>
  <si>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</si>
  <si>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IDEN-01-PPO</t>
  </si>
  <si>
    <t>Renaissance</t>
  </si>
  <si>
    <t>194510-0-1</t>
  </si>
  <si>
    <t>Avila Ortiz, Orlando</t>
  </si>
  <si>
    <t>09-01-2025</t>
  </si>
  <si>
    <t>Dale Walenga</t>
  </si>
  <si>
    <t>ISTM-22-RB2</t>
  </si>
  <si>
    <t>Companion Life</t>
  </si>
  <si>
    <t>610945-2-1</t>
  </si>
  <si>
    <t>Fullerton, Jeffry</t>
  </si>
  <si>
    <t>Timothy Hodgman</t>
  </si>
  <si>
    <t>P0753058</t>
  </si>
  <si>
    <t>616606-1-1</t>
  </si>
  <si>
    <t>Cece, Saverio</t>
  </si>
  <si>
    <t>09-04-2025</t>
  </si>
  <si>
    <t>Colleen Finnigan</t>
  </si>
  <si>
    <t>P0761656</t>
  </si>
  <si>
    <t>ISTM.MM-12-RB2</t>
  </si>
  <si>
    <t>North River</t>
  </si>
  <si>
    <t>616787-1-1</t>
  </si>
  <si>
    <t>Keivan, Robert</t>
  </si>
  <si>
    <t>09-02-2025</t>
  </si>
  <si>
    <t>Chris Taugner</t>
  </si>
  <si>
    <t>P0761444</t>
  </si>
  <si>
    <t>620740-1-1</t>
  </si>
  <si>
    <t>Mills, Jane</t>
  </si>
  <si>
    <t>Lori Tunstall</t>
  </si>
  <si>
    <t>P0767077</t>
  </si>
  <si>
    <t>ISTM-25-RBP</t>
  </si>
  <si>
    <t>Pan-American Life</t>
  </si>
  <si>
    <t>625199-0-1</t>
  </si>
  <si>
    <t>Callozzo, Janis</t>
  </si>
  <si>
    <t>P0773346</t>
  </si>
  <si>
    <t>627574-0-1</t>
  </si>
  <si>
    <t>Foley, Gerald</t>
  </si>
  <si>
    <t>08-29-2025</t>
  </si>
  <si>
    <t>Carol Foley</t>
  </si>
  <si>
    <t>P0776784</t>
  </si>
  <si>
    <t>628086-0-1</t>
  </si>
  <si>
    <t>Ferreira, Lara</t>
  </si>
  <si>
    <t>P0777509</t>
  </si>
  <si>
    <t>628930-0-1</t>
  </si>
  <si>
    <t>Vollmer, Gene</t>
  </si>
  <si>
    <t>Ryan Caltagirone</t>
  </si>
  <si>
    <t>P0778699</t>
  </si>
  <si>
    <t>630948-0-1</t>
  </si>
  <si>
    <t>Monckton, Marilyn</t>
  </si>
  <si>
    <t>Wesley Ellis</t>
  </si>
  <si>
    <t>P0781577</t>
  </si>
  <si>
    <t>631738-0-1</t>
  </si>
  <si>
    <t>Spitzer, Thomas</t>
  </si>
  <si>
    <t>Peter Richter</t>
  </si>
  <si>
    <t>P0782694</t>
  </si>
  <si>
    <t>631781-0-1</t>
  </si>
  <si>
    <t>Stemko, Theresa</t>
  </si>
  <si>
    <t>P0782761</t>
  </si>
  <si>
    <t>ISTM.MM-12-PPO</t>
  </si>
  <si>
    <t>632219-0-1</t>
  </si>
  <si>
    <t>Lopes, Betty</t>
  </si>
  <si>
    <t>09-03-2025</t>
  </si>
  <si>
    <t>P0783378</t>
  </si>
  <si>
    <t>632236-0-1</t>
  </si>
  <si>
    <t>Fonseca Moreno, Nickolas</t>
  </si>
  <si>
    <t>Jacob Yale</t>
  </si>
  <si>
    <t>P0783401</t>
  </si>
  <si>
    <t>632292-0-1</t>
  </si>
  <si>
    <t>Edley Kenton, Robyne</t>
  </si>
  <si>
    <t>P0783487</t>
  </si>
  <si>
    <t>634079-0-1</t>
  </si>
  <si>
    <t>Woods, Thomas</t>
  </si>
  <si>
    <t>Saadia Abdul</t>
  </si>
  <si>
    <t>P0786072</t>
  </si>
  <si>
    <t>ISTM-23-PPO</t>
  </si>
  <si>
    <t>639958-0-1</t>
  </si>
  <si>
    <t>Hackbarth, Brian</t>
  </si>
  <si>
    <t>P0793829</t>
  </si>
  <si>
    <t>Totals</t>
  </si>
  <si>
    <t>08-2025</t>
  </si>
  <si>
    <t>602346-1-1</t>
  </si>
  <si>
    <t>Madden, James</t>
  </si>
  <si>
    <t>08-28-2025</t>
  </si>
  <si>
    <t>P0741384</t>
  </si>
  <si>
    <t>620761-1-1</t>
  </si>
  <si>
    <t>Louis, Anthony</t>
  </si>
  <si>
    <t>08-22-2025</t>
  </si>
  <si>
    <t>P0767111</t>
  </si>
  <si>
    <t>623754-1-1</t>
  </si>
  <si>
    <t>Lum, Wayland</t>
  </si>
  <si>
    <t>08-27-2025</t>
  </si>
  <si>
    <t>Barry Schumann</t>
  </si>
  <si>
    <t>P0771327</t>
  </si>
  <si>
    <t>626724-0-1</t>
  </si>
  <si>
    <t>Dellis, Louis</t>
  </si>
  <si>
    <t>08-21-2025</t>
  </si>
  <si>
    <t>Frank Liskovec</t>
  </si>
  <si>
    <t>P0775545</t>
  </si>
  <si>
    <t>627201-0-1</t>
  </si>
  <si>
    <t>Klein, Jeffrey</t>
  </si>
  <si>
    <t>08-24-2025</t>
  </si>
  <si>
    <t>P0776257</t>
  </si>
  <si>
    <t>631121-0-1</t>
  </si>
  <si>
    <t>Naidoo, Jiovani</t>
  </si>
  <si>
    <t>P0781824</t>
  </si>
  <si>
    <t>639002-0-1</t>
  </si>
  <si>
    <t>Lippolis, James</t>
  </si>
  <si>
    <t>08-19-2025</t>
  </si>
  <si>
    <t>P0792811</t>
  </si>
  <si>
    <t>639159-0-1</t>
  </si>
  <si>
    <t>Milas, Nicholas</t>
  </si>
  <si>
    <t>08-20-2025</t>
  </si>
  <si>
    <t>Deborah Inskipt</t>
  </si>
  <si>
    <t>P0792988</t>
  </si>
  <si>
    <t>639162-0-1</t>
  </si>
  <si>
    <t>Hibbard, Mathias</t>
  </si>
  <si>
    <t>P0792991</t>
  </si>
  <si>
    <t>percentage</t>
  </si>
  <si>
    <t>ST &amp; Bridge EX DE IA IN KS MI MS ND NE NH OH TN VA</t>
  </si>
  <si>
    <t>Pivot OVR</t>
  </si>
  <si>
    <t>Renaissance Dental</t>
  </si>
  <si>
    <t>8325282AV8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</si>
</sst>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2" xfId="0" applyNumberFormat="1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0" fontId="1" fillId="3" borderId="2" xfId="0" applyNumberFormat="1" applyFont="1" applyFill="1" applyBorder="1" applyAlignment="1">
      <alignment horizontal="lef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9" t="s">
        <v>0</v>
      </c>
      <c r="B1" s="19"/>
      <c r="C1" s="19"/>
      <c r="D1" s="19"/>
      <c r="E1" s="19"/>
      <c r="F1" s="19"/>
      <c r="G1" s="19"/>
    </row>
    <row r="4" spans="1:7" x14ac:dyDescent="0.25">
      <c r="A4" s="24" t="s">
        <v>1</v>
      </c>
      <c r="B4" s="24"/>
      <c r="C4" s="24"/>
      <c r="D4" s="24"/>
      <c r="E4" s="24"/>
      <c r="F4" s="24"/>
      <c r="G4" s="24"/>
    </row>
    <row r="5" spans="1:7" x14ac:dyDescent="0.25">
      <c r="A5" s="25" t="s">
        <v>2</v>
      </c>
      <c r="B5" s="25"/>
      <c r="C5" s="25"/>
      <c r="D5" s="25"/>
      <c r="E5" s="25"/>
      <c r="F5" s="25"/>
      <c r="G5" s="25"/>
    </row>
    <row r="6" spans="1:7" x14ac:dyDescent="0.25">
      <c r="A6" s="25" t="s">
        <v>3</v>
      </c>
      <c r="B6" s="25"/>
      <c r="C6" s="25"/>
      <c r="D6" s="25"/>
      <c r="E6" s="25"/>
      <c r="F6" s="25"/>
      <c r="G6" s="25"/>
    </row>
    <row r="7" spans="1:7" x14ac:dyDescent="0.25">
      <c r="A7" s="11" t="s">
        <v>4</v>
      </c>
      <c r="B7" s="11"/>
      <c r="C7" s="11"/>
      <c r="D7" s="11"/>
      <c r="E7" s="11"/>
      <c r="F7" s="11"/>
      <c r="G7" s="11"/>
    </row>
    <row r="8" spans="1:7" x14ac:dyDescent="0.25">
      <c r="A8" s="19" t="s">
        <v>5</v>
      </c>
      <c r="B8" s="19"/>
      <c r="C8" s="19"/>
      <c r="D8" s="19"/>
      <c r="E8" s="19"/>
      <c r="F8" s="19"/>
      <c r="G8" s="19"/>
    </row>
    <row r="9" spans="1:7" x14ac:dyDescent="0.25">
      <c r="A9" s="19" t="s">
        <v>6</v>
      </c>
      <c r="B9" s="19"/>
      <c r="C9" s="19"/>
      <c r="D9" s="19"/>
      <c r="E9" s="19"/>
      <c r="F9" s="19"/>
      <c r="G9" s="19"/>
    </row>
    <row r="10" spans="1:7" x14ac:dyDescent="0.25">
      <c r="A10" s="19" t="s">
        <v>7</v>
      </c>
      <c r="B10" s="19"/>
      <c r="C10" s="19"/>
      <c r="D10" s="19"/>
      <c r="E10" s="19"/>
      <c r="F10" s="19"/>
      <c r="G10" s="19"/>
    </row>
    <row r="11" spans="1:7" x14ac:dyDescent="0.25">
      <c r="A11" s="11" t="s">
        <v>4</v>
      </c>
      <c r="B11" s="11"/>
      <c r="C11" s="11"/>
      <c r="D11" s="11"/>
      <c r="E11" s="11"/>
      <c r="F11" s="11"/>
      <c r="G11" s="11"/>
    </row>
    <row r="12" spans="1:7" x14ac:dyDescent="0.25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25">
      <c r="A13" s="20" t="s">
        <v>11</v>
      </c>
      <c r="B13" s="20"/>
      <c r="C13" s="21" t="s">
        <v>4</v>
      </c>
      <c r="D13" s="22"/>
      <c r="E13" s="1" t="s">
        <v>12</v>
      </c>
      <c r="F13" s="2">
        <v>2495307</v>
      </c>
    </row>
    <row r="14" spans="1:7" x14ac:dyDescent="0.25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25">
      <c r="A15" s="11" t="s">
        <v>4</v>
      </c>
      <c r="B15" s="11"/>
      <c r="C15" s="11"/>
      <c r="D15" s="11"/>
      <c r="E15" s="11"/>
      <c r="F15" s="11"/>
      <c r="G15" s="11"/>
    </row>
    <row r="16" spans="1:7" x14ac:dyDescent="0.25">
      <c r="A16" s="19" t="s">
        <v>16</v>
      </c>
      <c r="B16" s="19"/>
      <c r="C16" s="19"/>
      <c r="D16" s="19"/>
      <c r="E16" s="19"/>
      <c r="F16" s="19"/>
      <c r="G16" s="19"/>
    </row>
    <row r="17" spans="1:7" x14ac:dyDescent="0.25">
      <c r="A17" s="11" t="s">
        <v>4</v>
      </c>
      <c r="B17" s="11"/>
      <c r="C17" s="11"/>
      <c r="D17" s="11"/>
      <c r="E17" s="11"/>
      <c r="F17" s="11"/>
      <c r="G17" s="11"/>
    </row>
    <row r="18" spans="1:7" x14ac:dyDescent="0.25">
      <c r="A18" s="19" t="s">
        <v>17</v>
      </c>
      <c r="B18" s="19"/>
      <c r="C18" s="19"/>
      <c r="D18" s="19"/>
      <c r="E18" s="19"/>
      <c r="F18" s="19"/>
      <c r="G18" s="19"/>
    </row>
    <row r="19" spans="1:7" x14ac:dyDescent="0.25">
      <c r="A19" s="11" t="s">
        <v>4</v>
      </c>
      <c r="B19" s="11"/>
      <c r="C19" s="11"/>
      <c r="D19" s="11"/>
      <c r="E19" s="11"/>
      <c r="F19" s="11"/>
      <c r="G19" s="11"/>
    </row>
    <row r="20" spans="1:7" x14ac:dyDescent="0.25">
      <c r="A20" s="11" t="s">
        <v>18</v>
      </c>
      <c r="B20" s="11"/>
      <c r="C20" s="11"/>
      <c r="D20" s="11"/>
      <c r="E20" s="11"/>
      <c r="F20" s="11"/>
      <c r="G20" s="11"/>
    </row>
    <row r="21" spans="1:7" x14ac:dyDescent="0.25">
      <c r="A21" s="11" t="s">
        <v>4</v>
      </c>
      <c r="B21" s="11"/>
      <c r="C21" s="11"/>
      <c r="D21" s="11"/>
      <c r="E21" s="11"/>
      <c r="F21" s="11"/>
      <c r="G21" s="11"/>
    </row>
    <row r="22" spans="1:7" x14ac:dyDescent="0.25">
      <c r="A22" s="16" t="s">
        <v>19</v>
      </c>
      <c r="B22" s="17"/>
      <c r="C22" s="18"/>
    </row>
    <row r="23" spans="1:7" x14ac:dyDescent="0.25">
      <c r="A23" s="1" t="s">
        <v>20</v>
      </c>
      <c r="B23" s="12">
        <v>420.17</v>
      </c>
      <c r="C23" s="13"/>
    </row>
    <row r="24" spans="1:7" x14ac:dyDescent="0.25">
      <c r="A24" s="1" t="s">
        <v>21</v>
      </c>
      <c r="B24" s="12">
        <v>420.17</v>
      </c>
      <c r="C24" s="13"/>
    </row>
    <row r="25" spans="1:7" x14ac:dyDescent="0.25">
      <c r="A25" s="1" t="s">
        <v>22</v>
      </c>
      <c r="B25" s="12">
        <v>0</v>
      </c>
      <c r="C25" s="13"/>
    </row>
    <row r="26" spans="1:7" x14ac:dyDescent="0.25">
      <c r="A26" s="1" t="s">
        <v>23</v>
      </c>
      <c r="B26" s="12">
        <v>1180.17</v>
      </c>
      <c r="C26" s="13"/>
    </row>
    <row r="27" spans="1:7" x14ac:dyDescent="0.25">
      <c r="A27" s="1" t="s">
        <v>24</v>
      </c>
      <c r="B27" s="12">
        <v>1180.17</v>
      </c>
      <c r="C27" s="13"/>
    </row>
    <row r="28" spans="1:7" x14ac:dyDescent="0.25">
      <c r="A28" s="1" t="s">
        <v>25</v>
      </c>
      <c r="B28" s="14" t="s">
        <v>26</v>
      </c>
      <c r="C28" s="15"/>
    </row>
    <row r="29" spans="1:7" x14ac:dyDescent="0.25">
      <c r="A29" s="11" t="s">
        <v>4</v>
      </c>
      <c r="B29" s="11"/>
      <c r="C29" s="11"/>
      <c r="D29" s="11"/>
      <c r="E29" s="11"/>
      <c r="F29" s="11"/>
      <c r="G29" s="11"/>
    </row>
    <row r="30" spans="1:7" x14ac:dyDescent="0.25">
      <c r="A30" s="11" t="s">
        <v>4</v>
      </c>
      <c r="B30" s="11"/>
      <c r="C30" s="11"/>
      <c r="D30" s="11"/>
      <c r="E30" s="11"/>
      <c r="F30" s="11"/>
      <c r="G30" s="11"/>
    </row>
    <row r="31" spans="1:7" x14ac:dyDescent="0.25">
      <c r="A31" s="11" t="s">
        <v>4</v>
      </c>
      <c r="B31" s="11"/>
      <c r="C31" s="11"/>
      <c r="D31" s="11"/>
      <c r="E31" s="11"/>
      <c r="F31" s="11"/>
      <c r="G31" s="11"/>
    </row>
    <row r="32" spans="1:7" x14ac:dyDescent="0.25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3109-BA4C-4A1D-AE47-52F3BE4C5261}">
  <dimension ref="A1:Q12"/>
  <sheetViews>
    <sheetView workbookViewId="0">
      <selection activeCell="A2" sqref="A2:XFD10"/>
    </sheetView>
  </sheetViews>
  <sheetFormatPr defaultRowHeight="15" x14ac:dyDescent="0.25"/>
  <cols>
    <col min="12" max="12" width="11.28515625" customWidth="1"/>
    <col min="13" max="13" width="10.7109375" customWidth="1"/>
  </cols>
  <sheetData>
    <row r="1" spans="1:17" ht="36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</row>
    <row r="2" spans="1:17" ht="25.5" x14ac:dyDescent="0.25">
      <c r="A2" s="1" t="s">
        <v>121</v>
      </c>
      <c r="B2" s="4" t="s">
        <v>43</v>
      </c>
      <c r="C2" s="1" t="s">
        <v>50</v>
      </c>
      <c r="D2" s="1" t="s">
        <v>51</v>
      </c>
      <c r="E2" s="1" t="s">
        <v>122</v>
      </c>
      <c r="F2" s="1" t="s">
        <v>123</v>
      </c>
      <c r="G2" s="5" t="s">
        <v>124</v>
      </c>
      <c r="H2" s="6">
        <v>747.39</v>
      </c>
      <c r="I2" s="6">
        <v>186.84</v>
      </c>
      <c r="J2" s="1" t="s">
        <v>54</v>
      </c>
      <c r="K2" s="26">
        <v>95788</v>
      </c>
      <c r="L2" s="7">
        <v>45897</v>
      </c>
      <c r="M2" s="8"/>
      <c r="N2" s="9">
        <v>180</v>
      </c>
      <c r="O2" s="1" t="s">
        <v>125</v>
      </c>
      <c r="P2" s="8"/>
    </row>
    <row r="3" spans="1:17" ht="25.5" x14ac:dyDescent="0.25">
      <c r="A3" s="1" t="s">
        <v>121</v>
      </c>
      <c r="B3" s="4" t="s">
        <v>43</v>
      </c>
      <c r="C3" s="1" t="s">
        <v>50</v>
      </c>
      <c r="D3" s="1" t="s">
        <v>51</v>
      </c>
      <c r="E3" s="1" t="s">
        <v>126</v>
      </c>
      <c r="F3" s="1" t="s">
        <v>127</v>
      </c>
      <c r="G3" s="5" t="s">
        <v>128</v>
      </c>
      <c r="H3" s="6">
        <v>121.25</v>
      </c>
      <c r="I3" s="6">
        <v>30.31</v>
      </c>
      <c r="J3" s="1" t="s">
        <v>107</v>
      </c>
      <c r="K3" s="26">
        <v>95760</v>
      </c>
      <c r="L3" s="7">
        <v>45860</v>
      </c>
      <c r="M3" s="7">
        <v>45982</v>
      </c>
      <c r="N3" s="9">
        <v>123</v>
      </c>
      <c r="O3" s="1" t="s">
        <v>129</v>
      </c>
      <c r="P3" s="8"/>
    </row>
    <row r="4" spans="1:17" ht="38.25" x14ac:dyDescent="0.25">
      <c r="A4" s="1" t="s">
        <v>121</v>
      </c>
      <c r="B4" s="4" t="s">
        <v>43</v>
      </c>
      <c r="C4" s="1" t="s">
        <v>61</v>
      </c>
      <c r="D4" s="1" t="s">
        <v>62</v>
      </c>
      <c r="E4" s="1" t="s">
        <v>130</v>
      </c>
      <c r="F4" s="1" t="s">
        <v>131</v>
      </c>
      <c r="G4" s="5" t="s">
        <v>132</v>
      </c>
      <c r="H4" s="6">
        <v>250.07</v>
      </c>
      <c r="I4" s="6">
        <v>62.52</v>
      </c>
      <c r="J4" s="1" t="s">
        <v>133</v>
      </c>
      <c r="K4" s="26">
        <v>95834</v>
      </c>
      <c r="L4" s="7">
        <v>45896</v>
      </c>
      <c r="M4" s="7">
        <v>46017</v>
      </c>
      <c r="N4" s="9">
        <v>122</v>
      </c>
      <c r="O4" s="1" t="s">
        <v>134</v>
      </c>
      <c r="P4" s="8"/>
    </row>
    <row r="5" spans="1:17" ht="25.5" x14ac:dyDescent="0.25">
      <c r="A5" s="1" t="s">
        <v>121</v>
      </c>
      <c r="B5" s="4" t="s">
        <v>43</v>
      </c>
      <c r="C5" s="1" t="s">
        <v>61</v>
      </c>
      <c r="D5" s="1" t="s">
        <v>62</v>
      </c>
      <c r="E5" s="1" t="s">
        <v>135</v>
      </c>
      <c r="F5" s="1" t="s">
        <v>136</v>
      </c>
      <c r="G5" s="5" t="s">
        <v>137</v>
      </c>
      <c r="H5" s="6">
        <v>-216.75</v>
      </c>
      <c r="I5" s="6">
        <v>-54.19</v>
      </c>
      <c r="J5" s="1" t="s">
        <v>138</v>
      </c>
      <c r="K5" s="26">
        <v>95755</v>
      </c>
      <c r="L5" s="7">
        <v>45798</v>
      </c>
      <c r="M5" s="7">
        <v>45900</v>
      </c>
      <c r="N5" s="9">
        <v>123</v>
      </c>
      <c r="O5" s="1" t="s">
        <v>139</v>
      </c>
      <c r="P5" s="8"/>
    </row>
    <row r="6" spans="1:17" ht="25.5" x14ac:dyDescent="0.25">
      <c r="A6" s="1" t="s">
        <v>121</v>
      </c>
      <c r="B6" s="4" t="s">
        <v>43</v>
      </c>
      <c r="C6" s="1" t="s">
        <v>61</v>
      </c>
      <c r="D6" s="1" t="s">
        <v>62</v>
      </c>
      <c r="E6" s="1" t="s">
        <v>140</v>
      </c>
      <c r="F6" s="1" t="s">
        <v>141</v>
      </c>
      <c r="G6" s="5" t="s">
        <v>142</v>
      </c>
      <c r="H6" s="6">
        <v>77.55</v>
      </c>
      <c r="I6" s="6">
        <v>19.39</v>
      </c>
      <c r="J6" s="1" t="s">
        <v>80</v>
      </c>
      <c r="K6" s="26">
        <v>81570</v>
      </c>
      <c r="L6" s="7">
        <v>45801</v>
      </c>
      <c r="M6" s="7">
        <v>45923</v>
      </c>
      <c r="N6" s="9">
        <v>123</v>
      </c>
      <c r="O6" s="1" t="s">
        <v>143</v>
      </c>
      <c r="P6" s="8"/>
    </row>
    <row r="7" spans="1:17" ht="25.5" x14ac:dyDescent="0.25">
      <c r="A7" s="1" t="s">
        <v>121</v>
      </c>
      <c r="B7" s="4" t="s">
        <v>43</v>
      </c>
      <c r="C7" s="1" t="s">
        <v>50</v>
      </c>
      <c r="D7" s="1" t="s">
        <v>51</v>
      </c>
      <c r="E7" s="1" t="s">
        <v>144</v>
      </c>
      <c r="F7" s="1" t="s">
        <v>145</v>
      </c>
      <c r="G7" s="5" t="s">
        <v>132</v>
      </c>
      <c r="H7" s="6">
        <v>104.11</v>
      </c>
      <c r="I7" s="6">
        <v>26.03</v>
      </c>
      <c r="J7" s="1" t="s">
        <v>80</v>
      </c>
      <c r="K7" s="26">
        <v>81570</v>
      </c>
      <c r="L7" s="7">
        <v>45835</v>
      </c>
      <c r="M7" s="7">
        <v>45956</v>
      </c>
      <c r="N7" s="9">
        <v>122</v>
      </c>
      <c r="O7" s="1" t="s">
        <v>146</v>
      </c>
      <c r="P7" s="8"/>
    </row>
    <row r="8" spans="1:17" ht="25.5" x14ac:dyDescent="0.25">
      <c r="A8" s="1" t="s">
        <v>121</v>
      </c>
      <c r="B8" s="4" t="s">
        <v>43</v>
      </c>
      <c r="C8" s="1" t="s">
        <v>61</v>
      </c>
      <c r="D8" s="1" t="s">
        <v>62</v>
      </c>
      <c r="E8" s="1" t="s">
        <v>147</v>
      </c>
      <c r="F8" s="1" t="s">
        <v>148</v>
      </c>
      <c r="G8" s="5" t="s">
        <v>149</v>
      </c>
      <c r="H8" s="6">
        <v>231.68</v>
      </c>
      <c r="I8" s="6">
        <v>57.92</v>
      </c>
      <c r="J8" s="1" t="s">
        <v>95</v>
      </c>
      <c r="K8" s="26">
        <v>96125</v>
      </c>
      <c r="L8" s="7">
        <v>45888</v>
      </c>
      <c r="M8" s="8"/>
      <c r="N8" s="9">
        <v>180</v>
      </c>
      <c r="O8" s="1" t="s">
        <v>150</v>
      </c>
      <c r="P8" s="8"/>
    </row>
    <row r="9" spans="1:17" ht="25.5" x14ac:dyDescent="0.25">
      <c r="A9" s="1" t="s">
        <v>121</v>
      </c>
      <c r="B9" s="4" t="s">
        <v>43</v>
      </c>
      <c r="C9" s="1" t="s">
        <v>61</v>
      </c>
      <c r="D9" s="1" t="s">
        <v>62</v>
      </c>
      <c r="E9" s="1" t="s">
        <v>151</v>
      </c>
      <c r="F9" s="1" t="s">
        <v>152</v>
      </c>
      <c r="G9" s="5" t="s">
        <v>153</v>
      </c>
      <c r="H9" s="6">
        <v>63.13</v>
      </c>
      <c r="I9" s="6">
        <v>15.78</v>
      </c>
      <c r="J9" s="1" t="s">
        <v>154</v>
      </c>
      <c r="K9" s="26">
        <v>96033</v>
      </c>
      <c r="L9" s="7">
        <v>45889</v>
      </c>
      <c r="M9" s="8"/>
      <c r="N9" s="9">
        <v>180</v>
      </c>
      <c r="O9" s="1" t="s">
        <v>155</v>
      </c>
      <c r="P9" s="8"/>
    </row>
    <row r="10" spans="1:17" ht="25.5" x14ac:dyDescent="0.25">
      <c r="A10" s="1" t="s">
        <v>121</v>
      </c>
      <c r="B10" s="4" t="s">
        <v>43</v>
      </c>
      <c r="C10" s="1" t="s">
        <v>50</v>
      </c>
      <c r="D10" s="1" t="s">
        <v>51</v>
      </c>
      <c r="E10" s="1" t="s">
        <v>156</v>
      </c>
      <c r="F10" s="1" t="s">
        <v>157</v>
      </c>
      <c r="G10" s="5" t="s">
        <v>79</v>
      </c>
      <c r="H10" s="6">
        <v>302.27</v>
      </c>
      <c r="I10" s="6">
        <v>75.569999999999993</v>
      </c>
      <c r="J10" s="1" t="s">
        <v>54</v>
      </c>
      <c r="K10" s="26">
        <v>95788</v>
      </c>
      <c r="L10" s="7">
        <v>45898</v>
      </c>
      <c r="M10" s="7">
        <v>46019</v>
      </c>
      <c r="N10" s="9">
        <v>122</v>
      </c>
      <c r="O10" s="1" t="s">
        <v>158</v>
      </c>
      <c r="P10" s="8"/>
    </row>
    <row r="11" spans="1:17" x14ac:dyDescent="0.25">
      <c r="A11" s="10" t="s">
        <v>120</v>
      </c>
      <c r="B11" s="4"/>
      <c r="C11" s="4"/>
      <c r="D11" s="4"/>
      <c r="E11" s="4"/>
      <c r="F11" s="4"/>
      <c r="G11" s="4"/>
      <c r="H11" s="6">
        <v>1680.7</v>
      </c>
      <c r="I11" s="6">
        <v>420.16999999999996</v>
      </c>
      <c r="J11" s="4"/>
      <c r="K11" s="4"/>
      <c r="L11" s="4"/>
      <c r="M11" s="4"/>
      <c r="N11" s="4"/>
      <c r="O11" s="4"/>
      <c r="P11" s="4"/>
    </row>
    <row r="12" spans="1:17" x14ac:dyDescent="0.25">
      <c r="A12" s="11" t="s">
        <v>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</sheetData>
  <mergeCells count="1">
    <mergeCell ref="A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showGridLines="0" workbookViewId="0">
      <selection activeCell="A4" sqref="A4:XFD20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2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34.25</v>
      </c>
      <c r="I4" s="6">
        <v>4.45</v>
      </c>
      <c r="J4" s="1" t="s">
        <v>49</v>
      </c>
      <c r="K4" s="26">
        <v>96477</v>
      </c>
      <c r="L4" s="7">
        <v>45658</v>
      </c>
      <c r="M4" s="8"/>
      <c r="N4" s="8"/>
      <c r="O4" s="26">
        <v>996202166</v>
      </c>
      <c r="P4" s="8"/>
    </row>
    <row r="5" spans="1:17" x14ac:dyDescent="0.25">
      <c r="A5" s="1" t="s">
        <v>42</v>
      </c>
      <c r="B5" s="4" t="s">
        <v>43</v>
      </c>
      <c r="C5" s="1" t="s">
        <v>50</v>
      </c>
      <c r="D5" s="1" t="s">
        <v>51</v>
      </c>
      <c r="E5" s="1" t="s">
        <v>52</v>
      </c>
      <c r="F5" s="1" t="s">
        <v>53</v>
      </c>
      <c r="G5" s="5" t="s">
        <v>48</v>
      </c>
      <c r="H5" s="6">
        <v>532.38</v>
      </c>
      <c r="I5" s="6">
        <v>133.1</v>
      </c>
      <c r="J5" s="1" t="s">
        <v>54</v>
      </c>
      <c r="K5" s="26">
        <v>95788</v>
      </c>
      <c r="L5" s="7">
        <v>45870</v>
      </c>
      <c r="M5" s="7">
        <v>45989</v>
      </c>
      <c r="N5" s="9">
        <v>120</v>
      </c>
      <c r="O5" s="1" t="s">
        <v>55</v>
      </c>
      <c r="P5" s="8"/>
    </row>
    <row r="6" spans="1:17" x14ac:dyDescent="0.25">
      <c r="A6" s="1" t="s">
        <v>42</v>
      </c>
      <c r="B6" s="4" t="s">
        <v>43</v>
      </c>
      <c r="C6" s="1" t="s">
        <v>50</v>
      </c>
      <c r="D6" s="1" t="s">
        <v>51</v>
      </c>
      <c r="E6" s="1" t="s">
        <v>56</v>
      </c>
      <c r="F6" s="1" t="s">
        <v>57</v>
      </c>
      <c r="G6" s="5" t="s">
        <v>58</v>
      </c>
      <c r="H6" s="6">
        <v>406.55</v>
      </c>
      <c r="I6" s="6">
        <v>101.64</v>
      </c>
      <c r="J6" s="1" t="s">
        <v>59</v>
      </c>
      <c r="K6" s="26">
        <v>80671</v>
      </c>
      <c r="L6" s="7">
        <v>45842</v>
      </c>
      <c r="M6" s="7">
        <v>45964</v>
      </c>
      <c r="N6" s="9">
        <v>123</v>
      </c>
      <c r="O6" s="1" t="s">
        <v>60</v>
      </c>
      <c r="P6" s="8"/>
    </row>
    <row r="7" spans="1:17" ht="25.5" x14ac:dyDescent="0.25">
      <c r="A7" s="1" t="s">
        <v>42</v>
      </c>
      <c r="B7" s="4" t="s">
        <v>43</v>
      </c>
      <c r="C7" s="1" t="s">
        <v>61</v>
      </c>
      <c r="D7" s="1" t="s">
        <v>62</v>
      </c>
      <c r="E7" s="1" t="s">
        <v>63</v>
      </c>
      <c r="F7" s="1" t="s">
        <v>64</v>
      </c>
      <c r="G7" s="5" t="s">
        <v>65</v>
      </c>
      <c r="H7" s="6">
        <v>271.27</v>
      </c>
      <c r="I7" s="6">
        <v>67.819999999999993</v>
      </c>
      <c r="J7" s="1" t="s">
        <v>66</v>
      </c>
      <c r="K7" s="26">
        <v>95679</v>
      </c>
      <c r="L7" s="7">
        <v>45810</v>
      </c>
      <c r="M7" s="7">
        <v>45931</v>
      </c>
      <c r="N7" s="9">
        <v>122</v>
      </c>
      <c r="O7" s="1" t="s">
        <v>67</v>
      </c>
      <c r="P7" s="8"/>
    </row>
    <row r="8" spans="1:17" x14ac:dyDescent="0.25">
      <c r="A8" s="1" t="s">
        <v>42</v>
      </c>
      <c r="B8" s="4" t="s">
        <v>43</v>
      </c>
      <c r="C8" s="1" t="s">
        <v>50</v>
      </c>
      <c r="D8" s="1" t="s">
        <v>51</v>
      </c>
      <c r="E8" s="1" t="s">
        <v>68</v>
      </c>
      <c r="F8" s="1" t="s">
        <v>69</v>
      </c>
      <c r="G8" s="5" t="s">
        <v>48</v>
      </c>
      <c r="H8" s="6">
        <v>484.69</v>
      </c>
      <c r="I8" s="6">
        <v>48.47</v>
      </c>
      <c r="J8" s="1" t="s">
        <v>70</v>
      </c>
      <c r="K8" s="26">
        <v>82178</v>
      </c>
      <c r="L8" s="7">
        <v>45870</v>
      </c>
      <c r="M8" s="7">
        <v>45991</v>
      </c>
      <c r="N8" s="9">
        <v>122</v>
      </c>
      <c r="O8" s="1" t="s">
        <v>71</v>
      </c>
      <c r="P8" s="8"/>
    </row>
    <row r="9" spans="1:17" ht="25.5" x14ac:dyDescent="0.25">
      <c r="A9" s="1" t="s">
        <v>42</v>
      </c>
      <c r="B9" s="4" t="s">
        <v>43</v>
      </c>
      <c r="C9" s="1" t="s">
        <v>72</v>
      </c>
      <c r="D9" s="1" t="s">
        <v>73</v>
      </c>
      <c r="E9" s="1" t="s">
        <v>74</v>
      </c>
      <c r="F9" s="1" t="s">
        <v>75</v>
      </c>
      <c r="G9" s="5" t="s">
        <v>48</v>
      </c>
      <c r="H9" s="6">
        <v>323.52999999999997</v>
      </c>
      <c r="I9" s="6">
        <v>80.88</v>
      </c>
      <c r="J9" s="1" t="s">
        <v>54</v>
      </c>
      <c r="K9" s="26">
        <v>95788</v>
      </c>
      <c r="L9" s="7">
        <v>45809</v>
      </c>
      <c r="M9" s="7">
        <v>45930</v>
      </c>
      <c r="N9" s="9">
        <v>122</v>
      </c>
      <c r="O9" s="1" t="s">
        <v>76</v>
      </c>
      <c r="P9" s="8"/>
    </row>
    <row r="10" spans="1:17" ht="25.5" x14ac:dyDescent="0.25">
      <c r="A10" s="1" t="s">
        <v>42</v>
      </c>
      <c r="B10" s="4" t="s">
        <v>43</v>
      </c>
      <c r="C10" s="1" t="s">
        <v>61</v>
      </c>
      <c r="D10" s="1" t="s">
        <v>62</v>
      </c>
      <c r="E10" s="1" t="s">
        <v>77</v>
      </c>
      <c r="F10" s="1" t="s">
        <v>78</v>
      </c>
      <c r="G10" s="5" t="s">
        <v>79</v>
      </c>
      <c r="H10" s="6">
        <v>46.06</v>
      </c>
      <c r="I10" s="6">
        <v>11.52</v>
      </c>
      <c r="J10" s="1" t="s">
        <v>80</v>
      </c>
      <c r="K10" s="26">
        <v>81570</v>
      </c>
      <c r="L10" s="7">
        <v>45806</v>
      </c>
      <c r="M10" s="7">
        <v>45901</v>
      </c>
      <c r="N10" s="9">
        <v>123</v>
      </c>
      <c r="O10" s="1" t="s">
        <v>81</v>
      </c>
      <c r="P10" s="8"/>
    </row>
    <row r="11" spans="1:17" x14ac:dyDescent="0.25">
      <c r="A11" s="1" t="s">
        <v>42</v>
      </c>
      <c r="B11" s="4" t="s">
        <v>43</v>
      </c>
      <c r="C11" s="1" t="s">
        <v>50</v>
      </c>
      <c r="D11" s="1" t="s">
        <v>51</v>
      </c>
      <c r="E11" s="1" t="s">
        <v>82</v>
      </c>
      <c r="F11" s="1" t="s">
        <v>83</v>
      </c>
      <c r="G11" s="5" t="s">
        <v>48</v>
      </c>
      <c r="H11" s="6">
        <v>260.86</v>
      </c>
      <c r="I11" s="6">
        <v>26.09</v>
      </c>
      <c r="J11" s="1" t="s">
        <v>70</v>
      </c>
      <c r="K11" s="26">
        <v>82178</v>
      </c>
      <c r="L11" s="7">
        <v>45809</v>
      </c>
      <c r="M11" s="7">
        <v>45930</v>
      </c>
      <c r="N11" s="9">
        <v>122</v>
      </c>
      <c r="O11" s="1" t="s">
        <v>84</v>
      </c>
      <c r="P11" s="8"/>
    </row>
    <row r="12" spans="1:17" ht="25.5" x14ac:dyDescent="0.25">
      <c r="A12" s="1" t="s">
        <v>42</v>
      </c>
      <c r="B12" s="4" t="s">
        <v>43</v>
      </c>
      <c r="C12" s="1" t="s">
        <v>72</v>
      </c>
      <c r="D12" s="1" t="s">
        <v>73</v>
      </c>
      <c r="E12" s="1" t="s">
        <v>85</v>
      </c>
      <c r="F12" s="1" t="s">
        <v>86</v>
      </c>
      <c r="G12" s="5" t="s">
        <v>48</v>
      </c>
      <c r="H12" s="6">
        <v>342.5</v>
      </c>
      <c r="I12" s="6">
        <v>85.63</v>
      </c>
      <c r="J12" s="1" t="s">
        <v>87</v>
      </c>
      <c r="K12" s="26">
        <v>80640</v>
      </c>
      <c r="L12" s="7">
        <v>45839</v>
      </c>
      <c r="M12" s="7">
        <v>45961</v>
      </c>
      <c r="N12" s="9">
        <v>123</v>
      </c>
      <c r="O12" s="1" t="s">
        <v>88</v>
      </c>
      <c r="P12" s="8"/>
    </row>
    <row r="13" spans="1:17" ht="25.5" x14ac:dyDescent="0.25">
      <c r="A13" s="1" t="s">
        <v>42</v>
      </c>
      <c r="B13" s="4" t="s">
        <v>43</v>
      </c>
      <c r="C13" s="1" t="s">
        <v>61</v>
      </c>
      <c r="D13" s="1" t="s">
        <v>62</v>
      </c>
      <c r="E13" s="1" t="s">
        <v>89</v>
      </c>
      <c r="F13" s="1" t="s">
        <v>90</v>
      </c>
      <c r="G13" s="5" t="s">
        <v>48</v>
      </c>
      <c r="H13" s="6">
        <v>310.33999999999997</v>
      </c>
      <c r="I13" s="6">
        <v>77.59</v>
      </c>
      <c r="J13" s="1" t="s">
        <v>91</v>
      </c>
      <c r="K13" s="26">
        <v>2223</v>
      </c>
      <c r="L13" s="7">
        <v>45870</v>
      </c>
      <c r="M13" s="7">
        <v>45991</v>
      </c>
      <c r="N13" s="9">
        <v>122</v>
      </c>
      <c r="O13" s="1" t="s">
        <v>92</v>
      </c>
      <c r="P13" s="8"/>
    </row>
    <row r="14" spans="1:17" ht="25.5" x14ac:dyDescent="0.25">
      <c r="A14" s="1" t="s">
        <v>42</v>
      </c>
      <c r="B14" s="4" t="s">
        <v>43</v>
      </c>
      <c r="C14" s="1" t="s">
        <v>61</v>
      </c>
      <c r="D14" s="1" t="s">
        <v>62</v>
      </c>
      <c r="E14" s="1" t="s">
        <v>93</v>
      </c>
      <c r="F14" s="1" t="s">
        <v>94</v>
      </c>
      <c r="G14" s="5" t="s">
        <v>48</v>
      </c>
      <c r="H14" s="6">
        <v>164.89</v>
      </c>
      <c r="I14" s="6">
        <v>41.22</v>
      </c>
      <c r="J14" s="1" t="s">
        <v>95</v>
      </c>
      <c r="K14" s="26">
        <v>96125</v>
      </c>
      <c r="L14" s="7">
        <v>45839</v>
      </c>
      <c r="M14" s="7">
        <v>45961</v>
      </c>
      <c r="N14" s="9">
        <v>123</v>
      </c>
      <c r="O14" s="1" t="s">
        <v>96</v>
      </c>
      <c r="P14" s="8"/>
    </row>
    <row r="15" spans="1:17" ht="25.5" x14ac:dyDescent="0.25">
      <c r="A15" s="1" t="s">
        <v>42</v>
      </c>
      <c r="B15" s="4" t="s">
        <v>43</v>
      </c>
      <c r="C15" s="1" t="s">
        <v>61</v>
      </c>
      <c r="D15" s="1" t="s">
        <v>62</v>
      </c>
      <c r="E15" s="1" t="s">
        <v>97</v>
      </c>
      <c r="F15" s="1" t="s">
        <v>98</v>
      </c>
      <c r="G15" s="5" t="s">
        <v>48</v>
      </c>
      <c r="H15" s="6">
        <v>214.63</v>
      </c>
      <c r="I15" s="6">
        <v>53.66</v>
      </c>
      <c r="J15" s="1" t="s">
        <v>95</v>
      </c>
      <c r="K15" s="26">
        <v>96125</v>
      </c>
      <c r="L15" s="7">
        <v>45839</v>
      </c>
      <c r="M15" s="7">
        <v>45961</v>
      </c>
      <c r="N15" s="9">
        <v>123</v>
      </c>
      <c r="O15" s="1" t="s">
        <v>99</v>
      </c>
      <c r="P15" s="8"/>
    </row>
    <row r="16" spans="1:17" ht="25.5" x14ac:dyDescent="0.25">
      <c r="A16" s="1" t="s">
        <v>42</v>
      </c>
      <c r="B16" s="4" t="s">
        <v>43</v>
      </c>
      <c r="C16" s="1" t="s">
        <v>100</v>
      </c>
      <c r="D16" s="1" t="s">
        <v>62</v>
      </c>
      <c r="E16" s="1" t="s">
        <v>101</v>
      </c>
      <c r="F16" s="1" t="s">
        <v>102</v>
      </c>
      <c r="G16" s="5" t="s">
        <v>103</v>
      </c>
      <c r="H16" s="6">
        <v>333.29</v>
      </c>
      <c r="I16" s="6">
        <v>83.32</v>
      </c>
      <c r="J16" s="1" t="s">
        <v>87</v>
      </c>
      <c r="K16" s="26">
        <v>80640</v>
      </c>
      <c r="L16" s="7">
        <v>45841</v>
      </c>
      <c r="M16" s="7">
        <v>45961</v>
      </c>
      <c r="N16" s="9">
        <v>123</v>
      </c>
      <c r="O16" s="1" t="s">
        <v>104</v>
      </c>
      <c r="P16" s="8"/>
    </row>
    <row r="17" spans="1:17" ht="25.5" x14ac:dyDescent="0.25">
      <c r="A17" s="1" t="s">
        <v>42</v>
      </c>
      <c r="B17" s="4" t="s">
        <v>43</v>
      </c>
      <c r="C17" s="1" t="s">
        <v>50</v>
      </c>
      <c r="D17" s="1" t="s">
        <v>51</v>
      </c>
      <c r="E17" s="1" t="s">
        <v>105</v>
      </c>
      <c r="F17" s="1" t="s">
        <v>106</v>
      </c>
      <c r="G17" s="5" t="s">
        <v>103</v>
      </c>
      <c r="H17" s="6">
        <v>74.75</v>
      </c>
      <c r="I17" s="6">
        <v>18.690000000000001</v>
      </c>
      <c r="J17" s="1" t="s">
        <v>107</v>
      </c>
      <c r="K17" s="26">
        <v>95760</v>
      </c>
      <c r="L17" s="7">
        <v>45841</v>
      </c>
      <c r="M17" s="7">
        <v>45963</v>
      </c>
      <c r="N17" s="9">
        <v>123</v>
      </c>
      <c r="O17" s="1" t="s">
        <v>108</v>
      </c>
      <c r="P17" s="8"/>
    </row>
    <row r="18" spans="1:17" x14ac:dyDescent="0.25">
      <c r="A18" s="1" t="s">
        <v>42</v>
      </c>
      <c r="B18" s="4" t="s">
        <v>43</v>
      </c>
      <c r="C18" s="1" t="s">
        <v>50</v>
      </c>
      <c r="D18" s="1" t="s">
        <v>51</v>
      </c>
      <c r="E18" s="1" t="s">
        <v>109</v>
      </c>
      <c r="F18" s="1" t="s">
        <v>110</v>
      </c>
      <c r="G18" s="5" t="s">
        <v>103</v>
      </c>
      <c r="H18" s="6">
        <v>110.43</v>
      </c>
      <c r="I18" s="6">
        <v>7.73</v>
      </c>
      <c r="J18" s="1" t="s">
        <v>91</v>
      </c>
      <c r="K18" s="26">
        <v>2223</v>
      </c>
      <c r="L18" s="7">
        <v>45841</v>
      </c>
      <c r="M18" s="7">
        <v>45963</v>
      </c>
      <c r="N18" s="9">
        <v>123</v>
      </c>
      <c r="O18" s="1" t="s">
        <v>111</v>
      </c>
      <c r="P18" s="8"/>
    </row>
    <row r="19" spans="1:17" x14ac:dyDescent="0.25">
      <c r="A19" s="1" t="s">
        <v>42</v>
      </c>
      <c r="B19" s="4" t="s">
        <v>43</v>
      </c>
      <c r="C19" s="1" t="s">
        <v>50</v>
      </c>
      <c r="D19" s="1" t="s">
        <v>51</v>
      </c>
      <c r="E19" s="1" t="s">
        <v>112</v>
      </c>
      <c r="F19" s="1" t="s">
        <v>113</v>
      </c>
      <c r="G19" s="5" t="s">
        <v>48</v>
      </c>
      <c r="H19" s="6">
        <v>451.49</v>
      </c>
      <c r="I19" s="6">
        <v>112.88</v>
      </c>
      <c r="J19" s="1" t="s">
        <v>114</v>
      </c>
      <c r="K19" s="26">
        <v>95631</v>
      </c>
      <c r="L19" s="7">
        <v>45870</v>
      </c>
      <c r="M19" s="7">
        <v>45991</v>
      </c>
      <c r="N19" s="9">
        <v>122</v>
      </c>
      <c r="O19" s="1" t="s">
        <v>115</v>
      </c>
      <c r="P19" s="8"/>
    </row>
    <row r="20" spans="1:17" x14ac:dyDescent="0.25">
      <c r="A20" s="1" t="s">
        <v>42</v>
      </c>
      <c r="B20" s="4" t="s">
        <v>43</v>
      </c>
      <c r="C20" s="1" t="s">
        <v>116</v>
      </c>
      <c r="D20" s="1" t="s">
        <v>51</v>
      </c>
      <c r="E20" s="1" t="s">
        <v>117</v>
      </c>
      <c r="F20" s="1" t="s">
        <v>118</v>
      </c>
      <c r="G20" s="5" t="s">
        <v>48</v>
      </c>
      <c r="H20" s="6">
        <v>901.9</v>
      </c>
      <c r="I20" s="6">
        <v>225.48</v>
      </c>
      <c r="J20" s="1" t="s">
        <v>49</v>
      </c>
      <c r="K20" s="26">
        <v>96477</v>
      </c>
      <c r="L20" s="7">
        <v>45901</v>
      </c>
      <c r="M20" s="7">
        <v>46022</v>
      </c>
      <c r="N20" s="9">
        <v>122</v>
      </c>
      <c r="O20" s="1" t="s">
        <v>119</v>
      </c>
      <c r="P20" s="8"/>
    </row>
    <row r="21" spans="1:17" x14ac:dyDescent="0.25">
      <c r="A21" s="10" t="s">
        <v>120</v>
      </c>
      <c r="B21" s="4"/>
      <c r="C21" s="4"/>
      <c r="D21" s="4"/>
      <c r="E21" s="4"/>
      <c r="F21" s="4"/>
      <c r="G21" s="4"/>
      <c r="H21" s="6">
        <v>5263.8099999999995</v>
      </c>
      <c r="I21" s="6">
        <v>1180.1699999999998</v>
      </c>
      <c r="J21" s="4"/>
      <c r="K21" s="4"/>
      <c r="L21" s="4"/>
      <c r="M21" s="4"/>
      <c r="N21" s="4"/>
      <c r="O21" s="4"/>
      <c r="P21" s="4"/>
    </row>
    <row r="22" spans="1:17" x14ac:dyDescent="0.25">
      <c r="A22" s="11" t="s">
        <v>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25">
      <c r="A23" s="11" t="s">
        <v>4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25">
      <c r="A24" s="11" t="s">
        <v>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</sheetData>
  <mergeCells count="5">
    <mergeCell ref="A1:Q1"/>
    <mergeCell ref="A2:Q2"/>
    <mergeCell ref="A22:Q22"/>
    <mergeCell ref="A23:Q23"/>
    <mergeCell ref="A24:Q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382A-C16F-474F-9FB9-35EE1D4B03DD}">
  <dimension ref="A1:Q27"/>
  <sheetViews>
    <sheetView tabSelected="1" topLeftCell="B3" workbookViewId="0">
      <selection activeCell="E15" sqref="E15"/>
    </sheetView>
  </sheetViews>
  <sheetFormatPr defaultColWidth="16.5703125" defaultRowHeight="21" customHeight="1" x14ac:dyDescent="0.25"/>
  <sheetData>
    <row r="1" spans="1:17" ht="21" customHeigh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</v>
      </c>
      <c r="J1" s="3" t="s">
        <v>159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</row>
    <row r="2" spans="1:17" ht="21" customHeight="1" x14ac:dyDescent="0.25">
      <c r="A2" s="1" t="s">
        <v>121</v>
      </c>
      <c r="B2" s="4" t="s">
        <v>43</v>
      </c>
      <c r="C2" s="1" t="s">
        <v>61</v>
      </c>
      <c r="D2" s="1" t="s">
        <v>62</v>
      </c>
      <c r="E2" s="1" t="s">
        <v>130</v>
      </c>
      <c r="F2" s="1" t="s">
        <v>131</v>
      </c>
      <c r="G2" s="5" t="s">
        <v>132</v>
      </c>
      <c r="H2" s="6">
        <v>250.07</v>
      </c>
      <c r="I2" s="6">
        <v>62.52</v>
      </c>
      <c r="J2" s="6">
        <f>SUM(I2/H2)</f>
        <v>0.25000999720078382</v>
      </c>
      <c r="K2" s="1" t="s">
        <v>133</v>
      </c>
      <c r="L2" s="26">
        <v>19586992</v>
      </c>
      <c r="M2" s="7">
        <v>45901</v>
      </c>
      <c r="N2" s="7">
        <v>46017</v>
      </c>
      <c r="O2" s="9">
        <v>122</v>
      </c>
      <c r="P2" s="1" t="s">
        <v>134</v>
      </c>
      <c r="Q2" s="8" t="s">
        <v>160</v>
      </c>
    </row>
    <row r="3" spans="1:17" ht="21" customHeight="1" x14ac:dyDescent="0.25">
      <c r="A3" s="1" t="s">
        <v>121</v>
      </c>
      <c r="B3" s="4" t="s">
        <v>43</v>
      </c>
      <c r="C3" s="1" t="s">
        <v>61</v>
      </c>
      <c r="D3" s="1" t="s">
        <v>62</v>
      </c>
      <c r="E3" s="1" t="s">
        <v>140</v>
      </c>
      <c r="F3" s="1" t="s">
        <v>141</v>
      </c>
      <c r="G3" s="5" t="s">
        <v>142</v>
      </c>
      <c r="H3" s="6">
        <v>77.55</v>
      </c>
      <c r="I3" s="6">
        <v>19.39</v>
      </c>
      <c r="J3" s="6">
        <f t="shared" ref="J3:J27" si="0">SUM(I3/H3)</f>
        <v>0.25003223726627982</v>
      </c>
      <c r="K3" s="1" t="s">
        <v>80</v>
      </c>
      <c r="L3" s="26">
        <v>17425766</v>
      </c>
      <c r="M3" s="7">
        <v>45801</v>
      </c>
      <c r="N3" s="7">
        <v>45923</v>
      </c>
      <c r="O3" s="9">
        <v>123</v>
      </c>
      <c r="P3" s="1" t="s">
        <v>143</v>
      </c>
      <c r="Q3" s="8" t="s">
        <v>160</v>
      </c>
    </row>
    <row r="4" spans="1:17" ht="21" customHeight="1" x14ac:dyDescent="0.25">
      <c r="A4" s="1" t="s">
        <v>121</v>
      </c>
      <c r="B4" s="4" t="s">
        <v>43</v>
      </c>
      <c r="C4" s="1" t="s">
        <v>50</v>
      </c>
      <c r="D4" s="1" t="s">
        <v>51</v>
      </c>
      <c r="E4" s="1" t="s">
        <v>144</v>
      </c>
      <c r="F4" s="1" t="s">
        <v>145</v>
      </c>
      <c r="G4" s="5" t="s">
        <v>132</v>
      </c>
      <c r="H4" s="6">
        <v>104.11</v>
      </c>
      <c r="I4" s="6">
        <v>26.03</v>
      </c>
      <c r="J4" s="6">
        <f t="shared" si="0"/>
        <v>0.25002401306310634</v>
      </c>
      <c r="K4" s="1" t="s">
        <v>80</v>
      </c>
      <c r="L4" s="26">
        <v>17425766</v>
      </c>
      <c r="M4" s="7">
        <v>45835</v>
      </c>
      <c r="N4" s="7">
        <v>45956</v>
      </c>
      <c r="O4" s="9">
        <v>122</v>
      </c>
      <c r="P4" s="1" t="s">
        <v>146</v>
      </c>
      <c r="Q4" s="8" t="s">
        <v>160</v>
      </c>
    </row>
    <row r="5" spans="1:17" ht="21" customHeight="1" x14ac:dyDescent="0.25">
      <c r="A5" s="1" t="s">
        <v>42</v>
      </c>
      <c r="B5" s="4" t="s">
        <v>43</v>
      </c>
      <c r="C5" s="1" t="s">
        <v>61</v>
      </c>
      <c r="D5" s="1" t="s">
        <v>62</v>
      </c>
      <c r="E5" s="1" t="s">
        <v>77</v>
      </c>
      <c r="F5" s="1" t="s">
        <v>78</v>
      </c>
      <c r="G5" s="5" t="s">
        <v>79</v>
      </c>
      <c r="H5" s="6">
        <v>46.06</v>
      </c>
      <c r="I5" s="6">
        <v>11.52</v>
      </c>
      <c r="J5" s="6">
        <f t="shared" si="0"/>
        <v>0.25010855405992183</v>
      </c>
      <c r="K5" s="1" t="s">
        <v>80</v>
      </c>
      <c r="L5" s="26">
        <v>17425766</v>
      </c>
      <c r="M5" s="7">
        <v>45806</v>
      </c>
      <c r="N5" s="7">
        <v>45901</v>
      </c>
      <c r="O5" s="9">
        <v>123</v>
      </c>
      <c r="P5" s="1" t="s">
        <v>81</v>
      </c>
      <c r="Q5" s="8" t="s">
        <v>160</v>
      </c>
    </row>
    <row r="6" spans="1:17" ht="21" customHeight="1" x14ac:dyDescent="0.25">
      <c r="A6" s="1" t="s">
        <v>42</v>
      </c>
      <c r="B6" s="4" t="s">
        <v>43</v>
      </c>
      <c r="C6" s="1" t="s">
        <v>61</v>
      </c>
      <c r="D6" s="1" t="s">
        <v>62</v>
      </c>
      <c r="E6" s="1" t="s">
        <v>63</v>
      </c>
      <c r="F6" s="1" t="s">
        <v>64</v>
      </c>
      <c r="G6" s="5" t="s">
        <v>65</v>
      </c>
      <c r="H6" s="6">
        <v>271.27</v>
      </c>
      <c r="I6" s="6">
        <v>67.819999999999993</v>
      </c>
      <c r="J6" s="6">
        <f t="shared" si="0"/>
        <v>0.25000921591034764</v>
      </c>
      <c r="K6" s="1" t="s">
        <v>66</v>
      </c>
      <c r="L6" s="26">
        <v>19681796</v>
      </c>
      <c r="M6" s="7">
        <v>45810</v>
      </c>
      <c r="N6" s="7">
        <v>45931</v>
      </c>
      <c r="O6" s="9">
        <v>122</v>
      </c>
      <c r="P6" s="1" t="s">
        <v>67</v>
      </c>
      <c r="Q6" s="8" t="s">
        <v>160</v>
      </c>
    </row>
    <row r="7" spans="1:17" ht="21" customHeight="1" x14ac:dyDescent="0.25">
      <c r="A7" s="1" t="s">
        <v>42</v>
      </c>
      <c r="B7" s="4" t="s">
        <v>43</v>
      </c>
      <c r="C7" s="1" t="s">
        <v>50</v>
      </c>
      <c r="D7" s="1" t="s">
        <v>51</v>
      </c>
      <c r="E7" s="1" t="s">
        <v>56</v>
      </c>
      <c r="F7" s="1" t="s">
        <v>57</v>
      </c>
      <c r="G7" s="5" t="s">
        <v>58</v>
      </c>
      <c r="H7" s="6">
        <v>406.55</v>
      </c>
      <c r="I7" s="6">
        <v>101.64</v>
      </c>
      <c r="J7" s="6">
        <f t="shared" si="0"/>
        <v>0.25000614930512849</v>
      </c>
      <c r="K7" s="1" t="s">
        <v>59</v>
      </c>
      <c r="L7" s="26">
        <v>17437820</v>
      </c>
      <c r="M7" s="7">
        <v>45842</v>
      </c>
      <c r="N7" s="7">
        <v>45964</v>
      </c>
      <c r="O7" s="9">
        <v>123</v>
      </c>
      <c r="P7" s="1" t="s">
        <v>60</v>
      </c>
      <c r="Q7" s="8" t="s">
        <v>160</v>
      </c>
    </row>
    <row r="8" spans="1:17" ht="21" customHeight="1" x14ac:dyDescent="0.25">
      <c r="A8" s="1" t="s">
        <v>42</v>
      </c>
      <c r="B8" s="4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5" t="s">
        <v>48</v>
      </c>
      <c r="H8" s="6">
        <v>34.25</v>
      </c>
      <c r="I8" s="6">
        <v>4.45</v>
      </c>
      <c r="J8" s="6">
        <f t="shared" si="0"/>
        <v>0.12992700729927009</v>
      </c>
      <c r="K8" s="1" t="s">
        <v>49</v>
      </c>
      <c r="L8" s="26" t="s">
        <v>163</v>
      </c>
      <c r="M8" s="7">
        <v>45658</v>
      </c>
      <c r="N8" s="8"/>
      <c r="O8" s="8"/>
      <c r="P8" s="26">
        <v>996202166</v>
      </c>
      <c r="Q8" s="8" t="s">
        <v>162</v>
      </c>
    </row>
    <row r="9" spans="1:17" ht="21" customHeight="1" x14ac:dyDescent="0.25">
      <c r="A9" s="1" t="s">
        <v>42</v>
      </c>
      <c r="B9" s="4" t="s">
        <v>43</v>
      </c>
      <c r="C9" s="1" t="s">
        <v>116</v>
      </c>
      <c r="D9" s="1" t="s">
        <v>51</v>
      </c>
      <c r="E9" s="1" t="s">
        <v>117</v>
      </c>
      <c r="F9" s="1" t="s">
        <v>118</v>
      </c>
      <c r="G9" s="5" t="s">
        <v>48</v>
      </c>
      <c r="H9" s="6">
        <v>901.9</v>
      </c>
      <c r="I9" s="6">
        <v>225.48</v>
      </c>
      <c r="J9" s="6">
        <f t="shared" si="0"/>
        <v>0.25000554385186829</v>
      </c>
      <c r="K9" s="1" t="s">
        <v>49</v>
      </c>
      <c r="L9" s="26">
        <v>8325282</v>
      </c>
      <c r="M9" s="7">
        <v>45901</v>
      </c>
      <c r="N9" s="7">
        <v>46022</v>
      </c>
      <c r="O9" s="9">
        <v>122</v>
      </c>
      <c r="P9" s="1" t="s">
        <v>119</v>
      </c>
      <c r="Q9" s="8" t="s">
        <v>160</v>
      </c>
    </row>
    <row r="10" spans="1:17" ht="21" customHeight="1" x14ac:dyDescent="0.25">
      <c r="A10" s="1" t="s">
        <v>121</v>
      </c>
      <c r="B10" s="4" t="s">
        <v>43</v>
      </c>
      <c r="C10" s="1" t="s">
        <v>61</v>
      </c>
      <c r="D10" s="1" t="s">
        <v>62</v>
      </c>
      <c r="E10" s="1" t="s">
        <v>151</v>
      </c>
      <c r="F10" s="1" t="s">
        <v>152</v>
      </c>
      <c r="G10" s="5" t="s">
        <v>153</v>
      </c>
      <c r="H10" s="6">
        <v>63.13</v>
      </c>
      <c r="I10" s="6">
        <v>15.78</v>
      </c>
      <c r="J10" s="6">
        <f t="shared" si="0"/>
        <v>0.24996039917630283</v>
      </c>
      <c r="K10" s="1" t="s">
        <v>154</v>
      </c>
      <c r="L10" s="26">
        <v>17528908</v>
      </c>
      <c r="M10" s="7">
        <v>45889</v>
      </c>
      <c r="N10" s="8"/>
      <c r="O10" s="9">
        <v>180</v>
      </c>
      <c r="P10" s="1" t="s">
        <v>155</v>
      </c>
      <c r="Q10" s="8" t="s">
        <v>160</v>
      </c>
    </row>
    <row r="11" spans="1:17" ht="21" customHeight="1" x14ac:dyDescent="0.25">
      <c r="A11" s="1" t="s">
        <v>121</v>
      </c>
      <c r="B11" s="4" t="s">
        <v>43</v>
      </c>
      <c r="C11" s="1" t="s">
        <v>61</v>
      </c>
      <c r="D11" s="1" t="s">
        <v>62</v>
      </c>
      <c r="E11" s="1" t="s">
        <v>135</v>
      </c>
      <c r="F11" s="1" t="s">
        <v>136</v>
      </c>
      <c r="G11" s="5" t="s">
        <v>137</v>
      </c>
      <c r="H11" s="6">
        <v>-216.75</v>
      </c>
      <c r="I11" s="6">
        <v>-54.19</v>
      </c>
      <c r="J11" s="6">
        <f t="shared" si="0"/>
        <v>0.25001153402537485</v>
      </c>
      <c r="K11" s="1" t="s">
        <v>138</v>
      </c>
      <c r="L11" s="26">
        <v>8814784</v>
      </c>
      <c r="M11" s="7">
        <v>45798</v>
      </c>
      <c r="N11" s="7">
        <v>45900</v>
      </c>
      <c r="O11" s="9">
        <v>123</v>
      </c>
      <c r="P11" s="1" t="s">
        <v>139</v>
      </c>
      <c r="Q11" s="8" t="s">
        <v>160</v>
      </c>
    </row>
    <row r="12" spans="1:17" ht="21" customHeight="1" x14ac:dyDescent="0.25">
      <c r="A12" s="1" t="s">
        <v>121</v>
      </c>
      <c r="B12" s="4" t="s">
        <v>43</v>
      </c>
      <c r="C12" s="1" t="s">
        <v>50</v>
      </c>
      <c r="D12" s="1" t="s">
        <v>51</v>
      </c>
      <c r="E12" s="1" t="s">
        <v>126</v>
      </c>
      <c r="F12" s="1" t="s">
        <v>127</v>
      </c>
      <c r="G12" s="5" t="s">
        <v>128</v>
      </c>
      <c r="H12" s="6">
        <v>121.25</v>
      </c>
      <c r="I12" s="6">
        <v>30.31</v>
      </c>
      <c r="J12" s="6">
        <f t="shared" si="0"/>
        <v>0.24997938144329895</v>
      </c>
      <c r="K12" s="1" t="s">
        <v>107</v>
      </c>
      <c r="L12" s="26">
        <v>18754354</v>
      </c>
      <c r="M12" s="7">
        <v>45860</v>
      </c>
      <c r="N12" s="7">
        <v>45982</v>
      </c>
      <c r="O12" s="9">
        <v>123</v>
      </c>
      <c r="P12" s="1" t="s">
        <v>129</v>
      </c>
      <c r="Q12" s="8" t="s">
        <v>160</v>
      </c>
    </row>
    <row r="13" spans="1:17" ht="21" customHeight="1" x14ac:dyDescent="0.25">
      <c r="A13" s="1" t="s">
        <v>42</v>
      </c>
      <c r="B13" s="4" t="s">
        <v>43</v>
      </c>
      <c r="C13" s="1" t="s">
        <v>50</v>
      </c>
      <c r="D13" s="1" t="s">
        <v>51</v>
      </c>
      <c r="E13" s="1" t="s">
        <v>105</v>
      </c>
      <c r="F13" s="1" t="s">
        <v>106</v>
      </c>
      <c r="G13" s="5" t="s">
        <v>103</v>
      </c>
      <c r="H13" s="6">
        <v>74.75</v>
      </c>
      <c r="I13" s="6">
        <v>18.690000000000001</v>
      </c>
      <c r="J13" s="6">
        <f t="shared" si="0"/>
        <v>0.25003344481605355</v>
      </c>
      <c r="K13" s="1" t="s">
        <v>107</v>
      </c>
      <c r="L13" s="26">
        <v>18754354</v>
      </c>
      <c r="M13" s="7">
        <v>45841</v>
      </c>
      <c r="N13" s="7">
        <v>45963</v>
      </c>
      <c r="O13" s="9">
        <v>123</v>
      </c>
      <c r="P13" s="1" t="s">
        <v>108</v>
      </c>
      <c r="Q13" s="8" t="s">
        <v>160</v>
      </c>
    </row>
    <row r="14" spans="1:17" s="35" customFormat="1" ht="21" customHeight="1" x14ac:dyDescent="0.25">
      <c r="A14" s="27" t="s">
        <v>42</v>
      </c>
      <c r="B14" s="28" t="s">
        <v>43</v>
      </c>
      <c r="C14" s="27" t="s">
        <v>50</v>
      </c>
      <c r="D14" s="27" t="s">
        <v>51</v>
      </c>
      <c r="E14" s="27" t="s">
        <v>68</v>
      </c>
      <c r="F14" s="27" t="s">
        <v>69</v>
      </c>
      <c r="G14" s="29" t="s">
        <v>48</v>
      </c>
      <c r="H14" s="30">
        <v>48.47</v>
      </c>
      <c r="I14" s="30">
        <v>48.47</v>
      </c>
      <c r="J14" s="30">
        <f t="shared" si="0"/>
        <v>1</v>
      </c>
      <c r="K14" s="27" t="s">
        <v>70</v>
      </c>
      <c r="L14" s="31">
        <v>20411454</v>
      </c>
      <c r="M14" s="32">
        <v>45870</v>
      </c>
      <c r="N14" s="32">
        <v>45991</v>
      </c>
      <c r="O14" s="33">
        <v>122</v>
      </c>
      <c r="P14" s="27" t="s">
        <v>71</v>
      </c>
      <c r="Q14" s="34" t="s">
        <v>161</v>
      </c>
    </row>
    <row r="15" spans="1:17" s="35" customFormat="1" ht="21" customHeight="1" x14ac:dyDescent="0.25">
      <c r="A15" s="27" t="s">
        <v>42</v>
      </c>
      <c r="B15" s="28" t="s">
        <v>43</v>
      </c>
      <c r="C15" s="27" t="s">
        <v>50</v>
      </c>
      <c r="D15" s="27" t="s">
        <v>51</v>
      </c>
      <c r="E15" s="27" t="s">
        <v>82</v>
      </c>
      <c r="F15" s="27" t="s">
        <v>83</v>
      </c>
      <c r="G15" s="29" t="s">
        <v>48</v>
      </c>
      <c r="H15" s="30">
        <v>26.09</v>
      </c>
      <c r="I15" s="30">
        <v>26.09</v>
      </c>
      <c r="J15" s="30">
        <f t="shared" si="0"/>
        <v>1</v>
      </c>
      <c r="K15" s="27" t="s">
        <v>70</v>
      </c>
      <c r="L15" s="31">
        <v>20411454</v>
      </c>
      <c r="M15" s="32">
        <v>45809</v>
      </c>
      <c r="N15" s="32">
        <v>45930</v>
      </c>
      <c r="O15" s="33">
        <v>122</v>
      </c>
      <c r="P15" s="27" t="s">
        <v>84</v>
      </c>
      <c r="Q15" s="34" t="s">
        <v>161</v>
      </c>
    </row>
    <row r="16" spans="1:17" ht="21" customHeight="1" x14ac:dyDescent="0.25">
      <c r="A16" s="1" t="s">
        <v>121</v>
      </c>
      <c r="B16" s="4" t="s">
        <v>43</v>
      </c>
      <c r="C16" s="1" t="s">
        <v>61</v>
      </c>
      <c r="D16" s="1" t="s">
        <v>62</v>
      </c>
      <c r="E16" s="1" t="s">
        <v>147</v>
      </c>
      <c r="F16" s="1" t="s">
        <v>148</v>
      </c>
      <c r="G16" s="5" t="s">
        <v>149</v>
      </c>
      <c r="H16" s="6">
        <v>231.68</v>
      </c>
      <c r="I16" s="6">
        <v>57.92</v>
      </c>
      <c r="J16" s="6">
        <f t="shared" si="0"/>
        <v>0.25</v>
      </c>
      <c r="K16" s="1" t="s">
        <v>95</v>
      </c>
      <c r="L16" s="26">
        <v>16509456</v>
      </c>
      <c r="M16" s="7">
        <v>45888</v>
      </c>
      <c r="N16" s="8"/>
      <c r="O16" s="9">
        <v>180</v>
      </c>
      <c r="P16" s="1" t="s">
        <v>150</v>
      </c>
      <c r="Q16" s="8" t="s">
        <v>160</v>
      </c>
    </row>
    <row r="17" spans="1:17" ht="21" customHeight="1" x14ac:dyDescent="0.25">
      <c r="A17" s="1" t="s">
        <v>42</v>
      </c>
      <c r="B17" s="4" t="s">
        <v>43</v>
      </c>
      <c r="C17" s="1" t="s">
        <v>61</v>
      </c>
      <c r="D17" s="1" t="s">
        <v>62</v>
      </c>
      <c r="E17" s="1" t="s">
        <v>93</v>
      </c>
      <c r="F17" s="1" t="s">
        <v>94</v>
      </c>
      <c r="G17" s="5" t="s">
        <v>48</v>
      </c>
      <c r="H17" s="6">
        <v>164.89</v>
      </c>
      <c r="I17" s="6">
        <v>41.22</v>
      </c>
      <c r="J17" s="6">
        <f t="shared" si="0"/>
        <v>0.24998483837709989</v>
      </c>
      <c r="K17" s="1" t="s">
        <v>95</v>
      </c>
      <c r="L17" s="26">
        <v>16509456</v>
      </c>
      <c r="M17" s="7">
        <v>45839</v>
      </c>
      <c r="N17" s="7">
        <v>45961</v>
      </c>
      <c r="O17" s="9">
        <v>123</v>
      </c>
      <c r="P17" s="1" t="s">
        <v>96</v>
      </c>
      <c r="Q17" s="8" t="s">
        <v>160</v>
      </c>
    </row>
    <row r="18" spans="1:17" ht="21" customHeight="1" x14ac:dyDescent="0.25">
      <c r="A18" s="1" t="s">
        <v>42</v>
      </c>
      <c r="B18" s="4" t="s">
        <v>43</v>
      </c>
      <c r="C18" s="1" t="s">
        <v>61</v>
      </c>
      <c r="D18" s="1" t="s">
        <v>62</v>
      </c>
      <c r="E18" s="1" t="s">
        <v>97</v>
      </c>
      <c r="F18" s="1" t="s">
        <v>98</v>
      </c>
      <c r="G18" s="5" t="s">
        <v>48</v>
      </c>
      <c r="H18" s="6">
        <v>214.63</v>
      </c>
      <c r="I18" s="6">
        <v>53.66</v>
      </c>
      <c r="J18" s="6">
        <f t="shared" si="0"/>
        <v>0.25001164795228997</v>
      </c>
      <c r="K18" s="1" t="s">
        <v>95</v>
      </c>
      <c r="L18" s="26">
        <v>16509456</v>
      </c>
      <c r="M18" s="7">
        <v>45839</v>
      </c>
      <c r="N18" s="7">
        <v>45961</v>
      </c>
      <c r="O18" s="9">
        <v>123</v>
      </c>
      <c r="P18" s="1" t="s">
        <v>99</v>
      </c>
      <c r="Q18" s="8" t="s">
        <v>160</v>
      </c>
    </row>
    <row r="19" spans="1:17" ht="21" customHeight="1" x14ac:dyDescent="0.25">
      <c r="A19" s="1" t="s">
        <v>42</v>
      </c>
      <c r="B19" s="4" t="s">
        <v>43</v>
      </c>
      <c r="C19" s="1" t="s">
        <v>72</v>
      </c>
      <c r="D19" s="1" t="s">
        <v>73</v>
      </c>
      <c r="E19" s="1" t="s">
        <v>85</v>
      </c>
      <c r="F19" s="1" t="s">
        <v>86</v>
      </c>
      <c r="G19" s="5" t="s">
        <v>48</v>
      </c>
      <c r="H19" s="6">
        <v>342.5</v>
      </c>
      <c r="I19" s="6">
        <v>85.63</v>
      </c>
      <c r="J19" s="6">
        <f t="shared" si="0"/>
        <v>0.25001459854014596</v>
      </c>
      <c r="K19" s="1" t="s">
        <v>87</v>
      </c>
      <c r="L19" s="26">
        <v>8977234</v>
      </c>
      <c r="M19" s="7">
        <v>45839</v>
      </c>
      <c r="N19" s="7">
        <v>45961</v>
      </c>
      <c r="O19" s="9">
        <v>123</v>
      </c>
      <c r="P19" s="1" t="s">
        <v>88</v>
      </c>
      <c r="Q19" s="8" t="s">
        <v>160</v>
      </c>
    </row>
    <row r="20" spans="1:17" ht="21" customHeight="1" x14ac:dyDescent="0.25">
      <c r="A20" s="1" t="s">
        <v>42</v>
      </c>
      <c r="B20" s="4" t="s">
        <v>43</v>
      </c>
      <c r="C20" s="1" t="s">
        <v>100</v>
      </c>
      <c r="D20" s="1" t="s">
        <v>62</v>
      </c>
      <c r="E20" s="1" t="s">
        <v>101</v>
      </c>
      <c r="F20" s="1" t="s">
        <v>102</v>
      </c>
      <c r="G20" s="5" t="s">
        <v>103</v>
      </c>
      <c r="H20" s="6">
        <v>333.29</v>
      </c>
      <c r="I20" s="6">
        <v>83.32</v>
      </c>
      <c r="J20" s="6">
        <f t="shared" si="0"/>
        <v>0.24999249902487319</v>
      </c>
      <c r="K20" s="1" t="s">
        <v>87</v>
      </c>
      <c r="L20" s="26">
        <v>8977234</v>
      </c>
      <c r="M20" s="7">
        <v>45841</v>
      </c>
      <c r="N20" s="7">
        <v>45961</v>
      </c>
      <c r="O20" s="9">
        <v>123</v>
      </c>
      <c r="P20" s="1" t="s">
        <v>104</v>
      </c>
      <c r="Q20" s="8" t="s">
        <v>160</v>
      </c>
    </row>
    <row r="21" spans="1:17" ht="21" customHeight="1" x14ac:dyDescent="0.25">
      <c r="A21" s="1" t="s">
        <v>42</v>
      </c>
      <c r="B21" s="4" t="s">
        <v>43</v>
      </c>
      <c r="C21" s="1" t="s">
        <v>50</v>
      </c>
      <c r="D21" s="1" t="s">
        <v>51</v>
      </c>
      <c r="E21" s="1" t="s">
        <v>112</v>
      </c>
      <c r="F21" s="1" t="s">
        <v>113</v>
      </c>
      <c r="G21" s="5" t="s">
        <v>48</v>
      </c>
      <c r="H21" s="6">
        <v>451.49</v>
      </c>
      <c r="I21" s="6">
        <v>112.88</v>
      </c>
      <c r="J21" s="6">
        <f t="shared" si="0"/>
        <v>0.25001661166360273</v>
      </c>
      <c r="K21" s="1" t="s">
        <v>114</v>
      </c>
      <c r="L21" s="26">
        <v>19396223</v>
      </c>
      <c r="M21" s="7">
        <v>45870</v>
      </c>
      <c r="N21" s="7">
        <v>45991</v>
      </c>
      <c r="O21" s="9">
        <v>122</v>
      </c>
      <c r="P21" s="1" t="s">
        <v>115</v>
      </c>
      <c r="Q21" s="8" t="s">
        <v>160</v>
      </c>
    </row>
    <row r="22" spans="1:17" ht="21" customHeight="1" x14ac:dyDescent="0.25">
      <c r="A22" s="1" t="s">
        <v>121</v>
      </c>
      <c r="B22" s="4" t="s">
        <v>43</v>
      </c>
      <c r="C22" s="1" t="s">
        <v>50</v>
      </c>
      <c r="D22" s="1" t="s">
        <v>51</v>
      </c>
      <c r="E22" s="1" t="s">
        <v>122</v>
      </c>
      <c r="F22" s="1" t="s">
        <v>123</v>
      </c>
      <c r="G22" s="5" t="s">
        <v>124</v>
      </c>
      <c r="H22" s="6">
        <v>747.39</v>
      </c>
      <c r="I22" s="6">
        <v>186.84</v>
      </c>
      <c r="J22" s="6">
        <f t="shared" si="0"/>
        <v>0.2499899650784731</v>
      </c>
      <c r="K22" s="1" t="s">
        <v>54</v>
      </c>
      <c r="L22" s="26">
        <v>18581063</v>
      </c>
      <c r="M22" s="7">
        <v>45897</v>
      </c>
      <c r="N22" s="8"/>
      <c r="O22" s="9">
        <v>180</v>
      </c>
      <c r="P22" s="1" t="s">
        <v>125</v>
      </c>
      <c r="Q22" s="8" t="s">
        <v>160</v>
      </c>
    </row>
    <row r="23" spans="1:17" ht="21" customHeight="1" x14ac:dyDescent="0.25">
      <c r="A23" s="1" t="s">
        <v>121</v>
      </c>
      <c r="B23" s="4" t="s">
        <v>43</v>
      </c>
      <c r="C23" s="1" t="s">
        <v>50</v>
      </c>
      <c r="D23" s="1" t="s">
        <v>51</v>
      </c>
      <c r="E23" s="1" t="s">
        <v>156</v>
      </c>
      <c r="F23" s="1" t="s">
        <v>157</v>
      </c>
      <c r="G23" s="5" t="s">
        <v>79</v>
      </c>
      <c r="H23" s="6">
        <v>302.27</v>
      </c>
      <c r="I23" s="6">
        <v>75.569999999999993</v>
      </c>
      <c r="J23" s="6">
        <f t="shared" si="0"/>
        <v>0.25000827075131504</v>
      </c>
      <c r="K23" s="1" t="s">
        <v>54</v>
      </c>
      <c r="L23" s="26">
        <v>18581063</v>
      </c>
      <c r="M23" s="7">
        <v>45898</v>
      </c>
      <c r="N23" s="7">
        <v>46019</v>
      </c>
      <c r="O23" s="9">
        <v>122</v>
      </c>
      <c r="P23" s="1" t="s">
        <v>158</v>
      </c>
      <c r="Q23" s="8" t="s">
        <v>160</v>
      </c>
    </row>
    <row r="24" spans="1:17" ht="21" customHeight="1" x14ac:dyDescent="0.25">
      <c r="A24" s="1" t="s">
        <v>42</v>
      </c>
      <c r="B24" s="4" t="s">
        <v>43</v>
      </c>
      <c r="C24" s="1" t="s">
        <v>50</v>
      </c>
      <c r="D24" s="1" t="s">
        <v>51</v>
      </c>
      <c r="E24" s="1" t="s">
        <v>52</v>
      </c>
      <c r="F24" s="1" t="s">
        <v>53</v>
      </c>
      <c r="G24" s="5" t="s">
        <v>48</v>
      </c>
      <c r="H24" s="6">
        <v>532.38</v>
      </c>
      <c r="I24" s="6">
        <v>133.1</v>
      </c>
      <c r="J24" s="6">
        <f t="shared" si="0"/>
        <v>0.25000939178782072</v>
      </c>
      <c r="K24" s="1" t="s">
        <v>54</v>
      </c>
      <c r="L24" s="26">
        <v>18581063</v>
      </c>
      <c r="M24" s="7">
        <v>45870</v>
      </c>
      <c r="N24" s="7">
        <v>45989</v>
      </c>
      <c r="O24" s="9">
        <v>120</v>
      </c>
      <c r="P24" s="1" t="s">
        <v>55</v>
      </c>
      <c r="Q24" s="8" t="s">
        <v>160</v>
      </c>
    </row>
    <row r="25" spans="1:17" ht="21" customHeight="1" x14ac:dyDescent="0.25">
      <c r="A25" s="1" t="s">
        <v>42</v>
      </c>
      <c r="B25" s="4" t="s">
        <v>43</v>
      </c>
      <c r="C25" s="1" t="s">
        <v>72</v>
      </c>
      <c r="D25" s="1" t="s">
        <v>73</v>
      </c>
      <c r="E25" s="1" t="s">
        <v>74</v>
      </c>
      <c r="F25" s="1" t="s">
        <v>75</v>
      </c>
      <c r="G25" s="5" t="s">
        <v>48</v>
      </c>
      <c r="H25" s="6">
        <v>323.52999999999997</v>
      </c>
      <c r="I25" s="6">
        <v>80.88</v>
      </c>
      <c r="J25" s="6">
        <f t="shared" si="0"/>
        <v>0.2499922727413223</v>
      </c>
      <c r="K25" s="1" t="s">
        <v>54</v>
      </c>
      <c r="L25" s="26">
        <v>18581063</v>
      </c>
      <c r="M25" s="7">
        <v>45809</v>
      </c>
      <c r="N25" s="7">
        <v>45930</v>
      </c>
      <c r="O25" s="9">
        <v>122</v>
      </c>
      <c r="P25" s="1" t="s">
        <v>76</v>
      </c>
      <c r="Q25" s="8" t="s">
        <v>160</v>
      </c>
    </row>
    <row r="26" spans="1:17" s="35" customFormat="1" ht="21" customHeight="1" x14ac:dyDescent="0.25">
      <c r="A26" s="27" t="s">
        <v>42</v>
      </c>
      <c r="B26" s="28" t="s">
        <v>43</v>
      </c>
      <c r="C26" s="27" t="s">
        <v>61</v>
      </c>
      <c r="D26" s="27" t="s">
        <v>62</v>
      </c>
      <c r="E26" s="27" t="s">
        <v>89</v>
      </c>
      <c r="F26" s="27" t="s">
        <v>90</v>
      </c>
      <c r="G26" s="29" t="s">
        <v>48</v>
      </c>
      <c r="H26" s="30">
        <v>77.59</v>
      </c>
      <c r="I26" s="30">
        <v>77.59</v>
      </c>
      <c r="J26" s="30">
        <f t="shared" si="0"/>
        <v>1</v>
      </c>
      <c r="K26" s="27" t="s">
        <v>91</v>
      </c>
      <c r="L26" s="31">
        <v>20411454</v>
      </c>
      <c r="M26" s="32">
        <v>45870</v>
      </c>
      <c r="N26" s="32">
        <v>45991</v>
      </c>
      <c r="O26" s="33">
        <v>122</v>
      </c>
      <c r="P26" s="27" t="s">
        <v>92</v>
      </c>
      <c r="Q26" s="34" t="s">
        <v>161</v>
      </c>
    </row>
    <row r="27" spans="1:17" s="35" customFormat="1" ht="21" customHeight="1" x14ac:dyDescent="0.25">
      <c r="A27" s="27" t="s">
        <v>42</v>
      </c>
      <c r="B27" s="28" t="s">
        <v>43</v>
      </c>
      <c r="C27" s="27" t="s">
        <v>50</v>
      </c>
      <c r="D27" s="27" t="s">
        <v>51</v>
      </c>
      <c r="E27" s="27" t="s">
        <v>109</v>
      </c>
      <c r="F27" s="27" t="s">
        <v>110</v>
      </c>
      <c r="G27" s="29" t="s">
        <v>103</v>
      </c>
      <c r="H27" s="30">
        <v>7.73</v>
      </c>
      <c r="I27" s="30">
        <v>7.73</v>
      </c>
      <c r="J27" s="30">
        <f t="shared" si="0"/>
        <v>1</v>
      </c>
      <c r="K27" s="27" t="s">
        <v>91</v>
      </c>
      <c r="L27" s="31">
        <v>20411454</v>
      </c>
      <c r="M27" s="32">
        <v>45841</v>
      </c>
      <c r="N27" s="32">
        <v>45963</v>
      </c>
      <c r="O27" s="33">
        <v>123</v>
      </c>
      <c r="P27" s="27" t="s">
        <v>111</v>
      </c>
      <c r="Q27" s="3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Cover_Page</vt:lpstr>
      <vt:lpstr>9-5-25</vt:lpstr>
      <vt:lpstr>9-8-25</vt:lpstr>
      <vt:lpstr>clean sheet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2025-09-08T22:06:50Z</dcterms:created>
  <dcterms:modified xsi:type="dcterms:W3CDTF">2025-09-24T13:53:43Z</dcterms:modified>
</cp:coreProperties>
</file>