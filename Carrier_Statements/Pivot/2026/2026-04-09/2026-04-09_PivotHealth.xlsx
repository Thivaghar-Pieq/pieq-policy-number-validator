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312EC30E-F92C-47CB-A628-8828FC153686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Cover_Page" sheetId="1" r:id="rId1"/>
    <sheet name="Details" sheetId="2" r:id="rId2"/>
    <sheet name="Sheet1" sheetId="3" r:id="rId3"/>
  </sheets>
  <definedNames>
    <definedName name="page\x2dtotal">Details!$A$47</definedName>
    <definedName name="page\x2dtotal\x2dmaster0">Details!$A$47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4" i="3" l="1"/>
  <c r="J35" i="3"/>
  <c r="J15" i="3"/>
  <c r="J5" i="3"/>
  <c r="J6" i="3"/>
  <c r="J7" i="3"/>
  <c r="J29" i="3"/>
  <c r="J17" i="3"/>
  <c r="J19" i="3"/>
  <c r="J8" i="3"/>
  <c r="J9" i="3"/>
  <c r="J23" i="3"/>
  <c r="J10" i="3"/>
  <c r="J20" i="3"/>
  <c r="J22" i="3"/>
  <c r="J2" i="3"/>
  <c r="J28" i="3"/>
  <c r="J31" i="3"/>
  <c r="J32" i="3"/>
  <c r="J27" i="3"/>
  <c r="J14" i="3"/>
  <c r="J36" i="3"/>
  <c r="J24" i="3"/>
  <c r="J39" i="3"/>
  <c r="J37" i="3"/>
  <c r="J16" i="3"/>
  <c r="J25" i="3"/>
  <c r="J4" i="3"/>
  <c r="J11" i="3"/>
  <c r="J26" i="3"/>
  <c r="J3" i="3"/>
  <c r="J21" i="3"/>
  <c r="J12" i="3"/>
  <c r="J18" i="3"/>
  <c r="J30" i="3"/>
  <c r="J38" i="3"/>
  <c r="J13" i="3"/>
  <c r="J33" i="3"/>
</calcChain>
</file>

<file path=xl/sharedStrings.xml><?xml version="1.0" encoding="utf-8"?>
<sst xmlns="http://schemas.openxmlformats.org/spreadsheetml/2006/main" count="737" uniqueCount="199">
  <si>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</si>
  <si>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</si>
  <si>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</si>
  <si>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</si>
  <si>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</si>
  <si>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</si>
  <si>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</si>
  <si>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</si>
  <si>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</si>
  <si>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</si>
  <si>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04-09-2026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</si>
  <si>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</si>
  <si>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</si>
  <si>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</si>
  <si>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</si>
  <si>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</si>
  <si>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</si>
  <si>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</si>
  <si>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</si>
  <si>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</si>
  <si>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</si>
  <si>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</si>
  <si>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</si>
  <si>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</si>
  <si>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</si>
  <si>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</si>
  <si>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</si>
  <si>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</si>
  <si>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</si>
  <si>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</si>
  <si>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</si>
  <si>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</si>
  <si>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</si>
  <si>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</si>
  <si>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</si>
  <si>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</si>
  <si>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</si>
  <si>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</si>
  <si>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</si>
  <si>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</si>
  <si>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</si>
  <si>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</si>
  <si>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</si>
  <si>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</si>
  <si>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ISTM.MM-12-RB2</t>
  </si>
  <si>
    <t>North River</t>
  </si>
  <si>
    <t>1587644-0-1</t>
  </si>
  <si>
    <t>Hodgman, Griffin</t>
  </si>
  <si>
    <t>02-01-2026</t>
  </si>
  <si>
    <t>Timothy Hodgman</t>
  </si>
  <si>
    <t>P0845849</t>
  </si>
  <si>
    <t>01-01-2026</t>
  </si>
  <si>
    <t>03-01-2026</t>
  </si>
  <si>
    <t>1588113-0-1</t>
  </si>
  <si>
    <t>Wolk, Ronald</t>
  </si>
  <si>
    <t>04-01-2026</t>
  </si>
  <si>
    <t>Deborah Inskipt</t>
  </si>
  <si>
    <t>P0846506</t>
  </si>
  <si>
    <t>IDEN-01-PPO</t>
  </si>
  <si>
    <t>Renaissance</t>
  </si>
  <si>
    <t>1588257-0-1</t>
  </si>
  <si>
    <t>Fleming, Colette</t>
  </si>
  <si>
    <t>Chris Taugner</t>
  </si>
  <si>
    <t>996203952</t>
  </si>
  <si>
    <t>ISTM.MM-12-PPO</t>
  </si>
  <si>
    <t>1588267-0-1</t>
  </si>
  <si>
    <t>P0846709</t>
  </si>
  <si>
    <t>1588802-0-1</t>
  </si>
  <si>
    <t>Shamuluas, Scott</t>
  </si>
  <si>
    <t>P0847429</t>
  </si>
  <si>
    <t>ISTM-22-RB2</t>
  </si>
  <si>
    <t>Companion Life</t>
  </si>
  <si>
    <t>1600689-0-1</t>
  </si>
  <si>
    <t>Scarlett, Tonya</t>
  </si>
  <si>
    <t>Ryan Caltagirone</t>
  </si>
  <si>
    <t>P0848380</t>
  </si>
  <si>
    <t>1600997-0-1</t>
  </si>
  <si>
    <t>Patel, Hiren</t>
  </si>
  <si>
    <t>04-03-2026</t>
  </si>
  <si>
    <t>Frank Liskovec</t>
  </si>
  <si>
    <t>P0848836</t>
  </si>
  <si>
    <t>1601009-0-1</t>
  </si>
  <si>
    <t>Doane, Patrick</t>
  </si>
  <si>
    <t>Gregory Teipel</t>
  </si>
  <si>
    <t>P0848858</t>
  </si>
  <si>
    <t>1601698-0-1</t>
  </si>
  <si>
    <t>Swinson, Kathryn</t>
  </si>
  <si>
    <t>P0848435</t>
  </si>
  <si>
    <t>1623320-0-1</t>
  </si>
  <si>
    <t>Taugner, Christian</t>
  </si>
  <si>
    <t>P0854216</t>
  </si>
  <si>
    <t>1623606-0-1</t>
  </si>
  <si>
    <t>Pijanowski, Samuel</t>
  </si>
  <si>
    <t>Lori Tunstall</t>
  </si>
  <si>
    <t>P0854603</t>
  </si>
  <si>
    <t>1625731-0-1</t>
  </si>
  <si>
    <t>Stozek, Joanna</t>
  </si>
  <si>
    <t>P0857477</t>
  </si>
  <si>
    <t>1626729-0-1</t>
  </si>
  <si>
    <t>Lavese Williams, Celia</t>
  </si>
  <si>
    <t>P0858788</t>
  </si>
  <si>
    <t>1627198-0-1</t>
  </si>
  <si>
    <t>Panusky, Paul</t>
  </si>
  <si>
    <t>Jason Hoffmann</t>
  </si>
  <si>
    <t>P0859038</t>
  </si>
  <si>
    <t>1629149-0-1</t>
  </si>
  <si>
    <t>Norden, Beth</t>
  </si>
  <si>
    <t>Carol Foley</t>
  </si>
  <si>
    <t>P0861888</t>
  </si>
  <si>
    <t>1630567-0-1</t>
  </si>
  <si>
    <t>Weaver, Sean</t>
  </si>
  <si>
    <t>Peter Richter</t>
  </si>
  <si>
    <t>P0863630</t>
  </si>
  <si>
    <t>1630637-0-1</t>
  </si>
  <si>
    <t>Silfies, Shelley</t>
  </si>
  <si>
    <t>Ryan Stocker</t>
  </si>
  <si>
    <t>P0863729</t>
  </si>
  <si>
    <t>1630655-0-1</t>
  </si>
  <si>
    <t>Mease, Spencer</t>
  </si>
  <si>
    <t>P0863766</t>
  </si>
  <si>
    <t>1630667-0-1</t>
  </si>
  <si>
    <t>Blanchard, Garrett</t>
  </si>
  <si>
    <t>04-02-2026</t>
  </si>
  <si>
    <t>Matthew Powers</t>
  </si>
  <si>
    <t>P0863780</t>
  </si>
  <si>
    <t>194510-0-1</t>
  </si>
  <si>
    <t>Avila Ortiz, Orlando</t>
  </si>
  <si>
    <t>Dale Walenga</t>
  </si>
  <si>
    <t>996202166</t>
  </si>
  <si>
    <t>625199-2-1</t>
  </si>
  <si>
    <t>Callozzo, Janis</t>
  </si>
  <si>
    <t>P0773348</t>
  </si>
  <si>
    <t>ISTM-25-RBP</t>
  </si>
  <si>
    <t>Pan-American Life</t>
  </si>
  <si>
    <t>628086-2-1</t>
  </si>
  <si>
    <t>Ferreira, Lara</t>
  </si>
  <si>
    <t>P0777511</t>
  </si>
  <si>
    <t>630948-2-1</t>
  </si>
  <si>
    <t>Monckton, Marilyn</t>
  </si>
  <si>
    <t>Wesley Ellis</t>
  </si>
  <si>
    <t>P0781579</t>
  </si>
  <si>
    <t>645245-0-1</t>
  </si>
  <si>
    <t>Kuhn, Neal</t>
  </si>
  <si>
    <t>P0800305</t>
  </si>
  <si>
    <t>648085-0-1</t>
  </si>
  <si>
    <t>Chapman, Rashelle</t>
  </si>
  <si>
    <t>04-04-2026</t>
  </si>
  <si>
    <t>Erica Solivan</t>
  </si>
  <si>
    <t>P0832836</t>
  </si>
  <si>
    <t>649387-0-1</t>
  </si>
  <si>
    <t>Potter, Alison</t>
  </si>
  <si>
    <t>P0834649</t>
  </si>
  <si>
    <t>650639-0-1</t>
  </si>
  <si>
    <t>Kelly, Lisa</t>
  </si>
  <si>
    <t>Chad Bender</t>
  </si>
  <si>
    <t>P0836586</t>
  </si>
  <si>
    <t>651050-0-1</t>
  </si>
  <si>
    <t>Nennig, Donald</t>
  </si>
  <si>
    <t>P0837213</t>
  </si>
  <si>
    <t>652801-0-1</t>
  </si>
  <si>
    <t>Tunstall, Lori</t>
  </si>
  <si>
    <t>P0839804</t>
  </si>
  <si>
    <t>652805-0-1</t>
  </si>
  <si>
    <t>Morgan, Michael</t>
  </si>
  <si>
    <t>P0839810</t>
  </si>
  <si>
    <t>653176-0-1</t>
  </si>
  <si>
    <t>Clubbs, Scott</t>
  </si>
  <si>
    <t>Ines Berg</t>
  </si>
  <si>
    <t>P0840383</t>
  </si>
  <si>
    <t>653292-0-1</t>
  </si>
  <si>
    <t>McNeill, Laura</t>
  </si>
  <si>
    <t>P0840544</t>
  </si>
  <si>
    <t>ISTM-11-PPO</t>
  </si>
  <si>
    <t>653615-0-1</t>
  </si>
  <si>
    <t>Abrams, Mitchell</t>
  </si>
  <si>
    <t>Gary Portugal</t>
  </si>
  <si>
    <t>P0841096</t>
  </si>
  <si>
    <t>654332-0-1</t>
  </si>
  <si>
    <t>Ammerman, Maria</t>
  </si>
  <si>
    <t>P0842229</t>
  </si>
  <si>
    <t>654396-0-1</t>
  </si>
  <si>
    <t>Olson, Jon</t>
  </si>
  <si>
    <t>P0842353</t>
  </si>
  <si>
    <t>654472-0-1</t>
  </si>
  <si>
    <t>Guerra, Maricel</t>
  </si>
  <si>
    <t>P0842479</t>
  </si>
  <si>
    <t>ISTM-06-RB2</t>
  </si>
  <si>
    <t>10-01-2025</t>
  </si>
  <si>
    <t>Pivot Q4 Agent Bonus - Companion</t>
  </si>
  <si>
    <t>Pivot Q4 Agent Bonus - North River</t>
  </si>
  <si>
    <t>Totals</t>
  </si>
  <si>
    <t>ST &amp; Bridge EX DE IA IN KS MI MS ND NE NH OH TN VA</t>
  </si>
  <si>
    <t>Dental</t>
  </si>
  <si>
    <t>Short &amp; Bridge KS</t>
  </si>
  <si>
    <t>Pivot OVR</t>
  </si>
  <si>
    <t>Renaissance Dental</t>
  </si>
  <si>
    <t>17528908N</t>
  </si>
  <si>
    <t>19681796AV8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</si>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</sst>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0" fillId="3" borderId="0" xfId="0" applyFill="1"/>
    <xf numFmtId="0" fontId="1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4" fontId="1" fillId="4" borderId="2" xfId="0" applyNumberFormat="1" applyFont="1" applyFill="1" applyBorder="1" applyAlignment="1">
      <alignment horizontal="right" vertical="top" wrapText="1"/>
    </xf>
    <xf numFmtId="165" fontId="1" fillId="4" borderId="2" xfId="0" applyNumberFormat="1" applyFont="1" applyFill="1" applyBorder="1" applyAlignment="1">
      <alignment horizontal="left" vertical="top" wrapText="1"/>
    </xf>
    <xf numFmtId="0" fontId="0" fillId="4" borderId="2" xfId="0" applyFill="1" applyBorder="1" applyAlignment="1">
      <alignment vertical="top" wrapText="1"/>
    </xf>
    <xf numFmtId="0" fontId="0" fillId="4" borderId="0" xfId="0" applyFill="1"/>
    <xf numFmtId="14" fontId="1" fillId="0" borderId="2" xfId="0" applyNumberFormat="1" applyFont="1" applyBorder="1" applyAlignment="1">
      <alignment horizontal="left" vertical="top" wrapText="1"/>
    </xf>
    <xf numFmtId="14" fontId="1" fillId="4" borderId="2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right" vertical="top" wrapText="1"/>
    </xf>
    <xf numFmtId="14" fontId="1" fillId="4" borderId="2" xfId="0" applyNumberFormat="1" applyFont="1" applyFill="1" applyBorder="1" applyAlignment="1">
      <alignment horizontal="right" vertical="top" wrapText="1"/>
    </xf>
    <xf numFmtId="0" fontId="1" fillId="0" borderId="2" xfId="0" applyNumberFormat="1" applyFont="1" applyBorder="1" applyAlignment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4.4" x14ac:dyDescent="0.3"/>
  <cols>
    <col min="1" max="1" width="35" customWidth="1"/>
    <col min="2" max="2" width="14.44140625" customWidth="1"/>
    <col min="3" max="3" width="11.44140625" customWidth="1"/>
    <col min="4" max="4" width="2.33203125" customWidth="1"/>
    <col min="5" max="5" width="16.6640625" customWidth="1"/>
    <col min="6" max="6" width="13.6640625" customWidth="1"/>
    <col min="7" max="7" width="169.109375" customWidth="1"/>
  </cols>
  <sheetData>
    <row r="1" spans="1:7" x14ac:dyDescent="0.3">
      <c r="A1" s="19" t="s">
        <v>0</v>
      </c>
      <c r="B1" s="19"/>
      <c r="C1" s="19"/>
      <c r="D1" s="19"/>
      <c r="E1" s="19"/>
      <c r="F1" s="19"/>
      <c r="G1" s="19"/>
    </row>
    <row r="4" spans="1:7" x14ac:dyDescent="0.3">
      <c r="A4" s="24" t="s">
        <v>1</v>
      </c>
      <c r="B4" s="24"/>
      <c r="C4" s="24"/>
      <c r="D4" s="24"/>
      <c r="E4" s="24"/>
      <c r="F4" s="24"/>
      <c r="G4" s="24"/>
    </row>
    <row r="5" spans="1:7" x14ac:dyDescent="0.3">
      <c r="A5" s="25" t="s">
        <v>2</v>
      </c>
      <c r="B5" s="25"/>
      <c r="C5" s="25"/>
      <c r="D5" s="25"/>
      <c r="E5" s="25"/>
      <c r="F5" s="25"/>
      <c r="G5" s="25"/>
    </row>
    <row r="6" spans="1:7" x14ac:dyDescent="0.3">
      <c r="A6" s="25" t="s">
        <v>3</v>
      </c>
      <c r="B6" s="25"/>
      <c r="C6" s="25"/>
      <c r="D6" s="25"/>
      <c r="E6" s="25"/>
      <c r="F6" s="25"/>
      <c r="G6" s="25"/>
    </row>
    <row r="7" spans="1:7" x14ac:dyDescent="0.3">
      <c r="A7" s="11" t="s">
        <v>4</v>
      </c>
      <c r="B7" s="11"/>
      <c r="C7" s="11"/>
      <c r="D7" s="11"/>
      <c r="E7" s="11"/>
      <c r="F7" s="11"/>
      <c r="G7" s="11"/>
    </row>
    <row r="8" spans="1:7" x14ac:dyDescent="0.3">
      <c r="A8" s="19" t="s">
        <v>5</v>
      </c>
      <c r="B8" s="19"/>
      <c r="C8" s="19"/>
      <c r="D8" s="19"/>
      <c r="E8" s="19"/>
      <c r="F8" s="19"/>
      <c r="G8" s="19"/>
    </row>
    <row r="9" spans="1:7" x14ac:dyDescent="0.3">
      <c r="A9" s="19" t="s">
        <v>6</v>
      </c>
      <c r="B9" s="19"/>
      <c r="C9" s="19"/>
      <c r="D9" s="19"/>
      <c r="E9" s="19"/>
      <c r="F9" s="19"/>
      <c r="G9" s="19"/>
    </row>
    <row r="10" spans="1:7" x14ac:dyDescent="0.3">
      <c r="A10" s="19" t="s">
        <v>7</v>
      </c>
      <c r="B10" s="19"/>
      <c r="C10" s="19"/>
      <c r="D10" s="19"/>
      <c r="E10" s="19"/>
      <c r="F10" s="19"/>
      <c r="G10" s="19"/>
    </row>
    <row r="11" spans="1:7" x14ac:dyDescent="0.3">
      <c r="A11" s="11" t="s">
        <v>4</v>
      </c>
      <c r="B11" s="11"/>
      <c r="C11" s="11"/>
      <c r="D11" s="11"/>
      <c r="E11" s="11"/>
      <c r="F11" s="11"/>
      <c r="G11" s="11"/>
    </row>
    <row r="12" spans="1:7" x14ac:dyDescent="0.3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3">
      <c r="A13" s="20" t="s">
        <v>11</v>
      </c>
      <c r="B13" s="20"/>
      <c r="C13" s="21" t="s">
        <v>4</v>
      </c>
      <c r="D13" s="22"/>
      <c r="E13" s="1" t="s">
        <v>12</v>
      </c>
      <c r="F13" s="2">
        <v>2727034</v>
      </c>
    </row>
    <row r="14" spans="1:7" x14ac:dyDescent="0.3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3">
      <c r="A15" s="11" t="s">
        <v>4</v>
      </c>
      <c r="B15" s="11"/>
      <c r="C15" s="11"/>
      <c r="D15" s="11"/>
      <c r="E15" s="11"/>
      <c r="F15" s="11"/>
      <c r="G15" s="11"/>
    </row>
    <row r="16" spans="1:7" x14ac:dyDescent="0.3">
      <c r="A16" s="19" t="s">
        <v>16</v>
      </c>
      <c r="B16" s="19"/>
      <c r="C16" s="19"/>
      <c r="D16" s="19"/>
      <c r="E16" s="19"/>
      <c r="F16" s="19"/>
      <c r="G16" s="19"/>
    </row>
    <row r="17" spans="1:7" x14ac:dyDescent="0.3">
      <c r="A17" s="11" t="s">
        <v>4</v>
      </c>
      <c r="B17" s="11"/>
      <c r="C17" s="11"/>
      <c r="D17" s="11"/>
      <c r="E17" s="11"/>
      <c r="F17" s="11"/>
      <c r="G17" s="11"/>
    </row>
    <row r="18" spans="1:7" x14ac:dyDescent="0.3">
      <c r="A18" s="19" t="s">
        <v>17</v>
      </c>
      <c r="B18" s="19"/>
      <c r="C18" s="19"/>
      <c r="D18" s="19"/>
      <c r="E18" s="19"/>
      <c r="F18" s="19"/>
      <c r="G18" s="19"/>
    </row>
    <row r="19" spans="1:7" x14ac:dyDescent="0.3">
      <c r="A19" s="11" t="s">
        <v>4</v>
      </c>
      <c r="B19" s="11"/>
      <c r="C19" s="11"/>
      <c r="D19" s="11"/>
      <c r="E19" s="11"/>
      <c r="F19" s="11"/>
      <c r="G19" s="11"/>
    </row>
    <row r="20" spans="1:7" x14ac:dyDescent="0.3">
      <c r="A20" s="11" t="s">
        <v>18</v>
      </c>
      <c r="B20" s="11"/>
      <c r="C20" s="11"/>
      <c r="D20" s="11"/>
      <c r="E20" s="11"/>
      <c r="F20" s="11"/>
      <c r="G20" s="11"/>
    </row>
    <row r="21" spans="1:7" x14ac:dyDescent="0.3">
      <c r="A21" s="11" t="s">
        <v>4</v>
      </c>
      <c r="B21" s="11"/>
      <c r="C21" s="11"/>
      <c r="D21" s="11"/>
      <c r="E21" s="11"/>
      <c r="F21" s="11"/>
      <c r="G21" s="11"/>
    </row>
    <row r="22" spans="1:7" x14ac:dyDescent="0.3">
      <c r="A22" s="16" t="s">
        <v>19</v>
      </c>
      <c r="B22" s="17"/>
      <c r="C22" s="18"/>
    </row>
    <row r="23" spans="1:7" x14ac:dyDescent="0.3">
      <c r="A23" s="1" t="s">
        <v>20</v>
      </c>
      <c r="B23" s="12">
        <v>1380.77</v>
      </c>
      <c r="C23" s="13"/>
    </row>
    <row r="24" spans="1:7" x14ac:dyDescent="0.3">
      <c r="A24" s="1" t="s">
        <v>21</v>
      </c>
      <c r="B24" s="12">
        <v>1380.77</v>
      </c>
      <c r="C24" s="13"/>
    </row>
    <row r="25" spans="1:7" x14ac:dyDescent="0.3">
      <c r="A25" s="1" t="s">
        <v>22</v>
      </c>
      <c r="B25" s="12">
        <v>0</v>
      </c>
      <c r="C25" s="13"/>
    </row>
    <row r="26" spans="1:7" x14ac:dyDescent="0.3">
      <c r="A26" s="1" t="s">
        <v>23</v>
      </c>
      <c r="B26" s="12">
        <v>4296.79</v>
      </c>
      <c r="C26" s="13"/>
    </row>
    <row r="27" spans="1:7" x14ac:dyDescent="0.3">
      <c r="A27" s="1" t="s">
        <v>24</v>
      </c>
      <c r="B27" s="12">
        <v>4296.79</v>
      </c>
      <c r="C27" s="13"/>
    </row>
    <row r="28" spans="1:7" x14ac:dyDescent="0.3">
      <c r="A28" s="1" t="s">
        <v>25</v>
      </c>
      <c r="B28" s="14" t="s">
        <v>26</v>
      </c>
      <c r="C28" s="15"/>
    </row>
    <row r="29" spans="1:7" x14ac:dyDescent="0.3">
      <c r="A29" s="11" t="s">
        <v>4</v>
      </c>
      <c r="B29" s="11"/>
      <c r="C29" s="11"/>
      <c r="D29" s="11"/>
      <c r="E29" s="11"/>
      <c r="F29" s="11"/>
      <c r="G29" s="11"/>
    </row>
    <row r="30" spans="1:7" x14ac:dyDescent="0.3">
      <c r="A30" s="11" t="s">
        <v>4</v>
      </c>
      <c r="B30" s="11"/>
      <c r="C30" s="11"/>
      <c r="D30" s="11"/>
      <c r="E30" s="11"/>
      <c r="F30" s="11"/>
      <c r="G30" s="11"/>
    </row>
    <row r="31" spans="1:7" x14ac:dyDescent="0.3">
      <c r="A31" s="11" t="s">
        <v>4</v>
      </c>
      <c r="B31" s="11"/>
      <c r="C31" s="11"/>
      <c r="D31" s="11"/>
      <c r="E31" s="11"/>
      <c r="F31" s="11"/>
      <c r="G31" s="11"/>
    </row>
    <row r="32" spans="1:7" x14ac:dyDescent="0.3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"/>
  <sheetViews>
    <sheetView showGridLines="0" tabSelected="1" topLeftCell="A24" workbookViewId="0">
      <selection activeCell="K19" sqref="K19"/>
    </sheetView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33203125" customWidth="1"/>
    <col min="5" max="5" width="13" customWidth="1"/>
    <col min="6" max="6" width="19.88671875" customWidth="1"/>
    <col min="7" max="8" width="13" customWidth="1"/>
    <col min="9" max="9" width="13.6640625" customWidth="1"/>
    <col min="10" max="10" width="16.6640625" customWidth="1"/>
    <col min="11" max="11" width="13.6640625" customWidth="1"/>
    <col min="12" max="12" width="12.109375" customWidth="1"/>
    <col min="13" max="13" width="13.6640625" customWidth="1"/>
    <col min="14" max="14" width="10.6640625" customWidth="1"/>
    <col min="15" max="15" width="15.33203125" customWidth="1"/>
    <col min="16" max="16" width="45" customWidth="1"/>
    <col min="17" max="17" width="14.44140625" customWidth="1"/>
  </cols>
  <sheetData>
    <row r="1" spans="1:17" x14ac:dyDescent="0.3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6.4" x14ac:dyDescent="0.3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-220.94</v>
      </c>
      <c r="I4" s="6">
        <v>-55.24</v>
      </c>
      <c r="J4" s="1" t="s">
        <v>49</v>
      </c>
      <c r="K4" s="42">
        <v>95788</v>
      </c>
      <c r="L4" s="7">
        <v>46023</v>
      </c>
      <c r="M4" s="7">
        <v>46022</v>
      </c>
      <c r="N4" s="8">
        <v>364</v>
      </c>
      <c r="O4" s="1" t="s">
        <v>50</v>
      </c>
      <c r="P4" s="9"/>
    </row>
    <row r="5" spans="1:17" ht="26.4" x14ac:dyDescent="0.3">
      <c r="A5" s="1" t="s">
        <v>42</v>
      </c>
      <c r="B5" s="4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5" t="s">
        <v>51</v>
      </c>
      <c r="H5" s="6">
        <v>-220.94</v>
      </c>
      <c r="I5" s="6">
        <v>-55.24</v>
      </c>
      <c r="J5" s="1" t="s">
        <v>49</v>
      </c>
      <c r="K5" s="42">
        <v>95788</v>
      </c>
      <c r="L5" s="7">
        <v>46023</v>
      </c>
      <c r="M5" s="7">
        <v>46022</v>
      </c>
      <c r="N5" s="8">
        <v>364</v>
      </c>
      <c r="O5" s="1" t="s">
        <v>50</v>
      </c>
      <c r="P5" s="9"/>
    </row>
    <row r="6" spans="1:17" ht="26.4" x14ac:dyDescent="0.3">
      <c r="A6" s="1" t="s">
        <v>42</v>
      </c>
      <c r="B6" s="4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5" t="s">
        <v>52</v>
      </c>
      <c r="H6" s="6">
        <v>-220.94</v>
      </c>
      <c r="I6" s="6">
        <v>-55.24</v>
      </c>
      <c r="J6" s="1" t="s">
        <v>49</v>
      </c>
      <c r="K6" s="42">
        <v>95788</v>
      </c>
      <c r="L6" s="7">
        <v>46023</v>
      </c>
      <c r="M6" s="7">
        <v>46022</v>
      </c>
      <c r="N6" s="8">
        <v>364</v>
      </c>
      <c r="O6" s="1" t="s">
        <v>50</v>
      </c>
      <c r="P6" s="9"/>
    </row>
    <row r="7" spans="1:17" ht="26.4" x14ac:dyDescent="0.3">
      <c r="A7" s="1" t="s">
        <v>42</v>
      </c>
      <c r="B7" s="4" t="s">
        <v>43</v>
      </c>
      <c r="C7" s="1" t="s">
        <v>44</v>
      </c>
      <c r="D7" s="1" t="s">
        <v>45</v>
      </c>
      <c r="E7" s="1" t="s">
        <v>53</v>
      </c>
      <c r="F7" s="1" t="s">
        <v>54</v>
      </c>
      <c r="G7" s="5" t="s">
        <v>55</v>
      </c>
      <c r="H7" s="6">
        <v>1213.06</v>
      </c>
      <c r="I7" s="6">
        <v>303.27</v>
      </c>
      <c r="J7" s="1" t="s">
        <v>56</v>
      </c>
      <c r="K7" s="42">
        <v>96033</v>
      </c>
      <c r="L7" s="7">
        <v>46023</v>
      </c>
      <c r="M7" s="9"/>
      <c r="N7" s="8">
        <v>364</v>
      </c>
      <c r="O7" s="1" t="s">
        <v>57</v>
      </c>
      <c r="P7" s="9"/>
    </row>
    <row r="8" spans="1:17" x14ac:dyDescent="0.3">
      <c r="A8" s="1" t="s">
        <v>42</v>
      </c>
      <c r="B8" s="4" t="s">
        <v>43</v>
      </c>
      <c r="C8" s="1" t="s">
        <v>58</v>
      </c>
      <c r="D8" s="1" t="s">
        <v>59</v>
      </c>
      <c r="E8" s="1" t="s">
        <v>60</v>
      </c>
      <c r="F8" s="1" t="s">
        <v>61</v>
      </c>
      <c r="G8" s="5" t="s">
        <v>55</v>
      </c>
      <c r="H8" s="6">
        <v>33.29</v>
      </c>
      <c r="I8" s="6">
        <v>9.32</v>
      </c>
      <c r="J8" s="1" t="s">
        <v>62</v>
      </c>
      <c r="K8" s="42">
        <v>95679</v>
      </c>
      <c r="L8" s="7">
        <v>46023</v>
      </c>
      <c r="M8" s="9"/>
      <c r="N8" s="9"/>
      <c r="O8" s="1" t="s">
        <v>63</v>
      </c>
      <c r="P8" s="9"/>
    </row>
    <row r="9" spans="1:17" ht="26.4" x14ac:dyDescent="0.3">
      <c r="A9" s="1" t="s">
        <v>42</v>
      </c>
      <c r="B9" s="4" t="s">
        <v>43</v>
      </c>
      <c r="C9" s="1" t="s">
        <v>64</v>
      </c>
      <c r="D9" s="1" t="s">
        <v>45</v>
      </c>
      <c r="E9" s="1" t="s">
        <v>65</v>
      </c>
      <c r="F9" s="1" t="s">
        <v>61</v>
      </c>
      <c r="G9" s="5" t="s">
        <v>55</v>
      </c>
      <c r="H9" s="6">
        <v>248.28</v>
      </c>
      <c r="I9" s="6">
        <v>62.07</v>
      </c>
      <c r="J9" s="1" t="s">
        <v>62</v>
      </c>
      <c r="K9" s="42">
        <v>95679</v>
      </c>
      <c r="L9" s="7">
        <v>46023</v>
      </c>
      <c r="M9" s="9"/>
      <c r="N9" s="8">
        <v>180</v>
      </c>
      <c r="O9" s="1" t="s">
        <v>66</v>
      </c>
      <c r="P9" s="9"/>
    </row>
    <row r="10" spans="1:17" ht="26.4" x14ac:dyDescent="0.3">
      <c r="A10" s="1" t="s">
        <v>42</v>
      </c>
      <c r="B10" s="4" t="s">
        <v>43</v>
      </c>
      <c r="C10" s="1" t="s">
        <v>64</v>
      </c>
      <c r="D10" s="1" t="s">
        <v>45</v>
      </c>
      <c r="E10" s="1" t="s">
        <v>67</v>
      </c>
      <c r="F10" s="1" t="s">
        <v>68</v>
      </c>
      <c r="G10" s="5" t="s">
        <v>55</v>
      </c>
      <c r="H10" s="6">
        <v>399.02</v>
      </c>
      <c r="I10" s="6">
        <v>99.76</v>
      </c>
      <c r="J10" s="1" t="s">
        <v>62</v>
      </c>
      <c r="K10" s="42">
        <v>95679</v>
      </c>
      <c r="L10" s="7">
        <v>46023</v>
      </c>
      <c r="M10" s="9"/>
      <c r="N10" s="8">
        <v>330</v>
      </c>
      <c r="O10" s="1" t="s">
        <v>69</v>
      </c>
      <c r="P10" s="9"/>
    </row>
    <row r="11" spans="1:17" x14ac:dyDescent="0.3">
      <c r="A11" s="1" t="s">
        <v>42</v>
      </c>
      <c r="B11" s="4" t="s">
        <v>43</v>
      </c>
      <c r="C11" s="1" t="s">
        <v>70</v>
      </c>
      <c r="D11" s="1" t="s">
        <v>71</v>
      </c>
      <c r="E11" s="1" t="s">
        <v>72</v>
      </c>
      <c r="F11" s="1" t="s">
        <v>73</v>
      </c>
      <c r="G11" s="5" t="s">
        <v>55</v>
      </c>
      <c r="H11" s="6">
        <v>215.74</v>
      </c>
      <c r="I11" s="6">
        <v>53.94</v>
      </c>
      <c r="J11" s="1" t="s">
        <v>74</v>
      </c>
      <c r="K11" s="42">
        <v>80640</v>
      </c>
      <c r="L11" s="7">
        <v>46023</v>
      </c>
      <c r="M11" s="9"/>
      <c r="N11" s="8">
        <v>364</v>
      </c>
      <c r="O11" s="1" t="s">
        <v>75</v>
      </c>
      <c r="P11" s="9"/>
    </row>
    <row r="12" spans="1:17" ht="26.4" x14ac:dyDescent="0.3">
      <c r="A12" s="1" t="s">
        <v>42</v>
      </c>
      <c r="B12" s="4" t="s">
        <v>43</v>
      </c>
      <c r="C12" s="1" t="s">
        <v>44</v>
      </c>
      <c r="D12" s="1" t="s">
        <v>45</v>
      </c>
      <c r="E12" s="1" t="s">
        <v>76</v>
      </c>
      <c r="F12" s="1" t="s">
        <v>77</v>
      </c>
      <c r="G12" s="5" t="s">
        <v>78</v>
      </c>
      <c r="H12" s="6">
        <v>712.73</v>
      </c>
      <c r="I12" s="6">
        <v>178.19</v>
      </c>
      <c r="J12" s="1" t="s">
        <v>79</v>
      </c>
      <c r="K12" s="42">
        <v>95755</v>
      </c>
      <c r="L12" s="7">
        <v>46025</v>
      </c>
      <c r="M12" s="9"/>
      <c r="N12" s="8">
        <v>364</v>
      </c>
      <c r="O12" s="1" t="s">
        <v>80</v>
      </c>
      <c r="P12" s="9"/>
    </row>
    <row r="13" spans="1:17" ht="26.4" x14ac:dyDescent="0.3">
      <c r="A13" s="1" t="s">
        <v>42</v>
      </c>
      <c r="B13" s="4" t="s">
        <v>43</v>
      </c>
      <c r="C13" s="1" t="s">
        <v>44</v>
      </c>
      <c r="D13" s="1" t="s">
        <v>45</v>
      </c>
      <c r="E13" s="1" t="s">
        <v>81</v>
      </c>
      <c r="F13" s="1" t="s">
        <v>82</v>
      </c>
      <c r="G13" s="5" t="s">
        <v>78</v>
      </c>
      <c r="H13" s="6">
        <v>390.72</v>
      </c>
      <c r="I13" s="6">
        <v>62.52</v>
      </c>
      <c r="J13" s="1" t="s">
        <v>83</v>
      </c>
      <c r="K13" s="42">
        <v>80639</v>
      </c>
      <c r="L13" s="7">
        <v>46025</v>
      </c>
      <c r="M13" s="9"/>
      <c r="N13" s="8">
        <v>364</v>
      </c>
      <c r="O13" s="1" t="s">
        <v>84</v>
      </c>
      <c r="P13" s="9"/>
    </row>
    <row r="14" spans="1:17" x14ac:dyDescent="0.3">
      <c r="A14" s="1" t="s">
        <v>42</v>
      </c>
      <c r="B14" s="4" t="s">
        <v>43</v>
      </c>
      <c r="C14" s="1" t="s">
        <v>70</v>
      </c>
      <c r="D14" s="1" t="s">
        <v>71</v>
      </c>
      <c r="E14" s="1" t="s">
        <v>85</v>
      </c>
      <c r="F14" s="1" t="s">
        <v>86</v>
      </c>
      <c r="G14" s="5" t="s">
        <v>55</v>
      </c>
      <c r="H14" s="6">
        <v>259.79000000000002</v>
      </c>
      <c r="I14" s="6">
        <v>64.95</v>
      </c>
      <c r="J14" s="1" t="s">
        <v>62</v>
      </c>
      <c r="K14" s="42">
        <v>95679</v>
      </c>
      <c r="L14" s="7">
        <v>46023</v>
      </c>
      <c r="M14" s="9"/>
      <c r="N14" s="8">
        <v>364</v>
      </c>
      <c r="O14" s="1" t="s">
        <v>87</v>
      </c>
      <c r="P14" s="9"/>
    </row>
    <row r="15" spans="1:17" ht="26.4" x14ac:dyDescent="0.3">
      <c r="A15" s="1" t="s">
        <v>42</v>
      </c>
      <c r="B15" s="4" t="s">
        <v>43</v>
      </c>
      <c r="C15" s="1" t="s">
        <v>64</v>
      </c>
      <c r="D15" s="1" t="s">
        <v>45</v>
      </c>
      <c r="E15" s="1" t="s">
        <v>88</v>
      </c>
      <c r="F15" s="1" t="s">
        <v>89</v>
      </c>
      <c r="G15" s="5" t="s">
        <v>55</v>
      </c>
      <c r="H15" s="6">
        <v>1032.26</v>
      </c>
      <c r="I15" s="6">
        <v>258.06</v>
      </c>
      <c r="J15" s="1" t="s">
        <v>62</v>
      </c>
      <c r="K15" s="42">
        <v>95679</v>
      </c>
      <c r="L15" s="7">
        <v>46054</v>
      </c>
      <c r="M15" s="9"/>
      <c r="N15" s="8">
        <v>364</v>
      </c>
      <c r="O15" s="1" t="s">
        <v>90</v>
      </c>
      <c r="P15" s="9"/>
    </row>
    <row r="16" spans="1:17" ht="26.4" x14ac:dyDescent="0.3">
      <c r="A16" s="1" t="s">
        <v>42</v>
      </c>
      <c r="B16" s="4" t="s">
        <v>43</v>
      </c>
      <c r="C16" s="1" t="s">
        <v>44</v>
      </c>
      <c r="D16" s="1" t="s">
        <v>45</v>
      </c>
      <c r="E16" s="1" t="s">
        <v>91</v>
      </c>
      <c r="F16" s="1" t="s">
        <v>92</v>
      </c>
      <c r="G16" s="5" t="s">
        <v>78</v>
      </c>
      <c r="H16" s="6">
        <v>93.77</v>
      </c>
      <c r="I16" s="6">
        <v>9.3800000000000008</v>
      </c>
      <c r="J16" s="1" t="s">
        <v>93</v>
      </c>
      <c r="K16" s="42">
        <v>82178</v>
      </c>
      <c r="L16" s="7">
        <v>46056</v>
      </c>
      <c r="M16" s="9"/>
      <c r="N16" s="8">
        <v>90</v>
      </c>
      <c r="O16" s="1" t="s">
        <v>94</v>
      </c>
      <c r="P16" s="9"/>
    </row>
    <row r="17" spans="1:16" ht="26.4" x14ac:dyDescent="0.3">
      <c r="A17" s="1" t="s">
        <v>42</v>
      </c>
      <c r="B17" s="4" t="s">
        <v>43</v>
      </c>
      <c r="C17" s="1" t="s">
        <v>64</v>
      </c>
      <c r="D17" s="1" t="s">
        <v>45</v>
      </c>
      <c r="E17" s="1" t="s">
        <v>95</v>
      </c>
      <c r="F17" s="1" t="s">
        <v>96</v>
      </c>
      <c r="G17" s="5" t="s">
        <v>55</v>
      </c>
      <c r="H17" s="6">
        <v>204.73</v>
      </c>
      <c r="I17" s="6">
        <v>51.18</v>
      </c>
      <c r="J17" s="1" t="s">
        <v>62</v>
      </c>
      <c r="K17" s="42">
        <v>95679</v>
      </c>
      <c r="L17" s="7">
        <v>46082</v>
      </c>
      <c r="M17" s="9"/>
      <c r="N17" s="8">
        <v>330</v>
      </c>
      <c r="O17" s="1" t="s">
        <v>97</v>
      </c>
      <c r="P17" s="9"/>
    </row>
    <row r="18" spans="1:16" x14ac:dyDescent="0.3">
      <c r="A18" s="1" t="s">
        <v>42</v>
      </c>
      <c r="B18" s="4" t="s">
        <v>43</v>
      </c>
      <c r="C18" s="1" t="s">
        <v>70</v>
      </c>
      <c r="D18" s="1" t="s">
        <v>71</v>
      </c>
      <c r="E18" s="1" t="s">
        <v>98</v>
      </c>
      <c r="F18" s="1" t="s">
        <v>99</v>
      </c>
      <c r="G18" s="5" t="s">
        <v>55</v>
      </c>
      <c r="H18" s="6">
        <v>186.56</v>
      </c>
      <c r="I18" s="6">
        <v>46.64</v>
      </c>
      <c r="J18" s="1" t="s">
        <v>83</v>
      </c>
      <c r="K18" s="42">
        <v>80639</v>
      </c>
      <c r="L18" s="7">
        <v>46082</v>
      </c>
      <c r="M18" s="9"/>
      <c r="N18" s="8">
        <v>180</v>
      </c>
      <c r="O18" s="1" t="s">
        <v>100</v>
      </c>
      <c r="P18" s="9"/>
    </row>
    <row r="19" spans="1:16" x14ac:dyDescent="0.3">
      <c r="A19" s="1" t="s">
        <v>42</v>
      </c>
      <c r="B19" s="4" t="s">
        <v>43</v>
      </c>
      <c r="C19" s="1" t="s">
        <v>70</v>
      </c>
      <c r="D19" s="1" t="s">
        <v>71</v>
      </c>
      <c r="E19" s="1" t="s">
        <v>101</v>
      </c>
      <c r="F19" s="1" t="s">
        <v>102</v>
      </c>
      <c r="G19" s="5" t="s">
        <v>78</v>
      </c>
      <c r="H19" s="6">
        <v>254.04</v>
      </c>
      <c r="I19" s="6">
        <v>63.51</v>
      </c>
      <c r="J19" s="1" t="s">
        <v>103</v>
      </c>
      <c r="K19" s="42">
        <v>74054</v>
      </c>
      <c r="L19" s="7">
        <v>46084</v>
      </c>
      <c r="M19" s="9"/>
      <c r="N19" s="8">
        <v>180</v>
      </c>
      <c r="O19" s="1" t="s">
        <v>104</v>
      </c>
      <c r="P19" s="9"/>
    </row>
    <row r="20" spans="1:16" ht="26.4" x14ac:dyDescent="0.3">
      <c r="A20" s="1" t="s">
        <v>42</v>
      </c>
      <c r="B20" s="4" t="s">
        <v>43</v>
      </c>
      <c r="C20" s="1" t="s">
        <v>44</v>
      </c>
      <c r="D20" s="1" t="s">
        <v>45</v>
      </c>
      <c r="E20" s="1" t="s">
        <v>105</v>
      </c>
      <c r="F20" s="1" t="s">
        <v>106</v>
      </c>
      <c r="G20" s="5" t="s">
        <v>55</v>
      </c>
      <c r="H20" s="6">
        <v>-302.20999999999998</v>
      </c>
      <c r="I20" s="6">
        <v>-75.55</v>
      </c>
      <c r="J20" s="1" t="s">
        <v>107</v>
      </c>
      <c r="K20" s="42">
        <v>81570</v>
      </c>
      <c r="L20" s="7">
        <v>46113</v>
      </c>
      <c r="M20" s="9"/>
      <c r="N20" s="8">
        <v>90</v>
      </c>
      <c r="O20" s="1" t="s">
        <v>108</v>
      </c>
      <c r="P20" s="9"/>
    </row>
    <row r="21" spans="1:16" ht="26.4" x14ac:dyDescent="0.3">
      <c r="A21" s="1" t="s">
        <v>42</v>
      </c>
      <c r="B21" s="4" t="s">
        <v>43</v>
      </c>
      <c r="C21" s="1" t="s">
        <v>44</v>
      </c>
      <c r="D21" s="1" t="s">
        <v>45</v>
      </c>
      <c r="E21" s="1" t="s">
        <v>109</v>
      </c>
      <c r="F21" s="1" t="s">
        <v>110</v>
      </c>
      <c r="G21" s="5" t="s">
        <v>55</v>
      </c>
      <c r="H21" s="6">
        <v>238.75</v>
      </c>
      <c r="I21" s="6">
        <v>59.7</v>
      </c>
      <c r="J21" s="1" t="s">
        <v>111</v>
      </c>
      <c r="K21" s="42">
        <v>96125</v>
      </c>
      <c r="L21" s="7">
        <v>46113</v>
      </c>
      <c r="M21" s="9"/>
      <c r="N21" s="8">
        <v>90</v>
      </c>
      <c r="O21" s="1" t="s">
        <v>112</v>
      </c>
      <c r="P21" s="9"/>
    </row>
    <row r="22" spans="1:16" ht="26.4" x14ac:dyDescent="0.3">
      <c r="A22" s="1" t="s">
        <v>42</v>
      </c>
      <c r="B22" s="4" t="s">
        <v>43</v>
      </c>
      <c r="C22" s="1" t="s">
        <v>44</v>
      </c>
      <c r="D22" s="1" t="s">
        <v>45</v>
      </c>
      <c r="E22" s="1" t="s">
        <v>113</v>
      </c>
      <c r="F22" s="1" t="s">
        <v>114</v>
      </c>
      <c r="G22" s="5" t="s">
        <v>55</v>
      </c>
      <c r="H22" s="6">
        <v>442.75</v>
      </c>
      <c r="I22" s="6">
        <v>110.69</v>
      </c>
      <c r="J22" s="1" t="s">
        <v>115</v>
      </c>
      <c r="K22" s="42">
        <v>99977</v>
      </c>
      <c r="L22" s="7">
        <v>46113</v>
      </c>
      <c r="M22" s="7">
        <v>46203</v>
      </c>
      <c r="N22" s="8">
        <v>90</v>
      </c>
      <c r="O22" s="1" t="s">
        <v>116</v>
      </c>
      <c r="P22" s="9"/>
    </row>
    <row r="23" spans="1:16" ht="26.4" x14ac:dyDescent="0.3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117</v>
      </c>
      <c r="F23" s="1" t="s">
        <v>118</v>
      </c>
      <c r="G23" s="5" t="s">
        <v>55</v>
      </c>
      <c r="H23" s="6">
        <v>126.06</v>
      </c>
      <c r="I23" s="6">
        <v>31.52</v>
      </c>
      <c r="J23" s="1" t="s">
        <v>115</v>
      </c>
      <c r="K23" s="42">
        <v>99977</v>
      </c>
      <c r="L23" s="7">
        <v>46113</v>
      </c>
      <c r="M23" s="7">
        <v>46203</v>
      </c>
      <c r="N23" s="8">
        <v>90</v>
      </c>
      <c r="O23" s="1" t="s">
        <v>119</v>
      </c>
      <c r="P23" s="9"/>
    </row>
    <row r="24" spans="1:16" ht="26.4" x14ac:dyDescent="0.3">
      <c r="A24" s="1" t="s">
        <v>42</v>
      </c>
      <c r="B24" s="4" t="s">
        <v>43</v>
      </c>
      <c r="C24" s="1" t="s">
        <v>44</v>
      </c>
      <c r="D24" s="1" t="s">
        <v>45</v>
      </c>
      <c r="E24" s="1" t="s">
        <v>120</v>
      </c>
      <c r="F24" s="1" t="s">
        <v>121</v>
      </c>
      <c r="G24" s="5" t="s">
        <v>122</v>
      </c>
      <c r="H24" s="6">
        <v>344.63</v>
      </c>
      <c r="I24" s="6">
        <v>86.16</v>
      </c>
      <c r="J24" s="1" t="s">
        <v>123</v>
      </c>
      <c r="K24" s="42">
        <v>99140</v>
      </c>
      <c r="L24" s="7">
        <v>46114</v>
      </c>
      <c r="M24" s="9"/>
      <c r="N24" s="8">
        <v>364</v>
      </c>
      <c r="O24" s="1" t="s">
        <v>124</v>
      </c>
      <c r="P24" s="9"/>
    </row>
    <row r="25" spans="1:16" x14ac:dyDescent="0.3">
      <c r="A25" s="1" t="s">
        <v>42</v>
      </c>
      <c r="B25" s="4" t="s">
        <v>43</v>
      </c>
      <c r="C25" s="1" t="s">
        <v>58</v>
      </c>
      <c r="D25" s="1" t="s">
        <v>59</v>
      </c>
      <c r="E25" s="1" t="s">
        <v>125</v>
      </c>
      <c r="F25" s="1" t="s">
        <v>126</v>
      </c>
      <c r="G25" s="5" t="s">
        <v>55</v>
      </c>
      <c r="H25" s="6">
        <v>34.25</v>
      </c>
      <c r="I25" s="6">
        <v>4.45</v>
      </c>
      <c r="J25" s="1" t="s">
        <v>127</v>
      </c>
      <c r="K25" s="42">
        <v>96477</v>
      </c>
      <c r="L25" s="7">
        <v>45658</v>
      </c>
      <c r="M25" s="9"/>
      <c r="N25" s="9"/>
      <c r="O25" s="1" t="s">
        <v>128</v>
      </c>
      <c r="P25" s="9"/>
    </row>
    <row r="26" spans="1:16" x14ac:dyDescent="0.3">
      <c r="A26" s="1" t="s">
        <v>42</v>
      </c>
      <c r="B26" s="4" t="s">
        <v>43</v>
      </c>
      <c r="C26" s="1" t="s">
        <v>70</v>
      </c>
      <c r="D26" s="1" t="s">
        <v>71</v>
      </c>
      <c r="E26" s="1" t="s">
        <v>129</v>
      </c>
      <c r="F26" s="1" t="s">
        <v>130</v>
      </c>
      <c r="G26" s="5" t="s">
        <v>55</v>
      </c>
      <c r="H26" s="6">
        <v>260.94</v>
      </c>
      <c r="I26" s="6">
        <v>65.239999999999995</v>
      </c>
      <c r="J26" s="1" t="s">
        <v>49</v>
      </c>
      <c r="K26" s="42">
        <v>95788</v>
      </c>
      <c r="L26" s="7">
        <v>46054</v>
      </c>
      <c r="M26" s="9"/>
      <c r="N26" s="8">
        <v>120</v>
      </c>
      <c r="O26" s="1" t="s">
        <v>131</v>
      </c>
      <c r="P26" s="9"/>
    </row>
    <row r="27" spans="1:16" ht="26.4" x14ac:dyDescent="0.3">
      <c r="A27" s="1" t="s">
        <v>42</v>
      </c>
      <c r="B27" s="4" t="s">
        <v>43</v>
      </c>
      <c r="C27" s="1" t="s">
        <v>132</v>
      </c>
      <c r="D27" s="1" t="s">
        <v>133</v>
      </c>
      <c r="E27" s="1" t="s">
        <v>134</v>
      </c>
      <c r="F27" s="1" t="s">
        <v>135</v>
      </c>
      <c r="G27" s="5" t="s">
        <v>55</v>
      </c>
      <c r="H27" s="6">
        <v>307.38</v>
      </c>
      <c r="I27" s="6">
        <v>30.74</v>
      </c>
      <c r="J27" s="1" t="s">
        <v>93</v>
      </c>
      <c r="K27" s="42">
        <v>82178</v>
      </c>
      <c r="L27" s="7">
        <v>46054</v>
      </c>
      <c r="M27" s="9"/>
      <c r="N27" s="8">
        <v>120</v>
      </c>
      <c r="O27" s="1" t="s">
        <v>136</v>
      </c>
      <c r="P27" s="9"/>
    </row>
    <row r="28" spans="1:16" ht="26.4" x14ac:dyDescent="0.3">
      <c r="A28" s="1" t="s">
        <v>42</v>
      </c>
      <c r="B28" s="4" t="s">
        <v>43</v>
      </c>
      <c r="C28" s="1" t="s">
        <v>132</v>
      </c>
      <c r="D28" s="1" t="s">
        <v>133</v>
      </c>
      <c r="E28" s="1" t="s">
        <v>137</v>
      </c>
      <c r="F28" s="1" t="s">
        <v>138</v>
      </c>
      <c r="G28" s="5" t="s">
        <v>55</v>
      </c>
      <c r="H28" s="6">
        <v>374.75</v>
      </c>
      <c r="I28" s="6">
        <v>93.69</v>
      </c>
      <c r="J28" s="1" t="s">
        <v>139</v>
      </c>
      <c r="K28" s="42">
        <v>2223</v>
      </c>
      <c r="L28" s="7">
        <v>46113</v>
      </c>
      <c r="M28" s="7">
        <v>46142</v>
      </c>
      <c r="N28" s="8">
        <v>34</v>
      </c>
      <c r="O28" s="1" t="s">
        <v>140</v>
      </c>
      <c r="P28" s="9"/>
    </row>
    <row r="29" spans="1:16" ht="26.4" x14ac:dyDescent="0.3">
      <c r="A29" s="1" t="s">
        <v>42</v>
      </c>
      <c r="B29" s="4" t="s">
        <v>43</v>
      </c>
      <c r="C29" s="1" t="s">
        <v>64</v>
      </c>
      <c r="D29" s="1" t="s">
        <v>45</v>
      </c>
      <c r="E29" s="1" t="s">
        <v>141</v>
      </c>
      <c r="F29" s="1" t="s">
        <v>142</v>
      </c>
      <c r="G29" s="5" t="s">
        <v>55</v>
      </c>
      <c r="H29" s="6">
        <v>701.73</v>
      </c>
      <c r="I29" s="6">
        <v>175.43</v>
      </c>
      <c r="J29" s="1" t="s">
        <v>49</v>
      </c>
      <c r="K29" s="42">
        <v>95788</v>
      </c>
      <c r="L29" s="7">
        <v>45962</v>
      </c>
      <c r="M29" s="9"/>
      <c r="N29" s="8">
        <v>364</v>
      </c>
      <c r="O29" s="1" t="s">
        <v>143</v>
      </c>
      <c r="P29" s="9"/>
    </row>
    <row r="30" spans="1:16" ht="26.4" x14ac:dyDescent="0.3">
      <c r="A30" s="1" t="s">
        <v>42</v>
      </c>
      <c r="B30" s="4" t="s">
        <v>43</v>
      </c>
      <c r="C30" s="1" t="s">
        <v>44</v>
      </c>
      <c r="D30" s="1" t="s">
        <v>45</v>
      </c>
      <c r="E30" s="1" t="s">
        <v>144</v>
      </c>
      <c r="F30" s="1" t="s">
        <v>145</v>
      </c>
      <c r="G30" s="5" t="s">
        <v>146</v>
      </c>
      <c r="H30" s="6">
        <v>495.24</v>
      </c>
      <c r="I30" s="6">
        <v>123.81</v>
      </c>
      <c r="J30" s="1" t="s">
        <v>147</v>
      </c>
      <c r="K30" s="42">
        <v>2658</v>
      </c>
      <c r="L30" s="7">
        <v>45965</v>
      </c>
      <c r="M30" s="9"/>
      <c r="N30" s="8">
        <v>364</v>
      </c>
      <c r="O30" s="1" t="s">
        <v>148</v>
      </c>
      <c r="P30" s="9"/>
    </row>
    <row r="31" spans="1:16" x14ac:dyDescent="0.3">
      <c r="A31" s="1" t="s">
        <v>42</v>
      </c>
      <c r="B31" s="4" t="s">
        <v>43</v>
      </c>
      <c r="C31" s="1" t="s">
        <v>70</v>
      </c>
      <c r="D31" s="1" t="s">
        <v>71</v>
      </c>
      <c r="E31" s="1" t="s">
        <v>149</v>
      </c>
      <c r="F31" s="1" t="s">
        <v>150</v>
      </c>
      <c r="G31" s="5" t="s">
        <v>55</v>
      </c>
      <c r="H31" s="6">
        <v>294.7</v>
      </c>
      <c r="I31" s="6">
        <v>29.47</v>
      </c>
      <c r="J31" s="1" t="s">
        <v>93</v>
      </c>
      <c r="K31" s="42">
        <v>82178</v>
      </c>
      <c r="L31" s="7">
        <v>46023</v>
      </c>
      <c r="M31" s="9"/>
      <c r="N31" s="8">
        <v>364</v>
      </c>
      <c r="O31" s="1" t="s">
        <v>151</v>
      </c>
      <c r="P31" s="9"/>
    </row>
    <row r="32" spans="1:16" x14ac:dyDescent="0.3">
      <c r="A32" s="1" t="s">
        <v>42</v>
      </c>
      <c r="B32" s="4" t="s">
        <v>43</v>
      </c>
      <c r="C32" s="1" t="s">
        <v>70</v>
      </c>
      <c r="D32" s="1" t="s">
        <v>71</v>
      </c>
      <c r="E32" s="1" t="s">
        <v>152</v>
      </c>
      <c r="F32" s="1" t="s">
        <v>153</v>
      </c>
      <c r="G32" s="5" t="s">
        <v>55</v>
      </c>
      <c r="H32" s="6">
        <v>309.48</v>
      </c>
      <c r="I32" s="6">
        <v>77.37</v>
      </c>
      <c r="J32" s="1" t="s">
        <v>154</v>
      </c>
      <c r="K32" s="42">
        <v>69709</v>
      </c>
      <c r="L32" s="7">
        <v>46023</v>
      </c>
      <c r="M32" s="9"/>
      <c r="N32" s="8">
        <v>364</v>
      </c>
      <c r="O32" s="1" t="s">
        <v>155</v>
      </c>
      <c r="P32" s="9"/>
    </row>
    <row r="33" spans="1:17" ht="26.4" x14ac:dyDescent="0.3">
      <c r="A33" s="1" t="s">
        <v>42</v>
      </c>
      <c r="B33" s="4" t="s">
        <v>43</v>
      </c>
      <c r="C33" s="1" t="s">
        <v>64</v>
      </c>
      <c r="D33" s="1" t="s">
        <v>45</v>
      </c>
      <c r="E33" s="1" t="s">
        <v>156</v>
      </c>
      <c r="F33" s="1" t="s">
        <v>157</v>
      </c>
      <c r="G33" s="5" t="s">
        <v>55</v>
      </c>
      <c r="H33" s="6">
        <v>275.43</v>
      </c>
      <c r="I33" s="6">
        <v>68.86</v>
      </c>
      <c r="J33" s="1" t="s">
        <v>62</v>
      </c>
      <c r="K33" s="42">
        <v>95679</v>
      </c>
      <c r="L33" s="7">
        <v>45992</v>
      </c>
      <c r="M33" s="9"/>
      <c r="N33" s="8">
        <v>180</v>
      </c>
      <c r="O33" s="1" t="s">
        <v>158</v>
      </c>
      <c r="P33" s="9"/>
    </row>
    <row r="34" spans="1:17" x14ac:dyDescent="0.3">
      <c r="A34" s="1" t="s">
        <v>42</v>
      </c>
      <c r="B34" s="4" t="s">
        <v>43</v>
      </c>
      <c r="C34" s="1" t="s">
        <v>70</v>
      </c>
      <c r="D34" s="1" t="s">
        <v>71</v>
      </c>
      <c r="E34" s="1" t="s">
        <v>159</v>
      </c>
      <c r="F34" s="1" t="s">
        <v>160</v>
      </c>
      <c r="G34" s="5" t="s">
        <v>55</v>
      </c>
      <c r="H34" s="6">
        <v>1294.49</v>
      </c>
      <c r="I34" s="6">
        <v>129.44999999999999</v>
      </c>
      <c r="J34" s="1" t="s">
        <v>93</v>
      </c>
      <c r="K34" s="42">
        <v>82178</v>
      </c>
      <c r="L34" s="7">
        <v>46023</v>
      </c>
      <c r="M34" s="9"/>
      <c r="N34" s="8">
        <v>364</v>
      </c>
      <c r="O34" s="1" t="s">
        <v>161</v>
      </c>
      <c r="P34" s="9"/>
    </row>
    <row r="35" spans="1:17" x14ac:dyDescent="0.3">
      <c r="A35" s="1" t="s">
        <v>42</v>
      </c>
      <c r="B35" s="4" t="s">
        <v>43</v>
      </c>
      <c r="C35" s="1" t="s">
        <v>70</v>
      </c>
      <c r="D35" s="1" t="s">
        <v>71</v>
      </c>
      <c r="E35" s="1" t="s">
        <v>162</v>
      </c>
      <c r="F35" s="1" t="s">
        <v>163</v>
      </c>
      <c r="G35" s="5" t="s">
        <v>55</v>
      </c>
      <c r="H35" s="6">
        <v>486.21</v>
      </c>
      <c r="I35" s="6">
        <v>121.55</v>
      </c>
      <c r="J35" s="1" t="s">
        <v>107</v>
      </c>
      <c r="K35" s="42">
        <v>81570</v>
      </c>
      <c r="L35" s="7">
        <v>46023</v>
      </c>
      <c r="M35" s="7">
        <v>46252</v>
      </c>
      <c r="N35" s="8">
        <v>230</v>
      </c>
      <c r="O35" s="1" t="s">
        <v>164</v>
      </c>
      <c r="P35" s="9"/>
    </row>
    <row r="36" spans="1:17" x14ac:dyDescent="0.3">
      <c r="A36" s="1" t="s">
        <v>42</v>
      </c>
      <c r="B36" s="4" t="s">
        <v>43</v>
      </c>
      <c r="C36" s="1" t="s">
        <v>70</v>
      </c>
      <c r="D36" s="1" t="s">
        <v>71</v>
      </c>
      <c r="E36" s="1" t="s">
        <v>165</v>
      </c>
      <c r="F36" s="1" t="s">
        <v>166</v>
      </c>
      <c r="G36" s="5" t="s">
        <v>55</v>
      </c>
      <c r="H36" s="6">
        <v>782.35</v>
      </c>
      <c r="I36" s="6">
        <v>195.59</v>
      </c>
      <c r="J36" s="1" t="s">
        <v>167</v>
      </c>
      <c r="K36" s="42">
        <v>7511</v>
      </c>
      <c r="L36" s="7">
        <v>46023</v>
      </c>
      <c r="M36" s="9"/>
      <c r="N36" s="8">
        <v>364</v>
      </c>
      <c r="O36" s="1" t="s">
        <v>168</v>
      </c>
      <c r="P36" s="9"/>
    </row>
    <row r="37" spans="1:17" ht="26.4" x14ac:dyDescent="0.3">
      <c r="A37" s="1" t="s">
        <v>42</v>
      </c>
      <c r="B37" s="4" t="s">
        <v>43</v>
      </c>
      <c r="C37" s="1" t="s">
        <v>64</v>
      </c>
      <c r="D37" s="1" t="s">
        <v>45</v>
      </c>
      <c r="E37" s="1" t="s">
        <v>169</v>
      </c>
      <c r="F37" s="1" t="s">
        <v>170</v>
      </c>
      <c r="G37" s="5" t="s">
        <v>55</v>
      </c>
      <c r="H37" s="6">
        <v>347.06</v>
      </c>
      <c r="I37" s="6">
        <v>86.77</v>
      </c>
      <c r="J37" s="1" t="s">
        <v>62</v>
      </c>
      <c r="K37" s="42">
        <v>95679</v>
      </c>
      <c r="L37" s="7">
        <v>46023</v>
      </c>
      <c r="M37" s="7">
        <v>46352</v>
      </c>
      <c r="N37" s="8">
        <v>330</v>
      </c>
      <c r="O37" s="1" t="s">
        <v>171</v>
      </c>
      <c r="P37" s="9"/>
    </row>
    <row r="38" spans="1:17" x14ac:dyDescent="0.3">
      <c r="A38" s="1" t="s">
        <v>42</v>
      </c>
      <c r="B38" s="4" t="s">
        <v>43</v>
      </c>
      <c r="C38" s="1" t="s">
        <v>172</v>
      </c>
      <c r="D38" s="1" t="s">
        <v>71</v>
      </c>
      <c r="E38" s="1" t="s">
        <v>173</v>
      </c>
      <c r="F38" s="1" t="s">
        <v>174</v>
      </c>
      <c r="G38" s="5" t="s">
        <v>55</v>
      </c>
      <c r="H38" s="6">
        <v>394.24</v>
      </c>
      <c r="I38" s="6">
        <v>98.56</v>
      </c>
      <c r="J38" s="1" t="s">
        <v>175</v>
      </c>
      <c r="K38" s="42">
        <v>95756</v>
      </c>
      <c r="L38" s="7">
        <v>46023</v>
      </c>
      <c r="M38" s="7">
        <v>46142</v>
      </c>
      <c r="N38" s="8">
        <v>138</v>
      </c>
      <c r="O38" s="1" t="s">
        <v>176</v>
      </c>
      <c r="P38" s="9"/>
    </row>
    <row r="39" spans="1:17" x14ac:dyDescent="0.3">
      <c r="A39" s="1" t="s">
        <v>42</v>
      </c>
      <c r="B39" s="4" t="s">
        <v>43</v>
      </c>
      <c r="C39" s="1" t="s">
        <v>70</v>
      </c>
      <c r="D39" s="1" t="s">
        <v>71</v>
      </c>
      <c r="E39" s="1" t="s">
        <v>177</v>
      </c>
      <c r="F39" s="1" t="s">
        <v>178</v>
      </c>
      <c r="G39" s="5" t="s">
        <v>55</v>
      </c>
      <c r="H39" s="6">
        <v>414.08</v>
      </c>
      <c r="I39" s="6">
        <v>103.52</v>
      </c>
      <c r="J39" s="1" t="s">
        <v>74</v>
      </c>
      <c r="K39" s="42">
        <v>80640</v>
      </c>
      <c r="L39" s="7">
        <v>46023</v>
      </c>
      <c r="M39" s="7">
        <v>46142</v>
      </c>
      <c r="N39" s="8">
        <v>120</v>
      </c>
      <c r="O39" s="1" t="s">
        <v>179</v>
      </c>
      <c r="P39" s="9"/>
    </row>
    <row r="40" spans="1:17" ht="26.4" x14ac:dyDescent="0.3">
      <c r="A40" s="1" t="s">
        <v>42</v>
      </c>
      <c r="B40" s="4" t="s">
        <v>43</v>
      </c>
      <c r="C40" s="1" t="s">
        <v>44</v>
      </c>
      <c r="D40" s="1" t="s">
        <v>45</v>
      </c>
      <c r="E40" s="1" t="s">
        <v>180</v>
      </c>
      <c r="F40" s="1" t="s">
        <v>181</v>
      </c>
      <c r="G40" s="5" t="s">
        <v>55</v>
      </c>
      <c r="H40" s="6">
        <v>545.76</v>
      </c>
      <c r="I40" s="6">
        <v>136.44</v>
      </c>
      <c r="J40" s="1" t="s">
        <v>49</v>
      </c>
      <c r="K40" s="42">
        <v>95788</v>
      </c>
      <c r="L40" s="7">
        <v>46023</v>
      </c>
      <c r="M40" s="9"/>
      <c r="N40" s="8">
        <v>364</v>
      </c>
      <c r="O40" s="1" t="s">
        <v>182</v>
      </c>
      <c r="P40" s="9"/>
    </row>
    <row r="41" spans="1:17" ht="26.4" x14ac:dyDescent="0.3">
      <c r="A41" s="1" t="s">
        <v>42</v>
      </c>
      <c r="B41" s="4" t="s">
        <v>43</v>
      </c>
      <c r="C41" s="1" t="s">
        <v>64</v>
      </c>
      <c r="D41" s="1" t="s">
        <v>45</v>
      </c>
      <c r="E41" s="1" t="s">
        <v>183</v>
      </c>
      <c r="F41" s="1" t="s">
        <v>184</v>
      </c>
      <c r="G41" s="5" t="s">
        <v>55</v>
      </c>
      <c r="H41" s="6">
        <v>185.03</v>
      </c>
      <c r="I41" s="6">
        <v>46.26</v>
      </c>
      <c r="J41" s="1" t="s">
        <v>62</v>
      </c>
      <c r="K41" s="42">
        <v>95679</v>
      </c>
      <c r="L41" s="7">
        <v>46023</v>
      </c>
      <c r="M41" s="7">
        <v>46352</v>
      </c>
      <c r="N41" s="8">
        <v>330</v>
      </c>
      <c r="O41" s="1" t="s">
        <v>185</v>
      </c>
      <c r="P41" s="9"/>
    </row>
    <row r="42" spans="1:17" s="31" customFormat="1" ht="26.4" x14ac:dyDescent="0.3">
      <c r="A42" s="26" t="s">
        <v>42</v>
      </c>
      <c r="B42" s="27" t="s">
        <v>43</v>
      </c>
      <c r="C42" s="26" t="s">
        <v>186</v>
      </c>
      <c r="D42" s="26" t="s">
        <v>71</v>
      </c>
      <c r="E42" s="28"/>
      <c r="F42" s="28"/>
      <c r="G42" s="29" t="s">
        <v>187</v>
      </c>
      <c r="H42" s="30">
        <v>0</v>
      </c>
      <c r="I42" s="30">
        <v>125</v>
      </c>
      <c r="J42" s="26" t="s">
        <v>5</v>
      </c>
      <c r="K42" s="43">
        <v>74054</v>
      </c>
      <c r="L42" s="28"/>
      <c r="M42" s="28"/>
      <c r="N42" s="28"/>
      <c r="O42" s="28"/>
      <c r="P42" s="26" t="s">
        <v>188</v>
      </c>
    </row>
    <row r="43" spans="1:17" s="31" customFormat="1" ht="26.4" x14ac:dyDescent="0.3">
      <c r="A43" s="26" t="s">
        <v>42</v>
      </c>
      <c r="B43" s="27" t="s">
        <v>43</v>
      </c>
      <c r="C43" s="26" t="s">
        <v>44</v>
      </c>
      <c r="D43" s="26" t="s">
        <v>45</v>
      </c>
      <c r="E43" s="28"/>
      <c r="F43" s="28"/>
      <c r="G43" s="29" t="s">
        <v>187</v>
      </c>
      <c r="H43" s="30">
        <v>0</v>
      </c>
      <c r="I43" s="30">
        <v>1275</v>
      </c>
      <c r="J43" s="26" t="s">
        <v>5</v>
      </c>
      <c r="K43" s="43">
        <v>74054</v>
      </c>
      <c r="L43" s="28"/>
      <c r="M43" s="28"/>
      <c r="N43" s="28"/>
      <c r="O43" s="28"/>
      <c r="P43" s="26" t="s">
        <v>189</v>
      </c>
    </row>
    <row r="44" spans="1:17" x14ac:dyDescent="0.3">
      <c r="A44" s="10" t="s">
        <v>190</v>
      </c>
      <c r="B44" s="4"/>
      <c r="C44" s="4"/>
      <c r="D44" s="4"/>
      <c r="E44" s="4"/>
      <c r="F44" s="4"/>
      <c r="G44" s="4"/>
      <c r="H44" s="6">
        <v>12934.27</v>
      </c>
      <c r="I44" s="6">
        <v>4296.7900000000009</v>
      </c>
      <c r="J44" s="4"/>
      <c r="K44" s="4"/>
      <c r="L44" s="4"/>
      <c r="M44" s="4"/>
      <c r="N44" s="4"/>
      <c r="O44" s="4"/>
      <c r="P44" s="4"/>
    </row>
    <row r="45" spans="1:17" x14ac:dyDescent="0.3">
      <c r="A45" s="11" t="s">
        <v>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3">
      <c r="A46" s="11" t="s">
        <v>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x14ac:dyDescent="0.3">
      <c r="A47" s="11" t="s">
        <v>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</sheetData>
  <mergeCells count="5">
    <mergeCell ref="A1:Q1"/>
    <mergeCell ref="A2:Q2"/>
    <mergeCell ref="A45:Q45"/>
    <mergeCell ref="A46:Q46"/>
    <mergeCell ref="A47:Q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4550-A329-42CC-99F2-6C4486A7B759}">
  <dimension ref="A1:R39"/>
  <sheetViews>
    <sheetView topLeftCell="A2" workbookViewId="0">
      <selection activeCell="I2" sqref="I2:I39"/>
    </sheetView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33203125" customWidth="1"/>
    <col min="5" max="5" width="18.5546875" customWidth="1"/>
    <col min="6" max="6" width="19.88671875" customWidth="1"/>
    <col min="7" max="8" width="13" customWidth="1"/>
    <col min="9" max="10" width="13.6640625" customWidth="1"/>
    <col min="11" max="11" width="16.6640625" customWidth="1"/>
    <col min="12" max="12" width="13.6640625" customWidth="1"/>
    <col min="13" max="13" width="12.109375" customWidth="1"/>
    <col min="14" max="14" width="13.6640625" customWidth="1"/>
    <col min="15" max="15" width="52.88671875" customWidth="1"/>
    <col min="16" max="16" width="14.44140625" customWidth="1"/>
  </cols>
  <sheetData>
    <row r="1" spans="1:15" ht="24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/>
      <c r="K1" s="3" t="s">
        <v>35</v>
      </c>
      <c r="L1" s="3" t="s">
        <v>36</v>
      </c>
      <c r="M1" s="3" t="s">
        <v>37</v>
      </c>
      <c r="N1" s="3" t="s">
        <v>38</v>
      </c>
      <c r="O1" s="3" t="s">
        <v>41</v>
      </c>
    </row>
    <row r="2" spans="1:15" ht="15" customHeight="1" x14ac:dyDescent="0.3">
      <c r="A2" s="1" t="s">
        <v>42</v>
      </c>
      <c r="B2" s="4" t="s">
        <v>43</v>
      </c>
      <c r="C2" s="1" t="s">
        <v>44</v>
      </c>
      <c r="D2" s="1" t="s">
        <v>45</v>
      </c>
      <c r="E2" s="1" t="s">
        <v>105</v>
      </c>
      <c r="F2" s="1" t="s">
        <v>106</v>
      </c>
      <c r="G2" s="40">
        <v>46113</v>
      </c>
      <c r="H2" s="6">
        <v>-302.20999999999998</v>
      </c>
      <c r="I2" s="6">
        <v>-75.55</v>
      </c>
      <c r="J2" s="6">
        <f>I2/H2</f>
        <v>0.24999172760663116</v>
      </c>
      <c r="K2" s="1" t="s">
        <v>107</v>
      </c>
      <c r="L2" s="1">
        <v>17425766</v>
      </c>
      <c r="M2" s="38">
        <v>46113</v>
      </c>
      <c r="N2" s="9"/>
      <c r="O2" s="9" t="s">
        <v>191</v>
      </c>
    </row>
    <row r="3" spans="1:15" ht="15" customHeight="1" x14ac:dyDescent="0.3">
      <c r="A3" s="1" t="s">
        <v>42</v>
      </c>
      <c r="B3" s="4" t="s">
        <v>43</v>
      </c>
      <c r="C3" s="1" t="s">
        <v>70</v>
      </c>
      <c r="D3" s="1" t="s">
        <v>71</v>
      </c>
      <c r="E3" s="1" t="s">
        <v>162</v>
      </c>
      <c r="F3" s="1" t="s">
        <v>163</v>
      </c>
      <c r="G3" s="40">
        <v>46113</v>
      </c>
      <c r="H3" s="6">
        <v>486.21</v>
      </c>
      <c r="I3" s="6">
        <v>121.55</v>
      </c>
      <c r="J3" s="6">
        <f>I3/H3</f>
        <v>0.24999485818884845</v>
      </c>
      <c r="K3" s="1" t="s">
        <v>107</v>
      </c>
      <c r="L3" s="1">
        <v>17425766</v>
      </c>
      <c r="M3" s="38">
        <v>46023</v>
      </c>
      <c r="N3" s="7">
        <v>46252</v>
      </c>
      <c r="O3" s="9" t="s">
        <v>191</v>
      </c>
    </row>
    <row r="4" spans="1:15" ht="15" customHeight="1" x14ac:dyDescent="0.3">
      <c r="A4" s="1" t="s">
        <v>42</v>
      </c>
      <c r="B4" s="4" t="s">
        <v>43</v>
      </c>
      <c r="C4" s="1" t="s">
        <v>70</v>
      </c>
      <c r="D4" s="1" t="s">
        <v>71</v>
      </c>
      <c r="E4" s="1" t="s">
        <v>152</v>
      </c>
      <c r="F4" s="1" t="s">
        <v>153</v>
      </c>
      <c r="G4" s="40">
        <v>46113</v>
      </c>
      <c r="H4" s="6">
        <v>309.48</v>
      </c>
      <c r="I4" s="6">
        <v>77.37</v>
      </c>
      <c r="J4" s="6">
        <f>I4/H4</f>
        <v>0.25</v>
      </c>
      <c r="K4" s="1" t="s">
        <v>154</v>
      </c>
      <c r="L4" s="1">
        <v>18598357</v>
      </c>
      <c r="M4" s="38">
        <v>46023</v>
      </c>
      <c r="N4" s="9"/>
      <c r="O4" s="9" t="s">
        <v>191</v>
      </c>
    </row>
    <row r="5" spans="1:15" ht="15" customHeight="1" x14ac:dyDescent="0.3">
      <c r="A5" s="1" t="s">
        <v>42</v>
      </c>
      <c r="B5" s="4" t="s">
        <v>43</v>
      </c>
      <c r="C5" s="1" t="s">
        <v>58</v>
      </c>
      <c r="D5" s="1" t="s">
        <v>59</v>
      </c>
      <c r="E5" s="1" t="s">
        <v>60</v>
      </c>
      <c r="F5" s="1" t="s">
        <v>61</v>
      </c>
      <c r="G5" s="40">
        <v>46113</v>
      </c>
      <c r="H5" s="6">
        <v>33.29</v>
      </c>
      <c r="I5" s="6">
        <v>9.32</v>
      </c>
      <c r="J5" s="6">
        <f>I5/H5</f>
        <v>0.27996395313908085</v>
      </c>
      <c r="K5" s="1" t="s">
        <v>62</v>
      </c>
      <c r="L5" s="1" t="s">
        <v>197</v>
      </c>
      <c r="M5" s="38">
        <v>46023</v>
      </c>
      <c r="N5" s="9"/>
      <c r="O5" s="9" t="s">
        <v>192</v>
      </c>
    </row>
    <row r="6" spans="1:15" ht="15" customHeight="1" x14ac:dyDescent="0.3">
      <c r="A6" s="1" t="s">
        <v>42</v>
      </c>
      <c r="B6" s="4" t="s">
        <v>43</v>
      </c>
      <c r="C6" s="1" t="s">
        <v>64</v>
      </c>
      <c r="D6" s="1" t="s">
        <v>45</v>
      </c>
      <c r="E6" s="1" t="s">
        <v>65</v>
      </c>
      <c r="F6" s="1" t="s">
        <v>61</v>
      </c>
      <c r="G6" s="40">
        <v>46113</v>
      </c>
      <c r="H6" s="6">
        <v>248.28</v>
      </c>
      <c r="I6" s="6">
        <v>62.07</v>
      </c>
      <c r="J6" s="6">
        <f>I6/H6</f>
        <v>0.25</v>
      </c>
      <c r="K6" s="1" t="s">
        <v>62</v>
      </c>
      <c r="L6" s="1">
        <v>19681796</v>
      </c>
      <c r="M6" s="38">
        <v>46023</v>
      </c>
      <c r="N6" s="9"/>
      <c r="O6" s="9" t="s">
        <v>191</v>
      </c>
    </row>
    <row r="7" spans="1:15" ht="15" customHeight="1" x14ac:dyDescent="0.3">
      <c r="A7" s="1" t="s">
        <v>42</v>
      </c>
      <c r="B7" s="4" t="s">
        <v>43</v>
      </c>
      <c r="C7" s="1" t="s">
        <v>64</v>
      </c>
      <c r="D7" s="1" t="s">
        <v>45</v>
      </c>
      <c r="E7" s="1" t="s">
        <v>67</v>
      </c>
      <c r="F7" s="1" t="s">
        <v>68</v>
      </c>
      <c r="G7" s="40">
        <v>46113</v>
      </c>
      <c r="H7" s="6">
        <v>399.02</v>
      </c>
      <c r="I7" s="6">
        <v>99.76</v>
      </c>
      <c r="J7" s="6">
        <f>I7/H7</f>
        <v>0.25001253070021556</v>
      </c>
      <c r="K7" s="1" t="s">
        <v>62</v>
      </c>
      <c r="L7" s="1">
        <v>19681796</v>
      </c>
      <c r="M7" s="38">
        <v>46023</v>
      </c>
      <c r="N7" s="9"/>
      <c r="O7" s="9" t="s">
        <v>191</v>
      </c>
    </row>
    <row r="8" spans="1:15" ht="15" customHeight="1" x14ac:dyDescent="0.3">
      <c r="A8" s="1" t="s">
        <v>42</v>
      </c>
      <c r="B8" s="4" t="s">
        <v>43</v>
      </c>
      <c r="C8" s="1" t="s">
        <v>70</v>
      </c>
      <c r="D8" s="1" t="s">
        <v>71</v>
      </c>
      <c r="E8" s="1" t="s">
        <v>85</v>
      </c>
      <c r="F8" s="1" t="s">
        <v>86</v>
      </c>
      <c r="G8" s="40">
        <v>46113</v>
      </c>
      <c r="H8" s="6">
        <v>259.79000000000002</v>
      </c>
      <c r="I8" s="6">
        <v>64.95</v>
      </c>
      <c r="J8" s="6">
        <f>I8/H8</f>
        <v>0.25000962315716541</v>
      </c>
      <c r="K8" s="1" t="s">
        <v>62</v>
      </c>
      <c r="L8" s="1">
        <v>19681796</v>
      </c>
      <c r="M8" s="38">
        <v>46023</v>
      </c>
      <c r="N8" s="9"/>
      <c r="O8" s="9" t="s">
        <v>191</v>
      </c>
    </row>
    <row r="9" spans="1:15" ht="15" customHeight="1" x14ac:dyDescent="0.3">
      <c r="A9" s="1" t="s">
        <v>42</v>
      </c>
      <c r="B9" s="4" t="s">
        <v>43</v>
      </c>
      <c r="C9" s="1" t="s">
        <v>64</v>
      </c>
      <c r="D9" s="1" t="s">
        <v>45</v>
      </c>
      <c r="E9" s="1" t="s">
        <v>88</v>
      </c>
      <c r="F9" s="1" t="s">
        <v>89</v>
      </c>
      <c r="G9" s="40">
        <v>46113</v>
      </c>
      <c r="H9" s="6">
        <v>1032.26</v>
      </c>
      <c r="I9" s="6">
        <v>258.06</v>
      </c>
      <c r="J9" s="6">
        <f>I9/H9</f>
        <v>0.24999515625908203</v>
      </c>
      <c r="K9" s="1" t="s">
        <v>62</v>
      </c>
      <c r="L9" s="1">
        <v>19681796</v>
      </c>
      <c r="M9" s="38">
        <v>46054</v>
      </c>
      <c r="N9" s="9"/>
      <c r="O9" s="9" t="s">
        <v>191</v>
      </c>
    </row>
    <row r="10" spans="1:15" ht="15" customHeight="1" x14ac:dyDescent="0.3">
      <c r="A10" s="1" t="s">
        <v>42</v>
      </c>
      <c r="B10" s="4" t="s">
        <v>43</v>
      </c>
      <c r="C10" s="1" t="s">
        <v>64</v>
      </c>
      <c r="D10" s="1" t="s">
        <v>45</v>
      </c>
      <c r="E10" s="1" t="s">
        <v>95</v>
      </c>
      <c r="F10" s="1" t="s">
        <v>96</v>
      </c>
      <c r="G10" s="40">
        <v>46113</v>
      </c>
      <c r="H10" s="6">
        <v>204.73</v>
      </c>
      <c r="I10" s="6">
        <v>51.18</v>
      </c>
      <c r="J10" s="6">
        <f>I10/H10</f>
        <v>0.24998778879499831</v>
      </c>
      <c r="K10" s="1" t="s">
        <v>62</v>
      </c>
      <c r="L10" s="1">
        <v>19681796</v>
      </c>
      <c r="M10" s="38">
        <v>46082</v>
      </c>
      <c r="N10" s="9"/>
      <c r="O10" s="9" t="s">
        <v>191</v>
      </c>
    </row>
    <row r="11" spans="1:15" ht="15" customHeight="1" x14ac:dyDescent="0.3">
      <c r="A11" s="1" t="s">
        <v>42</v>
      </c>
      <c r="B11" s="4" t="s">
        <v>43</v>
      </c>
      <c r="C11" s="1" t="s">
        <v>64</v>
      </c>
      <c r="D11" s="1" t="s">
        <v>45</v>
      </c>
      <c r="E11" s="1" t="s">
        <v>156</v>
      </c>
      <c r="F11" s="1" t="s">
        <v>157</v>
      </c>
      <c r="G11" s="40">
        <v>46113</v>
      </c>
      <c r="H11" s="6">
        <v>275.43</v>
      </c>
      <c r="I11" s="6">
        <v>68.86</v>
      </c>
      <c r="J11" s="6">
        <f>I11/H11</f>
        <v>0.25000907671640704</v>
      </c>
      <c r="K11" s="1" t="s">
        <v>62</v>
      </c>
      <c r="L11" s="1">
        <v>19681796</v>
      </c>
      <c r="M11" s="38">
        <v>45992</v>
      </c>
      <c r="N11" s="9"/>
      <c r="O11" s="9" t="s">
        <v>191</v>
      </c>
    </row>
    <row r="12" spans="1:15" ht="15" customHeight="1" x14ac:dyDescent="0.3">
      <c r="A12" s="1" t="s">
        <v>42</v>
      </c>
      <c r="B12" s="4" t="s">
        <v>43</v>
      </c>
      <c r="C12" s="1" t="s">
        <v>64</v>
      </c>
      <c r="D12" s="1" t="s">
        <v>45</v>
      </c>
      <c r="E12" s="1" t="s">
        <v>169</v>
      </c>
      <c r="F12" s="1" t="s">
        <v>170</v>
      </c>
      <c r="G12" s="40">
        <v>46113</v>
      </c>
      <c r="H12" s="6">
        <v>347.06</v>
      </c>
      <c r="I12" s="6">
        <v>86.77</v>
      </c>
      <c r="J12" s="6">
        <f>I12/H12</f>
        <v>0.25001440673082465</v>
      </c>
      <c r="K12" s="1" t="s">
        <v>62</v>
      </c>
      <c r="L12" s="1">
        <v>19681796</v>
      </c>
      <c r="M12" s="38">
        <v>46023</v>
      </c>
      <c r="N12" s="7">
        <v>46352</v>
      </c>
      <c r="O12" s="9" t="s">
        <v>191</v>
      </c>
    </row>
    <row r="13" spans="1:15" ht="15" customHeight="1" x14ac:dyDescent="0.3">
      <c r="A13" s="1" t="s">
        <v>42</v>
      </c>
      <c r="B13" s="4" t="s">
        <v>43</v>
      </c>
      <c r="C13" s="1" t="s">
        <v>64</v>
      </c>
      <c r="D13" s="1" t="s">
        <v>45</v>
      </c>
      <c r="E13" s="1" t="s">
        <v>183</v>
      </c>
      <c r="F13" s="1" t="s">
        <v>184</v>
      </c>
      <c r="G13" s="40">
        <v>46113</v>
      </c>
      <c r="H13" s="6">
        <v>185.03</v>
      </c>
      <c r="I13" s="6">
        <v>46.26</v>
      </c>
      <c r="J13" s="6">
        <f>I13/H13</f>
        <v>0.25001351132248822</v>
      </c>
      <c r="K13" s="1" t="s">
        <v>62</v>
      </c>
      <c r="L13" s="1">
        <v>19681796</v>
      </c>
      <c r="M13" s="38">
        <v>46023</v>
      </c>
      <c r="N13" s="7">
        <v>46352</v>
      </c>
      <c r="O13" s="9" t="s">
        <v>191</v>
      </c>
    </row>
    <row r="14" spans="1:15" ht="15" customHeight="1" x14ac:dyDescent="0.3">
      <c r="A14" s="1" t="s">
        <v>42</v>
      </c>
      <c r="B14" s="4" t="s">
        <v>43</v>
      </c>
      <c r="C14" s="1" t="s">
        <v>58</v>
      </c>
      <c r="D14" s="1" t="s">
        <v>59</v>
      </c>
      <c r="E14" s="1" t="s">
        <v>125</v>
      </c>
      <c r="F14" s="1" t="s">
        <v>126</v>
      </c>
      <c r="G14" s="40">
        <v>46113</v>
      </c>
      <c r="H14" s="6">
        <v>34.25</v>
      </c>
      <c r="I14" s="6">
        <v>4.45</v>
      </c>
      <c r="J14" s="6">
        <f>I14/H14</f>
        <v>0.12992700729927009</v>
      </c>
      <c r="K14" s="1" t="s">
        <v>127</v>
      </c>
      <c r="L14" s="1">
        <v>8325282</v>
      </c>
      <c r="M14" s="38">
        <v>45658</v>
      </c>
      <c r="N14" s="9"/>
      <c r="O14" s="9" t="s">
        <v>195</v>
      </c>
    </row>
    <row r="15" spans="1:15" ht="15" customHeight="1" x14ac:dyDescent="0.3">
      <c r="A15" s="1" t="s">
        <v>42</v>
      </c>
      <c r="B15" s="4" t="s">
        <v>43</v>
      </c>
      <c r="C15" s="1" t="s">
        <v>44</v>
      </c>
      <c r="D15" s="1" t="s">
        <v>45</v>
      </c>
      <c r="E15" s="1" t="s">
        <v>53</v>
      </c>
      <c r="F15" s="1" t="s">
        <v>54</v>
      </c>
      <c r="G15" s="40">
        <v>46113</v>
      </c>
      <c r="H15" s="6">
        <v>1213.06</v>
      </c>
      <c r="I15" s="6">
        <v>303.27</v>
      </c>
      <c r="J15" s="6">
        <f>I15/H15</f>
        <v>0.25000412180765996</v>
      </c>
      <c r="K15" s="1" t="s">
        <v>56</v>
      </c>
      <c r="L15" s="1" t="s">
        <v>196</v>
      </c>
      <c r="M15" s="38">
        <v>46023</v>
      </c>
      <c r="N15" s="9"/>
      <c r="O15" s="9" t="s">
        <v>191</v>
      </c>
    </row>
    <row r="16" spans="1:15" ht="15" customHeight="1" x14ac:dyDescent="0.3">
      <c r="A16" s="1" t="s">
        <v>42</v>
      </c>
      <c r="B16" s="4" t="s">
        <v>43</v>
      </c>
      <c r="C16" s="1" t="s">
        <v>44</v>
      </c>
      <c r="D16" s="1" t="s">
        <v>45</v>
      </c>
      <c r="E16" s="1" t="s">
        <v>144</v>
      </c>
      <c r="F16" s="1" t="s">
        <v>145</v>
      </c>
      <c r="G16" s="40">
        <v>46116</v>
      </c>
      <c r="H16" s="6">
        <v>495.24</v>
      </c>
      <c r="I16" s="6">
        <v>123.81</v>
      </c>
      <c r="J16" s="6">
        <f>I16/H16</f>
        <v>0.25</v>
      </c>
      <c r="K16" s="1" t="s">
        <v>147</v>
      </c>
      <c r="L16" s="1">
        <v>21605264</v>
      </c>
      <c r="M16" s="38">
        <v>45965</v>
      </c>
      <c r="N16" s="9"/>
      <c r="O16" s="9" t="s">
        <v>191</v>
      </c>
    </row>
    <row r="17" spans="1:18" ht="15" customHeight="1" x14ac:dyDescent="0.3">
      <c r="A17" s="1" t="s">
        <v>42</v>
      </c>
      <c r="B17" s="4" t="s">
        <v>43</v>
      </c>
      <c r="C17" s="1" t="s">
        <v>44</v>
      </c>
      <c r="D17" s="1" t="s">
        <v>45</v>
      </c>
      <c r="E17" s="1" t="s">
        <v>76</v>
      </c>
      <c r="F17" s="1" t="s">
        <v>77</v>
      </c>
      <c r="G17" s="40">
        <v>46115</v>
      </c>
      <c r="H17" s="6">
        <v>712.73</v>
      </c>
      <c r="I17" s="6">
        <v>178.19</v>
      </c>
      <c r="J17" s="6">
        <f>I17/H17</f>
        <v>0.2500105229189174</v>
      </c>
      <c r="K17" s="1" t="s">
        <v>79</v>
      </c>
      <c r="L17" s="1">
        <v>8814784</v>
      </c>
      <c r="M17" s="38">
        <v>46025</v>
      </c>
      <c r="N17" s="9"/>
      <c r="O17" s="9" t="s">
        <v>191</v>
      </c>
    </row>
    <row r="18" spans="1:18" ht="15" customHeight="1" x14ac:dyDescent="0.3">
      <c r="A18" s="1" t="s">
        <v>42</v>
      </c>
      <c r="B18" s="4" t="s">
        <v>43</v>
      </c>
      <c r="C18" s="1" t="s">
        <v>172</v>
      </c>
      <c r="D18" s="1" t="s">
        <v>71</v>
      </c>
      <c r="E18" s="1" t="s">
        <v>173</v>
      </c>
      <c r="F18" s="1" t="s">
        <v>174</v>
      </c>
      <c r="G18" s="40">
        <v>46113</v>
      </c>
      <c r="H18" s="6">
        <v>394.24</v>
      </c>
      <c r="I18" s="6">
        <v>98.56</v>
      </c>
      <c r="J18" s="6">
        <f>I18/H18</f>
        <v>0.25</v>
      </c>
      <c r="K18" s="1" t="s">
        <v>175</v>
      </c>
      <c r="L18" s="1">
        <v>9213293</v>
      </c>
      <c r="M18" s="38">
        <v>46023</v>
      </c>
      <c r="N18" s="7">
        <v>46142</v>
      </c>
      <c r="O18" s="9" t="s">
        <v>191</v>
      </c>
    </row>
    <row r="19" spans="1:18" s="37" customFormat="1" ht="15" customHeight="1" x14ac:dyDescent="0.3">
      <c r="A19" s="1" t="s">
        <v>42</v>
      </c>
      <c r="B19" s="4" t="s">
        <v>43</v>
      </c>
      <c r="C19" s="1" t="s">
        <v>44</v>
      </c>
      <c r="D19" s="1" t="s">
        <v>45</v>
      </c>
      <c r="E19" s="1" t="s">
        <v>81</v>
      </c>
      <c r="F19" s="1" t="s">
        <v>82</v>
      </c>
      <c r="G19" s="40">
        <v>46115</v>
      </c>
      <c r="H19" s="6">
        <v>390.72</v>
      </c>
      <c r="I19" s="6">
        <v>62.52</v>
      </c>
      <c r="J19" s="6">
        <f>I19/H19</f>
        <v>0.16001228501228501</v>
      </c>
      <c r="K19" s="1" t="s">
        <v>83</v>
      </c>
      <c r="L19" s="1">
        <v>8307933</v>
      </c>
      <c r="M19" s="38">
        <v>46025</v>
      </c>
      <c r="N19" s="9"/>
      <c r="O19" s="9" t="s">
        <v>193</v>
      </c>
      <c r="P19"/>
      <c r="Q19"/>
      <c r="R19"/>
    </row>
    <row r="20" spans="1:18" s="37" customFormat="1" ht="15" customHeight="1" x14ac:dyDescent="0.3">
      <c r="A20" s="1" t="s">
        <v>42</v>
      </c>
      <c r="B20" s="4" t="s">
        <v>43</v>
      </c>
      <c r="C20" s="1" t="s">
        <v>70</v>
      </c>
      <c r="D20" s="1" t="s">
        <v>71</v>
      </c>
      <c r="E20" s="1" t="s">
        <v>98</v>
      </c>
      <c r="F20" s="1" t="s">
        <v>99</v>
      </c>
      <c r="G20" s="40">
        <v>46113</v>
      </c>
      <c r="H20" s="6">
        <v>186.56</v>
      </c>
      <c r="I20" s="6">
        <v>46.64</v>
      </c>
      <c r="J20" s="6">
        <f>I20/H20</f>
        <v>0.25</v>
      </c>
      <c r="K20" s="1" t="s">
        <v>83</v>
      </c>
      <c r="L20" s="1">
        <v>8307933</v>
      </c>
      <c r="M20" s="38">
        <v>46082</v>
      </c>
      <c r="N20" s="9"/>
      <c r="O20" s="9" t="s">
        <v>191</v>
      </c>
      <c r="P20"/>
      <c r="Q20"/>
      <c r="R20"/>
    </row>
    <row r="21" spans="1:18" s="37" customFormat="1" ht="15" customHeight="1" x14ac:dyDescent="0.3">
      <c r="A21" s="1" t="s">
        <v>42</v>
      </c>
      <c r="B21" s="4" t="s">
        <v>43</v>
      </c>
      <c r="C21" s="1" t="s">
        <v>70</v>
      </c>
      <c r="D21" s="1" t="s">
        <v>71</v>
      </c>
      <c r="E21" s="1" t="s">
        <v>165</v>
      </c>
      <c r="F21" s="1" t="s">
        <v>166</v>
      </c>
      <c r="G21" s="40">
        <v>46113</v>
      </c>
      <c r="H21" s="6">
        <v>782.35</v>
      </c>
      <c r="I21" s="6">
        <v>195.59</v>
      </c>
      <c r="J21" s="6">
        <f>I21/H21</f>
        <v>0.25000319550073496</v>
      </c>
      <c r="K21" s="1" t="s">
        <v>167</v>
      </c>
      <c r="L21" s="1">
        <v>17117649</v>
      </c>
      <c r="M21" s="38">
        <v>46023</v>
      </c>
      <c r="N21" s="9"/>
      <c r="O21" s="9" t="s">
        <v>191</v>
      </c>
      <c r="P21"/>
      <c r="Q21"/>
      <c r="R21"/>
    </row>
    <row r="22" spans="1:18" s="37" customFormat="1" ht="15" customHeight="1" x14ac:dyDescent="0.3">
      <c r="A22" s="1" t="s">
        <v>42</v>
      </c>
      <c r="B22" s="4" t="s">
        <v>43</v>
      </c>
      <c r="C22" s="1" t="s">
        <v>70</v>
      </c>
      <c r="D22" s="1" t="s">
        <v>71</v>
      </c>
      <c r="E22" s="1" t="s">
        <v>101</v>
      </c>
      <c r="F22" s="1" t="s">
        <v>102</v>
      </c>
      <c r="G22" s="40">
        <v>46115</v>
      </c>
      <c r="H22" s="6">
        <v>254.04</v>
      </c>
      <c r="I22" s="6">
        <v>63.51</v>
      </c>
      <c r="J22" s="6">
        <f>I22/H22</f>
        <v>0.25</v>
      </c>
      <c r="K22" s="1" t="s">
        <v>103</v>
      </c>
      <c r="L22" s="1">
        <v>15278437</v>
      </c>
      <c r="M22" s="38">
        <v>46084</v>
      </c>
      <c r="N22" s="9"/>
      <c r="O22" s="9" t="s">
        <v>191</v>
      </c>
      <c r="P22"/>
      <c r="Q22"/>
      <c r="R22"/>
    </row>
    <row r="23" spans="1:18" ht="15" customHeight="1" x14ac:dyDescent="0.3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91</v>
      </c>
      <c r="F23" s="1" t="s">
        <v>92</v>
      </c>
      <c r="G23" s="40">
        <v>46115</v>
      </c>
      <c r="H23" s="6">
        <v>9.3800000000000008</v>
      </c>
      <c r="I23" s="6">
        <v>9.3800000000000008</v>
      </c>
      <c r="J23" s="6">
        <f>I23/H23</f>
        <v>1</v>
      </c>
      <c r="K23" s="1" t="s">
        <v>198</v>
      </c>
      <c r="L23" s="1">
        <v>20411454</v>
      </c>
      <c r="M23" s="38">
        <v>46056</v>
      </c>
      <c r="N23" s="9"/>
      <c r="O23" s="9" t="s">
        <v>194</v>
      </c>
    </row>
    <row r="24" spans="1:18" ht="15" customHeight="1" x14ac:dyDescent="0.3">
      <c r="A24" s="1" t="s">
        <v>42</v>
      </c>
      <c r="B24" s="4" t="s">
        <v>43</v>
      </c>
      <c r="C24" s="1" t="s">
        <v>132</v>
      </c>
      <c r="D24" s="1" t="s">
        <v>133</v>
      </c>
      <c r="E24" s="1" t="s">
        <v>134</v>
      </c>
      <c r="F24" s="1" t="s">
        <v>135</v>
      </c>
      <c r="G24" s="40">
        <v>46113</v>
      </c>
      <c r="H24" s="6">
        <v>30.74</v>
      </c>
      <c r="I24" s="6">
        <v>30.74</v>
      </c>
      <c r="J24" s="6">
        <f>I24/H24</f>
        <v>1</v>
      </c>
      <c r="K24" s="1" t="s">
        <v>198</v>
      </c>
      <c r="L24" s="1">
        <v>20411454</v>
      </c>
      <c r="M24" s="38">
        <v>46054</v>
      </c>
      <c r="N24" s="9"/>
      <c r="O24" s="9" t="s">
        <v>194</v>
      </c>
    </row>
    <row r="25" spans="1:18" ht="15" customHeight="1" x14ac:dyDescent="0.3">
      <c r="A25" s="1" t="s">
        <v>42</v>
      </c>
      <c r="B25" s="4" t="s">
        <v>43</v>
      </c>
      <c r="C25" s="1" t="s">
        <v>70</v>
      </c>
      <c r="D25" s="1" t="s">
        <v>71</v>
      </c>
      <c r="E25" s="1" t="s">
        <v>149</v>
      </c>
      <c r="F25" s="1" t="s">
        <v>150</v>
      </c>
      <c r="G25" s="40">
        <v>46113</v>
      </c>
      <c r="H25" s="6">
        <v>29.47</v>
      </c>
      <c r="I25" s="6">
        <v>29.47</v>
      </c>
      <c r="J25" s="6">
        <f>I25/H25</f>
        <v>1</v>
      </c>
      <c r="K25" s="1" t="s">
        <v>198</v>
      </c>
      <c r="L25" s="1">
        <v>20411454</v>
      </c>
      <c r="M25" s="38">
        <v>46023</v>
      </c>
      <c r="N25" s="9"/>
      <c r="O25" s="9" t="s">
        <v>194</v>
      </c>
    </row>
    <row r="26" spans="1:18" s="37" customFormat="1" ht="15" customHeight="1" x14ac:dyDescent="0.3">
      <c r="A26" s="1" t="s">
        <v>42</v>
      </c>
      <c r="B26" s="4" t="s">
        <v>43</v>
      </c>
      <c r="C26" s="1" t="s">
        <v>70</v>
      </c>
      <c r="D26" s="1" t="s">
        <v>71</v>
      </c>
      <c r="E26" s="1" t="s">
        <v>159</v>
      </c>
      <c r="F26" s="1" t="s">
        <v>160</v>
      </c>
      <c r="G26" s="40">
        <v>46113</v>
      </c>
      <c r="H26" s="6">
        <v>129.44999999999999</v>
      </c>
      <c r="I26" s="6">
        <v>129.44999999999999</v>
      </c>
      <c r="J26" s="6">
        <f>I26/H26</f>
        <v>1</v>
      </c>
      <c r="K26" s="1" t="s">
        <v>198</v>
      </c>
      <c r="L26" s="1">
        <v>20411454</v>
      </c>
      <c r="M26" s="38">
        <v>46023</v>
      </c>
      <c r="N26" s="9"/>
      <c r="O26" s="9" t="s">
        <v>194</v>
      </c>
      <c r="P26"/>
      <c r="Q26"/>
      <c r="R26"/>
    </row>
    <row r="27" spans="1:18" ht="15" customHeight="1" x14ac:dyDescent="0.3">
      <c r="A27" s="32" t="s">
        <v>42</v>
      </c>
      <c r="B27" s="33" t="s">
        <v>43</v>
      </c>
      <c r="C27" s="32" t="s">
        <v>44</v>
      </c>
      <c r="D27" s="32" t="s">
        <v>45</v>
      </c>
      <c r="E27" s="32" t="s">
        <v>120</v>
      </c>
      <c r="F27" s="32" t="s">
        <v>121</v>
      </c>
      <c r="G27" s="41">
        <v>46114</v>
      </c>
      <c r="H27" s="34">
        <v>344.63</v>
      </c>
      <c r="I27" s="34">
        <v>86.16</v>
      </c>
      <c r="J27" s="34">
        <f>I27/H27</f>
        <v>0.25000725415663172</v>
      </c>
      <c r="K27" s="32" t="s">
        <v>123</v>
      </c>
      <c r="L27" s="32">
        <v>21345012</v>
      </c>
      <c r="M27" s="39">
        <v>46114</v>
      </c>
      <c r="N27" s="36"/>
      <c r="O27" s="36" t="s">
        <v>191</v>
      </c>
      <c r="P27" s="37"/>
      <c r="Q27" s="37"/>
      <c r="R27" s="37"/>
    </row>
    <row r="28" spans="1:18" ht="15" customHeight="1" x14ac:dyDescent="0.3">
      <c r="A28" s="32" t="s">
        <v>42</v>
      </c>
      <c r="B28" s="33" t="s">
        <v>43</v>
      </c>
      <c r="C28" s="32" t="s">
        <v>44</v>
      </c>
      <c r="D28" s="32" t="s">
        <v>45</v>
      </c>
      <c r="E28" s="32" t="s">
        <v>109</v>
      </c>
      <c r="F28" s="32" t="s">
        <v>110</v>
      </c>
      <c r="G28" s="41">
        <v>46113</v>
      </c>
      <c r="H28" s="34">
        <v>238.75</v>
      </c>
      <c r="I28" s="34">
        <v>59.7</v>
      </c>
      <c r="J28" s="34">
        <f>I28/H28</f>
        <v>0.25005235602094245</v>
      </c>
      <c r="K28" s="32" t="s">
        <v>111</v>
      </c>
      <c r="L28" s="32">
        <v>16509456</v>
      </c>
      <c r="M28" s="39">
        <v>46113</v>
      </c>
      <c r="N28" s="36"/>
      <c r="O28" s="36" t="s">
        <v>191</v>
      </c>
      <c r="P28" s="37"/>
      <c r="Q28" s="37"/>
      <c r="R28" s="37"/>
    </row>
    <row r="29" spans="1:18" ht="15" customHeight="1" x14ac:dyDescent="0.3">
      <c r="A29" s="1" t="s">
        <v>42</v>
      </c>
      <c r="B29" s="4" t="s">
        <v>43</v>
      </c>
      <c r="C29" s="1" t="s">
        <v>70</v>
      </c>
      <c r="D29" s="1" t="s">
        <v>71</v>
      </c>
      <c r="E29" s="1" t="s">
        <v>72</v>
      </c>
      <c r="F29" s="1" t="s">
        <v>73</v>
      </c>
      <c r="G29" s="40">
        <v>46113</v>
      </c>
      <c r="H29" s="6">
        <v>215.74</v>
      </c>
      <c r="I29" s="6">
        <v>53.94</v>
      </c>
      <c r="J29" s="6">
        <f>I29/H29</f>
        <v>0.2500231760452396</v>
      </c>
      <c r="K29" s="1" t="s">
        <v>74</v>
      </c>
      <c r="L29" s="1">
        <v>8977234</v>
      </c>
      <c r="M29" s="38">
        <v>46023</v>
      </c>
      <c r="N29" s="9"/>
      <c r="O29" s="9" t="s">
        <v>191</v>
      </c>
    </row>
    <row r="30" spans="1:18" ht="15" customHeight="1" x14ac:dyDescent="0.3">
      <c r="A30" s="1" t="s">
        <v>42</v>
      </c>
      <c r="B30" s="4" t="s">
        <v>43</v>
      </c>
      <c r="C30" s="1" t="s">
        <v>70</v>
      </c>
      <c r="D30" s="1" t="s">
        <v>71</v>
      </c>
      <c r="E30" s="1" t="s">
        <v>177</v>
      </c>
      <c r="F30" s="1" t="s">
        <v>178</v>
      </c>
      <c r="G30" s="40">
        <v>46113</v>
      </c>
      <c r="H30" s="6">
        <v>414.08</v>
      </c>
      <c r="I30" s="6">
        <v>103.52</v>
      </c>
      <c r="J30" s="6">
        <f>I30/H30</f>
        <v>0.25</v>
      </c>
      <c r="K30" s="1" t="s">
        <v>74</v>
      </c>
      <c r="L30" s="1">
        <v>8977234</v>
      </c>
      <c r="M30" s="38">
        <v>46023</v>
      </c>
      <c r="N30" s="7">
        <v>46142</v>
      </c>
      <c r="O30" s="9" t="s">
        <v>191</v>
      </c>
    </row>
    <row r="31" spans="1:18" ht="15" customHeight="1" x14ac:dyDescent="0.3">
      <c r="A31" s="32" t="s">
        <v>42</v>
      </c>
      <c r="B31" s="33" t="s">
        <v>43</v>
      </c>
      <c r="C31" s="32" t="s">
        <v>44</v>
      </c>
      <c r="D31" s="32" t="s">
        <v>45</v>
      </c>
      <c r="E31" s="32" t="s">
        <v>113</v>
      </c>
      <c r="F31" s="32" t="s">
        <v>114</v>
      </c>
      <c r="G31" s="41">
        <v>46113</v>
      </c>
      <c r="H31" s="34">
        <v>442.75</v>
      </c>
      <c r="I31" s="34">
        <v>110.69</v>
      </c>
      <c r="J31" s="34">
        <f>I31/H31</f>
        <v>0.25000564652738566</v>
      </c>
      <c r="K31" s="32" t="s">
        <v>115</v>
      </c>
      <c r="L31" s="32">
        <v>15950276</v>
      </c>
      <c r="M31" s="39">
        <v>46113</v>
      </c>
      <c r="N31" s="35">
        <v>46203</v>
      </c>
      <c r="O31" s="36" t="s">
        <v>191</v>
      </c>
      <c r="P31" s="37"/>
      <c r="Q31" s="37"/>
      <c r="R31" s="37"/>
    </row>
    <row r="32" spans="1:18" ht="15" customHeight="1" x14ac:dyDescent="0.3">
      <c r="A32" s="32" t="s">
        <v>42</v>
      </c>
      <c r="B32" s="33" t="s">
        <v>43</v>
      </c>
      <c r="C32" s="32" t="s">
        <v>44</v>
      </c>
      <c r="D32" s="32" t="s">
        <v>45</v>
      </c>
      <c r="E32" s="32" t="s">
        <v>117</v>
      </c>
      <c r="F32" s="32" t="s">
        <v>118</v>
      </c>
      <c r="G32" s="41">
        <v>46113</v>
      </c>
      <c r="H32" s="34">
        <v>126.06</v>
      </c>
      <c r="I32" s="34">
        <v>31.52</v>
      </c>
      <c r="J32" s="34">
        <f>I32/H32</f>
        <v>0.25003966365222907</v>
      </c>
      <c r="K32" s="32" t="s">
        <v>115</v>
      </c>
      <c r="L32" s="32">
        <v>15950276</v>
      </c>
      <c r="M32" s="39">
        <v>46113</v>
      </c>
      <c r="N32" s="35">
        <v>46203</v>
      </c>
      <c r="O32" s="36" t="s">
        <v>191</v>
      </c>
      <c r="P32" s="37"/>
      <c r="Q32" s="37"/>
      <c r="R32" s="37"/>
    </row>
    <row r="33" spans="1:18" ht="15" customHeight="1" x14ac:dyDescent="0.3">
      <c r="A33" s="1" t="s">
        <v>42</v>
      </c>
      <c r="B33" s="4" t="s">
        <v>43</v>
      </c>
      <c r="C33" s="1" t="s">
        <v>44</v>
      </c>
      <c r="D33" s="1" t="s">
        <v>45</v>
      </c>
      <c r="E33" s="1" t="s">
        <v>46</v>
      </c>
      <c r="F33" s="1" t="s">
        <v>47</v>
      </c>
      <c r="G33" s="40">
        <v>46054</v>
      </c>
      <c r="H33" s="6">
        <v>-220.94</v>
      </c>
      <c r="I33" s="6">
        <v>-55.24</v>
      </c>
      <c r="J33" s="6">
        <f>I33/H33</f>
        <v>0.2500226305784376</v>
      </c>
      <c r="K33" s="1" t="s">
        <v>49</v>
      </c>
      <c r="L33" s="1">
        <v>18581063</v>
      </c>
      <c r="M33" s="38">
        <v>46023</v>
      </c>
      <c r="N33" s="7">
        <v>46022</v>
      </c>
      <c r="O33" s="9" t="s">
        <v>191</v>
      </c>
    </row>
    <row r="34" spans="1:18" ht="15" customHeight="1" x14ac:dyDescent="0.3">
      <c r="A34" s="1" t="s">
        <v>42</v>
      </c>
      <c r="B34" s="4" t="s">
        <v>43</v>
      </c>
      <c r="C34" s="1" t="s">
        <v>44</v>
      </c>
      <c r="D34" s="1" t="s">
        <v>45</v>
      </c>
      <c r="E34" s="1" t="s">
        <v>46</v>
      </c>
      <c r="F34" s="1" t="s">
        <v>47</v>
      </c>
      <c r="G34" s="40">
        <v>46023</v>
      </c>
      <c r="H34" s="6">
        <v>-220.94</v>
      </c>
      <c r="I34" s="6">
        <v>-55.24</v>
      </c>
      <c r="J34" s="6">
        <f>I34/H34</f>
        <v>0.2500226305784376</v>
      </c>
      <c r="K34" s="1" t="s">
        <v>49</v>
      </c>
      <c r="L34" s="1">
        <v>18581063</v>
      </c>
      <c r="M34" s="38">
        <v>46023</v>
      </c>
      <c r="N34" s="7">
        <v>46022</v>
      </c>
      <c r="O34" s="9" t="s">
        <v>191</v>
      </c>
    </row>
    <row r="35" spans="1:18" ht="15" customHeight="1" x14ac:dyDescent="0.3">
      <c r="A35" s="1" t="s">
        <v>42</v>
      </c>
      <c r="B35" s="4" t="s">
        <v>43</v>
      </c>
      <c r="C35" s="1" t="s">
        <v>44</v>
      </c>
      <c r="D35" s="1" t="s">
        <v>45</v>
      </c>
      <c r="E35" s="1" t="s">
        <v>46</v>
      </c>
      <c r="F35" s="1" t="s">
        <v>47</v>
      </c>
      <c r="G35" s="40">
        <v>46082</v>
      </c>
      <c r="H35" s="6">
        <v>-220.94</v>
      </c>
      <c r="I35" s="6">
        <v>-55.24</v>
      </c>
      <c r="J35" s="6">
        <f>I35/H35</f>
        <v>0.2500226305784376</v>
      </c>
      <c r="K35" s="1" t="s">
        <v>49</v>
      </c>
      <c r="L35" s="1">
        <v>18581063</v>
      </c>
      <c r="M35" s="38">
        <v>46023</v>
      </c>
      <c r="N35" s="7">
        <v>46022</v>
      </c>
      <c r="O35" s="9" t="s">
        <v>191</v>
      </c>
    </row>
    <row r="36" spans="1:18" ht="15" customHeight="1" x14ac:dyDescent="0.3">
      <c r="A36" s="1" t="s">
        <v>42</v>
      </c>
      <c r="B36" s="4" t="s">
        <v>43</v>
      </c>
      <c r="C36" s="1" t="s">
        <v>70</v>
      </c>
      <c r="D36" s="1" t="s">
        <v>71</v>
      </c>
      <c r="E36" s="1" t="s">
        <v>129</v>
      </c>
      <c r="F36" s="1" t="s">
        <v>130</v>
      </c>
      <c r="G36" s="40">
        <v>46113</v>
      </c>
      <c r="H36" s="6">
        <v>260.94</v>
      </c>
      <c r="I36" s="6">
        <v>65.239999999999995</v>
      </c>
      <c r="J36" s="6">
        <f>I36/H36</f>
        <v>0.25001916149306352</v>
      </c>
      <c r="K36" s="1" t="s">
        <v>49</v>
      </c>
      <c r="L36" s="1">
        <v>18581063</v>
      </c>
      <c r="M36" s="38">
        <v>46054</v>
      </c>
      <c r="N36" s="9"/>
      <c r="O36" s="9" t="s">
        <v>191</v>
      </c>
    </row>
    <row r="37" spans="1:18" ht="15" customHeight="1" x14ac:dyDescent="0.3">
      <c r="A37" s="1" t="s">
        <v>42</v>
      </c>
      <c r="B37" s="4" t="s">
        <v>43</v>
      </c>
      <c r="C37" s="1" t="s">
        <v>64</v>
      </c>
      <c r="D37" s="1" t="s">
        <v>45</v>
      </c>
      <c r="E37" s="1" t="s">
        <v>141</v>
      </c>
      <c r="F37" s="1" t="s">
        <v>142</v>
      </c>
      <c r="G37" s="40">
        <v>46113</v>
      </c>
      <c r="H37" s="6">
        <v>701.73</v>
      </c>
      <c r="I37" s="6">
        <v>175.43</v>
      </c>
      <c r="J37" s="6">
        <f>I37/H37</f>
        <v>0.24999643737619884</v>
      </c>
      <c r="K37" s="1" t="s">
        <v>49</v>
      </c>
      <c r="L37" s="1">
        <v>18581063</v>
      </c>
      <c r="M37" s="38">
        <v>45962</v>
      </c>
      <c r="N37" s="9"/>
      <c r="O37" s="9" t="s">
        <v>191</v>
      </c>
    </row>
    <row r="38" spans="1:18" ht="15" customHeight="1" x14ac:dyDescent="0.3">
      <c r="A38" s="1" t="s">
        <v>42</v>
      </c>
      <c r="B38" s="4" t="s">
        <v>43</v>
      </c>
      <c r="C38" s="1" t="s">
        <v>44</v>
      </c>
      <c r="D38" s="1" t="s">
        <v>45</v>
      </c>
      <c r="E38" s="1" t="s">
        <v>180</v>
      </c>
      <c r="F38" s="1" t="s">
        <v>181</v>
      </c>
      <c r="G38" s="40">
        <v>46113</v>
      </c>
      <c r="H38" s="6">
        <v>545.76</v>
      </c>
      <c r="I38" s="6">
        <v>136.44</v>
      </c>
      <c r="J38" s="6">
        <f>I38/H38</f>
        <v>0.25</v>
      </c>
      <c r="K38" s="1" t="s">
        <v>49</v>
      </c>
      <c r="L38" s="1">
        <v>18581063</v>
      </c>
      <c r="M38" s="38">
        <v>46023</v>
      </c>
      <c r="N38" s="9"/>
      <c r="O38" s="9" t="s">
        <v>191</v>
      </c>
    </row>
    <row r="39" spans="1:18" ht="15" customHeight="1" x14ac:dyDescent="0.3">
      <c r="A39" s="32" t="s">
        <v>42</v>
      </c>
      <c r="B39" s="33" t="s">
        <v>43</v>
      </c>
      <c r="C39" s="32" t="s">
        <v>132</v>
      </c>
      <c r="D39" s="32" t="s">
        <v>133</v>
      </c>
      <c r="E39" s="32" t="s">
        <v>137</v>
      </c>
      <c r="F39" s="32" t="s">
        <v>138</v>
      </c>
      <c r="G39" s="41">
        <v>46113</v>
      </c>
      <c r="H39" s="34">
        <v>374.75</v>
      </c>
      <c r="I39" s="34">
        <v>93.69</v>
      </c>
      <c r="J39" s="34">
        <f>I39/H39</f>
        <v>0.25000667111407604</v>
      </c>
      <c r="K39" s="32" t="s">
        <v>139</v>
      </c>
      <c r="L39" s="32">
        <v>19396919</v>
      </c>
      <c r="M39" s="39">
        <v>46113</v>
      </c>
      <c r="N39" s="35">
        <v>46142</v>
      </c>
      <c r="O39" s="36" t="s">
        <v>191</v>
      </c>
      <c r="P39" s="37"/>
      <c r="Q39" s="37"/>
      <c r="R39" s="37"/>
    </row>
  </sheetData>
  <sortState xmlns:xlrd2="http://schemas.microsoft.com/office/spreadsheetml/2017/richdata2" ref="A2:R39">
    <sortCondition ref="K2:K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2026-04-09T23:58:06Z</dcterms:created>
  <dcterms:modified xsi:type="dcterms:W3CDTF">2026-04-13T15:22:14Z</dcterms:modified>
</cp:coreProperties>
</file>