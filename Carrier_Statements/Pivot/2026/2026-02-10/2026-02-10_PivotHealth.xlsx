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18B765-7123-4A22-824A-0E1F3E69148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ver_Page" sheetId="1" r:id="rId1"/>
    <sheet name="Details" sheetId="2" r:id="rId2"/>
    <sheet name="Sheet1" sheetId="3" r:id="rId3"/>
  </sheets>
  <definedNames>
    <definedName name="page\x2dtotal">Details!$A$46</definedName>
    <definedName name="page\x2dtotal\x2dmaster0">Details!$A$46</definedName>
  </definedNames>
  <calcPr calcId="181029"/>
</workbook>
</file>

<file path=xl/calcChain.xml><?xml version="1.0" encoding="utf-8"?>
<calcChain xmlns="http://schemas.openxmlformats.org/spreadsheetml/2006/main">
  <c r="J60" i="3" l="1"/>
  <c r="J56" i="3"/>
  <c r="J57" i="3"/>
  <c r="J24" i="3"/>
  <c r="J21" i="3"/>
  <c r="J15" i="3"/>
  <c r="J18" i="3"/>
  <c r="J39" i="3"/>
  <c r="J42" i="3"/>
  <c r="J28" i="3"/>
  <c r="J30" i="3"/>
  <c r="J33" i="3"/>
  <c r="J17" i="3"/>
  <c r="J6" i="3"/>
  <c r="J22" i="3"/>
  <c r="J55" i="3"/>
  <c r="J2" i="3"/>
  <c r="J38" i="3"/>
  <c r="J4" i="3"/>
  <c r="J5" i="3"/>
  <c r="J25" i="3"/>
  <c r="J34" i="3"/>
  <c r="J36" i="3"/>
  <c r="J35" i="3"/>
  <c r="J14" i="3"/>
  <c r="J16" i="3"/>
  <c r="J32" i="3"/>
  <c r="J37" i="3"/>
  <c r="J8" i="3"/>
  <c r="J20" i="3"/>
  <c r="J29" i="3"/>
  <c r="J50" i="3"/>
  <c r="J41" i="3"/>
  <c r="J58" i="3"/>
  <c r="J19" i="3"/>
  <c r="J51" i="3"/>
  <c r="J44" i="3"/>
  <c r="J45" i="3"/>
  <c r="J61" i="3"/>
  <c r="J48" i="3"/>
  <c r="J13" i="3"/>
  <c r="J46" i="3"/>
  <c r="J49" i="3"/>
  <c r="J59" i="3"/>
  <c r="J54" i="3"/>
  <c r="J31" i="3"/>
  <c r="J12" i="3"/>
  <c r="J9" i="3"/>
  <c r="J10" i="3"/>
  <c r="J7" i="3"/>
  <c r="J47" i="3"/>
  <c r="J11" i="3"/>
  <c r="J40" i="3"/>
  <c r="J23" i="3"/>
  <c r="J52" i="3"/>
  <c r="J3" i="3"/>
  <c r="J53" i="3"/>
  <c r="J26" i="3"/>
  <c r="J27" i="3"/>
  <c r="J43" i="3"/>
</calcChain>
</file>

<file path=xl/sharedStrings.xml><?xml version="1.0" encoding="utf-8"?>
<sst xmlns="http://schemas.openxmlformats.org/spreadsheetml/2006/main" count="1009" uniqueCount="277">
  <si>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</si>
  <si>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</si>
  <si>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</si>
  <si>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</si>
  <si>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</si>
  <si>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</si>
  <si>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</si>
  <si>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</si>
  <si>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</si>
  <si>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</si>
  <si>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02-10-2026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</si>
  <si>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</si>
  <si>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</si>
  <si>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</si>
  <si>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</si>
  <si>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</si>
  <si>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</si>
  <si>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</si>
  <si>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</si>
  <si>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</si>
  <si>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</si>
  <si>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</si>
  <si>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</si>
  <si>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</si>
  <si>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</si>
  <si>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</si>
  <si>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</si>
  <si>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</si>
  <si>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</si>
  <si>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</si>
  <si>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</si>
  <si>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</si>
  <si>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</si>
  <si>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</si>
  <si>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</si>
  <si>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</si>
  <si>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</si>
  <si>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</si>
  <si>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</si>
  <si>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</si>
  <si>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</si>
  <si>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</si>
  <si>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02-2026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</si>
  <si>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</si>
  <si>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</si>
  <si>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</si>
  <si>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1587479-0-1</t>
  </si>
  <si>
    <t>Turcic, Nicole</t>
  </si>
  <si>
    <t>12-25-2025</t>
  </si>
  <si>
    <t>Ryan Stocker</t>
  </si>
  <si>
    <t>99977</t>
  </si>
  <si>
    <t>P0845635</t>
  </si>
  <si>
    <t>01-25-2026</t>
  </si>
  <si>
    <t>1587644-0-1</t>
  </si>
  <si>
    <t>Hodgman, Griffin</t>
  </si>
  <si>
    <t>02-01-2026</t>
  </si>
  <si>
    <t>Timothy Hodgman</t>
  </si>
  <si>
    <t>95788</t>
  </si>
  <si>
    <t>P0845849</t>
  </si>
  <si>
    <t>1587672-0-1</t>
  </si>
  <si>
    <t>P0845895</t>
  </si>
  <si>
    <t>1587673-0-1</t>
  </si>
  <si>
    <t>Hodgman, Ryan</t>
  </si>
  <si>
    <t>P0845897</t>
  </si>
  <si>
    <t>1587677-0-1</t>
  </si>
  <si>
    <t>Silfies, Shelley</t>
  </si>
  <si>
    <t>01-01-2026</t>
  </si>
  <si>
    <t>P0845904</t>
  </si>
  <si>
    <t>1588113-0-1</t>
  </si>
  <si>
    <t>Wolk, Ronald</t>
  </si>
  <si>
    <t>Deborah Inskipt</t>
  </si>
  <si>
    <t>96033</t>
  </si>
  <si>
    <t>P0846506</t>
  </si>
  <si>
    <t>IDEN-01-PPO</t>
  </si>
  <si>
    <t>Renaissance</t>
  </si>
  <si>
    <t>1588257-0-1</t>
  </si>
  <si>
    <t>Fleming, Colette</t>
  </si>
  <si>
    <t>Chris Taugner</t>
  </si>
  <si>
    <t>95679</t>
  </si>
  <si>
    <t>996203952</t>
  </si>
  <si>
    <t>ISTM.MM-12-PPO</t>
  </si>
  <si>
    <t>1588267-0-1</t>
  </si>
  <si>
    <t>P0846709</t>
  </si>
  <si>
    <t>1588802-0-1</t>
  </si>
  <si>
    <t>Shamuluas, Scott</t>
  </si>
  <si>
    <t>P0847429</t>
  </si>
  <si>
    <t>1600114-0-1</t>
  </si>
  <si>
    <t>Olson, Nathan</t>
  </si>
  <si>
    <t>Lori Tunstall</t>
  </si>
  <si>
    <t>82178</t>
  </si>
  <si>
    <t>P0847510</t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</si>
  <si>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</si>
  <si>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</si>
  <si>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</si>
  <si>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</si>
  <si>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</si>
  <si>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</si>
  <si>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</si>
  <si>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t>1600997-0-1</t>
  </si>
  <si>
    <t>Patel, Hiren</t>
  </si>
  <si>
    <t>02-03-2026</t>
  </si>
  <si>
    <t>Frank Liskovec</t>
  </si>
  <si>
    <t>95755</t>
  </si>
  <si>
    <t>P0848836</t>
  </si>
  <si>
    <t>1601009-0-1</t>
  </si>
  <si>
    <t>Doane, Patrick</t>
  </si>
  <si>
    <t>Gregory Teipel</t>
  </si>
  <si>
    <t>80639</t>
  </si>
  <si>
    <t>P0848858</t>
  </si>
  <si>
    <t>1601364-0-1</t>
  </si>
  <si>
    <t>Haines, Grant</t>
  </si>
  <si>
    <t>02-06-2026</t>
  </si>
  <si>
    <t>Jason Hoffmann</t>
  </si>
  <si>
    <t>P0849383</t>
  </si>
  <si>
    <t>1601698-0-1</t>
  </si>
  <si>
    <t>Swinson, Kathryn</t>
  </si>
  <si>
    <t>P0848435</t>
  </si>
  <si>
    <t>1605289-0-1</t>
  </si>
  <si>
    <t>Enck, John</t>
  </si>
  <si>
    <t>Brittany Oliver</t>
  </si>
  <si>
    <t>332</t>
  </si>
  <si>
    <t>P0852255</t>
  </si>
  <si>
    <t>194510-0-1</t>
  </si>
  <si>
    <t>Avila Ortiz, Orlando</t>
  </si>
  <si>
    <t>Dale Walenga</t>
  </si>
  <si>
    <t>96477</t>
  </si>
  <si>
    <t>996202166</t>
  </si>
  <si>
    <t>645245-0-1</t>
  </si>
  <si>
    <t>Kuhn, Neal</t>
  </si>
  <si>
    <t>P0800305</t>
  </si>
  <si>
    <t>647708-0-1</t>
  </si>
  <si>
    <t>Titus, Kari</t>
  </si>
  <si>
    <t>01-31-2026</t>
  </si>
  <si>
    <t>Adam Richter</t>
  </si>
  <si>
    <t>80604</t>
  </si>
  <si>
    <t>P0832323</t>
  </si>
  <si>
    <t>647889-0-1</t>
  </si>
  <si>
    <t>Root, Karen</t>
  </si>
  <si>
    <t>P0832555</t>
  </si>
  <si>
    <t>ISTM-23-PPO</t>
  </si>
  <si>
    <t>647924-0-1</t>
  </si>
  <si>
    <t>Zagorski, Andrew</t>
  </si>
  <si>
    <t>Brian Strohman</t>
  </si>
  <si>
    <t>96134</t>
  </si>
  <si>
    <t>P0832607</t>
  </si>
  <si>
    <t>647926-0-1</t>
  </si>
  <si>
    <t>Krzanowski, Lukasz</t>
  </si>
  <si>
    <t>P0832613</t>
  </si>
  <si>
    <t>648085-0-1</t>
  </si>
  <si>
    <t>Chapman, Rashelle</t>
  </si>
  <si>
    <t>02-04-2026</t>
  </si>
  <si>
    <t>Erica Solivan</t>
  </si>
  <si>
    <t>2658</t>
  </si>
  <si>
    <t>P0832836</t>
  </si>
  <si>
    <t>649381-0-1</t>
  </si>
  <si>
    <t>Guldin, Susan</t>
  </si>
  <si>
    <t>P0834638</t>
  </si>
  <si>
    <t>649387-0-1</t>
  </si>
  <si>
    <t>Potter, Alison</t>
  </si>
  <si>
    <t>P0834649</t>
  </si>
  <si>
    <t>649978-0-1</t>
  </si>
  <si>
    <t>Starr, Lisa</t>
  </si>
  <si>
    <t>P0835493</t>
  </si>
  <si>
    <t>650639-0-1</t>
  </si>
  <si>
    <t>Kelly, Lisa</t>
  </si>
  <si>
    <t>Chad Bender</t>
  </si>
  <si>
    <t>69709</t>
  </si>
  <si>
    <t>P0836586</t>
  </si>
  <si>
    <t>651050-0-1</t>
  </si>
  <si>
    <t>Nennig, Donald</t>
  </si>
  <si>
    <t>P0837213</t>
  </si>
  <si>
    <t>651869-0-1</t>
  </si>
  <si>
    <t>Lapetina, John</t>
  </si>
  <si>
    <t>02-02-2026</t>
  </si>
  <si>
    <t>Jacob Yale</t>
  </si>
  <si>
    <t>95760</t>
  </si>
  <si>
    <t>P0838362</t>
  </si>
  <si>
    <t>652801-0-1</t>
  </si>
  <si>
    <t>Tunstall, Lori</t>
  </si>
  <si>
    <t>P0839804</t>
  </si>
  <si>
    <t>652805-0-1</t>
  </si>
  <si>
    <t>Morgan, Michael</t>
  </si>
  <si>
    <t>Carol Foley</t>
  </si>
  <si>
    <t>81570</t>
  </si>
  <si>
    <t>P0839810</t>
  </si>
  <si>
    <t>653292-0-1</t>
  </si>
  <si>
    <t>McNeill, Laura</t>
  </si>
  <si>
    <t>P0840544</t>
  </si>
  <si>
    <t>ISTM-11-PPO</t>
  </si>
  <si>
    <t>653615-0-1</t>
  </si>
  <si>
    <t>Abrams, Mitchell</t>
  </si>
  <si>
    <t>Gary Portugal</t>
  </si>
  <si>
    <t>95756</t>
  </si>
  <si>
    <t>P0841096</t>
  </si>
  <si>
    <t>654106-0-1</t>
  </si>
  <si>
    <t>Mease, Spencer</t>
  </si>
  <si>
    <t>P0841863</t>
  </si>
  <si>
    <t>654332-0-1</t>
  </si>
  <si>
    <t>Ammerman, Maria</t>
  </si>
  <si>
    <t>P0842229</t>
  </si>
  <si>
    <t>654396-0-1</t>
  </si>
  <si>
    <t>Olson, Jon</t>
  </si>
  <si>
    <t>P0842353</t>
  </si>
  <si>
    <t>654472-0-1</t>
  </si>
  <si>
    <t>Guerra, Maricel</t>
  </si>
  <si>
    <t>P0842479</t>
  </si>
  <si>
    <t>655372-0-1</t>
  </si>
  <si>
    <t>Laughlin, Sherry</t>
  </si>
  <si>
    <t>Scott Aguglia</t>
  </si>
  <si>
    <t>81722</t>
  </si>
  <si>
    <t>P0844007</t>
  </si>
  <si>
    <t>Totals</t>
  </si>
  <si>
    <t>01-2026</t>
  </si>
  <si>
    <t>1586864-0-1</t>
  </si>
  <si>
    <t>Twombly, Elaine</t>
  </si>
  <si>
    <t>1587616-0-1</t>
  </si>
  <si>
    <t>Hibbard, Mathias</t>
  </si>
  <si>
    <t>01-29-2026</t>
  </si>
  <si>
    <t>1587767-0-1</t>
  </si>
  <si>
    <t>Ferraro, Nathaniel</t>
  </si>
  <si>
    <t>01-24-2026</t>
  </si>
  <si>
    <t>1588472-0-1</t>
  </si>
  <si>
    <t>Trusz, Mark</t>
  </si>
  <si>
    <t>1602733-0-1</t>
  </si>
  <si>
    <t>Beretsel, Christine</t>
  </si>
  <si>
    <t>1604002-0-1</t>
  </si>
  <si>
    <t>Hanlin, Jacob</t>
  </si>
  <si>
    <t>01-17-2026</t>
  </si>
  <si>
    <t>602346-1-1</t>
  </si>
  <si>
    <t>Madden, James</t>
  </si>
  <si>
    <t>01-28-2026</t>
  </si>
  <si>
    <t>620761-2-1</t>
  </si>
  <si>
    <t>Louis, Anthony</t>
  </si>
  <si>
    <t>01-22-2026</t>
  </si>
  <si>
    <t>ISTM-25-RBP</t>
  </si>
  <si>
    <t>Pan-American Life</t>
  </si>
  <si>
    <t>631121-1-1</t>
  </si>
  <si>
    <t>Naidoo, Jiovani</t>
  </si>
  <si>
    <t>01-27-2026</t>
  </si>
  <si>
    <t>643191-0-1</t>
  </si>
  <si>
    <t>Klein, Greygrey</t>
  </si>
  <si>
    <t>01-23-2026</t>
  </si>
  <si>
    <t>643288-0-1</t>
  </si>
  <si>
    <t>Klein, Grey</t>
  </si>
  <si>
    <t>650603-0-1</t>
  </si>
  <si>
    <t>Karattuthodi, Avinash</t>
  </si>
  <si>
    <t>01-21-2026</t>
  </si>
  <si>
    <t>593421-1-1</t>
  </si>
  <si>
    <t>Rubman, Cheryl</t>
  </si>
  <si>
    <t>01-19-2026</t>
  </si>
  <si>
    <t>633835-1-1</t>
  </si>
  <si>
    <t>Tobias, Robert</t>
  </si>
  <si>
    <t>01-16-2026</t>
  </si>
  <si>
    <t>Ricardo Santos</t>
  </si>
  <si>
    <t>639159-0-1</t>
  </si>
  <si>
    <t>Milas, Nicholas</t>
  </si>
  <si>
    <t>01-20-2026</t>
  </si>
  <si>
    <t>643100-0-1</t>
  </si>
  <si>
    <t>Zabkar, Lynette</t>
  </si>
  <si>
    <t>649824-0-1</t>
  </si>
  <si>
    <t>Barnett, Bethany</t>
  </si>
  <si>
    <t>01-15-2026</t>
  </si>
  <si>
    <t>650076-0-1</t>
  </si>
  <si>
    <t>Thomas, Reeanna</t>
  </si>
  <si>
    <t>01-18-2026</t>
  </si>
  <si>
    <t>652101-0-1</t>
  </si>
  <si>
    <t>Mathews, Caleb</t>
  </si>
  <si>
    <t>653958-0-1</t>
  </si>
  <si>
    <t>Pucci, Anna</t>
  </si>
  <si>
    <t>Pivot OVR</t>
  </si>
  <si>
    <t>Renaissance Dental</t>
  </si>
  <si>
    <t>Short &amp; Bridge KS</t>
  </si>
  <si>
    <t>ST &amp; Bridge EX DE IA IN KS MI MS ND NE NH OH TN VA</t>
  </si>
  <si>
    <t>Dental</t>
  </si>
  <si>
    <t>Main Line Benefits</t>
  </si>
  <si>
    <t>17528908N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</si>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</sst>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10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  <font>
      <sz val="11"/>
      <color theme="1"/>
      <name val="Calibri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9" fontId="1" fillId="0" borderId="2" xfId="1" applyFont="1" applyBorder="1" applyAlignment="1">
      <alignment horizontal="right" vertical="top" wrapText="1"/>
    </xf>
    <xf numFmtId="0" fontId="3" fillId="2" borderId="2" xfId="0" applyNumberFormat="1" applyFont="1" applyFill="1" applyBorder="1" applyAlignment="1">
      <alignment horizontal="left" vertical="top" wrapText="1"/>
    </xf>
    <xf numFmtId="0" fontId="0" fillId="0" borderId="0" xfId="0" applyNumberFormat="1"/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9" fontId="1" fillId="3" borderId="2" xfId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/>
    <xf numFmtId="0" fontId="9" fillId="3" borderId="2" xfId="0" applyFont="1" applyFill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top" wrapText="1"/>
    </xf>
    <xf numFmtId="14" fontId="1" fillId="3" borderId="2" xfId="0" applyNumberFormat="1" applyFont="1" applyFill="1" applyBorder="1" applyAlignment="1">
      <alignment horizontal="right" vertical="top" wrapText="1"/>
    </xf>
    <xf numFmtId="14" fontId="1" fillId="0" borderId="2" xfId="0" applyNumberFormat="1" applyFont="1" applyBorder="1" applyAlignment="1">
      <alignment horizontal="right" vertical="top" wrapText="1"/>
    </xf>
    <xf numFmtId="14" fontId="0" fillId="0" borderId="0" xfId="0" applyNumberFormat="1"/>
    <xf numFmtId="0" fontId="9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2656684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984.11</v>
      </c>
      <c r="C23" s="13"/>
    </row>
    <row r="24" spans="1:7" x14ac:dyDescent="0.25">
      <c r="A24" s="1" t="s">
        <v>21</v>
      </c>
      <c r="B24" s="12">
        <v>984.11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2659.97</v>
      </c>
      <c r="C26" s="13"/>
    </row>
    <row r="27" spans="1:7" x14ac:dyDescent="0.25">
      <c r="A27" s="1" t="s">
        <v>24</v>
      </c>
      <c r="B27" s="12">
        <v>2659.97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showGridLines="0" workbookViewId="0">
      <selection activeCell="K49" sqref="K49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0</v>
      </c>
      <c r="I4" s="6">
        <v>0</v>
      </c>
      <c r="J4" s="1" t="s">
        <v>49</v>
      </c>
      <c r="K4" s="1" t="s">
        <v>50</v>
      </c>
      <c r="L4" s="7">
        <v>46016</v>
      </c>
      <c r="M4" s="7">
        <v>46106</v>
      </c>
      <c r="N4" s="8">
        <v>90</v>
      </c>
      <c r="O4" s="1" t="s">
        <v>51</v>
      </c>
      <c r="P4" s="9"/>
    </row>
    <row r="5" spans="1:17" ht="25.5" x14ac:dyDescent="0.25">
      <c r="A5" s="1" t="s">
        <v>42</v>
      </c>
      <c r="B5" s="4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5" t="s">
        <v>52</v>
      </c>
      <c r="H5" s="6">
        <v>-363.56</v>
      </c>
      <c r="I5" s="6">
        <v>-90.89</v>
      </c>
      <c r="J5" s="1" t="s">
        <v>49</v>
      </c>
      <c r="K5" s="1" t="s">
        <v>50</v>
      </c>
      <c r="L5" s="7">
        <v>46016</v>
      </c>
      <c r="M5" s="7">
        <v>46106</v>
      </c>
      <c r="N5" s="8">
        <v>90</v>
      </c>
      <c r="O5" s="1" t="s">
        <v>51</v>
      </c>
      <c r="P5" s="9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53</v>
      </c>
      <c r="F6" s="1" t="s">
        <v>54</v>
      </c>
      <c r="G6" s="5" t="s">
        <v>55</v>
      </c>
      <c r="H6" s="6">
        <v>220.94</v>
      </c>
      <c r="I6" s="6">
        <v>55.24</v>
      </c>
      <c r="J6" s="1" t="s">
        <v>56</v>
      </c>
      <c r="K6" s="1" t="s">
        <v>57</v>
      </c>
      <c r="L6" s="7">
        <v>46023</v>
      </c>
      <c r="M6" s="9"/>
      <c r="N6" s="8">
        <v>364</v>
      </c>
      <c r="O6" s="1" t="s">
        <v>58</v>
      </c>
      <c r="P6" s="9"/>
    </row>
    <row r="7" spans="1:17" ht="25.5" x14ac:dyDescent="0.25">
      <c r="A7" s="1" t="s">
        <v>42</v>
      </c>
      <c r="B7" s="4" t="s">
        <v>43</v>
      </c>
      <c r="C7" s="1" t="s">
        <v>44</v>
      </c>
      <c r="D7" s="1" t="s">
        <v>45</v>
      </c>
      <c r="E7" s="1" t="s">
        <v>59</v>
      </c>
      <c r="F7" s="1" t="s">
        <v>54</v>
      </c>
      <c r="G7" s="5" t="s">
        <v>55</v>
      </c>
      <c r="H7" s="6">
        <v>96.16</v>
      </c>
      <c r="I7" s="6">
        <v>24.04</v>
      </c>
      <c r="J7" s="1" t="s">
        <v>56</v>
      </c>
      <c r="K7" s="1" t="s">
        <v>57</v>
      </c>
      <c r="L7" s="7">
        <v>46023</v>
      </c>
      <c r="M7" s="9"/>
      <c r="N7" s="8">
        <v>364</v>
      </c>
      <c r="O7" s="1" t="s">
        <v>60</v>
      </c>
      <c r="P7" s="9"/>
    </row>
    <row r="8" spans="1:17" ht="25.5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61</v>
      </c>
      <c r="F8" s="1" t="s">
        <v>62</v>
      </c>
      <c r="G8" s="5" t="s">
        <v>55</v>
      </c>
      <c r="H8" s="6">
        <v>96.16</v>
      </c>
      <c r="I8" s="6">
        <v>24.04</v>
      </c>
      <c r="J8" s="1" t="s">
        <v>56</v>
      </c>
      <c r="K8" s="1" t="s">
        <v>57</v>
      </c>
      <c r="L8" s="7">
        <v>46023</v>
      </c>
      <c r="M8" s="9"/>
      <c r="N8" s="8">
        <v>364</v>
      </c>
      <c r="O8" s="1" t="s">
        <v>63</v>
      </c>
      <c r="P8" s="9"/>
    </row>
    <row r="9" spans="1:17" ht="25.5" x14ac:dyDescent="0.25">
      <c r="A9" s="1" t="s">
        <v>42</v>
      </c>
      <c r="B9" s="4" t="s">
        <v>43</v>
      </c>
      <c r="C9" s="1" t="s">
        <v>44</v>
      </c>
      <c r="D9" s="1" t="s">
        <v>45</v>
      </c>
      <c r="E9" s="1" t="s">
        <v>64</v>
      </c>
      <c r="F9" s="1" t="s">
        <v>65</v>
      </c>
      <c r="G9" s="5" t="s">
        <v>66</v>
      </c>
      <c r="H9" s="6">
        <v>0</v>
      </c>
      <c r="I9" s="6">
        <v>0</v>
      </c>
      <c r="J9" s="1" t="s">
        <v>49</v>
      </c>
      <c r="K9" s="1" t="s">
        <v>50</v>
      </c>
      <c r="L9" s="7">
        <v>46023</v>
      </c>
      <c r="M9" s="7">
        <v>46113</v>
      </c>
      <c r="N9" s="8">
        <v>90</v>
      </c>
      <c r="O9" s="1" t="s">
        <v>67</v>
      </c>
      <c r="P9" s="9"/>
    </row>
    <row r="10" spans="1:17" ht="25.5" x14ac:dyDescent="0.25">
      <c r="A10" s="1" t="s">
        <v>42</v>
      </c>
      <c r="B10" s="4" t="s">
        <v>43</v>
      </c>
      <c r="C10" s="1" t="s">
        <v>44</v>
      </c>
      <c r="D10" s="1" t="s">
        <v>45</v>
      </c>
      <c r="E10" s="1" t="s">
        <v>68</v>
      </c>
      <c r="F10" s="1" t="s">
        <v>69</v>
      </c>
      <c r="G10" s="5" t="s">
        <v>55</v>
      </c>
      <c r="H10" s="6">
        <v>1213.06</v>
      </c>
      <c r="I10" s="6">
        <v>303.27</v>
      </c>
      <c r="J10" s="1" t="s">
        <v>70</v>
      </c>
      <c r="K10" s="1" t="s">
        <v>71</v>
      </c>
      <c r="L10" s="7">
        <v>46023</v>
      </c>
      <c r="M10" s="9"/>
      <c r="N10" s="8">
        <v>364</v>
      </c>
      <c r="O10" s="1" t="s">
        <v>72</v>
      </c>
      <c r="P10" s="9"/>
    </row>
    <row r="11" spans="1:17" x14ac:dyDescent="0.25">
      <c r="A11" s="1" t="s">
        <v>42</v>
      </c>
      <c r="B11" s="4" t="s">
        <v>43</v>
      </c>
      <c r="C11" s="1" t="s">
        <v>73</v>
      </c>
      <c r="D11" s="1" t="s">
        <v>74</v>
      </c>
      <c r="E11" s="1" t="s">
        <v>75</v>
      </c>
      <c r="F11" s="1" t="s">
        <v>76</v>
      </c>
      <c r="G11" s="5" t="s">
        <v>55</v>
      </c>
      <c r="H11" s="6">
        <v>33.29</v>
      </c>
      <c r="I11" s="6">
        <v>9.32</v>
      </c>
      <c r="J11" s="1" t="s">
        <v>77</v>
      </c>
      <c r="K11" s="1" t="s">
        <v>78</v>
      </c>
      <c r="L11" s="7">
        <v>46023</v>
      </c>
      <c r="M11" s="9"/>
      <c r="N11" s="9"/>
      <c r="O11" s="1" t="s">
        <v>79</v>
      </c>
      <c r="P11" s="9"/>
    </row>
    <row r="12" spans="1:17" ht="25.5" x14ac:dyDescent="0.25">
      <c r="A12" s="1" t="s">
        <v>42</v>
      </c>
      <c r="B12" s="4" t="s">
        <v>43</v>
      </c>
      <c r="C12" s="1" t="s">
        <v>80</v>
      </c>
      <c r="D12" s="1" t="s">
        <v>45</v>
      </c>
      <c r="E12" s="1" t="s">
        <v>81</v>
      </c>
      <c r="F12" s="1" t="s">
        <v>76</v>
      </c>
      <c r="G12" s="5" t="s">
        <v>55</v>
      </c>
      <c r="H12" s="6">
        <v>248.28</v>
      </c>
      <c r="I12" s="6">
        <v>62.07</v>
      </c>
      <c r="J12" s="1" t="s">
        <v>77</v>
      </c>
      <c r="K12" s="1" t="s">
        <v>78</v>
      </c>
      <c r="L12" s="7">
        <v>46023</v>
      </c>
      <c r="M12" s="9"/>
      <c r="N12" s="8">
        <v>180</v>
      </c>
      <c r="O12" s="1" t="s">
        <v>82</v>
      </c>
      <c r="P12" s="9"/>
    </row>
    <row r="13" spans="1:17" ht="25.5" x14ac:dyDescent="0.25">
      <c r="A13" s="1" t="s">
        <v>42</v>
      </c>
      <c r="B13" s="4" t="s">
        <v>43</v>
      </c>
      <c r="C13" s="1" t="s">
        <v>80</v>
      </c>
      <c r="D13" s="1" t="s">
        <v>45</v>
      </c>
      <c r="E13" s="1" t="s">
        <v>83</v>
      </c>
      <c r="F13" s="1" t="s">
        <v>84</v>
      </c>
      <c r="G13" s="5" t="s">
        <v>55</v>
      </c>
      <c r="H13" s="6">
        <v>399.02</v>
      </c>
      <c r="I13" s="6">
        <v>99.76</v>
      </c>
      <c r="J13" s="1" t="s">
        <v>77</v>
      </c>
      <c r="K13" s="1" t="s">
        <v>78</v>
      </c>
      <c r="L13" s="7">
        <v>46023</v>
      </c>
      <c r="M13" s="9"/>
      <c r="N13" s="8">
        <v>330</v>
      </c>
      <c r="O13" s="1" t="s">
        <v>85</v>
      </c>
      <c r="P13" s="9"/>
    </row>
    <row r="14" spans="1:17" ht="25.5" x14ac:dyDescent="0.25">
      <c r="A14" s="1" t="s">
        <v>42</v>
      </c>
      <c r="B14" s="4" t="s">
        <v>43</v>
      </c>
      <c r="C14" s="1" t="s">
        <v>44</v>
      </c>
      <c r="D14" s="1" t="s">
        <v>45</v>
      </c>
      <c r="E14" s="1" t="s">
        <v>86</v>
      </c>
      <c r="F14" s="1" t="s">
        <v>87</v>
      </c>
      <c r="G14" s="5" t="s">
        <v>55</v>
      </c>
      <c r="H14" s="6">
        <v>125.08</v>
      </c>
      <c r="I14" s="6">
        <v>12.51</v>
      </c>
      <c r="J14" s="1" t="s">
        <v>88</v>
      </c>
      <c r="K14" s="1" t="s">
        <v>89</v>
      </c>
      <c r="L14" s="7">
        <v>46023</v>
      </c>
      <c r="M14" s="9"/>
      <c r="N14" s="8">
        <v>89</v>
      </c>
      <c r="O14" s="1" t="s">
        <v>90</v>
      </c>
      <c r="P14" s="9"/>
    </row>
    <row r="15" spans="1:17" x14ac:dyDescent="0.25">
      <c r="A15" s="1" t="s">
        <v>42</v>
      </c>
      <c r="B15" s="4" t="s">
        <v>43</v>
      </c>
      <c r="C15" s="1" t="s">
        <v>91</v>
      </c>
      <c r="D15" s="1" t="s">
        <v>92</v>
      </c>
      <c r="E15" s="1" t="s">
        <v>93</v>
      </c>
      <c r="F15" s="1" t="s">
        <v>94</v>
      </c>
      <c r="G15" s="5" t="s">
        <v>55</v>
      </c>
      <c r="H15" s="6">
        <v>215.74</v>
      </c>
      <c r="I15" s="6">
        <v>53.94</v>
      </c>
      <c r="J15" s="1" t="s">
        <v>95</v>
      </c>
      <c r="K15" s="1" t="s">
        <v>96</v>
      </c>
      <c r="L15" s="7">
        <v>46023</v>
      </c>
      <c r="M15" s="9"/>
      <c r="N15" s="8">
        <v>364</v>
      </c>
      <c r="O15" s="1" t="s">
        <v>97</v>
      </c>
      <c r="P15" s="9"/>
    </row>
    <row r="16" spans="1:17" ht="25.5" x14ac:dyDescent="0.25">
      <c r="A16" s="1" t="s">
        <v>42</v>
      </c>
      <c r="B16" s="4" t="s">
        <v>43</v>
      </c>
      <c r="C16" s="1" t="s">
        <v>44</v>
      </c>
      <c r="D16" s="1" t="s">
        <v>45</v>
      </c>
      <c r="E16" s="1" t="s">
        <v>98</v>
      </c>
      <c r="F16" s="1" t="s">
        <v>99</v>
      </c>
      <c r="G16" s="5" t="s">
        <v>100</v>
      </c>
      <c r="H16" s="6">
        <v>712.73</v>
      </c>
      <c r="I16" s="6">
        <v>178.19</v>
      </c>
      <c r="J16" s="1" t="s">
        <v>101</v>
      </c>
      <c r="K16" s="1" t="s">
        <v>102</v>
      </c>
      <c r="L16" s="7">
        <v>46025</v>
      </c>
      <c r="M16" s="9"/>
      <c r="N16" s="8">
        <v>364</v>
      </c>
      <c r="O16" s="1" t="s">
        <v>103</v>
      </c>
      <c r="P16" s="9"/>
    </row>
    <row r="17" spans="1:16" ht="25.5" x14ac:dyDescent="0.25">
      <c r="A17" s="1" t="s">
        <v>42</v>
      </c>
      <c r="B17" s="4" t="s">
        <v>43</v>
      </c>
      <c r="C17" s="1" t="s">
        <v>44</v>
      </c>
      <c r="D17" s="1" t="s">
        <v>45</v>
      </c>
      <c r="E17" s="1" t="s">
        <v>104</v>
      </c>
      <c r="F17" s="1" t="s">
        <v>105</v>
      </c>
      <c r="G17" s="5" t="s">
        <v>100</v>
      </c>
      <c r="H17" s="6">
        <v>390.72</v>
      </c>
      <c r="I17" s="6">
        <v>62.52</v>
      </c>
      <c r="J17" s="1" t="s">
        <v>106</v>
      </c>
      <c r="K17" s="1" t="s">
        <v>107</v>
      </c>
      <c r="L17" s="7">
        <v>46025</v>
      </c>
      <c r="M17" s="9"/>
      <c r="N17" s="8">
        <v>364</v>
      </c>
      <c r="O17" s="1" t="s">
        <v>108</v>
      </c>
      <c r="P17" s="9"/>
    </row>
    <row r="18" spans="1:16" ht="25.5" x14ac:dyDescent="0.25">
      <c r="A18" s="1" t="s">
        <v>42</v>
      </c>
      <c r="B18" s="4" t="s">
        <v>43</v>
      </c>
      <c r="C18" s="1" t="s">
        <v>44</v>
      </c>
      <c r="D18" s="1" t="s">
        <v>45</v>
      </c>
      <c r="E18" s="1" t="s">
        <v>109</v>
      </c>
      <c r="F18" s="1" t="s">
        <v>110</v>
      </c>
      <c r="G18" s="5" t="s">
        <v>111</v>
      </c>
      <c r="H18" s="6">
        <v>59.43</v>
      </c>
      <c r="I18" s="6">
        <v>14.86</v>
      </c>
      <c r="J18" s="1" t="s">
        <v>112</v>
      </c>
      <c r="K18" s="1" t="s">
        <v>15</v>
      </c>
      <c r="L18" s="7">
        <v>46028</v>
      </c>
      <c r="M18" s="9"/>
      <c r="N18" s="8">
        <v>90</v>
      </c>
      <c r="O18" s="1" t="s">
        <v>113</v>
      </c>
      <c r="P18" s="9"/>
    </row>
    <row r="19" spans="1:16" x14ac:dyDescent="0.25">
      <c r="A19" s="1" t="s">
        <v>42</v>
      </c>
      <c r="B19" s="4" t="s">
        <v>43</v>
      </c>
      <c r="C19" s="1" t="s">
        <v>91</v>
      </c>
      <c r="D19" s="1" t="s">
        <v>92</v>
      </c>
      <c r="E19" s="1" t="s">
        <v>114</v>
      </c>
      <c r="F19" s="1" t="s">
        <v>115</v>
      </c>
      <c r="G19" s="5" t="s">
        <v>55</v>
      </c>
      <c r="H19" s="6">
        <v>259.79000000000002</v>
      </c>
      <c r="I19" s="6">
        <v>64.95</v>
      </c>
      <c r="J19" s="1" t="s">
        <v>77</v>
      </c>
      <c r="K19" s="1" t="s">
        <v>78</v>
      </c>
      <c r="L19" s="7">
        <v>46023</v>
      </c>
      <c r="M19" s="9"/>
      <c r="N19" s="8">
        <v>364</v>
      </c>
      <c r="O19" s="1" t="s">
        <v>116</v>
      </c>
      <c r="P19" s="9"/>
    </row>
    <row r="20" spans="1:16" ht="25.5" x14ac:dyDescent="0.25">
      <c r="A20" s="1" t="s">
        <v>42</v>
      </c>
      <c r="B20" s="4" t="s">
        <v>43</v>
      </c>
      <c r="C20" s="1" t="s">
        <v>44</v>
      </c>
      <c r="D20" s="1" t="s">
        <v>45</v>
      </c>
      <c r="E20" s="1" t="s">
        <v>117</v>
      </c>
      <c r="F20" s="1" t="s">
        <v>118</v>
      </c>
      <c r="G20" s="5" t="s">
        <v>55</v>
      </c>
      <c r="H20" s="6">
        <v>244.98</v>
      </c>
      <c r="I20" s="6">
        <v>61.24</v>
      </c>
      <c r="J20" s="1" t="s">
        <v>119</v>
      </c>
      <c r="K20" s="1" t="s">
        <v>120</v>
      </c>
      <c r="L20" s="7">
        <v>46054</v>
      </c>
      <c r="M20" s="9"/>
      <c r="N20" s="8">
        <v>90</v>
      </c>
      <c r="O20" s="1" t="s">
        <v>121</v>
      </c>
      <c r="P20" s="9"/>
    </row>
    <row r="21" spans="1:16" x14ac:dyDescent="0.25">
      <c r="A21" s="1" t="s">
        <v>42</v>
      </c>
      <c r="B21" s="4" t="s">
        <v>43</v>
      </c>
      <c r="C21" s="1" t="s">
        <v>73</v>
      </c>
      <c r="D21" s="1" t="s">
        <v>74</v>
      </c>
      <c r="E21" s="1" t="s">
        <v>122</v>
      </c>
      <c r="F21" s="1" t="s">
        <v>123</v>
      </c>
      <c r="G21" s="5" t="s">
        <v>55</v>
      </c>
      <c r="H21" s="6">
        <v>34.25</v>
      </c>
      <c r="I21" s="6">
        <v>4.45</v>
      </c>
      <c r="J21" s="1" t="s">
        <v>124</v>
      </c>
      <c r="K21" s="1" t="s">
        <v>125</v>
      </c>
      <c r="L21" s="7">
        <v>45658</v>
      </c>
      <c r="M21" s="9"/>
      <c r="N21" s="9"/>
      <c r="O21" s="1" t="s">
        <v>126</v>
      </c>
      <c r="P21" s="9"/>
    </row>
    <row r="22" spans="1:16" ht="25.5" x14ac:dyDescent="0.25">
      <c r="A22" s="1" t="s">
        <v>42</v>
      </c>
      <c r="B22" s="4" t="s">
        <v>43</v>
      </c>
      <c r="C22" s="1" t="s">
        <v>80</v>
      </c>
      <c r="D22" s="1" t="s">
        <v>45</v>
      </c>
      <c r="E22" s="1" t="s">
        <v>127</v>
      </c>
      <c r="F22" s="1" t="s">
        <v>128</v>
      </c>
      <c r="G22" s="5" t="s">
        <v>55</v>
      </c>
      <c r="H22" s="6">
        <v>701.73</v>
      </c>
      <c r="I22" s="6">
        <v>175.43</v>
      </c>
      <c r="J22" s="1" t="s">
        <v>56</v>
      </c>
      <c r="K22" s="1" t="s">
        <v>57</v>
      </c>
      <c r="L22" s="7">
        <v>45962</v>
      </c>
      <c r="M22" s="9"/>
      <c r="N22" s="8">
        <v>364</v>
      </c>
      <c r="O22" s="1" t="s">
        <v>129</v>
      </c>
      <c r="P22" s="9"/>
    </row>
    <row r="23" spans="1:16" ht="25.5" x14ac:dyDescent="0.25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130</v>
      </c>
      <c r="F23" s="1" t="s">
        <v>131</v>
      </c>
      <c r="G23" s="5" t="s">
        <v>132</v>
      </c>
      <c r="H23" s="6">
        <v>142.18</v>
      </c>
      <c r="I23" s="6">
        <v>35.549999999999997</v>
      </c>
      <c r="J23" s="1" t="s">
        <v>133</v>
      </c>
      <c r="K23" s="1" t="s">
        <v>134</v>
      </c>
      <c r="L23" s="7">
        <v>45961</v>
      </c>
      <c r="M23" s="9"/>
      <c r="N23" s="8">
        <v>180</v>
      </c>
      <c r="O23" s="1" t="s">
        <v>135</v>
      </c>
      <c r="P23" s="9"/>
    </row>
    <row r="24" spans="1:16" x14ac:dyDescent="0.25">
      <c r="A24" s="1" t="s">
        <v>42</v>
      </c>
      <c r="B24" s="4" t="s">
        <v>43</v>
      </c>
      <c r="C24" s="1" t="s">
        <v>91</v>
      </c>
      <c r="D24" s="1" t="s">
        <v>92</v>
      </c>
      <c r="E24" s="1" t="s">
        <v>136</v>
      </c>
      <c r="F24" s="1" t="s">
        <v>137</v>
      </c>
      <c r="G24" s="5" t="s">
        <v>55</v>
      </c>
      <c r="H24" s="6">
        <v>421.98</v>
      </c>
      <c r="I24" s="6">
        <v>42.2</v>
      </c>
      <c r="J24" s="1" t="s">
        <v>88</v>
      </c>
      <c r="K24" s="1" t="s">
        <v>89</v>
      </c>
      <c r="L24" s="7">
        <v>45962</v>
      </c>
      <c r="M24" s="9"/>
      <c r="N24" s="8">
        <v>180</v>
      </c>
      <c r="O24" s="1" t="s">
        <v>138</v>
      </c>
      <c r="P24" s="9"/>
    </row>
    <row r="25" spans="1:16" x14ac:dyDescent="0.25">
      <c r="A25" s="1" t="s">
        <v>42</v>
      </c>
      <c r="B25" s="4" t="s">
        <v>43</v>
      </c>
      <c r="C25" s="1" t="s">
        <v>139</v>
      </c>
      <c r="D25" s="1" t="s">
        <v>92</v>
      </c>
      <c r="E25" s="1" t="s">
        <v>140</v>
      </c>
      <c r="F25" s="1" t="s">
        <v>141</v>
      </c>
      <c r="G25" s="5" t="s">
        <v>55</v>
      </c>
      <c r="H25" s="6">
        <v>353.58</v>
      </c>
      <c r="I25" s="6">
        <v>88.4</v>
      </c>
      <c r="J25" s="1" t="s">
        <v>142</v>
      </c>
      <c r="K25" s="1" t="s">
        <v>143</v>
      </c>
      <c r="L25" s="7">
        <v>45962</v>
      </c>
      <c r="M25" s="7">
        <v>46081</v>
      </c>
      <c r="N25" s="8">
        <v>120</v>
      </c>
      <c r="O25" s="1" t="s">
        <v>144</v>
      </c>
      <c r="P25" s="9"/>
    </row>
    <row r="26" spans="1:16" x14ac:dyDescent="0.25">
      <c r="A26" s="1" t="s">
        <v>42</v>
      </c>
      <c r="B26" s="4" t="s">
        <v>43</v>
      </c>
      <c r="C26" s="1" t="s">
        <v>139</v>
      </c>
      <c r="D26" s="1" t="s">
        <v>92</v>
      </c>
      <c r="E26" s="1" t="s">
        <v>145</v>
      </c>
      <c r="F26" s="1" t="s">
        <v>146</v>
      </c>
      <c r="G26" s="5" t="s">
        <v>55</v>
      </c>
      <c r="H26" s="6">
        <v>353.58</v>
      </c>
      <c r="I26" s="6">
        <v>88.4</v>
      </c>
      <c r="J26" s="1" t="s">
        <v>142</v>
      </c>
      <c r="K26" s="1" t="s">
        <v>143</v>
      </c>
      <c r="L26" s="7">
        <v>45962</v>
      </c>
      <c r="M26" s="7">
        <v>46081</v>
      </c>
      <c r="N26" s="8">
        <v>120</v>
      </c>
      <c r="O26" s="1" t="s">
        <v>147</v>
      </c>
      <c r="P26" s="9"/>
    </row>
    <row r="27" spans="1:16" ht="25.5" x14ac:dyDescent="0.25">
      <c r="A27" s="1" t="s">
        <v>42</v>
      </c>
      <c r="B27" s="4" t="s">
        <v>43</v>
      </c>
      <c r="C27" s="1" t="s">
        <v>44</v>
      </c>
      <c r="D27" s="1" t="s">
        <v>45</v>
      </c>
      <c r="E27" s="1" t="s">
        <v>148</v>
      </c>
      <c r="F27" s="1" t="s">
        <v>149</v>
      </c>
      <c r="G27" s="5" t="s">
        <v>150</v>
      </c>
      <c r="H27" s="6">
        <v>495.24</v>
      </c>
      <c r="I27" s="6">
        <v>123.81</v>
      </c>
      <c r="J27" s="1" t="s">
        <v>151</v>
      </c>
      <c r="K27" s="1" t="s">
        <v>152</v>
      </c>
      <c r="L27" s="7">
        <v>45965</v>
      </c>
      <c r="M27" s="9"/>
      <c r="N27" s="8">
        <v>364</v>
      </c>
      <c r="O27" s="1" t="s">
        <v>153</v>
      </c>
      <c r="P27" s="9"/>
    </row>
    <row r="28" spans="1:16" ht="25.5" x14ac:dyDescent="0.25">
      <c r="A28" s="1" t="s">
        <v>42</v>
      </c>
      <c r="B28" s="4" t="s">
        <v>43</v>
      </c>
      <c r="C28" s="1" t="s">
        <v>44</v>
      </c>
      <c r="D28" s="1" t="s">
        <v>45</v>
      </c>
      <c r="E28" s="1" t="s">
        <v>154</v>
      </c>
      <c r="F28" s="1" t="s">
        <v>155</v>
      </c>
      <c r="G28" s="5" t="s">
        <v>55</v>
      </c>
      <c r="H28" s="6">
        <v>341.42</v>
      </c>
      <c r="I28" s="6">
        <v>34.14</v>
      </c>
      <c r="J28" s="1" t="s">
        <v>88</v>
      </c>
      <c r="K28" s="1" t="s">
        <v>89</v>
      </c>
      <c r="L28" s="7">
        <v>46023</v>
      </c>
      <c r="M28" s="9"/>
      <c r="N28" s="8">
        <v>90</v>
      </c>
      <c r="O28" s="1" t="s">
        <v>156</v>
      </c>
      <c r="P28" s="9"/>
    </row>
    <row r="29" spans="1:16" x14ac:dyDescent="0.25">
      <c r="A29" s="1" t="s">
        <v>42</v>
      </c>
      <c r="B29" s="4" t="s">
        <v>43</v>
      </c>
      <c r="C29" s="1" t="s">
        <v>91</v>
      </c>
      <c r="D29" s="1" t="s">
        <v>92</v>
      </c>
      <c r="E29" s="1" t="s">
        <v>157</v>
      </c>
      <c r="F29" s="1" t="s">
        <v>158</v>
      </c>
      <c r="G29" s="5" t="s">
        <v>55</v>
      </c>
      <c r="H29" s="6">
        <v>294.7</v>
      </c>
      <c r="I29" s="6">
        <v>29.47</v>
      </c>
      <c r="J29" s="1" t="s">
        <v>88</v>
      </c>
      <c r="K29" s="1" t="s">
        <v>89</v>
      </c>
      <c r="L29" s="7">
        <v>46023</v>
      </c>
      <c r="M29" s="9"/>
      <c r="N29" s="8">
        <v>364</v>
      </c>
      <c r="O29" s="1" t="s">
        <v>159</v>
      </c>
      <c r="P29" s="9"/>
    </row>
    <row r="30" spans="1:16" ht="25.5" x14ac:dyDescent="0.25">
      <c r="A30" s="1" t="s">
        <v>42</v>
      </c>
      <c r="B30" s="4" t="s">
        <v>43</v>
      </c>
      <c r="C30" s="1" t="s">
        <v>44</v>
      </c>
      <c r="D30" s="1" t="s">
        <v>45</v>
      </c>
      <c r="E30" s="1" t="s">
        <v>160</v>
      </c>
      <c r="F30" s="1" t="s">
        <v>161</v>
      </c>
      <c r="G30" s="5" t="s">
        <v>55</v>
      </c>
      <c r="H30" s="6">
        <v>622.70000000000005</v>
      </c>
      <c r="I30" s="6">
        <v>62.27</v>
      </c>
      <c r="J30" s="1" t="s">
        <v>88</v>
      </c>
      <c r="K30" s="1" t="s">
        <v>89</v>
      </c>
      <c r="L30" s="7">
        <v>46023</v>
      </c>
      <c r="M30" s="9"/>
      <c r="N30" s="8">
        <v>90</v>
      </c>
      <c r="O30" s="1" t="s">
        <v>162</v>
      </c>
      <c r="P30" s="9"/>
    </row>
    <row r="31" spans="1:16" x14ac:dyDescent="0.25">
      <c r="A31" s="1" t="s">
        <v>42</v>
      </c>
      <c r="B31" s="4" t="s">
        <v>43</v>
      </c>
      <c r="C31" s="1" t="s">
        <v>91</v>
      </c>
      <c r="D31" s="1" t="s">
        <v>92</v>
      </c>
      <c r="E31" s="1" t="s">
        <v>163</v>
      </c>
      <c r="F31" s="1" t="s">
        <v>164</v>
      </c>
      <c r="G31" s="5" t="s">
        <v>55</v>
      </c>
      <c r="H31" s="6">
        <v>309.48</v>
      </c>
      <c r="I31" s="6">
        <v>77.37</v>
      </c>
      <c r="J31" s="1" t="s">
        <v>165</v>
      </c>
      <c r="K31" s="1" t="s">
        <v>166</v>
      </c>
      <c r="L31" s="7">
        <v>46023</v>
      </c>
      <c r="M31" s="9"/>
      <c r="N31" s="8">
        <v>364</v>
      </c>
      <c r="O31" s="1" t="s">
        <v>167</v>
      </c>
      <c r="P31" s="9"/>
    </row>
    <row r="32" spans="1:16" ht="25.5" x14ac:dyDescent="0.25">
      <c r="A32" s="1" t="s">
        <v>42</v>
      </c>
      <c r="B32" s="4" t="s">
        <v>43</v>
      </c>
      <c r="C32" s="1" t="s">
        <v>80</v>
      </c>
      <c r="D32" s="1" t="s">
        <v>45</v>
      </c>
      <c r="E32" s="1" t="s">
        <v>168</v>
      </c>
      <c r="F32" s="1" t="s">
        <v>169</v>
      </c>
      <c r="G32" s="5" t="s">
        <v>55</v>
      </c>
      <c r="H32" s="6">
        <v>275.43</v>
      </c>
      <c r="I32" s="6">
        <v>68.86</v>
      </c>
      <c r="J32" s="1" t="s">
        <v>77</v>
      </c>
      <c r="K32" s="1" t="s">
        <v>78</v>
      </c>
      <c r="L32" s="7">
        <v>45992</v>
      </c>
      <c r="M32" s="9"/>
      <c r="N32" s="8">
        <v>180</v>
      </c>
      <c r="O32" s="1" t="s">
        <v>170</v>
      </c>
      <c r="P32" s="9"/>
    </row>
    <row r="33" spans="1:17" x14ac:dyDescent="0.25">
      <c r="A33" s="1" t="s">
        <v>42</v>
      </c>
      <c r="B33" s="4" t="s">
        <v>43</v>
      </c>
      <c r="C33" s="1" t="s">
        <v>91</v>
      </c>
      <c r="D33" s="1" t="s">
        <v>92</v>
      </c>
      <c r="E33" s="1" t="s">
        <v>171</v>
      </c>
      <c r="F33" s="1" t="s">
        <v>172</v>
      </c>
      <c r="G33" s="5" t="s">
        <v>173</v>
      </c>
      <c r="H33" s="6">
        <v>298.56</v>
      </c>
      <c r="I33" s="6">
        <v>74.64</v>
      </c>
      <c r="J33" s="1" t="s">
        <v>174</v>
      </c>
      <c r="K33" s="1" t="s">
        <v>175</v>
      </c>
      <c r="L33" s="7">
        <v>45993</v>
      </c>
      <c r="M33" s="7">
        <v>46113</v>
      </c>
      <c r="N33" s="8">
        <v>121</v>
      </c>
      <c r="O33" s="1" t="s">
        <v>176</v>
      </c>
      <c r="P33" s="9"/>
    </row>
    <row r="34" spans="1:17" x14ac:dyDescent="0.25">
      <c r="A34" s="1" t="s">
        <v>42</v>
      </c>
      <c r="B34" s="4" t="s">
        <v>43</v>
      </c>
      <c r="C34" s="1" t="s">
        <v>91</v>
      </c>
      <c r="D34" s="1" t="s">
        <v>92</v>
      </c>
      <c r="E34" s="1" t="s">
        <v>177</v>
      </c>
      <c r="F34" s="1" t="s">
        <v>178</v>
      </c>
      <c r="G34" s="5" t="s">
        <v>55</v>
      </c>
      <c r="H34" s="6">
        <v>1294.49</v>
      </c>
      <c r="I34" s="6">
        <v>129.44999999999999</v>
      </c>
      <c r="J34" s="1" t="s">
        <v>88</v>
      </c>
      <c r="K34" s="1" t="s">
        <v>89</v>
      </c>
      <c r="L34" s="7">
        <v>46023</v>
      </c>
      <c r="M34" s="9"/>
      <c r="N34" s="8">
        <v>364</v>
      </c>
      <c r="O34" s="1" t="s">
        <v>179</v>
      </c>
      <c r="P34" s="9"/>
    </row>
    <row r="35" spans="1:17" x14ac:dyDescent="0.25">
      <c r="A35" s="1" t="s">
        <v>42</v>
      </c>
      <c r="B35" s="4" t="s">
        <v>43</v>
      </c>
      <c r="C35" s="1" t="s">
        <v>91</v>
      </c>
      <c r="D35" s="1" t="s">
        <v>92</v>
      </c>
      <c r="E35" s="1" t="s">
        <v>180</v>
      </c>
      <c r="F35" s="1" t="s">
        <v>181</v>
      </c>
      <c r="G35" s="5" t="s">
        <v>55</v>
      </c>
      <c r="H35" s="6">
        <v>486.21</v>
      </c>
      <c r="I35" s="6">
        <v>121.55</v>
      </c>
      <c r="J35" s="1" t="s">
        <v>182</v>
      </c>
      <c r="K35" s="1" t="s">
        <v>183</v>
      </c>
      <c r="L35" s="7">
        <v>46023</v>
      </c>
      <c r="M35" s="7">
        <v>46252</v>
      </c>
      <c r="N35" s="8">
        <v>230</v>
      </c>
      <c r="O35" s="1" t="s">
        <v>184</v>
      </c>
      <c r="P35" s="9"/>
    </row>
    <row r="36" spans="1:17" ht="25.5" x14ac:dyDescent="0.25">
      <c r="A36" s="1" t="s">
        <v>42</v>
      </c>
      <c r="B36" s="4" t="s">
        <v>43</v>
      </c>
      <c r="C36" s="1" t="s">
        <v>80</v>
      </c>
      <c r="D36" s="1" t="s">
        <v>45</v>
      </c>
      <c r="E36" s="1" t="s">
        <v>185</v>
      </c>
      <c r="F36" s="1" t="s">
        <v>186</v>
      </c>
      <c r="G36" s="5" t="s">
        <v>55</v>
      </c>
      <c r="H36" s="6">
        <v>347.06</v>
      </c>
      <c r="I36" s="6">
        <v>86.77</v>
      </c>
      <c r="J36" s="1" t="s">
        <v>77</v>
      </c>
      <c r="K36" s="1" t="s">
        <v>78</v>
      </c>
      <c r="L36" s="7">
        <v>46023</v>
      </c>
      <c r="M36" s="7">
        <v>46352</v>
      </c>
      <c r="N36" s="8">
        <v>330</v>
      </c>
      <c r="O36" s="1" t="s">
        <v>187</v>
      </c>
      <c r="P36" s="9"/>
    </row>
    <row r="37" spans="1:17" x14ac:dyDescent="0.25">
      <c r="A37" s="1" t="s">
        <v>42</v>
      </c>
      <c r="B37" s="4" t="s">
        <v>43</v>
      </c>
      <c r="C37" s="1" t="s">
        <v>188</v>
      </c>
      <c r="D37" s="1" t="s">
        <v>92</v>
      </c>
      <c r="E37" s="1" t="s">
        <v>189</v>
      </c>
      <c r="F37" s="1" t="s">
        <v>190</v>
      </c>
      <c r="G37" s="5" t="s">
        <v>55</v>
      </c>
      <c r="H37" s="6">
        <v>394.24</v>
      </c>
      <c r="I37" s="6">
        <v>98.56</v>
      </c>
      <c r="J37" s="1" t="s">
        <v>191</v>
      </c>
      <c r="K37" s="1" t="s">
        <v>192</v>
      </c>
      <c r="L37" s="7">
        <v>46023</v>
      </c>
      <c r="M37" s="7">
        <v>46160</v>
      </c>
      <c r="N37" s="8">
        <v>138</v>
      </c>
      <c r="O37" s="1" t="s">
        <v>193</v>
      </c>
      <c r="P37" s="9"/>
    </row>
    <row r="38" spans="1:17" ht="25.5" x14ac:dyDescent="0.25">
      <c r="A38" s="1" t="s">
        <v>42</v>
      </c>
      <c r="B38" s="4" t="s">
        <v>43</v>
      </c>
      <c r="C38" s="1" t="s">
        <v>44</v>
      </c>
      <c r="D38" s="1" t="s">
        <v>45</v>
      </c>
      <c r="E38" s="1" t="s">
        <v>194</v>
      </c>
      <c r="F38" s="1" t="s">
        <v>195</v>
      </c>
      <c r="G38" s="5" t="s">
        <v>55</v>
      </c>
      <c r="H38" s="6">
        <v>56.03</v>
      </c>
      <c r="I38" s="6">
        <v>14.01</v>
      </c>
      <c r="J38" s="1" t="s">
        <v>49</v>
      </c>
      <c r="K38" s="1" t="s">
        <v>50</v>
      </c>
      <c r="L38" s="7">
        <v>46023</v>
      </c>
      <c r="M38" s="9"/>
      <c r="N38" s="8">
        <v>90</v>
      </c>
      <c r="O38" s="1" t="s">
        <v>196</v>
      </c>
      <c r="P38" s="9"/>
    </row>
    <row r="39" spans="1:17" x14ac:dyDescent="0.25">
      <c r="A39" s="1" t="s">
        <v>42</v>
      </c>
      <c r="B39" s="4" t="s">
        <v>43</v>
      </c>
      <c r="C39" s="1" t="s">
        <v>91</v>
      </c>
      <c r="D39" s="1" t="s">
        <v>92</v>
      </c>
      <c r="E39" s="1" t="s">
        <v>197</v>
      </c>
      <c r="F39" s="1" t="s">
        <v>198</v>
      </c>
      <c r="G39" s="5" t="s">
        <v>55</v>
      </c>
      <c r="H39" s="6">
        <v>414.08</v>
      </c>
      <c r="I39" s="6">
        <v>103.52</v>
      </c>
      <c r="J39" s="1" t="s">
        <v>95</v>
      </c>
      <c r="K39" s="1" t="s">
        <v>96</v>
      </c>
      <c r="L39" s="7">
        <v>46023</v>
      </c>
      <c r="M39" s="7">
        <v>46142</v>
      </c>
      <c r="N39" s="8">
        <v>120</v>
      </c>
      <c r="O39" s="1" t="s">
        <v>199</v>
      </c>
      <c r="P39" s="9"/>
    </row>
    <row r="40" spans="1:17" ht="25.5" x14ac:dyDescent="0.25">
      <c r="A40" s="1" t="s">
        <v>42</v>
      </c>
      <c r="B40" s="4" t="s">
        <v>43</v>
      </c>
      <c r="C40" s="1" t="s">
        <v>44</v>
      </c>
      <c r="D40" s="1" t="s">
        <v>45</v>
      </c>
      <c r="E40" s="1" t="s">
        <v>200</v>
      </c>
      <c r="F40" s="1" t="s">
        <v>201</v>
      </c>
      <c r="G40" s="5" t="s">
        <v>55</v>
      </c>
      <c r="H40" s="6">
        <v>545.76</v>
      </c>
      <c r="I40" s="6">
        <v>136.44</v>
      </c>
      <c r="J40" s="1" t="s">
        <v>56</v>
      </c>
      <c r="K40" s="1" t="s">
        <v>57</v>
      </c>
      <c r="L40" s="7">
        <v>46023</v>
      </c>
      <c r="M40" s="9"/>
      <c r="N40" s="8">
        <v>364</v>
      </c>
      <c r="O40" s="1" t="s">
        <v>202</v>
      </c>
      <c r="P40" s="9"/>
    </row>
    <row r="41" spans="1:17" ht="25.5" x14ac:dyDescent="0.25">
      <c r="A41" s="1" t="s">
        <v>42</v>
      </c>
      <c r="B41" s="4" t="s">
        <v>43</v>
      </c>
      <c r="C41" s="1" t="s">
        <v>80</v>
      </c>
      <c r="D41" s="1" t="s">
        <v>45</v>
      </c>
      <c r="E41" s="1" t="s">
        <v>203</v>
      </c>
      <c r="F41" s="1" t="s">
        <v>204</v>
      </c>
      <c r="G41" s="5" t="s">
        <v>55</v>
      </c>
      <c r="H41" s="6">
        <v>185.03</v>
      </c>
      <c r="I41" s="6">
        <v>46.26</v>
      </c>
      <c r="J41" s="1" t="s">
        <v>77</v>
      </c>
      <c r="K41" s="1" t="s">
        <v>78</v>
      </c>
      <c r="L41" s="7">
        <v>46023</v>
      </c>
      <c r="M41" s="7">
        <v>46352</v>
      </c>
      <c r="N41" s="8">
        <v>330</v>
      </c>
      <c r="O41" s="1" t="s">
        <v>205</v>
      </c>
      <c r="P41" s="9"/>
    </row>
    <row r="42" spans="1:17" ht="25.5" x14ac:dyDescent="0.25">
      <c r="A42" s="1" t="s">
        <v>42</v>
      </c>
      <c r="B42" s="4" t="s">
        <v>43</v>
      </c>
      <c r="C42" s="1" t="s">
        <v>44</v>
      </c>
      <c r="D42" s="1" t="s">
        <v>45</v>
      </c>
      <c r="E42" s="1" t="s">
        <v>206</v>
      </c>
      <c r="F42" s="1" t="s">
        <v>207</v>
      </c>
      <c r="G42" s="5" t="s">
        <v>132</v>
      </c>
      <c r="H42" s="6">
        <v>333.44</v>
      </c>
      <c r="I42" s="6">
        <v>83.36</v>
      </c>
      <c r="J42" s="1" t="s">
        <v>208</v>
      </c>
      <c r="K42" s="1" t="s">
        <v>209</v>
      </c>
      <c r="L42" s="7">
        <v>46022</v>
      </c>
      <c r="M42" s="9"/>
      <c r="N42" s="8">
        <v>90</v>
      </c>
      <c r="O42" s="1" t="s">
        <v>210</v>
      </c>
      <c r="P42" s="9"/>
    </row>
    <row r="43" spans="1:17" x14ac:dyDescent="0.25">
      <c r="A43" s="10" t="s">
        <v>211</v>
      </c>
      <c r="B43" s="4"/>
      <c r="C43" s="4"/>
      <c r="D43" s="4"/>
      <c r="E43" s="4"/>
      <c r="F43" s="4"/>
      <c r="G43" s="4"/>
      <c r="H43" s="6">
        <v>12652.989999999998</v>
      </c>
      <c r="I43" s="6">
        <v>2659.9700000000007</v>
      </c>
      <c r="J43" s="4"/>
      <c r="K43" s="4"/>
      <c r="L43" s="4"/>
      <c r="M43" s="4"/>
      <c r="N43" s="4"/>
      <c r="O43" s="4"/>
      <c r="P43" s="4"/>
    </row>
    <row r="44" spans="1:17" x14ac:dyDescent="0.25">
      <c r="A44" s="11" t="s">
        <v>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x14ac:dyDescent="0.25">
      <c r="A45" s="11" t="s">
        <v>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25">
      <c r="A46" s="11" t="s">
        <v>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</sheetData>
  <mergeCells count="5">
    <mergeCell ref="A1:Q1"/>
    <mergeCell ref="A2:Q2"/>
    <mergeCell ref="A44:Q44"/>
    <mergeCell ref="A45:Q45"/>
    <mergeCell ref="A46:Q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BE86-6EDD-4D4C-A08E-B865CB625580}">
  <dimension ref="A1:R61"/>
  <sheetViews>
    <sheetView tabSelected="1" topLeftCell="A23" workbookViewId="0">
      <selection activeCell="I2" sqref="I2:I61"/>
    </sheetView>
  </sheetViews>
  <sheetFormatPr defaultRowHeight="15" x14ac:dyDescent="0.25"/>
  <cols>
    <col min="1" max="1" width="11.42578125" customWidth="1"/>
    <col min="3" max="3" width="13" customWidth="1"/>
    <col min="4" max="4" width="15.28515625" customWidth="1"/>
    <col min="5" max="5" width="13" customWidth="1"/>
    <col min="6" max="6" width="19.85546875" customWidth="1"/>
    <col min="7" max="7" width="13" style="40" customWidth="1"/>
    <col min="8" max="8" width="13" customWidth="1"/>
    <col min="9" max="9" width="13.7109375" customWidth="1"/>
    <col min="10" max="10" width="13.7109375" style="28" customWidth="1"/>
    <col min="11" max="11" width="16.7109375" customWidth="1"/>
    <col min="12" max="12" width="13.7109375" customWidth="1"/>
    <col min="13" max="13" width="12.140625" customWidth="1"/>
    <col min="14" max="14" width="13.7109375" customWidth="1"/>
    <col min="15" max="15" width="14.42578125" customWidth="1"/>
  </cols>
  <sheetData>
    <row r="1" spans="1:18" ht="24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7" t="s">
        <v>33</v>
      </c>
      <c r="H1" s="3" t="s">
        <v>34</v>
      </c>
      <c r="I1" s="3" t="s">
        <v>23</v>
      </c>
      <c r="J1" s="27"/>
      <c r="K1" s="3" t="s">
        <v>35</v>
      </c>
      <c r="L1" s="3" t="s">
        <v>36</v>
      </c>
      <c r="M1" s="3" t="s">
        <v>37</v>
      </c>
      <c r="N1" s="3" t="s">
        <v>38</v>
      </c>
    </row>
    <row r="2" spans="1:18" s="35" customFormat="1" ht="15" customHeight="1" x14ac:dyDescent="0.25">
      <c r="A2" s="1" t="s">
        <v>42</v>
      </c>
      <c r="B2" s="4" t="s">
        <v>43</v>
      </c>
      <c r="C2" s="1" t="s">
        <v>44</v>
      </c>
      <c r="D2" s="1" t="s">
        <v>45</v>
      </c>
      <c r="E2" s="1" t="s">
        <v>130</v>
      </c>
      <c r="F2" s="1" t="s">
        <v>131</v>
      </c>
      <c r="G2" s="39" t="s">
        <v>132</v>
      </c>
      <c r="H2" s="6">
        <v>142.18</v>
      </c>
      <c r="I2" s="6">
        <v>35.549999999999997</v>
      </c>
      <c r="J2" s="26">
        <f>I2/H2</f>
        <v>0.25003516669011111</v>
      </c>
      <c r="K2" s="1" t="s">
        <v>133</v>
      </c>
      <c r="L2" s="1">
        <v>9079571</v>
      </c>
      <c r="M2" s="7">
        <v>45961</v>
      </c>
      <c r="N2" s="9"/>
      <c r="O2" t="s">
        <v>272</v>
      </c>
      <c r="P2"/>
      <c r="Q2"/>
      <c r="R2"/>
    </row>
    <row r="3" spans="1:18" s="35" customFormat="1" ht="15" customHeight="1" x14ac:dyDescent="0.25">
      <c r="A3" s="1" t="s">
        <v>212</v>
      </c>
      <c r="B3" s="4" t="s">
        <v>43</v>
      </c>
      <c r="C3" s="1" t="s">
        <v>44</v>
      </c>
      <c r="D3" s="1" t="s">
        <v>45</v>
      </c>
      <c r="E3" s="1" t="s">
        <v>259</v>
      </c>
      <c r="F3" s="1" t="s">
        <v>260</v>
      </c>
      <c r="G3" s="39" t="s">
        <v>261</v>
      </c>
      <c r="H3" s="6">
        <v>349.19</v>
      </c>
      <c r="I3" s="6">
        <v>87.31</v>
      </c>
      <c r="J3" s="26">
        <f>I3/H3</f>
        <v>0.250035797130502</v>
      </c>
      <c r="K3" s="1" t="s">
        <v>133</v>
      </c>
      <c r="L3" s="1">
        <v>9079571</v>
      </c>
      <c r="M3" s="7">
        <v>45976</v>
      </c>
      <c r="N3" s="9"/>
      <c r="O3" t="s">
        <v>272</v>
      </c>
      <c r="P3"/>
      <c r="Q3"/>
      <c r="R3"/>
    </row>
    <row r="4" spans="1:18" s="35" customFormat="1" ht="15" customHeight="1" x14ac:dyDescent="0.25">
      <c r="A4" s="1" t="s">
        <v>42</v>
      </c>
      <c r="B4" s="4" t="s">
        <v>43</v>
      </c>
      <c r="C4" s="1" t="s">
        <v>139</v>
      </c>
      <c r="D4" s="1" t="s">
        <v>92</v>
      </c>
      <c r="E4" s="1" t="s">
        <v>140</v>
      </c>
      <c r="F4" s="1" t="s">
        <v>141</v>
      </c>
      <c r="G4" s="39" t="s">
        <v>55</v>
      </c>
      <c r="H4" s="6">
        <v>353.58</v>
      </c>
      <c r="I4" s="6">
        <v>88.4</v>
      </c>
      <c r="J4" s="26">
        <f>I4/H4</f>
        <v>0.25001414107132758</v>
      </c>
      <c r="K4" s="1" t="s">
        <v>142</v>
      </c>
      <c r="L4" s="1">
        <v>21104854</v>
      </c>
      <c r="M4" s="7">
        <v>45962</v>
      </c>
      <c r="N4" s="7">
        <v>46081</v>
      </c>
      <c r="O4" t="s">
        <v>272</v>
      </c>
      <c r="P4"/>
      <c r="Q4"/>
      <c r="R4"/>
    </row>
    <row r="5" spans="1:18" s="35" customFormat="1" ht="15" customHeight="1" x14ac:dyDescent="0.25">
      <c r="A5" s="1" t="s">
        <v>42</v>
      </c>
      <c r="B5" s="4" t="s">
        <v>43</v>
      </c>
      <c r="C5" s="1" t="s">
        <v>139</v>
      </c>
      <c r="D5" s="1" t="s">
        <v>92</v>
      </c>
      <c r="E5" s="1" t="s">
        <v>145</v>
      </c>
      <c r="F5" s="1" t="s">
        <v>146</v>
      </c>
      <c r="G5" s="39" t="s">
        <v>55</v>
      </c>
      <c r="H5" s="6">
        <v>353.58</v>
      </c>
      <c r="I5" s="6">
        <v>88.4</v>
      </c>
      <c r="J5" s="26">
        <f>I5/H5</f>
        <v>0.25001414107132758</v>
      </c>
      <c r="K5" s="1" t="s">
        <v>142</v>
      </c>
      <c r="L5" s="1">
        <v>21104854</v>
      </c>
      <c r="M5" s="7">
        <v>45962</v>
      </c>
      <c r="N5" s="7">
        <v>46081</v>
      </c>
      <c r="O5" t="s">
        <v>272</v>
      </c>
      <c r="P5"/>
      <c r="Q5"/>
      <c r="R5"/>
    </row>
    <row r="6" spans="1:18" s="35" customFormat="1" ht="15" customHeight="1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117</v>
      </c>
      <c r="F6" s="1" t="s">
        <v>118</v>
      </c>
      <c r="G6" s="39" t="s">
        <v>55</v>
      </c>
      <c r="H6" s="6">
        <v>244.98</v>
      </c>
      <c r="I6" s="6">
        <v>61.24</v>
      </c>
      <c r="J6" s="26">
        <f>I6/H6</f>
        <v>0.24997959017062618</v>
      </c>
      <c r="K6" s="1" t="s">
        <v>119</v>
      </c>
      <c r="L6" s="1">
        <v>17554531</v>
      </c>
      <c r="M6" s="7">
        <v>46054</v>
      </c>
      <c r="N6" s="9"/>
      <c r="O6" t="s">
        <v>272</v>
      </c>
      <c r="P6"/>
      <c r="Q6"/>
      <c r="R6"/>
    </row>
    <row r="7" spans="1:18" s="35" customFormat="1" ht="15" customHeight="1" x14ac:dyDescent="0.25">
      <c r="A7" s="1" t="s">
        <v>212</v>
      </c>
      <c r="B7" s="4" t="s">
        <v>43</v>
      </c>
      <c r="C7" s="1" t="s">
        <v>91</v>
      </c>
      <c r="D7" s="1" t="s">
        <v>92</v>
      </c>
      <c r="E7" s="1" t="s">
        <v>244</v>
      </c>
      <c r="F7" s="1" t="s">
        <v>245</v>
      </c>
      <c r="G7" s="39" t="s">
        <v>246</v>
      </c>
      <c r="H7" s="6">
        <v>67.52</v>
      </c>
      <c r="I7" s="6">
        <v>16.88</v>
      </c>
      <c r="J7" s="26">
        <f>I7/H7</f>
        <v>0.25</v>
      </c>
      <c r="K7" s="1" t="s">
        <v>119</v>
      </c>
      <c r="L7" s="1">
        <v>17554531</v>
      </c>
      <c r="M7" s="7">
        <v>45982</v>
      </c>
      <c r="N7" s="7">
        <v>46053</v>
      </c>
      <c r="O7" t="s">
        <v>272</v>
      </c>
      <c r="P7"/>
      <c r="Q7"/>
      <c r="R7"/>
    </row>
    <row r="8" spans="1:18" ht="15" customHeight="1" x14ac:dyDescent="0.25">
      <c r="A8" s="1" t="s">
        <v>42</v>
      </c>
      <c r="B8" s="4" t="s">
        <v>43</v>
      </c>
      <c r="C8" s="1" t="s">
        <v>91</v>
      </c>
      <c r="D8" s="1" t="s">
        <v>92</v>
      </c>
      <c r="E8" s="1" t="s">
        <v>180</v>
      </c>
      <c r="F8" s="1" t="s">
        <v>181</v>
      </c>
      <c r="G8" s="39" t="s">
        <v>55</v>
      </c>
      <c r="H8" s="6">
        <v>486.21</v>
      </c>
      <c r="I8" s="6">
        <v>121.55</v>
      </c>
      <c r="J8" s="26">
        <f>I8/H8</f>
        <v>0.24999485818884845</v>
      </c>
      <c r="K8" s="1" t="s">
        <v>182</v>
      </c>
      <c r="L8" s="1">
        <v>17425766</v>
      </c>
      <c r="M8" s="7">
        <v>46023</v>
      </c>
      <c r="N8" s="7">
        <v>46252</v>
      </c>
      <c r="O8" t="s">
        <v>272</v>
      </c>
    </row>
    <row r="9" spans="1:18" ht="15" customHeight="1" x14ac:dyDescent="0.25">
      <c r="A9" s="1" t="s">
        <v>212</v>
      </c>
      <c r="B9" s="4" t="s">
        <v>43</v>
      </c>
      <c r="C9" s="1" t="s">
        <v>44</v>
      </c>
      <c r="D9" s="1" t="s">
        <v>45</v>
      </c>
      <c r="E9" s="1" t="s">
        <v>239</v>
      </c>
      <c r="F9" s="1" t="s">
        <v>240</v>
      </c>
      <c r="G9" s="39" t="s">
        <v>241</v>
      </c>
      <c r="H9" s="6">
        <v>92.12</v>
      </c>
      <c r="I9" s="6">
        <v>23.03</v>
      </c>
      <c r="J9" s="26">
        <f>I9/H9</f>
        <v>0.25</v>
      </c>
      <c r="K9" s="1" t="s">
        <v>182</v>
      </c>
      <c r="L9" s="1">
        <v>17425766</v>
      </c>
      <c r="M9" s="7">
        <v>45923</v>
      </c>
      <c r="N9" s="9"/>
      <c r="O9" t="s">
        <v>272</v>
      </c>
    </row>
    <row r="10" spans="1:18" ht="15" customHeight="1" x14ac:dyDescent="0.25">
      <c r="A10" s="1" t="s">
        <v>212</v>
      </c>
      <c r="B10" s="4" t="s">
        <v>43</v>
      </c>
      <c r="C10" s="1" t="s">
        <v>44</v>
      </c>
      <c r="D10" s="1" t="s">
        <v>45</v>
      </c>
      <c r="E10" s="1" t="s">
        <v>242</v>
      </c>
      <c r="F10" s="1" t="s">
        <v>243</v>
      </c>
      <c r="G10" s="39" t="s">
        <v>233</v>
      </c>
      <c r="H10" s="6">
        <v>92.12</v>
      </c>
      <c r="I10" s="6">
        <v>23.03</v>
      </c>
      <c r="J10" s="26">
        <f>I10/H10</f>
        <v>0.25</v>
      </c>
      <c r="K10" s="1" t="s">
        <v>182</v>
      </c>
      <c r="L10" s="1">
        <v>17425766</v>
      </c>
      <c r="M10" s="7">
        <v>45922</v>
      </c>
      <c r="N10" s="9"/>
      <c r="O10" t="s">
        <v>272</v>
      </c>
    </row>
    <row r="11" spans="1:18" ht="15" customHeight="1" x14ac:dyDescent="0.25">
      <c r="A11" s="1" t="s">
        <v>212</v>
      </c>
      <c r="B11" s="4" t="s">
        <v>43</v>
      </c>
      <c r="C11" s="1" t="s">
        <v>91</v>
      </c>
      <c r="D11" s="1" t="s">
        <v>92</v>
      </c>
      <c r="E11" s="1" t="s">
        <v>247</v>
      </c>
      <c r="F11" s="1" t="s">
        <v>248</v>
      </c>
      <c r="G11" s="39" t="s">
        <v>249</v>
      </c>
      <c r="H11" s="6">
        <v>606.54</v>
      </c>
      <c r="I11" s="6">
        <v>151.63999999999999</v>
      </c>
      <c r="J11" s="26">
        <f>I11/H11</f>
        <v>0.25000824347940775</v>
      </c>
      <c r="K11" s="1" t="s">
        <v>182</v>
      </c>
      <c r="L11" s="1">
        <v>17425766</v>
      </c>
      <c r="M11" s="7">
        <v>45827</v>
      </c>
      <c r="N11" s="9"/>
      <c r="O11" t="s">
        <v>272</v>
      </c>
    </row>
    <row r="12" spans="1:18" ht="15" customHeight="1" x14ac:dyDescent="0.25">
      <c r="A12" s="1" t="s">
        <v>212</v>
      </c>
      <c r="B12" s="4" t="s">
        <v>43</v>
      </c>
      <c r="C12" s="1" t="s">
        <v>234</v>
      </c>
      <c r="D12" s="1" t="s">
        <v>235</v>
      </c>
      <c r="E12" s="1" t="s">
        <v>236</v>
      </c>
      <c r="F12" s="1" t="s">
        <v>237</v>
      </c>
      <c r="G12" s="39" t="s">
        <v>238</v>
      </c>
      <c r="H12" s="6">
        <v>189.03</v>
      </c>
      <c r="I12" s="6">
        <v>47.26</v>
      </c>
      <c r="J12" s="26">
        <f>I12/H12</f>
        <v>0.25001322541395543</v>
      </c>
      <c r="K12" s="1" t="s">
        <v>182</v>
      </c>
      <c r="L12" s="1">
        <v>17425766</v>
      </c>
      <c r="M12" s="7">
        <v>45957</v>
      </c>
      <c r="N12" s="7">
        <v>46079</v>
      </c>
      <c r="O12" t="s">
        <v>272</v>
      </c>
    </row>
    <row r="13" spans="1:18" ht="15" customHeight="1" x14ac:dyDescent="0.25">
      <c r="A13" s="1" t="s">
        <v>212</v>
      </c>
      <c r="B13" s="4" t="s">
        <v>43</v>
      </c>
      <c r="C13" s="1" t="s">
        <v>44</v>
      </c>
      <c r="D13" s="1" t="s">
        <v>45</v>
      </c>
      <c r="E13" s="1" t="s">
        <v>218</v>
      </c>
      <c r="F13" s="1" t="s">
        <v>219</v>
      </c>
      <c r="G13" s="39" t="s">
        <v>220</v>
      </c>
      <c r="H13" s="6">
        <v>91.27</v>
      </c>
      <c r="I13" s="6">
        <v>22.82</v>
      </c>
      <c r="J13" s="26">
        <f>I13/H13</f>
        <v>0.25002739125671086</v>
      </c>
      <c r="K13" s="1" t="s">
        <v>182</v>
      </c>
      <c r="L13" s="1">
        <v>17425766</v>
      </c>
      <c r="M13" s="7">
        <v>46015</v>
      </c>
      <c r="N13" s="9"/>
      <c r="O13" t="s">
        <v>272</v>
      </c>
    </row>
    <row r="14" spans="1:18" ht="15" customHeight="1" x14ac:dyDescent="0.25">
      <c r="A14" s="1" t="s">
        <v>42</v>
      </c>
      <c r="B14" s="4" t="s">
        <v>43</v>
      </c>
      <c r="C14" s="1" t="s">
        <v>91</v>
      </c>
      <c r="D14" s="1" t="s">
        <v>92</v>
      </c>
      <c r="E14" s="1" t="s">
        <v>163</v>
      </c>
      <c r="F14" s="1" t="s">
        <v>164</v>
      </c>
      <c r="G14" s="39" t="s">
        <v>55</v>
      </c>
      <c r="H14" s="6">
        <v>309.48</v>
      </c>
      <c r="I14" s="6">
        <v>77.37</v>
      </c>
      <c r="J14" s="26">
        <f>I14/H14</f>
        <v>0.25</v>
      </c>
      <c r="K14" s="1" t="s">
        <v>165</v>
      </c>
      <c r="L14" s="1">
        <v>18598357</v>
      </c>
      <c r="M14" s="7">
        <v>46023</v>
      </c>
      <c r="N14" s="9"/>
      <c r="O14" t="s">
        <v>272</v>
      </c>
    </row>
    <row r="15" spans="1:18" ht="15" customHeight="1" x14ac:dyDescent="0.25">
      <c r="A15" s="1" t="s">
        <v>42</v>
      </c>
      <c r="B15" s="4" t="s">
        <v>43</v>
      </c>
      <c r="C15" s="1" t="s">
        <v>80</v>
      </c>
      <c r="D15" s="1" t="s">
        <v>45</v>
      </c>
      <c r="E15" s="1" t="s">
        <v>81</v>
      </c>
      <c r="F15" s="1" t="s">
        <v>76</v>
      </c>
      <c r="G15" s="39" t="s">
        <v>55</v>
      </c>
      <c r="H15" s="6">
        <v>248.28</v>
      </c>
      <c r="I15" s="6">
        <v>62.07</v>
      </c>
      <c r="J15" s="26">
        <f>I15/H15</f>
        <v>0.25</v>
      </c>
      <c r="K15" s="1" t="s">
        <v>77</v>
      </c>
      <c r="L15" s="1">
        <v>19681796</v>
      </c>
      <c r="M15" s="7">
        <v>46023</v>
      </c>
      <c r="N15" s="9"/>
      <c r="O15" t="s">
        <v>272</v>
      </c>
    </row>
    <row r="16" spans="1:18" ht="15" customHeight="1" x14ac:dyDescent="0.25">
      <c r="A16" s="1" t="s">
        <v>42</v>
      </c>
      <c r="B16" s="4" t="s">
        <v>43</v>
      </c>
      <c r="C16" s="1" t="s">
        <v>80</v>
      </c>
      <c r="D16" s="1" t="s">
        <v>45</v>
      </c>
      <c r="E16" s="1" t="s">
        <v>168</v>
      </c>
      <c r="F16" s="1" t="s">
        <v>169</v>
      </c>
      <c r="G16" s="39" t="s">
        <v>55</v>
      </c>
      <c r="H16" s="6">
        <v>275.43</v>
      </c>
      <c r="I16" s="6">
        <v>68.86</v>
      </c>
      <c r="J16" s="26">
        <f>I16/H16</f>
        <v>0.25000907671640704</v>
      </c>
      <c r="K16" s="1" t="s">
        <v>77</v>
      </c>
      <c r="L16" s="1">
        <v>19681796</v>
      </c>
      <c r="M16" s="7">
        <v>45992</v>
      </c>
      <c r="N16" s="9"/>
      <c r="O16" t="s">
        <v>272</v>
      </c>
    </row>
    <row r="17" spans="1:15" ht="15" customHeight="1" x14ac:dyDescent="0.25">
      <c r="A17" s="1" t="s">
        <v>42</v>
      </c>
      <c r="B17" s="4" t="s">
        <v>43</v>
      </c>
      <c r="C17" s="1" t="s">
        <v>91</v>
      </c>
      <c r="D17" s="1" t="s">
        <v>92</v>
      </c>
      <c r="E17" s="1" t="s">
        <v>114</v>
      </c>
      <c r="F17" s="1" t="s">
        <v>115</v>
      </c>
      <c r="G17" s="39" t="s">
        <v>55</v>
      </c>
      <c r="H17" s="6">
        <v>259.79000000000002</v>
      </c>
      <c r="I17" s="6">
        <v>64.95</v>
      </c>
      <c r="J17" s="26">
        <f>I17/H17</f>
        <v>0.25000962315716541</v>
      </c>
      <c r="K17" s="1" t="s">
        <v>77</v>
      </c>
      <c r="L17" s="1">
        <v>19681796</v>
      </c>
      <c r="M17" s="7">
        <v>46023</v>
      </c>
      <c r="N17" s="9"/>
      <c r="O17" t="s">
        <v>272</v>
      </c>
    </row>
    <row r="18" spans="1:15" ht="15" customHeight="1" x14ac:dyDescent="0.25">
      <c r="A18" s="1" t="s">
        <v>42</v>
      </c>
      <c r="B18" s="4" t="s">
        <v>43</v>
      </c>
      <c r="C18" s="1" t="s">
        <v>80</v>
      </c>
      <c r="D18" s="1" t="s">
        <v>45</v>
      </c>
      <c r="E18" s="1" t="s">
        <v>83</v>
      </c>
      <c r="F18" s="1" t="s">
        <v>84</v>
      </c>
      <c r="G18" s="39" t="s">
        <v>55</v>
      </c>
      <c r="H18" s="6">
        <v>399.02</v>
      </c>
      <c r="I18" s="6">
        <v>99.76</v>
      </c>
      <c r="J18" s="26">
        <f>I18/H18</f>
        <v>0.25001253070021556</v>
      </c>
      <c r="K18" s="1" t="s">
        <v>77</v>
      </c>
      <c r="L18" s="1">
        <v>19681796</v>
      </c>
      <c r="M18" s="7">
        <v>46023</v>
      </c>
      <c r="N18" s="9"/>
      <c r="O18" t="s">
        <v>272</v>
      </c>
    </row>
    <row r="19" spans="1:15" ht="15" customHeight="1" x14ac:dyDescent="0.25">
      <c r="A19" s="1" t="s">
        <v>42</v>
      </c>
      <c r="B19" s="4" t="s">
        <v>43</v>
      </c>
      <c r="C19" s="1" t="s">
        <v>80</v>
      </c>
      <c r="D19" s="1" t="s">
        <v>45</v>
      </c>
      <c r="E19" s="1" t="s">
        <v>203</v>
      </c>
      <c r="F19" s="1" t="s">
        <v>204</v>
      </c>
      <c r="G19" s="39" t="s">
        <v>55</v>
      </c>
      <c r="H19" s="6">
        <v>185.03</v>
      </c>
      <c r="I19" s="6">
        <v>46.26</v>
      </c>
      <c r="J19" s="26">
        <f>I19/H19</f>
        <v>0.25001351132248822</v>
      </c>
      <c r="K19" s="1" t="s">
        <v>77</v>
      </c>
      <c r="L19" s="1">
        <v>19681796</v>
      </c>
      <c r="M19" s="7">
        <v>46023</v>
      </c>
      <c r="N19" s="7">
        <v>46352</v>
      </c>
      <c r="O19" t="s">
        <v>272</v>
      </c>
    </row>
    <row r="20" spans="1:15" ht="15" customHeight="1" x14ac:dyDescent="0.25">
      <c r="A20" s="1" t="s">
        <v>42</v>
      </c>
      <c r="B20" s="4" t="s">
        <v>43</v>
      </c>
      <c r="C20" s="1" t="s">
        <v>80</v>
      </c>
      <c r="D20" s="1" t="s">
        <v>45</v>
      </c>
      <c r="E20" s="1" t="s">
        <v>185</v>
      </c>
      <c r="F20" s="1" t="s">
        <v>186</v>
      </c>
      <c r="G20" s="39" t="s">
        <v>55</v>
      </c>
      <c r="H20" s="6">
        <v>347.06</v>
      </c>
      <c r="I20" s="6">
        <v>86.77</v>
      </c>
      <c r="J20" s="26">
        <f>I20/H20</f>
        <v>0.25001440673082465</v>
      </c>
      <c r="K20" s="1" t="s">
        <v>77</v>
      </c>
      <c r="L20" s="1">
        <v>19681796</v>
      </c>
      <c r="M20" s="7">
        <v>46023</v>
      </c>
      <c r="N20" s="7">
        <v>46352</v>
      </c>
      <c r="O20" t="s">
        <v>272</v>
      </c>
    </row>
    <row r="21" spans="1:15" ht="15" customHeight="1" x14ac:dyDescent="0.25">
      <c r="A21" s="1" t="s">
        <v>42</v>
      </c>
      <c r="B21" s="4" t="s">
        <v>43</v>
      </c>
      <c r="C21" s="1" t="s">
        <v>73</v>
      </c>
      <c r="D21" s="1" t="s">
        <v>74</v>
      </c>
      <c r="E21" s="1" t="s">
        <v>75</v>
      </c>
      <c r="F21" s="1" t="s">
        <v>76</v>
      </c>
      <c r="G21" s="39" t="s">
        <v>55</v>
      </c>
      <c r="H21" s="6">
        <v>33.29</v>
      </c>
      <c r="I21" s="6">
        <v>9.32</v>
      </c>
      <c r="J21" s="26">
        <f>I21/H21</f>
        <v>0.27996395313908085</v>
      </c>
      <c r="K21" s="1" t="s">
        <v>77</v>
      </c>
      <c r="L21" s="1">
        <v>19681796</v>
      </c>
      <c r="M21" s="7">
        <v>46023</v>
      </c>
      <c r="N21" s="9"/>
      <c r="O21" t="s">
        <v>273</v>
      </c>
    </row>
    <row r="22" spans="1:15" ht="15" customHeight="1" x14ac:dyDescent="0.25">
      <c r="A22" s="1" t="s">
        <v>42</v>
      </c>
      <c r="B22" s="4" t="s">
        <v>43</v>
      </c>
      <c r="C22" s="1" t="s">
        <v>73</v>
      </c>
      <c r="D22" s="1" t="s">
        <v>74</v>
      </c>
      <c r="E22" s="1" t="s">
        <v>122</v>
      </c>
      <c r="F22" s="1" t="s">
        <v>123</v>
      </c>
      <c r="G22" s="39" t="s">
        <v>55</v>
      </c>
      <c r="H22" s="6">
        <v>34.25</v>
      </c>
      <c r="I22" s="6">
        <v>4.45</v>
      </c>
      <c r="J22" s="26">
        <f>I22/H22</f>
        <v>0.12992700729927009</v>
      </c>
      <c r="K22" s="1" t="s">
        <v>124</v>
      </c>
      <c r="L22" s="1">
        <v>8325282</v>
      </c>
      <c r="M22" s="7">
        <v>45658</v>
      </c>
      <c r="N22" s="9"/>
      <c r="O22" t="s">
        <v>270</v>
      </c>
    </row>
    <row r="23" spans="1:15" ht="15" customHeight="1" x14ac:dyDescent="0.25">
      <c r="A23" s="1" t="s">
        <v>212</v>
      </c>
      <c r="B23" s="4" t="s">
        <v>43</v>
      </c>
      <c r="C23" s="1" t="s">
        <v>44</v>
      </c>
      <c r="D23" s="1" t="s">
        <v>45</v>
      </c>
      <c r="E23" s="1" t="s">
        <v>254</v>
      </c>
      <c r="F23" s="1" t="s">
        <v>255</v>
      </c>
      <c r="G23" s="39" t="s">
        <v>256</v>
      </c>
      <c r="H23" s="6">
        <v>63.13</v>
      </c>
      <c r="I23" s="6">
        <v>15.78</v>
      </c>
      <c r="J23" s="26">
        <f>I23/H23</f>
        <v>0.24996039917630283</v>
      </c>
      <c r="K23" s="1" t="s">
        <v>70</v>
      </c>
      <c r="L23" s="41" t="s">
        <v>275</v>
      </c>
      <c r="M23" s="7">
        <v>45889</v>
      </c>
      <c r="N23" s="9"/>
      <c r="O23" t="s">
        <v>272</v>
      </c>
    </row>
    <row r="24" spans="1:15" ht="15" customHeight="1" x14ac:dyDescent="0.25">
      <c r="A24" s="1" t="s">
        <v>42</v>
      </c>
      <c r="B24" s="4" t="s">
        <v>43</v>
      </c>
      <c r="C24" s="1" t="s">
        <v>44</v>
      </c>
      <c r="D24" s="1" t="s">
        <v>45</v>
      </c>
      <c r="E24" s="1" t="s">
        <v>68</v>
      </c>
      <c r="F24" s="1" t="s">
        <v>69</v>
      </c>
      <c r="G24" s="39" t="s">
        <v>55</v>
      </c>
      <c r="H24" s="6">
        <v>1213.06</v>
      </c>
      <c r="I24" s="6">
        <v>303.27</v>
      </c>
      <c r="J24" s="26">
        <f>I24/H24</f>
        <v>0.25000412180765996</v>
      </c>
      <c r="K24" s="1" t="s">
        <v>70</v>
      </c>
      <c r="L24" s="41" t="s">
        <v>275</v>
      </c>
      <c r="M24" s="7">
        <v>46023</v>
      </c>
      <c r="N24" s="9"/>
      <c r="O24" t="s">
        <v>272</v>
      </c>
    </row>
    <row r="25" spans="1:15" ht="15" customHeight="1" x14ac:dyDescent="0.25">
      <c r="A25" s="1" t="s">
        <v>42</v>
      </c>
      <c r="B25" s="4" t="s">
        <v>43</v>
      </c>
      <c r="C25" s="1" t="s">
        <v>44</v>
      </c>
      <c r="D25" s="1" t="s">
        <v>45</v>
      </c>
      <c r="E25" s="1" t="s">
        <v>148</v>
      </c>
      <c r="F25" s="1" t="s">
        <v>149</v>
      </c>
      <c r="G25" s="39" t="s">
        <v>150</v>
      </c>
      <c r="H25" s="6">
        <v>495.24</v>
      </c>
      <c r="I25" s="6">
        <v>123.81</v>
      </c>
      <c r="J25" s="26">
        <f>I25/H25</f>
        <v>0.25</v>
      </c>
      <c r="K25" s="1" t="s">
        <v>151</v>
      </c>
      <c r="L25" s="1">
        <v>21605264</v>
      </c>
      <c r="M25" s="7">
        <v>45965</v>
      </c>
      <c r="N25" s="9"/>
      <c r="O25" t="s">
        <v>272</v>
      </c>
    </row>
    <row r="26" spans="1:15" ht="15" customHeight="1" x14ac:dyDescent="0.25">
      <c r="A26" s="1" t="s">
        <v>212</v>
      </c>
      <c r="B26" s="4" t="s">
        <v>43</v>
      </c>
      <c r="C26" s="1" t="s">
        <v>188</v>
      </c>
      <c r="D26" s="1" t="s">
        <v>92</v>
      </c>
      <c r="E26" s="1" t="s">
        <v>265</v>
      </c>
      <c r="F26" s="1" t="s">
        <v>266</v>
      </c>
      <c r="G26" s="39" t="s">
        <v>264</v>
      </c>
      <c r="H26" s="6">
        <v>244.92</v>
      </c>
      <c r="I26" s="6">
        <v>61.23</v>
      </c>
      <c r="J26" s="26">
        <f>I26/H26</f>
        <v>0.25</v>
      </c>
      <c r="K26" s="1" t="s">
        <v>151</v>
      </c>
      <c r="L26" s="1">
        <v>21605264</v>
      </c>
      <c r="M26" s="7">
        <v>46009</v>
      </c>
      <c r="N26" s="9"/>
      <c r="O26" t="s">
        <v>272</v>
      </c>
    </row>
    <row r="27" spans="1:15" ht="15" customHeight="1" x14ac:dyDescent="0.25">
      <c r="A27" s="1" t="s">
        <v>212</v>
      </c>
      <c r="B27" s="4" t="s">
        <v>43</v>
      </c>
      <c r="C27" s="1" t="s">
        <v>139</v>
      </c>
      <c r="D27" s="1" t="s">
        <v>92</v>
      </c>
      <c r="E27" s="1" t="s">
        <v>267</v>
      </c>
      <c r="F27" s="1" t="s">
        <v>268</v>
      </c>
      <c r="G27" s="39" t="s">
        <v>249</v>
      </c>
      <c r="H27" s="6">
        <v>366.59</v>
      </c>
      <c r="I27" s="6">
        <v>91.65</v>
      </c>
      <c r="J27" s="26">
        <f>I27/H27</f>
        <v>0.25000681960773619</v>
      </c>
      <c r="K27" s="1" t="s">
        <v>101</v>
      </c>
      <c r="L27" s="1">
        <v>8814784</v>
      </c>
      <c r="M27" s="7">
        <v>46010</v>
      </c>
      <c r="N27" s="9"/>
      <c r="O27" t="s">
        <v>272</v>
      </c>
    </row>
    <row r="28" spans="1:15" ht="15" customHeight="1" x14ac:dyDescent="0.25">
      <c r="A28" s="1" t="s">
        <v>42</v>
      </c>
      <c r="B28" s="4" t="s">
        <v>43</v>
      </c>
      <c r="C28" s="1" t="s">
        <v>44</v>
      </c>
      <c r="D28" s="1" t="s">
        <v>45</v>
      </c>
      <c r="E28" s="1" t="s">
        <v>98</v>
      </c>
      <c r="F28" s="1" t="s">
        <v>99</v>
      </c>
      <c r="G28" s="39" t="s">
        <v>100</v>
      </c>
      <c r="H28" s="6">
        <v>712.73</v>
      </c>
      <c r="I28" s="6">
        <v>178.19</v>
      </c>
      <c r="J28" s="26">
        <f>I28/H28</f>
        <v>0.2500105229189174</v>
      </c>
      <c r="K28" s="1" t="s">
        <v>101</v>
      </c>
      <c r="L28" s="1">
        <v>8814784</v>
      </c>
      <c r="M28" s="7">
        <v>46025</v>
      </c>
      <c r="N28" s="9"/>
      <c r="O28" t="s">
        <v>272</v>
      </c>
    </row>
    <row r="29" spans="1:15" ht="15" customHeight="1" x14ac:dyDescent="0.25">
      <c r="A29" s="1" t="s">
        <v>42</v>
      </c>
      <c r="B29" s="4" t="s">
        <v>43</v>
      </c>
      <c r="C29" s="1" t="s">
        <v>188</v>
      </c>
      <c r="D29" s="1" t="s">
        <v>92</v>
      </c>
      <c r="E29" s="1" t="s">
        <v>189</v>
      </c>
      <c r="F29" s="1" t="s">
        <v>190</v>
      </c>
      <c r="G29" s="39" t="s">
        <v>55</v>
      </c>
      <c r="H29" s="6">
        <v>394.24</v>
      </c>
      <c r="I29" s="6">
        <v>98.56</v>
      </c>
      <c r="J29" s="26">
        <f>I29/H29</f>
        <v>0.25</v>
      </c>
      <c r="K29" s="1" t="s">
        <v>191</v>
      </c>
      <c r="L29" s="1">
        <v>9213293</v>
      </c>
      <c r="M29" s="7">
        <v>46023</v>
      </c>
      <c r="N29" s="7">
        <v>46160</v>
      </c>
      <c r="O29" t="s">
        <v>272</v>
      </c>
    </row>
    <row r="30" spans="1:15" ht="15" customHeight="1" x14ac:dyDescent="0.25">
      <c r="A30" s="1" t="s">
        <v>42</v>
      </c>
      <c r="B30" s="4" t="s">
        <v>43</v>
      </c>
      <c r="C30" s="1" t="s">
        <v>44</v>
      </c>
      <c r="D30" s="1" t="s">
        <v>45</v>
      </c>
      <c r="E30" s="1" t="s">
        <v>104</v>
      </c>
      <c r="F30" s="1" t="s">
        <v>105</v>
      </c>
      <c r="G30" s="39" t="s">
        <v>100</v>
      </c>
      <c r="H30" s="6">
        <v>390.72</v>
      </c>
      <c r="I30" s="6">
        <v>62.52</v>
      </c>
      <c r="J30" s="26">
        <f>I30/H30</f>
        <v>0.16001228501228501</v>
      </c>
      <c r="K30" s="1" t="s">
        <v>106</v>
      </c>
      <c r="L30" s="1">
        <v>8307933</v>
      </c>
      <c r="M30" s="7">
        <v>46025</v>
      </c>
      <c r="N30" s="9"/>
      <c r="O30" t="s">
        <v>271</v>
      </c>
    </row>
    <row r="31" spans="1:15" ht="15" customHeight="1" x14ac:dyDescent="0.25">
      <c r="A31" s="1" t="s">
        <v>212</v>
      </c>
      <c r="B31" s="4" t="s">
        <v>43</v>
      </c>
      <c r="C31" s="1" t="s">
        <v>44</v>
      </c>
      <c r="D31" s="1" t="s">
        <v>45</v>
      </c>
      <c r="E31" s="1" t="s">
        <v>231</v>
      </c>
      <c r="F31" s="1" t="s">
        <v>232</v>
      </c>
      <c r="G31" s="39" t="s">
        <v>233</v>
      </c>
      <c r="H31" s="6">
        <v>116.77</v>
      </c>
      <c r="I31" s="6">
        <v>29.19</v>
      </c>
      <c r="J31" s="26">
        <f>I31/H31</f>
        <v>0.24997859039136766</v>
      </c>
      <c r="K31" s="1" t="s">
        <v>174</v>
      </c>
      <c r="L31" s="1">
        <v>18754354</v>
      </c>
      <c r="M31" s="7">
        <v>45983</v>
      </c>
      <c r="N31" s="7">
        <v>46102</v>
      </c>
      <c r="O31" t="s">
        <v>272</v>
      </c>
    </row>
    <row r="32" spans="1:15" ht="15" customHeight="1" x14ac:dyDescent="0.25">
      <c r="A32" s="1" t="s">
        <v>42</v>
      </c>
      <c r="B32" s="4" t="s">
        <v>43</v>
      </c>
      <c r="C32" s="1" t="s">
        <v>91</v>
      </c>
      <c r="D32" s="1" t="s">
        <v>92</v>
      </c>
      <c r="E32" s="1" t="s">
        <v>171</v>
      </c>
      <c r="F32" s="1" t="s">
        <v>172</v>
      </c>
      <c r="G32" s="39" t="s">
        <v>173</v>
      </c>
      <c r="H32" s="6">
        <v>298.56</v>
      </c>
      <c r="I32" s="6">
        <v>74.64</v>
      </c>
      <c r="J32" s="26">
        <f>I32/H32</f>
        <v>0.25</v>
      </c>
      <c r="K32" s="1" t="s">
        <v>174</v>
      </c>
      <c r="L32" s="1">
        <v>18754354</v>
      </c>
      <c r="M32" s="7">
        <v>45993</v>
      </c>
      <c r="N32" s="7">
        <v>46113</v>
      </c>
      <c r="O32" t="s">
        <v>272</v>
      </c>
    </row>
    <row r="33" spans="1:18" ht="15" customHeight="1" x14ac:dyDescent="0.25">
      <c r="A33" s="1" t="s">
        <v>42</v>
      </c>
      <c r="B33" s="4" t="s">
        <v>43</v>
      </c>
      <c r="C33" s="1" t="s">
        <v>44</v>
      </c>
      <c r="D33" s="1" t="s">
        <v>45</v>
      </c>
      <c r="E33" s="1" t="s">
        <v>109</v>
      </c>
      <c r="F33" s="1" t="s">
        <v>110</v>
      </c>
      <c r="G33" s="39" t="s">
        <v>111</v>
      </c>
      <c r="H33" s="6">
        <v>59.43</v>
      </c>
      <c r="I33" s="6">
        <v>14.86</v>
      </c>
      <c r="J33" s="26">
        <f>I33/H33</f>
        <v>0.25004206629648323</v>
      </c>
      <c r="K33" s="1" t="s">
        <v>112</v>
      </c>
      <c r="L33" s="1">
        <v>15278437</v>
      </c>
      <c r="M33" s="7">
        <v>46028</v>
      </c>
      <c r="N33" s="9"/>
      <c r="O33" t="s">
        <v>272</v>
      </c>
    </row>
    <row r="34" spans="1:18" ht="15" customHeight="1" x14ac:dyDescent="0.25">
      <c r="A34" s="29" t="s">
        <v>42</v>
      </c>
      <c r="B34" s="30" t="s">
        <v>43</v>
      </c>
      <c r="C34" s="29" t="s">
        <v>44</v>
      </c>
      <c r="D34" s="29" t="s">
        <v>45</v>
      </c>
      <c r="E34" s="29" t="s">
        <v>154</v>
      </c>
      <c r="F34" s="29" t="s">
        <v>155</v>
      </c>
      <c r="G34" s="38" t="s">
        <v>55</v>
      </c>
      <c r="H34" s="31">
        <v>34.14</v>
      </c>
      <c r="I34" s="31">
        <v>34.14</v>
      </c>
      <c r="J34" s="32">
        <f>I34/H34</f>
        <v>1</v>
      </c>
      <c r="K34" s="36" t="s">
        <v>274</v>
      </c>
      <c r="L34" s="29">
        <v>20411454</v>
      </c>
      <c r="M34" s="33">
        <v>46023</v>
      </c>
      <c r="N34" s="34"/>
      <c r="O34" s="35" t="s">
        <v>269</v>
      </c>
      <c r="P34" s="35"/>
      <c r="Q34" s="35"/>
      <c r="R34" s="35"/>
    </row>
    <row r="35" spans="1:18" ht="15" customHeight="1" x14ac:dyDescent="0.25">
      <c r="A35" s="29" t="s">
        <v>42</v>
      </c>
      <c r="B35" s="30" t="s">
        <v>43</v>
      </c>
      <c r="C35" s="29" t="s">
        <v>44</v>
      </c>
      <c r="D35" s="29" t="s">
        <v>45</v>
      </c>
      <c r="E35" s="29" t="s">
        <v>160</v>
      </c>
      <c r="F35" s="29" t="s">
        <v>161</v>
      </c>
      <c r="G35" s="38" t="s">
        <v>55</v>
      </c>
      <c r="H35" s="31">
        <v>62.27</v>
      </c>
      <c r="I35" s="31">
        <v>62.27</v>
      </c>
      <c r="J35" s="32">
        <f>I35/H35</f>
        <v>1</v>
      </c>
      <c r="K35" s="36" t="s">
        <v>274</v>
      </c>
      <c r="L35" s="29">
        <v>20411454</v>
      </c>
      <c r="M35" s="33">
        <v>46023</v>
      </c>
      <c r="N35" s="34"/>
      <c r="O35" s="35" t="s">
        <v>269</v>
      </c>
      <c r="P35" s="35"/>
      <c r="Q35" s="35"/>
      <c r="R35" s="35"/>
    </row>
    <row r="36" spans="1:18" ht="15" customHeight="1" x14ac:dyDescent="0.25">
      <c r="A36" s="29" t="s">
        <v>42</v>
      </c>
      <c r="B36" s="30" t="s">
        <v>43</v>
      </c>
      <c r="C36" s="29" t="s">
        <v>91</v>
      </c>
      <c r="D36" s="29" t="s">
        <v>92</v>
      </c>
      <c r="E36" s="29" t="s">
        <v>157</v>
      </c>
      <c r="F36" s="29" t="s">
        <v>158</v>
      </c>
      <c r="G36" s="38" t="s">
        <v>55</v>
      </c>
      <c r="H36" s="31">
        <v>29.47</v>
      </c>
      <c r="I36" s="31">
        <v>29.47</v>
      </c>
      <c r="J36" s="32">
        <f>I36/H36</f>
        <v>1</v>
      </c>
      <c r="K36" s="36" t="s">
        <v>274</v>
      </c>
      <c r="L36" s="29">
        <v>20411454</v>
      </c>
      <c r="M36" s="33">
        <v>46023</v>
      </c>
      <c r="N36" s="34"/>
      <c r="O36" s="35" t="s">
        <v>269</v>
      </c>
      <c r="P36" s="35"/>
      <c r="Q36" s="35"/>
      <c r="R36" s="35"/>
    </row>
    <row r="37" spans="1:18" ht="15" customHeight="1" x14ac:dyDescent="0.25">
      <c r="A37" s="29" t="s">
        <v>42</v>
      </c>
      <c r="B37" s="30" t="s">
        <v>43</v>
      </c>
      <c r="C37" s="29" t="s">
        <v>91</v>
      </c>
      <c r="D37" s="29" t="s">
        <v>92</v>
      </c>
      <c r="E37" s="29" t="s">
        <v>177</v>
      </c>
      <c r="F37" s="29" t="s">
        <v>178</v>
      </c>
      <c r="G37" s="38" t="s">
        <v>55</v>
      </c>
      <c r="H37" s="31">
        <v>129.44999999999999</v>
      </c>
      <c r="I37" s="31">
        <v>129.44999999999999</v>
      </c>
      <c r="J37" s="32">
        <f>I37/H37</f>
        <v>1</v>
      </c>
      <c r="K37" s="36" t="s">
        <v>274</v>
      </c>
      <c r="L37" s="29">
        <v>20411454</v>
      </c>
      <c r="M37" s="33">
        <v>46023</v>
      </c>
      <c r="N37" s="34"/>
      <c r="O37" s="35" t="s">
        <v>269</v>
      </c>
      <c r="P37" s="35"/>
      <c r="Q37" s="35"/>
      <c r="R37" s="35"/>
    </row>
    <row r="38" spans="1:18" ht="15" customHeight="1" x14ac:dyDescent="0.25">
      <c r="A38" s="29" t="s">
        <v>42</v>
      </c>
      <c r="B38" s="30" t="s">
        <v>43</v>
      </c>
      <c r="C38" s="29" t="s">
        <v>91</v>
      </c>
      <c r="D38" s="29" t="s">
        <v>92</v>
      </c>
      <c r="E38" s="29" t="s">
        <v>136</v>
      </c>
      <c r="F38" s="29" t="s">
        <v>137</v>
      </c>
      <c r="G38" s="38" t="s">
        <v>55</v>
      </c>
      <c r="H38" s="31">
        <v>42.2</v>
      </c>
      <c r="I38" s="31">
        <v>42.2</v>
      </c>
      <c r="J38" s="32">
        <f>I38/H38</f>
        <v>1</v>
      </c>
      <c r="K38" s="36" t="s">
        <v>274</v>
      </c>
      <c r="L38" s="29">
        <v>20411454</v>
      </c>
      <c r="M38" s="33">
        <v>45962</v>
      </c>
      <c r="N38" s="34"/>
      <c r="O38" s="35" t="s">
        <v>269</v>
      </c>
      <c r="P38" s="35"/>
      <c r="Q38" s="35"/>
      <c r="R38" s="35"/>
    </row>
    <row r="39" spans="1:18" ht="15" customHeight="1" x14ac:dyDescent="0.25">
      <c r="A39" s="29" t="s">
        <v>42</v>
      </c>
      <c r="B39" s="30" t="s">
        <v>43</v>
      </c>
      <c r="C39" s="29" t="s">
        <v>44</v>
      </c>
      <c r="D39" s="29" t="s">
        <v>45</v>
      </c>
      <c r="E39" s="29" t="s">
        <v>86</v>
      </c>
      <c r="F39" s="29" t="s">
        <v>87</v>
      </c>
      <c r="G39" s="38" t="s">
        <v>55</v>
      </c>
      <c r="H39" s="31">
        <v>12.51</v>
      </c>
      <c r="I39" s="31">
        <v>12.51</v>
      </c>
      <c r="J39" s="32">
        <f>I39/H39</f>
        <v>1</v>
      </c>
      <c r="K39" s="36" t="s">
        <v>274</v>
      </c>
      <c r="L39" s="29">
        <v>20411454</v>
      </c>
      <c r="M39" s="33">
        <v>46023</v>
      </c>
      <c r="N39" s="34"/>
      <c r="O39" s="35" t="s">
        <v>269</v>
      </c>
      <c r="P39" s="35"/>
      <c r="Q39" s="35"/>
      <c r="R39" s="35"/>
    </row>
    <row r="40" spans="1:18" ht="15" customHeight="1" x14ac:dyDescent="0.25">
      <c r="A40" s="1" t="s">
        <v>212</v>
      </c>
      <c r="B40" s="4" t="s">
        <v>43</v>
      </c>
      <c r="C40" s="1" t="s">
        <v>91</v>
      </c>
      <c r="D40" s="1" t="s">
        <v>92</v>
      </c>
      <c r="E40" s="1" t="s">
        <v>250</v>
      </c>
      <c r="F40" s="1" t="s">
        <v>251</v>
      </c>
      <c r="G40" s="39" t="s">
        <v>252</v>
      </c>
      <c r="H40" s="6">
        <v>346.41</v>
      </c>
      <c r="I40" s="6">
        <v>86.6</v>
      </c>
      <c r="J40" s="26">
        <f>I40/H40</f>
        <v>0.24999278311827022</v>
      </c>
      <c r="K40" s="1" t="s">
        <v>253</v>
      </c>
      <c r="L40" s="1">
        <v>19200754</v>
      </c>
      <c r="M40" s="7">
        <v>45977</v>
      </c>
      <c r="N40" s="7">
        <v>46096</v>
      </c>
      <c r="O40" t="s">
        <v>272</v>
      </c>
    </row>
    <row r="41" spans="1:18" ht="15" customHeight="1" x14ac:dyDescent="0.25">
      <c r="A41" s="1" t="s">
        <v>42</v>
      </c>
      <c r="B41" s="4" t="s">
        <v>43</v>
      </c>
      <c r="C41" s="1" t="s">
        <v>91</v>
      </c>
      <c r="D41" s="1" t="s">
        <v>92</v>
      </c>
      <c r="E41" s="1" t="s">
        <v>197</v>
      </c>
      <c r="F41" s="1" t="s">
        <v>198</v>
      </c>
      <c r="G41" s="39" t="s">
        <v>55</v>
      </c>
      <c r="H41" s="6">
        <v>414.08</v>
      </c>
      <c r="I41" s="6">
        <v>103.52</v>
      </c>
      <c r="J41" s="26">
        <f>I41/H41</f>
        <v>0.25</v>
      </c>
      <c r="K41" s="1" t="s">
        <v>95</v>
      </c>
      <c r="L41" s="1">
        <v>8977234</v>
      </c>
      <c r="M41" s="7">
        <v>46023</v>
      </c>
      <c r="N41" s="7">
        <v>46142</v>
      </c>
      <c r="O41" t="s">
        <v>272</v>
      </c>
    </row>
    <row r="42" spans="1:18" ht="15" customHeight="1" x14ac:dyDescent="0.25">
      <c r="A42" s="1" t="s">
        <v>42</v>
      </c>
      <c r="B42" s="4" t="s">
        <v>43</v>
      </c>
      <c r="C42" s="1" t="s">
        <v>91</v>
      </c>
      <c r="D42" s="1" t="s">
        <v>92</v>
      </c>
      <c r="E42" s="1" t="s">
        <v>93</v>
      </c>
      <c r="F42" s="1" t="s">
        <v>94</v>
      </c>
      <c r="G42" s="39" t="s">
        <v>55</v>
      </c>
      <c r="H42" s="6">
        <v>215.74</v>
      </c>
      <c r="I42" s="6">
        <v>53.94</v>
      </c>
      <c r="J42" s="26">
        <f>I42/H42</f>
        <v>0.2500231760452396</v>
      </c>
      <c r="K42" s="1" t="s">
        <v>95</v>
      </c>
      <c r="L42" s="1">
        <v>8977234</v>
      </c>
      <c r="M42" s="7">
        <v>46023</v>
      </c>
      <c r="N42" s="9"/>
      <c r="O42" t="s">
        <v>272</v>
      </c>
    </row>
    <row r="43" spans="1:18" ht="15" customHeight="1" x14ac:dyDescent="0.25">
      <c r="A43" s="1" t="s">
        <v>42</v>
      </c>
      <c r="B43" s="4" t="s">
        <v>43</v>
      </c>
      <c r="C43" s="1" t="s">
        <v>44</v>
      </c>
      <c r="D43" s="1" t="s">
        <v>45</v>
      </c>
      <c r="E43" s="1" t="s">
        <v>46</v>
      </c>
      <c r="F43" s="1" t="s">
        <v>47</v>
      </c>
      <c r="G43" s="39" t="s">
        <v>52</v>
      </c>
      <c r="H43" s="6">
        <v>-363.56</v>
      </c>
      <c r="I43" s="6">
        <v>-90.89</v>
      </c>
      <c r="J43" s="26">
        <f>I43/H43</f>
        <v>0.25</v>
      </c>
      <c r="K43" s="1" t="s">
        <v>49</v>
      </c>
      <c r="L43" s="1">
        <v>15950276</v>
      </c>
      <c r="M43" s="7">
        <v>46016</v>
      </c>
      <c r="N43" s="7">
        <v>46106</v>
      </c>
      <c r="O43" t="s">
        <v>272</v>
      </c>
    </row>
    <row r="44" spans="1:18" ht="15" customHeight="1" x14ac:dyDescent="0.25">
      <c r="A44" s="1" t="s">
        <v>212</v>
      </c>
      <c r="B44" s="4" t="s">
        <v>43</v>
      </c>
      <c r="C44" s="1" t="s">
        <v>44</v>
      </c>
      <c r="D44" s="1" t="s">
        <v>45</v>
      </c>
      <c r="E44" s="1" t="s">
        <v>46</v>
      </c>
      <c r="F44" s="1" t="s">
        <v>47</v>
      </c>
      <c r="G44" s="39" t="s">
        <v>52</v>
      </c>
      <c r="H44" s="6">
        <v>363.56</v>
      </c>
      <c r="I44" s="6">
        <v>90.89</v>
      </c>
      <c r="J44" s="26">
        <f>I44/H44</f>
        <v>0.25</v>
      </c>
      <c r="K44" s="1" t="s">
        <v>49</v>
      </c>
      <c r="L44" s="1">
        <v>15950276</v>
      </c>
      <c r="M44" s="7">
        <v>46016</v>
      </c>
      <c r="N44" s="7">
        <v>46106</v>
      </c>
      <c r="O44" t="s">
        <v>272</v>
      </c>
    </row>
    <row r="45" spans="1:18" ht="15" customHeight="1" x14ac:dyDescent="0.25">
      <c r="A45" s="1" t="s">
        <v>212</v>
      </c>
      <c r="B45" s="4" t="s">
        <v>43</v>
      </c>
      <c r="C45" s="1" t="s">
        <v>44</v>
      </c>
      <c r="D45" s="1" t="s">
        <v>45</v>
      </c>
      <c r="E45" s="1" t="s">
        <v>46</v>
      </c>
      <c r="F45" s="1" t="s">
        <v>47</v>
      </c>
      <c r="G45" s="39" t="s">
        <v>48</v>
      </c>
      <c r="H45" s="6">
        <v>363.56</v>
      </c>
      <c r="I45" s="6">
        <v>90.89</v>
      </c>
      <c r="J45" s="26">
        <f>I45/H45</f>
        <v>0.25</v>
      </c>
      <c r="K45" s="1" t="s">
        <v>49</v>
      </c>
      <c r="L45" s="1">
        <v>15950276</v>
      </c>
      <c r="M45" s="7">
        <v>46016</v>
      </c>
      <c r="N45" s="7">
        <v>46106</v>
      </c>
      <c r="O45" t="s">
        <v>272</v>
      </c>
    </row>
    <row r="46" spans="1:18" ht="15" customHeight="1" x14ac:dyDescent="0.25">
      <c r="A46" s="1" t="s">
        <v>212</v>
      </c>
      <c r="B46" s="4" t="s">
        <v>43</v>
      </c>
      <c r="C46" s="1" t="s">
        <v>44</v>
      </c>
      <c r="D46" s="1" t="s">
        <v>45</v>
      </c>
      <c r="E46" s="1" t="s">
        <v>221</v>
      </c>
      <c r="F46" s="1" t="s">
        <v>222</v>
      </c>
      <c r="G46" s="39" t="s">
        <v>66</v>
      </c>
      <c r="H46" s="6">
        <v>-288</v>
      </c>
      <c r="I46" s="6">
        <v>-72</v>
      </c>
      <c r="J46" s="26">
        <f>I46/H46</f>
        <v>0.25</v>
      </c>
      <c r="K46" s="1" t="s">
        <v>49</v>
      </c>
      <c r="L46" s="1">
        <v>15950276</v>
      </c>
      <c r="M46" s="7">
        <v>46023</v>
      </c>
      <c r="N46" s="9"/>
      <c r="O46" t="s">
        <v>272</v>
      </c>
    </row>
    <row r="47" spans="1:18" ht="15" customHeight="1" x14ac:dyDescent="0.25">
      <c r="A47" s="1" t="s">
        <v>212</v>
      </c>
      <c r="B47" s="4" t="s">
        <v>43</v>
      </c>
      <c r="C47" s="1" t="s">
        <v>44</v>
      </c>
      <c r="D47" s="1" t="s">
        <v>45</v>
      </c>
      <c r="E47" s="1" t="s">
        <v>213</v>
      </c>
      <c r="F47" s="1" t="s">
        <v>214</v>
      </c>
      <c r="G47" s="39" t="s">
        <v>66</v>
      </c>
      <c r="H47" s="6">
        <v>669.07</v>
      </c>
      <c r="I47" s="6">
        <v>167.27</v>
      </c>
      <c r="J47" s="26">
        <f>I47/H47</f>
        <v>0.25000373652981001</v>
      </c>
      <c r="K47" s="1" t="s">
        <v>49</v>
      </c>
      <c r="L47" s="1">
        <v>15950276</v>
      </c>
      <c r="M47" s="7">
        <v>46023</v>
      </c>
      <c r="N47" s="7">
        <v>46113</v>
      </c>
      <c r="O47" t="s">
        <v>272</v>
      </c>
    </row>
    <row r="48" spans="1:18" ht="15" customHeight="1" x14ac:dyDescent="0.25">
      <c r="A48" s="1" t="s">
        <v>212</v>
      </c>
      <c r="B48" s="4" t="s">
        <v>43</v>
      </c>
      <c r="C48" s="1" t="s">
        <v>44</v>
      </c>
      <c r="D48" s="1" t="s">
        <v>45</v>
      </c>
      <c r="E48" s="1" t="s">
        <v>64</v>
      </c>
      <c r="F48" s="1" t="s">
        <v>65</v>
      </c>
      <c r="G48" s="39" t="s">
        <v>66</v>
      </c>
      <c r="H48" s="6">
        <v>442.75</v>
      </c>
      <c r="I48" s="6">
        <v>110.69</v>
      </c>
      <c r="J48" s="26">
        <f>I48/H48</f>
        <v>0.25000564652738566</v>
      </c>
      <c r="K48" s="1" t="s">
        <v>49</v>
      </c>
      <c r="L48" s="1">
        <v>15950276</v>
      </c>
      <c r="M48" s="7">
        <v>46023</v>
      </c>
      <c r="N48" s="7">
        <v>46113</v>
      </c>
      <c r="O48" t="s">
        <v>272</v>
      </c>
    </row>
    <row r="49" spans="1:15" ht="15" customHeight="1" x14ac:dyDescent="0.25">
      <c r="A49" s="1" t="s">
        <v>212</v>
      </c>
      <c r="B49" s="4" t="s">
        <v>43</v>
      </c>
      <c r="C49" s="1" t="s">
        <v>44</v>
      </c>
      <c r="D49" s="1" t="s">
        <v>45</v>
      </c>
      <c r="E49" s="1" t="s">
        <v>223</v>
      </c>
      <c r="F49" s="1" t="s">
        <v>224</v>
      </c>
      <c r="G49" s="39" t="s">
        <v>48</v>
      </c>
      <c r="H49" s="6">
        <v>137.47</v>
      </c>
      <c r="I49" s="6">
        <v>34.369999999999997</v>
      </c>
      <c r="J49" s="26">
        <f>I49/H49</f>
        <v>0.25001818578598967</v>
      </c>
      <c r="K49" s="1" t="s">
        <v>49</v>
      </c>
      <c r="L49" s="1">
        <v>15950276</v>
      </c>
      <c r="M49" s="7">
        <v>46016</v>
      </c>
      <c r="N49" s="7">
        <v>46045</v>
      </c>
      <c r="O49" t="s">
        <v>272</v>
      </c>
    </row>
    <row r="50" spans="1:15" ht="15" customHeight="1" x14ac:dyDescent="0.25">
      <c r="A50" s="1" t="s">
        <v>42</v>
      </c>
      <c r="B50" s="4" t="s">
        <v>43</v>
      </c>
      <c r="C50" s="1" t="s">
        <v>44</v>
      </c>
      <c r="D50" s="1" t="s">
        <v>45</v>
      </c>
      <c r="E50" s="1" t="s">
        <v>194</v>
      </c>
      <c r="F50" s="1" t="s">
        <v>195</v>
      </c>
      <c r="G50" s="39" t="s">
        <v>55</v>
      </c>
      <c r="H50" s="6">
        <v>56.03</v>
      </c>
      <c r="I50" s="6">
        <v>14.01</v>
      </c>
      <c r="J50" s="26">
        <f>I50/H50</f>
        <v>0.25004461895413171</v>
      </c>
      <c r="K50" s="1" t="s">
        <v>49</v>
      </c>
      <c r="L50" s="1">
        <v>15950276</v>
      </c>
      <c r="M50" s="7">
        <v>46023</v>
      </c>
      <c r="N50" s="9"/>
      <c r="O50" t="s">
        <v>272</v>
      </c>
    </row>
    <row r="51" spans="1:15" ht="15" customHeight="1" x14ac:dyDescent="0.25">
      <c r="A51" s="1" t="s">
        <v>42</v>
      </c>
      <c r="B51" s="4" t="s">
        <v>43</v>
      </c>
      <c r="C51" s="1" t="s">
        <v>44</v>
      </c>
      <c r="D51" s="1" t="s">
        <v>45</v>
      </c>
      <c r="E51" s="1" t="s">
        <v>206</v>
      </c>
      <c r="F51" s="1" t="s">
        <v>207</v>
      </c>
      <c r="G51" s="39" t="s">
        <v>132</v>
      </c>
      <c r="H51" s="6">
        <v>333.44</v>
      </c>
      <c r="I51" s="6">
        <v>83.36</v>
      </c>
      <c r="J51" s="26">
        <f>I51/H51</f>
        <v>0.25</v>
      </c>
      <c r="K51" s="1" t="s">
        <v>208</v>
      </c>
      <c r="L51" s="41" t="s">
        <v>276</v>
      </c>
      <c r="M51" s="7">
        <v>46022</v>
      </c>
      <c r="N51" s="9"/>
      <c r="O51" t="s">
        <v>272</v>
      </c>
    </row>
    <row r="52" spans="1:15" ht="15" customHeight="1" x14ac:dyDescent="0.25">
      <c r="A52" s="1" t="s">
        <v>212</v>
      </c>
      <c r="B52" s="4" t="s">
        <v>43</v>
      </c>
      <c r="C52" s="1" t="s">
        <v>44</v>
      </c>
      <c r="D52" s="1" t="s">
        <v>45</v>
      </c>
      <c r="E52" s="1" t="s">
        <v>257</v>
      </c>
      <c r="F52" s="1" t="s">
        <v>258</v>
      </c>
      <c r="G52" s="39" t="s">
        <v>227</v>
      </c>
      <c r="H52" s="6">
        <v>250.08</v>
      </c>
      <c r="I52" s="6">
        <v>62.52</v>
      </c>
      <c r="J52" s="26">
        <f>I52/H52</f>
        <v>0.25</v>
      </c>
      <c r="K52" s="1" t="s">
        <v>208</v>
      </c>
      <c r="L52" s="41" t="s">
        <v>276</v>
      </c>
      <c r="M52" s="7">
        <v>45917</v>
      </c>
      <c r="N52" s="9"/>
      <c r="O52" t="s">
        <v>272</v>
      </c>
    </row>
    <row r="53" spans="1:15" ht="15" customHeight="1" x14ac:dyDescent="0.25">
      <c r="A53" s="1" t="s">
        <v>212</v>
      </c>
      <c r="B53" s="4" t="s">
        <v>43</v>
      </c>
      <c r="C53" s="1" t="s">
        <v>44</v>
      </c>
      <c r="D53" s="1" t="s">
        <v>45</v>
      </c>
      <c r="E53" s="1" t="s">
        <v>262</v>
      </c>
      <c r="F53" s="1" t="s">
        <v>263</v>
      </c>
      <c r="G53" s="39" t="s">
        <v>264</v>
      </c>
      <c r="H53" s="6">
        <v>103.99</v>
      </c>
      <c r="I53" s="6">
        <v>26</v>
      </c>
      <c r="J53" s="26">
        <f>I53/H53</f>
        <v>0.25002404077315127</v>
      </c>
      <c r="K53" s="1" t="s">
        <v>208</v>
      </c>
      <c r="L53" s="41" t="s">
        <v>276</v>
      </c>
      <c r="M53" s="7">
        <v>45979</v>
      </c>
      <c r="N53" s="9"/>
      <c r="O53" t="s">
        <v>272</v>
      </c>
    </row>
    <row r="54" spans="1:15" ht="15" customHeight="1" x14ac:dyDescent="0.25">
      <c r="A54" s="1" t="s">
        <v>212</v>
      </c>
      <c r="B54" s="4" t="s">
        <v>43</v>
      </c>
      <c r="C54" s="1" t="s">
        <v>91</v>
      </c>
      <c r="D54" s="1" t="s">
        <v>92</v>
      </c>
      <c r="E54" s="1" t="s">
        <v>228</v>
      </c>
      <c r="F54" s="1" t="s">
        <v>229</v>
      </c>
      <c r="G54" s="39" t="s">
        <v>230</v>
      </c>
      <c r="H54" s="6">
        <v>747.39</v>
      </c>
      <c r="I54" s="6">
        <v>186.84</v>
      </c>
      <c r="J54" s="26">
        <f>I54/H54</f>
        <v>0.2499899650784731</v>
      </c>
      <c r="K54" s="1" t="s">
        <v>56</v>
      </c>
      <c r="L54" s="1">
        <v>18581063</v>
      </c>
      <c r="M54" s="7">
        <v>45897</v>
      </c>
      <c r="N54" s="9"/>
      <c r="O54" t="s">
        <v>272</v>
      </c>
    </row>
    <row r="55" spans="1:15" ht="15" customHeight="1" x14ac:dyDescent="0.25">
      <c r="A55" s="1" t="s">
        <v>42</v>
      </c>
      <c r="B55" s="4" t="s">
        <v>43</v>
      </c>
      <c r="C55" s="1" t="s">
        <v>80</v>
      </c>
      <c r="D55" s="1" t="s">
        <v>45</v>
      </c>
      <c r="E55" s="1" t="s">
        <v>127</v>
      </c>
      <c r="F55" s="1" t="s">
        <v>128</v>
      </c>
      <c r="G55" s="39" t="s">
        <v>55</v>
      </c>
      <c r="H55" s="6">
        <v>701.73</v>
      </c>
      <c r="I55" s="6">
        <v>175.43</v>
      </c>
      <c r="J55" s="26">
        <f>I55/H55</f>
        <v>0.24999643737619884</v>
      </c>
      <c r="K55" s="1" t="s">
        <v>56</v>
      </c>
      <c r="L55" s="1">
        <v>18581063</v>
      </c>
      <c r="M55" s="7">
        <v>45962</v>
      </c>
      <c r="N55" s="9"/>
      <c r="O55" t="s">
        <v>272</v>
      </c>
    </row>
    <row r="56" spans="1:15" ht="15" customHeight="1" x14ac:dyDescent="0.25">
      <c r="A56" s="1" t="s">
        <v>42</v>
      </c>
      <c r="B56" s="4" t="s">
        <v>43</v>
      </c>
      <c r="C56" s="1" t="s">
        <v>44</v>
      </c>
      <c r="D56" s="1" t="s">
        <v>45</v>
      </c>
      <c r="E56" s="1" t="s">
        <v>59</v>
      </c>
      <c r="F56" s="1" t="s">
        <v>54</v>
      </c>
      <c r="G56" s="39" t="s">
        <v>55</v>
      </c>
      <c r="H56" s="6">
        <v>96.16</v>
      </c>
      <c r="I56" s="6">
        <v>24.04</v>
      </c>
      <c r="J56" s="26">
        <f>I56/H56</f>
        <v>0.25</v>
      </c>
      <c r="K56" s="1" t="s">
        <v>56</v>
      </c>
      <c r="L56" s="1">
        <v>18581063</v>
      </c>
      <c r="M56" s="7">
        <v>46023</v>
      </c>
      <c r="N56" s="9"/>
      <c r="O56" t="s">
        <v>272</v>
      </c>
    </row>
    <row r="57" spans="1:15" ht="15" customHeight="1" x14ac:dyDescent="0.25">
      <c r="A57" s="1" t="s">
        <v>42</v>
      </c>
      <c r="B57" s="4" t="s">
        <v>43</v>
      </c>
      <c r="C57" s="1" t="s">
        <v>44</v>
      </c>
      <c r="D57" s="1" t="s">
        <v>45</v>
      </c>
      <c r="E57" s="1" t="s">
        <v>61</v>
      </c>
      <c r="F57" s="1" t="s">
        <v>62</v>
      </c>
      <c r="G57" s="39" t="s">
        <v>55</v>
      </c>
      <c r="H57" s="6">
        <v>96.16</v>
      </c>
      <c r="I57" s="6">
        <v>24.04</v>
      </c>
      <c r="J57" s="26">
        <f>I57/H57</f>
        <v>0.25</v>
      </c>
      <c r="K57" s="1" t="s">
        <v>56</v>
      </c>
      <c r="L57" s="1">
        <v>18581063</v>
      </c>
      <c r="M57" s="7">
        <v>46023</v>
      </c>
      <c r="N57" s="9"/>
      <c r="O57" t="s">
        <v>272</v>
      </c>
    </row>
    <row r="58" spans="1:15" ht="15" customHeight="1" x14ac:dyDescent="0.25">
      <c r="A58" s="1" t="s">
        <v>42</v>
      </c>
      <c r="B58" s="4" t="s">
        <v>43</v>
      </c>
      <c r="C58" s="1" t="s">
        <v>44</v>
      </c>
      <c r="D58" s="1" t="s">
        <v>45</v>
      </c>
      <c r="E58" s="1" t="s">
        <v>200</v>
      </c>
      <c r="F58" s="1" t="s">
        <v>201</v>
      </c>
      <c r="G58" s="39" t="s">
        <v>55</v>
      </c>
      <c r="H58" s="6">
        <v>545.76</v>
      </c>
      <c r="I58" s="6">
        <v>136.44</v>
      </c>
      <c r="J58" s="26">
        <f>I58/H58</f>
        <v>0.25</v>
      </c>
      <c r="K58" s="1" t="s">
        <v>56</v>
      </c>
      <c r="L58" s="1">
        <v>18581063</v>
      </c>
      <c r="M58" s="7">
        <v>46023</v>
      </c>
      <c r="N58" s="9"/>
      <c r="O58" t="s">
        <v>272</v>
      </c>
    </row>
    <row r="59" spans="1:15" ht="15" customHeight="1" x14ac:dyDescent="0.25">
      <c r="A59" s="1" t="s">
        <v>212</v>
      </c>
      <c r="B59" s="4" t="s">
        <v>43</v>
      </c>
      <c r="C59" s="1" t="s">
        <v>44</v>
      </c>
      <c r="D59" s="1" t="s">
        <v>45</v>
      </c>
      <c r="E59" s="1" t="s">
        <v>225</v>
      </c>
      <c r="F59" s="1" t="s">
        <v>226</v>
      </c>
      <c r="G59" s="39" t="s">
        <v>227</v>
      </c>
      <c r="H59" s="6">
        <v>505.89</v>
      </c>
      <c r="I59" s="6">
        <v>126.48</v>
      </c>
      <c r="J59" s="26">
        <f>I59/H59</f>
        <v>0.25001482535729114</v>
      </c>
      <c r="K59" s="1" t="s">
        <v>56</v>
      </c>
      <c r="L59" s="1">
        <v>18581063</v>
      </c>
      <c r="M59" s="7">
        <v>46039</v>
      </c>
      <c r="N59" s="9"/>
      <c r="O59" t="s">
        <v>272</v>
      </c>
    </row>
    <row r="60" spans="1:15" ht="15" customHeight="1" x14ac:dyDescent="0.25">
      <c r="A60" s="1" t="s">
        <v>42</v>
      </c>
      <c r="B60" s="4" t="s">
        <v>43</v>
      </c>
      <c r="C60" s="1" t="s">
        <v>44</v>
      </c>
      <c r="D60" s="1" t="s">
        <v>45</v>
      </c>
      <c r="E60" s="1" t="s">
        <v>53</v>
      </c>
      <c r="F60" s="1" t="s">
        <v>54</v>
      </c>
      <c r="G60" s="39" t="s">
        <v>55</v>
      </c>
      <c r="H60" s="6">
        <v>220.94</v>
      </c>
      <c r="I60" s="6">
        <v>55.24</v>
      </c>
      <c r="J60" s="26">
        <f>I60/H60</f>
        <v>0.2500226305784376</v>
      </c>
      <c r="K60" s="1" t="s">
        <v>56</v>
      </c>
      <c r="L60" s="1">
        <v>18581063</v>
      </c>
      <c r="M60" s="7">
        <v>46023</v>
      </c>
      <c r="N60" s="9"/>
      <c r="O60" t="s">
        <v>272</v>
      </c>
    </row>
    <row r="61" spans="1:15" ht="15" customHeight="1" x14ac:dyDescent="0.25">
      <c r="A61" s="1" t="s">
        <v>212</v>
      </c>
      <c r="B61" s="4" t="s">
        <v>43</v>
      </c>
      <c r="C61" s="1" t="s">
        <v>80</v>
      </c>
      <c r="D61" s="1" t="s">
        <v>45</v>
      </c>
      <c r="E61" s="1" t="s">
        <v>215</v>
      </c>
      <c r="F61" s="1" t="s">
        <v>216</v>
      </c>
      <c r="G61" s="39" t="s">
        <v>217</v>
      </c>
      <c r="H61" s="6">
        <v>214.94</v>
      </c>
      <c r="I61" s="6">
        <v>53.74</v>
      </c>
      <c r="J61" s="26">
        <f>I61/H61</f>
        <v>0.25002326230575977</v>
      </c>
      <c r="K61" s="1" t="s">
        <v>56</v>
      </c>
      <c r="L61" s="1">
        <v>18581063</v>
      </c>
      <c r="M61" s="7">
        <v>46020</v>
      </c>
      <c r="N61" s="9"/>
      <c r="O61" t="s">
        <v>272</v>
      </c>
    </row>
  </sheetData>
  <sortState xmlns:xlrd2="http://schemas.microsoft.com/office/spreadsheetml/2017/richdata2" ref="A2:R61">
    <sortCondition ref="K2:K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2026-02-10T23:06:01Z</dcterms:created>
  <dcterms:modified xsi:type="dcterms:W3CDTF">2026-02-13T15:24:28Z</dcterms:modified>
</cp:coreProperties>
</file>