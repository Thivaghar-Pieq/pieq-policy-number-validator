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242D8519-0BC5-448E-A9A6-E3ADB38A194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_Page" sheetId="1" r:id="rId1"/>
    <sheet name="Details" sheetId="2" r:id="rId2"/>
    <sheet name="Sheet1" sheetId="3" r:id="rId3"/>
  </sheets>
  <definedNames>
    <definedName name="page\x2dtotal">Details!$A$54</definedName>
    <definedName name="page\x2dtotal\x2dmaster0">Details!$A$54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2" l="1"/>
  <c r="I48" i="3"/>
  <c r="I43" i="3"/>
  <c r="I41" i="3"/>
  <c r="I11" i="3"/>
  <c r="I12" i="3"/>
  <c r="I14" i="3"/>
  <c r="I32" i="3"/>
  <c r="I30" i="3"/>
  <c r="I9" i="3"/>
  <c r="I28" i="3"/>
  <c r="I29" i="3"/>
  <c r="I34" i="3"/>
  <c r="I33" i="3"/>
  <c r="I5" i="3"/>
  <c r="I25" i="3"/>
  <c r="I8" i="3"/>
  <c r="I15" i="3"/>
  <c r="I31" i="3"/>
  <c r="I26" i="3"/>
  <c r="I7" i="3"/>
  <c r="I16" i="3"/>
  <c r="I6" i="3"/>
  <c r="I27" i="3"/>
  <c r="I17" i="3"/>
  <c r="I18" i="3"/>
  <c r="I44" i="3"/>
  <c r="I35" i="3"/>
  <c r="I4" i="3"/>
  <c r="I2" i="3"/>
  <c r="I3" i="3"/>
  <c r="I10" i="3"/>
  <c r="I37" i="3"/>
  <c r="I19" i="3"/>
  <c r="I20" i="3"/>
  <c r="I45" i="3"/>
  <c r="I46" i="3"/>
  <c r="I47" i="3"/>
  <c r="I39" i="3"/>
  <c r="I40" i="3"/>
  <c r="I21" i="3"/>
  <c r="I13" i="3"/>
  <c r="I38" i="3"/>
  <c r="I36" i="3"/>
  <c r="I22" i="3"/>
  <c r="I23" i="3"/>
  <c r="I24" i="3"/>
  <c r="I42" i="3"/>
</calcChain>
</file>

<file path=xl/sharedStrings.xml><?xml version="1.0" encoding="utf-8"?>
<sst xmlns="http://schemas.openxmlformats.org/spreadsheetml/2006/main" count="967" uniqueCount="248">
  <si>
    <t xml:space="preserve">    </t>
  </si>
  <si>
    <r>
      <rPr>
        <sz val="10"/>
        <color theme="1"/>
        <rFont val="Arial"/>
        <family val="2"/>
      </rPr>
      <t>4551 W. 107</t>
    </r>
    <r>
      <rPr>
        <sz val="6.65"/>
        <color theme="1"/>
        <rFont val="Arial"/>
        <family val="2"/>
      </rPr>
      <t>th</t>
    </r>
    <r>
      <rPr>
        <sz val="10"/>
        <color theme="1"/>
        <rFont val="Arial"/>
        <family val="2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</si>
  <si>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</si>
  <si>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</si>
  <si>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</si>
  <si>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</si>
  <si>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</si>
  <si>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</si>
  <si>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</si>
  <si>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</si>
  <si>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01-20-2026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</si>
  <si>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</si>
  <si>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</si>
  <si>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</si>
  <si>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</si>
  <si>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</si>
  <si>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</si>
  <si>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</si>
  <si>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  <family val="2"/>
      </rPr>
      <t xml:space="preserve">For compensation questions visit your agent portal at </t>
    </r>
    <r>
      <rPr>
        <u/>
        <sz val="10"/>
        <color rgb="FF0563C1"/>
        <rFont val="Arial"/>
        <family val="2"/>
      </rPr>
      <t>www.AlliedNational.com</t>
    </r>
    <r>
      <rPr>
        <sz val="10"/>
        <color theme="1"/>
        <rFont val="Arial"/>
        <family val="2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</si>
  <si>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</si>
  <si>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</si>
  <si>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</si>
  <si>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</si>
  <si>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</si>
  <si>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</si>
  <si>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</si>
  <si>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</si>
  <si>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</si>
  <si>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</si>
  <si>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</si>
  <si>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</si>
  <si>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</si>
  <si>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</si>
  <si>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</si>
  <si>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</si>
  <si>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</si>
  <si>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</si>
  <si>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</si>
  <si>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</si>
  <si>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</si>
  <si>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</si>
  <si>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</si>
  <si>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01-2026</t>
  </si>
  <si>
    <r>
      <rPr>
        <sz val="10"/>
        <color theme="1"/>
        <rFont val="Arial"/>
        <family val="2"/>
      </rPr>
      <t>IBA</t>
    </r>
    <r>
      <rPr>
        <sz val="10"/>
        <color rgb="FF003300"/>
        <rFont val="Arial"/>
        <family val="2"/>
      </rPr>
      <t xml:space="preserve"> </t>
    </r>
  </si>
  <si>
    <t>ISTM.MM-12-PPO</t>
  </si>
  <si>
    <t>North River</t>
  </si>
  <si>
    <t>1587616-0-1</t>
  </si>
  <si>
    <t>Hibbard, Mathias</t>
  </si>
  <si>
    <t>12-29-2025</t>
  </si>
  <si>
    <t>Timothy Hodgman</t>
  </si>
  <si>
    <t>95788</t>
  </si>
  <si>
    <t>P0845804</t>
  </si>
  <si>
    <t>ISTM.MM-12-RB2</t>
  </si>
  <si>
    <t>1587644-0-1</t>
  </si>
  <si>
    <t>Hodgman, Griffin</t>
  </si>
  <si>
    <t>01-01-2026</t>
  </si>
  <si>
    <t>P0845849</t>
  </si>
  <si>
    <t>1587672-0-1</t>
  </si>
  <si>
    <t>P0845895</t>
  </si>
  <si>
    <t>1587673-0-1</t>
  </si>
  <si>
    <t>Hodgman, Ryan</t>
  </si>
  <si>
    <t>P0845897</t>
  </si>
  <si>
    <t>1587767-0-1</t>
  </si>
  <si>
    <t>Ferraro, Nathaniel</t>
  </si>
  <si>
    <t>12-24-2025</t>
  </si>
  <si>
    <t>Carol Foley</t>
  </si>
  <si>
    <t>81570</t>
  </si>
  <si>
    <t>P0846024</t>
  </si>
  <si>
    <t>1588113-0-1</t>
  </si>
  <si>
    <t>Wolk, Ronald</t>
  </si>
  <si>
    <t>Deborah Inskipt</t>
  </si>
  <si>
    <t>96033</t>
  </si>
  <si>
    <t>P0846506</t>
  </si>
  <si>
    <t>IDEN-01-PPO</t>
  </si>
  <si>
    <t>Renaissance</t>
  </si>
  <si>
    <t>1588257-0-1</t>
  </si>
  <si>
    <t>Fleming, Colette</t>
  </si>
  <si>
    <t>Chris Taugner</t>
  </si>
  <si>
    <t>95679</t>
  </si>
  <si>
    <t>996203952</t>
  </si>
  <si>
    <t>1588267-0-1</t>
  </si>
  <si>
    <t>P0846709</t>
  </si>
  <si>
    <t>1588472-0-1</t>
  </si>
  <si>
    <t>Trusz, Mark</t>
  </si>
  <si>
    <t>Ryan Stocker</t>
  </si>
  <si>
    <t>99977</t>
  </si>
  <si>
    <t>P0846926</t>
  </si>
  <si>
    <t>1588802-0-1</t>
  </si>
  <si>
    <t>Shamuluas, Scott</t>
  </si>
  <si>
    <t>P0847429</t>
  </si>
  <si>
    <t>1600114-0-1</t>
  </si>
  <si>
    <t>Olson, Nathan</t>
  </si>
  <si>
    <t>Lori Tunstall</t>
  </si>
  <si>
    <t>82178</t>
  </si>
  <si>
    <t>P0847510</t>
  </si>
  <si>
    <t>ISTM-22-RB2</t>
  </si>
  <si>
    <t>Companion Life</t>
  </si>
  <si>
    <t>1600689-0-1</t>
  </si>
  <si>
    <t>Scarlett, Tonya</t>
  </si>
  <si>
    <t>Ryan Caltagirone</t>
  </si>
  <si>
    <t>80640</t>
  </si>
  <si>
    <t>P0848380</t>
  </si>
  <si>
    <t>1600997-0-1</t>
  </si>
  <si>
    <t>Patel, Hiren</t>
  </si>
  <si>
    <t>01-03-2026</t>
  </si>
  <si>
    <t>Frank Liskovec</t>
  </si>
  <si>
    <t>95755</t>
  </si>
  <si>
    <t>P0848836</t>
  </si>
  <si>
    <t>1601009-0-1</t>
  </si>
  <si>
    <t>Doane, Patrick</t>
  </si>
  <si>
    <t>Gregory Teipel</t>
  </si>
  <si>
    <t>80639</t>
  </si>
  <si>
    <t>P0848858</t>
  </si>
  <si>
    <t>1601364-0-1</t>
  </si>
  <si>
    <t>Haines, Grant</t>
  </si>
  <si>
    <t>01-06-2026</t>
  </si>
  <si>
    <t>Jason Hoffmann</t>
  </si>
  <si>
    <t>P0849383</t>
  </si>
  <si>
    <t>1601627-0-1</t>
  </si>
  <si>
    <t>Harwood, Teresa</t>
  </si>
  <si>
    <t>01-07-2026</t>
  </si>
  <si>
    <t>Dominic Lytle</t>
  </si>
  <si>
    <t>6224</t>
  </si>
  <si>
    <t>P0849723</t>
  </si>
  <si>
    <t>1601698-0-1</t>
  </si>
  <si>
    <t>Swinson, Kathryn</t>
  </si>
  <si>
    <t>P0848435</t>
  </si>
  <si>
    <t>194374-0-1</t>
  </si>
  <si>
    <t>Duran, Jose</t>
  </si>
  <si>
    <t>01-11-2026</t>
  </si>
  <si>
    <t>Dale Walenga</t>
  </si>
  <si>
    <t>96477</t>
  </si>
  <si>
    <t>996202029</t>
  </si>
  <si>
    <t>616980-2-1</t>
  </si>
  <si>
    <t>Tijerina, Bryan</t>
  </si>
  <si>
    <t>12-06-2025</t>
  </si>
  <si>
    <t>P0761905</t>
  </si>
  <si>
    <t>ISTM-25-RBP</t>
  </si>
  <si>
    <t>Pan-American Life</t>
  </si>
  <si>
    <t>629065-1-1</t>
  </si>
  <si>
    <t>Arriaza, Carl</t>
  </si>
  <si>
    <t>01-08-2026</t>
  </si>
  <si>
    <t>Heather Geske</t>
  </si>
  <si>
    <t>95609</t>
  </si>
  <si>
    <t>P0778892</t>
  </si>
  <si>
    <t>639002-0-1</t>
  </si>
  <si>
    <t>Lippolis, James</t>
  </si>
  <si>
    <t>12-19-2025</t>
  </si>
  <si>
    <t>Peter Richter</t>
  </si>
  <si>
    <t>96125</t>
  </si>
  <si>
    <t>P0792811</t>
  </si>
  <si>
    <t>644976-0-1</t>
  </si>
  <si>
    <t>Stango, Lisa</t>
  </si>
  <si>
    <t>P0799979</t>
  </si>
  <si>
    <t>645328-0-1</t>
  </si>
  <si>
    <t>Ragusa, Kara</t>
  </si>
  <si>
    <t>Thomas Pardue</t>
  </si>
  <si>
    <t>5369</t>
  </si>
  <si>
    <t>P0800401</t>
  </si>
  <si>
    <t>649978-0-1</t>
  </si>
  <si>
    <t>Starr, Lisa</t>
  </si>
  <si>
    <t>P0835493</t>
  </si>
  <si>
    <t>650076-0-1</t>
  </si>
  <si>
    <t>Thomas, Reeanna</t>
  </si>
  <si>
    <t>11-18-2025</t>
  </si>
  <si>
    <t>Scott Aguglia</t>
  </si>
  <si>
    <t>81722</t>
  </si>
  <si>
    <t>P0835648</t>
  </si>
  <si>
    <t>12-18-2025</t>
  </si>
  <si>
    <t>650603-0-1</t>
  </si>
  <si>
    <t>Karattuthodi, Avinash</t>
  </si>
  <si>
    <t>11-21-2025</t>
  </si>
  <si>
    <t>Brittany Oliver</t>
  </si>
  <si>
    <t>332</t>
  </si>
  <si>
    <t>P0836518</t>
  </si>
  <si>
    <t>12-21-2025</t>
  </si>
  <si>
    <t>651050-0-1</t>
  </si>
  <si>
    <t>Nennig, Donald</t>
  </si>
  <si>
    <t>P0837213</t>
  </si>
  <si>
    <t>12-01-2025</t>
  </si>
  <si>
    <t>ISTM-11-PPO</t>
  </si>
  <si>
    <t>651213-0-1</t>
  </si>
  <si>
    <t>Trinh, Ronald</t>
  </si>
  <si>
    <t>Gary Portugal</t>
  </si>
  <si>
    <t>95756</t>
  </si>
  <si>
    <t>P0837368</t>
  </si>
  <si>
    <t>651869-0-1</t>
  </si>
  <si>
    <t>Lapetina, John</t>
  </si>
  <si>
    <t>01-02-2026</t>
  </si>
  <si>
    <t>Jacob Yale</t>
  </si>
  <si>
    <t>95760</t>
  </si>
  <si>
    <t>P0838362</t>
  </si>
  <si>
    <t>12-02-2025</t>
  </si>
  <si>
    <t>651923-0-1</t>
  </si>
  <si>
    <t>Bojja, Malathi</t>
  </si>
  <si>
    <t>P0838446</t>
  </si>
  <si>
    <t>652101-0-1</t>
  </si>
  <si>
    <t>Mathews, Caleb</t>
  </si>
  <si>
    <t>Erica Solivan</t>
  </si>
  <si>
    <t>2658</t>
  </si>
  <si>
    <t>P0838715</t>
  </si>
  <si>
    <t>652801-0-1</t>
  </si>
  <si>
    <t>Tunstall, Lori</t>
  </si>
  <si>
    <t>P0839804</t>
  </si>
  <si>
    <t>652805-0-1</t>
  </si>
  <si>
    <t>Morgan, Michael</t>
  </si>
  <si>
    <t>P0839810</t>
  </si>
  <si>
    <t>653292-0-1</t>
  </si>
  <si>
    <t>McNeill, Laura</t>
  </si>
  <si>
    <t>P0840544</t>
  </si>
  <si>
    <t>653615-0-1</t>
  </si>
  <si>
    <t>Abrams, Mitchell</t>
  </si>
  <si>
    <t>P0841096</t>
  </si>
  <si>
    <t>ISTM-23-PPO</t>
  </si>
  <si>
    <t>653958-0-1</t>
  </si>
  <si>
    <t>Pucci, Anna</t>
  </si>
  <si>
    <t>P0841625</t>
  </si>
  <si>
    <t>654106-0-1</t>
  </si>
  <si>
    <t>Mease, Spencer</t>
  </si>
  <si>
    <t>P0841863</t>
  </si>
  <si>
    <t>654332-0-1</t>
  </si>
  <si>
    <t>Ammerman, Maria</t>
  </si>
  <si>
    <t>P0842229</t>
  </si>
  <si>
    <t>654396-0-1</t>
  </si>
  <si>
    <t>Olson, Jon</t>
  </si>
  <si>
    <t>P0842353</t>
  </si>
  <si>
    <t>654472-0-1</t>
  </si>
  <si>
    <t>Guerra, Maricel</t>
  </si>
  <si>
    <t>P0842479</t>
  </si>
  <si>
    <t>654862-0-1</t>
  </si>
  <si>
    <t>Anilo, Frank</t>
  </si>
  <si>
    <t>01-14-2026</t>
  </si>
  <si>
    <t>P0843134</t>
  </si>
  <si>
    <t>12-14-2025</t>
  </si>
  <si>
    <t>655372-0-1</t>
  </si>
  <si>
    <t>Laughlin, Sherry</t>
  </si>
  <si>
    <t>12-31-2025</t>
  </si>
  <si>
    <t>P0844007</t>
  </si>
  <si>
    <t>Totals</t>
  </si>
  <si>
    <t>Rate</t>
  </si>
  <si>
    <t>17528908N</t>
  </si>
  <si>
    <t>Pivot OVR</t>
  </si>
  <si>
    <t>Renaissance Dental</t>
  </si>
  <si>
    <t>Short &amp; Bridge KS</t>
  </si>
  <si>
    <t>ST &amp; Bridge IA IN MI MS ND NE TN</t>
  </si>
  <si>
    <t>ST &amp; Bridge EX DE IA IN KS MI MS ND NE NH OH TN VA</t>
  </si>
  <si>
    <t>Main Line Benefits</t>
  </si>
  <si>
    <t>Dental 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</si>
</sst>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3300"/>
      <name val="Arial"/>
      <family val="2"/>
    </font>
    <font>
      <sz val="6.65"/>
      <color theme="1"/>
      <name val="Arial"/>
      <family val="2"/>
    </font>
    <font>
      <u/>
      <sz val="10"/>
      <color rgb="FF0563C1"/>
      <name val="Arial"/>
      <family val="2"/>
    </font>
    <font>
      <sz val="10"/>
      <color rgb="FF0033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top" wrapText="1"/>
    </xf>
    <xf numFmtId="4" fontId="1" fillId="3" borderId="2" xfId="0" applyNumberFormat="1" applyFont="1" applyFill="1" applyBorder="1" applyAlignment="1">
      <alignment horizontal="righ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0" fontId="0" fillId="3" borderId="0" xfId="0" applyFill="1"/>
    <xf numFmtId="0" fontId="1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right" vertical="top" wrapText="1"/>
    </xf>
    <xf numFmtId="4" fontId="1" fillId="4" borderId="2" xfId="0" applyNumberFormat="1" applyFont="1" applyFill="1" applyBorder="1" applyAlignment="1">
      <alignment horizontal="right" vertical="top" wrapText="1"/>
    </xf>
    <xf numFmtId="165" fontId="1" fillId="4" borderId="2" xfId="0" applyNumberFormat="1" applyFont="1" applyFill="1" applyBorder="1" applyAlignment="1">
      <alignment horizontal="left" vertical="top" wrapText="1"/>
    </xf>
    <xf numFmtId="0" fontId="0" fillId="4" borderId="0" xfId="0" applyFill="1"/>
    <xf numFmtId="0" fontId="0" fillId="3" borderId="2" xfId="0" applyFill="1" applyBorder="1" applyAlignment="1">
      <alignment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3" fontId="1" fillId="3" borderId="2" xfId="0" applyNumberFormat="1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4" fontId="1" fillId="0" borderId="2" xfId="0" applyNumberFormat="1" applyFont="1" applyFill="1" applyBorder="1" applyAlignment="1">
      <alignment horizontal="righ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32" t="s">
        <v>0</v>
      </c>
      <c r="B1" s="32"/>
      <c r="C1" s="32"/>
      <c r="D1" s="32"/>
      <c r="E1" s="32"/>
      <c r="F1" s="32"/>
      <c r="G1" s="32"/>
    </row>
    <row r="4" spans="1:7" x14ac:dyDescent="0.25">
      <c r="A4" s="37" t="s">
        <v>1</v>
      </c>
      <c r="B4" s="37"/>
      <c r="C4" s="37"/>
      <c r="D4" s="37"/>
      <c r="E4" s="37"/>
      <c r="F4" s="37"/>
      <c r="G4" s="37"/>
    </row>
    <row r="5" spans="1:7" x14ac:dyDescent="0.25">
      <c r="A5" s="38" t="s">
        <v>2</v>
      </c>
      <c r="B5" s="38"/>
      <c r="C5" s="38"/>
      <c r="D5" s="38"/>
      <c r="E5" s="38"/>
      <c r="F5" s="38"/>
      <c r="G5" s="38"/>
    </row>
    <row r="6" spans="1:7" x14ac:dyDescent="0.25">
      <c r="A6" s="38" t="s">
        <v>3</v>
      </c>
      <c r="B6" s="38"/>
      <c r="C6" s="38"/>
      <c r="D6" s="38"/>
      <c r="E6" s="38"/>
      <c r="F6" s="38"/>
      <c r="G6" s="38"/>
    </row>
    <row r="7" spans="1:7" x14ac:dyDescent="0.25">
      <c r="A7" s="24" t="s">
        <v>4</v>
      </c>
      <c r="B7" s="24"/>
      <c r="C7" s="24"/>
      <c r="D7" s="24"/>
      <c r="E7" s="24"/>
      <c r="F7" s="24"/>
      <c r="G7" s="24"/>
    </row>
    <row r="8" spans="1:7" x14ac:dyDescent="0.25">
      <c r="A8" s="32" t="s">
        <v>5</v>
      </c>
      <c r="B8" s="32"/>
      <c r="C8" s="32"/>
      <c r="D8" s="32"/>
      <c r="E8" s="32"/>
      <c r="F8" s="32"/>
      <c r="G8" s="32"/>
    </row>
    <row r="9" spans="1:7" x14ac:dyDescent="0.25">
      <c r="A9" s="32" t="s">
        <v>6</v>
      </c>
      <c r="B9" s="32"/>
      <c r="C9" s="32"/>
      <c r="D9" s="32"/>
      <c r="E9" s="32"/>
      <c r="F9" s="32"/>
      <c r="G9" s="32"/>
    </row>
    <row r="10" spans="1:7" x14ac:dyDescent="0.25">
      <c r="A10" s="32" t="s">
        <v>7</v>
      </c>
      <c r="B10" s="32"/>
      <c r="C10" s="32"/>
      <c r="D10" s="32"/>
      <c r="E10" s="32"/>
      <c r="F10" s="32"/>
      <c r="G10" s="32"/>
    </row>
    <row r="11" spans="1:7" x14ac:dyDescent="0.25">
      <c r="A11" s="24" t="s">
        <v>4</v>
      </c>
      <c r="B11" s="24"/>
      <c r="C11" s="24"/>
      <c r="D11" s="24"/>
      <c r="E11" s="24"/>
      <c r="F11" s="24"/>
      <c r="G11" s="24"/>
    </row>
    <row r="12" spans="1:7" x14ac:dyDescent="0.25">
      <c r="A12" s="33" t="s">
        <v>8</v>
      </c>
      <c r="B12" s="33"/>
      <c r="C12" s="34" t="s">
        <v>4</v>
      </c>
      <c r="D12" s="35"/>
      <c r="E12" s="1" t="s">
        <v>9</v>
      </c>
      <c r="F12" s="1" t="s">
        <v>10</v>
      </c>
    </row>
    <row r="13" spans="1:7" x14ac:dyDescent="0.25">
      <c r="A13" s="33" t="s">
        <v>11</v>
      </c>
      <c r="B13" s="33"/>
      <c r="C13" s="34" t="s">
        <v>4</v>
      </c>
      <c r="D13" s="35"/>
      <c r="E13" s="1" t="s">
        <v>12</v>
      </c>
      <c r="F13" s="2">
        <v>2639455</v>
      </c>
    </row>
    <row r="14" spans="1:7" x14ac:dyDescent="0.25">
      <c r="A14" s="36" t="s">
        <v>13</v>
      </c>
      <c r="B14" s="36"/>
      <c r="C14" s="34" t="s">
        <v>4</v>
      </c>
      <c r="D14" s="35"/>
      <c r="E14" s="1" t="s">
        <v>14</v>
      </c>
      <c r="F14" s="1" t="s">
        <v>15</v>
      </c>
    </row>
    <row r="15" spans="1:7" x14ac:dyDescent="0.25">
      <c r="A15" s="24" t="s">
        <v>4</v>
      </c>
      <c r="B15" s="24"/>
      <c r="C15" s="24"/>
      <c r="D15" s="24"/>
      <c r="E15" s="24"/>
      <c r="F15" s="24"/>
      <c r="G15" s="24"/>
    </row>
    <row r="16" spans="1:7" x14ac:dyDescent="0.25">
      <c r="A16" s="32" t="s">
        <v>16</v>
      </c>
      <c r="B16" s="32"/>
      <c r="C16" s="32"/>
      <c r="D16" s="32"/>
      <c r="E16" s="32"/>
      <c r="F16" s="32"/>
      <c r="G16" s="32"/>
    </row>
    <row r="17" spans="1:7" x14ac:dyDescent="0.25">
      <c r="A17" s="24" t="s">
        <v>4</v>
      </c>
      <c r="B17" s="24"/>
      <c r="C17" s="24"/>
      <c r="D17" s="24"/>
      <c r="E17" s="24"/>
      <c r="F17" s="24"/>
      <c r="G17" s="24"/>
    </row>
    <row r="18" spans="1:7" x14ac:dyDescent="0.25">
      <c r="A18" s="32" t="s">
        <v>17</v>
      </c>
      <c r="B18" s="32"/>
      <c r="C18" s="32"/>
      <c r="D18" s="32"/>
      <c r="E18" s="32"/>
      <c r="F18" s="32"/>
      <c r="G18" s="32"/>
    </row>
    <row r="19" spans="1:7" x14ac:dyDescent="0.25">
      <c r="A19" s="24" t="s">
        <v>4</v>
      </c>
      <c r="B19" s="24"/>
      <c r="C19" s="24"/>
      <c r="D19" s="24"/>
      <c r="E19" s="24"/>
      <c r="F19" s="24"/>
      <c r="G19" s="24"/>
    </row>
    <row r="20" spans="1:7" x14ac:dyDescent="0.25">
      <c r="A20" s="24" t="s">
        <v>18</v>
      </c>
      <c r="B20" s="24"/>
      <c r="C20" s="24"/>
      <c r="D20" s="24"/>
      <c r="E20" s="24"/>
      <c r="F20" s="24"/>
      <c r="G20" s="24"/>
    </row>
    <row r="21" spans="1:7" x14ac:dyDescent="0.25">
      <c r="A21" s="24" t="s">
        <v>4</v>
      </c>
      <c r="B21" s="24"/>
      <c r="C21" s="24"/>
      <c r="D21" s="24"/>
      <c r="E21" s="24"/>
      <c r="F21" s="24"/>
      <c r="G21" s="24"/>
    </row>
    <row r="22" spans="1:7" x14ac:dyDescent="0.25">
      <c r="A22" s="29" t="s">
        <v>19</v>
      </c>
      <c r="B22" s="30"/>
      <c r="C22" s="31"/>
    </row>
    <row r="23" spans="1:7" x14ac:dyDescent="0.25">
      <c r="A23" s="1" t="s">
        <v>20</v>
      </c>
      <c r="B23" s="25">
        <v>718.82</v>
      </c>
      <c r="C23" s="26"/>
    </row>
    <row r="24" spans="1:7" x14ac:dyDescent="0.25">
      <c r="A24" s="1" t="s">
        <v>21</v>
      </c>
      <c r="B24" s="25">
        <v>718.82</v>
      </c>
      <c r="C24" s="26"/>
    </row>
    <row r="25" spans="1:7" x14ac:dyDescent="0.25">
      <c r="A25" s="1" t="s">
        <v>22</v>
      </c>
      <c r="B25" s="25">
        <v>0</v>
      </c>
      <c r="C25" s="26"/>
    </row>
    <row r="26" spans="1:7" x14ac:dyDescent="0.25">
      <c r="A26" s="1" t="s">
        <v>23</v>
      </c>
      <c r="B26" s="25">
        <v>3078.93</v>
      </c>
      <c r="C26" s="26"/>
    </row>
    <row r="27" spans="1:7" x14ac:dyDescent="0.25">
      <c r="A27" s="1" t="s">
        <v>24</v>
      </c>
      <c r="B27" s="25">
        <v>3078.93</v>
      </c>
      <c r="C27" s="26"/>
    </row>
    <row r="28" spans="1:7" x14ac:dyDescent="0.25">
      <c r="A28" s="1" t="s">
        <v>25</v>
      </c>
      <c r="B28" s="27" t="s">
        <v>26</v>
      </c>
      <c r="C28" s="28"/>
    </row>
    <row r="29" spans="1:7" x14ac:dyDescent="0.25">
      <c r="A29" s="24" t="s">
        <v>4</v>
      </c>
      <c r="B29" s="24"/>
      <c r="C29" s="24"/>
      <c r="D29" s="24"/>
      <c r="E29" s="24"/>
      <c r="F29" s="24"/>
      <c r="G29" s="24"/>
    </row>
    <row r="30" spans="1:7" x14ac:dyDescent="0.25">
      <c r="A30" s="24" t="s">
        <v>4</v>
      </c>
      <c r="B30" s="24"/>
      <c r="C30" s="24"/>
      <c r="D30" s="24"/>
      <c r="E30" s="24"/>
      <c r="F30" s="24"/>
      <c r="G30" s="24"/>
    </row>
    <row r="31" spans="1:7" x14ac:dyDescent="0.25">
      <c r="A31" s="24" t="s">
        <v>4</v>
      </c>
      <c r="B31" s="24"/>
      <c r="C31" s="24"/>
      <c r="D31" s="24"/>
      <c r="E31" s="24"/>
      <c r="F31" s="24"/>
      <c r="G31" s="24"/>
    </row>
    <row r="32" spans="1:7" x14ac:dyDescent="0.25">
      <c r="A32" s="24" t="s">
        <v>4</v>
      </c>
      <c r="B32" s="24"/>
      <c r="C32" s="24"/>
      <c r="D32" s="24"/>
      <c r="E32" s="24"/>
      <c r="F32" s="24"/>
      <c r="G32" s="24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showGridLines="0" topLeftCell="A4" workbookViewId="0">
      <selection activeCell="G15" sqref="G15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71093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28515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4" t="s">
        <v>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214.94</v>
      </c>
      <c r="I4" s="6">
        <v>53.74</v>
      </c>
      <c r="J4" s="1" t="s">
        <v>49</v>
      </c>
      <c r="K4" s="1" t="s">
        <v>50</v>
      </c>
      <c r="L4" s="7">
        <v>46020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52</v>
      </c>
      <c r="D5" s="1" t="s">
        <v>45</v>
      </c>
      <c r="E5" s="1" t="s">
        <v>53</v>
      </c>
      <c r="F5" s="1" t="s">
        <v>54</v>
      </c>
      <c r="G5" s="5" t="s">
        <v>55</v>
      </c>
      <c r="H5" s="6">
        <v>220.94</v>
      </c>
      <c r="I5" s="6">
        <v>55.24</v>
      </c>
      <c r="J5" s="1" t="s">
        <v>49</v>
      </c>
      <c r="K5" s="1" t="s">
        <v>50</v>
      </c>
      <c r="L5" s="7">
        <v>46023</v>
      </c>
      <c r="M5" s="8"/>
      <c r="N5" s="9">
        <v>364</v>
      </c>
      <c r="O5" s="1" t="s">
        <v>56</v>
      </c>
      <c r="P5" s="8"/>
    </row>
    <row r="6" spans="1:17" ht="25.5" x14ac:dyDescent="0.25">
      <c r="A6" s="1" t="s">
        <v>42</v>
      </c>
      <c r="B6" s="4" t="s">
        <v>43</v>
      </c>
      <c r="C6" s="1" t="s">
        <v>52</v>
      </c>
      <c r="D6" s="1" t="s">
        <v>45</v>
      </c>
      <c r="E6" s="1" t="s">
        <v>57</v>
      </c>
      <c r="F6" s="1" t="s">
        <v>54</v>
      </c>
      <c r="G6" s="5" t="s">
        <v>55</v>
      </c>
      <c r="H6" s="6">
        <v>96.16</v>
      </c>
      <c r="I6" s="6">
        <v>24.04</v>
      </c>
      <c r="J6" s="1" t="s">
        <v>49</v>
      </c>
      <c r="K6" s="1" t="s">
        <v>50</v>
      </c>
      <c r="L6" s="7">
        <v>46023</v>
      </c>
      <c r="M6" s="8"/>
      <c r="N6" s="9">
        <v>364</v>
      </c>
      <c r="O6" s="1" t="s">
        <v>58</v>
      </c>
      <c r="P6" s="8"/>
    </row>
    <row r="7" spans="1:17" ht="25.5" x14ac:dyDescent="0.25">
      <c r="A7" s="1" t="s">
        <v>42</v>
      </c>
      <c r="B7" s="4" t="s">
        <v>43</v>
      </c>
      <c r="C7" s="1" t="s">
        <v>52</v>
      </c>
      <c r="D7" s="1" t="s">
        <v>45</v>
      </c>
      <c r="E7" s="1" t="s">
        <v>59</v>
      </c>
      <c r="F7" s="1" t="s">
        <v>60</v>
      </c>
      <c r="G7" s="5" t="s">
        <v>55</v>
      </c>
      <c r="H7" s="6">
        <v>96.16</v>
      </c>
      <c r="I7" s="6">
        <v>24.04</v>
      </c>
      <c r="J7" s="1" t="s">
        <v>49</v>
      </c>
      <c r="K7" s="1" t="s">
        <v>50</v>
      </c>
      <c r="L7" s="7">
        <v>46023</v>
      </c>
      <c r="M7" s="8"/>
      <c r="N7" s="9">
        <v>364</v>
      </c>
      <c r="O7" s="1" t="s">
        <v>61</v>
      </c>
      <c r="P7" s="8"/>
    </row>
    <row r="8" spans="1:17" ht="25.5" x14ac:dyDescent="0.25">
      <c r="A8" s="1" t="s">
        <v>42</v>
      </c>
      <c r="B8" s="4" t="s">
        <v>43</v>
      </c>
      <c r="C8" s="1" t="s">
        <v>52</v>
      </c>
      <c r="D8" s="1" t="s">
        <v>45</v>
      </c>
      <c r="E8" s="1" t="s">
        <v>62</v>
      </c>
      <c r="F8" s="1" t="s">
        <v>63</v>
      </c>
      <c r="G8" s="5" t="s">
        <v>64</v>
      </c>
      <c r="H8" s="6">
        <v>91.27</v>
      </c>
      <c r="I8" s="6">
        <v>22.82</v>
      </c>
      <c r="J8" s="1" t="s">
        <v>65</v>
      </c>
      <c r="K8" s="1" t="s">
        <v>66</v>
      </c>
      <c r="L8" s="7">
        <v>46015</v>
      </c>
      <c r="M8" s="8"/>
      <c r="N8" s="9">
        <v>90</v>
      </c>
      <c r="O8" s="1" t="s">
        <v>67</v>
      </c>
      <c r="P8" s="8"/>
    </row>
    <row r="9" spans="1:17" ht="25.5" x14ac:dyDescent="0.25">
      <c r="A9" s="1" t="s">
        <v>42</v>
      </c>
      <c r="B9" s="4" t="s">
        <v>43</v>
      </c>
      <c r="C9" s="1" t="s">
        <v>52</v>
      </c>
      <c r="D9" s="1" t="s">
        <v>45</v>
      </c>
      <c r="E9" s="1" t="s">
        <v>68</v>
      </c>
      <c r="F9" s="1" t="s">
        <v>69</v>
      </c>
      <c r="G9" s="5" t="s">
        <v>55</v>
      </c>
      <c r="H9" s="6">
        <v>1213.06</v>
      </c>
      <c r="I9" s="6">
        <v>303.27</v>
      </c>
      <c r="J9" s="1" t="s">
        <v>70</v>
      </c>
      <c r="K9" s="1" t="s">
        <v>71</v>
      </c>
      <c r="L9" s="7">
        <v>46023</v>
      </c>
      <c r="M9" s="8"/>
      <c r="N9" s="9">
        <v>364</v>
      </c>
      <c r="O9" s="1" t="s">
        <v>72</v>
      </c>
      <c r="P9" s="8"/>
    </row>
    <row r="10" spans="1:17" s="46" customFormat="1" x14ac:dyDescent="0.25">
      <c r="A10" s="40" t="s">
        <v>42</v>
      </c>
      <c r="B10" s="41" t="s">
        <v>43</v>
      </c>
      <c r="C10" s="40" t="s">
        <v>73</v>
      </c>
      <c r="D10" s="40" t="s">
        <v>74</v>
      </c>
      <c r="E10" s="40" t="s">
        <v>75</v>
      </c>
      <c r="F10" s="40" t="s">
        <v>76</v>
      </c>
      <c r="G10" s="42" t="s">
        <v>55</v>
      </c>
      <c r="H10" s="43">
        <v>33.29</v>
      </c>
      <c r="I10" s="43">
        <v>9.32</v>
      </c>
      <c r="J10" s="40" t="s">
        <v>77</v>
      </c>
      <c r="K10" s="40" t="s">
        <v>78</v>
      </c>
      <c r="L10" s="44">
        <v>46023</v>
      </c>
      <c r="M10" s="45"/>
      <c r="N10" s="45"/>
      <c r="O10" s="40" t="s">
        <v>79</v>
      </c>
      <c r="P10" s="45">
        <f>33.29*28%</f>
        <v>9.321200000000001</v>
      </c>
    </row>
    <row r="11" spans="1:17" ht="25.5" x14ac:dyDescent="0.25">
      <c r="A11" s="1" t="s">
        <v>42</v>
      </c>
      <c r="B11" s="4" t="s">
        <v>43</v>
      </c>
      <c r="C11" s="1" t="s">
        <v>44</v>
      </c>
      <c r="D11" s="1" t="s">
        <v>45</v>
      </c>
      <c r="E11" s="1" t="s">
        <v>80</v>
      </c>
      <c r="F11" s="1" t="s">
        <v>76</v>
      </c>
      <c r="G11" s="5" t="s">
        <v>55</v>
      </c>
      <c r="H11" s="6">
        <v>248.28</v>
      </c>
      <c r="I11" s="6">
        <v>62.07</v>
      </c>
      <c r="J11" s="1" t="s">
        <v>77</v>
      </c>
      <c r="K11" s="1" t="s">
        <v>78</v>
      </c>
      <c r="L11" s="7">
        <v>46023</v>
      </c>
      <c r="M11" s="8"/>
      <c r="N11" s="9">
        <v>180</v>
      </c>
      <c r="O11" s="1" t="s">
        <v>81</v>
      </c>
      <c r="P11" s="8"/>
    </row>
    <row r="12" spans="1:17" ht="25.5" x14ac:dyDescent="0.25">
      <c r="A12" s="1" t="s">
        <v>42</v>
      </c>
      <c r="B12" s="4" t="s">
        <v>43</v>
      </c>
      <c r="C12" s="1" t="s">
        <v>52</v>
      </c>
      <c r="D12" s="1" t="s">
        <v>45</v>
      </c>
      <c r="E12" s="1" t="s">
        <v>82</v>
      </c>
      <c r="F12" s="1" t="s">
        <v>83</v>
      </c>
      <c r="G12" s="5" t="s">
        <v>55</v>
      </c>
      <c r="H12" s="6">
        <v>288</v>
      </c>
      <c r="I12" s="6">
        <v>72</v>
      </c>
      <c r="J12" s="1" t="s">
        <v>84</v>
      </c>
      <c r="K12" s="1" t="s">
        <v>85</v>
      </c>
      <c r="L12" s="7">
        <v>46023</v>
      </c>
      <c r="M12" s="8"/>
      <c r="N12" s="9">
        <v>90</v>
      </c>
      <c r="O12" s="1" t="s">
        <v>86</v>
      </c>
      <c r="P12" s="8"/>
    </row>
    <row r="13" spans="1:17" ht="25.5" x14ac:dyDescent="0.25">
      <c r="A13" s="1" t="s">
        <v>42</v>
      </c>
      <c r="B13" s="4" t="s">
        <v>43</v>
      </c>
      <c r="C13" s="1" t="s">
        <v>44</v>
      </c>
      <c r="D13" s="1" t="s">
        <v>45</v>
      </c>
      <c r="E13" s="1" t="s">
        <v>87</v>
      </c>
      <c r="F13" s="1" t="s">
        <v>88</v>
      </c>
      <c r="G13" s="5" t="s">
        <v>55</v>
      </c>
      <c r="H13" s="6">
        <v>399.02</v>
      </c>
      <c r="I13" s="6">
        <v>99.76</v>
      </c>
      <c r="J13" s="1" t="s">
        <v>77</v>
      </c>
      <c r="K13" s="1" t="s">
        <v>78</v>
      </c>
      <c r="L13" s="7">
        <v>46023</v>
      </c>
      <c r="M13" s="8"/>
      <c r="N13" s="9">
        <v>330</v>
      </c>
      <c r="O13" s="1" t="s">
        <v>89</v>
      </c>
      <c r="P13" s="8"/>
    </row>
    <row r="14" spans="1:17" ht="25.5" x14ac:dyDescent="0.25">
      <c r="A14" s="1" t="s">
        <v>42</v>
      </c>
      <c r="B14" s="4" t="s">
        <v>43</v>
      </c>
      <c r="C14" s="1" t="s">
        <v>52</v>
      </c>
      <c r="D14" s="1" t="s">
        <v>45</v>
      </c>
      <c r="E14" s="1" t="s">
        <v>90</v>
      </c>
      <c r="F14" s="1" t="s">
        <v>91</v>
      </c>
      <c r="G14" s="5" t="s">
        <v>55</v>
      </c>
      <c r="H14" s="6">
        <v>125.08</v>
      </c>
      <c r="I14" s="6">
        <v>12.51</v>
      </c>
      <c r="J14" s="1" t="s">
        <v>92</v>
      </c>
      <c r="K14" s="1" t="s">
        <v>93</v>
      </c>
      <c r="L14" s="7">
        <v>46023</v>
      </c>
      <c r="M14" s="8"/>
      <c r="N14" s="9">
        <v>89</v>
      </c>
      <c r="O14" s="1" t="s">
        <v>94</v>
      </c>
      <c r="P14" s="8"/>
    </row>
    <row r="15" spans="1:17" x14ac:dyDescent="0.25">
      <c r="A15" s="1" t="s">
        <v>42</v>
      </c>
      <c r="B15" s="4" t="s">
        <v>43</v>
      </c>
      <c r="C15" s="1" t="s">
        <v>95</v>
      </c>
      <c r="D15" s="1" t="s">
        <v>96</v>
      </c>
      <c r="E15" s="1" t="s">
        <v>97</v>
      </c>
      <c r="F15" s="1" t="s">
        <v>98</v>
      </c>
      <c r="G15" s="5" t="s">
        <v>55</v>
      </c>
      <c r="H15" s="6">
        <v>215.74</v>
      </c>
      <c r="I15" s="6">
        <v>53.94</v>
      </c>
      <c r="J15" s="1" t="s">
        <v>99</v>
      </c>
      <c r="K15" s="1" t="s">
        <v>100</v>
      </c>
      <c r="L15" s="7">
        <v>46023</v>
      </c>
      <c r="M15" s="8"/>
      <c r="N15" s="9">
        <v>364</v>
      </c>
      <c r="O15" s="1" t="s">
        <v>101</v>
      </c>
      <c r="P15" s="8"/>
    </row>
    <row r="16" spans="1:17" ht="25.5" x14ac:dyDescent="0.25">
      <c r="A16" s="1" t="s">
        <v>42</v>
      </c>
      <c r="B16" s="4" t="s">
        <v>43</v>
      </c>
      <c r="C16" s="1" t="s">
        <v>52</v>
      </c>
      <c r="D16" s="1" t="s">
        <v>45</v>
      </c>
      <c r="E16" s="1" t="s">
        <v>102</v>
      </c>
      <c r="F16" s="1" t="s">
        <v>103</v>
      </c>
      <c r="G16" s="5" t="s">
        <v>104</v>
      </c>
      <c r="H16" s="6">
        <v>712.73</v>
      </c>
      <c r="I16" s="6">
        <v>178.19</v>
      </c>
      <c r="J16" s="1" t="s">
        <v>105</v>
      </c>
      <c r="K16" s="1" t="s">
        <v>106</v>
      </c>
      <c r="L16" s="7">
        <v>46025</v>
      </c>
      <c r="M16" s="8"/>
      <c r="N16" s="9">
        <v>364</v>
      </c>
      <c r="O16" s="1" t="s">
        <v>107</v>
      </c>
      <c r="P16" s="8"/>
    </row>
    <row r="17" spans="1:16" ht="25.5" x14ac:dyDescent="0.25">
      <c r="A17" s="1" t="s">
        <v>42</v>
      </c>
      <c r="B17" s="4" t="s">
        <v>43</v>
      </c>
      <c r="C17" s="1" t="s">
        <v>52</v>
      </c>
      <c r="D17" s="1" t="s">
        <v>45</v>
      </c>
      <c r="E17" s="1" t="s">
        <v>108</v>
      </c>
      <c r="F17" s="1" t="s">
        <v>109</v>
      </c>
      <c r="G17" s="5" t="s">
        <v>104</v>
      </c>
      <c r="H17" s="6">
        <v>390.72</v>
      </c>
      <c r="I17" s="6">
        <v>62.52</v>
      </c>
      <c r="J17" s="1" t="s">
        <v>110</v>
      </c>
      <c r="K17" s="1" t="s">
        <v>111</v>
      </c>
      <c r="L17" s="7">
        <v>46025</v>
      </c>
      <c r="M17" s="8"/>
      <c r="N17" s="9">
        <v>364</v>
      </c>
      <c r="O17" s="1" t="s">
        <v>112</v>
      </c>
      <c r="P17" s="8"/>
    </row>
    <row r="18" spans="1:16" ht="25.5" x14ac:dyDescent="0.25">
      <c r="A18" s="1" t="s">
        <v>42</v>
      </c>
      <c r="B18" s="4" t="s">
        <v>43</v>
      </c>
      <c r="C18" s="1" t="s">
        <v>52</v>
      </c>
      <c r="D18" s="1" t="s">
        <v>45</v>
      </c>
      <c r="E18" s="1" t="s">
        <v>113</v>
      </c>
      <c r="F18" s="1" t="s">
        <v>114</v>
      </c>
      <c r="G18" s="5" t="s">
        <v>115</v>
      </c>
      <c r="H18" s="6">
        <v>59.43</v>
      </c>
      <c r="I18" s="6">
        <v>14.86</v>
      </c>
      <c r="J18" s="1" t="s">
        <v>116</v>
      </c>
      <c r="K18" s="1" t="s">
        <v>15</v>
      </c>
      <c r="L18" s="7">
        <v>46028</v>
      </c>
      <c r="M18" s="8"/>
      <c r="N18" s="9">
        <v>90</v>
      </c>
      <c r="O18" s="1" t="s">
        <v>117</v>
      </c>
      <c r="P18" s="8"/>
    </row>
    <row r="19" spans="1:16" s="16" customFormat="1" ht="25.5" x14ac:dyDescent="0.25">
      <c r="A19" s="11" t="s">
        <v>42</v>
      </c>
      <c r="B19" s="12" t="s">
        <v>43</v>
      </c>
      <c r="C19" s="11" t="s">
        <v>52</v>
      </c>
      <c r="D19" s="11" t="s">
        <v>45</v>
      </c>
      <c r="E19" s="11" t="s">
        <v>118</v>
      </c>
      <c r="F19" s="11" t="s">
        <v>119</v>
      </c>
      <c r="G19" s="13" t="s">
        <v>120</v>
      </c>
      <c r="H19" s="14">
        <v>385.81</v>
      </c>
      <c r="I19" s="14">
        <v>84.88</v>
      </c>
      <c r="J19" s="11" t="s">
        <v>121</v>
      </c>
      <c r="K19" s="11" t="s">
        <v>122</v>
      </c>
      <c r="L19" s="15">
        <v>46029</v>
      </c>
      <c r="M19" s="23"/>
      <c r="N19" s="39">
        <v>364</v>
      </c>
      <c r="O19" s="11" t="s">
        <v>123</v>
      </c>
      <c r="P19" s="23"/>
    </row>
    <row r="20" spans="1:16" x14ac:dyDescent="0.25">
      <c r="A20" s="1" t="s">
        <v>42</v>
      </c>
      <c r="B20" s="4" t="s">
        <v>43</v>
      </c>
      <c r="C20" s="1" t="s">
        <v>95</v>
      </c>
      <c r="D20" s="1" t="s">
        <v>96</v>
      </c>
      <c r="E20" s="1" t="s">
        <v>124</v>
      </c>
      <c r="F20" s="1" t="s">
        <v>125</v>
      </c>
      <c r="G20" s="5" t="s">
        <v>55</v>
      </c>
      <c r="H20" s="6">
        <v>259.79000000000002</v>
      </c>
      <c r="I20" s="6">
        <v>64.95</v>
      </c>
      <c r="J20" s="1" t="s">
        <v>77</v>
      </c>
      <c r="K20" s="1" t="s">
        <v>78</v>
      </c>
      <c r="L20" s="7">
        <v>46023</v>
      </c>
      <c r="M20" s="8"/>
      <c r="N20" s="9">
        <v>364</v>
      </c>
      <c r="O20" s="1" t="s">
        <v>126</v>
      </c>
      <c r="P20" s="8"/>
    </row>
    <row r="21" spans="1:16" x14ac:dyDescent="0.25">
      <c r="A21" s="1" t="s">
        <v>42</v>
      </c>
      <c r="B21" s="4" t="s">
        <v>43</v>
      </c>
      <c r="C21" s="1" t="s">
        <v>73</v>
      </c>
      <c r="D21" s="1" t="s">
        <v>74</v>
      </c>
      <c r="E21" s="1" t="s">
        <v>127</v>
      </c>
      <c r="F21" s="1" t="s">
        <v>128</v>
      </c>
      <c r="G21" s="5" t="s">
        <v>129</v>
      </c>
      <c r="H21" s="6">
        <v>28.1</v>
      </c>
      <c r="I21" s="6">
        <v>3.65</v>
      </c>
      <c r="J21" s="1" t="s">
        <v>130</v>
      </c>
      <c r="K21" s="1" t="s">
        <v>131</v>
      </c>
      <c r="L21" s="7">
        <v>45637</v>
      </c>
      <c r="M21" s="8"/>
      <c r="N21" s="8"/>
      <c r="O21" s="1" t="s">
        <v>132</v>
      </c>
      <c r="P21" s="8"/>
    </row>
    <row r="22" spans="1:16" x14ac:dyDescent="0.25">
      <c r="A22" s="1" t="s">
        <v>42</v>
      </c>
      <c r="B22" s="4" t="s">
        <v>43</v>
      </c>
      <c r="C22" s="1" t="s">
        <v>95</v>
      </c>
      <c r="D22" s="1" t="s">
        <v>96</v>
      </c>
      <c r="E22" s="1" t="s">
        <v>133</v>
      </c>
      <c r="F22" s="1" t="s">
        <v>134</v>
      </c>
      <c r="G22" s="5" t="s">
        <v>135</v>
      </c>
      <c r="H22" s="6">
        <v>-17.37</v>
      </c>
      <c r="I22" s="6">
        <v>-4.34</v>
      </c>
      <c r="J22" s="1" t="s">
        <v>77</v>
      </c>
      <c r="K22" s="1" t="s">
        <v>78</v>
      </c>
      <c r="L22" s="7">
        <v>45936</v>
      </c>
      <c r="M22" s="7">
        <v>46023</v>
      </c>
      <c r="N22" s="9">
        <v>123</v>
      </c>
      <c r="O22" s="1" t="s">
        <v>136</v>
      </c>
      <c r="P22" s="8"/>
    </row>
    <row r="23" spans="1:16" ht="25.5" x14ac:dyDescent="0.25">
      <c r="A23" s="1" t="s">
        <v>42</v>
      </c>
      <c r="B23" s="4" t="s">
        <v>43</v>
      </c>
      <c r="C23" s="1" t="s">
        <v>137</v>
      </c>
      <c r="D23" s="1" t="s">
        <v>138</v>
      </c>
      <c r="E23" s="1" t="s">
        <v>139</v>
      </c>
      <c r="F23" s="1" t="s">
        <v>140</v>
      </c>
      <c r="G23" s="5" t="s">
        <v>141</v>
      </c>
      <c r="H23" s="6">
        <v>322.67</v>
      </c>
      <c r="I23" s="6">
        <v>80.67</v>
      </c>
      <c r="J23" s="1" t="s">
        <v>142</v>
      </c>
      <c r="K23" s="1" t="s">
        <v>143</v>
      </c>
      <c r="L23" s="7">
        <v>45938</v>
      </c>
      <c r="M23" s="7">
        <v>46060</v>
      </c>
      <c r="N23" s="9">
        <v>123</v>
      </c>
      <c r="O23" s="1" t="s">
        <v>144</v>
      </c>
      <c r="P23" s="8"/>
    </row>
    <row r="24" spans="1:16" ht="25.5" x14ac:dyDescent="0.25">
      <c r="A24" s="1" t="s">
        <v>42</v>
      </c>
      <c r="B24" s="4" t="s">
        <v>43</v>
      </c>
      <c r="C24" s="1" t="s">
        <v>52</v>
      </c>
      <c r="D24" s="1" t="s">
        <v>45</v>
      </c>
      <c r="E24" s="1" t="s">
        <v>145</v>
      </c>
      <c r="F24" s="1" t="s">
        <v>146</v>
      </c>
      <c r="G24" s="5" t="s">
        <v>147</v>
      </c>
      <c r="H24" s="6">
        <v>-37.369999999999997</v>
      </c>
      <c r="I24" s="6">
        <v>-9.34</v>
      </c>
      <c r="J24" s="1" t="s">
        <v>148</v>
      </c>
      <c r="K24" s="1" t="s">
        <v>149</v>
      </c>
      <c r="L24" s="7">
        <v>45888</v>
      </c>
      <c r="M24" s="7">
        <v>46035</v>
      </c>
      <c r="N24" s="9">
        <v>180</v>
      </c>
      <c r="O24" s="1" t="s">
        <v>150</v>
      </c>
      <c r="P24" s="8"/>
    </row>
    <row r="25" spans="1:16" ht="25.5" x14ac:dyDescent="0.25">
      <c r="A25" s="1" t="s">
        <v>42</v>
      </c>
      <c r="B25" s="4" t="s">
        <v>43</v>
      </c>
      <c r="C25" s="1" t="s">
        <v>52</v>
      </c>
      <c r="D25" s="1" t="s">
        <v>45</v>
      </c>
      <c r="E25" s="1" t="s">
        <v>151</v>
      </c>
      <c r="F25" s="1" t="s">
        <v>152</v>
      </c>
      <c r="G25" s="5" t="s">
        <v>55</v>
      </c>
      <c r="H25" s="6">
        <v>213.85</v>
      </c>
      <c r="I25" s="6">
        <v>53.46</v>
      </c>
      <c r="J25" s="1" t="s">
        <v>65</v>
      </c>
      <c r="K25" s="1" t="s">
        <v>66</v>
      </c>
      <c r="L25" s="7">
        <v>45962</v>
      </c>
      <c r="M25" s="8"/>
      <c r="N25" s="9">
        <v>364</v>
      </c>
      <c r="O25" s="1" t="s">
        <v>153</v>
      </c>
      <c r="P25" s="8"/>
    </row>
    <row r="26" spans="1:16" ht="25.5" x14ac:dyDescent="0.25">
      <c r="A26" s="1" t="s">
        <v>42</v>
      </c>
      <c r="B26" s="4" t="s">
        <v>43</v>
      </c>
      <c r="C26" s="1" t="s">
        <v>137</v>
      </c>
      <c r="D26" s="1" t="s">
        <v>138</v>
      </c>
      <c r="E26" s="1" t="s">
        <v>154</v>
      </c>
      <c r="F26" s="1" t="s">
        <v>155</v>
      </c>
      <c r="G26" s="5" t="s">
        <v>141</v>
      </c>
      <c r="H26" s="6">
        <v>506.33</v>
      </c>
      <c r="I26" s="6">
        <v>126.58</v>
      </c>
      <c r="J26" s="1" t="s">
        <v>156</v>
      </c>
      <c r="K26" s="1" t="s">
        <v>157</v>
      </c>
      <c r="L26" s="7">
        <v>45938</v>
      </c>
      <c r="M26" s="8"/>
      <c r="N26" s="9">
        <v>364</v>
      </c>
      <c r="O26" s="1" t="s">
        <v>158</v>
      </c>
      <c r="P26" s="8"/>
    </row>
    <row r="27" spans="1:16" ht="25.5" x14ac:dyDescent="0.25">
      <c r="A27" s="1" t="s">
        <v>42</v>
      </c>
      <c r="B27" s="4" t="s">
        <v>43</v>
      </c>
      <c r="C27" s="1" t="s">
        <v>52</v>
      </c>
      <c r="D27" s="1" t="s">
        <v>45</v>
      </c>
      <c r="E27" s="1" t="s">
        <v>159</v>
      </c>
      <c r="F27" s="1" t="s">
        <v>160</v>
      </c>
      <c r="G27" s="5" t="s">
        <v>55</v>
      </c>
      <c r="H27" s="6">
        <v>622.70000000000005</v>
      </c>
      <c r="I27" s="6">
        <v>62.27</v>
      </c>
      <c r="J27" s="1" t="s">
        <v>92</v>
      </c>
      <c r="K27" s="1" t="s">
        <v>93</v>
      </c>
      <c r="L27" s="7">
        <v>46023</v>
      </c>
      <c r="M27" s="8"/>
      <c r="N27" s="9">
        <v>90</v>
      </c>
      <c r="O27" s="1" t="s">
        <v>161</v>
      </c>
      <c r="P27" s="8"/>
    </row>
    <row r="28" spans="1:16" ht="25.5" x14ac:dyDescent="0.25">
      <c r="A28" s="1" t="s">
        <v>42</v>
      </c>
      <c r="B28" s="4" t="s">
        <v>43</v>
      </c>
      <c r="C28" s="1" t="s">
        <v>52</v>
      </c>
      <c r="D28" s="1" t="s">
        <v>45</v>
      </c>
      <c r="E28" s="1" t="s">
        <v>162</v>
      </c>
      <c r="F28" s="1" t="s">
        <v>163</v>
      </c>
      <c r="G28" s="5" t="s">
        <v>164</v>
      </c>
      <c r="H28" s="6">
        <v>103.99</v>
      </c>
      <c r="I28" s="6">
        <v>26</v>
      </c>
      <c r="J28" s="1" t="s">
        <v>165</v>
      </c>
      <c r="K28" s="1" t="s">
        <v>166</v>
      </c>
      <c r="L28" s="7">
        <v>45979</v>
      </c>
      <c r="M28" s="8"/>
      <c r="N28" s="9">
        <v>90</v>
      </c>
      <c r="O28" s="1" t="s">
        <v>167</v>
      </c>
      <c r="P28" s="8"/>
    </row>
    <row r="29" spans="1:16" ht="25.5" x14ac:dyDescent="0.25">
      <c r="A29" s="1" t="s">
        <v>42</v>
      </c>
      <c r="B29" s="4" t="s">
        <v>43</v>
      </c>
      <c r="C29" s="1" t="s">
        <v>52</v>
      </c>
      <c r="D29" s="1" t="s">
        <v>45</v>
      </c>
      <c r="E29" s="1" t="s">
        <v>162</v>
      </c>
      <c r="F29" s="1" t="s">
        <v>163</v>
      </c>
      <c r="G29" s="5" t="s">
        <v>168</v>
      </c>
      <c r="H29" s="6">
        <v>103.99</v>
      </c>
      <c r="I29" s="6">
        <v>26</v>
      </c>
      <c r="J29" s="1" t="s">
        <v>165</v>
      </c>
      <c r="K29" s="1" t="s">
        <v>166</v>
      </c>
      <c r="L29" s="7">
        <v>45979</v>
      </c>
      <c r="M29" s="8"/>
      <c r="N29" s="9">
        <v>90</v>
      </c>
      <c r="O29" s="1" t="s">
        <v>167</v>
      </c>
      <c r="P29" s="8"/>
    </row>
    <row r="30" spans="1:16" x14ac:dyDescent="0.25">
      <c r="A30" s="1" t="s">
        <v>42</v>
      </c>
      <c r="B30" s="4" t="s">
        <v>43</v>
      </c>
      <c r="C30" s="1" t="s">
        <v>95</v>
      </c>
      <c r="D30" s="1" t="s">
        <v>96</v>
      </c>
      <c r="E30" s="1" t="s">
        <v>169</v>
      </c>
      <c r="F30" s="1" t="s">
        <v>170</v>
      </c>
      <c r="G30" s="5" t="s">
        <v>171</v>
      </c>
      <c r="H30" s="6">
        <v>190.29</v>
      </c>
      <c r="I30" s="6">
        <v>47.58</v>
      </c>
      <c r="J30" s="1" t="s">
        <v>172</v>
      </c>
      <c r="K30" s="1" t="s">
        <v>173</v>
      </c>
      <c r="L30" s="7">
        <v>45982</v>
      </c>
      <c r="M30" s="7">
        <v>46101</v>
      </c>
      <c r="N30" s="9">
        <v>120</v>
      </c>
      <c r="O30" s="1" t="s">
        <v>174</v>
      </c>
      <c r="P30" s="8"/>
    </row>
    <row r="31" spans="1:16" x14ac:dyDescent="0.25">
      <c r="A31" s="1" t="s">
        <v>42</v>
      </c>
      <c r="B31" s="4" t="s">
        <v>43</v>
      </c>
      <c r="C31" s="1" t="s">
        <v>95</v>
      </c>
      <c r="D31" s="1" t="s">
        <v>96</v>
      </c>
      <c r="E31" s="1" t="s">
        <v>169</v>
      </c>
      <c r="F31" s="1" t="s">
        <v>170</v>
      </c>
      <c r="G31" s="5" t="s">
        <v>175</v>
      </c>
      <c r="H31" s="6">
        <v>190.29</v>
      </c>
      <c r="I31" s="6">
        <v>47.58</v>
      </c>
      <c r="J31" s="1" t="s">
        <v>172</v>
      </c>
      <c r="K31" s="1" t="s">
        <v>173</v>
      </c>
      <c r="L31" s="7">
        <v>45982</v>
      </c>
      <c r="M31" s="7">
        <v>46101</v>
      </c>
      <c r="N31" s="9">
        <v>120</v>
      </c>
      <c r="O31" s="1" t="s">
        <v>174</v>
      </c>
      <c r="P31" s="8"/>
    </row>
    <row r="32" spans="1:16" ht="25.5" x14ac:dyDescent="0.25">
      <c r="A32" s="1" t="s">
        <v>42</v>
      </c>
      <c r="B32" s="4" t="s">
        <v>43</v>
      </c>
      <c r="C32" s="1" t="s">
        <v>44</v>
      </c>
      <c r="D32" s="1" t="s">
        <v>45</v>
      </c>
      <c r="E32" s="1" t="s">
        <v>176</v>
      </c>
      <c r="F32" s="1" t="s">
        <v>177</v>
      </c>
      <c r="G32" s="5" t="s">
        <v>55</v>
      </c>
      <c r="H32" s="6">
        <v>275.43</v>
      </c>
      <c r="I32" s="6">
        <v>68.86</v>
      </c>
      <c r="J32" s="1" t="s">
        <v>77</v>
      </c>
      <c r="K32" s="1" t="s">
        <v>78</v>
      </c>
      <c r="L32" s="7">
        <v>45992</v>
      </c>
      <c r="M32" s="8"/>
      <c r="N32" s="9">
        <v>180</v>
      </c>
      <c r="O32" s="1" t="s">
        <v>178</v>
      </c>
      <c r="P32" s="8"/>
    </row>
    <row r="33" spans="1:16" ht="25.5" x14ac:dyDescent="0.25">
      <c r="A33" s="1" t="s">
        <v>42</v>
      </c>
      <c r="B33" s="4" t="s">
        <v>43</v>
      </c>
      <c r="C33" s="1" t="s">
        <v>44</v>
      </c>
      <c r="D33" s="1" t="s">
        <v>45</v>
      </c>
      <c r="E33" s="1" t="s">
        <v>176</v>
      </c>
      <c r="F33" s="1" t="s">
        <v>177</v>
      </c>
      <c r="G33" s="5" t="s">
        <v>179</v>
      </c>
      <c r="H33" s="6">
        <v>275.43</v>
      </c>
      <c r="I33" s="6">
        <v>68.86</v>
      </c>
      <c r="J33" s="1" t="s">
        <v>77</v>
      </c>
      <c r="K33" s="1" t="s">
        <v>78</v>
      </c>
      <c r="L33" s="7">
        <v>45992</v>
      </c>
      <c r="M33" s="8"/>
      <c r="N33" s="9">
        <v>180</v>
      </c>
      <c r="O33" s="1" t="s">
        <v>178</v>
      </c>
      <c r="P33" s="8"/>
    </row>
    <row r="34" spans="1:16" x14ac:dyDescent="0.25">
      <c r="A34" s="1" t="s">
        <v>42</v>
      </c>
      <c r="B34" s="4" t="s">
        <v>43</v>
      </c>
      <c r="C34" s="1" t="s">
        <v>180</v>
      </c>
      <c r="D34" s="1" t="s">
        <v>96</v>
      </c>
      <c r="E34" s="1" t="s">
        <v>181</v>
      </c>
      <c r="F34" s="1" t="s">
        <v>182</v>
      </c>
      <c r="G34" s="5" t="s">
        <v>179</v>
      </c>
      <c r="H34" s="6">
        <v>197.28</v>
      </c>
      <c r="I34" s="6">
        <v>43.4</v>
      </c>
      <c r="J34" s="1" t="s">
        <v>183</v>
      </c>
      <c r="K34" s="1" t="s">
        <v>184</v>
      </c>
      <c r="L34" s="7">
        <v>45992</v>
      </c>
      <c r="M34" s="7">
        <v>46022</v>
      </c>
      <c r="N34" s="9">
        <v>121</v>
      </c>
      <c r="O34" s="1" t="s">
        <v>185</v>
      </c>
      <c r="P34" s="8"/>
    </row>
    <row r="35" spans="1:16" x14ac:dyDescent="0.25">
      <c r="A35" s="1" t="s">
        <v>42</v>
      </c>
      <c r="B35" s="4" t="s">
        <v>43</v>
      </c>
      <c r="C35" s="1" t="s">
        <v>95</v>
      </c>
      <c r="D35" s="1" t="s">
        <v>96</v>
      </c>
      <c r="E35" s="1" t="s">
        <v>186</v>
      </c>
      <c r="F35" s="1" t="s">
        <v>187</v>
      </c>
      <c r="G35" s="5" t="s">
        <v>188</v>
      </c>
      <c r="H35" s="6">
        <v>298.56</v>
      </c>
      <c r="I35" s="6">
        <v>74.64</v>
      </c>
      <c r="J35" s="1" t="s">
        <v>189</v>
      </c>
      <c r="K35" s="1" t="s">
        <v>190</v>
      </c>
      <c r="L35" s="7">
        <v>45993</v>
      </c>
      <c r="M35" s="7">
        <v>46113</v>
      </c>
      <c r="N35" s="9">
        <v>121</v>
      </c>
      <c r="O35" s="1" t="s">
        <v>191</v>
      </c>
      <c r="P35" s="8"/>
    </row>
    <row r="36" spans="1:16" x14ac:dyDescent="0.25">
      <c r="A36" s="1" t="s">
        <v>42</v>
      </c>
      <c r="B36" s="4" t="s">
        <v>43</v>
      </c>
      <c r="C36" s="1" t="s">
        <v>95</v>
      </c>
      <c r="D36" s="1" t="s">
        <v>96</v>
      </c>
      <c r="E36" s="1" t="s">
        <v>186</v>
      </c>
      <c r="F36" s="1" t="s">
        <v>187</v>
      </c>
      <c r="G36" s="5" t="s">
        <v>192</v>
      </c>
      <c r="H36" s="6">
        <v>298.56</v>
      </c>
      <c r="I36" s="6">
        <v>74.64</v>
      </c>
      <c r="J36" s="1" t="s">
        <v>189</v>
      </c>
      <c r="K36" s="1" t="s">
        <v>190</v>
      </c>
      <c r="L36" s="7">
        <v>45993</v>
      </c>
      <c r="M36" s="7">
        <v>46113</v>
      </c>
      <c r="N36" s="9">
        <v>121</v>
      </c>
      <c r="O36" s="1" t="s">
        <v>191</v>
      </c>
      <c r="P36" s="8"/>
    </row>
    <row r="37" spans="1:16" ht="25.5" x14ac:dyDescent="0.25">
      <c r="A37" s="1" t="s">
        <v>42</v>
      </c>
      <c r="B37" s="4" t="s">
        <v>43</v>
      </c>
      <c r="C37" s="1" t="s">
        <v>52</v>
      </c>
      <c r="D37" s="1" t="s">
        <v>45</v>
      </c>
      <c r="E37" s="1" t="s">
        <v>193</v>
      </c>
      <c r="F37" s="1" t="s">
        <v>194</v>
      </c>
      <c r="G37" s="5" t="s">
        <v>192</v>
      </c>
      <c r="H37" s="6">
        <v>357.77</v>
      </c>
      <c r="I37" s="6">
        <v>89.45</v>
      </c>
      <c r="J37" s="1" t="s">
        <v>116</v>
      </c>
      <c r="K37" s="1" t="s">
        <v>15</v>
      </c>
      <c r="L37" s="7">
        <v>45993</v>
      </c>
      <c r="M37" s="7">
        <v>46023</v>
      </c>
      <c r="N37" s="9">
        <v>90</v>
      </c>
      <c r="O37" s="1" t="s">
        <v>195</v>
      </c>
      <c r="P37" s="8"/>
    </row>
    <row r="38" spans="1:16" x14ac:dyDescent="0.25">
      <c r="A38" s="1" t="s">
        <v>42</v>
      </c>
      <c r="B38" s="4" t="s">
        <v>43</v>
      </c>
      <c r="C38" s="1" t="s">
        <v>180</v>
      </c>
      <c r="D38" s="1" t="s">
        <v>96</v>
      </c>
      <c r="E38" s="1" t="s">
        <v>196</v>
      </c>
      <c r="F38" s="1" t="s">
        <v>197</v>
      </c>
      <c r="G38" s="5" t="s">
        <v>168</v>
      </c>
      <c r="H38" s="6">
        <v>244.92</v>
      </c>
      <c r="I38" s="6">
        <v>61.23</v>
      </c>
      <c r="J38" s="1" t="s">
        <v>198</v>
      </c>
      <c r="K38" s="1" t="s">
        <v>199</v>
      </c>
      <c r="L38" s="7">
        <v>46009</v>
      </c>
      <c r="M38" s="8"/>
      <c r="N38" s="9">
        <v>364</v>
      </c>
      <c r="O38" s="1" t="s">
        <v>200</v>
      </c>
      <c r="P38" s="8"/>
    </row>
    <row r="39" spans="1:16" x14ac:dyDescent="0.25">
      <c r="A39" s="1" t="s">
        <v>42</v>
      </c>
      <c r="B39" s="4" t="s">
        <v>43</v>
      </c>
      <c r="C39" s="1" t="s">
        <v>95</v>
      </c>
      <c r="D39" s="1" t="s">
        <v>96</v>
      </c>
      <c r="E39" s="1" t="s">
        <v>201</v>
      </c>
      <c r="F39" s="1" t="s">
        <v>202</v>
      </c>
      <c r="G39" s="5" t="s">
        <v>55</v>
      </c>
      <c r="H39" s="6">
        <v>1294.49</v>
      </c>
      <c r="I39" s="6">
        <v>129.44999999999999</v>
      </c>
      <c r="J39" s="1" t="s">
        <v>92</v>
      </c>
      <c r="K39" s="1" t="s">
        <v>93</v>
      </c>
      <c r="L39" s="7">
        <v>46023</v>
      </c>
      <c r="M39" s="8"/>
      <c r="N39" s="9">
        <v>364</v>
      </c>
      <c r="O39" s="1" t="s">
        <v>203</v>
      </c>
      <c r="P39" s="8"/>
    </row>
    <row r="40" spans="1:16" x14ac:dyDescent="0.25">
      <c r="A40" s="1" t="s">
        <v>42</v>
      </c>
      <c r="B40" s="4" t="s">
        <v>43</v>
      </c>
      <c r="C40" s="1" t="s">
        <v>95</v>
      </c>
      <c r="D40" s="1" t="s">
        <v>96</v>
      </c>
      <c r="E40" s="1" t="s">
        <v>204</v>
      </c>
      <c r="F40" s="1" t="s">
        <v>205</v>
      </c>
      <c r="G40" s="5" t="s">
        <v>55</v>
      </c>
      <c r="H40" s="6">
        <v>486.21</v>
      </c>
      <c r="I40" s="6">
        <v>121.55</v>
      </c>
      <c r="J40" s="1" t="s">
        <v>65</v>
      </c>
      <c r="K40" s="1" t="s">
        <v>66</v>
      </c>
      <c r="L40" s="7">
        <v>46023</v>
      </c>
      <c r="M40" s="7">
        <v>46252</v>
      </c>
      <c r="N40" s="9">
        <v>230</v>
      </c>
      <c r="O40" s="1" t="s">
        <v>206</v>
      </c>
      <c r="P40" s="8"/>
    </row>
    <row r="41" spans="1:16" ht="25.5" x14ac:dyDescent="0.25">
      <c r="A41" s="1" t="s">
        <v>42</v>
      </c>
      <c r="B41" s="4" t="s">
        <v>43</v>
      </c>
      <c r="C41" s="1" t="s">
        <v>44</v>
      </c>
      <c r="D41" s="1" t="s">
        <v>45</v>
      </c>
      <c r="E41" s="1" t="s">
        <v>207</v>
      </c>
      <c r="F41" s="1" t="s">
        <v>208</v>
      </c>
      <c r="G41" s="5" t="s">
        <v>55</v>
      </c>
      <c r="H41" s="6">
        <v>347.06</v>
      </c>
      <c r="I41" s="6">
        <v>86.77</v>
      </c>
      <c r="J41" s="1" t="s">
        <v>77</v>
      </c>
      <c r="K41" s="1" t="s">
        <v>78</v>
      </c>
      <c r="L41" s="7">
        <v>46023</v>
      </c>
      <c r="M41" s="7">
        <v>46352</v>
      </c>
      <c r="N41" s="9">
        <v>330</v>
      </c>
      <c r="O41" s="1" t="s">
        <v>209</v>
      </c>
      <c r="P41" s="8"/>
    </row>
    <row r="42" spans="1:16" x14ac:dyDescent="0.25">
      <c r="A42" s="1" t="s">
        <v>42</v>
      </c>
      <c r="B42" s="4" t="s">
        <v>43</v>
      </c>
      <c r="C42" s="1" t="s">
        <v>180</v>
      </c>
      <c r="D42" s="1" t="s">
        <v>96</v>
      </c>
      <c r="E42" s="1" t="s">
        <v>210</v>
      </c>
      <c r="F42" s="1" t="s">
        <v>211</v>
      </c>
      <c r="G42" s="5" t="s">
        <v>55</v>
      </c>
      <c r="H42" s="6">
        <v>394.24</v>
      </c>
      <c r="I42" s="6">
        <v>98.56</v>
      </c>
      <c r="J42" s="1" t="s">
        <v>183</v>
      </c>
      <c r="K42" s="1" t="s">
        <v>184</v>
      </c>
      <c r="L42" s="7">
        <v>46023</v>
      </c>
      <c r="M42" s="7">
        <v>46160</v>
      </c>
      <c r="N42" s="9">
        <v>138</v>
      </c>
      <c r="O42" s="1" t="s">
        <v>212</v>
      </c>
      <c r="P42" s="8"/>
    </row>
    <row r="43" spans="1:16" x14ac:dyDescent="0.25">
      <c r="A43" s="1" t="s">
        <v>42</v>
      </c>
      <c r="B43" s="4" t="s">
        <v>43</v>
      </c>
      <c r="C43" s="1" t="s">
        <v>213</v>
      </c>
      <c r="D43" s="1" t="s">
        <v>96</v>
      </c>
      <c r="E43" s="1" t="s">
        <v>214</v>
      </c>
      <c r="F43" s="1" t="s">
        <v>215</v>
      </c>
      <c r="G43" s="5" t="s">
        <v>147</v>
      </c>
      <c r="H43" s="6">
        <v>366.59</v>
      </c>
      <c r="I43" s="6">
        <v>91.65</v>
      </c>
      <c r="J43" s="1" t="s">
        <v>105</v>
      </c>
      <c r="K43" s="1" t="s">
        <v>106</v>
      </c>
      <c r="L43" s="7">
        <v>46010</v>
      </c>
      <c r="M43" s="8"/>
      <c r="N43" s="9">
        <v>364</v>
      </c>
      <c r="O43" s="1" t="s">
        <v>216</v>
      </c>
      <c r="P43" s="8"/>
    </row>
    <row r="44" spans="1:16" ht="25.5" x14ac:dyDescent="0.25">
      <c r="A44" s="1" t="s">
        <v>42</v>
      </c>
      <c r="B44" s="4" t="s">
        <v>43</v>
      </c>
      <c r="C44" s="1" t="s">
        <v>52</v>
      </c>
      <c r="D44" s="1" t="s">
        <v>45</v>
      </c>
      <c r="E44" s="1" t="s">
        <v>217</v>
      </c>
      <c r="F44" s="1" t="s">
        <v>218</v>
      </c>
      <c r="G44" s="5" t="s">
        <v>55</v>
      </c>
      <c r="H44" s="6">
        <v>56.03</v>
      </c>
      <c r="I44" s="6">
        <v>14.01</v>
      </c>
      <c r="J44" s="1" t="s">
        <v>84</v>
      </c>
      <c r="K44" s="1" t="s">
        <v>85</v>
      </c>
      <c r="L44" s="7">
        <v>46023</v>
      </c>
      <c r="M44" s="8"/>
      <c r="N44" s="9">
        <v>90</v>
      </c>
      <c r="O44" s="1" t="s">
        <v>219</v>
      </c>
      <c r="P44" s="8"/>
    </row>
    <row r="45" spans="1:16" x14ac:dyDescent="0.25">
      <c r="A45" s="1" t="s">
        <v>42</v>
      </c>
      <c r="B45" s="4" t="s">
        <v>43</v>
      </c>
      <c r="C45" s="1" t="s">
        <v>95</v>
      </c>
      <c r="D45" s="1" t="s">
        <v>96</v>
      </c>
      <c r="E45" s="1" t="s">
        <v>220</v>
      </c>
      <c r="F45" s="1" t="s">
        <v>221</v>
      </c>
      <c r="G45" s="5" t="s">
        <v>55</v>
      </c>
      <c r="H45" s="6">
        <v>414.08</v>
      </c>
      <c r="I45" s="6">
        <v>103.52</v>
      </c>
      <c r="J45" s="1" t="s">
        <v>99</v>
      </c>
      <c r="K45" s="1" t="s">
        <v>100</v>
      </c>
      <c r="L45" s="7">
        <v>46023</v>
      </c>
      <c r="M45" s="7">
        <v>46142</v>
      </c>
      <c r="N45" s="9">
        <v>120</v>
      </c>
      <c r="O45" s="1" t="s">
        <v>222</v>
      </c>
      <c r="P45" s="8"/>
    </row>
    <row r="46" spans="1:16" ht="25.5" x14ac:dyDescent="0.25">
      <c r="A46" s="1" t="s">
        <v>42</v>
      </c>
      <c r="B46" s="4" t="s">
        <v>43</v>
      </c>
      <c r="C46" s="1" t="s">
        <v>52</v>
      </c>
      <c r="D46" s="1" t="s">
        <v>45</v>
      </c>
      <c r="E46" s="1" t="s">
        <v>223</v>
      </c>
      <c r="F46" s="1" t="s">
        <v>224</v>
      </c>
      <c r="G46" s="5" t="s">
        <v>55</v>
      </c>
      <c r="H46" s="6">
        <v>545.76</v>
      </c>
      <c r="I46" s="6">
        <v>136.44</v>
      </c>
      <c r="J46" s="1" t="s">
        <v>49</v>
      </c>
      <c r="K46" s="1" t="s">
        <v>50</v>
      </c>
      <c r="L46" s="7">
        <v>46023</v>
      </c>
      <c r="M46" s="8"/>
      <c r="N46" s="9">
        <v>364</v>
      </c>
      <c r="O46" s="1" t="s">
        <v>225</v>
      </c>
      <c r="P46" s="8"/>
    </row>
    <row r="47" spans="1:16" ht="25.5" x14ac:dyDescent="0.25">
      <c r="A47" s="1" t="s">
        <v>42</v>
      </c>
      <c r="B47" s="4" t="s">
        <v>43</v>
      </c>
      <c r="C47" s="1" t="s">
        <v>44</v>
      </c>
      <c r="D47" s="1" t="s">
        <v>45</v>
      </c>
      <c r="E47" s="1" t="s">
        <v>226</v>
      </c>
      <c r="F47" s="1" t="s">
        <v>227</v>
      </c>
      <c r="G47" s="5" t="s">
        <v>55</v>
      </c>
      <c r="H47" s="6">
        <v>185.03</v>
      </c>
      <c r="I47" s="6">
        <v>46.26</v>
      </c>
      <c r="J47" s="1" t="s">
        <v>77</v>
      </c>
      <c r="K47" s="1" t="s">
        <v>78</v>
      </c>
      <c r="L47" s="7">
        <v>46023</v>
      </c>
      <c r="M47" s="7">
        <v>46352</v>
      </c>
      <c r="N47" s="9">
        <v>330</v>
      </c>
      <c r="O47" s="1" t="s">
        <v>228</v>
      </c>
      <c r="P47" s="8"/>
    </row>
    <row r="48" spans="1:16" ht="25.5" x14ac:dyDescent="0.25">
      <c r="A48" s="1" t="s">
        <v>42</v>
      </c>
      <c r="B48" s="4" t="s">
        <v>43</v>
      </c>
      <c r="C48" s="1" t="s">
        <v>52</v>
      </c>
      <c r="D48" s="1" t="s">
        <v>45</v>
      </c>
      <c r="E48" s="1" t="s">
        <v>229</v>
      </c>
      <c r="F48" s="1" t="s">
        <v>230</v>
      </c>
      <c r="G48" s="5" t="s">
        <v>231</v>
      </c>
      <c r="H48" s="6">
        <v>56.03</v>
      </c>
      <c r="I48" s="6">
        <v>14.01</v>
      </c>
      <c r="J48" s="1" t="s">
        <v>84</v>
      </c>
      <c r="K48" s="1" t="s">
        <v>85</v>
      </c>
      <c r="L48" s="7">
        <v>46005</v>
      </c>
      <c r="M48" s="8"/>
      <c r="N48" s="9">
        <v>90</v>
      </c>
      <c r="O48" s="1" t="s">
        <v>232</v>
      </c>
      <c r="P48" s="8"/>
    </row>
    <row r="49" spans="1:17" ht="25.5" x14ac:dyDescent="0.25">
      <c r="A49" s="1" t="s">
        <v>42</v>
      </c>
      <c r="B49" s="4" t="s">
        <v>43</v>
      </c>
      <c r="C49" s="1" t="s">
        <v>52</v>
      </c>
      <c r="D49" s="1" t="s">
        <v>45</v>
      </c>
      <c r="E49" s="1" t="s">
        <v>229</v>
      </c>
      <c r="F49" s="1" t="s">
        <v>230</v>
      </c>
      <c r="G49" s="5" t="s">
        <v>233</v>
      </c>
      <c r="H49" s="6">
        <v>56.03</v>
      </c>
      <c r="I49" s="6">
        <v>14.01</v>
      </c>
      <c r="J49" s="1" t="s">
        <v>84</v>
      </c>
      <c r="K49" s="1" t="s">
        <v>85</v>
      </c>
      <c r="L49" s="7">
        <v>46005</v>
      </c>
      <c r="M49" s="8"/>
      <c r="N49" s="9">
        <v>90</v>
      </c>
      <c r="O49" s="1" t="s">
        <v>232</v>
      </c>
      <c r="P49" s="8"/>
    </row>
    <row r="50" spans="1:17" ht="25.5" x14ac:dyDescent="0.25">
      <c r="A50" s="1" t="s">
        <v>42</v>
      </c>
      <c r="B50" s="4" t="s">
        <v>43</v>
      </c>
      <c r="C50" s="1" t="s">
        <v>52</v>
      </c>
      <c r="D50" s="1" t="s">
        <v>45</v>
      </c>
      <c r="E50" s="1" t="s">
        <v>234</v>
      </c>
      <c r="F50" s="1" t="s">
        <v>235</v>
      </c>
      <c r="G50" s="5" t="s">
        <v>236</v>
      </c>
      <c r="H50" s="6">
        <v>333.44</v>
      </c>
      <c r="I50" s="6">
        <v>83.36</v>
      </c>
      <c r="J50" s="1" t="s">
        <v>165</v>
      </c>
      <c r="K50" s="1" t="s">
        <v>166</v>
      </c>
      <c r="L50" s="7">
        <v>46022</v>
      </c>
      <c r="M50" s="8"/>
      <c r="N50" s="9">
        <v>90</v>
      </c>
      <c r="O50" s="1" t="s">
        <v>237</v>
      </c>
      <c r="P50" s="8"/>
    </row>
    <row r="51" spans="1:17" x14ac:dyDescent="0.25">
      <c r="A51" s="10" t="s">
        <v>238</v>
      </c>
      <c r="B51" s="4"/>
      <c r="C51" s="4"/>
      <c r="D51" s="4"/>
      <c r="E51" s="4"/>
      <c r="F51" s="4"/>
      <c r="G51" s="4"/>
      <c r="H51" s="6">
        <v>13760.830000000002</v>
      </c>
      <c r="I51" s="6">
        <v>3078.9300000000012</v>
      </c>
      <c r="J51" s="4"/>
      <c r="K51" s="4"/>
      <c r="L51" s="4"/>
      <c r="M51" s="4"/>
      <c r="N51" s="4"/>
      <c r="O51" s="4"/>
      <c r="P51" s="4"/>
    </row>
    <row r="52" spans="1:17" x14ac:dyDescent="0.25">
      <c r="A52" s="24" t="s">
        <v>4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25">
      <c r="A53" s="24" t="s">
        <v>4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25">
      <c r="A54" s="24" t="s">
        <v>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</sheetData>
  <mergeCells count="5">
    <mergeCell ref="A1:Q1"/>
    <mergeCell ref="A2:Q2"/>
    <mergeCell ref="A52:Q52"/>
    <mergeCell ref="A53:Q53"/>
    <mergeCell ref="A54:Q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BD03-C176-4476-B608-E6E7734FAF0B}">
  <dimension ref="A1:S48"/>
  <sheetViews>
    <sheetView tabSelected="1" workbookViewId="0">
      <selection activeCell="I37" sqref="I37"/>
    </sheetView>
  </sheetViews>
  <sheetFormatPr defaultRowHeight="15" x14ac:dyDescent="0.25"/>
  <cols>
    <col min="1" max="1" width="11.42578125" customWidth="1"/>
    <col min="3" max="3" width="13" customWidth="1"/>
    <col min="4" max="4" width="15.28515625" customWidth="1"/>
    <col min="5" max="5" width="13" customWidth="1"/>
    <col min="6" max="6" width="19.7109375" customWidth="1"/>
    <col min="7" max="9" width="13" customWidth="1"/>
    <col min="10" max="10" width="13.7109375" customWidth="1"/>
    <col min="11" max="12" width="16.7109375" customWidth="1"/>
    <col min="13" max="13" width="12.28515625" customWidth="1"/>
    <col min="14" max="14" width="14.42578125" customWidth="1"/>
  </cols>
  <sheetData>
    <row r="1" spans="1:19" ht="24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239</v>
      </c>
      <c r="J1" s="3" t="s">
        <v>23</v>
      </c>
      <c r="K1" s="3" t="s">
        <v>35</v>
      </c>
      <c r="L1" s="3"/>
      <c r="M1" s="3" t="s">
        <v>37</v>
      </c>
    </row>
    <row r="2" spans="1:19" s="16" customFormat="1" ht="15" customHeight="1" x14ac:dyDescent="0.25">
      <c r="A2" s="17" t="s">
        <v>42</v>
      </c>
      <c r="B2" s="18" t="s">
        <v>43</v>
      </c>
      <c r="C2" s="17" t="s">
        <v>52</v>
      </c>
      <c r="D2" s="17" t="s">
        <v>45</v>
      </c>
      <c r="E2" s="17" t="s">
        <v>159</v>
      </c>
      <c r="F2" s="17" t="s">
        <v>160</v>
      </c>
      <c r="G2" s="19" t="s">
        <v>55</v>
      </c>
      <c r="H2" s="20">
        <v>62.27</v>
      </c>
      <c r="I2" s="20">
        <f t="shared" ref="I2:I48" si="0">J2/H2*100</f>
        <v>100</v>
      </c>
      <c r="J2" s="20">
        <v>62.27</v>
      </c>
      <c r="K2" s="17" t="s">
        <v>246</v>
      </c>
      <c r="L2" s="17">
        <v>20411454</v>
      </c>
      <c r="M2" s="21">
        <v>46023</v>
      </c>
      <c r="N2" s="22" t="s">
        <v>241</v>
      </c>
      <c r="O2" s="22"/>
      <c r="P2" s="22"/>
      <c r="Q2" s="22"/>
      <c r="R2" s="22"/>
      <c r="S2" s="22"/>
    </row>
    <row r="3" spans="1:19" s="16" customFormat="1" ht="15" customHeight="1" x14ac:dyDescent="0.25">
      <c r="A3" s="17" t="s">
        <v>42</v>
      </c>
      <c r="B3" s="18" t="s">
        <v>43</v>
      </c>
      <c r="C3" s="17" t="s">
        <v>95</v>
      </c>
      <c r="D3" s="17" t="s">
        <v>96</v>
      </c>
      <c r="E3" s="17" t="s">
        <v>201</v>
      </c>
      <c r="F3" s="17" t="s">
        <v>202</v>
      </c>
      <c r="G3" s="19" t="s">
        <v>55</v>
      </c>
      <c r="H3" s="20">
        <v>129.44999999999999</v>
      </c>
      <c r="I3" s="20">
        <f t="shared" si="0"/>
        <v>100</v>
      </c>
      <c r="J3" s="20">
        <v>129.44999999999999</v>
      </c>
      <c r="K3" s="17" t="s">
        <v>246</v>
      </c>
      <c r="L3" s="17">
        <v>20411454</v>
      </c>
      <c r="M3" s="21">
        <v>46023</v>
      </c>
      <c r="N3" s="22" t="s">
        <v>241</v>
      </c>
      <c r="O3" s="22"/>
      <c r="P3" s="22"/>
      <c r="Q3" s="22"/>
      <c r="R3" s="22"/>
      <c r="S3" s="22"/>
    </row>
    <row r="4" spans="1:19" ht="15" customHeight="1" x14ac:dyDescent="0.25">
      <c r="A4" s="17" t="s">
        <v>42</v>
      </c>
      <c r="B4" s="18" t="s">
        <v>43</v>
      </c>
      <c r="C4" s="17" t="s">
        <v>52</v>
      </c>
      <c r="D4" s="17" t="s">
        <v>45</v>
      </c>
      <c r="E4" s="17" t="s">
        <v>90</v>
      </c>
      <c r="F4" s="17" t="s">
        <v>91</v>
      </c>
      <c r="G4" s="19" t="s">
        <v>55</v>
      </c>
      <c r="H4" s="20">
        <v>12.51</v>
      </c>
      <c r="I4" s="20">
        <f t="shared" si="0"/>
        <v>100</v>
      </c>
      <c r="J4" s="20">
        <v>12.51</v>
      </c>
      <c r="K4" s="17" t="s">
        <v>246</v>
      </c>
      <c r="L4" s="17">
        <v>20411454</v>
      </c>
      <c r="M4" s="21">
        <v>46023</v>
      </c>
      <c r="N4" s="22" t="s">
        <v>241</v>
      </c>
      <c r="O4" s="22"/>
      <c r="P4" s="22"/>
      <c r="Q4" s="22"/>
      <c r="R4" s="22"/>
      <c r="S4" s="22"/>
    </row>
    <row r="5" spans="1:19" ht="15" customHeight="1" x14ac:dyDescent="0.25">
      <c r="A5" s="11" t="s">
        <v>42</v>
      </c>
      <c r="B5" s="12" t="s">
        <v>43</v>
      </c>
      <c r="C5" s="11" t="s">
        <v>73</v>
      </c>
      <c r="D5" s="11" t="s">
        <v>74</v>
      </c>
      <c r="E5" s="11" t="s">
        <v>127</v>
      </c>
      <c r="F5" s="11" t="s">
        <v>128</v>
      </c>
      <c r="G5" s="13" t="s">
        <v>129</v>
      </c>
      <c r="H5" s="14">
        <v>28.1</v>
      </c>
      <c r="I5" s="14">
        <f t="shared" si="0"/>
        <v>12.98932384341637</v>
      </c>
      <c r="J5" s="14">
        <v>3.65</v>
      </c>
      <c r="K5" s="11" t="s">
        <v>130</v>
      </c>
      <c r="L5" s="11">
        <v>8325282</v>
      </c>
      <c r="M5" s="15">
        <v>45637</v>
      </c>
      <c r="N5" s="16" t="s">
        <v>242</v>
      </c>
      <c r="O5" s="16"/>
      <c r="P5" s="16"/>
      <c r="Q5" s="16"/>
      <c r="R5" s="16"/>
      <c r="S5" s="16"/>
    </row>
    <row r="6" spans="1:19" ht="15" customHeight="1" x14ac:dyDescent="0.25">
      <c r="A6" s="1" t="s">
        <v>42</v>
      </c>
      <c r="B6" s="4" t="s">
        <v>43</v>
      </c>
      <c r="C6" s="1" t="s">
        <v>52</v>
      </c>
      <c r="D6" s="1" t="s">
        <v>45</v>
      </c>
      <c r="E6" s="1" t="s">
        <v>108</v>
      </c>
      <c r="F6" s="1" t="s">
        <v>109</v>
      </c>
      <c r="G6" s="5" t="s">
        <v>104</v>
      </c>
      <c r="H6" s="6">
        <v>390.72</v>
      </c>
      <c r="I6" s="6">
        <f t="shared" si="0"/>
        <v>16.0012285012285</v>
      </c>
      <c r="J6" s="6">
        <v>62.52</v>
      </c>
      <c r="K6" s="1" t="s">
        <v>110</v>
      </c>
      <c r="L6" s="1">
        <v>8307933</v>
      </c>
      <c r="M6" s="7">
        <v>46025</v>
      </c>
      <c r="N6" t="s">
        <v>243</v>
      </c>
    </row>
    <row r="7" spans="1:19" s="16" customFormat="1" ht="15" customHeight="1" x14ac:dyDescent="0.25">
      <c r="A7" s="1" t="s">
        <v>42</v>
      </c>
      <c r="B7" s="4" t="s">
        <v>43</v>
      </c>
      <c r="C7" s="1" t="s">
        <v>180</v>
      </c>
      <c r="D7" s="1" t="s">
        <v>96</v>
      </c>
      <c r="E7" s="1" t="s">
        <v>181</v>
      </c>
      <c r="F7" s="1" t="s">
        <v>182</v>
      </c>
      <c r="G7" s="5" t="s">
        <v>179</v>
      </c>
      <c r="H7" s="6">
        <v>197.28</v>
      </c>
      <c r="I7" s="6">
        <f t="shared" si="0"/>
        <v>21.999188969991891</v>
      </c>
      <c r="J7" s="6">
        <v>43.4</v>
      </c>
      <c r="K7" s="1" t="s">
        <v>183</v>
      </c>
      <c r="L7" s="1">
        <v>9213293</v>
      </c>
      <c r="M7" s="7">
        <v>45992</v>
      </c>
      <c r="N7" t="s">
        <v>244</v>
      </c>
      <c r="O7"/>
      <c r="P7"/>
      <c r="Q7"/>
      <c r="R7"/>
      <c r="S7"/>
    </row>
    <row r="8" spans="1:19" s="16" customFormat="1" ht="15" customHeight="1" x14ac:dyDescent="0.25">
      <c r="A8" s="1" t="s">
        <v>42</v>
      </c>
      <c r="B8" s="4" t="s">
        <v>43</v>
      </c>
      <c r="C8" s="1" t="s">
        <v>52</v>
      </c>
      <c r="D8" s="1" t="s">
        <v>45</v>
      </c>
      <c r="E8" s="1" t="s">
        <v>118</v>
      </c>
      <c r="F8" s="1" t="s">
        <v>119</v>
      </c>
      <c r="G8" s="5" t="s">
        <v>120</v>
      </c>
      <c r="H8" s="6">
        <v>385.81</v>
      </c>
      <c r="I8" s="6">
        <f t="shared" si="0"/>
        <v>22.000466550892924</v>
      </c>
      <c r="J8" s="6">
        <v>84.88</v>
      </c>
      <c r="K8" s="1" t="s">
        <v>121</v>
      </c>
      <c r="L8" s="1">
        <v>21621622</v>
      </c>
      <c r="M8" s="7">
        <v>46029</v>
      </c>
      <c r="N8" t="s">
        <v>244</v>
      </c>
      <c r="O8"/>
      <c r="P8"/>
      <c r="Q8"/>
      <c r="R8"/>
      <c r="S8"/>
    </row>
    <row r="9" spans="1:19" s="16" customFormat="1" ht="15" customHeight="1" x14ac:dyDescent="0.25">
      <c r="A9" s="11" t="s">
        <v>42</v>
      </c>
      <c r="B9" s="12" t="s">
        <v>43</v>
      </c>
      <c r="C9" s="11" t="s">
        <v>95</v>
      </c>
      <c r="D9" s="11" t="s">
        <v>96</v>
      </c>
      <c r="E9" s="11" t="s">
        <v>133</v>
      </c>
      <c r="F9" s="11" t="s">
        <v>134</v>
      </c>
      <c r="G9" s="13" t="s">
        <v>135</v>
      </c>
      <c r="H9" s="14">
        <v>-17.37</v>
      </c>
      <c r="I9" s="14">
        <f t="shared" si="0"/>
        <v>24.985607369027054</v>
      </c>
      <c r="J9" s="14">
        <v>-4.34</v>
      </c>
      <c r="K9" s="11" t="s">
        <v>77</v>
      </c>
      <c r="L9" s="11">
        <v>19681796</v>
      </c>
      <c r="M9" s="15">
        <v>45936</v>
      </c>
      <c r="N9" s="16" t="s">
        <v>245</v>
      </c>
    </row>
    <row r="10" spans="1:19" s="16" customFormat="1" ht="15" customHeight="1" x14ac:dyDescent="0.25">
      <c r="A10" s="11" t="s">
        <v>42</v>
      </c>
      <c r="B10" s="12" t="s">
        <v>43</v>
      </c>
      <c r="C10" s="11" t="s">
        <v>52</v>
      </c>
      <c r="D10" s="11" t="s">
        <v>45</v>
      </c>
      <c r="E10" s="11" t="s">
        <v>145</v>
      </c>
      <c r="F10" s="11" t="s">
        <v>146</v>
      </c>
      <c r="G10" s="13" t="s">
        <v>147</v>
      </c>
      <c r="H10" s="14">
        <v>-37.369999999999997</v>
      </c>
      <c r="I10" s="14">
        <f t="shared" si="0"/>
        <v>24.993310141824995</v>
      </c>
      <c r="J10" s="14">
        <v>-9.34</v>
      </c>
      <c r="K10" s="11" t="s">
        <v>148</v>
      </c>
      <c r="L10" s="11">
        <v>16509456</v>
      </c>
      <c r="M10" s="15">
        <v>45888</v>
      </c>
      <c r="N10" s="16" t="s">
        <v>245</v>
      </c>
    </row>
    <row r="11" spans="1:19" s="16" customFormat="1" ht="15" customHeight="1" x14ac:dyDescent="0.25">
      <c r="A11" s="1" t="s">
        <v>42</v>
      </c>
      <c r="B11" s="4" t="s">
        <v>43</v>
      </c>
      <c r="C11" s="1" t="s">
        <v>52</v>
      </c>
      <c r="D11" s="1" t="s">
        <v>45</v>
      </c>
      <c r="E11" s="1" t="s">
        <v>151</v>
      </c>
      <c r="F11" s="1" t="s">
        <v>152</v>
      </c>
      <c r="G11" s="5" t="s">
        <v>55</v>
      </c>
      <c r="H11" s="6">
        <v>213.85</v>
      </c>
      <c r="I11" s="6">
        <f t="shared" si="0"/>
        <v>24.998830956277764</v>
      </c>
      <c r="J11" s="6">
        <v>53.46</v>
      </c>
      <c r="K11" s="1" t="s">
        <v>65</v>
      </c>
      <c r="L11" s="1">
        <v>17425766</v>
      </c>
      <c r="M11" s="7">
        <v>45962</v>
      </c>
      <c r="N11" t="s">
        <v>245</v>
      </c>
      <c r="O11"/>
      <c r="P11"/>
      <c r="Q11"/>
      <c r="R11"/>
      <c r="S11"/>
    </row>
    <row r="12" spans="1:19" s="16" customFormat="1" ht="15" customHeight="1" x14ac:dyDescent="0.25">
      <c r="A12" s="1" t="s">
        <v>42</v>
      </c>
      <c r="B12" s="4" t="s">
        <v>43</v>
      </c>
      <c r="C12" s="1" t="s">
        <v>95</v>
      </c>
      <c r="D12" s="1" t="s">
        <v>96</v>
      </c>
      <c r="E12" s="1" t="s">
        <v>204</v>
      </c>
      <c r="F12" s="1" t="s">
        <v>205</v>
      </c>
      <c r="G12" s="5" t="s">
        <v>55</v>
      </c>
      <c r="H12" s="6">
        <v>486.21</v>
      </c>
      <c r="I12" s="6">
        <f t="shared" si="0"/>
        <v>24.999485818884846</v>
      </c>
      <c r="J12" s="6">
        <v>121.55</v>
      </c>
      <c r="K12" s="1" t="s">
        <v>65</v>
      </c>
      <c r="L12" s="1">
        <v>17425766</v>
      </c>
      <c r="M12" s="7">
        <v>46023</v>
      </c>
      <c r="N12" t="s">
        <v>245</v>
      </c>
      <c r="O12"/>
      <c r="P12"/>
      <c r="Q12"/>
      <c r="R12"/>
      <c r="S12"/>
    </row>
    <row r="13" spans="1:19" s="16" customFormat="1" ht="15" customHeight="1" x14ac:dyDescent="0.25">
      <c r="A13" s="11" t="s">
        <v>42</v>
      </c>
      <c r="B13" s="12" t="s">
        <v>43</v>
      </c>
      <c r="C13" s="11" t="s">
        <v>137</v>
      </c>
      <c r="D13" s="11" t="s">
        <v>138</v>
      </c>
      <c r="E13" s="11" t="s">
        <v>154</v>
      </c>
      <c r="F13" s="11" t="s">
        <v>155</v>
      </c>
      <c r="G13" s="13" t="s">
        <v>141</v>
      </c>
      <c r="H13" s="14">
        <v>506.33</v>
      </c>
      <c r="I13" s="14">
        <f t="shared" si="0"/>
        <v>24.999506250864062</v>
      </c>
      <c r="J13" s="14">
        <v>126.58</v>
      </c>
      <c r="K13" s="11" t="s">
        <v>156</v>
      </c>
      <c r="L13" s="11">
        <v>371819</v>
      </c>
      <c r="M13" s="15">
        <v>45938</v>
      </c>
      <c r="N13" s="16" t="s">
        <v>245</v>
      </c>
    </row>
    <row r="14" spans="1:19" s="16" customFormat="1" ht="15" customHeight="1" x14ac:dyDescent="0.25">
      <c r="A14" s="11" t="s">
        <v>42</v>
      </c>
      <c r="B14" s="12" t="s">
        <v>43</v>
      </c>
      <c r="C14" s="11" t="s">
        <v>44</v>
      </c>
      <c r="D14" s="11" t="s">
        <v>45</v>
      </c>
      <c r="E14" s="11" t="s">
        <v>80</v>
      </c>
      <c r="F14" s="11" t="s">
        <v>76</v>
      </c>
      <c r="G14" s="13" t="s">
        <v>55</v>
      </c>
      <c r="H14" s="14">
        <v>248.28</v>
      </c>
      <c r="I14" s="14">
        <f t="shared" si="0"/>
        <v>25</v>
      </c>
      <c r="J14" s="14">
        <v>62.07</v>
      </c>
      <c r="K14" s="11" t="s">
        <v>77</v>
      </c>
      <c r="L14" s="11">
        <v>19681796</v>
      </c>
      <c r="M14" s="15">
        <v>46023</v>
      </c>
      <c r="N14" s="16" t="s">
        <v>245</v>
      </c>
    </row>
    <row r="15" spans="1:19" s="16" customFormat="1" ht="15" customHeight="1" x14ac:dyDescent="0.25">
      <c r="A15" s="1" t="s">
        <v>42</v>
      </c>
      <c r="B15" s="4" t="s">
        <v>43</v>
      </c>
      <c r="C15" s="1" t="s">
        <v>180</v>
      </c>
      <c r="D15" s="1" t="s">
        <v>96</v>
      </c>
      <c r="E15" s="1" t="s">
        <v>196</v>
      </c>
      <c r="F15" s="1" t="s">
        <v>197</v>
      </c>
      <c r="G15" s="5" t="s">
        <v>168</v>
      </c>
      <c r="H15" s="6">
        <v>244.92</v>
      </c>
      <c r="I15" s="6">
        <f t="shared" si="0"/>
        <v>25</v>
      </c>
      <c r="J15" s="6">
        <v>61.23</v>
      </c>
      <c r="K15" s="1" t="s">
        <v>198</v>
      </c>
      <c r="L15" s="1">
        <v>21605264</v>
      </c>
      <c r="M15" s="7">
        <v>46009</v>
      </c>
      <c r="N15" t="s">
        <v>245</v>
      </c>
      <c r="O15"/>
      <c r="P15"/>
      <c r="Q15"/>
      <c r="R15"/>
      <c r="S15"/>
    </row>
    <row r="16" spans="1:19" s="16" customFormat="1" ht="15" customHeight="1" x14ac:dyDescent="0.25">
      <c r="A16" s="1" t="s">
        <v>42</v>
      </c>
      <c r="B16" s="4" t="s">
        <v>43</v>
      </c>
      <c r="C16" s="1" t="s">
        <v>180</v>
      </c>
      <c r="D16" s="1" t="s">
        <v>96</v>
      </c>
      <c r="E16" s="1" t="s">
        <v>210</v>
      </c>
      <c r="F16" s="1" t="s">
        <v>211</v>
      </c>
      <c r="G16" s="5" t="s">
        <v>55</v>
      </c>
      <c r="H16" s="6">
        <v>394.24</v>
      </c>
      <c r="I16" s="6">
        <f t="shared" si="0"/>
        <v>25</v>
      </c>
      <c r="J16" s="6">
        <v>98.56</v>
      </c>
      <c r="K16" s="1" t="s">
        <v>183</v>
      </c>
      <c r="L16" s="1">
        <v>9213293</v>
      </c>
      <c r="M16" s="7">
        <v>46023</v>
      </c>
      <c r="N16" t="s">
        <v>245</v>
      </c>
      <c r="O16"/>
      <c r="P16"/>
      <c r="Q16"/>
      <c r="R16"/>
      <c r="S16"/>
    </row>
    <row r="17" spans="1:19" ht="15" customHeight="1" x14ac:dyDescent="0.25">
      <c r="A17" s="1" t="s">
        <v>42</v>
      </c>
      <c r="B17" s="4" t="s">
        <v>43</v>
      </c>
      <c r="C17" s="1" t="s">
        <v>95</v>
      </c>
      <c r="D17" s="1" t="s">
        <v>96</v>
      </c>
      <c r="E17" s="1" t="s">
        <v>186</v>
      </c>
      <c r="F17" s="1" t="s">
        <v>187</v>
      </c>
      <c r="G17" s="5" t="s">
        <v>188</v>
      </c>
      <c r="H17" s="6">
        <v>298.56</v>
      </c>
      <c r="I17" s="6">
        <f t="shared" si="0"/>
        <v>25</v>
      </c>
      <c r="J17" s="6">
        <v>74.64</v>
      </c>
      <c r="K17" s="1" t="s">
        <v>189</v>
      </c>
      <c r="L17" s="1">
        <v>18754354</v>
      </c>
      <c r="M17" s="7">
        <v>45993</v>
      </c>
      <c r="N17" t="s">
        <v>245</v>
      </c>
    </row>
    <row r="18" spans="1:19" ht="15" customHeight="1" x14ac:dyDescent="0.25">
      <c r="A18" s="1" t="s">
        <v>42</v>
      </c>
      <c r="B18" s="4" t="s">
        <v>43</v>
      </c>
      <c r="C18" s="1" t="s">
        <v>95</v>
      </c>
      <c r="D18" s="1" t="s">
        <v>96</v>
      </c>
      <c r="E18" s="1" t="s">
        <v>186</v>
      </c>
      <c r="F18" s="1" t="s">
        <v>187</v>
      </c>
      <c r="G18" s="5" t="s">
        <v>192</v>
      </c>
      <c r="H18" s="6">
        <v>298.56</v>
      </c>
      <c r="I18" s="6">
        <f t="shared" si="0"/>
        <v>25</v>
      </c>
      <c r="J18" s="6">
        <v>74.64</v>
      </c>
      <c r="K18" s="1" t="s">
        <v>189</v>
      </c>
      <c r="L18" s="1">
        <v>18754354</v>
      </c>
      <c r="M18" s="7">
        <v>45993</v>
      </c>
      <c r="N18" t="s">
        <v>245</v>
      </c>
    </row>
    <row r="19" spans="1:19" ht="15" customHeight="1" x14ac:dyDescent="0.25">
      <c r="A19" s="1" t="s">
        <v>42</v>
      </c>
      <c r="B19" s="4" t="s">
        <v>43</v>
      </c>
      <c r="C19" s="1" t="s">
        <v>95</v>
      </c>
      <c r="D19" s="1" t="s">
        <v>96</v>
      </c>
      <c r="E19" s="1" t="s">
        <v>220</v>
      </c>
      <c r="F19" s="1" t="s">
        <v>221</v>
      </c>
      <c r="G19" s="5" t="s">
        <v>55</v>
      </c>
      <c r="H19" s="6">
        <v>414.08</v>
      </c>
      <c r="I19" s="6">
        <f t="shared" si="0"/>
        <v>25</v>
      </c>
      <c r="J19" s="6">
        <v>103.52</v>
      </c>
      <c r="K19" s="1" t="s">
        <v>99</v>
      </c>
      <c r="L19" s="1">
        <v>8977234</v>
      </c>
      <c r="M19" s="7">
        <v>46023</v>
      </c>
      <c r="N19" t="s">
        <v>245</v>
      </c>
    </row>
    <row r="20" spans="1:19" s="16" customFormat="1" ht="15" customHeight="1" x14ac:dyDescent="0.25">
      <c r="A20" s="1" t="s">
        <v>42</v>
      </c>
      <c r="B20" s="4" t="s">
        <v>43</v>
      </c>
      <c r="C20" s="1" t="s">
        <v>52</v>
      </c>
      <c r="D20" s="1" t="s">
        <v>45</v>
      </c>
      <c r="E20" s="1" t="s">
        <v>82</v>
      </c>
      <c r="F20" s="1" t="s">
        <v>83</v>
      </c>
      <c r="G20" s="5" t="s">
        <v>55</v>
      </c>
      <c r="H20" s="6">
        <v>288</v>
      </c>
      <c r="I20" s="6">
        <f t="shared" si="0"/>
        <v>25</v>
      </c>
      <c r="J20" s="6">
        <v>72</v>
      </c>
      <c r="K20" s="1" t="s">
        <v>84</v>
      </c>
      <c r="L20" s="1">
        <v>15950276</v>
      </c>
      <c r="M20" s="7">
        <v>46023</v>
      </c>
      <c r="N20" t="s">
        <v>245</v>
      </c>
      <c r="O20"/>
      <c r="P20"/>
      <c r="Q20"/>
      <c r="R20"/>
      <c r="S20"/>
    </row>
    <row r="21" spans="1:19" s="16" customFormat="1" ht="15" customHeight="1" x14ac:dyDescent="0.25">
      <c r="A21" s="11" t="s">
        <v>42</v>
      </c>
      <c r="B21" s="12" t="s">
        <v>43</v>
      </c>
      <c r="C21" s="11" t="s">
        <v>52</v>
      </c>
      <c r="D21" s="11" t="s">
        <v>45</v>
      </c>
      <c r="E21" s="11" t="s">
        <v>234</v>
      </c>
      <c r="F21" s="11" t="s">
        <v>235</v>
      </c>
      <c r="G21" s="13" t="s">
        <v>236</v>
      </c>
      <c r="H21" s="14">
        <v>333.44</v>
      </c>
      <c r="I21" s="14">
        <f t="shared" si="0"/>
        <v>25</v>
      </c>
      <c r="J21" s="14">
        <v>83.36</v>
      </c>
      <c r="K21" s="11" t="s">
        <v>165</v>
      </c>
      <c r="L21" s="11">
        <v>8971826</v>
      </c>
      <c r="M21" s="15">
        <v>46022</v>
      </c>
      <c r="N21" s="16" t="s">
        <v>245</v>
      </c>
    </row>
    <row r="22" spans="1:19" ht="15" customHeight="1" x14ac:dyDescent="0.25">
      <c r="A22" s="1" t="s">
        <v>42</v>
      </c>
      <c r="B22" s="4" t="s">
        <v>43</v>
      </c>
      <c r="C22" s="1" t="s">
        <v>52</v>
      </c>
      <c r="D22" s="1" t="s">
        <v>45</v>
      </c>
      <c r="E22" s="1" t="s">
        <v>57</v>
      </c>
      <c r="F22" s="1" t="s">
        <v>54</v>
      </c>
      <c r="G22" s="5" t="s">
        <v>55</v>
      </c>
      <c r="H22" s="6">
        <v>96.16</v>
      </c>
      <c r="I22" s="6">
        <f t="shared" si="0"/>
        <v>25</v>
      </c>
      <c r="J22" s="6">
        <v>24.04</v>
      </c>
      <c r="K22" s="1" t="s">
        <v>49</v>
      </c>
      <c r="L22" s="1">
        <v>18581063</v>
      </c>
      <c r="M22" s="7">
        <v>46023</v>
      </c>
      <c r="N22" t="s">
        <v>245</v>
      </c>
    </row>
    <row r="23" spans="1:19" ht="15" customHeight="1" x14ac:dyDescent="0.25">
      <c r="A23" s="1" t="s">
        <v>42</v>
      </c>
      <c r="B23" s="4" t="s">
        <v>43</v>
      </c>
      <c r="C23" s="1" t="s">
        <v>52</v>
      </c>
      <c r="D23" s="1" t="s">
        <v>45</v>
      </c>
      <c r="E23" s="1" t="s">
        <v>59</v>
      </c>
      <c r="F23" s="1" t="s">
        <v>60</v>
      </c>
      <c r="G23" s="5" t="s">
        <v>55</v>
      </c>
      <c r="H23" s="6">
        <v>96.16</v>
      </c>
      <c r="I23" s="6">
        <f t="shared" si="0"/>
        <v>25</v>
      </c>
      <c r="J23" s="6">
        <v>24.04</v>
      </c>
      <c r="K23" s="1" t="s">
        <v>49</v>
      </c>
      <c r="L23" s="1">
        <v>18581063</v>
      </c>
      <c r="M23" s="7">
        <v>46023</v>
      </c>
      <c r="N23" t="s">
        <v>245</v>
      </c>
    </row>
    <row r="24" spans="1:19" ht="15" customHeight="1" x14ac:dyDescent="0.25">
      <c r="A24" s="1" t="s">
        <v>42</v>
      </c>
      <c r="B24" s="4" t="s">
        <v>43</v>
      </c>
      <c r="C24" s="1" t="s">
        <v>52</v>
      </c>
      <c r="D24" s="1" t="s">
        <v>45</v>
      </c>
      <c r="E24" s="1" t="s">
        <v>223</v>
      </c>
      <c r="F24" s="1" t="s">
        <v>224</v>
      </c>
      <c r="G24" s="5" t="s">
        <v>55</v>
      </c>
      <c r="H24" s="6">
        <v>545.76</v>
      </c>
      <c r="I24" s="6">
        <f t="shared" si="0"/>
        <v>25</v>
      </c>
      <c r="J24" s="6">
        <v>136.44</v>
      </c>
      <c r="K24" s="1" t="s">
        <v>49</v>
      </c>
      <c r="L24" s="1">
        <v>18581063</v>
      </c>
      <c r="M24" s="7">
        <v>46023</v>
      </c>
      <c r="N24" t="s">
        <v>245</v>
      </c>
    </row>
    <row r="25" spans="1:19" s="16" customFormat="1" ht="15" customHeight="1" x14ac:dyDescent="0.25">
      <c r="A25" s="1" t="s">
        <v>42</v>
      </c>
      <c r="B25" s="4" t="s">
        <v>43</v>
      </c>
      <c r="C25" s="1" t="s">
        <v>52</v>
      </c>
      <c r="D25" s="1" t="s">
        <v>45</v>
      </c>
      <c r="E25" s="1" t="s">
        <v>68</v>
      </c>
      <c r="F25" s="1" t="s">
        <v>69</v>
      </c>
      <c r="G25" s="5" t="s">
        <v>55</v>
      </c>
      <c r="H25" s="6">
        <v>1213.06</v>
      </c>
      <c r="I25" s="6">
        <f t="shared" si="0"/>
        <v>25.000412180765995</v>
      </c>
      <c r="J25" s="6">
        <v>303.27</v>
      </c>
      <c r="K25" s="1" t="s">
        <v>70</v>
      </c>
      <c r="L25" s="1" t="s">
        <v>240</v>
      </c>
      <c r="M25" s="7">
        <v>46023</v>
      </c>
      <c r="N25" t="s">
        <v>245</v>
      </c>
      <c r="O25"/>
      <c r="P25"/>
      <c r="Q25"/>
      <c r="R25"/>
      <c r="S25"/>
    </row>
    <row r="26" spans="1:19" ht="15" customHeight="1" x14ac:dyDescent="0.25">
      <c r="A26" s="11" t="s">
        <v>42</v>
      </c>
      <c r="B26" s="12" t="s">
        <v>43</v>
      </c>
      <c r="C26" s="11" t="s">
        <v>213</v>
      </c>
      <c r="D26" s="11" t="s">
        <v>96</v>
      </c>
      <c r="E26" s="11" t="s">
        <v>214</v>
      </c>
      <c r="F26" s="11" t="s">
        <v>215</v>
      </c>
      <c r="G26" s="13" t="s">
        <v>147</v>
      </c>
      <c r="H26" s="14">
        <v>366.59</v>
      </c>
      <c r="I26" s="14">
        <f t="shared" si="0"/>
        <v>25.000681960773619</v>
      </c>
      <c r="J26" s="14">
        <v>91.65</v>
      </c>
      <c r="K26" s="11" t="s">
        <v>105</v>
      </c>
      <c r="L26" s="11">
        <v>8814784</v>
      </c>
      <c r="M26" s="15">
        <v>46010</v>
      </c>
      <c r="N26" s="16" t="s">
        <v>245</v>
      </c>
      <c r="O26" s="16"/>
      <c r="P26" s="16"/>
      <c r="Q26" s="16"/>
      <c r="R26" s="16"/>
      <c r="S26" s="16"/>
    </row>
    <row r="27" spans="1:19" ht="15" customHeight="1" x14ac:dyDescent="0.25">
      <c r="A27" s="11" t="s">
        <v>42</v>
      </c>
      <c r="B27" s="12" t="s">
        <v>43</v>
      </c>
      <c r="C27" s="11" t="s">
        <v>137</v>
      </c>
      <c r="D27" s="11" t="s">
        <v>138</v>
      </c>
      <c r="E27" s="11" t="s">
        <v>139</v>
      </c>
      <c r="F27" s="11" t="s">
        <v>140</v>
      </c>
      <c r="G27" s="13" t="s">
        <v>141</v>
      </c>
      <c r="H27" s="14">
        <v>322.67</v>
      </c>
      <c r="I27" s="14">
        <f t="shared" si="0"/>
        <v>25.000774785384451</v>
      </c>
      <c r="J27" s="14">
        <v>80.67</v>
      </c>
      <c r="K27" s="11" t="s">
        <v>142</v>
      </c>
      <c r="L27" s="11">
        <v>16865615</v>
      </c>
      <c r="M27" s="15">
        <v>45938</v>
      </c>
      <c r="N27" s="16" t="s">
        <v>245</v>
      </c>
      <c r="O27" s="16"/>
      <c r="P27" s="16"/>
      <c r="Q27" s="16"/>
      <c r="R27" s="16"/>
      <c r="S27" s="16"/>
    </row>
    <row r="28" spans="1:19" ht="15" customHeight="1" x14ac:dyDescent="0.25">
      <c r="A28" s="11" t="s">
        <v>42</v>
      </c>
      <c r="B28" s="12" t="s">
        <v>43</v>
      </c>
      <c r="C28" s="11" t="s">
        <v>44</v>
      </c>
      <c r="D28" s="11" t="s">
        <v>45</v>
      </c>
      <c r="E28" s="11" t="s">
        <v>176</v>
      </c>
      <c r="F28" s="11" t="s">
        <v>177</v>
      </c>
      <c r="G28" s="13" t="s">
        <v>55</v>
      </c>
      <c r="H28" s="14">
        <v>275.43</v>
      </c>
      <c r="I28" s="14">
        <f t="shared" si="0"/>
        <v>25.000907671640704</v>
      </c>
      <c r="J28" s="14">
        <v>68.86</v>
      </c>
      <c r="K28" s="11" t="s">
        <v>77</v>
      </c>
      <c r="L28" s="11">
        <v>19681796</v>
      </c>
      <c r="M28" s="15">
        <v>45992</v>
      </c>
      <c r="N28" s="16" t="s">
        <v>245</v>
      </c>
      <c r="O28" s="16"/>
      <c r="P28" s="16"/>
      <c r="Q28" s="16"/>
      <c r="R28" s="16"/>
      <c r="S28" s="16"/>
    </row>
    <row r="29" spans="1:19" ht="15" customHeight="1" x14ac:dyDescent="0.25">
      <c r="A29" s="11" t="s">
        <v>42</v>
      </c>
      <c r="B29" s="12" t="s">
        <v>43</v>
      </c>
      <c r="C29" s="11" t="s">
        <v>44</v>
      </c>
      <c r="D29" s="11" t="s">
        <v>45</v>
      </c>
      <c r="E29" s="11" t="s">
        <v>176</v>
      </c>
      <c r="F29" s="11" t="s">
        <v>177</v>
      </c>
      <c r="G29" s="13" t="s">
        <v>179</v>
      </c>
      <c r="H29" s="14">
        <v>275.43</v>
      </c>
      <c r="I29" s="14">
        <f t="shared" si="0"/>
        <v>25.000907671640704</v>
      </c>
      <c r="J29" s="14">
        <v>68.86</v>
      </c>
      <c r="K29" s="11" t="s">
        <v>77</v>
      </c>
      <c r="L29" s="11">
        <v>19681796</v>
      </c>
      <c r="M29" s="15">
        <v>45992</v>
      </c>
      <c r="N29" s="16" t="s">
        <v>245</v>
      </c>
      <c r="O29" s="16"/>
      <c r="P29" s="16"/>
      <c r="Q29" s="16"/>
      <c r="R29" s="16"/>
      <c r="S29" s="16"/>
    </row>
    <row r="30" spans="1:19" s="22" customFormat="1" ht="15" customHeight="1" x14ac:dyDescent="0.25">
      <c r="A30" s="11" t="s">
        <v>42</v>
      </c>
      <c r="B30" s="12" t="s">
        <v>43</v>
      </c>
      <c r="C30" s="11" t="s">
        <v>95</v>
      </c>
      <c r="D30" s="11" t="s">
        <v>96</v>
      </c>
      <c r="E30" s="11" t="s">
        <v>124</v>
      </c>
      <c r="F30" s="11" t="s">
        <v>125</v>
      </c>
      <c r="G30" s="13" t="s">
        <v>55</v>
      </c>
      <c r="H30" s="14">
        <v>259.79000000000002</v>
      </c>
      <c r="I30" s="14">
        <f t="shared" si="0"/>
        <v>25.000962315716542</v>
      </c>
      <c r="J30" s="14">
        <v>64.95</v>
      </c>
      <c r="K30" s="11" t="s">
        <v>77</v>
      </c>
      <c r="L30" s="11">
        <v>19681796</v>
      </c>
      <c r="M30" s="15">
        <v>46023</v>
      </c>
      <c r="N30" s="16" t="s">
        <v>245</v>
      </c>
      <c r="O30" s="16"/>
      <c r="P30" s="16"/>
      <c r="Q30" s="16"/>
      <c r="R30" s="16"/>
      <c r="S30" s="16"/>
    </row>
    <row r="31" spans="1:19" s="22" customFormat="1" ht="15" customHeight="1" x14ac:dyDescent="0.25">
      <c r="A31" s="11" t="s">
        <v>42</v>
      </c>
      <c r="B31" s="12" t="s">
        <v>43</v>
      </c>
      <c r="C31" s="11" t="s">
        <v>52</v>
      </c>
      <c r="D31" s="11" t="s">
        <v>45</v>
      </c>
      <c r="E31" s="11" t="s">
        <v>102</v>
      </c>
      <c r="F31" s="11" t="s">
        <v>103</v>
      </c>
      <c r="G31" s="13" t="s">
        <v>104</v>
      </c>
      <c r="H31" s="14">
        <v>712.73</v>
      </c>
      <c r="I31" s="14">
        <f t="shared" si="0"/>
        <v>25.001052291891739</v>
      </c>
      <c r="J31" s="14">
        <v>178.19</v>
      </c>
      <c r="K31" s="11" t="s">
        <v>105</v>
      </c>
      <c r="L31" s="11">
        <v>8814784</v>
      </c>
      <c r="M31" s="15">
        <v>46025</v>
      </c>
      <c r="N31" s="16" t="s">
        <v>245</v>
      </c>
      <c r="O31" s="16"/>
      <c r="P31" s="16"/>
      <c r="Q31" s="16"/>
      <c r="R31" s="16"/>
      <c r="S31" s="16"/>
    </row>
    <row r="32" spans="1:19" s="22" customFormat="1" ht="15" customHeight="1" x14ac:dyDescent="0.25">
      <c r="A32" s="11" t="s">
        <v>42</v>
      </c>
      <c r="B32" s="12" t="s">
        <v>43</v>
      </c>
      <c r="C32" s="11" t="s">
        <v>44</v>
      </c>
      <c r="D32" s="11" t="s">
        <v>45</v>
      </c>
      <c r="E32" s="11" t="s">
        <v>87</v>
      </c>
      <c r="F32" s="11" t="s">
        <v>88</v>
      </c>
      <c r="G32" s="13" t="s">
        <v>55</v>
      </c>
      <c r="H32" s="14">
        <v>399.02</v>
      </c>
      <c r="I32" s="14">
        <f t="shared" si="0"/>
        <v>25.001253070021555</v>
      </c>
      <c r="J32" s="14">
        <v>99.76</v>
      </c>
      <c r="K32" s="11" t="s">
        <v>77</v>
      </c>
      <c r="L32" s="11">
        <v>19681796</v>
      </c>
      <c r="M32" s="15">
        <v>46023</v>
      </c>
      <c r="N32" s="16" t="s">
        <v>245</v>
      </c>
      <c r="O32" s="16"/>
      <c r="P32" s="16"/>
      <c r="Q32" s="16"/>
      <c r="R32" s="16"/>
      <c r="S32" s="16"/>
    </row>
    <row r="33" spans="1:19" s="16" customFormat="1" ht="15" customHeight="1" x14ac:dyDescent="0.25">
      <c r="A33" s="11" t="s">
        <v>42</v>
      </c>
      <c r="B33" s="12" t="s">
        <v>43</v>
      </c>
      <c r="C33" s="11" t="s">
        <v>44</v>
      </c>
      <c r="D33" s="11" t="s">
        <v>45</v>
      </c>
      <c r="E33" s="11" t="s">
        <v>226</v>
      </c>
      <c r="F33" s="11" t="s">
        <v>227</v>
      </c>
      <c r="G33" s="13" t="s">
        <v>55</v>
      </c>
      <c r="H33" s="14">
        <v>185.03</v>
      </c>
      <c r="I33" s="14">
        <f t="shared" si="0"/>
        <v>25.001351132248821</v>
      </c>
      <c r="J33" s="14">
        <v>46.26</v>
      </c>
      <c r="K33" s="11" t="s">
        <v>77</v>
      </c>
      <c r="L33" s="11">
        <v>19681796</v>
      </c>
      <c r="M33" s="15">
        <v>46023</v>
      </c>
      <c r="N33" s="16" t="s">
        <v>245</v>
      </c>
    </row>
    <row r="34" spans="1:19" ht="15" customHeight="1" x14ac:dyDescent="0.25">
      <c r="A34" s="11" t="s">
        <v>42</v>
      </c>
      <c r="B34" s="12" t="s">
        <v>43</v>
      </c>
      <c r="C34" s="11" t="s">
        <v>44</v>
      </c>
      <c r="D34" s="11" t="s">
        <v>45</v>
      </c>
      <c r="E34" s="11" t="s">
        <v>207</v>
      </c>
      <c r="F34" s="11" t="s">
        <v>208</v>
      </c>
      <c r="G34" s="13" t="s">
        <v>55</v>
      </c>
      <c r="H34" s="14">
        <v>347.06</v>
      </c>
      <c r="I34" s="14">
        <f t="shared" si="0"/>
        <v>25.001440673082463</v>
      </c>
      <c r="J34" s="14">
        <v>86.77</v>
      </c>
      <c r="K34" s="11" t="s">
        <v>77</v>
      </c>
      <c r="L34" s="11">
        <v>19681796</v>
      </c>
      <c r="M34" s="15">
        <v>46023</v>
      </c>
      <c r="N34" s="16" t="s">
        <v>245</v>
      </c>
      <c r="O34" s="16"/>
      <c r="P34" s="16"/>
      <c r="Q34" s="16"/>
      <c r="R34" s="16"/>
      <c r="S34" s="16"/>
    </row>
    <row r="35" spans="1:19" ht="15" customHeight="1" x14ac:dyDescent="0.25">
      <c r="A35" s="1" t="s">
        <v>42</v>
      </c>
      <c r="B35" s="4" t="s">
        <v>43</v>
      </c>
      <c r="C35" s="1" t="s">
        <v>52</v>
      </c>
      <c r="D35" s="1" t="s">
        <v>45</v>
      </c>
      <c r="E35" s="1" t="s">
        <v>193</v>
      </c>
      <c r="F35" s="1" t="s">
        <v>194</v>
      </c>
      <c r="G35" s="5" t="s">
        <v>192</v>
      </c>
      <c r="H35" s="6">
        <v>357.77</v>
      </c>
      <c r="I35" s="6">
        <f t="shared" si="0"/>
        <v>25.002096318864076</v>
      </c>
      <c r="J35" s="6">
        <v>89.45</v>
      </c>
      <c r="K35" s="1" t="s">
        <v>116</v>
      </c>
      <c r="L35" s="1">
        <v>15278437</v>
      </c>
      <c r="M35" s="7">
        <v>45993</v>
      </c>
      <c r="N35" t="s">
        <v>245</v>
      </c>
    </row>
    <row r="36" spans="1:19" ht="15" customHeight="1" x14ac:dyDescent="0.25">
      <c r="A36" s="1" t="s">
        <v>42</v>
      </c>
      <c r="B36" s="4" t="s">
        <v>43</v>
      </c>
      <c r="C36" s="1" t="s">
        <v>52</v>
      </c>
      <c r="D36" s="1" t="s">
        <v>45</v>
      </c>
      <c r="E36" s="1" t="s">
        <v>53</v>
      </c>
      <c r="F36" s="1" t="s">
        <v>54</v>
      </c>
      <c r="G36" s="5" t="s">
        <v>55</v>
      </c>
      <c r="H36" s="6">
        <v>220.94</v>
      </c>
      <c r="I36" s="6">
        <f t="shared" si="0"/>
        <v>25.002263057843759</v>
      </c>
      <c r="J36" s="6">
        <v>55.24</v>
      </c>
      <c r="K36" s="1" t="s">
        <v>49</v>
      </c>
      <c r="L36" s="1">
        <v>18581063</v>
      </c>
      <c r="M36" s="7">
        <v>46023</v>
      </c>
      <c r="N36" t="s">
        <v>245</v>
      </c>
    </row>
    <row r="37" spans="1:19" ht="15" customHeight="1" x14ac:dyDescent="0.25">
      <c r="A37" s="1" t="s">
        <v>42</v>
      </c>
      <c r="B37" s="4" t="s">
        <v>43</v>
      </c>
      <c r="C37" s="1" t="s">
        <v>95</v>
      </c>
      <c r="D37" s="1" t="s">
        <v>96</v>
      </c>
      <c r="E37" s="1" t="s">
        <v>97</v>
      </c>
      <c r="F37" s="1" t="s">
        <v>98</v>
      </c>
      <c r="G37" s="5" t="s">
        <v>55</v>
      </c>
      <c r="H37" s="6">
        <v>215.74</v>
      </c>
      <c r="I37" s="6">
        <f t="shared" si="0"/>
        <v>25.002317604523959</v>
      </c>
      <c r="J37" s="6">
        <v>53.94</v>
      </c>
      <c r="K37" s="1" t="s">
        <v>99</v>
      </c>
      <c r="L37" s="1">
        <v>8977234</v>
      </c>
      <c r="M37" s="7">
        <v>46023</v>
      </c>
      <c r="N37" t="s">
        <v>245</v>
      </c>
    </row>
    <row r="38" spans="1:19" ht="15" customHeight="1" x14ac:dyDescent="0.25">
      <c r="A38" s="1" t="s">
        <v>42</v>
      </c>
      <c r="B38" s="4" t="s">
        <v>43</v>
      </c>
      <c r="C38" s="1" t="s">
        <v>44</v>
      </c>
      <c r="D38" s="1" t="s">
        <v>45</v>
      </c>
      <c r="E38" s="1" t="s">
        <v>46</v>
      </c>
      <c r="F38" s="1" t="s">
        <v>47</v>
      </c>
      <c r="G38" s="5" t="s">
        <v>48</v>
      </c>
      <c r="H38" s="6">
        <v>214.94</v>
      </c>
      <c r="I38" s="6">
        <f t="shared" si="0"/>
        <v>25.002326230575978</v>
      </c>
      <c r="J38" s="6">
        <v>53.74</v>
      </c>
      <c r="K38" s="1" t="s">
        <v>49</v>
      </c>
      <c r="L38" s="1">
        <v>18581063</v>
      </c>
      <c r="M38" s="7">
        <v>46020</v>
      </c>
      <c r="N38" t="s">
        <v>245</v>
      </c>
    </row>
    <row r="39" spans="1:19" ht="15" customHeight="1" x14ac:dyDescent="0.25">
      <c r="A39" s="11" t="s">
        <v>42</v>
      </c>
      <c r="B39" s="12" t="s">
        <v>43</v>
      </c>
      <c r="C39" s="11" t="s">
        <v>52</v>
      </c>
      <c r="D39" s="11" t="s">
        <v>45</v>
      </c>
      <c r="E39" s="11" t="s">
        <v>162</v>
      </c>
      <c r="F39" s="11" t="s">
        <v>163</v>
      </c>
      <c r="G39" s="13" t="s">
        <v>164</v>
      </c>
      <c r="H39" s="14">
        <v>103.99</v>
      </c>
      <c r="I39" s="14">
        <f t="shared" si="0"/>
        <v>25.002404077315127</v>
      </c>
      <c r="J39" s="14">
        <v>26</v>
      </c>
      <c r="K39" s="11" t="s">
        <v>165</v>
      </c>
      <c r="L39" s="11">
        <v>8971826</v>
      </c>
      <c r="M39" s="15">
        <v>45979</v>
      </c>
      <c r="N39" s="16" t="s">
        <v>245</v>
      </c>
      <c r="O39" s="16"/>
      <c r="P39" s="16"/>
      <c r="Q39" s="16"/>
      <c r="R39" s="16"/>
      <c r="S39" s="16"/>
    </row>
    <row r="40" spans="1:19" s="16" customFormat="1" ht="15" customHeight="1" x14ac:dyDescent="0.25">
      <c r="A40" s="11" t="s">
        <v>42</v>
      </c>
      <c r="B40" s="12" t="s">
        <v>43</v>
      </c>
      <c r="C40" s="11" t="s">
        <v>52</v>
      </c>
      <c r="D40" s="11" t="s">
        <v>45</v>
      </c>
      <c r="E40" s="11" t="s">
        <v>162</v>
      </c>
      <c r="F40" s="11" t="s">
        <v>163</v>
      </c>
      <c r="G40" s="13" t="s">
        <v>168</v>
      </c>
      <c r="H40" s="14">
        <v>103.99</v>
      </c>
      <c r="I40" s="14">
        <f t="shared" si="0"/>
        <v>25.002404077315127</v>
      </c>
      <c r="J40" s="14">
        <v>26</v>
      </c>
      <c r="K40" s="11" t="s">
        <v>165</v>
      </c>
      <c r="L40" s="11">
        <v>8971826</v>
      </c>
      <c r="M40" s="15">
        <v>45979</v>
      </c>
      <c r="N40" s="16" t="s">
        <v>245</v>
      </c>
    </row>
    <row r="41" spans="1:19" s="16" customFormat="1" ht="15" customHeight="1" x14ac:dyDescent="0.25">
      <c r="A41" s="1" t="s">
        <v>42</v>
      </c>
      <c r="B41" s="4" t="s">
        <v>43</v>
      </c>
      <c r="C41" s="1" t="s">
        <v>52</v>
      </c>
      <c r="D41" s="1" t="s">
        <v>45</v>
      </c>
      <c r="E41" s="1" t="s">
        <v>62</v>
      </c>
      <c r="F41" s="1" t="s">
        <v>63</v>
      </c>
      <c r="G41" s="5" t="s">
        <v>64</v>
      </c>
      <c r="H41" s="6">
        <v>91.27</v>
      </c>
      <c r="I41" s="6">
        <f t="shared" si="0"/>
        <v>25.002739125671088</v>
      </c>
      <c r="J41" s="6">
        <v>22.82</v>
      </c>
      <c r="K41" s="1" t="s">
        <v>65</v>
      </c>
      <c r="L41" s="1">
        <v>17425766</v>
      </c>
      <c r="M41" s="7">
        <v>46015</v>
      </c>
      <c r="N41" t="s">
        <v>245</v>
      </c>
      <c r="O41"/>
      <c r="P41"/>
      <c r="Q41"/>
      <c r="R41"/>
      <c r="S41"/>
    </row>
    <row r="42" spans="1:19" s="16" customFormat="1" ht="15" customHeight="1" x14ac:dyDescent="0.25">
      <c r="A42" s="11" t="s">
        <v>42</v>
      </c>
      <c r="B42" s="12" t="s">
        <v>43</v>
      </c>
      <c r="C42" s="11" t="s">
        <v>95</v>
      </c>
      <c r="D42" s="11" t="s">
        <v>96</v>
      </c>
      <c r="E42" s="11" t="s">
        <v>169</v>
      </c>
      <c r="F42" s="11" t="s">
        <v>170</v>
      </c>
      <c r="G42" s="13" t="s">
        <v>171</v>
      </c>
      <c r="H42" s="14">
        <v>190.29</v>
      </c>
      <c r="I42" s="14">
        <f t="shared" si="0"/>
        <v>25.003941352672239</v>
      </c>
      <c r="J42" s="14">
        <v>47.58</v>
      </c>
      <c r="K42" s="11" t="s">
        <v>172</v>
      </c>
      <c r="L42" s="11">
        <v>17554531</v>
      </c>
      <c r="M42" s="15">
        <v>45982</v>
      </c>
      <c r="N42" s="16" t="s">
        <v>245</v>
      </c>
    </row>
    <row r="43" spans="1:19" s="16" customFormat="1" ht="15" customHeight="1" x14ac:dyDescent="0.25">
      <c r="A43" s="11" t="s">
        <v>42</v>
      </c>
      <c r="B43" s="12" t="s">
        <v>43</v>
      </c>
      <c r="C43" s="11" t="s">
        <v>95</v>
      </c>
      <c r="D43" s="11" t="s">
        <v>96</v>
      </c>
      <c r="E43" s="11" t="s">
        <v>169</v>
      </c>
      <c r="F43" s="11" t="s">
        <v>170</v>
      </c>
      <c r="G43" s="13" t="s">
        <v>175</v>
      </c>
      <c r="H43" s="14">
        <v>190.29</v>
      </c>
      <c r="I43" s="14">
        <f t="shared" si="0"/>
        <v>25.003941352672239</v>
      </c>
      <c r="J43" s="14">
        <v>47.58</v>
      </c>
      <c r="K43" s="11" t="s">
        <v>172</v>
      </c>
      <c r="L43" s="11">
        <v>17554531</v>
      </c>
      <c r="M43" s="15">
        <v>45982</v>
      </c>
      <c r="N43" s="16" t="s">
        <v>245</v>
      </c>
    </row>
    <row r="44" spans="1:19" ht="15" customHeight="1" x14ac:dyDescent="0.25">
      <c r="A44" s="1" t="s">
        <v>42</v>
      </c>
      <c r="B44" s="4" t="s">
        <v>43</v>
      </c>
      <c r="C44" s="1" t="s">
        <v>52</v>
      </c>
      <c r="D44" s="1" t="s">
        <v>45</v>
      </c>
      <c r="E44" s="1" t="s">
        <v>113</v>
      </c>
      <c r="F44" s="1" t="s">
        <v>114</v>
      </c>
      <c r="G44" s="5" t="s">
        <v>115</v>
      </c>
      <c r="H44" s="6">
        <v>59.43</v>
      </c>
      <c r="I44" s="6">
        <f t="shared" si="0"/>
        <v>25.004206629648323</v>
      </c>
      <c r="J44" s="6">
        <v>14.86</v>
      </c>
      <c r="K44" s="1" t="s">
        <v>116</v>
      </c>
      <c r="L44" s="1">
        <v>15278437</v>
      </c>
      <c r="M44" s="7">
        <v>46028</v>
      </c>
      <c r="N44" t="s">
        <v>245</v>
      </c>
    </row>
    <row r="45" spans="1:19" ht="15" customHeight="1" x14ac:dyDescent="0.25">
      <c r="A45" s="1" t="s">
        <v>42</v>
      </c>
      <c r="B45" s="4" t="s">
        <v>43</v>
      </c>
      <c r="C45" s="1" t="s">
        <v>52</v>
      </c>
      <c r="D45" s="1" t="s">
        <v>45</v>
      </c>
      <c r="E45" s="1" t="s">
        <v>217</v>
      </c>
      <c r="F45" s="1" t="s">
        <v>218</v>
      </c>
      <c r="G45" s="5" t="s">
        <v>55</v>
      </c>
      <c r="H45" s="6">
        <v>56.03</v>
      </c>
      <c r="I45" s="6">
        <f t="shared" si="0"/>
        <v>25.004461895413172</v>
      </c>
      <c r="J45" s="6">
        <v>14.01</v>
      </c>
      <c r="K45" s="1" t="s">
        <v>84</v>
      </c>
      <c r="L45" s="1">
        <v>15950276</v>
      </c>
      <c r="M45" s="7">
        <v>46023</v>
      </c>
      <c r="N45" t="s">
        <v>245</v>
      </c>
    </row>
    <row r="46" spans="1:19" ht="15" customHeight="1" x14ac:dyDescent="0.25">
      <c r="A46" s="1" t="s">
        <v>42</v>
      </c>
      <c r="B46" s="4" t="s">
        <v>43</v>
      </c>
      <c r="C46" s="1" t="s">
        <v>52</v>
      </c>
      <c r="D46" s="1" t="s">
        <v>45</v>
      </c>
      <c r="E46" s="1" t="s">
        <v>229</v>
      </c>
      <c r="F46" s="1" t="s">
        <v>230</v>
      </c>
      <c r="G46" s="5" t="s">
        <v>231</v>
      </c>
      <c r="H46" s="6">
        <v>56.03</v>
      </c>
      <c r="I46" s="6">
        <f t="shared" si="0"/>
        <v>25.004461895413172</v>
      </c>
      <c r="J46" s="6">
        <v>14.01</v>
      </c>
      <c r="K46" s="1" t="s">
        <v>84</v>
      </c>
      <c r="L46" s="1">
        <v>15950276</v>
      </c>
      <c r="M46" s="7">
        <v>46005</v>
      </c>
      <c r="N46" t="s">
        <v>245</v>
      </c>
    </row>
    <row r="47" spans="1:19" ht="15" customHeight="1" x14ac:dyDescent="0.25">
      <c r="A47" s="1" t="s">
        <v>42</v>
      </c>
      <c r="B47" s="4" t="s">
        <v>43</v>
      </c>
      <c r="C47" s="1" t="s">
        <v>52</v>
      </c>
      <c r="D47" s="1" t="s">
        <v>45</v>
      </c>
      <c r="E47" s="1" t="s">
        <v>229</v>
      </c>
      <c r="F47" s="1" t="s">
        <v>230</v>
      </c>
      <c r="G47" s="5" t="s">
        <v>233</v>
      </c>
      <c r="H47" s="6">
        <v>56.03</v>
      </c>
      <c r="I47" s="6">
        <f t="shared" si="0"/>
        <v>25.004461895413172</v>
      </c>
      <c r="J47" s="6">
        <v>14.01</v>
      </c>
      <c r="K47" s="1" t="s">
        <v>84</v>
      </c>
      <c r="L47" s="1">
        <v>15950276</v>
      </c>
      <c r="M47" s="7">
        <v>46005</v>
      </c>
      <c r="N47" t="s">
        <v>245</v>
      </c>
    </row>
    <row r="48" spans="1:19" ht="15" customHeight="1" x14ac:dyDescent="0.25">
      <c r="A48" s="11" t="s">
        <v>42</v>
      </c>
      <c r="B48" s="12" t="s">
        <v>43</v>
      </c>
      <c r="C48" s="11" t="s">
        <v>73</v>
      </c>
      <c r="D48" s="11" t="s">
        <v>74</v>
      </c>
      <c r="E48" s="11" t="s">
        <v>75</v>
      </c>
      <c r="F48" s="11" t="s">
        <v>76</v>
      </c>
      <c r="G48" s="13" t="s">
        <v>55</v>
      </c>
      <c r="H48" s="14">
        <v>33.29</v>
      </c>
      <c r="I48" s="14">
        <f t="shared" si="0"/>
        <v>27.996395313908085</v>
      </c>
      <c r="J48" s="14">
        <v>9.32</v>
      </c>
      <c r="K48" s="11" t="s">
        <v>77</v>
      </c>
      <c r="L48" s="11">
        <v>19681796</v>
      </c>
      <c r="M48" s="15">
        <v>46023</v>
      </c>
      <c r="N48" s="16" t="s">
        <v>247</v>
      </c>
      <c r="O48" s="16"/>
      <c r="P48" s="16"/>
      <c r="Q48" s="16"/>
      <c r="R48" s="16"/>
      <c r="S48" s="16"/>
    </row>
  </sheetData>
  <sortState xmlns:xlrd2="http://schemas.microsoft.com/office/spreadsheetml/2017/richdata2" ref="A2:S54">
    <sortCondition ref="I2:I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Cover_Page</vt:lpstr>
      <vt:lpstr>Details</vt:lpstr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2026-01-20T23:07:56Z</dcterms:created>
  <dcterms:modified xsi:type="dcterms:W3CDTF">2026-06-02T14:44:27Z</dcterms:modified>
</cp:coreProperties>
</file>