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B8B935E-F456-4D00-814B-E2FA154F9CF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ver_Page" sheetId="1" r:id="rId1"/>
    <sheet name="Details" sheetId="2" r:id="rId2"/>
    <sheet name="Sheet1" sheetId="3" r:id="rId3"/>
  </sheets>
  <definedNames>
    <definedName name="page\x2dtotal">Details!$A$53</definedName>
    <definedName name="page\x2dtotal\x2dmaster0">Details!$A$53</definedName>
  </definedNames>
  <calcPr calcId="181029"/>
</workbook>
</file>

<file path=xl/calcChain.xml><?xml version="1.0" encoding="utf-8"?>
<calcChain xmlns="http://schemas.openxmlformats.org/spreadsheetml/2006/main">
  <c r="F58" i="3" l="1"/>
  <c r="F26" i="3"/>
  <c r="F27" i="3"/>
  <c r="F44" i="3"/>
  <c r="F71" i="3"/>
  <c r="F28" i="3"/>
  <c r="F53" i="3"/>
  <c r="F8" i="3"/>
  <c r="F59" i="3"/>
  <c r="F52" i="3"/>
  <c r="F12" i="3"/>
  <c r="F69" i="3"/>
  <c r="F51" i="3"/>
  <c r="F17" i="3"/>
  <c r="F13" i="3"/>
  <c r="F21" i="3"/>
  <c r="F23" i="3"/>
  <c r="F9" i="3"/>
  <c r="F45" i="3"/>
  <c r="F29" i="3"/>
  <c r="F30" i="3"/>
  <c r="F11" i="3"/>
  <c r="F56" i="3"/>
  <c r="F6" i="3"/>
  <c r="F46" i="3"/>
  <c r="F64" i="3"/>
  <c r="F25" i="3"/>
  <c r="F68" i="3"/>
  <c r="F31" i="3"/>
  <c r="F2" i="3"/>
  <c r="F4" i="3"/>
  <c r="F3" i="3"/>
  <c r="F32" i="3"/>
  <c r="F50" i="3"/>
  <c r="F33" i="3"/>
  <c r="F5" i="3"/>
  <c r="F20" i="3"/>
  <c r="F41" i="3"/>
  <c r="F55" i="3"/>
  <c r="F34" i="3"/>
  <c r="F70" i="3"/>
  <c r="F35" i="3"/>
  <c r="F36" i="3"/>
  <c r="F54" i="3"/>
  <c r="F37" i="3"/>
  <c r="F63" i="3"/>
  <c r="F14" i="3"/>
  <c r="F22" i="3"/>
  <c r="F24" i="3"/>
  <c r="F10" i="3"/>
  <c r="F18" i="3"/>
  <c r="F16" i="3"/>
  <c r="F57" i="3"/>
  <c r="F61" i="3"/>
  <c r="F62" i="3"/>
  <c r="F7" i="3"/>
  <c r="F19" i="3"/>
  <c r="F47" i="3"/>
  <c r="F48" i="3"/>
  <c r="F49" i="3"/>
  <c r="F15" i="3"/>
  <c r="F65" i="3"/>
  <c r="F66" i="3"/>
  <c r="F67" i="3"/>
  <c r="F38" i="3"/>
  <c r="F39" i="3"/>
  <c r="F40" i="3"/>
  <c r="F42" i="3"/>
  <c r="F43" i="3"/>
  <c r="F60" i="3"/>
</calcChain>
</file>

<file path=xl/sharedStrings.xml><?xml version="1.0" encoding="utf-8"?>
<sst xmlns="http://schemas.openxmlformats.org/spreadsheetml/2006/main" count="880" uniqueCount="270">
  <si>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</si>
  <si>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</si>
  <si>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</si>
  <si>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</si>
  <si>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</si>
  <si>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</si>
  <si>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</si>
  <si>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</si>
  <si>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</si>
  <si>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</si>
  <si>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03-10-2026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</si>
  <si>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</si>
  <si>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</si>
  <si>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</si>
  <si>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</si>
  <si>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</si>
  <si>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</si>
  <si>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</si>
  <si>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</si>
  <si>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</si>
  <si>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</si>
  <si>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</si>
  <si>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</si>
  <si>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</si>
  <si>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</si>
  <si>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</si>
  <si>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</si>
  <si>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</si>
  <si>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</si>
  <si>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</si>
  <si>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</si>
  <si>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</si>
  <si>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</si>
  <si>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</si>
  <si>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</si>
  <si>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</si>
  <si>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</si>
  <si>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</si>
  <si>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</si>
  <si>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</si>
  <si>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</si>
  <si>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</si>
  <si>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03-2026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</si>
  <si>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</si>
  <si>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ISTM.MM-12-PPO</t>
  </si>
  <si>
    <t>North River</t>
  </si>
  <si>
    <t>1587616-0-1</t>
  </si>
  <si>
    <t>Hibbard, Mathias</t>
  </si>
  <si>
    <t>02-28-2026</t>
  </si>
  <si>
    <t>Timothy Hodgman</t>
  </si>
  <si>
    <t>95788</t>
  </si>
  <si>
    <t>P0845804</t>
  </si>
  <si>
    <t>ISTM.MM-12-RB2</t>
  </si>
  <si>
    <t>1587644-0-1</t>
  </si>
  <si>
    <t>Hodgman, Griffin</t>
  </si>
  <si>
    <t>03-01-2026</t>
  </si>
  <si>
    <t>P0845849</t>
  </si>
  <si>
    <t>1587672-0-1</t>
  </si>
  <si>
    <t>P0845895</t>
  </si>
  <si>
    <t>1587673-0-1</t>
  </si>
  <si>
    <t>Hodgman, Ryan</t>
  </si>
  <si>
    <t>P0845897</t>
  </si>
  <si>
    <t>1588113-0-1</t>
  </si>
  <si>
    <t>Wolk, Ronald</t>
  </si>
  <si>
    <t>Deborah Inskipt</t>
  </si>
  <si>
    <t>96033</t>
  </si>
  <si>
    <t>P0846506</t>
  </si>
  <si>
    <t>IDEN-01-PPO</t>
  </si>
  <si>
    <t>Renaissance</t>
  </si>
  <si>
    <t>1588257-0-1</t>
  </si>
  <si>
    <t>Fleming, Colette</t>
  </si>
  <si>
    <t>Chris Taugner</t>
  </si>
  <si>
    <t>95679</t>
  </si>
  <si>
    <t>996203952</t>
  </si>
  <si>
    <t>1588267-0-1</t>
  </si>
  <si>
    <t>P0846709</t>
  </si>
  <si>
    <t>1588802-0-1</t>
  </si>
  <si>
    <t>Shamuluas, Scott</t>
  </si>
  <si>
    <t>P0847429</t>
  </si>
  <si>
    <t>1600114-0-1</t>
  </si>
  <si>
    <t>Olson, Nathan</t>
  </si>
  <si>
    <t>Lori Tunstall</t>
  </si>
  <si>
    <t>82178</t>
  </si>
  <si>
    <t>P0847510</t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</si>
  <si>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</si>
  <si>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</si>
  <si>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</si>
  <si>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</si>
  <si>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</si>
  <si>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</si>
  <si>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</si>
  <si>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t>1600997-0-1</t>
  </si>
  <si>
    <t>Patel, Hiren</t>
  </si>
  <si>
    <t>03-03-2026</t>
  </si>
  <si>
    <t>Frank Liskovec</t>
  </si>
  <si>
    <t>95755</t>
  </si>
  <si>
    <t>P0848836</t>
  </si>
  <si>
    <t>1601009-0-1</t>
  </si>
  <si>
    <t>Doane, Patrick</t>
  </si>
  <si>
    <t>Gregory Teipel</t>
  </si>
  <si>
    <t>80639</t>
  </si>
  <si>
    <t>P0848858</t>
  </si>
  <si>
    <t>1601364-0-1</t>
  </si>
  <si>
    <t>Haines, Grant</t>
  </si>
  <si>
    <t>03-06-2026</t>
  </si>
  <si>
    <t>Jason Hoffmann</t>
  </si>
  <si>
    <t>P0849383</t>
  </si>
  <si>
    <t>1601698-0-1</t>
  </si>
  <si>
    <t>Swinson, Kathryn</t>
  </si>
  <si>
    <t>P0848435</t>
  </si>
  <si>
    <t>1605289-0-1</t>
  </si>
  <si>
    <t>Enck, John</t>
  </si>
  <si>
    <t>Brittany Oliver</t>
  </si>
  <si>
    <t>332</t>
  </si>
  <si>
    <t>P0852255</t>
  </si>
  <si>
    <t>1623052-0-1</t>
  </si>
  <si>
    <t>Reed, Wendy</t>
  </si>
  <si>
    <t>Dominic Lytle</t>
  </si>
  <si>
    <t>6224</t>
  </si>
  <si>
    <t>P0853525</t>
  </si>
  <si>
    <t>1623320-0-1</t>
  </si>
  <si>
    <t>Taugner, Christian</t>
  </si>
  <si>
    <t>P0854216</t>
  </si>
  <si>
    <t>1623546-0-1</t>
  </si>
  <si>
    <t>Keivan, Robert</t>
  </si>
  <si>
    <t>P0854519</t>
  </si>
  <si>
    <t>1623606-0-1</t>
  </si>
  <si>
    <t>Pijanowski, Samuel</t>
  </si>
  <si>
    <t>P0854603</t>
  </si>
  <si>
    <t>1625873-0-1</t>
  </si>
  <si>
    <t>Madden, James</t>
  </si>
  <si>
    <t>02-24-2026</t>
  </si>
  <si>
    <t>P0857662</t>
  </si>
  <si>
    <t>ISTM-11-PPO</t>
  </si>
  <si>
    <t>1626346-0-1</t>
  </si>
  <si>
    <t>Mattingly, Stephen</t>
  </si>
  <si>
    <t>02-27-2026</t>
  </si>
  <si>
    <t>Gary Portugal</t>
  </si>
  <si>
    <t>95756</t>
  </si>
  <si>
    <t>P0858253</t>
  </si>
  <si>
    <t>1626729-0-1</t>
  </si>
  <si>
    <t>Lavese Williams, Celia</t>
  </si>
  <si>
    <t>P0858788</t>
  </si>
  <si>
    <t>194510-0-1</t>
  </si>
  <si>
    <t>Avila Ortiz, Orlando</t>
  </si>
  <si>
    <t>Dale Walenga</t>
  </si>
  <si>
    <t>96477</t>
  </si>
  <si>
    <t>996202166</t>
  </si>
  <si>
    <t>625199-2-1</t>
  </si>
  <si>
    <t>Callozzo, Janis</t>
  </si>
  <si>
    <t>P0773348</t>
  </si>
  <si>
    <t>ISTM-25-RBP</t>
  </si>
  <si>
    <t>Pan-American Life</t>
  </si>
  <si>
    <t>628086-2-1</t>
  </si>
  <si>
    <t>Ferreira, Lara</t>
  </si>
  <si>
    <t>P0777511</t>
  </si>
  <si>
    <t>630948-1-1</t>
  </si>
  <si>
    <t>Monckton, Marilyn</t>
  </si>
  <si>
    <t>Wesley Ellis</t>
  </si>
  <si>
    <t>2223</t>
  </si>
  <si>
    <t>P0781578</t>
  </si>
  <si>
    <t>634079-1-1</t>
  </si>
  <si>
    <t>Woods, Thomas</t>
  </si>
  <si>
    <t>Saadia Abdul</t>
  </si>
  <si>
    <t>95631</t>
  </si>
  <si>
    <t>P0786073</t>
  </si>
  <si>
    <t>645245-0-1</t>
  </si>
  <si>
    <t>Kuhn, Neal</t>
  </si>
  <si>
    <t>P0800305</t>
  </si>
  <si>
    <t>647708-0-1</t>
  </si>
  <si>
    <t>Titus, Kari</t>
  </si>
  <si>
    <t>Adam Richter</t>
  </si>
  <si>
    <t>80604</t>
  </si>
  <si>
    <t>P0832323</t>
  </si>
  <si>
    <t>648085-0-1</t>
  </si>
  <si>
    <t>Chapman, Rashelle</t>
  </si>
  <si>
    <t>03-04-2026</t>
  </si>
  <si>
    <t>Erica Solivan</t>
  </si>
  <si>
    <t>2658</t>
  </si>
  <si>
    <t>P0832836</t>
  </si>
  <si>
    <t>649381-0-1</t>
  </si>
  <si>
    <t>Guldin, Susan</t>
  </si>
  <si>
    <t>P0834638</t>
  </si>
  <si>
    <t>649387-0-1</t>
  </si>
  <si>
    <t>Potter, Alison</t>
  </si>
  <si>
    <t>P0834649</t>
  </si>
  <si>
    <t>649978-0-1</t>
  </si>
  <si>
    <t>Starr, Lisa</t>
  </si>
  <si>
    <t>P0835493</t>
  </si>
  <si>
    <t>650639-0-1</t>
  </si>
  <si>
    <t>Kelly, Lisa</t>
  </si>
  <si>
    <t>Chad Bender</t>
  </si>
  <si>
    <t>69709</t>
  </si>
  <si>
    <t>P0836586</t>
  </si>
  <si>
    <t>651050-0-1</t>
  </si>
  <si>
    <t>Nennig, Donald</t>
  </si>
  <si>
    <t>P0837213</t>
  </si>
  <si>
    <t>651869-0-1</t>
  </si>
  <si>
    <t>Lapetina, John</t>
  </si>
  <si>
    <t>03-02-2026</t>
  </si>
  <si>
    <t>Jacob Yale</t>
  </si>
  <si>
    <t>95760</t>
  </si>
  <si>
    <t>P0838362</t>
  </si>
  <si>
    <t>652801-0-1</t>
  </si>
  <si>
    <t>Tunstall, Lori</t>
  </si>
  <si>
    <t>P0839804</t>
  </si>
  <si>
    <t>652805-0-1</t>
  </si>
  <si>
    <t>Morgan, Michael</t>
  </si>
  <si>
    <t>Carol Foley</t>
  </si>
  <si>
    <t>81570</t>
  </si>
  <si>
    <t>P0839810</t>
  </si>
  <si>
    <t>653176-0-1</t>
  </si>
  <si>
    <t>Clubbs, Scott</t>
  </si>
  <si>
    <t>Ines Berg</t>
  </si>
  <si>
    <t>7511</t>
  </si>
  <si>
    <t>P0840383</t>
  </si>
  <si>
    <t>653292-0-1</t>
  </si>
  <si>
    <t>McNeill, Laura</t>
  </si>
  <si>
    <t>P0840544</t>
  </si>
  <si>
    <t>653615-0-1</t>
  </si>
  <si>
    <t>Abrams, Mitchell</t>
  </si>
  <si>
    <t>P0841096</t>
  </si>
  <si>
    <t>654106-0-1</t>
  </si>
  <si>
    <t>Mease, Spencer</t>
  </si>
  <si>
    <t>Ryan Stocker</t>
  </si>
  <si>
    <t>99977</t>
  </si>
  <si>
    <t>P0841863</t>
  </si>
  <si>
    <t>654332-0-1</t>
  </si>
  <si>
    <t>Ammerman, Maria</t>
  </si>
  <si>
    <t>P0842229</t>
  </si>
  <si>
    <t>654396-0-1</t>
  </si>
  <si>
    <t>Olson, Jon</t>
  </si>
  <si>
    <t>P0842353</t>
  </si>
  <si>
    <t>654472-0-1</t>
  </si>
  <si>
    <t>Guerra, Maricel</t>
  </si>
  <si>
    <t>P0842479</t>
  </si>
  <si>
    <t>655372-0-1</t>
  </si>
  <si>
    <t>Laughlin, Sherry</t>
  </si>
  <si>
    <t>Scott Aguglia</t>
  </si>
  <si>
    <t>81722</t>
  </si>
  <si>
    <t>P0844007</t>
  </si>
  <si>
    <t>Totals</t>
  </si>
  <si>
    <t>1587767-0-1</t>
  </si>
  <si>
    <t>Ferraro, Nathaniel</t>
  </si>
  <si>
    <t>1623353-0-1</t>
  </si>
  <si>
    <t>Hughes, Douglas</t>
  </si>
  <si>
    <t>1625731-0-1</t>
  </si>
  <si>
    <t>Stozek, Joanna</t>
  </si>
  <si>
    <t>620761-2-1</t>
  </si>
  <si>
    <t>Louis, Anthony</t>
  </si>
  <si>
    <t>626312-2-1</t>
  </si>
  <si>
    <t>Mc Williams, Dustin</t>
  </si>
  <si>
    <t>629065-2-1</t>
  </si>
  <si>
    <t>Arriaza, Carl</t>
  </si>
  <si>
    <t>Heather Geske</t>
  </si>
  <si>
    <t>631121-2-1</t>
  </si>
  <si>
    <t>Naidoo, Jiovani</t>
  </si>
  <si>
    <t>643191-0-1</t>
  </si>
  <si>
    <t>Klein, Greygrey</t>
  </si>
  <si>
    <t>643288-0-1</t>
  </si>
  <si>
    <t>Klein, Grey</t>
  </si>
  <si>
    <t>646563-0-1</t>
  </si>
  <si>
    <t>Arnold, Jacob</t>
  </si>
  <si>
    <t>ST &amp; Bridge EX DE IA IN KS MI MS ND NE NH OH TN VA</t>
  </si>
  <si>
    <t>Dental</t>
  </si>
  <si>
    <t>Pivot OVR</t>
  </si>
  <si>
    <t>Short &amp; Bridge KS</t>
  </si>
  <si>
    <t>Renaissance Dental</t>
  </si>
  <si>
    <t>Main Line Benefits</t>
  </si>
  <si>
    <t>ST &amp; Bridge IA IN MI MS ND NE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</si>
</sst>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14" fontId="1" fillId="0" borderId="2" xfId="0" applyNumberFormat="1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14" fontId="1" fillId="3" borderId="2" xfId="0" applyNumberFormat="1" applyFont="1" applyFill="1" applyBorder="1" applyAlignment="1">
      <alignment horizontal="left" vertical="top" wrapText="1"/>
    </xf>
    <xf numFmtId="14" fontId="1" fillId="3" borderId="2" xfId="0" applyNumberFormat="1" applyFont="1" applyFill="1" applyBorder="1" applyAlignment="1">
      <alignment horizontal="right" vertical="top" wrapText="1"/>
    </xf>
    <xf numFmtId="0" fontId="0" fillId="3" borderId="0" xfId="0" applyFill="1"/>
    <xf numFmtId="0" fontId="1" fillId="4" borderId="2" xfId="0" applyFont="1" applyFill="1" applyBorder="1" applyAlignment="1">
      <alignment horizontal="left" vertical="top" wrapText="1"/>
    </xf>
    <xf numFmtId="4" fontId="1" fillId="4" borderId="2" xfId="0" applyNumberFormat="1" applyFont="1" applyFill="1" applyBorder="1" applyAlignment="1">
      <alignment horizontal="right" vertical="top" wrapText="1"/>
    </xf>
    <xf numFmtId="14" fontId="1" fillId="4" borderId="2" xfId="0" applyNumberFormat="1" applyFont="1" applyFill="1" applyBorder="1" applyAlignment="1">
      <alignment horizontal="left" vertical="top" wrapText="1"/>
    </xf>
    <xf numFmtId="14" fontId="1" fillId="4" borderId="2" xfId="0" applyNumberFormat="1" applyFont="1" applyFill="1" applyBorder="1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activeCell="F12" sqref="F12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2690346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1868.32</v>
      </c>
      <c r="C23" s="13"/>
    </row>
    <row r="24" spans="1:7" x14ac:dyDescent="0.25">
      <c r="A24" s="1" t="s">
        <v>21</v>
      </c>
      <c r="B24" s="12">
        <v>1868.32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4140.97</v>
      </c>
      <c r="C26" s="13"/>
    </row>
    <row r="27" spans="1:7" x14ac:dyDescent="0.25">
      <c r="A27" s="1" t="s">
        <v>24</v>
      </c>
      <c r="B27" s="12">
        <v>4140.97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showGridLines="0" workbookViewId="0">
      <selection activeCell="F38" sqref="F38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214.94</v>
      </c>
      <c r="I4" s="6">
        <v>53.74</v>
      </c>
      <c r="J4" s="1" t="s">
        <v>49</v>
      </c>
      <c r="K4" s="1" t="s">
        <v>50</v>
      </c>
      <c r="L4" s="7">
        <v>46020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1" t="s">
        <v>53</v>
      </c>
      <c r="F5" s="1" t="s">
        <v>54</v>
      </c>
      <c r="G5" s="5" t="s">
        <v>55</v>
      </c>
      <c r="H5" s="6">
        <v>220.94</v>
      </c>
      <c r="I5" s="6">
        <v>55.24</v>
      </c>
      <c r="J5" s="1" t="s">
        <v>49</v>
      </c>
      <c r="K5" s="1" t="s">
        <v>50</v>
      </c>
      <c r="L5" s="7">
        <v>46023</v>
      </c>
      <c r="M5" s="8"/>
      <c r="N5" s="9">
        <v>364</v>
      </c>
      <c r="O5" s="1" t="s">
        <v>56</v>
      </c>
      <c r="P5" s="8"/>
    </row>
    <row r="6" spans="1:17" ht="25.5" x14ac:dyDescent="0.25">
      <c r="A6" s="1" t="s">
        <v>42</v>
      </c>
      <c r="B6" s="4" t="s">
        <v>43</v>
      </c>
      <c r="C6" s="1" t="s">
        <v>52</v>
      </c>
      <c r="D6" s="1" t="s">
        <v>45</v>
      </c>
      <c r="E6" s="1" t="s">
        <v>57</v>
      </c>
      <c r="F6" s="1" t="s">
        <v>54</v>
      </c>
      <c r="G6" s="5" t="s">
        <v>55</v>
      </c>
      <c r="H6" s="6">
        <v>96.16</v>
      </c>
      <c r="I6" s="6">
        <v>24.04</v>
      </c>
      <c r="J6" s="1" t="s">
        <v>49</v>
      </c>
      <c r="K6" s="1" t="s">
        <v>50</v>
      </c>
      <c r="L6" s="7">
        <v>46023</v>
      </c>
      <c r="M6" s="8"/>
      <c r="N6" s="9">
        <v>364</v>
      </c>
      <c r="O6" s="1" t="s">
        <v>58</v>
      </c>
      <c r="P6" s="8"/>
    </row>
    <row r="7" spans="1:17" ht="25.5" x14ac:dyDescent="0.25">
      <c r="A7" s="1" t="s">
        <v>42</v>
      </c>
      <c r="B7" s="4" t="s">
        <v>43</v>
      </c>
      <c r="C7" s="1" t="s">
        <v>52</v>
      </c>
      <c r="D7" s="1" t="s">
        <v>45</v>
      </c>
      <c r="E7" s="1" t="s">
        <v>59</v>
      </c>
      <c r="F7" s="1" t="s">
        <v>60</v>
      </c>
      <c r="G7" s="5" t="s">
        <v>55</v>
      </c>
      <c r="H7" s="6">
        <v>96.16</v>
      </c>
      <c r="I7" s="6">
        <v>24.04</v>
      </c>
      <c r="J7" s="1" t="s">
        <v>49</v>
      </c>
      <c r="K7" s="1" t="s">
        <v>50</v>
      </c>
      <c r="L7" s="7">
        <v>46023</v>
      </c>
      <c r="M7" s="8"/>
      <c r="N7" s="9">
        <v>364</v>
      </c>
      <c r="O7" s="1" t="s">
        <v>61</v>
      </c>
      <c r="P7" s="8"/>
    </row>
    <row r="8" spans="1:17" ht="25.5" x14ac:dyDescent="0.25">
      <c r="A8" s="1" t="s">
        <v>42</v>
      </c>
      <c r="B8" s="4" t="s">
        <v>43</v>
      </c>
      <c r="C8" s="1" t="s">
        <v>52</v>
      </c>
      <c r="D8" s="1" t="s">
        <v>45</v>
      </c>
      <c r="E8" s="1" t="s">
        <v>62</v>
      </c>
      <c r="F8" s="1" t="s">
        <v>63</v>
      </c>
      <c r="G8" s="5" t="s">
        <v>55</v>
      </c>
      <c r="H8" s="6">
        <v>1213.06</v>
      </c>
      <c r="I8" s="6">
        <v>303.27</v>
      </c>
      <c r="J8" s="1" t="s">
        <v>64</v>
      </c>
      <c r="K8" s="1" t="s">
        <v>65</v>
      </c>
      <c r="L8" s="7">
        <v>46023</v>
      </c>
      <c r="M8" s="8"/>
      <c r="N8" s="9">
        <v>364</v>
      </c>
      <c r="O8" s="1" t="s">
        <v>66</v>
      </c>
      <c r="P8" s="8"/>
    </row>
    <row r="9" spans="1:17" x14ac:dyDescent="0.25">
      <c r="A9" s="1" t="s">
        <v>42</v>
      </c>
      <c r="B9" s="4" t="s">
        <v>43</v>
      </c>
      <c r="C9" s="1" t="s">
        <v>67</v>
      </c>
      <c r="D9" s="1" t="s">
        <v>68</v>
      </c>
      <c r="E9" s="1" t="s">
        <v>69</v>
      </c>
      <c r="F9" s="1" t="s">
        <v>70</v>
      </c>
      <c r="G9" s="5" t="s">
        <v>55</v>
      </c>
      <c r="H9" s="6">
        <v>33.29</v>
      </c>
      <c r="I9" s="6">
        <v>9.32</v>
      </c>
      <c r="J9" s="1" t="s">
        <v>71</v>
      </c>
      <c r="K9" s="1" t="s">
        <v>72</v>
      </c>
      <c r="L9" s="7">
        <v>46023</v>
      </c>
      <c r="M9" s="8"/>
      <c r="N9" s="8"/>
      <c r="O9" s="1" t="s">
        <v>73</v>
      </c>
      <c r="P9" s="8"/>
    </row>
    <row r="10" spans="1:17" ht="25.5" x14ac:dyDescent="0.25">
      <c r="A10" s="1" t="s">
        <v>42</v>
      </c>
      <c r="B10" s="4" t="s">
        <v>43</v>
      </c>
      <c r="C10" s="1" t="s">
        <v>44</v>
      </c>
      <c r="D10" s="1" t="s">
        <v>45</v>
      </c>
      <c r="E10" s="1" t="s">
        <v>74</v>
      </c>
      <c r="F10" s="1" t="s">
        <v>70</v>
      </c>
      <c r="G10" s="5" t="s">
        <v>55</v>
      </c>
      <c r="H10" s="6">
        <v>248.28</v>
      </c>
      <c r="I10" s="6">
        <v>62.07</v>
      </c>
      <c r="J10" s="1" t="s">
        <v>71</v>
      </c>
      <c r="K10" s="1" t="s">
        <v>72</v>
      </c>
      <c r="L10" s="7">
        <v>46023</v>
      </c>
      <c r="M10" s="8"/>
      <c r="N10" s="9">
        <v>180</v>
      </c>
      <c r="O10" s="1" t="s">
        <v>75</v>
      </c>
      <c r="P10" s="8"/>
    </row>
    <row r="11" spans="1:17" ht="25.5" x14ac:dyDescent="0.25">
      <c r="A11" s="1" t="s">
        <v>42</v>
      </c>
      <c r="B11" s="4" t="s">
        <v>43</v>
      </c>
      <c r="C11" s="1" t="s">
        <v>44</v>
      </c>
      <c r="D11" s="1" t="s">
        <v>45</v>
      </c>
      <c r="E11" s="1" t="s">
        <v>76</v>
      </c>
      <c r="F11" s="1" t="s">
        <v>77</v>
      </c>
      <c r="G11" s="5" t="s">
        <v>55</v>
      </c>
      <c r="H11" s="6">
        <v>399.02</v>
      </c>
      <c r="I11" s="6">
        <v>99.76</v>
      </c>
      <c r="J11" s="1" t="s">
        <v>71</v>
      </c>
      <c r="K11" s="1" t="s">
        <v>72</v>
      </c>
      <c r="L11" s="7">
        <v>46023</v>
      </c>
      <c r="M11" s="8"/>
      <c r="N11" s="9">
        <v>330</v>
      </c>
      <c r="O11" s="1" t="s">
        <v>78</v>
      </c>
      <c r="P11" s="8"/>
    </row>
    <row r="12" spans="1:17" ht="25.5" x14ac:dyDescent="0.25">
      <c r="A12" s="1" t="s">
        <v>42</v>
      </c>
      <c r="B12" s="4" t="s">
        <v>43</v>
      </c>
      <c r="C12" s="1" t="s">
        <v>52</v>
      </c>
      <c r="D12" s="1" t="s">
        <v>45</v>
      </c>
      <c r="E12" s="1" t="s">
        <v>79</v>
      </c>
      <c r="F12" s="1" t="s">
        <v>80</v>
      </c>
      <c r="G12" s="5" t="s">
        <v>55</v>
      </c>
      <c r="H12" s="6">
        <v>125.08</v>
      </c>
      <c r="I12" s="6">
        <v>12.51</v>
      </c>
      <c r="J12" s="1" t="s">
        <v>81</v>
      </c>
      <c r="K12" s="1" t="s">
        <v>82</v>
      </c>
      <c r="L12" s="7">
        <v>46023</v>
      </c>
      <c r="M12" s="8"/>
      <c r="N12" s="9">
        <v>89</v>
      </c>
      <c r="O12" s="1" t="s">
        <v>83</v>
      </c>
      <c r="P12" s="8"/>
    </row>
    <row r="13" spans="1:17" x14ac:dyDescent="0.25">
      <c r="A13" s="1" t="s">
        <v>42</v>
      </c>
      <c r="B13" s="4" t="s">
        <v>43</v>
      </c>
      <c r="C13" s="1" t="s">
        <v>84</v>
      </c>
      <c r="D13" s="1" t="s">
        <v>85</v>
      </c>
      <c r="E13" s="1" t="s">
        <v>86</v>
      </c>
      <c r="F13" s="1" t="s">
        <v>87</v>
      </c>
      <c r="G13" s="5" t="s">
        <v>55</v>
      </c>
      <c r="H13" s="6">
        <v>215.74</v>
      </c>
      <c r="I13" s="6">
        <v>53.94</v>
      </c>
      <c r="J13" s="1" t="s">
        <v>88</v>
      </c>
      <c r="K13" s="1" t="s">
        <v>89</v>
      </c>
      <c r="L13" s="7">
        <v>46023</v>
      </c>
      <c r="M13" s="8"/>
      <c r="N13" s="9">
        <v>364</v>
      </c>
      <c r="O13" s="1" t="s">
        <v>90</v>
      </c>
      <c r="P13" s="8"/>
    </row>
    <row r="14" spans="1:17" ht="25.5" x14ac:dyDescent="0.25">
      <c r="A14" s="1" t="s">
        <v>42</v>
      </c>
      <c r="B14" s="4" t="s">
        <v>43</v>
      </c>
      <c r="C14" s="1" t="s">
        <v>52</v>
      </c>
      <c r="D14" s="1" t="s">
        <v>45</v>
      </c>
      <c r="E14" s="1" t="s">
        <v>91</v>
      </c>
      <c r="F14" s="1" t="s">
        <v>92</v>
      </c>
      <c r="G14" s="5" t="s">
        <v>93</v>
      </c>
      <c r="H14" s="6">
        <v>712.73</v>
      </c>
      <c r="I14" s="6">
        <v>178.19</v>
      </c>
      <c r="J14" s="1" t="s">
        <v>94</v>
      </c>
      <c r="K14" s="1" t="s">
        <v>95</v>
      </c>
      <c r="L14" s="7">
        <v>46025</v>
      </c>
      <c r="M14" s="8"/>
      <c r="N14" s="9">
        <v>364</v>
      </c>
      <c r="O14" s="1" t="s">
        <v>96</v>
      </c>
      <c r="P14" s="8"/>
    </row>
    <row r="15" spans="1:17" ht="25.5" x14ac:dyDescent="0.25">
      <c r="A15" s="1" t="s">
        <v>42</v>
      </c>
      <c r="B15" s="4" t="s">
        <v>43</v>
      </c>
      <c r="C15" s="1" t="s">
        <v>52</v>
      </c>
      <c r="D15" s="1" t="s">
        <v>45</v>
      </c>
      <c r="E15" s="1" t="s">
        <v>97</v>
      </c>
      <c r="F15" s="1" t="s">
        <v>98</v>
      </c>
      <c r="G15" s="5" t="s">
        <v>93</v>
      </c>
      <c r="H15" s="6">
        <v>390.72</v>
      </c>
      <c r="I15" s="6">
        <v>62.52</v>
      </c>
      <c r="J15" s="1" t="s">
        <v>99</v>
      </c>
      <c r="K15" s="1" t="s">
        <v>100</v>
      </c>
      <c r="L15" s="7">
        <v>46025</v>
      </c>
      <c r="M15" s="8"/>
      <c r="N15" s="9">
        <v>364</v>
      </c>
      <c r="O15" s="1" t="s">
        <v>101</v>
      </c>
      <c r="P15" s="8"/>
    </row>
    <row r="16" spans="1:17" ht="25.5" x14ac:dyDescent="0.25">
      <c r="A16" s="1" t="s">
        <v>42</v>
      </c>
      <c r="B16" s="4" t="s">
        <v>43</v>
      </c>
      <c r="C16" s="1" t="s">
        <v>52</v>
      </c>
      <c r="D16" s="1" t="s">
        <v>45</v>
      </c>
      <c r="E16" s="1" t="s">
        <v>102</v>
      </c>
      <c r="F16" s="1" t="s">
        <v>103</v>
      </c>
      <c r="G16" s="5" t="s">
        <v>104</v>
      </c>
      <c r="H16" s="6">
        <v>59.43</v>
      </c>
      <c r="I16" s="6">
        <v>14.86</v>
      </c>
      <c r="J16" s="1" t="s">
        <v>105</v>
      </c>
      <c r="K16" s="1" t="s">
        <v>15</v>
      </c>
      <c r="L16" s="7">
        <v>46028</v>
      </c>
      <c r="M16" s="8"/>
      <c r="N16" s="9">
        <v>90</v>
      </c>
      <c r="O16" s="1" t="s">
        <v>106</v>
      </c>
      <c r="P16" s="8"/>
    </row>
    <row r="17" spans="1:16" x14ac:dyDescent="0.25">
      <c r="A17" s="1" t="s">
        <v>42</v>
      </c>
      <c r="B17" s="4" t="s">
        <v>43</v>
      </c>
      <c r="C17" s="1" t="s">
        <v>84</v>
      </c>
      <c r="D17" s="1" t="s">
        <v>85</v>
      </c>
      <c r="E17" s="1" t="s">
        <v>107</v>
      </c>
      <c r="F17" s="1" t="s">
        <v>108</v>
      </c>
      <c r="G17" s="5" t="s">
        <v>55</v>
      </c>
      <c r="H17" s="6">
        <v>259.79000000000002</v>
      </c>
      <c r="I17" s="6">
        <v>64.95</v>
      </c>
      <c r="J17" s="1" t="s">
        <v>71</v>
      </c>
      <c r="K17" s="1" t="s">
        <v>72</v>
      </c>
      <c r="L17" s="7">
        <v>46023</v>
      </c>
      <c r="M17" s="8"/>
      <c r="N17" s="9">
        <v>364</v>
      </c>
      <c r="O17" s="1" t="s">
        <v>109</v>
      </c>
      <c r="P17" s="8"/>
    </row>
    <row r="18" spans="1:16" ht="25.5" x14ac:dyDescent="0.25">
      <c r="A18" s="1" t="s">
        <v>42</v>
      </c>
      <c r="B18" s="4" t="s">
        <v>43</v>
      </c>
      <c r="C18" s="1" t="s">
        <v>52</v>
      </c>
      <c r="D18" s="1" t="s">
        <v>45</v>
      </c>
      <c r="E18" s="1" t="s">
        <v>110</v>
      </c>
      <c r="F18" s="1" t="s">
        <v>111</v>
      </c>
      <c r="G18" s="5" t="s">
        <v>55</v>
      </c>
      <c r="H18" s="6">
        <v>244.98</v>
      </c>
      <c r="I18" s="6">
        <v>61.24</v>
      </c>
      <c r="J18" s="1" t="s">
        <v>112</v>
      </c>
      <c r="K18" s="1" t="s">
        <v>113</v>
      </c>
      <c r="L18" s="7">
        <v>46054</v>
      </c>
      <c r="M18" s="8"/>
      <c r="N18" s="9">
        <v>90</v>
      </c>
      <c r="O18" s="1" t="s">
        <v>114</v>
      </c>
      <c r="P18" s="8"/>
    </row>
    <row r="19" spans="1:16" ht="25.5" x14ac:dyDescent="0.25">
      <c r="A19" s="1" t="s">
        <v>42</v>
      </c>
      <c r="B19" s="4" t="s">
        <v>43</v>
      </c>
      <c r="C19" s="1" t="s">
        <v>52</v>
      </c>
      <c r="D19" s="1" t="s">
        <v>45</v>
      </c>
      <c r="E19" s="1" t="s">
        <v>115</v>
      </c>
      <c r="F19" s="1" t="s">
        <v>116</v>
      </c>
      <c r="G19" s="5" t="s">
        <v>48</v>
      </c>
      <c r="H19" s="6">
        <v>385.81</v>
      </c>
      <c r="I19" s="6">
        <v>84.88</v>
      </c>
      <c r="J19" s="1" t="s">
        <v>117</v>
      </c>
      <c r="K19" s="1" t="s">
        <v>118</v>
      </c>
      <c r="L19" s="7">
        <v>46050</v>
      </c>
      <c r="M19" s="8"/>
      <c r="N19" s="9">
        <v>364</v>
      </c>
      <c r="O19" s="1" t="s">
        <v>119</v>
      </c>
      <c r="P19" s="8"/>
    </row>
    <row r="20" spans="1:16" ht="25.5" x14ac:dyDescent="0.25">
      <c r="A20" s="1" t="s">
        <v>42</v>
      </c>
      <c r="B20" s="4" t="s">
        <v>43</v>
      </c>
      <c r="C20" s="1" t="s">
        <v>44</v>
      </c>
      <c r="D20" s="1" t="s">
        <v>45</v>
      </c>
      <c r="E20" s="1" t="s">
        <v>120</v>
      </c>
      <c r="F20" s="1" t="s">
        <v>121</v>
      </c>
      <c r="G20" s="5" t="s">
        <v>55</v>
      </c>
      <c r="H20" s="6">
        <v>1032.26</v>
      </c>
      <c r="I20" s="6">
        <v>258.06</v>
      </c>
      <c r="J20" s="1" t="s">
        <v>71</v>
      </c>
      <c r="K20" s="1" t="s">
        <v>72</v>
      </c>
      <c r="L20" s="7">
        <v>46054</v>
      </c>
      <c r="M20" s="8"/>
      <c r="N20" s="9">
        <v>364</v>
      </c>
      <c r="O20" s="1" t="s">
        <v>122</v>
      </c>
      <c r="P20" s="8"/>
    </row>
    <row r="21" spans="1:16" ht="25.5" x14ac:dyDescent="0.25">
      <c r="A21" s="1" t="s">
        <v>42</v>
      </c>
      <c r="B21" s="4" t="s">
        <v>43</v>
      </c>
      <c r="C21" s="1" t="s">
        <v>44</v>
      </c>
      <c r="D21" s="1" t="s">
        <v>45</v>
      </c>
      <c r="E21" s="1" t="s">
        <v>123</v>
      </c>
      <c r="F21" s="1" t="s">
        <v>124</v>
      </c>
      <c r="G21" s="5" t="s">
        <v>93</v>
      </c>
      <c r="H21" s="6">
        <v>535.85</v>
      </c>
      <c r="I21" s="6">
        <v>133.96</v>
      </c>
      <c r="J21" s="1" t="s">
        <v>71</v>
      </c>
      <c r="K21" s="1" t="s">
        <v>72</v>
      </c>
      <c r="L21" s="7">
        <v>46056</v>
      </c>
      <c r="M21" s="8"/>
      <c r="N21" s="9">
        <v>363</v>
      </c>
      <c r="O21" s="1" t="s">
        <v>125</v>
      </c>
      <c r="P21" s="8"/>
    </row>
    <row r="22" spans="1:16" ht="25.5" x14ac:dyDescent="0.25">
      <c r="A22" s="1" t="s">
        <v>42</v>
      </c>
      <c r="B22" s="4" t="s">
        <v>43</v>
      </c>
      <c r="C22" s="1" t="s">
        <v>52</v>
      </c>
      <c r="D22" s="1" t="s">
        <v>45</v>
      </c>
      <c r="E22" s="1" t="s">
        <v>126</v>
      </c>
      <c r="F22" s="1" t="s">
        <v>127</v>
      </c>
      <c r="G22" s="5" t="s">
        <v>93</v>
      </c>
      <c r="H22" s="6">
        <v>93.77</v>
      </c>
      <c r="I22" s="6">
        <v>9.3800000000000008</v>
      </c>
      <c r="J22" s="1" t="s">
        <v>81</v>
      </c>
      <c r="K22" s="1" t="s">
        <v>82</v>
      </c>
      <c r="L22" s="7">
        <v>46056</v>
      </c>
      <c r="M22" s="8"/>
      <c r="N22" s="9">
        <v>90</v>
      </c>
      <c r="O22" s="1" t="s">
        <v>128</v>
      </c>
      <c r="P22" s="8"/>
    </row>
    <row r="23" spans="1:16" ht="25.5" x14ac:dyDescent="0.25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129</v>
      </c>
      <c r="F23" s="1" t="s">
        <v>130</v>
      </c>
      <c r="G23" s="5" t="s">
        <v>131</v>
      </c>
      <c r="H23" s="6">
        <v>1310.93</v>
      </c>
      <c r="I23" s="6">
        <v>327.74</v>
      </c>
      <c r="J23" s="1" t="s">
        <v>49</v>
      </c>
      <c r="K23" s="1" t="s">
        <v>50</v>
      </c>
      <c r="L23" s="7">
        <v>46077</v>
      </c>
      <c r="M23" s="8"/>
      <c r="N23" s="9">
        <v>364</v>
      </c>
      <c r="O23" s="1" t="s">
        <v>132</v>
      </c>
      <c r="P23" s="8"/>
    </row>
    <row r="24" spans="1:16" x14ac:dyDescent="0.25">
      <c r="A24" s="1" t="s">
        <v>42</v>
      </c>
      <c r="B24" s="4" t="s">
        <v>43</v>
      </c>
      <c r="C24" s="1" t="s">
        <v>133</v>
      </c>
      <c r="D24" s="1" t="s">
        <v>85</v>
      </c>
      <c r="E24" s="1" t="s">
        <v>134</v>
      </c>
      <c r="F24" s="1" t="s">
        <v>135</v>
      </c>
      <c r="G24" s="5" t="s">
        <v>136</v>
      </c>
      <c r="H24" s="6">
        <v>855.44</v>
      </c>
      <c r="I24" s="6">
        <v>213.86</v>
      </c>
      <c r="J24" s="1" t="s">
        <v>137</v>
      </c>
      <c r="K24" s="1" t="s">
        <v>138</v>
      </c>
      <c r="L24" s="7">
        <v>46080</v>
      </c>
      <c r="M24" s="8"/>
      <c r="N24" s="9">
        <v>328</v>
      </c>
      <c r="O24" s="1" t="s">
        <v>139</v>
      </c>
      <c r="P24" s="8"/>
    </row>
    <row r="25" spans="1:16" ht="25.5" x14ac:dyDescent="0.25">
      <c r="A25" s="1" t="s">
        <v>42</v>
      </c>
      <c r="B25" s="4" t="s">
        <v>43</v>
      </c>
      <c r="C25" s="1" t="s">
        <v>84</v>
      </c>
      <c r="D25" s="1" t="s">
        <v>85</v>
      </c>
      <c r="E25" s="1" t="s">
        <v>140</v>
      </c>
      <c r="F25" s="1" t="s">
        <v>141</v>
      </c>
      <c r="G25" s="5" t="s">
        <v>55</v>
      </c>
      <c r="H25" s="6">
        <v>186.56</v>
      </c>
      <c r="I25" s="6">
        <v>46.64</v>
      </c>
      <c r="J25" s="1" t="s">
        <v>99</v>
      </c>
      <c r="K25" s="1" t="s">
        <v>100</v>
      </c>
      <c r="L25" s="7">
        <v>46082</v>
      </c>
      <c r="M25" s="8"/>
      <c r="N25" s="9">
        <v>180</v>
      </c>
      <c r="O25" s="1" t="s">
        <v>142</v>
      </c>
      <c r="P25" s="8"/>
    </row>
    <row r="26" spans="1:16" x14ac:dyDescent="0.25">
      <c r="A26" s="1" t="s">
        <v>42</v>
      </c>
      <c r="B26" s="4" t="s">
        <v>43</v>
      </c>
      <c r="C26" s="1" t="s">
        <v>67</v>
      </c>
      <c r="D26" s="1" t="s">
        <v>68</v>
      </c>
      <c r="E26" s="1" t="s">
        <v>143</v>
      </c>
      <c r="F26" s="1" t="s">
        <v>144</v>
      </c>
      <c r="G26" s="5" t="s">
        <v>55</v>
      </c>
      <c r="H26" s="6">
        <v>34.25</v>
      </c>
      <c r="I26" s="6">
        <v>4.45</v>
      </c>
      <c r="J26" s="1" t="s">
        <v>145</v>
      </c>
      <c r="K26" s="1" t="s">
        <v>146</v>
      </c>
      <c r="L26" s="7">
        <v>45658</v>
      </c>
      <c r="M26" s="8"/>
      <c r="N26" s="8"/>
      <c r="O26" s="1" t="s">
        <v>147</v>
      </c>
      <c r="P26" s="8"/>
    </row>
    <row r="27" spans="1:16" x14ac:dyDescent="0.25">
      <c r="A27" s="1" t="s">
        <v>42</v>
      </c>
      <c r="B27" s="4" t="s">
        <v>43</v>
      </c>
      <c r="C27" s="1" t="s">
        <v>84</v>
      </c>
      <c r="D27" s="1" t="s">
        <v>85</v>
      </c>
      <c r="E27" s="1" t="s">
        <v>148</v>
      </c>
      <c r="F27" s="1" t="s">
        <v>149</v>
      </c>
      <c r="G27" s="5" t="s">
        <v>55</v>
      </c>
      <c r="H27" s="6">
        <v>260.94</v>
      </c>
      <c r="I27" s="6">
        <v>65.239999999999995</v>
      </c>
      <c r="J27" s="1" t="s">
        <v>49</v>
      </c>
      <c r="K27" s="1" t="s">
        <v>50</v>
      </c>
      <c r="L27" s="7">
        <v>46054</v>
      </c>
      <c r="M27" s="8"/>
      <c r="N27" s="9">
        <v>120</v>
      </c>
      <c r="O27" s="1" t="s">
        <v>150</v>
      </c>
      <c r="P27" s="8"/>
    </row>
    <row r="28" spans="1:16" ht="25.5" x14ac:dyDescent="0.25">
      <c r="A28" s="1" t="s">
        <v>42</v>
      </c>
      <c r="B28" s="4" t="s">
        <v>43</v>
      </c>
      <c r="C28" s="1" t="s">
        <v>151</v>
      </c>
      <c r="D28" s="1" t="s">
        <v>152</v>
      </c>
      <c r="E28" s="1" t="s">
        <v>153</v>
      </c>
      <c r="F28" s="1" t="s">
        <v>154</v>
      </c>
      <c r="G28" s="5" t="s">
        <v>55</v>
      </c>
      <c r="H28" s="6">
        <v>307.38</v>
      </c>
      <c r="I28" s="6">
        <v>30.74</v>
      </c>
      <c r="J28" s="1" t="s">
        <v>81</v>
      </c>
      <c r="K28" s="1" t="s">
        <v>82</v>
      </c>
      <c r="L28" s="7">
        <v>46054</v>
      </c>
      <c r="M28" s="8"/>
      <c r="N28" s="9">
        <v>120</v>
      </c>
      <c r="O28" s="1" t="s">
        <v>155</v>
      </c>
      <c r="P28" s="8"/>
    </row>
    <row r="29" spans="1:16" x14ac:dyDescent="0.25">
      <c r="A29" s="1" t="s">
        <v>42</v>
      </c>
      <c r="B29" s="4" t="s">
        <v>43</v>
      </c>
      <c r="C29" s="1" t="s">
        <v>84</v>
      </c>
      <c r="D29" s="1" t="s">
        <v>85</v>
      </c>
      <c r="E29" s="1" t="s">
        <v>156</v>
      </c>
      <c r="F29" s="1" t="s">
        <v>157</v>
      </c>
      <c r="G29" s="5" t="s">
        <v>55</v>
      </c>
      <c r="H29" s="6">
        <v>322.23</v>
      </c>
      <c r="I29" s="6">
        <v>80.56</v>
      </c>
      <c r="J29" s="1" t="s">
        <v>158</v>
      </c>
      <c r="K29" s="1" t="s">
        <v>159</v>
      </c>
      <c r="L29" s="7">
        <v>45992</v>
      </c>
      <c r="M29" s="7">
        <v>46112</v>
      </c>
      <c r="N29" s="9">
        <v>121</v>
      </c>
      <c r="O29" s="1" t="s">
        <v>160</v>
      </c>
      <c r="P29" s="8"/>
    </row>
    <row r="30" spans="1:16" ht="25.5" x14ac:dyDescent="0.25">
      <c r="A30" s="1" t="s">
        <v>42</v>
      </c>
      <c r="B30" s="4" t="s">
        <v>43</v>
      </c>
      <c r="C30" s="1" t="s">
        <v>52</v>
      </c>
      <c r="D30" s="1" t="s">
        <v>45</v>
      </c>
      <c r="E30" s="1" t="s">
        <v>161</v>
      </c>
      <c r="F30" s="1" t="s">
        <v>162</v>
      </c>
      <c r="G30" s="5" t="s">
        <v>55</v>
      </c>
      <c r="H30" s="6">
        <v>434.83</v>
      </c>
      <c r="I30" s="6">
        <v>108.72</v>
      </c>
      <c r="J30" s="1" t="s">
        <v>163</v>
      </c>
      <c r="K30" s="1" t="s">
        <v>164</v>
      </c>
      <c r="L30" s="7">
        <v>45992</v>
      </c>
      <c r="M30" s="7">
        <v>46112</v>
      </c>
      <c r="N30" s="9">
        <v>121</v>
      </c>
      <c r="O30" s="1" t="s">
        <v>165</v>
      </c>
      <c r="P30" s="8"/>
    </row>
    <row r="31" spans="1:16" ht="25.5" x14ac:dyDescent="0.25">
      <c r="A31" s="1" t="s">
        <v>42</v>
      </c>
      <c r="B31" s="4" t="s">
        <v>43</v>
      </c>
      <c r="C31" s="1" t="s">
        <v>44</v>
      </c>
      <c r="D31" s="1" t="s">
        <v>45</v>
      </c>
      <c r="E31" s="1" t="s">
        <v>166</v>
      </c>
      <c r="F31" s="1" t="s">
        <v>167</v>
      </c>
      <c r="G31" s="5" t="s">
        <v>55</v>
      </c>
      <c r="H31" s="6">
        <v>701.73</v>
      </c>
      <c r="I31" s="6">
        <v>175.43</v>
      </c>
      <c r="J31" s="1" t="s">
        <v>49</v>
      </c>
      <c r="K31" s="1" t="s">
        <v>50</v>
      </c>
      <c r="L31" s="7">
        <v>45962</v>
      </c>
      <c r="M31" s="8"/>
      <c r="N31" s="9">
        <v>364</v>
      </c>
      <c r="O31" s="1" t="s">
        <v>168</v>
      </c>
      <c r="P31" s="8"/>
    </row>
    <row r="32" spans="1:16" ht="25.5" x14ac:dyDescent="0.25">
      <c r="A32" s="1" t="s">
        <v>42</v>
      </c>
      <c r="B32" s="4" t="s">
        <v>43</v>
      </c>
      <c r="C32" s="1" t="s">
        <v>52</v>
      </c>
      <c r="D32" s="1" t="s">
        <v>45</v>
      </c>
      <c r="E32" s="1" t="s">
        <v>169</v>
      </c>
      <c r="F32" s="1" t="s">
        <v>170</v>
      </c>
      <c r="G32" s="5" t="s">
        <v>48</v>
      </c>
      <c r="H32" s="6">
        <v>142.18</v>
      </c>
      <c r="I32" s="6">
        <v>35.549999999999997</v>
      </c>
      <c r="J32" s="1" t="s">
        <v>171</v>
      </c>
      <c r="K32" s="1" t="s">
        <v>172</v>
      </c>
      <c r="L32" s="7">
        <v>45961</v>
      </c>
      <c r="M32" s="8"/>
      <c r="N32" s="9">
        <v>180</v>
      </c>
      <c r="O32" s="1" t="s">
        <v>173</v>
      </c>
      <c r="P32" s="8"/>
    </row>
    <row r="33" spans="1:16" ht="25.5" x14ac:dyDescent="0.25">
      <c r="A33" s="1" t="s">
        <v>42</v>
      </c>
      <c r="B33" s="4" t="s">
        <v>43</v>
      </c>
      <c r="C33" s="1" t="s">
        <v>52</v>
      </c>
      <c r="D33" s="1" t="s">
        <v>45</v>
      </c>
      <c r="E33" s="1" t="s">
        <v>174</v>
      </c>
      <c r="F33" s="1" t="s">
        <v>175</v>
      </c>
      <c r="G33" s="5" t="s">
        <v>176</v>
      </c>
      <c r="H33" s="6">
        <v>495.24</v>
      </c>
      <c r="I33" s="6">
        <v>123.81</v>
      </c>
      <c r="J33" s="1" t="s">
        <v>177</v>
      </c>
      <c r="K33" s="1" t="s">
        <v>178</v>
      </c>
      <c r="L33" s="7">
        <v>45965</v>
      </c>
      <c r="M33" s="8"/>
      <c r="N33" s="9">
        <v>364</v>
      </c>
      <c r="O33" s="1" t="s">
        <v>179</v>
      </c>
      <c r="P33" s="8"/>
    </row>
    <row r="34" spans="1:16" ht="25.5" x14ac:dyDescent="0.25">
      <c r="A34" s="1" t="s">
        <v>42</v>
      </c>
      <c r="B34" s="4" t="s">
        <v>43</v>
      </c>
      <c r="C34" s="1" t="s">
        <v>52</v>
      </c>
      <c r="D34" s="1" t="s">
        <v>45</v>
      </c>
      <c r="E34" s="1" t="s">
        <v>180</v>
      </c>
      <c r="F34" s="1" t="s">
        <v>181</v>
      </c>
      <c r="G34" s="5" t="s">
        <v>55</v>
      </c>
      <c r="H34" s="6">
        <v>341.42</v>
      </c>
      <c r="I34" s="6">
        <v>34.14</v>
      </c>
      <c r="J34" s="1" t="s">
        <v>81</v>
      </c>
      <c r="K34" s="1" t="s">
        <v>82</v>
      </c>
      <c r="L34" s="7">
        <v>46023</v>
      </c>
      <c r="M34" s="8"/>
      <c r="N34" s="9">
        <v>90</v>
      </c>
      <c r="O34" s="1" t="s">
        <v>182</v>
      </c>
      <c r="P34" s="8"/>
    </row>
    <row r="35" spans="1:16" x14ac:dyDescent="0.25">
      <c r="A35" s="1" t="s">
        <v>42</v>
      </c>
      <c r="B35" s="4" t="s">
        <v>43</v>
      </c>
      <c r="C35" s="1" t="s">
        <v>84</v>
      </c>
      <c r="D35" s="1" t="s">
        <v>85</v>
      </c>
      <c r="E35" s="1" t="s">
        <v>183</v>
      </c>
      <c r="F35" s="1" t="s">
        <v>184</v>
      </c>
      <c r="G35" s="5" t="s">
        <v>55</v>
      </c>
      <c r="H35" s="6">
        <v>294.7</v>
      </c>
      <c r="I35" s="6">
        <v>29.47</v>
      </c>
      <c r="J35" s="1" t="s">
        <v>81</v>
      </c>
      <c r="K35" s="1" t="s">
        <v>82</v>
      </c>
      <c r="L35" s="7">
        <v>46023</v>
      </c>
      <c r="M35" s="8"/>
      <c r="N35" s="9">
        <v>364</v>
      </c>
      <c r="O35" s="1" t="s">
        <v>185</v>
      </c>
      <c r="P35" s="8"/>
    </row>
    <row r="36" spans="1:16" ht="25.5" x14ac:dyDescent="0.25">
      <c r="A36" s="1" t="s">
        <v>42</v>
      </c>
      <c r="B36" s="4" t="s">
        <v>43</v>
      </c>
      <c r="C36" s="1" t="s">
        <v>52</v>
      </c>
      <c r="D36" s="1" t="s">
        <v>45</v>
      </c>
      <c r="E36" s="1" t="s">
        <v>186</v>
      </c>
      <c r="F36" s="1" t="s">
        <v>187</v>
      </c>
      <c r="G36" s="5" t="s">
        <v>55</v>
      </c>
      <c r="H36" s="6">
        <v>622.70000000000005</v>
      </c>
      <c r="I36" s="6">
        <v>62.27</v>
      </c>
      <c r="J36" s="1" t="s">
        <v>81</v>
      </c>
      <c r="K36" s="1" t="s">
        <v>82</v>
      </c>
      <c r="L36" s="7">
        <v>46023</v>
      </c>
      <c r="M36" s="8"/>
      <c r="N36" s="9">
        <v>90</v>
      </c>
      <c r="O36" s="1" t="s">
        <v>188</v>
      </c>
      <c r="P36" s="8"/>
    </row>
    <row r="37" spans="1:16" x14ac:dyDescent="0.25">
      <c r="A37" s="1" t="s">
        <v>42</v>
      </c>
      <c r="B37" s="4" t="s">
        <v>43</v>
      </c>
      <c r="C37" s="1" t="s">
        <v>84</v>
      </c>
      <c r="D37" s="1" t="s">
        <v>85</v>
      </c>
      <c r="E37" s="1" t="s">
        <v>189</v>
      </c>
      <c r="F37" s="1" t="s">
        <v>190</v>
      </c>
      <c r="G37" s="5" t="s">
        <v>55</v>
      </c>
      <c r="H37" s="6">
        <v>309.48</v>
      </c>
      <c r="I37" s="6">
        <v>77.37</v>
      </c>
      <c r="J37" s="1" t="s">
        <v>191</v>
      </c>
      <c r="K37" s="1" t="s">
        <v>192</v>
      </c>
      <c r="L37" s="7">
        <v>46023</v>
      </c>
      <c r="M37" s="8"/>
      <c r="N37" s="9">
        <v>364</v>
      </c>
      <c r="O37" s="1" t="s">
        <v>193</v>
      </c>
      <c r="P37" s="8"/>
    </row>
    <row r="38" spans="1:16" ht="25.5" x14ac:dyDescent="0.25">
      <c r="A38" s="1" t="s">
        <v>42</v>
      </c>
      <c r="B38" s="4" t="s">
        <v>43</v>
      </c>
      <c r="C38" s="1" t="s">
        <v>44</v>
      </c>
      <c r="D38" s="1" t="s">
        <v>45</v>
      </c>
      <c r="E38" s="1" t="s">
        <v>194</v>
      </c>
      <c r="F38" s="1" t="s">
        <v>195</v>
      </c>
      <c r="G38" s="5" t="s">
        <v>55</v>
      </c>
      <c r="H38" s="6">
        <v>275.43</v>
      </c>
      <c r="I38" s="6">
        <v>68.86</v>
      </c>
      <c r="J38" s="1" t="s">
        <v>71</v>
      </c>
      <c r="K38" s="1" t="s">
        <v>72</v>
      </c>
      <c r="L38" s="7">
        <v>45992</v>
      </c>
      <c r="M38" s="8"/>
      <c r="N38" s="9">
        <v>180</v>
      </c>
      <c r="O38" s="1" t="s">
        <v>196</v>
      </c>
      <c r="P38" s="8"/>
    </row>
    <row r="39" spans="1:16" x14ac:dyDescent="0.25">
      <c r="A39" s="1" t="s">
        <v>42</v>
      </c>
      <c r="B39" s="4" t="s">
        <v>43</v>
      </c>
      <c r="C39" s="1" t="s">
        <v>84</v>
      </c>
      <c r="D39" s="1" t="s">
        <v>85</v>
      </c>
      <c r="E39" s="1" t="s">
        <v>197</v>
      </c>
      <c r="F39" s="1" t="s">
        <v>198</v>
      </c>
      <c r="G39" s="5" t="s">
        <v>199</v>
      </c>
      <c r="H39" s="6">
        <v>298.56</v>
      </c>
      <c r="I39" s="6">
        <v>74.64</v>
      </c>
      <c r="J39" s="1" t="s">
        <v>200</v>
      </c>
      <c r="K39" s="1" t="s">
        <v>201</v>
      </c>
      <c r="L39" s="7">
        <v>45993</v>
      </c>
      <c r="M39" s="7">
        <v>46113</v>
      </c>
      <c r="N39" s="9">
        <v>121</v>
      </c>
      <c r="O39" s="1" t="s">
        <v>202</v>
      </c>
      <c r="P39" s="8"/>
    </row>
    <row r="40" spans="1:16" x14ac:dyDescent="0.25">
      <c r="A40" s="1" t="s">
        <v>42</v>
      </c>
      <c r="B40" s="4" t="s">
        <v>43</v>
      </c>
      <c r="C40" s="1" t="s">
        <v>84</v>
      </c>
      <c r="D40" s="1" t="s">
        <v>85</v>
      </c>
      <c r="E40" s="1" t="s">
        <v>203</v>
      </c>
      <c r="F40" s="1" t="s">
        <v>204</v>
      </c>
      <c r="G40" s="5" t="s">
        <v>55</v>
      </c>
      <c r="H40" s="6">
        <v>1294.49</v>
      </c>
      <c r="I40" s="6">
        <v>129.44999999999999</v>
      </c>
      <c r="J40" s="1" t="s">
        <v>81</v>
      </c>
      <c r="K40" s="1" t="s">
        <v>82</v>
      </c>
      <c r="L40" s="7">
        <v>46023</v>
      </c>
      <c r="M40" s="8"/>
      <c r="N40" s="9">
        <v>364</v>
      </c>
      <c r="O40" s="1" t="s">
        <v>205</v>
      </c>
      <c r="P40" s="8"/>
    </row>
    <row r="41" spans="1:16" x14ac:dyDescent="0.25">
      <c r="A41" s="1" t="s">
        <v>42</v>
      </c>
      <c r="B41" s="4" t="s">
        <v>43</v>
      </c>
      <c r="C41" s="1" t="s">
        <v>84</v>
      </c>
      <c r="D41" s="1" t="s">
        <v>85</v>
      </c>
      <c r="E41" s="1" t="s">
        <v>206</v>
      </c>
      <c r="F41" s="1" t="s">
        <v>207</v>
      </c>
      <c r="G41" s="5" t="s">
        <v>55</v>
      </c>
      <c r="H41" s="6">
        <v>486.21</v>
      </c>
      <c r="I41" s="6">
        <v>121.55</v>
      </c>
      <c r="J41" s="1" t="s">
        <v>208</v>
      </c>
      <c r="K41" s="1" t="s">
        <v>209</v>
      </c>
      <c r="L41" s="7">
        <v>46023</v>
      </c>
      <c r="M41" s="7">
        <v>46252</v>
      </c>
      <c r="N41" s="9">
        <v>230</v>
      </c>
      <c r="O41" s="1" t="s">
        <v>210</v>
      </c>
      <c r="P41" s="8"/>
    </row>
    <row r="42" spans="1:16" x14ac:dyDescent="0.25">
      <c r="A42" s="1" t="s">
        <v>42</v>
      </c>
      <c r="B42" s="4" t="s">
        <v>43</v>
      </c>
      <c r="C42" s="1" t="s">
        <v>84</v>
      </c>
      <c r="D42" s="1" t="s">
        <v>85</v>
      </c>
      <c r="E42" s="1" t="s">
        <v>211</v>
      </c>
      <c r="F42" s="1" t="s">
        <v>212</v>
      </c>
      <c r="G42" s="5" t="s">
        <v>55</v>
      </c>
      <c r="H42" s="6">
        <v>782.35</v>
      </c>
      <c r="I42" s="6">
        <v>195.59</v>
      </c>
      <c r="J42" s="1" t="s">
        <v>213</v>
      </c>
      <c r="K42" s="1" t="s">
        <v>214</v>
      </c>
      <c r="L42" s="7">
        <v>46023</v>
      </c>
      <c r="M42" s="8"/>
      <c r="N42" s="9">
        <v>364</v>
      </c>
      <c r="O42" s="1" t="s">
        <v>215</v>
      </c>
      <c r="P42" s="8"/>
    </row>
    <row r="43" spans="1:16" ht="25.5" x14ac:dyDescent="0.25">
      <c r="A43" s="1" t="s">
        <v>42</v>
      </c>
      <c r="B43" s="4" t="s">
        <v>43</v>
      </c>
      <c r="C43" s="1" t="s">
        <v>44</v>
      </c>
      <c r="D43" s="1" t="s">
        <v>45</v>
      </c>
      <c r="E43" s="1" t="s">
        <v>216</v>
      </c>
      <c r="F43" s="1" t="s">
        <v>217</v>
      </c>
      <c r="G43" s="5" t="s">
        <v>55</v>
      </c>
      <c r="H43" s="6">
        <v>347.06</v>
      </c>
      <c r="I43" s="6">
        <v>86.77</v>
      </c>
      <c r="J43" s="1" t="s">
        <v>71</v>
      </c>
      <c r="K43" s="1" t="s">
        <v>72</v>
      </c>
      <c r="L43" s="7">
        <v>46023</v>
      </c>
      <c r="M43" s="7">
        <v>46352</v>
      </c>
      <c r="N43" s="9">
        <v>330</v>
      </c>
      <c r="O43" s="1" t="s">
        <v>218</v>
      </c>
      <c r="P43" s="8"/>
    </row>
    <row r="44" spans="1:16" x14ac:dyDescent="0.25">
      <c r="A44" s="1" t="s">
        <v>42</v>
      </c>
      <c r="B44" s="4" t="s">
        <v>43</v>
      </c>
      <c r="C44" s="1" t="s">
        <v>133</v>
      </c>
      <c r="D44" s="1" t="s">
        <v>85</v>
      </c>
      <c r="E44" s="1" t="s">
        <v>219</v>
      </c>
      <c r="F44" s="1" t="s">
        <v>220</v>
      </c>
      <c r="G44" s="5" t="s">
        <v>55</v>
      </c>
      <c r="H44" s="6">
        <v>394.24</v>
      </c>
      <c r="I44" s="6">
        <v>98.56</v>
      </c>
      <c r="J44" s="1" t="s">
        <v>137</v>
      </c>
      <c r="K44" s="1" t="s">
        <v>138</v>
      </c>
      <c r="L44" s="7">
        <v>46023</v>
      </c>
      <c r="M44" s="7">
        <v>46142</v>
      </c>
      <c r="N44" s="9">
        <v>138</v>
      </c>
      <c r="O44" s="1" t="s">
        <v>221</v>
      </c>
      <c r="P44" s="8"/>
    </row>
    <row r="45" spans="1:16" ht="25.5" x14ac:dyDescent="0.25">
      <c r="A45" s="1" t="s">
        <v>42</v>
      </c>
      <c r="B45" s="4" t="s">
        <v>43</v>
      </c>
      <c r="C45" s="1" t="s">
        <v>52</v>
      </c>
      <c r="D45" s="1" t="s">
        <v>45</v>
      </c>
      <c r="E45" s="1" t="s">
        <v>222</v>
      </c>
      <c r="F45" s="1" t="s">
        <v>223</v>
      </c>
      <c r="G45" s="5" t="s">
        <v>55</v>
      </c>
      <c r="H45" s="6">
        <v>56.03</v>
      </c>
      <c r="I45" s="6">
        <v>14.01</v>
      </c>
      <c r="J45" s="1" t="s">
        <v>224</v>
      </c>
      <c r="K45" s="1" t="s">
        <v>225</v>
      </c>
      <c r="L45" s="7">
        <v>46023</v>
      </c>
      <c r="M45" s="8"/>
      <c r="N45" s="9">
        <v>90</v>
      </c>
      <c r="O45" s="1" t="s">
        <v>226</v>
      </c>
      <c r="P45" s="8"/>
    </row>
    <row r="46" spans="1:16" x14ac:dyDescent="0.25">
      <c r="A46" s="1" t="s">
        <v>42</v>
      </c>
      <c r="B46" s="4" t="s">
        <v>43</v>
      </c>
      <c r="C46" s="1" t="s">
        <v>84</v>
      </c>
      <c r="D46" s="1" t="s">
        <v>85</v>
      </c>
      <c r="E46" s="1" t="s">
        <v>227</v>
      </c>
      <c r="F46" s="1" t="s">
        <v>228</v>
      </c>
      <c r="G46" s="5" t="s">
        <v>55</v>
      </c>
      <c r="H46" s="6">
        <v>414.08</v>
      </c>
      <c r="I46" s="6">
        <v>103.52</v>
      </c>
      <c r="J46" s="1" t="s">
        <v>88</v>
      </c>
      <c r="K46" s="1" t="s">
        <v>89</v>
      </c>
      <c r="L46" s="7">
        <v>46023</v>
      </c>
      <c r="M46" s="7">
        <v>46142</v>
      </c>
      <c r="N46" s="9">
        <v>120</v>
      </c>
      <c r="O46" s="1" t="s">
        <v>229</v>
      </c>
      <c r="P46" s="8"/>
    </row>
    <row r="47" spans="1:16" ht="25.5" x14ac:dyDescent="0.25">
      <c r="A47" s="1" t="s">
        <v>42</v>
      </c>
      <c r="B47" s="4" t="s">
        <v>43</v>
      </c>
      <c r="C47" s="1" t="s">
        <v>52</v>
      </c>
      <c r="D47" s="1" t="s">
        <v>45</v>
      </c>
      <c r="E47" s="1" t="s">
        <v>230</v>
      </c>
      <c r="F47" s="1" t="s">
        <v>231</v>
      </c>
      <c r="G47" s="5" t="s">
        <v>55</v>
      </c>
      <c r="H47" s="6">
        <v>545.76</v>
      </c>
      <c r="I47" s="6">
        <v>136.44</v>
      </c>
      <c r="J47" s="1" t="s">
        <v>49</v>
      </c>
      <c r="K47" s="1" t="s">
        <v>50</v>
      </c>
      <c r="L47" s="7">
        <v>46023</v>
      </c>
      <c r="M47" s="8"/>
      <c r="N47" s="9">
        <v>364</v>
      </c>
      <c r="O47" s="1" t="s">
        <v>232</v>
      </c>
      <c r="P47" s="8"/>
    </row>
    <row r="48" spans="1:16" ht="25.5" x14ac:dyDescent="0.25">
      <c r="A48" s="1" t="s">
        <v>42</v>
      </c>
      <c r="B48" s="4" t="s">
        <v>43</v>
      </c>
      <c r="C48" s="1" t="s">
        <v>44</v>
      </c>
      <c r="D48" s="1" t="s">
        <v>45</v>
      </c>
      <c r="E48" s="1" t="s">
        <v>233</v>
      </c>
      <c r="F48" s="1" t="s">
        <v>234</v>
      </c>
      <c r="G48" s="5" t="s">
        <v>55</v>
      </c>
      <c r="H48" s="6">
        <v>185.03</v>
      </c>
      <c r="I48" s="6">
        <v>46.26</v>
      </c>
      <c r="J48" s="1" t="s">
        <v>71</v>
      </c>
      <c r="K48" s="1" t="s">
        <v>72</v>
      </c>
      <c r="L48" s="7">
        <v>46023</v>
      </c>
      <c r="M48" s="7">
        <v>46352</v>
      </c>
      <c r="N48" s="9">
        <v>330</v>
      </c>
      <c r="O48" s="1" t="s">
        <v>235</v>
      </c>
      <c r="P48" s="8"/>
    </row>
    <row r="49" spans="1:17" ht="25.5" x14ac:dyDescent="0.25">
      <c r="A49" s="1" t="s">
        <v>42</v>
      </c>
      <c r="B49" s="4" t="s">
        <v>43</v>
      </c>
      <c r="C49" s="1" t="s">
        <v>52</v>
      </c>
      <c r="D49" s="1" t="s">
        <v>45</v>
      </c>
      <c r="E49" s="1" t="s">
        <v>236</v>
      </c>
      <c r="F49" s="1" t="s">
        <v>237</v>
      </c>
      <c r="G49" s="5" t="s">
        <v>48</v>
      </c>
      <c r="H49" s="6">
        <v>333.44</v>
      </c>
      <c r="I49" s="6">
        <v>83.36</v>
      </c>
      <c r="J49" s="1" t="s">
        <v>238</v>
      </c>
      <c r="K49" s="1" t="s">
        <v>239</v>
      </c>
      <c r="L49" s="7">
        <v>46022</v>
      </c>
      <c r="M49" s="8"/>
      <c r="N49" s="9">
        <v>90</v>
      </c>
      <c r="O49" s="1" t="s">
        <v>240</v>
      </c>
      <c r="P49" s="8"/>
    </row>
    <row r="50" spans="1:17" x14ac:dyDescent="0.25">
      <c r="A50" s="10" t="s">
        <v>241</v>
      </c>
      <c r="B50" s="4"/>
      <c r="C50" s="4"/>
      <c r="D50" s="4"/>
      <c r="E50" s="4"/>
      <c r="F50" s="4"/>
      <c r="G50" s="4"/>
      <c r="H50" s="6">
        <v>18610.699999999997</v>
      </c>
      <c r="I50" s="6">
        <v>4140.9699999999993</v>
      </c>
      <c r="J50" s="4"/>
      <c r="K50" s="4"/>
      <c r="L50" s="4"/>
      <c r="M50" s="4"/>
      <c r="N50" s="4"/>
      <c r="O50" s="4"/>
      <c r="P50" s="4"/>
    </row>
    <row r="51" spans="1:17" x14ac:dyDescent="0.25">
      <c r="A51" s="11" t="s">
        <v>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25">
      <c r="A52" s="11" t="s">
        <v>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25">
      <c r="A53" s="11" t="s">
        <v>4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</sheetData>
  <mergeCells count="5">
    <mergeCell ref="A1:Q1"/>
    <mergeCell ref="A2:Q2"/>
    <mergeCell ref="A51:Q51"/>
    <mergeCell ref="A52:Q52"/>
    <mergeCell ref="A53:Q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DBB1-0C6E-451D-9F1B-B9D7C5773328}">
  <dimension ref="A1:R71"/>
  <sheetViews>
    <sheetView tabSelected="1" topLeftCell="A35" workbookViewId="0">
      <selection activeCell="F49" sqref="F49"/>
    </sheetView>
  </sheetViews>
  <sheetFormatPr defaultRowHeight="15" x14ac:dyDescent="0.25"/>
  <cols>
    <col min="1" max="1" width="16.28515625" bestFit="1" customWidth="1"/>
    <col min="2" max="2" width="11.140625" bestFit="1" customWidth="1"/>
    <col min="3" max="3" width="21.7109375" customWidth="1"/>
    <col min="4" max="4" width="8.42578125" bestFit="1" customWidth="1"/>
    <col min="5" max="5" width="8.7109375" bestFit="1" customWidth="1"/>
    <col min="6" max="6" width="8.7109375" customWidth="1"/>
    <col min="7" max="7" width="42" customWidth="1"/>
    <col min="8" max="8" width="12.85546875" customWidth="1"/>
    <col min="9" max="10" width="10.140625" bestFit="1" customWidth="1"/>
  </cols>
  <sheetData>
    <row r="1" spans="1:18" ht="36" x14ac:dyDescent="0.25">
      <c r="A1" s="3" t="s">
        <v>30</v>
      </c>
      <c r="B1" s="3" t="s">
        <v>31</v>
      </c>
      <c r="C1" s="3" t="s">
        <v>32</v>
      </c>
      <c r="D1" s="3" t="s">
        <v>34</v>
      </c>
      <c r="E1" s="3" t="s">
        <v>23</v>
      </c>
      <c r="F1" s="3"/>
      <c r="G1" s="3" t="s">
        <v>35</v>
      </c>
      <c r="H1" s="3" t="s">
        <v>36</v>
      </c>
      <c r="I1" s="3" t="s">
        <v>37</v>
      </c>
      <c r="J1" s="3" t="s">
        <v>33</v>
      </c>
    </row>
    <row r="2" spans="1:18" s="37" customFormat="1" ht="15" customHeight="1" x14ac:dyDescent="0.25">
      <c r="A2" s="33" t="s">
        <v>45</v>
      </c>
      <c r="B2" s="33" t="s">
        <v>180</v>
      </c>
      <c r="C2" s="33" t="s">
        <v>181</v>
      </c>
      <c r="D2" s="34">
        <v>34.14</v>
      </c>
      <c r="E2" s="34">
        <v>34.14</v>
      </c>
      <c r="F2" s="34">
        <f>E2/D2</f>
        <v>1</v>
      </c>
      <c r="G2" s="33" t="s">
        <v>268</v>
      </c>
      <c r="H2" s="33">
        <v>20411454</v>
      </c>
      <c r="I2" s="35">
        <v>46023</v>
      </c>
      <c r="J2" s="36">
        <v>46082</v>
      </c>
      <c r="K2" s="37" t="s">
        <v>265</v>
      </c>
    </row>
    <row r="3" spans="1:18" s="37" customFormat="1" ht="15" customHeight="1" x14ac:dyDescent="0.25">
      <c r="A3" s="33" t="s">
        <v>45</v>
      </c>
      <c r="B3" s="33" t="s">
        <v>186</v>
      </c>
      <c r="C3" s="33" t="s">
        <v>187</v>
      </c>
      <c r="D3" s="34">
        <v>62.27</v>
      </c>
      <c r="E3" s="34">
        <v>62.27</v>
      </c>
      <c r="F3" s="34">
        <f>E3/D3</f>
        <v>1</v>
      </c>
      <c r="G3" s="33" t="s">
        <v>268</v>
      </c>
      <c r="H3" s="33">
        <v>20411454</v>
      </c>
      <c r="I3" s="35">
        <v>46023</v>
      </c>
      <c r="J3" s="36">
        <v>46082</v>
      </c>
      <c r="K3" s="37" t="s">
        <v>265</v>
      </c>
    </row>
    <row r="4" spans="1:18" s="37" customFormat="1" ht="15" customHeight="1" x14ac:dyDescent="0.25">
      <c r="A4" s="33" t="s">
        <v>85</v>
      </c>
      <c r="B4" s="33" t="s">
        <v>183</v>
      </c>
      <c r="C4" s="33" t="s">
        <v>184</v>
      </c>
      <c r="D4" s="34">
        <v>29.47</v>
      </c>
      <c r="E4" s="34">
        <v>29.47</v>
      </c>
      <c r="F4" s="34">
        <f>E4/D4</f>
        <v>1</v>
      </c>
      <c r="G4" s="33" t="s">
        <v>268</v>
      </c>
      <c r="H4" s="33">
        <v>20411454</v>
      </c>
      <c r="I4" s="35">
        <v>46023</v>
      </c>
      <c r="J4" s="36">
        <v>46082</v>
      </c>
      <c r="K4" s="37" t="s">
        <v>265</v>
      </c>
    </row>
    <row r="5" spans="1:18" s="37" customFormat="1" ht="15" customHeight="1" x14ac:dyDescent="0.25">
      <c r="A5" s="33" t="s">
        <v>85</v>
      </c>
      <c r="B5" s="33" t="s">
        <v>203</v>
      </c>
      <c r="C5" s="33" t="s">
        <v>204</v>
      </c>
      <c r="D5" s="34">
        <v>129.44999999999999</v>
      </c>
      <c r="E5" s="34">
        <v>129.44999999999999</v>
      </c>
      <c r="F5" s="34">
        <f>E5/D5</f>
        <v>1</v>
      </c>
      <c r="G5" s="33" t="s">
        <v>268</v>
      </c>
      <c r="H5" s="33">
        <v>20411454</v>
      </c>
      <c r="I5" s="35">
        <v>46023</v>
      </c>
      <c r="J5" s="36">
        <v>46082</v>
      </c>
      <c r="K5" s="37" t="s">
        <v>265</v>
      </c>
    </row>
    <row r="6" spans="1:18" s="37" customFormat="1" ht="15" customHeight="1" x14ac:dyDescent="0.25">
      <c r="A6" s="33" t="s">
        <v>152</v>
      </c>
      <c r="B6" s="33" t="s">
        <v>153</v>
      </c>
      <c r="C6" s="33" t="s">
        <v>154</v>
      </c>
      <c r="D6" s="34">
        <v>30.74</v>
      </c>
      <c r="E6" s="34">
        <v>30.74</v>
      </c>
      <c r="F6" s="34">
        <f>E6/D6</f>
        <v>1</v>
      </c>
      <c r="G6" s="33" t="s">
        <v>268</v>
      </c>
      <c r="H6" s="33">
        <v>20411454</v>
      </c>
      <c r="I6" s="35">
        <v>46054</v>
      </c>
      <c r="J6" s="36">
        <v>46082</v>
      </c>
      <c r="K6" s="37" t="s">
        <v>265</v>
      </c>
    </row>
    <row r="7" spans="1:18" s="37" customFormat="1" ht="15" customHeight="1" x14ac:dyDescent="0.25">
      <c r="A7" s="33" t="s">
        <v>152</v>
      </c>
      <c r="B7" s="33" t="s">
        <v>153</v>
      </c>
      <c r="C7" s="33" t="s">
        <v>154</v>
      </c>
      <c r="D7" s="34">
        <v>30.74</v>
      </c>
      <c r="E7" s="34">
        <v>30.74</v>
      </c>
      <c r="F7" s="34">
        <f>E7/D7</f>
        <v>1</v>
      </c>
      <c r="G7" s="33" t="s">
        <v>268</v>
      </c>
      <c r="H7" s="33">
        <v>20411454</v>
      </c>
      <c r="I7" s="35">
        <v>46054</v>
      </c>
      <c r="J7" s="36">
        <v>46054</v>
      </c>
      <c r="K7" s="37" t="s">
        <v>265</v>
      </c>
    </row>
    <row r="8" spans="1:18" s="37" customFormat="1" ht="15" customHeight="1" x14ac:dyDescent="0.25">
      <c r="A8" s="33" t="s">
        <v>45</v>
      </c>
      <c r="B8" s="33" t="s">
        <v>79</v>
      </c>
      <c r="C8" s="33" t="s">
        <v>80</v>
      </c>
      <c r="D8" s="34">
        <v>12.51</v>
      </c>
      <c r="E8" s="34">
        <v>12.51</v>
      </c>
      <c r="F8" s="34">
        <f>E8/D8</f>
        <v>1</v>
      </c>
      <c r="G8" s="33" t="s">
        <v>268</v>
      </c>
      <c r="H8" s="33">
        <v>20411454</v>
      </c>
      <c r="I8" s="35">
        <v>46023</v>
      </c>
      <c r="J8" s="36">
        <v>46082</v>
      </c>
      <c r="K8" s="37" t="s">
        <v>265</v>
      </c>
    </row>
    <row r="9" spans="1:18" s="37" customFormat="1" ht="15" customHeight="1" x14ac:dyDescent="0.25">
      <c r="A9" s="33" t="s">
        <v>45</v>
      </c>
      <c r="B9" s="33" t="s">
        <v>126</v>
      </c>
      <c r="C9" s="33" t="s">
        <v>127</v>
      </c>
      <c r="D9" s="34">
        <v>9.3800000000000008</v>
      </c>
      <c r="E9" s="34">
        <v>9.3800000000000008</v>
      </c>
      <c r="F9" s="34">
        <f>E9/D9</f>
        <v>1</v>
      </c>
      <c r="G9" s="33" t="s">
        <v>268</v>
      </c>
      <c r="H9" s="33">
        <v>20411454</v>
      </c>
      <c r="I9" s="35">
        <v>46056</v>
      </c>
      <c r="J9" s="36">
        <v>46084</v>
      </c>
      <c r="K9" s="37" t="s">
        <v>265</v>
      </c>
    </row>
    <row r="10" spans="1:18" s="37" customFormat="1" ht="15" customHeight="1" x14ac:dyDescent="0.25">
      <c r="A10" s="33" t="s">
        <v>45</v>
      </c>
      <c r="B10" s="33" t="s">
        <v>126</v>
      </c>
      <c r="C10" s="33" t="s">
        <v>127</v>
      </c>
      <c r="D10" s="34">
        <v>9.3800000000000008</v>
      </c>
      <c r="E10" s="34">
        <v>9.3800000000000008</v>
      </c>
      <c r="F10" s="34">
        <f>E10/D10</f>
        <v>1</v>
      </c>
      <c r="G10" s="33" t="s">
        <v>268</v>
      </c>
      <c r="H10" s="33">
        <v>20411454</v>
      </c>
      <c r="I10" s="35">
        <v>46056</v>
      </c>
      <c r="J10" s="36">
        <v>46056</v>
      </c>
      <c r="K10" s="37" t="s">
        <v>265</v>
      </c>
    </row>
    <row r="11" spans="1:18" ht="15" customHeight="1" x14ac:dyDescent="0.25">
      <c r="A11" s="1" t="s">
        <v>68</v>
      </c>
      <c r="B11" s="1" t="s">
        <v>143</v>
      </c>
      <c r="C11" s="1" t="s">
        <v>144</v>
      </c>
      <c r="D11" s="6">
        <v>34.25</v>
      </c>
      <c r="E11" s="6">
        <v>4.45</v>
      </c>
      <c r="F11" s="6">
        <f>E11/D11</f>
        <v>0.12992700729927009</v>
      </c>
      <c r="G11" s="1" t="s">
        <v>145</v>
      </c>
      <c r="H11" s="1">
        <v>8325282</v>
      </c>
      <c r="I11" s="26">
        <v>45658</v>
      </c>
      <c r="J11" s="27">
        <v>46082</v>
      </c>
      <c r="K11" t="s">
        <v>267</v>
      </c>
    </row>
    <row r="12" spans="1:18" ht="15" customHeight="1" x14ac:dyDescent="0.25">
      <c r="A12" s="1" t="s">
        <v>45</v>
      </c>
      <c r="B12" s="1" t="s">
        <v>97</v>
      </c>
      <c r="C12" s="1" t="s">
        <v>98</v>
      </c>
      <c r="D12" s="6">
        <v>390.72</v>
      </c>
      <c r="E12" s="6">
        <v>62.52</v>
      </c>
      <c r="F12" s="6">
        <f>E12/D12</f>
        <v>0.16001228501228501</v>
      </c>
      <c r="G12" s="1" t="s">
        <v>99</v>
      </c>
      <c r="H12" s="1">
        <v>8307933</v>
      </c>
      <c r="I12" s="26">
        <v>46025</v>
      </c>
      <c r="J12" s="27">
        <v>46084</v>
      </c>
      <c r="K12" t="s">
        <v>266</v>
      </c>
    </row>
    <row r="13" spans="1:18" ht="15" customHeight="1" x14ac:dyDescent="0.25">
      <c r="A13" s="28" t="s">
        <v>45</v>
      </c>
      <c r="B13" s="28" t="s">
        <v>115</v>
      </c>
      <c r="C13" s="28" t="s">
        <v>116</v>
      </c>
      <c r="D13" s="29">
        <v>385.81</v>
      </c>
      <c r="E13" s="29">
        <v>84.88</v>
      </c>
      <c r="F13" s="6">
        <f>E13/D13</f>
        <v>0.22000466550892925</v>
      </c>
      <c r="G13" s="28" t="s">
        <v>117</v>
      </c>
      <c r="H13" s="28">
        <v>21621622</v>
      </c>
      <c r="I13" s="30">
        <v>46050</v>
      </c>
      <c r="J13" s="31">
        <v>46081</v>
      </c>
      <c r="K13" s="32" t="s">
        <v>269</v>
      </c>
      <c r="L13" s="32"/>
      <c r="M13" s="32"/>
      <c r="N13" s="32"/>
      <c r="O13" s="32"/>
      <c r="P13" s="32"/>
      <c r="Q13" s="32"/>
      <c r="R13" s="32"/>
    </row>
    <row r="14" spans="1:18" ht="15" customHeight="1" x14ac:dyDescent="0.25">
      <c r="A14" s="28" t="s">
        <v>45</v>
      </c>
      <c r="B14" s="28" t="s">
        <v>115</v>
      </c>
      <c r="C14" s="28" t="s">
        <v>116</v>
      </c>
      <c r="D14" s="29">
        <v>385.81</v>
      </c>
      <c r="E14" s="29">
        <v>84.88</v>
      </c>
      <c r="F14" s="6">
        <f>E14/D14</f>
        <v>0.22000466550892925</v>
      </c>
      <c r="G14" s="28" t="s">
        <v>117</v>
      </c>
      <c r="H14" s="28">
        <v>21621622</v>
      </c>
      <c r="I14" s="30">
        <v>46050</v>
      </c>
      <c r="J14" s="31">
        <v>46050</v>
      </c>
      <c r="K14" s="32" t="s">
        <v>269</v>
      </c>
      <c r="L14" s="32"/>
      <c r="M14" s="32"/>
      <c r="N14" s="32"/>
      <c r="O14" s="32"/>
      <c r="P14" s="32"/>
      <c r="Q14" s="32"/>
      <c r="R14" s="32"/>
    </row>
    <row r="15" spans="1:18" ht="15" customHeight="1" x14ac:dyDescent="0.25">
      <c r="A15" s="28" t="s">
        <v>45</v>
      </c>
      <c r="B15" s="28" t="s">
        <v>255</v>
      </c>
      <c r="C15" s="28" t="s">
        <v>256</v>
      </c>
      <c r="D15" s="29">
        <v>98.77</v>
      </c>
      <c r="E15" s="29">
        <v>24.69</v>
      </c>
      <c r="F15" s="6">
        <f>E15/D15</f>
        <v>0.24997468867064901</v>
      </c>
      <c r="G15" s="28" t="s">
        <v>208</v>
      </c>
      <c r="H15" s="28">
        <v>17425766</v>
      </c>
      <c r="I15" s="30">
        <v>46080</v>
      </c>
      <c r="J15" s="31">
        <v>46080</v>
      </c>
      <c r="K15" s="32" t="s">
        <v>263</v>
      </c>
      <c r="L15" s="32"/>
      <c r="M15" s="32"/>
      <c r="N15" s="32"/>
      <c r="O15" s="32"/>
      <c r="P15" s="32"/>
      <c r="Q15" s="32"/>
      <c r="R15" s="32"/>
    </row>
    <row r="16" spans="1:18" ht="15" customHeight="1" x14ac:dyDescent="0.25">
      <c r="A16" s="1" t="s">
        <v>45</v>
      </c>
      <c r="B16" s="1" t="s">
        <v>248</v>
      </c>
      <c r="C16" s="1" t="s">
        <v>249</v>
      </c>
      <c r="D16" s="6">
        <v>116.77</v>
      </c>
      <c r="E16" s="6">
        <v>29.19</v>
      </c>
      <c r="F16" s="6">
        <f>E16/D16</f>
        <v>0.24997859039136766</v>
      </c>
      <c r="G16" s="1" t="s">
        <v>200</v>
      </c>
      <c r="H16" s="1">
        <v>18754354</v>
      </c>
      <c r="I16" s="26">
        <v>45983</v>
      </c>
      <c r="J16" s="27">
        <v>46075</v>
      </c>
      <c r="K16" t="s">
        <v>263</v>
      </c>
    </row>
    <row r="17" spans="1:18" s="32" customFormat="1" ht="15" customHeight="1" x14ac:dyDescent="0.25">
      <c r="A17" s="1" t="s">
        <v>45</v>
      </c>
      <c r="B17" s="1" t="s">
        <v>110</v>
      </c>
      <c r="C17" s="1" t="s">
        <v>111</v>
      </c>
      <c r="D17" s="6">
        <v>244.98</v>
      </c>
      <c r="E17" s="6">
        <v>61.24</v>
      </c>
      <c r="F17" s="6">
        <f>E17/D17</f>
        <v>0.24997959017062618</v>
      </c>
      <c r="G17" s="1" t="s">
        <v>112</v>
      </c>
      <c r="H17" s="1">
        <v>17554531</v>
      </c>
      <c r="I17" s="26">
        <v>46054</v>
      </c>
      <c r="J17" s="27">
        <v>46082</v>
      </c>
      <c r="K17" t="s">
        <v>263</v>
      </c>
      <c r="L17"/>
      <c r="M17"/>
      <c r="N17"/>
      <c r="O17"/>
      <c r="P17"/>
      <c r="Q17"/>
      <c r="R17"/>
    </row>
    <row r="18" spans="1:18" s="32" customFormat="1" ht="15" customHeight="1" x14ac:dyDescent="0.25">
      <c r="A18" s="28" t="s">
        <v>45</v>
      </c>
      <c r="B18" s="28" t="s">
        <v>246</v>
      </c>
      <c r="C18" s="28" t="s">
        <v>247</v>
      </c>
      <c r="D18" s="29">
        <v>204.73</v>
      </c>
      <c r="E18" s="29">
        <v>51.18</v>
      </c>
      <c r="F18" s="6">
        <f>E18/D18</f>
        <v>0.24998778879499831</v>
      </c>
      <c r="G18" s="28" t="s">
        <v>71</v>
      </c>
      <c r="H18" s="28">
        <v>19681796</v>
      </c>
      <c r="I18" s="30">
        <v>46082</v>
      </c>
      <c r="J18" s="31">
        <v>46082</v>
      </c>
      <c r="K18" s="32" t="s">
        <v>263</v>
      </c>
    </row>
    <row r="19" spans="1:18" ht="15" customHeight="1" x14ac:dyDescent="0.25">
      <c r="A19" s="28" t="s">
        <v>85</v>
      </c>
      <c r="B19" s="28" t="s">
        <v>252</v>
      </c>
      <c r="C19" s="28" t="s">
        <v>253</v>
      </c>
      <c r="D19" s="29">
        <v>254.49</v>
      </c>
      <c r="E19" s="29">
        <v>63.62</v>
      </c>
      <c r="F19" s="6">
        <f>E19/D19</f>
        <v>0.24999017643129395</v>
      </c>
      <c r="G19" s="28" t="s">
        <v>254</v>
      </c>
      <c r="H19" s="28">
        <v>16865615</v>
      </c>
      <c r="I19" s="30">
        <v>46061</v>
      </c>
      <c r="J19" s="31">
        <v>46061</v>
      </c>
      <c r="K19" s="32" t="s">
        <v>263</v>
      </c>
      <c r="L19" s="32"/>
      <c r="M19" s="32"/>
      <c r="N19" s="32"/>
      <c r="O19" s="32"/>
      <c r="P19" s="32"/>
      <c r="Q19" s="32"/>
      <c r="R19" s="32"/>
    </row>
    <row r="20" spans="1:18" s="32" customFormat="1" ht="15" customHeight="1" x14ac:dyDescent="0.25">
      <c r="A20" s="1" t="s">
        <v>85</v>
      </c>
      <c r="B20" s="1" t="s">
        <v>206</v>
      </c>
      <c r="C20" s="1" t="s">
        <v>207</v>
      </c>
      <c r="D20" s="6">
        <v>486.21</v>
      </c>
      <c r="E20" s="6">
        <v>121.55</v>
      </c>
      <c r="F20" s="6">
        <f>E20/D20</f>
        <v>0.24999485818884845</v>
      </c>
      <c r="G20" s="1" t="s">
        <v>208</v>
      </c>
      <c r="H20" s="1">
        <v>17425766</v>
      </c>
      <c r="I20" s="26">
        <v>46023</v>
      </c>
      <c r="J20" s="27">
        <v>46082</v>
      </c>
      <c r="K20" t="s">
        <v>263</v>
      </c>
      <c r="L20"/>
      <c r="M20"/>
      <c r="N20"/>
      <c r="O20"/>
      <c r="P20"/>
      <c r="Q20"/>
      <c r="R20"/>
    </row>
    <row r="21" spans="1:18" s="32" customFormat="1" ht="15" customHeight="1" x14ac:dyDescent="0.25">
      <c r="A21" s="28" t="s">
        <v>45</v>
      </c>
      <c r="B21" s="28" t="s">
        <v>120</v>
      </c>
      <c r="C21" s="28" t="s">
        <v>121</v>
      </c>
      <c r="D21" s="29">
        <v>1032.26</v>
      </c>
      <c r="E21" s="29">
        <v>258.06</v>
      </c>
      <c r="F21" s="6">
        <f>E21/D21</f>
        <v>0.24999515625908203</v>
      </c>
      <c r="G21" s="28" t="s">
        <v>71</v>
      </c>
      <c r="H21" s="28">
        <v>19681796</v>
      </c>
      <c r="I21" s="30">
        <v>46054</v>
      </c>
      <c r="J21" s="31">
        <v>46082</v>
      </c>
      <c r="K21" s="32" t="s">
        <v>263</v>
      </c>
    </row>
    <row r="22" spans="1:18" s="32" customFormat="1" ht="15" customHeight="1" x14ac:dyDescent="0.25">
      <c r="A22" s="28" t="s">
        <v>45</v>
      </c>
      <c r="B22" s="28" t="s">
        <v>120</v>
      </c>
      <c r="C22" s="28" t="s">
        <v>121</v>
      </c>
      <c r="D22" s="29">
        <v>1032.26</v>
      </c>
      <c r="E22" s="29">
        <v>258.06</v>
      </c>
      <c r="F22" s="6">
        <f>E22/D22</f>
        <v>0.24999515625908203</v>
      </c>
      <c r="G22" s="28" t="s">
        <v>71</v>
      </c>
      <c r="H22" s="28">
        <v>19681796</v>
      </c>
      <c r="I22" s="30">
        <v>46054</v>
      </c>
      <c r="J22" s="31">
        <v>46054</v>
      </c>
      <c r="K22" s="32" t="s">
        <v>263</v>
      </c>
    </row>
    <row r="23" spans="1:18" s="32" customFormat="1" ht="15" customHeight="1" x14ac:dyDescent="0.25">
      <c r="A23" s="1" t="s">
        <v>45</v>
      </c>
      <c r="B23" s="1" t="s">
        <v>123</v>
      </c>
      <c r="C23" s="1" t="s">
        <v>124</v>
      </c>
      <c r="D23" s="6">
        <v>535.85</v>
      </c>
      <c r="E23" s="6">
        <v>133.96</v>
      </c>
      <c r="F23" s="6">
        <f>E23/D23</f>
        <v>0.24999533451525613</v>
      </c>
      <c r="G23" s="1" t="s">
        <v>71</v>
      </c>
      <c r="H23" s="1">
        <v>19681796</v>
      </c>
      <c r="I23" s="26">
        <v>46056</v>
      </c>
      <c r="J23" s="27">
        <v>46084</v>
      </c>
      <c r="K23" t="s">
        <v>263</v>
      </c>
      <c r="L23"/>
      <c r="M23"/>
      <c r="N23"/>
      <c r="O23"/>
      <c r="P23"/>
      <c r="Q23"/>
      <c r="R23"/>
    </row>
    <row r="24" spans="1:18" ht="15" customHeight="1" x14ac:dyDescent="0.25">
      <c r="A24" s="28" t="s">
        <v>45</v>
      </c>
      <c r="B24" s="28" t="s">
        <v>244</v>
      </c>
      <c r="C24" s="28" t="s">
        <v>245</v>
      </c>
      <c r="D24" s="29">
        <v>535.85</v>
      </c>
      <c r="E24" s="29">
        <v>133.96</v>
      </c>
      <c r="F24" s="6">
        <f>E24/D24</f>
        <v>0.24999533451525613</v>
      </c>
      <c r="G24" s="28" t="s">
        <v>71</v>
      </c>
      <c r="H24" s="28">
        <v>19681796</v>
      </c>
      <c r="I24" s="30">
        <v>46053</v>
      </c>
      <c r="J24" s="31">
        <v>46053</v>
      </c>
      <c r="K24" s="32" t="s">
        <v>263</v>
      </c>
      <c r="L24" s="32"/>
      <c r="M24" s="32"/>
      <c r="N24" s="32"/>
      <c r="O24" s="32"/>
      <c r="P24" s="32"/>
      <c r="Q24" s="32"/>
      <c r="R24" s="32"/>
    </row>
    <row r="25" spans="1:18" s="32" customFormat="1" ht="15" customHeight="1" x14ac:dyDescent="0.25">
      <c r="A25" s="1" t="s">
        <v>45</v>
      </c>
      <c r="B25" s="1" t="s">
        <v>166</v>
      </c>
      <c r="C25" s="1" t="s">
        <v>167</v>
      </c>
      <c r="D25" s="6">
        <v>701.73</v>
      </c>
      <c r="E25" s="6">
        <v>175.43</v>
      </c>
      <c r="F25" s="6">
        <f>E25/D25</f>
        <v>0.24999643737619884</v>
      </c>
      <c r="G25" s="1" t="s">
        <v>49</v>
      </c>
      <c r="H25" s="1">
        <v>18581063</v>
      </c>
      <c r="I25" s="26">
        <v>45962</v>
      </c>
      <c r="J25" s="27">
        <v>46082</v>
      </c>
      <c r="K25" t="s">
        <v>263</v>
      </c>
      <c r="L25"/>
      <c r="M25"/>
      <c r="N25"/>
      <c r="O25"/>
      <c r="P25"/>
      <c r="Q25"/>
      <c r="R25"/>
    </row>
    <row r="26" spans="1:18" s="32" customFormat="1" ht="15" customHeight="1" x14ac:dyDescent="0.25">
      <c r="A26" s="1" t="s">
        <v>45</v>
      </c>
      <c r="B26" s="1" t="s">
        <v>57</v>
      </c>
      <c r="C26" s="1" t="s">
        <v>54</v>
      </c>
      <c r="D26" s="6">
        <v>96.16</v>
      </c>
      <c r="E26" s="6">
        <v>24.04</v>
      </c>
      <c r="F26" s="6">
        <f>E26/D26</f>
        <v>0.25</v>
      </c>
      <c r="G26" s="1" t="s">
        <v>49</v>
      </c>
      <c r="H26" s="1">
        <v>18581063</v>
      </c>
      <c r="I26" s="26">
        <v>46023</v>
      </c>
      <c r="J26" s="27">
        <v>46082</v>
      </c>
      <c r="K26" t="s">
        <v>263</v>
      </c>
      <c r="L26"/>
      <c r="M26"/>
      <c r="N26"/>
      <c r="O26"/>
      <c r="P26"/>
      <c r="Q26"/>
      <c r="R26"/>
    </row>
    <row r="27" spans="1:18" s="32" customFormat="1" ht="15" customHeight="1" x14ac:dyDescent="0.25">
      <c r="A27" s="1" t="s">
        <v>45</v>
      </c>
      <c r="B27" s="1" t="s">
        <v>59</v>
      </c>
      <c r="C27" s="1" t="s">
        <v>60</v>
      </c>
      <c r="D27" s="6">
        <v>96.16</v>
      </c>
      <c r="E27" s="6">
        <v>24.04</v>
      </c>
      <c r="F27" s="6">
        <f>E27/D27</f>
        <v>0.25</v>
      </c>
      <c r="G27" s="1" t="s">
        <v>49</v>
      </c>
      <c r="H27" s="1">
        <v>18581063</v>
      </c>
      <c r="I27" s="26">
        <v>46023</v>
      </c>
      <c r="J27" s="27">
        <v>46082</v>
      </c>
      <c r="K27" t="s">
        <v>263</v>
      </c>
      <c r="L27"/>
      <c r="M27"/>
      <c r="N27"/>
      <c r="O27"/>
      <c r="P27"/>
      <c r="Q27"/>
      <c r="R27"/>
    </row>
    <row r="28" spans="1:18" s="32" customFormat="1" ht="15" customHeight="1" x14ac:dyDescent="0.25">
      <c r="A28" s="1" t="s">
        <v>45</v>
      </c>
      <c r="B28" s="1" t="s">
        <v>74</v>
      </c>
      <c r="C28" s="1" t="s">
        <v>70</v>
      </c>
      <c r="D28" s="6">
        <v>248.28</v>
      </c>
      <c r="E28" s="6">
        <v>62.07</v>
      </c>
      <c r="F28" s="6">
        <f>E28/D28</f>
        <v>0.25</v>
      </c>
      <c r="G28" s="1" t="s">
        <v>71</v>
      </c>
      <c r="H28" s="1">
        <v>19681796</v>
      </c>
      <c r="I28" s="26">
        <v>46023</v>
      </c>
      <c r="J28" s="27">
        <v>46082</v>
      </c>
      <c r="K28" t="s">
        <v>263</v>
      </c>
      <c r="L28"/>
      <c r="M28"/>
      <c r="N28"/>
      <c r="O28"/>
      <c r="P28"/>
      <c r="Q28"/>
      <c r="R28"/>
    </row>
    <row r="29" spans="1:18" ht="15" customHeight="1" x14ac:dyDescent="0.25">
      <c r="A29" s="28" t="s">
        <v>85</v>
      </c>
      <c r="B29" s="28" t="s">
        <v>134</v>
      </c>
      <c r="C29" s="28" t="s">
        <v>135</v>
      </c>
      <c r="D29" s="29">
        <v>855.44</v>
      </c>
      <c r="E29" s="29">
        <v>213.86</v>
      </c>
      <c r="F29" s="6">
        <f>E29/D29</f>
        <v>0.25</v>
      </c>
      <c r="G29" s="28" t="s">
        <v>137</v>
      </c>
      <c r="H29" s="28">
        <v>9213293</v>
      </c>
      <c r="I29" s="30">
        <v>46080</v>
      </c>
      <c r="J29" s="31">
        <v>46080</v>
      </c>
      <c r="K29" s="32" t="s">
        <v>263</v>
      </c>
      <c r="L29" s="32"/>
      <c r="M29" s="32"/>
      <c r="N29" s="32"/>
      <c r="O29" s="32"/>
      <c r="P29" s="32"/>
      <c r="Q29" s="32"/>
      <c r="R29" s="32"/>
    </row>
    <row r="30" spans="1:18" ht="15" customHeight="1" x14ac:dyDescent="0.25">
      <c r="A30" s="28" t="s">
        <v>85</v>
      </c>
      <c r="B30" s="28" t="s">
        <v>140</v>
      </c>
      <c r="C30" s="28" t="s">
        <v>141</v>
      </c>
      <c r="D30" s="29">
        <v>186.56</v>
      </c>
      <c r="E30" s="29">
        <v>46.64</v>
      </c>
      <c r="F30" s="6">
        <f>E30/D30</f>
        <v>0.25</v>
      </c>
      <c r="G30" s="28" t="s">
        <v>99</v>
      </c>
      <c r="H30" s="28">
        <v>8307933</v>
      </c>
      <c r="I30" s="30">
        <v>46082</v>
      </c>
      <c r="J30" s="31">
        <v>46082</v>
      </c>
      <c r="K30" s="32" t="s">
        <v>263</v>
      </c>
      <c r="L30" s="32"/>
      <c r="M30" s="32"/>
      <c r="N30" s="32"/>
      <c r="O30" s="32"/>
      <c r="P30" s="32"/>
      <c r="Q30" s="32"/>
      <c r="R30" s="32"/>
    </row>
    <row r="31" spans="1:18" ht="15" customHeight="1" x14ac:dyDescent="0.25">
      <c r="A31" s="1" t="s">
        <v>45</v>
      </c>
      <c r="B31" s="1" t="s">
        <v>174</v>
      </c>
      <c r="C31" s="1" t="s">
        <v>175</v>
      </c>
      <c r="D31" s="6">
        <v>495.24</v>
      </c>
      <c r="E31" s="6">
        <v>123.81</v>
      </c>
      <c r="F31" s="6">
        <f>E31/D31</f>
        <v>0.25</v>
      </c>
      <c r="G31" s="1" t="s">
        <v>177</v>
      </c>
      <c r="H31" s="1">
        <v>21605264</v>
      </c>
      <c r="I31" s="26">
        <v>45965</v>
      </c>
      <c r="J31" s="27">
        <v>46085</v>
      </c>
      <c r="K31" t="s">
        <v>263</v>
      </c>
    </row>
    <row r="32" spans="1:18" ht="15" customHeight="1" x14ac:dyDescent="0.25">
      <c r="A32" s="1" t="s">
        <v>85</v>
      </c>
      <c r="B32" s="1" t="s">
        <v>189</v>
      </c>
      <c r="C32" s="1" t="s">
        <v>190</v>
      </c>
      <c r="D32" s="6">
        <v>309.48</v>
      </c>
      <c r="E32" s="6">
        <v>77.37</v>
      </c>
      <c r="F32" s="6">
        <f>E32/D32</f>
        <v>0.25</v>
      </c>
      <c r="G32" s="1" t="s">
        <v>191</v>
      </c>
      <c r="H32" s="1">
        <v>18598357</v>
      </c>
      <c r="I32" s="26">
        <v>46023</v>
      </c>
      <c r="J32" s="27">
        <v>46082</v>
      </c>
      <c r="K32" t="s">
        <v>263</v>
      </c>
    </row>
    <row r="33" spans="1:18" ht="15" customHeight="1" x14ac:dyDescent="0.25">
      <c r="A33" s="1" t="s">
        <v>85</v>
      </c>
      <c r="B33" s="1" t="s">
        <v>197</v>
      </c>
      <c r="C33" s="1" t="s">
        <v>198</v>
      </c>
      <c r="D33" s="6">
        <v>298.56</v>
      </c>
      <c r="E33" s="6">
        <v>74.64</v>
      </c>
      <c r="F33" s="6">
        <f>E33/D33</f>
        <v>0.25</v>
      </c>
      <c r="G33" s="1" t="s">
        <v>200</v>
      </c>
      <c r="H33" s="1">
        <v>18754354</v>
      </c>
      <c r="I33" s="26">
        <v>45993</v>
      </c>
      <c r="J33" s="27">
        <v>46083</v>
      </c>
      <c r="K33" t="s">
        <v>263</v>
      </c>
    </row>
    <row r="34" spans="1:18" ht="15" customHeight="1" x14ac:dyDescent="0.25">
      <c r="A34" s="1" t="s">
        <v>85</v>
      </c>
      <c r="B34" s="1" t="s">
        <v>219</v>
      </c>
      <c r="C34" s="1" t="s">
        <v>220</v>
      </c>
      <c r="D34" s="6">
        <v>394.24</v>
      </c>
      <c r="E34" s="6">
        <v>98.56</v>
      </c>
      <c r="F34" s="6">
        <f>E34/D34</f>
        <v>0.25</v>
      </c>
      <c r="G34" s="1" t="s">
        <v>137</v>
      </c>
      <c r="H34" s="1">
        <v>9213293</v>
      </c>
      <c r="I34" s="26">
        <v>46023</v>
      </c>
      <c r="J34" s="27">
        <v>46082</v>
      </c>
      <c r="K34" t="s">
        <v>263</v>
      </c>
    </row>
    <row r="35" spans="1:18" ht="15" customHeight="1" x14ac:dyDescent="0.25">
      <c r="A35" s="1" t="s">
        <v>85</v>
      </c>
      <c r="B35" s="1" t="s">
        <v>227</v>
      </c>
      <c r="C35" s="1" t="s">
        <v>228</v>
      </c>
      <c r="D35" s="6">
        <v>414.08</v>
      </c>
      <c r="E35" s="6">
        <v>103.52</v>
      </c>
      <c r="F35" s="6">
        <f>E35/D35</f>
        <v>0.25</v>
      </c>
      <c r="G35" s="1" t="s">
        <v>88</v>
      </c>
      <c r="H35" s="1">
        <v>8977234</v>
      </c>
      <c r="I35" s="26">
        <v>46023</v>
      </c>
      <c r="J35" s="27">
        <v>46082</v>
      </c>
      <c r="K35" t="s">
        <v>263</v>
      </c>
    </row>
    <row r="36" spans="1:18" ht="15" customHeight="1" x14ac:dyDescent="0.25">
      <c r="A36" s="1" t="s">
        <v>45</v>
      </c>
      <c r="B36" s="1" t="s">
        <v>230</v>
      </c>
      <c r="C36" s="1" t="s">
        <v>231</v>
      </c>
      <c r="D36" s="6">
        <v>545.76</v>
      </c>
      <c r="E36" s="6">
        <v>136.44</v>
      </c>
      <c r="F36" s="6">
        <f>E36/D36</f>
        <v>0.25</v>
      </c>
      <c r="G36" s="1" t="s">
        <v>49</v>
      </c>
      <c r="H36" s="1">
        <v>18581063</v>
      </c>
      <c r="I36" s="26">
        <v>46023</v>
      </c>
      <c r="J36" s="27">
        <v>46082</v>
      </c>
      <c r="K36" t="s">
        <v>263</v>
      </c>
    </row>
    <row r="37" spans="1:18" ht="15" customHeight="1" x14ac:dyDescent="0.25">
      <c r="A37" s="1" t="s">
        <v>45</v>
      </c>
      <c r="B37" s="1" t="s">
        <v>236</v>
      </c>
      <c r="C37" s="1" t="s">
        <v>237</v>
      </c>
      <c r="D37" s="6">
        <v>333.44</v>
      </c>
      <c r="E37" s="6">
        <v>83.36</v>
      </c>
      <c r="F37" s="6">
        <f>E37/D37</f>
        <v>0.25</v>
      </c>
      <c r="G37" s="1" t="s">
        <v>238</v>
      </c>
      <c r="H37" s="1">
        <v>8971826</v>
      </c>
      <c r="I37" s="26">
        <v>46022</v>
      </c>
      <c r="J37" s="27">
        <v>46081</v>
      </c>
      <c r="K37" t="s">
        <v>263</v>
      </c>
    </row>
    <row r="38" spans="1:18" ht="15" customHeight="1" x14ac:dyDescent="0.25">
      <c r="A38" s="1" t="s">
        <v>45</v>
      </c>
      <c r="B38" s="1" t="s">
        <v>257</v>
      </c>
      <c r="C38" s="1" t="s">
        <v>258</v>
      </c>
      <c r="D38" s="6">
        <v>92.12</v>
      </c>
      <c r="E38" s="6">
        <v>23.03</v>
      </c>
      <c r="F38" s="6">
        <f>E38/D38</f>
        <v>0.25</v>
      </c>
      <c r="G38" s="1" t="s">
        <v>208</v>
      </c>
      <c r="H38" s="1">
        <v>17425766</v>
      </c>
      <c r="I38" s="26">
        <v>45923</v>
      </c>
      <c r="J38" s="27">
        <v>46076</v>
      </c>
      <c r="K38" t="s">
        <v>263</v>
      </c>
    </row>
    <row r="39" spans="1:18" ht="15" customHeight="1" x14ac:dyDescent="0.25">
      <c r="A39" s="1" t="s">
        <v>45</v>
      </c>
      <c r="B39" s="1" t="s">
        <v>259</v>
      </c>
      <c r="C39" s="1" t="s">
        <v>260</v>
      </c>
      <c r="D39" s="6">
        <v>92.12</v>
      </c>
      <c r="E39" s="6">
        <v>23.03</v>
      </c>
      <c r="F39" s="6">
        <f>E39/D39</f>
        <v>0.25</v>
      </c>
      <c r="G39" s="1" t="s">
        <v>208</v>
      </c>
      <c r="H39" s="1">
        <v>17425766</v>
      </c>
      <c r="I39" s="26">
        <v>45922</v>
      </c>
      <c r="J39" s="27">
        <v>46075</v>
      </c>
      <c r="K39" t="s">
        <v>263</v>
      </c>
    </row>
    <row r="40" spans="1:18" s="32" customFormat="1" ht="15" customHeight="1" x14ac:dyDescent="0.25">
      <c r="A40" s="1" t="s">
        <v>45</v>
      </c>
      <c r="B40" s="1" t="s">
        <v>261</v>
      </c>
      <c r="C40" s="1" t="s">
        <v>262</v>
      </c>
      <c r="D40" s="6">
        <v>151.04</v>
      </c>
      <c r="E40" s="6">
        <v>37.76</v>
      </c>
      <c r="F40" s="6">
        <f>E40/D40</f>
        <v>0.25</v>
      </c>
      <c r="G40" s="1" t="s">
        <v>200</v>
      </c>
      <c r="H40" s="1">
        <v>18754354</v>
      </c>
      <c r="I40" s="26">
        <v>45951</v>
      </c>
      <c r="J40" s="27">
        <v>46074</v>
      </c>
      <c r="K40" t="s">
        <v>263</v>
      </c>
      <c r="L40"/>
      <c r="M40"/>
      <c r="N40"/>
      <c r="O40"/>
      <c r="P40"/>
      <c r="Q40"/>
      <c r="R40"/>
    </row>
    <row r="41" spans="1:18" ht="15" customHeight="1" x14ac:dyDescent="0.25">
      <c r="A41" s="28" t="s">
        <v>85</v>
      </c>
      <c r="B41" s="28" t="s">
        <v>211</v>
      </c>
      <c r="C41" s="28" t="s">
        <v>212</v>
      </c>
      <c r="D41" s="29">
        <v>782.35</v>
      </c>
      <c r="E41" s="29">
        <v>195.59</v>
      </c>
      <c r="F41" s="6">
        <f>E41/D41</f>
        <v>0.25000319550073496</v>
      </c>
      <c r="G41" s="28" t="s">
        <v>213</v>
      </c>
      <c r="H41" s="28">
        <v>17117649</v>
      </c>
      <c r="I41" s="30">
        <v>46023</v>
      </c>
      <c r="J41" s="31">
        <v>46082</v>
      </c>
      <c r="K41" s="32" t="s">
        <v>263</v>
      </c>
      <c r="L41" s="32"/>
      <c r="M41" s="32"/>
      <c r="N41" s="32"/>
      <c r="O41" s="32"/>
      <c r="P41" s="32"/>
      <c r="Q41" s="32"/>
      <c r="R41" s="32"/>
    </row>
    <row r="42" spans="1:18" ht="15" customHeight="1" x14ac:dyDescent="0.25">
      <c r="A42" s="28" t="s">
        <v>85</v>
      </c>
      <c r="B42" s="28" t="s">
        <v>211</v>
      </c>
      <c r="C42" s="28" t="s">
        <v>212</v>
      </c>
      <c r="D42" s="29">
        <v>782.35</v>
      </c>
      <c r="E42" s="29">
        <v>195.59</v>
      </c>
      <c r="F42" s="6">
        <f>E42/D42</f>
        <v>0.25000319550073496</v>
      </c>
      <c r="G42" s="28" t="s">
        <v>213</v>
      </c>
      <c r="H42" s="28">
        <v>17117649</v>
      </c>
      <c r="I42" s="30">
        <v>46023</v>
      </c>
      <c r="J42" s="31">
        <v>46023</v>
      </c>
      <c r="K42" s="32" t="s">
        <v>263</v>
      </c>
      <c r="L42" s="32"/>
      <c r="M42" s="32"/>
      <c r="N42" s="32"/>
      <c r="O42" s="32"/>
      <c r="P42" s="32"/>
      <c r="Q42" s="32"/>
      <c r="R42" s="32"/>
    </row>
    <row r="43" spans="1:18" ht="15" customHeight="1" x14ac:dyDescent="0.25">
      <c r="A43" s="28" t="s">
        <v>85</v>
      </c>
      <c r="B43" s="28" t="s">
        <v>211</v>
      </c>
      <c r="C43" s="28" t="s">
        <v>212</v>
      </c>
      <c r="D43" s="29">
        <v>782.35</v>
      </c>
      <c r="E43" s="29">
        <v>195.59</v>
      </c>
      <c r="F43" s="6">
        <f>E43/D43</f>
        <v>0.25000319550073496</v>
      </c>
      <c r="G43" s="28" t="s">
        <v>213</v>
      </c>
      <c r="H43" s="28">
        <v>17117649</v>
      </c>
      <c r="I43" s="30">
        <v>46023</v>
      </c>
      <c r="J43" s="31">
        <v>46054</v>
      </c>
      <c r="K43" s="32" t="s">
        <v>263</v>
      </c>
      <c r="L43" s="32"/>
      <c r="M43" s="32"/>
      <c r="N43" s="32"/>
      <c r="O43" s="32"/>
      <c r="P43" s="32"/>
      <c r="Q43" s="32"/>
      <c r="R43" s="32"/>
    </row>
    <row r="44" spans="1:18" ht="15" customHeight="1" x14ac:dyDescent="0.25">
      <c r="A44" s="1" t="s">
        <v>45</v>
      </c>
      <c r="B44" s="1" t="s">
        <v>62</v>
      </c>
      <c r="C44" s="1" t="s">
        <v>63</v>
      </c>
      <c r="D44" s="6">
        <v>1213.06</v>
      </c>
      <c r="E44" s="6">
        <v>303.27</v>
      </c>
      <c r="F44" s="6">
        <f>E44/D44</f>
        <v>0.25000412180765996</v>
      </c>
      <c r="G44" s="1" t="s">
        <v>64</v>
      </c>
      <c r="H44" s="1">
        <v>17528908</v>
      </c>
      <c r="I44" s="26">
        <v>46023</v>
      </c>
      <c r="J44" s="27">
        <v>46082</v>
      </c>
      <c r="K44" t="s">
        <v>263</v>
      </c>
    </row>
    <row r="45" spans="1:18" ht="15" customHeight="1" x14ac:dyDescent="0.25">
      <c r="A45" s="28" t="s">
        <v>45</v>
      </c>
      <c r="B45" s="28" t="s">
        <v>129</v>
      </c>
      <c r="C45" s="28" t="s">
        <v>130</v>
      </c>
      <c r="D45" s="29">
        <v>1310.93</v>
      </c>
      <c r="E45" s="29">
        <v>327.74</v>
      </c>
      <c r="F45" s="6">
        <f>E45/D45</f>
        <v>0.25000572112927461</v>
      </c>
      <c r="G45" s="28" t="s">
        <v>49</v>
      </c>
      <c r="H45" s="28">
        <v>18581063</v>
      </c>
      <c r="I45" s="30">
        <v>46077</v>
      </c>
      <c r="J45" s="31">
        <v>46077</v>
      </c>
      <c r="K45" s="32" t="s">
        <v>263</v>
      </c>
      <c r="L45" s="32"/>
      <c r="M45" s="32"/>
      <c r="N45" s="32"/>
      <c r="O45" s="32"/>
      <c r="P45" s="32"/>
      <c r="Q45" s="32"/>
      <c r="R45" s="32"/>
    </row>
    <row r="46" spans="1:18" ht="15" customHeight="1" x14ac:dyDescent="0.25">
      <c r="A46" s="28" t="s">
        <v>85</v>
      </c>
      <c r="B46" s="28" t="s">
        <v>156</v>
      </c>
      <c r="C46" s="28" t="s">
        <v>157</v>
      </c>
      <c r="D46" s="29">
        <v>322.23</v>
      </c>
      <c r="E46" s="29">
        <v>80.56</v>
      </c>
      <c r="F46" s="6">
        <f>E46/D46</f>
        <v>0.2500077584334171</v>
      </c>
      <c r="G46" s="28" t="s">
        <v>158</v>
      </c>
      <c r="H46" s="28">
        <v>19396919</v>
      </c>
      <c r="I46" s="30">
        <v>45992</v>
      </c>
      <c r="J46" s="31">
        <v>46082</v>
      </c>
      <c r="K46" s="32" t="s">
        <v>263</v>
      </c>
      <c r="L46" s="32"/>
      <c r="M46" s="32"/>
      <c r="N46" s="32"/>
      <c r="O46" s="32"/>
      <c r="P46" s="32"/>
      <c r="Q46" s="32"/>
      <c r="R46" s="32"/>
    </row>
    <row r="47" spans="1:18" ht="15" customHeight="1" x14ac:dyDescent="0.25">
      <c r="A47" s="28" t="s">
        <v>85</v>
      </c>
      <c r="B47" s="28" t="s">
        <v>156</v>
      </c>
      <c r="C47" s="28" t="s">
        <v>157</v>
      </c>
      <c r="D47" s="29">
        <v>322.23</v>
      </c>
      <c r="E47" s="29">
        <v>80.56</v>
      </c>
      <c r="F47" s="6">
        <f>E47/D47</f>
        <v>0.2500077584334171</v>
      </c>
      <c r="G47" s="28" t="s">
        <v>158</v>
      </c>
      <c r="H47" s="28">
        <v>19396919</v>
      </c>
      <c r="I47" s="30">
        <v>45992</v>
      </c>
      <c r="J47" s="31">
        <v>46023</v>
      </c>
      <c r="K47" s="32" t="s">
        <v>263</v>
      </c>
      <c r="L47" s="32"/>
      <c r="M47" s="32"/>
      <c r="N47" s="32"/>
      <c r="O47" s="32"/>
      <c r="P47" s="32"/>
      <c r="Q47" s="32"/>
      <c r="R47" s="32"/>
    </row>
    <row r="48" spans="1:18" ht="15" customHeight="1" x14ac:dyDescent="0.25">
      <c r="A48" s="28" t="s">
        <v>85</v>
      </c>
      <c r="B48" s="28" t="s">
        <v>156</v>
      </c>
      <c r="C48" s="28" t="s">
        <v>157</v>
      </c>
      <c r="D48" s="29">
        <v>322.23</v>
      </c>
      <c r="E48" s="29">
        <v>80.56</v>
      </c>
      <c r="F48" s="6">
        <f>E48/D48</f>
        <v>0.2500077584334171</v>
      </c>
      <c r="G48" s="28" t="s">
        <v>158</v>
      </c>
      <c r="H48" s="28">
        <v>19396919</v>
      </c>
      <c r="I48" s="30">
        <v>45992</v>
      </c>
      <c r="J48" s="31">
        <v>46054</v>
      </c>
      <c r="K48" s="32" t="s">
        <v>263</v>
      </c>
      <c r="L48" s="32"/>
      <c r="M48" s="32"/>
      <c r="N48" s="32"/>
      <c r="O48" s="32"/>
      <c r="P48" s="32"/>
      <c r="Q48" s="32"/>
      <c r="R48" s="32"/>
    </row>
    <row r="49" spans="1:18" s="32" customFormat="1" ht="15" customHeight="1" x14ac:dyDescent="0.25">
      <c r="A49" s="28" t="s">
        <v>85</v>
      </c>
      <c r="B49" s="28" t="s">
        <v>156</v>
      </c>
      <c r="C49" s="28" t="s">
        <v>157</v>
      </c>
      <c r="D49" s="29">
        <v>322.23</v>
      </c>
      <c r="E49" s="29">
        <v>80.56</v>
      </c>
      <c r="F49" s="6">
        <f>E49/D49</f>
        <v>0.2500077584334171</v>
      </c>
      <c r="G49" s="28" t="s">
        <v>158</v>
      </c>
      <c r="H49" s="28">
        <v>19396919</v>
      </c>
      <c r="I49" s="30">
        <v>45992</v>
      </c>
      <c r="J49" s="31">
        <v>45992</v>
      </c>
      <c r="K49" s="32" t="s">
        <v>263</v>
      </c>
    </row>
    <row r="50" spans="1:18" s="32" customFormat="1" ht="15" customHeight="1" x14ac:dyDescent="0.25">
      <c r="A50" s="1" t="s">
        <v>45</v>
      </c>
      <c r="B50" s="1" t="s">
        <v>194</v>
      </c>
      <c r="C50" s="1" t="s">
        <v>195</v>
      </c>
      <c r="D50" s="6">
        <v>275.43</v>
      </c>
      <c r="E50" s="6">
        <v>68.86</v>
      </c>
      <c r="F50" s="6">
        <f>E50/D50</f>
        <v>0.25000907671640704</v>
      </c>
      <c r="G50" s="1" t="s">
        <v>71</v>
      </c>
      <c r="H50" s="1">
        <v>19681796</v>
      </c>
      <c r="I50" s="26">
        <v>45992</v>
      </c>
      <c r="J50" s="27">
        <v>46082</v>
      </c>
      <c r="K50" t="s">
        <v>263</v>
      </c>
      <c r="L50"/>
      <c r="M50"/>
      <c r="N50"/>
      <c r="O50"/>
      <c r="P50"/>
      <c r="Q50"/>
      <c r="R50"/>
    </row>
    <row r="51" spans="1:18" s="32" customFormat="1" ht="15" customHeight="1" x14ac:dyDescent="0.25">
      <c r="A51" s="1" t="s">
        <v>85</v>
      </c>
      <c r="B51" s="1" t="s">
        <v>107</v>
      </c>
      <c r="C51" s="1" t="s">
        <v>108</v>
      </c>
      <c r="D51" s="6">
        <v>259.79000000000002</v>
      </c>
      <c r="E51" s="6">
        <v>64.95</v>
      </c>
      <c r="F51" s="6">
        <f>E51/D51</f>
        <v>0.25000962315716541</v>
      </c>
      <c r="G51" s="1" t="s">
        <v>71</v>
      </c>
      <c r="H51" s="1">
        <v>19681796</v>
      </c>
      <c r="I51" s="26">
        <v>46023</v>
      </c>
      <c r="J51" s="27">
        <v>46082</v>
      </c>
      <c r="K51" t="s">
        <v>263</v>
      </c>
      <c r="L51"/>
      <c r="M51"/>
      <c r="N51"/>
      <c r="O51"/>
      <c r="P51"/>
      <c r="Q51"/>
      <c r="R51"/>
    </row>
    <row r="52" spans="1:18" s="32" customFormat="1" ht="15" customHeight="1" x14ac:dyDescent="0.25">
      <c r="A52" s="1" t="s">
        <v>45</v>
      </c>
      <c r="B52" s="1" t="s">
        <v>91</v>
      </c>
      <c r="C52" s="1" t="s">
        <v>92</v>
      </c>
      <c r="D52" s="6">
        <v>712.73</v>
      </c>
      <c r="E52" s="6">
        <v>178.19</v>
      </c>
      <c r="F52" s="6">
        <f>E52/D52</f>
        <v>0.2500105229189174</v>
      </c>
      <c r="G52" s="1" t="s">
        <v>94</v>
      </c>
      <c r="H52" s="1">
        <v>8814784</v>
      </c>
      <c r="I52" s="26">
        <v>46025</v>
      </c>
      <c r="J52" s="27">
        <v>46084</v>
      </c>
      <c r="K52" t="s">
        <v>263</v>
      </c>
      <c r="L52"/>
      <c r="M52"/>
      <c r="N52"/>
      <c r="O52"/>
      <c r="P52"/>
      <c r="Q52"/>
      <c r="R52"/>
    </row>
    <row r="53" spans="1:18" s="32" customFormat="1" ht="15" customHeight="1" x14ac:dyDescent="0.25">
      <c r="A53" s="1" t="s">
        <v>45</v>
      </c>
      <c r="B53" s="1" t="s">
        <v>76</v>
      </c>
      <c r="C53" s="1" t="s">
        <v>77</v>
      </c>
      <c r="D53" s="6">
        <v>399.02</v>
      </c>
      <c r="E53" s="6">
        <v>99.76</v>
      </c>
      <c r="F53" s="6">
        <f>E53/D53</f>
        <v>0.25001253070021556</v>
      </c>
      <c r="G53" s="1" t="s">
        <v>71</v>
      </c>
      <c r="H53" s="1">
        <v>19681796</v>
      </c>
      <c r="I53" s="26">
        <v>46023</v>
      </c>
      <c r="J53" s="27">
        <v>46082</v>
      </c>
      <c r="K53" t="s">
        <v>263</v>
      </c>
      <c r="L53"/>
      <c r="M53"/>
      <c r="N53"/>
      <c r="O53"/>
      <c r="P53"/>
      <c r="Q53"/>
      <c r="R53"/>
    </row>
    <row r="54" spans="1:18" ht="15" customHeight="1" x14ac:dyDescent="0.25">
      <c r="A54" s="1" t="s">
        <v>45</v>
      </c>
      <c r="B54" s="1" t="s">
        <v>233</v>
      </c>
      <c r="C54" s="1" t="s">
        <v>234</v>
      </c>
      <c r="D54" s="6">
        <v>185.03</v>
      </c>
      <c r="E54" s="6">
        <v>46.26</v>
      </c>
      <c r="F54" s="6">
        <f>E54/D54</f>
        <v>0.25001351132248822</v>
      </c>
      <c r="G54" s="1" t="s">
        <v>71</v>
      </c>
      <c r="H54" s="1">
        <v>19681796</v>
      </c>
      <c r="I54" s="26">
        <v>46023</v>
      </c>
      <c r="J54" s="27">
        <v>46082</v>
      </c>
      <c r="K54" t="s">
        <v>263</v>
      </c>
    </row>
    <row r="55" spans="1:18" s="32" customFormat="1" ht="15" customHeight="1" x14ac:dyDescent="0.25">
      <c r="A55" s="1" t="s">
        <v>45</v>
      </c>
      <c r="B55" s="1" t="s">
        <v>216</v>
      </c>
      <c r="C55" s="1" t="s">
        <v>217</v>
      </c>
      <c r="D55" s="6">
        <v>347.06</v>
      </c>
      <c r="E55" s="6">
        <v>86.77</v>
      </c>
      <c r="F55" s="6">
        <f>E55/D55</f>
        <v>0.25001440673082465</v>
      </c>
      <c r="G55" s="1" t="s">
        <v>71</v>
      </c>
      <c r="H55" s="1">
        <v>19681796</v>
      </c>
      <c r="I55" s="26">
        <v>46023</v>
      </c>
      <c r="J55" s="27">
        <v>46082</v>
      </c>
      <c r="K55" t="s">
        <v>263</v>
      </c>
      <c r="L55"/>
      <c r="M55"/>
      <c r="N55"/>
      <c r="O55"/>
      <c r="P55"/>
      <c r="Q55"/>
      <c r="R55"/>
    </row>
    <row r="56" spans="1:18" s="32" customFormat="1" ht="15" customHeight="1" x14ac:dyDescent="0.25">
      <c r="A56" s="28" t="s">
        <v>85</v>
      </c>
      <c r="B56" s="28" t="s">
        <v>148</v>
      </c>
      <c r="C56" s="28" t="s">
        <v>149</v>
      </c>
      <c r="D56" s="29">
        <v>260.94</v>
      </c>
      <c r="E56" s="29">
        <v>65.239999999999995</v>
      </c>
      <c r="F56" s="6">
        <f>E56/D56</f>
        <v>0.25001916149306352</v>
      </c>
      <c r="G56" s="28" t="s">
        <v>49</v>
      </c>
      <c r="H56" s="28">
        <v>18581063</v>
      </c>
      <c r="I56" s="30">
        <v>46054</v>
      </c>
      <c r="J56" s="31">
        <v>46082</v>
      </c>
      <c r="K56" s="32" t="s">
        <v>263</v>
      </c>
    </row>
    <row r="57" spans="1:18" s="32" customFormat="1" ht="15" customHeight="1" x14ac:dyDescent="0.25">
      <c r="A57" s="28" t="s">
        <v>85</v>
      </c>
      <c r="B57" s="28" t="s">
        <v>148</v>
      </c>
      <c r="C57" s="28" t="s">
        <v>149</v>
      </c>
      <c r="D57" s="29">
        <v>260.94</v>
      </c>
      <c r="E57" s="29">
        <v>65.239999999999995</v>
      </c>
      <c r="F57" s="6">
        <f>E57/D57</f>
        <v>0.25001916149306352</v>
      </c>
      <c r="G57" s="28" t="s">
        <v>49</v>
      </c>
      <c r="H57" s="28">
        <v>18581063</v>
      </c>
      <c r="I57" s="30">
        <v>46054</v>
      </c>
      <c r="J57" s="31">
        <v>46054</v>
      </c>
      <c r="K57" s="32" t="s">
        <v>263</v>
      </c>
    </row>
    <row r="58" spans="1:18" s="32" customFormat="1" ht="15" customHeight="1" x14ac:dyDescent="0.25">
      <c r="A58" s="1" t="s">
        <v>45</v>
      </c>
      <c r="B58" s="1" t="s">
        <v>53</v>
      </c>
      <c r="C58" s="1" t="s">
        <v>54</v>
      </c>
      <c r="D58" s="6">
        <v>220.94</v>
      </c>
      <c r="E58" s="6">
        <v>55.24</v>
      </c>
      <c r="F58" s="6">
        <f>E58/D58</f>
        <v>0.2500226305784376</v>
      </c>
      <c r="G58" s="1" t="s">
        <v>49</v>
      </c>
      <c r="H58" s="1">
        <v>18581063</v>
      </c>
      <c r="I58" s="26">
        <v>46023</v>
      </c>
      <c r="J58" s="27">
        <v>46082</v>
      </c>
      <c r="K58" t="s">
        <v>263</v>
      </c>
      <c r="L58"/>
      <c r="M58"/>
      <c r="N58"/>
      <c r="O58"/>
      <c r="P58"/>
      <c r="Q58"/>
      <c r="R58"/>
    </row>
    <row r="59" spans="1:18" s="32" customFormat="1" ht="15" customHeight="1" x14ac:dyDescent="0.25">
      <c r="A59" s="1" t="s">
        <v>85</v>
      </c>
      <c r="B59" s="1" t="s">
        <v>86</v>
      </c>
      <c r="C59" s="1" t="s">
        <v>87</v>
      </c>
      <c r="D59" s="6">
        <v>215.74</v>
      </c>
      <c r="E59" s="6">
        <v>53.94</v>
      </c>
      <c r="F59" s="6">
        <f>E59/D59</f>
        <v>0.2500231760452396</v>
      </c>
      <c r="G59" s="1" t="s">
        <v>88</v>
      </c>
      <c r="H59" s="1">
        <v>8977234</v>
      </c>
      <c r="I59" s="26">
        <v>46023</v>
      </c>
      <c r="J59" s="27">
        <v>46082</v>
      </c>
      <c r="K59" t="s">
        <v>263</v>
      </c>
      <c r="L59"/>
      <c r="M59"/>
      <c r="N59"/>
      <c r="O59"/>
      <c r="P59"/>
      <c r="Q59"/>
      <c r="R59"/>
    </row>
    <row r="60" spans="1:18" s="32" customFormat="1" ht="15" customHeight="1" x14ac:dyDescent="0.25">
      <c r="A60" s="1" t="s">
        <v>45</v>
      </c>
      <c r="B60" s="1" t="s">
        <v>46</v>
      </c>
      <c r="C60" s="1" t="s">
        <v>47</v>
      </c>
      <c r="D60" s="6">
        <v>214.94</v>
      </c>
      <c r="E60" s="6">
        <v>53.74</v>
      </c>
      <c r="F60" s="6">
        <f>E60/D60</f>
        <v>0.25002326230575977</v>
      </c>
      <c r="G60" s="1" t="s">
        <v>49</v>
      </c>
      <c r="H60" s="1">
        <v>18581063</v>
      </c>
      <c r="I60" s="26">
        <v>46020</v>
      </c>
      <c r="J60" s="27">
        <v>46081</v>
      </c>
      <c r="K60" t="s">
        <v>263</v>
      </c>
      <c r="L60"/>
      <c r="M60"/>
      <c r="N60"/>
      <c r="O60"/>
      <c r="P60"/>
      <c r="Q60"/>
      <c r="R60"/>
    </row>
    <row r="61" spans="1:18" s="32" customFormat="1" ht="15" customHeight="1" x14ac:dyDescent="0.25">
      <c r="A61" s="28" t="s">
        <v>45</v>
      </c>
      <c r="B61" s="28" t="s">
        <v>250</v>
      </c>
      <c r="C61" s="28" t="s">
        <v>251</v>
      </c>
      <c r="D61" s="29">
        <v>103.43</v>
      </c>
      <c r="E61" s="29">
        <v>25.86</v>
      </c>
      <c r="F61" s="6">
        <f>E61/D61</f>
        <v>0.25002417093686546</v>
      </c>
      <c r="G61" s="28" t="s">
        <v>49</v>
      </c>
      <c r="H61" s="28">
        <v>18581063</v>
      </c>
      <c r="I61" s="30">
        <v>46037</v>
      </c>
      <c r="J61" s="31">
        <v>46037</v>
      </c>
      <c r="K61" s="32" t="s">
        <v>263</v>
      </c>
    </row>
    <row r="62" spans="1:18" s="32" customFormat="1" ht="15" customHeight="1" x14ac:dyDescent="0.25">
      <c r="A62" s="28" t="s">
        <v>45</v>
      </c>
      <c r="B62" s="28" t="s">
        <v>250</v>
      </c>
      <c r="C62" s="28" t="s">
        <v>251</v>
      </c>
      <c r="D62" s="29">
        <v>103.43</v>
      </c>
      <c r="E62" s="29">
        <v>25.86</v>
      </c>
      <c r="F62" s="6">
        <f>E62/D62</f>
        <v>0.25002417093686546</v>
      </c>
      <c r="G62" s="28" t="s">
        <v>49</v>
      </c>
      <c r="H62" s="28">
        <v>18581063</v>
      </c>
      <c r="I62" s="30">
        <v>46037</v>
      </c>
      <c r="J62" s="31">
        <v>46068</v>
      </c>
      <c r="K62" s="32" t="s">
        <v>263</v>
      </c>
    </row>
    <row r="63" spans="1:18" s="32" customFormat="1" ht="15" customHeight="1" x14ac:dyDescent="0.25">
      <c r="A63" s="1" t="s">
        <v>45</v>
      </c>
      <c r="B63" s="1" t="s">
        <v>242</v>
      </c>
      <c r="C63" s="1" t="s">
        <v>243</v>
      </c>
      <c r="D63" s="6">
        <v>91.27</v>
      </c>
      <c r="E63" s="6">
        <v>22.82</v>
      </c>
      <c r="F63" s="6">
        <f>E63/D63</f>
        <v>0.25002739125671086</v>
      </c>
      <c r="G63" s="1" t="s">
        <v>208</v>
      </c>
      <c r="H63" s="1">
        <v>17425766</v>
      </c>
      <c r="I63" s="26">
        <v>46015</v>
      </c>
      <c r="J63" s="27">
        <v>46077</v>
      </c>
      <c r="K63" t="s">
        <v>263</v>
      </c>
      <c r="L63"/>
      <c r="M63"/>
      <c r="N63"/>
      <c r="O63"/>
      <c r="P63"/>
      <c r="Q63"/>
      <c r="R63"/>
    </row>
    <row r="64" spans="1:18" s="32" customFormat="1" ht="15" customHeight="1" x14ac:dyDescent="0.25">
      <c r="A64" s="28" t="s">
        <v>45</v>
      </c>
      <c r="B64" s="28" t="s">
        <v>161</v>
      </c>
      <c r="C64" s="28" t="s">
        <v>162</v>
      </c>
      <c r="D64" s="29">
        <v>434.83</v>
      </c>
      <c r="E64" s="29">
        <v>108.72</v>
      </c>
      <c r="F64" s="6">
        <f>E64/D64</f>
        <v>0.25002874686659154</v>
      </c>
      <c r="G64" s="28" t="s">
        <v>163</v>
      </c>
      <c r="H64" s="28">
        <v>19396223</v>
      </c>
      <c r="I64" s="30">
        <v>45992</v>
      </c>
      <c r="J64" s="31">
        <v>46082</v>
      </c>
      <c r="K64" s="32" t="s">
        <v>263</v>
      </c>
    </row>
    <row r="65" spans="1:18" s="32" customFormat="1" ht="15" customHeight="1" x14ac:dyDescent="0.25">
      <c r="A65" s="28" t="s">
        <v>45</v>
      </c>
      <c r="B65" s="28" t="s">
        <v>161</v>
      </c>
      <c r="C65" s="28" t="s">
        <v>162</v>
      </c>
      <c r="D65" s="29">
        <v>434.83</v>
      </c>
      <c r="E65" s="29">
        <v>108.72</v>
      </c>
      <c r="F65" s="6">
        <f>E65/D65</f>
        <v>0.25002874686659154</v>
      </c>
      <c r="G65" s="28" t="s">
        <v>163</v>
      </c>
      <c r="H65" s="28">
        <v>19396223</v>
      </c>
      <c r="I65" s="30">
        <v>45992</v>
      </c>
      <c r="J65" s="31">
        <v>46023</v>
      </c>
      <c r="K65" s="32" t="s">
        <v>263</v>
      </c>
    </row>
    <row r="66" spans="1:18" s="32" customFormat="1" ht="15" customHeight="1" x14ac:dyDescent="0.25">
      <c r="A66" s="28" t="s">
        <v>45</v>
      </c>
      <c r="B66" s="28" t="s">
        <v>161</v>
      </c>
      <c r="C66" s="28" t="s">
        <v>162</v>
      </c>
      <c r="D66" s="29">
        <v>434.83</v>
      </c>
      <c r="E66" s="29">
        <v>108.72</v>
      </c>
      <c r="F66" s="6">
        <f>E66/D66</f>
        <v>0.25002874686659154</v>
      </c>
      <c r="G66" s="28" t="s">
        <v>163</v>
      </c>
      <c r="H66" s="28">
        <v>19396223</v>
      </c>
      <c r="I66" s="30">
        <v>45992</v>
      </c>
      <c r="J66" s="31">
        <v>46054</v>
      </c>
      <c r="K66" s="32" t="s">
        <v>263</v>
      </c>
    </row>
    <row r="67" spans="1:18" ht="15" customHeight="1" x14ac:dyDescent="0.25">
      <c r="A67" s="28" t="s">
        <v>45</v>
      </c>
      <c r="B67" s="28" t="s">
        <v>161</v>
      </c>
      <c r="C67" s="28" t="s">
        <v>162</v>
      </c>
      <c r="D67" s="29">
        <v>434.83</v>
      </c>
      <c r="E67" s="29">
        <v>108.72</v>
      </c>
      <c r="F67" s="6">
        <f>E67/D67</f>
        <v>0.25002874686659154</v>
      </c>
      <c r="G67" s="28" t="s">
        <v>163</v>
      </c>
      <c r="H67" s="28">
        <v>19396223</v>
      </c>
      <c r="I67" s="30">
        <v>45992</v>
      </c>
      <c r="J67" s="31">
        <v>45992</v>
      </c>
      <c r="K67" s="32" t="s">
        <v>263</v>
      </c>
      <c r="L67" s="32"/>
      <c r="M67" s="32"/>
      <c r="N67" s="32"/>
      <c r="O67" s="32"/>
      <c r="P67" s="32"/>
      <c r="Q67" s="32"/>
      <c r="R67" s="32"/>
    </row>
    <row r="68" spans="1:18" ht="15" customHeight="1" x14ac:dyDescent="0.25">
      <c r="A68" s="1" t="s">
        <v>45</v>
      </c>
      <c r="B68" s="1" t="s">
        <v>169</v>
      </c>
      <c r="C68" s="1" t="s">
        <v>170</v>
      </c>
      <c r="D68" s="6">
        <v>142.18</v>
      </c>
      <c r="E68" s="6">
        <v>35.549999999999997</v>
      </c>
      <c r="F68" s="6">
        <f>E68/D68</f>
        <v>0.25003516669011111</v>
      </c>
      <c r="G68" s="1" t="s">
        <v>171</v>
      </c>
      <c r="H68" s="1">
        <v>9079571</v>
      </c>
      <c r="I68" s="26">
        <v>45961</v>
      </c>
      <c r="J68" s="27">
        <v>46081</v>
      </c>
      <c r="K68" t="s">
        <v>263</v>
      </c>
    </row>
    <row r="69" spans="1:18" ht="15" customHeight="1" x14ac:dyDescent="0.25">
      <c r="A69" s="1" t="s">
        <v>45</v>
      </c>
      <c r="B69" s="1" t="s">
        <v>102</v>
      </c>
      <c r="C69" s="1" t="s">
        <v>103</v>
      </c>
      <c r="D69" s="6">
        <v>59.43</v>
      </c>
      <c r="E69" s="6">
        <v>14.86</v>
      </c>
      <c r="F69" s="6">
        <f>E69/D69</f>
        <v>0.25004206629648323</v>
      </c>
      <c r="G69" s="1" t="s">
        <v>105</v>
      </c>
      <c r="H69" s="1">
        <v>15278437</v>
      </c>
      <c r="I69" s="26">
        <v>46028</v>
      </c>
      <c r="J69" s="27">
        <v>46087</v>
      </c>
      <c r="K69" t="s">
        <v>263</v>
      </c>
    </row>
    <row r="70" spans="1:18" s="32" customFormat="1" ht="15" customHeight="1" x14ac:dyDescent="0.25">
      <c r="A70" s="1" t="s">
        <v>45</v>
      </c>
      <c r="B70" s="1" t="s">
        <v>222</v>
      </c>
      <c r="C70" s="1" t="s">
        <v>223</v>
      </c>
      <c r="D70" s="6">
        <v>56.03</v>
      </c>
      <c r="E70" s="6">
        <v>14.01</v>
      </c>
      <c r="F70" s="6">
        <f>E70/D70</f>
        <v>0.25004461895413171</v>
      </c>
      <c r="G70" s="1" t="s">
        <v>224</v>
      </c>
      <c r="H70" s="1">
        <v>15950276</v>
      </c>
      <c r="I70" s="26">
        <v>46023</v>
      </c>
      <c r="J70" s="27">
        <v>46082</v>
      </c>
      <c r="K70" t="s">
        <v>263</v>
      </c>
      <c r="L70"/>
      <c r="M70"/>
      <c r="N70"/>
      <c r="O70"/>
      <c r="P70"/>
      <c r="Q70"/>
      <c r="R70"/>
    </row>
    <row r="71" spans="1:18" s="32" customFormat="1" ht="15" customHeight="1" x14ac:dyDescent="0.25">
      <c r="A71" s="1" t="s">
        <v>68</v>
      </c>
      <c r="B71" s="1" t="s">
        <v>69</v>
      </c>
      <c r="C71" s="1" t="s">
        <v>70</v>
      </c>
      <c r="D71" s="6">
        <v>33.29</v>
      </c>
      <c r="E71" s="6">
        <v>9.32</v>
      </c>
      <c r="F71" s="6">
        <f>E71/D71</f>
        <v>0.27996395313908085</v>
      </c>
      <c r="G71" s="1" t="s">
        <v>71</v>
      </c>
      <c r="H71" s="1">
        <v>19681796</v>
      </c>
      <c r="I71" s="26">
        <v>46023</v>
      </c>
      <c r="J71" s="27">
        <v>46082</v>
      </c>
      <c r="K71" t="s">
        <v>264</v>
      </c>
      <c r="L71"/>
      <c r="M71"/>
      <c r="N71"/>
      <c r="O71"/>
      <c r="P71"/>
      <c r="Q71"/>
      <c r="R71"/>
    </row>
  </sheetData>
  <sortState xmlns:xlrd2="http://schemas.microsoft.com/office/spreadsheetml/2017/richdata2" ref="A2:R71">
    <sortCondition ref="F2:F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2026-03-11T00:21:20Z</dcterms:created>
  <dcterms:modified xsi:type="dcterms:W3CDTF">2026-03-16T20:11:24Z</dcterms:modified>
</cp:coreProperties>
</file>