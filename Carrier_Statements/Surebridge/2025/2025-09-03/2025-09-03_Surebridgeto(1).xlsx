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1145012B-F3BF-455B-AA0A-B1CD896CD839}" xr6:coauthVersionLast="47" xr6:coauthVersionMax="47" xr10:uidLastSave="{00000000-0000-0000-0000-000000000000}"/>
  <bookViews>
    <workbookView xWindow="28680" yWindow="-120" windowWidth="29040" windowHeight="16440" activeTab="2" xr2:uid="{EBED158F-AC1D-4B8E-950C-DD1B0E510CFE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  <definedName name="_xlnm.Print_Titles" localSheetId="1">Sheet2!$1:$3</definedName>
  </definedNames>
  <calcPr calcId="181029"/>
  <fileRecoveryPr autoRecover="0"/>
</workbook>
</file>

<file path=xl/calcChain.xml><?xml version="1.0" encoding="utf-8"?>
<calcChain xmlns="http://schemas.openxmlformats.org/spreadsheetml/2006/main">
  <c r="S3" i="3" l="1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2" i="3"/>
</calcChain>
</file>

<file path=xl/sharedStrings.xml><?xml version="1.0" encoding="utf-8"?>
<sst xmlns="http://schemas.openxmlformats.org/spreadsheetml/2006/main" count="4734" uniqueCount="647">
  <si>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</si>
  <si>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</si>
  <si>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</si>
  <si>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Compensation Statement</t>
  </si>
  <si>
    <t>Agency:</t>
  </si>
  <si>
    <t>Core Benefits Group Inc 15791498</t>
  </si>
  <si>
    <t>Contract Date: 08/24/2022</t>
  </si>
  <si>
    <t>The Chesapeake Life Insurance Co</t>
  </si>
  <si>
    <t>Statement From Date: 09/03/2025</t>
  </si>
  <si>
    <t>Attn:  Commission Accounting</t>
  </si>
  <si>
    <t>Payee:</t>
  </si>
  <si>
    <t>Main Line Benefits LLC 15791498</t>
  </si>
  <si>
    <t>Statement To Date: 09/08/2025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</si>
  <si>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</si>
  <si>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</si>
  <si>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</si>
  <si>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</si>
  <si>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</si>
  <si>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</si>
  <si>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</si>
  <si>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</si>
  <si>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</si>
  <si>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</si>
  <si>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</si>
  <si>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</si>
  <si>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</si>
  <si>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</si>
  <si>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</si>
  <si>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</si>
  <si>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</si>
  <si>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</si>
  <si>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</si>
  <si>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</si>
  <si>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</si>
  <si>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</si>
  <si>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</si>
  <si>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</si>
  <si>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</si>
  <si>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</si>
  <si>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</si>
  <si>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</si>
  <si>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</si>
  <si>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</si>
  <si>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</si>
  <si>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</si>
  <si>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</si>
  <si>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</si>
  <si>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</si>
  <si>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</si>
  <si>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</si>
  <si>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</si>
  <si>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</si>
  <si>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</si>
  <si>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</si>
  <si>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</si>
  <si>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</si>
  <si>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</si>
  <si>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</si>
  <si>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</si>
  <si>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</si>
  <si>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</si>
  <si>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</si>
  <si>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</si>
  <si>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</si>
  <si>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</si>
  <si>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</si>
  <si>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442296456</t>
  </si>
  <si>
    <t>JULIE  HOLMES</t>
  </si>
  <si>
    <t>SHW10165</t>
  </si>
  <si>
    <t>R</t>
  </si>
  <si>
    <t>1</t>
  </si>
  <si>
    <t>18.00%</t>
  </si>
  <si>
    <t>OVR</t>
  </si>
  <si>
    <t>442296457</t>
  </si>
  <si>
    <t>SCP10003</t>
  </si>
  <si>
    <t>9.00%</t>
  </si>
  <si>
    <t>441998030</t>
  </si>
  <si>
    <t>KATHRYN  PETEL</t>
  </si>
  <si>
    <t>SCP10002</t>
  </si>
  <si>
    <t>441651020</t>
  </si>
  <si>
    <t>LAURA  JAMES</t>
  </si>
  <si>
    <t>SPV00008</t>
  </si>
  <si>
    <t>442027310</t>
  </si>
  <si>
    <t>LAUREN  MIRTO</t>
  </si>
  <si>
    <t>SPV10008</t>
  </si>
  <si>
    <t>442244798</t>
  </si>
  <si>
    <t>MATTHEW  PHILLIPS</t>
  </si>
  <si>
    <t>441619259</t>
  </si>
  <si>
    <t>PAUL  SEVILLE</t>
  </si>
  <si>
    <t>SWTL1100</t>
  </si>
  <si>
    <t>442556364</t>
  </si>
  <si>
    <t>ROBERT  HOLMES</t>
  </si>
  <si>
    <t>442057912</t>
  </si>
  <si>
    <t>SUSAN  PATTON</t>
  </si>
  <si>
    <t>SPHV0091</t>
  </si>
  <si>
    <t>7.00%</t>
  </si>
  <si>
    <t>442274499</t>
  </si>
  <si>
    <t>WANDA  GARRISON</t>
  </si>
  <si>
    <t>442274500</t>
  </si>
  <si>
    <t>SHW10161</t>
  </si>
  <si>
    <t>Ashley Elizabeth Teipel 20436925</t>
  </si>
  <si>
    <t>441617850</t>
  </si>
  <si>
    <t>Anita  Ginnever</t>
  </si>
  <si>
    <t>SWTL1093</t>
  </si>
  <si>
    <t>441726277</t>
  </si>
  <si>
    <t>BERNIE  WATTS</t>
  </si>
  <si>
    <t>SWTL1073</t>
  </si>
  <si>
    <t>441598923</t>
  </si>
  <si>
    <t>DELIA  FLACK</t>
  </si>
  <si>
    <t>SHW10170</t>
  </si>
  <si>
    <t>441635692</t>
  </si>
  <si>
    <t>ELIZABETH  CULVERHOUSE</t>
  </si>
  <si>
    <t>SWTL1023</t>
  </si>
  <si>
    <t>441539049</t>
  </si>
  <si>
    <t>EUNICE  CRAWFORD</t>
  </si>
  <si>
    <t>SWTL1014</t>
  </si>
  <si>
    <t>441659627</t>
  </si>
  <si>
    <t>HIAWATHA  DAUGHERTY</t>
  </si>
  <si>
    <t>SWTL1083</t>
  </si>
  <si>
    <t>441612334</t>
  </si>
  <si>
    <t>JAMES  DITTMER</t>
  </si>
  <si>
    <t>441722441</t>
  </si>
  <si>
    <t>JEREMIAH  LASCELLES</t>
  </si>
  <si>
    <t>SPH00003</t>
  </si>
  <si>
    <t>441604514</t>
  </si>
  <si>
    <t>JULIE  WEBBER</t>
  </si>
  <si>
    <t>441543447</t>
  </si>
  <si>
    <t>KATHLEEN  LEEDS</t>
  </si>
  <si>
    <t>SWTL1006</t>
  </si>
  <si>
    <t>441750607</t>
  </si>
  <si>
    <t>KELSEY  SNODGRASS</t>
  </si>
  <si>
    <t>441640049</t>
  </si>
  <si>
    <t>LAURA  HOLMES</t>
  </si>
  <si>
    <t>441803058</t>
  </si>
  <si>
    <t>LEIGHANNE  SHERER</t>
  </si>
  <si>
    <t>SCP00008</t>
  </si>
  <si>
    <t>441803059</t>
  </si>
  <si>
    <t>MICHAEL  SHERER</t>
  </si>
  <si>
    <t>SWTL1033</t>
  </si>
  <si>
    <t>441693322</t>
  </si>
  <si>
    <t>NATUSHICA  SMITH</t>
  </si>
  <si>
    <t>441807731</t>
  </si>
  <si>
    <t>PATSY  THOMAS</t>
  </si>
  <si>
    <t>441675885</t>
  </si>
  <si>
    <t>SAMANTHA  FARRIS</t>
  </si>
  <si>
    <t>441748283</t>
  </si>
  <si>
    <t>SCOTT  PHILLIPS</t>
  </si>
  <si>
    <t>SWTL1053</t>
  </si>
  <si>
    <t>441747603</t>
  </si>
  <si>
    <t>TRACEY  GLOVER</t>
  </si>
  <si>
    <t>441708572</t>
  </si>
  <si>
    <t>TROY  BAKER</t>
  </si>
  <si>
    <t>Carol  Foley 17425766</t>
  </si>
  <si>
    <t>442573385</t>
  </si>
  <si>
    <t>ALAN  FORAN</t>
  </si>
  <si>
    <t>SPHV0104</t>
  </si>
  <si>
    <t>442573386</t>
  </si>
  <si>
    <t>SHW00161</t>
  </si>
  <si>
    <t>442088086</t>
  </si>
  <si>
    <t>ALEXANDER  SHELTON</t>
  </si>
  <si>
    <t>SPH00096</t>
  </si>
  <si>
    <t>4.50%</t>
  </si>
  <si>
    <t>442088087</t>
  </si>
  <si>
    <t>442214836</t>
  </si>
  <si>
    <t>ALLAN  PURYEAR</t>
  </si>
  <si>
    <t>442214841</t>
  </si>
  <si>
    <t>SHW10026</t>
  </si>
  <si>
    <t>442089124</t>
  </si>
  <si>
    <t>AMANDA  RELICK</t>
  </si>
  <si>
    <t>442089129</t>
  </si>
  <si>
    <t>441883102</t>
  </si>
  <si>
    <t>ANA  FELL</t>
  </si>
  <si>
    <t>6.00%</t>
  </si>
  <si>
    <t>442187057</t>
  </si>
  <si>
    <t>ANA MARIA  BADEA</t>
  </si>
  <si>
    <t>SPH00094</t>
  </si>
  <si>
    <t>442187065</t>
  </si>
  <si>
    <t>442192244</t>
  </si>
  <si>
    <t>ASHLEY  BACKERT</t>
  </si>
  <si>
    <t>442192248</t>
  </si>
  <si>
    <t>442233186</t>
  </si>
  <si>
    <t>CAROL  GUIRE</t>
  </si>
  <si>
    <t>442233192</t>
  </si>
  <si>
    <t>SHW10185</t>
  </si>
  <si>
    <t>442300659</t>
  </si>
  <si>
    <t>CATHERINE  MURRAY</t>
  </si>
  <si>
    <t>442448275</t>
  </si>
  <si>
    <t>CATHERINE  SLOAT</t>
  </si>
  <si>
    <t>442448276</t>
  </si>
  <si>
    <t>442574109</t>
  </si>
  <si>
    <t>CECELIA  PRENTISS</t>
  </si>
  <si>
    <t>SHW00001</t>
  </si>
  <si>
    <t>441638999</t>
  </si>
  <si>
    <t>CRISTA  CUGINI</t>
  </si>
  <si>
    <t>442578440</t>
  </si>
  <si>
    <t>DANELLE  LEES</t>
  </si>
  <si>
    <t>SPD00001</t>
  </si>
  <si>
    <t>442578441</t>
  </si>
  <si>
    <t>SPV00001</t>
  </si>
  <si>
    <t>441664231</t>
  </si>
  <si>
    <t>DOMINIC  BAVARO</t>
  </si>
  <si>
    <t>3.00%</t>
  </si>
  <si>
    <t>441664237</t>
  </si>
  <si>
    <t>442567854</t>
  </si>
  <si>
    <t>ELIZABETH  SPROAT</t>
  </si>
  <si>
    <t>441925403</t>
  </si>
  <si>
    <t>HANNAH  FRANKLIN</t>
  </si>
  <si>
    <t>SPV00003</t>
  </si>
  <si>
    <t>441925404</t>
  </si>
  <si>
    <t>SPD00006</t>
  </si>
  <si>
    <t>441925405</t>
  </si>
  <si>
    <t>SHW00180</t>
  </si>
  <si>
    <t>441913487</t>
  </si>
  <si>
    <t>HOWARD  MAISENHELDER</t>
  </si>
  <si>
    <t>SPD10002</t>
  </si>
  <si>
    <t>442172316</t>
  </si>
  <si>
    <t>JAMES  DUNHAM</t>
  </si>
  <si>
    <t>442172320</t>
  </si>
  <si>
    <t>442131578</t>
  </si>
  <si>
    <t>JAMES  MCDERMOTT</t>
  </si>
  <si>
    <t>442131583</t>
  </si>
  <si>
    <t>SHW10187</t>
  </si>
  <si>
    <t>441686777</t>
  </si>
  <si>
    <t>JAMIE  ORRIS</t>
  </si>
  <si>
    <t>SPH00002</t>
  </si>
  <si>
    <t>441686789</t>
  </si>
  <si>
    <t>442557345</t>
  </si>
  <si>
    <t>JARED  VANETT</t>
  </si>
  <si>
    <t>SCP00003</t>
  </si>
  <si>
    <t>442557346</t>
  </si>
  <si>
    <t>SHW00185</t>
  </si>
  <si>
    <t>442578306</t>
  </si>
  <si>
    <t>JASON  RICHARD</t>
  </si>
  <si>
    <t>442578307</t>
  </si>
  <si>
    <t>442255341</t>
  </si>
  <si>
    <t>JENNIFER  MOCKOVIAK</t>
  </si>
  <si>
    <t>SPH00092</t>
  </si>
  <si>
    <t>442255344</t>
  </si>
  <si>
    <t>442095367</t>
  </si>
  <si>
    <t>JOANNE  PANELLA</t>
  </si>
  <si>
    <t>442350484</t>
  </si>
  <si>
    <t>JULIA  POETA</t>
  </si>
  <si>
    <t>442017602</t>
  </si>
  <si>
    <t>KATHLEEN  KING</t>
  </si>
  <si>
    <t>442017603</t>
  </si>
  <si>
    <t>442247856</t>
  </si>
  <si>
    <t>KATHLEEN  ROGALSKI</t>
  </si>
  <si>
    <t>442247857</t>
  </si>
  <si>
    <t>441698084</t>
  </si>
  <si>
    <t>KEVIN  NENSTIEL</t>
  </si>
  <si>
    <t>SPD00005</t>
  </si>
  <si>
    <t>441698089</t>
  </si>
  <si>
    <t>441698092</t>
  </si>
  <si>
    <t>442324830</t>
  </si>
  <si>
    <t>KORMASAH  JALLAH</t>
  </si>
  <si>
    <t>442324831</t>
  </si>
  <si>
    <t>441884974</t>
  </si>
  <si>
    <t>KRISTINA  FLYNN</t>
  </si>
  <si>
    <t>SPH00001</t>
  </si>
  <si>
    <t>441884980</t>
  </si>
  <si>
    <t>441710405</t>
  </si>
  <si>
    <t>KYLEE  BRAZELTON</t>
  </si>
  <si>
    <t>442191721</t>
  </si>
  <si>
    <t>LEXINSKA  JEAN BAPTISTE</t>
  </si>
  <si>
    <t>442191726</t>
  </si>
  <si>
    <t>441709754</t>
  </si>
  <si>
    <t>LISA  DIMEO</t>
  </si>
  <si>
    <t>SPF00001</t>
  </si>
  <si>
    <t>442087913</t>
  </si>
  <si>
    <t>LISA  SHELTON</t>
  </si>
  <si>
    <t>442087916</t>
  </si>
  <si>
    <t>441727097</t>
  </si>
  <si>
    <t>LOUIS  DECARO</t>
  </si>
  <si>
    <t>441727099</t>
  </si>
  <si>
    <t>442355390</t>
  </si>
  <si>
    <t>MARC  TREANOR</t>
  </si>
  <si>
    <t>441772281</t>
  </si>
  <si>
    <t>MARCELLA  STERLING</t>
  </si>
  <si>
    <t>SPD00002</t>
  </si>
  <si>
    <t>441772286</t>
  </si>
  <si>
    <t>442027611</t>
  </si>
  <si>
    <t>MARISSA  GEORGIOU</t>
  </si>
  <si>
    <t>442520332</t>
  </si>
  <si>
    <t>NANCY  SZCZUROWSKI</t>
  </si>
  <si>
    <t>SPHV0108</t>
  </si>
  <si>
    <t>441882731</t>
  </si>
  <si>
    <t>NICOLE  DELUCA</t>
  </si>
  <si>
    <t>441882733</t>
  </si>
  <si>
    <t>441658342</t>
  </si>
  <si>
    <t>PATRICIA  ROTONDI</t>
  </si>
  <si>
    <t>442254040</t>
  </si>
  <si>
    <t>PAUL  VANDEVERE</t>
  </si>
  <si>
    <t>442254042</t>
  </si>
  <si>
    <t>441757662</t>
  </si>
  <si>
    <t>RANYA  HANEY</t>
  </si>
  <si>
    <t>441757663</t>
  </si>
  <si>
    <t>441757668</t>
  </si>
  <si>
    <t>441698343</t>
  </si>
  <si>
    <t>RICHARD  NENSTIEL</t>
  </si>
  <si>
    <t>441698348</t>
  </si>
  <si>
    <t>442368785</t>
  </si>
  <si>
    <t>RICHARD  TEVLIN</t>
  </si>
  <si>
    <t>442368786</t>
  </si>
  <si>
    <t>442567895</t>
  </si>
  <si>
    <t>ROBERT  BOURNE</t>
  </si>
  <si>
    <t>442525756</t>
  </si>
  <si>
    <t>ROBERT  HOLT</t>
  </si>
  <si>
    <t>442271427</t>
  </si>
  <si>
    <t>ROBERT  STEINBERG</t>
  </si>
  <si>
    <t>441908688</t>
  </si>
  <si>
    <t>ROBYN  RAPP</t>
  </si>
  <si>
    <t>SPH00023</t>
  </si>
  <si>
    <t>442374060</t>
  </si>
  <si>
    <t>SARAH  YILJEP</t>
  </si>
  <si>
    <t>442146746</t>
  </si>
  <si>
    <t>SIDNEY  KIRSCH</t>
  </si>
  <si>
    <t>442146755</t>
  </si>
  <si>
    <t>441763086</t>
  </si>
  <si>
    <t>STEPHEN  MASSIMINI</t>
  </si>
  <si>
    <t>SPV10001</t>
  </si>
  <si>
    <t>441763087</t>
  </si>
  <si>
    <t>SPD10010</t>
  </si>
  <si>
    <t>442363974</t>
  </si>
  <si>
    <t>STUART  STURROCK</t>
  </si>
  <si>
    <t>442522920</t>
  </si>
  <si>
    <t>SUSAN  MARTIN</t>
  </si>
  <si>
    <t>442522921</t>
  </si>
  <si>
    <t>SHW10167</t>
  </si>
  <si>
    <t>442126147</t>
  </si>
  <si>
    <t>SYBILLE  GALOSY</t>
  </si>
  <si>
    <t>442126148</t>
  </si>
  <si>
    <t>442371645</t>
  </si>
  <si>
    <t>TAQERA  MING</t>
  </si>
  <si>
    <t>442371646</t>
  </si>
  <si>
    <t>442371651</t>
  </si>
  <si>
    <t>441771914</t>
  </si>
  <si>
    <t>TARA  BLACK</t>
  </si>
  <si>
    <t>441579586</t>
  </si>
  <si>
    <t>THOMAS  AYRAL</t>
  </si>
  <si>
    <t>SPH00024</t>
  </si>
  <si>
    <t>441885201</t>
  </si>
  <si>
    <t>THOMAS  FARRELL</t>
  </si>
  <si>
    <t>441885213</t>
  </si>
  <si>
    <t>441733220</t>
  </si>
  <si>
    <t>WILL  STEWART</t>
  </si>
  <si>
    <t>441733224</t>
  </si>
  <si>
    <t>Colleen J Finnigan 17437820</t>
  </si>
  <si>
    <t>442635616</t>
  </si>
  <si>
    <t>DOUG  SHIELDS</t>
  </si>
  <si>
    <t>442367538</t>
  </si>
  <si>
    <t>GABE  PACK</t>
  </si>
  <si>
    <t>442367539</t>
  </si>
  <si>
    <t>SCP00018</t>
  </si>
  <si>
    <t>442260890</t>
  </si>
  <si>
    <t>NICOLE  THREATS</t>
  </si>
  <si>
    <t>442260892</t>
  </si>
  <si>
    <t>SCP00010</t>
  </si>
  <si>
    <t>442264554</t>
  </si>
  <si>
    <t>SABRINA  VOLPE</t>
  </si>
  <si>
    <t>Deborah Lee Inskipt 17528908</t>
  </si>
  <si>
    <t>442534725</t>
  </si>
  <si>
    <t>ALAN  BLACK</t>
  </si>
  <si>
    <t>SCP00002</t>
  </si>
  <si>
    <t>442534726</t>
  </si>
  <si>
    <t>ANGELA  BLACK</t>
  </si>
  <si>
    <t>SH000002</t>
  </si>
  <si>
    <t>442609512</t>
  </si>
  <si>
    <t>DONNA  PARRISH</t>
  </si>
  <si>
    <t>SCP10005</t>
  </si>
  <si>
    <t>442602562</t>
  </si>
  <si>
    <t>HOWARD  BELLAIRE</t>
  </si>
  <si>
    <t>SCP00004</t>
  </si>
  <si>
    <t>442602563</t>
  </si>
  <si>
    <t>SH000004</t>
  </si>
  <si>
    <t>442259767</t>
  </si>
  <si>
    <t>KAYLEE  MASON</t>
  </si>
  <si>
    <t>442481571</t>
  </si>
  <si>
    <t>KENNETH  MCGREGOR</t>
  </si>
  <si>
    <t>442479343</t>
  </si>
  <si>
    <t>LISA  GRESS</t>
  </si>
  <si>
    <t>442479344</t>
  </si>
  <si>
    <t>SH010005</t>
  </si>
  <si>
    <t>442359010</t>
  </si>
  <si>
    <t>LOUIS  PAONESSA</t>
  </si>
  <si>
    <t>SCP00005</t>
  </si>
  <si>
    <t>442490167</t>
  </si>
  <si>
    <t>REBECCA  MAYHEW</t>
  </si>
  <si>
    <t>442323300</t>
  </si>
  <si>
    <t>REBECCA  STAHL</t>
  </si>
  <si>
    <t>Jason R Hoffmann 15278437</t>
  </si>
  <si>
    <t>441854229</t>
  </si>
  <si>
    <t>BROOKE  BUCHAKJIAN</t>
  </si>
  <si>
    <t>441854230</t>
  </si>
  <si>
    <t>CARLY  BUCHAKJIAN</t>
  </si>
  <si>
    <t>441662401</t>
  </si>
  <si>
    <t>DANIEL  FERNANDEZ</t>
  </si>
  <si>
    <t>441662402</t>
  </si>
  <si>
    <t>441662404</t>
  </si>
  <si>
    <t>441652254</t>
  </si>
  <si>
    <t>Emily  Detwiler</t>
  </si>
  <si>
    <t>441652256</t>
  </si>
  <si>
    <t>441652262</t>
  </si>
  <si>
    <t>441872789</t>
  </si>
  <si>
    <t>EMMA  RALL</t>
  </si>
  <si>
    <t>441872791</t>
  </si>
  <si>
    <t>441931254</t>
  </si>
  <si>
    <t>EVONNE  SNYDER</t>
  </si>
  <si>
    <t>441612373</t>
  </si>
  <si>
    <t>GEORGE  PANAGOPOULOS</t>
  </si>
  <si>
    <t>441742016</t>
  </si>
  <si>
    <t>JOSEPH  UK</t>
  </si>
  <si>
    <t>441742020</t>
  </si>
  <si>
    <t>441584139</t>
  </si>
  <si>
    <t>KATHLEEN  DONNELLY</t>
  </si>
  <si>
    <t>SHW10205</t>
  </si>
  <si>
    <t>441584140</t>
  </si>
  <si>
    <t>442450565</t>
  </si>
  <si>
    <t>MARY BETH  MORAN</t>
  </si>
  <si>
    <t>441663878</t>
  </si>
  <si>
    <t>MICHAEL  FLOYD</t>
  </si>
  <si>
    <t>441663879</t>
  </si>
  <si>
    <t>441724483</t>
  </si>
  <si>
    <t>ROGER  HENDRICKS</t>
  </si>
  <si>
    <t>441724484</t>
  </si>
  <si>
    <t>441724486</t>
  </si>
  <si>
    <t>441659717</t>
  </si>
  <si>
    <t>ROGER  HUNTER</t>
  </si>
  <si>
    <t>442282230</t>
  </si>
  <si>
    <t>RONALD  SCHULTE</t>
  </si>
  <si>
    <t>SHW10186</t>
  </si>
  <si>
    <t>441808040</t>
  </si>
  <si>
    <t>SEETA  SHRESTHA</t>
  </si>
  <si>
    <t>441709300</t>
  </si>
  <si>
    <t>THOMAS  FRANK</t>
  </si>
  <si>
    <t>441709303</t>
  </si>
  <si>
    <t>441709304</t>
  </si>
  <si>
    <t>441709305</t>
  </si>
  <si>
    <t>SH000003</t>
  </si>
  <si>
    <t>441673836</t>
  </si>
  <si>
    <t>TINA  FREY</t>
  </si>
  <si>
    <t>441673839</t>
  </si>
  <si>
    <t>Katelenn  Caltagirone 20436896</t>
  </si>
  <si>
    <t>441659598</t>
  </si>
  <si>
    <t>GINGER  MILLER</t>
  </si>
  <si>
    <t>SA000004</t>
  </si>
  <si>
    <t>441659600</t>
  </si>
  <si>
    <t>441830922</t>
  </si>
  <si>
    <t>SANTOS  RIVERA</t>
  </si>
  <si>
    <t>SCP10006</t>
  </si>
  <si>
    <t>Kimberly Anne Dickerson 16243811</t>
  </si>
  <si>
    <t>441739608</t>
  </si>
  <si>
    <t>ALBERTO  FONSECA</t>
  </si>
  <si>
    <t>441739609</t>
  </si>
  <si>
    <t>SAC00003</t>
  </si>
  <si>
    <t>441739610</t>
  </si>
  <si>
    <t>441739611</t>
  </si>
  <si>
    <t>SB000004</t>
  </si>
  <si>
    <t>441739612</t>
  </si>
  <si>
    <t>441730183</t>
  </si>
  <si>
    <t>ANNA  TIJERINA</t>
  </si>
  <si>
    <t>441730187</t>
  </si>
  <si>
    <t>SPV00006</t>
  </si>
  <si>
    <t>441744881</t>
  </si>
  <si>
    <t>ASHAQ  WANI</t>
  </si>
  <si>
    <t>SWTL2202</t>
  </si>
  <si>
    <t>441647685</t>
  </si>
  <si>
    <t>BERTHA  MATHAWS</t>
  </si>
  <si>
    <t>441647687</t>
  </si>
  <si>
    <t>441715464</t>
  </si>
  <si>
    <t>DANIEL  FRIEHLICH</t>
  </si>
  <si>
    <t>SAC00004</t>
  </si>
  <si>
    <t>441715465</t>
  </si>
  <si>
    <t>441715466</t>
  </si>
  <si>
    <t>SB000007</t>
  </si>
  <si>
    <t>441715478</t>
  </si>
  <si>
    <t>441657234</t>
  </si>
  <si>
    <t>DANIEL  GOETTEL JR</t>
  </si>
  <si>
    <t>SWTL2221</t>
  </si>
  <si>
    <t>441581802</t>
  </si>
  <si>
    <t>DAVID  KENNEDY</t>
  </si>
  <si>
    <t>441581805</t>
  </si>
  <si>
    <t>441581809</t>
  </si>
  <si>
    <t>441542541</t>
  </si>
  <si>
    <t>DEBRA  JETT</t>
  </si>
  <si>
    <t>SPD20002</t>
  </si>
  <si>
    <t>441671088</t>
  </si>
  <si>
    <t>Gabriel  Ferandes</t>
  </si>
  <si>
    <t>441672109</t>
  </si>
  <si>
    <t>441809541</t>
  </si>
  <si>
    <t>GHASSEM  SHAHROOZ</t>
  </si>
  <si>
    <t>SHW00010</t>
  </si>
  <si>
    <t>441740317</t>
  </si>
  <si>
    <t>JACK  MANCHESTER</t>
  </si>
  <si>
    <t>441647531</t>
  </si>
  <si>
    <t>JAMES  COANE</t>
  </si>
  <si>
    <t>SAD10030</t>
  </si>
  <si>
    <t>441699461</t>
  </si>
  <si>
    <t>JOHN  MILLER</t>
  </si>
  <si>
    <t>441699462</t>
  </si>
  <si>
    <t>441699464</t>
  </si>
  <si>
    <t>441699465</t>
  </si>
  <si>
    <t>441601154</t>
  </si>
  <si>
    <t>KATHLEEN  LEVITON</t>
  </si>
  <si>
    <t>441601155</t>
  </si>
  <si>
    <t>441668237</t>
  </si>
  <si>
    <t>KERRY  DEBORD</t>
  </si>
  <si>
    <t>441568845</t>
  </si>
  <si>
    <t>KRISTOFFER  SANDIN</t>
  </si>
  <si>
    <t>441568846</t>
  </si>
  <si>
    <t>441568847</t>
  </si>
  <si>
    <t>441568848</t>
  </si>
  <si>
    <t>441793953</t>
  </si>
  <si>
    <t>MICHAEL  TROISE</t>
  </si>
  <si>
    <t>441793954</t>
  </si>
  <si>
    <t>441793955</t>
  </si>
  <si>
    <t>441793956</t>
  </si>
  <si>
    <t>441793957</t>
  </si>
  <si>
    <t>441793958</t>
  </si>
  <si>
    <t>441697647</t>
  </si>
  <si>
    <t>MONICA  JONES</t>
  </si>
  <si>
    <t>441697650</t>
  </si>
  <si>
    <t>441809281</t>
  </si>
  <si>
    <t>441573319</t>
  </si>
  <si>
    <t>NADIA  BRANNON</t>
  </si>
  <si>
    <t>441573320</t>
  </si>
  <si>
    <t>441573321</t>
  </si>
  <si>
    <t>441573323</t>
  </si>
  <si>
    <t>SPF00002</t>
  </si>
  <si>
    <t>441639969</t>
  </si>
  <si>
    <t>ROSALIE  PAKER</t>
  </si>
  <si>
    <t>441639970</t>
  </si>
  <si>
    <t>441639971</t>
  </si>
  <si>
    <t>441639972</t>
  </si>
  <si>
    <t>441639973</t>
  </si>
  <si>
    <t>441639974</t>
  </si>
  <si>
    <t>441805672</t>
  </si>
  <si>
    <t>STEVEN  RADOSEVICH</t>
  </si>
  <si>
    <t>441805675</t>
  </si>
  <si>
    <t>SHW00060</t>
  </si>
  <si>
    <t>441731239</t>
  </si>
  <si>
    <t>THOMAS  MCDONALD</t>
  </si>
  <si>
    <t>441731240</t>
  </si>
  <si>
    <t>441731242</t>
  </si>
  <si>
    <t>441731243</t>
  </si>
  <si>
    <t>441805487</t>
  </si>
  <si>
    <t>TINA  WYNEGAR</t>
  </si>
  <si>
    <t>441805488</t>
  </si>
  <si>
    <t>Peter L K Richter 16509456</t>
  </si>
  <si>
    <t>441999551</t>
  </si>
  <si>
    <t>JAMES  DRAKE</t>
  </si>
  <si>
    <t>Total</t>
  </si>
  <si>
    <t>JANET  PLASTINO</t>
  </si>
  <si>
    <t>JOCELYN  BATACAN</t>
  </si>
  <si>
    <t>SWTL2187</t>
  </si>
  <si>
    <t>RICHARD  THORNTON</t>
  </si>
  <si>
    <t>YUANYUAN  ZHANG</t>
  </si>
  <si>
    <t>BARBARA  COLSON</t>
  </si>
  <si>
    <t>EUGENE  MONAHAN</t>
  </si>
  <si>
    <t>LESA  THOMAS</t>
  </si>
  <si>
    <t>RANDAL  HAKL</t>
  </si>
  <si>
    <t>RECHIE  HAKL</t>
  </si>
  <si>
    <t>VANESSA  BROWN</t>
  </si>
  <si>
    <t>CHERYL  LAUMAKIS</t>
  </si>
  <si>
    <t>DANIEL  SIGG</t>
  </si>
  <si>
    <t>SHW00020</t>
  </si>
  <si>
    <t>JAMES  PAETZ</t>
  </si>
  <si>
    <t>JOHN  MOSS</t>
  </si>
  <si>
    <t>SHW10166</t>
  </si>
  <si>
    <t>JOSEPH  BIEBEL</t>
  </si>
  <si>
    <t>SPHV0106</t>
  </si>
  <si>
    <t>KEDILEY  PERALTA</t>
  </si>
  <si>
    <t>LAURA  STANDRING</t>
  </si>
  <si>
    <t>MARSHA  MCCANNEY</t>
  </si>
  <si>
    <t>MICHAEL  SMALL</t>
  </si>
  <si>
    <t>PATRICIA  COBEN</t>
  </si>
  <si>
    <t>ROSE  CINEUS</t>
  </si>
  <si>
    <t>STACY  SHAFFER</t>
  </si>
  <si>
    <t>STEVEN  SCALIA</t>
  </si>
  <si>
    <t>VICKY  SCHAFFNER</t>
  </si>
  <si>
    <t>YOSEF  WASSERMANN</t>
  </si>
  <si>
    <t>CHARLES  GILLEY</t>
  </si>
  <si>
    <t>JAMES  KOWALSKI</t>
  </si>
  <si>
    <t>SCP00007</t>
  </si>
  <si>
    <t>SH000007</t>
  </si>
  <si>
    <t>MARCY  MEEHAN</t>
  </si>
  <si>
    <t>SOFIA  ALBANOWSKI</t>
  </si>
  <si>
    <t>TAMMY  HEIRENDT</t>
  </si>
  <si>
    <t>SH000006</t>
  </si>
  <si>
    <t>SCP00006</t>
  </si>
  <si>
    <t>TONI  WRIGHT</t>
  </si>
  <si>
    <t>WILLIAM  WORMS</t>
  </si>
  <si>
    <t>SH010004</t>
  </si>
  <si>
    <t>SCP10004</t>
  </si>
  <si>
    <t>HERMINIO  ROSALES</t>
  </si>
  <si>
    <t>SWTL2093</t>
  </si>
  <si>
    <t>RYAN  CALTAGIRONE</t>
  </si>
  <si>
    <t>SCP00020</t>
  </si>
  <si>
    <t>BRANDON  BISHOP</t>
  </si>
  <si>
    <t>SPV00004</t>
  </si>
  <si>
    <t>DANIEL  ELWOOD</t>
  </si>
  <si>
    <t>SPV10006</t>
  </si>
  <si>
    <t>DEBRA  BLOMME</t>
  </si>
  <si>
    <t>DONALD  SEYFFERTH</t>
  </si>
  <si>
    <t>JOHN  WORTMAN</t>
  </si>
  <si>
    <t>KIMBERLY  MCCLUSKEY</t>
  </si>
  <si>
    <t>MELISSA  BARCLAY</t>
  </si>
  <si>
    <t>NAYAN  PATEL</t>
  </si>
  <si>
    <t>SA000002</t>
  </si>
  <si>
    <t>REGINA  MEEHAN</t>
  </si>
  <si>
    <t>RHONDA  MEETZE</t>
  </si>
  <si>
    <t>SAVA  KELIDIS</t>
  </si>
  <si>
    <t>SWTL2241</t>
  </si>
  <si>
    <t>TRACY  KELIDIS</t>
  </si>
  <si>
    <t>VANESSA  PATEL</t>
  </si>
  <si>
    <t>SPD00008</t>
  </si>
  <si>
    <t>WARREN  HARRIS</t>
  </si>
  <si>
    <t>ASHLEY  PENCE</t>
  </si>
  <si>
    <t>ANNETTE  PHILLIPS</t>
  </si>
  <si>
    <t>SWTL2147</t>
  </si>
  <si>
    <t>Ashley</t>
  </si>
  <si>
    <t>Elizabeth</t>
  </si>
  <si>
    <t>Teipel</t>
  </si>
  <si>
    <t>Kimberly</t>
  </si>
  <si>
    <t>Anne</t>
  </si>
  <si>
    <t>Dickerson</t>
  </si>
  <si>
    <t>Katelenn</t>
  </si>
  <si>
    <t>Caltagirone</t>
  </si>
  <si>
    <t>Carol</t>
  </si>
  <si>
    <t>Foley</t>
  </si>
  <si>
    <t>Jason</t>
  </si>
  <si>
    <t>Hoffmann</t>
  </si>
  <si>
    <t>Marie</t>
  </si>
  <si>
    <t>Kozacheck</t>
  </si>
  <si>
    <t>Peter</t>
  </si>
  <si>
    <t>L</t>
  </si>
  <si>
    <t>Richter</t>
  </si>
  <si>
    <t>Deborah</t>
  </si>
  <si>
    <t>Lee</t>
  </si>
  <si>
    <t>Inskipt</t>
  </si>
  <si>
    <t>Colleen</t>
  </si>
  <si>
    <t>J</t>
  </si>
  <si>
    <t>Finnigan</t>
  </si>
  <si>
    <t>Scott</t>
  </si>
  <si>
    <t>Christopher</t>
  </si>
  <si>
    <t>Aguglia</t>
  </si>
  <si>
    <t>Margaret</t>
  </si>
  <si>
    <t>Finnegan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</si>
</sst>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12" x14ac:knownFonts="1">
    <font>
      <sz val="10"/>
      <name val="Arial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4" fillId="0" borderId="1" xfId="0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164" fontId="3" fillId="0" borderId="0" xfId="0" applyNumberFormat="1" applyFont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65" fontId="2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164" fontId="3" fillId="0" borderId="0" xfId="0" applyNumberFormat="1" applyFont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164" fontId="2" fillId="0" borderId="0" xfId="0" applyNumberFormat="1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165" fontId="2" fillId="0" borderId="0" xfId="0" applyNumberFormat="1" applyFont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0" fontId="0" fillId="0" borderId="0" xfId="0" applyAlignment="1">
      <alignment horizontal="left"/>
    </xf>
    <xf numFmtId="165" fontId="2" fillId="0" borderId="0" xfId="0" applyNumberFormat="1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left" vertical="top" wrapText="1" readingOrder="1"/>
      <protection locked="0"/>
    </xf>
    <xf numFmtId="0" fontId="10" fillId="0" borderId="0" xfId="0" applyFont="1" applyAlignment="1" applyProtection="1">
      <alignment horizontal="left" vertical="top" wrapText="1" readingOrder="1"/>
      <protection locked="0"/>
    </xf>
    <xf numFmtId="165" fontId="10" fillId="0" borderId="0" xfId="0" applyNumberFormat="1" applyFont="1" applyAlignment="1" applyProtection="1">
      <alignment horizontal="left" vertical="top" wrapText="1" readingOrder="1"/>
      <protection locked="0"/>
    </xf>
    <xf numFmtId="164" fontId="10" fillId="0" borderId="0" xfId="0" applyNumberFormat="1" applyFont="1" applyAlignment="1" applyProtection="1">
      <alignment horizontal="left" vertical="top" wrapText="1" readingOrder="1"/>
      <protection locked="0"/>
    </xf>
    <xf numFmtId="0" fontId="11" fillId="0" borderId="0" xfId="0" applyFont="1" applyAlignment="1">
      <alignment horizontal="left"/>
    </xf>
    <xf numFmtId="0" fontId="2" fillId="0" borderId="0" xfId="0" applyNumberFormat="1" applyFont="1" applyAlignment="1" applyProtection="1">
      <alignment horizontal="left" vertical="top" wrapText="1" readingOrder="1"/>
      <protection locked="0"/>
    </xf>
    <xf numFmtId="10" fontId="2" fillId="0" borderId="0" xfId="0" applyNumberFormat="1" applyFont="1" applyAlignment="1" applyProtection="1">
      <alignment horizontal="left" vertical="top" wrapText="1" readingOrder="1"/>
      <protection locked="0"/>
    </xf>
    <xf numFmtId="0" fontId="10" fillId="0" borderId="0" xfId="0" applyNumberFormat="1" applyFont="1" applyAlignment="1" applyProtection="1">
      <alignment horizontal="left" vertical="top" wrapText="1" readingOrder="1"/>
      <protection locked="0"/>
    </xf>
    <xf numFmtId="10" fontId="10" fillId="0" borderId="0" xfId="0" applyNumberFormat="1" applyFont="1" applyAlignment="1" applyProtection="1">
      <alignment horizontal="lef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504825</xdr:colOff>
      <xdr:row>1</xdr:row>
      <xdr:rowOff>161925</xdr:rowOff>
    </xdr:to>
    <xdr:pic>
      <xdr:nvPicPr>
        <xdr:cNvPr id="1024" name="Picture 0">
          <a:extLst>
            <a:ext uri="{FF2B5EF4-FFF2-40B4-BE49-F238E27FC236}">
              <a16:creationId xmlns:a16="http://schemas.microsoft.com/office/drawing/2014/main" id="{80B4E8D9-5C8A-BE77-8BE9-5F0795D7B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5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504825</xdr:colOff>
      <xdr:row>1</xdr:row>
      <xdr:rowOff>161925</xdr:rowOff>
    </xdr:to>
    <xdr:pic>
      <xdr:nvPicPr>
        <xdr:cNvPr id="2048" name="Picture 0">
          <a:extLst>
            <a:ext uri="{FF2B5EF4-FFF2-40B4-BE49-F238E27FC236}">
              <a16:creationId xmlns:a16="http://schemas.microsoft.com/office/drawing/2014/main" id="{2738D2E1-CF0B-3DBE-3B6E-FEB1EA3D0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5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5471-4A13-40B2-A34C-30E2A049AC13}">
  <dimension ref="A1:U36"/>
  <sheetViews>
    <sheetView showGridLines="0" workbookViewId="0">
      <pane ySplit="3" topLeftCell="A4" activePane="bottomLeft" state="frozenSplit"/>
      <selection pane="bottomLeft" sqref="A1:C2"/>
    </sheetView>
  </sheetViews>
  <sheetFormatPr defaultRowHeight="12.75" x14ac:dyDescent="0.2"/>
  <cols>
    <col min="1" max="1" width="8.140625" customWidth="1"/>
    <col min="2" max="2" width="4.5703125" customWidth="1"/>
    <col min="3" max="3" width="7.5703125" customWidth="1"/>
    <col min="4" max="4" width="0.7109375" customWidth="1"/>
    <col min="5" max="5" width="1.85546875" customWidth="1"/>
    <col min="6" max="6" width="10.28515625" customWidth="1"/>
    <col min="7" max="7" width="7.42578125" customWidth="1"/>
    <col min="8" max="8" width="8" customWidth="1"/>
    <col min="9" max="9" width="8.5703125" customWidth="1"/>
    <col min="10" max="10" width="8.140625" customWidth="1"/>
    <col min="11" max="11" width="0.42578125" customWidth="1"/>
    <col min="12" max="12" width="8.140625" customWidth="1"/>
    <col min="13" max="13" width="2.5703125" customWidth="1"/>
    <col min="14" max="14" width="10.42578125" customWidth="1"/>
    <col min="15" max="15" width="7.85546875" customWidth="1"/>
    <col min="16" max="16" width="8.42578125" customWidth="1"/>
    <col min="17" max="17" width="9.5703125" customWidth="1"/>
    <col min="18" max="18" width="8.85546875" customWidth="1"/>
    <col min="19" max="19" width="1.5703125" customWidth="1"/>
    <col min="20" max="20" width="11.140625" customWidth="1"/>
    <col min="22" max="22" width="0" hidden="1" customWidth="1"/>
    <col min="23" max="23" width="2" customWidth="1"/>
  </cols>
  <sheetData>
    <row r="1" spans="1:21" ht="23.25" customHeight="1" x14ac:dyDescent="0.2">
      <c r="A1" s="31"/>
      <c r="B1" s="31"/>
      <c r="C1" s="31"/>
      <c r="E1" s="51" t="s">
        <v>3</v>
      </c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21" ht="12.75" customHeight="1" x14ac:dyDescent="0.2">
      <c r="A2" s="31"/>
      <c r="B2" s="31"/>
      <c r="C2" s="31"/>
    </row>
    <row r="3" spans="1:21" ht="15.6" customHeight="1" x14ac:dyDescent="0.2"/>
    <row r="4" spans="1:21" x14ac:dyDescent="0.2">
      <c r="A4" s="1"/>
      <c r="B4" s="1"/>
      <c r="C4" s="30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0"/>
      <c r="S4" s="31"/>
      <c r="T4" s="1"/>
      <c r="U4" s="1"/>
    </row>
    <row r="5" spans="1:21" x14ac:dyDescent="0.2">
      <c r="A5" s="2" t="s">
        <v>4</v>
      </c>
      <c r="B5" s="39" t="s">
        <v>5</v>
      </c>
      <c r="C5" s="31"/>
      <c r="D5" s="31"/>
      <c r="E5" s="31"/>
      <c r="F5" s="31"/>
      <c r="G5" s="50" t="s">
        <v>0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0"/>
      <c r="S5" s="31"/>
      <c r="T5" s="1"/>
      <c r="U5" s="1"/>
    </row>
    <row r="6" spans="1:21" x14ac:dyDescent="0.2">
      <c r="A6" s="39" t="s">
        <v>6</v>
      </c>
      <c r="B6" s="31"/>
      <c r="C6" s="31"/>
      <c r="D6" s="31"/>
      <c r="E6" s="31"/>
      <c r="F6" s="31"/>
      <c r="G6" s="31"/>
      <c r="H6" s="31"/>
      <c r="I6" s="31"/>
      <c r="J6" s="31"/>
      <c r="K6" s="3"/>
      <c r="L6" s="3"/>
      <c r="M6" s="3"/>
      <c r="N6" s="3"/>
      <c r="O6" s="3"/>
      <c r="P6" s="4"/>
      <c r="Q6" s="4"/>
      <c r="R6" s="36" t="s">
        <v>7</v>
      </c>
      <c r="S6" s="31"/>
      <c r="T6" s="31"/>
      <c r="U6" s="31"/>
    </row>
    <row r="7" spans="1:21" x14ac:dyDescent="0.2">
      <c r="A7" s="2"/>
      <c r="B7" s="2"/>
      <c r="C7" s="39"/>
      <c r="D7" s="31"/>
      <c r="E7" s="31"/>
      <c r="F7" s="2"/>
      <c r="G7" s="50" t="s">
        <v>8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9" t="s">
        <v>9</v>
      </c>
      <c r="S7" s="31"/>
      <c r="T7" s="31"/>
      <c r="U7" s="31"/>
    </row>
    <row r="8" spans="1:21" x14ac:dyDescent="0.2">
      <c r="A8" s="2" t="s">
        <v>10</v>
      </c>
      <c r="B8" s="39" t="s">
        <v>11</v>
      </c>
      <c r="C8" s="31"/>
      <c r="D8" s="31"/>
      <c r="E8" s="31"/>
      <c r="F8" s="31"/>
      <c r="G8" s="50" t="s">
        <v>12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6" t="s">
        <v>13</v>
      </c>
      <c r="S8" s="31"/>
      <c r="T8" s="31"/>
      <c r="U8" s="31"/>
    </row>
    <row r="9" spans="1:21" x14ac:dyDescent="0.2">
      <c r="A9" s="2"/>
      <c r="B9" s="39" t="s">
        <v>14</v>
      </c>
      <c r="C9" s="31"/>
      <c r="D9" s="31"/>
      <c r="E9" s="31"/>
      <c r="F9" s="3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6" t="s">
        <v>15</v>
      </c>
      <c r="S9" s="31"/>
      <c r="T9" s="31"/>
      <c r="U9" s="31"/>
    </row>
    <row r="10" spans="1:21" x14ac:dyDescent="0.2">
      <c r="A10" s="6"/>
      <c r="B10" s="39" t="s">
        <v>16</v>
      </c>
      <c r="C10" s="31"/>
      <c r="D10" s="31"/>
      <c r="E10" s="31"/>
      <c r="F10" s="3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0"/>
      <c r="S10" s="31"/>
      <c r="T10" s="1"/>
      <c r="U10" s="1"/>
    </row>
    <row r="11" spans="1:21" x14ac:dyDescent="0.2">
      <c r="A11" s="7"/>
      <c r="B11" s="7"/>
      <c r="C11" s="48"/>
      <c r="D11" s="34"/>
      <c r="E11" s="34"/>
      <c r="F11" s="8"/>
      <c r="G11" s="7"/>
      <c r="H11" s="7"/>
      <c r="I11" s="7"/>
      <c r="J11" s="7"/>
      <c r="K11" s="7"/>
      <c r="L11" s="7"/>
      <c r="M11" s="7"/>
      <c r="N11" s="9"/>
      <c r="O11" s="9"/>
      <c r="P11" s="9"/>
      <c r="Q11" s="9"/>
      <c r="R11" s="49"/>
      <c r="S11" s="34"/>
      <c r="T11" s="9"/>
      <c r="U11" s="9"/>
    </row>
    <row r="12" spans="1:21" x14ac:dyDescent="0.2">
      <c r="A12" s="2"/>
      <c r="B12" s="2"/>
      <c r="C12" s="39"/>
      <c r="D12" s="31"/>
      <c r="E12" s="31"/>
      <c r="F12" s="2"/>
      <c r="G12" s="10"/>
      <c r="H12" s="2"/>
      <c r="I12" s="2"/>
      <c r="J12" s="10"/>
      <c r="K12" s="10"/>
      <c r="L12" s="2"/>
      <c r="M12" s="11"/>
      <c r="N12" s="11"/>
      <c r="O12" s="11"/>
      <c r="P12" s="11"/>
      <c r="Q12" s="11"/>
      <c r="R12" s="46"/>
      <c r="S12" s="31"/>
      <c r="T12" s="11"/>
      <c r="U12" s="11"/>
    </row>
    <row r="13" spans="1:21" x14ac:dyDescent="0.2">
      <c r="A13" s="2"/>
      <c r="B13" s="39" t="s">
        <v>17</v>
      </c>
      <c r="C13" s="31"/>
      <c r="D13" s="31"/>
      <c r="E13" s="31"/>
      <c r="F13" s="31"/>
      <c r="G13" s="31"/>
      <c r="H13" s="2"/>
      <c r="I13" s="39"/>
      <c r="J13" s="31"/>
      <c r="K13" s="10"/>
      <c r="L13" s="2"/>
      <c r="M13" s="39" t="s">
        <v>18</v>
      </c>
      <c r="N13" s="31"/>
      <c r="O13" s="31"/>
      <c r="P13" s="31"/>
      <c r="Q13" s="31"/>
      <c r="R13" s="47"/>
      <c r="S13" s="31"/>
      <c r="T13" s="31"/>
      <c r="U13" s="11"/>
    </row>
    <row r="14" spans="1:21" ht="15" x14ac:dyDescent="0.2">
      <c r="A14" s="2"/>
      <c r="B14" s="36" t="s">
        <v>19</v>
      </c>
      <c r="C14" s="31"/>
      <c r="D14" s="31"/>
      <c r="E14" s="31"/>
      <c r="F14" s="31"/>
      <c r="G14" s="12"/>
      <c r="H14" s="2"/>
      <c r="I14" s="38">
        <v>14.98</v>
      </c>
      <c r="J14" s="31"/>
      <c r="K14" s="10"/>
      <c r="L14" s="2"/>
      <c r="M14" s="39" t="s">
        <v>20</v>
      </c>
      <c r="N14" s="31"/>
      <c r="O14" s="31"/>
      <c r="P14" s="31"/>
      <c r="Q14" s="31"/>
      <c r="R14" s="38">
        <v>0</v>
      </c>
      <c r="S14" s="31"/>
      <c r="T14" s="31"/>
      <c r="U14" s="11"/>
    </row>
    <row r="15" spans="1:21" ht="15" x14ac:dyDescent="0.2">
      <c r="A15" s="2"/>
      <c r="B15" s="12"/>
      <c r="C15" s="30" t="s">
        <v>21</v>
      </c>
      <c r="D15" s="31"/>
      <c r="E15" s="31"/>
      <c r="F15" s="31"/>
      <c r="G15" s="31"/>
      <c r="H15" s="31"/>
      <c r="I15" s="38">
        <v>0</v>
      </c>
      <c r="J15" s="31"/>
      <c r="K15" s="10"/>
      <c r="L15" s="2"/>
      <c r="M15" s="11"/>
      <c r="N15" s="32" t="s">
        <v>22</v>
      </c>
      <c r="O15" s="31"/>
      <c r="P15" s="14"/>
      <c r="Q15" s="14"/>
      <c r="R15" s="38">
        <v>0</v>
      </c>
      <c r="S15" s="31"/>
      <c r="T15" s="31"/>
      <c r="U15" s="11"/>
    </row>
    <row r="16" spans="1:21" ht="15" x14ac:dyDescent="0.2">
      <c r="A16" s="2"/>
      <c r="B16" s="12"/>
      <c r="C16" s="30" t="s">
        <v>23</v>
      </c>
      <c r="D16" s="31"/>
      <c r="E16" s="31"/>
      <c r="F16" s="31"/>
      <c r="G16" s="12"/>
      <c r="H16" s="15"/>
      <c r="I16" s="38">
        <v>0</v>
      </c>
      <c r="J16" s="31"/>
      <c r="K16" s="10"/>
      <c r="L16" s="2"/>
      <c r="M16" s="11"/>
      <c r="N16" s="32" t="s">
        <v>24</v>
      </c>
      <c r="O16" s="31"/>
      <c r="P16" s="31"/>
      <c r="Q16" s="31"/>
      <c r="R16" s="44" t="s">
        <v>1</v>
      </c>
      <c r="S16" s="31"/>
      <c r="T16" s="31"/>
      <c r="U16" s="11"/>
    </row>
    <row r="17" spans="1:21" ht="15" x14ac:dyDescent="0.2">
      <c r="A17" s="2"/>
      <c r="B17" s="16"/>
      <c r="C17" s="30" t="s">
        <v>25</v>
      </c>
      <c r="D17" s="31"/>
      <c r="E17" s="31"/>
      <c r="F17" s="31"/>
      <c r="G17" s="1"/>
      <c r="H17" s="15"/>
      <c r="I17" s="38">
        <v>1279.53</v>
      </c>
      <c r="J17" s="31"/>
      <c r="K17" s="10"/>
      <c r="L17" s="2"/>
      <c r="M17" s="11"/>
      <c r="N17" s="32" t="s">
        <v>26</v>
      </c>
      <c r="O17" s="31"/>
      <c r="P17" s="31"/>
      <c r="Q17" s="31"/>
      <c r="R17" s="38">
        <v>0</v>
      </c>
      <c r="S17" s="31"/>
      <c r="T17" s="31"/>
      <c r="U17" s="11"/>
    </row>
    <row r="18" spans="1:21" x14ac:dyDescent="0.2">
      <c r="A18" s="2"/>
      <c r="B18" s="2"/>
      <c r="C18" s="30" t="s">
        <v>27</v>
      </c>
      <c r="D18" s="31"/>
      <c r="E18" s="31"/>
      <c r="F18" s="31"/>
      <c r="G18" s="31"/>
      <c r="H18" s="15"/>
      <c r="I18" s="38">
        <v>0</v>
      </c>
      <c r="J18" s="31"/>
      <c r="K18" s="10"/>
      <c r="L18" s="2"/>
      <c r="M18" s="11"/>
      <c r="N18" s="32" t="s">
        <v>27</v>
      </c>
      <c r="O18" s="31"/>
      <c r="P18" s="31"/>
      <c r="Q18" s="31"/>
      <c r="R18" s="38">
        <v>0</v>
      </c>
      <c r="S18" s="31"/>
      <c r="T18" s="31"/>
      <c r="U18" s="11"/>
    </row>
    <row r="19" spans="1:21" x14ac:dyDescent="0.2">
      <c r="A19" s="2"/>
      <c r="B19" s="5"/>
      <c r="C19" s="30" t="s">
        <v>28</v>
      </c>
      <c r="D19" s="31"/>
      <c r="E19" s="31"/>
      <c r="F19" s="31"/>
      <c r="G19" s="2"/>
      <c r="H19" s="15"/>
      <c r="I19" s="38">
        <v>0</v>
      </c>
      <c r="J19" s="31"/>
      <c r="K19" s="10"/>
      <c r="L19" s="2"/>
      <c r="M19" s="2"/>
      <c r="N19" s="32" t="s">
        <v>29</v>
      </c>
      <c r="O19" s="31"/>
      <c r="P19" s="31"/>
      <c r="Q19" s="31"/>
      <c r="R19" s="45">
        <v>0</v>
      </c>
      <c r="S19" s="31"/>
      <c r="T19" s="31"/>
      <c r="U19" s="11"/>
    </row>
    <row r="20" spans="1:21" ht="15" x14ac:dyDescent="0.2">
      <c r="A20" s="2"/>
      <c r="B20" s="36" t="s">
        <v>30</v>
      </c>
      <c r="C20" s="31"/>
      <c r="D20" s="31"/>
      <c r="E20" s="31"/>
      <c r="F20" s="31"/>
      <c r="G20" s="12"/>
      <c r="H20" s="11"/>
      <c r="I20" s="40">
        <v>1294.51</v>
      </c>
      <c r="J20" s="31"/>
      <c r="K20" s="10"/>
      <c r="L20" s="2"/>
      <c r="M20" s="39" t="s">
        <v>31</v>
      </c>
      <c r="N20" s="31"/>
      <c r="O20" s="31"/>
      <c r="P20" s="6"/>
      <c r="Q20" s="6"/>
      <c r="R20" s="40">
        <v>0</v>
      </c>
      <c r="S20" s="31"/>
      <c r="T20" s="31"/>
      <c r="U20" s="11"/>
    </row>
    <row r="21" spans="1:21" ht="15" x14ac:dyDescent="0.2">
      <c r="A21" s="2"/>
      <c r="B21" s="36"/>
      <c r="C21" s="31"/>
      <c r="D21" s="31"/>
      <c r="E21" s="31"/>
      <c r="F21" s="31"/>
      <c r="G21" s="16"/>
      <c r="H21" s="16"/>
      <c r="I21" s="43"/>
      <c r="J21" s="31"/>
      <c r="K21" s="10"/>
      <c r="L21" s="2"/>
      <c r="M21" s="39"/>
      <c r="N21" s="31"/>
      <c r="O21" s="31"/>
      <c r="P21" s="31"/>
      <c r="Q21" s="31"/>
      <c r="R21" s="44"/>
      <c r="S21" s="31"/>
      <c r="T21" s="31"/>
      <c r="U21" s="11"/>
    </row>
    <row r="22" spans="1:21" ht="15" x14ac:dyDescent="0.2">
      <c r="A22" s="2"/>
      <c r="B22" s="36" t="s">
        <v>32</v>
      </c>
      <c r="C22" s="31"/>
      <c r="D22" s="31"/>
      <c r="E22" s="31"/>
      <c r="F22" s="31"/>
      <c r="G22" s="12"/>
      <c r="H22" s="18"/>
      <c r="I22" s="41"/>
      <c r="J22" s="31"/>
      <c r="K22" s="18"/>
      <c r="L22" s="18"/>
      <c r="M22" s="39" t="s">
        <v>33</v>
      </c>
      <c r="N22" s="31"/>
      <c r="O22" s="31"/>
      <c r="P22" s="6"/>
      <c r="Q22" s="6"/>
      <c r="R22" s="42"/>
      <c r="S22" s="31"/>
      <c r="T22" s="31"/>
      <c r="U22" s="11"/>
    </row>
    <row r="23" spans="1:21" ht="15" x14ac:dyDescent="0.2">
      <c r="A23" s="2"/>
      <c r="B23" s="12"/>
      <c r="C23" s="30" t="s">
        <v>30</v>
      </c>
      <c r="D23" s="31"/>
      <c r="E23" s="31"/>
      <c r="F23" s="31"/>
      <c r="G23" s="12"/>
      <c r="H23" s="15"/>
      <c r="I23" s="38">
        <v>1294.51</v>
      </c>
      <c r="J23" s="31"/>
      <c r="K23" s="18"/>
      <c r="L23" s="18"/>
      <c r="M23" s="18"/>
      <c r="N23" s="32" t="s">
        <v>22</v>
      </c>
      <c r="O23" s="31"/>
      <c r="P23" s="6"/>
      <c r="Q23" s="6"/>
      <c r="R23" s="38">
        <v>0</v>
      </c>
      <c r="S23" s="31"/>
      <c r="T23" s="31"/>
      <c r="U23" s="11"/>
    </row>
    <row r="24" spans="1:21" ht="15" x14ac:dyDescent="0.2">
      <c r="A24" s="2"/>
      <c r="B24" s="12"/>
      <c r="C24" s="30" t="s">
        <v>34</v>
      </c>
      <c r="D24" s="31"/>
      <c r="E24" s="31"/>
      <c r="F24" s="31"/>
      <c r="G24" s="12"/>
      <c r="H24" s="15"/>
      <c r="I24" s="38">
        <v>0</v>
      </c>
      <c r="J24" s="31"/>
      <c r="K24" s="18"/>
      <c r="L24" s="18"/>
      <c r="M24" s="18"/>
      <c r="N24" s="32" t="s">
        <v>24</v>
      </c>
      <c r="O24" s="31"/>
      <c r="P24" s="6"/>
      <c r="Q24" s="6"/>
      <c r="R24" s="38">
        <v>0</v>
      </c>
      <c r="S24" s="31"/>
      <c r="T24" s="31"/>
      <c r="U24" s="11"/>
    </row>
    <row r="25" spans="1:21" ht="15" x14ac:dyDescent="0.2">
      <c r="A25" s="2"/>
      <c r="B25" s="39" t="s">
        <v>35</v>
      </c>
      <c r="C25" s="31"/>
      <c r="D25" s="31"/>
      <c r="E25" s="31"/>
      <c r="F25" s="31"/>
      <c r="G25" s="12"/>
      <c r="H25" s="15"/>
      <c r="I25" s="40">
        <v>1294.51</v>
      </c>
      <c r="J25" s="31"/>
      <c r="K25" s="18"/>
      <c r="L25" s="18"/>
      <c r="M25" s="18"/>
      <c r="N25" s="36" t="s">
        <v>36</v>
      </c>
      <c r="O25" s="31"/>
      <c r="P25" s="6"/>
      <c r="Q25" s="6"/>
      <c r="R25" s="40">
        <v>0</v>
      </c>
      <c r="S25" s="31"/>
      <c r="T25" s="31"/>
      <c r="U25" s="11"/>
    </row>
    <row r="26" spans="1:21" x14ac:dyDescent="0.2">
      <c r="A26" s="1"/>
      <c r="B26" s="1"/>
      <c r="C26" s="30"/>
      <c r="D26" s="31"/>
      <c r="E26" s="3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30"/>
      <c r="S26" s="31"/>
      <c r="T26" s="1"/>
      <c r="U26" s="1"/>
    </row>
    <row r="27" spans="1:21" x14ac:dyDescent="0.2">
      <c r="A27" s="5"/>
      <c r="B27" s="5"/>
      <c r="C27" s="36"/>
      <c r="D27" s="31"/>
      <c r="E27" s="31"/>
      <c r="F27" s="1"/>
      <c r="G27" s="15"/>
      <c r="H27" s="15"/>
      <c r="I27" s="15"/>
      <c r="J27" s="1"/>
      <c r="K27" s="1"/>
      <c r="L27" s="15"/>
      <c r="M27" s="15"/>
      <c r="N27" s="11"/>
      <c r="O27" s="11"/>
      <c r="P27" s="19"/>
      <c r="Q27" s="19"/>
      <c r="R27" s="37"/>
      <c r="S27" s="31"/>
      <c r="T27" s="11"/>
      <c r="U27" s="11"/>
    </row>
    <row r="28" spans="1:21" x14ac:dyDescent="0.2">
      <c r="A28" s="5"/>
      <c r="B28" s="5"/>
      <c r="C28" s="36"/>
      <c r="D28" s="31"/>
      <c r="E28" s="31"/>
      <c r="F28" s="1"/>
      <c r="G28" s="15"/>
      <c r="H28" s="15"/>
      <c r="I28" s="15"/>
      <c r="J28" s="1"/>
      <c r="K28" s="1"/>
      <c r="L28" s="15"/>
      <c r="M28" s="15"/>
      <c r="N28" s="11"/>
      <c r="O28" s="11"/>
      <c r="P28" s="11"/>
      <c r="Q28" s="11"/>
      <c r="R28" s="37"/>
      <c r="S28" s="31"/>
      <c r="T28" s="11"/>
      <c r="U28" s="11"/>
    </row>
    <row r="29" spans="1:21" x14ac:dyDescent="0.2">
      <c r="A29" s="20"/>
      <c r="B29" s="20"/>
      <c r="C29" s="33"/>
      <c r="D29" s="34"/>
      <c r="E29" s="34"/>
      <c r="F29" s="21"/>
      <c r="G29" s="22"/>
      <c r="H29" s="22"/>
      <c r="I29" s="22"/>
      <c r="J29" s="21"/>
      <c r="K29" s="21"/>
      <c r="L29" s="22"/>
      <c r="M29" s="22"/>
      <c r="N29" s="23"/>
      <c r="O29" s="23"/>
      <c r="P29" s="24"/>
      <c r="Q29" s="24"/>
      <c r="R29" s="35"/>
      <c r="S29" s="34"/>
      <c r="T29" s="23"/>
      <c r="U29" s="23"/>
    </row>
    <row r="30" spans="1:21" x14ac:dyDescent="0.2">
      <c r="A30" s="36" t="s">
        <v>37</v>
      </c>
      <c r="B30" s="31"/>
      <c r="C30" s="31"/>
      <c r="D30" s="31"/>
      <c r="E30" s="31"/>
      <c r="F30" s="31"/>
      <c r="G30" s="1"/>
      <c r="H30" s="1"/>
      <c r="I30" s="1"/>
      <c r="J30" s="1"/>
      <c r="K30" s="1"/>
      <c r="L30" s="1"/>
      <c r="M30" s="1"/>
      <c r="N30" s="1"/>
      <c r="O30" s="36" t="s">
        <v>38</v>
      </c>
      <c r="P30" s="31"/>
      <c r="Q30" s="31"/>
      <c r="R30" s="31"/>
      <c r="S30" s="31"/>
      <c r="T30" s="1"/>
      <c r="U30" s="1"/>
    </row>
    <row r="31" spans="1:21" x14ac:dyDescent="0.2">
      <c r="A31" s="1"/>
      <c r="B31" s="30" t="s">
        <v>39</v>
      </c>
      <c r="C31" s="31"/>
      <c r="D31" s="31"/>
      <c r="E31" s="31"/>
      <c r="F31" s="31"/>
      <c r="G31" s="32" t="s">
        <v>40</v>
      </c>
      <c r="H31" s="31"/>
      <c r="I31" s="31"/>
      <c r="J31" s="31"/>
      <c r="K31" s="31"/>
      <c r="L31" s="31"/>
      <c r="M31" s="31"/>
      <c r="N31" s="1"/>
      <c r="O31" s="1"/>
      <c r="P31" s="1"/>
      <c r="Q31" s="30" t="s">
        <v>41</v>
      </c>
      <c r="R31" s="31"/>
      <c r="S31" s="31"/>
      <c r="T31" s="31"/>
      <c r="U31" s="1"/>
    </row>
    <row r="32" spans="1:21" x14ac:dyDescent="0.2">
      <c r="A32" s="1"/>
      <c r="B32" s="30" t="s">
        <v>42</v>
      </c>
      <c r="C32" s="31"/>
      <c r="D32" s="31"/>
      <c r="E32" s="31"/>
      <c r="F32" s="31"/>
      <c r="G32" s="32" t="s">
        <v>43</v>
      </c>
      <c r="H32" s="31"/>
      <c r="I32" s="31"/>
      <c r="J32" s="31"/>
      <c r="K32" s="31"/>
      <c r="L32" s="31"/>
      <c r="M32" s="31"/>
      <c r="N32" s="1"/>
      <c r="O32" s="1"/>
      <c r="P32" s="1"/>
      <c r="Q32" s="1"/>
      <c r="R32" s="30"/>
      <c r="S32" s="31"/>
      <c r="T32" s="1"/>
      <c r="U32" s="1"/>
    </row>
    <row r="33" spans="1:21" x14ac:dyDescent="0.2">
      <c r="A33" s="1"/>
      <c r="B33" s="30" t="s">
        <v>44</v>
      </c>
      <c r="C33" s="31"/>
      <c r="D33" s="31"/>
      <c r="E33" s="31"/>
      <c r="F33" s="31"/>
      <c r="G33" s="32" t="s">
        <v>45</v>
      </c>
      <c r="H33" s="31"/>
      <c r="I33" s="31"/>
      <c r="J33" s="31"/>
      <c r="K33" s="31"/>
      <c r="L33" s="31"/>
      <c r="M33" s="31"/>
      <c r="N33" s="1"/>
      <c r="O33" s="1"/>
      <c r="P33" s="1"/>
      <c r="Q33" s="1"/>
      <c r="R33" s="30"/>
      <c r="S33" s="31"/>
      <c r="T33" s="1"/>
      <c r="U33" s="1"/>
    </row>
    <row r="34" spans="1:21" x14ac:dyDescent="0.2">
      <c r="A34" s="1"/>
      <c r="B34" s="30" t="s">
        <v>46</v>
      </c>
      <c r="C34" s="31"/>
      <c r="D34" s="31"/>
      <c r="E34" s="31"/>
      <c r="F34" s="31"/>
      <c r="G34" s="32"/>
      <c r="H34" s="31"/>
      <c r="I34" s="31"/>
      <c r="J34" s="31"/>
      <c r="K34" s="31"/>
      <c r="L34" s="31"/>
      <c r="M34" s="31"/>
      <c r="N34" s="1"/>
      <c r="O34" s="1"/>
      <c r="P34" s="1"/>
      <c r="Q34" s="1"/>
      <c r="R34" s="30"/>
      <c r="S34" s="31"/>
      <c r="T34" s="1"/>
      <c r="U34" s="1"/>
    </row>
    <row r="35" spans="1:21" x14ac:dyDescent="0.2">
      <c r="A35" s="1"/>
      <c r="B35" s="30" t="s">
        <v>47</v>
      </c>
      <c r="C35" s="31"/>
      <c r="D35" s="31"/>
      <c r="E35" s="31"/>
      <c r="F35" s="31"/>
      <c r="G35" s="30"/>
      <c r="H35" s="31"/>
      <c r="I35" s="31"/>
      <c r="J35" s="31"/>
      <c r="K35" s="31"/>
      <c r="L35" s="31"/>
      <c r="M35" s="31"/>
      <c r="N35" s="1"/>
      <c r="O35" s="1"/>
      <c r="P35" s="1"/>
      <c r="Q35" s="1"/>
      <c r="R35" s="30"/>
      <c r="S35" s="31"/>
      <c r="T35" s="1"/>
      <c r="U35" s="1"/>
    </row>
    <row r="36" spans="1:21" ht="12.75" hidden="1" customHeight="1" x14ac:dyDescent="0.2"/>
  </sheetData>
  <mergeCells count="100">
    <mergeCell ref="B8:F8"/>
    <mergeCell ref="G8:Q8"/>
    <mergeCell ref="R8:U8"/>
    <mergeCell ref="A1:C2"/>
    <mergeCell ref="E1:R1"/>
    <mergeCell ref="C4:E4"/>
    <mergeCell ref="R4:S4"/>
    <mergeCell ref="B5:F5"/>
    <mergeCell ref="G5:Q5"/>
    <mergeCell ref="R5:S5"/>
    <mergeCell ref="A6:J6"/>
    <mergeCell ref="R6:U6"/>
    <mergeCell ref="C7:E7"/>
    <mergeCell ref="G7:Q7"/>
    <mergeCell ref="R7:U7"/>
    <mergeCell ref="B9:F9"/>
    <mergeCell ref="R9:U9"/>
    <mergeCell ref="B10:F10"/>
    <mergeCell ref="R10:S10"/>
    <mergeCell ref="C11:E11"/>
    <mergeCell ref="R11:S11"/>
    <mergeCell ref="C12:E12"/>
    <mergeCell ref="R12:S12"/>
    <mergeCell ref="B13:G13"/>
    <mergeCell ref="I13:J13"/>
    <mergeCell ref="M13:Q13"/>
    <mergeCell ref="R13:T13"/>
    <mergeCell ref="B14:F14"/>
    <mergeCell ref="I14:J14"/>
    <mergeCell ref="M14:Q14"/>
    <mergeCell ref="R14:T14"/>
    <mergeCell ref="C15:H15"/>
    <mergeCell ref="I15:J15"/>
    <mergeCell ref="N15:O15"/>
    <mergeCell ref="R15:T15"/>
    <mergeCell ref="C16:F16"/>
    <mergeCell ref="I16:J16"/>
    <mergeCell ref="N16:Q16"/>
    <mergeCell ref="R16:T16"/>
    <mergeCell ref="C17:F17"/>
    <mergeCell ref="I17:J17"/>
    <mergeCell ref="N17:Q17"/>
    <mergeCell ref="R17:T17"/>
    <mergeCell ref="C18:G18"/>
    <mergeCell ref="I18:J18"/>
    <mergeCell ref="N18:Q18"/>
    <mergeCell ref="R18:T18"/>
    <mergeCell ref="C19:F19"/>
    <mergeCell ref="I19:J19"/>
    <mergeCell ref="N19:Q19"/>
    <mergeCell ref="R19:T19"/>
    <mergeCell ref="B20:F20"/>
    <mergeCell ref="I20:J20"/>
    <mergeCell ref="M20:O20"/>
    <mergeCell ref="R20:T20"/>
    <mergeCell ref="B21:F21"/>
    <mergeCell ref="I21:J21"/>
    <mergeCell ref="M21:Q21"/>
    <mergeCell ref="R21:T21"/>
    <mergeCell ref="B22:F22"/>
    <mergeCell ref="I22:J22"/>
    <mergeCell ref="M22:O22"/>
    <mergeCell ref="R22:T22"/>
    <mergeCell ref="C23:F23"/>
    <mergeCell ref="I23:J23"/>
    <mergeCell ref="N23:O23"/>
    <mergeCell ref="R23:T23"/>
    <mergeCell ref="C24:F24"/>
    <mergeCell ref="I24:J24"/>
    <mergeCell ref="N24:O24"/>
    <mergeCell ref="R24:T24"/>
    <mergeCell ref="B25:F25"/>
    <mergeCell ref="I25:J25"/>
    <mergeCell ref="N25:O25"/>
    <mergeCell ref="R25:T25"/>
    <mergeCell ref="C26:E26"/>
    <mergeCell ref="R26:S26"/>
    <mergeCell ref="C27:E27"/>
    <mergeCell ref="R27:S27"/>
    <mergeCell ref="C28:E28"/>
    <mergeCell ref="R28:S28"/>
    <mergeCell ref="C29:E29"/>
    <mergeCell ref="R29:S29"/>
    <mergeCell ref="A30:F30"/>
    <mergeCell ref="O30:S30"/>
    <mergeCell ref="B31:F31"/>
    <mergeCell ref="G31:M31"/>
    <mergeCell ref="Q31:T31"/>
    <mergeCell ref="B32:F32"/>
    <mergeCell ref="G32:M32"/>
    <mergeCell ref="R32:S32"/>
    <mergeCell ref="B33:F33"/>
    <mergeCell ref="G33:M33"/>
    <mergeCell ref="R33:S33"/>
    <mergeCell ref="B34:F34"/>
    <mergeCell ref="G34:M34"/>
    <mergeCell ref="R34:S34"/>
    <mergeCell ref="B35:F35"/>
    <mergeCell ref="G35:M35"/>
    <mergeCell ref="R35:S35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09/18/2025&amp;B &amp;C&amp;R&amp;"Arial"&amp;9&amp;BPage No: &amp;P of &amp;N&amp;B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431A5-389E-491F-8475-F6F1B9DD5D6A}">
  <dimension ref="A1:U291"/>
  <sheetViews>
    <sheetView showGridLines="0" workbookViewId="0">
      <pane ySplit="3" topLeftCell="A4" activePane="bottomLeft" state="frozenSplit"/>
      <selection pane="bottomLeft" sqref="A1:XFD1048576"/>
    </sheetView>
  </sheetViews>
  <sheetFormatPr defaultRowHeight="12.75" x14ac:dyDescent="0.2"/>
  <cols>
    <col min="1" max="1" width="8.140625" customWidth="1"/>
    <col min="2" max="2" width="4.5703125" customWidth="1"/>
    <col min="3" max="3" width="7.5703125" customWidth="1"/>
    <col min="4" max="4" width="0.7109375" customWidth="1"/>
    <col min="5" max="5" width="1.85546875" customWidth="1"/>
    <col min="6" max="6" width="10.28515625" customWidth="1"/>
    <col min="7" max="7" width="7.42578125" customWidth="1"/>
    <col min="8" max="8" width="8" customWidth="1"/>
    <col min="9" max="9" width="8.5703125" customWidth="1"/>
    <col min="10" max="10" width="8.140625" customWidth="1"/>
    <col min="11" max="11" width="0.42578125" customWidth="1"/>
    <col min="12" max="12" width="8.140625" customWidth="1"/>
    <col min="13" max="13" width="2.5703125" customWidth="1"/>
    <col min="14" max="14" width="10.42578125" customWidth="1"/>
    <col min="15" max="15" width="7.85546875" customWidth="1"/>
    <col min="16" max="16" width="8.42578125" customWidth="1"/>
    <col min="17" max="17" width="9.5703125" customWidth="1"/>
    <col min="18" max="18" width="8.85546875" customWidth="1"/>
    <col min="19" max="19" width="1.5703125" customWidth="1"/>
    <col min="20" max="20" width="11.140625" customWidth="1"/>
    <col min="22" max="22" width="0" hidden="1" customWidth="1"/>
    <col min="23" max="23" width="2" customWidth="1"/>
  </cols>
  <sheetData>
    <row r="1" spans="1:21" ht="23.25" customHeight="1" x14ac:dyDescent="0.2">
      <c r="A1" s="31"/>
      <c r="B1" s="31"/>
      <c r="C1" s="31"/>
      <c r="E1" s="51" t="s">
        <v>3</v>
      </c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21" ht="12.75" customHeight="1" x14ac:dyDescent="0.2">
      <c r="A2" s="31"/>
      <c r="B2" s="31"/>
      <c r="C2" s="31"/>
    </row>
    <row r="3" spans="1:21" ht="15.6" customHeight="1" x14ac:dyDescent="0.2"/>
    <row r="4" spans="1:21" x14ac:dyDescent="0.2">
      <c r="A4" s="1"/>
      <c r="B4" s="1"/>
      <c r="C4" s="30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0"/>
      <c r="S4" s="31"/>
      <c r="T4" s="1"/>
      <c r="U4" s="1"/>
    </row>
    <row r="5" spans="1:21" x14ac:dyDescent="0.2">
      <c r="A5" s="2" t="s">
        <v>4</v>
      </c>
      <c r="B5" s="39" t="s">
        <v>5</v>
      </c>
      <c r="C5" s="31"/>
      <c r="D5" s="31"/>
      <c r="E5" s="31"/>
      <c r="F5" s="31"/>
      <c r="G5" s="50" t="s">
        <v>2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0"/>
      <c r="S5" s="31"/>
      <c r="T5" s="1"/>
      <c r="U5" s="1"/>
    </row>
    <row r="6" spans="1:21" x14ac:dyDescent="0.2">
      <c r="A6" s="39" t="s">
        <v>6</v>
      </c>
      <c r="B6" s="31"/>
      <c r="C6" s="31"/>
      <c r="D6" s="31"/>
      <c r="E6" s="31"/>
      <c r="F6" s="31"/>
      <c r="G6" s="31"/>
      <c r="H6" s="31"/>
      <c r="I6" s="31"/>
      <c r="J6" s="31"/>
      <c r="K6" s="3"/>
      <c r="L6" s="3"/>
      <c r="M6" s="3"/>
      <c r="N6" s="3"/>
      <c r="O6" s="3"/>
      <c r="P6" s="4"/>
      <c r="Q6" s="4"/>
      <c r="R6" s="36" t="s">
        <v>7</v>
      </c>
      <c r="S6" s="31"/>
      <c r="T6" s="31"/>
      <c r="U6" s="31"/>
    </row>
    <row r="7" spans="1:21" x14ac:dyDescent="0.2">
      <c r="A7" s="2"/>
      <c r="B7" s="2"/>
      <c r="C7" s="39"/>
      <c r="D7" s="31"/>
      <c r="E7" s="31"/>
      <c r="F7" s="2"/>
      <c r="G7" s="50" t="s">
        <v>8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9" t="s">
        <v>9</v>
      </c>
      <c r="S7" s="31"/>
      <c r="T7" s="31"/>
      <c r="U7" s="31"/>
    </row>
    <row r="8" spans="1:21" x14ac:dyDescent="0.2">
      <c r="A8" s="2" t="s">
        <v>10</v>
      </c>
      <c r="B8" s="39" t="s">
        <v>11</v>
      </c>
      <c r="C8" s="31"/>
      <c r="D8" s="31"/>
      <c r="E8" s="31"/>
      <c r="F8" s="31"/>
      <c r="G8" s="50" t="s">
        <v>12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6" t="s">
        <v>13</v>
      </c>
      <c r="S8" s="31"/>
      <c r="T8" s="31"/>
      <c r="U8" s="31"/>
    </row>
    <row r="9" spans="1:21" x14ac:dyDescent="0.2">
      <c r="A9" s="2"/>
      <c r="B9" s="39" t="s">
        <v>14</v>
      </c>
      <c r="C9" s="31"/>
      <c r="D9" s="31"/>
      <c r="E9" s="31"/>
      <c r="F9" s="3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6" t="s">
        <v>15</v>
      </c>
      <c r="S9" s="31"/>
      <c r="T9" s="31"/>
      <c r="U9" s="31"/>
    </row>
    <row r="10" spans="1:21" x14ac:dyDescent="0.2">
      <c r="A10" s="6"/>
      <c r="B10" s="39" t="s">
        <v>16</v>
      </c>
      <c r="C10" s="31"/>
      <c r="D10" s="31"/>
      <c r="E10" s="31"/>
      <c r="F10" s="3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0"/>
      <c r="S10" s="31"/>
      <c r="T10" s="1"/>
      <c r="U10" s="1"/>
    </row>
    <row r="11" spans="1:21" ht="22.5" x14ac:dyDescent="0.2">
      <c r="A11" s="25" t="s">
        <v>48</v>
      </c>
      <c r="B11" s="25" t="s">
        <v>49</v>
      </c>
      <c r="C11" s="53" t="s">
        <v>50</v>
      </c>
      <c r="D11" s="54"/>
      <c r="E11" s="54"/>
      <c r="F11" s="25" t="s">
        <v>51</v>
      </c>
      <c r="G11" s="26" t="s">
        <v>52</v>
      </c>
      <c r="H11" s="25" t="s">
        <v>53</v>
      </c>
      <c r="I11" s="25" t="s">
        <v>54</v>
      </c>
      <c r="J11" s="55" t="s">
        <v>55</v>
      </c>
      <c r="K11" s="54"/>
      <c r="L11" s="55" t="s">
        <v>56</v>
      </c>
      <c r="M11" s="54"/>
      <c r="N11" s="26" t="s">
        <v>57</v>
      </c>
      <c r="O11" s="26" t="s">
        <v>58</v>
      </c>
      <c r="P11" s="26" t="s">
        <v>59</v>
      </c>
      <c r="Q11" s="27" t="s">
        <v>60</v>
      </c>
      <c r="R11" s="56" t="s">
        <v>61</v>
      </c>
      <c r="S11" s="54"/>
      <c r="T11" s="27" t="s">
        <v>62</v>
      </c>
      <c r="U11" s="26" t="s">
        <v>63</v>
      </c>
    </row>
    <row r="12" spans="1:21" x14ac:dyDescent="0.2">
      <c r="A12" s="2"/>
      <c r="B12" s="2"/>
      <c r="C12" s="39"/>
      <c r="D12" s="31"/>
      <c r="E12" s="31"/>
      <c r="F12" s="2"/>
      <c r="G12" s="10"/>
      <c r="H12" s="2"/>
      <c r="I12" s="2"/>
      <c r="J12" s="10"/>
      <c r="K12" s="10"/>
      <c r="L12" s="2"/>
      <c r="M12" s="11"/>
      <c r="N12" s="11"/>
      <c r="O12" s="11"/>
      <c r="P12" s="11"/>
      <c r="Q12" s="11"/>
      <c r="R12" s="46"/>
      <c r="S12" s="31"/>
      <c r="T12" s="11"/>
      <c r="U12" s="11"/>
    </row>
    <row r="13" spans="1:21" x14ac:dyDescent="0.2">
      <c r="A13" s="36" t="s">
        <v>64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1"/>
      <c r="Q13" s="1"/>
      <c r="R13" s="30"/>
      <c r="S13" s="31"/>
      <c r="T13" s="1"/>
      <c r="U13" s="1"/>
    </row>
    <row r="14" spans="1:21" ht="22.5" x14ac:dyDescent="0.2">
      <c r="A14" s="1"/>
      <c r="B14" s="1" t="s">
        <v>65</v>
      </c>
      <c r="C14" s="30" t="s">
        <v>66</v>
      </c>
      <c r="D14" s="31"/>
      <c r="E14" s="31"/>
      <c r="F14" s="1" t="s">
        <v>67</v>
      </c>
      <c r="G14" s="28">
        <v>45292</v>
      </c>
      <c r="H14" s="14"/>
      <c r="I14" s="14" t="s">
        <v>68</v>
      </c>
      <c r="J14" s="52">
        <v>45901</v>
      </c>
      <c r="K14" s="31"/>
      <c r="L14" s="52">
        <v>45931</v>
      </c>
      <c r="M14" s="31"/>
      <c r="N14" s="28">
        <v>45904</v>
      </c>
      <c r="O14" s="29" t="s">
        <v>69</v>
      </c>
      <c r="P14" s="15" t="s">
        <v>70</v>
      </c>
      <c r="Q14" s="13">
        <v>24.54</v>
      </c>
      <c r="R14" s="44" t="s">
        <v>71</v>
      </c>
      <c r="S14" s="31"/>
      <c r="T14" s="13">
        <v>4.42</v>
      </c>
      <c r="U14" s="29" t="s">
        <v>72</v>
      </c>
    </row>
    <row r="15" spans="1:21" ht="22.5" x14ac:dyDescent="0.2">
      <c r="A15" s="1"/>
      <c r="B15" s="1" t="s">
        <v>65</v>
      </c>
      <c r="C15" s="30" t="s">
        <v>73</v>
      </c>
      <c r="D15" s="31"/>
      <c r="E15" s="31"/>
      <c r="F15" s="1" t="s">
        <v>67</v>
      </c>
      <c r="G15" s="28">
        <v>45292</v>
      </c>
      <c r="H15" s="14"/>
      <c r="I15" s="14" t="s">
        <v>74</v>
      </c>
      <c r="J15" s="52">
        <v>45901</v>
      </c>
      <c r="K15" s="31"/>
      <c r="L15" s="52">
        <v>45931</v>
      </c>
      <c r="M15" s="31"/>
      <c r="N15" s="28">
        <v>45904</v>
      </c>
      <c r="O15" s="29" t="s">
        <v>69</v>
      </c>
      <c r="P15" s="15" t="s">
        <v>70</v>
      </c>
      <c r="Q15" s="13">
        <v>15.45</v>
      </c>
      <c r="R15" s="44" t="s">
        <v>75</v>
      </c>
      <c r="S15" s="31"/>
      <c r="T15" s="13">
        <v>1.39</v>
      </c>
      <c r="U15" s="29" t="s">
        <v>72</v>
      </c>
    </row>
    <row r="16" spans="1:21" ht="22.5" x14ac:dyDescent="0.2">
      <c r="A16" s="1"/>
      <c r="B16" s="1" t="s">
        <v>65</v>
      </c>
      <c r="C16" s="30" t="s">
        <v>76</v>
      </c>
      <c r="D16" s="31"/>
      <c r="E16" s="31"/>
      <c r="F16" s="1" t="s">
        <v>77</v>
      </c>
      <c r="G16" s="28">
        <v>45139</v>
      </c>
      <c r="H16" s="14"/>
      <c r="I16" s="14" t="s">
        <v>78</v>
      </c>
      <c r="J16" s="52">
        <v>45901</v>
      </c>
      <c r="K16" s="31"/>
      <c r="L16" s="52">
        <v>45931</v>
      </c>
      <c r="M16" s="31"/>
      <c r="N16" s="28">
        <v>45904</v>
      </c>
      <c r="O16" s="29" t="s">
        <v>69</v>
      </c>
      <c r="P16" s="15" t="s">
        <v>70</v>
      </c>
      <c r="Q16" s="13">
        <v>9.8000000000000007</v>
      </c>
      <c r="R16" s="44" t="s">
        <v>75</v>
      </c>
      <c r="S16" s="31"/>
      <c r="T16" s="13">
        <v>0.88</v>
      </c>
      <c r="U16" s="29" t="s">
        <v>72</v>
      </c>
    </row>
    <row r="17" spans="1:21" ht="22.5" x14ac:dyDescent="0.2">
      <c r="A17" s="1"/>
      <c r="B17" s="1" t="s">
        <v>65</v>
      </c>
      <c r="C17" s="30" t="s">
        <v>79</v>
      </c>
      <c r="D17" s="31"/>
      <c r="E17" s="31"/>
      <c r="F17" s="1" t="s">
        <v>80</v>
      </c>
      <c r="G17" s="28">
        <v>44927</v>
      </c>
      <c r="H17" s="14"/>
      <c r="I17" s="14" t="s">
        <v>81</v>
      </c>
      <c r="J17" s="52">
        <v>45901</v>
      </c>
      <c r="K17" s="31"/>
      <c r="L17" s="52">
        <v>45931</v>
      </c>
      <c r="M17" s="31"/>
      <c r="N17" s="28">
        <v>45904</v>
      </c>
      <c r="O17" s="29" t="s">
        <v>69</v>
      </c>
      <c r="P17" s="15" t="s">
        <v>70</v>
      </c>
      <c r="Q17" s="13">
        <v>9</v>
      </c>
      <c r="R17" s="44" t="s">
        <v>75</v>
      </c>
      <c r="S17" s="31"/>
      <c r="T17" s="13">
        <v>0.81</v>
      </c>
      <c r="U17" s="29" t="s">
        <v>72</v>
      </c>
    </row>
    <row r="18" spans="1:21" ht="22.5" x14ac:dyDescent="0.2">
      <c r="A18" s="1"/>
      <c r="B18" s="1" t="s">
        <v>65</v>
      </c>
      <c r="C18" s="30" t="s">
        <v>82</v>
      </c>
      <c r="D18" s="31"/>
      <c r="E18" s="31"/>
      <c r="F18" s="1" t="s">
        <v>83</v>
      </c>
      <c r="G18" s="28">
        <v>45108</v>
      </c>
      <c r="H18" s="14"/>
      <c r="I18" s="14" t="s">
        <v>84</v>
      </c>
      <c r="J18" s="52">
        <v>45901</v>
      </c>
      <c r="K18" s="31"/>
      <c r="L18" s="52">
        <v>45931</v>
      </c>
      <c r="M18" s="31"/>
      <c r="N18" s="28">
        <v>45904</v>
      </c>
      <c r="O18" s="29" t="s">
        <v>69</v>
      </c>
      <c r="P18" s="15" t="s">
        <v>70</v>
      </c>
      <c r="Q18" s="13">
        <v>10</v>
      </c>
      <c r="R18" s="44" t="s">
        <v>75</v>
      </c>
      <c r="S18" s="31"/>
      <c r="T18" s="13">
        <v>0.9</v>
      </c>
      <c r="U18" s="29" t="s">
        <v>72</v>
      </c>
    </row>
    <row r="19" spans="1:21" ht="22.5" x14ac:dyDescent="0.2">
      <c r="A19" s="1"/>
      <c r="B19" s="1" t="s">
        <v>65</v>
      </c>
      <c r="C19" s="30" t="s">
        <v>85</v>
      </c>
      <c r="D19" s="31"/>
      <c r="E19" s="31"/>
      <c r="F19" s="1" t="s">
        <v>86</v>
      </c>
      <c r="G19" s="28">
        <v>45292</v>
      </c>
      <c r="H19" s="14"/>
      <c r="I19" s="14" t="s">
        <v>74</v>
      </c>
      <c r="J19" s="52">
        <v>45901</v>
      </c>
      <c r="K19" s="31"/>
      <c r="L19" s="52">
        <v>45931</v>
      </c>
      <c r="M19" s="31"/>
      <c r="N19" s="28">
        <v>45904</v>
      </c>
      <c r="O19" s="29" t="s">
        <v>69</v>
      </c>
      <c r="P19" s="15" t="s">
        <v>70</v>
      </c>
      <c r="Q19" s="13">
        <v>20.399999999999999</v>
      </c>
      <c r="R19" s="44" t="s">
        <v>75</v>
      </c>
      <c r="S19" s="31"/>
      <c r="T19" s="13">
        <v>1.84</v>
      </c>
      <c r="U19" s="29" t="s">
        <v>72</v>
      </c>
    </row>
    <row r="20" spans="1:21" ht="22.5" x14ac:dyDescent="0.2">
      <c r="A20" s="1"/>
      <c r="B20" s="1" t="s">
        <v>65</v>
      </c>
      <c r="C20" s="30" t="s">
        <v>87</v>
      </c>
      <c r="D20" s="31"/>
      <c r="E20" s="31"/>
      <c r="F20" s="1" t="s">
        <v>88</v>
      </c>
      <c r="G20" s="28">
        <v>44876</v>
      </c>
      <c r="H20" s="14"/>
      <c r="I20" s="14" t="s">
        <v>89</v>
      </c>
      <c r="J20" s="52">
        <v>45901</v>
      </c>
      <c r="K20" s="31"/>
      <c r="L20" s="52">
        <v>45931</v>
      </c>
      <c r="M20" s="31"/>
      <c r="N20" s="28">
        <v>45906</v>
      </c>
      <c r="O20" s="29" t="s">
        <v>69</v>
      </c>
      <c r="P20" s="15" t="s">
        <v>70</v>
      </c>
      <c r="Q20" s="13">
        <v>41.5</v>
      </c>
      <c r="R20" s="44" t="s">
        <v>75</v>
      </c>
      <c r="S20" s="31"/>
      <c r="T20" s="13">
        <v>3.74</v>
      </c>
      <c r="U20" s="29" t="s">
        <v>72</v>
      </c>
    </row>
    <row r="21" spans="1:21" ht="22.5" x14ac:dyDescent="0.2">
      <c r="A21" s="1"/>
      <c r="B21" s="1" t="s">
        <v>65</v>
      </c>
      <c r="C21" s="30" t="s">
        <v>90</v>
      </c>
      <c r="D21" s="31"/>
      <c r="E21" s="31"/>
      <c r="F21" s="1" t="s">
        <v>91</v>
      </c>
      <c r="G21" s="28">
        <v>45413</v>
      </c>
      <c r="H21" s="14"/>
      <c r="I21" s="14" t="s">
        <v>68</v>
      </c>
      <c r="J21" s="52">
        <v>45901</v>
      </c>
      <c r="K21" s="31"/>
      <c r="L21" s="52">
        <v>45931</v>
      </c>
      <c r="M21" s="31"/>
      <c r="N21" s="28">
        <v>45904</v>
      </c>
      <c r="O21" s="29" t="s">
        <v>69</v>
      </c>
      <c r="P21" s="15" t="s">
        <v>70</v>
      </c>
      <c r="Q21" s="13">
        <v>23.59</v>
      </c>
      <c r="R21" s="44" t="s">
        <v>71</v>
      </c>
      <c r="S21" s="31"/>
      <c r="T21" s="13">
        <v>4.25</v>
      </c>
      <c r="U21" s="29" t="s">
        <v>72</v>
      </c>
    </row>
    <row r="22" spans="1:21" ht="22.5" x14ac:dyDescent="0.2">
      <c r="A22" s="1"/>
      <c r="B22" s="1" t="s">
        <v>65</v>
      </c>
      <c r="C22" s="30" t="s">
        <v>92</v>
      </c>
      <c r="D22" s="31"/>
      <c r="E22" s="31"/>
      <c r="F22" s="1" t="s">
        <v>93</v>
      </c>
      <c r="G22" s="28">
        <v>45170</v>
      </c>
      <c r="H22" s="14"/>
      <c r="I22" s="14" t="s">
        <v>94</v>
      </c>
      <c r="J22" s="52">
        <v>45901</v>
      </c>
      <c r="K22" s="31"/>
      <c r="L22" s="52">
        <v>45931</v>
      </c>
      <c r="M22" s="31"/>
      <c r="N22" s="28">
        <v>45904</v>
      </c>
      <c r="O22" s="29" t="s">
        <v>69</v>
      </c>
      <c r="P22" s="15" t="s">
        <v>70</v>
      </c>
      <c r="Q22" s="13">
        <v>13.28</v>
      </c>
      <c r="R22" s="44" t="s">
        <v>95</v>
      </c>
      <c r="S22" s="31"/>
      <c r="T22" s="13">
        <v>0.93</v>
      </c>
      <c r="U22" s="29" t="s">
        <v>72</v>
      </c>
    </row>
    <row r="23" spans="1:21" ht="22.5" x14ac:dyDescent="0.2">
      <c r="A23" s="1"/>
      <c r="B23" s="1" t="s">
        <v>65</v>
      </c>
      <c r="C23" s="30" t="s">
        <v>96</v>
      </c>
      <c r="D23" s="31"/>
      <c r="E23" s="31"/>
      <c r="F23" s="1" t="s">
        <v>97</v>
      </c>
      <c r="G23" s="28">
        <v>45261</v>
      </c>
      <c r="H23" s="14"/>
      <c r="I23" s="14" t="s">
        <v>74</v>
      </c>
      <c r="J23" s="52">
        <v>45901</v>
      </c>
      <c r="K23" s="31"/>
      <c r="L23" s="52">
        <v>45931</v>
      </c>
      <c r="M23" s="31"/>
      <c r="N23" s="28">
        <v>45904</v>
      </c>
      <c r="O23" s="29" t="s">
        <v>69</v>
      </c>
      <c r="P23" s="15" t="s">
        <v>70</v>
      </c>
      <c r="Q23" s="13">
        <v>15.45</v>
      </c>
      <c r="R23" s="44" t="s">
        <v>75</v>
      </c>
      <c r="S23" s="31"/>
      <c r="T23" s="13">
        <v>1.39</v>
      </c>
      <c r="U23" s="29" t="s">
        <v>72</v>
      </c>
    </row>
    <row r="24" spans="1:21" ht="22.5" x14ac:dyDescent="0.2">
      <c r="A24" s="1"/>
      <c r="B24" s="1" t="s">
        <v>65</v>
      </c>
      <c r="C24" s="30" t="s">
        <v>98</v>
      </c>
      <c r="D24" s="31"/>
      <c r="E24" s="31"/>
      <c r="F24" s="1" t="s">
        <v>97</v>
      </c>
      <c r="G24" s="28">
        <v>45261</v>
      </c>
      <c r="H24" s="14"/>
      <c r="I24" s="14" t="s">
        <v>99</v>
      </c>
      <c r="J24" s="52">
        <v>45901</v>
      </c>
      <c r="K24" s="31"/>
      <c r="L24" s="52">
        <v>45931</v>
      </c>
      <c r="M24" s="31"/>
      <c r="N24" s="28">
        <v>45904</v>
      </c>
      <c r="O24" s="29" t="s">
        <v>69</v>
      </c>
      <c r="P24" s="15" t="s">
        <v>70</v>
      </c>
      <c r="Q24" s="13">
        <v>16.47</v>
      </c>
      <c r="R24" s="44" t="s">
        <v>71</v>
      </c>
      <c r="S24" s="31"/>
      <c r="T24" s="13">
        <v>2.96</v>
      </c>
      <c r="U24" s="29" t="s">
        <v>72</v>
      </c>
    </row>
    <row r="25" spans="1:21" x14ac:dyDescent="0.2">
      <c r="A25" s="36" t="s">
        <v>100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1"/>
      <c r="Q25" s="1"/>
      <c r="R25" s="30"/>
      <c r="S25" s="31"/>
      <c r="T25" s="1"/>
      <c r="U25" s="1"/>
    </row>
    <row r="26" spans="1:21" ht="22.5" x14ac:dyDescent="0.2">
      <c r="A26" s="1"/>
      <c r="B26" s="1" t="s">
        <v>65</v>
      </c>
      <c r="C26" s="30" t="s">
        <v>101</v>
      </c>
      <c r="D26" s="31"/>
      <c r="E26" s="31"/>
      <c r="F26" s="1" t="s">
        <v>102</v>
      </c>
      <c r="G26" s="28">
        <v>44896</v>
      </c>
      <c r="H26" s="14"/>
      <c r="I26" s="14" t="s">
        <v>103</v>
      </c>
      <c r="J26" s="52">
        <v>45901</v>
      </c>
      <c r="K26" s="31"/>
      <c r="L26" s="52">
        <v>45931</v>
      </c>
      <c r="M26" s="31"/>
      <c r="N26" s="28">
        <v>45904</v>
      </c>
      <c r="O26" s="29" t="s">
        <v>69</v>
      </c>
      <c r="P26" s="15" t="s">
        <v>70</v>
      </c>
      <c r="Q26" s="13">
        <v>205.8</v>
      </c>
      <c r="R26" s="44" t="s">
        <v>75</v>
      </c>
      <c r="S26" s="31"/>
      <c r="T26" s="13">
        <v>18.52</v>
      </c>
      <c r="U26" s="29" t="s">
        <v>72</v>
      </c>
    </row>
    <row r="27" spans="1:21" ht="22.5" x14ac:dyDescent="0.2">
      <c r="A27" s="1"/>
      <c r="B27" s="1" t="s">
        <v>65</v>
      </c>
      <c r="C27" s="30" t="s">
        <v>104</v>
      </c>
      <c r="D27" s="31"/>
      <c r="E27" s="31"/>
      <c r="F27" s="1" t="s">
        <v>105</v>
      </c>
      <c r="G27" s="28">
        <v>44927</v>
      </c>
      <c r="H27" s="14"/>
      <c r="I27" s="14" t="s">
        <v>106</v>
      </c>
      <c r="J27" s="52">
        <v>45901</v>
      </c>
      <c r="K27" s="31"/>
      <c r="L27" s="52">
        <v>45931</v>
      </c>
      <c r="M27" s="31"/>
      <c r="N27" s="28">
        <v>45904</v>
      </c>
      <c r="O27" s="29" t="s">
        <v>69</v>
      </c>
      <c r="P27" s="15" t="s">
        <v>70</v>
      </c>
      <c r="Q27" s="13">
        <v>78.2</v>
      </c>
      <c r="R27" s="44" t="s">
        <v>75</v>
      </c>
      <c r="S27" s="31"/>
      <c r="T27" s="13">
        <v>7.04</v>
      </c>
      <c r="U27" s="29" t="s">
        <v>72</v>
      </c>
    </row>
    <row r="28" spans="1:21" ht="22.5" x14ac:dyDescent="0.2">
      <c r="A28" s="1"/>
      <c r="B28" s="1" t="s">
        <v>65</v>
      </c>
      <c r="C28" s="30" t="s">
        <v>107</v>
      </c>
      <c r="D28" s="31"/>
      <c r="E28" s="31"/>
      <c r="F28" s="1" t="s">
        <v>108</v>
      </c>
      <c r="G28" s="28">
        <v>44896</v>
      </c>
      <c r="H28" s="14"/>
      <c r="I28" s="14" t="s">
        <v>109</v>
      </c>
      <c r="J28" s="52">
        <v>45901</v>
      </c>
      <c r="K28" s="31"/>
      <c r="L28" s="52">
        <v>45931</v>
      </c>
      <c r="M28" s="31"/>
      <c r="N28" s="28">
        <v>45904</v>
      </c>
      <c r="O28" s="29" t="s">
        <v>69</v>
      </c>
      <c r="P28" s="15" t="s">
        <v>70</v>
      </c>
      <c r="Q28" s="13">
        <v>212.94</v>
      </c>
      <c r="R28" s="44" t="s">
        <v>71</v>
      </c>
      <c r="S28" s="31"/>
      <c r="T28" s="13">
        <v>38.33</v>
      </c>
      <c r="U28" s="29" t="s">
        <v>72</v>
      </c>
    </row>
    <row r="29" spans="1:21" ht="33.75" x14ac:dyDescent="0.2">
      <c r="A29" s="1"/>
      <c r="B29" s="1" t="s">
        <v>65</v>
      </c>
      <c r="C29" s="30" t="s">
        <v>110</v>
      </c>
      <c r="D29" s="31"/>
      <c r="E29" s="31"/>
      <c r="F29" s="1" t="s">
        <v>111</v>
      </c>
      <c r="G29" s="28">
        <v>44896</v>
      </c>
      <c r="H29" s="14"/>
      <c r="I29" s="14" t="s">
        <v>112</v>
      </c>
      <c r="J29" s="52">
        <v>45901</v>
      </c>
      <c r="K29" s="31"/>
      <c r="L29" s="52">
        <v>45931</v>
      </c>
      <c r="M29" s="31"/>
      <c r="N29" s="28">
        <v>45904</v>
      </c>
      <c r="O29" s="29" t="s">
        <v>69</v>
      </c>
      <c r="P29" s="15" t="s">
        <v>70</v>
      </c>
      <c r="Q29" s="13">
        <v>129.35</v>
      </c>
      <c r="R29" s="44" t="s">
        <v>75</v>
      </c>
      <c r="S29" s="31"/>
      <c r="T29" s="13">
        <v>11.64</v>
      </c>
      <c r="U29" s="29" t="s">
        <v>72</v>
      </c>
    </row>
    <row r="30" spans="1:21" ht="22.5" x14ac:dyDescent="0.2">
      <c r="A30" s="1"/>
      <c r="B30" s="1" t="s">
        <v>65</v>
      </c>
      <c r="C30" s="30" t="s">
        <v>113</v>
      </c>
      <c r="D30" s="31"/>
      <c r="E30" s="31"/>
      <c r="F30" s="1" t="s">
        <v>114</v>
      </c>
      <c r="G30" s="28">
        <v>44835</v>
      </c>
      <c r="H30" s="14"/>
      <c r="I30" s="14" t="s">
        <v>115</v>
      </c>
      <c r="J30" s="52">
        <v>45901</v>
      </c>
      <c r="K30" s="31"/>
      <c r="L30" s="52">
        <v>45931</v>
      </c>
      <c r="M30" s="31"/>
      <c r="N30" s="28">
        <v>45904</v>
      </c>
      <c r="O30" s="29" t="s">
        <v>69</v>
      </c>
      <c r="P30" s="15" t="s">
        <v>70</v>
      </c>
      <c r="Q30" s="13">
        <v>113.5</v>
      </c>
      <c r="R30" s="44" t="s">
        <v>75</v>
      </c>
      <c r="S30" s="31"/>
      <c r="T30" s="13">
        <v>10.220000000000001</v>
      </c>
      <c r="U30" s="29" t="s">
        <v>72</v>
      </c>
    </row>
    <row r="31" spans="1:21" ht="22.5" x14ac:dyDescent="0.2">
      <c r="A31" s="1"/>
      <c r="B31" s="1" t="s">
        <v>65</v>
      </c>
      <c r="C31" s="30" t="s">
        <v>116</v>
      </c>
      <c r="D31" s="31"/>
      <c r="E31" s="31"/>
      <c r="F31" s="1" t="s">
        <v>117</v>
      </c>
      <c r="G31" s="28">
        <v>44896</v>
      </c>
      <c r="H31" s="14"/>
      <c r="I31" s="14" t="s">
        <v>118</v>
      </c>
      <c r="J31" s="52">
        <v>45901</v>
      </c>
      <c r="K31" s="31"/>
      <c r="L31" s="52">
        <v>45931</v>
      </c>
      <c r="M31" s="31"/>
      <c r="N31" s="28">
        <v>45904</v>
      </c>
      <c r="O31" s="29" t="s">
        <v>69</v>
      </c>
      <c r="P31" s="15" t="s">
        <v>70</v>
      </c>
      <c r="Q31" s="13">
        <v>407.69</v>
      </c>
      <c r="R31" s="44" t="s">
        <v>75</v>
      </c>
      <c r="S31" s="31"/>
      <c r="T31" s="13">
        <v>36.69</v>
      </c>
      <c r="U31" s="29" t="s">
        <v>72</v>
      </c>
    </row>
    <row r="32" spans="1:21" ht="22.5" x14ac:dyDescent="0.2">
      <c r="A32" s="1"/>
      <c r="B32" s="1" t="s">
        <v>65</v>
      </c>
      <c r="C32" s="30" t="s">
        <v>119</v>
      </c>
      <c r="D32" s="31"/>
      <c r="E32" s="31"/>
      <c r="F32" s="1" t="s">
        <v>120</v>
      </c>
      <c r="G32" s="28">
        <v>44896</v>
      </c>
      <c r="H32" s="14"/>
      <c r="I32" s="14" t="s">
        <v>81</v>
      </c>
      <c r="J32" s="52">
        <v>45901</v>
      </c>
      <c r="K32" s="31"/>
      <c r="L32" s="52">
        <v>45931</v>
      </c>
      <c r="M32" s="31"/>
      <c r="N32" s="28">
        <v>45904</v>
      </c>
      <c r="O32" s="29" t="s">
        <v>69</v>
      </c>
      <c r="P32" s="15" t="s">
        <v>70</v>
      </c>
      <c r="Q32" s="13">
        <v>16</v>
      </c>
      <c r="R32" s="44" t="s">
        <v>75</v>
      </c>
      <c r="S32" s="31"/>
      <c r="T32" s="13">
        <v>1.44</v>
      </c>
      <c r="U32" s="29" t="s">
        <v>72</v>
      </c>
    </row>
    <row r="33" spans="1:21" ht="22.5" x14ac:dyDescent="0.2">
      <c r="A33" s="1"/>
      <c r="B33" s="1" t="s">
        <v>65</v>
      </c>
      <c r="C33" s="30" t="s">
        <v>121</v>
      </c>
      <c r="D33" s="31"/>
      <c r="E33" s="31"/>
      <c r="F33" s="1" t="s">
        <v>122</v>
      </c>
      <c r="G33" s="28">
        <v>44927</v>
      </c>
      <c r="H33" s="14"/>
      <c r="I33" s="14" t="s">
        <v>123</v>
      </c>
      <c r="J33" s="52">
        <v>45901</v>
      </c>
      <c r="K33" s="31"/>
      <c r="L33" s="52">
        <v>45931</v>
      </c>
      <c r="M33" s="31"/>
      <c r="N33" s="28">
        <v>45904</v>
      </c>
      <c r="O33" s="29" t="s">
        <v>69</v>
      </c>
      <c r="P33" s="15" t="s">
        <v>70</v>
      </c>
      <c r="Q33" s="13">
        <v>67.03</v>
      </c>
      <c r="R33" s="44" t="s">
        <v>75</v>
      </c>
      <c r="S33" s="31"/>
      <c r="T33" s="13">
        <v>6.03</v>
      </c>
      <c r="U33" s="29" t="s">
        <v>72</v>
      </c>
    </row>
    <row r="34" spans="1:21" ht="22.5" x14ac:dyDescent="0.2">
      <c r="A34" s="1"/>
      <c r="B34" s="1" t="s">
        <v>65</v>
      </c>
      <c r="C34" s="30" t="s">
        <v>124</v>
      </c>
      <c r="D34" s="31"/>
      <c r="E34" s="31"/>
      <c r="F34" s="1" t="s">
        <v>125</v>
      </c>
      <c r="G34" s="28">
        <v>44927</v>
      </c>
      <c r="H34" s="14"/>
      <c r="I34" s="14" t="s">
        <v>115</v>
      </c>
      <c r="J34" s="52">
        <v>45901</v>
      </c>
      <c r="K34" s="31"/>
      <c r="L34" s="52">
        <v>45931</v>
      </c>
      <c r="M34" s="31"/>
      <c r="N34" s="28">
        <v>45904</v>
      </c>
      <c r="O34" s="29" t="s">
        <v>69</v>
      </c>
      <c r="P34" s="15" t="s">
        <v>70</v>
      </c>
      <c r="Q34" s="13">
        <v>165.5</v>
      </c>
      <c r="R34" s="44" t="s">
        <v>75</v>
      </c>
      <c r="S34" s="31"/>
      <c r="T34" s="13">
        <v>14.9</v>
      </c>
      <c r="U34" s="29" t="s">
        <v>72</v>
      </c>
    </row>
    <row r="35" spans="1:21" ht="22.5" x14ac:dyDescent="0.2">
      <c r="A35" s="1"/>
      <c r="B35" s="1" t="s">
        <v>65</v>
      </c>
      <c r="C35" s="30" t="s">
        <v>126</v>
      </c>
      <c r="D35" s="31"/>
      <c r="E35" s="31"/>
      <c r="F35" s="1" t="s">
        <v>127</v>
      </c>
      <c r="G35" s="28">
        <v>44835</v>
      </c>
      <c r="H35" s="14"/>
      <c r="I35" s="14" t="s">
        <v>128</v>
      </c>
      <c r="J35" s="52">
        <v>45901</v>
      </c>
      <c r="K35" s="31"/>
      <c r="L35" s="52">
        <v>45931</v>
      </c>
      <c r="M35" s="31"/>
      <c r="N35" s="28">
        <v>45904</v>
      </c>
      <c r="O35" s="29" t="s">
        <v>69</v>
      </c>
      <c r="P35" s="15" t="s">
        <v>70</v>
      </c>
      <c r="Q35" s="13">
        <v>77.8</v>
      </c>
      <c r="R35" s="44" t="s">
        <v>75</v>
      </c>
      <c r="S35" s="31"/>
      <c r="T35" s="13">
        <v>7</v>
      </c>
      <c r="U35" s="29" t="s">
        <v>72</v>
      </c>
    </row>
    <row r="36" spans="1:21" ht="33.75" x14ac:dyDescent="0.2">
      <c r="A36" s="1"/>
      <c r="B36" s="1" t="s">
        <v>65</v>
      </c>
      <c r="C36" s="30" t="s">
        <v>129</v>
      </c>
      <c r="D36" s="31"/>
      <c r="E36" s="31"/>
      <c r="F36" s="1" t="s">
        <v>130</v>
      </c>
      <c r="G36" s="28">
        <v>44930</v>
      </c>
      <c r="H36" s="14"/>
      <c r="I36" s="14" t="s">
        <v>81</v>
      </c>
      <c r="J36" s="52">
        <v>45901</v>
      </c>
      <c r="K36" s="31"/>
      <c r="L36" s="52">
        <v>45931</v>
      </c>
      <c r="M36" s="31"/>
      <c r="N36" s="28">
        <v>45906</v>
      </c>
      <c r="O36" s="29" t="s">
        <v>69</v>
      </c>
      <c r="P36" s="15" t="s">
        <v>70</v>
      </c>
      <c r="Q36" s="13">
        <v>9</v>
      </c>
      <c r="R36" s="44" t="s">
        <v>75</v>
      </c>
      <c r="S36" s="31"/>
      <c r="T36" s="13">
        <v>0.81</v>
      </c>
      <c r="U36" s="29" t="s">
        <v>72</v>
      </c>
    </row>
    <row r="37" spans="1:21" ht="22.5" x14ac:dyDescent="0.2">
      <c r="A37" s="1"/>
      <c r="B37" s="1" t="s">
        <v>65</v>
      </c>
      <c r="C37" s="30" t="s">
        <v>131</v>
      </c>
      <c r="D37" s="31"/>
      <c r="E37" s="31"/>
      <c r="F37" s="1" t="s">
        <v>132</v>
      </c>
      <c r="G37" s="28">
        <v>44927</v>
      </c>
      <c r="H37" s="14"/>
      <c r="I37" s="14" t="s">
        <v>128</v>
      </c>
      <c r="J37" s="52">
        <v>45901</v>
      </c>
      <c r="K37" s="31"/>
      <c r="L37" s="52">
        <v>45931</v>
      </c>
      <c r="M37" s="31"/>
      <c r="N37" s="28">
        <v>45904</v>
      </c>
      <c r="O37" s="29" t="s">
        <v>69</v>
      </c>
      <c r="P37" s="15" t="s">
        <v>70</v>
      </c>
      <c r="Q37" s="13">
        <v>90.85</v>
      </c>
      <c r="R37" s="44" t="s">
        <v>75</v>
      </c>
      <c r="S37" s="31"/>
      <c r="T37" s="13">
        <v>8.18</v>
      </c>
      <c r="U37" s="29" t="s">
        <v>72</v>
      </c>
    </row>
    <row r="38" spans="1:21" ht="22.5" x14ac:dyDescent="0.2">
      <c r="A38" s="1"/>
      <c r="B38" s="1" t="s">
        <v>65</v>
      </c>
      <c r="C38" s="30" t="s">
        <v>133</v>
      </c>
      <c r="D38" s="31"/>
      <c r="E38" s="31"/>
      <c r="F38" s="1" t="s">
        <v>134</v>
      </c>
      <c r="G38" s="28">
        <v>44958</v>
      </c>
      <c r="H38" s="14"/>
      <c r="I38" s="14" t="s">
        <v>135</v>
      </c>
      <c r="J38" s="52">
        <v>45901</v>
      </c>
      <c r="K38" s="31"/>
      <c r="L38" s="52">
        <v>45931</v>
      </c>
      <c r="M38" s="31"/>
      <c r="N38" s="28">
        <v>45904</v>
      </c>
      <c r="O38" s="29" t="s">
        <v>69</v>
      </c>
      <c r="P38" s="15" t="s">
        <v>70</v>
      </c>
      <c r="Q38" s="13">
        <v>44</v>
      </c>
      <c r="R38" s="44" t="s">
        <v>75</v>
      </c>
      <c r="S38" s="31"/>
      <c r="T38" s="13">
        <v>3.96</v>
      </c>
      <c r="U38" s="29" t="s">
        <v>72</v>
      </c>
    </row>
    <row r="39" spans="1:21" ht="22.5" x14ac:dyDescent="0.2">
      <c r="A39" s="1"/>
      <c r="B39" s="1" t="s">
        <v>65</v>
      </c>
      <c r="C39" s="30" t="s">
        <v>136</v>
      </c>
      <c r="D39" s="31"/>
      <c r="E39" s="31"/>
      <c r="F39" s="1" t="s">
        <v>137</v>
      </c>
      <c r="G39" s="28">
        <v>44958</v>
      </c>
      <c r="H39" s="14"/>
      <c r="I39" s="14" t="s">
        <v>138</v>
      </c>
      <c r="J39" s="52">
        <v>45901</v>
      </c>
      <c r="K39" s="31"/>
      <c r="L39" s="52">
        <v>45931</v>
      </c>
      <c r="M39" s="31"/>
      <c r="N39" s="28">
        <v>45904</v>
      </c>
      <c r="O39" s="29" t="s">
        <v>69</v>
      </c>
      <c r="P39" s="15" t="s">
        <v>70</v>
      </c>
      <c r="Q39" s="13">
        <v>97.06</v>
      </c>
      <c r="R39" s="44" t="s">
        <v>75</v>
      </c>
      <c r="S39" s="31"/>
      <c r="T39" s="13">
        <v>8.74</v>
      </c>
      <c r="U39" s="29" t="s">
        <v>72</v>
      </c>
    </row>
    <row r="40" spans="1:21" ht="22.5" x14ac:dyDescent="0.2">
      <c r="A40" s="1"/>
      <c r="B40" s="1" t="s">
        <v>65</v>
      </c>
      <c r="C40" s="30" t="s">
        <v>139</v>
      </c>
      <c r="D40" s="31"/>
      <c r="E40" s="31"/>
      <c r="F40" s="1" t="s">
        <v>140</v>
      </c>
      <c r="G40" s="28">
        <v>44927</v>
      </c>
      <c r="H40" s="14"/>
      <c r="I40" s="14" t="s">
        <v>138</v>
      </c>
      <c r="J40" s="52">
        <v>45901</v>
      </c>
      <c r="K40" s="31"/>
      <c r="L40" s="52">
        <v>45931</v>
      </c>
      <c r="M40" s="31"/>
      <c r="N40" s="28">
        <v>45904</v>
      </c>
      <c r="O40" s="29" t="s">
        <v>69</v>
      </c>
      <c r="P40" s="15" t="s">
        <v>70</v>
      </c>
      <c r="Q40" s="13">
        <v>50</v>
      </c>
      <c r="R40" s="44" t="s">
        <v>75</v>
      </c>
      <c r="S40" s="31"/>
      <c r="T40" s="13">
        <v>4.5</v>
      </c>
      <c r="U40" s="29" t="s">
        <v>72</v>
      </c>
    </row>
    <row r="41" spans="1:21" ht="22.5" x14ac:dyDescent="0.2">
      <c r="A41" s="1"/>
      <c r="B41" s="1" t="s">
        <v>65</v>
      </c>
      <c r="C41" s="30" t="s">
        <v>141</v>
      </c>
      <c r="D41" s="31"/>
      <c r="E41" s="31"/>
      <c r="F41" s="1" t="s">
        <v>142</v>
      </c>
      <c r="G41" s="28">
        <v>44986</v>
      </c>
      <c r="H41" s="14"/>
      <c r="I41" s="14" t="s">
        <v>128</v>
      </c>
      <c r="J41" s="52">
        <v>45901</v>
      </c>
      <c r="K41" s="31"/>
      <c r="L41" s="52">
        <v>45931</v>
      </c>
      <c r="M41" s="31"/>
      <c r="N41" s="28">
        <v>45904</v>
      </c>
      <c r="O41" s="29" t="s">
        <v>69</v>
      </c>
      <c r="P41" s="15" t="s">
        <v>70</v>
      </c>
      <c r="Q41" s="13">
        <v>52.3</v>
      </c>
      <c r="R41" s="44" t="s">
        <v>75</v>
      </c>
      <c r="S41" s="31"/>
      <c r="T41" s="13">
        <v>4.71</v>
      </c>
      <c r="U41" s="29" t="s">
        <v>72</v>
      </c>
    </row>
    <row r="42" spans="1:21" ht="22.5" x14ac:dyDescent="0.2">
      <c r="A42" s="1"/>
      <c r="B42" s="1" t="s">
        <v>65</v>
      </c>
      <c r="C42" s="30" t="s">
        <v>143</v>
      </c>
      <c r="D42" s="31"/>
      <c r="E42" s="31"/>
      <c r="F42" s="1" t="s">
        <v>144</v>
      </c>
      <c r="G42" s="28">
        <v>44927</v>
      </c>
      <c r="H42" s="14"/>
      <c r="I42" s="14" t="s">
        <v>103</v>
      </c>
      <c r="J42" s="52">
        <v>45901</v>
      </c>
      <c r="K42" s="31"/>
      <c r="L42" s="52">
        <v>45931</v>
      </c>
      <c r="M42" s="31"/>
      <c r="N42" s="28">
        <v>45904</v>
      </c>
      <c r="O42" s="29" t="s">
        <v>69</v>
      </c>
      <c r="P42" s="15" t="s">
        <v>70</v>
      </c>
      <c r="Q42" s="13">
        <v>125.5</v>
      </c>
      <c r="R42" s="44" t="s">
        <v>75</v>
      </c>
      <c r="S42" s="31"/>
      <c r="T42" s="13">
        <v>11.3</v>
      </c>
      <c r="U42" s="29" t="s">
        <v>72</v>
      </c>
    </row>
    <row r="43" spans="1:21" ht="22.5" x14ac:dyDescent="0.2">
      <c r="A43" s="1"/>
      <c r="B43" s="1" t="s">
        <v>65</v>
      </c>
      <c r="C43" s="30" t="s">
        <v>145</v>
      </c>
      <c r="D43" s="31"/>
      <c r="E43" s="31"/>
      <c r="F43" s="1" t="s">
        <v>146</v>
      </c>
      <c r="G43" s="28">
        <v>44958</v>
      </c>
      <c r="H43" s="14"/>
      <c r="I43" s="14" t="s">
        <v>147</v>
      </c>
      <c r="J43" s="52">
        <v>45901</v>
      </c>
      <c r="K43" s="31"/>
      <c r="L43" s="52">
        <v>45931</v>
      </c>
      <c r="M43" s="31"/>
      <c r="N43" s="28">
        <v>45904</v>
      </c>
      <c r="O43" s="29" t="s">
        <v>69</v>
      </c>
      <c r="P43" s="15" t="s">
        <v>70</v>
      </c>
      <c r="Q43" s="13">
        <v>221</v>
      </c>
      <c r="R43" s="44" t="s">
        <v>75</v>
      </c>
      <c r="S43" s="31"/>
      <c r="T43" s="13">
        <v>19.89</v>
      </c>
      <c r="U43" s="29" t="s">
        <v>72</v>
      </c>
    </row>
    <row r="44" spans="1:21" ht="22.5" x14ac:dyDescent="0.2">
      <c r="A44" s="1"/>
      <c r="B44" s="1" t="s">
        <v>65</v>
      </c>
      <c r="C44" s="30" t="s">
        <v>148</v>
      </c>
      <c r="D44" s="31"/>
      <c r="E44" s="31"/>
      <c r="F44" s="1" t="s">
        <v>149</v>
      </c>
      <c r="G44" s="28">
        <v>44958</v>
      </c>
      <c r="H44" s="14"/>
      <c r="I44" s="14" t="s">
        <v>128</v>
      </c>
      <c r="J44" s="52">
        <v>45901</v>
      </c>
      <c r="K44" s="31"/>
      <c r="L44" s="52">
        <v>45931</v>
      </c>
      <c r="M44" s="31"/>
      <c r="N44" s="28">
        <v>45904</v>
      </c>
      <c r="O44" s="29" t="s">
        <v>69</v>
      </c>
      <c r="P44" s="15" t="s">
        <v>70</v>
      </c>
      <c r="Q44" s="13">
        <v>72.150000000000006</v>
      </c>
      <c r="R44" s="44" t="s">
        <v>75</v>
      </c>
      <c r="S44" s="31"/>
      <c r="T44" s="13">
        <v>6.49</v>
      </c>
      <c r="U44" s="29" t="s">
        <v>72</v>
      </c>
    </row>
    <row r="45" spans="1:21" ht="22.5" x14ac:dyDescent="0.2">
      <c r="A45" s="1"/>
      <c r="B45" s="1" t="s">
        <v>65</v>
      </c>
      <c r="C45" s="30" t="s">
        <v>150</v>
      </c>
      <c r="D45" s="31"/>
      <c r="E45" s="31"/>
      <c r="F45" s="1" t="s">
        <v>151</v>
      </c>
      <c r="G45" s="28">
        <v>44927</v>
      </c>
      <c r="H45" s="14"/>
      <c r="I45" s="14" t="s">
        <v>138</v>
      </c>
      <c r="J45" s="52">
        <v>45901</v>
      </c>
      <c r="K45" s="31"/>
      <c r="L45" s="52">
        <v>45931</v>
      </c>
      <c r="M45" s="31"/>
      <c r="N45" s="28">
        <v>45904</v>
      </c>
      <c r="O45" s="29" t="s">
        <v>69</v>
      </c>
      <c r="P45" s="15" t="s">
        <v>70</v>
      </c>
      <c r="Q45" s="13">
        <v>325.58999999999997</v>
      </c>
      <c r="R45" s="44" t="s">
        <v>75</v>
      </c>
      <c r="S45" s="31"/>
      <c r="T45" s="13">
        <v>29.3</v>
      </c>
      <c r="U45" s="29" t="s">
        <v>72</v>
      </c>
    </row>
    <row r="46" spans="1:21" x14ac:dyDescent="0.2">
      <c r="A46" s="36" t="s">
        <v>152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1"/>
      <c r="Q46" s="1"/>
      <c r="R46" s="30"/>
      <c r="S46" s="31"/>
      <c r="T46" s="1"/>
      <c r="U46" s="1"/>
    </row>
    <row r="47" spans="1:21" ht="22.5" x14ac:dyDescent="0.2">
      <c r="A47" s="1"/>
      <c r="B47" s="1" t="s">
        <v>65</v>
      </c>
      <c r="C47" s="30" t="s">
        <v>153</v>
      </c>
      <c r="D47" s="31"/>
      <c r="E47" s="31"/>
      <c r="F47" s="1" t="s">
        <v>154</v>
      </c>
      <c r="G47" s="28">
        <v>45383</v>
      </c>
      <c r="H47" s="14"/>
      <c r="I47" s="14" t="s">
        <v>155</v>
      </c>
      <c r="J47" s="52">
        <v>45901</v>
      </c>
      <c r="K47" s="31"/>
      <c r="L47" s="52">
        <v>45931</v>
      </c>
      <c r="M47" s="31"/>
      <c r="N47" s="28">
        <v>45904</v>
      </c>
      <c r="O47" s="29" t="s">
        <v>69</v>
      </c>
      <c r="P47" s="15" t="s">
        <v>70</v>
      </c>
      <c r="Q47" s="13">
        <v>39.06</v>
      </c>
      <c r="R47" s="44" t="s">
        <v>95</v>
      </c>
      <c r="S47" s="31"/>
      <c r="T47" s="13">
        <v>2.73</v>
      </c>
      <c r="U47" s="29" t="s">
        <v>72</v>
      </c>
    </row>
    <row r="48" spans="1:21" ht="22.5" x14ac:dyDescent="0.2">
      <c r="A48" s="1"/>
      <c r="B48" s="1" t="s">
        <v>65</v>
      </c>
      <c r="C48" s="30" t="s">
        <v>156</v>
      </c>
      <c r="D48" s="31"/>
      <c r="E48" s="31"/>
      <c r="F48" s="1" t="s">
        <v>154</v>
      </c>
      <c r="G48" s="28">
        <v>45383</v>
      </c>
      <c r="H48" s="14"/>
      <c r="I48" s="14" t="s">
        <v>157</v>
      </c>
      <c r="J48" s="52">
        <v>45901</v>
      </c>
      <c r="K48" s="31"/>
      <c r="L48" s="52">
        <v>45931</v>
      </c>
      <c r="M48" s="31"/>
      <c r="N48" s="28">
        <v>45904</v>
      </c>
      <c r="O48" s="29" t="s">
        <v>69</v>
      </c>
      <c r="P48" s="15" t="s">
        <v>70</v>
      </c>
      <c r="Q48" s="13">
        <v>28.37</v>
      </c>
      <c r="R48" s="44" t="s">
        <v>71</v>
      </c>
      <c r="S48" s="31"/>
      <c r="T48" s="13">
        <v>5.1100000000000003</v>
      </c>
      <c r="U48" s="29" t="s">
        <v>72</v>
      </c>
    </row>
    <row r="49" spans="1:21" ht="22.5" x14ac:dyDescent="0.2">
      <c r="A49" s="1"/>
      <c r="B49" s="1" t="s">
        <v>65</v>
      </c>
      <c r="C49" s="30" t="s">
        <v>158</v>
      </c>
      <c r="D49" s="31"/>
      <c r="E49" s="31"/>
      <c r="F49" s="1" t="s">
        <v>159</v>
      </c>
      <c r="G49" s="28">
        <v>45170</v>
      </c>
      <c r="H49" s="14"/>
      <c r="I49" s="14" t="s">
        <v>160</v>
      </c>
      <c r="J49" s="52">
        <v>45901</v>
      </c>
      <c r="K49" s="31"/>
      <c r="L49" s="52">
        <v>45931</v>
      </c>
      <c r="M49" s="31"/>
      <c r="N49" s="28">
        <v>45904</v>
      </c>
      <c r="O49" s="29" t="s">
        <v>69</v>
      </c>
      <c r="P49" s="15" t="s">
        <v>70</v>
      </c>
      <c r="Q49" s="13">
        <v>37.15</v>
      </c>
      <c r="R49" s="44" t="s">
        <v>161</v>
      </c>
      <c r="S49" s="31"/>
      <c r="T49" s="13">
        <v>1.67</v>
      </c>
      <c r="U49" s="29" t="s">
        <v>72</v>
      </c>
    </row>
    <row r="50" spans="1:21" ht="22.5" x14ac:dyDescent="0.2">
      <c r="A50" s="1"/>
      <c r="B50" s="1" t="s">
        <v>65</v>
      </c>
      <c r="C50" s="30" t="s">
        <v>162</v>
      </c>
      <c r="D50" s="31"/>
      <c r="E50" s="31"/>
      <c r="F50" s="1" t="s">
        <v>159</v>
      </c>
      <c r="G50" s="28">
        <v>45170</v>
      </c>
      <c r="H50" s="14"/>
      <c r="I50" s="14" t="s">
        <v>157</v>
      </c>
      <c r="J50" s="52">
        <v>45901</v>
      </c>
      <c r="K50" s="31"/>
      <c r="L50" s="52">
        <v>45931</v>
      </c>
      <c r="M50" s="31"/>
      <c r="N50" s="28">
        <v>45904</v>
      </c>
      <c r="O50" s="29" t="s">
        <v>69</v>
      </c>
      <c r="P50" s="15" t="s">
        <v>70</v>
      </c>
      <c r="Q50" s="13">
        <v>42.1</v>
      </c>
      <c r="R50" s="44" t="s">
        <v>71</v>
      </c>
      <c r="S50" s="31"/>
      <c r="T50" s="13">
        <v>7.58</v>
      </c>
      <c r="U50" s="29" t="s">
        <v>72</v>
      </c>
    </row>
    <row r="51" spans="1:21" ht="22.5" x14ac:dyDescent="0.2">
      <c r="A51" s="1"/>
      <c r="B51" s="1" t="s">
        <v>65</v>
      </c>
      <c r="C51" s="30" t="s">
        <v>163</v>
      </c>
      <c r="D51" s="31"/>
      <c r="E51" s="31"/>
      <c r="F51" s="1" t="s">
        <v>164</v>
      </c>
      <c r="G51" s="28">
        <v>45292</v>
      </c>
      <c r="H51" s="14"/>
      <c r="I51" s="14" t="s">
        <v>78</v>
      </c>
      <c r="J51" s="52">
        <v>45901</v>
      </c>
      <c r="K51" s="31"/>
      <c r="L51" s="52">
        <v>45931</v>
      </c>
      <c r="M51" s="31"/>
      <c r="N51" s="28">
        <v>45904</v>
      </c>
      <c r="O51" s="29" t="s">
        <v>69</v>
      </c>
      <c r="P51" s="15" t="s">
        <v>70</v>
      </c>
      <c r="Q51" s="13">
        <v>15</v>
      </c>
      <c r="R51" s="44" t="s">
        <v>75</v>
      </c>
      <c r="S51" s="31"/>
      <c r="T51" s="13">
        <v>1.35</v>
      </c>
      <c r="U51" s="29" t="s">
        <v>72</v>
      </c>
    </row>
    <row r="52" spans="1:21" ht="22.5" x14ac:dyDescent="0.2">
      <c r="A52" s="1"/>
      <c r="B52" s="1" t="s">
        <v>65</v>
      </c>
      <c r="C52" s="30" t="s">
        <v>165</v>
      </c>
      <c r="D52" s="31"/>
      <c r="E52" s="31"/>
      <c r="F52" s="1" t="s">
        <v>164</v>
      </c>
      <c r="G52" s="28">
        <v>45292</v>
      </c>
      <c r="H52" s="14"/>
      <c r="I52" s="14" t="s">
        <v>166</v>
      </c>
      <c r="J52" s="52">
        <v>45901</v>
      </c>
      <c r="K52" s="31"/>
      <c r="L52" s="52">
        <v>45931</v>
      </c>
      <c r="M52" s="31"/>
      <c r="N52" s="28">
        <v>45904</v>
      </c>
      <c r="O52" s="29" t="s">
        <v>69</v>
      </c>
      <c r="P52" s="15" t="s">
        <v>70</v>
      </c>
      <c r="Q52" s="13">
        <v>52.29</v>
      </c>
      <c r="R52" s="44" t="s">
        <v>71</v>
      </c>
      <c r="S52" s="31"/>
      <c r="T52" s="13">
        <v>9.41</v>
      </c>
      <c r="U52" s="29" t="s">
        <v>72</v>
      </c>
    </row>
    <row r="53" spans="1:21" ht="22.5" x14ac:dyDescent="0.2">
      <c r="A53" s="1"/>
      <c r="B53" s="1" t="s">
        <v>65</v>
      </c>
      <c r="C53" s="30" t="s">
        <v>167</v>
      </c>
      <c r="D53" s="31"/>
      <c r="E53" s="31"/>
      <c r="F53" s="1" t="s">
        <v>168</v>
      </c>
      <c r="G53" s="28">
        <v>45139</v>
      </c>
      <c r="H53" s="14"/>
      <c r="I53" s="14" t="s">
        <v>155</v>
      </c>
      <c r="J53" s="52">
        <v>45901</v>
      </c>
      <c r="K53" s="31"/>
      <c r="L53" s="52">
        <v>45931</v>
      </c>
      <c r="M53" s="31"/>
      <c r="N53" s="28">
        <v>45904</v>
      </c>
      <c r="O53" s="29" t="s">
        <v>69</v>
      </c>
      <c r="P53" s="15" t="s">
        <v>70</v>
      </c>
      <c r="Q53" s="13">
        <v>39.06</v>
      </c>
      <c r="R53" s="44" t="s">
        <v>95</v>
      </c>
      <c r="S53" s="31"/>
      <c r="T53" s="13">
        <v>2.73</v>
      </c>
      <c r="U53" s="29" t="s">
        <v>72</v>
      </c>
    </row>
    <row r="54" spans="1:21" ht="22.5" x14ac:dyDescent="0.2">
      <c r="A54" s="1"/>
      <c r="B54" s="1" t="s">
        <v>65</v>
      </c>
      <c r="C54" s="30" t="s">
        <v>169</v>
      </c>
      <c r="D54" s="31"/>
      <c r="E54" s="31"/>
      <c r="F54" s="1" t="s">
        <v>168</v>
      </c>
      <c r="G54" s="28">
        <v>45139</v>
      </c>
      <c r="H54" s="14"/>
      <c r="I54" s="14" t="s">
        <v>157</v>
      </c>
      <c r="J54" s="52">
        <v>45901</v>
      </c>
      <c r="K54" s="31"/>
      <c r="L54" s="52">
        <v>45931</v>
      </c>
      <c r="M54" s="31"/>
      <c r="N54" s="28">
        <v>45904</v>
      </c>
      <c r="O54" s="29" t="s">
        <v>69</v>
      </c>
      <c r="P54" s="15" t="s">
        <v>70</v>
      </c>
      <c r="Q54" s="13">
        <v>48.9</v>
      </c>
      <c r="R54" s="44" t="s">
        <v>71</v>
      </c>
      <c r="S54" s="31"/>
      <c r="T54" s="13">
        <v>8.8000000000000007</v>
      </c>
      <c r="U54" s="29" t="s">
        <v>72</v>
      </c>
    </row>
    <row r="55" spans="1:21" ht="22.5" x14ac:dyDescent="0.2">
      <c r="A55" s="1"/>
      <c r="B55" s="1" t="s">
        <v>65</v>
      </c>
      <c r="C55" s="30" t="s">
        <v>170</v>
      </c>
      <c r="D55" s="31"/>
      <c r="E55" s="31"/>
      <c r="F55" s="1" t="s">
        <v>171</v>
      </c>
      <c r="G55" s="28">
        <v>45017</v>
      </c>
      <c r="H55" s="14"/>
      <c r="I55" s="14" t="s">
        <v>157</v>
      </c>
      <c r="J55" s="52">
        <v>45901</v>
      </c>
      <c r="K55" s="31"/>
      <c r="L55" s="52">
        <v>45931</v>
      </c>
      <c r="M55" s="31"/>
      <c r="N55" s="28">
        <v>45904</v>
      </c>
      <c r="O55" s="29" t="s">
        <v>69</v>
      </c>
      <c r="P55" s="15" t="s">
        <v>70</v>
      </c>
      <c r="Q55" s="13">
        <v>106.93</v>
      </c>
      <c r="R55" s="44" t="s">
        <v>172</v>
      </c>
      <c r="S55" s="31"/>
      <c r="T55" s="13">
        <v>6.42</v>
      </c>
      <c r="U55" s="29" t="s">
        <v>72</v>
      </c>
    </row>
    <row r="56" spans="1:21" ht="22.5" x14ac:dyDescent="0.2">
      <c r="A56" s="1"/>
      <c r="B56" s="1" t="s">
        <v>65</v>
      </c>
      <c r="C56" s="30" t="s">
        <v>173</v>
      </c>
      <c r="D56" s="31"/>
      <c r="E56" s="31"/>
      <c r="F56" s="1" t="s">
        <v>174</v>
      </c>
      <c r="G56" s="28">
        <v>45200</v>
      </c>
      <c r="H56" s="14"/>
      <c r="I56" s="14" t="s">
        <v>175</v>
      </c>
      <c r="J56" s="52">
        <v>45901</v>
      </c>
      <c r="K56" s="31"/>
      <c r="L56" s="52">
        <v>45931</v>
      </c>
      <c r="M56" s="31"/>
      <c r="N56" s="28">
        <v>45904</v>
      </c>
      <c r="O56" s="29" t="s">
        <v>69</v>
      </c>
      <c r="P56" s="15" t="s">
        <v>70</v>
      </c>
      <c r="Q56" s="13">
        <v>37.96</v>
      </c>
      <c r="R56" s="44" t="s">
        <v>161</v>
      </c>
      <c r="S56" s="31"/>
      <c r="T56" s="13">
        <v>1.71</v>
      </c>
      <c r="U56" s="29" t="s">
        <v>72</v>
      </c>
    </row>
    <row r="57" spans="1:21" ht="22.5" x14ac:dyDescent="0.2">
      <c r="A57" s="1"/>
      <c r="B57" s="1" t="s">
        <v>65</v>
      </c>
      <c r="C57" s="30" t="s">
        <v>176</v>
      </c>
      <c r="D57" s="31"/>
      <c r="E57" s="31"/>
      <c r="F57" s="1" t="s">
        <v>174</v>
      </c>
      <c r="G57" s="28">
        <v>45200</v>
      </c>
      <c r="H57" s="14"/>
      <c r="I57" s="14" t="s">
        <v>157</v>
      </c>
      <c r="J57" s="52">
        <v>45901</v>
      </c>
      <c r="K57" s="31"/>
      <c r="L57" s="52">
        <v>45931</v>
      </c>
      <c r="M57" s="31"/>
      <c r="N57" s="28">
        <v>45904</v>
      </c>
      <c r="O57" s="29" t="s">
        <v>69</v>
      </c>
      <c r="P57" s="15" t="s">
        <v>70</v>
      </c>
      <c r="Q57" s="13">
        <v>31.04</v>
      </c>
      <c r="R57" s="44" t="s">
        <v>75</v>
      </c>
      <c r="S57" s="31"/>
      <c r="T57" s="13">
        <v>2.79</v>
      </c>
      <c r="U57" s="29" t="s">
        <v>72</v>
      </c>
    </row>
    <row r="58" spans="1:21" ht="22.5" x14ac:dyDescent="0.2">
      <c r="A58" s="1"/>
      <c r="B58" s="1" t="s">
        <v>65</v>
      </c>
      <c r="C58" s="30" t="s">
        <v>177</v>
      </c>
      <c r="D58" s="31"/>
      <c r="E58" s="31"/>
      <c r="F58" s="1" t="s">
        <v>178</v>
      </c>
      <c r="G58" s="28">
        <v>45200</v>
      </c>
      <c r="H58" s="14"/>
      <c r="I58" s="14" t="s">
        <v>175</v>
      </c>
      <c r="J58" s="52">
        <v>45901</v>
      </c>
      <c r="K58" s="31"/>
      <c r="L58" s="52">
        <v>45931</v>
      </c>
      <c r="M58" s="31"/>
      <c r="N58" s="28">
        <v>45904</v>
      </c>
      <c r="O58" s="29" t="s">
        <v>69</v>
      </c>
      <c r="P58" s="15" t="s">
        <v>70</v>
      </c>
      <c r="Q58" s="13">
        <v>30.03</v>
      </c>
      <c r="R58" s="44" t="s">
        <v>161</v>
      </c>
      <c r="S58" s="31"/>
      <c r="T58" s="13">
        <v>1.35</v>
      </c>
      <c r="U58" s="29" t="s">
        <v>72</v>
      </c>
    </row>
    <row r="59" spans="1:21" ht="22.5" x14ac:dyDescent="0.2">
      <c r="A59" s="1"/>
      <c r="B59" s="1" t="s">
        <v>65</v>
      </c>
      <c r="C59" s="30" t="s">
        <v>179</v>
      </c>
      <c r="D59" s="31"/>
      <c r="E59" s="31"/>
      <c r="F59" s="1" t="s">
        <v>178</v>
      </c>
      <c r="G59" s="28">
        <v>45200</v>
      </c>
      <c r="H59" s="14"/>
      <c r="I59" s="14" t="s">
        <v>157</v>
      </c>
      <c r="J59" s="52">
        <v>45901</v>
      </c>
      <c r="K59" s="31"/>
      <c r="L59" s="52">
        <v>45931</v>
      </c>
      <c r="M59" s="31"/>
      <c r="N59" s="28">
        <v>45904</v>
      </c>
      <c r="O59" s="29" t="s">
        <v>69</v>
      </c>
      <c r="P59" s="15" t="s">
        <v>70</v>
      </c>
      <c r="Q59" s="13">
        <v>45.4</v>
      </c>
      <c r="R59" s="44" t="s">
        <v>71</v>
      </c>
      <c r="S59" s="31"/>
      <c r="T59" s="13">
        <v>8.17</v>
      </c>
      <c r="U59" s="29" t="s">
        <v>72</v>
      </c>
    </row>
    <row r="60" spans="1:21" ht="22.5" x14ac:dyDescent="0.2">
      <c r="A60" s="1"/>
      <c r="B60" s="1" t="s">
        <v>65</v>
      </c>
      <c r="C60" s="30" t="s">
        <v>180</v>
      </c>
      <c r="D60" s="31"/>
      <c r="E60" s="31"/>
      <c r="F60" s="1" t="s">
        <v>181</v>
      </c>
      <c r="G60" s="28">
        <v>45292</v>
      </c>
      <c r="H60" s="14"/>
      <c r="I60" s="14" t="s">
        <v>78</v>
      </c>
      <c r="J60" s="52">
        <v>45901</v>
      </c>
      <c r="K60" s="31"/>
      <c r="L60" s="52">
        <v>45931</v>
      </c>
      <c r="M60" s="31"/>
      <c r="N60" s="28">
        <v>45904</v>
      </c>
      <c r="O60" s="29" t="s">
        <v>69</v>
      </c>
      <c r="P60" s="15" t="s">
        <v>70</v>
      </c>
      <c r="Q60" s="13">
        <v>10.8</v>
      </c>
      <c r="R60" s="44" t="s">
        <v>75</v>
      </c>
      <c r="S60" s="31"/>
      <c r="T60" s="13">
        <v>0.97</v>
      </c>
      <c r="U60" s="29" t="s">
        <v>72</v>
      </c>
    </row>
    <row r="61" spans="1:21" ht="22.5" x14ac:dyDescent="0.2">
      <c r="A61" s="1"/>
      <c r="B61" s="1" t="s">
        <v>65</v>
      </c>
      <c r="C61" s="30" t="s">
        <v>182</v>
      </c>
      <c r="D61" s="31"/>
      <c r="E61" s="31"/>
      <c r="F61" s="1" t="s">
        <v>181</v>
      </c>
      <c r="G61" s="28">
        <v>45292</v>
      </c>
      <c r="H61" s="14"/>
      <c r="I61" s="14" t="s">
        <v>183</v>
      </c>
      <c r="J61" s="52">
        <v>45901</v>
      </c>
      <c r="K61" s="31"/>
      <c r="L61" s="52">
        <v>45931</v>
      </c>
      <c r="M61" s="31"/>
      <c r="N61" s="28">
        <v>45904</v>
      </c>
      <c r="O61" s="29" t="s">
        <v>69</v>
      </c>
      <c r="P61" s="15" t="s">
        <v>70</v>
      </c>
      <c r="Q61" s="13">
        <v>41.69</v>
      </c>
      <c r="R61" s="44" t="s">
        <v>71</v>
      </c>
      <c r="S61" s="31"/>
      <c r="T61" s="13">
        <v>7.5</v>
      </c>
      <c r="U61" s="29" t="s">
        <v>72</v>
      </c>
    </row>
    <row r="62" spans="1:21" ht="22.5" x14ac:dyDescent="0.2">
      <c r="A62" s="1"/>
      <c r="B62" s="1" t="s">
        <v>65</v>
      </c>
      <c r="C62" s="30" t="s">
        <v>184</v>
      </c>
      <c r="D62" s="31"/>
      <c r="E62" s="31"/>
      <c r="F62" s="1" t="s">
        <v>185</v>
      </c>
      <c r="G62" s="28">
        <v>45261</v>
      </c>
      <c r="H62" s="14"/>
      <c r="I62" s="14" t="s">
        <v>157</v>
      </c>
      <c r="J62" s="52">
        <v>45901</v>
      </c>
      <c r="K62" s="31"/>
      <c r="L62" s="52">
        <v>45931</v>
      </c>
      <c r="M62" s="31"/>
      <c r="N62" s="28">
        <v>45904</v>
      </c>
      <c r="O62" s="29" t="s">
        <v>69</v>
      </c>
      <c r="P62" s="15" t="s">
        <v>70</v>
      </c>
      <c r="Q62" s="13">
        <v>98.2</v>
      </c>
      <c r="R62" s="44" t="s">
        <v>71</v>
      </c>
      <c r="S62" s="31"/>
      <c r="T62" s="13">
        <v>17.68</v>
      </c>
      <c r="U62" s="29" t="s">
        <v>72</v>
      </c>
    </row>
    <row r="63" spans="1:21" ht="22.5" x14ac:dyDescent="0.2">
      <c r="A63" s="1"/>
      <c r="B63" s="1" t="s">
        <v>65</v>
      </c>
      <c r="C63" s="30" t="s">
        <v>186</v>
      </c>
      <c r="D63" s="31"/>
      <c r="E63" s="31"/>
      <c r="F63" s="1" t="s">
        <v>187</v>
      </c>
      <c r="G63" s="28">
        <v>45323</v>
      </c>
      <c r="H63" s="14"/>
      <c r="I63" s="14" t="s">
        <v>175</v>
      </c>
      <c r="J63" s="52">
        <v>45901</v>
      </c>
      <c r="K63" s="31"/>
      <c r="L63" s="52">
        <v>45931</v>
      </c>
      <c r="M63" s="31"/>
      <c r="N63" s="28">
        <v>45904</v>
      </c>
      <c r="O63" s="29" t="s">
        <v>69</v>
      </c>
      <c r="P63" s="15" t="s">
        <v>70</v>
      </c>
      <c r="Q63" s="13">
        <v>30.03</v>
      </c>
      <c r="R63" s="44" t="s">
        <v>161</v>
      </c>
      <c r="S63" s="31"/>
      <c r="T63" s="13">
        <v>1.35</v>
      </c>
      <c r="U63" s="29" t="s">
        <v>72</v>
      </c>
    </row>
    <row r="64" spans="1:21" ht="22.5" x14ac:dyDescent="0.2">
      <c r="A64" s="1"/>
      <c r="B64" s="1" t="s">
        <v>65</v>
      </c>
      <c r="C64" s="30" t="s">
        <v>188</v>
      </c>
      <c r="D64" s="31"/>
      <c r="E64" s="31"/>
      <c r="F64" s="1" t="s">
        <v>187</v>
      </c>
      <c r="G64" s="28">
        <v>45323</v>
      </c>
      <c r="H64" s="14"/>
      <c r="I64" s="14" t="s">
        <v>157</v>
      </c>
      <c r="J64" s="52">
        <v>45901</v>
      </c>
      <c r="K64" s="31"/>
      <c r="L64" s="52">
        <v>45931</v>
      </c>
      <c r="M64" s="31"/>
      <c r="N64" s="28">
        <v>45904</v>
      </c>
      <c r="O64" s="29" t="s">
        <v>69</v>
      </c>
      <c r="P64" s="15" t="s">
        <v>70</v>
      </c>
      <c r="Q64" s="13">
        <v>26.51</v>
      </c>
      <c r="R64" s="44" t="s">
        <v>71</v>
      </c>
      <c r="S64" s="31"/>
      <c r="T64" s="13">
        <v>4.7699999999999996</v>
      </c>
      <c r="U64" s="29" t="s">
        <v>72</v>
      </c>
    </row>
    <row r="65" spans="1:21" ht="22.5" x14ac:dyDescent="0.2">
      <c r="A65" s="1"/>
      <c r="B65" s="1" t="s">
        <v>65</v>
      </c>
      <c r="C65" s="30" t="s">
        <v>189</v>
      </c>
      <c r="D65" s="31"/>
      <c r="E65" s="31"/>
      <c r="F65" s="1" t="s">
        <v>190</v>
      </c>
      <c r="G65" s="28">
        <v>45383</v>
      </c>
      <c r="H65" s="14"/>
      <c r="I65" s="14" t="s">
        <v>191</v>
      </c>
      <c r="J65" s="52">
        <v>45901</v>
      </c>
      <c r="K65" s="31"/>
      <c r="L65" s="52">
        <v>45931</v>
      </c>
      <c r="M65" s="31"/>
      <c r="N65" s="28">
        <v>45904</v>
      </c>
      <c r="O65" s="29" t="s">
        <v>69</v>
      </c>
      <c r="P65" s="15" t="s">
        <v>70</v>
      </c>
      <c r="Q65" s="13">
        <v>48.82</v>
      </c>
      <c r="R65" s="44" t="s">
        <v>71</v>
      </c>
      <c r="S65" s="31"/>
      <c r="T65" s="13">
        <v>8.7899999999999991</v>
      </c>
      <c r="U65" s="29" t="s">
        <v>72</v>
      </c>
    </row>
    <row r="66" spans="1:21" ht="22.5" x14ac:dyDescent="0.2">
      <c r="A66" s="1"/>
      <c r="B66" s="1" t="s">
        <v>65</v>
      </c>
      <c r="C66" s="30" t="s">
        <v>192</v>
      </c>
      <c r="D66" s="31"/>
      <c r="E66" s="31"/>
      <c r="F66" s="1" t="s">
        <v>193</v>
      </c>
      <c r="G66" s="28">
        <v>44896</v>
      </c>
      <c r="H66" s="14"/>
      <c r="I66" s="14" t="s">
        <v>157</v>
      </c>
      <c r="J66" s="52">
        <v>45901</v>
      </c>
      <c r="K66" s="31"/>
      <c r="L66" s="52">
        <v>45931</v>
      </c>
      <c r="M66" s="31"/>
      <c r="N66" s="28">
        <v>45904</v>
      </c>
      <c r="O66" s="29" t="s">
        <v>69</v>
      </c>
      <c r="P66" s="15" t="s">
        <v>70</v>
      </c>
      <c r="Q66" s="13">
        <v>44.13</v>
      </c>
      <c r="R66" s="44" t="s">
        <v>172</v>
      </c>
      <c r="S66" s="31"/>
      <c r="T66" s="13">
        <v>2.65</v>
      </c>
      <c r="U66" s="29" t="s">
        <v>72</v>
      </c>
    </row>
    <row r="67" spans="1:21" ht="22.5" x14ac:dyDescent="0.2">
      <c r="A67" s="1"/>
      <c r="B67" s="1" t="s">
        <v>65</v>
      </c>
      <c r="C67" s="30" t="s">
        <v>194</v>
      </c>
      <c r="D67" s="31"/>
      <c r="E67" s="31"/>
      <c r="F67" s="1" t="s">
        <v>195</v>
      </c>
      <c r="G67" s="28">
        <v>45383</v>
      </c>
      <c r="H67" s="14"/>
      <c r="I67" s="14" t="s">
        <v>196</v>
      </c>
      <c r="J67" s="52">
        <v>45901</v>
      </c>
      <c r="K67" s="31"/>
      <c r="L67" s="52">
        <v>45931</v>
      </c>
      <c r="M67" s="31"/>
      <c r="N67" s="28">
        <v>45904</v>
      </c>
      <c r="O67" s="29" t="s">
        <v>69</v>
      </c>
      <c r="P67" s="15" t="s">
        <v>70</v>
      </c>
      <c r="Q67" s="13">
        <v>36.4</v>
      </c>
      <c r="R67" s="44" t="s">
        <v>75</v>
      </c>
      <c r="S67" s="31"/>
      <c r="T67" s="13">
        <v>3.28</v>
      </c>
      <c r="U67" s="29" t="s">
        <v>72</v>
      </c>
    </row>
    <row r="68" spans="1:21" ht="22.5" x14ac:dyDescent="0.2">
      <c r="A68" s="1"/>
      <c r="B68" s="1" t="s">
        <v>65</v>
      </c>
      <c r="C68" s="30" t="s">
        <v>197</v>
      </c>
      <c r="D68" s="31"/>
      <c r="E68" s="31"/>
      <c r="F68" s="1" t="s">
        <v>195</v>
      </c>
      <c r="G68" s="28">
        <v>45383</v>
      </c>
      <c r="H68" s="14"/>
      <c r="I68" s="14" t="s">
        <v>198</v>
      </c>
      <c r="J68" s="52">
        <v>45901</v>
      </c>
      <c r="K68" s="31"/>
      <c r="L68" s="52">
        <v>45931</v>
      </c>
      <c r="M68" s="31"/>
      <c r="N68" s="28">
        <v>45904</v>
      </c>
      <c r="O68" s="29" t="s">
        <v>69</v>
      </c>
      <c r="P68" s="15" t="s">
        <v>70</v>
      </c>
      <c r="Q68" s="13">
        <v>16</v>
      </c>
      <c r="R68" s="44" t="s">
        <v>75</v>
      </c>
      <c r="S68" s="31"/>
      <c r="T68" s="13">
        <v>1.44</v>
      </c>
      <c r="U68" s="29" t="s">
        <v>72</v>
      </c>
    </row>
    <row r="69" spans="1:21" ht="22.5" x14ac:dyDescent="0.2">
      <c r="A69" s="1"/>
      <c r="B69" s="1" t="s">
        <v>65</v>
      </c>
      <c r="C69" s="30" t="s">
        <v>199</v>
      </c>
      <c r="D69" s="31"/>
      <c r="E69" s="31"/>
      <c r="F69" s="1" t="s">
        <v>200</v>
      </c>
      <c r="G69" s="28">
        <v>44927</v>
      </c>
      <c r="H69" s="14"/>
      <c r="I69" s="14" t="s">
        <v>81</v>
      </c>
      <c r="J69" s="52">
        <v>45901</v>
      </c>
      <c r="K69" s="31"/>
      <c r="L69" s="52">
        <v>45931</v>
      </c>
      <c r="M69" s="31"/>
      <c r="N69" s="28">
        <v>45904</v>
      </c>
      <c r="O69" s="29" t="s">
        <v>69</v>
      </c>
      <c r="P69" s="15" t="s">
        <v>70</v>
      </c>
      <c r="Q69" s="13">
        <v>16</v>
      </c>
      <c r="R69" s="44" t="s">
        <v>201</v>
      </c>
      <c r="S69" s="31"/>
      <c r="T69" s="13">
        <v>0.48</v>
      </c>
      <c r="U69" s="29" t="s">
        <v>72</v>
      </c>
    </row>
    <row r="70" spans="1:21" ht="22.5" x14ac:dyDescent="0.2">
      <c r="A70" s="1"/>
      <c r="B70" s="1" t="s">
        <v>65</v>
      </c>
      <c r="C70" s="30" t="s">
        <v>202</v>
      </c>
      <c r="D70" s="31"/>
      <c r="E70" s="31"/>
      <c r="F70" s="1" t="s">
        <v>200</v>
      </c>
      <c r="G70" s="28">
        <v>44927</v>
      </c>
      <c r="H70" s="14"/>
      <c r="I70" s="14" t="s">
        <v>157</v>
      </c>
      <c r="J70" s="52">
        <v>45901</v>
      </c>
      <c r="K70" s="31"/>
      <c r="L70" s="52">
        <v>45931</v>
      </c>
      <c r="M70" s="31"/>
      <c r="N70" s="28">
        <v>45904</v>
      </c>
      <c r="O70" s="29" t="s">
        <v>69</v>
      </c>
      <c r="P70" s="15" t="s">
        <v>70</v>
      </c>
      <c r="Q70" s="13">
        <v>116.18</v>
      </c>
      <c r="R70" s="44" t="s">
        <v>172</v>
      </c>
      <c r="S70" s="31"/>
      <c r="T70" s="13">
        <v>6.97</v>
      </c>
      <c r="U70" s="29" t="s">
        <v>72</v>
      </c>
    </row>
    <row r="71" spans="1:21" ht="22.5" x14ac:dyDescent="0.2">
      <c r="A71" s="1"/>
      <c r="B71" s="1" t="s">
        <v>65</v>
      </c>
      <c r="C71" s="30" t="s">
        <v>203</v>
      </c>
      <c r="D71" s="31"/>
      <c r="E71" s="31"/>
      <c r="F71" s="1" t="s">
        <v>204</v>
      </c>
      <c r="G71" s="28">
        <v>45383</v>
      </c>
      <c r="H71" s="14"/>
      <c r="I71" s="14" t="s">
        <v>157</v>
      </c>
      <c r="J71" s="52">
        <v>45901</v>
      </c>
      <c r="K71" s="31"/>
      <c r="L71" s="52">
        <v>45931</v>
      </c>
      <c r="M71" s="31"/>
      <c r="N71" s="28">
        <v>45904</v>
      </c>
      <c r="O71" s="29" t="s">
        <v>69</v>
      </c>
      <c r="P71" s="15" t="s">
        <v>70</v>
      </c>
      <c r="Q71" s="13">
        <v>134.78</v>
      </c>
      <c r="R71" s="44" t="s">
        <v>71</v>
      </c>
      <c r="S71" s="31"/>
      <c r="T71" s="13">
        <v>24.26</v>
      </c>
      <c r="U71" s="29" t="s">
        <v>72</v>
      </c>
    </row>
    <row r="72" spans="1:21" ht="22.5" x14ac:dyDescent="0.2">
      <c r="A72" s="1"/>
      <c r="B72" s="1" t="s">
        <v>65</v>
      </c>
      <c r="C72" s="30" t="s">
        <v>205</v>
      </c>
      <c r="D72" s="31"/>
      <c r="E72" s="31"/>
      <c r="F72" s="1" t="s">
        <v>206</v>
      </c>
      <c r="G72" s="28">
        <v>45047</v>
      </c>
      <c r="H72" s="14"/>
      <c r="I72" s="14" t="s">
        <v>207</v>
      </c>
      <c r="J72" s="52">
        <v>45901</v>
      </c>
      <c r="K72" s="31"/>
      <c r="L72" s="52">
        <v>45931</v>
      </c>
      <c r="M72" s="31"/>
      <c r="N72" s="28">
        <v>45904</v>
      </c>
      <c r="O72" s="29" t="s">
        <v>69</v>
      </c>
      <c r="P72" s="15" t="s">
        <v>70</v>
      </c>
      <c r="Q72" s="13">
        <v>8.1</v>
      </c>
      <c r="R72" s="44" t="s">
        <v>201</v>
      </c>
      <c r="S72" s="31"/>
      <c r="T72" s="13">
        <v>0.24</v>
      </c>
      <c r="U72" s="29" t="s">
        <v>72</v>
      </c>
    </row>
    <row r="73" spans="1:21" ht="22.5" x14ac:dyDescent="0.2">
      <c r="A73" s="1"/>
      <c r="B73" s="1" t="s">
        <v>65</v>
      </c>
      <c r="C73" s="30" t="s">
        <v>208</v>
      </c>
      <c r="D73" s="31"/>
      <c r="E73" s="31"/>
      <c r="F73" s="1" t="s">
        <v>206</v>
      </c>
      <c r="G73" s="28">
        <v>45047</v>
      </c>
      <c r="H73" s="14"/>
      <c r="I73" s="14" t="s">
        <v>209</v>
      </c>
      <c r="J73" s="52">
        <v>45901</v>
      </c>
      <c r="K73" s="31"/>
      <c r="L73" s="52">
        <v>45931</v>
      </c>
      <c r="M73" s="31"/>
      <c r="N73" s="28">
        <v>45904</v>
      </c>
      <c r="O73" s="29" t="s">
        <v>69</v>
      </c>
      <c r="P73" s="15" t="s">
        <v>70</v>
      </c>
      <c r="Q73" s="13">
        <v>14.04</v>
      </c>
      <c r="R73" s="44" t="s">
        <v>201</v>
      </c>
      <c r="S73" s="31"/>
      <c r="T73" s="13">
        <v>0.42</v>
      </c>
      <c r="U73" s="29" t="s">
        <v>72</v>
      </c>
    </row>
    <row r="74" spans="1:21" ht="22.5" x14ac:dyDescent="0.2">
      <c r="A74" s="1"/>
      <c r="B74" s="1" t="s">
        <v>65</v>
      </c>
      <c r="C74" s="30" t="s">
        <v>210</v>
      </c>
      <c r="D74" s="31"/>
      <c r="E74" s="31"/>
      <c r="F74" s="1" t="s">
        <v>206</v>
      </c>
      <c r="G74" s="28">
        <v>45047</v>
      </c>
      <c r="H74" s="14"/>
      <c r="I74" s="14" t="s">
        <v>211</v>
      </c>
      <c r="J74" s="52">
        <v>45901</v>
      </c>
      <c r="K74" s="31"/>
      <c r="L74" s="52">
        <v>45931</v>
      </c>
      <c r="M74" s="31"/>
      <c r="N74" s="28">
        <v>45904</v>
      </c>
      <c r="O74" s="29" t="s">
        <v>69</v>
      </c>
      <c r="P74" s="15" t="s">
        <v>70</v>
      </c>
      <c r="Q74" s="13">
        <v>40.94</v>
      </c>
      <c r="R74" s="44" t="s">
        <v>201</v>
      </c>
      <c r="S74" s="31"/>
      <c r="T74" s="13">
        <v>1.23</v>
      </c>
      <c r="U74" s="29" t="s">
        <v>72</v>
      </c>
    </row>
    <row r="75" spans="1:21" ht="33.75" x14ac:dyDescent="0.2">
      <c r="A75" s="1"/>
      <c r="B75" s="1" t="s">
        <v>65</v>
      </c>
      <c r="C75" s="30" t="s">
        <v>212</v>
      </c>
      <c r="D75" s="31"/>
      <c r="E75" s="31"/>
      <c r="F75" s="1" t="s">
        <v>213</v>
      </c>
      <c r="G75" s="28">
        <v>45078</v>
      </c>
      <c r="H75" s="14"/>
      <c r="I75" s="14" t="s">
        <v>214</v>
      </c>
      <c r="J75" s="52">
        <v>45901</v>
      </c>
      <c r="K75" s="31"/>
      <c r="L75" s="52">
        <v>45931</v>
      </c>
      <c r="M75" s="31"/>
      <c r="N75" s="28">
        <v>45904</v>
      </c>
      <c r="O75" s="29" t="s">
        <v>69</v>
      </c>
      <c r="P75" s="15" t="s">
        <v>70</v>
      </c>
      <c r="Q75" s="13">
        <v>43</v>
      </c>
      <c r="R75" s="44" t="s">
        <v>201</v>
      </c>
      <c r="S75" s="31"/>
      <c r="T75" s="13">
        <v>1.29</v>
      </c>
      <c r="U75" s="29" t="s">
        <v>72</v>
      </c>
    </row>
    <row r="76" spans="1:21" ht="22.5" x14ac:dyDescent="0.2">
      <c r="A76" s="1"/>
      <c r="B76" s="1" t="s">
        <v>65</v>
      </c>
      <c r="C76" s="30" t="s">
        <v>215</v>
      </c>
      <c r="D76" s="31"/>
      <c r="E76" s="31"/>
      <c r="F76" s="1" t="s">
        <v>216</v>
      </c>
      <c r="G76" s="28">
        <v>45200</v>
      </c>
      <c r="H76" s="14"/>
      <c r="I76" s="14" t="s">
        <v>175</v>
      </c>
      <c r="J76" s="52">
        <v>45901</v>
      </c>
      <c r="K76" s="31"/>
      <c r="L76" s="52">
        <v>45931</v>
      </c>
      <c r="M76" s="31"/>
      <c r="N76" s="28">
        <v>45904</v>
      </c>
      <c r="O76" s="29" t="s">
        <v>69</v>
      </c>
      <c r="P76" s="15" t="s">
        <v>70</v>
      </c>
      <c r="Q76" s="13">
        <v>37.96</v>
      </c>
      <c r="R76" s="44" t="s">
        <v>161</v>
      </c>
      <c r="S76" s="31"/>
      <c r="T76" s="13">
        <v>1.71</v>
      </c>
      <c r="U76" s="29" t="s">
        <v>72</v>
      </c>
    </row>
    <row r="77" spans="1:21" ht="22.5" x14ac:dyDescent="0.2">
      <c r="A77" s="1"/>
      <c r="B77" s="1" t="s">
        <v>65</v>
      </c>
      <c r="C77" s="30" t="s">
        <v>217</v>
      </c>
      <c r="D77" s="31"/>
      <c r="E77" s="31"/>
      <c r="F77" s="1" t="s">
        <v>216</v>
      </c>
      <c r="G77" s="28">
        <v>45200</v>
      </c>
      <c r="H77" s="14"/>
      <c r="I77" s="14" t="s">
        <v>211</v>
      </c>
      <c r="J77" s="52">
        <v>45901</v>
      </c>
      <c r="K77" s="31"/>
      <c r="L77" s="52">
        <v>45931</v>
      </c>
      <c r="M77" s="31"/>
      <c r="N77" s="28">
        <v>45904</v>
      </c>
      <c r="O77" s="29" t="s">
        <v>69</v>
      </c>
      <c r="P77" s="15" t="s">
        <v>70</v>
      </c>
      <c r="Q77" s="13">
        <v>165.41</v>
      </c>
      <c r="R77" s="44" t="s">
        <v>75</v>
      </c>
      <c r="S77" s="31"/>
      <c r="T77" s="13">
        <v>14.89</v>
      </c>
      <c r="U77" s="29" t="s">
        <v>72</v>
      </c>
    </row>
    <row r="78" spans="1:21" ht="22.5" x14ac:dyDescent="0.2">
      <c r="A78" s="1"/>
      <c r="B78" s="1" t="s">
        <v>65</v>
      </c>
      <c r="C78" s="30" t="s">
        <v>218</v>
      </c>
      <c r="D78" s="31"/>
      <c r="E78" s="31"/>
      <c r="F78" s="1" t="s">
        <v>219</v>
      </c>
      <c r="G78" s="28">
        <v>45170</v>
      </c>
      <c r="H78" s="14"/>
      <c r="I78" s="14" t="s">
        <v>78</v>
      </c>
      <c r="J78" s="52">
        <v>45901</v>
      </c>
      <c r="K78" s="31"/>
      <c r="L78" s="52">
        <v>45931</v>
      </c>
      <c r="M78" s="31"/>
      <c r="N78" s="28">
        <v>45904</v>
      </c>
      <c r="O78" s="29" t="s">
        <v>69</v>
      </c>
      <c r="P78" s="15" t="s">
        <v>70</v>
      </c>
      <c r="Q78" s="13">
        <v>13.6</v>
      </c>
      <c r="R78" s="44" t="s">
        <v>75</v>
      </c>
      <c r="S78" s="31"/>
      <c r="T78" s="13">
        <v>1.22</v>
      </c>
      <c r="U78" s="29" t="s">
        <v>72</v>
      </c>
    </row>
    <row r="79" spans="1:21" ht="22.5" x14ac:dyDescent="0.2">
      <c r="A79" s="1"/>
      <c r="B79" s="1" t="s">
        <v>65</v>
      </c>
      <c r="C79" s="30" t="s">
        <v>220</v>
      </c>
      <c r="D79" s="31"/>
      <c r="E79" s="31"/>
      <c r="F79" s="1" t="s">
        <v>219</v>
      </c>
      <c r="G79" s="28">
        <v>45170</v>
      </c>
      <c r="H79" s="14"/>
      <c r="I79" s="14" t="s">
        <v>221</v>
      </c>
      <c r="J79" s="52">
        <v>45901</v>
      </c>
      <c r="K79" s="31"/>
      <c r="L79" s="52">
        <v>45931</v>
      </c>
      <c r="M79" s="31"/>
      <c r="N79" s="28">
        <v>45904</v>
      </c>
      <c r="O79" s="29" t="s">
        <v>69</v>
      </c>
      <c r="P79" s="15" t="s">
        <v>70</v>
      </c>
      <c r="Q79" s="13">
        <v>51.81</v>
      </c>
      <c r="R79" s="44" t="s">
        <v>71</v>
      </c>
      <c r="S79" s="31"/>
      <c r="T79" s="13">
        <v>9.33</v>
      </c>
      <c r="U79" s="29" t="s">
        <v>72</v>
      </c>
    </row>
    <row r="80" spans="1:21" ht="22.5" x14ac:dyDescent="0.2">
      <c r="A80" s="1"/>
      <c r="B80" s="1" t="s">
        <v>65</v>
      </c>
      <c r="C80" s="30" t="s">
        <v>222</v>
      </c>
      <c r="D80" s="31"/>
      <c r="E80" s="31"/>
      <c r="F80" s="1" t="s">
        <v>223</v>
      </c>
      <c r="G80" s="28">
        <v>44927</v>
      </c>
      <c r="H80" s="14"/>
      <c r="I80" s="14" t="s">
        <v>224</v>
      </c>
      <c r="J80" s="52">
        <v>45901</v>
      </c>
      <c r="K80" s="31"/>
      <c r="L80" s="52">
        <v>45931</v>
      </c>
      <c r="M80" s="31"/>
      <c r="N80" s="28">
        <v>45904</v>
      </c>
      <c r="O80" s="29" t="s">
        <v>69</v>
      </c>
      <c r="P80" s="15" t="s">
        <v>70</v>
      </c>
      <c r="Q80" s="13">
        <v>47.13</v>
      </c>
      <c r="R80" s="44" t="s">
        <v>201</v>
      </c>
      <c r="S80" s="31"/>
      <c r="T80" s="13">
        <v>1.41</v>
      </c>
      <c r="U80" s="29" t="s">
        <v>72</v>
      </c>
    </row>
    <row r="81" spans="1:21" ht="22.5" x14ac:dyDescent="0.2">
      <c r="A81" s="1"/>
      <c r="B81" s="1" t="s">
        <v>65</v>
      </c>
      <c r="C81" s="30" t="s">
        <v>225</v>
      </c>
      <c r="D81" s="31"/>
      <c r="E81" s="31"/>
      <c r="F81" s="1" t="s">
        <v>223</v>
      </c>
      <c r="G81" s="28">
        <v>44927</v>
      </c>
      <c r="H81" s="14"/>
      <c r="I81" s="14" t="s">
        <v>157</v>
      </c>
      <c r="J81" s="52">
        <v>45901</v>
      </c>
      <c r="K81" s="31"/>
      <c r="L81" s="52">
        <v>45931</v>
      </c>
      <c r="M81" s="31"/>
      <c r="N81" s="28">
        <v>45904</v>
      </c>
      <c r="O81" s="29" t="s">
        <v>69</v>
      </c>
      <c r="P81" s="15" t="s">
        <v>70</v>
      </c>
      <c r="Q81" s="13">
        <v>109.62</v>
      </c>
      <c r="R81" s="44" t="s">
        <v>172</v>
      </c>
      <c r="S81" s="31"/>
      <c r="T81" s="13">
        <v>6.58</v>
      </c>
      <c r="U81" s="29" t="s">
        <v>72</v>
      </c>
    </row>
    <row r="82" spans="1:21" ht="22.5" x14ac:dyDescent="0.2">
      <c r="A82" s="1"/>
      <c r="B82" s="1" t="s">
        <v>65</v>
      </c>
      <c r="C82" s="30" t="s">
        <v>226</v>
      </c>
      <c r="D82" s="31"/>
      <c r="E82" s="31"/>
      <c r="F82" s="1" t="s">
        <v>227</v>
      </c>
      <c r="G82" s="28">
        <v>45383</v>
      </c>
      <c r="H82" s="14"/>
      <c r="I82" s="14" t="s">
        <v>228</v>
      </c>
      <c r="J82" s="52">
        <v>45901</v>
      </c>
      <c r="K82" s="31"/>
      <c r="L82" s="52">
        <v>45931</v>
      </c>
      <c r="M82" s="31"/>
      <c r="N82" s="28">
        <v>45904</v>
      </c>
      <c r="O82" s="29" t="s">
        <v>69</v>
      </c>
      <c r="P82" s="15" t="s">
        <v>70</v>
      </c>
      <c r="Q82" s="13">
        <v>6.3</v>
      </c>
      <c r="R82" s="44" t="s">
        <v>75</v>
      </c>
      <c r="S82" s="31"/>
      <c r="T82" s="13">
        <v>0.56999999999999995</v>
      </c>
      <c r="U82" s="29" t="s">
        <v>72</v>
      </c>
    </row>
    <row r="83" spans="1:21" ht="22.5" x14ac:dyDescent="0.2">
      <c r="A83" s="1"/>
      <c r="B83" s="1" t="s">
        <v>65</v>
      </c>
      <c r="C83" s="30" t="s">
        <v>229</v>
      </c>
      <c r="D83" s="31"/>
      <c r="E83" s="31"/>
      <c r="F83" s="1" t="s">
        <v>227</v>
      </c>
      <c r="G83" s="28">
        <v>45383</v>
      </c>
      <c r="H83" s="14"/>
      <c r="I83" s="14" t="s">
        <v>230</v>
      </c>
      <c r="J83" s="52">
        <v>45901</v>
      </c>
      <c r="K83" s="31"/>
      <c r="L83" s="52">
        <v>45931</v>
      </c>
      <c r="M83" s="31"/>
      <c r="N83" s="28">
        <v>45904</v>
      </c>
      <c r="O83" s="29" t="s">
        <v>69</v>
      </c>
      <c r="P83" s="15" t="s">
        <v>70</v>
      </c>
      <c r="Q83" s="13">
        <v>18.73</v>
      </c>
      <c r="R83" s="44" t="s">
        <v>71</v>
      </c>
      <c r="S83" s="31"/>
      <c r="T83" s="13">
        <v>3.37</v>
      </c>
      <c r="U83" s="29" t="s">
        <v>72</v>
      </c>
    </row>
    <row r="84" spans="1:21" ht="22.5" x14ac:dyDescent="0.2">
      <c r="A84" s="1"/>
      <c r="B84" s="1" t="s">
        <v>65</v>
      </c>
      <c r="C84" s="30" t="s">
        <v>231</v>
      </c>
      <c r="D84" s="31"/>
      <c r="E84" s="31"/>
      <c r="F84" s="1" t="s">
        <v>232</v>
      </c>
      <c r="G84" s="28">
        <v>45383</v>
      </c>
      <c r="H84" s="14"/>
      <c r="I84" s="14" t="s">
        <v>196</v>
      </c>
      <c r="J84" s="52">
        <v>45901</v>
      </c>
      <c r="K84" s="31"/>
      <c r="L84" s="52">
        <v>45931</v>
      </c>
      <c r="M84" s="31"/>
      <c r="N84" s="28">
        <v>45904</v>
      </c>
      <c r="O84" s="29" t="s">
        <v>69</v>
      </c>
      <c r="P84" s="15" t="s">
        <v>70</v>
      </c>
      <c r="Q84" s="13">
        <v>19.760000000000002</v>
      </c>
      <c r="R84" s="44" t="s">
        <v>75</v>
      </c>
      <c r="S84" s="31"/>
      <c r="T84" s="13">
        <v>1.78</v>
      </c>
      <c r="U84" s="29" t="s">
        <v>72</v>
      </c>
    </row>
    <row r="85" spans="1:21" ht="22.5" x14ac:dyDescent="0.2">
      <c r="A85" s="1"/>
      <c r="B85" s="1" t="s">
        <v>65</v>
      </c>
      <c r="C85" s="30" t="s">
        <v>233</v>
      </c>
      <c r="D85" s="31"/>
      <c r="E85" s="31"/>
      <c r="F85" s="1" t="s">
        <v>232</v>
      </c>
      <c r="G85" s="28">
        <v>45383</v>
      </c>
      <c r="H85" s="14"/>
      <c r="I85" s="14" t="s">
        <v>198</v>
      </c>
      <c r="J85" s="52">
        <v>45901</v>
      </c>
      <c r="K85" s="31"/>
      <c r="L85" s="52">
        <v>45931</v>
      </c>
      <c r="M85" s="31"/>
      <c r="N85" s="28">
        <v>45904</v>
      </c>
      <c r="O85" s="29" t="s">
        <v>69</v>
      </c>
      <c r="P85" s="15" t="s">
        <v>70</v>
      </c>
      <c r="Q85" s="13">
        <v>9</v>
      </c>
      <c r="R85" s="44" t="s">
        <v>75</v>
      </c>
      <c r="S85" s="31"/>
      <c r="T85" s="13">
        <v>0.81</v>
      </c>
      <c r="U85" s="29" t="s">
        <v>72</v>
      </c>
    </row>
    <row r="86" spans="1:21" ht="22.5" x14ac:dyDescent="0.2">
      <c r="A86" s="1"/>
      <c r="B86" s="1" t="s">
        <v>65</v>
      </c>
      <c r="C86" s="30" t="s">
        <v>234</v>
      </c>
      <c r="D86" s="31"/>
      <c r="E86" s="31"/>
      <c r="F86" s="1" t="s">
        <v>235</v>
      </c>
      <c r="G86" s="28">
        <v>45292</v>
      </c>
      <c r="H86" s="14"/>
      <c r="I86" s="14" t="s">
        <v>236</v>
      </c>
      <c r="J86" s="52">
        <v>45901</v>
      </c>
      <c r="K86" s="31"/>
      <c r="L86" s="52">
        <v>45901</v>
      </c>
      <c r="M86" s="31"/>
      <c r="N86" s="28">
        <v>45906</v>
      </c>
      <c r="O86" s="29" t="s">
        <v>69</v>
      </c>
      <c r="P86" s="15" t="s">
        <v>70</v>
      </c>
      <c r="Q86" s="13">
        <v>-68.45</v>
      </c>
      <c r="R86" s="44" t="s">
        <v>161</v>
      </c>
      <c r="S86" s="31"/>
      <c r="T86" s="13">
        <v>-3.08</v>
      </c>
      <c r="U86" s="29" t="s">
        <v>72</v>
      </c>
    </row>
    <row r="87" spans="1:21" ht="22.5" x14ac:dyDescent="0.2">
      <c r="A87" s="1"/>
      <c r="B87" s="1" t="s">
        <v>65</v>
      </c>
      <c r="C87" s="30" t="s">
        <v>234</v>
      </c>
      <c r="D87" s="31"/>
      <c r="E87" s="31"/>
      <c r="F87" s="1" t="s">
        <v>235</v>
      </c>
      <c r="G87" s="28">
        <v>45292</v>
      </c>
      <c r="H87" s="14"/>
      <c r="I87" s="14" t="s">
        <v>236</v>
      </c>
      <c r="J87" s="52">
        <v>45901</v>
      </c>
      <c r="K87" s="31"/>
      <c r="L87" s="52">
        <v>45931</v>
      </c>
      <c r="M87" s="31"/>
      <c r="N87" s="28">
        <v>45904</v>
      </c>
      <c r="O87" s="29" t="s">
        <v>69</v>
      </c>
      <c r="P87" s="15" t="s">
        <v>70</v>
      </c>
      <c r="Q87" s="13">
        <v>68.45</v>
      </c>
      <c r="R87" s="44" t="s">
        <v>161</v>
      </c>
      <c r="S87" s="31"/>
      <c r="T87" s="13">
        <v>3.08</v>
      </c>
      <c r="U87" s="29" t="s">
        <v>72</v>
      </c>
    </row>
    <row r="88" spans="1:21" ht="22.5" x14ac:dyDescent="0.2">
      <c r="A88" s="1"/>
      <c r="B88" s="1" t="s">
        <v>65</v>
      </c>
      <c r="C88" s="30" t="s">
        <v>237</v>
      </c>
      <c r="D88" s="31"/>
      <c r="E88" s="31"/>
      <c r="F88" s="1" t="s">
        <v>235</v>
      </c>
      <c r="G88" s="28">
        <v>45292</v>
      </c>
      <c r="H88" s="14"/>
      <c r="I88" s="14" t="s">
        <v>157</v>
      </c>
      <c r="J88" s="52">
        <v>45901</v>
      </c>
      <c r="K88" s="31"/>
      <c r="L88" s="52">
        <v>45931</v>
      </c>
      <c r="M88" s="31"/>
      <c r="N88" s="28">
        <v>45904</v>
      </c>
      <c r="O88" s="29" t="s">
        <v>69</v>
      </c>
      <c r="P88" s="15" t="s">
        <v>70</v>
      </c>
      <c r="Q88" s="13">
        <v>101.85</v>
      </c>
      <c r="R88" s="44" t="s">
        <v>75</v>
      </c>
      <c r="S88" s="31"/>
      <c r="T88" s="13">
        <v>9.17</v>
      </c>
      <c r="U88" s="29" t="s">
        <v>72</v>
      </c>
    </row>
    <row r="89" spans="1:21" ht="22.5" x14ac:dyDescent="0.2">
      <c r="A89" s="1"/>
      <c r="B89" s="1" t="s">
        <v>65</v>
      </c>
      <c r="C89" s="30" t="s">
        <v>237</v>
      </c>
      <c r="D89" s="31"/>
      <c r="E89" s="31"/>
      <c r="F89" s="1" t="s">
        <v>235</v>
      </c>
      <c r="G89" s="28">
        <v>45292</v>
      </c>
      <c r="H89" s="14"/>
      <c r="I89" s="14" t="s">
        <v>157</v>
      </c>
      <c r="J89" s="52">
        <v>45901</v>
      </c>
      <c r="K89" s="31"/>
      <c r="L89" s="52">
        <v>45901</v>
      </c>
      <c r="M89" s="31"/>
      <c r="N89" s="28">
        <v>45906</v>
      </c>
      <c r="O89" s="29" t="s">
        <v>69</v>
      </c>
      <c r="P89" s="15" t="s">
        <v>70</v>
      </c>
      <c r="Q89" s="13">
        <v>-101.85</v>
      </c>
      <c r="R89" s="44" t="s">
        <v>75</v>
      </c>
      <c r="S89" s="31"/>
      <c r="T89" s="13">
        <v>-9.17</v>
      </c>
      <c r="U89" s="29" t="s">
        <v>72</v>
      </c>
    </row>
    <row r="90" spans="1:21" ht="22.5" x14ac:dyDescent="0.2">
      <c r="A90" s="1"/>
      <c r="B90" s="1" t="s">
        <v>65</v>
      </c>
      <c r="C90" s="30" t="s">
        <v>238</v>
      </c>
      <c r="D90" s="31"/>
      <c r="E90" s="31"/>
      <c r="F90" s="1" t="s">
        <v>239</v>
      </c>
      <c r="G90" s="28">
        <v>45139</v>
      </c>
      <c r="H90" s="14"/>
      <c r="I90" s="14" t="s">
        <v>175</v>
      </c>
      <c r="J90" s="52">
        <v>45901</v>
      </c>
      <c r="K90" s="31"/>
      <c r="L90" s="52">
        <v>45931</v>
      </c>
      <c r="M90" s="31"/>
      <c r="N90" s="28">
        <v>45904</v>
      </c>
      <c r="O90" s="29" t="s">
        <v>69</v>
      </c>
      <c r="P90" s="15" t="s">
        <v>70</v>
      </c>
      <c r="Q90" s="13">
        <v>39.409999999999997</v>
      </c>
      <c r="R90" s="44" t="s">
        <v>75</v>
      </c>
      <c r="S90" s="31"/>
      <c r="T90" s="13">
        <v>3.55</v>
      </c>
      <c r="U90" s="29" t="s">
        <v>72</v>
      </c>
    </row>
    <row r="91" spans="1:21" ht="22.5" x14ac:dyDescent="0.2">
      <c r="A91" s="1"/>
      <c r="B91" s="1" t="s">
        <v>65</v>
      </c>
      <c r="C91" s="30" t="s">
        <v>240</v>
      </c>
      <c r="D91" s="31"/>
      <c r="E91" s="31"/>
      <c r="F91" s="1" t="s">
        <v>241</v>
      </c>
      <c r="G91" s="28">
        <v>45292</v>
      </c>
      <c r="H91" s="14"/>
      <c r="I91" s="14" t="s">
        <v>157</v>
      </c>
      <c r="J91" s="52">
        <v>45901</v>
      </c>
      <c r="K91" s="31"/>
      <c r="L91" s="52">
        <v>45931</v>
      </c>
      <c r="M91" s="31"/>
      <c r="N91" s="28">
        <v>45904</v>
      </c>
      <c r="O91" s="29" t="s">
        <v>69</v>
      </c>
      <c r="P91" s="15" t="s">
        <v>70</v>
      </c>
      <c r="Q91" s="13">
        <v>34.049999999999997</v>
      </c>
      <c r="R91" s="44" t="s">
        <v>71</v>
      </c>
      <c r="S91" s="31"/>
      <c r="T91" s="13">
        <v>6.13</v>
      </c>
      <c r="U91" s="29" t="s">
        <v>72</v>
      </c>
    </row>
    <row r="92" spans="1:21" ht="22.5" x14ac:dyDescent="0.2">
      <c r="A92" s="1"/>
      <c r="B92" s="1" t="s">
        <v>65</v>
      </c>
      <c r="C92" s="30" t="s">
        <v>242</v>
      </c>
      <c r="D92" s="31"/>
      <c r="E92" s="31"/>
      <c r="F92" s="1" t="s">
        <v>243</v>
      </c>
      <c r="G92" s="28">
        <v>45139</v>
      </c>
      <c r="H92" s="14"/>
      <c r="I92" s="14" t="s">
        <v>214</v>
      </c>
      <c r="J92" s="52">
        <v>45901</v>
      </c>
      <c r="K92" s="31"/>
      <c r="L92" s="52">
        <v>45931</v>
      </c>
      <c r="M92" s="31"/>
      <c r="N92" s="28">
        <v>45904</v>
      </c>
      <c r="O92" s="29" t="s">
        <v>69</v>
      </c>
      <c r="P92" s="15" t="s">
        <v>70</v>
      </c>
      <c r="Q92" s="13">
        <v>43</v>
      </c>
      <c r="R92" s="44" t="s">
        <v>201</v>
      </c>
      <c r="S92" s="31"/>
      <c r="T92" s="13">
        <v>1.29</v>
      </c>
      <c r="U92" s="29" t="s">
        <v>72</v>
      </c>
    </row>
    <row r="93" spans="1:21" ht="22.5" x14ac:dyDescent="0.2">
      <c r="A93" s="1"/>
      <c r="B93" s="1" t="s">
        <v>65</v>
      </c>
      <c r="C93" s="30" t="s">
        <v>244</v>
      </c>
      <c r="D93" s="31"/>
      <c r="E93" s="31"/>
      <c r="F93" s="1" t="s">
        <v>243</v>
      </c>
      <c r="G93" s="28">
        <v>45139</v>
      </c>
      <c r="H93" s="14"/>
      <c r="I93" s="14" t="s">
        <v>84</v>
      </c>
      <c r="J93" s="52">
        <v>45901</v>
      </c>
      <c r="K93" s="31"/>
      <c r="L93" s="52">
        <v>45931</v>
      </c>
      <c r="M93" s="31"/>
      <c r="N93" s="28">
        <v>45904</v>
      </c>
      <c r="O93" s="29" t="s">
        <v>69</v>
      </c>
      <c r="P93" s="15" t="s">
        <v>70</v>
      </c>
      <c r="Q93" s="13">
        <v>10</v>
      </c>
      <c r="R93" s="44" t="s">
        <v>201</v>
      </c>
      <c r="S93" s="31"/>
      <c r="T93" s="13">
        <v>0.3</v>
      </c>
      <c r="U93" s="29" t="s">
        <v>72</v>
      </c>
    </row>
    <row r="94" spans="1:21" ht="22.5" x14ac:dyDescent="0.2">
      <c r="A94" s="1"/>
      <c r="B94" s="1" t="s">
        <v>65</v>
      </c>
      <c r="C94" s="30" t="s">
        <v>245</v>
      </c>
      <c r="D94" s="31"/>
      <c r="E94" s="31"/>
      <c r="F94" s="1" t="s">
        <v>246</v>
      </c>
      <c r="G94" s="28">
        <v>45292</v>
      </c>
      <c r="H94" s="14"/>
      <c r="I94" s="14" t="s">
        <v>78</v>
      </c>
      <c r="J94" s="52">
        <v>45901</v>
      </c>
      <c r="K94" s="31"/>
      <c r="L94" s="52">
        <v>45931</v>
      </c>
      <c r="M94" s="31"/>
      <c r="N94" s="28">
        <v>45904</v>
      </c>
      <c r="O94" s="29" t="s">
        <v>69</v>
      </c>
      <c r="P94" s="15" t="s">
        <v>70</v>
      </c>
      <c r="Q94" s="13">
        <v>10.8</v>
      </c>
      <c r="R94" s="44" t="s">
        <v>75</v>
      </c>
      <c r="S94" s="31"/>
      <c r="T94" s="13">
        <v>0.97</v>
      </c>
      <c r="U94" s="29" t="s">
        <v>72</v>
      </c>
    </row>
    <row r="95" spans="1:21" ht="22.5" x14ac:dyDescent="0.2">
      <c r="A95" s="1"/>
      <c r="B95" s="1" t="s">
        <v>65</v>
      </c>
      <c r="C95" s="30" t="s">
        <v>247</v>
      </c>
      <c r="D95" s="31"/>
      <c r="E95" s="31"/>
      <c r="F95" s="1" t="s">
        <v>246</v>
      </c>
      <c r="G95" s="28">
        <v>45292</v>
      </c>
      <c r="H95" s="14"/>
      <c r="I95" s="14" t="s">
        <v>183</v>
      </c>
      <c r="J95" s="52">
        <v>45901</v>
      </c>
      <c r="K95" s="31"/>
      <c r="L95" s="52">
        <v>45931</v>
      </c>
      <c r="M95" s="31"/>
      <c r="N95" s="28">
        <v>45904</v>
      </c>
      <c r="O95" s="29" t="s">
        <v>69</v>
      </c>
      <c r="P95" s="15" t="s">
        <v>70</v>
      </c>
      <c r="Q95" s="13">
        <v>52.07</v>
      </c>
      <c r="R95" s="44" t="s">
        <v>71</v>
      </c>
      <c r="S95" s="31"/>
      <c r="T95" s="13">
        <v>9.3699999999999992</v>
      </c>
      <c r="U95" s="29" t="s">
        <v>72</v>
      </c>
    </row>
    <row r="96" spans="1:21" ht="22.5" x14ac:dyDescent="0.2">
      <c r="A96" s="1"/>
      <c r="B96" s="1" t="s">
        <v>65</v>
      </c>
      <c r="C96" s="30" t="s">
        <v>248</v>
      </c>
      <c r="D96" s="31"/>
      <c r="E96" s="31"/>
      <c r="F96" s="1" t="s">
        <v>249</v>
      </c>
      <c r="G96" s="28">
        <v>44927</v>
      </c>
      <c r="H96" s="14"/>
      <c r="I96" s="14" t="s">
        <v>250</v>
      </c>
      <c r="J96" s="52">
        <v>45901</v>
      </c>
      <c r="K96" s="31"/>
      <c r="L96" s="52">
        <v>45931</v>
      </c>
      <c r="M96" s="31"/>
      <c r="N96" s="28">
        <v>45904</v>
      </c>
      <c r="O96" s="29" t="s">
        <v>69</v>
      </c>
      <c r="P96" s="15" t="s">
        <v>70</v>
      </c>
      <c r="Q96" s="13">
        <v>114.4</v>
      </c>
      <c r="R96" s="44" t="s">
        <v>201</v>
      </c>
      <c r="S96" s="31"/>
      <c r="T96" s="13">
        <v>3.43</v>
      </c>
      <c r="U96" s="29" t="s">
        <v>72</v>
      </c>
    </row>
    <row r="97" spans="1:21" ht="22.5" x14ac:dyDescent="0.2">
      <c r="A97" s="1"/>
      <c r="B97" s="1" t="s">
        <v>65</v>
      </c>
      <c r="C97" s="30" t="s">
        <v>251</v>
      </c>
      <c r="D97" s="31"/>
      <c r="E97" s="31"/>
      <c r="F97" s="1" t="s">
        <v>249</v>
      </c>
      <c r="G97" s="28">
        <v>44927</v>
      </c>
      <c r="H97" s="14"/>
      <c r="I97" s="14" t="s">
        <v>207</v>
      </c>
      <c r="J97" s="52">
        <v>45901</v>
      </c>
      <c r="K97" s="31"/>
      <c r="L97" s="52">
        <v>45931</v>
      </c>
      <c r="M97" s="31"/>
      <c r="N97" s="28">
        <v>45904</v>
      </c>
      <c r="O97" s="29" t="s">
        <v>69</v>
      </c>
      <c r="P97" s="15" t="s">
        <v>70</v>
      </c>
      <c r="Q97" s="13">
        <v>22.5</v>
      </c>
      <c r="R97" s="44" t="s">
        <v>201</v>
      </c>
      <c r="S97" s="31"/>
      <c r="T97" s="13">
        <v>0.68</v>
      </c>
      <c r="U97" s="29" t="s">
        <v>72</v>
      </c>
    </row>
    <row r="98" spans="1:21" ht="22.5" x14ac:dyDescent="0.2">
      <c r="A98" s="1"/>
      <c r="B98" s="1" t="s">
        <v>65</v>
      </c>
      <c r="C98" s="30" t="s">
        <v>252</v>
      </c>
      <c r="D98" s="31"/>
      <c r="E98" s="31"/>
      <c r="F98" s="1" t="s">
        <v>249</v>
      </c>
      <c r="G98" s="28">
        <v>44927</v>
      </c>
      <c r="H98" s="14"/>
      <c r="I98" s="14" t="s">
        <v>211</v>
      </c>
      <c r="J98" s="52">
        <v>45901</v>
      </c>
      <c r="K98" s="31"/>
      <c r="L98" s="52">
        <v>45931</v>
      </c>
      <c r="M98" s="31"/>
      <c r="N98" s="28">
        <v>45904</v>
      </c>
      <c r="O98" s="29" t="s">
        <v>69</v>
      </c>
      <c r="P98" s="15" t="s">
        <v>70</v>
      </c>
      <c r="Q98" s="13">
        <v>237.79</v>
      </c>
      <c r="R98" s="44" t="s">
        <v>201</v>
      </c>
      <c r="S98" s="31"/>
      <c r="T98" s="13">
        <v>7.13</v>
      </c>
      <c r="U98" s="29" t="s">
        <v>72</v>
      </c>
    </row>
    <row r="99" spans="1:21" ht="22.5" x14ac:dyDescent="0.2">
      <c r="A99" s="1"/>
      <c r="B99" s="1" t="s">
        <v>65</v>
      </c>
      <c r="C99" s="30" t="s">
        <v>253</v>
      </c>
      <c r="D99" s="31"/>
      <c r="E99" s="31"/>
      <c r="F99" s="1" t="s">
        <v>254</v>
      </c>
      <c r="G99" s="28">
        <v>45263</v>
      </c>
      <c r="H99" s="14"/>
      <c r="I99" s="14" t="s">
        <v>175</v>
      </c>
      <c r="J99" s="52">
        <v>45901</v>
      </c>
      <c r="K99" s="31"/>
      <c r="L99" s="52">
        <v>45931</v>
      </c>
      <c r="M99" s="31"/>
      <c r="N99" s="28">
        <v>45905</v>
      </c>
      <c r="O99" s="29" t="s">
        <v>69</v>
      </c>
      <c r="P99" s="15" t="s">
        <v>70</v>
      </c>
      <c r="Q99" s="13">
        <v>30.03</v>
      </c>
      <c r="R99" s="44" t="s">
        <v>161</v>
      </c>
      <c r="S99" s="31"/>
      <c r="T99" s="13">
        <v>1.35</v>
      </c>
      <c r="U99" s="29" t="s">
        <v>72</v>
      </c>
    </row>
    <row r="100" spans="1:21" ht="22.5" x14ac:dyDescent="0.2">
      <c r="A100" s="1"/>
      <c r="B100" s="1" t="s">
        <v>65</v>
      </c>
      <c r="C100" s="30" t="s">
        <v>255</v>
      </c>
      <c r="D100" s="31"/>
      <c r="E100" s="31"/>
      <c r="F100" s="1" t="s">
        <v>254</v>
      </c>
      <c r="G100" s="28">
        <v>45263</v>
      </c>
      <c r="H100" s="14"/>
      <c r="I100" s="14" t="s">
        <v>157</v>
      </c>
      <c r="J100" s="52">
        <v>45901</v>
      </c>
      <c r="K100" s="31"/>
      <c r="L100" s="52">
        <v>45931</v>
      </c>
      <c r="M100" s="31"/>
      <c r="N100" s="28">
        <v>45905</v>
      </c>
      <c r="O100" s="29" t="s">
        <v>69</v>
      </c>
      <c r="P100" s="15" t="s">
        <v>70</v>
      </c>
      <c r="Q100" s="13">
        <v>68.44</v>
      </c>
      <c r="R100" s="44" t="s">
        <v>71</v>
      </c>
      <c r="S100" s="31"/>
      <c r="T100" s="13">
        <v>12.32</v>
      </c>
      <c r="U100" s="29" t="s">
        <v>72</v>
      </c>
    </row>
    <row r="101" spans="1:21" ht="22.5" x14ac:dyDescent="0.2">
      <c r="A101" s="1"/>
      <c r="B101" s="1" t="s">
        <v>65</v>
      </c>
      <c r="C101" s="30" t="s">
        <v>256</v>
      </c>
      <c r="D101" s="31"/>
      <c r="E101" s="31"/>
      <c r="F101" s="1" t="s">
        <v>257</v>
      </c>
      <c r="G101" s="28">
        <v>45017</v>
      </c>
      <c r="H101" s="14"/>
      <c r="I101" s="14" t="s">
        <v>258</v>
      </c>
      <c r="J101" s="52">
        <v>45901</v>
      </c>
      <c r="K101" s="31"/>
      <c r="L101" s="52">
        <v>45931</v>
      </c>
      <c r="M101" s="31"/>
      <c r="N101" s="28">
        <v>45904</v>
      </c>
      <c r="O101" s="29" t="s">
        <v>69</v>
      </c>
      <c r="P101" s="15" t="s">
        <v>70</v>
      </c>
      <c r="Q101" s="13">
        <v>37.49</v>
      </c>
      <c r="R101" s="44" t="s">
        <v>201</v>
      </c>
      <c r="S101" s="31"/>
      <c r="T101" s="13">
        <v>1.1200000000000001</v>
      </c>
      <c r="U101" s="29" t="s">
        <v>72</v>
      </c>
    </row>
    <row r="102" spans="1:21" ht="22.5" x14ac:dyDescent="0.2">
      <c r="A102" s="1"/>
      <c r="B102" s="1" t="s">
        <v>65</v>
      </c>
      <c r="C102" s="30" t="s">
        <v>259</v>
      </c>
      <c r="D102" s="31"/>
      <c r="E102" s="31"/>
      <c r="F102" s="1" t="s">
        <v>257</v>
      </c>
      <c r="G102" s="28">
        <v>45017</v>
      </c>
      <c r="H102" s="14"/>
      <c r="I102" s="14" t="s">
        <v>157</v>
      </c>
      <c r="J102" s="52">
        <v>45901</v>
      </c>
      <c r="K102" s="31"/>
      <c r="L102" s="52">
        <v>45931</v>
      </c>
      <c r="M102" s="31"/>
      <c r="N102" s="28">
        <v>45904</v>
      </c>
      <c r="O102" s="29" t="s">
        <v>69</v>
      </c>
      <c r="P102" s="15" t="s">
        <v>70</v>
      </c>
      <c r="Q102" s="13">
        <v>98.99</v>
      </c>
      <c r="R102" s="44" t="s">
        <v>172</v>
      </c>
      <c r="S102" s="31"/>
      <c r="T102" s="13">
        <v>5.94</v>
      </c>
      <c r="U102" s="29" t="s">
        <v>72</v>
      </c>
    </row>
    <row r="103" spans="1:21" ht="22.5" x14ac:dyDescent="0.2">
      <c r="A103" s="1"/>
      <c r="B103" s="1" t="s">
        <v>65</v>
      </c>
      <c r="C103" s="30" t="s">
        <v>260</v>
      </c>
      <c r="D103" s="31"/>
      <c r="E103" s="31"/>
      <c r="F103" s="1" t="s">
        <v>261</v>
      </c>
      <c r="G103" s="28">
        <v>44927</v>
      </c>
      <c r="H103" s="14"/>
      <c r="I103" s="14" t="s">
        <v>209</v>
      </c>
      <c r="J103" s="52">
        <v>45901</v>
      </c>
      <c r="K103" s="31"/>
      <c r="L103" s="52">
        <v>45931</v>
      </c>
      <c r="M103" s="31"/>
      <c r="N103" s="28">
        <v>45904</v>
      </c>
      <c r="O103" s="29" t="s">
        <v>69</v>
      </c>
      <c r="P103" s="15" t="s">
        <v>70</v>
      </c>
      <c r="Q103" s="13">
        <v>14.04</v>
      </c>
      <c r="R103" s="44" t="s">
        <v>201</v>
      </c>
      <c r="S103" s="31"/>
      <c r="T103" s="13">
        <v>0.42</v>
      </c>
      <c r="U103" s="29" t="s">
        <v>72</v>
      </c>
    </row>
    <row r="104" spans="1:21" ht="33.75" x14ac:dyDescent="0.2">
      <c r="A104" s="1"/>
      <c r="B104" s="1" t="s">
        <v>65</v>
      </c>
      <c r="C104" s="30" t="s">
        <v>262</v>
      </c>
      <c r="D104" s="31"/>
      <c r="E104" s="31"/>
      <c r="F104" s="1" t="s">
        <v>263</v>
      </c>
      <c r="G104" s="28">
        <v>45200</v>
      </c>
      <c r="H104" s="14"/>
      <c r="I104" s="14" t="s">
        <v>175</v>
      </c>
      <c r="J104" s="52">
        <v>45901</v>
      </c>
      <c r="K104" s="31"/>
      <c r="L104" s="52">
        <v>45931</v>
      </c>
      <c r="M104" s="31"/>
      <c r="N104" s="28">
        <v>45904</v>
      </c>
      <c r="O104" s="29" t="s">
        <v>69</v>
      </c>
      <c r="P104" s="15" t="s">
        <v>70</v>
      </c>
      <c r="Q104" s="13">
        <v>30.09</v>
      </c>
      <c r="R104" s="44" t="s">
        <v>161</v>
      </c>
      <c r="S104" s="31"/>
      <c r="T104" s="13">
        <v>1.35</v>
      </c>
      <c r="U104" s="29" t="s">
        <v>72</v>
      </c>
    </row>
    <row r="105" spans="1:21" ht="33.75" x14ac:dyDescent="0.2">
      <c r="A105" s="1"/>
      <c r="B105" s="1" t="s">
        <v>65</v>
      </c>
      <c r="C105" s="30" t="s">
        <v>264</v>
      </c>
      <c r="D105" s="31"/>
      <c r="E105" s="31"/>
      <c r="F105" s="1" t="s">
        <v>263</v>
      </c>
      <c r="G105" s="28">
        <v>45200</v>
      </c>
      <c r="H105" s="14"/>
      <c r="I105" s="14" t="s">
        <v>191</v>
      </c>
      <c r="J105" s="52">
        <v>45901</v>
      </c>
      <c r="K105" s="31"/>
      <c r="L105" s="52">
        <v>45931</v>
      </c>
      <c r="M105" s="31"/>
      <c r="N105" s="28">
        <v>45904</v>
      </c>
      <c r="O105" s="29" t="s">
        <v>69</v>
      </c>
      <c r="P105" s="15" t="s">
        <v>70</v>
      </c>
      <c r="Q105" s="13">
        <v>40.86</v>
      </c>
      <c r="R105" s="44" t="s">
        <v>71</v>
      </c>
      <c r="S105" s="31"/>
      <c r="T105" s="13">
        <v>7.35</v>
      </c>
      <c r="U105" s="29" t="s">
        <v>72</v>
      </c>
    </row>
    <row r="106" spans="1:21" x14ac:dyDescent="0.2">
      <c r="A106" s="1"/>
      <c r="B106" s="1" t="s">
        <v>65</v>
      </c>
      <c r="C106" s="30" t="s">
        <v>265</v>
      </c>
      <c r="D106" s="31"/>
      <c r="E106" s="31"/>
      <c r="F106" s="1" t="s">
        <v>266</v>
      </c>
      <c r="G106" s="28">
        <v>44927</v>
      </c>
      <c r="H106" s="14"/>
      <c r="I106" s="14" t="s">
        <v>267</v>
      </c>
      <c r="J106" s="52">
        <v>45901</v>
      </c>
      <c r="K106" s="31"/>
      <c r="L106" s="52">
        <v>45931</v>
      </c>
      <c r="M106" s="31"/>
      <c r="N106" s="28">
        <v>45904</v>
      </c>
      <c r="O106" s="29" t="s">
        <v>69</v>
      </c>
      <c r="P106" s="15" t="s">
        <v>70</v>
      </c>
      <c r="Q106" s="13">
        <v>23</v>
      </c>
      <c r="R106" s="44" t="s">
        <v>201</v>
      </c>
      <c r="S106" s="31"/>
      <c r="T106" s="13">
        <v>0.69</v>
      </c>
      <c r="U106" s="29" t="s">
        <v>72</v>
      </c>
    </row>
    <row r="107" spans="1:21" ht="22.5" x14ac:dyDescent="0.2">
      <c r="A107" s="1"/>
      <c r="B107" s="1" t="s">
        <v>65</v>
      </c>
      <c r="C107" s="30" t="s">
        <v>268</v>
      </c>
      <c r="D107" s="31"/>
      <c r="E107" s="31"/>
      <c r="F107" s="1" t="s">
        <v>269</v>
      </c>
      <c r="G107" s="28">
        <v>45170</v>
      </c>
      <c r="H107" s="14"/>
      <c r="I107" s="14" t="s">
        <v>155</v>
      </c>
      <c r="J107" s="52">
        <v>45901</v>
      </c>
      <c r="K107" s="31"/>
      <c r="L107" s="52">
        <v>45931</v>
      </c>
      <c r="M107" s="31"/>
      <c r="N107" s="28">
        <v>45904</v>
      </c>
      <c r="O107" s="29" t="s">
        <v>69</v>
      </c>
      <c r="P107" s="15" t="s">
        <v>70</v>
      </c>
      <c r="Q107" s="13">
        <v>39.06</v>
      </c>
      <c r="R107" s="44" t="s">
        <v>95</v>
      </c>
      <c r="S107" s="31"/>
      <c r="T107" s="13">
        <v>2.73</v>
      </c>
      <c r="U107" s="29" t="s">
        <v>72</v>
      </c>
    </row>
    <row r="108" spans="1:21" ht="22.5" x14ac:dyDescent="0.2">
      <c r="A108" s="1"/>
      <c r="B108" s="1" t="s">
        <v>65</v>
      </c>
      <c r="C108" s="30" t="s">
        <v>270</v>
      </c>
      <c r="D108" s="31"/>
      <c r="E108" s="31"/>
      <c r="F108" s="1" t="s">
        <v>269</v>
      </c>
      <c r="G108" s="28">
        <v>45170</v>
      </c>
      <c r="H108" s="14"/>
      <c r="I108" s="14" t="s">
        <v>99</v>
      </c>
      <c r="J108" s="52">
        <v>45901</v>
      </c>
      <c r="K108" s="31"/>
      <c r="L108" s="52">
        <v>45931</v>
      </c>
      <c r="M108" s="31"/>
      <c r="N108" s="28">
        <v>45904</v>
      </c>
      <c r="O108" s="29" t="s">
        <v>69</v>
      </c>
      <c r="P108" s="15" t="s">
        <v>70</v>
      </c>
      <c r="Q108" s="13">
        <v>82.14</v>
      </c>
      <c r="R108" s="44" t="s">
        <v>71</v>
      </c>
      <c r="S108" s="31"/>
      <c r="T108" s="13">
        <v>14.79</v>
      </c>
      <c r="U108" s="29" t="s">
        <v>72</v>
      </c>
    </row>
    <row r="109" spans="1:21" ht="22.5" x14ac:dyDescent="0.2">
      <c r="A109" s="1"/>
      <c r="B109" s="1" t="s">
        <v>65</v>
      </c>
      <c r="C109" s="30" t="s">
        <v>271</v>
      </c>
      <c r="D109" s="31"/>
      <c r="E109" s="31"/>
      <c r="F109" s="1" t="s">
        <v>272</v>
      </c>
      <c r="G109" s="28">
        <v>44927</v>
      </c>
      <c r="H109" s="14"/>
      <c r="I109" s="14" t="s">
        <v>78</v>
      </c>
      <c r="J109" s="52">
        <v>45901</v>
      </c>
      <c r="K109" s="31"/>
      <c r="L109" s="52">
        <v>45931</v>
      </c>
      <c r="M109" s="31"/>
      <c r="N109" s="28">
        <v>45904</v>
      </c>
      <c r="O109" s="29" t="s">
        <v>69</v>
      </c>
      <c r="P109" s="15" t="s">
        <v>70</v>
      </c>
      <c r="Q109" s="13">
        <v>13.6</v>
      </c>
      <c r="R109" s="44" t="s">
        <v>201</v>
      </c>
      <c r="S109" s="31"/>
      <c r="T109" s="13">
        <v>0.41</v>
      </c>
      <c r="U109" s="29" t="s">
        <v>72</v>
      </c>
    </row>
    <row r="110" spans="1:21" ht="22.5" x14ac:dyDescent="0.2">
      <c r="A110" s="1"/>
      <c r="B110" s="1" t="s">
        <v>65</v>
      </c>
      <c r="C110" s="30" t="s">
        <v>273</v>
      </c>
      <c r="D110" s="31"/>
      <c r="E110" s="31"/>
      <c r="F110" s="1" t="s">
        <v>272</v>
      </c>
      <c r="G110" s="28">
        <v>44927</v>
      </c>
      <c r="H110" s="14"/>
      <c r="I110" s="14" t="s">
        <v>183</v>
      </c>
      <c r="J110" s="52">
        <v>45901</v>
      </c>
      <c r="K110" s="31"/>
      <c r="L110" s="52">
        <v>45931</v>
      </c>
      <c r="M110" s="31"/>
      <c r="N110" s="28">
        <v>45904</v>
      </c>
      <c r="O110" s="29" t="s">
        <v>69</v>
      </c>
      <c r="P110" s="15" t="s">
        <v>70</v>
      </c>
      <c r="Q110" s="13">
        <v>56.38</v>
      </c>
      <c r="R110" s="44" t="s">
        <v>172</v>
      </c>
      <c r="S110" s="31"/>
      <c r="T110" s="13">
        <v>3.38</v>
      </c>
      <c r="U110" s="29" t="s">
        <v>72</v>
      </c>
    </row>
    <row r="111" spans="1:21" ht="22.5" x14ac:dyDescent="0.2">
      <c r="A111" s="1"/>
      <c r="B111" s="1" t="s">
        <v>65</v>
      </c>
      <c r="C111" s="30" t="s">
        <v>274</v>
      </c>
      <c r="D111" s="31"/>
      <c r="E111" s="31"/>
      <c r="F111" s="1" t="s">
        <v>275</v>
      </c>
      <c r="G111" s="28">
        <v>45272</v>
      </c>
      <c r="H111" s="14"/>
      <c r="I111" s="14" t="s">
        <v>94</v>
      </c>
      <c r="J111" s="52">
        <v>45901</v>
      </c>
      <c r="K111" s="31"/>
      <c r="L111" s="52">
        <v>45931</v>
      </c>
      <c r="M111" s="31"/>
      <c r="N111" s="28">
        <v>45906</v>
      </c>
      <c r="O111" s="29" t="s">
        <v>69</v>
      </c>
      <c r="P111" s="15" t="s">
        <v>70</v>
      </c>
      <c r="Q111" s="13">
        <v>26.56</v>
      </c>
      <c r="R111" s="44" t="s">
        <v>95</v>
      </c>
      <c r="S111" s="31"/>
      <c r="T111" s="13">
        <v>1.86</v>
      </c>
      <c r="U111" s="29" t="s">
        <v>72</v>
      </c>
    </row>
    <row r="112" spans="1:21" ht="22.5" x14ac:dyDescent="0.2">
      <c r="A112" s="1"/>
      <c r="B112" s="1" t="s">
        <v>65</v>
      </c>
      <c r="C112" s="30" t="s">
        <v>276</v>
      </c>
      <c r="D112" s="31"/>
      <c r="E112" s="31"/>
      <c r="F112" s="1" t="s">
        <v>277</v>
      </c>
      <c r="G112" s="28">
        <v>44958</v>
      </c>
      <c r="H112" s="14"/>
      <c r="I112" s="14" t="s">
        <v>278</v>
      </c>
      <c r="J112" s="52">
        <v>45901</v>
      </c>
      <c r="K112" s="31"/>
      <c r="L112" s="52">
        <v>45931</v>
      </c>
      <c r="M112" s="31"/>
      <c r="N112" s="28">
        <v>45904</v>
      </c>
      <c r="O112" s="29" t="s">
        <v>69</v>
      </c>
      <c r="P112" s="15" t="s">
        <v>70</v>
      </c>
      <c r="Q112" s="13">
        <v>39</v>
      </c>
      <c r="R112" s="44" t="s">
        <v>201</v>
      </c>
      <c r="S112" s="31"/>
      <c r="T112" s="13">
        <v>1.17</v>
      </c>
      <c r="U112" s="29" t="s">
        <v>72</v>
      </c>
    </row>
    <row r="113" spans="1:21" ht="22.5" x14ac:dyDescent="0.2">
      <c r="A113" s="1"/>
      <c r="B113" s="1" t="s">
        <v>65</v>
      </c>
      <c r="C113" s="30" t="s">
        <v>279</v>
      </c>
      <c r="D113" s="31"/>
      <c r="E113" s="31"/>
      <c r="F113" s="1" t="s">
        <v>277</v>
      </c>
      <c r="G113" s="28">
        <v>44958</v>
      </c>
      <c r="H113" s="14"/>
      <c r="I113" s="14" t="s">
        <v>157</v>
      </c>
      <c r="J113" s="52">
        <v>45901</v>
      </c>
      <c r="K113" s="31"/>
      <c r="L113" s="52">
        <v>45931</v>
      </c>
      <c r="M113" s="31"/>
      <c r="N113" s="28">
        <v>45904</v>
      </c>
      <c r="O113" s="29" t="s">
        <v>69</v>
      </c>
      <c r="P113" s="15" t="s">
        <v>70</v>
      </c>
      <c r="Q113" s="13">
        <v>102.79</v>
      </c>
      <c r="R113" s="44" t="s">
        <v>172</v>
      </c>
      <c r="S113" s="31"/>
      <c r="T113" s="13">
        <v>6.17</v>
      </c>
      <c r="U113" s="29" t="s">
        <v>72</v>
      </c>
    </row>
    <row r="114" spans="1:21" ht="22.5" x14ac:dyDescent="0.2">
      <c r="A114" s="1"/>
      <c r="B114" s="1" t="s">
        <v>65</v>
      </c>
      <c r="C114" s="30" t="s">
        <v>280</v>
      </c>
      <c r="D114" s="31"/>
      <c r="E114" s="31"/>
      <c r="F114" s="1" t="s">
        <v>281</v>
      </c>
      <c r="G114" s="28">
        <v>45170</v>
      </c>
      <c r="H114" s="14"/>
      <c r="I114" s="14" t="s">
        <v>211</v>
      </c>
      <c r="J114" s="52">
        <v>45901</v>
      </c>
      <c r="K114" s="31"/>
      <c r="L114" s="52">
        <v>45931</v>
      </c>
      <c r="M114" s="31"/>
      <c r="N114" s="28">
        <v>45904</v>
      </c>
      <c r="O114" s="29" t="s">
        <v>69</v>
      </c>
      <c r="P114" s="15" t="s">
        <v>70</v>
      </c>
      <c r="Q114" s="13">
        <v>103.59</v>
      </c>
      <c r="R114" s="44" t="s">
        <v>172</v>
      </c>
      <c r="S114" s="31"/>
      <c r="T114" s="13">
        <v>6.22</v>
      </c>
      <c r="U114" s="29" t="s">
        <v>72</v>
      </c>
    </row>
    <row r="115" spans="1:21" ht="33.75" x14ac:dyDescent="0.2">
      <c r="A115" s="1"/>
      <c r="B115" s="1" t="s">
        <v>65</v>
      </c>
      <c r="C115" s="30" t="s">
        <v>282</v>
      </c>
      <c r="D115" s="31"/>
      <c r="E115" s="31"/>
      <c r="F115" s="1" t="s">
        <v>283</v>
      </c>
      <c r="G115" s="28">
        <v>45352</v>
      </c>
      <c r="H115" s="14"/>
      <c r="I115" s="14" t="s">
        <v>284</v>
      </c>
      <c r="J115" s="52">
        <v>45901</v>
      </c>
      <c r="K115" s="31"/>
      <c r="L115" s="52">
        <v>45931</v>
      </c>
      <c r="M115" s="31"/>
      <c r="N115" s="28">
        <v>45904</v>
      </c>
      <c r="O115" s="29" t="s">
        <v>69</v>
      </c>
      <c r="P115" s="15" t="s">
        <v>70</v>
      </c>
      <c r="Q115" s="13">
        <v>64.48</v>
      </c>
      <c r="R115" s="44" t="s">
        <v>75</v>
      </c>
      <c r="S115" s="31"/>
      <c r="T115" s="13">
        <v>5.8</v>
      </c>
      <c r="U115" s="29" t="s">
        <v>72</v>
      </c>
    </row>
    <row r="116" spans="1:21" ht="22.5" x14ac:dyDescent="0.2">
      <c r="A116" s="1"/>
      <c r="B116" s="1" t="s">
        <v>65</v>
      </c>
      <c r="C116" s="30" t="s">
        <v>285</v>
      </c>
      <c r="D116" s="31"/>
      <c r="E116" s="31"/>
      <c r="F116" s="1" t="s">
        <v>286</v>
      </c>
      <c r="G116" s="28">
        <v>45017</v>
      </c>
      <c r="H116" s="14"/>
      <c r="I116" s="14" t="s">
        <v>258</v>
      </c>
      <c r="J116" s="52">
        <v>45901</v>
      </c>
      <c r="K116" s="31"/>
      <c r="L116" s="52">
        <v>45931</v>
      </c>
      <c r="M116" s="31"/>
      <c r="N116" s="28">
        <v>45904</v>
      </c>
      <c r="O116" s="29" t="s">
        <v>69</v>
      </c>
      <c r="P116" s="15" t="s">
        <v>70</v>
      </c>
      <c r="Q116" s="13">
        <v>32.130000000000003</v>
      </c>
      <c r="R116" s="44" t="s">
        <v>201</v>
      </c>
      <c r="S116" s="31"/>
      <c r="T116" s="13">
        <v>0.96</v>
      </c>
      <c r="U116" s="29" t="s">
        <v>72</v>
      </c>
    </row>
    <row r="117" spans="1:21" ht="22.5" x14ac:dyDescent="0.2">
      <c r="A117" s="1"/>
      <c r="B117" s="1" t="s">
        <v>65</v>
      </c>
      <c r="C117" s="30" t="s">
        <v>287</v>
      </c>
      <c r="D117" s="31"/>
      <c r="E117" s="31"/>
      <c r="F117" s="1" t="s">
        <v>286</v>
      </c>
      <c r="G117" s="28">
        <v>45017</v>
      </c>
      <c r="H117" s="14"/>
      <c r="I117" s="14" t="s">
        <v>211</v>
      </c>
      <c r="J117" s="52">
        <v>45901</v>
      </c>
      <c r="K117" s="31"/>
      <c r="L117" s="52">
        <v>45931</v>
      </c>
      <c r="M117" s="31"/>
      <c r="N117" s="28">
        <v>45904</v>
      </c>
      <c r="O117" s="29" t="s">
        <v>69</v>
      </c>
      <c r="P117" s="15" t="s">
        <v>70</v>
      </c>
      <c r="Q117" s="13">
        <v>72.73</v>
      </c>
      <c r="R117" s="44" t="s">
        <v>172</v>
      </c>
      <c r="S117" s="31"/>
      <c r="T117" s="13">
        <v>4.3600000000000003</v>
      </c>
      <c r="U117" s="29" t="s">
        <v>72</v>
      </c>
    </row>
    <row r="118" spans="1:21" ht="22.5" x14ac:dyDescent="0.2">
      <c r="A118" s="1"/>
      <c r="B118" s="1" t="s">
        <v>65</v>
      </c>
      <c r="C118" s="30" t="s">
        <v>288</v>
      </c>
      <c r="D118" s="31"/>
      <c r="E118" s="31"/>
      <c r="F118" s="1" t="s">
        <v>289</v>
      </c>
      <c r="G118" s="28">
        <v>44896</v>
      </c>
      <c r="H118" s="14"/>
      <c r="I118" s="14" t="s">
        <v>78</v>
      </c>
      <c r="J118" s="52">
        <v>45901</v>
      </c>
      <c r="K118" s="31"/>
      <c r="L118" s="52">
        <v>45931</v>
      </c>
      <c r="M118" s="31"/>
      <c r="N118" s="28">
        <v>45904</v>
      </c>
      <c r="O118" s="29" t="s">
        <v>69</v>
      </c>
      <c r="P118" s="15" t="s">
        <v>70</v>
      </c>
      <c r="Q118" s="13">
        <v>10.6</v>
      </c>
      <c r="R118" s="44" t="s">
        <v>201</v>
      </c>
      <c r="S118" s="31"/>
      <c r="T118" s="13">
        <v>0.32</v>
      </c>
      <c r="U118" s="29" t="s">
        <v>72</v>
      </c>
    </row>
    <row r="119" spans="1:21" ht="22.5" x14ac:dyDescent="0.2">
      <c r="A119" s="1"/>
      <c r="B119" s="1" t="s">
        <v>65</v>
      </c>
      <c r="C119" s="30" t="s">
        <v>290</v>
      </c>
      <c r="D119" s="31"/>
      <c r="E119" s="31"/>
      <c r="F119" s="1" t="s">
        <v>291</v>
      </c>
      <c r="G119" s="28">
        <v>45261</v>
      </c>
      <c r="H119" s="14"/>
      <c r="I119" s="14" t="s">
        <v>175</v>
      </c>
      <c r="J119" s="52">
        <v>45901</v>
      </c>
      <c r="K119" s="31"/>
      <c r="L119" s="52">
        <v>45931</v>
      </c>
      <c r="M119" s="31"/>
      <c r="N119" s="28">
        <v>45904</v>
      </c>
      <c r="O119" s="29" t="s">
        <v>69</v>
      </c>
      <c r="P119" s="15" t="s">
        <v>70</v>
      </c>
      <c r="Q119" s="13">
        <v>30.03</v>
      </c>
      <c r="R119" s="44" t="s">
        <v>161</v>
      </c>
      <c r="S119" s="31"/>
      <c r="T119" s="13">
        <v>1.35</v>
      </c>
      <c r="U119" s="29" t="s">
        <v>72</v>
      </c>
    </row>
    <row r="120" spans="1:21" ht="22.5" x14ac:dyDescent="0.2">
      <c r="A120" s="1"/>
      <c r="B120" s="1" t="s">
        <v>65</v>
      </c>
      <c r="C120" s="30" t="s">
        <v>292</v>
      </c>
      <c r="D120" s="31"/>
      <c r="E120" s="31"/>
      <c r="F120" s="1" t="s">
        <v>291</v>
      </c>
      <c r="G120" s="28">
        <v>45261</v>
      </c>
      <c r="H120" s="14"/>
      <c r="I120" s="14" t="s">
        <v>157</v>
      </c>
      <c r="J120" s="52">
        <v>45901</v>
      </c>
      <c r="K120" s="31"/>
      <c r="L120" s="52">
        <v>45931</v>
      </c>
      <c r="M120" s="31"/>
      <c r="N120" s="28">
        <v>45904</v>
      </c>
      <c r="O120" s="29" t="s">
        <v>69</v>
      </c>
      <c r="P120" s="15" t="s">
        <v>70</v>
      </c>
      <c r="Q120" s="13">
        <v>80.819999999999993</v>
      </c>
      <c r="R120" s="44" t="s">
        <v>71</v>
      </c>
      <c r="S120" s="31"/>
      <c r="T120" s="13">
        <v>14.55</v>
      </c>
      <c r="U120" s="29" t="s">
        <v>72</v>
      </c>
    </row>
    <row r="121" spans="1:21" ht="22.5" x14ac:dyDescent="0.2">
      <c r="A121" s="1"/>
      <c r="B121" s="1" t="s">
        <v>65</v>
      </c>
      <c r="C121" s="30" t="s">
        <v>293</v>
      </c>
      <c r="D121" s="31"/>
      <c r="E121" s="31"/>
      <c r="F121" s="1" t="s">
        <v>294</v>
      </c>
      <c r="G121" s="28">
        <v>44959</v>
      </c>
      <c r="H121" s="14"/>
      <c r="I121" s="14" t="s">
        <v>81</v>
      </c>
      <c r="J121" s="52">
        <v>45901</v>
      </c>
      <c r="K121" s="31"/>
      <c r="L121" s="52">
        <v>45931</v>
      </c>
      <c r="M121" s="31"/>
      <c r="N121" s="28">
        <v>45904</v>
      </c>
      <c r="O121" s="29" t="s">
        <v>69</v>
      </c>
      <c r="P121" s="15" t="s">
        <v>70</v>
      </c>
      <c r="Q121" s="13">
        <v>9</v>
      </c>
      <c r="R121" s="44" t="s">
        <v>201</v>
      </c>
      <c r="S121" s="31"/>
      <c r="T121" s="13">
        <v>0.27</v>
      </c>
      <c r="U121" s="29" t="s">
        <v>72</v>
      </c>
    </row>
    <row r="122" spans="1:21" ht="22.5" x14ac:dyDescent="0.2">
      <c r="A122" s="1"/>
      <c r="B122" s="1" t="s">
        <v>65</v>
      </c>
      <c r="C122" s="30" t="s">
        <v>295</v>
      </c>
      <c r="D122" s="31"/>
      <c r="E122" s="31"/>
      <c r="F122" s="1" t="s">
        <v>294</v>
      </c>
      <c r="G122" s="28">
        <v>44959</v>
      </c>
      <c r="H122" s="14"/>
      <c r="I122" s="14" t="s">
        <v>278</v>
      </c>
      <c r="J122" s="52">
        <v>45901</v>
      </c>
      <c r="K122" s="31"/>
      <c r="L122" s="52">
        <v>45931</v>
      </c>
      <c r="M122" s="31"/>
      <c r="N122" s="28">
        <v>45904</v>
      </c>
      <c r="O122" s="29" t="s">
        <v>69</v>
      </c>
      <c r="P122" s="15" t="s">
        <v>70</v>
      </c>
      <c r="Q122" s="13">
        <v>39</v>
      </c>
      <c r="R122" s="44" t="s">
        <v>201</v>
      </c>
      <c r="S122" s="31"/>
      <c r="T122" s="13">
        <v>1.17</v>
      </c>
      <c r="U122" s="29" t="s">
        <v>72</v>
      </c>
    </row>
    <row r="123" spans="1:21" ht="22.5" x14ac:dyDescent="0.2">
      <c r="A123" s="1"/>
      <c r="B123" s="1" t="s">
        <v>65</v>
      </c>
      <c r="C123" s="30" t="s">
        <v>296</v>
      </c>
      <c r="D123" s="31"/>
      <c r="E123" s="31"/>
      <c r="F123" s="1" t="s">
        <v>294</v>
      </c>
      <c r="G123" s="28">
        <v>44959</v>
      </c>
      <c r="H123" s="14"/>
      <c r="I123" s="14" t="s">
        <v>211</v>
      </c>
      <c r="J123" s="52">
        <v>45901</v>
      </c>
      <c r="K123" s="31"/>
      <c r="L123" s="52">
        <v>45931</v>
      </c>
      <c r="M123" s="31"/>
      <c r="N123" s="28">
        <v>45904</v>
      </c>
      <c r="O123" s="29" t="s">
        <v>69</v>
      </c>
      <c r="P123" s="15" t="s">
        <v>70</v>
      </c>
      <c r="Q123" s="13">
        <v>72.73</v>
      </c>
      <c r="R123" s="44" t="s">
        <v>172</v>
      </c>
      <c r="S123" s="31"/>
      <c r="T123" s="13">
        <v>4.3600000000000003</v>
      </c>
      <c r="U123" s="29" t="s">
        <v>72</v>
      </c>
    </row>
    <row r="124" spans="1:21" ht="22.5" x14ac:dyDescent="0.2">
      <c r="A124" s="1"/>
      <c r="B124" s="1" t="s">
        <v>65</v>
      </c>
      <c r="C124" s="30" t="s">
        <v>297</v>
      </c>
      <c r="D124" s="31"/>
      <c r="E124" s="31"/>
      <c r="F124" s="1" t="s">
        <v>298</v>
      </c>
      <c r="G124" s="28">
        <v>44927</v>
      </c>
      <c r="H124" s="14"/>
      <c r="I124" s="14" t="s">
        <v>250</v>
      </c>
      <c r="J124" s="52">
        <v>45901</v>
      </c>
      <c r="K124" s="31"/>
      <c r="L124" s="52">
        <v>45931</v>
      </c>
      <c r="M124" s="31"/>
      <c r="N124" s="28">
        <v>45904</v>
      </c>
      <c r="O124" s="29" t="s">
        <v>69</v>
      </c>
      <c r="P124" s="15" t="s">
        <v>70</v>
      </c>
      <c r="Q124" s="13">
        <v>32.76</v>
      </c>
      <c r="R124" s="44" t="s">
        <v>201</v>
      </c>
      <c r="S124" s="31"/>
      <c r="T124" s="13">
        <v>0.98</v>
      </c>
      <c r="U124" s="29" t="s">
        <v>72</v>
      </c>
    </row>
    <row r="125" spans="1:21" ht="22.5" x14ac:dyDescent="0.2">
      <c r="A125" s="1"/>
      <c r="B125" s="1" t="s">
        <v>65</v>
      </c>
      <c r="C125" s="30" t="s">
        <v>299</v>
      </c>
      <c r="D125" s="31"/>
      <c r="E125" s="31"/>
      <c r="F125" s="1" t="s">
        <v>298</v>
      </c>
      <c r="G125" s="28">
        <v>44927</v>
      </c>
      <c r="H125" s="14"/>
      <c r="I125" s="14" t="s">
        <v>211</v>
      </c>
      <c r="J125" s="52">
        <v>45901</v>
      </c>
      <c r="K125" s="31"/>
      <c r="L125" s="52">
        <v>45931</v>
      </c>
      <c r="M125" s="31"/>
      <c r="N125" s="28">
        <v>45904</v>
      </c>
      <c r="O125" s="29" t="s">
        <v>69</v>
      </c>
      <c r="P125" s="15" t="s">
        <v>70</v>
      </c>
      <c r="Q125" s="13">
        <v>106.23</v>
      </c>
      <c r="R125" s="44" t="s">
        <v>201</v>
      </c>
      <c r="S125" s="31"/>
      <c r="T125" s="13">
        <v>3.19</v>
      </c>
      <c r="U125" s="29" t="s">
        <v>72</v>
      </c>
    </row>
    <row r="126" spans="1:21" ht="22.5" x14ac:dyDescent="0.2">
      <c r="A126" s="1"/>
      <c r="B126" s="1" t="s">
        <v>65</v>
      </c>
      <c r="C126" s="30" t="s">
        <v>300</v>
      </c>
      <c r="D126" s="31"/>
      <c r="E126" s="31"/>
      <c r="F126" s="1" t="s">
        <v>301</v>
      </c>
      <c r="G126" s="28">
        <v>45292</v>
      </c>
      <c r="H126" s="14"/>
      <c r="I126" s="14" t="s">
        <v>175</v>
      </c>
      <c r="J126" s="52">
        <v>45901</v>
      </c>
      <c r="K126" s="31"/>
      <c r="L126" s="52">
        <v>45931</v>
      </c>
      <c r="M126" s="31"/>
      <c r="N126" s="28">
        <v>45904</v>
      </c>
      <c r="O126" s="29" t="s">
        <v>69</v>
      </c>
      <c r="P126" s="15" t="s">
        <v>70</v>
      </c>
      <c r="Q126" s="13">
        <v>30.03</v>
      </c>
      <c r="R126" s="44" t="s">
        <v>161</v>
      </c>
      <c r="S126" s="31"/>
      <c r="T126" s="13">
        <v>1.35</v>
      </c>
      <c r="U126" s="29" t="s">
        <v>72</v>
      </c>
    </row>
    <row r="127" spans="1:21" ht="22.5" x14ac:dyDescent="0.2">
      <c r="A127" s="1"/>
      <c r="B127" s="1" t="s">
        <v>65</v>
      </c>
      <c r="C127" s="30" t="s">
        <v>302</v>
      </c>
      <c r="D127" s="31"/>
      <c r="E127" s="31"/>
      <c r="F127" s="1" t="s">
        <v>301</v>
      </c>
      <c r="G127" s="28">
        <v>45292</v>
      </c>
      <c r="H127" s="14"/>
      <c r="I127" s="14" t="s">
        <v>157</v>
      </c>
      <c r="J127" s="52">
        <v>45901</v>
      </c>
      <c r="K127" s="31"/>
      <c r="L127" s="52">
        <v>45931</v>
      </c>
      <c r="M127" s="31"/>
      <c r="N127" s="28">
        <v>45904</v>
      </c>
      <c r="O127" s="29" t="s">
        <v>69</v>
      </c>
      <c r="P127" s="15" t="s">
        <v>70</v>
      </c>
      <c r="Q127" s="13">
        <v>58.7</v>
      </c>
      <c r="R127" s="44" t="s">
        <v>71</v>
      </c>
      <c r="S127" s="31"/>
      <c r="T127" s="13">
        <v>10.57</v>
      </c>
      <c r="U127" s="29" t="s">
        <v>72</v>
      </c>
    </row>
    <row r="128" spans="1:21" ht="22.5" x14ac:dyDescent="0.2">
      <c r="A128" s="1"/>
      <c r="B128" s="1" t="s">
        <v>65</v>
      </c>
      <c r="C128" s="30" t="s">
        <v>303</v>
      </c>
      <c r="D128" s="31"/>
      <c r="E128" s="31"/>
      <c r="F128" s="1" t="s">
        <v>304</v>
      </c>
      <c r="G128" s="28">
        <v>45413</v>
      </c>
      <c r="H128" s="14"/>
      <c r="I128" s="14" t="s">
        <v>155</v>
      </c>
      <c r="J128" s="52">
        <v>45901</v>
      </c>
      <c r="K128" s="31"/>
      <c r="L128" s="52">
        <v>45931</v>
      </c>
      <c r="M128" s="31"/>
      <c r="N128" s="28">
        <v>45904</v>
      </c>
      <c r="O128" s="29" t="s">
        <v>69</v>
      </c>
      <c r="P128" s="15" t="s">
        <v>70</v>
      </c>
      <c r="Q128" s="13">
        <v>46.98</v>
      </c>
      <c r="R128" s="44" t="s">
        <v>161</v>
      </c>
      <c r="S128" s="31"/>
      <c r="T128" s="13">
        <v>2.11</v>
      </c>
      <c r="U128" s="29" t="s">
        <v>72</v>
      </c>
    </row>
    <row r="129" spans="1:21" ht="22.5" x14ac:dyDescent="0.2">
      <c r="A129" s="1"/>
      <c r="B129" s="1" t="s">
        <v>65</v>
      </c>
      <c r="C129" s="30" t="s">
        <v>305</v>
      </c>
      <c r="D129" s="31"/>
      <c r="E129" s="31"/>
      <c r="F129" s="1" t="s">
        <v>306</v>
      </c>
      <c r="G129" s="28">
        <v>45352</v>
      </c>
      <c r="H129" s="14"/>
      <c r="I129" s="14" t="s">
        <v>284</v>
      </c>
      <c r="J129" s="52">
        <v>45901</v>
      </c>
      <c r="K129" s="31"/>
      <c r="L129" s="52">
        <v>45931</v>
      </c>
      <c r="M129" s="31"/>
      <c r="N129" s="28">
        <v>45904</v>
      </c>
      <c r="O129" s="29" t="s">
        <v>69</v>
      </c>
      <c r="P129" s="15" t="s">
        <v>70</v>
      </c>
      <c r="Q129" s="13">
        <v>49.7</v>
      </c>
      <c r="R129" s="44" t="s">
        <v>95</v>
      </c>
      <c r="S129" s="31"/>
      <c r="T129" s="13">
        <v>3.48</v>
      </c>
      <c r="U129" s="29" t="s">
        <v>72</v>
      </c>
    </row>
    <row r="130" spans="1:21" ht="22.5" x14ac:dyDescent="0.2">
      <c r="A130" s="1"/>
      <c r="B130" s="1" t="s">
        <v>65</v>
      </c>
      <c r="C130" s="30" t="s">
        <v>307</v>
      </c>
      <c r="D130" s="31"/>
      <c r="E130" s="31"/>
      <c r="F130" s="1" t="s">
        <v>308</v>
      </c>
      <c r="G130" s="28">
        <v>45292</v>
      </c>
      <c r="H130" s="14"/>
      <c r="I130" s="14" t="s">
        <v>94</v>
      </c>
      <c r="J130" s="52">
        <v>45901</v>
      </c>
      <c r="K130" s="31"/>
      <c r="L130" s="52">
        <v>45931</v>
      </c>
      <c r="M130" s="31"/>
      <c r="N130" s="28">
        <v>45904</v>
      </c>
      <c r="O130" s="29" t="s">
        <v>69</v>
      </c>
      <c r="P130" s="15" t="s">
        <v>70</v>
      </c>
      <c r="Q130" s="13">
        <v>26.56</v>
      </c>
      <c r="R130" s="44" t="s">
        <v>95</v>
      </c>
      <c r="S130" s="31"/>
      <c r="T130" s="13">
        <v>1.86</v>
      </c>
      <c r="U130" s="29" t="s">
        <v>72</v>
      </c>
    </row>
    <row r="131" spans="1:21" ht="22.5" x14ac:dyDescent="0.2">
      <c r="A131" s="1"/>
      <c r="B131" s="1" t="s">
        <v>65</v>
      </c>
      <c r="C131" s="30" t="s">
        <v>309</v>
      </c>
      <c r="D131" s="31"/>
      <c r="E131" s="31"/>
      <c r="F131" s="1" t="s">
        <v>310</v>
      </c>
      <c r="G131" s="28">
        <v>45020</v>
      </c>
      <c r="H131" s="14"/>
      <c r="I131" s="14" t="s">
        <v>311</v>
      </c>
      <c r="J131" s="52">
        <v>45901</v>
      </c>
      <c r="K131" s="31"/>
      <c r="L131" s="52">
        <v>45931</v>
      </c>
      <c r="M131" s="31"/>
      <c r="N131" s="28">
        <v>45906</v>
      </c>
      <c r="O131" s="29" t="s">
        <v>69</v>
      </c>
      <c r="P131" s="15" t="s">
        <v>70</v>
      </c>
      <c r="Q131" s="13">
        <v>61.05</v>
      </c>
      <c r="R131" s="44" t="s">
        <v>201</v>
      </c>
      <c r="S131" s="31"/>
      <c r="T131" s="13">
        <v>1.83</v>
      </c>
      <c r="U131" s="29" t="s">
        <v>72</v>
      </c>
    </row>
    <row r="132" spans="1:21" ht="22.5" x14ac:dyDescent="0.2">
      <c r="A132" s="1"/>
      <c r="B132" s="1" t="s">
        <v>65</v>
      </c>
      <c r="C132" s="30" t="s">
        <v>312</v>
      </c>
      <c r="D132" s="31"/>
      <c r="E132" s="31"/>
      <c r="F132" s="1" t="s">
        <v>313</v>
      </c>
      <c r="G132" s="28">
        <v>45293</v>
      </c>
      <c r="H132" s="14"/>
      <c r="I132" s="14" t="s">
        <v>175</v>
      </c>
      <c r="J132" s="52">
        <v>45901</v>
      </c>
      <c r="K132" s="31"/>
      <c r="L132" s="52">
        <v>45931</v>
      </c>
      <c r="M132" s="31"/>
      <c r="N132" s="28">
        <v>45904</v>
      </c>
      <c r="O132" s="29" t="s">
        <v>69</v>
      </c>
      <c r="P132" s="15" t="s">
        <v>70</v>
      </c>
      <c r="Q132" s="13">
        <v>30.03</v>
      </c>
      <c r="R132" s="44" t="s">
        <v>161</v>
      </c>
      <c r="S132" s="31"/>
      <c r="T132" s="13">
        <v>1.35</v>
      </c>
      <c r="U132" s="29" t="s">
        <v>72</v>
      </c>
    </row>
    <row r="133" spans="1:21" ht="22.5" x14ac:dyDescent="0.2">
      <c r="A133" s="1"/>
      <c r="B133" s="1" t="s">
        <v>65</v>
      </c>
      <c r="C133" s="30" t="s">
        <v>314</v>
      </c>
      <c r="D133" s="31"/>
      <c r="E133" s="31"/>
      <c r="F133" s="1" t="s">
        <v>315</v>
      </c>
      <c r="G133" s="28">
        <v>45170</v>
      </c>
      <c r="H133" s="14"/>
      <c r="I133" s="14" t="s">
        <v>160</v>
      </c>
      <c r="J133" s="52">
        <v>45901</v>
      </c>
      <c r="K133" s="31"/>
      <c r="L133" s="52">
        <v>45931</v>
      </c>
      <c r="M133" s="31"/>
      <c r="N133" s="28">
        <v>45904</v>
      </c>
      <c r="O133" s="29" t="s">
        <v>69</v>
      </c>
      <c r="P133" s="15" t="s">
        <v>70</v>
      </c>
      <c r="Q133" s="13">
        <v>37.15</v>
      </c>
      <c r="R133" s="44" t="s">
        <v>161</v>
      </c>
      <c r="S133" s="31"/>
      <c r="T133" s="13">
        <v>1.67</v>
      </c>
      <c r="U133" s="29" t="s">
        <v>72</v>
      </c>
    </row>
    <row r="134" spans="1:21" ht="22.5" x14ac:dyDescent="0.2">
      <c r="A134" s="1"/>
      <c r="B134" s="1" t="s">
        <v>65</v>
      </c>
      <c r="C134" s="30" t="s">
        <v>316</v>
      </c>
      <c r="D134" s="31"/>
      <c r="E134" s="31"/>
      <c r="F134" s="1" t="s">
        <v>315</v>
      </c>
      <c r="G134" s="28">
        <v>45170</v>
      </c>
      <c r="H134" s="14"/>
      <c r="I134" s="14" t="s">
        <v>211</v>
      </c>
      <c r="J134" s="52">
        <v>45901</v>
      </c>
      <c r="K134" s="31"/>
      <c r="L134" s="52">
        <v>45931</v>
      </c>
      <c r="M134" s="31"/>
      <c r="N134" s="28">
        <v>45904</v>
      </c>
      <c r="O134" s="29" t="s">
        <v>69</v>
      </c>
      <c r="P134" s="15" t="s">
        <v>70</v>
      </c>
      <c r="Q134" s="13">
        <v>72.73</v>
      </c>
      <c r="R134" s="44" t="s">
        <v>71</v>
      </c>
      <c r="S134" s="31"/>
      <c r="T134" s="13">
        <v>13.09</v>
      </c>
      <c r="U134" s="29" t="s">
        <v>72</v>
      </c>
    </row>
    <row r="135" spans="1:21" ht="22.5" x14ac:dyDescent="0.2">
      <c r="A135" s="1"/>
      <c r="B135" s="1" t="s">
        <v>65</v>
      </c>
      <c r="C135" s="30" t="s">
        <v>317</v>
      </c>
      <c r="D135" s="31"/>
      <c r="E135" s="31"/>
      <c r="F135" s="1" t="s">
        <v>318</v>
      </c>
      <c r="G135" s="28">
        <v>44937</v>
      </c>
      <c r="H135" s="14"/>
      <c r="I135" s="14" t="s">
        <v>319</v>
      </c>
      <c r="J135" s="52">
        <v>45901</v>
      </c>
      <c r="K135" s="31"/>
      <c r="L135" s="52">
        <v>45931</v>
      </c>
      <c r="M135" s="31"/>
      <c r="N135" s="28">
        <v>45906</v>
      </c>
      <c r="O135" s="29" t="s">
        <v>69</v>
      </c>
      <c r="P135" s="15" t="s">
        <v>70</v>
      </c>
      <c r="Q135" s="13">
        <v>18</v>
      </c>
      <c r="R135" s="44" t="s">
        <v>201</v>
      </c>
      <c r="S135" s="31"/>
      <c r="T135" s="13">
        <v>0.54</v>
      </c>
      <c r="U135" s="29" t="s">
        <v>72</v>
      </c>
    </row>
    <row r="136" spans="1:21" ht="22.5" x14ac:dyDescent="0.2">
      <c r="A136" s="1"/>
      <c r="B136" s="1" t="s">
        <v>65</v>
      </c>
      <c r="C136" s="30" t="s">
        <v>320</v>
      </c>
      <c r="D136" s="31"/>
      <c r="E136" s="31"/>
      <c r="F136" s="1" t="s">
        <v>318</v>
      </c>
      <c r="G136" s="28">
        <v>44937</v>
      </c>
      <c r="H136" s="14"/>
      <c r="I136" s="14" t="s">
        <v>321</v>
      </c>
      <c r="J136" s="52">
        <v>45901</v>
      </c>
      <c r="K136" s="31"/>
      <c r="L136" s="52">
        <v>45931</v>
      </c>
      <c r="M136" s="31"/>
      <c r="N136" s="28">
        <v>45906</v>
      </c>
      <c r="O136" s="29" t="s">
        <v>69</v>
      </c>
      <c r="P136" s="15" t="s">
        <v>70</v>
      </c>
      <c r="Q136" s="13">
        <v>41.6</v>
      </c>
      <c r="R136" s="44" t="s">
        <v>201</v>
      </c>
      <c r="S136" s="31"/>
      <c r="T136" s="13">
        <v>1.25</v>
      </c>
      <c r="U136" s="29" t="s">
        <v>72</v>
      </c>
    </row>
    <row r="137" spans="1:21" ht="22.5" x14ac:dyDescent="0.2">
      <c r="A137" s="1"/>
      <c r="B137" s="1" t="s">
        <v>65</v>
      </c>
      <c r="C137" s="30" t="s">
        <v>322</v>
      </c>
      <c r="D137" s="31"/>
      <c r="E137" s="31"/>
      <c r="F137" s="1" t="s">
        <v>323</v>
      </c>
      <c r="G137" s="28">
        <v>45292</v>
      </c>
      <c r="H137" s="14"/>
      <c r="I137" s="14" t="s">
        <v>175</v>
      </c>
      <c r="J137" s="52">
        <v>45901</v>
      </c>
      <c r="K137" s="31"/>
      <c r="L137" s="52">
        <v>45931</v>
      </c>
      <c r="M137" s="31"/>
      <c r="N137" s="28">
        <v>45904</v>
      </c>
      <c r="O137" s="29" t="s">
        <v>69</v>
      </c>
      <c r="P137" s="15" t="s">
        <v>70</v>
      </c>
      <c r="Q137" s="13">
        <v>30.03</v>
      </c>
      <c r="R137" s="44" t="s">
        <v>161</v>
      </c>
      <c r="S137" s="31"/>
      <c r="T137" s="13">
        <v>1.35</v>
      </c>
      <c r="U137" s="29" t="s">
        <v>72</v>
      </c>
    </row>
    <row r="138" spans="1:21" ht="22.5" x14ac:dyDescent="0.2">
      <c r="A138" s="1"/>
      <c r="B138" s="1" t="s">
        <v>65</v>
      </c>
      <c r="C138" s="30" t="s">
        <v>324</v>
      </c>
      <c r="D138" s="31"/>
      <c r="E138" s="31"/>
      <c r="F138" s="1" t="s">
        <v>325</v>
      </c>
      <c r="G138" s="28">
        <v>45352</v>
      </c>
      <c r="H138" s="14"/>
      <c r="I138" s="14" t="s">
        <v>78</v>
      </c>
      <c r="J138" s="52">
        <v>45901</v>
      </c>
      <c r="K138" s="31"/>
      <c r="L138" s="52">
        <v>45931</v>
      </c>
      <c r="M138" s="31"/>
      <c r="N138" s="28">
        <v>45904</v>
      </c>
      <c r="O138" s="29" t="s">
        <v>69</v>
      </c>
      <c r="P138" s="15" t="s">
        <v>70</v>
      </c>
      <c r="Q138" s="13">
        <v>9.4</v>
      </c>
      <c r="R138" s="44" t="s">
        <v>75</v>
      </c>
      <c r="S138" s="31"/>
      <c r="T138" s="13">
        <v>0.85</v>
      </c>
      <c r="U138" s="29" t="s">
        <v>72</v>
      </c>
    </row>
    <row r="139" spans="1:21" ht="22.5" x14ac:dyDescent="0.2">
      <c r="A139" s="1"/>
      <c r="B139" s="1" t="s">
        <v>65</v>
      </c>
      <c r="C139" s="30" t="s">
        <v>326</v>
      </c>
      <c r="D139" s="31"/>
      <c r="E139" s="31"/>
      <c r="F139" s="1" t="s">
        <v>325</v>
      </c>
      <c r="G139" s="28">
        <v>45352</v>
      </c>
      <c r="H139" s="14"/>
      <c r="I139" s="14" t="s">
        <v>327</v>
      </c>
      <c r="J139" s="52">
        <v>45901</v>
      </c>
      <c r="K139" s="31"/>
      <c r="L139" s="52">
        <v>45931</v>
      </c>
      <c r="M139" s="31"/>
      <c r="N139" s="28">
        <v>45904</v>
      </c>
      <c r="O139" s="29" t="s">
        <v>69</v>
      </c>
      <c r="P139" s="15" t="s">
        <v>70</v>
      </c>
      <c r="Q139" s="13">
        <v>49.13</v>
      </c>
      <c r="R139" s="44" t="s">
        <v>71</v>
      </c>
      <c r="S139" s="31"/>
      <c r="T139" s="13">
        <v>8.84</v>
      </c>
      <c r="U139" s="29" t="s">
        <v>72</v>
      </c>
    </row>
    <row r="140" spans="1:21" ht="22.5" x14ac:dyDescent="0.2">
      <c r="A140" s="1"/>
      <c r="B140" s="1" t="s">
        <v>65</v>
      </c>
      <c r="C140" s="30" t="s">
        <v>328</v>
      </c>
      <c r="D140" s="31"/>
      <c r="E140" s="31"/>
      <c r="F140" s="1" t="s">
        <v>329</v>
      </c>
      <c r="G140" s="28">
        <v>45170</v>
      </c>
      <c r="H140" s="14"/>
      <c r="I140" s="14" t="s">
        <v>78</v>
      </c>
      <c r="J140" s="52">
        <v>45901</v>
      </c>
      <c r="K140" s="31"/>
      <c r="L140" s="52">
        <v>45931</v>
      </c>
      <c r="M140" s="31"/>
      <c r="N140" s="28">
        <v>45904</v>
      </c>
      <c r="O140" s="29" t="s">
        <v>69</v>
      </c>
      <c r="P140" s="15" t="s">
        <v>70</v>
      </c>
      <c r="Q140" s="13">
        <v>11.6</v>
      </c>
      <c r="R140" s="44" t="s">
        <v>75</v>
      </c>
      <c r="S140" s="31"/>
      <c r="T140" s="13">
        <v>1.04</v>
      </c>
      <c r="U140" s="29" t="s">
        <v>72</v>
      </c>
    </row>
    <row r="141" spans="1:21" ht="22.5" x14ac:dyDescent="0.2">
      <c r="A141" s="1"/>
      <c r="B141" s="1" t="s">
        <v>65</v>
      </c>
      <c r="C141" s="30" t="s">
        <v>330</v>
      </c>
      <c r="D141" s="31"/>
      <c r="E141" s="31"/>
      <c r="F141" s="1" t="s">
        <v>329</v>
      </c>
      <c r="G141" s="28">
        <v>45170</v>
      </c>
      <c r="H141" s="14"/>
      <c r="I141" s="14" t="s">
        <v>183</v>
      </c>
      <c r="J141" s="52">
        <v>45901</v>
      </c>
      <c r="K141" s="31"/>
      <c r="L141" s="52">
        <v>45931</v>
      </c>
      <c r="M141" s="31"/>
      <c r="N141" s="28">
        <v>45904</v>
      </c>
      <c r="O141" s="29" t="s">
        <v>69</v>
      </c>
      <c r="P141" s="15" t="s">
        <v>70</v>
      </c>
      <c r="Q141" s="13">
        <v>49.32</v>
      </c>
      <c r="R141" s="44" t="s">
        <v>71</v>
      </c>
      <c r="S141" s="31"/>
      <c r="T141" s="13">
        <v>8.8800000000000008</v>
      </c>
      <c r="U141" s="29" t="s">
        <v>72</v>
      </c>
    </row>
    <row r="142" spans="1:21" ht="22.5" x14ac:dyDescent="0.2">
      <c r="A142" s="1"/>
      <c r="B142" s="1" t="s">
        <v>65</v>
      </c>
      <c r="C142" s="30" t="s">
        <v>331</v>
      </c>
      <c r="D142" s="31"/>
      <c r="E142" s="31"/>
      <c r="F142" s="1" t="s">
        <v>332</v>
      </c>
      <c r="G142" s="28">
        <v>45292</v>
      </c>
      <c r="H142" s="14"/>
      <c r="I142" s="14" t="s">
        <v>175</v>
      </c>
      <c r="J142" s="52">
        <v>45901</v>
      </c>
      <c r="K142" s="31"/>
      <c r="L142" s="52">
        <v>45931</v>
      </c>
      <c r="M142" s="31"/>
      <c r="N142" s="28">
        <v>45904</v>
      </c>
      <c r="O142" s="29" t="s">
        <v>69</v>
      </c>
      <c r="P142" s="15" t="s">
        <v>70</v>
      </c>
      <c r="Q142" s="13">
        <v>29.36</v>
      </c>
      <c r="R142" s="44" t="s">
        <v>161</v>
      </c>
      <c r="S142" s="31"/>
      <c r="T142" s="13">
        <v>1.32</v>
      </c>
      <c r="U142" s="29" t="s">
        <v>72</v>
      </c>
    </row>
    <row r="143" spans="1:21" ht="22.5" x14ac:dyDescent="0.2">
      <c r="A143" s="1"/>
      <c r="B143" s="1" t="s">
        <v>65</v>
      </c>
      <c r="C143" s="30" t="s">
        <v>333</v>
      </c>
      <c r="D143" s="31"/>
      <c r="E143" s="31"/>
      <c r="F143" s="1" t="s">
        <v>332</v>
      </c>
      <c r="G143" s="28">
        <v>45292</v>
      </c>
      <c r="H143" s="14"/>
      <c r="I143" s="14" t="s">
        <v>157</v>
      </c>
      <c r="J143" s="52">
        <v>45901</v>
      </c>
      <c r="K143" s="31"/>
      <c r="L143" s="52">
        <v>45931</v>
      </c>
      <c r="M143" s="31"/>
      <c r="N143" s="28">
        <v>45904</v>
      </c>
      <c r="O143" s="29" t="s">
        <v>69</v>
      </c>
      <c r="P143" s="15" t="s">
        <v>70</v>
      </c>
      <c r="Q143" s="13">
        <v>29.05</v>
      </c>
      <c r="R143" s="44" t="s">
        <v>75</v>
      </c>
      <c r="S143" s="31"/>
      <c r="T143" s="13">
        <v>2.61</v>
      </c>
      <c r="U143" s="29" t="s">
        <v>72</v>
      </c>
    </row>
    <row r="144" spans="1:21" ht="22.5" x14ac:dyDescent="0.2">
      <c r="A144" s="1"/>
      <c r="B144" s="1" t="s">
        <v>65</v>
      </c>
      <c r="C144" s="30" t="s">
        <v>334</v>
      </c>
      <c r="D144" s="31"/>
      <c r="E144" s="31"/>
      <c r="F144" s="1" t="s">
        <v>332</v>
      </c>
      <c r="G144" s="28">
        <v>45292</v>
      </c>
      <c r="H144" s="14"/>
      <c r="I144" s="14" t="s">
        <v>94</v>
      </c>
      <c r="J144" s="52">
        <v>45901</v>
      </c>
      <c r="K144" s="31"/>
      <c r="L144" s="52">
        <v>45931</v>
      </c>
      <c r="M144" s="31"/>
      <c r="N144" s="28">
        <v>45904</v>
      </c>
      <c r="O144" s="29" t="s">
        <v>69</v>
      </c>
      <c r="P144" s="15" t="s">
        <v>70</v>
      </c>
      <c r="Q144" s="13">
        <v>13.28</v>
      </c>
      <c r="R144" s="44" t="s">
        <v>95</v>
      </c>
      <c r="S144" s="31"/>
      <c r="T144" s="13">
        <v>0.93</v>
      </c>
      <c r="U144" s="29" t="s">
        <v>72</v>
      </c>
    </row>
    <row r="145" spans="1:21" ht="22.5" x14ac:dyDescent="0.2">
      <c r="A145" s="1"/>
      <c r="B145" s="1" t="s">
        <v>65</v>
      </c>
      <c r="C145" s="30" t="s">
        <v>335</v>
      </c>
      <c r="D145" s="31"/>
      <c r="E145" s="31"/>
      <c r="F145" s="1" t="s">
        <v>336</v>
      </c>
      <c r="G145" s="28">
        <v>44958</v>
      </c>
      <c r="H145" s="14"/>
      <c r="I145" s="14" t="s">
        <v>157</v>
      </c>
      <c r="J145" s="52">
        <v>45901</v>
      </c>
      <c r="K145" s="31"/>
      <c r="L145" s="52">
        <v>45931</v>
      </c>
      <c r="M145" s="31"/>
      <c r="N145" s="28">
        <v>45904</v>
      </c>
      <c r="O145" s="29" t="s">
        <v>69</v>
      </c>
      <c r="P145" s="15" t="s">
        <v>70</v>
      </c>
      <c r="Q145" s="13">
        <v>88.24</v>
      </c>
      <c r="R145" s="44" t="s">
        <v>172</v>
      </c>
      <c r="S145" s="31"/>
      <c r="T145" s="13">
        <v>5.29</v>
      </c>
      <c r="U145" s="29" t="s">
        <v>72</v>
      </c>
    </row>
    <row r="146" spans="1:21" ht="22.5" x14ac:dyDescent="0.2">
      <c r="A146" s="1"/>
      <c r="B146" s="1" t="s">
        <v>65</v>
      </c>
      <c r="C146" s="30" t="s">
        <v>337</v>
      </c>
      <c r="D146" s="31"/>
      <c r="E146" s="31"/>
      <c r="F146" s="1" t="s">
        <v>338</v>
      </c>
      <c r="G146" s="28">
        <v>44866</v>
      </c>
      <c r="H146" s="14"/>
      <c r="I146" s="14" t="s">
        <v>339</v>
      </c>
      <c r="J146" s="52">
        <v>45901</v>
      </c>
      <c r="K146" s="31"/>
      <c r="L146" s="52">
        <v>45931</v>
      </c>
      <c r="M146" s="31"/>
      <c r="N146" s="28">
        <v>45904</v>
      </c>
      <c r="O146" s="29" t="s">
        <v>69</v>
      </c>
      <c r="P146" s="15" t="s">
        <v>70</v>
      </c>
      <c r="Q146" s="13">
        <v>59.98</v>
      </c>
      <c r="R146" s="44" t="s">
        <v>201</v>
      </c>
      <c r="S146" s="31"/>
      <c r="T146" s="13">
        <v>1.8</v>
      </c>
      <c r="U146" s="29" t="s">
        <v>72</v>
      </c>
    </row>
    <row r="147" spans="1:21" ht="22.5" x14ac:dyDescent="0.2">
      <c r="A147" s="1"/>
      <c r="B147" s="1" t="s">
        <v>65</v>
      </c>
      <c r="C147" s="30" t="s">
        <v>340</v>
      </c>
      <c r="D147" s="31"/>
      <c r="E147" s="31"/>
      <c r="F147" s="1" t="s">
        <v>341</v>
      </c>
      <c r="G147" s="28">
        <v>45017</v>
      </c>
      <c r="H147" s="14"/>
      <c r="I147" s="14" t="s">
        <v>258</v>
      </c>
      <c r="J147" s="52">
        <v>45901</v>
      </c>
      <c r="K147" s="31"/>
      <c r="L147" s="52">
        <v>45931</v>
      </c>
      <c r="M147" s="31"/>
      <c r="N147" s="28">
        <v>45904</v>
      </c>
      <c r="O147" s="29" t="s">
        <v>69</v>
      </c>
      <c r="P147" s="15" t="s">
        <v>70</v>
      </c>
      <c r="Q147" s="13">
        <v>37.49</v>
      </c>
      <c r="R147" s="44" t="s">
        <v>201</v>
      </c>
      <c r="S147" s="31"/>
      <c r="T147" s="13">
        <v>1.1200000000000001</v>
      </c>
      <c r="U147" s="29" t="s">
        <v>72</v>
      </c>
    </row>
    <row r="148" spans="1:21" ht="22.5" x14ac:dyDescent="0.2">
      <c r="A148" s="1"/>
      <c r="B148" s="1" t="s">
        <v>65</v>
      </c>
      <c r="C148" s="30" t="s">
        <v>342</v>
      </c>
      <c r="D148" s="31"/>
      <c r="E148" s="31"/>
      <c r="F148" s="1" t="s">
        <v>341</v>
      </c>
      <c r="G148" s="28">
        <v>45017</v>
      </c>
      <c r="H148" s="14"/>
      <c r="I148" s="14" t="s">
        <v>157</v>
      </c>
      <c r="J148" s="52">
        <v>45901</v>
      </c>
      <c r="K148" s="31"/>
      <c r="L148" s="52">
        <v>45931</v>
      </c>
      <c r="M148" s="31"/>
      <c r="N148" s="28">
        <v>45904</v>
      </c>
      <c r="O148" s="29" t="s">
        <v>69</v>
      </c>
      <c r="P148" s="15" t="s">
        <v>70</v>
      </c>
      <c r="Q148" s="13">
        <v>109.86</v>
      </c>
      <c r="R148" s="44" t="s">
        <v>172</v>
      </c>
      <c r="S148" s="31"/>
      <c r="T148" s="13">
        <v>6.59</v>
      </c>
      <c r="U148" s="29" t="s">
        <v>72</v>
      </c>
    </row>
    <row r="149" spans="1:21" ht="22.5" x14ac:dyDescent="0.2">
      <c r="A149" s="1"/>
      <c r="B149" s="1" t="s">
        <v>65</v>
      </c>
      <c r="C149" s="30" t="s">
        <v>343</v>
      </c>
      <c r="D149" s="31"/>
      <c r="E149" s="31"/>
      <c r="F149" s="1" t="s">
        <v>344</v>
      </c>
      <c r="G149" s="28">
        <v>44927</v>
      </c>
      <c r="H149" s="14"/>
      <c r="I149" s="14" t="s">
        <v>258</v>
      </c>
      <c r="J149" s="52">
        <v>45901</v>
      </c>
      <c r="K149" s="31"/>
      <c r="L149" s="52">
        <v>45931</v>
      </c>
      <c r="M149" s="31"/>
      <c r="N149" s="28">
        <v>45904</v>
      </c>
      <c r="O149" s="29" t="s">
        <v>69</v>
      </c>
      <c r="P149" s="15" t="s">
        <v>70</v>
      </c>
      <c r="Q149" s="13">
        <v>32.130000000000003</v>
      </c>
      <c r="R149" s="44" t="s">
        <v>201</v>
      </c>
      <c r="S149" s="31"/>
      <c r="T149" s="13">
        <v>0.96</v>
      </c>
      <c r="U149" s="29" t="s">
        <v>72</v>
      </c>
    </row>
    <row r="150" spans="1:21" ht="22.5" x14ac:dyDescent="0.2">
      <c r="A150" s="1"/>
      <c r="B150" s="1" t="s">
        <v>65</v>
      </c>
      <c r="C150" s="30" t="s">
        <v>345</v>
      </c>
      <c r="D150" s="31"/>
      <c r="E150" s="31"/>
      <c r="F150" s="1" t="s">
        <v>344</v>
      </c>
      <c r="G150" s="28">
        <v>44927</v>
      </c>
      <c r="H150" s="14"/>
      <c r="I150" s="14" t="s">
        <v>211</v>
      </c>
      <c r="J150" s="52">
        <v>45901</v>
      </c>
      <c r="K150" s="31"/>
      <c r="L150" s="52">
        <v>45931</v>
      </c>
      <c r="M150" s="31"/>
      <c r="N150" s="28">
        <v>45904</v>
      </c>
      <c r="O150" s="29" t="s">
        <v>69</v>
      </c>
      <c r="P150" s="15" t="s">
        <v>70</v>
      </c>
      <c r="Q150" s="13">
        <v>76.66</v>
      </c>
      <c r="R150" s="44" t="s">
        <v>172</v>
      </c>
      <c r="S150" s="31"/>
      <c r="T150" s="13">
        <v>4.5999999999999996</v>
      </c>
      <c r="U150" s="29" t="s">
        <v>72</v>
      </c>
    </row>
    <row r="151" spans="1:21" x14ac:dyDescent="0.2">
      <c r="A151" s="36" t="s">
        <v>346</v>
      </c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1"/>
      <c r="Q151" s="1"/>
      <c r="R151" s="30"/>
      <c r="S151" s="31"/>
      <c r="T151" s="1"/>
      <c r="U151" s="1"/>
    </row>
    <row r="152" spans="1:21" ht="22.5" x14ac:dyDescent="0.2">
      <c r="A152" s="1"/>
      <c r="B152" s="1" t="s">
        <v>65</v>
      </c>
      <c r="C152" s="30" t="s">
        <v>347</v>
      </c>
      <c r="D152" s="31"/>
      <c r="E152" s="31"/>
      <c r="F152" s="1" t="s">
        <v>348</v>
      </c>
      <c r="G152" s="28">
        <v>45413</v>
      </c>
      <c r="H152" s="14"/>
      <c r="I152" s="14" t="s">
        <v>160</v>
      </c>
      <c r="J152" s="52">
        <v>45901</v>
      </c>
      <c r="K152" s="31"/>
      <c r="L152" s="52">
        <v>45931</v>
      </c>
      <c r="M152" s="31"/>
      <c r="N152" s="28">
        <v>45904</v>
      </c>
      <c r="O152" s="29" t="s">
        <v>69</v>
      </c>
      <c r="P152" s="15" t="s">
        <v>70</v>
      </c>
      <c r="Q152" s="13">
        <v>89.79</v>
      </c>
      <c r="R152" s="44" t="s">
        <v>75</v>
      </c>
      <c r="S152" s="31"/>
      <c r="T152" s="13">
        <v>8.08</v>
      </c>
      <c r="U152" s="29" t="s">
        <v>72</v>
      </c>
    </row>
    <row r="153" spans="1:21" x14ac:dyDescent="0.2">
      <c r="A153" s="1"/>
      <c r="B153" s="1" t="s">
        <v>65</v>
      </c>
      <c r="C153" s="30" t="s">
        <v>349</v>
      </c>
      <c r="D153" s="31"/>
      <c r="E153" s="31"/>
      <c r="F153" s="1" t="s">
        <v>350</v>
      </c>
      <c r="G153" s="28">
        <v>45292</v>
      </c>
      <c r="H153" s="14"/>
      <c r="I153" s="14" t="s">
        <v>160</v>
      </c>
      <c r="J153" s="52">
        <v>45901</v>
      </c>
      <c r="K153" s="31"/>
      <c r="L153" s="52">
        <v>45931</v>
      </c>
      <c r="M153" s="31"/>
      <c r="N153" s="28">
        <v>45904</v>
      </c>
      <c r="O153" s="29" t="s">
        <v>69</v>
      </c>
      <c r="P153" s="15" t="s">
        <v>70</v>
      </c>
      <c r="Q153" s="13">
        <v>131.63999999999999</v>
      </c>
      <c r="R153" s="44" t="s">
        <v>161</v>
      </c>
      <c r="S153" s="31"/>
      <c r="T153" s="13">
        <v>5.92</v>
      </c>
      <c r="U153" s="29" t="s">
        <v>72</v>
      </c>
    </row>
    <row r="154" spans="1:21" x14ac:dyDescent="0.2">
      <c r="A154" s="1"/>
      <c r="B154" s="1" t="s">
        <v>65</v>
      </c>
      <c r="C154" s="30" t="s">
        <v>351</v>
      </c>
      <c r="D154" s="31"/>
      <c r="E154" s="31"/>
      <c r="F154" s="1" t="s">
        <v>350</v>
      </c>
      <c r="G154" s="28">
        <v>45292</v>
      </c>
      <c r="H154" s="14"/>
      <c r="I154" s="14" t="s">
        <v>352</v>
      </c>
      <c r="J154" s="52">
        <v>45901</v>
      </c>
      <c r="K154" s="31"/>
      <c r="L154" s="52">
        <v>45931</v>
      </c>
      <c r="M154" s="31"/>
      <c r="N154" s="28">
        <v>45904</v>
      </c>
      <c r="O154" s="29" t="s">
        <v>69</v>
      </c>
      <c r="P154" s="15" t="s">
        <v>70</v>
      </c>
      <c r="Q154" s="13">
        <v>104.79</v>
      </c>
      <c r="R154" s="44" t="s">
        <v>75</v>
      </c>
      <c r="S154" s="31"/>
      <c r="T154" s="13">
        <v>9.43</v>
      </c>
      <c r="U154" s="29" t="s">
        <v>72</v>
      </c>
    </row>
    <row r="155" spans="1:21" ht="22.5" x14ac:dyDescent="0.2">
      <c r="A155" s="1"/>
      <c r="B155" s="1" t="s">
        <v>65</v>
      </c>
      <c r="C155" s="30" t="s">
        <v>353</v>
      </c>
      <c r="D155" s="31"/>
      <c r="E155" s="31"/>
      <c r="F155" s="1" t="s">
        <v>354</v>
      </c>
      <c r="G155" s="28">
        <v>45292</v>
      </c>
      <c r="H155" s="14"/>
      <c r="I155" s="14" t="s">
        <v>94</v>
      </c>
      <c r="J155" s="52">
        <v>45901</v>
      </c>
      <c r="K155" s="31"/>
      <c r="L155" s="52">
        <v>45931</v>
      </c>
      <c r="M155" s="31"/>
      <c r="N155" s="28">
        <v>45904</v>
      </c>
      <c r="O155" s="29" t="s">
        <v>69</v>
      </c>
      <c r="P155" s="15" t="s">
        <v>70</v>
      </c>
      <c r="Q155" s="13">
        <v>13.28</v>
      </c>
      <c r="R155" s="44" t="s">
        <v>95</v>
      </c>
      <c r="S155" s="31"/>
      <c r="T155" s="13">
        <v>0.93</v>
      </c>
      <c r="U155" s="29" t="s">
        <v>72</v>
      </c>
    </row>
    <row r="156" spans="1:21" ht="22.5" x14ac:dyDescent="0.2">
      <c r="A156" s="1"/>
      <c r="B156" s="1" t="s">
        <v>65</v>
      </c>
      <c r="C156" s="30" t="s">
        <v>355</v>
      </c>
      <c r="D156" s="31"/>
      <c r="E156" s="31"/>
      <c r="F156" s="1" t="s">
        <v>354</v>
      </c>
      <c r="G156" s="28">
        <v>45292</v>
      </c>
      <c r="H156" s="14"/>
      <c r="I156" s="14" t="s">
        <v>356</v>
      </c>
      <c r="J156" s="52">
        <v>45901</v>
      </c>
      <c r="K156" s="31"/>
      <c r="L156" s="52">
        <v>45931</v>
      </c>
      <c r="M156" s="31"/>
      <c r="N156" s="28">
        <v>45904</v>
      </c>
      <c r="O156" s="29" t="s">
        <v>69</v>
      </c>
      <c r="P156" s="15" t="s">
        <v>70</v>
      </c>
      <c r="Q156" s="13">
        <v>74</v>
      </c>
      <c r="R156" s="44" t="s">
        <v>75</v>
      </c>
      <c r="S156" s="31"/>
      <c r="T156" s="13">
        <v>6.66</v>
      </c>
      <c r="U156" s="29" t="s">
        <v>72</v>
      </c>
    </row>
    <row r="157" spans="1:21" ht="22.5" x14ac:dyDescent="0.2">
      <c r="A157" s="1"/>
      <c r="B157" s="1" t="s">
        <v>65</v>
      </c>
      <c r="C157" s="30" t="s">
        <v>357</v>
      </c>
      <c r="D157" s="31"/>
      <c r="E157" s="31"/>
      <c r="F157" s="1" t="s">
        <v>358</v>
      </c>
      <c r="G157" s="28">
        <v>45261</v>
      </c>
      <c r="H157" s="14"/>
      <c r="I157" s="14" t="s">
        <v>160</v>
      </c>
      <c r="J157" s="52">
        <v>45901</v>
      </c>
      <c r="K157" s="31"/>
      <c r="L157" s="52">
        <v>45931</v>
      </c>
      <c r="M157" s="31"/>
      <c r="N157" s="28">
        <v>45904</v>
      </c>
      <c r="O157" s="29" t="s">
        <v>69</v>
      </c>
      <c r="P157" s="15" t="s">
        <v>70</v>
      </c>
      <c r="Q157" s="13">
        <v>75.739999999999995</v>
      </c>
      <c r="R157" s="44" t="s">
        <v>161</v>
      </c>
      <c r="S157" s="31"/>
      <c r="T157" s="13">
        <v>3.41</v>
      </c>
      <c r="U157" s="29" t="s">
        <v>72</v>
      </c>
    </row>
    <row r="158" spans="1:21" x14ac:dyDescent="0.2">
      <c r="A158" s="36" t="s">
        <v>359</v>
      </c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1"/>
      <c r="Q158" s="1"/>
      <c r="R158" s="30"/>
      <c r="S158" s="31"/>
      <c r="T158" s="1"/>
      <c r="U158" s="1"/>
    </row>
    <row r="159" spans="1:21" ht="22.5" x14ac:dyDescent="0.2">
      <c r="A159" s="1"/>
      <c r="B159" s="1" t="s">
        <v>65</v>
      </c>
      <c r="C159" s="30" t="s">
        <v>360</v>
      </c>
      <c r="D159" s="31"/>
      <c r="E159" s="31"/>
      <c r="F159" s="1" t="s">
        <v>361</v>
      </c>
      <c r="G159" s="28">
        <v>45383</v>
      </c>
      <c r="H159" s="14"/>
      <c r="I159" s="14" t="s">
        <v>362</v>
      </c>
      <c r="J159" s="52">
        <v>45901</v>
      </c>
      <c r="K159" s="31"/>
      <c r="L159" s="52">
        <v>45931</v>
      </c>
      <c r="M159" s="31"/>
      <c r="N159" s="28">
        <v>45904</v>
      </c>
      <c r="O159" s="29" t="s">
        <v>69</v>
      </c>
      <c r="P159" s="15" t="s">
        <v>70</v>
      </c>
      <c r="Q159" s="13">
        <v>19.8</v>
      </c>
      <c r="R159" s="44" t="s">
        <v>75</v>
      </c>
      <c r="S159" s="31"/>
      <c r="T159" s="13">
        <v>1.78</v>
      </c>
      <c r="U159" s="29" t="s">
        <v>72</v>
      </c>
    </row>
    <row r="160" spans="1:21" ht="22.5" x14ac:dyDescent="0.2">
      <c r="A160" s="1"/>
      <c r="B160" s="1" t="s">
        <v>65</v>
      </c>
      <c r="C160" s="30" t="s">
        <v>363</v>
      </c>
      <c r="D160" s="31"/>
      <c r="E160" s="31"/>
      <c r="F160" s="1" t="s">
        <v>364</v>
      </c>
      <c r="G160" s="28">
        <v>45383</v>
      </c>
      <c r="H160" s="14"/>
      <c r="I160" s="14" t="s">
        <v>365</v>
      </c>
      <c r="J160" s="52">
        <v>45901</v>
      </c>
      <c r="K160" s="31"/>
      <c r="L160" s="52">
        <v>45931</v>
      </c>
      <c r="M160" s="31"/>
      <c r="N160" s="28">
        <v>45904</v>
      </c>
      <c r="O160" s="29" t="s">
        <v>69</v>
      </c>
      <c r="P160" s="15" t="s">
        <v>70</v>
      </c>
      <c r="Q160" s="13">
        <v>36.75</v>
      </c>
      <c r="R160" s="44" t="s">
        <v>75</v>
      </c>
      <c r="S160" s="31"/>
      <c r="T160" s="13">
        <v>3.31</v>
      </c>
      <c r="U160" s="29" t="s">
        <v>72</v>
      </c>
    </row>
    <row r="161" spans="1:21" ht="22.5" x14ac:dyDescent="0.2">
      <c r="A161" s="1"/>
      <c r="B161" s="1" t="s">
        <v>65</v>
      </c>
      <c r="C161" s="30" t="s">
        <v>366</v>
      </c>
      <c r="D161" s="31"/>
      <c r="E161" s="31"/>
      <c r="F161" s="1" t="s">
        <v>367</v>
      </c>
      <c r="G161" s="28">
        <v>45444</v>
      </c>
      <c r="H161" s="14"/>
      <c r="I161" s="14" t="s">
        <v>368</v>
      </c>
      <c r="J161" s="52">
        <v>45901</v>
      </c>
      <c r="K161" s="31"/>
      <c r="L161" s="52">
        <v>45931</v>
      </c>
      <c r="M161" s="31"/>
      <c r="N161" s="28">
        <v>45904</v>
      </c>
      <c r="O161" s="29" t="s">
        <v>69</v>
      </c>
      <c r="P161" s="15" t="s">
        <v>70</v>
      </c>
      <c r="Q161" s="13">
        <v>28.25</v>
      </c>
      <c r="R161" s="44" t="s">
        <v>75</v>
      </c>
      <c r="S161" s="31"/>
      <c r="T161" s="13">
        <v>2.54</v>
      </c>
      <c r="U161" s="29" t="s">
        <v>72</v>
      </c>
    </row>
    <row r="162" spans="1:21" ht="22.5" x14ac:dyDescent="0.2">
      <c r="A162" s="1"/>
      <c r="B162" s="1" t="s">
        <v>65</v>
      </c>
      <c r="C162" s="30" t="s">
        <v>369</v>
      </c>
      <c r="D162" s="31"/>
      <c r="E162" s="31"/>
      <c r="F162" s="1" t="s">
        <v>370</v>
      </c>
      <c r="G162" s="28">
        <v>45413</v>
      </c>
      <c r="H162" s="14"/>
      <c r="I162" s="14" t="s">
        <v>371</v>
      </c>
      <c r="J162" s="52">
        <v>45901</v>
      </c>
      <c r="K162" s="31"/>
      <c r="L162" s="52">
        <v>45931</v>
      </c>
      <c r="M162" s="31"/>
      <c r="N162" s="28">
        <v>45904</v>
      </c>
      <c r="O162" s="29" t="s">
        <v>69</v>
      </c>
      <c r="P162" s="15" t="s">
        <v>70</v>
      </c>
      <c r="Q162" s="13">
        <v>26.4</v>
      </c>
      <c r="R162" s="44" t="s">
        <v>75</v>
      </c>
      <c r="S162" s="31"/>
      <c r="T162" s="13">
        <v>2.38</v>
      </c>
      <c r="U162" s="29" t="s">
        <v>72</v>
      </c>
    </row>
    <row r="163" spans="1:21" ht="22.5" x14ac:dyDescent="0.2">
      <c r="A163" s="1"/>
      <c r="B163" s="1" t="s">
        <v>65</v>
      </c>
      <c r="C163" s="30" t="s">
        <v>372</v>
      </c>
      <c r="D163" s="31"/>
      <c r="E163" s="31"/>
      <c r="F163" s="1" t="s">
        <v>370</v>
      </c>
      <c r="G163" s="28">
        <v>45413</v>
      </c>
      <c r="H163" s="14"/>
      <c r="I163" s="14" t="s">
        <v>373</v>
      </c>
      <c r="J163" s="52">
        <v>45901</v>
      </c>
      <c r="K163" s="31"/>
      <c r="L163" s="52">
        <v>45931</v>
      </c>
      <c r="M163" s="31"/>
      <c r="N163" s="28">
        <v>45904</v>
      </c>
      <c r="O163" s="29" t="s">
        <v>69</v>
      </c>
      <c r="P163" s="15" t="s">
        <v>70</v>
      </c>
      <c r="Q163" s="13">
        <v>30.8</v>
      </c>
      <c r="R163" s="44" t="s">
        <v>75</v>
      </c>
      <c r="S163" s="31"/>
      <c r="T163" s="13">
        <v>2.77</v>
      </c>
      <c r="U163" s="29" t="s">
        <v>72</v>
      </c>
    </row>
    <row r="164" spans="1:21" ht="22.5" x14ac:dyDescent="0.2">
      <c r="A164" s="1"/>
      <c r="B164" s="1" t="s">
        <v>65</v>
      </c>
      <c r="C164" s="30" t="s">
        <v>374</v>
      </c>
      <c r="D164" s="31"/>
      <c r="E164" s="31"/>
      <c r="F164" s="1" t="s">
        <v>375</v>
      </c>
      <c r="G164" s="28">
        <v>45261</v>
      </c>
      <c r="H164" s="14"/>
      <c r="I164" s="14" t="s">
        <v>211</v>
      </c>
      <c r="J164" s="52">
        <v>45901</v>
      </c>
      <c r="K164" s="31"/>
      <c r="L164" s="52">
        <v>45931</v>
      </c>
      <c r="M164" s="31"/>
      <c r="N164" s="28">
        <v>45904</v>
      </c>
      <c r="O164" s="29" t="s">
        <v>69</v>
      </c>
      <c r="P164" s="15" t="s">
        <v>70</v>
      </c>
      <c r="Q164" s="13">
        <v>40.630000000000003</v>
      </c>
      <c r="R164" s="44" t="s">
        <v>71</v>
      </c>
      <c r="S164" s="31"/>
      <c r="T164" s="13">
        <v>7.31</v>
      </c>
      <c r="U164" s="29" t="s">
        <v>72</v>
      </c>
    </row>
    <row r="165" spans="1:21" ht="22.5" x14ac:dyDescent="0.2">
      <c r="A165" s="1"/>
      <c r="B165" s="1" t="s">
        <v>65</v>
      </c>
      <c r="C165" s="30" t="s">
        <v>376</v>
      </c>
      <c r="D165" s="31"/>
      <c r="E165" s="31"/>
      <c r="F165" s="1" t="s">
        <v>377</v>
      </c>
      <c r="G165" s="28">
        <v>45383</v>
      </c>
      <c r="H165" s="14"/>
      <c r="I165" s="14" t="s">
        <v>371</v>
      </c>
      <c r="J165" s="52">
        <v>45901</v>
      </c>
      <c r="K165" s="31"/>
      <c r="L165" s="52">
        <v>45931</v>
      </c>
      <c r="M165" s="31"/>
      <c r="N165" s="28">
        <v>45904</v>
      </c>
      <c r="O165" s="29" t="s">
        <v>69</v>
      </c>
      <c r="P165" s="15" t="s">
        <v>70</v>
      </c>
      <c r="Q165" s="13">
        <v>26.4</v>
      </c>
      <c r="R165" s="44" t="s">
        <v>75</v>
      </c>
      <c r="S165" s="31"/>
      <c r="T165" s="13">
        <v>2.38</v>
      </c>
      <c r="U165" s="29" t="s">
        <v>72</v>
      </c>
    </row>
    <row r="166" spans="1:21" x14ac:dyDescent="0.2">
      <c r="A166" s="1"/>
      <c r="B166" s="1" t="s">
        <v>65</v>
      </c>
      <c r="C166" s="30" t="s">
        <v>378</v>
      </c>
      <c r="D166" s="31"/>
      <c r="E166" s="31"/>
      <c r="F166" s="1" t="s">
        <v>379</v>
      </c>
      <c r="G166" s="28">
        <v>45352</v>
      </c>
      <c r="H166" s="14"/>
      <c r="I166" s="14" t="s">
        <v>368</v>
      </c>
      <c r="J166" s="52">
        <v>45901</v>
      </c>
      <c r="K166" s="31"/>
      <c r="L166" s="52">
        <v>45931</v>
      </c>
      <c r="M166" s="31"/>
      <c r="N166" s="28">
        <v>45904</v>
      </c>
      <c r="O166" s="29" t="s">
        <v>69</v>
      </c>
      <c r="P166" s="15" t="s">
        <v>70</v>
      </c>
      <c r="Q166" s="13">
        <v>24.5</v>
      </c>
      <c r="R166" s="44" t="s">
        <v>75</v>
      </c>
      <c r="S166" s="31"/>
      <c r="T166" s="13">
        <v>2.21</v>
      </c>
      <c r="U166" s="29" t="s">
        <v>72</v>
      </c>
    </row>
    <row r="167" spans="1:21" x14ac:dyDescent="0.2">
      <c r="A167" s="1"/>
      <c r="B167" s="1" t="s">
        <v>65</v>
      </c>
      <c r="C167" s="30" t="s">
        <v>380</v>
      </c>
      <c r="D167" s="31"/>
      <c r="E167" s="31"/>
      <c r="F167" s="1" t="s">
        <v>379</v>
      </c>
      <c r="G167" s="28">
        <v>45352</v>
      </c>
      <c r="H167" s="14"/>
      <c r="I167" s="14" t="s">
        <v>381</v>
      </c>
      <c r="J167" s="52">
        <v>45901</v>
      </c>
      <c r="K167" s="31"/>
      <c r="L167" s="52">
        <v>45931</v>
      </c>
      <c r="M167" s="31"/>
      <c r="N167" s="28">
        <v>45904</v>
      </c>
      <c r="O167" s="29" t="s">
        <v>69</v>
      </c>
      <c r="P167" s="15" t="s">
        <v>70</v>
      </c>
      <c r="Q167" s="13">
        <v>31</v>
      </c>
      <c r="R167" s="44" t="s">
        <v>75</v>
      </c>
      <c r="S167" s="31"/>
      <c r="T167" s="13">
        <v>2.79</v>
      </c>
      <c r="U167" s="29" t="s">
        <v>72</v>
      </c>
    </row>
    <row r="168" spans="1:21" ht="22.5" x14ac:dyDescent="0.2">
      <c r="A168" s="1"/>
      <c r="B168" s="1" t="s">
        <v>65</v>
      </c>
      <c r="C168" s="30" t="s">
        <v>382</v>
      </c>
      <c r="D168" s="31"/>
      <c r="E168" s="31"/>
      <c r="F168" s="1" t="s">
        <v>383</v>
      </c>
      <c r="G168" s="28">
        <v>45292</v>
      </c>
      <c r="H168" s="14"/>
      <c r="I168" s="14" t="s">
        <v>384</v>
      </c>
      <c r="J168" s="52">
        <v>45901</v>
      </c>
      <c r="K168" s="31"/>
      <c r="L168" s="52">
        <v>45931</v>
      </c>
      <c r="M168" s="31"/>
      <c r="N168" s="28">
        <v>45904</v>
      </c>
      <c r="O168" s="29" t="s">
        <v>69</v>
      </c>
      <c r="P168" s="15" t="s">
        <v>70</v>
      </c>
      <c r="Q168" s="13">
        <v>51.75</v>
      </c>
      <c r="R168" s="44" t="s">
        <v>75</v>
      </c>
      <c r="S168" s="31"/>
      <c r="T168" s="13">
        <v>4.66</v>
      </c>
      <c r="U168" s="29" t="s">
        <v>72</v>
      </c>
    </row>
    <row r="169" spans="1:21" ht="22.5" x14ac:dyDescent="0.2">
      <c r="A169" s="1"/>
      <c r="B169" s="1" t="s">
        <v>65</v>
      </c>
      <c r="C169" s="30" t="s">
        <v>385</v>
      </c>
      <c r="D169" s="31"/>
      <c r="E169" s="31"/>
      <c r="F169" s="1" t="s">
        <v>386</v>
      </c>
      <c r="G169" s="28">
        <v>45334</v>
      </c>
      <c r="H169" s="14"/>
      <c r="I169" s="14" t="s">
        <v>365</v>
      </c>
      <c r="J169" s="52">
        <v>45901</v>
      </c>
      <c r="K169" s="31"/>
      <c r="L169" s="52">
        <v>45931</v>
      </c>
      <c r="M169" s="31"/>
      <c r="N169" s="28">
        <v>45906</v>
      </c>
      <c r="O169" s="29" t="s">
        <v>69</v>
      </c>
      <c r="P169" s="15" t="s">
        <v>70</v>
      </c>
      <c r="Q169" s="13">
        <v>16.95</v>
      </c>
      <c r="R169" s="44" t="s">
        <v>75</v>
      </c>
      <c r="S169" s="31"/>
      <c r="T169" s="13">
        <v>1.53</v>
      </c>
      <c r="U169" s="29" t="s">
        <v>72</v>
      </c>
    </row>
    <row r="170" spans="1:21" ht="22.5" x14ac:dyDescent="0.2">
      <c r="A170" s="1"/>
      <c r="B170" s="1" t="s">
        <v>65</v>
      </c>
      <c r="C170" s="30" t="s">
        <v>387</v>
      </c>
      <c r="D170" s="31"/>
      <c r="E170" s="31"/>
      <c r="F170" s="1" t="s">
        <v>388</v>
      </c>
      <c r="G170" s="28">
        <v>45263</v>
      </c>
      <c r="H170" s="14"/>
      <c r="I170" s="14" t="s">
        <v>284</v>
      </c>
      <c r="J170" s="52">
        <v>45901</v>
      </c>
      <c r="K170" s="31"/>
      <c r="L170" s="52">
        <v>45931</v>
      </c>
      <c r="M170" s="31"/>
      <c r="N170" s="28">
        <v>45905</v>
      </c>
      <c r="O170" s="29" t="s">
        <v>69</v>
      </c>
      <c r="P170" s="15" t="s">
        <v>70</v>
      </c>
      <c r="Q170" s="13">
        <v>64.48</v>
      </c>
      <c r="R170" s="44" t="s">
        <v>75</v>
      </c>
      <c r="S170" s="31"/>
      <c r="T170" s="13">
        <v>5.8</v>
      </c>
      <c r="U170" s="29" t="s">
        <v>72</v>
      </c>
    </row>
    <row r="171" spans="1:21" x14ac:dyDescent="0.2">
      <c r="A171" s="36" t="s">
        <v>389</v>
      </c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1"/>
      <c r="Q171" s="1"/>
      <c r="R171" s="30"/>
      <c r="S171" s="31"/>
      <c r="T171" s="1"/>
      <c r="U171" s="1"/>
    </row>
    <row r="172" spans="1:21" ht="22.5" x14ac:dyDescent="0.2">
      <c r="A172" s="1"/>
      <c r="B172" s="1" t="s">
        <v>65</v>
      </c>
      <c r="C172" s="30" t="s">
        <v>390</v>
      </c>
      <c r="D172" s="31"/>
      <c r="E172" s="31"/>
      <c r="F172" s="1" t="s">
        <v>391</v>
      </c>
      <c r="G172" s="28">
        <v>44987</v>
      </c>
      <c r="H172" s="14"/>
      <c r="I172" s="14" t="s">
        <v>157</v>
      </c>
      <c r="J172" s="52">
        <v>45901</v>
      </c>
      <c r="K172" s="31"/>
      <c r="L172" s="52">
        <v>45931</v>
      </c>
      <c r="M172" s="31"/>
      <c r="N172" s="28">
        <v>45904</v>
      </c>
      <c r="O172" s="29" t="s">
        <v>69</v>
      </c>
      <c r="P172" s="15" t="s">
        <v>70</v>
      </c>
      <c r="Q172" s="13">
        <v>25.42</v>
      </c>
      <c r="R172" s="44" t="s">
        <v>71</v>
      </c>
      <c r="S172" s="31"/>
      <c r="T172" s="13">
        <v>4.58</v>
      </c>
      <c r="U172" s="29" t="s">
        <v>72</v>
      </c>
    </row>
    <row r="173" spans="1:21" ht="22.5" x14ac:dyDescent="0.2">
      <c r="A173" s="1"/>
      <c r="B173" s="1" t="s">
        <v>65</v>
      </c>
      <c r="C173" s="30" t="s">
        <v>392</v>
      </c>
      <c r="D173" s="31"/>
      <c r="E173" s="31"/>
      <c r="F173" s="1" t="s">
        <v>393</v>
      </c>
      <c r="G173" s="28">
        <v>44987</v>
      </c>
      <c r="H173" s="14"/>
      <c r="I173" s="14" t="s">
        <v>157</v>
      </c>
      <c r="J173" s="52">
        <v>45901</v>
      </c>
      <c r="K173" s="31"/>
      <c r="L173" s="52">
        <v>45931</v>
      </c>
      <c r="M173" s="31"/>
      <c r="N173" s="28">
        <v>45904</v>
      </c>
      <c r="O173" s="29" t="s">
        <v>69</v>
      </c>
      <c r="P173" s="15" t="s">
        <v>70</v>
      </c>
      <c r="Q173" s="13">
        <v>25.42</v>
      </c>
      <c r="R173" s="44" t="s">
        <v>71</v>
      </c>
      <c r="S173" s="31"/>
      <c r="T173" s="13">
        <v>4.58</v>
      </c>
      <c r="U173" s="29" t="s">
        <v>72</v>
      </c>
    </row>
    <row r="174" spans="1:21" ht="22.5" x14ac:dyDescent="0.2">
      <c r="A174" s="1"/>
      <c r="B174" s="1" t="s">
        <v>65</v>
      </c>
      <c r="C174" s="30" t="s">
        <v>394</v>
      </c>
      <c r="D174" s="31"/>
      <c r="E174" s="31"/>
      <c r="F174" s="1" t="s">
        <v>395</v>
      </c>
      <c r="G174" s="28">
        <v>44896</v>
      </c>
      <c r="H174" s="14"/>
      <c r="I174" s="14" t="s">
        <v>81</v>
      </c>
      <c r="J174" s="52">
        <v>45901</v>
      </c>
      <c r="K174" s="31"/>
      <c r="L174" s="52">
        <v>45931</v>
      </c>
      <c r="M174" s="31"/>
      <c r="N174" s="28">
        <v>45904</v>
      </c>
      <c r="O174" s="29" t="s">
        <v>69</v>
      </c>
      <c r="P174" s="15" t="s">
        <v>70</v>
      </c>
      <c r="Q174" s="13">
        <v>25</v>
      </c>
      <c r="R174" s="44" t="s">
        <v>75</v>
      </c>
      <c r="S174" s="31"/>
      <c r="T174" s="13">
        <v>2.25</v>
      </c>
      <c r="U174" s="29" t="s">
        <v>72</v>
      </c>
    </row>
    <row r="175" spans="1:21" ht="22.5" x14ac:dyDescent="0.2">
      <c r="A175" s="1"/>
      <c r="B175" s="1" t="s">
        <v>65</v>
      </c>
      <c r="C175" s="30" t="s">
        <v>394</v>
      </c>
      <c r="D175" s="31"/>
      <c r="E175" s="31"/>
      <c r="F175" s="1" t="s">
        <v>395</v>
      </c>
      <c r="G175" s="28">
        <v>44896</v>
      </c>
      <c r="H175" s="14"/>
      <c r="I175" s="14" t="s">
        <v>81</v>
      </c>
      <c r="J175" s="52">
        <v>45870</v>
      </c>
      <c r="K175" s="31"/>
      <c r="L175" s="52">
        <v>45901</v>
      </c>
      <c r="M175" s="31"/>
      <c r="N175" s="28">
        <v>45904</v>
      </c>
      <c r="O175" s="29" t="s">
        <v>69</v>
      </c>
      <c r="P175" s="15" t="s">
        <v>70</v>
      </c>
      <c r="Q175" s="13">
        <v>25</v>
      </c>
      <c r="R175" s="44" t="s">
        <v>75</v>
      </c>
      <c r="S175" s="31"/>
      <c r="T175" s="13">
        <v>2.25</v>
      </c>
      <c r="U175" s="29" t="s">
        <v>72</v>
      </c>
    </row>
    <row r="176" spans="1:21" ht="22.5" x14ac:dyDescent="0.2">
      <c r="A176" s="1"/>
      <c r="B176" s="1" t="s">
        <v>65</v>
      </c>
      <c r="C176" s="30" t="s">
        <v>396</v>
      </c>
      <c r="D176" s="31"/>
      <c r="E176" s="31"/>
      <c r="F176" s="1" t="s">
        <v>395</v>
      </c>
      <c r="G176" s="28">
        <v>44896</v>
      </c>
      <c r="H176" s="14"/>
      <c r="I176" s="14" t="s">
        <v>196</v>
      </c>
      <c r="J176" s="52">
        <v>45870</v>
      </c>
      <c r="K176" s="31"/>
      <c r="L176" s="52">
        <v>45901</v>
      </c>
      <c r="M176" s="31"/>
      <c r="N176" s="28">
        <v>45904</v>
      </c>
      <c r="O176" s="29" t="s">
        <v>69</v>
      </c>
      <c r="P176" s="15" t="s">
        <v>70</v>
      </c>
      <c r="Q176" s="13">
        <v>54</v>
      </c>
      <c r="R176" s="44" t="s">
        <v>75</v>
      </c>
      <c r="S176" s="31"/>
      <c r="T176" s="13">
        <v>4.8600000000000003</v>
      </c>
      <c r="U176" s="29" t="s">
        <v>72</v>
      </c>
    </row>
    <row r="177" spans="1:21" ht="22.5" x14ac:dyDescent="0.2">
      <c r="A177" s="1"/>
      <c r="B177" s="1" t="s">
        <v>65</v>
      </c>
      <c r="C177" s="30" t="s">
        <v>396</v>
      </c>
      <c r="D177" s="31"/>
      <c r="E177" s="31"/>
      <c r="F177" s="1" t="s">
        <v>395</v>
      </c>
      <c r="G177" s="28">
        <v>44896</v>
      </c>
      <c r="H177" s="14"/>
      <c r="I177" s="14" t="s">
        <v>196</v>
      </c>
      <c r="J177" s="52">
        <v>45901</v>
      </c>
      <c r="K177" s="31"/>
      <c r="L177" s="52">
        <v>45931</v>
      </c>
      <c r="M177" s="31"/>
      <c r="N177" s="28">
        <v>45904</v>
      </c>
      <c r="O177" s="29" t="s">
        <v>69</v>
      </c>
      <c r="P177" s="15" t="s">
        <v>70</v>
      </c>
      <c r="Q177" s="13">
        <v>54</v>
      </c>
      <c r="R177" s="44" t="s">
        <v>75</v>
      </c>
      <c r="S177" s="31"/>
      <c r="T177" s="13">
        <v>4.8600000000000003</v>
      </c>
      <c r="U177" s="29" t="s">
        <v>72</v>
      </c>
    </row>
    <row r="178" spans="1:21" ht="22.5" x14ac:dyDescent="0.2">
      <c r="A178" s="1"/>
      <c r="B178" s="1" t="s">
        <v>65</v>
      </c>
      <c r="C178" s="30" t="s">
        <v>397</v>
      </c>
      <c r="D178" s="31"/>
      <c r="E178" s="31"/>
      <c r="F178" s="1" t="s">
        <v>395</v>
      </c>
      <c r="G178" s="28">
        <v>44896</v>
      </c>
      <c r="H178" s="14"/>
      <c r="I178" s="14" t="s">
        <v>157</v>
      </c>
      <c r="J178" s="52">
        <v>45901</v>
      </c>
      <c r="K178" s="31"/>
      <c r="L178" s="52">
        <v>45931</v>
      </c>
      <c r="M178" s="31"/>
      <c r="N178" s="28">
        <v>45904</v>
      </c>
      <c r="O178" s="29" t="s">
        <v>69</v>
      </c>
      <c r="P178" s="15" t="s">
        <v>70</v>
      </c>
      <c r="Q178" s="13">
        <v>146.41999999999999</v>
      </c>
      <c r="R178" s="44" t="s">
        <v>71</v>
      </c>
      <c r="S178" s="31"/>
      <c r="T178" s="13">
        <v>26.36</v>
      </c>
      <c r="U178" s="29" t="s">
        <v>72</v>
      </c>
    </row>
    <row r="179" spans="1:21" ht="22.5" x14ac:dyDescent="0.2">
      <c r="A179" s="1"/>
      <c r="B179" s="1" t="s">
        <v>65</v>
      </c>
      <c r="C179" s="30" t="s">
        <v>397</v>
      </c>
      <c r="D179" s="31"/>
      <c r="E179" s="31"/>
      <c r="F179" s="1" t="s">
        <v>395</v>
      </c>
      <c r="G179" s="28">
        <v>44896</v>
      </c>
      <c r="H179" s="14"/>
      <c r="I179" s="14" t="s">
        <v>157</v>
      </c>
      <c r="J179" s="52">
        <v>45870</v>
      </c>
      <c r="K179" s="31"/>
      <c r="L179" s="52">
        <v>45901</v>
      </c>
      <c r="M179" s="31"/>
      <c r="N179" s="28">
        <v>45904</v>
      </c>
      <c r="O179" s="29" t="s">
        <v>69</v>
      </c>
      <c r="P179" s="15" t="s">
        <v>70</v>
      </c>
      <c r="Q179" s="13">
        <v>146.41999999999999</v>
      </c>
      <c r="R179" s="44" t="s">
        <v>71</v>
      </c>
      <c r="S179" s="31"/>
      <c r="T179" s="13">
        <v>26.36</v>
      </c>
      <c r="U179" s="29" t="s">
        <v>72</v>
      </c>
    </row>
    <row r="180" spans="1:21" ht="22.5" x14ac:dyDescent="0.2">
      <c r="A180" s="1"/>
      <c r="B180" s="1" t="s">
        <v>65</v>
      </c>
      <c r="C180" s="30" t="s">
        <v>398</v>
      </c>
      <c r="D180" s="31"/>
      <c r="E180" s="31"/>
      <c r="F180" s="1" t="s">
        <v>399</v>
      </c>
      <c r="G180" s="28">
        <v>44927</v>
      </c>
      <c r="H180" s="14"/>
      <c r="I180" s="14" t="s">
        <v>224</v>
      </c>
      <c r="J180" s="52">
        <v>45901</v>
      </c>
      <c r="K180" s="31"/>
      <c r="L180" s="52">
        <v>45931</v>
      </c>
      <c r="M180" s="31"/>
      <c r="N180" s="28">
        <v>45904</v>
      </c>
      <c r="O180" s="29" t="s">
        <v>69</v>
      </c>
      <c r="P180" s="15" t="s">
        <v>70</v>
      </c>
      <c r="Q180" s="13">
        <v>35.99</v>
      </c>
      <c r="R180" s="44" t="s">
        <v>95</v>
      </c>
      <c r="S180" s="31"/>
      <c r="T180" s="13">
        <v>2.52</v>
      </c>
      <c r="U180" s="29" t="s">
        <v>72</v>
      </c>
    </row>
    <row r="181" spans="1:21" ht="22.5" x14ac:dyDescent="0.2">
      <c r="A181" s="1"/>
      <c r="B181" s="1" t="s">
        <v>65</v>
      </c>
      <c r="C181" s="30" t="s">
        <v>400</v>
      </c>
      <c r="D181" s="31"/>
      <c r="E181" s="31"/>
      <c r="F181" s="1" t="s">
        <v>399</v>
      </c>
      <c r="G181" s="28">
        <v>44927</v>
      </c>
      <c r="H181" s="14"/>
      <c r="I181" s="14" t="s">
        <v>157</v>
      </c>
      <c r="J181" s="52">
        <v>45901</v>
      </c>
      <c r="K181" s="31"/>
      <c r="L181" s="52">
        <v>45931</v>
      </c>
      <c r="M181" s="31"/>
      <c r="N181" s="28">
        <v>45904</v>
      </c>
      <c r="O181" s="29" t="s">
        <v>69</v>
      </c>
      <c r="P181" s="15" t="s">
        <v>70</v>
      </c>
      <c r="Q181" s="13">
        <v>15.62</v>
      </c>
      <c r="R181" s="44" t="s">
        <v>75</v>
      </c>
      <c r="S181" s="31"/>
      <c r="T181" s="13">
        <v>1.41</v>
      </c>
      <c r="U181" s="29" t="s">
        <v>72</v>
      </c>
    </row>
    <row r="182" spans="1:21" ht="22.5" x14ac:dyDescent="0.2">
      <c r="A182" s="1"/>
      <c r="B182" s="1" t="s">
        <v>65</v>
      </c>
      <c r="C182" s="30" t="s">
        <v>401</v>
      </c>
      <c r="D182" s="31"/>
      <c r="E182" s="31"/>
      <c r="F182" s="1" t="s">
        <v>399</v>
      </c>
      <c r="G182" s="28">
        <v>44927</v>
      </c>
      <c r="H182" s="14"/>
      <c r="I182" s="14" t="s">
        <v>135</v>
      </c>
      <c r="J182" s="52">
        <v>45901</v>
      </c>
      <c r="K182" s="31"/>
      <c r="L182" s="52">
        <v>45931</v>
      </c>
      <c r="M182" s="31"/>
      <c r="N182" s="28">
        <v>45904</v>
      </c>
      <c r="O182" s="29" t="s">
        <v>69</v>
      </c>
      <c r="P182" s="15" t="s">
        <v>70</v>
      </c>
      <c r="Q182" s="13">
        <v>10.45</v>
      </c>
      <c r="R182" s="44" t="s">
        <v>75</v>
      </c>
      <c r="S182" s="31"/>
      <c r="T182" s="13">
        <v>0.94</v>
      </c>
      <c r="U182" s="29" t="s">
        <v>72</v>
      </c>
    </row>
    <row r="183" spans="1:21" x14ac:dyDescent="0.2">
      <c r="A183" s="1"/>
      <c r="B183" s="1" t="s">
        <v>65</v>
      </c>
      <c r="C183" s="30" t="s">
        <v>402</v>
      </c>
      <c r="D183" s="31"/>
      <c r="E183" s="31"/>
      <c r="F183" s="1" t="s">
        <v>403</v>
      </c>
      <c r="G183" s="28">
        <v>45017</v>
      </c>
      <c r="H183" s="14"/>
      <c r="I183" s="14" t="s">
        <v>196</v>
      </c>
      <c r="J183" s="52">
        <v>45901</v>
      </c>
      <c r="K183" s="31"/>
      <c r="L183" s="52">
        <v>45931</v>
      </c>
      <c r="M183" s="31"/>
      <c r="N183" s="28">
        <v>45904</v>
      </c>
      <c r="O183" s="29" t="s">
        <v>69</v>
      </c>
      <c r="P183" s="15" t="s">
        <v>70</v>
      </c>
      <c r="Q183" s="13">
        <v>19</v>
      </c>
      <c r="R183" s="44" t="s">
        <v>75</v>
      </c>
      <c r="S183" s="31"/>
      <c r="T183" s="13">
        <v>1.71</v>
      </c>
      <c r="U183" s="29" t="s">
        <v>72</v>
      </c>
    </row>
    <row r="184" spans="1:21" ht="22.5" x14ac:dyDescent="0.2">
      <c r="A184" s="1"/>
      <c r="B184" s="1" t="s">
        <v>65</v>
      </c>
      <c r="C184" s="30" t="s">
        <v>404</v>
      </c>
      <c r="D184" s="31"/>
      <c r="E184" s="31"/>
      <c r="F184" s="1" t="s">
        <v>403</v>
      </c>
      <c r="G184" s="28">
        <v>45017</v>
      </c>
      <c r="H184" s="14"/>
      <c r="I184" s="14" t="s">
        <v>157</v>
      </c>
      <c r="J184" s="52">
        <v>45901</v>
      </c>
      <c r="K184" s="31"/>
      <c r="L184" s="52">
        <v>45931</v>
      </c>
      <c r="M184" s="31"/>
      <c r="N184" s="28">
        <v>45904</v>
      </c>
      <c r="O184" s="29" t="s">
        <v>69</v>
      </c>
      <c r="P184" s="15" t="s">
        <v>70</v>
      </c>
      <c r="Q184" s="13">
        <v>29.75</v>
      </c>
      <c r="R184" s="44" t="s">
        <v>71</v>
      </c>
      <c r="S184" s="31"/>
      <c r="T184" s="13">
        <v>5.36</v>
      </c>
      <c r="U184" s="29" t="s">
        <v>72</v>
      </c>
    </row>
    <row r="185" spans="1:21" ht="22.5" x14ac:dyDescent="0.2">
      <c r="A185" s="1"/>
      <c r="B185" s="1" t="s">
        <v>65</v>
      </c>
      <c r="C185" s="30" t="s">
        <v>405</v>
      </c>
      <c r="D185" s="31"/>
      <c r="E185" s="31"/>
      <c r="F185" s="1" t="s">
        <v>406</v>
      </c>
      <c r="G185" s="28">
        <v>45047</v>
      </c>
      <c r="H185" s="14"/>
      <c r="I185" s="14" t="s">
        <v>81</v>
      </c>
      <c r="J185" s="52">
        <v>45901</v>
      </c>
      <c r="K185" s="31"/>
      <c r="L185" s="52">
        <v>45931</v>
      </c>
      <c r="M185" s="31"/>
      <c r="N185" s="28">
        <v>45904</v>
      </c>
      <c r="O185" s="29" t="s">
        <v>69</v>
      </c>
      <c r="P185" s="15" t="s">
        <v>70</v>
      </c>
      <c r="Q185" s="13">
        <v>25</v>
      </c>
      <c r="R185" s="44" t="s">
        <v>75</v>
      </c>
      <c r="S185" s="31"/>
      <c r="T185" s="13">
        <v>2.25</v>
      </c>
      <c r="U185" s="29" t="s">
        <v>72</v>
      </c>
    </row>
    <row r="186" spans="1:21" ht="33.75" x14ac:dyDescent="0.2">
      <c r="A186" s="1"/>
      <c r="B186" s="1" t="s">
        <v>65</v>
      </c>
      <c r="C186" s="30" t="s">
        <v>407</v>
      </c>
      <c r="D186" s="31"/>
      <c r="E186" s="31"/>
      <c r="F186" s="1" t="s">
        <v>408</v>
      </c>
      <c r="G186" s="28">
        <v>44927</v>
      </c>
      <c r="H186" s="14"/>
      <c r="I186" s="14" t="s">
        <v>81</v>
      </c>
      <c r="J186" s="52">
        <v>45901</v>
      </c>
      <c r="K186" s="31"/>
      <c r="L186" s="52">
        <v>45931</v>
      </c>
      <c r="M186" s="31"/>
      <c r="N186" s="28">
        <v>45904</v>
      </c>
      <c r="O186" s="29" t="s">
        <v>69</v>
      </c>
      <c r="P186" s="15" t="s">
        <v>70</v>
      </c>
      <c r="Q186" s="13">
        <v>25</v>
      </c>
      <c r="R186" s="44" t="s">
        <v>75</v>
      </c>
      <c r="S186" s="31"/>
      <c r="T186" s="13">
        <v>2.25</v>
      </c>
      <c r="U186" s="29" t="s">
        <v>72</v>
      </c>
    </row>
    <row r="187" spans="1:21" x14ac:dyDescent="0.2">
      <c r="A187" s="1"/>
      <c r="B187" s="1" t="s">
        <v>65</v>
      </c>
      <c r="C187" s="30" t="s">
        <v>409</v>
      </c>
      <c r="D187" s="31"/>
      <c r="E187" s="31"/>
      <c r="F187" s="1" t="s">
        <v>410</v>
      </c>
      <c r="G187" s="28">
        <v>44927</v>
      </c>
      <c r="H187" s="14"/>
      <c r="I187" s="14" t="s">
        <v>278</v>
      </c>
      <c r="J187" s="52">
        <v>45901</v>
      </c>
      <c r="K187" s="31"/>
      <c r="L187" s="52">
        <v>45931</v>
      </c>
      <c r="M187" s="31"/>
      <c r="N187" s="28">
        <v>45904</v>
      </c>
      <c r="O187" s="29" t="s">
        <v>69</v>
      </c>
      <c r="P187" s="15" t="s">
        <v>70</v>
      </c>
      <c r="Q187" s="13">
        <v>39</v>
      </c>
      <c r="R187" s="44" t="s">
        <v>75</v>
      </c>
      <c r="S187" s="31"/>
      <c r="T187" s="13">
        <v>3.51</v>
      </c>
      <c r="U187" s="29" t="s">
        <v>72</v>
      </c>
    </row>
    <row r="188" spans="1:21" ht="22.5" x14ac:dyDescent="0.2">
      <c r="A188" s="1"/>
      <c r="B188" s="1" t="s">
        <v>65</v>
      </c>
      <c r="C188" s="30" t="s">
        <v>411</v>
      </c>
      <c r="D188" s="31"/>
      <c r="E188" s="31"/>
      <c r="F188" s="1" t="s">
        <v>410</v>
      </c>
      <c r="G188" s="28">
        <v>44927</v>
      </c>
      <c r="H188" s="14"/>
      <c r="I188" s="14" t="s">
        <v>211</v>
      </c>
      <c r="J188" s="52">
        <v>45901</v>
      </c>
      <c r="K188" s="31"/>
      <c r="L188" s="52">
        <v>45931</v>
      </c>
      <c r="M188" s="31"/>
      <c r="N188" s="28">
        <v>45904</v>
      </c>
      <c r="O188" s="29" t="s">
        <v>69</v>
      </c>
      <c r="P188" s="15" t="s">
        <v>70</v>
      </c>
      <c r="Q188" s="13">
        <v>91.23</v>
      </c>
      <c r="R188" s="44" t="s">
        <v>71</v>
      </c>
      <c r="S188" s="31"/>
      <c r="T188" s="13">
        <v>16.420000000000002</v>
      </c>
      <c r="U188" s="29" t="s">
        <v>72</v>
      </c>
    </row>
    <row r="189" spans="1:21" ht="22.5" x14ac:dyDescent="0.2">
      <c r="A189" s="1"/>
      <c r="B189" s="1" t="s">
        <v>65</v>
      </c>
      <c r="C189" s="30" t="s">
        <v>412</v>
      </c>
      <c r="D189" s="31"/>
      <c r="E189" s="31"/>
      <c r="F189" s="1" t="s">
        <v>413</v>
      </c>
      <c r="G189" s="28">
        <v>44927</v>
      </c>
      <c r="H189" s="14"/>
      <c r="I189" s="14" t="s">
        <v>414</v>
      </c>
      <c r="J189" s="52">
        <v>45901</v>
      </c>
      <c r="K189" s="31"/>
      <c r="L189" s="52">
        <v>45931</v>
      </c>
      <c r="M189" s="31"/>
      <c r="N189" s="28">
        <v>45904</v>
      </c>
      <c r="O189" s="29" t="s">
        <v>69</v>
      </c>
      <c r="P189" s="15" t="s">
        <v>70</v>
      </c>
      <c r="Q189" s="13">
        <v>34.14</v>
      </c>
      <c r="R189" s="44" t="s">
        <v>71</v>
      </c>
      <c r="S189" s="31"/>
      <c r="T189" s="13">
        <v>6.15</v>
      </c>
      <c r="U189" s="29" t="s">
        <v>72</v>
      </c>
    </row>
    <row r="190" spans="1:21" ht="22.5" x14ac:dyDescent="0.2">
      <c r="A190" s="1"/>
      <c r="B190" s="1" t="s">
        <v>65</v>
      </c>
      <c r="C190" s="30" t="s">
        <v>415</v>
      </c>
      <c r="D190" s="31"/>
      <c r="E190" s="31"/>
      <c r="F190" s="1" t="s">
        <v>413</v>
      </c>
      <c r="G190" s="28">
        <v>44927</v>
      </c>
      <c r="H190" s="14"/>
      <c r="I190" s="14" t="s">
        <v>78</v>
      </c>
      <c r="J190" s="52">
        <v>45901</v>
      </c>
      <c r="K190" s="31"/>
      <c r="L190" s="52">
        <v>45931</v>
      </c>
      <c r="M190" s="31"/>
      <c r="N190" s="28">
        <v>45904</v>
      </c>
      <c r="O190" s="29" t="s">
        <v>69</v>
      </c>
      <c r="P190" s="15" t="s">
        <v>70</v>
      </c>
      <c r="Q190" s="13">
        <v>11.3</v>
      </c>
      <c r="R190" s="44" t="s">
        <v>75</v>
      </c>
      <c r="S190" s="31"/>
      <c r="T190" s="13">
        <v>1.02</v>
      </c>
      <c r="U190" s="29" t="s">
        <v>72</v>
      </c>
    </row>
    <row r="191" spans="1:21" ht="22.5" x14ac:dyDescent="0.2">
      <c r="A191" s="1"/>
      <c r="B191" s="1" t="s">
        <v>65</v>
      </c>
      <c r="C191" s="30" t="s">
        <v>416</v>
      </c>
      <c r="D191" s="31"/>
      <c r="E191" s="31"/>
      <c r="F191" s="1" t="s">
        <v>417</v>
      </c>
      <c r="G191" s="28">
        <v>45323</v>
      </c>
      <c r="H191" s="14"/>
      <c r="I191" s="14" t="s">
        <v>157</v>
      </c>
      <c r="J191" s="52">
        <v>45901</v>
      </c>
      <c r="K191" s="31"/>
      <c r="L191" s="52">
        <v>45931</v>
      </c>
      <c r="M191" s="31"/>
      <c r="N191" s="28">
        <v>45904</v>
      </c>
      <c r="O191" s="29" t="s">
        <v>69</v>
      </c>
      <c r="P191" s="15" t="s">
        <v>70</v>
      </c>
      <c r="Q191" s="13">
        <v>62.81</v>
      </c>
      <c r="R191" s="44" t="s">
        <v>71</v>
      </c>
      <c r="S191" s="31"/>
      <c r="T191" s="13">
        <v>11.31</v>
      </c>
      <c r="U191" s="29" t="s">
        <v>72</v>
      </c>
    </row>
    <row r="192" spans="1:21" ht="22.5" x14ac:dyDescent="0.2">
      <c r="A192" s="1"/>
      <c r="B192" s="1" t="s">
        <v>65</v>
      </c>
      <c r="C192" s="30" t="s">
        <v>418</v>
      </c>
      <c r="D192" s="31"/>
      <c r="E192" s="31"/>
      <c r="F192" s="1" t="s">
        <v>419</v>
      </c>
      <c r="G192" s="28">
        <v>44927</v>
      </c>
      <c r="H192" s="14"/>
      <c r="I192" s="14" t="s">
        <v>183</v>
      </c>
      <c r="J192" s="52">
        <v>45901</v>
      </c>
      <c r="K192" s="31"/>
      <c r="L192" s="52">
        <v>45931</v>
      </c>
      <c r="M192" s="31"/>
      <c r="N192" s="28">
        <v>45904</v>
      </c>
      <c r="O192" s="29" t="s">
        <v>69</v>
      </c>
      <c r="P192" s="15" t="s">
        <v>70</v>
      </c>
      <c r="Q192" s="13">
        <v>84.91</v>
      </c>
      <c r="R192" s="44" t="s">
        <v>71</v>
      </c>
      <c r="S192" s="31"/>
      <c r="T192" s="13">
        <v>15.28</v>
      </c>
      <c r="U192" s="29" t="s">
        <v>72</v>
      </c>
    </row>
    <row r="193" spans="1:21" ht="22.5" x14ac:dyDescent="0.2">
      <c r="A193" s="1"/>
      <c r="B193" s="1" t="s">
        <v>65</v>
      </c>
      <c r="C193" s="30" t="s">
        <v>420</v>
      </c>
      <c r="D193" s="31"/>
      <c r="E193" s="31"/>
      <c r="F193" s="1" t="s">
        <v>419</v>
      </c>
      <c r="G193" s="28">
        <v>44927</v>
      </c>
      <c r="H193" s="14"/>
      <c r="I193" s="14" t="s">
        <v>78</v>
      </c>
      <c r="J193" s="52">
        <v>45901</v>
      </c>
      <c r="K193" s="31"/>
      <c r="L193" s="52">
        <v>45931</v>
      </c>
      <c r="M193" s="31"/>
      <c r="N193" s="28">
        <v>45904</v>
      </c>
      <c r="O193" s="29" t="s">
        <v>69</v>
      </c>
      <c r="P193" s="15" t="s">
        <v>70</v>
      </c>
      <c r="Q193" s="13">
        <v>30.4</v>
      </c>
      <c r="R193" s="44" t="s">
        <v>75</v>
      </c>
      <c r="S193" s="31"/>
      <c r="T193" s="13">
        <v>2.74</v>
      </c>
      <c r="U193" s="29" t="s">
        <v>72</v>
      </c>
    </row>
    <row r="194" spans="1:21" ht="22.5" x14ac:dyDescent="0.2">
      <c r="A194" s="1"/>
      <c r="B194" s="1" t="s">
        <v>65</v>
      </c>
      <c r="C194" s="30" t="s">
        <v>421</v>
      </c>
      <c r="D194" s="31"/>
      <c r="E194" s="31"/>
      <c r="F194" s="1" t="s">
        <v>422</v>
      </c>
      <c r="G194" s="28">
        <v>44927</v>
      </c>
      <c r="H194" s="14"/>
      <c r="I194" s="14" t="s">
        <v>81</v>
      </c>
      <c r="J194" s="52">
        <v>45901</v>
      </c>
      <c r="K194" s="31"/>
      <c r="L194" s="52">
        <v>45931</v>
      </c>
      <c r="M194" s="31"/>
      <c r="N194" s="28">
        <v>45904</v>
      </c>
      <c r="O194" s="29" t="s">
        <v>69</v>
      </c>
      <c r="P194" s="15" t="s">
        <v>70</v>
      </c>
      <c r="Q194" s="13">
        <v>16</v>
      </c>
      <c r="R194" s="44" t="s">
        <v>75</v>
      </c>
      <c r="S194" s="31"/>
      <c r="T194" s="13">
        <v>1.44</v>
      </c>
      <c r="U194" s="29" t="s">
        <v>72</v>
      </c>
    </row>
    <row r="195" spans="1:21" ht="22.5" x14ac:dyDescent="0.2">
      <c r="A195" s="1"/>
      <c r="B195" s="1" t="s">
        <v>65</v>
      </c>
      <c r="C195" s="30" t="s">
        <v>423</v>
      </c>
      <c r="D195" s="31"/>
      <c r="E195" s="31"/>
      <c r="F195" s="1" t="s">
        <v>422</v>
      </c>
      <c r="G195" s="28">
        <v>44927</v>
      </c>
      <c r="H195" s="14"/>
      <c r="I195" s="14" t="s">
        <v>196</v>
      </c>
      <c r="J195" s="52">
        <v>45901</v>
      </c>
      <c r="K195" s="31"/>
      <c r="L195" s="52">
        <v>45931</v>
      </c>
      <c r="M195" s="31"/>
      <c r="N195" s="28">
        <v>45904</v>
      </c>
      <c r="O195" s="29" t="s">
        <v>69</v>
      </c>
      <c r="P195" s="15" t="s">
        <v>70</v>
      </c>
      <c r="Q195" s="13">
        <v>38</v>
      </c>
      <c r="R195" s="44" t="s">
        <v>75</v>
      </c>
      <c r="S195" s="31"/>
      <c r="T195" s="13">
        <v>3.42</v>
      </c>
      <c r="U195" s="29" t="s">
        <v>72</v>
      </c>
    </row>
    <row r="196" spans="1:21" ht="22.5" x14ac:dyDescent="0.2">
      <c r="A196" s="1"/>
      <c r="B196" s="1" t="s">
        <v>65</v>
      </c>
      <c r="C196" s="30" t="s">
        <v>424</v>
      </c>
      <c r="D196" s="31"/>
      <c r="E196" s="31"/>
      <c r="F196" s="1" t="s">
        <v>422</v>
      </c>
      <c r="G196" s="28">
        <v>44927</v>
      </c>
      <c r="H196" s="14"/>
      <c r="I196" s="14" t="s">
        <v>157</v>
      </c>
      <c r="J196" s="52">
        <v>45901</v>
      </c>
      <c r="K196" s="31"/>
      <c r="L196" s="52">
        <v>45931</v>
      </c>
      <c r="M196" s="31"/>
      <c r="N196" s="28">
        <v>45904</v>
      </c>
      <c r="O196" s="29" t="s">
        <v>69</v>
      </c>
      <c r="P196" s="15" t="s">
        <v>70</v>
      </c>
      <c r="Q196" s="13">
        <v>136.96</v>
      </c>
      <c r="R196" s="44" t="s">
        <v>71</v>
      </c>
      <c r="S196" s="31"/>
      <c r="T196" s="13">
        <v>24.65</v>
      </c>
      <c r="U196" s="29" t="s">
        <v>72</v>
      </c>
    </row>
    <row r="197" spans="1:21" ht="22.5" x14ac:dyDescent="0.2">
      <c r="A197" s="1"/>
      <c r="B197" s="1" t="s">
        <v>65</v>
      </c>
      <c r="C197" s="30" t="s">
        <v>425</v>
      </c>
      <c r="D197" s="31"/>
      <c r="E197" s="31"/>
      <c r="F197" s="1" t="s">
        <v>426</v>
      </c>
      <c r="G197" s="28">
        <v>44927</v>
      </c>
      <c r="H197" s="14"/>
      <c r="I197" s="14" t="s">
        <v>81</v>
      </c>
      <c r="J197" s="52">
        <v>45901</v>
      </c>
      <c r="K197" s="31"/>
      <c r="L197" s="52">
        <v>45931</v>
      </c>
      <c r="M197" s="31"/>
      <c r="N197" s="28">
        <v>45904</v>
      </c>
      <c r="O197" s="29" t="s">
        <v>69</v>
      </c>
      <c r="P197" s="15" t="s">
        <v>70</v>
      </c>
      <c r="Q197" s="13">
        <v>16</v>
      </c>
      <c r="R197" s="44" t="s">
        <v>75</v>
      </c>
      <c r="S197" s="31"/>
      <c r="T197" s="13">
        <v>1.44</v>
      </c>
      <c r="U197" s="29" t="s">
        <v>72</v>
      </c>
    </row>
    <row r="198" spans="1:21" ht="22.5" x14ac:dyDescent="0.2">
      <c r="A198" s="1"/>
      <c r="B198" s="1" t="s">
        <v>65</v>
      </c>
      <c r="C198" s="30" t="s">
        <v>427</v>
      </c>
      <c r="D198" s="31"/>
      <c r="E198" s="31"/>
      <c r="F198" s="1" t="s">
        <v>428</v>
      </c>
      <c r="G198" s="28">
        <v>45292</v>
      </c>
      <c r="H198" s="14"/>
      <c r="I198" s="14" t="s">
        <v>429</v>
      </c>
      <c r="J198" s="52">
        <v>45901</v>
      </c>
      <c r="K198" s="31"/>
      <c r="L198" s="52">
        <v>45931</v>
      </c>
      <c r="M198" s="31"/>
      <c r="N198" s="28">
        <v>45904</v>
      </c>
      <c r="O198" s="29" t="s">
        <v>69</v>
      </c>
      <c r="P198" s="15" t="s">
        <v>70</v>
      </c>
      <c r="Q198" s="13">
        <v>78.7</v>
      </c>
      <c r="R198" s="44" t="s">
        <v>75</v>
      </c>
      <c r="S198" s="31"/>
      <c r="T198" s="13">
        <v>7.08</v>
      </c>
      <c r="U198" s="29" t="s">
        <v>72</v>
      </c>
    </row>
    <row r="199" spans="1:21" ht="22.5" x14ac:dyDescent="0.2">
      <c r="A199" s="1"/>
      <c r="B199" s="1" t="s">
        <v>65</v>
      </c>
      <c r="C199" s="30" t="s">
        <v>430</v>
      </c>
      <c r="D199" s="31"/>
      <c r="E199" s="31"/>
      <c r="F199" s="1" t="s">
        <v>431</v>
      </c>
      <c r="G199" s="28">
        <v>44959</v>
      </c>
      <c r="H199" s="14"/>
      <c r="I199" s="14" t="s">
        <v>81</v>
      </c>
      <c r="J199" s="52">
        <v>45901</v>
      </c>
      <c r="K199" s="31"/>
      <c r="L199" s="52">
        <v>45931</v>
      </c>
      <c r="M199" s="31"/>
      <c r="N199" s="28">
        <v>45904</v>
      </c>
      <c r="O199" s="29" t="s">
        <v>69</v>
      </c>
      <c r="P199" s="15" t="s">
        <v>70</v>
      </c>
      <c r="Q199" s="13">
        <v>9</v>
      </c>
      <c r="R199" s="44" t="s">
        <v>75</v>
      </c>
      <c r="S199" s="31"/>
      <c r="T199" s="13">
        <v>0.81</v>
      </c>
      <c r="U199" s="29" t="s">
        <v>72</v>
      </c>
    </row>
    <row r="200" spans="1:21" ht="22.5" x14ac:dyDescent="0.2">
      <c r="A200" s="1"/>
      <c r="B200" s="1" t="s">
        <v>65</v>
      </c>
      <c r="C200" s="30" t="s">
        <v>432</v>
      </c>
      <c r="D200" s="31"/>
      <c r="E200" s="31"/>
      <c r="F200" s="1" t="s">
        <v>433</v>
      </c>
      <c r="G200" s="28">
        <v>44927</v>
      </c>
      <c r="H200" s="14"/>
      <c r="I200" s="14" t="s">
        <v>81</v>
      </c>
      <c r="J200" s="52">
        <v>45809</v>
      </c>
      <c r="K200" s="31"/>
      <c r="L200" s="52">
        <v>45839</v>
      </c>
      <c r="M200" s="31"/>
      <c r="N200" s="28">
        <v>45904</v>
      </c>
      <c r="O200" s="29" t="s">
        <v>69</v>
      </c>
      <c r="P200" s="15" t="s">
        <v>70</v>
      </c>
      <c r="Q200" s="13">
        <v>9</v>
      </c>
      <c r="R200" s="44" t="s">
        <v>75</v>
      </c>
      <c r="S200" s="31"/>
      <c r="T200" s="13">
        <v>0.81</v>
      </c>
      <c r="U200" s="29" t="s">
        <v>72</v>
      </c>
    </row>
    <row r="201" spans="1:21" ht="22.5" x14ac:dyDescent="0.2">
      <c r="A201" s="1"/>
      <c r="B201" s="1" t="s">
        <v>65</v>
      </c>
      <c r="C201" s="30" t="s">
        <v>432</v>
      </c>
      <c r="D201" s="31"/>
      <c r="E201" s="31"/>
      <c r="F201" s="1" t="s">
        <v>433</v>
      </c>
      <c r="G201" s="28">
        <v>44927</v>
      </c>
      <c r="H201" s="14"/>
      <c r="I201" s="14" t="s">
        <v>81</v>
      </c>
      <c r="J201" s="52">
        <v>45839</v>
      </c>
      <c r="K201" s="31"/>
      <c r="L201" s="52">
        <v>45870</v>
      </c>
      <c r="M201" s="31"/>
      <c r="N201" s="28">
        <v>45904</v>
      </c>
      <c r="O201" s="29" t="s">
        <v>69</v>
      </c>
      <c r="P201" s="15" t="s">
        <v>70</v>
      </c>
      <c r="Q201" s="13">
        <v>9</v>
      </c>
      <c r="R201" s="44" t="s">
        <v>75</v>
      </c>
      <c r="S201" s="31"/>
      <c r="T201" s="13">
        <v>0.81</v>
      </c>
      <c r="U201" s="29" t="s">
        <v>72</v>
      </c>
    </row>
    <row r="202" spans="1:21" ht="22.5" x14ac:dyDescent="0.2">
      <c r="A202" s="1"/>
      <c r="B202" s="1" t="s">
        <v>65</v>
      </c>
      <c r="C202" s="30" t="s">
        <v>432</v>
      </c>
      <c r="D202" s="31"/>
      <c r="E202" s="31"/>
      <c r="F202" s="1" t="s">
        <v>433</v>
      </c>
      <c r="G202" s="28">
        <v>44927</v>
      </c>
      <c r="H202" s="14"/>
      <c r="I202" s="14" t="s">
        <v>81</v>
      </c>
      <c r="J202" s="52">
        <v>45870</v>
      </c>
      <c r="K202" s="31"/>
      <c r="L202" s="52">
        <v>45901</v>
      </c>
      <c r="M202" s="31"/>
      <c r="N202" s="28">
        <v>45904</v>
      </c>
      <c r="O202" s="29" t="s">
        <v>69</v>
      </c>
      <c r="P202" s="15" t="s">
        <v>70</v>
      </c>
      <c r="Q202" s="13">
        <v>9</v>
      </c>
      <c r="R202" s="44" t="s">
        <v>75</v>
      </c>
      <c r="S202" s="31"/>
      <c r="T202" s="13">
        <v>0.81</v>
      </c>
      <c r="U202" s="29" t="s">
        <v>72</v>
      </c>
    </row>
    <row r="203" spans="1:21" ht="22.5" x14ac:dyDescent="0.2">
      <c r="A203" s="1"/>
      <c r="B203" s="1" t="s">
        <v>65</v>
      </c>
      <c r="C203" s="30" t="s">
        <v>432</v>
      </c>
      <c r="D203" s="31"/>
      <c r="E203" s="31"/>
      <c r="F203" s="1" t="s">
        <v>433</v>
      </c>
      <c r="G203" s="28">
        <v>44927</v>
      </c>
      <c r="H203" s="14"/>
      <c r="I203" s="14" t="s">
        <v>81</v>
      </c>
      <c r="J203" s="52">
        <v>45901</v>
      </c>
      <c r="K203" s="31"/>
      <c r="L203" s="52">
        <v>45931</v>
      </c>
      <c r="M203" s="31"/>
      <c r="N203" s="28">
        <v>45904</v>
      </c>
      <c r="O203" s="29" t="s">
        <v>69</v>
      </c>
      <c r="P203" s="15" t="s">
        <v>70</v>
      </c>
      <c r="Q203" s="13">
        <v>9</v>
      </c>
      <c r="R203" s="44" t="s">
        <v>75</v>
      </c>
      <c r="S203" s="31"/>
      <c r="T203" s="13">
        <v>0.81</v>
      </c>
      <c r="U203" s="29" t="s">
        <v>72</v>
      </c>
    </row>
    <row r="204" spans="1:21" ht="22.5" x14ac:dyDescent="0.2">
      <c r="A204" s="1"/>
      <c r="B204" s="1" t="s">
        <v>65</v>
      </c>
      <c r="C204" s="30" t="s">
        <v>434</v>
      </c>
      <c r="D204" s="31"/>
      <c r="E204" s="31"/>
      <c r="F204" s="1" t="s">
        <v>433</v>
      </c>
      <c r="G204" s="28">
        <v>44927</v>
      </c>
      <c r="H204" s="14"/>
      <c r="I204" s="14" t="s">
        <v>228</v>
      </c>
      <c r="J204" s="52">
        <v>45839</v>
      </c>
      <c r="K204" s="31"/>
      <c r="L204" s="52">
        <v>45870</v>
      </c>
      <c r="M204" s="31"/>
      <c r="N204" s="28">
        <v>45904</v>
      </c>
      <c r="O204" s="29" t="s">
        <v>69</v>
      </c>
      <c r="P204" s="15" t="s">
        <v>70</v>
      </c>
      <c r="Q204" s="13">
        <v>18.3</v>
      </c>
      <c r="R204" s="44" t="s">
        <v>75</v>
      </c>
      <c r="S204" s="31"/>
      <c r="T204" s="13">
        <v>1.65</v>
      </c>
      <c r="U204" s="29" t="s">
        <v>72</v>
      </c>
    </row>
    <row r="205" spans="1:21" ht="22.5" x14ac:dyDescent="0.2">
      <c r="A205" s="1"/>
      <c r="B205" s="1" t="s">
        <v>65</v>
      </c>
      <c r="C205" s="30" t="s">
        <v>434</v>
      </c>
      <c r="D205" s="31"/>
      <c r="E205" s="31"/>
      <c r="F205" s="1" t="s">
        <v>433</v>
      </c>
      <c r="G205" s="28">
        <v>44927</v>
      </c>
      <c r="H205" s="14"/>
      <c r="I205" s="14" t="s">
        <v>228</v>
      </c>
      <c r="J205" s="52">
        <v>45870</v>
      </c>
      <c r="K205" s="31"/>
      <c r="L205" s="52">
        <v>45901</v>
      </c>
      <c r="M205" s="31"/>
      <c r="N205" s="28">
        <v>45904</v>
      </c>
      <c r="O205" s="29" t="s">
        <v>69</v>
      </c>
      <c r="P205" s="15" t="s">
        <v>70</v>
      </c>
      <c r="Q205" s="13">
        <v>18.3</v>
      </c>
      <c r="R205" s="44" t="s">
        <v>75</v>
      </c>
      <c r="S205" s="31"/>
      <c r="T205" s="13">
        <v>1.65</v>
      </c>
      <c r="U205" s="29" t="s">
        <v>72</v>
      </c>
    </row>
    <row r="206" spans="1:21" ht="22.5" x14ac:dyDescent="0.2">
      <c r="A206" s="1"/>
      <c r="B206" s="1" t="s">
        <v>65</v>
      </c>
      <c r="C206" s="30" t="s">
        <v>434</v>
      </c>
      <c r="D206" s="31"/>
      <c r="E206" s="31"/>
      <c r="F206" s="1" t="s">
        <v>433</v>
      </c>
      <c r="G206" s="28">
        <v>44927</v>
      </c>
      <c r="H206" s="14"/>
      <c r="I206" s="14" t="s">
        <v>228</v>
      </c>
      <c r="J206" s="52">
        <v>45901</v>
      </c>
      <c r="K206" s="31"/>
      <c r="L206" s="52">
        <v>45931</v>
      </c>
      <c r="M206" s="31"/>
      <c r="N206" s="28">
        <v>45904</v>
      </c>
      <c r="O206" s="29" t="s">
        <v>69</v>
      </c>
      <c r="P206" s="15" t="s">
        <v>70</v>
      </c>
      <c r="Q206" s="13">
        <v>18.3</v>
      </c>
      <c r="R206" s="44" t="s">
        <v>75</v>
      </c>
      <c r="S206" s="31"/>
      <c r="T206" s="13">
        <v>1.65</v>
      </c>
      <c r="U206" s="29" t="s">
        <v>72</v>
      </c>
    </row>
    <row r="207" spans="1:21" ht="22.5" x14ac:dyDescent="0.2">
      <c r="A207" s="1"/>
      <c r="B207" s="1" t="s">
        <v>65</v>
      </c>
      <c r="C207" s="30" t="s">
        <v>434</v>
      </c>
      <c r="D207" s="31"/>
      <c r="E207" s="31"/>
      <c r="F207" s="1" t="s">
        <v>433</v>
      </c>
      <c r="G207" s="28">
        <v>44927</v>
      </c>
      <c r="H207" s="14"/>
      <c r="I207" s="14" t="s">
        <v>228</v>
      </c>
      <c r="J207" s="52">
        <v>45809</v>
      </c>
      <c r="K207" s="31"/>
      <c r="L207" s="52">
        <v>45839</v>
      </c>
      <c r="M207" s="31"/>
      <c r="N207" s="28">
        <v>45904</v>
      </c>
      <c r="O207" s="29" t="s">
        <v>69</v>
      </c>
      <c r="P207" s="15" t="s">
        <v>70</v>
      </c>
      <c r="Q207" s="13">
        <v>18.3</v>
      </c>
      <c r="R207" s="44" t="s">
        <v>75</v>
      </c>
      <c r="S207" s="31"/>
      <c r="T207" s="13">
        <v>1.65</v>
      </c>
      <c r="U207" s="29" t="s">
        <v>72</v>
      </c>
    </row>
    <row r="208" spans="1:21" ht="22.5" x14ac:dyDescent="0.2">
      <c r="A208" s="1"/>
      <c r="B208" s="1" t="s">
        <v>65</v>
      </c>
      <c r="C208" s="30" t="s">
        <v>435</v>
      </c>
      <c r="D208" s="31"/>
      <c r="E208" s="31"/>
      <c r="F208" s="1" t="s">
        <v>433</v>
      </c>
      <c r="G208" s="28">
        <v>44927</v>
      </c>
      <c r="H208" s="14"/>
      <c r="I208" s="14" t="s">
        <v>157</v>
      </c>
      <c r="J208" s="52">
        <v>45870</v>
      </c>
      <c r="K208" s="31"/>
      <c r="L208" s="52">
        <v>45901</v>
      </c>
      <c r="M208" s="31"/>
      <c r="N208" s="28">
        <v>45904</v>
      </c>
      <c r="O208" s="29" t="s">
        <v>69</v>
      </c>
      <c r="P208" s="15" t="s">
        <v>70</v>
      </c>
      <c r="Q208" s="13">
        <v>77.69</v>
      </c>
      <c r="R208" s="44" t="s">
        <v>71</v>
      </c>
      <c r="S208" s="31"/>
      <c r="T208" s="13">
        <v>13.98</v>
      </c>
      <c r="U208" s="29" t="s">
        <v>72</v>
      </c>
    </row>
    <row r="209" spans="1:21" ht="22.5" x14ac:dyDescent="0.2">
      <c r="A209" s="1"/>
      <c r="B209" s="1" t="s">
        <v>65</v>
      </c>
      <c r="C209" s="30" t="s">
        <v>435</v>
      </c>
      <c r="D209" s="31"/>
      <c r="E209" s="31"/>
      <c r="F209" s="1" t="s">
        <v>433</v>
      </c>
      <c r="G209" s="28">
        <v>44927</v>
      </c>
      <c r="H209" s="14"/>
      <c r="I209" s="14" t="s">
        <v>157</v>
      </c>
      <c r="J209" s="52">
        <v>45839</v>
      </c>
      <c r="K209" s="31"/>
      <c r="L209" s="52">
        <v>45870</v>
      </c>
      <c r="M209" s="31"/>
      <c r="N209" s="28">
        <v>45904</v>
      </c>
      <c r="O209" s="29" t="s">
        <v>69</v>
      </c>
      <c r="P209" s="15" t="s">
        <v>70</v>
      </c>
      <c r="Q209" s="13">
        <v>77.69</v>
      </c>
      <c r="R209" s="44" t="s">
        <v>71</v>
      </c>
      <c r="S209" s="31"/>
      <c r="T209" s="13">
        <v>13.98</v>
      </c>
      <c r="U209" s="29" t="s">
        <v>72</v>
      </c>
    </row>
    <row r="210" spans="1:21" ht="22.5" x14ac:dyDescent="0.2">
      <c r="A210" s="1"/>
      <c r="B210" s="1" t="s">
        <v>65</v>
      </c>
      <c r="C210" s="30" t="s">
        <v>435</v>
      </c>
      <c r="D210" s="31"/>
      <c r="E210" s="31"/>
      <c r="F210" s="1" t="s">
        <v>433</v>
      </c>
      <c r="G210" s="28">
        <v>44927</v>
      </c>
      <c r="H210" s="14"/>
      <c r="I210" s="14" t="s">
        <v>157</v>
      </c>
      <c r="J210" s="52">
        <v>45809</v>
      </c>
      <c r="K210" s="31"/>
      <c r="L210" s="52">
        <v>45839</v>
      </c>
      <c r="M210" s="31"/>
      <c r="N210" s="28">
        <v>45904</v>
      </c>
      <c r="O210" s="29" t="s">
        <v>69</v>
      </c>
      <c r="P210" s="15" t="s">
        <v>70</v>
      </c>
      <c r="Q210" s="13">
        <v>77.69</v>
      </c>
      <c r="R210" s="44" t="s">
        <v>71</v>
      </c>
      <c r="S210" s="31"/>
      <c r="T210" s="13">
        <v>13.98</v>
      </c>
      <c r="U210" s="29" t="s">
        <v>72</v>
      </c>
    </row>
    <row r="211" spans="1:21" ht="22.5" x14ac:dyDescent="0.2">
      <c r="A211" s="1"/>
      <c r="B211" s="1" t="s">
        <v>65</v>
      </c>
      <c r="C211" s="30" t="s">
        <v>435</v>
      </c>
      <c r="D211" s="31"/>
      <c r="E211" s="31"/>
      <c r="F211" s="1" t="s">
        <v>433</v>
      </c>
      <c r="G211" s="28">
        <v>44927</v>
      </c>
      <c r="H211" s="14"/>
      <c r="I211" s="14" t="s">
        <v>157</v>
      </c>
      <c r="J211" s="52">
        <v>45901</v>
      </c>
      <c r="K211" s="31"/>
      <c r="L211" s="52">
        <v>45931</v>
      </c>
      <c r="M211" s="31"/>
      <c r="N211" s="28">
        <v>45904</v>
      </c>
      <c r="O211" s="29" t="s">
        <v>69</v>
      </c>
      <c r="P211" s="15" t="s">
        <v>70</v>
      </c>
      <c r="Q211" s="13">
        <v>77.69</v>
      </c>
      <c r="R211" s="44" t="s">
        <v>71</v>
      </c>
      <c r="S211" s="31"/>
      <c r="T211" s="13">
        <v>13.98</v>
      </c>
      <c r="U211" s="29" t="s">
        <v>72</v>
      </c>
    </row>
    <row r="212" spans="1:21" ht="22.5" x14ac:dyDescent="0.2">
      <c r="A212" s="1"/>
      <c r="B212" s="1" t="s">
        <v>65</v>
      </c>
      <c r="C212" s="30" t="s">
        <v>436</v>
      </c>
      <c r="D212" s="31"/>
      <c r="E212" s="31"/>
      <c r="F212" s="1" t="s">
        <v>433</v>
      </c>
      <c r="G212" s="28">
        <v>44927</v>
      </c>
      <c r="H212" s="14"/>
      <c r="I212" s="14" t="s">
        <v>437</v>
      </c>
      <c r="J212" s="52">
        <v>45901</v>
      </c>
      <c r="K212" s="31"/>
      <c r="L212" s="52">
        <v>45931</v>
      </c>
      <c r="M212" s="31"/>
      <c r="N212" s="28">
        <v>45904</v>
      </c>
      <c r="O212" s="29" t="s">
        <v>69</v>
      </c>
      <c r="P212" s="15" t="s">
        <v>70</v>
      </c>
      <c r="Q212" s="13">
        <v>21</v>
      </c>
      <c r="R212" s="44" t="s">
        <v>75</v>
      </c>
      <c r="S212" s="31"/>
      <c r="T212" s="13">
        <v>1.89</v>
      </c>
      <c r="U212" s="29" t="s">
        <v>72</v>
      </c>
    </row>
    <row r="213" spans="1:21" ht="22.5" x14ac:dyDescent="0.2">
      <c r="A213" s="1"/>
      <c r="B213" s="1" t="s">
        <v>65</v>
      </c>
      <c r="C213" s="30" t="s">
        <v>436</v>
      </c>
      <c r="D213" s="31"/>
      <c r="E213" s="31"/>
      <c r="F213" s="1" t="s">
        <v>433</v>
      </c>
      <c r="G213" s="28">
        <v>44927</v>
      </c>
      <c r="H213" s="14"/>
      <c r="I213" s="14" t="s">
        <v>437</v>
      </c>
      <c r="J213" s="52">
        <v>45839</v>
      </c>
      <c r="K213" s="31"/>
      <c r="L213" s="52">
        <v>45870</v>
      </c>
      <c r="M213" s="31"/>
      <c r="N213" s="28">
        <v>45904</v>
      </c>
      <c r="O213" s="29" t="s">
        <v>69</v>
      </c>
      <c r="P213" s="15" t="s">
        <v>70</v>
      </c>
      <c r="Q213" s="13">
        <v>21</v>
      </c>
      <c r="R213" s="44" t="s">
        <v>75</v>
      </c>
      <c r="S213" s="31"/>
      <c r="T213" s="13">
        <v>1.89</v>
      </c>
      <c r="U213" s="29" t="s">
        <v>72</v>
      </c>
    </row>
    <row r="214" spans="1:21" ht="22.5" x14ac:dyDescent="0.2">
      <c r="A214" s="1"/>
      <c r="B214" s="1" t="s">
        <v>65</v>
      </c>
      <c r="C214" s="30" t="s">
        <v>436</v>
      </c>
      <c r="D214" s="31"/>
      <c r="E214" s="31"/>
      <c r="F214" s="1" t="s">
        <v>433</v>
      </c>
      <c r="G214" s="28">
        <v>44927</v>
      </c>
      <c r="H214" s="14"/>
      <c r="I214" s="14" t="s">
        <v>437</v>
      </c>
      <c r="J214" s="52">
        <v>45809</v>
      </c>
      <c r="K214" s="31"/>
      <c r="L214" s="52">
        <v>45839</v>
      </c>
      <c r="M214" s="31"/>
      <c r="N214" s="28">
        <v>45904</v>
      </c>
      <c r="O214" s="29" t="s">
        <v>69</v>
      </c>
      <c r="P214" s="15" t="s">
        <v>70</v>
      </c>
      <c r="Q214" s="13">
        <v>21</v>
      </c>
      <c r="R214" s="44" t="s">
        <v>75</v>
      </c>
      <c r="S214" s="31"/>
      <c r="T214" s="13">
        <v>1.89</v>
      </c>
      <c r="U214" s="29" t="s">
        <v>72</v>
      </c>
    </row>
    <row r="215" spans="1:21" ht="22.5" x14ac:dyDescent="0.2">
      <c r="A215" s="1"/>
      <c r="B215" s="1" t="s">
        <v>65</v>
      </c>
      <c r="C215" s="30" t="s">
        <v>436</v>
      </c>
      <c r="D215" s="31"/>
      <c r="E215" s="31"/>
      <c r="F215" s="1" t="s">
        <v>433</v>
      </c>
      <c r="G215" s="28">
        <v>44927</v>
      </c>
      <c r="H215" s="14"/>
      <c r="I215" s="14" t="s">
        <v>437</v>
      </c>
      <c r="J215" s="52">
        <v>45870</v>
      </c>
      <c r="K215" s="31"/>
      <c r="L215" s="52">
        <v>45901</v>
      </c>
      <c r="M215" s="31"/>
      <c r="N215" s="28">
        <v>45904</v>
      </c>
      <c r="O215" s="29" t="s">
        <v>69</v>
      </c>
      <c r="P215" s="15" t="s">
        <v>70</v>
      </c>
      <c r="Q215" s="13">
        <v>21</v>
      </c>
      <c r="R215" s="44" t="s">
        <v>75</v>
      </c>
      <c r="S215" s="31"/>
      <c r="T215" s="13">
        <v>1.89</v>
      </c>
      <c r="U215" s="29" t="s">
        <v>72</v>
      </c>
    </row>
    <row r="216" spans="1:21" x14ac:dyDescent="0.2">
      <c r="A216" s="1"/>
      <c r="B216" s="1" t="s">
        <v>65</v>
      </c>
      <c r="C216" s="30" t="s">
        <v>438</v>
      </c>
      <c r="D216" s="31"/>
      <c r="E216" s="31"/>
      <c r="F216" s="1" t="s">
        <v>439</v>
      </c>
      <c r="G216" s="28">
        <v>44927</v>
      </c>
      <c r="H216" s="14"/>
      <c r="I216" s="14" t="s">
        <v>224</v>
      </c>
      <c r="J216" s="52">
        <v>45901</v>
      </c>
      <c r="K216" s="31"/>
      <c r="L216" s="52">
        <v>45931</v>
      </c>
      <c r="M216" s="31"/>
      <c r="N216" s="28">
        <v>45904</v>
      </c>
      <c r="O216" s="29" t="s">
        <v>69</v>
      </c>
      <c r="P216" s="15" t="s">
        <v>70</v>
      </c>
      <c r="Q216" s="13">
        <v>47.13</v>
      </c>
      <c r="R216" s="44" t="s">
        <v>75</v>
      </c>
      <c r="S216" s="31"/>
      <c r="T216" s="13">
        <v>4.24</v>
      </c>
      <c r="U216" s="29" t="s">
        <v>72</v>
      </c>
    </row>
    <row r="217" spans="1:21" ht="22.5" x14ac:dyDescent="0.2">
      <c r="A217" s="1"/>
      <c r="B217" s="1" t="s">
        <v>65</v>
      </c>
      <c r="C217" s="30" t="s">
        <v>440</v>
      </c>
      <c r="D217" s="31"/>
      <c r="E217" s="31"/>
      <c r="F217" s="1" t="s">
        <v>439</v>
      </c>
      <c r="G217" s="28">
        <v>44927</v>
      </c>
      <c r="H217" s="14"/>
      <c r="I217" s="14" t="s">
        <v>157</v>
      </c>
      <c r="J217" s="52">
        <v>45901</v>
      </c>
      <c r="K217" s="31"/>
      <c r="L217" s="52">
        <v>45931</v>
      </c>
      <c r="M217" s="31"/>
      <c r="N217" s="28">
        <v>45904</v>
      </c>
      <c r="O217" s="29" t="s">
        <v>69</v>
      </c>
      <c r="P217" s="15" t="s">
        <v>70</v>
      </c>
      <c r="Q217" s="13">
        <v>68.03</v>
      </c>
      <c r="R217" s="44" t="s">
        <v>71</v>
      </c>
      <c r="S217" s="31"/>
      <c r="T217" s="13">
        <v>12.25</v>
      </c>
      <c r="U217" s="29" t="s">
        <v>72</v>
      </c>
    </row>
    <row r="218" spans="1:21" x14ac:dyDescent="0.2">
      <c r="A218" s="36" t="s">
        <v>441</v>
      </c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1"/>
      <c r="Q218" s="1"/>
      <c r="R218" s="30"/>
      <c r="S218" s="31"/>
      <c r="T218" s="1"/>
      <c r="U218" s="1"/>
    </row>
    <row r="219" spans="1:21" ht="22.5" x14ac:dyDescent="0.2">
      <c r="A219" s="1"/>
      <c r="B219" s="1" t="s">
        <v>65</v>
      </c>
      <c r="C219" s="30" t="s">
        <v>442</v>
      </c>
      <c r="D219" s="31"/>
      <c r="E219" s="31"/>
      <c r="F219" s="1" t="s">
        <v>443</v>
      </c>
      <c r="G219" s="28">
        <v>44927</v>
      </c>
      <c r="H219" s="14"/>
      <c r="I219" s="14" t="s">
        <v>444</v>
      </c>
      <c r="J219" s="52">
        <v>45901</v>
      </c>
      <c r="K219" s="31"/>
      <c r="L219" s="52">
        <v>45931</v>
      </c>
      <c r="M219" s="31"/>
      <c r="N219" s="28">
        <v>45904</v>
      </c>
      <c r="O219" s="29" t="s">
        <v>69</v>
      </c>
      <c r="P219" s="15" t="s">
        <v>70</v>
      </c>
      <c r="Q219" s="13">
        <v>3.36</v>
      </c>
      <c r="R219" s="44" t="s">
        <v>75</v>
      </c>
      <c r="S219" s="31"/>
      <c r="T219" s="13">
        <v>0.3</v>
      </c>
      <c r="U219" s="29" t="s">
        <v>72</v>
      </c>
    </row>
    <row r="220" spans="1:21" ht="22.5" x14ac:dyDescent="0.2">
      <c r="A220" s="1"/>
      <c r="B220" s="1" t="s">
        <v>65</v>
      </c>
      <c r="C220" s="30" t="s">
        <v>445</v>
      </c>
      <c r="D220" s="31"/>
      <c r="E220" s="31"/>
      <c r="F220" s="1" t="s">
        <v>443</v>
      </c>
      <c r="G220" s="28">
        <v>44927</v>
      </c>
      <c r="H220" s="14"/>
      <c r="I220" s="14" t="s">
        <v>115</v>
      </c>
      <c r="J220" s="52">
        <v>45901</v>
      </c>
      <c r="K220" s="31"/>
      <c r="L220" s="52">
        <v>45931</v>
      </c>
      <c r="M220" s="31"/>
      <c r="N220" s="28">
        <v>45904</v>
      </c>
      <c r="O220" s="29" t="s">
        <v>69</v>
      </c>
      <c r="P220" s="15" t="s">
        <v>70</v>
      </c>
      <c r="Q220" s="13">
        <v>141.5</v>
      </c>
      <c r="R220" s="44" t="s">
        <v>75</v>
      </c>
      <c r="S220" s="31"/>
      <c r="T220" s="13">
        <v>12.74</v>
      </c>
      <c r="U220" s="29" t="s">
        <v>72</v>
      </c>
    </row>
    <row r="221" spans="1:21" ht="22.5" x14ac:dyDescent="0.2">
      <c r="A221" s="1"/>
      <c r="B221" s="1" t="s">
        <v>65</v>
      </c>
      <c r="C221" s="30" t="s">
        <v>446</v>
      </c>
      <c r="D221" s="31"/>
      <c r="E221" s="31"/>
      <c r="F221" s="1" t="s">
        <v>447</v>
      </c>
      <c r="G221" s="28">
        <v>44986</v>
      </c>
      <c r="H221" s="14"/>
      <c r="I221" s="14" t="s">
        <v>448</v>
      </c>
      <c r="J221" s="52">
        <v>45901</v>
      </c>
      <c r="K221" s="31"/>
      <c r="L221" s="52">
        <v>45931</v>
      </c>
      <c r="M221" s="31"/>
      <c r="N221" s="28">
        <v>45904</v>
      </c>
      <c r="O221" s="29" t="s">
        <v>69</v>
      </c>
      <c r="P221" s="15" t="s">
        <v>70</v>
      </c>
      <c r="Q221" s="13">
        <v>110.7</v>
      </c>
      <c r="R221" s="44" t="s">
        <v>75</v>
      </c>
      <c r="S221" s="31"/>
      <c r="T221" s="13">
        <v>9.9600000000000009</v>
      </c>
      <c r="U221" s="29" t="s">
        <v>72</v>
      </c>
    </row>
    <row r="222" spans="1:21" x14ac:dyDescent="0.2">
      <c r="A222" s="36" t="s">
        <v>449</v>
      </c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1"/>
      <c r="Q222" s="1"/>
      <c r="R222" s="30"/>
      <c r="S222" s="31"/>
      <c r="T222" s="1"/>
      <c r="U222" s="1"/>
    </row>
    <row r="223" spans="1:21" ht="22.5" x14ac:dyDescent="0.2">
      <c r="A223" s="1"/>
      <c r="B223" s="1" t="s">
        <v>65</v>
      </c>
      <c r="C223" s="30" t="s">
        <v>450</v>
      </c>
      <c r="D223" s="31"/>
      <c r="E223" s="31"/>
      <c r="F223" s="1" t="s">
        <v>451</v>
      </c>
      <c r="G223" s="28">
        <v>44927</v>
      </c>
      <c r="H223" s="14"/>
      <c r="I223" s="14" t="s">
        <v>444</v>
      </c>
      <c r="J223" s="52">
        <v>45901</v>
      </c>
      <c r="K223" s="31"/>
      <c r="L223" s="52">
        <v>45931</v>
      </c>
      <c r="M223" s="31"/>
      <c r="N223" s="28">
        <v>45904</v>
      </c>
      <c r="O223" s="29" t="s">
        <v>69</v>
      </c>
      <c r="P223" s="15" t="s">
        <v>70</v>
      </c>
      <c r="Q223" s="13">
        <v>6.3</v>
      </c>
      <c r="R223" s="44" t="s">
        <v>75</v>
      </c>
      <c r="S223" s="31"/>
      <c r="T223" s="13">
        <v>0.56999999999999995</v>
      </c>
      <c r="U223" s="29" t="s">
        <v>72</v>
      </c>
    </row>
    <row r="224" spans="1:21" ht="22.5" x14ac:dyDescent="0.2">
      <c r="A224" s="1"/>
      <c r="B224" s="1" t="s">
        <v>65</v>
      </c>
      <c r="C224" s="30" t="s">
        <v>452</v>
      </c>
      <c r="D224" s="31"/>
      <c r="E224" s="31"/>
      <c r="F224" s="1" t="s">
        <v>451</v>
      </c>
      <c r="G224" s="28">
        <v>44927</v>
      </c>
      <c r="H224" s="14"/>
      <c r="I224" s="14" t="s">
        <v>453</v>
      </c>
      <c r="J224" s="52">
        <v>45901</v>
      </c>
      <c r="K224" s="31"/>
      <c r="L224" s="52">
        <v>45931</v>
      </c>
      <c r="M224" s="31"/>
      <c r="N224" s="28">
        <v>45904</v>
      </c>
      <c r="O224" s="29" t="s">
        <v>69</v>
      </c>
      <c r="P224" s="15" t="s">
        <v>70</v>
      </c>
      <c r="Q224" s="13">
        <v>21.5</v>
      </c>
      <c r="R224" s="44" t="s">
        <v>75</v>
      </c>
      <c r="S224" s="31"/>
      <c r="T224" s="13">
        <v>1.94</v>
      </c>
      <c r="U224" s="29" t="s">
        <v>72</v>
      </c>
    </row>
    <row r="225" spans="1:21" ht="22.5" x14ac:dyDescent="0.2">
      <c r="A225" s="1"/>
      <c r="B225" s="1" t="s">
        <v>65</v>
      </c>
      <c r="C225" s="30" t="s">
        <v>454</v>
      </c>
      <c r="D225" s="31"/>
      <c r="E225" s="31"/>
      <c r="F225" s="1" t="s">
        <v>451</v>
      </c>
      <c r="G225" s="28">
        <v>44927</v>
      </c>
      <c r="H225" s="14"/>
      <c r="I225" s="14" t="s">
        <v>278</v>
      </c>
      <c r="J225" s="52">
        <v>45901</v>
      </c>
      <c r="K225" s="31"/>
      <c r="L225" s="52">
        <v>45931</v>
      </c>
      <c r="M225" s="31"/>
      <c r="N225" s="28">
        <v>45904</v>
      </c>
      <c r="O225" s="29" t="s">
        <v>69</v>
      </c>
      <c r="P225" s="15" t="s">
        <v>70</v>
      </c>
      <c r="Q225" s="13">
        <v>42.64</v>
      </c>
      <c r="R225" s="44" t="s">
        <v>75</v>
      </c>
      <c r="S225" s="31"/>
      <c r="T225" s="13">
        <v>3.84</v>
      </c>
      <c r="U225" s="29" t="s">
        <v>72</v>
      </c>
    </row>
    <row r="226" spans="1:21" ht="22.5" x14ac:dyDescent="0.2">
      <c r="A226" s="1"/>
      <c r="B226" s="1" t="s">
        <v>65</v>
      </c>
      <c r="C226" s="30" t="s">
        <v>455</v>
      </c>
      <c r="D226" s="31"/>
      <c r="E226" s="31"/>
      <c r="F226" s="1" t="s">
        <v>451</v>
      </c>
      <c r="G226" s="28">
        <v>44927</v>
      </c>
      <c r="H226" s="14"/>
      <c r="I226" s="14" t="s">
        <v>456</v>
      </c>
      <c r="J226" s="52">
        <v>45901</v>
      </c>
      <c r="K226" s="31"/>
      <c r="L226" s="52">
        <v>45931</v>
      </c>
      <c r="M226" s="31"/>
      <c r="N226" s="28">
        <v>45904</v>
      </c>
      <c r="O226" s="29" t="s">
        <v>69</v>
      </c>
      <c r="P226" s="15" t="s">
        <v>70</v>
      </c>
      <c r="Q226" s="13">
        <v>7.5</v>
      </c>
      <c r="R226" s="44" t="s">
        <v>75</v>
      </c>
      <c r="S226" s="31"/>
      <c r="T226" s="13">
        <v>0.68</v>
      </c>
      <c r="U226" s="29" t="s">
        <v>72</v>
      </c>
    </row>
    <row r="227" spans="1:21" ht="22.5" x14ac:dyDescent="0.2">
      <c r="A227" s="1"/>
      <c r="B227" s="1" t="s">
        <v>65</v>
      </c>
      <c r="C227" s="30" t="s">
        <v>457</v>
      </c>
      <c r="D227" s="31"/>
      <c r="E227" s="31"/>
      <c r="F227" s="1" t="s">
        <v>451</v>
      </c>
      <c r="G227" s="28">
        <v>44927</v>
      </c>
      <c r="H227" s="14"/>
      <c r="I227" s="14" t="s">
        <v>191</v>
      </c>
      <c r="J227" s="52">
        <v>45901</v>
      </c>
      <c r="K227" s="31"/>
      <c r="L227" s="52">
        <v>45931</v>
      </c>
      <c r="M227" s="31"/>
      <c r="N227" s="28">
        <v>45904</v>
      </c>
      <c r="O227" s="29" t="s">
        <v>69</v>
      </c>
      <c r="P227" s="15" t="s">
        <v>70</v>
      </c>
      <c r="Q227" s="13">
        <v>74.83</v>
      </c>
      <c r="R227" s="44" t="s">
        <v>71</v>
      </c>
      <c r="S227" s="31"/>
      <c r="T227" s="13">
        <v>13.47</v>
      </c>
      <c r="U227" s="29" t="s">
        <v>72</v>
      </c>
    </row>
    <row r="228" spans="1:21" ht="22.5" x14ac:dyDescent="0.2">
      <c r="A228" s="1"/>
      <c r="B228" s="1" t="s">
        <v>65</v>
      </c>
      <c r="C228" s="30" t="s">
        <v>458</v>
      </c>
      <c r="D228" s="31"/>
      <c r="E228" s="31"/>
      <c r="F228" s="1" t="s">
        <v>459</v>
      </c>
      <c r="G228" s="28">
        <v>44927</v>
      </c>
      <c r="H228" s="14"/>
      <c r="I228" s="14" t="s">
        <v>278</v>
      </c>
      <c r="J228" s="52">
        <v>45901</v>
      </c>
      <c r="K228" s="31"/>
      <c r="L228" s="52">
        <v>45931</v>
      </c>
      <c r="M228" s="31"/>
      <c r="N228" s="28">
        <v>45904</v>
      </c>
      <c r="O228" s="29" t="s">
        <v>69</v>
      </c>
      <c r="P228" s="15" t="s">
        <v>70</v>
      </c>
      <c r="Q228" s="13">
        <v>42.64</v>
      </c>
      <c r="R228" s="44" t="s">
        <v>75</v>
      </c>
      <c r="S228" s="31"/>
      <c r="T228" s="13">
        <v>3.84</v>
      </c>
      <c r="U228" s="29" t="s">
        <v>72</v>
      </c>
    </row>
    <row r="229" spans="1:21" ht="22.5" x14ac:dyDescent="0.2">
      <c r="A229" s="1"/>
      <c r="B229" s="1" t="s">
        <v>65</v>
      </c>
      <c r="C229" s="30" t="s">
        <v>460</v>
      </c>
      <c r="D229" s="31"/>
      <c r="E229" s="31"/>
      <c r="F229" s="1" t="s">
        <v>459</v>
      </c>
      <c r="G229" s="28">
        <v>44927</v>
      </c>
      <c r="H229" s="14"/>
      <c r="I229" s="14" t="s">
        <v>461</v>
      </c>
      <c r="J229" s="52">
        <v>45901</v>
      </c>
      <c r="K229" s="31"/>
      <c r="L229" s="52">
        <v>45931</v>
      </c>
      <c r="M229" s="31"/>
      <c r="N229" s="28">
        <v>45904</v>
      </c>
      <c r="O229" s="29" t="s">
        <v>69</v>
      </c>
      <c r="P229" s="15" t="s">
        <v>70</v>
      </c>
      <c r="Q229" s="13">
        <v>9</v>
      </c>
      <c r="R229" s="44" t="s">
        <v>75</v>
      </c>
      <c r="S229" s="31"/>
      <c r="T229" s="13">
        <v>0.81</v>
      </c>
      <c r="U229" s="29" t="s">
        <v>72</v>
      </c>
    </row>
    <row r="230" spans="1:21" ht="22.5" x14ac:dyDescent="0.2">
      <c r="A230" s="1"/>
      <c r="B230" s="1" t="s">
        <v>65</v>
      </c>
      <c r="C230" s="30" t="s">
        <v>462</v>
      </c>
      <c r="D230" s="31"/>
      <c r="E230" s="31"/>
      <c r="F230" s="1" t="s">
        <v>463</v>
      </c>
      <c r="G230" s="28">
        <v>44928</v>
      </c>
      <c r="H230" s="14"/>
      <c r="I230" s="14" t="s">
        <v>464</v>
      </c>
      <c r="J230" s="52">
        <v>45901</v>
      </c>
      <c r="K230" s="31"/>
      <c r="L230" s="52">
        <v>45931</v>
      </c>
      <c r="M230" s="31"/>
      <c r="N230" s="28">
        <v>45904</v>
      </c>
      <c r="O230" s="29" t="s">
        <v>69</v>
      </c>
      <c r="P230" s="15" t="s">
        <v>70</v>
      </c>
      <c r="Q230" s="13">
        <v>54.5</v>
      </c>
      <c r="R230" s="44" t="s">
        <v>75</v>
      </c>
      <c r="S230" s="31"/>
      <c r="T230" s="13">
        <v>4.91</v>
      </c>
      <c r="U230" s="29" t="s">
        <v>72</v>
      </c>
    </row>
    <row r="231" spans="1:21" ht="22.5" x14ac:dyDescent="0.2">
      <c r="A231" s="1"/>
      <c r="B231" s="1" t="s">
        <v>65</v>
      </c>
      <c r="C231" s="30" t="s">
        <v>465</v>
      </c>
      <c r="D231" s="31"/>
      <c r="E231" s="31"/>
      <c r="F231" s="1" t="s">
        <v>466</v>
      </c>
      <c r="G231" s="28">
        <v>44896</v>
      </c>
      <c r="H231" s="14"/>
      <c r="I231" s="14" t="s">
        <v>461</v>
      </c>
      <c r="J231" s="52">
        <v>45901</v>
      </c>
      <c r="K231" s="31"/>
      <c r="L231" s="52">
        <v>45931</v>
      </c>
      <c r="M231" s="31"/>
      <c r="N231" s="28">
        <v>45904</v>
      </c>
      <c r="O231" s="29" t="s">
        <v>69</v>
      </c>
      <c r="P231" s="15" t="s">
        <v>70</v>
      </c>
      <c r="Q231" s="13">
        <v>9</v>
      </c>
      <c r="R231" s="44" t="s">
        <v>75</v>
      </c>
      <c r="S231" s="31"/>
      <c r="T231" s="13">
        <v>0.81</v>
      </c>
      <c r="U231" s="29" t="s">
        <v>72</v>
      </c>
    </row>
    <row r="232" spans="1:21" ht="22.5" x14ac:dyDescent="0.2">
      <c r="A232" s="1"/>
      <c r="B232" s="1" t="s">
        <v>65</v>
      </c>
      <c r="C232" s="30" t="s">
        <v>467</v>
      </c>
      <c r="D232" s="31"/>
      <c r="E232" s="31"/>
      <c r="F232" s="1" t="s">
        <v>466</v>
      </c>
      <c r="G232" s="28">
        <v>44896</v>
      </c>
      <c r="H232" s="14"/>
      <c r="I232" s="14" t="s">
        <v>278</v>
      </c>
      <c r="J232" s="52">
        <v>45901</v>
      </c>
      <c r="K232" s="31"/>
      <c r="L232" s="52">
        <v>45931</v>
      </c>
      <c r="M232" s="31"/>
      <c r="N232" s="28">
        <v>45904</v>
      </c>
      <c r="O232" s="29" t="s">
        <v>69</v>
      </c>
      <c r="P232" s="15" t="s">
        <v>70</v>
      </c>
      <c r="Q232" s="13">
        <v>42.64</v>
      </c>
      <c r="R232" s="44" t="s">
        <v>75</v>
      </c>
      <c r="S232" s="31"/>
      <c r="T232" s="13">
        <v>3.84</v>
      </c>
      <c r="U232" s="29" t="s">
        <v>72</v>
      </c>
    </row>
    <row r="233" spans="1:21" ht="22.5" x14ac:dyDescent="0.2">
      <c r="A233" s="1"/>
      <c r="B233" s="1" t="s">
        <v>65</v>
      </c>
      <c r="C233" s="30" t="s">
        <v>468</v>
      </c>
      <c r="D233" s="31"/>
      <c r="E233" s="31"/>
      <c r="F233" s="1" t="s">
        <v>469</v>
      </c>
      <c r="G233" s="28">
        <v>44927</v>
      </c>
      <c r="H233" s="14"/>
      <c r="I233" s="14" t="s">
        <v>470</v>
      </c>
      <c r="J233" s="52">
        <v>45901</v>
      </c>
      <c r="K233" s="31"/>
      <c r="L233" s="52">
        <v>45931</v>
      </c>
      <c r="M233" s="31"/>
      <c r="N233" s="28">
        <v>45904</v>
      </c>
      <c r="O233" s="29" t="s">
        <v>69</v>
      </c>
      <c r="P233" s="15" t="s">
        <v>70</v>
      </c>
      <c r="Q233" s="13">
        <v>28</v>
      </c>
      <c r="R233" s="44" t="s">
        <v>75</v>
      </c>
      <c r="S233" s="31"/>
      <c r="T233" s="13">
        <v>2.52</v>
      </c>
      <c r="U233" s="29" t="s">
        <v>72</v>
      </c>
    </row>
    <row r="234" spans="1:21" ht="22.5" x14ac:dyDescent="0.2">
      <c r="A234" s="1"/>
      <c r="B234" s="1" t="s">
        <v>65</v>
      </c>
      <c r="C234" s="30" t="s">
        <v>471</v>
      </c>
      <c r="D234" s="31"/>
      <c r="E234" s="31"/>
      <c r="F234" s="1" t="s">
        <v>469</v>
      </c>
      <c r="G234" s="28">
        <v>44927</v>
      </c>
      <c r="H234" s="14"/>
      <c r="I234" s="14" t="s">
        <v>278</v>
      </c>
      <c r="J234" s="52">
        <v>45901</v>
      </c>
      <c r="K234" s="31"/>
      <c r="L234" s="52">
        <v>45931</v>
      </c>
      <c r="M234" s="31"/>
      <c r="N234" s="28">
        <v>45904</v>
      </c>
      <c r="O234" s="29" t="s">
        <v>69</v>
      </c>
      <c r="P234" s="15" t="s">
        <v>70</v>
      </c>
      <c r="Q234" s="13">
        <v>42.64</v>
      </c>
      <c r="R234" s="44" t="s">
        <v>75</v>
      </c>
      <c r="S234" s="31"/>
      <c r="T234" s="13">
        <v>3.84</v>
      </c>
      <c r="U234" s="29" t="s">
        <v>72</v>
      </c>
    </row>
    <row r="235" spans="1:21" ht="22.5" x14ac:dyDescent="0.2">
      <c r="A235" s="1"/>
      <c r="B235" s="1" t="s">
        <v>65</v>
      </c>
      <c r="C235" s="30" t="s">
        <v>472</v>
      </c>
      <c r="D235" s="31"/>
      <c r="E235" s="31"/>
      <c r="F235" s="1" t="s">
        <v>469</v>
      </c>
      <c r="G235" s="28">
        <v>44927</v>
      </c>
      <c r="H235" s="14"/>
      <c r="I235" s="14" t="s">
        <v>473</v>
      </c>
      <c r="J235" s="52">
        <v>45901</v>
      </c>
      <c r="K235" s="31"/>
      <c r="L235" s="52">
        <v>45931</v>
      </c>
      <c r="M235" s="31"/>
      <c r="N235" s="28">
        <v>45904</v>
      </c>
      <c r="O235" s="29" t="s">
        <v>69</v>
      </c>
      <c r="P235" s="15" t="s">
        <v>70</v>
      </c>
      <c r="Q235" s="13">
        <v>15</v>
      </c>
      <c r="R235" s="44" t="s">
        <v>75</v>
      </c>
      <c r="S235" s="31"/>
      <c r="T235" s="13">
        <v>1.35</v>
      </c>
      <c r="U235" s="29" t="s">
        <v>72</v>
      </c>
    </row>
    <row r="236" spans="1:21" ht="22.5" x14ac:dyDescent="0.2">
      <c r="A236" s="1"/>
      <c r="B236" s="1" t="s">
        <v>65</v>
      </c>
      <c r="C236" s="30" t="s">
        <v>474</v>
      </c>
      <c r="D236" s="31"/>
      <c r="E236" s="31"/>
      <c r="F236" s="1" t="s">
        <v>469</v>
      </c>
      <c r="G236" s="28">
        <v>44927</v>
      </c>
      <c r="H236" s="14"/>
      <c r="I236" s="14" t="s">
        <v>356</v>
      </c>
      <c r="J236" s="52">
        <v>45901</v>
      </c>
      <c r="K236" s="31"/>
      <c r="L236" s="52">
        <v>45931</v>
      </c>
      <c r="M236" s="31"/>
      <c r="N236" s="28">
        <v>45904</v>
      </c>
      <c r="O236" s="29" t="s">
        <v>69</v>
      </c>
      <c r="P236" s="15" t="s">
        <v>70</v>
      </c>
      <c r="Q236" s="13">
        <v>24.98</v>
      </c>
      <c r="R236" s="44" t="s">
        <v>75</v>
      </c>
      <c r="S236" s="31"/>
      <c r="T236" s="13">
        <v>2.25</v>
      </c>
      <c r="U236" s="29" t="s">
        <v>72</v>
      </c>
    </row>
    <row r="237" spans="1:21" ht="22.5" x14ac:dyDescent="0.2">
      <c r="A237" s="1"/>
      <c r="B237" s="1" t="s">
        <v>65</v>
      </c>
      <c r="C237" s="30" t="s">
        <v>475</v>
      </c>
      <c r="D237" s="31"/>
      <c r="E237" s="31"/>
      <c r="F237" s="1" t="s">
        <v>476</v>
      </c>
      <c r="G237" s="28">
        <v>44896</v>
      </c>
      <c r="H237" s="14"/>
      <c r="I237" s="14" t="s">
        <v>477</v>
      </c>
      <c r="J237" s="52">
        <v>45901</v>
      </c>
      <c r="K237" s="31"/>
      <c r="L237" s="52">
        <v>45931</v>
      </c>
      <c r="M237" s="31"/>
      <c r="N237" s="28">
        <v>45904</v>
      </c>
      <c r="O237" s="29" t="s">
        <v>69</v>
      </c>
      <c r="P237" s="15" t="s">
        <v>70</v>
      </c>
      <c r="Q237" s="13">
        <v>25</v>
      </c>
      <c r="R237" s="44" t="s">
        <v>75</v>
      </c>
      <c r="S237" s="31"/>
      <c r="T237" s="13">
        <v>2.25</v>
      </c>
      <c r="U237" s="29" t="s">
        <v>72</v>
      </c>
    </row>
    <row r="238" spans="1:21" ht="22.5" x14ac:dyDescent="0.2">
      <c r="A238" s="1"/>
      <c r="B238" s="1" t="s">
        <v>65</v>
      </c>
      <c r="C238" s="30" t="s">
        <v>478</v>
      </c>
      <c r="D238" s="31"/>
      <c r="E238" s="31"/>
      <c r="F238" s="1" t="s">
        <v>479</v>
      </c>
      <c r="G238" s="28">
        <v>44866</v>
      </c>
      <c r="H238" s="14"/>
      <c r="I238" s="14" t="s">
        <v>81</v>
      </c>
      <c r="J238" s="52">
        <v>45901</v>
      </c>
      <c r="K238" s="31"/>
      <c r="L238" s="52">
        <v>45931</v>
      </c>
      <c r="M238" s="31"/>
      <c r="N238" s="28">
        <v>45904</v>
      </c>
      <c r="O238" s="29" t="s">
        <v>69</v>
      </c>
      <c r="P238" s="15" t="s">
        <v>70</v>
      </c>
      <c r="Q238" s="13">
        <v>9</v>
      </c>
      <c r="R238" s="44" t="s">
        <v>75</v>
      </c>
      <c r="S238" s="31"/>
      <c r="T238" s="13">
        <v>0.81</v>
      </c>
      <c r="U238" s="29" t="s">
        <v>72</v>
      </c>
    </row>
    <row r="239" spans="1:21" ht="22.5" x14ac:dyDescent="0.2">
      <c r="A239" s="1"/>
      <c r="B239" s="1" t="s">
        <v>65</v>
      </c>
      <c r="C239" s="30" t="s">
        <v>480</v>
      </c>
      <c r="D239" s="31"/>
      <c r="E239" s="31"/>
      <c r="F239" s="1" t="s">
        <v>479</v>
      </c>
      <c r="G239" s="28">
        <v>44866</v>
      </c>
      <c r="H239" s="14"/>
      <c r="I239" s="14" t="s">
        <v>278</v>
      </c>
      <c r="J239" s="52">
        <v>45901</v>
      </c>
      <c r="K239" s="31"/>
      <c r="L239" s="52">
        <v>45931</v>
      </c>
      <c r="M239" s="31"/>
      <c r="N239" s="28">
        <v>45904</v>
      </c>
      <c r="O239" s="29" t="s">
        <v>69</v>
      </c>
      <c r="P239" s="15" t="s">
        <v>70</v>
      </c>
      <c r="Q239" s="13">
        <v>39</v>
      </c>
      <c r="R239" s="44" t="s">
        <v>75</v>
      </c>
      <c r="S239" s="31"/>
      <c r="T239" s="13">
        <v>3.51</v>
      </c>
      <c r="U239" s="29" t="s">
        <v>72</v>
      </c>
    </row>
    <row r="240" spans="1:21" ht="22.5" x14ac:dyDescent="0.2">
      <c r="A240" s="1"/>
      <c r="B240" s="1" t="s">
        <v>65</v>
      </c>
      <c r="C240" s="30" t="s">
        <v>481</v>
      </c>
      <c r="D240" s="31"/>
      <c r="E240" s="31"/>
      <c r="F240" s="1" t="s">
        <v>479</v>
      </c>
      <c r="G240" s="28">
        <v>44866</v>
      </c>
      <c r="H240" s="14"/>
      <c r="I240" s="14" t="s">
        <v>157</v>
      </c>
      <c r="J240" s="52">
        <v>45901</v>
      </c>
      <c r="K240" s="31"/>
      <c r="L240" s="52">
        <v>45931</v>
      </c>
      <c r="M240" s="31"/>
      <c r="N240" s="28">
        <v>45904</v>
      </c>
      <c r="O240" s="29" t="s">
        <v>69</v>
      </c>
      <c r="P240" s="15" t="s">
        <v>70</v>
      </c>
      <c r="Q240" s="13">
        <v>82.14</v>
      </c>
      <c r="R240" s="44" t="s">
        <v>71</v>
      </c>
      <c r="S240" s="31"/>
      <c r="T240" s="13">
        <v>14.79</v>
      </c>
      <c r="U240" s="29" t="s">
        <v>72</v>
      </c>
    </row>
    <row r="241" spans="1:21" x14ac:dyDescent="0.2">
      <c r="A241" s="1"/>
      <c r="B241" s="1" t="s">
        <v>65</v>
      </c>
      <c r="C241" s="30" t="s">
        <v>482</v>
      </c>
      <c r="D241" s="31"/>
      <c r="E241" s="31"/>
      <c r="F241" s="1" t="s">
        <v>483</v>
      </c>
      <c r="G241" s="28">
        <v>44835</v>
      </c>
      <c r="H241" s="14"/>
      <c r="I241" s="14" t="s">
        <v>484</v>
      </c>
      <c r="J241" s="52">
        <v>45901</v>
      </c>
      <c r="K241" s="31"/>
      <c r="L241" s="52">
        <v>45931</v>
      </c>
      <c r="M241" s="31"/>
      <c r="N241" s="28">
        <v>45904</v>
      </c>
      <c r="O241" s="29" t="s">
        <v>69</v>
      </c>
      <c r="P241" s="15" t="s">
        <v>70</v>
      </c>
      <c r="Q241" s="13">
        <v>47.01</v>
      </c>
      <c r="R241" s="44" t="s">
        <v>75</v>
      </c>
      <c r="S241" s="31"/>
      <c r="T241" s="13">
        <v>4.2300000000000004</v>
      </c>
      <c r="U241" s="29" t="s">
        <v>72</v>
      </c>
    </row>
    <row r="242" spans="1:21" ht="22.5" x14ac:dyDescent="0.2">
      <c r="A242" s="1"/>
      <c r="B242" s="1" t="s">
        <v>65</v>
      </c>
      <c r="C242" s="30" t="s">
        <v>485</v>
      </c>
      <c r="D242" s="31"/>
      <c r="E242" s="31"/>
      <c r="F242" s="1" t="s">
        <v>486</v>
      </c>
      <c r="G242" s="28">
        <v>44896</v>
      </c>
      <c r="H242" s="14"/>
      <c r="I242" s="14" t="s">
        <v>278</v>
      </c>
      <c r="J242" s="52">
        <v>45901</v>
      </c>
      <c r="K242" s="31"/>
      <c r="L242" s="52">
        <v>45931</v>
      </c>
      <c r="M242" s="31"/>
      <c r="N242" s="28">
        <v>45904</v>
      </c>
      <c r="O242" s="29" t="s">
        <v>69</v>
      </c>
      <c r="P242" s="15" t="s">
        <v>70</v>
      </c>
      <c r="Q242" s="13">
        <v>42.64</v>
      </c>
      <c r="R242" s="44" t="s">
        <v>75</v>
      </c>
      <c r="S242" s="31"/>
      <c r="T242" s="13">
        <v>3.84</v>
      </c>
      <c r="U242" s="29" t="s">
        <v>72</v>
      </c>
    </row>
    <row r="243" spans="1:21" ht="22.5" x14ac:dyDescent="0.2">
      <c r="A243" s="1"/>
      <c r="B243" s="1" t="s">
        <v>65</v>
      </c>
      <c r="C243" s="30" t="s">
        <v>487</v>
      </c>
      <c r="D243" s="31"/>
      <c r="E243" s="31"/>
      <c r="F243" s="1" t="s">
        <v>486</v>
      </c>
      <c r="G243" s="28">
        <v>44896</v>
      </c>
      <c r="H243" s="14"/>
      <c r="I243" s="14" t="s">
        <v>461</v>
      </c>
      <c r="J243" s="52">
        <v>45901</v>
      </c>
      <c r="K243" s="31"/>
      <c r="L243" s="52">
        <v>45931</v>
      </c>
      <c r="M243" s="31"/>
      <c r="N243" s="28">
        <v>45904</v>
      </c>
      <c r="O243" s="29" t="s">
        <v>69</v>
      </c>
      <c r="P243" s="15" t="s">
        <v>70</v>
      </c>
      <c r="Q243" s="13">
        <v>9</v>
      </c>
      <c r="R243" s="44" t="s">
        <v>75</v>
      </c>
      <c r="S243" s="31"/>
      <c r="T243" s="13">
        <v>0.81</v>
      </c>
      <c r="U243" s="29" t="s">
        <v>72</v>
      </c>
    </row>
    <row r="244" spans="1:21" ht="22.5" x14ac:dyDescent="0.2">
      <c r="A244" s="1"/>
      <c r="B244" s="1" t="s">
        <v>65</v>
      </c>
      <c r="C244" s="30" t="s">
        <v>488</v>
      </c>
      <c r="D244" s="31"/>
      <c r="E244" s="31"/>
      <c r="F244" s="1" t="s">
        <v>489</v>
      </c>
      <c r="G244" s="28">
        <v>44959</v>
      </c>
      <c r="H244" s="14"/>
      <c r="I244" s="14" t="s">
        <v>490</v>
      </c>
      <c r="J244" s="52">
        <v>45901</v>
      </c>
      <c r="K244" s="31"/>
      <c r="L244" s="52">
        <v>45931</v>
      </c>
      <c r="M244" s="31"/>
      <c r="N244" s="28">
        <v>45904</v>
      </c>
      <c r="O244" s="29" t="s">
        <v>69</v>
      </c>
      <c r="P244" s="15" t="s">
        <v>70</v>
      </c>
      <c r="Q244" s="13">
        <v>181.51</v>
      </c>
      <c r="R244" s="44" t="s">
        <v>71</v>
      </c>
      <c r="S244" s="31"/>
      <c r="T244" s="13">
        <v>32.67</v>
      </c>
      <c r="U244" s="29" t="s">
        <v>72</v>
      </c>
    </row>
    <row r="245" spans="1:21" ht="33.75" x14ac:dyDescent="0.2">
      <c r="A245" s="1"/>
      <c r="B245" s="1" t="s">
        <v>65</v>
      </c>
      <c r="C245" s="30" t="s">
        <v>491</v>
      </c>
      <c r="D245" s="31"/>
      <c r="E245" s="31"/>
      <c r="F245" s="1" t="s">
        <v>492</v>
      </c>
      <c r="G245" s="28">
        <v>44927</v>
      </c>
      <c r="H245" s="14"/>
      <c r="I245" s="14" t="s">
        <v>461</v>
      </c>
      <c r="J245" s="52">
        <v>45901</v>
      </c>
      <c r="K245" s="31"/>
      <c r="L245" s="52">
        <v>45931</v>
      </c>
      <c r="M245" s="31"/>
      <c r="N245" s="28">
        <v>45904</v>
      </c>
      <c r="O245" s="29" t="s">
        <v>69</v>
      </c>
      <c r="P245" s="15" t="s">
        <v>70</v>
      </c>
      <c r="Q245" s="13">
        <v>16</v>
      </c>
      <c r="R245" s="44" t="s">
        <v>75</v>
      </c>
      <c r="S245" s="31"/>
      <c r="T245" s="13">
        <v>1.44</v>
      </c>
      <c r="U245" s="29" t="s">
        <v>72</v>
      </c>
    </row>
    <row r="246" spans="1:21" ht="22.5" x14ac:dyDescent="0.2">
      <c r="A246" s="1"/>
      <c r="B246" s="1" t="s">
        <v>65</v>
      </c>
      <c r="C246" s="30" t="s">
        <v>493</v>
      </c>
      <c r="D246" s="31"/>
      <c r="E246" s="31"/>
      <c r="F246" s="1" t="s">
        <v>494</v>
      </c>
      <c r="G246" s="28">
        <v>44896</v>
      </c>
      <c r="H246" s="14"/>
      <c r="I246" s="14" t="s">
        <v>495</v>
      </c>
      <c r="J246" s="52">
        <v>45901</v>
      </c>
      <c r="K246" s="31"/>
      <c r="L246" s="52">
        <v>45931</v>
      </c>
      <c r="M246" s="31"/>
      <c r="N246" s="28">
        <v>45904</v>
      </c>
      <c r="O246" s="29" t="s">
        <v>69</v>
      </c>
      <c r="P246" s="15" t="s">
        <v>70</v>
      </c>
      <c r="Q246" s="13">
        <v>80.48</v>
      </c>
      <c r="R246" s="44" t="s">
        <v>75</v>
      </c>
      <c r="S246" s="31"/>
      <c r="T246" s="13">
        <v>7.24</v>
      </c>
      <c r="U246" s="29" t="s">
        <v>72</v>
      </c>
    </row>
    <row r="247" spans="1:21" ht="22.5" x14ac:dyDescent="0.2">
      <c r="A247" s="1"/>
      <c r="B247" s="1" t="s">
        <v>65</v>
      </c>
      <c r="C247" s="30" t="s">
        <v>496</v>
      </c>
      <c r="D247" s="31"/>
      <c r="E247" s="31"/>
      <c r="F247" s="1" t="s">
        <v>497</v>
      </c>
      <c r="G247" s="28">
        <v>44908</v>
      </c>
      <c r="H247" s="14"/>
      <c r="I247" s="14" t="s">
        <v>473</v>
      </c>
      <c r="J247" s="52">
        <v>45901</v>
      </c>
      <c r="K247" s="31"/>
      <c r="L247" s="52">
        <v>45931</v>
      </c>
      <c r="M247" s="31"/>
      <c r="N247" s="28">
        <v>45906</v>
      </c>
      <c r="O247" s="29" t="s">
        <v>69</v>
      </c>
      <c r="P247" s="15" t="s">
        <v>70</v>
      </c>
      <c r="Q247" s="13">
        <v>15</v>
      </c>
      <c r="R247" s="44" t="s">
        <v>75</v>
      </c>
      <c r="S247" s="31"/>
      <c r="T247" s="13">
        <v>1.35</v>
      </c>
      <c r="U247" s="29" t="s">
        <v>72</v>
      </c>
    </row>
    <row r="248" spans="1:21" ht="22.5" x14ac:dyDescent="0.2">
      <c r="A248" s="1"/>
      <c r="B248" s="1" t="s">
        <v>65</v>
      </c>
      <c r="C248" s="30" t="s">
        <v>498</v>
      </c>
      <c r="D248" s="31"/>
      <c r="E248" s="31"/>
      <c r="F248" s="1" t="s">
        <v>497</v>
      </c>
      <c r="G248" s="28">
        <v>44908</v>
      </c>
      <c r="H248" s="14"/>
      <c r="I248" s="14" t="s">
        <v>444</v>
      </c>
      <c r="J248" s="52">
        <v>45901</v>
      </c>
      <c r="K248" s="31"/>
      <c r="L248" s="52">
        <v>45931</v>
      </c>
      <c r="M248" s="31"/>
      <c r="N248" s="28">
        <v>45906</v>
      </c>
      <c r="O248" s="29" t="s">
        <v>69</v>
      </c>
      <c r="P248" s="15" t="s">
        <v>70</v>
      </c>
      <c r="Q248" s="13">
        <v>6.3</v>
      </c>
      <c r="R248" s="44" t="s">
        <v>75</v>
      </c>
      <c r="S248" s="31"/>
      <c r="T248" s="13">
        <v>0.56999999999999995</v>
      </c>
      <c r="U248" s="29" t="s">
        <v>72</v>
      </c>
    </row>
    <row r="249" spans="1:21" ht="22.5" x14ac:dyDescent="0.2">
      <c r="A249" s="1"/>
      <c r="B249" s="1" t="s">
        <v>65</v>
      </c>
      <c r="C249" s="30" t="s">
        <v>499</v>
      </c>
      <c r="D249" s="31"/>
      <c r="E249" s="31"/>
      <c r="F249" s="1" t="s">
        <v>497</v>
      </c>
      <c r="G249" s="28">
        <v>44908</v>
      </c>
      <c r="H249" s="14"/>
      <c r="I249" s="14" t="s">
        <v>470</v>
      </c>
      <c r="J249" s="52">
        <v>45901</v>
      </c>
      <c r="K249" s="31"/>
      <c r="L249" s="52">
        <v>45931</v>
      </c>
      <c r="M249" s="31"/>
      <c r="N249" s="28">
        <v>45906</v>
      </c>
      <c r="O249" s="29" t="s">
        <v>69</v>
      </c>
      <c r="P249" s="15" t="s">
        <v>70</v>
      </c>
      <c r="Q249" s="13">
        <v>28</v>
      </c>
      <c r="R249" s="44" t="s">
        <v>75</v>
      </c>
      <c r="S249" s="31"/>
      <c r="T249" s="13">
        <v>2.52</v>
      </c>
      <c r="U249" s="29" t="s">
        <v>72</v>
      </c>
    </row>
    <row r="250" spans="1:21" ht="22.5" x14ac:dyDescent="0.2">
      <c r="A250" s="1"/>
      <c r="B250" s="1" t="s">
        <v>65</v>
      </c>
      <c r="C250" s="30" t="s">
        <v>500</v>
      </c>
      <c r="D250" s="31"/>
      <c r="E250" s="31"/>
      <c r="F250" s="1" t="s">
        <v>497</v>
      </c>
      <c r="G250" s="28">
        <v>44908</v>
      </c>
      <c r="H250" s="14"/>
      <c r="I250" s="14" t="s">
        <v>267</v>
      </c>
      <c r="J250" s="52">
        <v>45901</v>
      </c>
      <c r="K250" s="31"/>
      <c r="L250" s="52">
        <v>45931</v>
      </c>
      <c r="M250" s="31"/>
      <c r="N250" s="28">
        <v>45906</v>
      </c>
      <c r="O250" s="29" t="s">
        <v>69</v>
      </c>
      <c r="P250" s="15" t="s">
        <v>70</v>
      </c>
      <c r="Q250" s="13">
        <v>23</v>
      </c>
      <c r="R250" s="44" t="s">
        <v>75</v>
      </c>
      <c r="S250" s="31"/>
      <c r="T250" s="13">
        <v>2.0699999999999998</v>
      </c>
      <c r="U250" s="29" t="s">
        <v>72</v>
      </c>
    </row>
    <row r="251" spans="1:21" ht="22.5" x14ac:dyDescent="0.2">
      <c r="A251" s="1"/>
      <c r="B251" s="1" t="s">
        <v>65</v>
      </c>
      <c r="C251" s="30" t="s">
        <v>501</v>
      </c>
      <c r="D251" s="31"/>
      <c r="E251" s="31"/>
      <c r="F251" s="1" t="s">
        <v>502</v>
      </c>
      <c r="G251" s="28">
        <v>44869</v>
      </c>
      <c r="H251" s="14"/>
      <c r="I251" s="14" t="s">
        <v>461</v>
      </c>
      <c r="J251" s="52">
        <v>45901</v>
      </c>
      <c r="K251" s="31"/>
      <c r="L251" s="52">
        <v>45931</v>
      </c>
      <c r="M251" s="31"/>
      <c r="N251" s="28">
        <v>45906</v>
      </c>
      <c r="O251" s="29" t="s">
        <v>69</v>
      </c>
      <c r="P251" s="15" t="s">
        <v>70</v>
      </c>
      <c r="Q251" s="13">
        <v>9</v>
      </c>
      <c r="R251" s="44" t="s">
        <v>75</v>
      </c>
      <c r="S251" s="31"/>
      <c r="T251" s="13">
        <v>0.81</v>
      </c>
      <c r="U251" s="29" t="s">
        <v>72</v>
      </c>
    </row>
    <row r="252" spans="1:21" ht="22.5" x14ac:dyDescent="0.2">
      <c r="A252" s="1"/>
      <c r="B252" s="1" t="s">
        <v>65</v>
      </c>
      <c r="C252" s="30" t="s">
        <v>503</v>
      </c>
      <c r="D252" s="31"/>
      <c r="E252" s="31"/>
      <c r="F252" s="1" t="s">
        <v>502</v>
      </c>
      <c r="G252" s="28">
        <v>44869</v>
      </c>
      <c r="H252" s="14"/>
      <c r="I252" s="14" t="s">
        <v>278</v>
      </c>
      <c r="J252" s="52">
        <v>45901</v>
      </c>
      <c r="K252" s="31"/>
      <c r="L252" s="52">
        <v>45931</v>
      </c>
      <c r="M252" s="31"/>
      <c r="N252" s="28">
        <v>45906</v>
      </c>
      <c r="O252" s="29" t="s">
        <v>69</v>
      </c>
      <c r="P252" s="15" t="s">
        <v>70</v>
      </c>
      <c r="Q252" s="13">
        <v>42.64</v>
      </c>
      <c r="R252" s="44" t="s">
        <v>75</v>
      </c>
      <c r="S252" s="31"/>
      <c r="T252" s="13">
        <v>3.84</v>
      </c>
      <c r="U252" s="29" t="s">
        <v>72</v>
      </c>
    </row>
    <row r="253" spans="1:21" ht="22.5" x14ac:dyDescent="0.2">
      <c r="A253" s="1"/>
      <c r="B253" s="1" t="s">
        <v>65</v>
      </c>
      <c r="C253" s="30" t="s">
        <v>504</v>
      </c>
      <c r="D253" s="31"/>
      <c r="E253" s="31"/>
      <c r="F253" s="1" t="s">
        <v>505</v>
      </c>
      <c r="G253" s="28">
        <v>44897</v>
      </c>
      <c r="H253" s="14"/>
      <c r="I253" s="14" t="s">
        <v>78</v>
      </c>
      <c r="J253" s="52">
        <v>45901</v>
      </c>
      <c r="K253" s="31"/>
      <c r="L253" s="52">
        <v>45931</v>
      </c>
      <c r="M253" s="31"/>
      <c r="N253" s="28">
        <v>45904</v>
      </c>
      <c r="O253" s="29" t="s">
        <v>69</v>
      </c>
      <c r="P253" s="15" t="s">
        <v>70</v>
      </c>
      <c r="Q253" s="13">
        <v>38.700000000000003</v>
      </c>
      <c r="R253" s="44" t="s">
        <v>75</v>
      </c>
      <c r="S253" s="31"/>
      <c r="T253" s="13">
        <v>3.48</v>
      </c>
      <c r="U253" s="29" t="s">
        <v>72</v>
      </c>
    </row>
    <row r="254" spans="1:21" ht="22.5" x14ac:dyDescent="0.2">
      <c r="A254" s="1"/>
      <c r="B254" s="1" t="s">
        <v>65</v>
      </c>
      <c r="C254" s="30" t="s">
        <v>506</v>
      </c>
      <c r="D254" s="31"/>
      <c r="E254" s="31"/>
      <c r="F254" s="1" t="s">
        <v>507</v>
      </c>
      <c r="G254" s="28">
        <v>44866</v>
      </c>
      <c r="H254" s="14"/>
      <c r="I254" s="14" t="s">
        <v>444</v>
      </c>
      <c r="J254" s="52">
        <v>45901</v>
      </c>
      <c r="K254" s="31"/>
      <c r="L254" s="52">
        <v>45931</v>
      </c>
      <c r="M254" s="31"/>
      <c r="N254" s="28">
        <v>45904</v>
      </c>
      <c r="O254" s="29" t="s">
        <v>69</v>
      </c>
      <c r="P254" s="15" t="s">
        <v>70</v>
      </c>
      <c r="Q254" s="13">
        <v>6.3</v>
      </c>
      <c r="R254" s="44" t="s">
        <v>75</v>
      </c>
      <c r="S254" s="31"/>
      <c r="T254" s="13">
        <v>0.56999999999999995</v>
      </c>
      <c r="U254" s="29" t="s">
        <v>72</v>
      </c>
    </row>
    <row r="255" spans="1:21" ht="22.5" x14ac:dyDescent="0.2">
      <c r="A255" s="1"/>
      <c r="B255" s="1" t="s">
        <v>65</v>
      </c>
      <c r="C255" s="30" t="s">
        <v>508</v>
      </c>
      <c r="D255" s="31"/>
      <c r="E255" s="31"/>
      <c r="F255" s="1" t="s">
        <v>507</v>
      </c>
      <c r="G255" s="28">
        <v>44866</v>
      </c>
      <c r="H255" s="14"/>
      <c r="I255" s="14" t="s">
        <v>470</v>
      </c>
      <c r="J255" s="52">
        <v>45901</v>
      </c>
      <c r="K255" s="31"/>
      <c r="L255" s="52">
        <v>45931</v>
      </c>
      <c r="M255" s="31"/>
      <c r="N255" s="28">
        <v>45904</v>
      </c>
      <c r="O255" s="29" t="s">
        <v>69</v>
      </c>
      <c r="P255" s="15" t="s">
        <v>70</v>
      </c>
      <c r="Q255" s="13">
        <v>28</v>
      </c>
      <c r="R255" s="44" t="s">
        <v>75</v>
      </c>
      <c r="S255" s="31"/>
      <c r="T255" s="13">
        <v>2.52</v>
      </c>
      <c r="U255" s="29" t="s">
        <v>72</v>
      </c>
    </row>
    <row r="256" spans="1:21" ht="22.5" x14ac:dyDescent="0.2">
      <c r="A256" s="1"/>
      <c r="B256" s="1" t="s">
        <v>65</v>
      </c>
      <c r="C256" s="30" t="s">
        <v>509</v>
      </c>
      <c r="D256" s="31"/>
      <c r="E256" s="31"/>
      <c r="F256" s="1" t="s">
        <v>507</v>
      </c>
      <c r="G256" s="28">
        <v>44866</v>
      </c>
      <c r="H256" s="14"/>
      <c r="I256" s="14" t="s">
        <v>473</v>
      </c>
      <c r="J256" s="52">
        <v>45901</v>
      </c>
      <c r="K256" s="31"/>
      <c r="L256" s="52">
        <v>45931</v>
      </c>
      <c r="M256" s="31"/>
      <c r="N256" s="28">
        <v>45904</v>
      </c>
      <c r="O256" s="29" t="s">
        <v>69</v>
      </c>
      <c r="P256" s="15" t="s">
        <v>70</v>
      </c>
      <c r="Q256" s="13">
        <v>15</v>
      </c>
      <c r="R256" s="44" t="s">
        <v>75</v>
      </c>
      <c r="S256" s="31"/>
      <c r="T256" s="13">
        <v>1.35</v>
      </c>
      <c r="U256" s="29" t="s">
        <v>72</v>
      </c>
    </row>
    <row r="257" spans="1:21" ht="22.5" x14ac:dyDescent="0.2">
      <c r="A257" s="1"/>
      <c r="B257" s="1" t="s">
        <v>65</v>
      </c>
      <c r="C257" s="30" t="s">
        <v>510</v>
      </c>
      <c r="D257" s="31"/>
      <c r="E257" s="31"/>
      <c r="F257" s="1" t="s">
        <v>507</v>
      </c>
      <c r="G257" s="28">
        <v>44866</v>
      </c>
      <c r="H257" s="14"/>
      <c r="I257" s="14" t="s">
        <v>267</v>
      </c>
      <c r="J257" s="52">
        <v>45901</v>
      </c>
      <c r="K257" s="31"/>
      <c r="L257" s="52">
        <v>45931</v>
      </c>
      <c r="M257" s="31"/>
      <c r="N257" s="28">
        <v>45904</v>
      </c>
      <c r="O257" s="29" t="s">
        <v>69</v>
      </c>
      <c r="P257" s="15" t="s">
        <v>70</v>
      </c>
      <c r="Q257" s="13">
        <v>23</v>
      </c>
      <c r="R257" s="44" t="s">
        <v>75</v>
      </c>
      <c r="S257" s="31"/>
      <c r="T257" s="13">
        <v>2.0699999999999998</v>
      </c>
      <c r="U257" s="29" t="s">
        <v>72</v>
      </c>
    </row>
    <row r="258" spans="1:21" ht="22.5" x14ac:dyDescent="0.2">
      <c r="A258" s="1"/>
      <c r="B258" s="1" t="s">
        <v>65</v>
      </c>
      <c r="C258" s="30" t="s">
        <v>511</v>
      </c>
      <c r="D258" s="31"/>
      <c r="E258" s="31"/>
      <c r="F258" s="1" t="s">
        <v>512</v>
      </c>
      <c r="G258" s="28">
        <v>44958</v>
      </c>
      <c r="H258" s="14"/>
      <c r="I258" s="14" t="s">
        <v>267</v>
      </c>
      <c r="J258" s="52">
        <v>45901</v>
      </c>
      <c r="K258" s="31"/>
      <c r="L258" s="52">
        <v>45931</v>
      </c>
      <c r="M258" s="31"/>
      <c r="N258" s="28">
        <v>45904</v>
      </c>
      <c r="O258" s="29" t="s">
        <v>69</v>
      </c>
      <c r="P258" s="15" t="s">
        <v>70</v>
      </c>
      <c r="Q258" s="13">
        <v>23</v>
      </c>
      <c r="R258" s="44" t="s">
        <v>75</v>
      </c>
      <c r="S258" s="31"/>
      <c r="T258" s="13">
        <v>2.0699999999999998</v>
      </c>
      <c r="U258" s="29" t="s">
        <v>72</v>
      </c>
    </row>
    <row r="259" spans="1:21" ht="22.5" x14ac:dyDescent="0.2">
      <c r="A259" s="1"/>
      <c r="B259" s="1" t="s">
        <v>65</v>
      </c>
      <c r="C259" s="30" t="s">
        <v>513</v>
      </c>
      <c r="D259" s="31"/>
      <c r="E259" s="31"/>
      <c r="F259" s="1" t="s">
        <v>512</v>
      </c>
      <c r="G259" s="28">
        <v>44958</v>
      </c>
      <c r="H259" s="14"/>
      <c r="I259" s="14" t="s">
        <v>473</v>
      </c>
      <c r="J259" s="52">
        <v>45901</v>
      </c>
      <c r="K259" s="31"/>
      <c r="L259" s="52">
        <v>45931</v>
      </c>
      <c r="M259" s="31"/>
      <c r="N259" s="28">
        <v>45904</v>
      </c>
      <c r="O259" s="29" t="s">
        <v>69</v>
      </c>
      <c r="P259" s="15" t="s">
        <v>70</v>
      </c>
      <c r="Q259" s="13">
        <v>15</v>
      </c>
      <c r="R259" s="44" t="s">
        <v>75</v>
      </c>
      <c r="S259" s="31"/>
      <c r="T259" s="13">
        <v>1.35</v>
      </c>
      <c r="U259" s="29" t="s">
        <v>72</v>
      </c>
    </row>
    <row r="260" spans="1:21" ht="22.5" x14ac:dyDescent="0.2">
      <c r="A260" s="1"/>
      <c r="B260" s="1" t="s">
        <v>65</v>
      </c>
      <c r="C260" s="30" t="s">
        <v>514</v>
      </c>
      <c r="D260" s="31"/>
      <c r="E260" s="31"/>
      <c r="F260" s="1" t="s">
        <v>512</v>
      </c>
      <c r="G260" s="28">
        <v>44958</v>
      </c>
      <c r="H260" s="14"/>
      <c r="I260" s="14" t="s">
        <v>278</v>
      </c>
      <c r="J260" s="52">
        <v>45901</v>
      </c>
      <c r="K260" s="31"/>
      <c r="L260" s="52">
        <v>45931</v>
      </c>
      <c r="M260" s="31"/>
      <c r="N260" s="28">
        <v>45904</v>
      </c>
      <c r="O260" s="29" t="s">
        <v>69</v>
      </c>
      <c r="P260" s="15" t="s">
        <v>70</v>
      </c>
      <c r="Q260" s="13">
        <v>42.64</v>
      </c>
      <c r="R260" s="44" t="s">
        <v>75</v>
      </c>
      <c r="S260" s="31"/>
      <c r="T260" s="13">
        <v>3.84</v>
      </c>
      <c r="U260" s="29" t="s">
        <v>72</v>
      </c>
    </row>
    <row r="261" spans="1:21" ht="22.5" x14ac:dyDescent="0.2">
      <c r="A261" s="1"/>
      <c r="B261" s="1" t="s">
        <v>65</v>
      </c>
      <c r="C261" s="30" t="s">
        <v>515</v>
      </c>
      <c r="D261" s="31"/>
      <c r="E261" s="31"/>
      <c r="F261" s="1" t="s">
        <v>512</v>
      </c>
      <c r="G261" s="28">
        <v>44958</v>
      </c>
      <c r="H261" s="14"/>
      <c r="I261" s="14" t="s">
        <v>444</v>
      </c>
      <c r="J261" s="52">
        <v>45901</v>
      </c>
      <c r="K261" s="31"/>
      <c r="L261" s="52">
        <v>45931</v>
      </c>
      <c r="M261" s="31"/>
      <c r="N261" s="28">
        <v>45904</v>
      </c>
      <c r="O261" s="29" t="s">
        <v>69</v>
      </c>
      <c r="P261" s="15" t="s">
        <v>70</v>
      </c>
      <c r="Q261" s="13">
        <v>6.3</v>
      </c>
      <c r="R261" s="44" t="s">
        <v>75</v>
      </c>
      <c r="S261" s="31"/>
      <c r="T261" s="13">
        <v>0.56999999999999995</v>
      </c>
      <c r="U261" s="29" t="s">
        <v>72</v>
      </c>
    </row>
    <row r="262" spans="1:21" ht="22.5" x14ac:dyDescent="0.2">
      <c r="A262" s="1"/>
      <c r="B262" s="1" t="s">
        <v>65</v>
      </c>
      <c r="C262" s="30" t="s">
        <v>516</v>
      </c>
      <c r="D262" s="31"/>
      <c r="E262" s="31"/>
      <c r="F262" s="1" t="s">
        <v>512</v>
      </c>
      <c r="G262" s="28">
        <v>44958</v>
      </c>
      <c r="H262" s="14"/>
      <c r="I262" s="14" t="s">
        <v>461</v>
      </c>
      <c r="J262" s="52">
        <v>45901</v>
      </c>
      <c r="K262" s="31"/>
      <c r="L262" s="52">
        <v>45931</v>
      </c>
      <c r="M262" s="31"/>
      <c r="N262" s="28">
        <v>45904</v>
      </c>
      <c r="O262" s="29" t="s">
        <v>69</v>
      </c>
      <c r="P262" s="15" t="s">
        <v>70</v>
      </c>
      <c r="Q262" s="13">
        <v>9</v>
      </c>
      <c r="R262" s="44" t="s">
        <v>75</v>
      </c>
      <c r="S262" s="31"/>
      <c r="T262" s="13">
        <v>0.81</v>
      </c>
      <c r="U262" s="29" t="s">
        <v>72</v>
      </c>
    </row>
    <row r="263" spans="1:21" ht="22.5" x14ac:dyDescent="0.2">
      <c r="A263" s="1"/>
      <c r="B263" s="1" t="s">
        <v>65</v>
      </c>
      <c r="C263" s="30" t="s">
        <v>517</v>
      </c>
      <c r="D263" s="31"/>
      <c r="E263" s="31"/>
      <c r="F263" s="1" t="s">
        <v>512</v>
      </c>
      <c r="G263" s="28">
        <v>44958</v>
      </c>
      <c r="H263" s="14"/>
      <c r="I263" s="14" t="s">
        <v>470</v>
      </c>
      <c r="J263" s="52">
        <v>45901</v>
      </c>
      <c r="K263" s="31"/>
      <c r="L263" s="52">
        <v>45931</v>
      </c>
      <c r="M263" s="31"/>
      <c r="N263" s="28">
        <v>45904</v>
      </c>
      <c r="O263" s="29" t="s">
        <v>69</v>
      </c>
      <c r="P263" s="15" t="s">
        <v>70</v>
      </c>
      <c r="Q263" s="13">
        <v>28</v>
      </c>
      <c r="R263" s="44" t="s">
        <v>75</v>
      </c>
      <c r="S263" s="31"/>
      <c r="T263" s="13">
        <v>2.52</v>
      </c>
      <c r="U263" s="29" t="s">
        <v>72</v>
      </c>
    </row>
    <row r="264" spans="1:21" ht="22.5" x14ac:dyDescent="0.2">
      <c r="A264" s="1"/>
      <c r="B264" s="1" t="s">
        <v>65</v>
      </c>
      <c r="C264" s="30" t="s">
        <v>518</v>
      </c>
      <c r="D264" s="31"/>
      <c r="E264" s="31"/>
      <c r="F264" s="1" t="s">
        <v>519</v>
      </c>
      <c r="G264" s="28">
        <v>44908</v>
      </c>
      <c r="H264" s="14"/>
      <c r="I264" s="14" t="s">
        <v>115</v>
      </c>
      <c r="J264" s="52">
        <v>45901</v>
      </c>
      <c r="K264" s="31"/>
      <c r="L264" s="52">
        <v>45931</v>
      </c>
      <c r="M264" s="31"/>
      <c r="N264" s="28">
        <v>45906</v>
      </c>
      <c r="O264" s="29" t="s">
        <v>69</v>
      </c>
      <c r="P264" s="15" t="s">
        <v>70</v>
      </c>
      <c r="Q264" s="13">
        <v>56.5</v>
      </c>
      <c r="R264" s="44" t="s">
        <v>75</v>
      </c>
      <c r="S264" s="31"/>
      <c r="T264" s="13">
        <v>5.09</v>
      </c>
      <c r="U264" s="29" t="s">
        <v>72</v>
      </c>
    </row>
    <row r="265" spans="1:21" ht="22.5" x14ac:dyDescent="0.2">
      <c r="A265" s="1"/>
      <c r="B265" s="1" t="s">
        <v>65</v>
      </c>
      <c r="C265" s="30" t="s">
        <v>520</v>
      </c>
      <c r="D265" s="31"/>
      <c r="E265" s="31"/>
      <c r="F265" s="1" t="s">
        <v>519</v>
      </c>
      <c r="G265" s="28">
        <v>44908</v>
      </c>
      <c r="H265" s="14"/>
      <c r="I265" s="14" t="s">
        <v>198</v>
      </c>
      <c r="J265" s="52">
        <v>45901</v>
      </c>
      <c r="K265" s="31"/>
      <c r="L265" s="52">
        <v>45931</v>
      </c>
      <c r="M265" s="31"/>
      <c r="N265" s="28">
        <v>45906</v>
      </c>
      <c r="O265" s="29" t="s">
        <v>69</v>
      </c>
      <c r="P265" s="15" t="s">
        <v>70</v>
      </c>
      <c r="Q265" s="13">
        <v>16</v>
      </c>
      <c r="R265" s="44" t="s">
        <v>75</v>
      </c>
      <c r="S265" s="31"/>
      <c r="T265" s="13">
        <v>1.44</v>
      </c>
      <c r="U265" s="29" t="s">
        <v>72</v>
      </c>
    </row>
    <row r="266" spans="1:21" ht="22.5" x14ac:dyDescent="0.2">
      <c r="A266" s="1"/>
      <c r="B266" s="1" t="s">
        <v>65</v>
      </c>
      <c r="C266" s="30" t="s">
        <v>521</v>
      </c>
      <c r="D266" s="31"/>
      <c r="E266" s="31"/>
      <c r="F266" s="1" t="s">
        <v>519</v>
      </c>
      <c r="G266" s="28">
        <v>44959</v>
      </c>
      <c r="H266" s="14"/>
      <c r="I266" s="14" t="s">
        <v>115</v>
      </c>
      <c r="J266" s="52">
        <v>45901</v>
      </c>
      <c r="K266" s="31"/>
      <c r="L266" s="52">
        <v>45931</v>
      </c>
      <c r="M266" s="31"/>
      <c r="N266" s="28">
        <v>45904</v>
      </c>
      <c r="O266" s="29" t="s">
        <v>69</v>
      </c>
      <c r="P266" s="15" t="s">
        <v>70</v>
      </c>
      <c r="Q266" s="13">
        <v>28.5</v>
      </c>
      <c r="R266" s="44" t="s">
        <v>75</v>
      </c>
      <c r="S266" s="31"/>
      <c r="T266" s="13">
        <v>2.57</v>
      </c>
      <c r="U266" s="29" t="s">
        <v>72</v>
      </c>
    </row>
    <row r="267" spans="1:21" ht="22.5" x14ac:dyDescent="0.2">
      <c r="A267" s="1"/>
      <c r="B267" s="1" t="s">
        <v>65</v>
      </c>
      <c r="C267" s="30" t="s">
        <v>522</v>
      </c>
      <c r="D267" s="31"/>
      <c r="E267" s="31"/>
      <c r="F267" s="1" t="s">
        <v>523</v>
      </c>
      <c r="G267" s="28">
        <v>44866</v>
      </c>
      <c r="H267" s="14"/>
      <c r="I267" s="14" t="s">
        <v>453</v>
      </c>
      <c r="J267" s="52">
        <v>45901</v>
      </c>
      <c r="K267" s="31"/>
      <c r="L267" s="52">
        <v>45931</v>
      </c>
      <c r="M267" s="31"/>
      <c r="N267" s="28">
        <v>45904</v>
      </c>
      <c r="O267" s="29" t="s">
        <v>69</v>
      </c>
      <c r="P267" s="15" t="s">
        <v>70</v>
      </c>
      <c r="Q267" s="13">
        <v>21.5</v>
      </c>
      <c r="R267" s="44" t="s">
        <v>75</v>
      </c>
      <c r="S267" s="31"/>
      <c r="T267" s="13">
        <v>1.94</v>
      </c>
      <c r="U267" s="29" t="s">
        <v>72</v>
      </c>
    </row>
    <row r="268" spans="1:21" ht="22.5" x14ac:dyDescent="0.2">
      <c r="A268" s="1"/>
      <c r="B268" s="1" t="s">
        <v>65</v>
      </c>
      <c r="C268" s="30" t="s">
        <v>524</v>
      </c>
      <c r="D268" s="31"/>
      <c r="E268" s="31"/>
      <c r="F268" s="1" t="s">
        <v>523</v>
      </c>
      <c r="G268" s="28">
        <v>44866</v>
      </c>
      <c r="H268" s="14"/>
      <c r="I268" s="14" t="s">
        <v>473</v>
      </c>
      <c r="J268" s="52">
        <v>45901</v>
      </c>
      <c r="K268" s="31"/>
      <c r="L268" s="52">
        <v>45931</v>
      </c>
      <c r="M268" s="31"/>
      <c r="N268" s="28">
        <v>45904</v>
      </c>
      <c r="O268" s="29" t="s">
        <v>69</v>
      </c>
      <c r="P268" s="15" t="s">
        <v>70</v>
      </c>
      <c r="Q268" s="13">
        <v>9</v>
      </c>
      <c r="R268" s="44" t="s">
        <v>75</v>
      </c>
      <c r="S268" s="31"/>
      <c r="T268" s="13">
        <v>0.81</v>
      </c>
      <c r="U268" s="29" t="s">
        <v>72</v>
      </c>
    </row>
    <row r="269" spans="1:21" ht="22.5" x14ac:dyDescent="0.2">
      <c r="A269" s="1"/>
      <c r="B269" s="1" t="s">
        <v>65</v>
      </c>
      <c r="C269" s="30" t="s">
        <v>525</v>
      </c>
      <c r="D269" s="31"/>
      <c r="E269" s="31"/>
      <c r="F269" s="1" t="s">
        <v>523</v>
      </c>
      <c r="G269" s="28">
        <v>44866</v>
      </c>
      <c r="H269" s="14"/>
      <c r="I269" s="14" t="s">
        <v>444</v>
      </c>
      <c r="J269" s="52">
        <v>45901</v>
      </c>
      <c r="K269" s="31"/>
      <c r="L269" s="52">
        <v>45931</v>
      </c>
      <c r="M269" s="31"/>
      <c r="N269" s="28">
        <v>45904</v>
      </c>
      <c r="O269" s="29" t="s">
        <v>69</v>
      </c>
      <c r="P269" s="15" t="s">
        <v>70</v>
      </c>
      <c r="Q269" s="13">
        <v>4.8</v>
      </c>
      <c r="R269" s="44" t="s">
        <v>75</v>
      </c>
      <c r="S269" s="31"/>
      <c r="T269" s="13">
        <v>0.43</v>
      </c>
      <c r="U269" s="29" t="s">
        <v>72</v>
      </c>
    </row>
    <row r="270" spans="1:21" ht="22.5" x14ac:dyDescent="0.2">
      <c r="A270" s="1"/>
      <c r="B270" s="1" t="s">
        <v>65</v>
      </c>
      <c r="C270" s="30" t="s">
        <v>526</v>
      </c>
      <c r="D270" s="31"/>
      <c r="E270" s="31"/>
      <c r="F270" s="1" t="s">
        <v>523</v>
      </c>
      <c r="G270" s="28">
        <v>44866</v>
      </c>
      <c r="H270" s="14"/>
      <c r="I270" s="14" t="s">
        <v>527</v>
      </c>
      <c r="J270" s="52">
        <v>45901</v>
      </c>
      <c r="K270" s="31"/>
      <c r="L270" s="52">
        <v>45931</v>
      </c>
      <c r="M270" s="31"/>
      <c r="N270" s="28">
        <v>45904</v>
      </c>
      <c r="O270" s="29" t="s">
        <v>69</v>
      </c>
      <c r="P270" s="15" t="s">
        <v>70</v>
      </c>
      <c r="Q270" s="13">
        <v>11</v>
      </c>
      <c r="R270" s="44" t="s">
        <v>75</v>
      </c>
      <c r="S270" s="31"/>
      <c r="T270" s="13">
        <v>0.99</v>
      </c>
      <c r="U270" s="29" t="s">
        <v>72</v>
      </c>
    </row>
    <row r="271" spans="1:21" ht="22.5" x14ac:dyDescent="0.2">
      <c r="A271" s="1"/>
      <c r="B271" s="1" t="s">
        <v>65</v>
      </c>
      <c r="C271" s="30" t="s">
        <v>528</v>
      </c>
      <c r="D271" s="31"/>
      <c r="E271" s="31"/>
      <c r="F271" s="1" t="s">
        <v>529</v>
      </c>
      <c r="G271" s="28">
        <v>44896</v>
      </c>
      <c r="H271" s="14"/>
      <c r="I271" s="14" t="s">
        <v>473</v>
      </c>
      <c r="J271" s="52">
        <v>45901</v>
      </c>
      <c r="K271" s="31"/>
      <c r="L271" s="52">
        <v>45931</v>
      </c>
      <c r="M271" s="31"/>
      <c r="N271" s="28">
        <v>45904</v>
      </c>
      <c r="O271" s="29" t="s">
        <v>69</v>
      </c>
      <c r="P271" s="15" t="s">
        <v>70</v>
      </c>
      <c r="Q271" s="13">
        <v>9</v>
      </c>
      <c r="R271" s="44" t="s">
        <v>75</v>
      </c>
      <c r="S271" s="31"/>
      <c r="T271" s="13">
        <v>0.81</v>
      </c>
      <c r="U271" s="29" t="s">
        <v>72</v>
      </c>
    </row>
    <row r="272" spans="1:21" ht="22.5" x14ac:dyDescent="0.2">
      <c r="A272" s="1"/>
      <c r="B272" s="1" t="s">
        <v>65</v>
      </c>
      <c r="C272" s="30" t="s">
        <v>530</v>
      </c>
      <c r="D272" s="31"/>
      <c r="E272" s="31"/>
      <c r="F272" s="1" t="s">
        <v>529</v>
      </c>
      <c r="G272" s="28">
        <v>44896</v>
      </c>
      <c r="H272" s="14"/>
      <c r="I272" s="14" t="s">
        <v>461</v>
      </c>
      <c r="J272" s="52">
        <v>45901</v>
      </c>
      <c r="K272" s="31"/>
      <c r="L272" s="52">
        <v>45931</v>
      </c>
      <c r="M272" s="31"/>
      <c r="N272" s="28">
        <v>45904</v>
      </c>
      <c r="O272" s="29" t="s">
        <v>69</v>
      </c>
      <c r="P272" s="15" t="s">
        <v>70</v>
      </c>
      <c r="Q272" s="13">
        <v>9</v>
      </c>
      <c r="R272" s="44" t="s">
        <v>75</v>
      </c>
      <c r="S272" s="31"/>
      <c r="T272" s="13">
        <v>0.81</v>
      </c>
      <c r="U272" s="29" t="s">
        <v>72</v>
      </c>
    </row>
    <row r="273" spans="1:21" ht="22.5" x14ac:dyDescent="0.2">
      <c r="A273" s="1"/>
      <c r="B273" s="1" t="s">
        <v>65</v>
      </c>
      <c r="C273" s="30" t="s">
        <v>531</v>
      </c>
      <c r="D273" s="31"/>
      <c r="E273" s="31"/>
      <c r="F273" s="1" t="s">
        <v>529</v>
      </c>
      <c r="G273" s="28">
        <v>44896</v>
      </c>
      <c r="H273" s="14"/>
      <c r="I273" s="14" t="s">
        <v>278</v>
      </c>
      <c r="J273" s="52">
        <v>45901</v>
      </c>
      <c r="K273" s="31"/>
      <c r="L273" s="52">
        <v>45931</v>
      </c>
      <c r="M273" s="31"/>
      <c r="N273" s="28">
        <v>45904</v>
      </c>
      <c r="O273" s="29" t="s">
        <v>69</v>
      </c>
      <c r="P273" s="15" t="s">
        <v>70</v>
      </c>
      <c r="Q273" s="13">
        <v>42.64</v>
      </c>
      <c r="R273" s="44" t="s">
        <v>75</v>
      </c>
      <c r="S273" s="31"/>
      <c r="T273" s="13">
        <v>3.84</v>
      </c>
      <c r="U273" s="29" t="s">
        <v>72</v>
      </c>
    </row>
    <row r="274" spans="1:21" ht="22.5" x14ac:dyDescent="0.2">
      <c r="A274" s="1"/>
      <c r="B274" s="1" t="s">
        <v>65</v>
      </c>
      <c r="C274" s="30" t="s">
        <v>532</v>
      </c>
      <c r="D274" s="31"/>
      <c r="E274" s="31"/>
      <c r="F274" s="1" t="s">
        <v>529</v>
      </c>
      <c r="G274" s="28">
        <v>44896</v>
      </c>
      <c r="H274" s="14"/>
      <c r="I274" s="14" t="s">
        <v>470</v>
      </c>
      <c r="J274" s="52">
        <v>45901</v>
      </c>
      <c r="K274" s="31"/>
      <c r="L274" s="52">
        <v>45931</v>
      </c>
      <c r="M274" s="31"/>
      <c r="N274" s="28">
        <v>45904</v>
      </c>
      <c r="O274" s="29" t="s">
        <v>69</v>
      </c>
      <c r="P274" s="15" t="s">
        <v>70</v>
      </c>
      <c r="Q274" s="13">
        <v>28</v>
      </c>
      <c r="R274" s="44" t="s">
        <v>75</v>
      </c>
      <c r="S274" s="31"/>
      <c r="T274" s="13">
        <v>2.52</v>
      </c>
      <c r="U274" s="29" t="s">
        <v>72</v>
      </c>
    </row>
    <row r="275" spans="1:21" ht="22.5" x14ac:dyDescent="0.2">
      <c r="A275" s="1"/>
      <c r="B275" s="1" t="s">
        <v>65</v>
      </c>
      <c r="C275" s="30" t="s">
        <v>533</v>
      </c>
      <c r="D275" s="31"/>
      <c r="E275" s="31"/>
      <c r="F275" s="1" t="s">
        <v>529</v>
      </c>
      <c r="G275" s="28">
        <v>44896</v>
      </c>
      <c r="H275" s="14"/>
      <c r="I275" s="14" t="s">
        <v>444</v>
      </c>
      <c r="J275" s="52">
        <v>45901</v>
      </c>
      <c r="K275" s="31"/>
      <c r="L275" s="52">
        <v>45931</v>
      </c>
      <c r="M275" s="31"/>
      <c r="N275" s="28">
        <v>45904</v>
      </c>
      <c r="O275" s="29" t="s">
        <v>69</v>
      </c>
      <c r="P275" s="15" t="s">
        <v>70</v>
      </c>
      <c r="Q275" s="13">
        <v>4.8</v>
      </c>
      <c r="R275" s="44" t="s">
        <v>75</v>
      </c>
      <c r="S275" s="31"/>
      <c r="T275" s="13">
        <v>0.43</v>
      </c>
      <c r="U275" s="29" t="s">
        <v>72</v>
      </c>
    </row>
    <row r="276" spans="1:21" ht="22.5" x14ac:dyDescent="0.2">
      <c r="A276" s="1"/>
      <c r="B276" s="1" t="s">
        <v>65</v>
      </c>
      <c r="C276" s="30" t="s">
        <v>534</v>
      </c>
      <c r="D276" s="31"/>
      <c r="E276" s="31"/>
      <c r="F276" s="1" t="s">
        <v>529</v>
      </c>
      <c r="G276" s="28">
        <v>44896</v>
      </c>
      <c r="H276" s="14"/>
      <c r="I276" s="14" t="s">
        <v>267</v>
      </c>
      <c r="J276" s="52">
        <v>45901</v>
      </c>
      <c r="K276" s="31"/>
      <c r="L276" s="52">
        <v>45931</v>
      </c>
      <c r="M276" s="31"/>
      <c r="N276" s="28">
        <v>45904</v>
      </c>
      <c r="O276" s="29" t="s">
        <v>69</v>
      </c>
      <c r="P276" s="15" t="s">
        <v>70</v>
      </c>
      <c r="Q276" s="13">
        <v>23</v>
      </c>
      <c r="R276" s="44" t="s">
        <v>75</v>
      </c>
      <c r="S276" s="31"/>
      <c r="T276" s="13">
        <v>2.0699999999999998</v>
      </c>
      <c r="U276" s="29" t="s">
        <v>72</v>
      </c>
    </row>
    <row r="277" spans="1:21" ht="33.75" x14ac:dyDescent="0.2">
      <c r="A277" s="1"/>
      <c r="B277" s="1" t="s">
        <v>65</v>
      </c>
      <c r="C277" s="30" t="s">
        <v>535</v>
      </c>
      <c r="D277" s="31"/>
      <c r="E277" s="31"/>
      <c r="F277" s="1" t="s">
        <v>536</v>
      </c>
      <c r="G277" s="28">
        <v>44958</v>
      </c>
      <c r="H277" s="14"/>
      <c r="I277" s="14" t="s">
        <v>461</v>
      </c>
      <c r="J277" s="52">
        <v>45901</v>
      </c>
      <c r="K277" s="31"/>
      <c r="L277" s="52">
        <v>45931</v>
      </c>
      <c r="M277" s="31"/>
      <c r="N277" s="28">
        <v>45904</v>
      </c>
      <c r="O277" s="29" t="s">
        <v>69</v>
      </c>
      <c r="P277" s="15" t="s">
        <v>70</v>
      </c>
      <c r="Q277" s="13">
        <v>9</v>
      </c>
      <c r="R277" s="44" t="s">
        <v>75</v>
      </c>
      <c r="S277" s="31"/>
      <c r="T277" s="13">
        <v>0.81</v>
      </c>
      <c r="U277" s="29" t="s">
        <v>72</v>
      </c>
    </row>
    <row r="278" spans="1:21" ht="33.75" x14ac:dyDescent="0.2">
      <c r="A278" s="1"/>
      <c r="B278" s="1" t="s">
        <v>65</v>
      </c>
      <c r="C278" s="30" t="s">
        <v>537</v>
      </c>
      <c r="D278" s="31"/>
      <c r="E278" s="31"/>
      <c r="F278" s="1" t="s">
        <v>536</v>
      </c>
      <c r="G278" s="28">
        <v>44958</v>
      </c>
      <c r="H278" s="14"/>
      <c r="I278" s="14" t="s">
        <v>538</v>
      </c>
      <c r="J278" s="52">
        <v>45901</v>
      </c>
      <c r="K278" s="31"/>
      <c r="L278" s="52">
        <v>45931</v>
      </c>
      <c r="M278" s="31"/>
      <c r="N278" s="28">
        <v>45904</v>
      </c>
      <c r="O278" s="29" t="s">
        <v>69</v>
      </c>
      <c r="P278" s="15" t="s">
        <v>70</v>
      </c>
      <c r="Q278" s="13">
        <v>153.79</v>
      </c>
      <c r="R278" s="44" t="s">
        <v>71</v>
      </c>
      <c r="S278" s="31"/>
      <c r="T278" s="13">
        <v>27.68</v>
      </c>
      <c r="U278" s="29" t="s">
        <v>72</v>
      </c>
    </row>
    <row r="279" spans="1:21" ht="22.5" x14ac:dyDescent="0.2">
      <c r="A279" s="1"/>
      <c r="B279" s="1" t="s">
        <v>65</v>
      </c>
      <c r="C279" s="30" t="s">
        <v>539</v>
      </c>
      <c r="D279" s="31"/>
      <c r="E279" s="31"/>
      <c r="F279" s="1" t="s">
        <v>540</v>
      </c>
      <c r="G279" s="28">
        <v>44927</v>
      </c>
      <c r="H279" s="14"/>
      <c r="I279" s="14" t="s">
        <v>495</v>
      </c>
      <c r="J279" s="52">
        <v>45901</v>
      </c>
      <c r="K279" s="31"/>
      <c r="L279" s="52">
        <v>45931</v>
      </c>
      <c r="M279" s="31"/>
      <c r="N279" s="28">
        <v>45904</v>
      </c>
      <c r="O279" s="29" t="s">
        <v>69</v>
      </c>
      <c r="P279" s="15" t="s">
        <v>70</v>
      </c>
      <c r="Q279" s="13">
        <v>38.630000000000003</v>
      </c>
      <c r="R279" s="44" t="s">
        <v>75</v>
      </c>
      <c r="S279" s="31"/>
      <c r="T279" s="13">
        <v>3.48</v>
      </c>
      <c r="U279" s="29" t="s">
        <v>72</v>
      </c>
    </row>
    <row r="280" spans="1:21" ht="22.5" x14ac:dyDescent="0.2">
      <c r="A280" s="1"/>
      <c r="B280" s="1" t="s">
        <v>65</v>
      </c>
      <c r="C280" s="30" t="s">
        <v>541</v>
      </c>
      <c r="D280" s="31"/>
      <c r="E280" s="31"/>
      <c r="F280" s="1" t="s">
        <v>540</v>
      </c>
      <c r="G280" s="28">
        <v>44927</v>
      </c>
      <c r="H280" s="14"/>
      <c r="I280" s="14" t="s">
        <v>461</v>
      </c>
      <c r="J280" s="52">
        <v>45901</v>
      </c>
      <c r="K280" s="31"/>
      <c r="L280" s="52">
        <v>45931</v>
      </c>
      <c r="M280" s="31"/>
      <c r="N280" s="28">
        <v>45904</v>
      </c>
      <c r="O280" s="29" t="s">
        <v>69</v>
      </c>
      <c r="P280" s="15" t="s">
        <v>70</v>
      </c>
      <c r="Q280" s="13">
        <v>9</v>
      </c>
      <c r="R280" s="44" t="s">
        <v>75</v>
      </c>
      <c r="S280" s="31"/>
      <c r="T280" s="13">
        <v>0.81</v>
      </c>
      <c r="U280" s="29" t="s">
        <v>72</v>
      </c>
    </row>
    <row r="281" spans="1:21" ht="22.5" x14ac:dyDescent="0.2">
      <c r="A281" s="1"/>
      <c r="B281" s="1" t="s">
        <v>65</v>
      </c>
      <c r="C281" s="30" t="s">
        <v>542</v>
      </c>
      <c r="D281" s="31"/>
      <c r="E281" s="31"/>
      <c r="F281" s="1" t="s">
        <v>540</v>
      </c>
      <c r="G281" s="28">
        <v>44927</v>
      </c>
      <c r="H281" s="14"/>
      <c r="I281" s="14" t="s">
        <v>278</v>
      </c>
      <c r="J281" s="52">
        <v>45901</v>
      </c>
      <c r="K281" s="31"/>
      <c r="L281" s="52">
        <v>45931</v>
      </c>
      <c r="M281" s="31"/>
      <c r="N281" s="28">
        <v>45904</v>
      </c>
      <c r="O281" s="29" t="s">
        <v>69</v>
      </c>
      <c r="P281" s="15" t="s">
        <v>70</v>
      </c>
      <c r="Q281" s="13">
        <v>42.64</v>
      </c>
      <c r="R281" s="44" t="s">
        <v>75</v>
      </c>
      <c r="S281" s="31"/>
      <c r="T281" s="13">
        <v>3.84</v>
      </c>
      <c r="U281" s="29" t="s">
        <v>72</v>
      </c>
    </row>
    <row r="282" spans="1:21" ht="22.5" x14ac:dyDescent="0.2">
      <c r="A282" s="1"/>
      <c r="B282" s="1" t="s">
        <v>65</v>
      </c>
      <c r="C282" s="30" t="s">
        <v>543</v>
      </c>
      <c r="D282" s="31"/>
      <c r="E282" s="31"/>
      <c r="F282" s="1" t="s">
        <v>540</v>
      </c>
      <c r="G282" s="28">
        <v>44927</v>
      </c>
      <c r="H282" s="14"/>
      <c r="I282" s="14" t="s">
        <v>228</v>
      </c>
      <c r="J282" s="52">
        <v>45901</v>
      </c>
      <c r="K282" s="31"/>
      <c r="L282" s="52">
        <v>45931</v>
      </c>
      <c r="M282" s="31"/>
      <c r="N282" s="28">
        <v>45904</v>
      </c>
      <c r="O282" s="29" t="s">
        <v>69</v>
      </c>
      <c r="P282" s="15" t="s">
        <v>70</v>
      </c>
      <c r="Q282" s="13">
        <v>41.01</v>
      </c>
      <c r="R282" s="44" t="s">
        <v>75</v>
      </c>
      <c r="S282" s="31"/>
      <c r="T282" s="13">
        <v>3.69</v>
      </c>
      <c r="U282" s="29" t="s">
        <v>72</v>
      </c>
    </row>
    <row r="283" spans="1:21" ht="22.5" x14ac:dyDescent="0.2">
      <c r="A283" s="1"/>
      <c r="B283" s="1" t="s">
        <v>65</v>
      </c>
      <c r="C283" s="30" t="s">
        <v>544</v>
      </c>
      <c r="D283" s="31"/>
      <c r="E283" s="31"/>
      <c r="F283" s="1" t="s">
        <v>545</v>
      </c>
      <c r="G283" s="28">
        <v>44958</v>
      </c>
      <c r="H283" s="14"/>
      <c r="I283" s="14" t="s">
        <v>461</v>
      </c>
      <c r="J283" s="52">
        <v>45901</v>
      </c>
      <c r="K283" s="31"/>
      <c r="L283" s="52">
        <v>45931</v>
      </c>
      <c r="M283" s="31"/>
      <c r="N283" s="28">
        <v>45904</v>
      </c>
      <c r="O283" s="29" t="s">
        <v>69</v>
      </c>
      <c r="P283" s="15" t="s">
        <v>70</v>
      </c>
      <c r="Q283" s="13">
        <v>9</v>
      </c>
      <c r="R283" s="44" t="s">
        <v>75</v>
      </c>
      <c r="S283" s="31"/>
      <c r="T283" s="13">
        <v>0.81</v>
      </c>
      <c r="U283" s="29" t="s">
        <v>72</v>
      </c>
    </row>
    <row r="284" spans="1:21" ht="22.5" x14ac:dyDescent="0.2">
      <c r="A284" s="1"/>
      <c r="B284" s="1" t="s">
        <v>65</v>
      </c>
      <c r="C284" s="30" t="s">
        <v>546</v>
      </c>
      <c r="D284" s="31"/>
      <c r="E284" s="31"/>
      <c r="F284" s="1" t="s">
        <v>545</v>
      </c>
      <c r="G284" s="28">
        <v>44958</v>
      </c>
      <c r="H284" s="14"/>
      <c r="I284" s="14" t="s">
        <v>278</v>
      </c>
      <c r="J284" s="52">
        <v>45901</v>
      </c>
      <c r="K284" s="31"/>
      <c r="L284" s="52">
        <v>45931</v>
      </c>
      <c r="M284" s="31"/>
      <c r="N284" s="28">
        <v>45904</v>
      </c>
      <c r="O284" s="29" t="s">
        <v>69</v>
      </c>
      <c r="P284" s="15" t="s">
        <v>70</v>
      </c>
      <c r="Q284" s="13">
        <v>42.64</v>
      </c>
      <c r="R284" s="44" t="s">
        <v>75</v>
      </c>
      <c r="S284" s="31"/>
      <c r="T284" s="13">
        <v>3.84</v>
      </c>
      <c r="U284" s="29" t="s">
        <v>72</v>
      </c>
    </row>
    <row r="285" spans="1:21" x14ac:dyDescent="0.2">
      <c r="A285" s="36" t="s">
        <v>547</v>
      </c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1"/>
      <c r="Q285" s="1"/>
      <c r="R285" s="30"/>
      <c r="S285" s="31"/>
      <c r="T285" s="1"/>
      <c r="U285" s="1"/>
    </row>
    <row r="286" spans="1:21" ht="22.5" x14ac:dyDescent="0.2">
      <c r="A286" s="1"/>
      <c r="B286" s="1" t="s">
        <v>65</v>
      </c>
      <c r="C286" s="30" t="s">
        <v>548</v>
      </c>
      <c r="D286" s="31"/>
      <c r="E286" s="31"/>
      <c r="F286" s="1" t="s">
        <v>549</v>
      </c>
      <c r="G286" s="28">
        <v>45078</v>
      </c>
      <c r="H286" s="14"/>
      <c r="I286" s="14" t="s">
        <v>278</v>
      </c>
      <c r="J286" s="52">
        <v>45901</v>
      </c>
      <c r="K286" s="31"/>
      <c r="L286" s="52">
        <v>45931</v>
      </c>
      <c r="M286" s="31"/>
      <c r="N286" s="28">
        <v>45904</v>
      </c>
      <c r="O286" s="29" t="s">
        <v>69</v>
      </c>
      <c r="P286" s="15" t="s">
        <v>70</v>
      </c>
      <c r="Q286" s="13">
        <v>78</v>
      </c>
      <c r="R286" s="44" t="s">
        <v>75</v>
      </c>
      <c r="S286" s="31"/>
      <c r="T286" s="13">
        <v>7.02</v>
      </c>
      <c r="U286" s="29" t="s">
        <v>72</v>
      </c>
    </row>
    <row r="287" spans="1:21" x14ac:dyDescent="0.2">
      <c r="A287" s="1"/>
      <c r="B287" s="1"/>
      <c r="C287" s="30"/>
      <c r="D287" s="31"/>
      <c r="E287" s="3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39" t="s">
        <v>550</v>
      </c>
      <c r="S287" s="31"/>
      <c r="T287" s="17">
        <v>1279.53</v>
      </c>
      <c r="U287" s="2"/>
    </row>
    <row r="288" spans="1:21" x14ac:dyDescent="0.2">
      <c r="A288" s="1"/>
      <c r="B288" s="1"/>
      <c r="C288" s="30"/>
      <c r="D288" s="31"/>
      <c r="E288" s="3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30"/>
      <c r="S288" s="31"/>
      <c r="T288" s="1"/>
      <c r="U288" s="1"/>
    </row>
    <row r="289" spans="1:21" x14ac:dyDescent="0.2">
      <c r="A289" s="5"/>
      <c r="B289" s="5"/>
      <c r="C289" s="36"/>
      <c r="D289" s="31"/>
      <c r="E289" s="31"/>
      <c r="F289" s="1"/>
      <c r="G289" s="15"/>
      <c r="H289" s="15"/>
      <c r="I289" s="15"/>
      <c r="J289" s="1"/>
      <c r="K289" s="1"/>
      <c r="L289" s="15"/>
      <c r="M289" s="15"/>
      <c r="N289" s="11"/>
      <c r="O289" s="11"/>
      <c r="P289" s="11"/>
      <c r="Q289" s="11"/>
      <c r="R289" s="37"/>
      <c r="S289" s="31"/>
      <c r="T289" s="11"/>
      <c r="U289" s="11"/>
    </row>
    <row r="290" spans="1:21" x14ac:dyDescent="0.2">
      <c r="A290" s="1"/>
      <c r="B290" s="1"/>
      <c r="C290" s="30"/>
      <c r="D290" s="31"/>
      <c r="E290" s="3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30"/>
      <c r="S290" s="31"/>
      <c r="T290" s="1"/>
      <c r="U290" s="1"/>
    </row>
    <row r="291" spans="1:21" ht="1.7" customHeight="1" x14ac:dyDescent="0.2"/>
  </sheetData>
  <mergeCells count="1111">
    <mergeCell ref="B9:F9"/>
    <mergeCell ref="R9:U9"/>
    <mergeCell ref="B10:F10"/>
    <mergeCell ref="R10:S10"/>
    <mergeCell ref="C11:E11"/>
    <mergeCell ref="J11:K11"/>
    <mergeCell ref="L11:M11"/>
    <mergeCell ref="R11:S11"/>
    <mergeCell ref="A6:J6"/>
    <mergeCell ref="R6:U6"/>
    <mergeCell ref="C7:E7"/>
    <mergeCell ref="G7:Q7"/>
    <mergeCell ref="R7:U7"/>
    <mergeCell ref="B8:F8"/>
    <mergeCell ref="G8:Q8"/>
    <mergeCell ref="R8:U8"/>
    <mergeCell ref="A1:C2"/>
    <mergeCell ref="E1:R1"/>
    <mergeCell ref="C4:E4"/>
    <mergeCell ref="R4:S4"/>
    <mergeCell ref="B5:F5"/>
    <mergeCell ref="G5:Q5"/>
    <mergeCell ref="R5:S5"/>
    <mergeCell ref="C17:E17"/>
    <mergeCell ref="J17:K17"/>
    <mergeCell ref="L17:M17"/>
    <mergeCell ref="R17:S17"/>
    <mergeCell ref="C18:E18"/>
    <mergeCell ref="J18:K18"/>
    <mergeCell ref="L18:M18"/>
    <mergeCell ref="R18:S18"/>
    <mergeCell ref="C15:E15"/>
    <mergeCell ref="J15:K15"/>
    <mergeCell ref="L15:M15"/>
    <mergeCell ref="R15:S15"/>
    <mergeCell ref="C16:E16"/>
    <mergeCell ref="J16:K16"/>
    <mergeCell ref="L16:M16"/>
    <mergeCell ref="R16:S16"/>
    <mergeCell ref="C12:E12"/>
    <mergeCell ref="R12:S12"/>
    <mergeCell ref="A13:O13"/>
    <mergeCell ref="R13:S13"/>
    <mergeCell ref="C14:E14"/>
    <mergeCell ref="J14:K14"/>
    <mergeCell ref="L14:M14"/>
    <mergeCell ref="R14:S14"/>
    <mergeCell ref="C23:E23"/>
    <mergeCell ref="J23:K23"/>
    <mergeCell ref="L23:M23"/>
    <mergeCell ref="R23:S23"/>
    <mergeCell ref="C24:E24"/>
    <mergeCell ref="J24:K24"/>
    <mergeCell ref="L24:M24"/>
    <mergeCell ref="R24:S24"/>
    <mergeCell ref="C21:E21"/>
    <mergeCell ref="J21:K21"/>
    <mergeCell ref="L21:M21"/>
    <mergeCell ref="R21:S21"/>
    <mergeCell ref="C22:E22"/>
    <mergeCell ref="J22:K22"/>
    <mergeCell ref="L22:M22"/>
    <mergeCell ref="R22:S22"/>
    <mergeCell ref="C19:E19"/>
    <mergeCell ref="J19:K19"/>
    <mergeCell ref="L19:M19"/>
    <mergeCell ref="R19:S19"/>
    <mergeCell ref="C20:E20"/>
    <mergeCell ref="J20:K20"/>
    <mergeCell ref="L20:M20"/>
    <mergeCell ref="R20:S20"/>
    <mergeCell ref="C29:E29"/>
    <mergeCell ref="J29:K29"/>
    <mergeCell ref="L29:M29"/>
    <mergeCell ref="R29:S29"/>
    <mergeCell ref="C30:E30"/>
    <mergeCell ref="J30:K30"/>
    <mergeCell ref="L30:M30"/>
    <mergeCell ref="R30:S30"/>
    <mergeCell ref="C27:E27"/>
    <mergeCell ref="J27:K27"/>
    <mergeCell ref="L27:M27"/>
    <mergeCell ref="R27:S27"/>
    <mergeCell ref="C28:E28"/>
    <mergeCell ref="J28:K28"/>
    <mergeCell ref="L28:M28"/>
    <mergeCell ref="R28:S28"/>
    <mergeCell ref="A25:O25"/>
    <mergeCell ref="R25:S25"/>
    <mergeCell ref="C26:E26"/>
    <mergeCell ref="J26:K26"/>
    <mergeCell ref="L26:M26"/>
    <mergeCell ref="R26:S26"/>
    <mergeCell ref="C35:E35"/>
    <mergeCell ref="J35:K35"/>
    <mergeCell ref="L35:M35"/>
    <mergeCell ref="R35:S35"/>
    <mergeCell ref="C36:E36"/>
    <mergeCell ref="J36:K36"/>
    <mergeCell ref="L36:M36"/>
    <mergeCell ref="R36:S36"/>
    <mergeCell ref="C33:E33"/>
    <mergeCell ref="J33:K33"/>
    <mergeCell ref="L33:M33"/>
    <mergeCell ref="R33:S33"/>
    <mergeCell ref="C34:E34"/>
    <mergeCell ref="J34:K34"/>
    <mergeCell ref="L34:M34"/>
    <mergeCell ref="R34:S34"/>
    <mergeCell ref="C31:E31"/>
    <mergeCell ref="J31:K31"/>
    <mergeCell ref="L31:M31"/>
    <mergeCell ref="R31:S31"/>
    <mergeCell ref="C32:E32"/>
    <mergeCell ref="J32:K32"/>
    <mergeCell ref="L32:M32"/>
    <mergeCell ref="R32:S32"/>
    <mergeCell ref="C41:E41"/>
    <mergeCell ref="J41:K41"/>
    <mergeCell ref="L41:M41"/>
    <mergeCell ref="R41:S41"/>
    <mergeCell ref="C42:E42"/>
    <mergeCell ref="J42:K42"/>
    <mergeCell ref="L42:M42"/>
    <mergeCell ref="R42:S42"/>
    <mergeCell ref="C39:E39"/>
    <mergeCell ref="J39:K39"/>
    <mergeCell ref="L39:M39"/>
    <mergeCell ref="R39:S39"/>
    <mergeCell ref="C40:E40"/>
    <mergeCell ref="J40:K40"/>
    <mergeCell ref="L40:M40"/>
    <mergeCell ref="R40:S40"/>
    <mergeCell ref="C37:E37"/>
    <mergeCell ref="J37:K37"/>
    <mergeCell ref="L37:M37"/>
    <mergeCell ref="R37:S37"/>
    <mergeCell ref="C38:E38"/>
    <mergeCell ref="J38:K38"/>
    <mergeCell ref="L38:M38"/>
    <mergeCell ref="R38:S38"/>
    <mergeCell ref="C47:E47"/>
    <mergeCell ref="J47:K47"/>
    <mergeCell ref="L47:M47"/>
    <mergeCell ref="R47:S47"/>
    <mergeCell ref="C48:E48"/>
    <mergeCell ref="J48:K48"/>
    <mergeCell ref="L48:M48"/>
    <mergeCell ref="R48:S48"/>
    <mergeCell ref="C45:E45"/>
    <mergeCell ref="J45:K45"/>
    <mergeCell ref="L45:M45"/>
    <mergeCell ref="R45:S45"/>
    <mergeCell ref="A46:O46"/>
    <mergeCell ref="R46:S46"/>
    <mergeCell ref="C43:E43"/>
    <mergeCell ref="J43:K43"/>
    <mergeCell ref="L43:M43"/>
    <mergeCell ref="R43:S43"/>
    <mergeCell ref="C44:E44"/>
    <mergeCell ref="J44:K44"/>
    <mergeCell ref="L44:M44"/>
    <mergeCell ref="R44:S44"/>
    <mergeCell ref="C53:E53"/>
    <mergeCell ref="J53:K53"/>
    <mergeCell ref="L53:M53"/>
    <mergeCell ref="R53:S53"/>
    <mergeCell ref="C54:E54"/>
    <mergeCell ref="J54:K54"/>
    <mergeCell ref="L54:M54"/>
    <mergeCell ref="R54:S54"/>
    <mergeCell ref="C51:E51"/>
    <mergeCell ref="J51:K51"/>
    <mergeCell ref="L51:M51"/>
    <mergeCell ref="R51:S51"/>
    <mergeCell ref="C52:E52"/>
    <mergeCell ref="J52:K52"/>
    <mergeCell ref="L52:M52"/>
    <mergeCell ref="R52:S52"/>
    <mergeCell ref="C49:E49"/>
    <mergeCell ref="J49:K49"/>
    <mergeCell ref="L49:M49"/>
    <mergeCell ref="R49:S49"/>
    <mergeCell ref="C50:E50"/>
    <mergeCell ref="J50:K50"/>
    <mergeCell ref="L50:M50"/>
    <mergeCell ref="R50:S50"/>
    <mergeCell ref="C59:E59"/>
    <mergeCell ref="J59:K59"/>
    <mergeCell ref="L59:M59"/>
    <mergeCell ref="R59:S59"/>
    <mergeCell ref="C60:E60"/>
    <mergeCell ref="J60:K60"/>
    <mergeCell ref="L60:M60"/>
    <mergeCell ref="R60:S60"/>
    <mergeCell ref="C57:E57"/>
    <mergeCell ref="J57:K57"/>
    <mergeCell ref="L57:M57"/>
    <mergeCell ref="R57:S57"/>
    <mergeCell ref="C58:E58"/>
    <mergeCell ref="J58:K58"/>
    <mergeCell ref="L58:M58"/>
    <mergeCell ref="R58:S58"/>
    <mergeCell ref="C55:E55"/>
    <mergeCell ref="J55:K55"/>
    <mergeCell ref="L55:M55"/>
    <mergeCell ref="R55:S55"/>
    <mergeCell ref="C56:E56"/>
    <mergeCell ref="J56:K56"/>
    <mergeCell ref="L56:M56"/>
    <mergeCell ref="R56:S56"/>
    <mergeCell ref="C65:E65"/>
    <mergeCell ref="J65:K65"/>
    <mergeCell ref="L65:M65"/>
    <mergeCell ref="R65:S65"/>
    <mergeCell ref="C66:E66"/>
    <mergeCell ref="J66:K66"/>
    <mergeCell ref="L66:M66"/>
    <mergeCell ref="R66:S66"/>
    <mergeCell ref="C63:E63"/>
    <mergeCell ref="J63:K63"/>
    <mergeCell ref="L63:M63"/>
    <mergeCell ref="R63:S63"/>
    <mergeCell ref="C64:E64"/>
    <mergeCell ref="J64:K64"/>
    <mergeCell ref="L64:M64"/>
    <mergeCell ref="R64:S64"/>
    <mergeCell ref="C61:E61"/>
    <mergeCell ref="J61:K61"/>
    <mergeCell ref="L61:M61"/>
    <mergeCell ref="R61:S61"/>
    <mergeCell ref="C62:E62"/>
    <mergeCell ref="J62:K62"/>
    <mergeCell ref="L62:M62"/>
    <mergeCell ref="R62:S62"/>
    <mergeCell ref="C71:E71"/>
    <mergeCell ref="J71:K71"/>
    <mergeCell ref="L71:M71"/>
    <mergeCell ref="R71:S71"/>
    <mergeCell ref="C72:E72"/>
    <mergeCell ref="J72:K72"/>
    <mergeCell ref="L72:M72"/>
    <mergeCell ref="R72:S72"/>
    <mergeCell ref="C69:E69"/>
    <mergeCell ref="J69:K69"/>
    <mergeCell ref="L69:M69"/>
    <mergeCell ref="R69:S69"/>
    <mergeCell ref="C70:E70"/>
    <mergeCell ref="J70:K70"/>
    <mergeCell ref="L70:M70"/>
    <mergeCell ref="R70:S70"/>
    <mergeCell ref="C67:E67"/>
    <mergeCell ref="J67:K67"/>
    <mergeCell ref="L67:M67"/>
    <mergeCell ref="R67:S67"/>
    <mergeCell ref="C68:E68"/>
    <mergeCell ref="J68:K68"/>
    <mergeCell ref="L68:M68"/>
    <mergeCell ref="R68:S68"/>
    <mergeCell ref="C77:E77"/>
    <mergeCell ref="J77:K77"/>
    <mergeCell ref="L77:M77"/>
    <mergeCell ref="R77:S77"/>
    <mergeCell ref="C78:E78"/>
    <mergeCell ref="J78:K78"/>
    <mergeCell ref="L78:M78"/>
    <mergeCell ref="R78:S78"/>
    <mergeCell ref="C75:E75"/>
    <mergeCell ref="J75:K75"/>
    <mergeCell ref="L75:M75"/>
    <mergeCell ref="R75:S75"/>
    <mergeCell ref="C76:E76"/>
    <mergeCell ref="J76:K76"/>
    <mergeCell ref="L76:M76"/>
    <mergeCell ref="R76:S76"/>
    <mergeCell ref="C73:E73"/>
    <mergeCell ref="J73:K73"/>
    <mergeCell ref="L73:M73"/>
    <mergeCell ref="R73:S73"/>
    <mergeCell ref="C74:E74"/>
    <mergeCell ref="J74:K74"/>
    <mergeCell ref="L74:M74"/>
    <mergeCell ref="R74:S74"/>
    <mergeCell ref="C83:E83"/>
    <mergeCell ref="J83:K83"/>
    <mergeCell ref="L83:M83"/>
    <mergeCell ref="R83:S83"/>
    <mergeCell ref="C84:E84"/>
    <mergeCell ref="J84:K84"/>
    <mergeCell ref="L84:M84"/>
    <mergeCell ref="R84:S84"/>
    <mergeCell ref="C81:E81"/>
    <mergeCell ref="J81:K81"/>
    <mergeCell ref="L81:M81"/>
    <mergeCell ref="R81:S81"/>
    <mergeCell ref="C82:E82"/>
    <mergeCell ref="J82:K82"/>
    <mergeCell ref="L82:M82"/>
    <mergeCell ref="R82:S82"/>
    <mergeCell ref="C79:E79"/>
    <mergeCell ref="J79:K79"/>
    <mergeCell ref="L79:M79"/>
    <mergeCell ref="R79:S79"/>
    <mergeCell ref="C80:E80"/>
    <mergeCell ref="J80:K80"/>
    <mergeCell ref="L80:M80"/>
    <mergeCell ref="R80:S80"/>
    <mergeCell ref="C89:E89"/>
    <mergeCell ref="J89:K89"/>
    <mergeCell ref="L89:M89"/>
    <mergeCell ref="R89:S89"/>
    <mergeCell ref="C90:E90"/>
    <mergeCell ref="J90:K90"/>
    <mergeCell ref="L90:M90"/>
    <mergeCell ref="R90:S90"/>
    <mergeCell ref="C87:E87"/>
    <mergeCell ref="J87:K87"/>
    <mergeCell ref="L87:M87"/>
    <mergeCell ref="R87:S87"/>
    <mergeCell ref="C88:E88"/>
    <mergeCell ref="J88:K88"/>
    <mergeCell ref="L88:M88"/>
    <mergeCell ref="R88:S88"/>
    <mergeCell ref="C85:E85"/>
    <mergeCell ref="J85:K85"/>
    <mergeCell ref="L85:M85"/>
    <mergeCell ref="R85:S85"/>
    <mergeCell ref="C86:E86"/>
    <mergeCell ref="J86:K86"/>
    <mergeCell ref="L86:M86"/>
    <mergeCell ref="R86:S86"/>
    <mergeCell ref="C95:E95"/>
    <mergeCell ref="J95:K95"/>
    <mergeCell ref="L95:M95"/>
    <mergeCell ref="R95:S95"/>
    <mergeCell ref="C96:E96"/>
    <mergeCell ref="J96:K96"/>
    <mergeCell ref="L96:M96"/>
    <mergeCell ref="R96:S96"/>
    <mergeCell ref="C93:E93"/>
    <mergeCell ref="J93:K93"/>
    <mergeCell ref="L93:M93"/>
    <mergeCell ref="R93:S93"/>
    <mergeCell ref="C94:E94"/>
    <mergeCell ref="J94:K94"/>
    <mergeCell ref="L94:M94"/>
    <mergeCell ref="R94:S94"/>
    <mergeCell ref="C91:E91"/>
    <mergeCell ref="J91:K91"/>
    <mergeCell ref="L91:M91"/>
    <mergeCell ref="R91:S91"/>
    <mergeCell ref="C92:E92"/>
    <mergeCell ref="J92:K92"/>
    <mergeCell ref="L92:M92"/>
    <mergeCell ref="R92:S92"/>
    <mergeCell ref="C101:E101"/>
    <mergeCell ref="J101:K101"/>
    <mergeCell ref="L101:M101"/>
    <mergeCell ref="R101:S101"/>
    <mergeCell ref="C102:E102"/>
    <mergeCell ref="J102:K102"/>
    <mergeCell ref="L102:M102"/>
    <mergeCell ref="R102:S102"/>
    <mergeCell ref="C99:E99"/>
    <mergeCell ref="J99:K99"/>
    <mergeCell ref="L99:M99"/>
    <mergeCell ref="R99:S99"/>
    <mergeCell ref="C100:E100"/>
    <mergeCell ref="J100:K100"/>
    <mergeCell ref="L100:M100"/>
    <mergeCell ref="R100:S100"/>
    <mergeCell ref="C97:E97"/>
    <mergeCell ref="J97:K97"/>
    <mergeCell ref="L97:M97"/>
    <mergeCell ref="R97:S97"/>
    <mergeCell ref="C98:E98"/>
    <mergeCell ref="J98:K98"/>
    <mergeCell ref="L98:M98"/>
    <mergeCell ref="R98:S98"/>
    <mergeCell ref="C107:E107"/>
    <mergeCell ref="J107:K107"/>
    <mergeCell ref="L107:M107"/>
    <mergeCell ref="R107:S107"/>
    <mergeCell ref="C108:E108"/>
    <mergeCell ref="J108:K108"/>
    <mergeCell ref="L108:M108"/>
    <mergeCell ref="R108:S108"/>
    <mergeCell ref="C105:E105"/>
    <mergeCell ref="J105:K105"/>
    <mergeCell ref="L105:M105"/>
    <mergeCell ref="R105:S105"/>
    <mergeCell ref="C106:E106"/>
    <mergeCell ref="J106:K106"/>
    <mergeCell ref="L106:M106"/>
    <mergeCell ref="R106:S106"/>
    <mergeCell ref="C103:E103"/>
    <mergeCell ref="J103:K103"/>
    <mergeCell ref="L103:M103"/>
    <mergeCell ref="R103:S103"/>
    <mergeCell ref="C104:E104"/>
    <mergeCell ref="J104:K104"/>
    <mergeCell ref="L104:M104"/>
    <mergeCell ref="R104:S104"/>
    <mergeCell ref="C113:E113"/>
    <mergeCell ref="J113:K113"/>
    <mergeCell ref="L113:M113"/>
    <mergeCell ref="R113:S113"/>
    <mergeCell ref="C114:E114"/>
    <mergeCell ref="J114:K114"/>
    <mergeCell ref="L114:M114"/>
    <mergeCell ref="R114:S114"/>
    <mergeCell ref="C111:E111"/>
    <mergeCell ref="J111:K111"/>
    <mergeCell ref="L111:M111"/>
    <mergeCell ref="R111:S111"/>
    <mergeCell ref="C112:E112"/>
    <mergeCell ref="J112:K112"/>
    <mergeCell ref="L112:M112"/>
    <mergeCell ref="R112:S112"/>
    <mergeCell ref="C109:E109"/>
    <mergeCell ref="J109:K109"/>
    <mergeCell ref="L109:M109"/>
    <mergeCell ref="R109:S109"/>
    <mergeCell ref="C110:E110"/>
    <mergeCell ref="J110:K110"/>
    <mergeCell ref="L110:M110"/>
    <mergeCell ref="R110:S110"/>
    <mergeCell ref="C119:E119"/>
    <mergeCell ref="J119:K119"/>
    <mergeCell ref="L119:M119"/>
    <mergeCell ref="R119:S119"/>
    <mergeCell ref="C120:E120"/>
    <mergeCell ref="J120:K120"/>
    <mergeCell ref="L120:M120"/>
    <mergeCell ref="R120:S120"/>
    <mergeCell ref="C117:E117"/>
    <mergeCell ref="J117:K117"/>
    <mergeCell ref="L117:M117"/>
    <mergeCell ref="R117:S117"/>
    <mergeCell ref="C118:E118"/>
    <mergeCell ref="J118:K118"/>
    <mergeCell ref="L118:M118"/>
    <mergeCell ref="R118:S118"/>
    <mergeCell ref="C115:E115"/>
    <mergeCell ref="J115:K115"/>
    <mergeCell ref="L115:M115"/>
    <mergeCell ref="R115:S115"/>
    <mergeCell ref="C116:E116"/>
    <mergeCell ref="J116:K116"/>
    <mergeCell ref="L116:M116"/>
    <mergeCell ref="R116:S116"/>
    <mergeCell ref="C125:E125"/>
    <mergeCell ref="J125:K125"/>
    <mergeCell ref="L125:M125"/>
    <mergeCell ref="R125:S125"/>
    <mergeCell ref="C126:E126"/>
    <mergeCell ref="J126:K126"/>
    <mergeCell ref="L126:M126"/>
    <mergeCell ref="R126:S126"/>
    <mergeCell ref="C123:E123"/>
    <mergeCell ref="J123:K123"/>
    <mergeCell ref="L123:M123"/>
    <mergeCell ref="R123:S123"/>
    <mergeCell ref="C124:E124"/>
    <mergeCell ref="J124:K124"/>
    <mergeCell ref="L124:M124"/>
    <mergeCell ref="R124:S124"/>
    <mergeCell ref="C121:E121"/>
    <mergeCell ref="J121:K121"/>
    <mergeCell ref="L121:M121"/>
    <mergeCell ref="R121:S121"/>
    <mergeCell ref="C122:E122"/>
    <mergeCell ref="J122:K122"/>
    <mergeCell ref="L122:M122"/>
    <mergeCell ref="R122:S122"/>
    <mergeCell ref="C131:E131"/>
    <mergeCell ref="J131:K131"/>
    <mergeCell ref="L131:M131"/>
    <mergeCell ref="R131:S131"/>
    <mergeCell ref="C132:E132"/>
    <mergeCell ref="J132:K132"/>
    <mergeCell ref="L132:M132"/>
    <mergeCell ref="R132:S132"/>
    <mergeCell ref="C129:E129"/>
    <mergeCell ref="J129:K129"/>
    <mergeCell ref="L129:M129"/>
    <mergeCell ref="R129:S129"/>
    <mergeCell ref="C130:E130"/>
    <mergeCell ref="J130:K130"/>
    <mergeCell ref="L130:M130"/>
    <mergeCell ref="R130:S130"/>
    <mergeCell ref="C127:E127"/>
    <mergeCell ref="J127:K127"/>
    <mergeCell ref="L127:M127"/>
    <mergeCell ref="R127:S127"/>
    <mergeCell ref="C128:E128"/>
    <mergeCell ref="J128:K128"/>
    <mergeCell ref="L128:M128"/>
    <mergeCell ref="R128:S128"/>
    <mergeCell ref="C137:E137"/>
    <mergeCell ref="J137:K137"/>
    <mergeCell ref="L137:M137"/>
    <mergeCell ref="R137:S137"/>
    <mergeCell ref="C138:E138"/>
    <mergeCell ref="J138:K138"/>
    <mergeCell ref="L138:M138"/>
    <mergeCell ref="R138:S138"/>
    <mergeCell ref="C135:E135"/>
    <mergeCell ref="J135:K135"/>
    <mergeCell ref="L135:M135"/>
    <mergeCell ref="R135:S135"/>
    <mergeCell ref="C136:E136"/>
    <mergeCell ref="J136:K136"/>
    <mergeCell ref="L136:M136"/>
    <mergeCell ref="R136:S136"/>
    <mergeCell ref="C133:E133"/>
    <mergeCell ref="J133:K133"/>
    <mergeCell ref="L133:M133"/>
    <mergeCell ref="R133:S133"/>
    <mergeCell ref="C134:E134"/>
    <mergeCell ref="J134:K134"/>
    <mergeCell ref="L134:M134"/>
    <mergeCell ref="R134:S134"/>
    <mergeCell ref="C143:E143"/>
    <mergeCell ref="J143:K143"/>
    <mergeCell ref="L143:M143"/>
    <mergeCell ref="R143:S143"/>
    <mergeCell ref="C144:E144"/>
    <mergeCell ref="J144:K144"/>
    <mergeCell ref="L144:M144"/>
    <mergeCell ref="R144:S144"/>
    <mergeCell ref="C141:E141"/>
    <mergeCell ref="J141:K141"/>
    <mergeCell ref="L141:M141"/>
    <mergeCell ref="R141:S141"/>
    <mergeCell ref="C142:E142"/>
    <mergeCell ref="J142:K142"/>
    <mergeCell ref="L142:M142"/>
    <mergeCell ref="R142:S142"/>
    <mergeCell ref="C139:E139"/>
    <mergeCell ref="J139:K139"/>
    <mergeCell ref="L139:M139"/>
    <mergeCell ref="R139:S139"/>
    <mergeCell ref="C140:E140"/>
    <mergeCell ref="J140:K140"/>
    <mergeCell ref="L140:M140"/>
    <mergeCell ref="R140:S140"/>
    <mergeCell ref="C149:E149"/>
    <mergeCell ref="J149:K149"/>
    <mergeCell ref="L149:M149"/>
    <mergeCell ref="R149:S149"/>
    <mergeCell ref="C150:E150"/>
    <mergeCell ref="J150:K150"/>
    <mergeCell ref="L150:M150"/>
    <mergeCell ref="R150:S150"/>
    <mergeCell ref="C147:E147"/>
    <mergeCell ref="J147:K147"/>
    <mergeCell ref="L147:M147"/>
    <mergeCell ref="R147:S147"/>
    <mergeCell ref="C148:E148"/>
    <mergeCell ref="J148:K148"/>
    <mergeCell ref="L148:M148"/>
    <mergeCell ref="R148:S148"/>
    <mergeCell ref="C145:E145"/>
    <mergeCell ref="J145:K145"/>
    <mergeCell ref="L145:M145"/>
    <mergeCell ref="R145:S145"/>
    <mergeCell ref="C146:E146"/>
    <mergeCell ref="J146:K146"/>
    <mergeCell ref="L146:M146"/>
    <mergeCell ref="R146:S146"/>
    <mergeCell ref="C155:E155"/>
    <mergeCell ref="J155:K155"/>
    <mergeCell ref="L155:M155"/>
    <mergeCell ref="R155:S155"/>
    <mergeCell ref="C156:E156"/>
    <mergeCell ref="J156:K156"/>
    <mergeCell ref="L156:M156"/>
    <mergeCell ref="R156:S156"/>
    <mergeCell ref="C153:E153"/>
    <mergeCell ref="J153:K153"/>
    <mergeCell ref="L153:M153"/>
    <mergeCell ref="R153:S153"/>
    <mergeCell ref="C154:E154"/>
    <mergeCell ref="J154:K154"/>
    <mergeCell ref="L154:M154"/>
    <mergeCell ref="R154:S154"/>
    <mergeCell ref="A151:O151"/>
    <mergeCell ref="R151:S151"/>
    <mergeCell ref="C152:E152"/>
    <mergeCell ref="J152:K152"/>
    <mergeCell ref="L152:M152"/>
    <mergeCell ref="R152:S152"/>
    <mergeCell ref="C161:E161"/>
    <mergeCell ref="J161:K161"/>
    <mergeCell ref="L161:M161"/>
    <mergeCell ref="R161:S161"/>
    <mergeCell ref="C162:E162"/>
    <mergeCell ref="J162:K162"/>
    <mergeCell ref="L162:M162"/>
    <mergeCell ref="R162:S162"/>
    <mergeCell ref="C159:E159"/>
    <mergeCell ref="J159:K159"/>
    <mergeCell ref="L159:M159"/>
    <mergeCell ref="R159:S159"/>
    <mergeCell ref="C160:E160"/>
    <mergeCell ref="J160:K160"/>
    <mergeCell ref="L160:M160"/>
    <mergeCell ref="R160:S160"/>
    <mergeCell ref="C157:E157"/>
    <mergeCell ref="J157:K157"/>
    <mergeCell ref="L157:M157"/>
    <mergeCell ref="R157:S157"/>
    <mergeCell ref="A158:O158"/>
    <mergeCell ref="R158:S158"/>
    <mergeCell ref="C167:E167"/>
    <mergeCell ref="J167:K167"/>
    <mergeCell ref="L167:M167"/>
    <mergeCell ref="R167:S167"/>
    <mergeCell ref="C168:E168"/>
    <mergeCell ref="J168:K168"/>
    <mergeCell ref="L168:M168"/>
    <mergeCell ref="R168:S168"/>
    <mergeCell ref="C165:E165"/>
    <mergeCell ref="J165:K165"/>
    <mergeCell ref="L165:M165"/>
    <mergeCell ref="R165:S165"/>
    <mergeCell ref="C166:E166"/>
    <mergeCell ref="J166:K166"/>
    <mergeCell ref="L166:M166"/>
    <mergeCell ref="R166:S166"/>
    <mergeCell ref="C163:E163"/>
    <mergeCell ref="J163:K163"/>
    <mergeCell ref="L163:M163"/>
    <mergeCell ref="R163:S163"/>
    <mergeCell ref="C164:E164"/>
    <mergeCell ref="J164:K164"/>
    <mergeCell ref="L164:M164"/>
    <mergeCell ref="R164:S164"/>
    <mergeCell ref="C173:E173"/>
    <mergeCell ref="J173:K173"/>
    <mergeCell ref="L173:M173"/>
    <mergeCell ref="R173:S173"/>
    <mergeCell ref="C174:E174"/>
    <mergeCell ref="J174:K174"/>
    <mergeCell ref="L174:M174"/>
    <mergeCell ref="R174:S174"/>
    <mergeCell ref="A171:O171"/>
    <mergeCell ref="R171:S171"/>
    <mergeCell ref="C172:E172"/>
    <mergeCell ref="J172:K172"/>
    <mergeCell ref="L172:M172"/>
    <mergeCell ref="R172:S172"/>
    <mergeCell ref="C169:E169"/>
    <mergeCell ref="J169:K169"/>
    <mergeCell ref="L169:M169"/>
    <mergeCell ref="R169:S169"/>
    <mergeCell ref="C170:E170"/>
    <mergeCell ref="J170:K170"/>
    <mergeCell ref="L170:M170"/>
    <mergeCell ref="R170:S170"/>
    <mergeCell ref="C179:E179"/>
    <mergeCell ref="J179:K179"/>
    <mergeCell ref="L179:M179"/>
    <mergeCell ref="R179:S179"/>
    <mergeCell ref="C180:E180"/>
    <mergeCell ref="J180:K180"/>
    <mergeCell ref="L180:M180"/>
    <mergeCell ref="R180:S180"/>
    <mergeCell ref="C177:E177"/>
    <mergeCell ref="J177:K177"/>
    <mergeCell ref="L177:M177"/>
    <mergeCell ref="R177:S177"/>
    <mergeCell ref="C178:E178"/>
    <mergeCell ref="J178:K178"/>
    <mergeCell ref="L178:M178"/>
    <mergeCell ref="R178:S178"/>
    <mergeCell ref="C175:E175"/>
    <mergeCell ref="J175:K175"/>
    <mergeCell ref="L175:M175"/>
    <mergeCell ref="R175:S175"/>
    <mergeCell ref="C176:E176"/>
    <mergeCell ref="J176:K176"/>
    <mergeCell ref="L176:M176"/>
    <mergeCell ref="R176:S176"/>
    <mergeCell ref="C185:E185"/>
    <mergeCell ref="J185:K185"/>
    <mergeCell ref="L185:M185"/>
    <mergeCell ref="R185:S185"/>
    <mergeCell ref="C186:E186"/>
    <mergeCell ref="J186:K186"/>
    <mergeCell ref="L186:M186"/>
    <mergeCell ref="R186:S186"/>
    <mergeCell ref="C183:E183"/>
    <mergeCell ref="J183:K183"/>
    <mergeCell ref="L183:M183"/>
    <mergeCell ref="R183:S183"/>
    <mergeCell ref="C184:E184"/>
    <mergeCell ref="J184:K184"/>
    <mergeCell ref="L184:M184"/>
    <mergeCell ref="R184:S184"/>
    <mergeCell ref="C181:E181"/>
    <mergeCell ref="J181:K181"/>
    <mergeCell ref="L181:M181"/>
    <mergeCell ref="R181:S181"/>
    <mergeCell ref="C182:E182"/>
    <mergeCell ref="J182:K182"/>
    <mergeCell ref="L182:M182"/>
    <mergeCell ref="R182:S182"/>
    <mergeCell ref="C191:E191"/>
    <mergeCell ref="J191:K191"/>
    <mergeCell ref="L191:M191"/>
    <mergeCell ref="R191:S191"/>
    <mergeCell ref="C192:E192"/>
    <mergeCell ref="J192:K192"/>
    <mergeCell ref="L192:M192"/>
    <mergeCell ref="R192:S192"/>
    <mergeCell ref="C189:E189"/>
    <mergeCell ref="J189:K189"/>
    <mergeCell ref="L189:M189"/>
    <mergeCell ref="R189:S189"/>
    <mergeCell ref="C190:E190"/>
    <mergeCell ref="J190:K190"/>
    <mergeCell ref="L190:M190"/>
    <mergeCell ref="R190:S190"/>
    <mergeCell ref="C187:E187"/>
    <mergeCell ref="J187:K187"/>
    <mergeCell ref="L187:M187"/>
    <mergeCell ref="R187:S187"/>
    <mergeCell ref="C188:E188"/>
    <mergeCell ref="J188:K188"/>
    <mergeCell ref="L188:M188"/>
    <mergeCell ref="R188:S188"/>
    <mergeCell ref="C197:E197"/>
    <mergeCell ref="J197:K197"/>
    <mergeCell ref="L197:M197"/>
    <mergeCell ref="R197:S197"/>
    <mergeCell ref="C198:E198"/>
    <mergeCell ref="J198:K198"/>
    <mergeCell ref="L198:M198"/>
    <mergeCell ref="R198:S198"/>
    <mergeCell ref="C195:E195"/>
    <mergeCell ref="J195:K195"/>
    <mergeCell ref="L195:M195"/>
    <mergeCell ref="R195:S195"/>
    <mergeCell ref="C196:E196"/>
    <mergeCell ref="J196:K196"/>
    <mergeCell ref="L196:M196"/>
    <mergeCell ref="R196:S196"/>
    <mergeCell ref="C193:E193"/>
    <mergeCell ref="J193:K193"/>
    <mergeCell ref="L193:M193"/>
    <mergeCell ref="R193:S193"/>
    <mergeCell ref="C194:E194"/>
    <mergeCell ref="J194:K194"/>
    <mergeCell ref="L194:M194"/>
    <mergeCell ref="R194:S194"/>
    <mergeCell ref="C203:E203"/>
    <mergeCell ref="J203:K203"/>
    <mergeCell ref="L203:M203"/>
    <mergeCell ref="R203:S203"/>
    <mergeCell ref="C204:E204"/>
    <mergeCell ref="J204:K204"/>
    <mergeCell ref="L204:M204"/>
    <mergeCell ref="R204:S204"/>
    <mergeCell ref="C201:E201"/>
    <mergeCell ref="J201:K201"/>
    <mergeCell ref="L201:M201"/>
    <mergeCell ref="R201:S201"/>
    <mergeCell ref="C202:E202"/>
    <mergeCell ref="J202:K202"/>
    <mergeCell ref="L202:M202"/>
    <mergeCell ref="R202:S202"/>
    <mergeCell ref="C199:E199"/>
    <mergeCell ref="J199:K199"/>
    <mergeCell ref="L199:M199"/>
    <mergeCell ref="R199:S199"/>
    <mergeCell ref="C200:E200"/>
    <mergeCell ref="J200:K200"/>
    <mergeCell ref="L200:M200"/>
    <mergeCell ref="R200:S200"/>
    <mergeCell ref="C209:E209"/>
    <mergeCell ref="J209:K209"/>
    <mergeCell ref="L209:M209"/>
    <mergeCell ref="R209:S209"/>
    <mergeCell ref="C210:E210"/>
    <mergeCell ref="J210:K210"/>
    <mergeCell ref="L210:M210"/>
    <mergeCell ref="R210:S210"/>
    <mergeCell ref="C207:E207"/>
    <mergeCell ref="J207:K207"/>
    <mergeCell ref="L207:M207"/>
    <mergeCell ref="R207:S207"/>
    <mergeCell ref="C208:E208"/>
    <mergeCell ref="J208:K208"/>
    <mergeCell ref="L208:M208"/>
    <mergeCell ref="R208:S208"/>
    <mergeCell ref="C205:E205"/>
    <mergeCell ref="J205:K205"/>
    <mergeCell ref="L205:M205"/>
    <mergeCell ref="R205:S205"/>
    <mergeCell ref="C206:E206"/>
    <mergeCell ref="J206:K206"/>
    <mergeCell ref="L206:M206"/>
    <mergeCell ref="R206:S206"/>
    <mergeCell ref="C215:E215"/>
    <mergeCell ref="J215:K215"/>
    <mergeCell ref="L215:M215"/>
    <mergeCell ref="R215:S215"/>
    <mergeCell ref="C216:E216"/>
    <mergeCell ref="J216:K216"/>
    <mergeCell ref="L216:M216"/>
    <mergeCell ref="R216:S216"/>
    <mergeCell ref="C213:E213"/>
    <mergeCell ref="J213:K213"/>
    <mergeCell ref="L213:M213"/>
    <mergeCell ref="R213:S213"/>
    <mergeCell ref="C214:E214"/>
    <mergeCell ref="J214:K214"/>
    <mergeCell ref="L214:M214"/>
    <mergeCell ref="R214:S214"/>
    <mergeCell ref="C211:E211"/>
    <mergeCell ref="J211:K211"/>
    <mergeCell ref="L211:M211"/>
    <mergeCell ref="R211:S211"/>
    <mergeCell ref="C212:E212"/>
    <mergeCell ref="J212:K212"/>
    <mergeCell ref="L212:M212"/>
    <mergeCell ref="R212:S212"/>
    <mergeCell ref="C221:E221"/>
    <mergeCell ref="J221:K221"/>
    <mergeCell ref="L221:M221"/>
    <mergeCell ref="R221:S221"/>
    <mergeCell ref="A222:O222"/>
    <mergeCell ref="R222:S222"/>
    <mergeCell ref="C219:E219"/>
    <mergeCell ref="J219:K219"/>
    <mergeCell ref="L219:M219"/>
    <mergeCell ref="R219:S219"/>
    <mergeCell ref="C220:E220"/>
    <mergeCell ref="J220:K220"/>
    <mergeCell ref="L220:M220"/>
    <mergeCell ref="R220:S220"/>
    <mergeCell ref="C217:E217"/>
    <mergeCell ref="J217:K217"/>
    <mergeCell ref="L217:M217"/>
    <mergeCell ref="R217:S217"/>
    <mergeCell ref="A218:O218"/>
    <mergeCell ref="R218:S218"/>
    <mergeCell ref="C227:E227"/>
    <mergeCell ref="J227:K227"/>
    <mergeCell ref="L227:M227"/>
    <mergeCell ref="R227:S227"/>
    <mergeCell ref="C228:E228"/>
    <mergeCell ref="J228:K228"/>
    <mergeCell ref="L228:M228"/>
    <mergeCell ref="R228:S228"/>
    <mergeCell ref="C225:E225"/>
    <mergeCell ref="J225:K225"/>
    <mergeCell ref="L225:M225"/>
    <mergeCell ref="R225:S225"/>
    <mergeCell ref="C226:E226"/>
    <mergeCell ref="J226:K226"/>
    <mergeCell ref="L226:M226"/>
    <mergeCell ref="R226:S226"/>
    <mergeCell ref="C223:E223"/>
    <mergeCell ref="J223:K223"/>
    <mergeCell ref="L223:M223"/>
    <mergeCell ref="R223:S223"/>
    <mergeCell ref="C224:E224"/>
    <mergeCell ref="J224:K224"/>
    <mergeCell ref="L224:M224"/>
    <mergeCell ref="R224:S224"/>
    <mergeCell ref="C233:E233"/>
    <mergeCell ref="J233:K233"/>
    <mergeCell ref="L233:M233"/>
    <mergeCell ref="R233:S233"/>
    <mergeCell ref="C234:E234"/>
    <mergeCell ref="J234:K234"/>
    <mergeCell ref="L234:M234"/>
    <mergeCell ref="R234:S234"/>
    <mergeCell ref="C231:E231"/>
    <mergeCell ref="J231:K231"/>
    <mergeCell ref="L231:M231"/>
    <mergeCell ref="R231:S231"/>
    <mergeCell ref="C232:E232"/>
    <mergeCell ref="J232:K232"/>
    <mergeCell ref="L232:M232"/>
    <mergeCell ref="R232:S232"/>
    <mergeCell ref="C229:E229"/>
    <mergeCell ref="J229:K229"/>
    <mergeCell ref="L229:M229"/>
    <mergeCell ref="R229:S229"/>
    <mergeCell ref="C230:E230"/>
    <mergeCell ref="J230:K230"/>
    <mergeCell ref="L230:M230"/>
    <mergeCell ref="R230:S230"/>
    <mergeCell ref="C239:E239"/>
    <mergeCell ref="J239:K239"/>
    <mergeCell ref="L239:M239"/>
    <mergeCell ref="R239:S239"/>
    <mergeCell ref="C240:E240"/>
    <mergeCell ref="J240:K240"/>
    <mergeCell ref="L240:M240"/>
    <mergeCell ref="R240:S240"/>
    <mergeCell ref="C237:E237"/>
    <mergeCell ref="J237:K237"/>
    <mergeCell ref="L237:M237"/>
    <mergeCell ref="R237:S237"/>
    <mergeCell ref="C238:E238"/>
    <mergeCell ref="J238:K238"/>
    <mergeCell ref="L238:M238"/>
    <mergeCell ref="R238:S238"/>
    <mergeCell ref="C235:E235"/>
    <mergeCell ref="J235:K235"/>
    <mergeCell ref="L235:M235"/>
    <mergeCell ref="R235:S235"/>
    <mergeCell ref="C236:E236"/>
    <mergeCell ref="J236:K236"/>
    <mergeCell ref="L236:M236"/>
    <mergeCell ref="R236:S236"/>
    <mergeCell ref="C245:E245"/>
    <mergeCell ref="J245:K245"/>
    <mergeCell ref="L245:M245"/>
    <mergeCell ref="R245:S245"/>
    <mergeCell ref="C246:E246"/>
    <mergeCell ref="J246:K246"/>
    <mergeCell ref="L246:M246"/>
    <mergeCell ref="R246:S246"/>
    <mergeCell ref="C243:E243"/>
    <mergeCell ref="J243:K243"/>
    <mergeCell ref="L243:M243"/>
    <mergeCell ref="R243:S243"/>
    <mergeCell ref="C244:E244"/>
    <mergeCell ref="J244:K244"/>
    <mergeCell ref="L244:M244"/>
    <mergeCell ref="R244:S244"/>
    <mergeCell ref="C241:E241"/>
    <mergeCell ref="J241:K241"/>
    <mergeCell ref="L241:M241"/>
    <mergeCell ref="R241:S241"/>
    <mergeCell ref="C242:E242"/>
    <mergeCell ref="J242:K242"/>
    <mergeCell ref="L242:M242"/>
    <mergeCell ref="R242:S242"/>
    <mergeCell ref="C251:E251"/>
    <mergeCell ref="J251:K251"/>
    <mergeCell ref="L251:M251"/>
    <mergeCell ref="R251:S251"/>
    <mergeCell ref="C252:E252"/>
    <mergeCell ref="J252:K252"/>
    <mergeCell ref="L252:M252"/>
    <mergeCell ref="R252:S252"/>
    <mergeCell ref="C249:E249"/>
    <mergeCell ref="J249:K249"/>
    <mergeCell ref="L249:M249"/>
    <mergeCell ref="R249:S249"/>
    <mergeCell ref="C250:E250"/>
    <mergeCell ref="J250:K250"/>
    <mergeCell ref="L250:M250"/>
    <mergeCell ref="R250:S250"/>
    <mergeCell ref="C247:E247"/>
    <mergeCell ref="J247:K247"/>
    <mergeCell ref="L247:M247"/>
    <mergeCell ref="R247:S247"/>
    <mergeCell ref="C248:E248"/>
    <mergeCell ref="J248:K248"/>
    <mergeCell ref="L248:M248"/>
    <mergeCell ref="R248:S248"/>
    <mergeCell ref="C257:E257"/>
    <mergeCell ref="J257:K257"/>
    <mergeCell ref="L257:M257"/>
    <mergeCell ref="R257:S257"/>
    <mergeCell ref="C258:E258"/>
    <mergeCell ref="J258:K258"/>
    <mergeCell ref="L258:M258"/>
    <mergeCell ref="R258:S258"/>
    <mergeCell ref="C255:E255"/>
    <mergeCell ref="J255:K255"/>
    <mergeCell ref="L255:M255"/>
    <mergeCell ref="R255:S255"/>
    <mergeCell ref="C256:E256"/>
    <mergeCell ref="J256:K256"/>
    <mergeCell ref="L256:M256"/>
    <mergeCell ref="R256:S256"/>
    <mergeCell ref="C253:E253"/>
    <mergeCell ref="J253:K253"/>
    <mergeCell ref="L253:M253"/>
    <mergeCell ref="R253:S253"/>
    <mergeCell ref="C254:E254"/>
    <mergeCell ref="J254:K254"/>
    <mergeCell ref="L254:M254"/>
    <mergeCell ref="R254:S254"/>
    <mergeCell ref="C263:E263"/>
    <mergeCell ref="J263:K263"/>
    <mergeCell ref="L263:M263"/>
    <mergeCell ref="R263:S263"/>
    <mergeCell ref="C264:E264"/>
    <mergeCell ref="J264:K264"/>
    <mergeCell ref="L264:M264"/>
    <mergeCell ref="R264:S264"/>
    <mergeCell ref="C261:E261"/>
    <mergeCell ref="J261:K261"/>
    <mergeCell ref="L261:M261"/>
    <mergeCell ref="R261:S261"/>
    <mergeCell ref="C262:E262"/>
    <mergeCell ref="J262:K262"/>
    <mergeCell ref="L262:M262"/>
    <mergeCell ref="R262:S262"/>
    <mergeCell ref="C259:E259"/>
    <mergeCell ref="J259:K259"/>
    <mergeCell ref="L259:M259"/>
    <mergeCell ref="R259:S259"/>
    <mergeCell ref="C260:E260"/>
    <mergeCell ref="J260:K260"/>
    <mergeCell ref="L260:M260"/>
    <mergeCell ref="R260:S260"/>
    <mergeCell ref="C269:E269"/>
    <mergeCell ref="J269:K269"/>
    <mergeCell ref="L269:M269"/>
    <mergeCell ref="R269:S269"/>
    <mergeCell ref="C270:E270"/>
    <mergeCell ref="J270:K270"/>
    <mergeCell ref="L270:M270"/>
    <mergeCell ref="R270:S270"/>
    <mergeCell ref="C267:E267"/>
    <mergeCell ref="J267:K267"/>
    <mergeCell ref="L267:M267"/>
    <mergeCell ref="R267:S267"/>
    <mergeCell ref="C268:E268"/>
    <mergeCell ref="J268:K268"/>
    <mergeCell ref="L268:M268"/>
    <mergeCell ref="R268:S268"/>
    <mergeCell ref="C265:E265"/>
    <mergeCell ref="J265:K265"/>
    <mergeCell ref="L265:M265"/>
    <mergeCell ref="R265:S265"/>
    <mergeCell ref="C266:E266"/>
    <mergeCell ref="J266:K266"/>
    <mergeCell ref="L266:M266"/>
    <mergeCell ref="R266:S266"/>
    <mergeCell ref="C275:E275"/>
    <mergeCell ref="J275:K275"/>
    <mergeCell ref="L275:M275"/>
    <mergeCell ref="R275:S275"/>
    <mergeCell ref="C276:E276"/>
    <mergeCell ref="J276:K276"/>
    <mergeCell ref="L276:M276"/>
    <mergeCell ref="R276:S276"/>
    <mergeCell ref="C273:E273"/>
    <mergeCell ref="J273:K273"/>
    <mergeCell ref="L273:M273"/>
    <mergeCell ref="R273:S273"/>
    <mergeCell ref="C274:E274"/>
    <mergeCell ref="J274:K274"/>
    <mergeCell ref="L274:M274"/>
    <mergeCell ref="R274:S274"/>
    <mergeCell ref="C271:E271"/>
    <mergeCell ref="J271:K271"/>
    <mergeCell ref="L271:M271"/>
    <mergeCell ref="R271:S271"/>
    <mergeCell ref="C272:E272"/>
    <mergeCell ref="J272:K272"/>
    <mergeCell ref="L272:M272"/>
    <mergeCell ref="R272:S272"/>
    <mergeCell ref="C281:E281"/>
    <mergeCell ref="J281:K281"/>
    <mergeCell ref="L281:M281"/>
    <mergeCell ref="R281:S281"/>
    <mergeCell ref="C282:E282"/>
    <mergeCell ref="J282:K282"/>
    <mergeCell ref="L282:M282"/>
    <mergeCell ref="R282:S282"/>
    <mergeCell ref="C279:E279"/>
    <mergeCell ref="J279:K279"/>
    <mergeCell ref="L279:M279"/>
    <mergeCell ref="R279:S279"/>
    <mergeCell ref="C280:E280"/>
    <mergeCell ref="J280:K280"/>
    <mergeCell ref="L280:M280"/>
    <mergeCell ref="R280:S280"/>
    <mergeCell ref="C277:E277"/>
    <mergeCell ref="J277:K277"/>
    <mergeCell ref="L277:M277"/>
    <mergeCell ref="R277:S277"/>
    <mergeCell ref="C278:E278"/>
    <mergeCell ref="J278:K278"/>
    <mergeCell ref="L278:M278"/>
    <mergeCell ref="R278:S278"/>
    <mergeCell ref="C290:E290"/>
    <mergeCell ref="R290:S290"/>
    <mergeCell ref="C287:E287"/>
    <mergeCell ref="R287:S287"/>
    <mergeCell ref="C288:E288"/>
    <mergeCell ref="R288:S288"/>
    <mergeCell ref="C289:E289"/>
    <mergeCell ref="R289:S289"/>
    <mergeCell ref="A285:O285"/>
    <mergeCell ref="R285:S285"/>
    <mergeCell ref="C286:E286"/>
    <mergeCell ref="J286:K286"/>
    <mergeCell ref="L286:M286"/>
    <mergeCell ref="R286:S286"/>
    <mergeCell ref="C283:E283"/>
    <mergeCell ref="J283:K283"/>
    <mergeCell ref="L283:M283"/>
    <mergeCell ref="R283:S283"/>
    <mergeCell ref="C284:E284"/>
    <mergeCell ref="J284:K284"/>
    <mergeCell ref="L284:M284"/>
    <mergeCell ref="R284:S284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09/18/2025&amp;B &amp;C&amp;R&amp;"Arial"&amp;9&amp;BPage No: &amp;P of &amp;N&amp;B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DC991-8F1E-4E90-BAC3-8703D03532AC}">
  <dimension ref="A1:W331"/>
  <sheetViews>
    <sheetView tabSelected="1" workbookViewId="0">
      <selection activeCell="R2" sqref="R2:R331"/>
    </sheetView>
  </sheetViews>
  <sheetFormatPr defaultRowHeight="15" customHeight="1" x14ac:dyDescent="0.2"/>
  <cols>
    <col min="1" max="1" width="3.28515625" style="57" bestFit="1" customWidth="1"/>
    <col min="2" max="2" width="8.7109375" style="57" bestFit="1" customWidth="1"/>
    <col min="3" max="3" width="20.85546875" style="57" bestFit="1" customWidth="1"/>
    <col min="4" max="4" width="11.85546875" style="57" bestFit="1" customWidth="1"/>
    <col min="5" max="5" width="13.28515625" style="57" bestFit="1" customWidth="1"/>
    <col min="6" max="6" width="15.7109375" style="57" bestFit="1" customWidth="1"/>
    <col min="7" max="7" width="10.5703125" style="57" bestFit="1" customWidth="1"/>
    <col min="8" max="8" width="14.28515625" style="57" bestFit="1" customWidth="1"/>
    <col min="9" max="9" width="12.5703125" style="57" bestFit="1" customWidth="1"/>
    <col min="10" max="10" width="7" style="57" bestFit="1" customWidth="1"/>
    <col min="11" max="11" width="14.140625" style="57" bestFit="1" customWidth="1"/>
    <col min="12" max="12" width="10.140625" style="57" bestFit="1" customWidth="1"/>
    <col min="13" max="13" width="11.140625" style="57" bestFit="1" customWidth="1"/>
    <col min="14" max="14" width="8.28515625" style="57" bestFit="1" customWidth="1"/>
    <col min="15" max="15" width="31.28515625" style="57" bestFit="1" customWidth="1"/>
    <col min="16" max="18" width="9.140625" style="57"/>
    <col min="19" max="19" width="15.7109375" style="57" customWidth="1"/>
    <col min="20" max="16384" width="9.140625" style="57"/>
  </cols>
  <sheetData>
    <row r="1" spans="1:23" ht="15" customHeight="1" thickBot="1" x14ac:dyDescent="0.25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54</v>
      </c>
      <c r="F1" s="25" t="s">
        <v>55</v>
      </c>
      <c r="G1" s="25" t="s">
        <v>56</v>
      </c>
      <c r="H1" s="25" t="s">
        <v>57</v>
      </c>
      <c r="I1" s="25" t="s">
        <v>58</v>
      </c>
      <c r="J1" s="25" t="s">
        <v>59</v>
      </c>
      <c r="K1" s="25" t="s">
        <v>60</v>
      </c>
      <c r="L1" s="25" t="s">
        <v>61</v>
      </c>
      <c r="M1" s="25" t="s">
        <v>62</v>
      </c>
      <c r="N1" s="25" t="s">
        <v>63</v>
      </c>
    </row>
    <row r="2" spans="1:23" ht="15" customHeight="1" x14ac:dyDescent="0.2">
      <c r="A2" s="14" t="s">
        <v>65</v>
      </c>
      <c r="B2" s="64">
        <v>441539049</v>
      </c>
      <c r="C2" s="14" t="s">
        <v>114</v>
      </c>
      <c r="D2" s="58">
        <v>44835</v>
      </c>
      <c r="E2" s="14" t="s">
        <v>115</v>
      </c>
      <c r="F2" s="58">
        <v>45901</v>
      </c>
      <c r="G2" s="58">
        <v>45931</v>
      </c>
      <c r="H2" s="58">
        <v>45904</v>
      </c>
      <c r="I2" s="14" t="s">
        <v>69</v>
      </c>
      <c r="J2" s="64">
        <v>1</v>
      </c>
      <c r="K2" s="59">
        <v>113.5</v>
      </c>
      <c r="L2" s="65">
        <v>0.09</v>
      </c>
      <c r="M2" s="59">
        <v>10.220000000000001</v>
      </c>
      <c r="N2" s="14" t="s">
        <v>72</v>
      </c>
      <c r="O2" s="57" t="s">
        <v>619</v>
      </c>
      <c r="P2" s="57" t="s">
        <v>620</v>
      </c>
      <c r="Q2" s="57" t="s">
        <v>621</v>
      </c>
      <c r="R2" s="57">
        <v>20436925</v>
      </c>
      <c r="S2" s="57" t="str">
        <f>CONCATENATE(O2, " ",Q2)</f>
        <v>Ashley Teipel</v>
      </c>
    </row>
    <row r="3" spans="1:23" ht="15" customHeight="1" x14ac:dyDescent="0.2">
      <c r="A3" s="14" t="s">
        <v>65</v>
      </c>
      <c r="B3" s="64">
        <v>441542541</v>
      </c>
      <c r="C3" s="14" t="s">
        <v>483</v>
      </c>
      <c r="D3" s="58">
        <v>44835</v>
      </c>
      <c r="E3" s="14" t="s">
        <v>484</v>
      </c>
      <c r="F3" s="58">
        <v>45901</v>
      </c>
      <c r="G3" s="58">
        <v>45931</v>
      </c>
      <c r="H3" s="58">
        <v>45904</v>
      </c>
      <c r="I3" s="14" t="s">
        <v>69</v>
      </c>
      <c r="J3" s="64">
        <v>1</v>
      </c>
      <c r="K3" s="59">
        <v>47.01</v>
      </c>
      <c r="L3" s="65">
        <v>0.09</v>
      </c>
      <c r="M3" s="59">
        <v>4.2300000000000004</v>
      </c>
      <c r="N3" s="14" t="s">
        <v>72</v>
      </c>
      <c r="O3" s="57" t="s">
        <v>622</v>
      </c>
      <c r="P3" s="57" t="s">
        <v>623</v>
      </c>
      <c r="Q3" s="57" t="s">
        <v>624</v>
      </c>
      <c r="R3" s="57">
        <v>16243811</v>
      </c>
      <c r="S3" s="57" t="str">
        <f t="shared" ref="S3:S66" si="0">CONCATENATE(O3, " ",Q3)</f>
        <v>Kimberly Dickerson</v>
      </c>
    </row>
    <row r="4" spans="1:23" ht="15" customHeight="1" x14ac:dyDescent="0.2">
      <c r="A4" s="14" t="s">
        <v>65</v>
      </c>
      <c r="B4" s="64">
        <v>441543447</v>
      </c>
      <c r="C4" s="14" t="s">
        <v>127</v>
      </c>
      <c r="D4" s="58">
        <v>44835</v>
      </c>
      <c r="E4" s="14" t="s">
        <v>128</v>
      </c>
      <c r="F4" s="58">
        <v>45901</v>
      </c>
      <c r="G4" s="58">
        <v>45931</v>
      </c>
      <c r="H4" s="58">
        <v>45904</v>
      </c>
      <c r="I4" s="14" t="s">
        <v>69</v>
      </c>
      <c r="J4" s="64">
        <v>1</v>
      </c>
      <c r="K4" s="59">
        <v>77.8</v>
      </c>
      <c r="L4" s="65">
        <v>0.09</v>
      </c>
      <c r="M4" s="59">
        <v>7</v>
      </c>
      <c r="N4" s="14" t="s">
        <v>72</v>
      </c>
      <c r="O4" s="57" t="s">
        <v>619</v>
      </c>
      <c r="P4" s="57" t="s">
        <v>620</v>
      </c>
      <c r="Q4" s="57" t="s">
        <v>621</v>
      </c>
      <c r="R4" s="57">
        <v>20436925</v>
      </c>
      <c r="S4" s="57" t="str">
        <f t="shared" si="0"/>
        <v>Ashley Teipel</v>
      </c>
    </row>
    <row r="5" spans="1:23" ht="15" customHeight="1" x14ac:dyDescent="0.2">
      <c r="A5" s="14" t="s">
        <v>65</v>
      </c>
      <c r="B5" s="64">
        <v>441568845</v>
      </c>
      <c r="C5" s="14" t="s">
        <v>507</v>
      </c>
      <c r="D5" s="58">
        <v>44866</v>
      </c>
      <c r="E5" s="14" t="s">
        <v>444</v>
      </c>
      <c r="F5" s="58">
        <v>45901</v>
      </c>
      <c r="G5" s="58">
        <v>45931</v>
      </c>
      <c r="H5" s="58">
        <v>45904</v>
      </c>
      <c r="I5" s="14" t="s">
        <v>69</v>
      </c>
      <c r="J5" s="64">
        <v>1</v>
      </c>
      <c r="K5" s="59">
        <v>6.3</v>
      </c>
      <c r="L5" s="65">
        <v>0.09</v>
      </c>
      <c r="M5" s="59">
        <v>0.56999999999999995</v>
      </c>
      <c r="N5" s="14" t="s">
        <v>72</v>
      </c>
      <c r="O5" s="57" t="s">
        <v>622</v>
      </c>
      <c r="P5" s="57" t="s">
        <v>623</v>
      </c>
      <c r="Q5" s="57" t="s">
        <v>624</v>
      </c>
      <c r="R5" s="57">
        <v>16243811</v>
      </c>
      <c r="S5" s="57" t="str">
        <f t="shared" si="0"/>
        <v>Kimberly Dickerson</v>
      </c>
    </row>
    <row r="6" spans="1:23" ht="15" customHeight="1" x14ac:dyDescent="0.2">
      <c r="A6" s="14" t="s">
        <v>65</v>
      </c>
      <c r="B6" s="64">
        <v>441568846</v>
      </c>
      <c r="C6" s="14" t="s">
        <v>507</v>
      </c>
      <c r="D6" s="58">
        <v>44866</v>
      </c>
      <c r="E6" s="14" t="s">
        <v>470</v>
      </c>
      <c r="F6" s="58">
        <v>45901</v>
      </c>
      <c r="G6" s="58">
        <v>45931</v>
      </c>
      <c r="H6" s="58">
        <v>45904</v>
      </c>
      <c r="I6" s="14" t="s">
        <v>69</v>
      </c>
      <c r="J6" s="64">
        <v>1</v>
      </c>
      <c r="K6" s="59">
        <v>28</v>
      </c>
      <c r="L6" s="65">
        <v>0.09</v>
      </c>
      <c r="M6" s="59">
        <v>2.52</v>
      </c>
      <c r="N6" s="14" t="s">
        <v>72</v>
      </c>
      <c r="O6" s="57" t="s">
        <v>622</v>
      </c>
      <c r="P6" s="57" t="s">
        <v>623</v>
      </c>
      <c r="Q6" s="57" t="s">
        <v>624</v>
      </c>
      <c r="R6" s="57">
        <v>16243811</v>
      </c>
      <c r="S6" s="57" t="str">
        <f t="shared" si="0"/>
        <v>Kimberly Dickerson</v>
      </c>
    </row>
    <row r="7" spans="1:23" ht="15" customHeight="1" x14ac:dyDescent="0.2">
      <c r="A7" s="14" t="s">
        <v>65</v>
      </c>
      <c r="B7" s="64">
        <v>441568847</v>
      </c>
      <c r="C7" s="14" t="s">
        <v>507</v>
      </c>
      <c r="D7" s="58">
        <v>44866</v>
      </c>
      <c r="E7" s="14" t="s">
        <v>473</v>
      </c>
      <c r="F7" s="58">
        <v>45901</v>
      </c>
      <c r="G7" s="58">
        <v>45931</v>
      </c>
      <c r="H7" s="58">
        <v>45904</v>
      </c>
      <c r="I7" s="14" t="s">
        <v>69</v>
      </c>
      <c r="J7" s="64">
        <v>1</v>
      </c>
      <c r="K7" s="59">
        <v>15</v>
      </c>
      <c r="L7" s="65">
        <v>0.09</v>
      </c>
      <c r="M7" s="59">
        <v>1.35</v>
      </c>
      <c r="N7" s="14" t="s">
        <v>72</v>
      </c>
      <c r="O7" s="57" t="s">
        <v>622</v>
      </c>
      <c r="P7" s="57" t="s">
        <v>623</v>
      </c>
      <c r="Q7" s="57" t="s">
        <v>624</v>
      </c>
      <c r="R7" s="57">
        <v>16243811</v>
      </c>
      <c r="S7" s="57" t="str">
        <f t="shared" si="0"/>
        <v>Kimberly Dickerson</v>
      </c>
    </row>
    <row r="8" spans="1:23" ht="15" customHeight="1" x14ac:dyDescent="0.2">
      <c r="A8" s="14" t="s">
        <v>65</v>
      </c>
      <c r="B8" s="64">
        <v>441568848</v>
      </c>
      <c r="C8" s="14" t="s">
        <v>507</v>
      </c>
      <c r="D8" s="58">
        <v>44866</v>
      </c>
      <c r="E8" s="14" t="s">
        <v>267</v>
      </c>
      <c r="F8" s="58">
        <v>45901</v>
      </c>
      <c r="G8" s="58">
        <v>45931</v>
      </c>
      <c r="H8" s="58">
        <v>45904</v>
      </c>
      <c r="I8" s="14" t="s">
        <v>69</v>
      </c>
      <c r="J8" s="64">
        <v>1</v>
      </c>
      <c r="K8" s="59">
        <v>23</v>
      </c>
      <c r="L8" s="65">
        <v>0.09</v>
      </c>
      <c r="M8" s="59">
        <v>2.0699999999999998</v>
      </c>
      <c r="N8" s="14" t="s">
        <v>72</v>
      </c>
      <c r="O8" s="57" t="s">
        <v>622</v>
      </c>
      <c r="P8" s="57" t="s">
        <v>623</v>
      </c>
      <c r="Q8" s="57" t="s">
        <v>624</v>
      </c>
      <c r="R8" s="57">
        <v>16243811</v>
      </c>
      <c r="S8" s="57" t="str">
        <f t="shared" si="0"/>
        <v>Kimberly Dickerson</v>
      </c>
    </row>
    <row r="9" spans="1:23" ht="15" customHeight="1" x14ac:dyDescent="0.2">
      <c r="A9" s="14" t="s">
        <v>65</v>
      </c>
      <c r="B9" s="64">
        <v>441573319</v>
      </c>
      <c r="C9" s="14" t="s">
        <v>523</v>
      </c>
      <c r="D9" s="58">
        <v>44866</v>
      </c>
      <c r="E9" s="14" t="s">
        <v>453</v>
      </c>
      <c r="F9" s="58">
        <v>45901</v>
      </c>
      <c r="G9" s="58">
        <v>45931</v>
      </c>
      <c r="H9" s="58">
        <v>45904</v>
      </c>
      <c r="I9" s="14" t="s">
        <v>69</v>
      </c>
      <c r="J9" s="64">
        <v>1</v>
      </c>
      <c r="K9" s="59">
        <v>21.5</v>
      </c>
      <c r="L9" s="65">
        <v>0.09</v>
      </c>
      <c r="M9" s="59">
        <v>1.94</v>
      </c>
      <c r="N9" s="14" t="s">
        <v>72</v>
      </c>
      <c r="O9" s="57" t="s">
        <v>622</v>
      </c>
      <c r="P9" s="57" t="s">
        <v>623</v>
      </c>
      <c r="Q9" s="57" t="s">
        <v>624</v>
      </c>
      <c r="R9" s="57">
        <v>16243811</v>
      </c>
      <c r="S9" s="57" t="str">
        <f t="shared" si="0"/>
        <v>Kimberly Dickerson</v>
      </c>
    </row>
    <row r="10" spans="1:23" ht="15" customHeight="1" x14ac:dyDescent="0.2">
      <c r="A10" s="14" t="s">
        <v>65</v>
      </c>
      <c r="B10" s="64">
        <v>441573320</v>
      </c>
      <c r="C10" s="14" t="s">
        <v>523</v>
      </c>
      <c r="D10" s="58">
        <v>44866</v>
      </c>
      <c r="E10" s="14" t="s">
        <v>473</v>
      </c>
      <c r="F10" s="58">
        <v>45901</v>
      </c>
      <c r="G10" s="58">
        <v>45931</v>
      </c>
      <c r="H10" s="58">
        <v>45904</v>
      </c>
      <c r="I10" s="14" t="s">
        <v>69</v>
      </c>
      <c r="J10" s="64">
        <v>1</v>
      </c>
      <c r="K10" s="59">
        <v>9</v>
      </c>
      <c r="L10" s="65">
        <v>0.09</v>
      </c>
      <c r="M10" s="59">
        <v>0.81</v>
      </c>
      <c r="N10" s="14" t="s">
        <v>72</v>
      </c>
      <c r="O10" s="57" t="s">
        <v>622</v>
      </c>
      <c r="P10" s="57" t="s">
        <v>623</v>
      </c>
      <c r="Q10" s="57" t="s">
        <v>624</v>
      </c>
      <c r="R10" s="57">
        <v>16243811</v>
      </c>
      <c r="S10" s="57" t="str">
        <f t="shared" si="0"/>
        <v>Kimberly Dickerson</v>
      </c>
    </row>
    <row r="11" spans="1:23" ht="15" customHeight="1" x14ac:dyDescent="0.2">
      <c r="A11" s="14" t="s">
        <v>65</v>
      </c>
      <c r="B11" s="64">
        <v>441573321</v>
      </c>
      <c r="C11" s="14" t="s">
        <v>523</v>
      </c>
      <c r="D11" s="58">
        <v>44866</v>
      </c>
      <c r="E11" s="14" t="s">
        <v>444</v>
      </c>
      <c r="F11" s="58">
        <v>45901</v>
      </c>
      <c r="G11" s="58">
        <v>45931</v>
      </c>
      <c r="H11" s="58">
        <v>45904</v>
      </c>
      <c r="I11" s="14" t="s">
        <v>69</v>
      </c>
      <c r="J11" s="64">
        <v>1</v>
      </c>
      <c r="K11" s="59">
        <v>4.8</v>
      </c>
      <c r="L11" s="65">
        <v>0.09</v>
      </c>
      <c r="M11" s="59">
        <v>0.43</v>
      </c>
      <c r="N11" s="14" t="s">
        <v>72</v>
      </c>
      <c r="O11" s="57" t="s">
        <v>622</v>
      </c>
      <c r="P11" s="57" t="s">
        <v>623</v>
      </c>
      <c r="Q11" s="57" t="s">
        <v>624</v>
      </c>
      <c r="R11" s="57">
        <v>16243811</v>
      </c>
      <c r="S11" s="57" t="str">
        <f t="shared" si="0"/>
        <v>Kimberly Dickerson</v>
      </c>
    </row>
    <row r="12" spans="1:23" ht="15" customHeight="1" x14ac:dyDescent="0.2">
      <c r="A12" s="14" t="s">
        <v>65</v>
      </c>
      <c r="B12" s="64">
        <v>441573323</v>
      </c>
      <c r="C12" s="14" t="s">
        <v>523</v>
      </c>
      <c r="D12" s="58">
        <v>44866</v>
      </c>
      <c r="E12" s="14" t="s">
        <v>527</v>
      </c>
      <c r="F12" s="58">
        <v>45901</v>
      </c>
      <c r="G12" s="58">
        <v>45931</v>
      </c>
      <c r="H12" s="58">
        <v>45904</v>
      </c>
      <c r="I12" s="14" t="s">
        <v>69</v>
      </c>
      <c r="J12" s="64">
        <v>1</v>
      </c>
      <c r="K12" s="59">
        <v>11</v>
      </c>
      <c r="L12" s="65">
        <v>0.09</v>
      </c>
      <c r="M12" s="59">
        <v>0.99</v>
      </c>
      <c r="N12" s="14" t="s">
        <v>72</v>
      </c>
      <c r="O12" s="57" t="s">
        <v>622</v>
      </c>
      <c r="P12" s="57" t="s">
        <v>623</v>
      </c>
      <c r="Q12" s="57" t="s">
        <v>624</v>
      </c>
      <c r="R12" s="57">
        <v>16243811</v>
      </c>
      <c r="S12" s="57" t="str">
        <f t="shared" si="0"/>
        <v>Kimberly Dickerson</v>
      </c>
    </row>
    <row r="13" spans="1:23" ht="15" customHeight="1" x14ac:dyDescent="0.2">
      <c r="A13" s="60" t="s">
        <v>65</v>
      </c>
      <c r="B13" s="66">
        <v>441577763</v>
      </c>
      <c r="C13" s="60" t="s">
        <v>595</v>
      </c>
      <c r="D13" s="61">
        <v>44858</v>
      </c>
      <c r="E13" s="60" t="s">
        <v>596</v>
      </c>
      <c r="F13" s="61">
        <v>45901</v>
      </c>
      <c r="G13" s="61">
        <v>45931</v>
      </c>
      <c r="H13" s="61">
        <v>45910</v>
      </c>
      <c r="I13" s="60" t="s">
        <v>69</v>
      </c>
      <c r="J13" s="66">
        <v>1</v>
      </c>
      <c r="K13" s="62">
        <v>64.430000000000007</v>
      </c>
      <c r="L13" s="67">
        <v>0.09</v>
      </c>
      <c r="M13" s="62">
        <v>5.8</v>
      </c>
      <c r="N13" s="60" t="s">
        <v>72</v>
      </c>
      <c r="O13" s="63" t="s">
        <v>625</v>
      </c>
      <c r="Q13" s="63" t="s">
        <v>626</v>
      </c>
      <c r="R13" s="63">
        <v>20436896</v>
      </c>
      <c r="S13" s="57" t="str">
        <f t="shared" si="0"/>
        <v>Katelenn Caltagirone</v>
      </c>
      <c r="T13" s="63"/>
      <c r="U13" s="63"/>
      <c r="V13" s="63"/>
      <c r="W13" s="63"/>
    </row>
    <row r="14" spans="1:23" ht="15" customHeight="1" x14ac:dyDescent="0.2">
      <c r="A14" s="14" t="s">
        <v>65</v>
      </c>
      <c r="B14" s="64">
        <v>441579586</v>
      </c>
      <c r="C14" s="14" t="s">
        <v>338</v>
      </c>
      <c r="D14" s="58">
        <v>44866</v>
      </c>
      <c r="E14" s="14" t="s">
        <v>339</v>
      </c>
      <c r="F14" s="58">
        <v>45901</v>
      </c>
      <c r="G14" s="58">
        <v>45931</v>
      </c>
      <c r="H14" s="58">
        <v>45904</v>
      </c>
      <c r="I14" s="14" t="s">
        <v>69</v>
      </c>
      <c r="J14" s="64">
        <v>1</v>
      </c>
      <c r="K14" s="59">
        <v>59.98</v>
      </c>
      <c r="L14" s="65">
        <v>0.03</v>
      </c>
      <c r="M14" s="59">
        <v>1.8</v>
      </c>
      <c r="N14" s="14" t="s">
        <v>72</v>
      </c>
      <c r="O14" s="57" t="s">
        <v>627</v>
      </c>
      <c r="Q14" s="57" t="s">
        <v>628</v>
      </c>
      <c r="R14" s="57">
        <v>17425766</v>
      </c>
      <c r="S14" s="57" t="str">
        <f t="shared" si="0"/>
        <v>Carol Foley</v>
      </c>
    </row>
    <row r="15" spans="1:23" ht="15" customHeight="1" x14ac:dyDescent="0.2">
      <c r="A15" s="14" t="s">
        <v>65</v>
      </c>
      <c r="B15" s="64">
        <v>441581802</v>
      </c>
      <c r="C15" s="14" t="s">
        <v>479</v>
      </c>
      <c r="D15" s="58">
        <v>44866</v>
      </c>
      <c r="E15" s="14" t="s">
        <v>81</v>
      </c>
      <c r="F15" s="58">
        <v>45901</v>
      </c>
      <c r="G15" s="58">
        <v>45931</v>
      </c>
      <c r="H15" s="58">
        <v>45904</v>
      </c>
      <c r="I15" s="14" t="s">
        <v>69</v>
      </c>
      <c r="J15" s="64">
        <v>1</v>
      </c>
      <c r="K15" s="59">
        <v>9</v>
      </c>
      <c r="L15" s="65">
        <v>0.09</v>
      </c>
      <c r="M15" s="59">
        <v>0.81</v>
      </c>
      <c r="N15" s="14" t="s">
        <v>72</v>
      </c>
      <c r="O15" s="57" t="s">
        <v>622</v>
      </c>
      <c r="P15" s="57" t="s">
        <v>623</v>
      </c>
      <c r="Q15" s="57" t="s">
        <v>624</v>
      </c>
      <c r="R15" s="57">
        <v>16243811</v>
      </c>
      <c r="S15" s="57" t="str">
        <f t="shared" si="0"/>
        <v>Kimberly Dickerson</v>
      </c>
    </row>
    <row r="16" spans="1:23" ht="15" customHeight="1" x14ac:dyDescent="0.2">
      <c r="A16" s="14" t="s">
        <v>65</v>
      </c>
      <c r="B16" s="64">
        <v>441581805</v>
      </c>
      <c r="C16" s="14" t="s">
        <v>479</v>
      </c>
      <c r="D16" s="58">
        <v>44866</v>
      </c>
      <c r="E16" s="14" t="s">
        <v>278</v>
      </c>
      <c r="F16" s="58">
        <v>45901</v>
      </c>
      <c r="G16" s="58">
        <v>45931</v>
      </c>
      <c r="H16" s="58">
        <v>45904</v>
      </c>
      <c r="I16" s="14" t="s">
        <v>69</v>
      </c>
      <c r="J16" s="64">
        <v>1</v>
      </c>
      <c r="K16" s="59">
        <v>39</v>
      </c>
      <c r="L16" s="65">
        <v>0.09</v>
      </c>
      <c r="M16" s="59">
        <v>3.51</v>
      </c>
      <c r="N16" s="14" t="s">
        <v>72</v>
      </c>
      <c r="O16" s="57" t="s">
        <v>622</v>
      </c>
      <c r="P16" s="57" t="s">
        <v>623</v>
      </c>
      <c r="Q16" s="57" t="s">
        <v>624</v>
      </c>
      <c r="R16" s="57">
        <v>16243811</v>
      </c>
      <c r="S16" s="57" t="str">
        <f t="shared" si="0"/>
        <v>Kimberly Dickerson</v>
      </c>
    </row>
    <row r="17" spans="1:23" ht="15" customHeight="1" x14ac:dyDescent="0.2">
      <c r="A17" s="14" t="s">
        <v>65</v>
      </c>
      <c r="B17" s="64">
        <v>441581809</v>
      </c>
      <c r="C17" s="14" t="s">
        <v>479</v>
      </c>
      <c r="D17" s="58">
        <v>44866</v>
      </c>
      <c r="E17" s="14" t="s">
        <v>157</v>
      </c>
      <c r="F17" s="58">
        <v>45901</v>
      </c>
      <c r="G17" s="58">
        <v>45931</v>
      </c>
      <c r="H17" s="58">
        <v>45904</v>
      </c>
      <c r="I17" s="14" t="s">
        <v>69</v>
      </c>
      <c r="J17" s="64">
        <v>1</v>
      </c>
      <c r="K17" s="59">
        <v>82.14</v>
      </c>
      <c r="L17" s="65">
        <v>0.18</v>
      </c>
      <c r="M17" s="59">
        <v>14.79</v>
      </c>
      <c r="N17" s="14" t="s">
        <v>72</v>
      </c>
      <c r="O17" s="57" t="s">
        <v>622</v>
      </c>
      <c r="P17" s="57" t="s">
        <v>623</v>
      </c>
      <c r="Q17" s="57" t="s">
        <v>624</v>
      </c>
      <c r="R17" s="57">
        <v>16243811</v>
      </c>
      <c r="S17" s="57" t="str">
        <f t="shared" si="0"/>
        <v>Kimberly Dickerson</v>
      </c>
    </row>
    <row r="18" spans="1:23" ht="15" customHeight="1" x14ac:dyDescent="0.2">
      <c r="A18" s="60" t="s">
        <v>65</v>
      </c>
      <c r="B18" s="66">
        <v>441582942</v>
      </c>
      <c r="C18" s="60" t="s">
        <v>597</v>
      </c>
      <c r="D18" s="61">
        <v>44860</v>
      </c>
      <c r="E18" s="60" t="s">
        <v>598</v>
      </c>
      <c r="F18" s="61">
        <v>45901</v>
      </c>
      <c r="G18" s="61">
        <v>45931</v>
      </c>
      <c r="H18" s="61">
        <v>45911</v>
      </c>
      <c r="I18" s="60" t="s">
        <v>69</v>
      </c>
      <c r="J18" s="66">
        <v>1</v>
      </c>
      <c r="K18" s="62">
        <v>9.1999999999999993</v>
      </c>
      <c r="L18" s="67">
        <v>0.09</v>
      </c>
      <c r="M18" s="62">
        <v>0.83</v>
      </c>
      <c r="N18" s="60" t="s">
        <v>72</v>
      </c>
      <c r="O18" s="63" t="s">
        <v>622</v>
      </c>
      <c r="P18" s="63" t="s">
        <v>623</v>
      </c>
      <c r="Q18" s="63" t="s">
        <v>624</v>
      </c>
      <c r="R18" s="63">
        <v>16243811</v>
      </c>
      <c r="S18" s="57" t="str">
        <f t="shared" si="0"/>
        <v>Kimberly Dickerson</v>
      </c>
      <c r="T18" s="63"/>
      <c r="U18" s="63"/>
      <c r="V18" s="63"/>
      <c r="W18" s="63"/>
    </row>
    <row r="19" spans="1:23" ht="15" customHeight="1" x14ac:dyDescent="0.2">
      <c r="A19" s="14" t="s">
        <v>65</v>
      </c>
      <c r="B19" s="64">
        <v>441584139</v>
      </c>
      <c r="C19" s="14" t="s">
        <v>413</v>
      </c>
      <c r="D19" s="58">
        <v>44927</v>
      </c>
      <c r="E19" s="14" t="s">
        <v>414</v>
      </c>
      <c r="F19" s="58">
        <v>45901</v>
      </c>
      <c r="G19" s="58">
        <v>45931</v>
      </c>
      <c r="H19" s="58">
        <v>45904</v>
      </c>
      <c r="I19" s="14" t="s">
        <v>69</v>
      </c>
      <c r="J19" s="64">
        <v>1</v>
      </c>
      <c r="K19" s="59">
        <v>34.14</v>
      </c>
      <c r="L19" s="65">
        <v>0.18</v>
      </c>
      <c r="M19" s="59">
        <v>6.15</v>
      </c>
      <c r="N19" s="14" t="s">
        <v>72</v>
      </c>
      <c r="O19" s="57" t="s">
        <v>629</v>
      </c>
      <c r="P19" s="57" t="s">
        <v>69</v>
      </c>
      <c r="Q19" s="57" t="s">
        <v>630</v>
      </c>
      <c r="R19" s="57">
        <v>15278437</v>
      </c>
      <c r="S19" s="57" t="str">
        <f t="shared" si="0"/>
        <v>Jason Hoffmann</v>
      </c>
    </row>
    <row r="20" spans="1:23" ht="15" customHeight="1" x14ac:dyDescent="0.2">
      <c r="A20" s="14" t="s">
        <v>65</v>
      </c>
      <c r="B20" s="64">
        <v>441584140</v>
      </c>
      <c r="C20" s="14" t="s">
        <v>413</v>
      </c>
      <c r="D20" s="58">
        <v>44927</v>
      </c>
      <c r="E20" s="14" t="s">
        <v>78</v>
      </c>
      <c r="F20" s="58">
        <v>45901</v>
      </c>
      <c r="G20" s="58">
        <v>45931</v>
      </c>
      <c r="H20" s="58">
        <v>45904</v>
      </c>
      <c r="I20" s="14" t="s">
        <v>69</v>
      </c>
      <c r="J20" s="64">
        <v>1</v>
      </c>
      <c r="K20" s="59">
        <v>11.3</v>
      </c>
      <c r="L20" s="65">
        <v>0.09</v>
      </c>
      <c r="M20" s="59">
        <v>1.02</v>
      </c>
      <c r="N20" s="14" t="s">
        <v>72</v>
      </c>
      <c r="O20" s="57" t="s">
        <v>629</v>
      </c>
      <c r="P20" s="57" t="s">
        <v>69</v>
      </c>
      <c r="Q20" s="57" t="s">
        <v>630</v>
      </c>
      <c r="R20" s="57">
        <v>15278437</v>
      </c>
      <c r="S20" s="57" t="str">
        <f t="shared" si="0"/>
        <v>Jason Hoffmann</v>
      </c>
    </row>
    <row r="21" spans="1:23" ht="15" customHeight="1" x14ac:dyDescent="0.2">
      <c r="A21" s="14" t="s">
        <v>65</v>
      </c>
      <c r="B21" s="64">
        <v>441598923</v>
      </c>
      <c r="C21" s="14" t="s">
        <v>108</v>
      </c>
      <c r="D21" s="58">
        <v>44896</v>
      </c>
      <c r="E21" s="14" t="s">
        <v>109</v>
      </c>
      <c r="F21" s="58">
        <v>45901</v>
      </c>
      <c r="G21" s="58">
        <v>45931</v>
      </c>
      <c r="H21" s="58">
        <v>45904</v>
      </c>
      <c r="I21" s="14" t="s">
        <v>69</v>
      </c>
      <c r="J21" s="64">
        <v>1</v>
      </c>
      <c r="K21" s="59">
        <v>212.94</v>
      </c>
      <c r="L21" s="65">
        <v>0.18</v>
      </c>
      <c r="M21" s="59">
        <v>38.33</v>
      </c>
      <c r="N21" s="14" t="s">
        <v>72</v>
      </c>
      <c r="O21" s="57" t="s">
        <v>619</v>
      </c>
      <c r="P21" s="57" t="s">
        <v>620</v>
      </c>
      <c r="Q21" s="57" t="s">
        <v>621</v>
      </c>
      <c r="R21" s="57">
        <v>20436925</v>
      </c>
      <c r="S21" s="57" t="str">
        <f t="shared" si="0"/>
        <v>Ashley Teipel</v>
      </c>
    </row>
    <row r="22" spans="1:23" ht="15" customHeight="1" x14ac:dyDescent="0.2">
      <c r="A22" s="14" t="s">
        <v>65</v>
      </c>
      <c r="B22" s="64">
        <v>441601154</v>
      </c>
      <c r="C22" s="14" t="s">
        <v>502</v>
      </c>
      <c r="D22" s="58">
        <v>44869</v>
      </c>
      <c r="E22" s="14" t="s">
        <v>461</v>
      </c>
      <c r="F22" s="58">
        <v>45901</v>
      </c>
      <c r="G22" s="58">
        <v>45931</v>
      </c>
      <c r="H22" s="58">
        <v>45906</v>
      </c>
      <c r="I22" s="14" t="s">
        <v>69</v>
      </c>
      <c r="J22" s="64">
        <v>1</v>
      </c>
      <c r="K22" s="59">
        <v>9</v>
      </c>
      <c r="L22" s="65">
        <v>0.09</v>
      </c>
      <c r="M22" s="59">
        <v>0.81</v>
      </c>
      <c r="N22" s="14" t="s">
        <v>72</v>
      </c>
      <c r="O22" s="57" t="s">
        <v>622</v>
      </c>
      <c r="P22" s="57" t="s">
        <v>623</v>
      </c>
      <c r="Q22" s="57" t="s">
        <v>624</v>
      </c>
      <c r="R22" s="57">
        <v>16243811</v>
      </c>
      <c r="S22" s="57" t="str">
        <f t="shared" si="0"/>
        <v>Kimberly Dickerson</v>
      </c>
    </row>
    <row r="23" spans="1:23" ht="15" customHeight="1" x14ac:dyDescent="0.2">
      <c r="A23" s="14" t="s">
        <v>65</v>
      </c>
      <c r="B23" s="64">
        <v>441601155</v>
      </c>
      <c r="C23" s="14" t="s">
        <v>502</v>
      </c>
      <c r="D23" s="58">
        <v>44869</v>
      </c>
      <c r="E23" s="14" t="s">
        <v>278</v>
      </c>
      <c r="F23" s="58">
        <v>45901</v>
      </c>
      <c r="G23" s="58">
        <v>45931</v>
      </c>
      <c r="H23" s="58">
        <v>45906</v>
      </c>
      <c r="I23" s="14" t="s">
        <v>69</v>
      </c>
      <c r="J23" s="64">
        <v>1</v>
      </c>
      <c r="K23" s="59">
        <v>42.64</v>
      </c>
      <c r="L23" s="65">
        <v>0.09</v>
      </c>
      <c r="M23" s="59">
        <v>3.84</v>
      </c>
      <c r="N23" s="14" t="s">
        <v>72</v>
      </c>
      <c r="O23" s="57" t="s">
        <v>622</v>
      </c>
      <c r="P23" s="57" t="s">
        <v>623</v>
      </c>
      <c r="Q23" s="57" t="s">
        <v>624</v>
      </c>
      <c r="R23" s="57">
        <v>16243811</v>
      </c>
      <c r="S23" s="57" t="str">
        <f t="shared" si="0"/>
        <v>Kimberly Dickerson</v>
      </c>
    </row>
    <row r="24" spans="1:23" ht="15" customHeight="1" x14ac:dyDescent="0.2">
      <c r="A24" s="60" t="s">
        <v>65</v>
      </c>
      <c r="B24" s="66">
        <v>441602827</v>
      </c>
      <c r="C24" s="60" t="s">
        <v>563</v>
      </c>
      <c r="D24" s="61">
        <v>44870</v>
      </c>
      <c r="E24" s="60" t="s">
        <v>564</v>
      </c>
      <c r="F24" s="61">
        <v>45901</v>
      </c>
      <c r="G24" s="61">
        <v>45931</v>
      </c>
      <c r="H24" s="61">
        <v>45909</v>
      </c>
      <c r="I24" s="60" t="s">
        <v>69</v>
      </c>
      <c r="J24" s="66">
        <v>1</v>
      </c>
      <c r="K24" s="62">
        <v>71.03</v>
      </c>
      <c r="L24" s="67">
        <v>0.06</v>
      </c>
      <c r="M24" s="62">
        <v>4.26</v>
      </c>
      <c r="N24" s="60" t="s">
        <v>72</v>
      </c>
      <c r="O24" s="63" t="s">
        <v>627</v>
      </c>
      <c r="Q24" s="63" t="s">
        <v>628</v>
      </c>
      <c r="R24" s="63">
        <v>17425766</v>
      </c>
      <c r="S24" s="57" t="str">
        <f t="shared" si="0"/>
        <v>Carol Foley</v>
      </c>
      <c r="T24" s="63"/>
      <c r="U24" s="63"/>
      <c r="V24" s="63"/>
      <c r="W24" s="63"/>
    </row>
    <row r="25" spans="1:23" ht="15" customHeight="1" x14ac:dyDescent="0.2">
      <c r="A25" s="60" t="s">
        <v>65</v>
      </c>
      <c r="B25" s="66">
        <v>441603753</v>
      </c>
      <c r="C25" s="60" t="s">
        <v>602</v>
      </c>
      <c r="D25" s="61">
        <v>44870</v>
      </c>
      <c r="E25" s="60" t="s">
        <v>74</v>
      </c>
      <c r="F25" s="61">
        <v>45901</v>
      </c>
      <c r="G25" s="61">
        <v>45931</v>
      </c>
      <c r="H25" s="61">
        <v>45909</v>
      </c>
      <c r="I25" s="60" t="s">
        <v>69</v>
      </c>
      <c r="J25" s="66">
        <v>1</v>
      </c>
      <c r="K25" s="62">
        <v>44.06</v>
      </c>
      <c r="L25" s="67">
        <v>0.09</v>
      </c>
      <c r="M25" s="62">
        <v>3.97</v>
      </c>
      <c r="N25" s="60" t="s">
        <v>72</v>
      </c>
      <c r="O25" s="63" t="s">
        <v>622</v>
      </c>
      <c r="P25" s="63" t="s">
        <v>623</v>
      </c>
      <c r="Q25" s="63" t="s">
        <v>624</v>
      </c>
      <c r="R25" s="63">
        <v>16243811</v>
      </c>
      <c r="S25" s="57" t="str">
        <f t="shared" si="0"/>
        <v>Kimberly Dickerson</v>
      </c>
      <c r="T25" s="63"/>
      <c r="U25" s="63"/>
      <c r="V25" s="63"/>
      <c r="W25" s="63"/>
    </row>
    <row r="26" spans="1:23" ht="15" customHeight="1" x14ac:dyDescent="0.2">
      <c r="A26" s="14" t="s">
        <v>65</v>
      </c>
      <c r="B26" s="64">
        <v>441604514</v>
      </c>
      <c r="C26" s="14" t="s">
        <v>125</v>
      </c>
      <c r="D26" s="58">
        <v>44927</v>
      </c>
      <c r="E26" s="14" t="s">
        <v>115</v>
      </c>
      <c r="F26" s="58">
        <v>45901</v>
      </c>
      <c r="G26" s="58">
        <v>45931</v>
      </c>
      <c r="H26" s="58">
        <v>45904</v>
      </c>
      <c r="I26" s="14" t="s">
        <v>69</v>
      </c>
      <c r="J26" s="64">
        <v>1</v>
      </c>
      <c r="K26" s="59">
        <v>165.5</v>
      </c>
      <c r="L26" s="65">
        <v>0.09</v>
      </c>
      <c r="M26" s="59">
        <v>14.9</v>
      </c>
      <c r="N26" s="14" t="s">
        <v>72</v>
      </c>
      <c r="O26" s="57" t="s">
        <v>619</v>
      </c>
      <c r="P26" s="57" t="s">
        <v>620</v>
      </c>
      <c r="Q26" s="57" t="s">
        <v>621</v>
      </c>
      <c r="R26" s="57">
        <v>20436925</v>
      </c>
      <c r="S26" s="57" t="str">
        <f t="shared" si="0"/>
        <v>Ashley Teipel</v>
      </c>
    </row>
    <row r="27" spans="1:23" ht="15" customHeight="1" x14ac:dyDescent="0.2">
      <c r="A27" s="60" t="s">
        <v>65</v>
      </c>
      <c r="B27" s="66">
        <v>441607364</v>
      </c>
      <c r="C27" s="60" t="s">
        <v>603</v>
      </c>
      <c r="D27" s="61">
        <v>44872</v>
      </c>
      <c r="E27" s="60" t="s">
        <v>461</v>
      </c>
      <c r="F27" s="61">
        <v>45901</v>
      </c>
      <c r="G27" s="61">
        <v>45931</v>
      </c>
      <c r="H27" s="61">
        <v>45910</v>
      </c>
      <c r="I27" s="60" t="s">
        <v>69</v>
      </c>
      <c r="J27" s="66">
        <v>1</v>
      </c>
      <c r="K27" s="62">
        <v>16</v>
      </c>
      <c r="L27" s="67">
        <v>0.09</v>
      </c>
      <c r="M27" s="62">
        <v>1.44</v>
      </c>
      <c r="N27" s="60" t="s">
        <v>72</v>
      </c>
      <c r="O27" s="63" t="s">
        <v>622</v>
      </c>
      <c r="P27" s="63" t="s">
        <v>623</v>
      </c>
      <c r="Q27" s="63" t="s">
        <v>624</v>
      </c>
      <c r="R27" s="63">
        <v>16243811</v>
      </c>
      <c r="S27" s="57" t="str">
        <f t="shared" si="0"/>
        <v>Kimberly Dickerson</v>
      </c>
      <c r="T27" s="63"/>
      <c r="U27" s="63"/>
      <c r="V27" s="63"/>
      <c r="W27" s="63"/>
    </row>
    <row r="28" spans="1:23" ht="15" customHeight="1" x14ac:dyDescent="0.2">
      <c r="A28" s="14" t="s">
        <v>65</v>
      </c>
      <c r="B28" s="64">
        <v>441612334</v>
      </c>
      <c r="C28" s="14" t="s">
        <v>120</v>
      </c>
      <c r="D28" s="58">
        <v>44896</v>
      </c>
      <c r="E28" s="14" t="s">
        <v>81</v>
      </c>
      <c r="F28" s="58">
        <v>45901</v>
      </c>
      <c r="G28" s="58">
        <v>45931</v>
      </c>
      <c r="H28" s="58">
        <v>45904</v>
      </c>
      <c r="I28" s="14" t="s">
        <v>69</v>
      </c>
      <c r="J28" s="64">
        <v>1</v>
      </c>
      <c r="K28" s="59">
        <v>16</v>
      </c>
      <c r="L28" s="65">
        <v>0.09</v>
      </c>
      <c r="M28" s="59">
        <v>1.44</v>
      </c>
      <c r="N28" s="14" t="s">
        <v>72</v>
      </c>
      <c r="O28" s="57" t="s">
        <v>619</v>
      </c>
      <c r="P28" s="57" t="s">
        <v>620</v>
      </c>
      <c r="Q28" s="57" t="s">
        <v>621</v>
      </c>
      <c r="R28" s="57">
        <v>20436925</v>
      </c>
      <c r="S28" s="57" t="str">
        <f t="shared" si="0"/>
        <v>Ashley Teipel</v>
      </c>
    </row>
    <row r="29" spans="1:23" ht="15" customHeight="1" x14ac:dyDescent="0.2">
      <c r="A29" s="14" t="s">
        <v>65</v>
      </c>
      <c r="B29" s="64">
        <v>441612373</v>
      </c>
      <c r="C29" s="14" t="s">
        <v>408</v>
      </c>
      <c r="D29" s="58">
        <v>44927</v>
      </c>
      <c r="E29" s="14" t="s">
        <v>81</v>
      </c>
      <c r="F29" s="58">
        <v>45901</v>
      </c>
      <c r="G29" s="58">
        <v>45931</v>
      </c>
      <c r="H29" s="58">
        <v>45904</v>
      </c>
      <c r="I29" s="14" t="s">
        <v>69</v>
      </c>
      <c r="J29" s="64">
        <v>1</v>
      </c>
      <c r="K29" s="59">
        <v>25</v>
      </c>
      <c r="L29" s="65">
        <v>0.09</v>
      </c>
      <c r="M29" s="59">
        <v>2.25</v>
      </c>
      <c r="N29" s="14" t="s">
        <v>72</v>
      </c>
      <c r="O29" s="57" t="s">
        <v>629</v>
      </c>
      <c r="P29" s="57" t="s">
        <v>69</v>
      </c>
      <c r="Q29" s="57" t="s">
        <v>630</v>
      </c>
      <c r="R29" s="57">
        <v>15278437</v>
      </c>
      <c r="S29" s="57" t="str">
        <f t="shared" si="0"/>
        <v>Jason Hoffmann</v>
      </c>
    </row>
    <row r="30" spans="1:23" ht="15" customHeight="1" x14ac:dyDescent="0.2">
      <c r="A30" s="60" t="s">
        <v>65</v>
      </c>
      <c r="B30" s="66">
        <v>441615076</v>
      </c>
      <c r="C30" s="60" t="s">
        <v>610</v>
      </c>
      <c r="D30" s="61">
        <v>44875</v>
      </c>
      <c r="E30" s="60" t="s">
        <v>611</v>
      </c>
      <c r="F30" s="61">
        <v>45901</v>
      </c>
      <c r="G30" s="61">
        <v>45931</v>
      </c>
      <c r="H30" s="61">
        <v>45912</v>
      </c>
      <c r="I30" s="60" t="s">
        <v>69</v>
      </c>
      <c r="J30" s="66">
        <v>1</v>
      </c>
      <c r="K30" s="62">
        <v>147.29</v>
      </c>
      <c r="L30" s="67">
        <v>0.09</v>
      </c>
      <c r="M30" s="62">
        <v>13.26</v>
      </c>
      <c r="N30" s="60" t="s">
        <v>72</v>
      </c>
      <c r="O30" s="63" t="s">
        <v>622</v>
      </c>
      <c r="P30" s="63" t="s">
        <v>623</v>
      </c>
      <c r="Q30" s="63" t="s">
        <v>624</v>
      </c>
      <c r="R30" s="63">
        <v>16243811</v>
      </c>
      <c r="S30" s="57" t="str">
        <f t="shared" si="0"/>
        <v>Kimberly Dickerson</v>
      </c>
      <c r="T30" s="63"/>
      <c r="U30" s="63"/>
      <c r="V30" s="63"/>
      <c r="W30" s="63"/>
    </row>
    <row r="31" spans="1:23" ht="15" customHeight="1" x14ac:dyDescent="0.2">
      <c r="A31" s="60" t="s">
        <v>65</v>
      </c>
      <c r="B31" s="66">
        <v>441615079</v>
      </c>
      <c r="C31" s="60" t="s">
        <v>612</v>
      </c>
      <c r="D31" s="61">
        <v>44875</v>
      </c>
      <c r="E31" s="60" t="s">
        <v>477</v>
      </c>
      <c r="F31" s="61">
        <v>45901</v>
      </c>
      <c r="G31" s="61">
        <v>45931</v>
      </c>
      <c r="H31" s="61">
        <v>45912</v>
      </c>
      <c r="I31" s="60" t="s">
        <v>69</v>
      </c>
      <c r="J31" s="66">
        <v>1</v>
      </c>
      <c r="K31" s="62">
        <v>44.5</v>
      </c>
      <c r="L31" s="67">
        <v>0.09</v>
      </c>
      <c r="M31" s="62">
        <v>4.01</v>
      </c>
      <c r="N31" s="60" t="s">
        <v>72</v>
      </c>
      <c r="O31" s="63" t="s">
        <v>622</v>
      </c>
      <c r="P31" s="63" t="s">
        <v>623</v>
      </c>
      <c r="Q31" s="63" t="s">
        <v>624</v>
      </c>
      <c r="R31" s="63">
        <v>16243811</v>
      </c>
      <c r="S31" s="57" t="str">
        <f t="shared" si="0"/>
        <v>Kimberly Dickerson</v>
      </c>
      <c r="T31" s="63"/>
      <c r="U31" s="63"/>
      <c r="V31" s="63"/>
      <c r="W31" s="63"/>
    </row>
    <row r="32" spans="1:23" ht="15" customHeight="1" x14ac:dyDescent="0.2">
      <c r="A32" s="14" t="s">
        <v>65</v>
      </c>
      <c r="B32" s="64">
        <v>441617850</v>
      </c>
      <c r="C32" s="14" t="s">
        <v>102</v>
      </c>
      <c r="D32" s="58">
        <v>44896</v>
      </c>
      <c r="E32" s="14" t="s">
        <v>103</v>
      </c>
      <c r="F32" s="58">
        <v>45901</v>
      </c>
      <c r="G32" s="58">
        <v>45931</v>
      </c>
      <c r="H32" s="58">
        <v>45904</v>
      </c>
      <c r="I32" s="14" t="s">
        <v>69</v>
      </c>
      <c r="J32" s="64">
        <v>1</v>
      </c>
      <c r="K32" s="59">
        <v>205.8</v>
      </c>
      <c r="L32" s="65">
        <v>0.09</v>
      </c>
      <c r="M32" s="59">
        <v>18.52</v>
      </c>
      <c r="N32" s="14" t="s">
        <v>72</v>
      </c>
      <c r="O32" s="57" t="s">
        <v>619</v>
      </c>
      <c r="P32" s="57" t="s">
        <v>620</v>
      </c>
      <c r="Q32" s="57" t="s">
        <v>621</v>
      </c>
      <c r="R32" s="57">
        <v>20436925</v>
      </c>
      <c r="S32" s="57" t="str">
        <f t="shared" si="0"/>
        <v>Ashley Teipel</v>
      </c>
    </row>
    <row r="33" spans="1:23" ht="15" customHeight="1" x14ac:dyDescent="0.2">
      <c r="A33" s="14" t="s">
        <v>65</v>
      </c>
      <c r="B33" s="64">
        <v>441619259</v>
      </c>
      <c r="C33" s="14" t="s">
        <v>88</v>
      </c>
      <c r="D33" s="58">
        <v>44876</v>
      </c>
      <c r="E33" s="14" t="s">
        <v>89</v>
      </c>
      <c r="F33" s="58">
        <v>45901</v>
      </c>
      <c r="G33" s="58">
        <v>45931</v>
      </c>
      <c r="H33" s="58">
        <v>45906</v>
      </c>
      <c r="I33" s="14" t="s">
        <v>69</v>
      </c>
      <c r="J33" s="64">
        <v>1</v>
      </c>
      <c r="K33" s="59">
        <v>41.5</v>
      </c>
      <c r="L33" s="65">
        <v>0.09</v>
      </c>
      <c r="M33" s="59">
        <v>3.74</v>
      </c>
      <c r="N33" s="14" t="s">
        <v>72</v>
      </c>
      <c r="O33" s="57" t="s">
        <v>623</v>
      </c>
      <c r="P33" s="57" t="s">
        <v>631</v>
      </c>
      <c r="Q33" s="57" t="s">
        <v>632</v>
      </c>
      <c r="R33" s="57">
        <v>19278370</v>
      </c>
      <c r="S33" s="57" t="str">
        <f t="shared" si="0"/>
        <v>Anne Kozacheck</v>
      </c>
    </row>
    <row r="34" spans="1:23" ht="15" customHeight="1" x14ac:dyDescent="0.2">
      <c r="A34" s="60" t="s">
        <v>65</v>
      </c>
      <c r="B34" s="66">
        <v>441624181</v>
      </c>
      <c r="C34" s="60" t="s">
        <v>559</v>
      </c>
      <c r="D34" s="61">
        <v>44879</v>
      </c>
      <c r="E34" s="60" t="s">
        <v>138</v>
      </c>
      <c r="F34" s="61">
        <v>45901</v>
      </c>
      <c r="G34" s="61">
        <v>45931</v>
      </c>
      <c r="H34" s="61">
        <v>45909</v>
      </c>
      <c r="I34" s="60" t="s">
        <v>69</v>
      </c>
      <c r="J34" s="66">
        <v>1</v>
      </c>
      <c r="K34" s="62">
        <v>165.99</v>
      </c>
      <c r="L34" s="67">
        <v>0.09</v>
      </c>
      <c r="M34" s="62">
        <v>14.94</v>
      </c>
      <c r="N34" s="60" t="s">
        <v>72</v>
      </c>
      <c r="O34" s="63" t="s">
        <v>619</v>
      </c>
      <c r="P34" s="63" t="s">
        <v>620</v>
      </c>
      <c r="Q34" s="63" t="s">
        <v>621</v>
      </c>
      <c r="R34" s="63">
        <v>20436925</v>
      </c>
      <c r="S34" s="57" t="str">
        <f t="shared" si="0"/>
        <v>Ashley Teipel</v>
      </c>
      <c r="T34" s="63"/>
      <c r="U34" s="63"/>
      <c r="V34" s="63"/>
      <c r="W34" s="63"/>
    </row>
    <row r="35" spans="1:23" ht="15" customHeight="1" x14ac:dyDescent="0.2">
      <c r="A35" s="60" t="s">
        <v>65</v>
      </c>
      <c r="B35" s="66">
        <v>441625087</v>
      </c>
      <c r="C35" s="60" t="s">
        <v>560</v>
      </c>
      <c r="D35" s="61">
        <v>44880</v>
      </c>
      <c r="E35" s="60" t="s">
        <v>103</v>
      </c>
      <c r="F35" s="61">
        <v>45901</v>
      </c>
      <c r="G35" s="61">
        <v>45931</v>
      </c>
      <c r="H35" s="61">
        <v>45909</v>
      </c>
      <c r="I35" s="60" t="s">
        <v>69</v>
      </c>
      <c r="J35" s="66">
        <v>1</v>
      </c>
      <c r="K35" s="62">
        <v>62.5</v>
      </c>
      <c r="L35" s="67">
        <v>0.09</v>
      </c>
      <c r="M35" s="62">
        <v>5.63</v>
      </c>
      <c r="N35" s="60" t="s">
        <v>72</v>
      </c>
      <c r="O35" s="63" t="s">
        <v>619</v>
      </c>
      <c r="P35" s="63" t="s">
        <v>620</v>
      </c>
      <c r="Q35" s="63" t="s">
        <v>621</v>
      </c>
      <c r="R35" s="63">
        <v>20436925</v>
      </c>
      <c r="S35" s="57" t="str">
        <f t="shared" si="0"/>
        <v>Ashley Teipel</v>
      </c>
      <c r="T35" s="63"/>
      <c r="U35" s="63"/>
      <c r="V35" s="63"/>
      <c r="W35" s="63"/>
    </row>
    <row r="36" spans="1:23" ht="15" customHeight="1" x14ac:dyDescent="0.2">
      <c r="A36" s="60" t="s">
        <v>65</v>
      </c>
      <c r="B36" s="66">
        <v>441635063</v>
      </c>
      <c r="C36" s="60" t="s">
        <v>609</v>
      </c>
      <c r="D36" s="61">
        <v>44882</v>
      </c>
      <c r="E36" s="60" t="s">
        <v>106</v>
      </c>
      <c r="F36" s="61">
        <v>45901</v>
      </c>
      <c r="G36" s="61">
        <v>45931</v>
      </c>
      <c r="H36" s="61">
        <v>45910</v>
      </c>
      <c r="I36" s="60" t="s">
        <v>69</v>
      </c>
      <c r="J36" s="66">
        <v>1</v>
      </c>
      <c r="K36" s="62">
        <v>154.5</v>
      </c>
      <c r="L36" s="67">
        <v>0.09</v>
      </c>
      <c r="M36" s="62">
        <v>13.91</v>
      </c>
      <c r="N36" s="60" t="s">
        <v>72</v>
      </c>
      <c r="O36" s="63" t="s">
        <v>622</v>
      </c>
      <c r="P36" s="63" t="s">
        <v>623</v>
      </c>
      <c r="Q36" s="63" t="s">
        <v>624</v>
      </c>
      <c r="R36" s="63">
        <v>16243811</v>
      </c>
      <c r="S36" s="57" t="str">
        <f t="shared" si="0"/>
        <v>Kimberly Dickerson</v>
      </c>
      <c r="T36" s="63"/>
      <c r="U36" s="63"/>
      <c r="V36" s="63"/>
      <c r="W36" s="63"/>
    </row>
    <row r="37" spans="1:23" ht="15" customHeight="1" x14ac:dyDescent="0.2">
      <c r="A37" s="14" t="s">
        <v>65</v>
      </c>
      <c r="B37" s="64">
        <v>441635692</v>
      </c>
      <c r="C37" s="14" t="s">
        <v>111</v>
      </c>
      <c r="D37" s="58">
        <v>44896</v>
      </c>
      <c r="E37" s="14" t="s">
        <v>112</v>
      </c>
      <c r="F37" s="58">
        <v>45901</v>
      </c>
      <c r="G37" s="58">
        <v>45931</v>
      </c>
      <c r="H37" s="58">
        <v>45904</v>
      </c>
      <c r="I37" s="14" t="s">
        <v>69</v>
      </c>
      <c r="J37" s="64">
        <v>1</v>
      </c>
      <c r="K37" s="59">
        <v>129.35</v>
      </c>
      <c r="L37" s="65">
        <v>0.09</v>
      </c>
      <c r="M37" s="59">
        <v>11.64</v>
      </c>
      <c r="N37" s="14" t="s">
        <v>72</v>
      </c>
      <c r="O37" s="57" t="s">
        <v>619</v>
      </c>
      <c r="P37" s="57" t="s">
        <v>620</v>
      </c>
      <c r="Q37" s="57" t="s">
        <v>621</v>
      </c>
      <c r="R37" s="57">
        <v>20436925</v>
      </c>
      <c r="S37" s="57" t="str">
        <f t="shared" si="0"/>
        <v>Ashley Teipel</v>
      </c>
    </row>
    <row r="38" spans="1:23" ht="15" customHeight="1" x14ac:dyDescent="0.2">
      <c r="A38" s="14" t="s">
        <v>65</v>
      </c>
      <c r="B38" s="64">
        <v>441638999</v>
      </c>
      <c r="C38" s="14" t="s">
        <v>193</v>
      </c>
      <c r="D38" s="58">
        <v>44896</v>
      </c>
      <c r="E38" s="14" t="s">
        <v>157</v>
      </c>
      <c r="F38" s="58">
        <v>45901</v>
      </c>
      <c r="G38" s="58">
        <v>45931</v>
      </c>
      <c r="H38" s="58">
        <v>45904</v>
      </c>
      <c r="I38" s="14" t="s">
        <v>69</v>
      </c>
      <c r="J38" s="64">
        <v>1</v>
      </c>
      <c r="K38" s="59">
        <v>44.13</v>
      </c>
      <c r="L38" s="65">
        <v>0.06</v>
      </c>
      <c r="M38" s="59">
        <v>2.65</v>
      </c>
      <c r="N38" s="14" t="s">
        <v>72</v>
      </c>
      <c r="O38" s="57" t="s">
        <v>627</v>
      </c>
      <c r="Q38" s="57" t="s">
        <v>628</v>
      </c>
      <c r="R38" s="57">
        <v>17425766</v>
      </c>
      <c r="S38" s="57" t="str">
        <f t="shared" si="0"/>
        <v>Carol Foley</v>
      </c>
    </row>
    <row r="39" spans="1:23" ht="15" customHeight="1" x14ac:dyDescent="0.2">
      <c r="A39" s="14" t="s">
        <v>65</v>
      </c>
      <c r="B39" s="64">
        <v>441639969</v>
      </c>
      <c r="C39" s="14" t="s">
        <v>529</v>
      </c>
      <c r="D39" s="58">
        <v>44896</v>
      </c>
      <c r="E39" s="14" t="s">
        <v>473</v>
      </c>
      <c r="F39" s="58">
        <v>45901</v>
      </c>
      <c r="G39" s="58">
        <v>45931</v>
      </c>
      <c r="H39" s="58">
        <v>45904</v>
      </c>
      <c r="I39" s="14" t="s">
        <v>69</v>
      </c>
      <c r="J39" s="64">
        <v>1</v>
      </c>
      <c r="K39" s="59">
        <v>9</v>
      </c>
      <c r="L39" s="65">
        <v>0.09</v>
      </c>
      <c r="M39" s="59">
        <v>0.81</v>
      </c>
      <c r="N39" s="14" t="s">
        <v>72</v>
      </c>
      <c r="O39" s="57" t="s">
        <v>622</v>
      </c>
      <c r="P39" s="57" t="s">
        <v>623</v>
      </c>
      <c r="Q39" s="57" t="s">
        <v>624</v>
      </c>
      <c r="R39" s="57">
        <v>16243811</v>
      </c>
      <c r="S39" s="57" t="str">
        <f t="shared" si="0"/>
        <v>Kimberly Dickerson</v>
      </c>
    </row>
    <row r="40" spans="1:23" ht="15" customHeight="1" x14ac:dyDescent="0.2">
      <c r="A40" s="14" t="s">
        <v>65</v>
      </c>
      <c r="B40" s="64">
        <v>441639970</v>
      </c>
      <c r="C40" s="14" t="s">
        <v>529</v>
      </c>
      <c r="D40" s="58">
        <v>44896</v>
      </c>
      <c r="E40" s="14" t="s">
        <v>461</v>
      </c>
      <c r="F40" s="58">
        <v>45901</v>
      </c>
      <c r="G40" s="58">
        <v>45931</v>
      </c>
      <c r="H40" s="58">
        <v>45904</v>
      </c>
      <c r="I40" s="14" t="s">
        <v>69</v>
      </c>
      <c r="J40" s="64">
        <v>1</v>
      </c>
      <c r="K40" s="59">
        <v>9</v>
      </c>
      <c r="L40" s="65">
        <v>0.09</v>
      </c>
      <c r="M40" s="59">
        <v>0.81</v>
      </c>
      <c r="N40" s="14" t="s">
        <v>72</v>
      </c>
      <c r="O40" s="57" t="s">
        <v>622</v>
      </c>
      <c r="P40" s="57" t="s">
        <v>623</v>
      </c>
      <c r="Q40" s="57" t="s">
        <v>624</v>
      </c>
      <c r="R40" s="57">
        <v>16243811</v>
      </c>
      <c r="S40" s="57" t="str">
        <f t="shared" si="0"/>
        <v>Kimberly Dickerson</v>
      </c>
    </row>
    <row r="41" spans="1:23" ht="15" customHeight="1" x14ac:dyDescent="0.2">
      <c r="A41" s="14" t="s">
        <v>65</v>
      </c>
      <c r="B41" s="64">
        <v>441639971</v>
      </c>
      <c r="C41" s="14" t="s">
        <v>529</v>
      </c>
      <c r="D41" s="58">
        <v>44896</v>
      </c>
      <c r="E41" s="14" t="s">
        <v>278</v>
      </c>
      <c r="F41" s="58">
        <v>45901</v>
      </c>
      <c r="G41" s="58">
        <v>45931</v>
      </c>
      <c r="H41" s="58">
        <v>45904</v>
      </c>
      <c r="I41" s="14" t="s">
        <v>69</v>
      </c>
      <c r="J41" s="64">
        <v>1</v>
      </c>
      <c r="K41" s="59">
        <v>42.64</v>
      </c>
      <c r="L41" s="65">
        <v>0.09</v>
      </c>
      <c r="M41" s="59">
        <v>3.84</v>
      </c>
      <c r="N41" s="14" t="s">
        <v>72</v>
      </c>
      <c r="O41" s="57" t="s">
        <v>622</v>
      </c>
      <c r="P41" s="57" t="s">
        <v>623</v>
      </c>
      <c r="Q41" s="57" t="s">
        <v>624</v>
      </c>
      <c r="R41" s="57">
        <v>16243811</v>
      </c>
      <c r="S41" s="57" t="str">
        <f t="shared" si="0"/>
        <v>Kimberly Dickerson</v>
      </c>
    </row>
    <row r="42" spans="1:23" ht="15" customHeight="1" x14ac:dyDescent="0.2">
      <c r="A42" s="14" t="s">
        <v>65</v>
      </c>
      <c r="B42" s="64">
        <v>441639972</v>
      </c>
      <c r="C42" s="14" t="s">
        <v>529</v>
      </c>
      <c r="D42" s="58">
        <v>44896</v>
      </c>
      <c r="E42" s="14" t="s">
        <v>470</v>
      </c>
      <c r="F42" s="58">
        <v>45901</v>
      </c>
      <c r="G42" s="58">
        <v>45931</v>
      </c>
      <c r="H42" s="58">
        <v>45904</v>
      </c>
      <c r="I42" s="14" t="s">
        <v>69</v>
      </c>
      <c r="J42" s="64">
        <v>1</v>
      </c>
      <c r="K42" s="59">
        <v>28</v>
      </c>
      <c r="L42" s="65">
        <v>0.09</v>
      </c>
      <c r="M42" s="59">
        <v>2.52</v>
      </c>
      <c r="N42" s="14" t="s">
        <v>72</v>
      </c>
      <c r="O42" s="57" t="s">
        <v>622</v>
      </c>
      <c r="P42" s="57" t="s">
        <v>623</v>
      </c>
      <c r="Q42" s="57" t="s">
        <v>624</v>
      </c>
      <c r="R42" s="57">
        <v>16243811</v>
      </c>
      <c r="S42" s="57" t="str">
        <f t="shared" si="0"/>
        <v>Kimberly Dickerson</v>
      </c>
    </row>
    <row r="43" spans="1:23" ht="15" customHeight="1" x14ac:dyDescent="0.2">
      <c r="A43" s="14" t="s">
        <v>65</v>
      </c>
      <c r="B43" s="64">
        <v>441639973</v>
      </c>
      <c r="C43" s="14" t="s">
        <v>529</v>
      </c>
      <c r="D43" s="58">
        <v>44896</v>
      </c>
      <c r="E43" s="14" t="s">
        <v>444</v>
      </c>
      <c r="F43" s="58">
        <v>45901</v>
      </c>
      <c r="G43" s="58">
        <v>45931</v>
      </c>
      <c r="H43" s="58">
        <v>45904</v>
      </c>
      <c r="I43" s="14" t="s">
        <v>69</v>
      </c>
      <c r="J43" s="64">
        <v>1</v>
      </c>
      <c r="K43" s="59">
        <v>4.8</v>
      </c>
      <c r="L43" s="65">
        <v>0.09</v>
      </c>
      <c r="M43" s="59">
        <v>0.43</v>
      </c>
      <c r="N43" s="14" t="s">
        <v>72</v>
      </c>
      <c r="O43" s="57" t="s">
        <v>622</v>
      </c>
      <c r="P43" s="57" t="s">
        <v>623</v>
      </c>
      <c r="Q43" s="57" t="s">
        <v>624</v>
      </c>
      <c r="R43" s="57">
        <v>16243811</v>
      </c>
      <c r="S43" s="57" t="str">
        <f t="shared" si="0"/>
        <v>Kimberly Dickerson</v>
      </c>
    </row>
    <row r="44" spans="1:23" ht="15" customHeight="1" x14ac:dyDescent="0.2">
      <c r="A44" s="14" t="s">
        <v>65</v>
      </c>
      <c r="B44" s="64">
        <v>441639974</v>
      </c>
      <c r="C44" s="14" t="s">
        <v>529</v>
      </c>
      <c r="D44" s="58">
        <v>44896</v>
      </c>
      <c r="E44" s="14" t="s">
        <v>267</v>
      </c>
      <c r="F44" s="58">
        <v>45901</v>
      </c>
      <c r="G44" s="58">
        <v>45931</v>
      </c>
      <c r="H44" s="58">
        <v>45904</v>
      </c>
      <c r="I44" s="14" t="s">
        <v>69</v>
      </c>
      <c r="J44" s="64">
        <v>1</v>
      </c>
      <c r="K44" s="59">
        <v>23</v>
      </c>
      <c r="L44" s="65">
        <v>0.09</v>
      </c>
      <c r="M44" s="59">
        <v>2.0699999999999998</v>
      </c>
      <c r="N44" s="14" t="s">
        <v>72</v>
      </c>
      <c r="O44" s="57" t="s">
        <v>622</v>
      </c>
      <c r="P44" s="57" t="s">
        <v>623</v>
      </c>
      <c r="Q44" s="57" t="s">
        <v>624</v>
      </c>
      <c r="R44" s="57">
        <v>16243811</v>
      </c>
      <c r="S44" s="57" t="str">
        <f t="shared" si="0"/>
        <v>Kimberly Dickerson</v>
      </c>
    </row>
    <row r="45" spans="1:23" ht="15" customHeight="1" x14ac:dyDescent="0.2">
      <c r="A45" s="14" t="s">
        <v>65</v>
      </c>
      <c r="B45" s="64">
        <v>441640049</v>
      </c>
      <c r="C45" s="14" t="s">
        <v>132</v>
      </c>
      <c r="D45" s="58">
        <v>44927</v>
      </c>
      <c r="E45" s="14" t="s">
        <v>128</v>
      </c>
      <c r="F45" s="58">
        <v>45901</v>
      </c>
      <c r="G45" s="58">
        <v>45931</v>
      </c>
      <c r="H45" s="58">
        <v>45904</v>
      </c>
      <c r="I45" s="14" t="s">
        <v>69</v>
      </c>
      <c r="J45" s="64">
        <v>1</v>
      </c>
      <c r="K45" s="59">
        <v>90.85</v>
      </c>
      <c r="L45" s="65">
        <v>0.09</v>
      </c>
      <c r="M45" s="59">
        <v>8.18</v>
      </c>
      <c r="N45" s="14" t="s">
        <v>72</v>
      </c>
      <c r="O45" s="57" t="s">
        <v>619</v>
      </c>
      <c r="P45" s="57" t="s">
        <v>620</v>
      </c>
      <c r="Q45" s="57" t="s">
        <v>621</v>
      </c>
      <c r="R45" s="57">
        <v>20436925</v>
      </c>
      <c r="S45" s="57" t="str">
        <f t="shared" si="0"/>
        <v>Ashley Teipel</v>
      </c>
    </row>
    <row r="46" spans="1:23" ht="15" customHeight="1" x14ac:dyDescent="0.2">
      <c r="A46" s="14" t="s">
        <v>65</v>
      </c>
      <c r="B46" s="64">
        <v>441647531</v>
      </c>
      <c r="C46" s="14" t="s">
        <v>494</v>
      </c>
      <c r="D46" s="58">
        <v>44896</v>
      </c>
      <c r="E46" s="14" t="s">
        <v>495</v>
      </c>
      <c r="F46" s="58">
        <v>45901</v>
      </c>
      <c r="G46" s="58">
        <v>45931</v>
      </c>
      <c r="H46" s="58">
        <v>45904</v>
      </c>
      <c r="I46" s="14" t="s">
        <v>69</v>
      </c>
      <c r="J46" s="64">
        <v>1</v>
      </c>
      <c r="K46" s="59">
        <v>80.48</v>
      </c>
      <c r="L46" s="65">
        <v>0.09</v>
      </c>
      <c r="M46" s="59">
        <v>7.24</v>
      </c>
      <c r="N46" s="14" t="s">
        <v>72</v>
      </c>
      <c r="O46" s="57" t="s">
        <v>622</v>
      </c>
      <c r="P46" s="57" t="s">
        <v>623</v>
      </c>
      <c r="Q46" s="57" t="s">
        <v>624</v>
      </c>
      <c r="R46" s="57">
        <v>16243811</v>
      </c>
      <c r="S46" s="57" t="str">
        <f t="shared" si="0"/>
        <v>Kimberly Dickerson</v>
      </c>
    </row>
    <row r="47" spans="1:23" ht="15" customHeight="1" x14ac:dyDescent="0.2">
      <c r="A47" s="14" t="s">
        <v>65</v>
      </c>
      <c r="B47" s="64">
        <v>441647685</v>
      </c>
      <c r="C47" s="14" t="s">
        <v>466</v>
      </c>
      <c r="D47" s="58">
        <v>44896</v>
      </c>
      <c r="E47" s="14" t="s">
        <v>461</v>
      </c>
      <c r="F47" s="58">
        <v>45901</v>
      </c>
      <c r="G47" s="58">
        <v>45931</v>
      </c>
      <c r="H47" s="58">
        <v>45904</v>
      </c>
      <c r="I47" s="14" t="s">
        <v>69</v>
      </c>
      <c r="J47" s="64">
        <v>1</v>
      </c>
      <c r="K47" s="59">
        <v>9</v>
      </c>
      <c r="L47" s="65">
        <v>0.09</v>
      </c>
      <c r="M47" s="59">
        <v>0.81</v>
      </c>
      <c r="N47" s="14" t="s">
        <v>72</v>
      </c>
      <c r="O47" s="57" t="s">
        <v>622</v>
      </c>
      <c r="P47" s="57" t="s">
        <v>623</v>
      </c>
      <c r="Q47" s="57" t="s">
        <v>624</v>
      </c>
      <c r="R47" s="57">
        <v>16243811</v>
      </c>
      <c r="S47" s="57" t="str">
        <f t="shared" si="0"/>
        <v>Kimberly Dickerson</v>
      </c>
    </row>
    <row r="48" spans="1:23" ht="15" customHeight="1" x14ac:dyDescent="0.2">
      <c r="A48" s="14" t="s">
        <v>65</v>
      </c>
      <c r="B48" s="64">
        <v>441647687</v>
      </c>
      <c r="C48" s="14" t="s">
        <v>466</v>
      </c>
      <c r="D48" s="58">
        <v>44896</v>
      </c>
      <c r="E48" s="14" t="s">
        <v>278</v>
      </c>
      <c r="F48" s="58">
        <v>45901</v>
      </c>
      <c r="G48" s="58">
        <v>45931</v>
      </c>
      <c r="H48" s="58">
        <v>45904</v>
      </c>
      <c r="I48" s="14" t="s">
        <v>69</v>
      </c>
      <c r="J48" s="64">
        <v>1</v>
      </c>
      <c r="K48" s="59">
        <v>42.64</v>
      </c>
      <c r="L48" s="65">
        <v>0.09</v>
      </c>
      <c r="M48" s="59">
        <v>3.84</v>
      </c>
      <c r="N48" s="14" t="s">
        <v>72</v>
      </c>
      <c r="O48" s="57" t="s">
        <v>622</v>
      </c>
      <c r="P48" s="57" t="s">
        <v>623</v>
      </c>
      <c r="Q48" s="57" t="s">
        <v>624</v>
      </c>
      <c r="R48" s="57">
        <v>16243811</v>
      </c>
      <c r="S48" s="57" t="str">
        <f t="shared" si="0"/>
        <v>Kimberly Dickerson</v>
      </c>
    </row>
    <row r="49" spans="1:19" ht="15" customHeight="1" x14ac:dyDescent="0.2">
      <c r="A49" s="14" t="s">
        <v>65</v>
      </c>
      <c r="B49" s="64">
        <v>441651020</v>
      </c>
      <c r="C49" s="14" t="s">
        <v>80</v>
      </c>
      <c r="D49" s="58">
        <v>44927</v>
      </c>
      <c r="E49" s="14" t="s">
        <v>81</v>
      </c>
      <c r="F49" s="58">
        <v>45901</v>
      </c>
      <c r="G49" s="58">
        <v>45931</v>
      </c>
      <c r="H49" s="58">
        <v>45904</v>
      </c>
      <c r="I49" s="14" t="s">
        <v>69</v>
      </c>
      <c r="J49" s="64">
        <v>1</v>
      </c>
      <c r="K49" s="59">
        <v>9</v>
      </c>
      <c r="L49" s="65">
        <v>0.09</v>
      </c>
      <c r="M49" s="59">
        <v>0.81</v>
      </c>
      <c r="N49" s="14" t="s">
        <v>72</v>
      </c>
      <c r="O49" s="57" t="s">
        <v>623</v>
      </c>
      <c r="P49" s="57" t="s">
        <v>631</v>
      </c>
      <c r="Q49" s="57" t="s">
        <v>632</v>
      </c>
      <c r="R49" s="57">
        <v>19278370</v>
      </c>
      <c r="S49" s="57" t="str">
        <f t="shared" si="0"/>
        <v>Anne Kozacheck</v>
      </c>
    </row>
    <row r="50" spans="1:19" ht="15" customHeight="1" x14ac:dyDescent="0.2">
      <c r="A50" s="14" t="s">
        <v>65</v>
      </c>
      <c r="B50" s="64">
        <v>441652254</v>
      </c>
      <c r="C50" s="14" t="s">
        <v>399</v>
      </c>
      <c r="D50" s="58">
        <v>44927</v>
      </c>
      <c r="E50" s="14" t="s">
        <v>224</v>
      </c>
      <c r="F50" s="58">
        <v>45901</v>
      </c>
      <c r="G50" s="58">
        <v>45931</v>
      </c>
      <c r="H50" s="58">
        <v>45904</v>
      </c>
      <c r="I50" s="14" t="s">
        <v>69</v>
      </c>
      <c r="J50" s="64">
        <v>1</v>
      </c>
      <c r="K50" s="59">
        <v>35.99</v>
      </c>
      <c r="L50" s="65">
        <v>7.0000000000000007E-2</v>
      </c>
      <c r="M50" s="59">
        <v>2.52</v>
      </c>
      <c r="N50" s="14" t="s">
        <v>72</v>
      </c>
      <c r="O50" s="57" t="s">
        <v>629</v>
      </c>
      <c r="P50" s="57" t="s">
        <v>69</v>
      </c>
      <c r="Q50" s="57" t="s">
        <v>630</v>
      </c>
      <c r="R50" s="57">
        <v>15278437</v>
      </c>
      <c r="S50" s="57" t="str">
        <f t="shared" si="0"/>
        <v>Jason Hoffmann</v>
      </c>
    </row>
    <row r="51" spans="1:19" ht="15" customHeight="1" x14ac:dyDescent="0.2">
      <c r="A51" s="14" t="s">
        <v>65</v>
      </c>
      <c r="B51" s="64">
        <v>441652256</v>
      </c>
      <c r="C51" s="14" t="s">
        <v>399</v>
      </c>
      <c r="D51" s="58">
        <v>44927</v>
      </c>
      <c r="E51" s="14" t="s">
        <v>157</v>
      </c>
      <c r="F51" s="58">
        <v>45901</v>
      </c>
      <c r="G51" s="58">
        <v>45931</v>
      </c>
      <c r="H51" s="58">
        <v>45904</v>
      </c>
      <c r="I51" s="14" t="s">
        <v>69</v>
      </c>
      <c r="J51" s="64">
        <v>1</v>
      </c>
      <c r="K51" s="59">
        <v>15.62</v>
      </c>
      <c r="L51" s="65">
        <v>0.09</v>
      </c>
      <c r="M51" s="59">
        <v>1.41</v>
      </c>
      <c r="N51" s="14" t="s">
        <v>72</v>
      </c>
      <c r="O51" s="57" t="s">
        <v>629</v>
      </c>
      <c r="P51" s="57" t="s">
        <v>69</v>
      </c>
      <c r="Q51" s="57" t="s">
        <v>630</v>
      </c>
      <c r="R51" s="57">
        <v>15278437</v>
      </c>
      <c r="S51" s="57" t="str">
        <f t="shared" si="0"/>
        <v>Jason Hoffmann</v>
      </c>
    </row>
    <row r="52" spans="1:19" ht="15" customHeight="1" x14ac:dyDescent="0.2">
      <c r="A52" s="14" t="s">
        <v>65</v>
      </c>
      <c r="B52" s="64">
        <v>441652262</v>
      </c>
      <c r="C52" s="14" t="s">
        <v>399</v>
      </c>
      <c r="D52" s="58">
        <v>44927</v>
      </c>
      <c r="E52" s="14" t="s">
        <v>135</v>
      </c>
      <c r="F52" s="58">
        <v>45901</v>
      </c>
      <c r="G52" s="58">
        <v>45931</v>
      </c>
      <c r="H52" s="58">
        <v>45904</v>
      </c>
      <c r="I52" s="14" t="s">
        <v>69</v>
      </c>
      <c r="J52" s="64">
        <v>1</v>
      </c>
      <c r="K52" s="59">
        <v>10.45</v>
      </c>
      <c r="L52" s="65">
        <v>0.09</v>
      </c>
      <c r="M52" s="59">
        <v>0.94</v>
      </c>
      <c r="N52" s="14" t="s">
        <v>72</v>
      </c>
      <c r="O52" s="57" t="s">
        <v>629</v>
      </c>
      <c r="P52" s="57" t="s">
        <v>69</v>
      </c>
      <c r="Q52" s="57" t="s">
        <v>630</v>
      </c>
      <c r="R52" s="57">
        <v>15278437</v>
      </c>
      <c r="S52" s="57" t="str">
        <f t="shared" si="0"/>
        <v>Jason Hoffmann</v>
      </c>
    </row>
    <row r="53" spans="1:19" ht="15" customHeight="1" x14ac:dyDescent="0.2">
      <c r="A53" s="14" t="s">
        <v>65</v>
      </c>
      <c r="B53" s="64">
        <v>441657234</v>
      </c>
      <c r="C53" s="14" t="s">
        <v>476</v>
      </c>
      <c r="D53" s="58">
        <v>44896</v>
      </c>
      <c r="E53" s="14" t="s">
        <v>477</v>
      </c>
      <c r="F53" s="58">
        <v>45901</v>
      </c>
      <c r="G53" s="58">
        <v>45931</v>
      </c>
      <c r="H53" s="58">
        <v>45904</v>
      </c>
      <c r="I53" s="14" t="s">
        <v>69</v>
      </c>
      <c r="J53" s="64">
        <v>1</v>
      </c>
      <c r="K53" s="59">
        <v>25</v>
      </c>
      <c r="L53" s="65">
        <v>0.09</v>
      </c>
      <c r="M53" s="59">
        <v>2.25</v>
      </c>
      <c r="N53" s="14" t="s">
        <v>72</v>
      </c>
      <c r="O53" s="57" t="s">
        <v>622</v>
      </c>
      <c r="P53" s="57" t="s">
        <v>623</v>
      </c>
      <c r="Q53" s="57" t="s">
        <v>624</v>
      </c>
      <c r="R53" s="57">
        <v>16243811</v>
      </c>
      <c r="S53" s="57" t="str">
        <f t="shared" si="0"/>
        <v>Kimberly Dickerson</v>
      </c>
    </row>
    <row r="54" spans="1:19" ht="15" customHeight="1" x14ac:dyDescent="0.2">
      <c r="A54" s="14" t="s">
        <v>65</v>
      </c>
      <c r="B54" s="64">
        <v>441658342</v>
      </c>
      <c r="C54" s="14" t="s">
        <v>289</v>
      </c>
      <c r="D54" s="58">
        <v>44896</v>
      </c>
      <c r="E54" s="14" t="s">
        <v>78</v>
      </c>
      <c r="F54" s="58">
        <v>45901</v>
      </c>
      <c r="G54" s="58">
        <v>45931</v>
      </c>
      <c r="H54" s="58">
        <v>45904</v>
      </c>
      <c r="I54" s="14" t="s">
        <v>69</v>
      </c>
      <c r="J54" s="64">
        <v>1</v>
      </c>
      <c r="K54" s="59">
        <v>10.6</v>
      </c>
      <c r="L54" s="65">
        <v>0.03</v>
      </c>
      <c r="M54" s="59">
        <v>0.32</v>
      </c>
      <c r="N54" s="14" t="s">
        <v>72</v>
      </c>
      <c r="O54" s="57" t="s">
        <v>627</v>
      </c>
      <c r="Q54" s="57" t="s">
        <v>628</v>
      </c>
      <c r="R54" s="57">
        <v>17425766</v>
      </c>
      <c r="S54" s="57" t="str">
        <f t="shared" si="0"/>
        <v>Carol Foley</v>
      </c>
    </row>
    <row r="55" spans="1:19" ht="15" customHeight="1" x14ac:dyDescent="0.2">
      <c r="A55" s="14" t="s">
        <v>65</v>
      </c>
      <c r="B55" s="64">
        <v>441659598</v>
      </c>
      <c r="C55" s="14" t="s">
        <v>443</v>
      </c>
      <c r="D55" s="58">
        <v>44927</v>
      </c>
      <c r="E55" s="14" t="s">
        <v>444</v>
      </c>
      <c r="F55" s="58">
        <v>45901</v>
      </c>
      <c r="G55" s="58">
        <v>45931</v>
      </c>
      <c r="H55" s="58">
        <v>45904</v>
      </c>
      <c r="I55" s="14" t="s">
        <v>69</v>
      </c>
      <c r="J55" s="64">
        <v>1</v>
      </c>
      <c r="K55" s="59">
        <v>3.36</v>
      </c>
      <c r="L55" s="65">
        <v>0.09</v>
      </c>
      <c r="M55" s="59">
        <v>0.3</v>
      </c>
      <c r="N55" s="14" t="s">
        <v>72</v>
      </c>
      <c r="O55" s="57" t="s">
        <v>625</v>
      </c>
      <c r="Q55" s="57" t="s">
        <v>626</v>
      </c>
      <c r="R55" s="57">
        <v>20436896</v>
      </c>
      <c r="S55" s="57" t="str">
        <f t="shared" si="0"/>
        <v>Katelenn Caltagirone</v>
      </c>
    </row>
    <row r="56" spans="1:19" ht="15" customHeight="1" x14ac:dyDescent="0.2">
      <c r="A56" s="14" t="s">
        <v>65</v>
      </c>
      <c r="B56" s="64">
        <v>441659600</v>
      </c>
      <c r="C56" s="14" t="s">
        <v>443</v>
      </c>
      <c r="D56" s="58">
        <v>44927</v>
      </c>
      <c r="E56" s="14" t="s">
        <v>115</v>
      </c>
      <c r="F56" s="58">
        <v>45901</v>
      </c>
      <c r="G56" s="58">
        <v>45931</v>
      </c>
      <c r="H56" s="58">
        <v>45904</v>
      </c>
      <c r="I56" s="14" t="s">
        <v>69</v>
      </c>
      <c r="J56" s="64">
        <v>1</v>
      </c>
      <c r="K56" s="59">
        <v>141.5</v>
      </c>
      <c r="L56" s="65">
        <v>0.09</v>
      </c>
      <c r="M56" s="59">
        <v>12.74</v>
      </c>
      <c r="N56" s="14" t="s">
        <v>72</v>
      </c>
      <c r="O56" s="57" t="s">
        <v>625</v>
      </c>
      <c r="Q56" s="57" t="s">
        <v>626</v>
      </c>
      <c r="R56" s="57">
        <v>20436896</v>
      </c>
      <c r="S56" s="57" t="str">
        <f t="shared" si="0"/>
        <v>Katelenn Caltagirone</v>
      </c>
    </row>
    <row r="57" spans="1:19" ht="15" customHeight="1" x14ac:dyDescent="0.2">
      <c r="A57" s="14" t="s">
        <v>65</v>
      </c>
      <c r="B57" s="64">
        <v>441659627</v>
      </c>
      <c r="C57" s="14" t="s">
        <v>117</v>
      </c>
      <c r="D57" s="58">
        <v>44896</v>
      </c>
      <c r="E57" s="14" t="s">
        <v>118</v>
      </c>
      <c r="F57" s="58">
        <v>45901</v>
      </c>
      <c r="G57" s="58">
        <v>45931</v>
      </c>
      <c r="H57" s="58">
        <v>45904</v>
      </c>
      <c r="I57" s="14" t="s">
        <v>69</v>
      </c>
      <c r="J57" s="64">
        <v>1</v>
      </c>
      <c r="K57" s="59">
        <v>407.69</v>
      </c>
      <c r="L57" s="65">
        <v>0.09</v>
      </c>
      <c r="M57" s="59">
        <v>36.69</v>
      </c>
      <c r="N57" s="14" t="s">
        <v>72</v>
      </c>
      <c r="O57" s="57" t="s">
        <v>619</v>
      </c>
      <c r="P57" s="57" t="s">
        <v>620</v>
      </c>
      <c r="Q57" s="57" t="s">
        <v>621</v>
      </c>
      <c r="R57" s="57">
        <v>20436925</v>
      </c>
      <c r="S57" s="57" t="str">
        <f t="shared" si="0"/>
        <v>Ashley Teipel</v>
      </c>
    </row>
    <row r="58" spans="1:19" ht="15" customHeight="1" x14ac:dyDescent="0.2">
      <c r="A58" s="14" t="s">
        <v>65</v>
      </c>
      <c r="B58" s="64">
        <v>441659717</v>
      </c>
      <c r="C58" s="14" t="s">
        <v>426</v>
      </c>
      <c r="D58" s="58">
        <v>44927</v>
      </c>
      <c r="E58" s="14" t="s">
        <v>81</v>
      </c>
      <c r="F58" s="58">
        <v>45901</v>
      </c>
      <c r="G58" s="58">
        <v>45931</v>
      </c>
      <c r="H58" s="58">
        <v>45904</v>
      </c>
      <c r="I58" s="14" t="s">
        <v>69</v>
      </c>
      <c r="J58" s="64">
        <v>1</v>
      </c>
      <c r="K58" s="59">
        <v>16</v>
      </c>
      <c r="L58" s="65">
        <v>0.09</v>
      </c>
      <c r="M58" s="59">
        <v>1.44</v>
      </c>
      <c r="N58" s="14" t="s">
        <v>72</v>
      </c>
      <c r="O58" s="57" t="s">
        <v>629</v>
      </c>
      <c r="P58" s="57" t="s">
        <v>69</v>
      </c>
      <c r="Q58" s="57" t="s">
        <v>630</v>
      </c>
      <c r="R58" s="57">
        <v>15278437</v>
      </c>
      <c r="S58" s="57" t="str">
        <f t="shared" si="0"/>
        <v>Jason Hoffmann</v>
      </c>
    </row>
    <row r="59" spans="1:19" ht="15" customHeight="1" x14ac:dyDescent="0.2">
      <c r="A59" s="14" t="s">
        <v>65</v>
      </c>
      <c r="B59" s="64">
        <v>441662401</v>
      </c>
      <c r="C59" s="14" t="s">
        <v>395</v>
      </c>
      <c r="D59" s="58">
        <v>44896</v>
      </c>
      <c r="E59" s="14" t="s">
        <v>81</v>
      </c>
      <c r="F59" s="58">
        <v>45901</v>
      </c>
      <c r="G59" s="58">
        <v>45931</v>
      </c>
      <c r="H59" s="58">
        <v>45904</v>
      </c>
      <c r="I59" s="14" t="s">
        <v>69</v>
      </c>
      <c r="J59" s="64">
        <v>1</v>
      </c>
      <c r="K59" s="59">
        <v>25</v>
      </c>
      <c r="L59" s="65">
        <v>0.09</v>
      </c>
      <c r="M59" s="59">
        <v>2.25</v>
      </c>
      <c r="N59" s="14" t="s">
        <v>72</v>
      </c>
      <c r="O59" s="57" t="s">
        <v>629</v>
      </c>
      <c r="P59" s="57" t="s">
        <v>69</v>
      </c>
      <c r="Q59" s="57" t="s">
        <v>630</v>
      </c>
      <c r="R59" s="57">
        <v>15278437</v>
      </c>
      <c r="S59" s="57" t="str">
        <f t="shared" si="0"/>
        <v>Jason Hoffmann</v>
      </c>
    </row>
    <row r="60" spans="1:19" ht="15" customHeight="1" x14ac:dyDescent="0.2">
      <c r="A60" s="14" t="s">
        <v>65</v>
      </c>
      <c r="B60" s="64">
        <v>441662401</v>
      </c>
      <c r="C60" s="14" t="s">
        <v>395</v>
      </c>
      <c r="D60" s="58">
        <v>44896</v>
      </c>
      <c r="E60" s="14" t="s">
        <v>81</v>
      </c>
      <c r="F60" s="58">
        <v>45870</v>
      </c>
      <c r="G60" s="58">
        <v>45901</v>
      </c>
      <c r="H60" s="58">
        <v>45904</v>
      </c>
      <c r="I60" s="14" t="s">
        <v>69</v>
      </c>
      <c r="J60" s="64">
        <v>1</v>
      </c>
      <c r="K60" s="59">
        <v>25</v>
      </c>
      <c r="L60" s="65">
        <v>0.09</v>
      </c>
      <c r="M60" s="59">
        <v>2.25</v>
      </c>
      <c r="N60" s="14" t="s">
        <v>72</v>
      </c>
      <c r="O60" s="57" t="s">
        <v>629</v>
      </c>
      <c r="P60" s="57" t="s">
        <v>69</v>
      </c>
      <c r="Q60" s="57" t="s">
        <v>630</v>
      </c>
      <c r="R60" s="57">
        <v>15278437</v>
      </c>
      <c r="S60" s="57" t="str">
        <f t="shared" si="0"/>
        <v>Jason Hoffmann</v>
      </c>
    </row>
    <row r="61" spans="1:19" ht="15" customHeight="1" x14ac:dyDescent="0.2">
      <c r="A61" s="14" t="s">
        <v>65</v>
      </c>
      <c r="B61" s="64">
        <v>441662402</v>
      </c>
      <c r="C61" s="14" t="s">
        <v>395</v>
      </c>
      <c r="D61" s="58">
        <v>44896</v>
      </c>
      <c r="E61" s="14" t="s">
        <v>196</v>
      </c>
      <c r="F61" s="58">
        <v>45870</v>
      </c>
      <c r="G61" s="58">
        <v>45901</v>
      </c>
      <c r="H61" s="58">
        <v>45904</v>
      </c>
      <c r="I61" s="14" t="s">
        <v>69</v>
      </c>
      <c r="J61" s="64">
        <v>1</v>
      </c>
      <c r="K61" s="59">
        <v>54</v>
      </c>
      <c r="L61" s="65">
        <v>0.09</v>
      </c>
      <c r="M61" s="59">
        <v>4.8600000000000003</v>
      </c>
      <c r="N61" s="14" t="s">
        <v>72</v>
      </c>
      <c r="O61" s="57" t="s">
        <v>629</v>
      </c>
      <c r="P61" s="57" t="s">
        <v>69</v>
      </c>
      <c r="Q61" s="57" t="s">
        <v>630</v>
      </c>
      <c r="R61" s="57">
        <v>15278437</v>
      </c>
      <c r="S61" s="57" t="str">
        <f t="shared" si="0"/>
        <v>Jason Hoffmann</v>
      </c>
    </row>
    <row r="62" spans="1:19" ht="15" customHeight="1" x14ac:dyDescent="0.2">
      <c r="A62" s="14" t="s">
        <v>65</v>
      </c>
      <c r="B62" s="64">
        <v>441662402</v>
      </c>
      <c r="C62" s="14" t="s">
        <v>395</v>
      </c>
      <c r="D62" s="58">
        <v>44896</v>
      </c>
      <c r="E62" s="14" t="s">
        <v>196</v>
      </c>
      <c r="F62" s="58">
        <v>45901</v>
      </c>
      <c r="G62" s="58">
        <v>45931</v>
      </c>
      <c r="H62" s="58">
        <v>45904</v>
      </c>
      <c r="I62" s="14" t="s">
        <v>69</v>
      </c>
      <c r="J62" s="64">
        <v>1</v>
      </c>
      <c r="K62" s="59">
        <v>54</v>
      </c>
      <c r="L62" s="65">
        <v>0.09</v>
      </c>
      <c r="M62" s="59">
        <v>4.8600000000000003</v>
      </c>
      <c r="N62" s="14" t="s">
        <v>72</v>
      </c>
      <c r="O62" s="57" t="s">
        <v>629</v>
      </c>
      <c r="P62" s="57" t="s">
        <v>69</v>
      </c>
      <c r="Q62" s="57" t="s">
        <v>630</v>
      </c>
      <c r="R62" s="57">
        <v>15278437</v>
      </c>
      <c r="S62" s="57" t="str">
        <f t="shared" si="0"/>
        <v>Jason Hoffmann</v>
      </c>
    </row>
    <row r="63" spans="1:19" ht="15" customHeight="1" x14ac:dyDescent="0.2">
      <c r="A63" s="14" t="s">
        <v>65</v>
      </c>
      <c r="B63" s="64">
        <v>441662404</v>
      </c>
      <c r="C63" s="14" t="s">
        <v>395</v>
      </c>
      <c r="D63" s="58">
        <v>44896</v>
      </c>
      <c r="E63" s="14" t="s">
        <v>157</v>
      </c>
      <c r="F63" s="58">
        <v>45901</v>
      </c>
      <c r="G63" s="58">
        <v>45931</v>
      </c>
      <c r="H63" s="58">
        <v>45904</v>
      </c>
      <c r="I63" s="14" t="s">
        <v>69</v>
      </c>
      <c r="J63" s="64">
        <v>1</v>
      </c>
      <c r="K63" s="59">
        <v>146.41999999999999</v>
      </c>
      <c r="L63" s="65">
        <v>0.18</v>
      </c>
      <c r="M63" s="59">
        <v>26.36</v>
      </c>
      <c r="N63" s="14" t="s">
        <v>72</v>
      </c>
      <c r="O63" s="57" t="s">
        <v>629</v>
      </c>
      <c r="P63" s="57" t="s">
        <v>69</v>
      </c>
      <c r="Q63" s="57" t="s">
        <v>630</v>
      </c>
      <c r="R63" s="57">
        <v>15278437</v>
      </c>
      <c r="S63" s="57" t="str">
        <f t="shared" si="0"/>
        <v>Jason Hoffmann</v>
      </c>
    </row>
    <row r="64" spans="1:19" ht="15" customHeight="1" x14ac:dyDescent="0.2">
      <c r="A64" s="14" t="s">
        <v>65</v>
      </c>
      <c r="B64" s="64">
        <v>441662404</v>
      </c>
      <c r="C64" s="14" t="s">
        <v>395</v>
      </c>
      <c r="D64" s="58">
        <v>44896</v>
      </c>
      <c r="E64" s="14" t="s">
        <v>157</v>
      </c>
      <c r="F64" s="58">
        <v>45870</v>
      </c>
      <c r="G64" s="58">
        <v>45901</v>
      </c>
      <c r="H64" s="58">
        <v>45904</v>
      </c>
      <c r="I64" s="14" t="s">
        <v>69</v>
      </c>
      <c r="J64" s="64">
        <v>1</v>
      </c>
      <c r="K64" s="59">
        <v>146.41999999999999</v>
      </c>
      <c r="L64" s="65">
        <v>0.18</v>
      </c>
      <c r="M64" s="59">
        <v>26.36</v>
      </c>
      <c r="N64" s="14" t="s">
        <v>72</v>
      </c>
      <c r="O64" s="57" t="s">
        <v>629</v>
      </c>
      <c r="P64" s="57" t="s">
        <v>69</v>
      </c>
      <c r="Q64" s="57" t="s">
        <v>630</v>
      </c>
      <c r="R64" s="57">
        <v>15278437</v>
      </c>
      <c r="S64" s="57" t="str">
        <f t="shared" si="0"/>
        <v>Jason Hoffmann</v>
      </c>
    </row>
    <row r="65" spans="1:23" ht="15" customHeight="1" x14ac:dyDescent="0.2">
      <c r="A65" s="14" t="s">
        <v>65</v>
      </c>
      <c r="B65" s="64">
        <v>441663878</v>
      </c>
      <c r="C65" s="14" t="s">
        <v>419</v>
      </c>
      <c r="D65" s="58">
        <v>44927</v>
      </c>
      <c r="E65" s="14" t="s">
        <v>183</v>
      </c>
      <c r="F65" s="58">
        <v>45901</v>
      </c>
      <c r="G65" s="58">
        <v>45931</v>
      </c>
      <c r="H65" s="58">
        <v>45904</v>
      </c>
      <c r="I65" s="14" t="s">
        <v>69</v>
      </c>
      <c r="J65" s="64">
        <v>1</v>
      </c>
      <c r="K65" s="59">
        <v>84.91</v>
      </c>
      <c r="L65" s="65">
        <v>0.18</v>
      </c>
      <c r="M65" s="59">
        <v>15.28</v>
      </c>
      <c r="N65" s="14" t="s">
        <v>72</v>
      </c>
      <c r="O65" s="57" t="s">
        <v>629</v>
      </c>
      <c r="P65" s="57" t="s">
        <v>69</v>
      </c>
      <c r="Q65" s="57" t="s">
        <v>630</v>
      </c>
      <c r="R65" s="57">
        <v>15278437</v>
      </c>
      <c r="S65" s="57" t="str">
        <f t="shared" si="0"/>
        <v>Jason Hoffmann</v>
      </c>
    </row>
    <row r="66" spans="1:23" ht="15" customHeight="1" x14ac:dyDescent="0.2">
      <c r="A66" s="14" t="s">
        <v>65</v>
      </c>
      <c r="B66" s="64">
        <v>441663879</v>
      </c>
      <c r="C66" s="14" t="s">
        <v>419</v>
      </c>
      <c r="D66" s="58">
        <v>44927</v>
      </c>
      <c r="E66" s="14" t="s">
        <v>78</v>
      </c>
      <c r="F66" s="58">
        <v>45901</v>
      </c>
      <c r="G66" s="58">
        <v>45931</v>
      </c>
      <c r="H66" s="58">
        <v>45904</v>
      </c>
      <c r="I66" s="14" t="s">
        <v>69</v>
      </c>
      <c r="J66" s="64">
        <v>1</v>
      </c>
      <c r="K66" s="59">
        <v>30.4</v>
      </c>
      <c r="L66" s="65">
        <v>0.09</v>
      </c>
      <c r="M66" s="59">
        <v>2.74</v>
      </c>
      <c r="N66" s="14" t="s">
        <v>72</v>
      </c>
      <c r="O66" s="57" t="s">
        <v>629</v>
      </c>
      <c r="P66" s="57" t="s">
        <v>69</v>
      </c>
      <c r="Q66" s="57" t="s">
        <v>630</v>
      </c>
      <c r="R66" s="57">
        <v>15278437</v>
      </c>
      <c r="S66" s="57" t="str">
        <f t="shared" si="0"/>
        <v>Jason Hoffmann</v>
      </c>
    </row>
    <row r="67" spans="1:23" ht="15" customHeight="1" x14ac:dyDescent="0.2">
      <c r="A67" s="14" t="s">
        <v>65</v>
      </c>
      <c r="B67" s="64">
        <v>441664231</v>
      </c>
      <c r="C67" s="14" t="s">
        <v>200</v>
      </c>
      <c r="D67" s="58">
        <v>44927</v>
      </c>
      <c r="E67" s="14" t="s">
        <v>81</v>
      </c>
      <c r="F67" s="58">
        <v>45901</v>
      </c>
      <c r="G67" s="58">
        <v>45931</v>
      </c>
      <c r="H67" s="58">
        <v>45904</v>
      </c>
      <c r="I67" s="14" t="s">
        <v>69</v>
      </c>
      <c r="J67" s="64">
        <v>1</v>
      </c>
      <c r="K67" s="59">
        <v>16</v>
      </c>
      <c r="L67" s="65">
        <v>0.03</v>
      </c>
      <c r="M67" s="59">
        <v>0.48</v>
      </c>
      <c r="N67" s="14" t="s">
        <v>72</v>
      </c>
      <c r="O67" s="57" t="s">
        <v>627</v>
      </c>
      <c r="Q67" s="57" t="s">
        <v>628</v>
      </c>
      <c r="R67" s="57">
        <v>17425766</v>
      </c>
      <c r="S67" s="57" t="str">
        <f t="shared" ref="S67:S130" si="1">CONCATENATE(O67, " ",Q67)</f>
        <v>Carol Foley</v>
      </c>
    </row>
    <row r="68" spans="1:23" ht="15" customHeight="1" x14ac:dyDescent="0.2">
      <c r="A68" s="14" t="s">
        <v>65</v>
      </c>
      <c r="B68" s="64">
        <v>441664237</v>
      </c>
      <c r="C68" s="14" t="s">
        <v>200</v>
      </c>
      <c r="D68" s="58">
        <v>44927</v>
      </c>
      <c r="E68" s="14" t="s">
        <v>157</v>
      </c>
      <c r="F68" s="58">
        <v>45901</v>
      </c>
      <c r="G68" s="58">
        <v>45931</v>
      </c>
      <c r="H68" s="58">
        <v>45904</v>
      </c>
      <c r="I68" s="14" t="s">
        <v>69</v>
      </c>
      <c r="J68" s="64">
        <v>1</v>
      </c>
      <c r="K68" s="59">
        <v>116.18</v>
      </c>
      <c r="L68" s="65">
        <v>0.06</v>
      </c>
      <c r="M68" s="59">
        <v>6.97</v>
      </c>
      <c r="N68" s="14" t="s">
        <v>72</v>
      </c>
      <c r="O68" s="57" t="s">
        <v>627</v>
      </c>
      <c r="Q68" s="57" t="s">
        <v>628</v>
      </c>
      <c r="R68" s="57">
        <v>17425766</v>
      </c>
      <c r="S68" s="57" t="str">
        <f t="shared" si="1"/>
        <v>Carol Foley</v>
      </c>
    </row>
    <row r="69" spans="1:23" ht="15" customHeight="1" x14ac:dyDescent="0.2">
      <c r="A69" s="14" t="s">
        <v>65</v>
      </c>
      <c r="B69" s="64">
        <v>441668237</v>
      </c>
      <c r="C69" s="14" t="s">
        <v>505</v>
      </c>
      <c r="D69" s="58">
        <v>44897</v>
      </c>
      <c r="E69" s="14" t="s">
        <v>78</v>
      </c>
      <c r="F69" s="58">
        <v>45901</v>
      </c>
      <c r="G69" s="58">
        <v>45931</v>
      </c>
      <c r="H69" s="58">
        <v>45904</v>
      </c>
      <c r="I69" s="14" t="s">
        <v>69</v>
      </c>
      <c r="J69" s="64">
        <v>1</v>
      </c>
      <c r="K69" s="59">
        <v>38.700000000000003</v>
      </c>
      <c r="L69" s="65">
        <v>0.09</v>
      </c>
      <c r="M69" s="59">
        <v>3.48</v>
      </c>
      <c r="N69" s="14" t="s">
        <v>72</v>
      </c>
      <c r="O69" s="57" t="s">
        <v>622</v>
      </c>
      <c r="P69" s="57" t="s">
        <v>623</v>
      </c>
      <c r="Q69" s="57" t="s">
        <v>624</v>
      </c>
      <c r="R69" s="57">
        <v>16243811</v>
      </c>
      <c r="S69" s="57" t="str">
        <f t="shared" si="1"/>
        <v>Kimberly Dickerson</v>
      </c>
    </row>
    <row r="70" spans="1:23" ht="15" customHeight="1" x14ac:dyDescent="0.2">
      <c r="A70" s="14" t="s">
        <v>65</v>
      </c>
      <c r="B70" s="64">
        <v>441671088</v>
      </c>
      <c r="C70" s="14" t="s">
        <v>486</v>
      </c>
      <c r="D70" s="58">
        <v>44896</v>
      </c>
      <c r="E70" s="14" t="s">
        <v>278</v>
      </c>
      <c r="F70" s="58">
        <v>45901</v>
      </c>
      <c r="G70" s="58">
        <v>45931</v>
      </c>
      <c r="H70" s="58">
        <v>45904</v>
      </c>
      <c r="I70" s="14" t="s">
        <v>69</v>
      </c>
      <c r="J70" s="64">
        <v>1</v>
      </c>
      <c r="K70" s="59">
        <v>42.64</v>
      </c>
      <c r="L70" s="65">
        <v>0.09</v>
      </c>
      <c r="M70" s="59">
        <v>3.84</v>
      </c>
      <c r="N70" s="14" t="s">
        <v>72</v>
      </c>
      <c r="O70" s="57" t="s">
        <v>622</v>
      </c>
      <c r="P70" s="57" t="s">
        <v>623</v>
      </c>
      <c r="Q70" s="57" t="s">
        <v>624</v>
      </c>
      <c r="R70" s="57">
        <v>16243811</v>
      </c>
      <c r="S70" s="57" t="str">
        <f t="shared" si="1"/>
        <v>Kimberly Dickerson</v>
      </c>
    </row>
    <row r="71" spans="1:23" ht="15" customHeight="1" x14ac:dyDescent="0.2">
      <c r="A71" s="14" t="s">
        <v>65</v>
      </c>
      <c r="B71" s="64">
        <v>441672109</v>
      </c>
      <c r="C71" s="14" t="s">
        <v>486</v>
      </c>
      <c r="D71" s="58">
        <v>44896</v>
      </c>
      <c r="E71" s="14" t="s">
        <v>461</v>
      </c>
      <c r="F71" s="58">
        <v>45901</v>
      </c>
      <c r="G71" s="58">
        <v>45931</v>
      </c>
      <c r="H71" s="58">
        <v>45904</v>
      </c>
      <c r="I71" s="14" t="s">
        <v>69</v>
      </c>
      <c r="J71" s="64">
        <v>1</v>
      </c>
      <c r="K71" s="59">
        <v>9</v>
      </c>
      <c r="L71" s="65">
        <v>0.09</v>
      </c>
      <c r="M71" s="59">
        <v>0.81</v>
      </c>
      <c r="N71" s="14" t="s">
        <v>72</v>
      </c>
      <c r="O71" s="57" t="s">
        <v>622</v>
      </c>
      <c r="P71" s="57" t="s">
        <v>623</v>
      </c>
      <c r="Q71" s="57" t="s">
        <v>624</v>
      </c>
      <c r="R71" s="57">
        <v>16243811</v>
      </c>
      <c r="S71" s="57" t="str">
        <f t="shared" si="1"/>
        <v>Kimberly Dickerson</v>
      </c>
    </row>
    <row r="72" spans="1:23" ht="15" customHeight="1" x14ac:dyDescent="0.2">
      <c r="A72" s="14" t="s">
        <v>65</v>
      </c>
      <c r="B72" s="64">
        <v>441673836</v>
      </c>
      <c r="C72" s="14" t="s">
        <v>439</v>
      </c>
      <c r="D72" s="58">
        <v>44927</v>
      </c>
      <c r="E72" s="14" t="s">
        <v>224</v>
      </c>
      <c r="F72" s="58">
        <v>45901</v>
      </c>
      <c r="G72" s="58">
        <v>45931</v>
      </c>
      <c r="H72" s="58">
        <v>45904</v>
      </c>
      <c r="I72" s="14" t="s">
        <v>69</v>
      </c>
      <c r="J72" s="64">
        <v>1</v>
      </c>
      <c r="K72" s="59">
        <v>47.13</v>
      </c>
      <c r="L72" s="65">
        <v>0.09</v>
      </c>
      <c r="M72" s="59">
        <v>4.24</v>
      </c>
      <c r="N72" s="14" t="s">
        <v>72</v>
      </c>
      <c r="O72" s="57" t="s">
        <v>629</v>
      </c>
      <c r="P72" s="57" t="s">
        <v>69</v>
      </c>
      <c r="Q72" s="57" t="s">
        <v>630</v>
      </c>
      <c r="R72" s="57">
        <v>15278437</v>
      </c>
      <c r="S72" s="57" t="str">
        <f t="shared" si="1"/>
        <v>Jason Hoffmann</v>
      </c>
    </row>
    <row r="73" spans="1:23" ht="15" customHeight="1" x14ac:dyDescent="0.2">
      <c r="A73" s="14" t="s">
        <v>65</v>
      </c>
      <c r="B73" s="64">
        <v>441673839</v>
      </c>
      <c r="C73" s="14" t="s">
        <v>439</v>
      </c>
      <c r="D73" s="58">
        <v>44927</v>
      </c>
      <c r="E73" s="14" t="s">
        <v>157</v>
      </c>
      <c r="F73" s="58">
        <v>45901</v>
      </c>
      <c r="G73" s="58">
        <v>45931</v>
      </c>
      <c r="H73" s="58">
        <v>45904</v>
      </c>
      <c r="I73" s="14" t="s">
        <v>69</v>
      </c>
      <c r="J73" s="64">
        <v>1</v>
      </c>
      <c r="K73" s="59">
        <v>68.03</v>
      </c>
      <c r="L73" s="65">
        <v>0.18</v>
      </c>
      <c r="M73" s="59">
        <v>12.25</v>
      </c>
      <c r="N73" s="14" t="s">
        <v>72</v>
      </c>
      <c r="O73" s="57" t="s">
        <v>629</v>
      </c>
      <c r="P73" s="57" t="s">
        <v>69</v>
      </c>
      <c r="Q73" s="57" t="s">
        <v>630</v>
      </c>
      <c r="R73" s="57">
        <v>15278437</v>
      </c>
      <c r="S73" s="57" t="str">
        <f t="shared" si="1"/>
        <v>Jason Hoffmann</v>
      </c>
    </row>
    <row r="74" spans="1:23" ht="15" customHeight="1" x14ac:dyDescent="0.2">
      <c r="A74" s="60" t="s">
        <v>65</v>
      </c>
      <c r="B74" s="66">
        <v>441674279</v>
      </c>
      <c r="C74" s="60" t="s">
        <v>608</v>
      </c>
      <c r="D74" s="61">
        <v>44900</v>
      </c>
      <c r="E74" s="60" t="s">
        <v>278</v>
      </c>
      <c r="F74" s="61">
        <v>45901</v>
      </c>
      <c r="G74" s="61">
        <v>45931</v>
      </c>
      <c r="H74" s="61">
        <v>45909</v>
      </c>
      <c r="I74" s="60" t="s">
        <v>69</v>
      </c>
      <c r="J74" s="66">
        <v>1</v>
      </c>
      <c r="K74" s="62">
        <v>85.28</v>
      </c>
      <c r="L74" s="67">
        <v>0.09</v>
      </c>
      <c r="M74" s="62">
        <v>7.68</v>
      </c>
      <c r="N74" s="60" t="s">
        <v>72</v>
      </c>
      <c r="O74" s="63" t="s">
        <v>622</v>
      </c>
      <c r="P74" s="63" t="s">
        <v>623</v>
      </c>
      <c r="Q74" s="63" t="s">
        <v>624</v>
      </c>
      <c r="R74" s="63">
        <v>16243811</v>
      </c>
      <c r="S74" s="57" t="str">
        <f t="shared" si="1"/>
        <v>Kimberly Dickerson</v>
      </c>
      <c r="T74" s="63"/>
      <c r="U74" s="63"/>
      <c r="V74" s="63"/>
      <c r="W74" s="63"/>
    </row>
    <row r="75" spans="1:23" ht="15" customHeight="1" x14ac:dyDescent="0.2">
      <c r="A75" s="60" t="s">
        <v>65</v>
      </c>
      <c r="B75" s="66">
        <v>441674280</v>
      </c>
      <c r="C75" s="60" t="s">
        <v>608</v>
      </c>
      <c r="D75" s="61">
        <v>44900</v>
      </c>
      <c r="E75" s="60" t="s">
        <v>461</v>
      </c>
      <c r="F75" s="61">
        <v>45901</v>
      </c>
      <c r="G75" s="61">
        <v>45931</v>
      </c>
      <c r="H75" s="61">
        <v>45909</v>
      </c>
      <c r="I75" s="60" t="s">
        <v>69</v>
      </c>
      <c r="J75" s="66">
        <v>1</v>
      </c>
      <c r="K75" s="62">
        <v>16</v>
      </c>
      <c r="L75" s="67">
        <v>0.09</v>
      </c>
      <c r="M75" s="62">
        <v>1.44</v>
      </c>
      <c r="N75" s="60" t="s">
        <v>72</v>
      </c>
      <c r="O75" s="63" t="s">
        <v>622</v>
      </c>
      <c r="P75" s="63" t="s">
        <v>623</v>
      </c>
      <c r="Q75" s="63" t="s">
        <v>624</v>
      </c>
      <c r="R75" s="63">
        <v>16243811</v>
      </c>
      <c r="S75" s="57" t="str">
        <f t="shared" si="1"/>
        <v>Kimberly Dickerson</v>
      </c>
      <c r="T75" s="63"/>
      <c r="U75" s="63"/>
      <c r="V75" s="63"/>
      <c r="W75" s="63"/>
    </row>
    <row r="76" spans="1:23" ht="15" customHeight="1" x14ac:dyDescent="0.2">
      <c r="A76" s="14" t="s">
        <v>65</v>
      </c>
      <c r="B76" s="64">
        <v>441675885</v>
      </c>
      <c r="C76" s="14" t="s">
        <v>144</v>
      </c>
      <c r="D76" s="58">
        <v>44927</v>
      </c>
      <c r="E76" s="14" t="s">
        <v>103</v>
      </c>
      <c r="F76" s="58">
        <v>45901</v>
      </c>
      <c r="G76" s="58">
        <v>45931</v>
      </c>
      <c r="H76" s="58">
        <v>45904</v>
      </c>
      <c r="I76" s="14" t="s">
        <v>69</v>
      </c>
      <c r="J76" s="64">
        <v>1</v>
      </c>
      <c r="K76" s="59">
        <v>125.5</v>
      </c>
      <c r="L76" s="65">
        <v>0.09</v>
      </c>
      <c r="M76" s="59">
        <v>11.3</v>
      </c>
      <c r="N76" s="14" t="s">
        <v>72</v>
      </c>
      <c r="O76" s="57" t="s">
        <v>619</v>
      </c>
      <c r="P76" s="57" t="s">
        <v>620</v>
      </c>
      <c r="Q76" s="57" t="s">
        <v>621</v>
      </c>
      <c r="R76" s="57">
        <v>20436925</v>
      </c>
      <c r="S76" s="57" t="str">
        <f t="shared" si="1"/>
        <v>Ashley Teipel</v>
      </c>
    </row>
    <row r="77" spans="1:23" ht="15" customHeight="1" x14ac:dyDescent="0.2">
      <c r="A77" s="60" t="s">
        <v>65</v>
      </c>
      <c r="B77" s="66">
        <v>441679321</v>
      </c>
      <c r="C77" s="60" t="s">
        <v>601</v>
      </c>
      <c r="D77" s="61">
        <v>44902</v>
      </c>
      <c r="E77" s="60" t="s">
        <v>115</v>
      </c>
      <c r="F77" s="61">
        <v>45901</v>
      </c>
      <c r="G77" s="61">
        <v>45931</v>
      </c>
      <c r="H77" s="61">
        <v>45910</v>
      </c>
      <c r="I77" s="60" t="s">
        <v>69</v>
      </c>
      <c r="J77" s="66">
        <v>1</v>
      </c>
      <c r="K77" s="62">
        <v>129</v>
      </c>
      <c r="L77" s="67">
        <v>0.09</v>
      </c>
      <c r="M77" s="62">
        <v>11.61</v>
      </c>
      <c r="N77" s="60" t="s">
        <v>72</v>
      </c>
      <c r="O77" s="63" t="s">
        <v>622</v>
      </c>
      <c r="P77" s="63" t="s">
        <v>623</v>
      </c>
      <c r="Q77" s="63" t="s">
        <v>624</v>
      </c>
      <c r="R77" s="63">
        <v>16243811</v>
      </c>
      <c r="S77" s="57" t="str">
        <f t="shared" si="1"/>
        <v>Kimberly Dickerson</v>
      </c>
      <c r="T77" s="63"/>
      <c r="U77" s="63"/>
      <c r="V77" s="63"/>
      <c r="W77" s="63"/>
    </row>
    <row r="78" spans="1:23" ht="15" customHeight="1" x14ac:dyDescent="0.2">
      <c r="A78" s="60" t="s">
        <v>65</v>
      </c>
      <c r="B78" s="66">
        <v>441680518</v>
      </c>
      <c r="C78" s="60" t="s">
        <v>593</v>
      </c>
      <c r="D78" s="61">
        <v>44902</v>
      </c>
      <c r="E78" s="60" t="s">
        <v>594</v>
      </c>
      <c r="F78" s="61">
        <v>45901</v>
      </c>
      <c r="G78" s="61">
        <v>45931</v>
      </c>
      <c r="H78" s="61">
        <v>45910</v>
      </c>
      <c r="I78" s="60" t="s">
        <v>69</v>
      </c>
      <c r="J78" s="66">
        <v>1</v>
      </c>
      <c r="K78" s="62">
        <v>111.5</v>
      </c>
      <c r="L78" s="67">
        <v>0.09</v>
      </c>
      <c r="M78" s="62">
        <v>10.039999999999999</v>
      </c>
      <c r="N78" s="60" t="s">
        <v>72</v>
      </c>
      <c r="O78" s="63" t="s">
        <v>625</v>
      </c>
      <c r="Q78" s="63" t="s">
        <v>626</v>
      </c>
      <c r="R78" s="63">
        <v>20436896</v>
      </c>
      <c r="S78" s="57" t="str">
        <f t="shared" si="1"/>
        <v>Katelenn Caltagirone</v>
      </c>
      <c r="T78" s="63"/>
      <c r="U78" s="63"/>
      <c r="V78" s="63"/>
      <c r="W78" s="63"/>
    </row>
    <row r="79" spans="1:23" ht="15" customHeight="1" x14ac:dyDescent="0.2">
      <c r="A79" s="60" t="s">
        <v>65</v>
      </c>
      <c r="B79" s="66">
        <v>441684105</v>
      </c>
      <c r="C79" s="60" t="s">
        <v>556</v>
      </c>
      <c r="D79" s="61">
        <v>44903</v>
      </c>
      <c r="E79" s="60" t="s">
        <v>128</v>
      </c>
      <c r="F79" s="61">
        <v>45901</v>
      </c>
      <c r="G79" s="61">
        <v>45931</v>
      </c>
      <c r="H79" s="61">
        <v>45910</v>
      </c>
      <c r="I79" s="60" t="s">
        <v>69</v>
      </c>
      <c r="J79" s="66">
        <v>1</v>
      </c>
      <c r="K79" s="62">
        <v>60.5</v>
      </c>
      <c r="L79" s="67">
        <v>0.09</v>
      </c>
      <c r="M79" s="62">
        <v>5.45</v>
      </c>
      <c r="N79" s="60" t="s">
        <v>72</v>
      </c>
      <c r="O79" s="63" t="s">
        <v>619</v>
      </c>
      <c r="P79" s="63" t="s">
        <v>620</v>
      </c>
      <c r="Q79" s="63" t="s">
        <v>621</v>
      </c>
      <c r="R79" s="63">
        <v>20436925</v>
      </c>
      <c r="S79" s="57" t="str">
        <f t="shared" si="1"/>
        <v>Ashley Teipel</v>
      </c>
      <c r="T79" s="63"/>
      <c r="U79" s="63"/>
      <c r="V79" s="63"/>
      <c r="W79" s="63"/>
    </row>
    <row r="80" spans="1:23" ht="15" customHeight="1" x14ac:dyDescent="0.2">
      <c r="A80" s="14" t="s">
        <v>65</v>
      </c>
      <c r="B80" s="64">
        <v>441686777</v>
      </c>
      <c r="C80" s="14" t="s">
        <v>223</v>
      </c>
      <c r="D80" s="58">
        <v>44927</v>
      </c>
      <c r="E80" s="14" t="s">
        <v>224</v>
      </c>
      <c r="F80" s="58">
        <v>45901</v>
      </c>
      <c r="G80" s="58">
        <v>45931</v>
      </c>
      <c r="H80" s="58">
        <v>45904</v>
      </c>
      <c r="I80" s="14" t="s">
        <v>69</v>
      </c>
      <c r="J80" s="64">
        <v>1</v>
      </c>
      <c r="K80" s="59">
        <v>47.13</v>
      </c>
      <c r="L80" s="65">
        <v>0.03</v>
      </c>
      <c r="M80" s="59">
        <v>1.41</v>
      </c>
      <c r="N80" s="14" t="s">
        <v>72</v>
      </c>
      <c r="O80" s="57" t="s">
        <v>627</v>
      </c>
      <c r="Q80" s="57" t="s">
        <v>628</v>
      </c>
      <c r="R80" s="57">
        <v>17425766</v>
      </c>
      <c r="S80" s="57" t="str">
        <f t="shared" si="1"/>
        <v>Carol Foley</v>
      </c>
    </row>
    <row r="81" spans="1:23" ht="15" customHeight="1" x14ac:dyDescent="0.2">
      <c r="A81" s="14" t="s">
        <v>65</v>
      </c>
      <c r="B81" s="64">
        <v>441686789</v>
      </c>
      <c r="C81" s="14" t="s">
        <v>223</v>
      </c>
      <c r="D81" s="58">
        <v>44927</v>
      </c>
      <c r="E81" s="14" t="s">
        <v>157</v>
      </c>
      <c r="F81" s="58">
        <v>45901</v>
      </c>
      <c r="G81" s="58">
        <v>45931</v>
      </c>
      <c r="H81" s="58">
        <v>45904</v>
      </c>
      <c r="I81" s="14" t="s">
        <v>69</v>
      </c>
      <c r="J81" s="64">
        <v>1</v>
      </c>
      <c r="K81" s="59">
        <v>109.62</v>
      </c>
      <c r="L81" s="65">
        <v>0.06</v>
      </c>
      <c r="M81" s="59">
        <v>6.58</v>
      </c>
      <c r="N81" s="14" t="s">
        <v>72</v>
      </c>
      <c r="O81" s="57" t="s">
        <v>627</v>
      </c>
      <c r="Q81" s="57" t="s">
        <v>628</v>
      </c>
      <c r="R81" s="57">
        <v>17425766</v>
      </c>
      <c r="S81" s="57" t="str">
        <f t="shared" si="1"/>
        <v>Carol Foley</v>
      </c>
    </row>
    <row r="82" spans="1:23" ht="15" customHeight="1" x14ac:dyDescent="0.2">
      <c r="A82" s="14" t="s">
        <v>65</v>
      </c>
      <c r="B82" s="64">
        <v>441693322</v>
      </c>
      <c r="C82" s="14" t="s">
        <v>140</v>
      </c>
      <c r="D82" s="58">
        <v>44927</v>
      </c>
      <c r="E82" s="14" t="s">
        <v>138</v>
      </c>
      <c r="F82" s="58">
        <v>45901</v>
      </c>
      <c r="G82" s="58">
        <v>45931</v>
      </c>
      <c r="H82" s="58">
        <v>45904</v>
      </c>
      <c r="I82" s="14" t="s">
        <v>69</v>
      </c>
      <c r="J82" s="64">
        <v>1</v>
      </c>
      <c r="K82" s="59">
        <v>50</v>
      </c>
      <c r="L82" s="65">
        <v>0.09</v>
      </c>
      <c r="M82" s="59">
        <v>4.5</v>
      </c>
      <c r="N82" s="14" t="s">
        <v>72</v>
      </c>
      <c r="O82" s="57" t="s">
        <v>619</v>
      </c>
      <c r="P82" s="57" t="s">
        <v>620</v>
      </c>
      <c r="Q82" s="57" t="s">
        <v>621</v>
      </c>
      <c r="R82" s="57">
        <v>20436925</v>
      </c>
      <c r="S82" s="57" t="str">
        <f t="shared" si="1"/>
        <v>Ashley Teipel</v>
      </c>
    </row>
    <row r="83" spans="1:23" ht="15" customHeight="1" x14ac:dyDescent="0.2">
      <c r="A83" s="14" t="s">
        <v>65</v>
      </c>
      <c r="B83" s="64">
        <v>441697647</v>
      </c>
      <c r="C83" s="14" t="s">
        <v>519</v>
      </c>
      <c r="D83" s="58">
        <v>44908</v>
      </c>
      <c r="E83" s="14" t="s">
        <v>115</v>
      </c>
      <c r="F83" s="58">
        <v>45901</v>
      </c>
      <c r="G83" s="58">
        <v>45931</v>
      </c>
      <c r="H83" s="58">
        <v>45906</v>
      </c>
      <c r="I83" s="14" t="s">
        <v>69</v>
      </c>
      <c r="J83" s="64">
        <v>1</v>
      </c>
      <c r="K83" s="59">
        <v>56.5</v>
      </c>
      <c r="L83" s="65">
        <v>0.09</v>
      </c>
      <c r="M83" s="59">
        <v>5.09</v>
      </c>
      <c r="N83" s="14" t="s">
        <v>72</v>
      </c>
      <c r="O83" s="57" t="s">
        <v>622</v>
      </c>
      <c r="P83" s="57" t="s">
        <v>623</v>
      </c>
      <c r="Q83" s="57" t="s">
        <v>624</v>
      </c>
      <c r="R83" s="57">
        <v>16243811</v>
      </c>
      <c r="S83" s="57" t="str">
        <f t="shared" si="1"/>
        <v>Kimberly Dickerson</v>
      </c>
    </row>
    <row r="84" spans="1:23" ht="15" customHeight="1" x14ac:dyDescent="0.2">
      <c r="A84" s="14" t="s">
        <v>65</v>
      </c>
      <c r="B84" s="64">
        <v>441697650</v>
      </c>
      <c r="C84" s="14" t="s">
        <v>519</v>
      </c>
      <c r="D84" s="58">
        <v>44908</v>
      </c>
      <c r="E84" s="14" t="s">
        <v>198</v>
      </c>
      <c r="F84" s="58">
        <v>45901</v>
      </c>
      <c r="G84" s="58">
        <v>45931</v>
      </c>
      <c r="H84" s="58">
        <v>45906</v>
      </c>
      <c r="I84" s="14" t="s">
        <v>69</v>
      </c>
      <c r="J84" s="64">
        <v>1</v>
      </c>
      <c r="K84" s="59">
        <v>16</v>
      </c>
      <c r="L84" s="65">
        <v>0.09</v>
      </c>
      <c r="M84" s="59">
        <v>1.44</v>
      </c>
      <c r="N84" s="14" t="s">
        <v>72</v>
      </c>
      <c r="O84" s="57" t="s">
        <v>622</v>
      </c>
      <c r="P84" s="57" t="s">
        <v>623</v>
      </c>
      <c r="Q84" s="57" t="s">
        <v>624</v>
      </c>
      <c r="R84" s="57">
        <v>16243811</v>
      </c>
      <c r="S84" s="57" t="str">
        <f t="shared" si="1"/>
        <v>Kimberly Dickerson</v>
      </c>
    </row>
    <row r="85" spans="1:23" ht="15" customHeight="1" x14ac:dyDescent="0.2">
      <c r="A85" s="14" t="s">
        <v>65</v>
      </c>
      <c r="B85" s="64">
        <v>441698084</v>
      </c>
      <c r="C85" s="14" t="s">
        <v>249</v>
      </c>
      <c r="D85" s="58">
        <v>44927</v>
      </c>
      <c r="E85" s="14" t="s">
        <v>250</v>
      </c>
      <c r="F85" s="58">
        <v>45901</v>
      </c>
      <c r="G85" s="58">
        <v>45931</v>
      </c>
      <c r="H85" s="58">
        <v>45904</v>
      </c>
      <c r="I85" s="14" t="s">
        <v>69</v>
      </c>
      <c r="J85" s="64">
        <v>1</v>
      </c>
      <c r="K85" s="59">
        <v>114.4</v>
      </c>
      <c r="L85" s="65">
        <v>0.03</v>
      </c>
      <c r="M85" s="59">
        <v>3.43</v>
      </c>
      <c r="N85" s="14" t="s">
        <v>72</v>
      </c>
      <c r="O85" s="57" t="s">
        <v>627</v>
      </c>
      <c r="Q85" s="57" t="s">
        <v>628</v>
      </c>
      <c r="R85" s="57">
        <v>17425766</v>
      </c>
      <c r="S85" s="57" t="str">
        <f t="shared" si="1"/>
        <v>Carol Foley</v>
      </c>
    </row>
    <row r="86" spans="1:23" ht="15" customHeight="1" x14ac:dyDescent="0.2">
      <c r="A86" s="14" t="s">
        <v>65</v>
      </c>
      <c r="B86" s="64">
        <v>441698089</v>
      </c>
      <c r="C86" s="14" t="s">
        <v>249</v>
      </c>
      <c r="D86" s="58">
        <v>44927</v>
      </c>
      <c r="E86" s="14" t="s">
        <v>207</v>
      </c>
      <c r="F86" s="58">
        <v>45901</v>
      </c>
      <c r="G86" s="58">
        <v>45931</v>
      </c>
      <c r="H86" s="58">
        <v>45904</v>
      </c>
      <c r="I86" s="14" t="s">
        <v>69</v>
      </c>
      <c r="J86" s="64">
        <v>1</v>
      </c>
      <c r="K86" s="59">
        <v>22.5</v>
      </c>
      <c r="L86" s="65">
        <v>0.03</v>
      </c>
      <c r="M86" s="59">
        <v>0.68</v>
      </c>
      <c r="N86" s="14" t="s">
        <v>72</v>
      </c>
      <c r="O86" s="57" t="s">
        <v>627</v>
      </c>
      <c r="Q86" s="57" t="s">
        <v>628</v>
      </c>
      <c r="R86" s="57">
        <v>17425766</v>
      </c>
      <c r="S86" s="57" t="str">
        <f t="shared" si="1"/>
        <v>Carol Foley</v>
      </c>
    </row>
    <row r="87" spans="1:23" ht="15" customHeight="1" x14ac:dyDescent="0.2">
      <c r="A87" s="14" t="s">
        <v>65</v>
      </c>
      <c r="B87" s="64">
        <v>441698092</v>
      </c>
      <c r="C87" s="14" t="s">
        <v>249</v>
      </c>
      <c r="D87" s="58">
        <v>44927</v>
      </c>
      <c r="E87" s="14" t="s">
        <v>211</v>
      </c>
      <c r="F87" s="58">
        <v>45901</v>
      </c>
      <c r="G87" s="58">
        <v>45931</v>
      </c>
      <c r="H87" s="58">
        <v>45904</v>
      </c>
      <c r="I87" s="14" t="s">
        <v>69</v>
      </c>
      <c r="J87" s="64">
        <v>1</v>
      </c>
      <c r="K87" s="59">
        <v>237.79</v>
      </c>
      <c r="L87" s="65">
        <v>0.03</v>
      </c>
      <c r="M87" s="59">
        <v>7.13</v>
      </c>
      <c r="N87" s="14" t="s">
        <v>72</v>
      </c>
      <c r="O87" s="57" t="s">
        <v>627</v>
      </c>
      <c r="Q87" s="57" t="s">
        <v>628</v>
      </c>
      <c r="R87" s="57">
        <v>17425766</v>
      </c>
      <c r="S87" s="57" t="str">
        <f t="shared" si="1"/>
        <v>Carol Foley</v>
      </c>
    </row>
    <row r="88" spans="1:23" ht="15" customHeight="1" x14ac:dyDescent="0.2">
      <c r="A88" s="14" t="s">
        <v>65</v>
      </c>
      <c r="B88" s="64">
        <v>441698343</v>
      </c>
      <c r="C88" s="14" t="s">
        <v>298</v>
      </c>
      <c r="D88" s="58">
        <v>44927</v>
      </c>
      <c r="E88" s="14" t="s">
        <v>250</v>
      </c>
      <c r="F88" s="58">
        <v>45901</v>
      </c>
      <c r="G88" s="58">
        <v>45931</v>
      </c>
      <c r="H88" s="58">
        <v>45904</v>
      </c>
      <c r="I88" s="14" t="s">
        <v>69</v>
      </c>
      <c r="J88" s="64">
        <v>1</v>
      </c>
      <c r="K88" s="59">
        <v>32.76</v>
      </c>
      <c r="L88" s="65">
        <v>0.03</v>
      </c>
      <c r="M88" s="59">
        <v>0.98</v>
      </c>
      <c r="N88" s="14" t="s">
        <v>72</v>
      </c>
      <c r="O88" s="57" t="s">
        <v>627</v>
      </c>
      <c r="Q88" s="57" t="s">
        <v>628</v>
      </c>
      <c r="R88" s="57">
        <v>17425766</v>
      </c>
      <c r="S88" s="57" t="str">
        <f t="shared" si="1"/>
        <v>Carol Foley</v>
      </c>
    </row>
    <row r="89" spans="1:23" ht="15" customHeight="1" x14ac:dyDescent="0.2">
      <c r="A89" s="14" t="s">
        <v>65</v>
      </c>
      <c r="B89" s="64">
        <v>441698348</v>
      </c>
      <c r="C89" s="14" t="s">
        <v>298</v>
      </c>
      <c r="D89" s="58">
        <v>44927</v>
      </c>
      <c r="E89" s="14" t="s">
        <v>211</v>
      </c>
      <c r="F89" s="58">
        <v>45901</v>
      </c>
      <c r="G89" s="58">
        <v>45931</v>
      </c>
      <c r="H89" s="58">
        <v>45904</v>
      </c>
      <c r="I89" s="14" t="s">
        <v>69</v>
      </c>
      <c r="J89" s="64">
        <v>1</v>
      </c>
      <c r="K89" s="59">
        <v>106.23</v>
      </c>
      <c r="L89" s="65">
        <v>0.03</v>
      </c>
      <c r="M89" s="59">
        <v>3.19</v>
      </c>
      <c r="N89" s="14" t="s">
        <v>72</v>
      </c>
      <c r="O89" s="57" t="s">
        <v>627</v>
      </c>
      <c r="Q89" s="57" t="s">
        <v>628</v>
      </c>
      <c r="R89" s="57">
        <v>17425766</v>
      </c>
      <c r="S89" s="57" t="str">
        <f t="shared" si="1"/>
        <v>Carol Foley</v>
      </c>
    </row>
    <row r="90" spans="1:23" ht="15" customHeight="1" x14ac:dyDescent="0.2">
      <c r="A90" s="14" t="s">
        <v>65</v>
      </c>
      <c r="B90" s="64">
        <v>441699461</v>
      </c>
      <c r="C90" s="14" t="s">
        <v>497</v>
      </c>
      <c r="D90" s="58">
        <v>44908</v>
      </c>
      <c r="E90" s="14" t="s">
        <v>473</v>
      </c>
      <c r="F90" s="58">
        <v>45901</v>
      </c>
      <c r="G90" s="58">
        <v>45931</v>
      </c>
      <c r="H90" s="58">
        <v>45906</v>
      </c>
      <c r="I90" s="14" t="s">
        <v>69</v>
      </c>
      <c r="J90" s="64">
        <v>1</v>
      </c>
      <c r="K90" s="59">
        <v>15</v>
      </c>
      <c r="L90" s="65">
        <v>0.09</v>
      </c>
      <c r="M90" s="59">
        <v>1.35</v>
      </c>
      <c r="N90" s="14" t="s">
        <v>72</v>
      </c>
      <c r="O90" s="57" t="s">
        <v>622</v>
      </c>
      <c r="P90" s="57" t="s">
        <v>623</v>
      </c>
      <c r="Q90" s="57" t="s">
        <v>624</v>
      </c>
      <c r="R90" s="57">
        <v>16243811</v>
      </c>
      <c r="S90" s="57" t="str">
        <f t="shared" si="1"/>
        <v>Kimberly Dickerson</v>
      </c>
    </row>
    <row r="91" spans="1:23" ht="15" customHeight="1" x14ac:dyDescent="0.2">
      <c r="A91" s="14" t="s">
        <v>65</v>
      </c>
      <c r="B91" s="64">
        <v>441699462</v>
      </c>
      <c r="C91" s="14" t="s">
        <v>497</v>
      </c>
      <c r="D91" s="58">
        <v>44908</v>
      </c>
      <c r="E91" s="14" t="s">
        <v>444</v>
      </c>
      <c r="F91" s="58">
        <v>45901</v>
      </c>
      <c r="G91" s="58">
        <v>45931</v>
      </c>
      <c r="H91" s="58">
        <v>45906</v>
      </c>
      <c r="I91" s="14" t="s">
        <v>69</v>
      </c>
      <c r="J91" s="64">
        <v>1</v>
      </c>
      <c r="K91" s="59">
        <v>6.3</v>
      </c>
      <c r="L91" s="65">
        <v>0.09</v>
      </c>
      <c r="M91" s="59">
        <v>0.56999999999999995</v>
      </c>
      <c r="N91" s="14" t="s">
        <v>72</v>
      </c>
      <c r="O91" s="57" t="s">
        <v>622</v>
      </c>
      <c r="P91" s="57" t="s">
        <v>623</v>
      </c>
      <c r="Q91" s="57" t="s">
        <v>624</v>
      </c>
      <c r="R91" s="57">
        <v>16243811</v>
      </c>
      <c r="S91" s="57" t="str">
        <f t="shared" si="1"/>
        <v>Kimberly Dickerson</v>
      </c>
    </row>
    <row r="92" spans="1:23" ht="15" customHeight="1" x14ac:dyDescent="0.2">
      <c r="A92" s="14" t="s">
        <v>65</v>
      </c>
      <c r="B92" s="64">
        <v>441699464</v>
      </c>
      <c r="C92" s="14" t="s">
        <v>497</v>
      </c>
      <c r="D92" s="58">
        <v>44908</v>
      </c>
      <c r="E92" s="14" t="s">
        <v>470</v>
      </c>
      <c r="F92" s="58">
        <v>45901</v>
      </c>
      <c r="G92" s="58">
        <v>45931</v>
      </c>
      <c r="H92" s="58">
        <v>45906</v>
      </c>
      <c r="I92" s="14" t="s">
        <v>69</v>
      </c>
      <c r="J92" s="64">
        <v>1</v>
      </c>
      <c r="K92" s="59">
        <v>28</v>
      </c>
      <c r="L92" s="65">
        <v>0.09</v>
      </c>
      <c r="M92" s="59">
        <v>2.52</v>
      </c>
      <c r="N92" s="14" t="s">
        <v>72</v>
      </c>
      <c r="O92" s="57" t="s">
        <v>622</v>
      </c>
      <c r="P92" s="57" t="s">
        <v>623</v>
      </c>
      <c r="Q92" s="57" t="s">
        <v>624</v>
      </c>
      <c r="R92" s="57">
        <v>16243811</v>
      </c>
      <c r="S92" s="57" t="str">
        <f t="shared" si="1"/>
        <v>Kimberly Dickerson</v>
      </c>
    </row>
    <row r="93" spans="1:23" ht="15" customHeight="1" x14ac:dyDescent="0.2">
      <c r="A93" s="14" t="s">
        <v>65</v>
      </c>
      <c r="B93" s="64">
        <v>441699465</v>
      </c>
      <c r="C93" s="14" t="s">
        <v>497</v>
      </c>
      <c r="D93" s="58">
        <v>44908</v>
      </c>
      <c r="E93" s="14" t="s">
        <v>267</v>
      </c>
      <c r="F93" s="58">
        <v>45901</v>
      </c>
      <c r="G93" s="58">
        <v>45931</v>
      </c>
      <c r="H93" s="58">
        <v>45906</v>
      </c>
      <c r="I93" s="14" t="s">
        <v>69</v>
      </c>
      <c r="J93" s="64">
        <v>1</v>
      </c>
      <c r="K93" s="59">
        <v>23</v>
      </c>
      <c r="L93" s="65">
        <v>0.09</v>
      </c>
      <c r="M93" s="59">
        <v>2.0699999999999998</v>
      </c>
      <c r="N93" s="14" t="s">
        <v>72</v>
      </c>
      <c r="O93" s="57" t="s">
        <v>622</v>
      </c>
      <c r="P93" s="57" t="s">
        <v>623</v>
      </c>
      <c r="Q93" s="57" t="s">
        <v>624</v>
      </c>
      <c r="R93" s="57">
        <v>16243811</v>
      </c>
      <c r="S93" s="57" t="str">
        <f t="shared" si="1"/>
        <v>Kimberly Dickerson</v>
      </c>
    </row>
    <row r="94" spans="1:23" ht="15" customHeight="1" x14ac:dyDescent="0.2">
      <c r="A94" s="60" t="s">
        <v>65</v>
      </c>
      <c r="B94" s="66">
        <v>441705578</v>
      </c>
      <c r="C94" s="60" t="s">
        <v>275</v>
      </c>
      <c r="D94" s="61">
        <v>44910</v>
      </c>
      <c r="E94" s="60" t="s">
        <v>490</v>
      </c>
      <c r="F94" s="61">
        <v>45901</v>
      </c>
      <c r="G94" s="61">
        <v>45931</v>
      </c>
      <c r="H94" s="61">
        <v>45909</v>
      </c>
      <c r="I94" s="60" t="s">
        <v>69</v>
      </c>
      <c r="J94" s="66">
        <v>1</v>
      </c>
      <c r="K94" s="62">
        <v>196.66</v>
      </c>
      <c r="L94" s="67">
        <v>0.06</v>
      </c>
      <c r="M94" s="62">
        <v>11.8</v>
      </c>
      <c r="N94" s="60" t="s">
        <v>72</v>
      </c>
      <c r="O94" s="63" t="s">
        <v>627</v>
      </c>
      <c r="Q94" s="63" t="s">
        <v>628</v>
      </c>
      <c r="R94" s="63">
        <v>17425766</v>
      </c>
      <c r="S94" s="57" t="str">
        <f t="shared" si="1"/>
        <v>Carol Foley</v>
      </c>
      <c r="T94" s="63"/>
      <c r="U94" s="63"/>
      <c r="V94" s="63"/>
      <c r="W94" s="63"/>
    </row>
    <row r="95" spans="1:23" ht="15" customHeight="1" x14ac:dyDescent="0.2">
      <c r="A95" s="60" t="s">
        <v>65</v>
      </c>
      <c r="B95" s="66">
        <v>441707181</v>
      </c>
      <c r="C95" s="60" t="s">
        <v>605</v>
      </c>
      <c r="D95" s="61">
        <v>44909</v>
      </c>
      <c r="E95" s="60" t="s">
        <v>115</v>
      </c>
      <c r="F95" s="61">
        <v>45901</v>
      </c>
      <c r="G95" s="61">
        <v>45931</v>
      </c>
      <c r="H95" s="61">
        <v>45909</v>
      </c>
      <c r="I95" s="60" t="s">
        <v>69</v>
      </c>
      <c r="J95" s="66">
        <v>1</v>
      </c>
      <c r="K95" s="62">
        <v>41.7</v>
      </c>
      <c r="L95" s="67">
        <v>0.09</v>
      </c>
      <c r="M95" s="62">
        <v>3.75</v>
      </c>
      <c r="N95" s="60" t="s">
        <v>72</v>
      </c>
      <c r="O95" s="63" t="s">
        <v>622</v>
      </c>
      <c r="P95" s="63" t="s">
        <v>623</v>
      </c>
      <c r="Q95" s="63" t="s">
        <v>624</v>
      </c>
      <c r="R95" s="63">
        <v>16243811</v>
      </c>
      <c r="S95" s="57" t="str">
        <f t="shared" si="1"/>
        <v>Kimberly Dickerson</v>
      </c>
      <c r="T95" s="63"/>
      <c r="U95" s="63"/>
      <c r="V95" s="63"/>
      <c r="W95" s="63"/>
    </row>
    <row r="96" spans="1:23" ht="15" customHeight="1" x14ac:dyDescent="0.2">
      <c r="A96" s="14" t="s">
        <v>65</v>
      </c>
      <c r="B96" s="64">
        <v>441708572</v>
      </c>
      <c r="C96" s="14" t="s">
        <v>151</v>
      </c>
      <c r="D96" s="58">
        <v>44927</v>
      </c>
      <c r="E96" s="14" t="s">
        <v>138</v>
      </c>
      <c r="F96" s="58">
        <v>45901</v>
      </c>
      <c r="G96" s="58">
        <v>45931</v>
      </c>
      <c r="H96" s="58">
        <v>45904</v>
      </c>
      <c r="I96" s="14" t="s">
        <v>69</v>
      </c>
      <c r="J96" s="64">
        <v>1</v>
      </c>
      <c r="K96" s="59">
        <v>325.58999999999997</v>
      </c>
      <c r="L96" s="65">
        <v>0.09</v>
      </c>
      <c r="M96" s="59">
        <v>29.3</v>
      </c>
      <c r="N96" s="14" t="s">
        <v>72</v>
      </c>
      <c r="O96" s="57" t="s">
        <v>619</v>
      </c>
      <c r="P96" s="57" t="s">
        <v>620</v>
      </c>
      <c r="Q96" s="57" t="s">
        <v>621</v>
      </c>
      <c r="R96" s="57">
        <v>20436925</v>
      </c>
      <c r="S96" s="57" t="str">
        <f t="shared" si="1"/>
        <v>Ashley Teipel</v>
      </c>
    </row>
    <row r="97" spans="1:19" ht="15" customHeight="1" x14ac:dyDescent="0.2">
      <c r="A97" s="14" t="s">
        <v>65</v>
      </c>
      <c r="B97" s="64">
        <v>441709300</v>
      </c>
      <c r="C97" s="14" t="s">
        <v>433</v>
      </c>
      <c r="D97" s="58">
        <v>44927</v>
      </c>
      <c r="E97" s="14" t="s">
        <v>81</v>
      </c>
      <c r="F97" s="58">
        <v>45809</v>
      </c>
      <c r="G97" s="58">
        <v>45839</v>
      </c>
      <c r="H97" s="58">
        <v>45904</v>
      </c>
      <c r="I97" s="14" t="s">
        <v>69</v>
      </c>
      <c r="J97" s="64">
        <v>1</v>
      </c>
      <c r="K97" s="59">
        <v>9</v>
      </c>
      <c r="L97" s="65">
        <v>0.09</v>
      </c>
      <c r="M97" s="59">
        <v>0.81</v>
      </c>
      <c r="N97" s="14" t="s">
        <v>72</v>
      </c>
      <c r="O97" s="57" t="s">
        <v>629</v>
      </c>
      <c r="P97" s="57" t="s">
        <v>69</v>
      </c>
      <c r="Q97" s="57" t="s">
        <v>630</v>
      </c>
      <c r="R97" s="57">
        <v>15278437</v>
      </c>
      <c r="S97" s="57" t="str">
        <f t="shared" si="1"/>
        <v>Jason Hoffmann</v>
      </c>
    </row>
    <row r="98" spans="1:19" ht="15" customHeight="1" x14ac:dyDescent="0.2">
      <c r="A98" s="14" t="s">
        <v>65</v>
      </c>
      <c r="B98" s="64">
        <v>441709300</v>
      </c>
      <c r="C98" s="14" t="s">
        <v>433</v>
      </c>
      <c r="D98" s="58">
        <v>44927</v>
      </c>
      <c r="E98" s="14" t="s">
        <v>81</v>
      </c>
      <c r="F98" s="58">
        <v>45839</v>
      </c>
      <c r="G98" s="58">
        <v>45870</v>
      </c>
      <c r="H98" s="58">
        <v>45904</v>
      </c>
      <c r="I98" s="14" t="s">
        <v>69</v>
      </c>
      <c r="J98" s="64">
        <v>1</v>
      </c>
      <c r="K98" s="59">
        <v>9</v>
      </c>
      <c r="L98" s="65">
        <v>0.09</v>
      </c>
      <c r="M98" s="59">
        <v>0.81</v>
      </c>
      <c r="N98" s="14" t="s">
        <v>72</v>
      </c>
      <c r="O98" s="57" t="s">
        <v>629</v>
      </c>
      <c r="P98" s="57" t="s">
        <v>69</v>
      </c>
      <c r="Q98" s="57" t="s">
        <v>630</v>
      </c>
      <c r="R98" s="57">
        <v>15278437</v>
      </c>
      <c r="S98" s="57" t="str">
        <f t="shared" si="1"/>
        <v>Jason Hoffmann</v>
      </c>
    </row>
    <row r="99" spans="1:19" ht="15" customHeight="1" x14ac:dyDescent="0.2">
      <c r="A99" s="14" t="s">
        <v>65</v>
      </c>
      <c r="B99" s="64">
        <v>441709300</v>
      </c>
      <c r="C99" s="14" t="s">
        <v>433</v>
      </c>
      <c r="D99" s="58">
        <v>44927</v>
      </c>
      <c r="E99" s="14" t="s">
        <v>81</v>
      </c>
      <c r="F99" s="58">
        <v>45870</v>
      </c>
      <c r="G99" s="58">
        <v>45901</v>
      </c>
      <c r="H99" s="58">
        <v>45904</v>
      </c>
      <c r="I99" s="14" t="s">
        <v>69</v>
      </c>
      <c r="J99" s="64">
        <v>1</v>
      </c>
      <c r="K99" s="59">
        <v>9</v>
      </c>
      <c r="L99" s="65">
        <v>0.09</v>
      </c>
      <c r="M99" s="59">
        <v>0.81</v>
      </c>
      <c r="N99" s="14" t="s">
        <v>72</v>
      </c>
      <c r="O99" s="57" t="s">
        <v>629</v>
      </c>
      <c r="P99" s="57" t="s">
        <v>69</v>
      </c>
      <c r="Q99" s="57" t="s">
        <v>630</v>
      </c>
      <c r="R99" s="57">
        <v>15278437</v>
      </c>
      <c r="S99" s="57" t="str">
        <f t="shared" si="1"/>
        <v>Jason Hoffmann</v>
      </c>
    </row>
    <row r="100" spans="1:19" ht="15" customHeight="1" x14ac:dyDescent="0.2">
      <c r="A100" s="14" t="s">
        <v>65</v>
      </c>
      <c r="B100" s="64">
        <v>441709300</v>
      </c>
      <c r="C100" s="14" t="s">
        <v>433</v>
      </c>
      <c r="D100" s="58">
        <v>44927</v>
      </c>
      <c r="E100" s="14" t="s">
        <v>81</v>
      </c>
      <c r="F100" s="58">
        <v>45901</v>
      </c>
      <c r="G100" s="58">
        <v>45931</v>
      </c>
      <c r="H100" s="58">
        <v>45904</v>
      </c>
      <c r="I100" s="14" t="s">
        <v>69</v>
      </c>
      <c r="J100" s="64">
        <v>1</v>
      </c>
      <c r="K100" s="59">
        <v>9</v>
      </c>
      <c r="L100" s="65">
        <v>0.09</v>
      </c>
      <c r="M100" s="59">
        <v>0.81</v>
      </c>
      <c r="N100" s="14" t="s">
        <v>72</v>
      </c>
      <c r="O100" s="57" t="s">
        <v>629</v>
      </c>
      <c r="P100" s="57" t="s">
        <v>69</v>
      </c>
      <c r="Q100" s="57" t="s">
        <v>630</v>
      </c>
      <c r="R100" s="57">
        <v>15278437</v>
      </c>
      <c r="S100" s="57" t="str">
        <f t="shared" si="1"/>
        <v>Jason Hoffmann</v>
      </c>
    </row>
    <row r="101" spans="1:19" ht="15" customHeight="1" x14ac:dyDescent="0.2">
      <c r="A101" s="14" t="s">
        <v>65</v>
      </c>
      <c r="B101" s="64">
        <v>441709303</v>
      </c>
      <c r="C101" s="14" t="s">
        <v>433</v>
      </c>
      <c r="D101" s="58">
        <v>44927</v>
      </c>
      <c r="E101" s="14" t="s">
        <v>228</v>
      </c>
      <c r="F101" s="58">
        <v>45839</v>
      </c>
      <c r="G101" s="58">
        <v>45870</v>
      </c>
      <c r="H101" s="58">
        <v>45904</v>
      </c>
      <c r="I101" s="14" t="s">
        <v>69</v>
      </c>
      <c r="J101" s="64">
        <v>1</v>
      </c>
      <c r="K101" s="59">
        <v>18.3</v>
      </c>
      <c r="L101" s="65">
        <v>0.09</v>
      </c>
      <c r="M101" s="59">
        <v>1.65</v>
      </c>
      <c r="N101" s="14" t="s">
        <v>72</v>
      </c>
      <c r="O101" s="57" t="s">
        <v>629</v>
      </c>
      <c r="P101" s="57" t="s">
        <v>69</v>
      </c>
      <c r="Q101" s="57" t="s">
        <v>630</v>
      </c>
      <c r="R101" s="57">
        <v>15278437</v>
      </c>
      <c r="S101" s="57" t="str">
        <f t="shared" si="1"/>
        <v>Jason Hoffmann</v>
      </c>
    </row>
    <row r="102" spans="1:19" ht="15" customHeight="1" x14ac:dyDescent="0.2">
      <c r="A102" s="14" t="s">
        <v>65</v>
      </c>
      <c r="B102" s="64">
        <v>441709303</v>
      </c>
      <c r="C102" s="14" t="s">
        <v>433</v>
      </c>
      <c r="D102" s="58">
        <v>44927</v>
      </c>
      <c r="E102" s="14" t="s">
        <v>228</v>
      </c>
      <c r="F102" s="58">
        <v>45870</v>
      </c>
      <c r="G102" s="58">
        <v>45901</v>
      </c>
      <c r="H102" s="58">
        <v>45904</v>
      </c>
      <c r="I102" s="14" t="s">
        <v>69</v>
      </c>
      <c r="J102" s="64">
        <v>1</v>
      </c>
      <c r="K102" s="59">
        <v>18.3</v>
      </c>
      <c r="L102" s="65">
        <v>0.09</v>
      </c>
      <c r="M102" s="59">
        <v>1.65</v>
      </c>
      <c r="N102" s="14" t="s">
        <v>72</v>
      </c>
      <c r="O102" s="57" t="s">
        <v>629</v>
      </c>
      <c r="P102" s="57" t="s">
        <v>69</v>
      </c>
      <c r="Q102" s="57" t="s">
        <v>630</v>
      </c>
      <c r="R102" s="57">
        <v>15278437</v>
      </c>
      <c r="S102" s="57" t="str">
        <f t="shared" si="1"/>
        <v>Jason Hoffmann</v>
      </c>
    </row>
    <row r="103" spans="1:19" ht="15" customHeight="1" x14ac:dyDescent="0.2">
      <c r="A103" s="14" t="s">
        <v>65</v>
      </c>
      <c r="B103" s="64">
        <v>441709303</v>
      </c>
      <c r="C103" s="14" t="s">
        <v>433</v>
      </c>
      <c r="D103" s="58">
        <v>44927</v>
      </c>
      <c r="E103" s="14" t="s">
        <v>228</v>
      </c>
      <c r="F103" s="58">
        <v>45901</v>
      </c>
      <c r="G103" s="58">
        <v>45931</v>
      </c>
      <c r="H103" s="58">
        <v>45904</v>
      </c>
      <c r="I103" s="14" t="s">
        <v>69</v>
      </c>
      <c r="J103" s="64">
        <v>1</v>
      </c>
      <c r="K103" s="59">
        <v>18.3</v>
      </c>
      <c r="L103" s="65">
        <v>0.09</v>
      </c>
      <c r="M103" s="59">
        <v>1.65</v>
      </c>
      <c r="N103" s="14" t="s">
        <v>72</v>
      </c>
      <c r="O103" s="57" t="s">
        <v>629</v>
      </c>
      <c r="P103" s="57" t="s">
        <v>69</v>
      </c>
      <c r="Q103" s="57" t="s">
        <v>630</v>
      </c>
      <c r="R103" s="57">
        <v>15278437</v>
      </c>
      <c r="S103" s="57" t="str">
        <f t="shared" si="1"/>
        <v>Jason Hoffmann</v>
      </c>
    </row>
    <row r="104" spans="1:19" ht="15" customHeight="1" x14ac:dyDescent="0.2">
      <c r="A104" s="14" t="s">
        <v>65</v>
      </c>
      <c r="B104" s="64">
        <v>441709303</v>
      </c>
      <c r="C104" s="14" t="s">
        <v>433</v>
      </c>
      <c r="D104" s="58">
        <v>44927</v>
      </c>
      <c r="E104" s="14" t="s">
        <v>228</v>
      </c>
      <c r="F104" s="58">
        <v>45809</v>
      </c>
      <c r="G104" s="58">
        <v>45839</v>
      </c>
      <c r="H104" s="58">
        <v>45904</v>
      </c>
      <c r="I104" s="14" t="s">
        <v>69</v>
      </c>
      <c r="J104" s="64">
        <v>1</v>
      </c>
      <c r="K104" s="59">
        <v>18.3</v>
      </c>
      <c r="L104" s="65">
        <v>0.09</v>
      </c>
      <c r="M104" s="59">
        <v>1.65</v>
      </c>
      <c r="N104" s="14" t="s">
        <v>72</v>
      </c>
      <c r="O104" s="57" t="s">
        <v>629</v>
      </c>
      <c r="P104" s="57" t="s">
        <v>69</v>
      </c>
      <c r="Q104" s="57" t="s">
        <v>630</v>
      </c>
      <c r="R104" s="57">
        <v>15278437</v>
      </c>
      <c r="S104" s="57" t="str">
        <f t="shared" si="1"/>
        <v>Jason Hoffmann</v>
      </c>
    </row>
    <row r="105" spans="1:19" ht="15" customHeight="1" x14ac:dyDescent="0.2">
      <c r="A105" s="14" t="s">
        <v>65</v>
      </c>
      <c r="B105" s="64">
        <v>441709304</v>
      </c>
      <c r="C105" s="14" t="s">
        <v>433</v>
      </c>
      <c r="D105" s="58">
        <v>44927</v>
      </c>
      <c r="E105" s="14" t="s">
        <v>157</v>
      </c>
      <c r="F105" s="58">
        <v>45870</v>
      </c>
      <c r="G105" s="58">
        <v>45901</v>
      </c>
      <c r="H105" s="58">
        <v>45904</v>
      </c>
      <c r="I105" s="14" t="s">
        <v>69</v>
      </c>
      <c r="J105" s="64">
        <v>1</v>
      </c>
      <c r="K105" s="59">
        <v>77.69</v>
      </c>
      <c r="L105" s="65">
        <v>0.18</v>
      </c>
      <c r="M105" s="59">
        <v>13.98</v>
      </c>
      <c r="N105" s="14" t="s">
        <v>72</v>
      </c>
      <c r="O105" s="57" t="s">
        <v>629</v>
      </c>
      <c r="P105" s="57" t="s">
        <v>69</v>
      </c>
      <c r="Q105" s="57" t="s">
        <v>630</v>
      </c>
      <c r="R105" s="57">
        <v>15278437</v>
      </c>
      <c r="S105" s="57" t="str">
        <f t="shared" si="1"/>
        <v>Jason Hoffmann</v>
      </c>
    </row>
    <row r="106" spans="1:19" ht="15" customHeight="1" x14ac:dyDescent="0.2">
      <c r="A106" s="14" t="s">
        <v>65</v>
      </c>
      <c r="B106" s="64">
        <v>441709304</v>
      </c>
      <c r="C106" s="14" t="s">
        <v>433</v>
      </c>
      <c r="D106" s="58">
        <v>44927</v>
      </c>
      <c r="E106" s="14" t="s">
        <v>157</v>
      </c>
      <c r="F106" s="58">
        <v>45839</v>
      </c>
      <c r="G106" s="58">
        <v>45870</v>
      </c>
      <c r="H106" s="58">
        <v>45904</v>
      </c>
      <c r="I106" s="14" t="s">
        <v>69</v>
      </c>
      <c r="J106" s="64">
        <v>1</v>
      </c>
      <c r="K106" s="59">
        <v>77.69</v>
      </c>
      <c r="L106" s="65">
        <v>0.18</v>
      </c>
      <c r="M106" s="59">
        <v>13.98</v>
      </c>
      <c r="N106" s="14" t="s">
        <v>72</v>
      </c>
      <c r="O106" s="57" t="s">
        <v>629</v>
      </c>
      <c r="P106" s="57" t="s">
        <v>69</v>
      </c>
      <c r="Q106" s="57" t="s">
        <v>630</v>
      </c>
      <c r="R106" s="57">
        <v>15278437</v>
      </c>
      <c r="S106" s="57" t="str">
        <f t="shared" si="1"/>
        <v>Jason Hoffmann</v>
      </c>
    </row>
    <row r="107" spans="1:19" ht="15" customHeight="1" x14ac:dyDescent="0.2">
      <c r="A107" s="14" t="s">
        <v>65</v>
      </c>
      <c r="B107" s="64">
        <v>441709304</v>
      </c>
      <c r="C107" s="14" t="s">
        <v>433</v>
      </c>
      <c r="D107" s="58">
        <v>44927</v>
      </c>
      <c r="E107" s="14" t="s">
        <v>157</v>
      </c>
      <c r="F107" s="58">
        <v>45809</v>
      </c>
      <c r="G107" s="58">
        <v>45839</v>
      </c>
      <c r="H107" s="58">
        <v>45904</v>
      </c>
      <c r="I107" s="14" t="s">
        <v>69</v>
      </c>
      <c r="J107" s="64">
        <v>1</v>
      </c>
      <c r="K107" s="59">
        <v>77.69</v>
      </c>
      <c r="L107" s="65">
        <v>0.18</v>
      </c>
      <c r="M107" s="59">
        <v>13.98</v>
      </c>
      <c r="N107" s="14" t="s">
        <v>72</v>
      </c>
      <c r="O107" s="57" t="s">
        <v>629</v>
      </c>
      <c r="P107" s="57" t="s">
        <v>69</v>
      </c>
      <c r="Q107" s="57" t="s">
        <v>630</v>
      </c>
      <c r="R107" s="57">
        <v>15278437</v>
      </c>
      <c r="S107" s="57" t="str">
        <f t="shared" si="1"/>
        <v>Jason Hoffmann</v>
      </c>
    </row>
    <row r="108" spans="1:19" ht="15" customHeight="1" x14ac:dyDescent="0.2">
      <c r="A108" s="14" t="s">
        <v>65</v>
      </c>
      <c r="B108" s="64">
        <v>441709304</v>
      </c>
      <c r="C108" s="14" t="s">
        <v>433</v>
      </c>
      <c r="D108" s="58">
        <v>44927</v>
      </c>
      <c r="E108" s="14" t="s">
        <v>157</v>
      </c>
      <c r="F108" s="58">
        <v>45901</v>
      </c>
      <c r="G108" s="58">
        <v>45931</v>
      </c>
      <c r="H108" s="58">
        <v>45904</v>
      </c>
      <c r="I108" s="14" t="s">
        <v>69</v>
      </c>
      <c r="J108" s="64">
        <v>1</v>
      </c>
      <c r="K108" s="59">
        <v>77.69</v>
      </c>
      <c r="L108" s="65">
        <v>0.18</v>
      </c>
      <c r="M108" s="59">
        <v>13.98</v>
      </c>
      <c r="N108" s="14" t="s">
        <v>72</v>
      </c>
      <c r="O108" s="57" t="s">
        <v>629</v>
      </c>
      <c r="P108" s="57" t="s">
        <v>69</v>
      </c>
      <c r="Q108" s="57" t="s">
        <v>630</v>
      </c>
      <c r="R108" s="57">
        <v>15278437</v>
      </c>
      <c r="S108" s="57" t="str">
        <f t="shared" si="1"/>
        <v>Jason Hoffmann</v>
      </c>
    </row>
    <row r="109" spans="1:19" ht="15" customHeight="1" x14ac:dyDescent="0.2">
      <c r="A109" s="14" t="s">
        <v>65</v>
      </c>
      <c r="B109" s="64">
        <v>441709305</v>
      </c>
      <c r="C109" s="14" t="s">
        <v>433</v>
      </c>
      <c r="D109" s="58">
        <v>44927</v>
      </c>
      <c r="E109" s="14" t="s">
        <v>437</v>
      </c>
      <c r="F109" s="58">
        <v>45901</v>
      </c>
      <c r="G109" s="58">
        <v>45931</v>
      </c>
      <c r="H109" s="58">
        <v>45904</v>
      </c>
      <c r="I109" s="14" t="s">
        <v>69</v>
      </c>
      <c r="J109" s="64">
        <v>1</v>
      </c>
      <c r="K109" s="59">
        <v>21</v>
      </c>
      <c r="L109" s="65">
        <v>0.09</v>
      </c>
      <c r="M109" s="59">
        <v>1.89</v>
      </c>
      <c r="N109" s="14" t="s">
        <v>72</v>
      </c>
      <c r="O109" s="57" t="s">
        <v>629</v>
      </c>
      <c r="P109" s="57" t="s">
        <v>69</v>
      </c>
      <c r="Q109" s="57" t="s">
        <v>630</v>
      </c>
      <c r="R109" s="57">
        <v>15278437</v>
      </c>
      <c r="S109" s="57" t="str">
        <f t="shared" si="1"/>
        <v>Jason Hoffmann</v>
      </c>
    </row>
    <row r="110" spans="1:19" ht="15" customHeight="1" x14ac:dyDescent="0.2">
      <c r="A110" s="14" t="s">
        <v>65</v>
      </c>
      <c r="B110" s="64">
        <v>441709305</v>
      </c>
      <c r="C110" s="14" t="s">
        <v>433</v>
      </c>
      <c r="D110" s="58">
        <v>44927</v>
      </c>
      <c r="E110" s="14" t="s">
        <v>437</v>
      </c>
      <c r="F110" s="58">
        <v>45839</v>
      </c>
      <c r="G110" s="58">
        <v>45870</v>
      </c>
      <c r="H110" s="58">
        <v>45904</v>
      </c>
      <c r="I110" s="14" t="s">
        <v>69</v>
      </c>
      <c r="J110" s="64">
        <v>1</v>
      </c>
      <c r="K110" s="59">
        <v>21</v>
      </c>
      <c r="L110" s="65">
        <v>0.09</v>
      </c>
      <c r="M110" s="59">
        <v>1.89</v>
      </c>
      <c r="N110" s="14" t="s">
        <v>72</v>
      </c>
      <c r="O110" s="57" t="s">
        <v>629</v>
      </c>
      <c r="P110" s="57" t="s">
        <v>69</v>
      </c>
      <c r="Q110" s="57" t="s">
        <v>630</v>
      </c>
      <c r="R110" s="57">
        <v>15278437</v>
      </c>
      <c r="S110" s="57" t="str">
        <f t="shared" si="1"/>
        <v>Jason Hoffmann</v>
      </c>
    </row>
    <row r="111" spans="1:19" ht="15" customHeight="1" x14ac:dyDescent="0.2">
      <c r="A111" s="14" t="s">
        <v>65</v>
      </c>
      <c r="B111" s="64">
        <v>441709305</v>
      </c>
      <c r="C111" s="14" t="s">
        <v>433</v>
      </c>
      <c r="D111" s="58">
        <v>44927</v>
      </c>
      <c r="E111" s="14" t="s">
        <v>437</v>
      </c>
      <c r="F111" s="58">
        <v>45809</v>
      </c>
      <c r="G111" s="58">
        <v>45839</v>
      </c>
      <c r="H111" s="58">
        <v>45904</v>
      </c>
      <c r="I111" s="14" t="s">
        <v>69</v>
      </c>
      <c r="J111" s="64">
        <v>1</v>
      </c>
      <c r="K111" s="59">
        <v>21</v>
      </c>
      <c r="L111" s="65">
        <v>0.09</v>
      </c>
      <c r="M111" s="59">
        <v>1.89</v>
      </c>
      <c r="N111" s="14" t="s">
        <v>72</v>
      </c>
      <c r="O111" s="57" t="s">
        <v>629</v>
      </c>
      <c r="P111" s="57" t="s">
        <v>69</v>
      </c>
      <c r="Q111" s="57" t="s">
        <v>630</v>
      </c>
      <c r="R111" s="57">
        <v>15278437</v>
      </c>
      <c r="S111" s="57" t="str">
        <f t="shared" si="1"/>
        <v>Jason Hoffmann</v>
      </c>
    </row>
    <row r="112" spans="1:19" ht="15" customHeight="1" x14ac:dyDescent="0.2">
      <c r="A112" s="14" t="s">
        <v>65</v>
      </c>
      <c r="B112" s="64">
        <v>441709305</v>
      </c>
      <c r="C112" s="14" t="s">
        <v>433</v>
      </c>
      <c r="D112" s="58">
        <v>44927</v>
      </c>
      <c r="E112" s="14" t="s">
        <v>437</v>
      </c>
      <c r="F112" s="58">
        <v>45870</v>
      </c>
      <c r="G112" s="58">
        <v>45901</v>
      </c>
      <c r="H112" s="58">
        <v>45904</v>
      </c>
      <c r="I112" s="14" t="s">
        <v>69</v>
      </c>
      <c r="J112" s="64">
        <v>1</v>
      </c>
      <c r="K112" s="59">
        <v>21</v>
      </c>
      <c r="L112" s="65">
        <v>0.09</v>
      </c>
      <c r="M112" s="59">
        <v>1.89</v>
      </c>
      <c r="N112" s="14" t="s">
        <v>72</v>
      </c>
      <c r="O112" s="57" t="s">
        <v>629</v>
      </c>
      <c r="P112" s="57" t="s">
        <v>69</v>
      </c>
      <c r="Q112" s="57" t="s">
        <v>630</v>
      </c>
      <c r="R112" s="57">
        <v>15278437</v>
      </c>
      <c r="S112" s="57" t="str">
        <f t="shared" si="1"/>
        <v>Jason Hoffmann</v>
      </c>
    </row>
    <row r="113" spans="1:23" ht="15" customHeight="1" x14ac:dyDescent="0.2">
      <c r="A113" s="14" t="s">
        <v>65</v>
      </c>
      <c r="B113" s="64">
        <v>441709754</v>
      </c>
      <c r="C113" s="14" t="s">
        <v>266</v>
      </c>
      <c r="D113" s="58">
        <v>44927</v>
      </c>
      <c r="E113" s="14" t="s">
        <v>267</v>
      </c>
      <c r="F113" s="58">
        <v>45901</v>
      </c>
      <c r="G113" s="58">
        <v>45931</v>
      </c>
      <c r="H113" s="58">
        <v>45904</v>
      </c>
      <c r="I113" s="14" t="s">
        <v>69</v>
      </c>
      <c r="J113" s="64">
        <v>1</v>
      </c>
      <c r="K113" s="59">
        <v>23</v>
      </c>
      <c r="L113" s="65">
        <v>0.03</v>
      </c>
      <c r="M113" s="59">
        <v>0.69</v>
      </c>
      <c r="N113" s="14" t="s">
        <v>72</v>
      </c>
      <c r="O113" s="57" t="s">
        <v>627</v>
      </c>
      <c r="Q113" s="57" t="s">
        <v>628</v>
      </c>
      <c r="R113" s="57">
        <v>17425766</v>
      </c>
      <c r="S113" s="57" t="str">
        <f t="shared" si="1"/>
        <v>Carol Foley</v>
      </c>
    </row>
    <row r="114" spans="1:23" ht="15" customHeight="1" x14ac:dyDescent="0.2">
      <c r="A114" s="14" t="s">
        <v>65</v>
      </c>
      <c r="B114" s="64">
        <v>441710405</v>
      </c>
      <c r="C114" s="14" t="s">
        <v>261</v>
      </c>
      <c r="D114" s="58">
        <v>44927</v>
      </c>
      <c r="E114" s="14" t="s">
        <v>209</v>
      </c>
      <c r="F114" s="58">
        <v>45901</v>
      </c>
      <c r="G114" s="58">
        <v>45931</v>
      </c>
      <c r="H114" s="58">
        <v>45904</v>
      </c>
      <c r="I114" s="14" t="s">
        <v>69</v>
      </c>
      <c r="J114" s="64">
        <v>1</v>
      </c>
      <c r="K114" s="59">
        <v>14.04</v>
      </c>
      <c r="L114" s="65">
        <v>0.03</v>
      </c>
      <c r="M114" s="59">
        <v>0.42</v>
      </c>
      <c r="N114" s="14" t="s">
        <v>72</v>
      </c>
      <c r="O114" s="57" t="s">
        <v>627</v>
      </c>
      <c r="Q114" s="57" t="s">
        <v>628</v>
      </c>
      <c r="R114" s="57">
        <v>17425766</v>
      </c>
      <c r="S114" s="57" t="str">
        <f t="shared" si="1"/>
        <v>Carol Foley</v>
      </c>
    </row>
    <row r="115" spans="1:23" ht="15" customHeight="1" x14ac:dyDescent="0.2">
      <c r="A115" s="60" t="s">
        <v>65</v>
      </c>
      <c r="B115" s="66">
        <v>441713408</v>
      </c>
      <c r="C115" s="60" t="s">
        <v>606</v>
      </c>
      <c r="D115" s="61">
        <v>44910</v>
      </c>
      <c r="E115" s="60" t="s">
        <v>607</v>
      </c>
      <c r="F115" s="61">
        <v>45901</v>
      </c>
      <c r="G115" s="61">
        <v>45931</v>
      </c>
      <c r="H115" s="61">
        <v>45909</v>
      </c>
      <c r="I115" s="60" t="s">
        <v>69</v>
      </c>
      <c r="J115" s="66">
        <v>1</v>
      </c>
      <c r="K115" s="62">
        <v>6.66</v>
      </c>
      <c r="L115" s="67">
        <v>0.09</v>
      </c>
      <c r="M115" s="62">
        <v>0.6</v>
      </c>
      <c r="N115" s="60" t="s">
        <v>72</v>
      </c>
      <c r="O115" s="63" t="s">
        <v>622</v>
      </c>
      <c r="P115" s="63" t="s">
        <v>623</v>
      </c>
      <c r="Q115" s="63" t="s">
        <v>624</v>
      </c>
      <c r="R115" s="63">
        <v>16243811</v>
      </c>
      <c r="S115" s="57" t="str">
        <f t="shared" si="1"/>
        <v>Kimberly Dickerson</v>
      </c>
      <c r="T115" s="63"/>
      <c r="U115" s="63"/>
      <c r="V115" s="63"/>
      <c r="W115" s="63"/>
    </row>
    <row r="116" spans="1:23" ht="15" customHeight="1" x14ac:dyDescent="0.2">
      <c r="A116" s="60" t="s">
        <v>65</v>
      </c>
      <c r="B116" s="66">
        <v>441713409</v>
      </c>
      <c r="C116" s="60" t="s">
        <v>606</v>
      </c>
      <c r="D116" s="61">
        <v>44910</v>
      </c>
      <c r="E116" s="60" t="s">
        <v>81</v>
      </c>
      <c r="F116" s="61">
        <v>45901</v>
      </c>
      <c r="G116" s="61">
        <v>45931</v>
      </c>
      <c r="H116" s="61">
        <v>45909</v>
      </c>
      <c r="I116" s="60" t="s">
        <v>69</v>
      </c>
      <c r="J116" s="66">
        <v>1</v>
      </c>
      <c r="K116" s="62">
        <v>16</v>
      </c>
      <c r="L116" s="67">
        <v>0.09</v>
      </c>
      <c r="M116" s="62">
        <v>1.44</v>
      </c>
      <c r="N116" s="60" t="s">
        <v>72</v>
      </c>
      <c r="O116" s="63" t="s">
        <v>622</v>
      </c>
      <c r="P116" s="63" t="s">
        <v>623</v>
      </c>
      <c r="Q116" s="63" t="s">
        <v>624</v>
      </c>
      <c r="R116" s="63">
        <v>16243811</v>
      </c>
      <c r="S116" s="57" t="str">
        <f t="shared" si="1"/>
        <v>Kimberly Dickerson</v>
      </c>
      <c r="T116" s="63"/>
      <c r="U116" s="63"/>
      <c r="V116" s="63"/>
      <c r="W116" s="63"/>
    </row>
    <row r="117" spans="1:23" ht="15" customHeight="1" x14ac:dyDescent="0.2">
      <c r="A117" s="60" t="s">
        <v>65</v>
      </c>
      <c r="B117" s="66">
        <v>441713414</v>
      </c>
      <c r="C117" s="60" t="s">
        <v>613</v>
      </c>
      <c r="D117" s="61">
        <v>44910</v>
      </c>
      <c r="E117" s="60" t="s">
        <v>614</v>
      </c>
      <c r="F117" s="61">
        <v>45901</v>
      </c>
      <c r="G117" s="61">
        <v>45931</v>
      </c>
      <c r="H117" s="61">
        <v>45909</v>
      </c>
      <c r="I117" s="60" t="s">
        <v>69</v>
      </c>
      <c r="J117" s="66">
        <v>1</v>
      </c>
      <c r="K117" s="62">
        <v>19.760000000000002</v>
      </c>
      <c r="L117" s="67">
        <v>0.09</v>
      </c>
      <c r="M117" s="62">
        <v>1.78</v>
      </c>
      <c r="N117" s="60" t="s">
        <v>72</v>
      </c>
      <c r="O117" s="63" t="s">
        <v>622</v>
      </c>
      <c r="P117" s="63" t="s">
        <v>623</v>
      </c>
      <c r="Q117" s="63" t="s">
        <v>624</v>
      </c>
      <c r="R117" s="63">
        <v>16243811</v>
      </c>
      <c r="S117" s="57" t="str">
        <f t="shared" si="1"/>
        <v>Kimberly Dickerson</v>
      </c>
      <c r="T117" s="63"/>
      <c r="U117" s="63"/>
      <c r="V117" s="63"/>
      <c r="W117" s="63"/>
    </row>
    <row r="118" spans="1:23" ht="15" customHeight="1" x14ac:dyDescent="0.2">
      <c r="A118" s="14" t="s">
        <v>65</v>
      </c>
      <c r="B118" s="64">
        <v>441715464</v>
      </c>
      <c r="C118" s="14" t="s">
        <v>469</v>
      </c>
      <c r="D118" s="58">
        <v>44927</v>
      </c>
      <c r="E118" s="14" t="s">
        <v>470</v>
      </c>
      <c r="F118" s="58">
        <v>45901</v>
      </c>
      <c r="G118" s="58">
        <v>45931</v>
      </c>
      <c r="H118" s="58">
        <v>45904</v>
      </c>
      <c r="I118" s="14" t="s">
        <v>69</v>
      </c>
      <c r="J118" s="64">
        <v>1</v>
      </c>
      <c r="K118" s="59">
        <v>28</v>
      </c>
      <c r="L118" s="65">
        <v>0.09</v>
      </c>
      <c r="M118" s="59">
        <v>2.52</v>
      </c>
      <c r="N118" s="14" t="s">
        <v>72</v>
      </c>
      <c r="O118" s="57" t="s">
        <v>622</v>
      </c>
      <c r="P118" s="57" t="s">
        <v>623</v>
      </c>
      <c r="Q118" s="57" t="s">
        <v>624</v>
      </c>
      <c r="R118" s="57">
        <v>16243811</v>
      </c>
      <c r="S118" s="57" t="str">
        <f t="shared" si="1"/>
        <v>Kimberly Dickerson</v>
      </c>
    </row>
    <row r="119" spans="1:23" ht="15" customHeight="1" x14ac:dyDescent="0.2">
      <c r="A119" s="14" t="s">
        <v>65</v>
      </c>
      <c r="B119" s="64">
        <v>441715465</v>
      </c>
      <c r="C119" s="14" t="s">
        <v>469</v>
      </c>
      <c r="D119" s="58">
        <v>44927</v>
      </c>
      <c r="E119" s="14" t="s">
        <v>278</v>
      </c>
      <c r="F119" s="58">
        <v>45901</v>
      </c>
      <c r="G119" s="58">
        <v>45931</v>
      </c>
      <c r="H119" s="58">
        <v>45904</v>
      </c>
      <c r="I119" s="14" t="s">
        <v>69</v>
      </c>
      <c r="J119" s="64">
        <v>1</v>
      </c>
      <c r="K119" s="59">
        <v>42.64</v>
      </c>
      <c r="L119" s="65">
        <v>0.09</v>
      </c>
      <c r="M119" s="59">
        <v>3.84</v>
      </c>
      <c r="N119" s="14" t="s">
        <v>72</v>
      </c>
      <c r="O119" s="57" t="s">
        <v>622</v>
      </c>
      <c r="P119" s="57" t="s">
        <v>623</v>
      </c>
      <c r="Q119" s="57" t="s">
        <v>624</v>
      </c>
      <c r="R119" s="57">
        <v>16243811</v>
      </c>
      <c r="S119" s="57" t="str">
        <f t="shared" si="1"/>
        <v>Kimberly Dickerson</v>
      </c>
    </row>
    <row r="120" spans="1:23" ht="15" customHeight="1" x14ac:dyDescent="0.2">
      <c r="A120" s="14" t="s">
        <v>65</v>
      </c>
      <c r="B120" s="64">
        <v>441715466</v>
      </c>
      <c r="C120" s="14" t="s">
        <v>469</v>
      </c>
      <c r="D120" s="58">
        <v>44927</v>
      </c>
      <c r="E120" s="14" t="s">
        <v>473</v>
      </c>
      <c r="F120" s="58">
        <v>45901</v>
      </c>
      <c r="G120" s="58">
        <v>45931</v>
      </c>
      <c r="H120" s="58">
        <v>45904</v>
      </c>
      <c r="I120" s="14" t="s">
        <v>69</v>
      </c>
      <c r="J120" s="64">
        <v>1</v>
      </c>
      <c r="K120" s="59">
        <v>15</v>
      </c>
      <c r="L120" s="65">
        <v>0.09</v>
      </c>
      <c r="M120" s="59">
        <v>1.35</v>
      </c>
      <c r="N120" s="14" t="s">
        <v>72</v>
      </c>
      <c r="O120" s="57" t="s">
        <v>622</v>
      </c>
      <c r="P120" s="57" t="s">
        <v>623</v>
      </c>
      <c r="Q120" s="57" t="s">
        <v>624</v>
      </c>
      <c r="R120" s="57">
        <v>16243811</v>
      </c>
      <c r="S120" s="57" t="str">
        <f t="shared" si="1"/>
        <v>Kimberly Dickerson</v>
      </c>
    </row>
    <row r="121" spans="1:23" ht="15" customHeight="1" x14ac:dyDescent="0.2">
      <c r="A121" s="14" t="s">
        <v>65</v>
      </c>
      <c r="B121" s="64">
        <v>441715478</v>
      </c>
      <c r="C121" s="14" t="s">
        <v>469</v>
      </c>
      <c r="D121" s="58">
        <v>44927</v>
      </c>
      <c r="E121" s="14" t="s">
        <v>356</v>
      </c>
      <c r="F121" s="58">
        <v>45901</v>
      </c>
      <c r="G121" s="58">
        <v>45931</v>
      </c>
      <c r="H121" s="58">
        <v>45904</v>
      </c>
      <c r="I121" s="14" t="s">
        <v>69</v>
      </c>
      <c r="J121" s="64">
        <v>1</v>
      </c>
      <c r="K121" s="59">
        <v>24.98</v>
      </c>
      <c r="L121" s="65">
        <v>0.09</v>
      </c>
      <c r="M121" s="59">
        <v>2.25</v>
      </c>
      <c r="N121" s="14" t="s">
        <v>72</v>
      </c>
      <c r="O121" s="57" t="s">
        <v>622</v>
      </c>
      <c r="P121" s="57" t="s">
        <v>623</v>
      </c>
      <c r="Q121" s="57" t="s">
        <v>624</v>
      </c>
      <c r="R121" s="57">
        <v>16243811</v>
      </c>
      <c r="S121" s="57" t="str">
        <f t="shared" si="1"/>
        <v>Kimberly Dickerson</v>
      </c>
    </row>
    <row r="122" spans="1:23" ht="15" customHeight="1" x14ac:dyDescent="0.2">
      <c r="A122" s="14" t="s">
        <v>65</v>
      </c>
      <c r="B122" s="64">
        <v>441722441</v>
      </c>
      <c r="C122" s="14" t="s">
        <v>122</v>
      </c>
      <c r="D122" s="58">
        <v>44927</v>
      </c>
      <c r="E122" s="14" t="s">
        <v>123</v>
      </c>
      <c r="F122" s="58">
        <v>45901</v>
      </c>
      <c r="G122" s="58">
        <v>45931</v>
      </c>
      <c r="H122" s="58">
        <v>45904</v>
      </c>
      <c r="I122" s="14" t="s">
        <v>69</v>
      </c>
      <c r="J122" s="64">
        <v>1</v>
      </c>
      <c r="K122" s="59">
        <v>67.03</v>
      </c>
      <c r="L122" s="65">
        <v>0.09</v>
      </c>
      <c r="M122" s="59">
        <v>6.03</v>
      </c>
      <c r="N122" s="14" t="s">
        <v>72</v>
      </c>
      <c r="O122" s="57" t="s">
        <v>619</v>
      </c>
      <c r="P122" s="57" t="s">
        <v>620</v>
      </c>
      <c r="Q122" s="57" t="s">
        <v>621</v>
      </c>
      <c r="R122" s="57">
        <v>20436925</v>
      </c>
      <c r="S122" s="57" t="str">
        <f t="shared" si="1"/>
        <v>Ashley Teipel</v>
      </c>
    </row>
    <row r="123" spans="1:23" ht="15" customHeight="1" x14ac:dyDescent="0.2">
      <c r="A123" s="14" t="s">
        <v>65</v>
      </c>
      <c r="B123" s="64">
        <v>441724483</v>
      </c>
      <c r="C123" s="14" t="s">
        <v>422</v>
      </c>
      <c r="D123" s="58">
        <v>44927</v>
      </c>
      <c r="E123" s="14" t="s">
        <v>81</v>
      </c>
      <c r="F123" s="58">
        <v>45901</v>
      </c>
      <c r="G123" s="58">
        <v>45931</v>
      </c>
      <c r="H123" s="58">
        <v>45904</v>
      </c>
      <c r="I123" s="14" t="s">
        <v>69</v>
      </c>
      <c r="J123" s="64">
        <v>1</v>
      </c>
      <c r="K123" s="59">
        <v>16</v>
      </c>
      <c r="L123" s="65">
        <v>0.09</v>
      </c>
      <c r="M123" s="59">
        <v>1.44</v>
      </c>
      <c r="N123" s="14" t="s">
        <v>72</v>
      </c>
      <c r="O123" s="57" t="s">
        <v>629</v>
      </c>
      <c r="P123" s="57" t="s">
        <v>69</v>
      </c>
      <c r="Q123" s="57" t="s">
        <v>630</v>
      </c>
      <c r="R123" s="57">
        <v>15278437</v>
      </c>
      <c r="S123" s="57" t="str">
        <f t="shared" si="1"/>
        <v>Jason Hoffmann</v>
      </c>
    </row>
    <row r="124" spans="1:23" ht="15" customHeight="1" x14ac:dyDescent="0.2">
      <c r="A124" s="14" t="s">
        <v>65</v>
      </c>
      <c r="B124" s="64">
        <v>441724484</v>
      </c>
      <c r="C124" s="14" t="s">
        <v>422</v>
      </c>
      <c r="D124" s="58">
        <v>44927</v>
      </c>
      <c r="E124" s="14" t="s">
        <v>196</v>
      </c>
      <c r="F124" s="58">
        <v>45901</v>
      </c>
      <c r="G124" s="58">
        <v>45931</v>
      </c>
      <c r="H124" s="58">
        <v>45904</v>
      </c>
      <c r="I124" s="14" t="s">
        <v>69</v>
      </c>
      <c r="J124" s="64">
        <v>1</v>
      </c>
      <c r="K124" s="59">
        <v>38</v>
      </c>
      <c r="L124" s="65">
        <v>0.09</v>
      </c>
      <c r="M124" s="59">
        <v>3.42</v>
      </c>
      <c r="N124" s="14" t="s">
        <v>72</v>
      </c>
      <c r="O124" s="57" t="s">
        <v>629</v>
      </c>
      <c r="P124" s="57" t="s">
        <v>69</v>
      </c>
      <c r="Q124" s="57" t="s">
        <v>630</v>
      </c>
      <c r="R124" s="57">
        <v>15278437</v>
      </c>
      <c r="S124" s="57" t="str">
        <f t="shared" si="1"/>
        <v>Jason Hoffmann</v>
      </c>
    </row>
    <row r="125" spans="1:23" ht="15" customHeight="1" x14ac:dyDescent="0.2">
      <c r="A125" s="14" t="s">
        <v>65</v>
      </c>
      <c r="B125" s="64">
        <v>441724486</v>
      </c>
      <c r="C125" s="14" t="s">
        <v>422</v>
      </c>
      <c r="D125" s="58">
        <v>44927</v>
      </c>
      <c r="E125" s="14" t="s">
        <v>157</v>
      </c>
      <c r="F125" s="58">
        <v>45901</v>
      </c>
      <c r="G125" s="58">
        <v>45931</v>
      </c>
      <c r="H125" s="58">
        <v>45904</v>
      </c>
      <c r="I125" s="14" t="s">
        <v>69</v>
      </c>
      <c r="J125" s="64">
        <v>1</v>
      </c>
      <c r="K125" s="59">
        <v>136.96</v>
      </c>
      <c r="L125" s="65">
        <v>0.18</v>
      </c>
      <c r="M125" s="59">
        <v>24.65</v>
      </c>
      <c r="N125" s="14" t="s">
        <v>72</v>
      </c>
      <c r="O125" s="57" t="s">
        <v>629</v>
      </c>
      <c r="P125" s="57" t="s">
        <v>69</v>
      </c>
      <c r="Q125" s="57" t="s">
        <v>630</v>
      </c>
      <c r="R125" s="57">
        <v>15278437</v>
      </c>
      <c r="S125" s="57" t="str">
        <f t="shared" si="1"/>
        <v>Jason Hoffmann</v>
      </c>
    </row>
    <row r="126" spans="1:23" ht="15" customHeight="1" x14ac:dyDescent="0.2">
      <c r="A126" s="14" t="s">
        <v>65</v>
      </c>
      <c r="B126" s="64">
        <v>441726277</v>
      </c>
      <c r="C126" s="14" t="s">
        <v>105</v>
      </c>
      <c r="D126" s="58">
        <v>44927</v>
      </c>
      <c r="E126" s="14" t="s">
        <v>106</v>
      </c>
      <c r="F126" s="58">
        <v>45901</v>
      </c>
      <c r="G126" s="58">
        <v>45931</v>
      </c>
      <c r="H126" s="58">
        <v>45904</v>
      </c>
      <c r="I126" s="14" t="s">
        <v>69</v>
      </c>
      <c r="J126" s="64">
        <v>1</v>
      </c>
      <c r="K126" s="59">
        <v>78.2</v>
      </c>
      <c r="L126" s="65">
        <v>0.09</v>
      </c>
      <c r="M126" s="59">
        <v>7.04</v>
      </c>
      <c r="N126" s="14" t="s">
        <v>72</v>
      </c>
      <c r="O126" s="57" t="s">
        <v>619</v>
      </c>
      <c r="P126" s="57" t="s">
        <v>620</v>
      </c>
      <c r="Q126" s="57" t="s">
        <v>621</v>
      </c>
      <c r="R126" s="57">
        <v>20436925</v>
      </c>
      <c r="S126" s="57" t="str">
        <f t="shared" si="1"/>
        <v>Ashley Teipel</v>
      </c>
    </row>
    <row r="127" spans="1:23" ht="15" customHeight="1" x14ac:dyDescent="0.2">
      <c r="A127" s="14" t="s">
        <v>65</v>
      </c>
      <c r="B127" s="64">
        <v>441727097</v>
      </c>
      <c r="C127" s="14" t="s">
        <v>272</v>
      </c>
      <c r="D127" s="58">
        <v>44927</v>
      </c>
      <c r="E127" s="14" t="s">
        <v>78</v>
      </c>
      <c r="F127" s="58">
        <v>45901</v>
      </c>
      <c r="G127" s="58">
        <v>45931</v>
      </c>
      <c r="H127" s="58">
        <v>45904</v>
      </c>
      <c r="I127" s="14" t="s">
        <v>69</v>
      </c>
      <c r="J127" s="64">
        <v>1</v>
      </c>
      <c r="K127" s="59">
        <v>13.6</v>
      </c>
      <c r="L127" s="65">
        <v>0.03</v>
      </c>
      <c r="M127" s="59">
        <v>0.41</v>
      </c>
      <c r="N127" s="14" t="s">
        <v>72</v>
      </c>
      <c r="O127" s="57" t="s">
        <v>627</v>
      </c>
      <c r="Q127" s="57" t="s">
        <v>628</v>
      </c>
      <c r="R127" s="57">
        <v>17425766</v>
      </c>
      <c r="S127" s="57" t="str">
        <f t="shared" si="1"/>
        <v>Carol Foley</v>
      </c>
    </row>
    <row r="128" spans="1:23" ht="15" customHeight="1" x14ac:dyDescent="0.2">
      <c r="A128" s="14" t="s">
        <v>65</v>
      </c>
      <c r="B128" s="64">
        <v>441727099</v>
      </c>
      <c r="C128" s="14" t="s">
        <v>272</v>
      </c>
      <c r="D128" s="58">
        <v>44927</v>
      </c>
      <c r="E128" s="14" t="s">
        <v>183</v>
      </c>
      <c r="F128" s="58">
        <v>45901</v>
      </c>
      <c r="G128" s="58">
        <v>45931</v>
      </c>
      <c r="H128" s="58">
        <v>45904</v>
      </c>
      <c r="I128" s="14" t="s">
        <v>69</v>
      </c>
      <c r="J128" s="64">
        <v>1</v>
      </c>
      <c r="K128" s="59">
        <v>56.38</v>
      </c>
      <c r="L128" s="65">
        <v>0.06</v>
      </c>
      <c r="M128" s="59">
        <v>3.38</v>
      </c>
      <c r="N128" s="14" t="s">
        <v>72</v>
      </c>
      <c r="O128" s="57" t="s">
        <v>627</v>
      </c>
      <c r="Q128" s="57" t="s">
        <v>628</v>
      </c>
      <c r="R128" s="57">
        <v>17425766</v>
      </c>
      <c r="S128" s="57" t="str">
        <f t="shared" si="1"/>
        <v>Carol Foley</v>
      </c>
    </row>
    <row r="129" spans="1:19" ht="15" customHeight="1" x14ac:dyDescent="0.2">
      <c r="A129" s="14" t="s">
        <v>65</v>
      </c>
      <c r="B129" s="64">
        <v>441730183</v>
      </c>
      <c r="C129" s="14" t="s">
        <v>459</v>
      </c>
      <c r="D129" s="58">
        <v>44927</v>
      </c>
      <c r="E129" s="14" t="s">
        <v>278</v>
      </c>
      <c r="F129" s="58">
        <v>45901</v>
      </c>
      <c r="G129" s="58">
        <v>45931</v>
      </c>
      <c r="H129" s="58">
        <v>45904</v>
      </c>
      <c r="I129" s="14" t="s">
        <v>69</v>
      </c>
      <c r="J129" s="64">
        <v>1</v>
      </c>
      <c r="K129" s="59">
        <v>42.64</v>
      </c>
      <c r="L129" s="65">
        <v>0.09</v>
      </c>
      <c r="M129" s="59">
        <v>3.84</v>
      </c>
      <c r="N129" s="14" t="s">
        <v>72</v>
      </c>
      <c r="O129" s="57" t="s">
        <v>622</v>
      </c>
      <c r="P129" s="57" t="s">
        <v>623</v>
      </c>
      <c r="Q129" s="57" t="s">
        <v>624</v>
      </c>
      <c r="R129" s="57">
        <v>16243811</v>
      </c>
      <c r="S129" s="57" t="str">
        <f t="shared" si="1"/>
        <v>Kimberly Dickerson</v>
      </c>
    </row>
    <row r="130" spans="1:19" ht="15" customHeight="1" x14ac:dyDescent="0.2">
      <c r="A130" s="14" t="s">
        <v>65</v>
      </c>
      <c r="B130" s="64">
        <v>441730187</v>
      </c>
      <c r="C130" s="14" t="s">
        <v>459</v>
      </c>
      <c r="D130" s="58">
        <v>44927</v>
      </c>
      <c r="E130" s="14" t="s">
        <v>461</v>
      </c>
      <c r="F130" s="58">
        <v>45901</v>
      </c>
      <c r="G130" s="58">
        <v>45931</v>
      </c>
      <c r="H130" s="58">
        <v>45904</v>
      </c>
      <c r="I130" s="14" t="s">
        <v>69</v>
      </c>
      <c r="J130" s="64">
        <v>1</v>
      </c>
      <c r="K130" s="59">
        <v>9</v>
      </c>
      <c r="L130" s="65">
        <v>0.09</v>
      </c>
      <c r="M130" s="59">
        <v>0.81</v>
      </c>
      <c r="N130" s="14" t="s">
        <v>72</v>
      </c>
      <c r="O130" s="57" t="s">
        <v>622</v>
      </c>
      <c r="P130" s="57" t="s">
        <v>623</v>
      </c>
      <c r="Q130" s="57" t="s">
        <v>624</v>
      </c>
      <c r="R130" s="57">
        <v>16243811</v>
      </c>
      <c r="S130" s="57" t="str">
        <f t="shared" si="1"/>
        <v>Kimberly Dickerson</v>
      </c>
    </row>
    <row r="131" spans="1:19" ht="15" customHeight="1" x14ac:dyDescent="0.2">
      <c r="A131" s="14" t="s">
        <v>65</v>
      </c>
      <c r="B131" s="64">
        <v>441731239</v>
      </c>
      <c r="C131" s="14" t="s">
        <v>540</v>
      </c>
      <c r="D131" s="58">
        <v>44927</v>
      </c>
      <c r="E131" s="14" t="s">
        <v>495</v>
      </c>
      <c r="F131" s="58">
        <v>45901</v>
      </c>
      <c r="G131" s="58">
        <v>45931</v>
      </c>
      <c r="H131" s="58">
        <v>45904</v>
      </c>
      <c r="I131" s="14" t="s">
        <v>69</v>
      </c>
      <c r="J131" s="64">
        <v>1</v>
      </c>
      <c r="K131" s="59">
        <v>38.630000000000003</v>
      </c>
      <c r="L131" s="65">
        <v>0.09</v>
      </c>
      <c r="M131" s="59">
        <v>3.48</v>
      </c>
      <c r="N131" s="14" t="s">
        <v>72</v>
      </c>
      <c r="O131" s="57" t="s">
        <v>622</v>
      </c>
      <c r="P131" s="57" t="s">
        <v>623</v>
      </c>
      <c r="Q131" s="57" t="s">
        <v>624</v>
      </c>
      <c r="R131" s="57">
        <v>16243811</v>
      </c>
      <c r="S131" s="57" t="str">
        <f t="shared" ref="S131:S194" si="2">CONCATENATE(O131, " ",Q131)</f>
        <v>Kimberly Dickerson</v>
      </c>
    </row>
    <row r="132" spans="1:19" ht="15" customHeight="1" x14ac:dyDescent="0.2">
      <c r="A132" s="14" t="s">
        <v>65</v>
      </c>
      <c r="B132" s="64">
        <v>441731240</v>
      </c>
      <c r="C132" s="14" t="s">
        <v>540</v>
      </c>
      <c r="D132" s="58">
        <v>44927</v>
      </c>
      <c r="E132" s="14" t="s">
        <v>461</v>
      </c>
      <c r="F132" s="58">
        <v>45901</v>
      </c>
      <c r="G132" s="58">
        <v>45931</v>
      </c>
      <c r="H132" s="58">
        <v>45904</v>
      </c>
      <c r="I132" s="14" t="s">
        <v>69</v>
      </c>
      <c r="J132" s="64">
        <v>1</v>
      </c>
      <c r="K132" s="59">
        <v>9</v>
      </c>
      <c r="L132" s="65">
        <v>0.09</v>
      </c>
      <c r="M132" s="59">
        <v>0.81</v>
      </c>
      <c r="N132" s="14" t="s">
        <v>72</v>
      </c>
      <c r="O132" s="57" t="s">
        <v>622</v>
      </c>
      <c r="P132" s="57" t="s">
        <v>623</v>
      </c>
      <c r="Q132" s="57" t="s">
        <v>624</v>
      </c>
      <c r="R132" s="57">
        <v>16243811</v>
      </c>
      <c r="S132" s="57" t="str">
        <f t="shared" si="2"/>
        <v>Kimberly Dickerson</v>
      </c>
    </row>
    <row r="133" spans="1:19" ht="15" customHeight="1" x14ac:dyDescent="0.2">
      <c r="A133" s="14" t="s">
        <v>65</v>
      </c>
      <c r="B133" s="64">
        <v>441731242</v>
      </c>
      <c r="C133" s="14" t="s">
        <v>540</v>
      </c>
      <c r="D133" s="58">
        <v>44927</v>
      </c>
      <c r="E133" s="14" t="s">
        <v>278</v>
      </c>
      <c r="F133" s="58">
        <v>45901</v>
      </c>
      <c r="G133" s="58">
        <v>45931</v>
      </c>
      <c r="H133" s="58">
        <v>45904</v>
      </c>
      <c r="I133" s="14" t="s">
        <v>69</v>
      </c>
      <c r="J133" s="64">
        <v>1</v>
      </c>
      <c r="K133" s="59">
        <v>42.64</v>
      </c>
      <c r="L133" s="65">
        <v>0.09</v>
      </c>
      <c r="M133" s="59">
        <v>3.84</v>
      </c>
      <c r="N133" s="14" t="s">
        <v>72</v>
      </c>
      <c r="O133" s="57" t="s">
        <v>622</v>
      </c>
      <c r="P133" s="57" t="s">
        <v>623</v>
      </c>
      <c r="Q133" s="57" t="s">
        <v>624</v>
      </c>
      <c r="R133" s="57">
        <v>16243811</v>
      </c>
      <c r="S133" s="57" t="str">
        <f t="shared" si="2"/>
        <v>Kimberly Dickerson</v>
      </c>
    </row>
    <row r="134" spans="1:19" ht="15" customHeight="1" x14ac:dyDescent="0.2">
      <c r="A134" s="14" t="s">
        <v>65</v>
      </c>
      <c r="B134" s="64">
        <v>441731243</v>
      </c>
      <c r="C134" s="14" t="s">
        <v>540</v>
      </c>
      <c r="D134" s="58">
        <v>44927</v>
      </c>
      <c r="E134" s="14" t="s">
        <v>228</v>
      </c>
      <c r="F134" s="58">
        <v>45901</v>
      </c>
      <c r="G134" s="58">
        <v>45931</v>
      </c>
      <c r="H134" s="58">
        <v>45904</v>
      </c>
      <c r="I134" s="14" t="s">
        <v>69</v>
      </c>
      <c r="J134" s="64">
        <v>1</v>
      </c>
      <c r="K134" s="59">
        <v>41.01</v>
      </c>
      <c r="L134" s="65">
        <v>0.09</v>
      </c>
      <c r="M134" s="59">
        <v>3.69</v>
      </c>
      <c r="N134" s="14" t="s">
        <v>72</v>
      </c>
      <c r="O134" s="57" t="s">
        <v>622</v>
      </c>
      <c r="P134" s="57" t="s">
        <v>623</v>
      </c>
      <c r="Q134" s="57" t="s">
        <v>624</v>
      </c>
      <c r="R134" s="57">
        <v>16243811</v>
      </c>
      <c r="S134" s="57" t="str">
        <f t="shared" si="2"/>
        <v>Kimberly Dickerson</v>
      </c>
    </row>
    <row r="135" spans="1:19" ht="15" customHeight="1" x14ac:dyDescent="0.2">
      <c r="A135" s="14" t="s">
        <v>65</v>
      </c>
      <c r="B135" s="64">
        <v>441733220</v>
      </c>
      <c r="C135" s="14" t="s">
        <v>344</v>
      </c>
      <c r="D135" s="58">
        <v>44927</v>
      </c>
      <c r="E135" s="14" t="s">
        <v>258</v>
      </c>
      <c r="F135" s="58">
        <v>45901</v>
      </c>
      <c r="G135" s="58">
        <v>45931</v>
      </c>
      <c r="H135" s="58">
        <v>45904</v>
      </c>
      <c r="I135" s="14" t="s">
        <v>69</v>
      </c>
      <c r="J135" s="64">
        <v>1</v>
      </c>
      <c r="K135" s="59">
        <v>32.130000000000003</v>
      </c>
      <c r="L135" s="65">
        <v>0.03</v>
      </c>
      <c r="M135" s="59">
        <v>0.96</v>
      </c>
      <c r="N135" s="14" t="s">
        <v>72</v>
      </c>
      <c r="O135" s="57" t="s">
        <v>627</v>
      </c>
      <c r="Q135" s="57" t="s">
        <v>628</v>
      </c>
      <c r="R135" s="57">
        <v>17425766</v>
      </c>
      <c r="S135" s="57" t="str">
        <f t="shared" si="2"/>
        <v>Carol Foley</v>
      </c>
    </row>
    <row r="136" spans="1:19" ht="15" customHeight="1" x14ac:dyDescent="0.2">
      <c r="A136" s="14" t="s">
        <v>65</v>
      </c>
      <c r="B136" s="64">
        <v>441733224</v>
      </c>
      <c r="C136" s="14" t="s">
        <v>344</v>
      </c>
      <c r="D136" s="58">
        <v>44927</v>
      </c>
      <c r="E136" s="14" t="s">
        <v>211</v>
      </c>
      <c r="F136" s="58">
        <v>45901</v>
      </c>
      <c r="G136" s="58">
        <v>45931</v>
      </c>
      <c r="H136" s="58">
        <v>45904</v>
      </c>
      <c r="I136" s="14" t="s">
        <v>69</v>
      </c>
      <c r="J136" s="64">
        <v>1</v>
      </c>
      <c r="K136" s="59">
        <v>76.66</v>
      </c>
      <c r="L136" s="65">
        <v>0.06</v>
      </c>
      <c r="M136" s="59">
        <v>4.5999999999999996</v>
      </c>
      <c r="N136" s="14" t="s">
        <v>72</v>
      </c>
      <c r="O136" s="57" t="s">
        <v>627</v>
      </c>
      <c r="Q136" s="57" t="s">
        <v>628</v>
      </c>
      <c r="R136" s="57">
        <v>17425766</v>
      </c>
      <c r="S136" s="57" t="str">
        <f t="shared" si="2"/>
        <v>Carol Foley</v>
      </c>
    </row>
    <row r="137" spans="1:19" ht="15" customHeight="1" x14ac:dyDescent="0.2">
      <c r="A137" s="14" t="s">
        <v>65</v>
      </c>
      <c r="B137" s="64">
        <v>441739608</v>
      </c>
      <c r="C137" s="14" t="s">
        <v>451</v>
      </c>
      <c r="D137" s="58">
        <v>44927</v>
      </c>
      <c r="E137" s="14" t="s">
        <v>444</v>
      </c>
      <c r="F137" s="58">
        <v>45901</v>
      </c>
      <c r="G137" s="58">
        <v>45931</v>
      </c>
      <c r="H137" s="58">
        <v>45904</v>
      </c>
      <c r="I137" s="14" t="s">
        <v>69</v>
      </c>
      <c r="J137" s="64">
        <v>1</v>
      </c>
      <c r="K137" s="59">
        <v>6.3</v>
      </c>
      <c r="L137" s="65">
        <v>0.09</v>
      </c>
      <c r="M137" s="59">
        <v>0.56999999999999995</v>
      </c>
      <c r="N137" s="14" t="s">
        <v>72</v>
      </c>
      <c r="O137" s="57" t="s">
        <v>622</v>
      </c>
      <c r="P137" s="57" t="s">
        <v>623</v>
      </c>
      <c r="Q137" s="57" t="s">
        <v>624</v>
      </c>
      <c r="R137" s="57">
        <v>16243811</v>
      </c>
      <c r="S137" s="57" t="str">
        <f t="shared" si="2"/>
        <v>Kimberly Dickerson</v>
      </c>
    </row>
    <row r="138" spans="1:19" ht="15" customHeight="1" x14ac:dyDescent="0.2">
      <c r="A138" s="14" t="s">
        <v>65</v>
      </c>
      <c r="B138" s="64">
        <v>441739609</v>
      </c>
      <c r="C138" s="14" t="s">
        <v>451</v>
      </c>
      <c r="D138" s="58">
        <v>44927</v>
      </c>
      <c r="E138" s="14" t="s">
        <v>453</v>
      </c>
      <c r="F138" s="58">
        <v>45901</v>
      </c>
      <c r="G138" s="58">
        <v>45931</v>
      </c>
      <c r="H138" s="58">
        <v>45904</v>
      </c>
      <c r="I138" s="14" t="s">
        <v>69</v>
      </c>
      <c r="J138" s="64">
        <v>1</v>
      </c>
      <c r="K138" s="59">
        <v>21.5</v>
      </c>
      <c r="L138" s="65">
        <v>0.09</v>
      </c>
      <c r="M138" s="59">
        <v>1.94</v>
      </c>
      <c r="N138" s="14" t="s">
        <v>72</v>
      </c>
      <c r="O138" s="57" t="s">
        <v>622</v>
      </c>
      <c r="P138" s="57" t="s">
        <v>623</v>
      </c>
      <c r="Q138" s="57" t="s">
        <v>624</v>
      </c>
      <c r="R138" s="57">
        <v>16243811</v>
      </c>
      <c r="S138" s="57" t="str">
        <f t="shared" si="2"/>
        <v>Kimberly Dickerson</v>
      </c>
    </row>
    <row r="139" spans="1:19" ht="15" customHeight="1" x14ac:dyDescent="0.2">
      <c r="A139" s="14" t="s">
        <v>65</v>
      </c>
      <c r="B139" s="64">
        <v>441739610</v>
      </c>
      <c r="C139" s="14" t="s">
        <v>451</v>
      </c>
      <c r="D139" s="58">
        <v>44927</v>
      </c>
      <c r="E139" s="14" t="s">
        <v>278</v>
      </c>
      <c r="F139" s="58">
        <v>45901</v>
      </c>
      <c r="G139" s="58">
        <v>45931</v>
      </c>
      <c r="H139" s="58">
        <v>45904</v>
      </c>
      <c r="I139" s="14" t="s">
        <v>69</v>
      </c>
      <c r="J139" s="64">
        <v>1</v>
      </c>
      <c r="K139" s="59">
        <v>42.64</v>
      </c>
      <c r="L139" s="65">
        <v>0.09</v>
      </c>
      <c r="M139" s="59">
        <v>3.84</v>
      </c>
      <c r="N139" s="14" t="s">
        <v>72</v>
      </c>
      <c r="O139" s="57" t="s">
        <v>622</v>
      </c>
      <c r="P139" s="57" t="s">
        <v>623</v>
      </c>
      <c r="Q139" s="57" t="s">
        <v>624</v>
      </c>
      <c r="R139" s="57">
        <v>16243811</v>
      </c>
      <c r="S139" s="57" t="str">
        <f t="shared" si="2"/>
        <v>Kimberly Dickerson</v>
      </c>
    </row>
    <row r="140" spans="1:19" ht="15" customHeight="1" x14ac:dyDescent="0.2">
      <c r="A140" s="14" t="s">
        <v>65</v>
      </c>
      <c r="B140" s="64">
        <v>441739611</v>
      </c>
      <c r="C140" s="14" t="s">
        <v>451</v>
      </c>
      <c r="D140" s="58">
        <v>44927</v>
      </c>
      <c r="E140" s="14" t="s">
        <v>456</v>
      </c>
      <c r="F140" s="58">
        <v>45901</v>
      </c>
      <c r="G140" s="58">
        <v>45931</v>
      </c>
      <c r="H140" s="58">
        <v>45904</v>
      </c>
      <c r="I140" s="14" t="s">
        <v>69</v>
      </c>
      <c r="J140" s="64">
        <v>1</v>
      </c>
      <c r="K140" s="59">
        <v>7.5</v>
      </c>
      <c r="L140" s="65">
        <v>0.09</v>
      </c>
      <c r="M140" s="59">
        <v>0.68</v>
      </c>
      <c r="N140" s="14" t="s">
        <v>72</v>
      </c>
      <c r="O140" s="57" t="s">
        <v>622</v>
      </c>
      <c r="P140" s="57" t="s">
        <v>623</v>
      </c>
      <c r="Q140" s="57" t="s">
        <v>624</v>
      </c>
      <c r="R140" s="57">
        <v>16243811</v>
      </c>
      <c r="S140" s="57" t="str">
        <f t="shared" si="2"/>
        <v>Kimberly Dickerson</v>
      </c>
    </row>
    <row r="141" spans="1:19" ht="15" customHeight="1" x14ac:dyDescent="0.2">
      <c r="A141" s="14" t="s">
        <v>65</v>
      </c>
      <c r="B141" s="64">
        <v>441739612</v>
      </c>
      <c r="C141" s="14" t="s">
        <v>451</v>
      </c>
      <c r="D141" s="58">
        <v>44927</v>
      </c>
      <c r="E141" s="14" t="s">
        <v>191</v>
      </c>
      <c r="F141" s="58">
        <v>45901</v>
      </c>
      <c r="G141" s="58">
        <v>45931</v>
      </c>
      <c r="H141" s="58">
        <v>45904</v>
      </c>
      <c r="I141" s="14" t="s">
        <v>69</v>
      </c>
      <c r="J141" s="64">
        <v>1</v>
      </c>
      <c r="K141" s="59">
        <v>74.83</v>
      </c>
      <c r="L141" s="65">
        <v>0.18</v>
      </c>
      <c r="M141" s="59">
        <v>13.47</v>
      </c>
      <c r="N141" s="14" t="s">
        <v>72</v>
      </c>
      <c r="O141" s="57" t="s">
        <v>622</v>
      </c>
      <c r="P141" s="57" t="s">
        <v>623</v>
      </c>
      <c r="Q141" s="57" t="s">
        <v>624</v>
      </c>
      <c r="R141" s="57">
        <v>16243811</v>
      </c>
      <c r="S141" s="57" t="str">
        <f t="shared" si="2"/>
        <v>Kimberly Dickerson</v>
      </c>
    </row>
    <row r="142" spans="1:19" ht="15" customHeight="1" x14ac:dyDescent="0.2">
      <c r="A142" s="14" t="s">
        <v>65</v>
      </c>
      <c r="B142" s="64">
        <v>441740317</v>
      </c>
      <c r="C142" s="14" t="s">
        <v>492</v>
      </c>
      <c r="D142" s="58">
        <v>44927</v>
      </c>
      <c r="E142" s="14" t="s">
        <v>461</v>
      </c>
      <c r="F142" s="58">
        <v>45901</v>
      </c>
      <c r="G142" s="58">
        <v>45931</v>
      </c>
      <c r="H142" s="58">
        <v>45904</v>
      </c>
      <c r="I142" s="14" t="s">
        <v>69</v>
      </c>
      <c r="J142" s="64">
        <v>1</v>
      </c>
      <c r="K142" s="59">
        <v>16</v>
      </c>
      <c r="L142" s="65">
        <v>0.09</v>
      </c>
      <c r="M142" s="59">
        <v>1.44</v>
      </c>
      <c r="N142" s="14" t="s">
        <v>72</v>
      </c>
      <c r="O142" s="57" t="s">
        <v>622</v>
      </c>
      <c r="P142" s="57" t="s">
        <v>623</v>
      </c>
      <c r="Q142" s="57" t="s">
        <v>624</v>
      </c>
      <c r="R142" s="57">
        <v>16243811</v>
      </c>
      <c r="S142" s="57" t="str">
        <f t="shared" si="2"/>
        <v>Kimberly Dickerson</v>
      </c>
    </row>
    <row r="143" spans="1:19" ht="15" customHeight="1" x14ac:dyDescent="0.2">
      <c r="A143" s="14" t="s">
        <v>65</v>
      </c>
      <c r="B143" s="64">
        <v>441742016</v>
      </c>
      <c r="C143" s="14" t="s">
        <v>410</v>
      </c>
      <c r="D143" s="58">
        <v>44927</v>
      </c>
      <c r="E143" s="14" t="s">
        <v>278</v>
      </c>
      <c r="F143" s="58">
        <v>45901</v>
      </c>
      <c r="G143" s="58">
        <v>45931</v>
      </c>
      <c r="H143" s="58">
        <v>45904</v>
      </c>
      <c r="I143" s="14" t="s">
        <v>69</v>
      </c>
      <c r="J143" s="64">
        <v>1</v>
      </c>
      <c r="K143" s="59">
        <v>39</v>
      </c>
      <c r="L143" s="65">
        <v>0.09</v>
      </c>
      <c r="M143" s="59">
        <v>3.51</v>
      </c>
      <c r="N143" s="14" t="s">
        <v>72</v>
      </c>
      <c r="O143" s="57" t="s">
        <v>629</v>
      </c>
      <c r="P143" s="57" t="s">
        <v>69</v>
      </c>
      <c r="Q143" s="57" t="s">
        <v>630</v>
      </c>
      <c r="R143" s="57">
        <v>15278437</v>
      </c>
      <c r="S143" s="57" t="str">
        <f t="shared" si="2"/>
        <v>Jason Hoffmann</v>
      </c>
    </row>
    <row r="144" spans="1:19" ht="15" customHeight="1" x14ac:dyDescent="0.2">
      <c r="A144" s="14" t="s">
        <v>65</v>
      </c>
      <c r="B144" s="64">
        <v>441742020</v>
      </c>
      <c r="C144" s="14" t="s">
        <v>410</v>
      </c>
      <c r="D144" s="58">
        <v>44927</v>
      </c>
      <c r="E144" s="14" t="s">
        <v>211</v>
      </c>
      <c r="F144" s="58">
        <v>45901</v>
      </c>
      <c r="G144" s="58">
        <v>45931</v>
      </c>
      <c r="H144" s="58">
        <v>45904</v>
      </c>
      <c r="I144" s="14" t="s">
        <v>69</v>
      </c>
      <c r="J144" s="64">
        <v>1</v>
      </c>
      <c r="K144" s="59">
        <v>91.23</v>
      </c>
      <c r="L144" s="65">
        <v>0.18</v>
      </c>
      <c r="M144" s="59">
        <v>16.420000000000002</v>
      </c>
      <c r="N144" s="14" t="s">
        <v>72</v>
      </c>
      <c r="O144" s="57" t="s">
        <v>629</v>
      </c>
      <c r="P144" s="57" t="s">
        <v>69</v>
      </c>
      <c r="Q144" s="57" t="s">
        <v>630</v>
      </c>
      <c r="R144" s="57">
        <v>15278437</v>
      </c>
      <c r="S144" s="57" t="str">
        <f t="shared" si="2"/>
        <v>Jason Hoffmann</v>
      </c>
    </row>
    <row r="145" spans="1:23" ht="15" customHeight="1" x14ac:dyDescent="0.2">
      <c r="A145" s="14" t="s">
        <v>65</v>
      </c>
      <c r="B145" s="64">
        <v>441744881</v>
      </c>
      <c r="C145" s="14" t="s">
        <v>463</v>
      </c>
      <c r="D145" s="58">
        <v>44928</v>
      </c>
      <c r="E145" s="14" t="s">
        <v>464</v>
      </c>
      <c r="F145" s="58">
        <v>45901</v>
      </c>
      <c r="G145" s="58">
        <v>45931</v>
      </c>
      <c r="H145" s="58">
        <v>45904</v>
      </c>
      <c r="I145" s="14" t="s">
        <v>69</v>
      </c>
      <c r="J145" s="64">
        <v>1</v>
      </c>
      <c r="K145" s="59">
        <v>54.5</v>
      </c>
      <c r="L145" s="65">
        <v>0.09</v>
      </c>
      <c r="M145" s="59">
        <v>4.91</v>
      </c>
      <c r="N145" s="14" t="s">
        <v>72</v>
      </c>
      <c r="O145" s="57" t="s">
        <v>622</v>
      </c>
      <c r="P145" s="57" t="s">
        <v>623</v>
      </c>
      <c r="Q145" s="57" t="s">
        <v>624</v>
      </c>
      <c r="R145" s="57">
        <v>16243811</v>
      </c>
      <c r="S145" s="57" t="str">
        <f t="shared" si="2"/>
        <v>Kimberly Dickerson</v>
      </c>
    </row>
    <row r="146" spans="1:23" ht="15" customHeight="1" x14ac:dyDescent="0.2">
      <c r="A146" s="14" t="s">
        <v>65</v>
      </c>
      <c r="B146" s="64">
        <v>441747603</v>
      </c>
      <c r="C146" s="14" t="s">
        <v>149</v>
      </c>
      <c r="D146" s="58">
        <v>44958</v>
      </c>
      <c r="E146" s="14" t="s">
        <v>128</v>
      </c>
      <c r="F146" s="58">
        <v>45901</v>
      </c>
      <c r="G146" s="58">
        <v>45931</v>
      </c>
      <c r="H146" s="58">
        <v>45904</v>
      </c>
      <c r="I146" s="14" t="s">
        <v>69</v>
      </c>
      <c r="J146" s="64">
        <v>1</v>
      </c>
      <c r="K146" s="59">
        <v>72.150000000000006</v>
      </c>
      <c r="L146" s="65">
        <v>0.09</v>
      </c>
      <c r="M146" s="59">
        <v>6.49</v>
      </c>
      <c r="N146" s="14" t="s">
        <v>72</v>
      </c>
      <c r="O146" s="57" t="s">
        <v>619</v>
      </c>
      <c r="P146" s="57" t="s">
        <v>620</v>
      </c>
      <c r="Q146" s="57" t="s">
        <v>621</v>
      </c>
      <c r="R146" s="57">
        <v>20436925</v>
      </c>
      <c r="S146" s="57" t="str">
        <f t="shared" si="2"/>
        <v>Ashley Teipel</v>
      </c>
    </row>
    <row r="147" spans="1:23" ht="15" customHeight="1" x14ac:dyDescent="0.2">
      <c r="A147" s="14" t="s">
        <v>65</v>
      </c>
      <c r="B147" s="64">
        <v>441748283</v>
      </c>
      <c r="C147" s="14" t="s">
        <v>146</v>
      </c>
      <c r="D147" s="58">
        <v>44958</v>
      </c>
      <c r="E147" s="14" t="s">
        <v>147</v>
      </c>
      <c r="F147" s="58">
        <v>45901</v>
      </c>
      <c r="G147" s="58">
        <v>45931</v>
      </c>
      <c r="H147" s="58">
        <v>45904</v>
      </c>
      <c r="I147" s="14" t="s">
        <v>69</v>
      </c>
      <c r="J147" s="64">
        <v>1</v>
      </c>
      <c r="K147" s="59">
        <v>221</v>
      </c>
      <c r="L147" s="65">
        <v>0.09</v>
      </c>
      <c r="M147" s="59">
        <v>19.89</v>
      </c>
      <c r="N147" s="14" t="s">
        <v>72</v>
      </c>
      <c r="O147" s="57" t="s">
        <v>619</v>
      </c>
      <c r="P147" s="57" t="s">
        <v>620</v>
      </c>
      <c r="Q147" s="57" t="s">
        <v>621</v>
      </c>
      <c r="R147" s="57">
        <v>20436925</v>
      </c>
      <c r="S147" s="57" t="str">
        <f t="shared" si="2"/>
        <v>Ashley Teipel</v>
      </c>
    </row>
    <row r="148" spans="1:23" ht="15" customHeight="1" x14ac:dyDescent="0.2">
      <c r="A148" s="14" t="s">
        <v>65</v>
      </c>
      <c r="B148" s="64">
        <v>441750607</v>
      </c>
      <c r="C148" s="14" t="s">
        <v>130</v>
      </c>
      <c r="D148" s="58">
        <v>44930</v>
      </c>
      <c r="E148" s="14" t="s">
        <v>81</v>
      </c>
      <c r="F148" s="58">
        <v>45901</v>
      </c>
      <c r="G148" s="58">
        <v>45931</v>
      </c>
      <c r="H148" s="58">
        <v>45906</v>
      </c>
      <c r="I148" s="14" t="s">
        <v>69</v>
      </c>
      <c r="J148" s="64">
        <v>1</v>
      </c>
      <c r="K148" s="59">
        <v>9</v>
      </c>
      <c r="L148" s="65">
        <v>0.09</v>
      </c>
      <c r="M148" s="59">
        <v>0.81</v>
      </c>
      <c r="N148" s="14" t="s">
        <v>72</v>
      </c>
      <c r="O148" s="57" t="s">
        <v>619</v>
      </c>
      <c r="P148" s="57" t="s">
        <v>620</v>
      </c>
      <c r="Q148" s="57" t="s">
        <v>621</v>
      </c>
      <c r="R148" s="57">
        <v>20436925</v>
      </c>
      <c r="S148" s="57" t="str">
        <f t="shared" si="2"/>
        <v>Ashley Teipel</v>
      </c>
    </row>
    <row r="149" spans="1:23" ht="15" customHeight="1" x14ac:dyDescent="0.2">
      <c r="A149" s="14" t="s">
        <v>65</v>
      </c>
      <c r="B149" s="64">
        <v>441757662</v>
      </c>
      <c r="C149" s="14" t="s">
        <v>294</v>
      </c>
      <c r="D149" s="58">
        <v>44959</v>
      </c>
      <c r="E149" s="14" t="s">
        <v>81</v>
      </c>
      <c r="F149" s="58">
        <v>45901</v>
      </c>
      <c r="G149" s="58">
        <v>45931</v>
      </c>
      <c r="H149" s="58">
        <v>45904</v>
      </c>
      <c r="I149" s="14" t="s">
        <v>69</v>
      </c>
      <c r="J149" s="64">
        <v>1</v>
      </c>
      <c r="K149" s="59">
        <v>9</v>
      </c>
      <c r="L149" s="65">
        <v>0.03</v>
      </c>
      <c r="M149" s="59">
        <v>0.27</v>
      </c>
      <c r="N149" s="14" t="s">
        <v>72</v>
      </c>
      <c r="O149" s="57" t="s">
        <v>627</v>
      </c>
      <c r="Q149" s="57" t="s">
        <v>628</v>
      </c>
      <c r="R149" s="57">
        <v>17425766</v>
      </c>
      <c r="S149" s="57" t="str">
        <f t="shared" si="2"/>
        <v>Carol Foley</v>
      </c>
    </row>
    <row r="150" spans="1:23" ht="15" customHeight="1" x14ac:dyDescent="0.2">
      <c r="A150" s="14" t="s">
        <v>65</v>
      </c>
      <c r="B150" s="64">
        <v>441757663</v>
      </c>
      <c r="C150" s="14" t="s">
        <v>294</v>
      </c>
      <c r="D150" s="58">
        <v>44959</v>
      </c>
      <c r="E150" s="14" t="s">
        <v>278</v>
      </c>
      <c r="F150" s="58">
        <v>45901</v>
      </c>
      <c r="G150" s="58">
        <v>45931</v>
      </c>
      <c r="H150" s="58">
        <v>45904</v>
      </c>
      <c r="I150" s="14" t="s">
        <v>69</v>
      </c>
      <c r="J150" s="64">
        <v>1</v>
      </c>
      <c r="K150" s="59">
        <v>39</v>
      </c>
      <c r="L150" s="65">
        <v>0.03</v>
      </c>
      <c r="M150" s="59">
        <v>1.17</v>
      </c>
      <c r="N150" s="14" t="s">
        <v>72</v>
      </c>
      <c r="O150" s="57" t="s">
        <v>627</v>
      </c>
      <c r="Q150" s="57" t="s">
        <v>628</v>
      </c>
      <c r="R150" s="57">
        <v>17425766</v>
      </c>
      <c r="S150" s="57" t="str">
        <f t="shared" si="2"/>
        <v>Carol Foley</v>
      </c>
    </row>
    <row r="151" spans="1:23" ht="15" customHeight="1" x14ac:dyDescent="0.2">
      <c r="A151" s="14" t="s">
        <v>65</v>
      </c>
      <c r="B151" s="64">
        <v>441757668</v>
      </c>
      <c r="C151" s="14" t="s">
        <v>294</v>
      </c>
      <c r="D151" s="58">
        <v>44959</v>
      </c>
      <c r="E151" s="14" t="s">
        <v>211</v>
      </c>
      <c r="F151" s="58">
        <v>45901</v>
      </c>
      <c r="G151" s="58">
        <v>45931</v>
      </c>
      <c r="H151" s="58">
        <v>45904</v>
      </c>
      <c r="I151" s="14" t="s">
        <v>69</v>
      </c>
      <c r="J151" s="64">
        <v>1</v>
      </c>
      <c r="K151" s="59">
        <v>72.73</v>
      </c>
      <c r="L151" s="65">
        <v>0.06</v>
      </c>
      <c r="M151" s="59">
        <v>4.3600000000000003</v>
      </c>
      <c r="N151" s="14" t="s">
        <v>72</v>
      </c>
      <c r="O151" s="57" t="s">
        <v>627</v>
      </c>
      <c r="Q151" s="57" t="s">
        <v>628</v>
      </c>
      <c r="R151" s="57">
        <v>17425766</v>
      </c>
      <c r="S151" s="57" t="str">
        <f t="shared" si="2"/>
        <v>Carol Foley</v>
      </c>
    </row>
    <row r="152" spans="1:23" ht="15" customHeight="1" x14ac:dyDescent="0.2">
      <c r="A152" s="60" t="s">
        <v>65</v>
      </c>
      <c r="B152" s="66">
        <v>441761638</v>
      </c>
      <c r="C152" s="60" t="s">
        <v>599</v>
      </c>
      <c r="D152" s="61">
        <v>44936</v>
      </c>
      <c r="E152" s="60" t="s">
        <v>484</v>
      </c>
      <c r="F152" s="61">
        <v>45901</v>
      </c>
      <c r="G152" s="61">
        <v>45931</v>
      </c>
      <c r="H152" s="61">
        <v>45912</v>
      </c>
      <c r="I152" s="60" t="s">
        <v>69</v>
      </c>
      <c r="J152" s="66">
        <v>1</v>
      </c>
      <c r="K152" s="62">
        <v>42.64</v>
      </c>
      <c r="L152" s="67">
        <v>0.09</v>
      </c>
      <c r="M152" s="62">
        <v>3.84</v>
      </c>
      <c r="N152" s="60" t="s">
        <v>72</v>
      </c>
      <c r="O152" s="63" t="s">
        <v>622</v>
      </c>
      <c r="P152" s="63" t="s">
        <v>623</v>
      </c>
      <c r="Q152" s="63" t="s">
        <v>624</v>
      </c>
      <c r="R152" s="63">
        <v>16243811</v>
      </c>
      <c r="S152" s="57" t="str">
        <f t="shared" si="2"/>
        <v>Kimberly Dickerson</v>
      </c>
      <c r="T152" s="63"/>
      <c r="U152" s="63"/>
      <c r="V152" s="63"/>
      <c r="W152" s="63"/>
    </row>
    <row r="153" spans="1:23" ht="15" customHeight="1" x14ac:dyDescent="0.2">
      <c r="A153" s="60" t="s">
        <v>65</v>
      </c>
      <c r="B153" s="66">
        <v>441761639</v>
      </c>
      <c r="C153" s="60" t="s">
        <v>599</v>
      </c>
      <c r="D153" s="61">
        <v>44936</v>
      </c>
      <c r="E153" s="60" t="s">
        <v>600</v>
      </c>
      <c r="F153" s="61">
        <v>45901</v>
      </c>
      <c r="G153" s="61">
        <v>45931</v>
      </c>
      <c r="H153" s="61">
        <v>45912</v>
      </c>
      <c r="I153" s="60" t="s">
        <v>69</v>
      </c>
      <c r="J153" s="66">
        <v>1</v>
      </c>
      <c r="K153" s="62">
        <v>10</v>
      </c>
      <c r="L153" s="67">
        <v>0.09</v>
      </c>
      <c r="M153" s="62">
        <v>0.9</v>
      </c>
      <c r="N153" s="60" t="s">
        <v>72</v>
      </c>
      <c r="O153" s="63" t="s">
        <v>622</v>
      </c>
      <c r="P153" s="63" t="s">
        <v>623</v>
      </c>
      <c r="Q153" s="63" t="s">
        <v>624</v>
      </c>
      <c r="R153" s="63">
        <v>16243811</v>
      </c>
      <c r="S153" s="57" t="str">
        <f t="shared" si="2"/>
        <v>Kimberly Dickerson</v>
      </c>
      <c r="T153" s="63"/>
      <c r="U153" s="63"/>
      <c r="V153" s="63"/>
      <c r="W153" s="63"/>
    </row>
    <row r="154" spans="1:23" ht="15" customHeight="1" x14ac:dyDescent="0.2">
      <c r="A154" s="14" t="s">
        <v>65</v>
      </c>
      <c r="B154" s="64">
        <v>441763086</v>
      </c>
      <c r="C154" s="14" t="s">
        <v>318</v>
      </c>
      <c r="D154" s="58">
        <v>44937</v>
      </c>
      <c r="E154" s="14" t="s">
        <v>319</v>
      </c>
      <c r="F154" s="58">
        <v>45901</v>
      </c>
      <c r="G154" s="58">
        <v>45931</v>
      </c>
      <c r="H154" s="58">
        <v>45906</v>
      </c>
      <c r="I154" s="14" t="s">
        <v>69</v>
      </c>
      <c r="J154" s="64">
        <v>1</v>
      </c>
      <c r="K154" s="59">
        <v>18</v>
      </c>
      <c r="L154" s="65">
        <v>0.03</v>
      </c>
      <c r="M154" s="59">
        <v>0.54</v>
      </c>
      <c r="N154" s="14" t="s">
        <v>72</v>
      </c>
      <c r="O154" s="57" t="s">
        <v>627</v>
      </c>
      <c r="Q154" s="57" t="s">
        <v>628</v>
      </c>
      <c r="R154" s="57">
        <v>17425766</v>
      </c>
      <c r="S154" s="57" t="str">
        <f t="shared" si="2"/>
        <v>Carol Foley</v>
      </c>
    </row>
    <row r="155" spans="1:23" ht="15" customHeight="1" x14ac:dyDescent="0.2">
      <c r="A155" s="14" t="s">
        <v>65</v>
      </c>
      <c r="B155" s="64">
        <v>441763087</v>
      </c>
      <c r="C155" s="14" t="s">
        <v>318</v>
      </c>
      <c r="D155" s="58">
        <v>44937</v>
      </c>
      <c r="E155" s="14" t="s">
        <v>321</v>
      </c>
      <c r="F155" s="58">
        <v>45901</v>
      </c>
      <c r="G155" s="58">
        <v>45931</v>
      </c>
      <c r="H155" s="58">
        <v>45906</v>
      </c>
      <c r="I155" s="14" t="s">
        <v>69</v>
      </c>
      <c r="J155" s="64">
        <v>1</v>
      </c>
      <c r="K155" s="59">
        <v>41.6</v>
      </c>
      <c r="L155" s="65">
        <v>0.03</v>
      </c>
      <c r="M155" s="59">
        <v>1.25</v>
      </c>
      <c r="N155" s="14" t="s">
        <v>72</v>
      </c>
      <c r="O155" s="57" t="s">
        <v>627</v>
      </c>
      <c r="Q155" s="57" t="s">
        <v>628</v>
      </c>
      <c r="R155" s="57">
        <v>17425766</v>
      </c>
      <c r="S155" s="57" t="str">
        <f t="shared" si="2"/>
        <v>Carol Foley</v>
      </c>
    </row>
    <row r="156" spans="1:23" ht="15" customHeight="1" x14ac:dyDescent="0.2">
      <c r="A156" s="60" t="s">
        <v>65</v>
      </c>
      <c r="B156" s="66">
        <v>441765054</v>
      </c>
      <c r="C156" s="60" t="s">
        <v>561</v>
      </c>
      <c r="D156" s="61">
        <v>44941</v>
      </c>
      <c r="E156" s="60" t="s">
        <v>115</v>
      </c>
      <c r="F156" s="61">
        <v>45901</v>
      </c>
      <c r="G156" s="61">
        <v>45931</v>
      </c>
      <c r="H156" s="61">
        <v>45912</v>
      </c>
      <c r="I156" s="60" t="s">
        <v>69</v>
      </c>
      <c r="J156" s="66">
        <v>1</v>
      </c>
      <c r="K156" s="62">
        <v>123.1</v>
      </c>
      <c r="L156" s="67">
        <v>0.09</v>
      </c>
      <c r="M156" s="62">
        <v>11.08</v>
      </c>
      <c r="N156" s="60" t="s">
        <v>72</v>
      </c>
      <c r="O156" s="63" t="s">
        <v>619</v>
      </c>
      <c r="P156" s="63" t="s">
        <v>620</v>
      </c>
      <c r="Q156" s="63" t="s">
        <v>621</v>
      </c>
      <c r="R156" s="63">
        <v>20436925</v>
      </c>
      <c r="S156" s="57" t="str">
        <f t="shared" si="2"/>
        <v>Ashley Teipel</v>
      </c>
      <c r="T156" s="63"/>
      <c r="U156" s="63"/>
      <c r="V156" s="63"/>
      <c r="W156" s="63"/>
    </row>
    <row r="157" spans="1:23" ht="15" customHeight="1" x14ac:dyDescent="0.2">
      <c r="A157" s="14" t="s">
        <v>65</v>
      </c>
      <c r="B157" s="64">
        <v>441771914</v>
      </c>
      <c r="C157" s="14" t="s">
        <v>336</v>
      </c>
      <c r="D157" s="58">
        <v>44958</v>
      </c>
      <c r="E157" s="14" t="s">
        <v>157</v>
      </c>
      <c r="F157" s="58">
        <v>45901</v>
      </c>
      <c r="G157" s="58">
        <v>45931</v>
      </c>
      <c r="H157" s="58">
        <v>45904</v>
      </c>
      <c r="I157" s="14" t="s">
        <v>69</v>
      </c>
      <c r="J157" s="64">
        <v>1</v>
      </c>
      <c r="K157" s="59">
        <v>88.24</v>
      </c>
      <c r="L157" s="65">
        <v>0.06</v>
      </c>
      <c r="M157" s="59">
        <v>5.29</v>
      </c>
      <c r="N157" s="14" t="s">
        <v>72</v>
      </c>
      <c r="O157" s="57" t="s">
        <v>627</v>
      </c>
      <c r="Q157" s="57" t="s">
        <v>628</v>
      </c>
      <c r="R157" s="57">
        <v>17425766</v>
      </c>
      <c r="S157" s="57" t="str">
        <f t="shared" si="2"/>
        <v>Carol Foley</v>
      </c>
    </row>
    <row r="158" spans="1:23" ht="15" customHeight="1" x14ac:dyDescent="0.2">
      <c r="A158" s="14" t="s">
        <v>65</v>
      </c>
      <c r="B158" s="64">
        <v>441772281</v>
      </c>
      <c r="C158" s="14" t="s">
        <v>277</v>
      </c>
      <c r="D158" s="58">
        <v>44958</v>
      </c>
      <c r="E158" s="14" t="s">
        <v>278</v>
      </c>
      <c r="F158" s="58">
        <v>45901</v>
      </c>
      <c r="G158" s="58">
        <v>45931</v>
      </c>
      <c r="H158" s="58">
        <v>45904</v>
      </c>
      <c r="I158" s="14" t="s">
        <v>69</v>
      </c>
      <c r="J158" s="64">
        <v>1</v>
      </c>
      <c r="K158" s="59">
        <v>39</v>
      </c>
      <c r="L158" s="65">
        <v>0.03</v>
      </c>
      <c r="M158" s="59">
        <v>1.17</v>
      </c>
      <c r="N158" s="14" t="s">
        <v>72</v>
      </c>
      <c r="O158" s="57" t="s">
        <v>627</v>
      </c>
      <c r="Q158" s="57" t="s">
        <v>628</v>
      </c>
      <c r="R158" s="57">
        <v>17425766</v>
      </c>
      <c r="S158" s="57" t="str">
        <f t="shared" si="2"/>
        <v>Carol Foley</v>
      </c>
    </row>
    <row r="159" spans="1:23" ht="15" customHeight="1" x14ac:dyDescent="0.2">
      <c r="A159" s="14" t="s">
        <v>65</v>
      </c>
      <c r="B159" s="64">
        <v>441772286</v>
      </c>
      <c r="C159" s="14" t="s">
        <v>277</v>
      </c>
      <c r="D159" s="58">
        <v>44958</v>
      </c>
      <c r="E159" s="14" t="s">
        <v>157</v>
      </c>
      <c r="F159" s="58">
        <v>45901</v>
      </c>
      <c r="G159" s="58">
        <v>45931</v>
      </c>
      <c r="H159" s="58">
        <v>45904</v>
      </c>
      <c r="I159" s="14" t="s">
        <v>69</v>
      </c>
      <c r="J159" s="64">
        <v>1</v>
      </c>
      <c r="K159" s="59">
        <v>102.79</v>
      </c>
      <c r="L159" s="65">
        <v>0.06</v>
      </c>
      <c r="M159" s="59">
        <v>6.17</v>
      </c>
      <c r="N159" s="14" t="s">
        <v>72</v>
      </c>
      <c r="O159" s="57" t="s">
        <v>627</v>
      </c>
      <c r="Q159" s="57" t="s">
        <v>628</v>
      </c>
      <c r="R159" s="57">
        <v>17425766</v>
      </c>
      <c r="S159" s="57" t="str">
        <f t="shared" si="2"/>
        <v>Carol Foley</v>
      </c>
    </row>
    <row r="160" spans="1:23" ht="15" customHeight="1" x14ac:dyDescent="0.2">
      <c r="A160" s="60" t="s">
        <v>65</v>
      </c>
      <c r="B160" s="66">
        <v>441774712</v>
      </c>
      <c r="C160" s="60" t="s">
        <v>615</v>
      </c>
      <c r="D160" s="61">
        <v>44940</v>
      </c>
      <c r="E160" s="60" t="s">
        <v>278</v>
      </c>
      <c r="F160" s="61">
        <v>45901</v>
      </c>
      <c r="G160" s="61">
        <v>45931</v>
      </c>
      <c r="H160" s="61">
        <v>45909</v>
      </c>
      <c r="I160" s="60" t="s">
        <v>69</v>
      </c>
      <c r="J160" s="66">
        <v>1</v>
      </c>
      <c r="K160" s="62">
        <v>42.64</v>
      </c>
      <c r="L160" s="67">
        <v>0.09</v>
      </c>
      <c r="M160" s="62">
        <v>3.84</v>
      </c>
      <c r="N160" s="60" t="s">
        <v>72</v>
      </c>
      <c r="O160" s="63" t="s">
        <v>622</v>
      </c>
      <c r="P160" s="63" t="s">
        <v>623</v>
      </c>
      <c r="Q160" s="63" t="s">
        <v>624</v>
      </c>
      <c r="R160" s="63">
        <v>16243811</v>
      </c>
      <c r="S160" s="57" t="str">
        <f t="shared" si="2"/>
        <v>Kimberly Dickerson</v>
      </c>
      <c r="T160" s="63"/>
      <c r="U160" s="63"/>
      <c r="V160" s="63"/>
      <c r="W160" s="63"/>
    </row>
    <row r="161" spans="1:23" ht="15" customHeight="1" x14ac:dyDescent="0.2">
      <c r="A161" s="60" t="s">
        <v>65</v>
      </c>
      <c r="B161" s="66">
        <v>441782531</v>
      </c>
      <c r="C161" s="60" t="s">
        <v>570</v>
      </c>
      <c r="D161" s="61">
        <v>44945</v>
      </c>
      <c r="E161" s="60" t="s">
        <v>196</v>
      </c>
      <c r="F161" s="61">
        <v>45901</v>
      </c>
      <c r="G161" s="61">
        <v>45931</v>
      </c>
      <c r="H161" s="61">
        <v>45910</v>
      </c>
      <c r="I161" s="60" t="s">
        <v>69</v>
      </c>
      <c r="J161" s="66">
        <v>1</v>
      </c>
      <c r="K161" s="62">
        <v>19</v>
      </c>
      <c r="L161" s="67">
        <v>0.03</v>
      </c>
      <c r="M161" s="62">
        <v>0.56999999999999995</v>
      </c>
      <c r="N161" s="60" t="s">
        <v>72</v>
      </c>
      <c r="O161" s="63" t="s">
        <v>627</v>
      </c>
      <c r="Q161" s="63" t="s">
        <v>628</v>
      </c>
      <c r="R161" s="63">
        <v>17425766</v>
      </c>
      <c r="S161" s="57" t="str">
        <f t="shared" si="2"/>
        <v>Carol Foley</v>
      </c>
      <c r="T161" s="63"/>
      <c r="U161" s="63"/>
      <c r="V161" s="63"/>
      <c r="W161" s="63"/>
    </row>
    <row r="162" spans="1:23" ht="15" customHeight="1" x14ac:dyDescent="0.2">
      <c r="A162" s="60" t="s">
        <v>65</v>
      </c>
      <c r="B162" s="66">
        <v>441789847</v>
      </c>
      <c r="C162" s="60" t="s">
        <v>557</v>
      </c>
      <c r="D162" s="61">
        <v>44947</v>
      </c>
      <c r="E162" s="60" t="s">
        <v>81</v>
      </c>
      <c r="F162" s="61">
        <v>45901</v>
      </c>
      <c r="G162" s="61">
        <v>45931</v>
      </c>
      <c r="H162" s="61">
        <v>45910</v>
      </c>
      <c r="I162" s="60" t="s">
        <v>69</v>
      </c>
      <c r="J162" s="66">
        <v>1</v>
      </c>
      <c r="K162" s="62">
        <v>16</v>
      </c>
      <c r="L162" s="67">
        <v>0.09</v>
      </c>
      <c r="M162" s="62">
        <v>1.44</v>
      </c>
      <c r="N162" s="60" t="s">
        <v>72</v>
      </c>
      <c r="O162" s="63" t="s">
        <v>619</v>
      </c>
      <c r="P162" s="63" t="s">
        <v>620</v>
      </c>
      <c r="Q162" s="63" t="s">
        <v>621</v>
      </c>
      <c r="R162" s="63">
        <v>20436925</v>
      </c>
      <c r="S162" s="57" t="str">
        <f t="shared" si="2"/>
        <v>Ashley Teipel</v>
      </c>
      <c r="T162" s="63"/>
      <c r="U162" s="63"/>
      <c r="V162" s="63"/>
      <c r="W162" s="63"/>
    </row>
    <row r="163" spans="1:23" ht="15" customHeight="1" x14ac:dyDescent="0.2">
      <c r="A163" s="14" t="s">
        <v>65</v>
      </c>
      <c r="B163" s="64">
        <v>441793953</v>
      </c>
      <c r="C163" s="14" t="s">
        <v>512</v>
      </c>
      <c r="D163" s="58">
        <v>44958</v>
      </c>
      <c r="E163" s="14" t="s">
        <v>267</v>
      </c>
      <c r="F163" s="58">
        <v>45901</v>
      </c>
      <c r="G163" s="58">
        <v>45931</v>
      </c>
      <c r="H163" s="58">
        <v>45904</v>
      </c>
      <c r="I163" s="14" t="s">
        <v>69</v>
      </c>
      <c r="J163" s="64">
        <v>1</v>
      </c>
      <c r="K163" s="59">
        <v>23</v>
      </c>
      <c r="L163" s="65">
        <v>0.09</v>
      </c>
      <c r="M163" s="59">
        <v>2.0699999999999998</v>
      </c>
      <c r="N163" s="14" t="s">
        <v>72</v>
      </c>
      <c r="O163" s="57" t="s">
        <v>622</v>
      </c>
      <c r="P163" s="57" t="s">
        <v>623</v>
      </c>
      <c r="Q163" s="57" t="s">
        <v>624</v>
      </c>
      <c r="R163" s="57">
        <v>16243811</v>
      </c>
      <c r="S163" s="57" t="str">
        <f t="shared" si="2"/>
        <v>Kimberly Dickerson</v>
      </c>
    </row>
    <row r="164" spans="1:23" ht="15" customHeight="1" x14ac:dyDescent="0.2">
      <c r="A164" s="14" t="s">
        <v>65</v>
      </c>
      <c r="B164" s="64">
        <v>441793954</v>
      </c>
      <c r="C164" s="14" t="s">
        <v>512</v>
      </c>
      <c r="D164" s="58">
        <v>44958</v>
      </c>
      <c r="E164" s="14" t="s">
        <v>473</v>
      </c>
      <c r="F164" s="58">
        <v>45901</v>
      </c>
      <c r="G164" s="58">
        <v>45931</v>
      </c>
      <c r="H164" s="58">
        <v>45904</v>
      </c>
      <c r="I164" s="14" t="s">
        <v>69</v>
      </c>
      <c r="J164" s="64">
        <v>1</v>
      </c>
      <c r="K164" s="59">
        <v>15</v>
      </c>
      <c r="L164" s="65">
        <v>0.09</v>
      </c>
      <c r="M164" s="59">
        <v>1.35</v>
      </c>
      <c r="N164" s="14" t="s">
        <v>72</v>
      </c>
      <c r="O164" s="57" t="s">
        <v>622</v>
      </c>
      <c r="P164" s="57" t="s">
        <v>623</v>
      </c>
      <c r="Q164" s="57" t="s">
        <v>624</v>
      </c>
      <c r="R164" s="57">
        <v>16243811</v>
      </c>
      <c r="S164" s="57" t="str">
        <f t="shared" si="2"/>
        <v>Kimberly Dickerson</v>
      </c>
    </row>
    <row r="165" spans="1:23" ht="15" customHeight="1" x14ac:dyDescent="0.2">
      <c r="A165" s="14" t="s">
        <v>65</v>
      </c>
      <c r="B165" s="64">
        <v>441793955</v>
      </c>
      <c r="C165" s="14" t="s">
        <v>512</v>
      </c>
      <c r="D165" s="58">
        <v>44958</v>
      </c>
      <c r="E165" s="14" t="s">
        <v>278</v>
      </c>
      <c r="F165" s="58">
        <v>45901</v>
      </c>
      <c r="G165" s="58">
        <v>45931</v>
      </c>
      <c r="H165" s="58">
        <v>45904</v>
      </c>
      <c r="I165" s="14" t="s">
        <v>69</v>
      </c>
      <c r="J165" s="64">
        <v>1</v>
      </c>
      <c r="K165" s="59">
        <v>42.64</v>
      </c>
      <c r="L165" s="65">
        <v>0.09</v>
      </c>
      <c r="M165" s="59">
        <v>3.84</v>
      </c>
      <c r="N165" s="14" t="s">
        <v>72</v>
      </c>
      <c r="O165" s="57" t="s">
        <v>622</v>
      </c>
      <c r="P165" s="57" t="s">
        <v>623</v>
      </c>
      <c r="Q165" s="57" t="s">
        <v>624</v>
      </c>
      <c r="R165" s="57">
        <v>16243811</v>
      </c>
      <c r="S165" s="57" t="str">
        <f t="shared" si="2"/>
        <v>Kimberly Dickerson</v>
      </c>
    </row>
    <row r="166" spans="1:23" ht="15" customHeight="1" x14ac:dyDescent="0.2">
      <c r="A166" s="14" t="s">
        <v>65</v>
      </c>
      <c r="B166" s="64">
        <v>441793956</v>
      </c>
      <c r="C166" s="14" t="s">
        <v>512</v>
      </c>
      <c r="D166" s="58">
        <v>44958</v>
      </c>
      <c r="E166" s="14" t="s">
        <v>444</v>
      </c>
      <c r="F166" s="58">
        <v>45901</v>
      </c>
      <c r="G166" s="58">
        <v>45931</v>
      </c>
      <c r="H166" s="58">
        <v>45904</v>
      </c>
      <c r="I166" s="14" t="s">
        <v>69</v>
      </c>
      <c r="J166" s="64">
        <v>1</v>
      </c>
      <c r="K166" s="59">
        <v>6.3</v>
      </c>
      <c r="L166" s="65">
        <v>0.09</v>
      </c>
      <c r="M166" s="59">
        <v>0.56999999999999995</v>
      </c>
      <c r="N166" s="14" t="s">
        <v>72</v>
      </c>
      <c r="O166" s="57" t="s">
        <v>622</v>
      </c>
      <c r="P166" s="57" t="s">
        <v>623</v>
      </c>
      <c r="Q166" s="57" t="s">
        <v>624</v>
      </c>
      <c r="R166" s="57">
        <v>16243811</v>
      </c>
      <c r="S166" s="57" t="str">
        <f t="shared" si="2"/>
        <v>Kimberly Dickerson</v>
      </c>
    </row>
    <row r="167" spans="1:23" ht="15" customHeight="1" x14ac:dyDescent="0.2">
      <c r="A167" s="14" t="s">
        <v>65</v>
      </c>
      <c r="B167" s="64">
        <v>441793957</v>
      </c>
      <c r="C167" s="14" t="s">
        <v>512</v>
      </c>
      <c r="D167" s="58">
        <v>44958</v>
      </c>
      <c r="E167" s="14" t="s">
        <v>461</v>
      </c>
      <c r="F167" s="58">
        <v>45901</v>
      </c>
      <c r="G167" s="58">
        <v>45931</v>
      </c>
      <c r="H167" s="58">
        <v>45904</v>
      </c>
      <c r="I167" s="14" t="s">
        <v>69</v>
      </c>
      <c r="J167" s="64">
        <v>1</v>
      </c>
      <c r="K167" s="59">
        <v>9</v>
      </c>
      <c r="L167" s="65">
        <v>0.09</v>
      </c>
      <c r="M167" s="59">
        <v>0.81</v>
      </c>
      <c r="N167" s="14" t="s">
        <v>72</v>
      </c>
      <c r="O167" s="57" t="s">
        <v>622</v>
      </c>
      <c r="P167" s="57" t="s">
        <v>623</v>
      </c>
      <c r="Q167" s="57" t="s">
        <v>624</v>
      </c>
      <c r="R167" s="57">
        <v>16243811</v>
      </c>
      <c r="S167" s="57" t="str">
        <f t="shared" si="2"/>
        <v>Kimberly Dickerson</v>
      </c>
    </row>
    <row r="168" spans="1:23" ht="15" customHeight="1" x14ac:dyDescent="0.2">
      <c r="A168" s="14" t="s">
        <v>65</v>
      </c>
      <c r="B168" s="64">
        <v>441793958</v>
      </c>
      <c r="C168" s="14" t="s">
        <v>512</v>
      </c>
      <c r="D168" s="58">
        <v>44958</v>
      </c>
      <c r="E168" s="14" t="s">
        <v>470</v>
      </c>
      <c r="F168" s="58">
        <v>45901</v>
      </c>
      <c r="G168" s="58">
        <v>45931</v>
      </c>
      <c r="H168" s="58">
        <v>45904</v>
      </c>
      <c r="I168" s="14" t="s">
        <v>69</v>
      </c>
      <c r="J168" s="64">
        <v>1</v>
      </c>
      <c r="K168" s="59">
        <v>28</v>
      </c>
      <c r="L168" s="65">
        <v>0.09</v>
      </c>
      <c r="M168" s="59">
        <v>2.52</v>
      </c>
      <c r="N168" s="14" t="s">
        <v>72</v>
      </c>
      <c r="O168" s="57" t="s">
        <v>622</v>
      </c>
      <c r="P168" s="57" t="s">
        <v>623</v>
      </c>
      <c r="Q168" s="57" t="s">
        <v>624</v>
      </c>
      <c r="R168" s="57">
        <v>16243811</v>
      </c>
      <c r="S168" s="57" t="str">
        <f t="shared" si="2"/>
        <v>Kimberly Dickerson</v>
      </c>
    </row>
    <row r="169" spans="1:23" ht="15" customHeight="1" x14ac:dyDescent="0.2">
      <c r="A169" s="60" t="s">
        <v>65</v>
      </c>
      <c r="B169" s="66">
        <v>441794112</v>
      </c>
      <c r="C169" s="60" t="s">
        <v>604</v>
      </c>
      <c r="D169" s="61">
        <v>44951</v>
      </c>
      <c r="E169" s="60" t="s">
        <v>461</v>
      </c>
      <c r="F169" s="61">
        <v>45901</v>
      </c>
      <c r="G169" s="61">
        <v>45931</v>
      </c>
      <c r="H169" s="61">
        <v>45911</v>
      </c>
      <c r="I169" s="60" t="s">
        <v>69</v>
      </c>
      <c r="J169" s="66">
        <v>1</v>
      </c>
      <c r="K169" s="62">
        <v>16</v>
      </c>
      <c r="L169" s="67">
        <v>0.09</v>
      </c>
      <c r="M169" s="62">
        <v>1.44</v>
      </c>
      <c r="N169" s="60" t="s">
        <v>72</v>
      </c>
      <c r="O169" s="63" t="s">
        <v>622</v>
      </c>
      <c r="P169" s="63" t="s">
        <v>623</v>
      </c>
      <c r="Q169" s="63" t="s">
        <v>624</v>
      </c>
      <c r="R169" s="63">
        <v>16243811</v>
      </c>
      <c r="S169" s="57" t="str">
        <f t="shared" si="2"/>
        <v>Kimberly Dickerson</v>
      </c>
      <c r="T169" s="63"/>
      <c r="U169" s="63"/>
      <c r="V169" s="63"/>
      <c r="W169" s="63"/>
    </row>
    <row r="170" spans="1:23" ht="15" customHeight="1" x14ac:dyDescent="0.2">
      <c r="A170" s="14" t="s">
        <v>65</v>
      </c>
      <c r="B170" s="64">
        <v>441803058</v>
      </c>
      <c r="C170" s="14" t="s">
        <v>134</v>
      </c>
      <c r="D170" s="58">
        <v>44958</v>
      </c>
      <c r="E170" s="14" t="s">
        <v>135</v>
      </c>
      <c r="F170" s="58">
        <v>45901</v>
      </c>
      <c r="G170" s="58">
        <v>45931</v>
      </c>
      <c r="H170" s="58">
        <v>45904</v>
      </c>
      <c r="I170" s="14" t="s">
        <v>69</v>
      </c>
      <c r="J170" s="64">
        <v>1</v>
      </c>
      <c r="K170" s="59">
        <v>44</v>
      </c>
      <c r="L170" s="65">
        <v>0.09</v>
      </c>
      <c r="M170" s="59">
        <v>3.96</v>
      </c>
      <c r="N170" s="14" t="s">
        <v>72</v>
      </c>
      <c r="O170" s="57" t="s">
        <v>619</v>
      </c>
      <c r="P170" s="57" t="s">
        <v>620</v>
      </c>
      <c r="Q170" s="57" t="s">
        <v>621</v>
      </c>
      <c r="R170" s="57">
        <v>20436925</v>
      </c>
      <c r="S170" s="57" t="str">
        <f t="shared" si="2"/>
        <v>Ashley Teipel</v>
      </c>
    </row>
    <row r="171" spans="1:23" ht="15" customHeight="1" x14ac:dyDescent="0.2">
      <c r="A171" s="14" t="s">
        <v>65</v>
      </c>
      <c r="B171" s="64">
        <v>441803059</v>
      </c>
      <c r="C171" s="14" t="s">
        <v>137</v>
      </c>
      <c r="D171" s="58">
        <v>44958</v>
      </c>
      <c r="E171" s="14" t="s">
        <v>138</v>
      </c>
      <c r="F171" s="58">
        <v>45901</v>
      </c>
      <c r="G171" s="58">
        <v>45931</v>
      </c>
      <c r="H171" s="58">
        <v>45904</v>
      </c>
      <c r="I171" s="14" t="s">
        <v>69</v>
      </c>
      <c r="J171" s="64">
        <v>1</v>
      </c>
      <c r="K171" s="59">
        <v>97.06</v>
      </c>
      <c r="L171" s="65">
        <v>0.09</v>
      </c>
      <c r="M171" s="59">
        <v>8.74</v>
      </c>
      <c r="N171" s="14" t="s">
        <v>72</v>
      </c>
      <c r="O171" s="57" t="s">
        <v>619</v>
      </c>
      <c r="P171" s="57" t="s">
        <v>620</v>
      </c>
      <c r="Q171" s="57" t="s">
        <v>621</v>
      </c>
      <c r="R171" s="57">
        <v>20436925</v>
      </c>
      <c r="S171" s="57" t="str">
        <f t="shared" si="2"/>
        <v>Ashley Teipel</v>
      </c>
    </row>
    <row r="172" spans="1:23" ht="15" customHeight="1" x14ac:dyDescent="0.2">
      <c r="A172" s="14" t="s">
        <v>65</v>
      </c>
      <c r="B172" s="64">
        <v>441805487</v>
      </c>
      <c r="C172" s="14" t="s">
        <v>545</v>
      </c>
      <c r="D172" s="58">
        <v>44958</v>
      </c>
      <c r="E172" s="14" t="s">
        <v>461</v>
      </c>
      <c r="F172" s="58">
        <v>45901</v>
      </c>
      <c r="G172" s="58">
        <v>45931</v>
      </c>
      <c r="H172" s="58">
        <v>45904</v>
      </c>
      <c r="I172" s="14" t="s">
        <v>69</v>
      </c>
      <c r="J172" s="64">
        <v>1</v>
      </c>
      <c r="K172" s="59">
        <v>9</v>
      </c>
      <c r="L172" s="65">
        <v>0.09</v>
      </c>
      <c r="M172" s="59">
        <v>0.81</v>
      </c>
      <c r="N172" s="14" t="s">
        <v>72</v>
      </c>
      <c r="O172" s="57" t="s">
        <v>622</v>
      </c>
      <c r="P172" s="57" t="s">
        <v>623</v>
      </c>
      <c r="Q172" s="57" t="s">
        <v>624</v>
      </c>
      <c r="R172" s="57">
        <v>16243811</v>
      </c>
      <c r="S172" s="57" t="str">
        <f t="shared" si="2"/>
        <v>Kimberly Dickerson</v>
      </c>
    </row>
    <row r="173" spans="1:23" ht="15" customHeight="1" x14ac:dyDescent="0.2">
      <c r="A173" s="14" t="s">
        <v>65</v>
      </c>
      <c r="B173" s="64">
        <v>441805488</v>
      </c>
      <c r="C173" s="14" t="s">
        <v>545</v>
      </c>
      <c r="D173" s="58">
        <v>44958</v>
      </c>
      <c r="E173" s="14" t="s">
        <v>278</v>
      </c>
      <c r="F173" s="58">
        <v>45901</v>
      </c>
      <c r="G173" s="58">
        <v>45931</v>
      </c>
      <c r="H173" s="58">
        <v>45904</v>
      </c>
      <c r="I173" s="14" t="s">
        <v>69</v>
      </c>
      <c r="J173" s="64">
        <v>1</v>
      </c>
      <c r="K173" s="59">
        <v>42.64</v>
      </c>
      <c r="L173" s="65">
        <v>0.09</v>
      </c>
      <c r="M173" s="59">
        <v>3.84</v>
      </c>
      <c r="N173" s="14" t="s">
        <v>72</v>
      </c>
      <c r="O173" s="57" t="s">
        <v>622</v>
      </c>
      <c r="P173" s="57" t="s">
        <v>623</v>
      </c>
      <c r="Q173" s="57" t="s">
        <v>624</v>
      </c>
      <c r="R173" s="57">
        <v>16243811</v>
      </c>
      <c r="S173" s="57" t="str">
        <f t="shared" si="2"/>
        <v>Kimberly Dickerson</v>
      </c>
    </row>
    <row r="174" spans="1:23" ht="15" customHeight="1" x14ac:dyDescent="0.2">
      <c r="A174" s="14" t="s">
        <v>65</v>
      </c>
      <c r="B174" s="64">
        <v>441805672</v>
      </c>
      <c r="C174" s="14" t="s">
        <v>536</v>
      </c>
      <c r="D174" s="58">
        <v>44958</v>
      </c>
      <c r="E174" s="14" t="s">
        <v>461</v>
      </c>
      <c r="F174" s="58">
        <v>45901</v>
      </c>
      <c r="G174" s="58">
        <v>45931</v>
      </c>
      <c r="H174" s="58">
        <v>45904</v>
      </c>
      <c r="I174" s="14" t="s">
        <v>69</v>
      </c>
      <c r="J174" s="64">
        <v>1</v>
      </c>
      <c r="K174" s="59">
        <v>9</v>
      </c>
      <c r="L174" s="65">
        <v>0.09</v>
      </c>
      <c r="M174" s="59">
        <v>0.81</v>
      </c>
      <c r="N174" s="14" t="s">
        <v>72</v>
      </c>
      <c r="O174" s="57" t="s">
        <v>622</v>
      </c>
      <c r="P174" s="57" t="s">
        <v>623</v>
      </c>
      <c r="Q174" s="57" t="s">
        <v>624</v>
      </c>
      <c r="R174" s="57">
        <v>16243811</v>
      </c>
      <c r="S174" s="57" t="str">
        <f t="shared" si="2"/>
        <v>Kimberly Dickerson</v>
      </c>
    </row>
    <row r="175" spans="1:23" ht="15" customHeight="1" x14ac:dyDescent="0.2">
      <c r="A175" s="14" t="s">
        <v>65</v>
      </c>
      <c r="B175" s="64">
        <v>441805675</v>
      </c>
      <c r="C175" s="14" t="s">
        <v>536</v>
      </c>
      <c r="D175" s="58">
        <v>44958</v>
      </c>
      <c r="E175" s="14" t="s">
        <v>538</v>
      </c>
      <c r="F175" s="58">
        <v>45901</v>
      </c>
      <c r="G175" s="58">
        <v>45931</v>
      </c>
      <c r="H175" s="58">
        <v>45904</v>
      </c>
      <c r="I175" s="14" t="s">
        <v>69</v>
      </c>
      <c r="J175" s="64">
        <v>1</v>
      </c>
      <c r="K175" s="59">
        <v>153.79</v>
      </c>
      <c r="L175" s="65">
        <v>0.18</v>
      </c>
      <c r="M175" s="59">
        <v>27.68</v>
      </c>
      <c r="N175" s="14" t="s">
        <v>72</v>
      </c>
      <c r="O175" s="57" t="s">
        <v>622</v>
      </c>
      <c r="P175" s="57" t="s">
        <v>623</v>
      </c>
      <c r="Q175" s="57" t="s">
        <v>624</v>
      </c>
      <c r="R175" s="57">
        <v>16243811</v>
      </c>
      <c r="S175" s="57" t="str">
        <f t="shared" si="2"/>
        <v>Kimberly Dickerson</v>
      </c>
    </row>
    <row r="176" spans="1:23" ht="15" customHeight="1" x14ac:dyDescent="0.2">
      <c r="A176" s="14" t="s">
        <v>65</v>
      </c>
      <c r="B176" s="64">
        <v>441807731</v>
      </c>
      <c r="C176" s="14" t="s">
        <v>142</v>
      </c>
      <c r="D176" s="58">
        <v>44986</v>
      </c>
      <c r="E176" s="14" t="s">
        <v>128</v>
      </c>
      <c r="F176" s="58">
        <v>45901</v>
      </c>
      <c r="G176" s="58">
        <v>45931</v>
      </c>
      <c r="H176" s="58">
        <v>45904</v>
      </c>
      <c r="I176" s="14" t="s">
        <v>69</v>
      </c>
      <c r="J176" s="64">
        <v>1</v>
      </c>
      <c r="K176" s="59">
        <v>52.3</v>
      </c>
      <c r="L176" s="65">
        <v>0.09</v>
      </c>
      <c r="M176" s="59">
        <v>4.71</v>
      </c>
      <c r="N176" s="14" t="s">
        <v>72</v>
      </c>
      <c r="O176" s="57" t="s">
        <v>619</v>
      </c>
      <c r="P176" s="57" t="s">
        <v>620</v>
      </c>
      <c r="Q176" s="57" t="s">
        <v>621</v>
      </c>
      <c r="R176" s="57">
        <v>20436925</v>
      </c>
      <c r="S176" s="57" t="str">
        <f t="shared" si="2"/>
        <v>Ashley Teipel</v>
      </c>
    </row>
    <row r="177" spans="1:23" ht="15" customHeight="1" x14ac:dyDescent="0.2">
      <c r="A177" s="14" t="s">
        <v>65</v>
      </c>
      <c r="B177" s="64">
        <v>441808040</v>
      </c>
      <c r="C177" s="14" t="s">
        <v>431</v>
      </c>
      <c r="D177" s="58">
        <v>44959</v>
      </c>
      <c r="E177" s="14" t="s">
        <v>81</v>
      </c>
      <c r="F177" s="58">
        <v>45901</v>
      </c>
      <c r="G177" s="58">
        <v>45931</v>
      </c>
      <c r="H177" s="58">
        <v>45904</v>
      </c>
      <c r="I177" s="14" t="s">
        <v>69</v>
      </c>
      <c r="J177" s="64">
        <v>1</v>
      </c>
      <c r="K177" s="59">
        <v>9</v>
      </c>
      <c r="L177" s="65">
        <v>0.09</v>
      </c>
      <c r="M177" s="59">
        <v>0.81</v>
      </c>
      <c r="N177" s="14" t="s">
        <v>72</v>
      </c>
      <c r="O177" s="57" t="s">
        <v>629</v>
      </c>
      <c r="P177" s="57" t="s">
        <v>69</v>
      </c>
      <c r="Q177" s="57" t="s">
        <v>630</v>
      </c>
      <c r="R177" s="57">
        <v>15278437</v>
      </c>
      <c r="S177" s="57" t="str">
        <f t="shared" si="2"/>
        <v>Jason Hoffmann</v>
      </c>
    </row>
    <row r="178" spans="1:23" ht="15" customHeight="1" x14ac:dyDescent="0.2">
      <c r="A178" s="14" t="s">
        <v>65</v>
      </c>
      <c r="B178" s="64">
        <v>441809281</v>
      </c>
      <c r="C178" s="14" t="s">
        <v>519</v>
      </c>
      <c r="D178" s="58">
        <v>44959</v>
      </c>
      <c r="E178" s="14" t="s">
        <v>115</v>
      </c>
      <c r="F178" s="58">
        <v>45901</v>
      </c>
      <c r="G178" s="58">
        <v>45931</v>
      </c>
      <c r="H178" s="58">
        <v>45904</v>
      </c>
      <c r="I178" s="14" t="s">
        <v>69</v>
      </c>
      <c r="J178" s="64">
        <v>1</v>
      </c>
      <c r="K178" s="59">
        <v>28.5</v>
      </c>
      <c r="L178" s="65">
        <v>0.09</v>
      </c>
      <c r="M178" s="59">
        <v>2.57</v>
      </c>
      <c r="N178" s="14" t="s">
        <v>72</v>
      </c>
      <c r="O178" s="57" t="s">
        <v>622</v>
      </c>
      <c r="P178" s="57" t="s">
        <v>623</v>
      </c>
      <c r="Q178" s="57" t="s">
        <v>624</v>
      </c>
      <c r="R178" s="57">
        <v>16243811</v>
      </c>
      <c r="S178" s="57" t="str">
        <f t="shared" si="2"/>
        <v>Kimberly Dickerson</v>
      </c>
    </row>
    <row r="179" spans="1:23" ht="15" customHeight="1" x14ac:dyDescent="0.2">
      <c r="A179" s="14" t="s">
        <v>65</v>
      </c>
      <c r="B179" s="64">
        <v>441809541</v>
      </c>
      <c r="C179" s="14" t="s">
        <v>489</v>
      </c>
      <c r="D179" s="58">
        <v>44959</v>
      </c>
      <c r="E179" s="14" t="s">
        <v>490</v>
      </c>
      <c r="F179" s="58">
        <v>45901</v>
      </c>
      <c r="G179" s="58">
        <v>45931</v>
      </c>
      <c r="H179" s="58">
        <v>45904</v>
      </c>
      <c r="I179" s="14" t="s">
        <v>69</v>
      </c>
      <c r="J179" s="64">
        <v>1</v>
      </c>
      <c r="K179" s="59">
        <v>181.51</v>
      </c>
      <c r="L179" s="65">
        <v>0.18</v>
      </c>
      <c r="M179" s="59">
        <v>32.67</v>
      </c>
      <c r="N179" s="14" t="s">
        <v>72</v>
      </c>
      <c r="O179" s="57" t="s">
        <v>622</v>
      </c>
      <c r="P179" s="57" t="s">
        <v>623</v>
      </c>
      <c r="Q179" s="57" t="s">
        <v>624</v>
      </c>
      <c r="R179" s="57">
        <v>16243811</v>
      </c>
      <c r="S179" s="57" t="str">
        <f t="shared" si="2"/>
        <v>Kimberly Dickerson</v>
      </c>
    </row>
    <row r="180" spans="1:23" ht="15" customHeight="1" x14ac:dyDescent="0.2">
      <c r="A180" s="60" t="s">
        <v>65</v>
      </c>
      <c r="B180" s="66">
        <v>441818010</v>
      </c>
      <c r="C180" s="60" t="s">
        <v>558</v>
      </c>
      <c r="D180" s="61">
        <v>44979</v>
      </c>
      <c r="E180" s="60" t="s">
        <v>115</v>
      </c>
      <c r="F180" s="61">
        <v>45901</v>
      </c>
      <c r="G180" s="61">
        <v>45931</v>
      </c>
      <c r="H180" s="61">
        <v>45910</v>
      </c>
      <c r="I180" s="60" t="s">
        <v>69</v>
      </c>
      <c r="J180" s="66">
        <v>1</v>
      </c>
      <c r="K180" s="62">
        <v>98.66</v>
      </c>
      <c r="L180" s="67">
        <v>0.09</v>
      </c>
      <c r="M180" s="62">
        <v>8.8800000000000008</v>
      </c>
      <c r="N180" s="60" t="s">
        <v>72</v>
      </c>
      <c r="O180" s="63" t="s">
        <v>619</v>
      </c>
      <c r="P180" s="63" t="s">
        <v>620</v>
      </c>
      <c r="Q180" s="63" t="s">
        <v>621</v>
      </c>
      <c r="R180" s="63">
        <v>20436925</v>
      </c>
      <c r="S180" s="57" t="str">
        <f t="shared" si="2"/>
        <v>Ashley Teipel</v>
      </c>
      <c r="T180" s="63"/>
      <c r="U180" s="63"/>
      <c r="V180" s="63"/>
      <c r="W180" s="63"/>
    </row>
    <row r="181" spans="1:23" ht="15" customHeight="1" x14ac:dyDescent="0.2">
      <c r="A181" s="14" t="s">
        <v>65</v>
      </c>
      <c r="B181" s="64">
        <v>441830922</v>
      </c>
      <c r="C181" s="14" t="s">
        <v>447</v>
      </c>
      <c r="D181" s="58">
        <v>44986</v>
      </c>
      <c r="E181" s="14" t="s">
        <v>448</v>
      </c>
      <c r="F181" s="58">
        <v>45901</v>
      </c>
      <c r="G181" s="58">
        <v>45931</v>
      </c>
      <c r="H181" s="58">
        <v>45904</v>
      </c>
      <c r="I181" s="14" t="s">
        <v>69</v>
      </c>
      <c r="J181" s="64">
        <v>1</v>
      </c>
      <c r="K181" s="59">
        <v>110.7</v>
      </c>
      <c r="L181" s="65">
        <v>0.09</v>
      </c>
      <c r="M181" s="59">
        <v>9.9600000000000009</v>
      </c>
      <c r="N181" s="14" t="s">
        <v>72</v>
      </c>
      <c r="O181" s="57" t="s">
        <v>625</v>
      </c>
      <c r="Q181" s="57" t="s">
        <v>626</v>
      </c>
      <c r="R181" s="57">
        <v>20436896</v>
      </c>
      <c r="S181" s="57" t="str">
        <f t="shared" si="2"/>
        <v>Katelenn Caltagirone</v>
      </c>
    </row>
    <row r="182" spans="1:23" ht="15" customHeight="1" x14ac:dyDescent="0.2">
      <c r="A182" s="60" t="s">
        <v>65</v>
      </c>
      <c r="B182" s="66">
        <v>441839748</v>
      </c>
      <c r="C182" s="60" t="s">
        <v>555</v>
      </c>
      <c r="D182" s="61">
        <v>44979</v>
      </c>
      <c r="E182" s="60" t="s">
        <v>81</v>
      </c>
      <c r="F182" s="61">
        <v>45901</v>
      </c>
      <c r="G182" s="61">
        <v>45931</v>
      </c>
      <c r="H182" s="61">
        <v>45910</v>
      </c>
      <c r="I182" s="60" t="s">
        <v>69</v>
      </c>
      <c r="J182" s="66">
        <v>1</v>
      </c>
      <c r="K182" s="62">
        <v>9</v>
      </c>
      <c r="L182" s="67">
        <v>0.09</v>
      </c>
      <c r="M182" s="62">
        <v>0.81</v>
      </c>
      <c r="N182" s="60" t="s">
        <v>72</v>
      </c>
      <c r="O182" s="63" t="s">
        <v>623</v>
      </c>
      <c r="P182" s="63" t="s">
        <v>631</v>
      </c>
      <c r="Q182" s="63" t="s">
        <v>632</v>
      </c>
      <c r="R182" s="63">
        <v>19278370</v>
      </c>
      <c r="S182" s="57" t="str">
        <f t="shared" si="2"/>
        <v>Anne Kozacheck</v>
      </c>
      <c r="T182" s="63"/>
      <c r="U182" s="63"/>
      <c r="V182" s="63"/>
      <c r="W182" s="63"/>
    </row>
    <row r="183" spans="1:23" ht="15" customHeight="1" x14ac:dyDescent="0.2">
      <c r="A183" s="60" t="s">
        <v>65</v>
      </c>
      <c r="B183" s="66">
        <v>441847980</v>
      </c>
      <c r="C183" s="60" t="s">
        <v>552</v>
      </c>
      <c r="D183" s="61">
        <v>44985</v>
      </c>
      <c r="E183" s="60" t="s">
        <v>553</v>
      </c>
      <c r="F183" s="61">
        <v>45901</v>
      </c>
      <c r="G183" s="61">
        <v>45931</v>
      </c>
      <c r="H183" s="61">
        <v>45912</v>
      </c>
      <c r="I183" s="60" t="s">
        <v>69</v>
      </c>
      <c r="J183" s="66">
        <v>1</v>
      </c>
      <c r="K183" s="62">
        <v>154.99</v>
      </c>
      <c r="L183" s="67">
        <v>0.09</v>
      </c>
      <c r="M183" s="62">
        <v>13.95</v>
      </c>
      <c r="N183" s="60" t="s">
        <v>72</v>
      </c>
      <c r="O183" s="63" t="s">
        <v>623</v>
      </c>
      <c r="P183" s="63" t="s">
        <v>631</v>
      </c>
      <c r="Q183" s="63" t="s">
        <v>632</v>
      </c>
      <c r="R183" s="63">
        <v>19278370</v>
      </c>
      <c r="S183" s="57" t="str">
        <f t="shared" si="2"/>
        <v>Anne Kozacheck</v>
      </c>
      <c r="T183" s="63"/>
      <c r="U183" s="63"/>
      <c r="V183" s="63"/>
      <c r="W183" s="63"/>
    </row>
    <row r="184" spans="1:23" ht="15" customHeight="1" x14ac:dyDescent="0.2">
      <c r="A184" s="14" t="s">
        <v>65</v>
      </c>
      <c r="B184" s="64">
        <v>441854229</v>
      </c>
      <c r="C184" s="14" t="s">
        <v>391</v>
      </c>
      <c r="D184" s="58">
        <v>44987</v>
      </c>
      <c r="E184" s="14" t="s">
        <v>157</v>
      </c>
      <c r="F184" s="58">
        <v>45901</v>
      </c>
      <c r="G184" s="58">
        <v>45931</v>
      </c>
      <c r="H184" s="58">
        <v>45904</v>
      </c>
      <c r="I184" s="14" t="s">
        <v>69</v>
      </c>
      <c r="J184" s="64">
        <v>1</v>
      </c>
      <c r="K184" s="59">
        <v>25.42</v>
      </c>
      <c r="L184" s="65">
        <v>0.18</v>
      </c>
      <c r="M184" s="59">
        <v>4.58</v>
      </c>
      <c r="N184" s="14" t="s">
        <v>72</v>
      </c>
      <c r="O184" s="57" t="s">
        <v>629</v>
      </c>
      <c r="P184" s="57" t="s">
        <v>69</v>
      </c>
      <c r="Q184" s="57" t="s">
        <v>630</v>
      </c>
      <c r="R184" s="57">
        <v>15278437</v>
      </c>
      <c r="S184" s="57" t="str">
        <f t="shared" si="2"/>
        <v>Jason Hoffmann</v>
      </c>
    </row>
    <row r="185" spans="1:23" ht="15" customHeight="1" x14ac:dyDescent="0.2">
      <c r="A185" s="14" t="s">
        <v>65</v>
      </c>
      <c r="B185" s="64">
        <v>441854230</v>
      </c>
      <c r="C185" s="14" t="s">
        <v>393</v>
      </c>
      <c r="D185" s="58">
        <v>44987</v>
      </c>
      <c r="E185" s="14" t="s">
        <v>157</v>
      </c>
      <c r="F185" s="58">
        <v>45901</v>
      </c>
      <c r="G185" s="58">
        <v>45931</v>
      </c>
      <c r="H185" s="58">
        <v>45904</v>
      </c>
      <c r="I185" s="14" t="s">
        <v>69</v>
      </c>
      <c r="J185" s="64">
        <v>1</v>
      </c>
      <c r="K185" s="59">
        <v>25.42</v>
      </c>
      <c r="L185" s="65">
        <v>0.18</v>
      </c>
      <c r="M185" s="59">
        <v>4.58</v>
      </c>
      <c r="N185" s="14" t="s">
        <v>72</v>
      </c>
      <c r="O185" s="57" t="s">
        <v>629</v>
      </c>
      <c r="P185" s="57" t="s">
        <v>69</v>
      </c>
      <c r="Q185" s="57" t="s">
        <v>630</v>
      </c>
      <c r="R185" s="57">
        <v>15278437</v>
      </c>
      <c r="S185" s="57" t="str">
        <f t="shared" si="2"/>
        <v>Jason Hoffmann</v>
      </c>
    </row>
    <row r="186" spans="1:23" ht="15" customHeight="1" x14ac:dyDescent="0.2">
      <c r="A186" s="14" t="s">
        <v>65</v>
      </c>
      <c r="B186" s="64">
        <v>441872789</v>
      </c>
      <c r="C186" s="14" t="s">
        <v>403</v>
      </c>
      <c r="D186" s="58">
        <v>45017</v>
      </c>
      <c r="E186" s="14" t="s">
        <v>196</v>
      </c>
      <c r="F186" s="58">
        <v>45901</v>
      </c>
      <c r="G186" s="58">
        <v>45931</v>
      </c>
      <c r="H186" s="58">
        <v>45904</v>
      </c>
      <c r="I186" s="14" t="s">
        <v>69</v>
      </c>
      <c r="J186" s="64">
        <v>1</v>
      </c>
      <c r="K186" s="59">
        <v>19</v>
      </c>
      <c r="L186" s="65">
        <v>0.09</v>
      </c>
      <c r="M186" s="59">
        <v>1.71</v>
      </c>
      <c r="N186" s="14" t="s">
        <v>72</v>
      </c>
      <c r="O186" s="57" t="s">
        <v>629</v>
      </c>
      <c r="P186" s="57" t="s">
        <v>69</v>
      </c>
      <c r="Q186" s="57" t="s">
        <v>630</v>
      </c>
      <c r="R186" s="57">
        <v>15278437</v>
      </c>
      <c r="S186" s="57" t="str">
        <f t="shared" si="2"/>
        <v>Jason Hoffmann</v>
      </c>
    </row>
    <row r="187" spans="1:23" ht="15" customHeight="1" x14ac:dyDescent="0.2">
      <c r="A187" s="14" t="s">
        <v>65</v>
      </c>
      <c r="B187" s="64">
        <v>441872791</v>
      </c>
      <c r="C187" s="14" t="s">
        <v>403</v>
      </c>
      <c r="D187" s="58">
        <v>45017</v>
      </c>
      <c r="E187" s="14" t="s">
        <v>157</v>
      </c>
      <c r="F187" s="58">
        <v>45901</v>
      </c>
      <c r="G187" s="58">
        <v>45931</v>
      </c>
      <c r="H187" s="58">
        <v>45904</v>
      </c>
      <c r="I187" s="14" t="s">
        <v>69</v>
      </c>
      <c r="J187" s="64">
        <v>1</v>
      </c>
      <c r="K187" s="59">
        <v>29.75</v>
      </c>
      <c r="L187" s="65">
        <v>0.18</v>
      </c>
      <c r="M187" s="59">
        <v>5.36</v>
      </c>
      <c r="N187" s="14" t="s">
        <v>72</v>
      </c>
      <c r="O187" s="57" t="s">
        <v>629</v>
      </c>
      <c r="P187" s="57" t="s">
        <v>69</v>
      </c>
      <c r="Q187" s="57" t="s">
        <v>630</v>
      </c>
      <c r="R187" s="57">
        <v>15278437</v>
      </c>
      <c r="S187" s="57" t="str">
        <f t="shared" si="2"/>
        <v>Jason Hoffmann</v>
      </c>
    </row>
    <row r="188" spans="1:23" ht="15" customHeight="1" x14ac:dyDescent="0.2">
      <c r="A188" s="14" t="s">
        <v>65</v>
      </c>
      <c r="B188" s="64">
        <v>441882731</v>
      </c>
      <c r="C188" s="14" t="s">
        <v>286</v>
      </c>
      <c r="D188" s="58">
        <v>45017</v>
      </c>
      <c r="E188" s="14" t="s">
        <v>258</v>
      </c>
      <c r="F188" s="58">
        <v>45901</v>
      </c>
      <c r="G188" s="58">
        <v>45931</v>
      </c>
      <c r="H188" s="58">
        <v>45904</v>
      </c>
      <c r="I188" s="14" t="s">
        <v>69</v>
      </c>
      <c r="J188" s="64">
        <v>1</v>
      </c>
      <c r="K188" s="59">
        <v>32.130000000000003</v>
      </c>
      <c r="L188" s="65">
        <v>0.03</v>
      </c>
      <c r="M188" s="59">
        <v>0.96</v>
      </c>
      <c r="N188" s="14" t="s">
        <v>72</v>
      </c>
      <c r="O188" s="57" t="s">
        <v>627</v>
      </c>
      <c r="Q188" s="57" t="s">
        <v>628</v>
      </c>
      <c r="R188" s="57">
        <v>17425766</v>
      </c>
      <c r="S188" s="57" t="str">
        <f t="shared" si="2"/>
        <v>Carol Foley</v>
      </c>
    </row>
    <row r="189" spans="1:23" ht="15" customHeight="1" x14ac:dyDescent="0.2">
      <c r="A189" s="14" t="s">
        <v>65</v>
      </c>
      <c r="B189" s="64">
        <v>441882733</v>
      </c>
      <c r="C189" s="14" t="s">
        <v>286</v>
      </c>
      <c r="D189" s="58">
        <v>45017</v>
      </c>
      <c r="E189" s="14" t="s">
        <v>211</v>
      </c>
      <c r="F189" s="58">
        <v>45901</v>
      </c>
      <c r="G189" s="58">
        <v>45931</v>
      </c>
      <c r="H189" s="58">
        <v>45904</v>
      </c>
      <c r="I189" s="14" t="s">
        <v>69</v>
      </c>
      <c r="J189" s="64">
        <v>1</v>
      </c>
      <c r="K189" s="59">
        <v>72.73</v>
      </c>
      <c r="L189" s="65">
        <v>0.06</v>
      </c>
      <c r="M189" s="59">
        <v>4.3600000000000003</v>
      </c>
      <c r="N189" s="14" t="s">
        <v>72</v>
      </c>
      <c r="O189" s="57" t="s">
        <v>627</v>
      </c>
      <c r="Q189" s="57" t="s">
        <v>628</v>
      </c>
      <c r="R189" s="57">
        <v>17425766</v>
      </c>
      <c r="S189" s="57" t="str">
        <f t="shared" si="2"/>
        <v>Carol Foley</v>
      </c>
    </row>
    <row r="190" spans="1:23" ht="15" customHeight="1" x14ac:dyDescent="0.2">
      <c r="A190" s="14" t="s">
        <v>65</v>
      </c>
      <c r="B190" s="64">
        <v>441883102</v>
      </c>
      <c r="C190" s="14" t="s">
        <v>171</v>
      </c>
      <c r="D190" s="58">
        <v>45017</v>
      </c>
      <c r="E190" s="14" t="s">
        <v>157</v>
      </c>
      <c r="F190" s="58">
        <v>45901</v>
      </c>
      <c r="G190" s="58">
        <v>45931</v>
      </c>
      <c r="H190" s="58">
        <v>45904</v>
      </c>
      <c r="I190" s="14" t="s">
        <v>69</v>
      </c>
      <c r="J190" s="64">
        <v>1</v>
      </c>
      <c r="K190" s="59">
        <v>106.93</v>
      </c>
      <c r="L190" s="65">
        <v>0.06</v>
      </c>
      <c r="M190" s="59">
        <v>6.42</v>
      </c>
      <c r="N190" s="14" t="s">
        <v>72</v>
      </c>
      <c r="O190" s="57" t="s">
        <v>627</v>
      </c>
      <c r="Q190" s="57" t="s">
        <v>628</v>
      </c>
      <c r="R190" s="57">
        <v>17425766</v>
      </c>
      <c r="S190" s="57" t="str">
        <f t="shared" si="2"/>
        <v>Carol Foley</v>
      </c>
    </row>
    <row r="191" spans="1:23" ht="15" customHeight="1" x14ac:dyDescent="0.2">
      <c r="A191" s="60" t="s">
        <v>65</v>
      </c>
      <c r="B191" s="66">
        <v>441884278</v>
      </c>
      <c r="C191" s="60" t="s">
        <v>574</v>
      </c>
      <c r="D191" s="61">
        <v>45007</v>
      </c>
      <c r="E191" s="60" t="s">
        <v>123</v>
      </c>
      <c r="F191" s="61">
        <v>45901</v>
      </c>
      <c r="G191" s="61">
        <v>45931</v>
      </c>
      <c r="H191" s="61">
        <v>45910</v>
      </c>
      <c r="I191" s="60" t="s">
        <v>69</v>
      </c>
      <c r="J191" s="66">
        <v>1</v>
      </c>
      <c r="K191" s="62">
        <v>59.98</v>
      </c>
      <c r="L191" s="67">
        <v>0.03</v>
      </c>
      <c r="M191" s="62">
        <v>1.8</v>
      </c>
      <c r="N191" s="60" t="s">
        <v>72</v>
      </c>
      <c r="O191" s="63" t="s">
        <v>627</v>
      </c>
      <c r="Q191" s="63" t="s">
        <v>628</v>
      </c>
      <c r="R191" s="63">
        <v>17425766</v>
      </c>
      <c r="S191" s="57" t="str">
        <f t="shared" si="2"/>
        <v>Carol Foley</v>
      </c>
      <c r="T191" s="63"/>
      <c r="U191" s="63"/>
      <c r="V191" s="63"/>
      <c r="W191" s="63"/>
    </row>
    <row r="192" spans="1:23" ht="15" customHeight="1" x14ac:dyDescent="0.2">
      <c r="A192" s="14" t="s">
        <v>65</v>
      </c>
      <c r="B192" s="64">
        <v>441884974</v>
      </c>
      <c r="C192" s="14" t="s">
        <v>257</v>
      </c>
      <c r="D192" s="58">
        <v>45017</v>
      </c>
      <c r="E192" s="14" t="s">
        <v>258</v>
      </c>
      <c r="F192" s="58">
        <v>45901</v>
      </c>
      <c r="G192" s="58">
        <v>45931</v>
      </c>
      <c r="H192" s="58">
        <v>45904</v>
      </c>
      <c r="I192" s="14" t="s">
        <v>69</v>
      </c>
      <c r="J192" s="64">
        <v>1</v>
      </c>
      <c r="K192" s="59">
        <v>37.49</v>
      </c>
      <c r="L192" s="65">
        <v>0.03</v>
      </c>
      <c r="M192" s="59">
        <v>1.1200000000000001</v>
      </c>
      <c r="N192" s="14" t="s">
        <v>72</v>
      </c>
      <c r="O192" s="57" t="s">
        <v>627</v>
      </c>
      <c r="Q192" s="57" t="s">
        <v>628</v>
      </c>
      <c r="R192" s="57">
        <v>17425766</v>
      </c>
      <c r="S192" s="57" t="str">
        <f t="shared" si="2"/>
        <v>Carol Foley</v>
      </c>
    </row>
    <row r="193" spans="1:23" ht="15" customHeight="1" x14ac:dyDescent="0.2">
      <c r="A193" s="14" t="s">
        <v>65</v>
      </c>
      <c r="B193" s="64">
        <v>441884980</v>
      </c>
      <c r="C193" s="14" t="s">
        <v>257</v>
      </c>
      <c r="D193" s="58">
        <v>45017</v>
      </c>
      <c r="E193" s="14" t="s">
        <v>157</v>
      </c>
      <c r="F193" s="58">
        <v>45901</v>
      </c>
      <c r="G193" s="58">
        <v>45931</v>
      </c>
      <c r="H193" s="58">
        <v>45904</v>
      </c>
      <c r="I193" s="14" t="s">
        <v>69</v>
      </c>
      <c r="J193" s="64">
        <v>1</v>
      </c>
      <c r="K193" s="59">
        <v>98.99</v>
      </c>
      <c r="L193" s="65">
        <v>0.06</v>
      </c>
      <c r="M193" s="59">
        <v>5.94</v>
      </c>
      <c r="N193" s="14" t="s">
        <v>72</v>
      </c>
      <c r="O193" s="57" t="s">
        <v>627</v>
      </c>
      <c r="Q193" s="57" t="s">
        <v>628</v>
      </c>
      <c r="R193" s="57">
        <v>17425766</v>
      </c>
      <c r="S193" s="57" t="str">
        <f t="shared" si="2"/>
        <v>Carol Foley</v>
      </c>
    </row>
    <row r="194" spans="1:23" ht="15" customHeight="1" x14ac:dyDescent="0.2">
      <c r="A194" s="14" t="s">
        <v>65</v>
      </c>
      <c r="B194" s="64">
        <v>441885201</v>
      </c>
      <c r="C194" s="14" t="s">
        <v>341</v>
      </c>
      <c r="D194" s="58">
        <v>45017</v>
      </c>
      <c r="E194" s="14" t="s">
        <v>258</v>
      </c>
      <c r="F194" s="58">
        <v>45901</v>
      </c>
      <c r="G194" s="58">
        <v>45931</v>
      </c>
      <c r="H194" s="58">
        <v>45904</v>
      </c>
      <c r="I194" s="14" t="s">
        <v>69</v>
      </c>
      <c r="J194" s="64">
        <v>1</v>
      </c>
      <c r="K194" s="59">
        <v>37.49</v>
      </c>
      <c r="L194" s="65">
        <v>0.03</v>
      </c>
      <c r="M194" s="59">
        <v>1.1200000000000001</v>
      </c>
      <c r="N194" s="14" t="s">
        <v>72</v>
      </c>
      <c r="O194" s="57" t="s">
        <v>627</v>
      </c>
      <c r="Q194" s="57" t="s">
        <v>628</v>
      </c>
      <c r="R194" s="57">
        <v>17425766</v>
      </c>
      <c r="S194" s="57" t="str">
        <f t="shared" si="2"/>
        <v>Carol Foley</v>
      </c>
    </row>
    <row r="195" spans="1:23" ht="15" customHeight="1" x14ac:dyDescent="0.2">
      <c r="A195" s="14" t="s">
        <v>65</v>
      </c>
      <c r="B195" s="64">
        <v>441885213</v>
      </c>
      <c r="C195" s="14" t="s">
        <v>341</v>
      </c>
      <c r="D195" s="58">
        <v>45017</v>
      </c>
      <c r="E195" s="14" t="s">
        <v>157</v>
      </c>
      <c r="F195" s="58">
        <v>45901</v>
      </c>
      <c r="G195" s="58">
        <v>45931</v>
      </c>
      <c r="H195" s="58">
        <v>45904</v>
      </c>
      <c r="I195" s="14" t="s">
        <v>69</v>
      </c>
      <c r="J195" s="64">
        <v>1</v>
      </c>
      <c r="K195" s="59">
        <v>109.86</v>
      </c>
      <c r="L195" s="65">
        <v>0.06</v>
      </c>
      <c r="M195" s="59">
        <v>6.59</v>
      </c>
      <c r="N195" s="14" t="s">
        <v>72</v>
      </c>
      <c r="O195" s="57" t="s">
        <v>627</v>
      </c>
      <c r="Q195" s="57" t="s">
        <v>628</v>
      </c>
      <c r="R195" s="57">
        <v>17425766</v>
      </c>
      <c r="S195" s="57" t="str">
        <f t="shared" ref="S195:S258" si="3">CONCATENATE(O195, " ",Q195)</f>
        <v>Carol Foley</v>
      </c>
    </row>
    <row r="196" spans="1:23" ht="15" customHeight="1" x14ac:dyDescent="0.2">
      <c r="A196" s="60" t="s">
        <v>65</v>
      </c>
      <c r="B196" s="66">
        <v>441894645</v>
      </c>
      <c r="C196" s="60" t="s">
        <v>577</v>
      </c>
      <c r="D196" s="61">
        <v>45017</v>
      </c>
      <c r="E196" s="60" t="s">
        <v>157</v>
      </c>
      <c r="F196" s="61">
        <v>45901</v>
      </c>
      <c r="G196" s="61">
        <v>45931</v>
      </c>
      <c r="H196" s="61">
        <v>45912</v>
      </c>
      <c r="I196" s="60" t="s">
        <v>69</v>
      </c>
      <c r="J196" s="66">
        <v>1</v>
      </c>
      <c r="K196" s="62">
        <v>70.239999999999995</v>
      </c>
      <c r="L196" s="67">
        <v>0.06</v>
      </c>
      <c r="M196" s="62">
        <v>4.21</v>
      </c>
      <c r="N196" s="60" t="s">
        <v>72</v>
      </c>
      <c r="O196" s="63" t="s">
        <v>627</v>
      </c>
      <c r="Q196" s="63" t="s">
        <v>628</v>
      </c>
      <c r="R196" s="63">
        <v>17425766</v>
      </c>
      <c r="S196" s="57" t="str">
        <f t="shared" si="3"/>
        <v>Carol Foley</v>
      </c>
      <c r="T196" s="63"/>
      <c r="U196" s="63"/>
      <c r="V196" s="63"/>
      <c r="W196" s="63"/>
    </row>
    <row r="197" spans="1:23" ht="15" customHeight="1" x14ac:dyDescent="0.2">
      <c r="A197" s="14" t="s">
        <v>65</v>
      </c>
      <c r="B197" s="64">
        <v>441908688</v>
      </c>
      <c r="C197" s="14" t="s">
        <v>310</v>
      </c>
      <c r="D197" s="58">
        <v>45020</v>
      </c>
      <c r="E197" s="14" t="s">
        <v>311</v>
      </c>
      <c r="F197" s="58">
        <v>45901</v>
      </c>
      <c r="G197" s="58">
        <v>45931</v>
      </c>
      <c r="H197" s="58">
        <v>45906</v>
      </c>
      <c r="I197" s="14" t="s">
        <v>69</v>
      </c>
      <c r="J197" s="64">
        <v>1</v>
      </c>
      <c r="K197" s="59">
        <v>61.05</v>
      </c>
      <c r="L197" s="65">
        <v>0.03</v>
      </c>
      <c r="M197" s="59">
        <v>1.83</v>
      </c>
      <c r="N197" s="14" t="s">
        <v>72</v>
      </c>
      <c r="O197" s="57" t="s">
        <v>627</v>
      </c>
      <c r="Q197" s="57" t="s">
        <v>628</v>
      </c>
      <c r="R197" s="57">
        <v>17425766</v>
      </c>
      <c r="S197" s="57" t="str">
        <f t="shared" si="3"/>
        <v>Carol Foley</v>
      </c>
    </row>
    <row r="198" spans="1:23" ht="15" customHeight="1" x14ac:dyDescent="0.2">
      <c r="A198" s="14" t="s">
        <v>65</v>
      </c>
      <c r="B198" s="64">
        <v>441913487</v>
      </c>
      <c r="C198" s="14" t="s">
        <v>213</v>
      </c>
      <c r="D198" s="58">
        <v>45078</v>
      </c>
      <c r="E198" s="14" t="s">
        <v>214</v>
      </c>
      <c r="F198" s="58">
        <v>45901</v>
      </c>
      <c r="G198" s="58">
        <v>45931</v>
      </c>
      <c r="H198" s="58">
        <v>45904</v>
      </c>
      <c r="I198" s="14" t="s">
        <v>69</v>
      </c>
      <c r="J198" s="64">
        <v>1</v>
      </c>
      <c r="K198" s="59">
        <v>43</v>
      </c>
      <c r="L198" s="65">
        <v>0.03</v>
      </c>
      <c r="M198" s="59">
        <v>1.29</v>
      </c>
      <c r="N198" s="14" t="s">
        <v>72</v>
      </c>
      <c r="O198" s="57" t="s">
        <v>627</v>
      </c>
      <c r="Q198" s="57" t="s">
        <v>628</v>
      </c>
      <c r="R198" s="57">
        <v>17425766</v>
      </c>
      <c r="S198" s="57" t="str">
        <f t="shared" si="3"/>
        <v>Carol Foley</v>
      </c>
    </row>
    <row r="199" spans="1:23" ht="15" customHeight="1" x14ac:dyDescent="0.2">
      <c r="A199" s="14" t="s">
        <v>65</v>
      </c>
      <c r="B199" s="64">
        <v>441925403</v>
      </c>
      <c r="C199" s="14" t="s">
        <v>206</v>
      </c>
      <c r="D199" s="58">
        <v>45047</v>
      </c>
      <c r="E199" s="14" t="s">
        <v>207</v>
      </c>
      <c r="F199" s="58">
        <v>45901</v>
      </c>
      <c r="G199" s="58">
        <v>45931</v>
      </c>
      <c r="H199" s="58">
        <v>45904</v>
      </c>
      <c r="I199" s="14" t="s">
        <v>69</v>
      </c>
      <c r="J199" s="64">
        <v>1</v>
      </c>
      <c r="K199" s="59">
        <v>8.1</v>
      </c>
      <c r="L199" s="65">
        <v>0.03</v>
      </c>
      <c r="M199" s="59">
        <v>0.24</v>
      </c>
      <c r="N199" s="14" t="s">
        <v>72</v>
      </c>
      <c r="O199" s="57" t="s">
        <v>627</v>
      </c>
      <c r="Q199" s="57" t="s">
        <v>628</v>
      </c>
      <c r="R199" s="57">
        <v>17425766</v>
      </c>
      <c r="S199" s="57" t="str">
        <f t="shared" si="3"/>
        <v>Carol Foley</v>
      </c>
    </row>
    <row r="200" spans="1:23" ht="15" customHeight="1" x14ac:dyDescent="0.2">
      <c r="A200" s="14" t="s">
        <v>65</v>
      </c>
      <c r="B200" s="64">
        <v>441925404</v>
      </c>
      <c r="C200" s="14" t="s">
        <v>206</v>
      </c>
      <c r="D200" s="58">
        <v>45047</v>
      </c>
      <c r="E200" s="14" t="s">
        <v>209</v>
      </c>
      <c r="F200" s="58">
        <v>45901</v>
      </c>
      <c r="G200" s="58">
        <v>45931</v>
      </c>
      <c r="H200" s="58">
        <v>45904</v>
      </c>
      <c r="I200" s="14" t="s">
        <v>69</v>
      </c>
      <c r="J200" s="64">
        <v>1</v>
      </c>
      <c r="K200" s="59">
        <v>14.04</v>
      </c>
      <c r="L200" s="65">
        <v>0.03</v>
      </c>
      <c r="M200" s="59">
        <v>0.42</v>
      </c>
      <c r="N200" s="14" t="s">
        <v>72</v>
      </c>
      <c r="O200" s="57" t="s">
        <v>627</v>
      </c>
      <c r="Q200" s="57" t="s">
        <v>628</v>
      </c>
      <c r="R200" s="57">
        <v>17425766</v>
      </c>
      <c r="S200" s="57" t="str">
        <f t="shared" si="3"/>
        <v>Carol Foley</v>
      </c>
    </row>
    <row r="201" spans="1:23" ht="15" customHeight="1" x14ac:dyDescent="0.2">
      <c r="A201" s="14" t="s">
        <v>65</v>
      </c>
      <c r="B201" s="64">
        <v>441925405</v>
      </c>
      <c r="C201" s="14" t="s">
        <v>206</v>
      </c>
      <c r="D201" s="58">
        <v>45047</v>
      </c>
      <c r="E201" s="14" t="s">
        <v>211</v>
      </c>
      <c r="F201" s="58">
        <v>45901</v>
      </c>
      <c r="G201" s="58">
        <v>45931</v>
      </c>
      <c r="H201" s="58">
        <v>45904</v>
      </c>
      <c r="I201" s="14" t="s">
        <v>69</v>
      </c>
      <c r="J201" s="64">
        <v>1</v>
      </c>
      <c r="K201" s="59">
        <v>40.94</v>
      </c>
      <c r="L201" s="65">
        <v>0.03</v>
      </c>
      <c r="M201" s="59">
        <v>1.23</v>
      </c>
      <c r="N201" s="14" t="s">
        <v>72</v>
      </c>
      <c r="O201" s="57" t="s">
        <v>627</v>
      </c>
      <c r="Q201" s="57" t="s">
        <v>628</v>
      </c>
      <c r="R201" s="57">
        <v>17425766</v>
      </c>
      <c r="S201" s="57" t="str">
        <f t="shared" si="3"/>
        <v>Carol Foley</v>
      </c>
    </row>
    <row r="202" spans="1:23" ht="15" customHeight="1" x14ac:dyDescent="0.2">
      <c r="A202" s="14" t="s">
        <v>65</v>
      </c>
      <c r="B202" s="64">
        <v>441931254</v>
      </c>
      <c r="C202" s="14" t="s">
        <v>406</v>
      </c>
      <c r="D202" s="58">
        <v>45047</v>
      </c>
      <c r="E202" s="14" t="s">
        <v>81</v>
      </c>
      <c r="F202" s="58">
        <v>45901</v>
      </c>
      <c r="G202" s="58">
        <v>45931</v>
      </c>
      <c r="H202" s="58">
        <v>45904</v>
      </c>
      <c r="I202" s="14" t="s">
        <v>69</v>
      </c>
      <c r="J202" s="64">
        <v>1</v>
      </c>
      <c r="K202" s="59">
        <v>25</v>
      </c>
      <c r="L202" s="65">
        <v>0.09</v>
      </c>
      <c r="M202" s="59">
        <v>2.25</v>
      </c>
      <c r="N202" s="14" t="s">
        <v>72</v>
      </c>
      <c r="O202" s="57" t="s">
        <v>629</v>
      </c>
      <c r="P202" s="57" t="s">
        <v>69</v>
      </c>
      <c r="Q202" s="57" t="s">
        <v>630</v>
      </c>
      <c r="R202" s="57">
        <v>15278437</v>
      </c>
      <c r="S202" s="57" t="str">
        <f t="shared" si="3"/>
        <v>Jason Hoffmann</v>
      </c>
    </row>
    <row r="203" spans="1:23" ht="15" customHeight="1" x14ac:dyDescent="0.2">
      <c r="A203" s="60" t="s">
        <v>65</v>
      </c>
      <c r="B203" s="66">
        <v>441955925</v>
      </c>
      <c r="C203" s="60" t="s">
        <v>575</v>
      </c>
      <c r="D203" s="61">
        <v>45050</v>
      </c>
      <c r="E203" s="60" t="s">
        <v>250</v>
      </c>
      <c r="F203" s="61">
        <v>45901</v>
      </c>
      <c r="G203" s="61">
        <v>45931</v>
      </c>
      <c r="H203" s="61">
        <v>45910</v>
      </c>
      <c r="I203" s="60" t="s">
        <v>69</v>
      </c>
      <c r="J203" s="66">
        <v>1</v>
      </c>
      <c r="K203" s="62">
        <v>32.76</v>
      </c>
      <c r="L203" s="67">
        <v>0.03</v>
      </c>
      <c r="M203" s="62">
        <v>0.98</v>
      </c>
      <c r="N203" s="60" t="s">
        <v>72</v>
      </c>
      <c r="O203" s="63" t="s">
        <v>627</v>
      </c>
      <c r="Q203" s="63" t="s">
        <v>628</v>
      </c>
      <c r="R203" s="63">
        <v>17425766</v>
      </c>
      <c r="S203" s="57" t="str">
        <f t="shared" si="3"/>
        <v>Carol Foley</v>
      </c>
      <c r="T203" s="63"/>
      <c r="U203" s="63"/>
      <c r="V203" s="63"/>
      <c r="W203" s="63"/>
    </row>
    <row r="204" spans="1:23" ht="15" customHeight="1" x14ac:dyDescent="0.2">
      <c r="A204" s="14" t="s">
        <v>65</v>
      </c>
      <c r="B204" s="64">
        <v>441998030</v>
      </c>
      <c r="C204" s="14" t="s">
        <v>77</v>
      </c>
      <c r="D204" s="58">
        <v>45139</v>
      </c>
      <c r="E204" s="14" t="s">
        <v>78</v>
      </c>
      <c r="F204" s="58">
        <v>45901</v>
      </c>
      <c r="G204" s="58">
        <v>45931</v>
      </c>
      <c r="H204" s="58">
        <v>45904</v>
      </c>
      <c r="I204" s="14" t="s">
        <v>69</v>
      </c>
      <c r="J204" s="64">
        <v>1</v>
      </c>
      <c r="K204" s="59">
        <v>9.8000000000000007</v>
      </c>
      <c r="L204" s="65">
        <v>0.09</v>
      </c>
      <c r="M204" s="59">
        <v>0.88</v>
      </c>
      <c r="N204" s="14" t="s">
        <v>72</v>
      </c>
      <c r="O204" s="57" t="s">
        <v>623</v>
      </c>
      <c r="P204" s="57" t="s">
        <v>631</v>
      </c>
      <c r="Q204" s="57" t="s">
        <v>632</v>
      </c>
      <c r="R204" s="57">
        <v>19278370</v>
      </c>
      <c r="S204" s="57" t="str">
        <f t="shared" si="3"/>
        <v>Anne Kozacheck</v>
      </c>
    </row>
    <row r="205" spans="1:23" ht="15" customHeight="1" x14ac:dyDescent="0.2">
      <c r="A205" s="14" t="s">
        <v>65</v>
      </c>
      <c r="B205" s="64">
        <v>441999551</v>
      </c>
      <c r="C205" s="14" t="s">
        <v>549</v>
      </c>
      <c r="D205" s="58">
        <v>45078</v>
      </c>
      <c r="E205" s="14" t="s">
        <v>278</v>
      </c>
      <c r="F205" s="58">
        <v>45901</v>
      </c>
      <c r="G205" s="58">
        <v>45931</v>
      </c>
      <c r="H205" s="58">
        <v>45904</v>
      </c>
      <c r="I205" s="14" t="s">
        <v>69</v>
      </c>
      <c r="J205" s="64">
        <v>1</v>
      </c>
      <c r="K205" s="59">
        <v>78</v>
      </c>
      <c r="L205" s="65">
        <v>0.09</v>
      </c>
      <c r="M205" s="59">
        <v>7.02</v>
      </c>
      <c r="N205" s="14" t="s">
        <v>72</v>
      </c>
      <c r="O205" s="57" t="s">
        <v>633</v>
      </c>
      <c r="P205" s="57" t="s">
        <v>634</v>
      </c>
      <c r="Q205" s="57" t="s">
        <v>635</v>
      </c>
      <c r="R205" s="57">
        <v>16509456</v>
      </c>
      <c r="S205" s="57" t="str">
        <f t="shared" si="3"/>
        <v>Peter Richter</v>
      </c>
    </row>
    <row r="206" spans="1:23" ht="15" customHeight="1" x14ac:dyDescent="0.2">
      <c r="A206" s="14" t="s">
        <v>65</v>
      </c>
      <c r="B206" s="64">
        <v>442017602</v>
      </c>
      <c r="C206" s="14" t="s">
        <v>243</v>
      </c>
      <c r="D206" s="58">
        <v>45139</v>
      </c>
      <c r="E206" s="14" t="s">
        <v>214</v>
      </c>
      <c r="F206" s="58">
        <v>45901</v>
      </c>
      <c r="G206" s="58">
        <v>45931</v>
      </c>
      <c r="H206" s="58">
        <v>45904</v>
      </c>
      <c r="I206" s="14" t="s">
        <v>69</v>
      </c>
      <c r="J206" s="64">
        <v>1</v>
      </c>
      <c r="K206" s="59">
        <v>43</v>
      </c>
      <c r="L206" s="65">
        <v>0.03</v>
      </c>
      <c r="M206" s="59">
        <v>1.29</v>
      </c>
      <c r="N206" s="14" t="s">
        <v>72</v>
      </c>
      <c r="O206" s="57" t="s">
        <v>627</v>
      </c>
      <c r="Q206" s="57" t="s">
        <v>628</v>
      </c>
      <c r="R206" s="57">
        <v>17425766</v>
      </c>
      <c r="S206" s="57" t="str">
        <f t="shared" si="3"/>
        <v>Carol Foley</v>
      </c>
    </row>
    <row r="207" spans="1:23" ht="15" customHeight="1" x14ac:dyDescent="0.2">
      <c r="A207" s="14" t="s">
        <v>65</v>
      </c>
      <c r="B207" s="64">
        <v>442017603</v>
      </c>
      <c r="C207" s="14" t="s">
        <v>243</v>
      </c>
      <c r="D207" s="58">
        <v>45139</v>
      </c>
      <c r="E207" s="14" t="s">
        <v>84</v>
      </c>
      <c r="F207" s="58">
        <v>45901</v>
      </c>
      <c r="G207" s="58">
        <v>45931</v>
      </c>
      <c r="H207" s="58">
        <v>45904</v>
      </c>
      <c r="I207" s="14" t="s">
        <v>69</v>
      </c>
      <c r="J207" s="64">
        <v>1</v>
      </c>
      <c r="K207" s="59">
        <v>10</v>
      </c>
      <c r="L207" s="65">
        <v>0.03</v>
      </c>
      <c r="M207" s="59">
        <v>0.3</v>
      </c>
      <c r="N207" s="14" t="s">
        <v>72</v>
      </c>
      <c r="O207" s="57" t="s">
        <v>627</v>
      </c>
      <c r="Q207" s="57" t="s">
        <v>628</v>
      </c>
      <c r="R207" s="57">
        <v>17425766</v>
      </c>
      <c r="S207" s="57" t="str">
        <f t="shared" si="3"/>
        <v>Carol Foley</v>
      </c>
    </row>
    <row r="208" spans="1:23" ht="15" customHeight="1" x14ac:dyDescent="0.2">
      <c r="A208" s="60" t="s">
        <v>65</v>
      </c>
      <c r="B208" s="66">
        <v>442023558</v>
      </c>
      <c r="C208" s="60" t="s">
        <v>551</v>
      </c>
      <c r="D208" s="61">
        <v>45093</v>
      </c>
      <c r="E208" s="60" t="s">
        <v>81</v>
      </c>
      <c r="F208" s="61">
        <v>45901</v>
      </c>
      <c r="G208" s="61">
        <v>45931</v>
      </c>
      <c r="H208" s="61">
        <v>45910</v>
      </c>
      <c r="I208" s="60" t="s">
        <v>69</v>
      </c>
      <c r="J208" s="66">
        <v>1</v>
      </c>
      <c r="K208" s="62">
        <v>25</v>
      </c>
      <c r="L208" s="67">
        <v>0.09</v>
      </c>
      <c r="M208" s="62">
        <v>2.25</v>
      </c>
      <c r="N208" s="60" t="s">
        <v>72</v>
      </c>
      <c r="O208" s="63" t="s">
        <v>623</v>
      </c>
      <c r="P208" s="63" t="s">
        <v>631</v>
      </c>
      <c r="Q208" s="63" t="s">
        <v>632</v>
      </c>
      <c r="R208" s="63">
        <v>19278370</v>
      </c>
      <c r="S208" s="57" t="str">
        <f t="shared" si="3"/>
        <v>Anne Kozacheck</v>
      </c>
      <c r="T208" s="63"/>
      <c r="U208" s="63"/>
      <c r="V208" s="63"/>
      <c r="W208" s="63"/>
    </row>
    <row r="209" spans="1:23" ht="15" customHeight="1" x14ac:dyDescent="0.2">
      <c r="A209" s="14" t="s">
        <v>65</v>
      </c>
      <c r="B209" s="64">
        <v>442027310</v>
      </c>
      <c r="C209" s="14" t="s">
        <v>83</v>
      </c>
      <c r="D209" s="58">
        <v>45108</v>
      </c>
      <c r="E209" s="14" t="s">
        <v>84</v>
      </c>
      <c r="F209" s="58">
        <v>45901</v>
      </c>
      <c r="G209" s="58">
        <v>45931</v>
      </c>
      <c r="H209" s="58">
        <v>45904</v>
      </c>
      <c r="I209" s="14" t="s">
        <v>69</v>
      </c>
      <c r="J209" s="64">
        <v>1</v>
      </c>
      <c r="K209" s="59">
        <v>10</v>
      </c>
      <c r="L209" s="65">
        <v>0.09</v>
      </c>
      <c r="M209" s="59">
        <v>0.9</v>
      </c>
      <c r="N209" s="14" t="s">
        <v>72</v>
      </c>
      <c r="O209" s="57" t="s">
        <v>623</v>
      </c>
      <c r="P209" s="57" t="s">
        <v>631</v>
      </c>
      <c r="Q209" s="57" t="s">
        <v>632</v>
      </c>
      <c r="R209" s="57">
        <v>19278370</v>
      </c>
      <c r="S209" s="57" t="str">
        <f t="shared" si="3"/>
        <v>Anne Kozacheck</v>
      </c>
    </row>
    <row r="210" spans="1:23" ht="15" customHeight="1" x14ac:dyDescent="0.2">
      <c r="A210" s="14" t="s">
        <v>65</v>
      </c>
      <c r="B210" s="64">
        <v>442027611</v>
      </c>
      <c r="C210" s="14" t="s">
        <v>281</v>
      </c>
      <c r="D210" s="58">
        <v>45170</v>
      </c>
      <c r="E210" s="14" t="s">
        <v>211</v>
      </c>
      <c r="F210" s="58">
        <v>45901</v>
      </c>
      <c r="G210" s="58">
        <v>45931</v>
      </c>
      <c r="H210" s="58">
        <v>45904</v>
      </c>
      <c r="I210" s="14" t="s">
        <v>69</v>
      </c>
      <c r="J210" s="64">
        <v>1</v>
      </c>
      <c r="K210" s="59">
        <v>103.59</v>
      </c>
      <c r="L210" s="65">
        <v>0.06</v>
      </c>
      <c r="M210" s="59">
        <v>6.22</v>
      </c>
      <c r="N210" s="14" t="s">
        <v>72</v>
      </c>
      <c r="O210" s="57" t="s">
        <v>627</v>
      </c>
      <c r="Q210" s="57" t="s">
        <v>628</v>
      </c>
      <c r="R210" s="57">
        <v>17425766</v>
      </c>
      <c r="S210" s="57" t="str">
        <f t="shared" si="3"/>
        <v>Carol Foley</v>
      </c>
    </row>
    <row r="211" spans="1:23" ht="15" customHeight="1" x14ac:dyDescent="0.2">
      <c r="A211" s="60" t="s">
        <v>65</v>
      </c>
      <c r="B211" s="66">
        <v>442034541</v>
      </c>
      <c r="C211" s="60" t="s">
        <v>554</v>
      </c>
      <c r="D211" s="61">
        <v>45100</v>
      </c>
      <c r="E211" s="60" t="s">
        <v>278</v>
      </c>
      <c r="F211" s="61">
        <v>45901</v>
      </c>
      <c r="G211" s="61">
        <v>45931</v>
      </c>
      <c r="H211" s="61">
        <v>45910</v>
      </c>
      <c r="I211" s="60" t="s">
        <v>69</v>
      </c>
      <c r="J211" s="66">
        <v>1</v>
      </c>
      <c r="K211" s="62">
        <v>67</v>
      </c>
      <c r="L211" s="67">
        <v>0.09</v>
      </c>
      <c r="M211" s="62">
        <v>6.03</v>
      </c>
      <c r="N211" s="60" t="s">
        <v>72</v>
      </c>
      <c r="O211" s="63" t="s">
        <v>623</v>
      </c>
      <c r="P211" s="63" t="s">
        <v>631</v>
      </c>
      <c r="Q211" s="63" t="s">
        <v>632</v>
      </c>
      <c r="R211" s="63">
        <v>19278370</v>
      </c>
      <c r="S211" s="57" t="str">
        <f t="shared" si="3"/>
        <v>Anne Kozacheck</v>
      </c>
      <c r="T211" s="63"/>
      <c r="U211" s="63"/>
      <c r="V211" s="63"/>
      <c r="W211" s="63"/>
    </row>
    <row r="212" spans="1:23" ht="15" customHeight="1" x14ac:dyDescent="0.2">
      <c r="A212" s="14" t="s">
        <v>65</v>
      </c>
      <c r="B212" s="64">
        <v>442057912</v>
      </c>
      <c r="C212" s="14" t="s">
        <v>93</v>
      </c>
      <c r="D212" s="58">
        <v>45170</v>
      </c>
      <c r="E212" s="14" t="s">
        <v>94</v>
      </c>
      <c r="F212" s="58">
        <v>45901</v>
      </c>
      <c r="G212" s="58">
        <v>45931</v>
      </c>
      <c r="H212" s="58">
        <v>45904</v>
      </c>
      <c r="I212" s="14" t="s">
        <v>69</v>
      </c>
      <c r="J212" s="64">
        <v>1</v>
      </c>
      <c r="K212" s="59">
        <v>13.28</v>
      </c>
      <c r="L212" s="65">
        <v>7.0000000000000007E-2</v>
      </c>
      <c r="M212" s="59">
        <v>0.93</v>
      </c>
      <c r="N212" s="14" t="s">
        <v>72</v>
      </c>
      <c r="O212" s="57" t="s">
        <v>623</v>
      </c>
      <c r="P212" s="57" t="s">
        <v>631</v>
      </c>
      <c r="Q212" s="57" t="s">
        <v>632</v>
      </c>
      <c r="R212" s="57">
        <v>19278370</v>
      </c>
      <c r="S212" s="57" t="str">
        <f t="shared" si="3"/>
        <v>Anne Kozacheck</v>
      </c>
    </row>
    <row r="213" spans="1:23" ht="15" customHeight="1" x14ac:dyDescent="0.2">
      <c r="A213" s="14" t="s">
        <v>65</v>
      </c>
      <c r="B213" s="64">
        <v>442087913</v>
      </c>
      <c r="C213" s="14" t="s">
        <v>269</v>
      </c>
      <c r="D213" s="58">
        <v>45170</v>
      </c>
      <c r="E213" s="14" t="s">
        <v>155</v>
      </c>
      <c r="F213" s="58">
        <v>45901</v>
      </c>
      <c r="G213" s="58">
        <v>45931</v>
      </c>
      <c r="H213" s="58">
        <v>45904</v>
      </c>
      <c r="I213" s="14" t="s">
        <v>69</v>
      </c>
      <c r="J213" s="64">
        <v>1</v>
      </c>
      <c r="K213" s="59">
        <v>39.06</v>
      </c>
      <c r="L213" s="65">
        <v>7.0000000000000007E-2</v>
      </c>
      <c r="M213" s="59">
        <v>2.73</v>
      </c>
      <c r="N213" s="14" t="s">
        <v>72</v>
      </c>
      <c r="O213" s="57" t="s">
        <v>627</v>
      </c>
      <c r="Q213" s="57" t="s">
        <v>628</v>
      </c>
      <c r="R213" s="57">
        <v>17425766</v>
      </c>
      <c r="S213" s="57" t="str">
        <f t="shared" si="3"/>
        <v>Carol Foley</v>
      </c>
    </row>
    <row r="214" spans="1:23" ht="15" customHeight="1" x14ac:dyDescent="0.2">
      <c r="A214" s="14" t="s">
        <v>65</v>
      </c>
      <c r="B214" s="64">
        <v>442087916</v>
      </c>
      <c r="C214" s="14" t="s">
        <v>269</v>
      </c>
      <c r="D214" s="58">
        <v>45170</v>
      </c>
      <c r="E214" s="14" t="s">
        <v>99</v>
      </c>
      <c r="F214" s="58">
        <v>45901</v>
      </c>
      <c r="G214" s="58">
        <v>45931</v>
      </c>
      <c r="H214" s="58">
        <v>45904</v>
      </c>
      <c r="I214" s="14" t="s">
        <v>69</v>
      </c>
      <c r="J214" s="64">
        <v>1</v>
      </c>
      <c r="K214" s="59">
        <v>82.14</v>
      </c>
      <c r="L214" s="65">
        <v>0.18</v>
      </c>
      <c r="M214" s="59">
        <v>14.79</v>
      </c>
      <c r="N214" s="14" t="s">
        <v>72</v>
      </c>
      <c r="O214" s="57" t="s">
        <v>627</v>
      </c>
      <c r="Q214" s="57" t="s">
        <v>628</v>
      </c>
      <c r="R214" s="57">
        <v>17425766</v>
      </c>
      <c r="S214" s="57" t="str">
        <f t="shared" si="3"/>
        <v>Carol Foley</v>
      </c>
    </row>
    <row r="215" spans="1:23" ht="15" customHeight="1" x14ac:dyDescent="0.2">
      <c r="A215" s="14" t="s">
        <v>65</v>
      </c>
      <c r="B215" s="64">
        <v>442088086</v>
      </c>
      <c r="C215" s="14" t="s">
        <v>159</v>
      </c>
      <c r="D215" s="58">
        <v>45170</v>
      </c>
      <c r="E215" s="14" t="s">
        <v>160</v>
      </c>
      <c r="F215" s="58">
        <v>45901</v>
      </c>
      <c r="G215" s="58">
        <v>45931</v>
      </c>
      <c r="H215" s="58">
        <v>45904</v>
      </c>
      <c r="I215" s="14" t="s">
        <v>69</v>
      </c>
      <c r="J215" s="64">
        <v>1</v>
      </c>
      <c r="K215" s="59">
        <v>37.15</v>
      </c>
      <c r="L215" s="65">
        <v>4.4999999999999998E-2</v>
      </c>
      <c r="M215" s="59">
        <v>1.67</v>
      </c>
      <c r="N215" s="14" t="s">
        <v>72</v>
      </c>
      <c r="O215" s="57" t="s">
        <v>627</v>
      </c>
      <c r="Q215" s="57" t="s">
        <v>628</v>
      </c>
      <c r="R215" s="57">
        <v>17425766</v>
      </c>
      <c r="S215" s="57" t="str">
        <f t="shared" si="3"/>
        <v>Carol Foley</v>
      </c>
    </row>
    <row r="216" spans="1:23" ht="15" customHeight="1" x14ac:dyDescent="0.2">
      <c r="A216" s="14" t="s">
        <v>65</v>
      </c>
      <c r="B216" s="64">
        <v>442088087</v>
      </c>
      <c r="C216" s="14" t="s">
        <v>159</v>
      </c>
      <c r="D216" s="58">
        <v>45170</v>
      </c>
      <c r="E216" s="14" t="s">
        <v>157</v>
      </c>
      <c r="F216" s="58">
        <v>45901</v>
      </c>
      <c r="G216" s="58">
        <v>45931</v>
      </c>
      <c r="H216" s="58">
        <v>45904</v>
      </c>
      <c r="I216" s="14" t="s">
        <v>69</v>
      </c>
      <c r="J216" s="64">
        <v>1</v>
      </c>
      <c r="K216" s="59">
        <v>42.1</v>
      </c>
      <c r="L216" s="65">
        <v>0.18</v>
      </c>
      <c r="M216" s="59">
        <v>7.58</v>
      </c>
      <c r="N216" s="14" t="s">
        <v>72</v>
      </c>
      <c r="O216" s="57" t="s">
        <v>627</v>
      </c>
      <c r="Q216" s="57" t="s">
        <v>628</v>
      </c>
      <c r="R216" s="57">
        <v>17425766</v>
      </c>
      <c r="S216" s="57" t="str">
        <f t="shared" si="3"/>
        <v>Carol Foley</v>
      </c>
    </row>
    <row r="217" spans="1:23" ht="15" customHeight="1" x14ac:dyDescent="0.2">
      <c r="A217" s="14" t="s">
        <v>65</v>
      </c>
      <c r="B217" s="64">
        <v>442089124</v>
      </c>
      <c r="C217" s="14" t="s">
        <v>168</v>
      </c>
      <c r="D217" s="58">
        <v>45139</v>
      </c>
      <c r="E217" s="14" t="s">
        <v>155</v>
      </c>
      <c r="F217" s="58">
        <v>45901</v>
      </c>
      <c r="G217" s="58">
        <v>45931</v>
      </c>
      <c r="H217" s="58">
        <v>45904</v>
      </c>
      <c r="I217" s="14" t="s">
        <v>69</v>
      </c>
      <c r="J217" s="64">
        <v>1</v>
      </c>
      <c r="K217" s="59">
        <v>39.06</v>
      </c>
      <c r="L217" s="65">
        <v>7.0000000000000007E-2</v>
      </c>
      <c r="M217" s="59">
        <v>2.73</v>
      </c>
      <c r="N217" s="14" t="s">
        <v>72</v>
      </c>
      <c r="O217" s="57" t="s">
        <v>627</v>
      </c>
      <c r="Q217" s="57" t="s">
        <v>628</v>
      </c>
      <c r="R217" s="57">
        <v>17425766</v>
      </c>
      <c r="S217" s="57" t="str">
        <f t="shared" si="3"/>
        <v>Carol Foley</v>
      </c>
    </row>
    <row r="218" spans="1:23" ht="15" customHeight="1" x14ac:dyDescent="0.2">
      <c r="A218" s="14" t="s">
        <v>65</v>
      </c>
      <c r="B218" s="64">
        <v>442089129</v>
      </c>
      <c r="C218" s="14" t="s">
        <v>168</v>
      </c>
      <c r="D218" s="58">
        <v>45139</v>
      </c>
      <c r="E218" s="14" t="s">
        <v>157</v>
      </c>
      <c r="F218" s="58">
        <v>45901</v>
      </c>
      <c r="G218" s="58">
        <v>45931</v>
      </c>
      <c r="H218" s="58">
        <v>45904</v>
      </c>
      <c r="I218" s="14" t="s">
        <v>69</v>
      </c>
      <c r="J218" s="64">
        <v>1</v>
      </c>
      <c r="K218" s="59">
        <v>48.9</v>
      </c>
      <c r="L218" s="65">
        <v>0.18</v>
      </c>
      <c r="M218" s="59">
        <v>8.8000000000000007</v>
      </c>
      <c r="N218" s="14" t="s">
        <v>72</v>
      </c>
      <c r="O218" s="57" t="s">
        <v>627</v>
      </c>
      <c r="Q218" s="57" t="s">
        <v>628</v>
      </c>
      <c r="R218" s="57">
        <v>17425766</v>
      </c>
      <c r="S218" s="57" t="str">
        <f t="shared" si="3"/>
        <v>Carol Foley</v>
      </c>
    </row>
    <row r="219" spans="1:23" ht="15" customHeight="1" x14ac:dyDescent="0.2">
      <c r="A219" s="14" t="s">
        <v>65</v>
      </c>
      <c r="B219" s="64">
        <v>442095367</v>
      </c>
      <c r="C219" s="14" t="s">
        <v>239</v>
      </c>
      <c r="D219" s="58">
        <v>45139</v>
      </c>
      <c r="E219" s="14" t="s">
        <v>175</v>
      </c>
      <c r="F219" s="58">
        <v>45901</v>
      </c>
      <c r="G219" s="58">
        <v>45931</v>
      </c>
      <c r="H219" s="58">
        <v>45904</v>
      </c>
      <c r="I219" s="14" t="s">
        <v>69</v>
      </c>
      <c r="J219" s="64">
        <v>1</v>
      </c>
      <c r="K219" s="59">
        <v>39.409999999999997</v>
      </c>
      <c r="L219" s="65">
        <v>0.09</v>
      </c>
      <c r="M219" s="59">
        <v>3.55</v>
      </c>
      <c r="N219" s="14" t="s">
        <v>72</v>
      </c>
      <c r="O219" s="57" t="s">
        <v>627</v>
      </c>
      <c r="Q219" s="57" t="s">
        <v>628</v>
      </c>
      <c r="R219" s="57">
        <v>17425766</v>
      </c>
      <c r="S219" s="57" t="str">
        <f t="shared" si="3"/>
        <v>Carol Foley</v>
      </c>
    </row>
    <row r="220" spans="1:23" ht="15" customHeight="1" x14ac:dyDescent="0.2">
      <c r="A220" s="60" t="s">
        <v>65</v>
      </c>
      <c r="B220" s="66">
        <v>442098436</v>
      </c>
      <c r="C220" s="60" t="s">
        <v>578</v>
      </c>
      <c r="D220" s="61">
        <v>45227</v>
      </c>
      <c r="E220" s="60" t="s">
        <v>74</v>
      </c>
      <c r="F220" s="61">
        <v>45901</v>
      </c>
      <c r="G220" s="61">
        <v>45931</v>
      </c>
      <c r="H220" s="61">
        <v>45912</v>
      </c>
      <c r="I220" s="60" t="s">
        <v>69</v>
      </c>
      <c r="J220" s="66">
        <v>1</v>
      </c>
      <c r="K220" s="62">
        <v>13.5</v>
      </c>
      <c r="L220" s="67">
        <v>0.09</v>
      </c>
      <c r="M220" s="62">
        <v>1.22</v>
      </c>
      <c r="N220" s="60" t="s">
        <v>72</v>
      </c>
      <c r="O220" s="63" t="s">
        <v>627</v>
      </c>
      <c r="Q220" s="63" t="s">
        <v>628</v>
      </c>
      <c r="R220" s="63">
        <v>17425766</v>
      </c>
      <c r="S220" s="57" t="str">
        <f t="shared" si="3"/>
        <v>Carol Foley</v>
      </c>
      <c r="T220" s="63"/>
      <c r="U220" s="63"/>
      <c r="V220" s="63"/>
      <c r="W220" s="63"/>
    </row>
    <row r="221" spans="1:23" ht="15" customHeight="1" x14ac:dyDescent="0.2">
      <c r="A221" s="60" t="s">
        <v>65</v>
      </c>
      <c r="B221" s="66">
        <v>442098439</v>
      </c>
      <c r="C221" s="60" t="s">
        <v>578</v>
      </c>
      <c r="D221" s="61">
        <v>45227</v>
      </c>
      <c r="E221" s="60" t="s">
        <v>99</v>
      </c>
      <c r="F221" s="61">
        <v>45901</v>
      </c>
      <c r="G221" s="61">
        <v>45931</v>
      </c>
      <c r="H221" s="61">
        <v>45912</v>
      </c>
      <c r="I221" s="60" t="s">
        <v>69</v>
      </c>
      <c r="J221" s="66">
        <v>1</v>
      </c>
      <c r="K221" s="62">
        <v>33.92</v>
      </c>
      <c r="L221" s="67">
        <v>0.18</v>
      </c>
      <c r="M221" s="62">
        <v>6.11</v>
      </c>
      <c r="N221" s="60" t="s">
        <v>72</v>
      </c>
      <c r="O221" s="63" t="s">
        <v>627</v>
      </c>
      <c r="Q221" s="63" t="s">
        <v>628</v>
      </c>
      <c r="R221" s="63">
        <v>17425766</v>
      </c>
      <c r="S221" s="57" t="str">
        <f t="shared" si="3"/>
        <v>Carol Foley</v>
      </c>
      <c r="T221" s="63"/>
      <c r="U221" s="63"/>
      <c r="V221" s="63"/>
      <c r="W221" s="63"/>
    </row>
    <row r="222" spans="1:23" ht="15" customHeight="1" x14ac:dyDescent="0.2">
      <c r="A222" s="14" t="s">
        <v>65</v>
      </c>
      <c r="B222" s="64">
        <v>442126147</v>
      </c>
      <c r="C222" s="14" t="s">
        <v>329</v>
      </c>
      <c r="D222" s="58">
        <v>45170</v>
      </c>
      <c r="E222" s="14" t="s">
        <v>78</v>
      </c>
      <c r="F222" s="58">
        <v>45901</v>
      </c>
      <c r="G222" s="58">
        <v>45931</v>
      </c>
      <c r="H222" s="58">
        <v>45904</v>
      </c>
      <c r="I222" s="14" t="s">
        <v>69</v>
      </c>
      <c r="J222" s="64">
        <v>1</v>
      </c>
      <c r="K222" s="59">
        <v>11.6</v>
      </c>
      <c r="L222" s="65">
        <v>0.09</v>
      </c>
      <c r="M222" s="59">
        <v>1.04</v>
      </c>
      <c r="N222" s="14" t="s">
        <v>72</v>
      </c>
      <c r="O222" s="57" t="s">
        <v>627</v>
      </c>
      <c r="Q222" s="57" t="s">
        <v>628</v>
      </c>
      <c r="R222" s="57">
        <v>17425766</v>
      </c>
      <c r="S222" s="57" t="str">
        <f t="shared" si="3"/>
        <v>Carol Foley</v>
      </c>
    </row>
    <row r="223" spans="1:23" ht="15" customHeight="1" x14ac:dyDescent="0.2">
      <c r="A223" s="14" t="s">
        <v>65</v>
      </c>
      <c r="B223" s="64">
        <v>442126148</v>
      </c>
      <c r="C223" s="14" t="s">
        <v>329</v>
      </c>
      <c r="D223" s="58">
        <v>45170</v>
      </c>
      <c r="E223" s="14" t="s">
        <v>183</v>
      </c>
      <c r="F223" s="58">
        <v>45901</v>
      </c>
      <c r="G223" s="58">
        <v>45931</v>
      </c>
      <c r="H223" s="58">
        <v>45904</v>
      </c>
      <c r="I223" s="14" t="s">
        <v>69</v>
      </c>
      <c r="J223" s="64">
        <v>1</v>
      </c>
      <c r="K223" s="59">
        <v>49.32</v>
      </c>
      <c r="L223" s="65">
        <v>0.18</v>
      </c>
      <c r="M223" s="59">
        <v>8.8800000000000008</v>
      </c>
      <c r="N223" s="14" t="s">
        <v>72</v>
      </c>
      <c r="O223" s="57" t="s">
        <v>627</v>
      </c>
      <c r="Q223" s="57" t="s">
        <v>628</v>
      </c>
      <c r="R223" s="57">
        <v>17425766</v>
      </c>
      <c r="S223" s="57" t="str">
        <f t="shared" si="3"/>
        <v>Carol Foley</v>
      </c>
    </row>
    <row r="224" spans="1:23" ht="15" customHeight="1" x14ac:dyDescent="0.2">
      <c r="A224" s="14" t="s">
        <v>65</v>
      </c>
      <c r="B224" s="64">
        <v>442131578</v>
      </c>
      <c r="C224" s="14" t="s">
        <v>219</v>
      </c>
      <c r="D224" s="58">
        <v>45170</v>
      </c>
      <c r="E224" s="14" t="s">
        <v>78</v>
      </c>
      <c r="F224" s="58">
        <v>45901</v>
      </c>
      <c r="G224" s="58">
        <v>45931</v>
      </c>
      <c r="H224" s="58">
        <v>45904</v>
      </c>
      <c r="I224" s="14" t="s">
        <v>69</v>
      </c>
      <c r="J224" s="64">
        <v>1</v>
      </c>
      <c r="K224" s="59">
        <v>13.6</v>
      </c>
      <c r="L224" s="65">
        <v>0.09</v>
      </c>
      <c r="M224" s="59">
        <v>1.22</v>
      </c>
      <c r="N224" s="14" t="s">
        <v>72</v>
      </c>
      <c r="O224" s="57" t="s">
        <v>627</v>
      </c>
      <c r="Q224" s="57" t="s">
        <v>628</v>
      </c>
      <c r="R224" s="57">
        <v>17425766</v>
      </c>
      <c r="S224" s="57" t="str">
        <f t="shared" si="3"/>
        <v>Carol Foley</v>
      </c>
    </row>
    <row r="225" spans="1:19" ht="15" customHeight="1" x14ac:dyDescent="0.2">
      <c r="A225" s="14" t="s">
        <v>65</v>
      </c>
      <c r="B225" s="64">
        <v>442131583</v>
      </c>
      <c r="C225" s="14" t="s">
        <v>219</v>
      </c>
      <c r="D225" s="58">
        <v>45170</v>
      </c>
      <c r="E225" s="14" t="s">
        <v>221</v>
      </c>
      <c r="F225" s="58">
        <v>45901</v>
      </c>
      <c r="G225" s="58">
        <v>45931</v>
      </c>
      <c r="H225" s="58">
        <v>45904</v>
      </c>
      <c r="I225" s="14" t="s">
        <v>69</v>
      </c>
      <c r="J225" s="64">
        <v>1</v>
      </c>
      <c r="K225" s="59">
        <v>51.81</v>
      </c>
      <c r="L225" s="65">
        <v>0.18</v>
      </c>
      <c r="M225" s="59">
        <v>9.33</v>
      </c>
      <c r="N225" s="14" t="s">
        <v>72</v>
      </c>
      <c r="O225" s="57" t="s">
        <v>627</v>
      </c>
      <c r="Q225" s="57" t="s">
        <v>628</v>
      </c>
      <c r="R225" s="57">
        <v>17425766</v>
      </c>
      <c r="S225" s="57" t="str">
        <f t="shared" si="3"/>
        <v>Carol Foley</v>
      </c>
    </row>
    <row r="226" spans="1:19" ht="15" customHeight="1" x14ac:dyDescent="0.2">
      <c r="A226" s="14" t="s">
        <v>65</v>
      </c>
      <c r="B226" s="64">
        <v>442146746</v>
      </c>
      <c r="C226" s="14" t="s">
        <v>315</v>
      </c>
      <c r="D226" s="58">
        <v>45170</v>
      </c>
      <c r="E226" s="14" t="s">
        <v>160</v>
      </c>
      <c r="F226" s="58">
        <v>45901</v>
      </c>
      <c r="G226" s="58">
        <v>45931</v>
      </c>
      <c r="H226" s="58">
        <v>45904</v>
      </c>
      <c r="I226" s="14" t="s">
        <v>69</v>
      </c>
      <c r="J226" s="64">
        <v>1</v>
      </c>
      <c r="K226" s="59">
        <v>37.15</v>
      </c>
      <c r="L226" s="65">
        <v>4.4999999999999998E-2</v>
      </c>
      <c r="M226" s="59">
        <v>1.67</v>
      </c>
      <c r="N226" s="14" t="s">
        <v>72</v>
      </c>
      <c r="O226" s="57" t="s">
        <v>627</v>
      </c>
      <c r="Q226" s="57" t="s">
        <v>628</v>
      </c>
      <c r="R226" s="57">
        <v>17425766</v>
      </c>
      <c r="S226" s="57" t="str">
        <f t="shared" si="3"/>
        <v>Carol Foley</v>
      </c>
    </row>
    <row r="227" spans="1:19" ht="15" customHeight="1" x14ac:dyDescent="0.2">
      <c r="A227" s="14" t="s">
        <v>65</v>
      </c>
      <c r="B227" s="64">
        <v>442146755</v>
      </c>
      <c r="C227" s="14" t="s">
        <v>315</v>
      </c>
      <c r="D227" s="58">
        <v>45170</v>
      </c>
      <c r="E227" s="14" t="s">
        <v>211</v>
      </c>
      <c r="F227" s="58">
        <v>45901</v>
      </c>
      <c r="G227" s="58">
        <v>45931</v>
      </c>
      <c r="H227" s="58">
        <v>45904</v>
      </c>
      <c r="I227" s="14" t="s">
        <v>69</v>
      </c>
      <c r="J227" s="64">
        <v>1</v>
      </c>
      <c r="K227" s="59">
        <v>72.73</v>
      </c>
      <c r="L227" s="65">
        <v>0.18</v>
      </c>
      <c r="M227" s="59">
        <v>13.09</v>
      </c>
      <c r="N227" s="14" t="s">
        <v>72</v>
      </c>
      <c r="O227" s="57" t="s">
        <v>627</v>
      </c>
      <c r="Q227" s="57" t="s">
        <v>628</v>
      </c>
      <c r="R227" s="57">
        <v>17425766</v>
      </c>
      <c r="S227" s="57" t="str">
        <f t="shared" si="3"/>
        <v>Carol Foley</v>
      </c>
    </row>
    <row r="228" spans="1:19" ht="15" customHeight="1" x14ac:dyDescent="0.2">
      <c r="A228" s="14" t="s">
        <v>65</v>
      </c>
      <c r="B228" s="64">
        <v>442172316</v>
      </c>
      <c r="C228" s="14" t="s">
        <v>216</v>
      </c>
      <c r="D228" s="58">
        <v>45200</v>
      </c>
      <c r="E228" s="14" t="s">
        <v>175</v>
      </c>
      <c r="F228" s="58">
        <v>45901</v>
      </c>
      <c r="G228" s="58">
        <v>45931</v>
      </c>
      <c r="H228" s="58">
        <v>45904</v>
      </c>
      <c r="I228" s="14" t="s">
        <v>69</v>
      </c>
      <c r="J228" s="64">
        <v>1</v>
      </c>
      <c r="K228" s="59">
        <v>37.96</v>
      </c>
      <c r="L228" s="65">
        <v>4.4999999999999998E-2</v>
      </c>
      <c r="M228" s="59">
        <v>1.71</v>
      </c>
      <c r="N228" s="14" t="s">
        <v>72</v>
      </c>
      <c r="O228" s="57" t="s">
        <v>627</v>
      </c>
      <c r="Q228" s="57" t="s">
        <v>628</v>
      </c>
      <c r="R228" s="57">
        <v>17425766</v>
      </c>
      <c r="S228" s="57" t="str">
        <f t="shared" si="3"/>
        <v>Carol Foley</v>
      </c>
    </row>
    <row r="229" spans="1:19" ht="15" customHeight="1" x14ac:dyDescent="0.2">
      <c r="A229" s="14" t="s">
        <v>65</v>
      </c>
      <c r="B229" s="64">
        <v>442172320</v>
      </c>
      <c r="C229" s="14" t="s">
        <v>216</v>
      </c>
      <c r="D229" s="58">
        <v>45200</v>
      </c>
      <c r="E229" s="14" t="s">
        <v>211</v>
      </c>
      <c r="F229" s="58">
        <v>45901</v>
      </c>
      <c r="G229" s="58">
        <v>45931</v>
      </c>
      <c r="H229" s="58">
        <v>45904</v>
      </c>
      <c r="I229" s="14" t="s">
        <v>69</v>
      </c>
      <c r="J229" s="64">
        <v>1</v>
      </c>
      <c r="K229" s="59">
        <v>165.41</v>
      </c>
      <c r="L229" s="65">
        <v>0.09</v>
      </c>
      <c r="M229" s="59">
        <v>14.89</v>
      </c>
      <c r="N229" s="14" t="s">
        <v>72</v>
      </c>
      <c r="O229" s="57" t="s">
        <v>627</v>
      </c>
      <c r="Q229" s="57" t="s">
        <v>628</v>
      </c>
      <c r="R229" s="57">
        <v>17425766</v>
      </c>
      <c r="S229" s="57" t="str">
        <f t="shared" si="3"/>
        <v>Carol Foley</v>
      </c>
    </row>
    <row r="230" spans="1:19" ht="15" customHeight="1" x14ac:dyDescent="0.2">
      <c r="A230" s="14" t="s">
        <v>65</v>
      </c>
      <c r="B230" s="64">
        <v>442187057</v>
      </c>
      <c r="C230" s="14" t="s">
        <v>174</v>
      </c>
      <c r="D230" s="58">
        <v>45200</v>
      </c>
      <c r="E230" s="14" t="s">
        <v>175</v>
      </c>
      <c r="F230" s="58">
        <v>45901</v>
      </c>
      <c r="G230" s="58">
        <v>45931</v>
      </c>
      <c r="H230" s="58">
        <v>45904</v>
      </c>
      <c r="I230" s="14" t="s">
        <v>69</v>
      </c>
      <c r="J230" s="64">
        <v>1</v>
      </c>
      <c r="K230" s="59">
        <v>37.96</v>
      </c>
      <c r="L230" s="65">
        <v>4.4999999999999998E-2</v>
      </c>
      <c r="M230" s="59">
        <v>1.71</v>
      </c>
      <c r="N230" s="14" t="s">
        <v>72</v>
      </c>
      <c r="O230" s="57" t="s">
        <v>627</v>
      </c>
      <c r="Q230" s="57" t="s">
        <v>628</v>
      </c>
      <c r="R230" s="57">
        <v>17425766</v>
      </c>
      <c r="S230" s="57" t="str">
        <f t="shared" si="3"/>
        <v>Carol Foley</v>
      </c>
    </row>
    <row r="231" spans="1:19" ht="15" customHeight="1" x14ac:dyDescent="0.2">
      <c r="A231" s="14" t="s">
        <v>65</v>
      </c>
      <c r="B231" s="64">
        <v>442187065</v>
      </c>
      <c r="C231" s="14" t="s">
        <v>174</v>
      </c>
      <c r="D231" s="58">
        <v>45200</v>
      </c>
      <c r="E231" s="14" t="s">
        <v>157</v>
      </c>
      <c r="F231" s="58">
        <v>45901</v>
      </c>
      <c r="G231" s="58">
        <v>45931</v>
      </c>
      <c r="H231" s="58">
        <v>45904</v>
      </c>
      <c r="I231" s="14" t="s">
        <v>69</v>
      </c>
      <c r="J231" s="64">
        <v>1</v>
      </c>
      <c r="K231" s="59">
        <v>31.04</v>
      </c>
      <c r="L231" s="65">
        <v>0.09</v>
      </c>
      <c r="M231" s="59">
        <v>2.79</v>
      </c>
      <c r="N231" s="14" t="s">
        <v>72</v>
      </c>
      <c r="O231" s="57" t="s">
        <v>627</v>
      </c>
      <c r="Q231" s="57" t="s">
        <v>628</v>
      </c>
      <c r="R231" s="57">
        <v>17425766</v>
      </c>
      <c r="S231" s="57" t="str">
        <f t="shared" si="3"/>
        <v>Carol Foley</v>
      </c>
    </row>
    <row r="232" spans="1:19" ht="15" customHeight="1" x14ac:dyDescent="0.2">
      <c r="A232" s="14" t="s">
        <v>65</v>
      </c>
      <c r="B232" s="64">
        <v>442191721</v>
      </c>
      <c r="C232" s="14" t="s">
        <v>263</v>
      </c>
      <c r="D232" s="58">
        <v>45200</v>
      </c>
      <c r="E232" s="14" t="s">
        <v>175</v>
      </c>
      <c r="F232" s="58">
        <v>45901</v>
      </c>
      <c r="G232" s="58">
        <v>45931</v>
      </c>
      <c r="H232" s="58">
        <v>45904</v>
      </c>
      <c r="I232" s="14" t="s">
        <v>69</v>
      </c>
      <c r="J232" s="64">
        <v>1</v>
      </c>
      <c r="K232" s="59">
        <v>30.09</v>
      </c>
      <c r="L232" s="65">
        <v>4.4999999999999998E-2</v>
      </c>
      <c r="M232" s="59">
        <v>1.35</v>
      </c>
      <c r="N232" s="14" t="s">
        <v>72</v>
      </c>
      <c r="O232" s="57" t="s">
        <v>627</v>
      </c>
      <c r="Q232" s="57" t="s">
        <v>628</v>
      </c>
      <c r="R232" s="57">
        <v>17425766</v>
      </c>
      <c r="S232" s="57" t="str">
        <f t="shared" si="3"/>
        <v>Carol Foley</v>
      </c>
    </row>
    <row r="233" spans="1:19" ht="15" customHeight="1" x14ac:dyDescent="0.2">
      <c r="A233" s="14" t="s">
        <v>65</v>
      </c>
      <c r="B233" s="64">
        <v>442191726</v>
      </c>
      <c r="C233" s="14" t="s">
        <v>263</v>
      </c>
      <c r="D233" s="58">
        <v>45200</v>
      </c>
      <c r="E233" s="14" t="s">
        <v>191</v>
      </c>
      <c r="F233" s="58">
        <v>45901</v>
      </c>
      <c r="G233" s="58">
        <v>45931</v>
      </c>
      <c r="H233" s="58">
        <v>45904</v>
      </c>
      <c r="I233" s="14" t="s">
        <v>69</v>
      </c>
      <c r="J233" s="64">
        <v>1</v>
      </c>
      <c r="K233" s="59">
        <v>40.86</v>
      </c>
      <c r="L233" s="65">
        <v>0.18</v>
      </c>
      <c r="M233" s="59">
        <v>7.35</v>
      </c>
      <c r="N233" s="14" t="s">
        <v>72</v>
      </c>
      <c r="O233" s="57" t="s">
        <v>627</v>
      </c>
      <c r="Q233" s="57" t="s">
        <v>628</v>
      </c>
      <c r="R233" s="57">
        <v>17425766</v>
      </c>
      <c r="S233" s="57" t="str">
        <f t="shared" si="3"/>
        <v>Carol Foley</v>
      </c>
    </row>
    <row r="234" spans="1:19" ht="15" customHeight="1" x14ac:dyDescent="0.2">
      <c r="A234" s="14" t="s">
        <v>65</v>
      </c>
      <c r="B234" s="64">
        <v>442192244</v>
      </c>
      <c r="C234" s="14" t="s">
        <v>178</v>
      </c>
      <c r="D234" s="58">
        <v>45200</v>
      </c>
      <c r="E234" s="14" t="s">
        <v>175</v>
      </c>
      <c r="F234" s="58">
        <v>45901</v>
      </c>
      <c r="G234" s="58">
        <v>45931</v>
      </c>
      <c r="H234" s="58">
        <v>45904</v>
      </c>
      <c r="I234" s="14" t="s">
        <v>69</v>
      </c>
      <c r="J234" s="64">
        <v>1</v>
      </c>
      <c r="K234" s="59">
        <v>30.03</v>
      </c>
      <c r="L234" s="65">
        <v>4.4999999999999998E-2</v>
      </c>
      <c r="M234" s="59">
        <v>1.35</v>
      </c>
      <c r="N234" s="14" t="s">
        <v>72</v>
      </c>
      <c r="O234" s="57" t="s">
        <v>627</v>
      </c>
      <c r="Q234" s="57" t="s">
        <v>628</v>
      </c>
      <c r="R234" s="57">
        <v>17425766</v>
      </c>
      <c r="S234" s="57" t="str">
        <f t="shared" si="3"/>
        <v>Carol Foley</v>
      </c>
    </row>
    <row r="235" spans="1:19" ht="15" customHeight="1" x14ac:dyDescent="0.2">
      <c r="A235" s="14" t="s">
        <v>65</v>
      </c>
      <c r="B235" s="64">
        <v>442192248</v>
      </c>
      <c r="C235" s="14" t="s">
        <v>178</v>
      </c>
      <c r="D235" s="58">
        <v>45200</v>
      </c>
      <c r="E235" s="14" t="s">
        <v>157</v>
      </c>
      <c r="F235" s="58">
        <v>45901</v>
      </c>
      <c r="G235" s="58">
        <v>45931</v>
      </c>
      <c r="H235" s="58">
        <v>45904</v>
      </c>
      <c r="I235" s="14" t="s">
        <v>69</v>
      </c>
      <c r="J235" s="64">
        <v>1</v>
      </c>
      <c r="K235" s="59">
        <v>45.4</v>
      </c>
      <c r="L235" s="65">
        <v>0.18</v>
      </c>
      <c r="M235" s="59">
        <v>8.17</v>
      </c>
      <c r="N235" s="14" t="s">
        <v>72</v>
      </c>
      <c r="O235" s="57" t="s">
        <v>627</v>
      </c>
      <c r="Q235" s="57" t="s">
        <v>628</v>
      </c>
      <c r="R235" s="57">
        <v>17425766</v>
      </c>
      <c r="S235" s="57" t="str">
        <f t="shared" si="3"/>
        <v>Carol Foley</v>
      </c>
    </row>
    <row r="236" spans="1:19" ht="15" customHeight="1" x14ac:dyDescent="0.2">
      <c r="A236" s="14" t="s">
        <v>65</v>
      </c>
      <c r="B236" s="64">
        <v>442214836</v>
      </c>
      <c r="C236" s="14" t="s">
        <v>164</v>
      </c>
      <c r="D236" s="58">
        <v>45292</v>
      </c>
      <c r="E236" s="14" t="s">
        <v>78</v>
      </c>
      <c r="F236" s="58">
        <v>45901</v>
      </c>
      <c r="G236" s="58">
        <v>45931</v>
      </c>
      <c r="H236" s="58">
        <v>45904</v>
      </c>
      <c r="I236" s="14" t="s">
        <v>69</v>
      </c>
      <c r="J236" s="64">
        <v>1</v>
      </c>
      <c r="K236" s="59">
        <v>15</v>
      </c>
      <c r="L236" s="65">
        <v>0.09</v>
      </c>
      <c r="M236" s="59">
        <v>1.35</v>
      </c>
      <c r="N236" s="14" t="s">
        <v>72</v>
      </c>
      <c r="O236" s="57" t="s">
        <v>627</v>
      </c>
      <c r="Q236" s="57" t="s">
        <v>628</v>
      </c>
      <c r="R236" s="57">
        <v>17425766</v>
      </c>
      <c r="S236" s="57" t="str">
        <f t="shared" si="3"/>
        <v>Carol Foley</v>
      </c>
    </row>
    <row r="237" spans="1:19" ht="15" customHeight="1" x14ac:dyDescent="0.2">
      <c r="A237" s="14" t="s">
        <v>65</v>
      </c>
      <c r="B237" s="64">
        <v>442214841</v>
      </c>
      <c r="C237" s="14" t="s">
        <v>164</v>
      </c>
      <c r="D237" s="58">
        <v>45292</v>
      </c>
      <c r="E237" s="14" t="s">
        <v>166</v>
      </c>
      <c r="F237" s="58">
        <v>45901</v>
      </c>
      <c r="G237" s="58">
        <v>45931</v>
      </c>
      <c r="H237" s="58">
        <v>45904</v>
      </c>
      <c r="I237" s="14" t="s">
        <v>69</v>
      </c>
      <c r="J237" s="64">
        <v>1</v>
      </c>
      <c r="K237" s="59">
        <v>52.29</v>
      </c>
      <c r="L237" s="65">
        <v>0.18</v>
      </c>
      <c r="M237" s="59">
        <v>9.41</v>
      </c>
      <c r="N237" s="14" t="s">
        <v>72</v>
      </c>
      <c r="O237" s="57" t="s">
        <v>627</v>
      </c>
      <c r="Q237" s="57" t="s">
        <v>628</v>
      </c>
      <c r="R237" s="57">
        <v>17425766</v>
      </c>
      <c r="S237" s="57" t="str">
        <f t="shared" si="3"/>
        <v>Carol Foley</v>
      </c>
    </row>
    <row r="238" spans="1:19" ht="15" customHeight="1" x14ac:dyDescent="0.2">
      <c r="A238" s="14" t="s">
        <v>65</v>
      </c>
      <c r="B238" s="64">
        <v>442233186</v>
      </c>
      <c r="C238" s="14" t="s">
        <v>181</v>
      </c>
      <c r="D238" s="58">
        <v>45292</v>
      </c>
      <c r="E238" s="14" t="s">
        <v>78</v>
      </c>
      <c r="F238" s="58">
        <v>45901</v>
      </c>
      <c r="G238" s="58">
        <v>45931</v>
      </c>
      <c r="H238" s="58">
        <v>45904</v>
      </c>
      <c r="I238" s="14" t="s">
        <v>69</v>
      </c>
      <c r="J238" s="64">
        <v>1</v>
      </c>
      <c r="K238" s="59">
        <v>10.8</v>
      </c>
      <c r="L238" s="65">
        <v>0.09</v>
      </c>
      <c r="M238" s="59">
        <v>0.97</v>
      </c>
      <c r="N238" s="14" t="s">
        <v>72</v>
      </c>
      <c r="O238" s="57" t="s">
        <v>627</v>
      </c>
      <c r="Q238" s="57" t="s">
        <v>628</v>
      </c>
      <c r="R238" s="57">
        <v>17425766</v>
      </c>
      <c r="S238" s="57" t="str">
        <f t="shared" si="3"/>
        <v>Carol Foley</v>
      </c>
    </row>
    <row r="239" spans="1:19" ht="15" customHeight="1" x14ac:dyDescent="0.2">
      <c r="A239" s="14" t="s">
        <v>65</v>
      </c>
      <c r="B239" s="64">
        <v>442233192</v>
      </c>
      <c r="C239" s="14" t="s">
        <v>181</v>
      </c>
      <c r="D239" s="58">
        <v>45292</v>
      </c>
      <c r="E239" s="14" t="s">
        <v>183</v>
      </c>
      <c r="F239" s="58">
        <v>45901</v>
      </c>
      <c r="G239" s="58">
        <v>45931</v>
      </c>
      <c r="H239" s="58">
        <v>45904</v>
      </c>
      <c r="I239" s="14" t="s">
        <v>69</v>
      </c>
      <c r="J239" s="64">
        <v>1</v>
      </c>
      <c r="K239" s="59">
        <v>41.69</v>
      </c>
      <c r="L239" s="65">
        <v>0.18</v>
      </c>
      <c r="M239" s="59">
        <v>7.5</v>
      </c>
      <c r="N239" s="14" t="s">
        <v>72</v>
      </c>
      <c r="O239" s="57" t="s">
        <v>627</v>
      </c>
      <c r="Q239" s="57" t="s">
        <v>628</v>
      </c>
      <c r="R239" s="57">
        <v>17425766</v>
      </c>
      <c r="S239" s="57" t="str">
        <f t="shared" si="3"/>
        <v>Carol Foley</v>
      </c>
    </row>
    <row r="240" spans="1:19" ht="15" customHeight="1" x14ac:dyDescent="0.2">
      <c r="A240" s="14" t="s">
        <v>65</v>
      </c>
      <c r="B240" s="64">
        <v>442244798</v>
      </c>
      <c r="C240" s="14" t="s">
        <v>86</v>
      </c>
      <c r="D240" s="58">
        <v>45292</v>
      </c>
      <c r="E240" s="14" t="s">
        <v>74</v>
      </c>
      <c r="F240" s="58">
        <v>45901</v>
      </c>
      <c r="G240" s="58">
        <v>45931</v>
      </c>
      <c r="H240" s="58">
        <v>45904</v>
      </c>
      <c r="I240" s="14" t="s">
        <v>69</v>
      </c>
      <c r="J240" s="64">
        <v>1</v>
      </c>
      <c r="K240" s="59">
        <v>20.399999999999999</v>
      </c>
      <c r="L240" s="65">
        <v>0.09</v>
      </c>
      <c r="M240" s="59">
        <v>1.84</v>
      </c>
      <c r="N240" s="14" t="s">
        <v>72</v>
      </c>
      <c r="O240" s="57" t="s">
        <v>623</v>
      </c>
      <c r="P240" s="57" t="s">
        <v>631</v>
      </c>
      <c r="Q240" s="57" t="s">
        <v>632</v>
      </c>
      <c r="R240" s="57">
        <v>19278370</v>
      </c>
      <c r="S240" s="57" t="str">
        <f t="shared" si="3"/>
        <v>Anne Kozacheck</v>
      </c>
    </row>
    <row r="241" spans="1:23" ht="15" customHeight="1" x14ac:dyDescent="0.2">
      <c r="A241" s="14" t="s">
        <v>65</v>
      </c>
      <c r="B241" s="64">
        <v>442247856</v>
      </c>
      <c r="C241" s="14" t="s">
        <v>246</v>
      </c>
      <c r="D241" s="58">
        <v>45292</v>
      </c>
      <c r="E241" s="14" t="s">
        <v>78</v>
      </c>
      <c r="F241" s="58">
        <v>45901</v>
      </c>
      <c r="G241" s="58">
        <v>45931</v>
      </c>
      <c r="H241" s="58">
        <v>45904</v>
      </c>
      <c r="I241" s="14" t="s">
        <v>69</v>
      </c>
      <c r="J241" s="64">
        <v>1</v>
      </c>
      <c r="K241" s="59">
        <v>10.8</v>
      </c>
      <c r="L241" s="65">
        <v>0.09</v>
      </c>
      <c r="M241" s="59">
        <v>0.97</v>
      </c>
      <c r="N241" s="14" t="s">
        <v>72</v>
      </c>
      <c r="O241" s="57" t="s">
        <v>627</v>
      </c>
      <c r="Q241" s="57" t="s">
        <v>628</v>
      </c>
      <c r="R241" s="57">
        <v>17425766</v>
      </c>
      <c r="S241" s="57" t="str">
        <f t="shared" si="3"/>
        <v>Carol Foley</v>
      </c>
    </row>
    <row r="242" spans="1:23" ht="15" customHeight="1" x14ac:dyDescent="0.2">
      <c r="A242" s="14" t="s">
        <v>65</v>
      </c>
      <c r="B242" s="64">
        <v>442247857</v>
      </c>
      <c r="C242" s="14" t="s">
        <v>246</v>
      </c>
      <c r="D242" s="58">
        <v>45292</v>
      </c>
      <c r="E242" s="14" t="s">
        <v>183</v>
      </c>
      <c r="F242" s="58">
        <v>45901</v>
      </c>
      <c r="G242" s="58">
        <v>45931</v>
      </c>
      <c r="H242" s="58">
        <v>45904</v>
      </c>
      <c r="I242" s="14" t="s">
        <v>69</v>
      </c>
      <c r="J242" s="64">
        <v>1</v>
      </c>
      <c r="K242" s="59">
        <v>52.07</v>
      </c>
      <c r="L242" s="65">
        <v>0.18</v>
      </c>
      <c r="M242" s="59">
        <v>9.3699999999999992</v>
      </c>
      <c r="N242" s="14" t="s">
        <v>72</v>
      </c>
      <c r="O242" s="57" t="s">
        <v>627</v>
      </c>
      <c r="Q242" s="57" t="s">
        <v>628</v>
      </c>
      <c r="R242" s="57">
        <v>17425766</v>
      </c>
      <c r="S242" s="57" t="str">
        <f t="shared" si="3"/>
        <v>Carol Foley</v>
      </c>
    </row>
    <row r="243" spans="1:23" ht="15" customHeight="1" x14ac:dyDescent="0.2">
      <c r="A243" s="14" t="s">
        <v>65</v>
      </c>
      <c r="B243" s="64">
        <v>442254040</v>
      </c>
      <c r="C243" s="14" t="s">
        <v>291</v>
      </c>
      <c r="D243" s="58">
        <v>45261</v>
      </c>
      <c r="E243" s="14" t="s">
        <v>175</v>
      </c>
      <c r="F243" s="58">
        <v>45901</v>
      </c>
      <c r="G243" s="58">
        <v>45931</v>
      </c>
      <c r="H243" s="58">
        <v>45904</v>
      </c>
      <c r="I243" s="14" t="s">
        <v>69</v>
      </c>
      <c r="J243" s="64">
        <v>1</v>
      </c>
      <c r="K243" s="59">
        <v>30.03</v>
      </c>
      <c r="L243" s="65">
        <v>4.4999999999999998E-2</v>
      </c>
      <c r="M243" s="59">
        <v>1.35</v>
      </c>
      <c r="N243" s="14" t="s">
        <v>72</v>
      </c>
      <c r="O243" s="57" t="s">
        <v>627</v>
      </c>
      <c r="Q243" s="57" t="s">
        <v>628</v>
      </c>
      <c r="R243" s="57">
        <v>17425766</v>
      </c>
      <c r="S243" s="57" t="str">
        <f t="shared" si="3"/>
        <v>Carol Foley</v>
      </c>
    </row>
    <row r="244" spans="1:23" ht="15" customHeight="1" x14ac:dyDescent="0.2">
      <c r="A244" s="14" t="s">
        <v>65</v>
      </c>
      <c r="B244" s="64">
        <v>442254042</v>
      </c>
      <c r="C244" s="14" t="s">
        <v>291</v>
      </c>
      <c r="D244" s="58">
        <v>45261</v>
      </c>
      <c r="E244" s="14" t="s">
        <v>157</v>
      </c>
      <c r="F244" s="58">
        <v>45901</v>
      </c>
      <c r="G244" s="58">
        <v>45931</v>
      </c>
      <c r="H244" s="58">
        <v>45904</v>
      </c>
      <c r="I244" s="14" t="s">
        <v>69</v>
      </c>
      <c r="J244" s="64">
        <v>1</v>
      </c>
      <c r="K244" s="59">
        <v>80.819999999999993</v>
      </c>
      <c r="L244" s="65">
        <v>0.18</v>
      </c>
      <c r="M244" s="59">
        <v>14.55</v>
      </c>
      <c r="N244" s="14" t="s">
        <v>72</v>
      </c>
      <c r="O244" s="57" t="s">
        <v>627</v>
      </c>
      <c r="Q244" s="57" t="s">
        <v>628</v>
      </c>
      <c r="R244" s="57">
        <v>17425766</v>
      </c>
      <c r="S244" s="57" t="str">
        <f t="shared" si="3"/>
        <v>Carol Foley</v>
      </c>
    </row>
    <row r="245" spans="1:23" ht="15" customHeight="1" x14ac:dyDescent="0.2">
      <c r="A245" s="60" t="s">
        <v>65</v>
      </c>
      <c r="B245" s="66">
        <v>442254656</v>
      </c>
      <c r="C245" s="60" t="s">
        <v>563</v>
      </c>
      <c r="D245" s="61">
        <v>45235</v>
      </c>
      <c r="E245" s="60" t="s">
        <v>236</v>
      </c>
      <c r="F245" s="61">
        <v>45901</v>
      </c>
      <c r="G245" s="61">
        <v>45931</v>
      </c>
      <c r="H245" s="61">
        <v>45909</v>
      </c>
      <c r="I245" s="60" t="s">
        <v>69</v>
      </c>
      <c r="J245" s="66">
        <v>1</v>
      </c>
      <c r="K245" s="62">
        <v>18.48</v>
      </c>
      <c r="L245" s="67">
        <v>4.4999999999999998E-2</v>
      </c>
      <c r="M245" s="62">
        <v>0.83</v>
      </c>
      <c r="N245" s="60" t="s">
        <v>72</v>
      </c>
      <c r="O245" s="63" t="s">
        <v>627</v>
      </c>
      <c r="Q245" s="63" t="s">
        <v>628</v>
      </c>
      <c r="R245" s="63">
        <v>17425766</v>
      </c>
      <c r="S245" s="57" t="str">
        <f t="shared" si="3"/>
        <v>Carol Foley</v>
      </c>
      <c r="T245" s="63"/>
      <c r="U245" s="63"/>
      <c r="V245" s="63"/>
      <c r="W245" s="63"/>
    </row>
    <row r="246" spans="1:23" ht="15" customHeight="1" x14ac:dyDescent="0.2">
      <c r="A246" s="14" t="s">
        <v>65</v>
      </c>
      <c r="B246" s="64">
        <v>442255341</v>
      </c>
      <c r="C246" s="14" t="s">
        <v>235</v>
      </c>
      <c r="D246" s="58">
        <v>45292</v>
      </c>
      <c r="E246" s="14" t="s">
        <v>236</v>
      </c>
      <c r="F246" s="58">
        <v>45901</v>
      </c>
      <c r="G246" s="58">
        <v>45901</v>
      </c>
      <c r="H246" s="58">
        <v>45906</v>
      </c>
      <c r="I246" s="14" t="s">
        <v>69</v>
      </c>
      <c r="J246" s="64">
        <v>1</v>
      </c>
      <c r="K246" s="59">
        <v>-68.45</v>
      </c>
      <c r="L246" s="65">
        <v>4.4999999999999998E-2</v>
      </c>
      <c r="M246" s="59">
        <v>-3.08</v>
      </c>
      <c r="N246" s="14" t="s">
        <v>72</v>
      </c>
      <c r="O246" s="57" t="s">
        <v>627</v>
      </c>
      <c r="Q246" s="57" t="s">
        <v>628</v>
      </c>
      <c r="R246" s="57">
        <v>17425766</v>
      </c>
      <c r="S246" s="57" t="str">
        <f t="shared" si="3"/>
        <v>Carol Foley</v>
      </c>
    </row>
    <row r="247" spans="1:23" ht="15" customHeight="1" x14ac:dyDescent="0.2">
      <c r="A247" s="14" t="s">
        <v>65</v>
      </c>
      <c r="B247" s="64">
        <v>442255341</v>
      </c>
      <c r="C247" s="14" t="s">
        <v>235</v>
      </c>
      <c r="D247" s="58">
        <v>45292</v>
      </c>
      <c r="E247" s="14" t="s">
        <v>236</v>
      </c>
      <c r="F247" s="58">
        <v>45901</v>
      </c>
      <c r="G247" s="58">
        <v>45931</v>
      </c>
      <c r="H247" s="58">
        <v>45904</v>
      </c>
      <c r="I247" s="14" t="s">
        <v>69</v>
      </c>
      <c r="J247" s="64">
        <v>1</v>
      </c>
      <c r="K247" s="59">
        <v>68.45</v>
      </c>
      <c r="L247" s="65">
        <v>4.4999999999999998E-2</v>
      </c>
      <c r="M247" s="59">
        <v>3.08</v>
      </c>
      <c r="N247" s="14" t="s">
        <v>72</v>
      </c>
      <c r="O247" s="57" t="s">
        <v>627</v>
      </c>
      <c r="Q247" s="57" t="s">
        <v>628</v>
      </c>
      <c r="R247" s="57">
        <v>17425766</v>
      </c>
      <c r="S247" s="57" t="str">
        <f t="shared" si="3"/>
        <v>Carol Foley</v>
      </c>
    </row>
    <row r="248" spans="1:23" ht="15" customHeight="1" x14ac:dyDescent="0.2">
      <c r="A248" s="60" t="s">
        <v>65</v>
      </c>
      <c r="B248" s="66">
        <v>442255341</v>
      </c>
      <c r="C248" s="60" t="s">
        <v>235</v>
      </c>
      <c r="D248" s="61">
        <v>45292</v>
      </c>
      <c r="E248" s="60" t="s">
        <v>236</v>
      </c>
      <c r="F248" s="61">
        <v>45901</v>
      </c>
      <c r="G248" s="61">
        <v>45931</v>
      </c>
      <c r="H248" s="61">
        <v>45913</v>
      </c>
      <c r="I248" s="60" t="s">
        <v>69</v>
      </c>
      <c r="J248" s="66">
        <v>1</v>
      </c>
      <c r="K248" s="62">
        <v>68.45</v>
      </c>
      <c r="L248" s="67">
        <v>4.4999999999999998E-2</v>
      </c>
      <c r="M248" s="62">
        <v>3.08</v>
      </c>
      <c r="N248" s="60" t="s">
        <v>72</v>
      </c>
      <c r="O248" s="63" t="s">
        <v>627</v>
      </c>
      <c r="Q248" s="63" t="s">
        <v>628</v>
      </c>
      <c r="R248" s="63">
        <v>17425766</v>
      </c>
      <c r="S248" s="57" t="str">
        <f t="shared" si="3"/>
        <v>Carol Foley</v>
      </c>
      <c r="T248" s="63"/>
      <c r="U248" s="63"/>
      <c r="V248" s="63"/>
      <c r="W248" s="63"/>
    </row>
    <row r="249" spans="1:23" ht="15" customHeight="1" x14ac:dyDescent="0.2">
      <c r="A249" s="14" t="s">
        <v>65</v>
      </c>
      <c r="B249" s="64">
        <v>442255344</v>
      </c>
      <c r="C249" s="14" t="s">
        <v>235</v>
      </c>
      <c r="D249" s="58">
        <v>45292</v>
      </c>
      <c r="E249" s="14" t="s">
        <v>157</v>
      </c>
      <c r="F249" s="58">
        <v>45901</v>
      </c>
      <c r="G249" s="58">
        <v>45931</v>
      </c>
      <c r="H249" s="58">
        <v>45904</v>
      </c>
      <c r="I249" s="14" t="s">
        <v>69</v>
      </c>
      <c r="J249" s="64">
        <v>1</v>
      </c>
      <c r="K249" s="59">
        <v>101.85</v>
      </c>
      <c r="L249" s="65">
        <v>0.09</v>
      </c>
      <c r="M249" s="59">
        <v>9.17</v>
      </c>
      <c r="N249" s="14" t="s">
        <v>72</v>
      </c>
      <c r="O249" s="57" t="s">
        <v>627</v>
      </c>
      <c r="Q249" s="57" t="s">
        <v>628</v>
      </c>
      <c r="R249" s="57">
        <v>17425766</v>
      </c>
      <c r="S249" s="57" t="str">
        <f t="shared" si="3"/>
        <v>Carol Foley</v>
      </c>
    </row>
    <row r="250" spans="1:23" ht="15" customHeight="1" x14ac:dyDescent="0.2">
      <c r="A250" s="14" t="s">
        <v>65</v>
      </c>
      <c r="B250" s="64">
        <v>442255344</v>
      </c>
      <c r="C250" s="14" t="s">
        <v>235</v>
      </c>
      <c r="D250" s="58">
        <v>45292</v>
      </c>
      <c r="E250" s="14" t="s">
        <v>157</v>
      </c>
      <c r="F250" s="58">
        <v>45901</v>
      </c>
      <c r="G250" s="58">
        <v>45901</v>
      </c>
      <c r="H250" s="58">
        <v>45906</v>
      </c>
      <c r="I250" s="14" t="s">
        <v>69</v>
      </c>
      <c r="J250" s="64">
        <v>1</v>
      </c>
      <c r="K250" s="59">
        <v>-101.85</v>
      </c>
      <c r="L250" s="65">
        <v>0.09</v>
      </c>
      <c r="M250" s="59">
        <v>-9.17</v>
      </c>
      <c r="N250" s="14" t="s">
        <v>72</v>
      </c>
      <c r="O250" s="57" t="s">
        <v>627</v>
      </c>
      <c r="Q250" s="57" t="s">
        <v>628</v>
      </c>
      <c r="R250" s="57">
        <v>17425766</v>
      </c>
      <c r="S250" s="57" t="str">
        <f t="shared" si="3"/>
        <v>Carol Foley</v>
      </c>
    </row>
    <row r="251" spans="1:23" ht="15" customHeight="1" x14ac:dyDescent="0.2">
      <c r="A251" s="60" t="s">
        <v>65</v>
      </c>
      <c r="B251" s="66">
        <v>442255344</v>
      </c>
      <c r="C251" s="60" t="s">
        <v>235</v>
      </c>
      <c r="D251" s="61">
        <v>45292</v>
      </c>
      <c r="E251" s="60" t="s">
        <v>157</v>
      </c>
      <c r="F251" s="61">
        <v>45901</v>
      </c>
      <c r="G251" s="61">
        <v>45931</v>
      </c>
      <c r="H251" s="61">
        <v>45913</v>
      </c>
      <c r="I251" s="60" t="s">
        <v>69</v>
      </c>
      <c r="J251" s="66">
        <v>1</v>
      </c>
      <c r="K251" s="62">
        <v>101.85</v>
      </c>
      <c r="L251" s="67">
        <v>0.09</v>
      </c>
      <c r="M251" s="62">
        <v>9.17</v>
      </c>
      <c r="N251" s="60" t="s">
        <v>72</v>
      </c>
      <c r="O251" s="63" t="s">
        <v>627</v>
      </c>
      <c r="Q251" s="63" t="s">
        <v>628</v>
      </c>
      <c r="R251" s="63">
        <v>17425766</v>
      </c>
      <c r="S251" s="57" t="str">
        <f t="shared" si="3"/>
        <v>Carol Foley</v>
      </c>
      <c r="T251" s="63"/>
      <c r="U251" s="63"/>
      <c r="V251" s="63"/>
      <c r="W251" s="63"/>
    </row>
    <row r="252" spans="1:23" ht="15" customHeight="1" x14ac:dyDescent="0.2">
      <c r="A252" s="60" t="s">
        <v>65</v>
      </c>
      <c r="B252" s="66">
        <v>442256625</v>
      </c>
      <c r="C252" s="60" t="s">
        <v>565</v>
      </c>
      <c r="D252" s="61">
        <v>45237</v>
      </c>
      <c r="E252" s="60" t="s">
        <v>157</v>
      </c>
      <c r="F252" s="61">
        <v>45901</v>
      </c>
      <c r="G252" s="61">
        <v>45931</v>
      </c>
      <c r="H252" s="61">
        <v>45910</v>
      </c>
      <c r="I252" s="60" t="s">
        <v>69</v>
      </c>
      <c r="J252" s="66">
        <v>1</v>
      </c>
      <c r="K252" s="62">
        <v>112.72</v>
      </c>
      <c r="L252" s="67">
        <v>0.18</v>
      </c>
      <c r="M252" s="62">
        <v>20.29</v>
      </c>
      <c r="N252" s="60" t="s">
        <v>72</v>
      </c>
      <c r="O252" s="63" t="s">
        <v>627</v>
      </c>
      <c r="Q252" s="63" t="s">
        <v>628</v>
      </c>
      <c r="R252" s="63">
        <v>17425766</v>
      </c>
      <c r="S252" s="57" t="str">
        <f t="shared" si="3"/>
        <v>Carol Foley</v>
      </c>
      <c r="T252" s="63"/>
      <c r="U252" s="63"/>
      <c r="V252" s="63"/>
      <c r="W252" s="63"/>
    </row>
    <row r="253" spans="1:23" ht="15" customHeight="1" x14ac:dyDescent="0.2">
      <c r="A253" s="14" t="s">
        <v>65</v>
      </c>
      <c r="B253" s="64">
        <v>442259767</v>
      </c>
      <c r="C253" s="14" t="s">
        <v>375</v>
      </c>
      <c r="D253" s="58">
        <v>45261</v>
      </c>
      <c r="E253" s="14" t="s">
        <v>211</v>
      </c>
      <c r="F253" s="58">
        <v>45901</v>
      </c>
      <c r="G253" s="58">
        <v>45931</v>
      </c>
      <c r="H253" s="58">
        <v>45904</v>
      </c>
      <c r="I253" s="14" t="s">
        <v>69</v>
      </c>
      <c r="J253" s="64">
        <v>1</v>
      </c>
      <c r="K253" s="59">
        <v>40.630000000000003</v>
      </c>
      <c r="L253" s="65">
        <v>0.18</v>
      </c>
      <c r="M253" s="59">
        <v>7.31</v>
      </c>
      <c r="N253" s="14" t="s">
        <v>72</v>
      </c>
      <c r="O253" s="57" t="s">
        <v>636</v>
      </c>
      <c r="P253" s="57" t="s">
        <v>637</v>
      </c>
      <c r="Q253" s="57" t="s">
        <v>638</v>
      </c>
      <c r="R253" s="57">
        <v>17528908</v>
      </c>
      <c r="S253" s="57" t="str">
        <f t="shared" si="3"/>
        <v>Deborah Inskipt</v>
      </c>
    </row>
    <row r="254" spans="1:23" ht="15" customHeight="1" x14ac:dyDescent="0.2">
      <c r="A254" s="14" t="s">
        <v>65</v>
      </c>
      <c r="B254" s="64">
        <v>442260890</v>
      </c>
      <c r="C254" s="14" t="s">
        <v>354</v>
      </c>
      <c r="D254" s="58">
        <v>45292</v>
      </c>
      <c r="E254" s="14" t="s">
        <v>94</v>
      </c>
      <c r="F254" s="58">
        <v>45901</v>
      </c>
      <c r="G254" s="58">
        <v>45931</v>
      </c>
      <c r="H254" s="58">
        <v>45904</v>
      </c>
      <c r="I254" s="14" t="s">
        <v>69</v>
      </c>
      <c r="J254" s="64">
        <v>1</v>
      </c>
      <c r="K254" s="59">
        <v>13.28</v>
      </c>
      <c r="L254" s="65">
        <v>7.0000000000000007E-2</v>
      </c>
      <c r="M254" s="59">
        <v>0.93</v>
      </c>
      <c r="N254" s="14" t="s">
        <v>72</v>
      </c>
      <c r="O254" s="57" t="s">
        <v>639</v>
      </c>
      <c r="P254" s="57" t="s">
        <v>640</v>
      </c>
      <c r="Q254" s="57" t="s">
        <v>641</v>
      </c>
      <c r="R254" s="57">
        <v>17437820</v>
      </c>
      <c r="S254" s="57" t="str">
        <f t="shared" si="3"/>
        <v>Colleen Finnigan</v>
      </c>
    </row>
    <row r="255" spans="1:23" ht="15" customHeight="1" x14ac:dyDescent="0.2">
      <c r="A255" s="14" t="s">
        <v>65</v>
      </c>
      <c r="B255" s="64">
        <v>442260892</v>
      </c>
      <c r="C255" s="14" t="s">
        <v>354</v>
      </c>
      <c r="D255" s="58">
        <v>45292</v>
      </c>
      <c r="E255" s="14" t="s">
        <v>356</v>
      </c>
      <c r="F255" s="58">
        <v>45901</v>
      </c>
      <c r="G255" s="58">
        <v>45931</v>
      </c>
      <c r="H255" s="58">
        <v>45904</v>
      </c>
      <c r="I255" s="14" t="s">
        <v>69</v>
      </c>
      <c r="J255" s="64">
        <v>1</v>
      </c>
      <c r="K255" s="59">
        <v>74</v>
      </c>
      <c r="L255" s="65">
        <v>0.09</v>
      </c>
      <c r="M255" s="59">
        <v>6.66</v>
      </c>
      <c r="N255" s="14" t="s">
        <v>72</v>
      </c>
      <c r="O255" s="57" t="s">
        <v>639</v>
      </c>
      <c r="P255" s="57" t="s">
        <v>640</v>
      </c>
      <c r="Q255" s="57" t="s">
        <v>641</v>
      </c>
      <c r="R255" s="57">
        <v>17437820</v>
      </c>
      <c r="S255" s="57" t="str">
        <f t="shared" si="3"/>
        <v>Colleen Finnigan</v>
      </c>
    </row>
    <row r="256" spans="1:23" ht="15" customHeight="1" x14ac:dyDescent="0.2">
      <c r="A256" s="14" t="s">
        <v>65</v>
      </c>
      <c r="B256" s="64">
        <v>442264554</v>
      </c>
      <c r="C256" s="14" t="s">
        <v>358</v>
      </c>
      <c r="D256" s="58">
        <v>45261</v>
      </c>
      <c r="E256" s="14" t="s">
        <v>160</v>
      </c>
      <c r="F256" s="58">
        <v>45901</v>
      </c>
      <c r="G256" s="58">
        <v>45931</v>
      </c>
      <c r="H256" s="58">
        <v>45904</v>
      </c>
      <c r="I256" s="14" t="s">
        <v>69</v>
      </c>
      <c r="J256" s="64">
        <v>1</v>
      </c>
      <c r="K256" s="59">
        <v>75.739999999999995</v>
      </c>
      <c r="L256" s="65">
        <v>4.4999999999999998E-2</v>
      </c>
      <c r="M256" s="59">
        <v>3.41</v>
      </c>
      <c r="N256" s="14" t="s">
        <v>72</v>
      </c>
      <c r="O256" s="57" t="s">
        <v>639</v>
      </c>
      <c r="P256" s="57" t="s">
        <v>640</v>
      </c>
      <c r="Q256" s="57" t="s">
        <v>641</v>
      </c>
      <c r="R256" s="57">
        <v>17437820</v>
      </c>
      <c r="S256" s="57" t="str">
        <f t="shared" si="3"/>
        <v>Colleen Finnigan</v>
      </c>
    </row>
    <row r="257" spans="1:23" ht="15" customHeight="1" x14ac:dyDescent="0.2">
      <c r="A257" s="60" t="s">
        <v>65</v>
      </c>
      <c r="B257" s="66">
        <v>442267305</v>
      </c>
      <c r="C257" s="60" t="s">
        <v>573</v>
      </c>
      <c r="D257" s="61">
        <v>45261</v>
      </c>
      <c r="E257" s="60" t="s">
        <v>175</v>
      </c>
      <c r="F257" s="61">
        <v>45901</v>
      </c>
      <c r="G257" s="61">
        <v>45931</v>
      </c>
      <c r="H257" s="61">
        <v>45912</v>
      </c>
      <c r="I257" s="60" t="s">
        <v>69</v>
      </c>
      <c r="J257" s="66">
        <v>1</v>
      </c>
      <c r="K257" s="62">
        <v>30.03</v>
      </c>
      <c r="L257" s="67">
        <v>4.4999999999999998E-2</v>
      </c>
      <c r="M257" s="62">
        <v>1.35</v>
      </c>
      <c r="N257" s="60" t="s">
        <v>72</v>
      </c>
      <c r="O257" s="63" t="s">
        <v>627</v>
      </c>
      <c r="Q257" s="63" t="s">
        <v>628</v>
      </c>
      <c r="R257" s="63">
        <v>17425766</v>
      </c>
      <c r="S257" s="57" t="str">
        <f t="shared" si="3"/>
        <v>Carol Foley</v>
      </c>
      <c r="T257" s="63"/>
      <c r="U257" s="63"/>
      <c r="V257" s="63"/>
      <c r="W257" s="63"/>
    </row>
    <row r="258" spans="1:23" ht="15" customHeight="1" x14ac:dyDescent="0.2">
      <c r="A258" s="60" t="s">
        <v>65</v>
      </c>
      <c r="B258" s="66">
        <v>442267307</v>
      </c>
      <c r="C258" s="60" t="s">
        <v>573</v>
      </c>
      <c r="D258" s="61">
        <v>45261</v>
      </c>
      <c r="E258" s="60" t="s">
        <v>157</v>
      </c>
      <c r="F258" s="61">
        <v>45901</v>
      </c>
      <c r="G258" s="61">
        <v>45931</v>
      </c>
      <c r="H258" s="61">
        <v>45912</v>
      </c>
      <c r="I258" s="60" t="s">
        <v>69</v>
      </c>
      <c r="J258" s="66">
        <v>1</v>
      </c>
      <c r="K258" s="62">
        <v>88.04</v>
      </c>
      <c r="L258" s="67">
        <v>0.18</v>
      </c>
      <c r="M258" s="62">
        <v>15.85</v>
      </c>
      <c r="N258" s="60" t="s">
        <v>72</v>
      </c>
      <c r="O258" s="63" t="s">
        <v>627</v>
      </c>
      <c r="Q258" s="63" t="s">
        <v>628</v>
      </c>
      <c r="R258" s="63">
        <v>17425766</v>
      </c>
      <c r="S258" s="57" t="str">
        <f t="shared" si="3"/>
        <v>Carol Foley</v>
      </c>
      <c r="T258" s="63"/>
      <c r="U258" s="63"/>
      <c r="V258" s="63"/>
      <c r="W258" s="63"/>
    </row>
    <row r="259" spans="1:23" ht="15" customHeight="1" x14ac:dyDescent="0.2">
      <c r="A259" s="14" t="s">
        <v>65</v>
      </c>
      <c r="B259" s="64">
        <v>442271427</v>
      </c>
      <c r="C259" s="14" t="s">
        <v>308</v>
      </c>
      <c r="D259" s="58">
        <v>45292</v>
      </c>
      <c r="E259" s="14" t="s">
        <v>94</v>
      </c>
      <c r="F259" s="58">
        <v>45901</v>
      </c>
      <c r="G259" s="58">
        <v>45931</v>
      </c>
      <c r="H259" s="58">
        <v>45904</v>
      </c>
      <c r="I259" s="14" t="s">
        <v>69</v>
      </c>
      <c r="J259" s="64">
        <v>1</v>
      </c>
      <c r="K259" s="59">
        <v>26.56</v>
      </c>
      <c r="L259" s="65">
        <v>7.0000000000000007E-2</v>
      </c>
      <c r="M259" s="59">
        <v>1.86</v>
      </c>
      <c r="N259" s="14" t="s">
        <v>72</v>
      </c>
      <c r="O259" s="57" t="s">
        <v>627</v>
      </c>
      <c r="Q259" s="57" t="s">
        <v>628</v>
      </c>
      <c r="R259" s="57">
        <v>17425766</v>
      </c>
      <c r="S259" s="57" t="str">
        <f t="shared" ref="S259:S322" si="4">CONCATENATE(O259, " ",Q259)</f>
        <v>Carol Foley</v>
      </c>
    </row>
    <row r="260" spans="1:23" ht="15" customHeight="1" x14ac:dyDescent="0.2">
      <c r="A260" s="14" t="s">
        <v>65</v>
      </c>
      <c r="B260" s="64">
        <v>442274499</v>
      </c>
      <c r="C260" s="14" t="s">
        <v>97</v>
      </c>
      <c r="D260" s="58">
        <v>45261</v>
      </c>
      <c r="E260" s="14" t="s">
        <v>74</v>
      </c>
      <c r="F260" s="58">
        <v>45901</v>
      </c>
      <c r="G260" s="58">
        <v>45931</v>
      </c>
      <c r="H260" s="58">
        <v>45904</v>
      </c>
      <c r="I260" s="14" t="s">
        <v>69</v>
      </c>
      <c r="J260" s="64">
        <v>1</v>
      </c>
      <c r="K260" s="59">
        <v>15.45</v>
      </c>
      <c r="L260" s="65">
        <v>0.09</v>
      </c>
      <c r="M260" s="59">
        <v>1.39</v>
      </c>
      <c r="N260" s="14" t="s">
        <v>72</v>
      </c>
      <c r="O260" s="57" t="s">
        <v>623</v>
      </c>
      <c r="P260" s="57" t="s">
        <v>631</v>
      </c>
      <c r="Q260" s="57" t="s">
        <v>632</v>
      </c>
      <c r="R260" s="57">
        <v>19278370</v>
      </c>
      <c r="S260" s="57" t="str">
        <f t="shared" si="4"/>
        <v>Anne Kozacheck</v>
      </c>
    </row>
    <row r="261" spans="1:23" ht="15" customHeight="1" x14ac:dyDescent="0.2">
      <c r="A261" s="14" t="s">
        <v>65</v>
      </c>
      <c r="B261" s="64">
        <v>442274500</v>
      </c>
      <c r="C261" s="14" t="s">
        <v>97</v>
      </c>
      <c r="D261" s="58">
        <v>45261</v>
      </c>
      <c r="E261" s="14" t="s">
        <v>99</v>
      </c>
      <c r="F261" s="58">
        <v>45901</v>
      </c>
      <c r="G261" s="58">
        <v>45931</v>
      </c>
      <c r="H261" s="58">
        <v>45904</v>
      </c>
      <c r="I261" s="14" t="s">
        <v>69</v>
      </c>
      <c r="J261" s="64">
        <v>1</v>
      </c>
      <c r="K261" s="59">
        <v>16.47</v>
      </c>
      <c r="L261" s="65">
        <v>0.18</v>
      </c>
      <c r="M261" s="59">
        <v>2.96</v>
      </c>
      <c r="N261" s="14" t="s">
        <v>72</v>
      </c>
      <c r="O261" s="57" t="s">
        <v>623</v>
      </c>
      <c r="P261" s="57" t="s">
        <v>631</v>
      </c>
      <c r="Q261" s="57" t="s">
        <v>632</v>
      </c>
      <c r="R261" s="57">
        <v>19278370</v>
      </c>
      <c r="S261" s="57" t="str">
        <f t="shared" si="4"/>
        <v>Anne Kozacheck</v>
      </c>
    </row>
    <row r="262" spans="1:23" ht="15" customHeight="1" x14ac:dyDescent="0.2">
      <c r="A262" s="14" t="s">
        <v>65</v>
      </c>
      <c r="B262" s="64">
        <v>442282230</v>
      </c>
      <c r="C262" s="14" t="s">
        <v>428</v>
      </c>
      <c r="D262" s="58">
        <v>45292</v>
      </c>
      <c r="E262" s="14" t="s">
        <v>429</v>
      </c>
      <c r="F262" s="58">
        <v>45901</v>
      </c>
      <c r="G262" s="58">
        <v>45931</v>
      </c>
      <c r="H262" s="58">
        <v>45904</v>
      </c>
      <c r="I262" s="14" t="s">
        <v>69</v>
      </c>
      <c r="J262" s="64">
        <v>1</v>
      </c>
      <c r="K262" s="59">
        <v>78.7</v>
      </c>
      <c r="L262" s="65">
        <v>0.09</v>
      </c>
      <c r="M262" s="59">
        <v>7.08</v>
      </c>
      <c r="N262" s="14" t="s">
        <v>72</v>
      </c>
      <c r="O262" s="57" t="s">
        <v>629</v>
      </c>
      <c r="P262" s="57" t="s">
        <v>69</v>
      </c>
      <c r="Q262" s="57" t="s">
        <v>630</v>
      </c>
      <c r="R262" s="57">
        <v>15278437</v>
      </c>
      <c r="S262" s="57" t="str">
        <f t="shared" si="4"/>
        <v>Jason Hoffmann</v>
      </c>
    </row>
    <row r="263" spans="1:23" ht="15" customHeight="1" x14ac:dyDescent="0.2">
      <c r="A263" s="60" t="s">
        <v>65</v>
      </c>
      <c r="B263" s="66">
        <v>442289683</v>
      </c>
      <c r="C263" s="60" t="s">
        <v>580</v>
      </c>
      <c r="D263" s="61">
        <v>45247</v>
      </c>
      <c r="E263" s="60" t="s">
        <v>175</v>
      </c>
      <c r="F263" s="61">
        <v>45901</v>
      </c>
      <c r="G263" s="61">
        <v>45931</v>
      </c>
      <c r="H263" s="61">
        <v>45910</v>
      </c>
      <c r="I263" s="60" t="s">
        <v>69</v>
      </c>
      <c r="J263" s="66">
        <v>1</v>
      </c>
      <c r="K263" s="62">
        <v>26.69</v>
      </c>
      <c r="L263" s="67">
        <v>4.4999999999999998E-2</v>
      </c>
      <c r="M263" s="62">
        <v>1.2</v>
      </c>
      <c r="N263" s="60" t="s">
        <v>72</v>
      </c>
      <c r="O263" s="63" t="s">
        <v>639</v>
      </c>
      <c r="P263" s="63" t="s">
        <v>640</v>
      </c>
      <c r="Q263" s="63" t="s">
        <v>641</v>
      </c>
      <c r="R263" s="63">
        <v>17437820</v>
      </c>
      <c r="S263" s="57" t="str">
        <f t="shared" si="4"/>
        <v>Colleen Finnigan</v>
      </c>
      <c r="T263" s="63"/>
      <c r="U263" s="63"/>
      <c r="V263" s="63"/>
      <c r="W263" s="63"/>
    </row>
    <row r="264" spans="1:23" ht="15" customHeight="1" x14ac:dyDescent="0.2">
      <c r="A264" s="60" t="s">
        <v>65</v>
      </c>
      <c r="B264" s="66">
        <v>442289841</v>
      </c>
      <c r="C264" s="60" t="s">
        <v>589</v>
      </c>
      <c r="D264" s="61">
        <v>45292</v>
      </c>
      <c r="E264" s="60" t="s">
        <v>365</v>
      </c>
      <c r="F264" s="61">
        <v>45901</v>
      </c>
      <c r="G264" s="61">
        <v>45931</v>
      </c>
      <c r="H264" s="61">
        <v>45912</v>
      </c>
      <c r="I264" s="60" t="s">
        <v>69</v>
      </c>
      <c r="J264" s="66">
        <v>1</v>
      </c>
      <c r="K264" s="62">
        <v>15.9</v>
      </c>
      <c r="L264" s="67">
        <v>0.09</v>
      </c>
      <c r="M264" s="62">
        <v>1.43</v>
      </c>
      <c r="N264" s="60" t="s">
        <v>72</v>
      </c>
      <c r="O264" s="63" t="s">
        <v>636</v>
      </c>
      <c r="P264" s="63" t="s">
        <v>637</v>
      </c>
      <c r="Q264" s="63" t="s">
        <v>638</v>
      </c>
      <c r="R264" s="63">
        <v>17528908</v>
      </c>
      <c r="S264" s="57" t="str">
        <f t="shared" si="4"/>
        <v>Deborah Inskipt</v>
      </c>
      <c r="T264" s="63"/>
      <c r="U264" s="63"/>
      <c r="V264" s="63"/>
      <c r="W264" s="63"/>
    </row>
    <row r="265" spans="1:23" ht="15" customHeight="1" x14ac:dyDescent="0.2">
      <c r="A265" s="60" t="s">
        <v>65</v>
      </c>
      <c r="B265" s="66">
        <v>442289842</v>
      </c>
      <c r="C265" s="60" t="s">
        <v>589</v>
      </c>
      <c r="D265" s="61">
        <v>45292</v>
      </c>
      <c r="E265" s="60" t="s">
        <v>362</v>
      </c>
      <c r="F265" s="61">
        <v>45901</v>
      </c>
      <c r="G265" s="61">
        <v>45931</v>
      </c>
      <c r="H265" s="61">
        <v>45912</v>
      </c>
      <c r="I265" s="60" t="s">
        <v>69</v>
      </c>
      <c r="J265" s="66">
        <v>1</v>
      </c>
      <c r="K265" s="62">
        <v>14.2</v>
      </c>
      <c r="L265" s="67">
        <v>0.09</v>
      </c>
      <c r="M265" s="62">
        <v>1.28</v>
      </c>
      <c r="N265" s="60" t="s">
        <v>72</v>
      </c>
      <c r="O265" s="63" t="s">
        <v>636</v>
      </c>
      <c r="P265" s="63" t="s">
        <v>637</v>
      </c>
      <c r="Q265" s="63" t="s">
        <v>638</v>
      </c>
      <c r="R265" s="63">
        <v>17528908</v>
      </c>
      <c r="S265" s="57" t="str">
        <f t="shared" si="4"/>
        <v>Deborah Inskipt</v>
      </c>
      <c r="T265" s="63"/>
      <c r="U265" s="63"/>
      <c r="V265" s="63"/>
      <c r="W265" s="63"/>
    </row>
    <row r="266" spans="1:23" ht="15" customHeight="1" x14ac:dyDescent="0.2">
      <c r="A266" s="60" t="s">
        <v>65</v>
      </c>
      <c r="B266" s="66">
        <v>442292229</v>
      </c>
      <c r="C266" s="60" t="s">
        <v>585</v>
      </c>
      <c r="D266" s="61">
        <v>45250</v>
      </c>
      <c r="E266" s="60" t="s">
        <v>175</v>
      </c>
      <c r="F266" s="61">
        <v>45901</v>
      </c>
      <c r="G266" s="61">
        <v>45931</v>
      </c>
      <c r="H266" s="61">
        <v>45910</v>
      </c>
      <c r="I266" s="60" t="s">
        <v>69</v>
      </c>
      <c r="J266" s="66">
        <v>1</v>
      </c>
      <c r="K266" s="62">
        <v>30.03</v>
      </c>
      <c r="L266" s="67">
        <v>4.4999999999999998E-2</v>
      </c>
      <c r="M266" s="62">
        <v>1.35</v>
      </c>
      <c r="N266" s="60" t="s">
        <v>72</v>
      </c>
      <c r="O266" s="63" t="s">
        <v>636</v>
      </c>
      <c r="P266" s="63" t="s">
        <v>637</v>
      </c>
      <c r="Q266" s="63" t="s">
        <v>638</v>
      </c>
      <c r="R266" s="63">
        <v>17528908</v>
      </c>
      <c r="S266" s="57" t="str">
        <f t="shared" si="4"/>
        <v>Deborah Inskipt</v>
      </c>
      <c r="T266" s="63"/>
      <c r="U266" s="63"/>
      <c r="V266" s="63"/>
      <c r="W266" s="63"/>
    </row>
    <row r="267" spans="1:23" s="63" customFormat="1" ht="15" customHeight="1" x14ac:dyDescent="0.2">
      <c r="A267" s="60" t="s">
        <v>65</v>
      </c>
      <c r="B267" s="66">
        <v>442292751</v>
      </c>
      <c r="C267" s="60" t="s">
        <v>566</v>
      </c>
      <c r="D267" s="61">
        <v>45250</v>
      </c>
      <c r="E267" s="60" t="s">
        <v>567</v>
      </c>
      <c r="F267" s="61">
        <v>45901</v>
      </c>
      <c r="G267" s="61">
        <v>45931</v>
      </c>
      <c r="H267" s="61">
        <v>45912</v>
      </c>
      <c r="I267" s="60" t="s">
        <v>69</v>
      </c>
      <c r="J267" s="66">
        <v>1</v>
      </c>
      <c r="K267" s="62">
        <v>45.26</v>
      </c>
      <c r="L267" s="67">
        <v>0.18</v>
      </c>
      <c r="M267" s="62">
        <v>8.15</v>
      </c>
      <c r="N267" s="60" t="s">
        <v>72</v>
      </c>
      <c r="O267" s="63" t="s">
        <v>627</v>
      </c>
      <c r="Q267" s="63" t="s">
        <v>628</v>
      </c>
      <c r="R267" s="63">
        <v>17425766</v>
      </c>
      <c r="S267" s="57" t="str">
        <f t="shared" si="4"/>
        <v>Carol Foley</v>
      </c>
    </row>
    <row r="268" spans="1:23" s="63" customFormat="1" ht="15" customHeight="1" x14ac:dyDescent="0.2">
      <c r="A268" s="60" t="s">
        <v>65</v>
      </c>
      <c r="B268" s="66">
        <v>442294068</v>
      </c>
      <c r="C268" s="60" t="s">
        <v>584</v>
      </c>
      <c r="D268" s="61">
        <v>45250</v>
      </c>
      <c r="E268" s="60" t="s">
        <v>365</v>
      </c>
      <c r="F268" s="61">
        <v>45901</v>
      </c>
      <c r="G268" s="61">
        <v>45931</v>
      </c>
      <c r="H268" s="61">
        <v>45910</v>
      </c>
      <c r="I268" s="60" t="s">
        <v>69</v>
      </c>
      <c r="J268" s="66">
        <v>1</v>
      </c>
      <c r="K268" s="62">
        <v>12</v>
      </c>
      <c r="L268" s="67">
        <v>0.09</v>
      </c>
      <c r="M268" s="62">
        <v>1.08</v>
      </c>
      <c r="N268" s="60" t="s">
        <v>72</v>
      </c>
      <c r="O268" s="63" t="s">
        <v>636</v>
      </c>
      <c r="P268" s="63" t="s">
        <v>637</v>
      </c>
      <c r="Q268" s="63" t="s">
        <v>638</v>
      </c>
      <c r="R268" s="63">
        <v>17528908</v>
      </c>
      <c r="S268" s="57" t="str">
        <f t="shared" si="4"/>
        <v>Deborah Inskipt</v>
      </c>
    </row>
    <row r="269" spans="1:23" s="63" customFormat="1" ht="15" customHeight="1" x14ac:dyDescent="0.2">
      <c r="A269" s="60" t="s">
        <v>65</v>
      </c>
      <c r="B269" s="66">
        <v>442294069</v>
      </c>
      <c r="C269" s="60" t="s">
        <v>584</v>
      </c>
      <c r="D269" s="61">
        <v>45250</v>
      </c>
      <c r="E269" s="60" t="s">
        <v>362</v>
      </c>
      <c r="F269" s="61">
        <v>45901</v>
      </c>
      <c r="G269" s="61">
        <v>45931</v>
      </c>
      <c r="H269" s="61">
        <v>45910</v>
      </c>
      <c r="I269" s="60" t="s">
        <v>69</v>
      </c>
      <c r="J269" s="66">
        <v>1</v>
      </c>
      <c r="K269" s="62">
        <v>13.2</v>
      </c>
      <c r="L269" s="67">
        <v>0.09</v>
      </c>
      <c r="M269" s="62">
        <v>1.19</v>
      </c>
      <c r="N269" s="60" t="s">
        <v>72</v>
      </c>
      <c r="O269" s="63" t="s">
        <v>636</v>
      </c>
      <c r="P269" s="63" t="s">
        <v>637</v>
      </c>
      <c r="Q269" s="63" t="s">
        <v>638</v>
      </c>
      <c r="R269" s="63">
        <v>17528908</v>
      </c>
      <c r="S269" s="57" t="str">
        <f t="shared" si="4"/>
        <v>Deborah Inskipt</v>
      </c>
    </row>
    <row r="270" spans="1:23" s="63" customFormat="1" ht="15" customHeight="1" x14ac:dyDescent="0.2">
      <c r="A270" s="14" t="s">
        <v>65</v>
      </c>
      <c r="B270" s="64">
        <v>442296456</v>
      </c>
      <c r="C270" s="14" t="s">
        <v>67</v>
      </c>
      <c r="D270" s="58">
        <v>45292</v>
      </c>
      <c r="E270" s="14" t="s">
        <v>68</v>
      </c>
      <c r="F270" s="58">
        <v>45901</v>
      </c>
      <c r="G270" s="58">
        <v>45931</v>
      </c>
      <c r="H270" s="58">
        <v>45904</v>
      </c>
      <c r="I270" s="14" t="s">
        <v>69</v>
      </c>
      <c r="J270" s="64">
        <v>1</v>
      </c>
      <c r="K270" s="59">
        <v>24.54</v>
      </c>
      <c r="L270" s="65">
        <v>0.18</v>
      </c>
      <c r="M270" s="59">
        <v>4.42</v>
      </c>
      <c r="N270" s="14" t="s">
        <v>72</v>
      </c>
      <c r="O270" s="57" t="s">
        <v>623</v>
      </c>
      <c r="P270" s="57" t="s">
        <v>631</v>
      </c>
      <c r="Q270" s="57" t="s">
        <v>632</v>
      </c>
      <c r="R270" s="57">
        <v>19278370</v>
      </c>
      <c r="S270" s="57" t="str">
        <f t="shared" si="4"/>
        <v>Anne Kozacheck</v>
      </c>
      <c r="T270" s="57"/>
      <c r="U270" s="57"/>
      <c r="V270" s="57"/>
      <c r="W270" s="57"/>
    </row>
    <row r="271" spans="1:23" s="63" customFormat="1" ht="15" customHeight="1" x14ac:dyDescent="0.2">
      <c r="A271" s="14" t="s">
        <v>65</v>
      </c>
      <c r="B271" s="64">
        <v>442296457</v>
      </c>
      <c r="C271" s="14" t="s">
        <v>67</v>
      </c>
      <c r="D271" s="58">
        <v>45292</v>
      </c>
      <c r="E271" s="14" t="s">
        <v>74</v>
      </c>
      <c r="F271" s="58">
        <v>45901</v>
      </c>
      <c r="G271" s="58">
        <v>45931</v>
      </c>
      <c r="H271" s="58">
        <v>45904</v>
      </c>
      <c r="I271" s="14" t="s">
        <v>69</v>
      </c>
      <c r="J271" s="64">
        <v>1</v>
      </c>
      <c r="K271" s="59">
        <v>15.45</v>
      </c>
      <c r="L271" s="65">
        <v>0.09</v>
      </c>
      <c r="M271" s="59">
        <v>1.39</v>
      </c>
      <c r="N271" s="14" t="s">
        <v>72</v>
      </c>
      <c r="O271" s="57" t="s">
        <v>623</v>
      </c>
      <c r="P271" s="57" t="s">
        <v>631</v>
      </c>
      <c r="Q271" s="57" t="s">
        <v>632</v>
      </c>
      <c r="R271" s="57">
        <v>19278370</v>
      </c>
      <c r="S271" s="57" t="str">
        <f t="shared" si="4"/>
        <v>Anne Kozacheck</v>
      </c>
      <c r="T271" s="57"/>
      <c r="U271" s="57"/>
      <c r="V271" s="57"/>
      <c r="W271" s="57"/>
    </row>
    <row r="272" spans="1:23" s="63" customFormat="1" ht="15" customHeight="1" x14ac:dyDescent="0.2">
      <c r="A272" s="60" t="s">
        <v>65</v>
      </c>
      <c r="B272" s="66">
        <v>442296755</v>
      </c>
      <c r="C272" s="60" t="s">
        <v>562</v>
      </c>
      <c r="D272" s="61">
        <v>45253</v>
      </c>
      <c r="E272" s="60" t="s">
        <v>175</v>
      </c>
      <c r="F272" s="61">
        <v>45901</v>
      </c>
      <c r="G272" s="61">
        <v>45931</v>
      </c>
      <c r="H272" s="61">
        <v>45910</v>
      </c>
      <c r="I272" s="60" t="s">
        <v>69</v>
      </c>
      <c r="J272" s="66">
        <v>1</v>
      </c>
      <c r="K272" s="62">
        <v>30.03</v>
      </c>
      <c r="L272" s="67">
        <v>4.4999999999999998E-2</v>
      </c>
      <c r="M272" s="62">
        <v>1.35</v>
      </c>
      <c r="N272" s="60" t="s">
        <v>72</v>
      </c>
      <c r="O272" s="63" t="s">
        <v>627</v>
      </c>
      <c r="Q272" s="63" t="s">
        <v>628</v>
      </c>
      <c r="R272" s="63">
        <v>17425766</v>
      </c>
      <c r="S272" s="57" t="str">
        <f t="shared" si="4"/>
        <v>Carol Foley</v>
      </c>
    </row>
    <row r="273" spans="1:23" s="63" customFormat="1" ht="15" customHeight="1" x14ac:dyDescent="0.2">
      <c r="A273" s="14" t="s">
        <v>65</v>
      </c>
      <c r="B273" s="64">
        <v>442300659</v>
      </c>
      <c r="C273" s="14" t="s">
        <v>185</v>
      </c>
      <c r="D273" s="58">
        <v>45261</v>
      </c>
      <c r="E273" s="14" t="s">
        <v>157</v>
      </c>
      <c r="F273" s="58">
        <v>45901</v>
      </c>
      <c r="G273" s="58">
        <v>45931</v>
      </c>
      <c r="H273" s="58">
        <v>45904</v>
      </c>
      <c r="I273" s="14" t="s">
        <v>69</v>
      </c>
      <c r="J273" s="64">
        <v>1</v>
      </c>
      <c r="K273" s="59">
        <v>98.2</v>
      </c>
      <c r="L273" s="65">
        <v>0.18</v>
      </c>
      <c r="M273" s="59">
        <v>17.68</v>
      </c>
      <c r="N273" s="14" t="s">
        <v>72</v>
      </c>
      <c r="O273" s="57" t="s">
        <v>627</v>
      </c>
      <c r="Q273" s="57" t="s">
        <v>628</v>
      </c>
      <c r="R273" s="57">
        <v>17425766</v>
      </c>
      <c r="S273" s="57" t="str">
        <f t="shared" si="4"/>
        <v>Carol Foley</v>
      </c>
      <c r="T273" s="57"/>
      <c r="U273" s="57"/>
      <c r="V273" s="57"/>
      <c r="W273" s="57"/>
    </row>
    <row r="274" spans="1:23" s="63" customFormat="1" ht="15" customHeight="1" x14ac:dyDescent="0.2">
      <c r="A274" s="60" t="s">
        <v>65</v>
      </c>
      <c r="B274" s="66">
        <v>442301963</v>
      </c>
      <c r="C274" s="60" t="s">
        <v>590</v>
      </c>
      <c r="D274" s="61">
        <v>45254</v>
      </c>
      <c r="E274" s="60" t="s">
        <v>591</v>
      </c>
      <c r="F274" s="61">
        <v>45901</v>
      </c>
      <c r="G274" s="61">
        <v>45931</v>
      </c>
      <c r="H274" s="61">
        <v>45910</v>
      </c>
      <c r="I274" s="60" t="s">
        <v>69</v>
      </c>
      <c r="J274" s="66">
        <v>1</v>
      </c>
      <c r="K274" s="62">
        <v>53</v>
      </c>
      <c r="L274" s="67">
        <v>0.09</v>
      </c>
      <c r="M274" s="62">
        <v>4.7699999999999996</v>
      </c>
      <c r="N274" s="60" t="s">
        <v>72</v>
      </c>
      <c r="O274" s="63" t="s">
        <v>636</v>
      </c>
      <c r="P274" s="63" t="s">
        <v>637</v>
      </c>
      <c r="Q274" s="63" t="s">
        <v>638</v>
      </c>
      <c r="R274" s="63">
        <v>17528908</v>
      </c>
      <c r="S274" s="57" t="str">
        <f t="shared" si="4"/>
        <v>Deborah Inskipt</v>
      </c>
    </row>
    <row r="275" spans="1:23" s="63" customFormat="1" ht="15" customHeight="1" x14ac:dyDescent="0.2">
      <c r="A275" s="60" t="s">
        <v>65</v>
      </c>
      <c r="B275" s="66">
        <v>442301964</v>
      </c>
      <c r="C275" s="60" t="s">
        <v>590</v>
      </c>
      <c r="D275" s="61">
        <v>45254</v>
      </c>
      <c r="E275" s="60" t="s">
        <v>592</v>
      </c>
      <c r="F275" s="61">
        <v>45901</v>
      </c>
      <c r="G275" s="61">
        <v>45931</v>
      </c>
      <c r="H275" s="61">
        <v>45910</v>
      </c>
      <c r="I275" s="60" t="s">
        <v>69</v>
      </c>
      <c r="J275" s="66">
        <v>1</v>
      </c>
      <c r="K275" s="62">
        <v>47.6</v>
      </c>
      <c r="L275" s="67">
        <v>0.09</v>
      </c>
      <c r="M275" s="62">
        <v>4.28</v>
      </c>
      <c r="N275" s="60" t="s">
        <v>72</v>
      </c>
      <c r="O275" s="63" t="s">
        <v>636</v>
      </c>
      <c r="P275" s="63" t="s">
        <v>637</v>
      </c>
      <c r="Q275" s="63" t="s">
        <v>638</v>
      </c>
      <c r="R275" s="63">
        <v>17528908</v>
      </c>
      <c r="S275" s="57" t="str">
        <f t="shared" si="4"/>
        <v>Deborah Inskipt</v>
      </c>
    </row>
    <row r="276" spans="1:23" s="63" customFormat="1" ht="15" customHeight="1" x14ac:dyDescent="0.2">
      <c r="A276" s="14" t="s">
        <v>65</v>
      </c>
      <c r="B276" s="64">
        <v>442323300</v>
      </c>
      <c r="C276" s="14" t="s">
        <v>388</v>
      </c>
      <c r="D276" s="58">
        <v>45263</v>
      </c>
      <c r="E276" s="14" t="s">
        <v>284</v>
      </c>
      <c r="F276" s="58">
        <v>45901</v>
      </c>
      <c r="G276" s="58">
        <v>45931</v>
      </c>
      <c r="H276" s="58">
        <v>45905</v>
      </c>
      <c r="I276" s="14" t="s">
        <v>69</v>
      </c>
      <c r="J276" s="64">
        <v>1</v>
      </c>
      <c r="K276" s="59">
        <v>64.48</v>
      </c>
      <c r="L276" s="65">
        <v>0.09</v>
      </c>
      <c r="M276" s="59">
        <v>5.8</v>
      </c>
      <c r="N276" s="14" t="s">
        <v>72</v>
      </c>
      <c r="O276" s="57" t="s">
        <v>636</v>
      </c>
      <c r="P276" s="57" t="s">
        <v>637</v>
      </c>
      <c r="Q276" s="57" t="s">
        <v>638</v>
      </c>
      <c r="R276" s="57">
        <v>17528908</v>
      </c>
      <c r="S276" s="57" t="str">
        <f t="shared" si="4"/>
        <v>Deborah Inskipt</v>
      </c>
      <c r="T276" s="57"/>
      <c r="U276" s="57"/>
      <c r="V276" s="57"/>
      <c r="W276" s="57"/>
    </row>
    <row r="277" spans="1:23" s="63" customFormat="1" ht="15" customHeight="1" x14ac:dyDescent="0.2">
      <c r="A277" s="14" t="s">
        <v>65</v>
      </c>
      <c r="B277" s="64">
        <v>442324830</v>
      </c>
      <c r="C277" s="14" t="s">
        <v>254</v>
      </c>
      <c r="D277" s="58">
        <v>45263</v>
      </c>
      <c r="E277" s="14" t="s">
        <v>175</v>
      </c>
      <c r="F277" s="58">
        <v>45901</v>
      </c>
      <c r="G277" s="58">
        <v>45931</v>
      </c>
      <c r="H277" s="58">
        <v>45905</v>
      </c>
      <c r="I277" s="14" t="s">
        <v>69</v>
      </c>
      <c r="J277" s="64">
        <v>1</v>
      </c>
      <c r="K277" s="59">
        <v>30.03</v>
      </c>
      <c r="L277" s="65">
        <v>4.4999999999999998E-2</v>
      </c>
      <c r="M277" s="59">
        <v>1.35</v>
      </c>
      <c r="N277" s="14" t="s">
        <v>72</v>
      </c>
      <c r="O277" s="57" t="s">
        <v>627</v>
      </c>
      <c r="Q277" s="57" t="s">
        <v>628</v>
      </c>
      <c r="R277" s="57">
        <v>17425766</v>
      </c>
      <c r="S277" s="57" t="str">
        <f t="shared" si="4"/>
        <v>Carol Foley</v>
      </c>
      <c r="T277" s="57"/>
      <c r="U277" s="57"/>
      <c r="V277" s="57"/>
      <c r="W277" s="57"/>
    </row>
    <row r="278" spans="1:23" s="63" customFormat="1" ht="15" customHeight="1" x14ac:dyDescent="0.2">
      <c r="A278" s="14" t="s">
        <v>65</v>
      </c>
      <c r="B278" s="64">
        <v>442324831</v>
      </c>
      <c r="C278" s="14" t="s">
        <v>254</v>
      </c>
      <c r="D278" s="58">
        <v>45263</v>
      </c>
      <c r="E278" s="14" t="s">
        <v>157</v>
      </c>
      <c r="F278" s="58">
        <v>45901</v>
      </c>
      <c r="G278" s="58">
        <v>45931</v>
      </c>
      <c r="H278" s="58">
        <v>45905</v>
      </c>
      <c r="I278" s="14" t="s">
        <v>69</v>
      </c>
      <c r="J278" s="64">
        <v>1</v>
      </c>
      <c r="K278" s="59">
        <v>68.44</v>
      </c>
      <c r="L278" s="65">
        <v>0.18</v>
      </c>
      <c r="M278" s="59">
        <v>12.32</v>
      </c>
      <c r="N278" s="14" t="s">
        <v>72</v>
      </c>
      <c r="O278" s="57" t="s">
        <v>627</v>
      </c>
      <c r="Q278" s="57" t="s">
        <v>628</v>
      </c>
      <c r="R278" s="57">
        <v>17425766</v>
      </c>
      <c r="S278" s="57" t="str">
        <f t="shared" si="4"/>
        <v>Carol Foley</v>
      </c>
      <c r="T278" s="57"/>
      <c r="U278" s="57"/>
      <c r="V278" s="57"/>
      <c r="W278" s="57"/>
    </row>
    <row r="279" spans="1:23" s="63" customFormat="1" ht="15" customHeight="1" x14ac:dyDescent="0.2">
      <c r="A279" s="14" t="s">
        <v>65</v>
      </c>
      <c r="B279" s="64">
        <v>442350484</v>
      </c>
      <c r="C279" s="14" t="s">
        <v>241</v>
      </c>
      <c r="D279" s="58">
        <v>45292</v>
      </c>
      <c r="E279" s="14" t="s">
        <v>157</v>
      </c>
      <c r="F279" s="58">
        <v>45901</v>
      </c>
      <c r="G279" s="58">
        <v>45931</v>
      </c>
      <c r="H279" s="58">
        <v>45904</v>
      </c>
      <c r="I279" s="14" t="s">
        <v>69</v>
      </c>
      <c r="J279" s="64">
        <v>1</v>
      </c>
      <c r="K279" s="59">
        <v>34.049999999999997</v>
      </c>
      <c r="L279" s="65">
        <v>0.18</v>
      </c>
      <c r="M279" s="59">
        <v>6.13</v>
      </c>
      <c r="N279" s="14" t="s">
        <v>72</v>
      </c>
      <c r="O279" s="57" t="s">
        <v>627</v>
      </c>
      <c r="Q279" s="57" t="s">
        <v>628</v>
      </c>
      <c r="R279" s="57">
        <v>17425766</v>
      </c>
      <c r="S279" s="57" t="str">
        <f t="shared" si="4"/>
        <v>Carol Foley</v>
      </c>
      <c r="T279" s="57"/>
      <c r="U279" s="57"/>
      <c r="V279" s="57"/>
      <c r="W279" s="57"/>
    </row>
    <row r="280" spans="1:23" s="63" customFormat="1" ht="15" customHeight="1" x14ac:dyDescent="0.2">
      <c r="A280" s="14" t="s">
        <v>65</v>
      </c>
      <c r="B280" s="64">
        <v>442355390</v>
      </c>
      <c r="C280" s="14" t="s">
        <v>275</v>
      </c>
      <c r="D280" s="58">
        <v>45272</v>
      </c>
      <c r="E280" s="14" t="s">
        <v>94</v>
      </c>
      <c r="F280" s="58">
        <v>45901</v>
      </c>
      <c r="G280" s="58">
        <v>45931</v>
      </c>
      <c r="H280" s="58">
        <v>45906</v>
      </c>
      <c r="I280" s="14" t="s">
        <v>69</v>
      </c>
      <c r="J280" s="64">
        <v>1</v>
      </c>
      <c r="K280" s="59">
        <v>26.56</v>
      </c>
      <c r="L280" s="65">
        <v>7.0000000000000007E-2</v>
      </c>
      <c r="M280" s="59">
        <v>1.86</v>
      </c>
      <c r="N280" s="14" t="s">
        <v>72</v>
      </c>
      <c r="O280" s="57" t="s">
        <v>627</v>
      </c>
      <c r="Q280" s="57" t="s">
        <v>628</v>
      </c>
      <c r="R280" s="57">
        <v>17425766</v>
      </c>
      <c r="S280" s="57" t="str">
        <f t="shared" si="4"/>
        <v>Carol Foley</v>
      </c>
      <c r="T280" s="57"/>
      <c r="U280" s="57"/>
      <c r="V280" s="57"/>
      <c r="W280" s="57"/>
    </row>
    <row r="281" spans="1:23" s="63" customFormat="1" ht="15" customHeight="1" x14ac:dyDescent="0.2">
      <c r="A281" s="14" t="s">
        <v>65</v>
      </c>
      <c r="B281" s="64">
        <v>442359010</v>
      </c>
      <c r="C281" s="14" t="s">
        <v>383</v>
      </c>
      <c r="D281" s="58">
        <v>45292</v>
      </c>
      <c r="E281" s="14" t="s">
        <v>384</v>
      </c>
      <c r="F281" s="58">
        <v>45901</v>
      </c>
      <c r="G281" s="58">
        <v>45931</v>
      </c>
      <c r="H281" s="58">
        <v>45904</v>
      </c>
      <c r="I281" s="14" t="s">
        <v>69</v>
      </c>
      <c r="J281" s="64">
        <v>1</v>
      </c>
      <c r="K281" s="59">
        <v>51.75</v>
      </c>
      <c r="L281" s="65">
        <v>0.09</v>
      </c>
      <c r="M281" s="59">
        <v>4.66</v>
      </c>
      <c r="N281" s="14" t="s">
        <v>72</v>
      </c>
      <c r="O281" s="57" t="s">
        <v>636</v>
      </c>
      <c r="P281" s="57" t="s">
        <v>637</v>
      </c>
      <c r="Q281" s="57" t="s">
        <v>638</v>
      </c>
      <c r="R281" s="57">
        <v>17528908</v>
      </c>
      <c r="S281" s="57" t="str">
        <f t="shared" si="4"/>
        <v>Deborah Inskipt</v>
      </c>
      <c r="T281" s="57"/>
      <c r="U281" s="57"/>
      <c r="V281" s="57"/>
      <c r="W281" s="57"/>
    </row>
    <row r="282" spans="1:23" s="63" customFormat="1" ht="15" customHeight="1" x14ac:dyDescent="0.2">
      <c r="A282" s="14" t="s">
        <v>65</v>
      </c>
      <c r="B282" s="64">
        <v>442363974</v>
      </c>
      <c r="C282" s="14" t="s">
        <v>323</v>
      </c>
      <c r="D282" s="58">
        <v>45292</v>
      </c>
      <c r="E282" s="14" t="s">
        <v>175</v>
      </c>
      <c r="F282" s="58">
        <v>45901</v>
      </c>
      <c r="G282" s="58">
        <v>45931</v>
      </c>
      <c r="H282" s="58">
        <v>45904</v>
      </c>
      <c r="I282" s="14" t="s">
        <v>69</v>
      </c>
      <c r="J282" s="64">
        <v>1</v>
      </c>
      <c r="K282" s="59">
        <v>30.03</v>
      </c>
      <c r="L282" s="65">
        <v>4.4999999999999998E-2</v>
      </c>
      <c r="M282" s="59">
        <v>1.35</v>
      </c>
      <c r="N282" s="14" t="s">
        <v>72</v>
      </c>
      <c r="O282" s="57" t="s">
        <v>627</v>
      </c>
      <c r="Q282" s="57" t="s">
        <v>628</v>
      </c>
      <c r="R282" s="57">
        <v>17425766</v>
      </c>
      <c r="S282" s="57" t="str">
        <f t="shared" si="4"/>
        <v>Carol Foley</v>
      </c>
      <c r="T282" s="57"/>
      <c r="U282" s="57"/>
      <c r="V282" s="57"/>
      <c r="W282" s="57"/>
    </row>
    <row r="283" spans="1:23" s="63" customFormat="1" ht="15" customHeight="1" x14ac:dyDescent="0.2">
      <c r="A283" s="14" t="s">
        <v>65</v>
      </c>
      <c r="B283" s="64">
        <v>442367538</v>
      </c>
      <c r="C283" s="14" t="s">
        <v>350</v>
      </c>
      <c r="D283" s="58">
        <v>45292</v>
      </c>
      <c r="E283" s="14" t="s">
        <v>160</v>
      </c>
      <c r="F283" s="58">
        <v>45901</v>
      </c>
      <c r="G283" s="58">
        <v>45931</v>
      </c>
      <c r="H283" s="58">
        <v>45904</v>
      </c>
      <c r="I283" s="14" t="s">
        <v>69</v>
      </c>
      <c r="J283" s="64">
        <v>1</v>
      </c>
      <c r="K283" s="59">
        <v>131.63999999999999</v>
      </c>
      <c r="L283" s="65">
        <v>4.4999999999999998E-2</v>
      </c>
      <c r="M283" s="59">
        <v>5.92</v>
      </c>
      <c r="N283" s="14" t="s">
        <v>72</v>
      </c>
      <c r="O283" s="57" t="s">
        <v>639</v>
      </c>
      <c r="P283" s="57" t="s">
        <v>640</v>
      </c>
      <c r="Q283" s="57" t="s">
        <v>641</v>
      </c>
      <c r="R283" s="57">
        <v>17437820</v>
      </c>
      <c r="S283" s="57" t="str">
        <f t="shared" si="4"/>
        <v>Colleen Finnigan</v>
      </c>
      <c r="T283" s="57"/>
      <c r="U283" s="57"/>
      <c r="V283" s="57"/>
      <c r="W283" s="57"/>
    </row>
    <row r="284" spans="1:23" s="63" customFormat="1" ht="15" customHeight="1" x14ac:dyDescent="0.2">
      <c r="A284" s="14" t="s">
        <v>65</v>
      </c>
      <c r="B284" s="64">
        <v>442367539</v>
      </c>
      <c r="C284" s="14" t="s">
        <v>350</v>
      </c>
      <c r="D284" s="58">
        <v>45292</v>
      </c>
      <c r="E284" s="14" t="s">
        <v>352</v>
      </c>
      <c r="F284" s="58">
        <v>45901</v>
      </c>
      <c r="G284" s="58">
        <v>45931</v>
      </c>
      <c r="H284" s="58">
        <v>45904</v>
      </c>
      <c r="I284" s="14" t="s">
        <v>69</v>
      </c>
      <c r="J284" s="64">
        <v>1</v>
      </c>
      <c r="K284" s="59">
        <v>104.79</v>
      </c>
      <c r="L284" s="65">
        <v>0.09</v>
      </c>
      <c r="M284" s="59">
        <v>9.43</v>
      </c>
      <c r="N284" s="14" t="s">
        <v>72</v>
      </c>
      <c r="O284" s="57" t="s">
        <v>639</v>
      </c>
      <c r="P284" s="57" t="s">
        <v>640</v>
      </c>
      <c r="Q284" s="57" t="s">
        <v>641</v>
      </c>
      <c r="R284" s="57">
        <v>17437820</v>
      </c>
      <c r="S284" s="57" t="str">
        <f t="shared" si="4"/>
        <v>Colleen Finnigan</v>
      </c>
      <c r="T284" s="57"/>
      <c r="U284" s="57"/>
      <c r="V284" s="57"/>
      <c r="W284" s="57"/>
    </row>
    <row r="285" spans="1:23" s="63" customFormat="1" ht="15" customHeight="1" x14ac:dyDescent="0.2">
      <c r="A285" s="14" t="s">
        <v>65</v>
      </c>
      <c r="B285" s="64">
        <v>442368785</v>
      </c>
      <c r="C285" s="14" t="s">
        <v>301</v>
      </c>
      <c r="D285" s="58">
        <v>45292</v>
      </c>
      <c r="E285" s="14" t="s">
        <v>175</v>
      </c>
      <c r="F285" s="58">
        <v>45901</v>
      </c>
      <c r="G285" s="58">
        <v>45931</v>
      </c>
      <c r="H285" s="58">
        <v>45904</v>
      </c>
      <c r="I285" s="14" t="s">
        <v>69</v>
      </c>
      <c r="J285" s="64">
        <v>1</v>
      </c>
      <c r="K285" s="59">
        <v>30.03</v>
      </c>
      <c r="L285" s="65">
        <v>4.4999999999999998E-2</v>
      </c>
      <c r="M285" s="59">
        <v>1.35</v>
      </c>
      <c r="N285" s="14" t="s">
        <v>72</v>
      </c>
      <c r="O285" s="57" t="s">
        <v>627</v>
      </c>
      <c r="Q285" s="57" t="s">
        <v>628</v>
      </c>
      <c r="R285" s="57">
        <v>17425766</v>
      </c>
      <c r="S285" s="57" t="str">
        <f t="shared" si="4"/>
        <v>Carol Foley</v>
      </c>
      <c r="T285" s="57"/>
      <c r="U285" s="57"/>
      <c r="V285" s="57"/>
      <c r="W285" s="57"/>
    </row>
    <row r="286" spans="1:23" s="63" customFormat="1" ht="15" customHeight="1" x14ac:dyDescent="0.2">
      <c r="A286" s="14" t="s">
        <v>65</v>
      </c>
      <c r="B286" s="64">
        <v>442368786</v>
      </c>
      <c r="C286" s="14" t="s">
        <v>301</v>
      </c>
      <c r="D286" s="58">
        <v>45292</v>
      </c>
      <c r="E286" s="14" t="s">
        <v>157</v>
      </c>
      <c r="F286" s="58">
        <v>45901</v>
      </c>
      <c r="G286" s="58">
        <v>45931</v>
      </c>
      <c r="H286" s="58">
        <v>45904</v>
      </c>
      <c r="I286" s="14" t="s">
        <v>69</v>
      </c>
      <c r="J286" s="64">
        <v>1</v>
      </c>
      <c r="K286" s="59">
        <v>58.7</v>
      </c>
      <c r="L286" s="65">
        <v>0.18</v>
      </c>
      <c r="M286" s="59">
        <v>10.57</v>
      </c>
      <c r="N286" s="14" t="s">
        <v>72</v>
      </c>
      <c r="O286" s="57" t="s">
        <v>627</v>
      </c>
      <c r="Q286" s="57" t="s">
        <v>628</v>
      </c>
      <c r="R286" s="57">
        <v>17425766</v>
      </c>
      <c r="S286" s="57" t="str">
        <f t="shared" si="4"/>
        <v>Carol Foley</v>
      </c>
      <c r="T286" s="57"/>
      <c r="U286" s="57"/>
      <c r="V286" s="57"/>
      <c r="W286" s="57"/>
    </row>
    <row r="287" spans="1:23" s="63" customFormat="1" ht="15" customHeight="1" x14ac:dyDescent="0.2">
      <c r="A287" s="14" t="s">
        <v>65</v>
      </c>
      <c r="B287" s="64">
        <v>442371645</v>
      </c>
      <c r="C287" s="14" t="s">
        <v>332</v>
      </c>
      <c r="D287" s="58">
        <v>45292</v>
      </c>
      <c r="E287" s="14" t="s">
        <v>175</v>
      </c>
      <c r="F287" s="58">
        <v>45901</v>
      </c>
      <c r="G287" s="58">
        <v>45931</v>
      </c>
      <c r="H287" s="58">
        <v>45904</v>
      </c>
      <c r="I287" s="14" t="s">
        <v>69</v>
      </c>
      <c r="J287" s="64">
        <v>1</v>
      </c>
      <c r="K287" s="59">
        <v>29.36</v>
      </c>
      <c r="L287" s="65">
        <v>4.4999999999999998E-2</v>
      </c>
      <c r="M287" s="59">
        <v>1.32</v>
      </c>
      <c r="N287" s="14" t="s">
        <v>72</v>
      </c>
      <c r="O287" s="57" t="s">
        <v>627</v>
      </c>
      <c r="Q287" s="57" t="s">
        <v>628</v>
      </c>
      <c r="R287" s="57">
        <v>17425766</v>
      </c>
      <c r="S287" s="57" t="str">
        <f t="shared" si="4"/>
        <v>Carol Foley</v>
      </c>
      <c r="T287" s="57"/>
      <c r="U287" s="57"/>
      <c r="V287" s="57"/>
      <c r="W287" s="57"/>
    </row>
    <row r="288" spans="1:23" s="63" customFormat="1" ht="15" customHeight="1" x14ac:dyDescent="0.2">
      <c r="A288" s="14" t="s">
        <v>65</v>
      </c>
      <c r="B288" s="64">
        <v>442371646</v>
      </c>
      <c r="C288" s="14" t="s">
        <v>332</v>
      </c>
      <c r="D288" s="58">
        <v>45292</v>
      </c>
      <c r="E288" s="14" t="s">
        <v>157</v>
      </c>
      <c r="F288" s="58">
        <v>45901</v>
      </c>
      <c r="G288" s="58">
        <v>45931</v>
      </c>
      <c r="H288" s="58">
        <v>45904</v>
      </c>
      <c r="I288" s="14" t="s">
        <v>69</v>
      </c>
      <c r="J288" s="64">
        <v>1</v>
      </c>
      <c r="K288" s="59">
        <v>29.05</v>
      </c>
      <c r="L288" s="65">
        <v>0.09</v>
      </c>
      <c r="M288" s="59">
        <v>2.61</v>
      </c>
      <c r="N288" s="14" t="s">
        <v>72</v>
      </c>
      <c r="O288" s="57" t="s">
        <v>627</v>
      </c>
      <c r="Q288" s="57" t="s">
        <v>628</v>
      </c>
      <c r="R288" s="57">
        <v>17425766</v>
      </c>
      <c r="S288" s="57" t="str">
        <f t="shared" si="4"/>
        <v>Carol Foley</v>
      </c>
      <c r="T288" s="57"/>
      <c r="U288" s="57"/>
      <c r="V288" s="57"/>
      <c r="W288" s="57"/>
    </row>
    <row r="289" spans="1:23" s="63" customFormat="1" ht="15" customHeight="1" x14ac:dyDescent="0.2">
      <c r="A289" s="14" t="s">
        <v>65</v>
      </c>
      <c r="B289" s="64">
        <v>442371651</v>
      </c>
      <c r="C289" s="14" t="s">
        <v>332</v>
      </c>
      <c r="D289" s="58">
        <v>45292</v>
      </c>
      <c r="E289" s="14" t="s">
        <v>94</v>
      </c>
      <c r="F289" s="58">
        <v>45901</v>
      </c>
      <c r="G289" s="58">
        <v>45931</v>
      </c>
      <c r="H289" s="58">
        <v>45904</v>
      </c>
      <c r="I289" s="14" t="s">
        <v>69</v>
      </c>
      <c r="J289" s="64">
        <v>1</v>
      </c>
      <c r="K289" s="59">
        <v>13.28</v>
      </c>
      <c r="L289" s="65">
        <v>7.0000000000000007E-2</v>
      </c>
      <c r="M289" s="59">
        <v>0.93</v>
      </c>
      <c r="N289" s="14" t="s">
        <v>72</v>
      </c>
      <c r="O289" s="57" t="s">
        <v>627</v>
      </c>
      <c r="Q289" s="57" t="s">
        <v>628</v>
      </c>
      <c r="R289" s="57">
        <v>17425766</v>
      </c>
      <c r="S289" s="57" t="str">
        <f t="shared" si="4"/>
        <v>Carol Foley</v>
      </c>
      <c r="T289" s="57"/>
      <c r="U289" s="57"/>
      <c r="V289" s="57"/>
      <c r="W289" s="57"/>
    </row>
    <row r="290" spans="1:23" s="63" customFormat="1" ht="15" customHeight="1" x14ac:dyDescent="0.2">
      <c r="A290" s="14" t="s">
        <v>65</v>
      </c>
      <c r="B290" s="64">
        <v>442374060</v>
      </c>
      <c r="C290" s="14" t="s">
        <v>313</v>
      </c>
      <c r="D290" s="58">
        <v>45293</v>
      </c>
      <c r="E290" s="14" t="s">
        <v>175</v>
      </c>
      <c r="F290" s="58">
        <v>45901</v>
      </c>
      <c r="G290" s="58">
        <v>45931</v>
      </c>
      <c r="H290" s="58">
        <v>45904</v>
      </c>
      <c r="I290" s="14" t="s">
        <v>69</v>
      </c>
      <c r="J290" s="64">
        <v>1</v>
      </c>
      <c r="K290" s="59">
        <v>30.03</v>
      </c>
      <c r="L290" s="65">
        <v>4.4999999999999998E-2</v>
      </c>
      <c r="M290" s="59">
        <v>1.35</v>
      </c>
      <c r="N290" s="14" t="s">
        <v>72</v>
      </c>
      <c r="O290" s="57" t="s">
        <v>627</v>
      </c>
      <c r="Q290" s="57" t="s">
        <v>628</v>
      </c>
      <c r="R290" s="57">
        <v>17425766</v>
      </c>
      <c r="S290" s="57" t="str">
        <f t="shared" si="4"/>
        <v>Carol Foley</v>
      </c>
      <c r="T290" s="57"/>
      <c r="U290" s="57"/>
      <c r="V290" s="57"/>
      <c r="W290" s="57"/>
    </row>
    <row r="291" spans="1:23" s="63" customFormat="1" ht="15" customHeight="1" x14ac:dyDescent="0.2">
      <c r="A291" s="60" t="s">
        <v>65</v>
      </c>
      <c r="B291" s="66">
        <v>442381470</v>
      </c>
      <c r="C291" s="60" t="s">
        <v>568</v>
      </c>
      <c r="D291" s="61">
        <v>45278</v>
      </c>
      <c r="E291" s="60" t="s">
        <v>569</v>
      </c>
      <c r="F291" s="61">
        <v>45901</v>
      </c>
      <c r="G291" s="61">
        <v>45931</v>
      </c>
      <c r="H291" s="61">
        <v>45910</v>
      </c>
      <c r="I291" s="60" t="s">
        <v>69</v>
      </c>
      <c r="J291" s="66">
        <v>1</v>
      </c>
      <c r="K291" s="62">
        <v>119.05</v>
      </c>
      <c r="L291" s="67">
        <v>0.09</v>
      </c>
      <c r="M291" s="62">
        <v>10.71</v>
      </c>
      <c r="N291" s="60" t="s">
        <v>72</v>
      </c>
      <c r="O291" s="63" t="s">
        <v>627</v>
      </c>
      <c r="Q291" s="63" t="s">
        <v>628</v>
      </c>
      <c r="R291" s="63">
        <v>17425766</v>
      </c>
      <c r="S291" s="57" t="str">
        <f t="shared" si="4"/>
        <v>Carol Foley</v>
      </c>
    </row>
    <row r="292" spans="1:23" s="63" customFormat="1" ht="15" customHeight="1" x14ac:dyDescent="0.2">
      <c r="A292" s="60" t="s">
        <v>65</v>
      </c>
      <c r="B292" s="66">
        <v>442399128</v>
      </c>
      <c r="C292" s="60" t="s">
        <v>571</v>
      </c>
      <c r="D292" s="61">
        <v>45288</v>
      </c>
      <c r="E292" s="60" t="s">
        <v>157</v>
      </c>
      <c r="F292" s="61">
        <v>45901</v>
      </c>
      <c r="G292" s="61">
        <v>45931</v>
      </c>
      <c r="H292" s="61">
        <v>45912</v>
      </c>
      <c r="I292" s="60" t="s">
        <v>69</v>
      </c>
      <c r="J292" s="66">
        <v>1</v>
      </c>
      <c r="K292" s="62">
        <v>77.099999999999994</v>
      </c>
      <c r="L292" s="67">
        <v>0.09</v>
      </c>
      <c r="M292" s="62">
        <v>6.94</v>
      </c>
      <c r="N292" s="60" t="s">
        <v>72</v>
      </c>
      <c r="O292" s="63" t="s">
        <v>627</v>
      </c>
      <c r="Q292" s="63" t="s">
        <v>628</v>
      </c>
      <c r="R292" s="63">
        <v>17425766</v>
      </c>
      <c r="S292" s="57" t="str">
        <f t="shared" si="4"/>
        <v>Carol Foley</v>
      </c>
    </row>
    <row r="293" spans="1:23" s="63" customFormat="1" ht="15" customHeight="1" x14ac:dyDescent="0.2">
      <c r="A293" s="60" t="s">
        <v>65</v>
      </c>
      <c r="B293" s="66">
        <v>442425089</v>
      </c>
      <c r="C293" s="60" t="s">
        <v>586</v>
      </c>
      <c r="D293" s="61">
        <v>45301</v>
      </c>
      <c r="E293" s="60" t="s">
        <v>587</v>
      </c>
      <c r="F293" s="61">
        <v>45901</v>
      </c>
      <c r="G293" s="61">
        <v>45931</v>
      </c>
      <c r="H293" s="61">
        <v>45912</v>
      </c>
      <c r="I293" s="60" t="s">
        <v>69</v>
      </c>
      <c r="J293" s="66">
        <v>1</v>
      </c>
      <c r="K293" s="62">
        <v>20.399999999999999</v>
      </c>
      <c r="L293" s="67">
        <v>0.09</v>
      </c>
      <c r="M293" s="62">
        <v>1.84</v>
      </c>
      <c r="N293" s="60" t="s">
        <v>72</v>
      </c>
      <c r="O293" s="63" t="s">
        <v>636</v>
      </c>
      <c r="P293" s="63" t="s">
        <v>637</v>
      </c>
      <c r="Q293" s="63" t="s">
        <v>638</v>
      </c>
      <c r="R293" s="63">
        <v>17528908</v>
      </c>
      <c r="S293" s="57" t="str">
        <f t="shared" si="4"/>
        <v>Deborah Inskipt</v>
      </c>
    </row>
    <row r="294" spans="1:23" s="63" customFormat="1" ht="15" customHeight="1" x14ac:dyDescent="0.2">
      <c r="A294" s="60" t="s">
        <v>65</v>
      </c>
      <c r="B294" s="66">
        <v>442425090</v>
      </c>
      <c r="C294" s="60" t="s">
        <v>586</v>
      </c>
      <c r="D294" s="61">
        <v>45301</v>
      </c>
      <c r="E294" s="60" t="s">
        <v>588</v>
      </c>
      <c r="F294" s="61">
        <v>45901</v>
      </c>
      <c r="G294" s="61">
        <v>45931</v>
      </c>
      <c r="H294" s="61">
        <v>45912</v>
      </c>
      <c r="I294" s="60" t="s">
        <v>69</v>
      </c>
      <c r="J294" s="66">
        <v>1</v>
      </c>
      <c r="K294" s="62">
        <v>24</v>
      </c>
      <c r="L294" s="67">
        <v>0.09</v>
      </c>
      <c r="M294" s="62">
        <v>2.16</v>
      </c>
      <c r="N294" s="60" t="s">
        <v>72</v>
      </c>
      <c r="O294" s="63" t="s">
        <v>636</v>
      </c>
      <c r="P294" s="63" t="s">
        <v>637</v>
      </c>
      <c r="Q294" s="63" t="s">
        <v>638</v>
      </c>
      <c r="R294" s="63">
        <v>17528908</v>
      </c>
      <c r="S294" s="57" t="str">
        <f t="shared" si="4"/>
        <v>Deborah Inskipt</v>
      </c>
    </row>
    <row r="295" spans="1:23" s="63" customFormat="1" ht="15" customHeight="1" x14ac:dyDescent="0.2">
      <c r="A295" s="60" t="s">
        <v>65</v>
      </c>
      <c r="B295" s="66">
        <v>442446643</v>
      </c>
      <c r="C295" s="60" t="s">
        <v>581</v>
      </c>
      <c r="D295" s="61">
        <v>45309</v>
      </c>
      <c r="E295" s="60" t="s">
        <v>582</v>
      </c>
      <c r="F295" s="61">
        <v>45901</v>
      </c>
      <c r="G295" s="61">
        <v>45931</v>
      </c>
      <c r="H295" s="61">
        <v>45910</v>
      </c>
      <c r="I295" s="60" t="s">
        <v>69</v>
      </c>
      <c r="J295" s="66">
        <v>1</v>
      </c>
      <c r="K295" s="62">
        <v>31.5</v>
      </c>
      <c r="L295" s="67">
        <v>0.09</v>
      </c>
      <c r="M295" s="62">
        <v>2.84</v>
      </c>
      <c r="N295" s="60" t="s">
        <v>72</v>
      </c>
      <c r="O295" s="63" t="s">
        <v>636</v>
      </c>
      <c r="P295" s="63" t="s">
        <v>637</v>
      </c>
      <c r="Q295" s="63" t="s">
        <v>638</v>
      </c>
      <c r="R295" s="63">
        <v>17528908</v>
      </c>
      <c r="S295" s="57" t="str">
        <f t="shared" si="4"/>
        <v>Deborah Inskipt</v>
      </c>
    </row>
    <row r="296" spans="1:23" s="63" customFormat="1" ht="15" customHeight="1" x14ac:dyDescent="0.2">
      <c r="A296" s="60" t="s">
        <v>65</v>
      </c>
      <c r="B296" s="66">
        <v>442446644</v>
      </c>
      <c r="C296" s="60" t="s">
        <v>581</v>
      </c>
      <c r="D296" s="61">
        <v>45309</v>
      </c>
      <c r="E296" s="60" t="s">
        <v>583</v>
      </c>
      <c r="F296" s="61">
        <v>45901</v>
      </c>
      <c r="G296" s="61">
        <v>45931</v>
      </c>
      <c r="H296" s="61">
        <v>45910</v>
      </c>
      <c r="I296" s="60" t="s">
        <v>69</v>
      </c>
      <c r="J296" s="66">
        <v>1</v>
      </c>
      <c r="K296" s="62">
        <v>37.799999999999997</v>
      </c>
      <c r="L296" s="67">
        <v>0.09</v>
      </c>
      <c r="M296" s="62">
        <v>3.4</v>
      </c>
      <c r="N296" s="60" t="s">
        <v>72</v>
      </c>
      <c r="O296" s="63" t="s">
        <v>636</v>
      </c>
      <c r="P296" s="63" t="s">
        <v>637</v>
      </c>
      <c r="Q296" s="63" t="s">
        <v>638</v>
      </c>
      <c r="R296" s="63">
        <v>17528908</v>
      </c>
      <c r="S296" s="57" t="str">
        <f t="shared" si="4"/>
        <v>Deborah Inskipt</v>
      </c>
    </row>
    <row r="297" spans="1:23" s="63" customFormat="1" ht="15" customHeight="1" x14ac:dyDescent="0.2">
      <c r="A297" s="14" t="s">
        <v>65</v>
      </c>
      <c r="B297" s="64">
        <v>442448275</v>
      </c>
      <c r="C297" s="14" t="s">
        <v>187</v>
      </c>
      <c r="D297" s="58">
        <v>45323</v>
      </c>
      <c r="E297" s="14" t="s">
        <v>175</v>
      </c>
      <c r="F297" s="58">
        <v>45901</v>
      </c>
      <c r="G297" s="58">
        <v>45931</v>
      </c>
      <c r="H297" s="58">
        <v>45904</v>
      </c>
      <c r="I297" s="14" t="s">
        <v>69</v>
      </c>
      <c r="J297" s="64">
        <v>1</v>
      </c>
      <c r="K297" s="59">
        <v>30.03</v>
      </c>
      <c r="L297" s="65">
        <v>4.4999999999999998E-2</v>
      </c>
      <c r="M297" s="59">
        <v>1.35</v>
      </c>
      <c r="N297" s="14" t="s">
        <v>72</v>
      </c>
      <c r="O297" s="57" t="s">
        <v>627</v>
      </c>
      <c r="Q297" s="57" t="s">
        <v>628</v>
      </c>
      <c r="R297" s="57">
        <v>17425766</v>
      </c>
      <c r="S297" s="57" t="str">
        <f t="shared" si="4"/>
        <v>Carol Foley</v>
      </c>
      <c r="T297" s="57"/>
      <c r="U297" s="57"/>
      <c r="V297" s="57"/>
      <c r="W297" s="57"/>
    </row>
    <row r="298" spans="1:23" s="63" customFormat="1" ht="15" customHeight="1" x14ac:dyDescent="0.2">
      <c r="A298" s="14" t="s">
        <v>65</v>
      </c>
      <c r="B298" s="64">
        <v>442448276</v>
      </c>
      <c r="C298" s="14" t="s">
        <v>187</v>
      </c>
      <c r="D298" s="58">
        <v>45323</v>
      </c>
      <c r="E298" s="14" t="s">
        <v>157</v>
      </c>
      <c r="F298" s="58">
        <v>45901</v>
      </c>
      <c r="G298" s="58">
        <v>45931</v>
      </c>
      <c r="H298" s="58">
        <v>45904</v>
      </c>
      <c r="I298" s="14" t="s">
        <v>69</v>
      </c>
      <c r="J298" s="64">
        <v>1</v>
      </c>
      <c r="K298" s="59">
        <v>26.51</v>
      </c>
      <c r="L298" s="65">
        <v>0.18</v>
      </c>
      <c r="M298" s="59">
        <v>4.7699999999999996</v>
      </c>
      <c r="N298" s="14" t="s">
        <v>72</v>
      </c>
      <c r="O298" s="57" t="s">
        <v>627</v>
      </c>
      <c r="Q298" s="57" t="s">
        <v>628</v>
      </c>
      <c r="R298" s="57">
        <v>17425766</v>
      </c>
      <c r="S298" s="57" t="str">
        <f t="shared" si="4"/>
        <v>Carol Foley</v>
      </c>
      <c r="T298" s="57"/>
      <c r="U298" s="57"/>
      <c r="V298" s="57"/>
      <c r="W298" s="57"/>
    </row>
    <row r="299" spans="1:23" s="63" customFormat="1" ht="15" customHeight="1" x14ac:dyDescent="0.2">
      <c r="A299" s="14" t="s">
        <v>65</v>
      </c>
      <c r="B299" s="64">
        <v>442450565</v>
      </c>
      <c r="C299" s="14" t="s">
        <v>417</v>
      </c>
      <c r="D299" s="58">
        <v>45323</v>
      </c>
      <c r="E299" s="14" t="s">
        <v>157</v>
      </c>
      <c r="F299" s="58">
        <v>45901</v>
      </c>
      <c r="G299" s="58">
        <v>45931</v>
      </c>
      <c r="H299" s="58">
        <v>45904</v>
      </c>
      <c r="I299" s="14" t="s">
        <v>69</v>
      </c>
      <c r="J299" s="64">
        <v>1</v>
      </c>
      <c r="K299" s="59">
        <v>62.81</v>
      </c>
      <c r="L299" s="65">
        <v>0.18</v>
      </c>
      <c r="M299" s="59">
        <v>11.31</v>
      </c>
      <c r="N299" s="14" t="s">
        <v>72</v>
      </c>
      <c r="O299" s="57" t="s">
        <v>629</v>
      </c>
      <c r="P299" s="57" t="s">
        <v>69</v>
      </c>
      <c r="Q299" s="57" t="s">
        <v>630</v>
      </c>
      <c r="R299" s="57">
        <v>15278437</v>
      </c>
      <c r="S299" s="57" t="str">
        <f t="shared" si="4"/>
        <v>Jason Hoffmann</v>
      </c>
      <c r="T299" s="57"/>
      <c r="U299" s="57"/>
      <c r="V299" s="57"/>
      <c r="W299" s="57"/>
    </row>
    <row r="300" spans="1:23" s="63" customFormat="1" ht="15" customHeight="1" x14ac:dyDescent="0.2">
      <c r="A300" s="60" t="s">
        <v>65</v>
      </c>
      <c r="B300" s="66">
        <v>442459673</v>
      </c>
      <c r="C300" s="60" t="s">
        <v>617</v>
      </c>
      <c r="D300" s="61">
        <v>45317</v>
      </c>
      <c r="E300" s="60" t="s">
        <v>618</v>
      </c>
      <c r="F300" s="61">
        <v>45901</v>
      </c>
      <c r="G300" s="61">
        <v>45931</v>
      </c>
      <c r="H300" s="61">
        <v>45911</v>
      </c>
      <c r="I300" s="60" t="s">
        <v>69</v>
      </c>
      <c r="J300" s="66">
        <v>1</v>
      </c>
      <c r="K300" s="62">
        <v>85.5</v>
      </c>
      <c r="L300" s="67">
        <v>0.09</v>
      </c>
      <c r="M300" s="62">
        <v>7.7</v>
      </c>
      <c r="N300" s="60" t="s">
        <v>72</v>
      </c>
      <c r="O300" s="63" t="s">
        <v>642</v>
      </c>
      <c r="P300" s="63" t="s">
        <v>643</v>
      </c>
      <c r="Q300" s="63" t="s">
        <v>644</v>
      </c>
      <c r="R300" s="63">
        <v>8971826</v>
      </c>
      <c r="S300" s="57" t="str">
        <f t="shared" si="4"/>
        <v>Scott Aguglia</v>
      </c>
    </row>
    <row r="301" spans="1:23" s="63" customFormat="1" ht="15" customHeight="1" x14ac:dyDescent="0.2">
      <c r="A301" s="60" t="s">
        <v>65</v>
      </c>
      <c r="B301" s="66">
        <v>442474033</v>
      </c>
      <c r="C301" s="60" t="s">
        <v>576</v>
      </c>
      <c r="D301" s="61">
        <v>45327</v>
      </c>
      <c r="E301" s="60" t="s">
        <v>160</v>
      </c>
      <c r="F301" s="61">
        <v>45901</v>
      </c>
      <c r="G301" s="61">
        <v>45931</v>
      </c>
      <c r="H301" s="61">
        <v>45909</v>
      </c>
      <c r="I301" s="60" t="s">
        <v>69</v>
      </c>
      <c r="J301" s="66">
        <v>1</v>
      </c>
      <c r="K301" s="62">
        <v>47.94</v>
      </c>
      <c r="L301" s="67">
        <v>4.4999999999999998E-2</v>
      </c>
      <c r="M301" s="62">
        <v>2.16</v>
      </c>
      <c r="N301" s="60" t="s">
        <v>72</v>
      </c>
      <c r="O301" s="63" t="s">
        <v>627</v>
      </c>
      <c r="Q301" s="63" t="s">
        <v>628</v>
      </c>
      <c r="R301" s="63">
        <v>17425766</v>
      </c>
      <c r="S301" s="57" t="str">
        <f t="shared" si="4"/>
        <v>Carol Foley</v>
      </c>
    </row>
    <row r="302" spans="1:23" s="63" customFormat="1" ht="15" customHeight="1" x14ac:dyDescent="0.2">
      <c r="A302" s="14" t="s">
        <v>65</v>
      </c>
      <c r="B302" s="64">
        <v>442479343</v>
      </c>
      <c r="C302" s="14" t="s">
        <v>379</v>
      </c>
      <c r="D302" s="58">
        <v>45352</v>
      </c>
      <c r="E302" s="14" t="s">
        <v>368</v>
      </c>
      <c r="F302" s="58">
        <v>45901</v>
      </c>
      <c r="G302" s="58">
        <v>45931</v>
      </c>
      <c r="H302" s="58">
        <v>45904</v>
      </c>
      <c r="I302" s="14" t="s">
        <v>69</v>
      </c>
      <c r="J302" s="64">
        <v>1</v>
      </c>
      <c r="K302" s="59">
        <v>24.5</v>
      </c>
      <c r="L302" s="65">
        <v>0.09</v>
      </c>
      <c r="M302" s="59">
        <v>2.21</v>
      </c>
      <c r="N302" s="14" t="s">
        <v>72</v>
      </c>
      <c r="O302" s="57" t="s">
        <v>636</v>
      </c>
      <c r="P302" s="57" t="s">
        <v>637</v>
      </c>
      <c r="Q302" s="57" t="s">
        <v>638</v>
      </c>
      <c r="R302" s="57">
        <v>17528908</v>
      </c>
      <c r="S302" s="57" t="str">
        <f t="shared" si="4"/>
        <v>Deborah Inskipt</v>
      </c>
      <c r="T302" s="57"/>
      <c r="U302" s="57"/>
      <c r="V302" s="57"/>
      <c r="W302" s="57"/>
    </row>
    <row r="303" spans="1:23" s="63" customFormat="1" ht="15" customHeight="1" x14ac:dyDescent="0.2">
      <c r="A303" s="14" t="s">
        <v>65</v>
      </c>
      <c r="B303" s="64">
        <v>442479344</v>
      </c>
      <c r="C303" s="14" t="s">
        <v>379</v>
      </c>
      <c r="D303" s="58">
        <v>45352</v>
      </c>
      <c r="E303" s="14" t="s">
        <v>381</v>
      </c>
      <c r="F303" s="58">
        <v>45901</v>
      </c>
      <c r="G303" s="58">
        <v>45931</v>
      </c>
      <c r="H303" s="58">
        <v>45904</v>
      </c>
      <c r="I303" s="14" t="s">
        <v>69</v>
      </c>
      <c r="J303" s="64">
        <v>1</v>
      </c>
      <c r="K303" s="59">
        <v>31</v>
      </c>
      <c r="L303" s="65">
        <v>0.09</v>
      </c>
      <c r="M303" s="59">
        <v>2.79</v>
      </c>
      <c r="N303" s="14" t="s">
        <v>72</v>
      </c>
      <c r="O303" s="57" t="s">
        <v>636</v>
      </c>
      <c r="P303" s="57" t="s">
        <v>637</v>
      </c>
      <c r="Q303" s="57" t="s">
        <v>638</v>
      </c>
      <c r="R303" s="57">
        <v>17528908</v>
      </c>
      <c r="S303" s="57" t="str">
        <f t="shared" si="4"/>
        <v>Deborah Inskipt</v>
      </c>
      <c r="T303" s="57"/>
      <c r="U303" s="57"/>
      <c r="V303" s="57"/>
      <c r="W303" s="57"/>
    </row>
    <row r="304" spans="1:23" s="63" customFormat="1" ht="15" customHeight="1" x14ac:dyDescent="0.2">
      <c r="A304" s="14" t="s">
        <v>65</v>
      </c>
      <c r="B304" s="64">
        <v>442481571</v>
      </c>
      <c r="C304" s="14" t="s">
        <v>377</v>
      </c>
      <c r="D304" s="58">
        <v>45383</v>
      </c>
      <c r="E304" s="14" t="s">
        <v>371</v>
      </c>
      <c r="F304" s="58">
        <v>45901</v>
      </c>
      <c r="G304" s="58">
        <v>45931</v>
      </c>
      <c r="H304" s="58">
        <v>45904</v>
      </c>
      <c r="I304" s="14" t="s">
        <v>69</v>
      </c>
      <c r="J304" s="64">
        <v>1</v>
      </c>
      <c r="K304" s="59">
        <v>26.4</v>
      </c>
      <c r="L304" s="65">
        <v>0.09</v>
      </c>
      <c r="M304" s="59">
        <v>2.38</v>
      </c>
      <c r="N304" s="14" t="s">
        <v>72</v>
      </c>
      <c r="O304" s="57" t="s">
        <v>636</v>
      </c>
      <c r="P304" s="57" t="s">
        <v>637</v>
      </c>
      <c r="Q304" s="57" t="s">
        <v>638</v>
      </c>
      <c r="R304" s="57">
        <v>17528908</v>
      </c>
      <c r="S304" s="57" t="str">
        <f t="shared" si="4"/>
        <v>Deborah Inskipt</v>
      </c>
      <c r="T304" s="57"/>
      <c r="U304" s="57"/>
      <c r="V304" s="57"/>
      <c r="W304" s="57"/>
    </row>
    <row r="305" spans="1:23" s="63" customFormat="1" ht="15" customHeight="1" x14ac:dyDescent="0.2">
      <c r="A305" s="14" t="s">
        <v>65</v>
      </c>
      <c r="B305" s="64">
        <v>442490167</v>
      </c>
      <c r="C305" s="14" t="s">
        <v>386</v>
      </c>
      <c r="D305" s="58">
        <v>45334</v>
      </c>
      <c r="E305" s="14" t="s">
        <v>365</v>
      </c>
      <c r="F305" s="58">
        <v>45901</v>
      </c>
      <c r="G305" s="58">
        <v>45931</v>
      </c>
      <c r="H305" s="58">
        <v>45906</v>
      </c>
      <c r="I305" s="14" t="s">
        <v>69</v>
      </c>
      <c r="J305" s="64">
        <v>1</v>
      </c>
      <c r="K305" s="59">
        <v>16.95</v>
      </c>
      <c r="L305" s="65">
        <v>0.09</v>
      </c>
      <c r="M305" s="59">
        <v>1.53</v>
      </c>
      <c r="N305" s="14" t="s">
        <v>72</v>
      </c>
      <c r="O305" s="57" t="s">
        <v>636</v>
      </c>
      <c r="P305" s="57" t="s">
        <v>637</v>
      </c>
      <c r="Q305" s="57" t="s">
        <v>638</v>
      </c>
      <c r="R305" s="57">
        <v>17528908</v>
      </c>
      <c r="S305" s="57" t="str">
        <f t="shared" si="4"/>
        <v>Deborah Inskipt</v>
      </c>
      <c r="T305" s="57"/>
      <c r="U305" s="57"/>
      <c r="V305" s="57"/>
      <c r="W305" s="57"/>
    </row>
    <row r="306" spans="1:23" s="63" customFormat="1" ht="15" customHeight="1" x14ac:dyDescent="0.2">
      <c r="A306" s="60" t="s">
        <v>65</v>
      </c>
      <c r="B306" s="66">
        <v>442502397</v>
      </c>
      <c r="C306" s="60" t="s">
        <v>579</v>
      </c>
      <c r="D306" s="61">
        <v>45343</v>
      </c>
      <c r="E306" s="60" t="s">
        <v>175</v>
      </c>
      <c r="F306" s="61">
        <v>45901</v>
      </c>
      <c r="G306" s="61">
        <v>45931</v>
      </c>
      <c r="H306" s="61">
        <v>45910</v>
      </c>
      <c r="I306" s="60" t="s">
        <v>69</v>
      </c>
      <c r="J306" s="66">
        <v>1</v>
      </c>
      <c r="K306" s="62">
        <v>38.71</v>
      </c>
      <c r="L306" s="67">
        <v>4.4999999999999998E-2</v>
      </c>
      <c r="M306" s="62">
        <v>1.74</v>
      </c>
      <c r="N306" s="60" t="s">
        <v>72</v>
      </c>
      <c r="O306" s="63" t="s">
        <v>627</v>
      </c>
      <c r="Q306" s="63" t="s">
        <v>628</v>
      </c>
      <c r="R306" s="63">
        <v>17425766</v>
      </c>
      <c r="S306" s="57" t="str">
        <f t="shared" si="4"/>
        <v>Carol Foley</v>
      </c>
    </row>
    <row r="307" spans="1:23" s="63" customFormat="1" ht="15" customHeight="1" x14ac:dyDescent="0.2">
      <c r="A307" s="60" t="s">
        <v>65</v>
      </c>
      <c r="B307" s="66">
        <v>442502398</v>
      </c>
      <c r="C307" s="60" t="s">
        <v>579</v>
      </c>
      <c r="D307" s="61">
        <v>45343</v>
      </c>
      <c r="E307" s="60" t="s">
        <v>157</v>
      </c>
      <c r="F307" s="61">
        <v>45901</v>
      </c>
      <c r="G307" s="61">
        <v>45931</v>
      </c>
      <c r="H307" s="61">
        <v>45910</v>
      </c>
      <c r="I307" s="60" t="s">
        <v>69</v>
      </c>
      <c r="J307" s="66">
        <v>1</v>
      </c>
      <c r="K307" s="62">
        <v>23.37</v>
      </c>
      <c r="L307" s="67">
        <v>0.09</v>
      </c>
      <c r="M307" s="62">
        <v>2.1</v>
      </c>
      <c r="N307" s="60" t="s">
        <v>72</v>
      </c>
      <c r="O307" s="63" t="s">
        <v>627</v>
      </c>
      <c r="Q307" s="63" t="s">
        <v>628</v>
      </c>
      <c r="R307" s="63">
        <v>17425766</v>
      </c>
      <c r="S307" s="57" t="str">
        <f t="shared" si="4"/>
        <v>Carol Foley</v>
      </c>
    </row>
    <row r="308" spans="1:23" s="63" customFormat="1" ht="15" customHeight="1" x14ac:dyDescent="0.2">
      <c r="A308" s="14" t="s">
        <v>65</v>
      </c>
      <c r="B308" s="64">
        <v>442520332</v>
      </c>
      <c r="C308" s="14" t="s">
        <v>283</v>
      </c>
      <c r="D308" s="58">
        <v>45352</v>
      </c>
      <c r="E308" s="14" t="s">
        <v>284</v>
      </c>
      <c r="F308" s="58">
        <v>45901</v>
      </c>
      <c r="G308" s="58">
        <v>45931</v>
      </c>
      <c r="H308" s="58">
        <v>45904</v>
      </c>
      <c r="I308" s="14" t="s">
        <v>69</v>
      </c>
      <c r="J308" s="64">
        <v>1</v>
      </c>
      <c r="K308" s="59">
        <v>64.48</v>
      </c>
      <c r="L308" s="65">
        <v>0.09</v>
      </c>
      <c r="M308" s="59">
        <v>5.8</v>
      </c>
      <c r="N308" s="14" t="s">
        <v>72</v>
      </c>
      <c r="O308" s="57" t="s">
        <v>627</v>
      </c>
      <c r="Q308" s="57" t="s">
        <v>628</v>
      </c>
      <c r="R308" s="57">
        <v>17425766</v>
      </c>
      <c r="S308" s="57" t="str">
        <f t="shared" si="4"/>
        <v>Carol Foley</v>
      </c>
      <c r="T308" s="57"/>
      <c r="U308" s="57"/>
      <c r="V308" s="57"/>
      <c r="W308" s="57"/>
    </row>
    <row r="309" spans="1:23" s="63" customFormat="1" ht="15" customHeight="1" x14ac:dyDescent="0.2">
      <c r="A309" s="14" t="s">
        <v>65</v>
      </c>
      <c r="B309" s="64">
        <v>442522920</v>
      </c>
      <c r="C309" s="14" t="s">
        <v>325</v>
      </c>
      <c r="D309" s="58">
        <v>45352</v>
      </c>
      <c r="E309" s="14" t="s">
        <v>78</v>
      </c>
      <c r="F309" s="58">
        <v>45901</v>
      </c>
      <c r="G309" s="58">
        <v>45931</v>
      </c>
      <c r="H309" s="58">
        <v>45904</v>
      </c>
      <c r="I309" s="14" t="s">
        <v>69</v>
      </c>
      <c r="J309" s="64">
        <v>1</v>
      </c>
      <c r="K309" s="59">
        <v>9.4</v>
      </c>
      <c r="L309" s="65">
        <v>0.09</v>
      </c>
      <c r="M309" s="59">
        <v>0.85</v>
      </c>
      <c r="N309" s="14" t="s">
        <v>72</v>
      </c>
      <c r="O309" s="57" t="s">
        <v>627</v>
      </c>
      <c r="Q309" s="57" t="s">
        <v>628</v>
      </c>
      <c r="R309" s="57">
        <v>17425766</v>
      </c>
      <c r="S309" s="57" t="str">
        <f t="shared" si="4"/>
        <v>Carol Foley</v>
      </c>
      <c r="T309" s="57"/>
      <c r="U309" s="57"/>
      <c r="V309" s="57"/>
      <c r="W309" s="57"/>
    </row>
    <row r="310" spans="1:23" s="63" customFormat="1" ht="15" customHeight="1" x14ac:dyDescent="0.2">
      <c r="A310" s="14" t="s">
        <v>65</v>
      </c>
      <c r="B310" s="64">
        <v>442522921</v>
      </c>
      <c r="C310" s="14" t="s">
        <v>325</v>
      </c>
      <c r="D310" s="58">
        <v>45352</v>
      </c>
      <c r="E310" s="14" t="s">
        <v>327</v>
      </c>
      <c r="F310" s="58">
        <v>45901</v>
      </c>
      <c r="G310" s="58">
        <v>45931</v>
      </c>
      <c r="H310" s="58">
        <v>45904</v>
      </c>
      <c r="I310" s="14" t="s">
        <v>69</v>
      </c>
      <c r="J310" s="64">
        <v>1</v>
      </c>
      <c r="K310" s="59">
        <v>49.13</v>
      </c>
      <c r="L310" s="65">
        <v>0.18</v>
      </c>
      <c r="M310" s="59">
        <v>8.84</v>
      </c>
      <c r="N310" s="14" t="s">
        <v>72</v>
      </c>
      <c r="O310" s="57" t="s">
        <v>627</v>
      </c>
      <c r="Q310" s="57" t="s">
        <v>628</v>
      </c>
      <c r="R310" s="57">
        <v>17425766</v>
      </c>
      <c r="S310" s="57" t="str">
        <f t="shared" si="4"/>
        <v>Carol Foley</v>
      </c>
      <c r="T310" s="57"/>
      <c r="U310" s="57"/>
      <c r="V310" s="57"/>
      <c r="W310" s="57"/>
    </row>
    <row r="311" spans="1:23" s="63" customFormat="1" ht="15" customHeight="1" x14ac:dyDescent="0.2">
      <c r="A311" s="14" t="s">
        <v>65</v>
      </c>
      <c r="B311" s="64">
        <v>442525756</v>
      </c>
      <c r="C311" s="14" t="s">
        <v>306</v>
      </c>
      <c r="D311" s="58">
        <v>45352</v>
      </c>
      <c r="E311" s="14" t="s">
        <v>284</v>
      </c>
      <c r="F311" s="58">
        <v>45901</v>
      </c>
      <c r="G311" s="58">
        <v>45931</v>
      </c>
      <c r="H311" s="58">
        <v>45904</v>
      </c>
      <c r="I311" s="14" t="s">
        <v>69</v>
      </c>
      <c r="J311" s="64">
        <v>1</v>
      </c>
      <c r="K311" s="59">
        <v>49.7</v>
      </c>
      <c r="L311" s="65">
        <v>7.0000000000000007E-2</v>
      </c>
      <c r="M311" s="59">
        <v>3.48</v>
      </c>
      <c r="N311" s="14" t="s">
        <v>72</v>
      </c>
      <c r="O311" s="57" t="s">
        <v>627</v>
      </c>
      <c r="Q311" s="57" t="s">
        <v>628</v>
      </c>
      <c r="R311" s="57">
        <v>17425766</v>
      </c>
      <c r="S311" s="57" t="str">
        <f t="shared" si="4"/>
        <v>Carol Foley</v>
      </c>
      <c r="T311" s="57"/>
      <c r="U311" s="57"/>
      <c r="V311" s="57"/>
      <c r="W311" s="57"/>
    </row>
    <row r="312" spans="1:23" s="63" customFormat="1" ht="15" customHeight="1" x14ac:dyDescent="0.2">
      <c r="A312" s="14" t="s">
        <v>65</v>
      </c>
      <c r="B312" s="64">
        <v>442534725</v>
      </c>
      <c r="C312" s="14" t="s">
        <v>361</v>
      </c>
      <c r="D312" s="58">
        <v>45383</v>
      </c>
      <c r="E312" s="14" t="s">
        <v>362</v>
      </c>
      <c r="F312" s="58">
        <v>45901</v>
      </c>
      <c r="G312" s="58">
        <v>45931</v>
      </c>
      <c r="H312" s="58">
        <v>45904</v>
      </c>
      <c r="I312" s="14" t="s">
        <v>69</v>
      </c>
      <c r="J312" s="64">
        <v>1</v>
      </c>
      <c r="K312" s="59">
        <v>19.8</v>
      </c>
      <c r="L312" s="65">
        <v>0.09</v>
      </c>
      <c r="M312" s="59">
        <v>1.78</v>
      </c>
      <c r="N312" s="14" t="s">
        <v>72</v>
      </c>
      <c r="O312" s="57" t="s">
        <v>636</v>
      </c>
      <c r="P312" s="57" t="s">
        <v>637</v>
      </c>
      <c r="Q312" s="57" t="s">
        <v>638</v>
      </c>
      <c r="R312" s="57">
        <v>17528908</v>
      </c>
      <c r="S312" s="57" t="str">
        <f t="shared" si="4"/>
        <v>Deborah Inskipt</v>
      </c>
      <c r="T312" s="57"/>
      <c r="U312" s="57"/>
      <c r="V312" s="57"/>
      <c r="W312" s="57"/>
    </row>
    <row r="313" spans="1:23" s="63" customFormat="1" ht="15" customHeight="1" x14ac:dyDescent="0.2">
      <c r="A313" s="14" t="s">
        <v>65</v>
      </c>
      <c r="B313" s="64">
        <v>442534726</v>
      </c>
      <c r="C313" s="14" t="s">
        <v>364</v>
      </c>
      <c r="D313" s="58">
        <v>45383</v>
      </c>
      <c r="E313" s="14" t="s">
        <v>365</v>
      </c>
      <c r="F313" s="58">
        <v>45901</v>
      </c>
      <c r="G313" s="58">
        <v>45931</v>
      </c>
      <c r="H313" s="58">
        <v>45904</v>
      </c>
      <c r="I313" s="14" t="s">
        <v>69</v>
      </c>
      <c r="J313" s="64">
        <v>1</v>
      </c>
      <c r="K313" s="59">
        <v>36.75</v>
      </c>
      <c r="L313" s="65">
        <v>0.09</v>
      </c>
      <c r="M313" s="59">
        <v>3.31</v>
      </c>
      <c r="N313" s="14" t="s">
        <v>72</v>
      </c>
      <c r="O313" s="57" t="s">
        <v>636</v>
      </c>
      <c r="P313" s="57" t="s">
        <v>637</v>
      </c>
      <c r="Q313" s="57" t="s">
        <v>638</v>
      </c>
      <c r="R313" s="57">
        <v>17528908</v>
      </c>
      <c r="S313" s="57" t="str">
        <f t="shared" si="4"/>
        <v>Deborah Inskipt</v>
      </c>
      <c r="T313" s="57"/>
      <c r="U313" s="57"/>
      <c r="V313" s="57"/>
      <c r="W313" s="57"/>
    </row>
    <row r="314" spans="1:23" s="63" customFormat="1" ht="15" customHeight="1" x14ac:dyDescent="0.2">
      <c r="A314" s="60" t="s">
        <v>65</v>
      </c>
      <c r="B314" s="66">
        <v>442548317</v>
      </c>
      <c r="C314" s="60" t="s">
        <v>572</v>
      </c>
      <c r="D314" s="61">
        <v>45366</v>
      </c>
      <c r="E314" s="60" t="s">
        <v>284</v>
      </c>
      <c r="F314" s="61">
        <v>45901</v>
      </c>
      <c r="G314" s="61">
        <v>45931</v>
      </c>
      <c r="H314" s="61">
        <v>45909</v>
      </c>
      <c r="I314" s="60" t="s">
        <v>69</v>
      </c>
      <c r="J314" s="66">
        <v>1</v>
      </c>
      <c r="K314" s="62">
        <v>49.7</v>
      </c>
      <c r="L314" s="67">
        <v>7.0000000000000007E-2</v>
      </c>
      <c r="M314" s="62">
        <v>3.48</v>
      </c>
      <c r="N314" s="60" t="s">
        <v>72</v>
      </c>
      <c r="O314" s="63" t="s">
        <v>627</v>
      </c>
      <c r="Q314" s="63" t="s">
        <v>628</v>
      </c>
      <c r="R314" s="63">
        <v>17425766</v>
      </c>
      <c r="S314" s="57" t="str">
        <f t="shared" si="4"/>
        <v>Carol Foley</v>
      </c>
    </row>
    <row r="315" spans="1:23" s="63" customFormat="1" ht="15" customHeight="1" x14ac:dyDescent="0.2">
      <c r="A315" s="14" t="s">
        <v>65</v>
      </c>
      <c r="B315" s="64">
        <v>442556364</v>
      </c>
      <c r="C315" s="14" t="s">
        <v>91</v>
      </c>
      <c r="D315" s="58">
        <v>45413</v>
      </c>
      <c r="E315" s="14" t="s">
        <v>68</v>
      </c>
      <c r="F315" s="58">
        <v>45901</v>
      </c>
      <c r="G315" s="58">
        <v>45931</v>
      </c>
      <c r="H315" s="58">
        <v>45904</v>
      </c>
      <c r="I315" s="14" t="s">
        <v>69</v>
      </c>
      <c r="J315" s="64">
        <v>1</v>
      </c>
      <c r="K315" s="59">
        <v>23.59</v>
      </c>
      <c r="L315" s="65">
        <v>0.18</v>
      </c>
      <c r="M315" s="59">
        <v>4.25</v>
      </c>
      <c r="N315" s="14" t="s">
        <v>72</v>
      </c>
      <c r="O315" s="57" t="s">
        <v>623</v>
      </c>
      <c r="P315" s="57" t="s">
        <v>631</v>
      </c>
      <c r="Q315" s="57" t="s">
        <v>632</v>
      </c>
      <c r="R315" s="57">
        <v>19278370</v>
      </c>
      <c r="S315" s="57" t="str">
        <f t="shared" si="4"/>
        <v>Anne Kozacheck</v>
      </c>
      <c r="T315" s="57"/>
      <c r="U315" s="57"/>
      <c r="V315" s="57"/>
      <c r="W315" s="57"/>
    </row>
    <row r="316" spans="1:23" s="63" customFormat="1" ht="15" customHeight="1" x14ac:dyDescent="0.2">
      <c r="A316" s="14" t="s">
        <v>65</v>
      </c>
      <c r="B316" s="64">
        <v>442557345</v>
      </c>
      <c r="C316" s="14" t="s">
        <v>227</v>
      </c>
      <c r="D316" s="58">
        <v>45383</v>
      </c>
      <c r="E316" s="14" t="s">
        <v>228</v>
      </c>
      <c r="F316" s="58">
        <v>45901</v>
      </c>
      <c r="G316" s="58">
        <v>45931</v>
      </c>
      <c r="H316" s="58">
        <v>45904</v>
      </c>
      <c r="I316" s="14" t="s">
        <v>69</v>
      </c>
      <c r="J316" s="64">
        <v>1</v>
      </c>
      <c r="K316" s="59">
        <v>6.3</v>
      </c>
      <c r="L316" s="65">
        <v>0.09</v>
      </c>
      <c r="M316" s="59">
        <v>0.56999999999999995</v>
      </c>
      <c r="N316" s="14" t="s">
        <v>72</v>
      </c>
      <c r="O316" s="57" t="s">
        <v>627</v>
      </c>
      <c r="Q316" s="57" t="s">
        <v>628</v>
      </c>
      <c r="R316" s="57">
        <v>17425766</v>
      </c>
      <c r="S316" s="57" t="str">
        <f t="shared" si="4"/>
        <v>Carol Foley</v>
      </c>
      <c r="T316" s="57"/>
      <c r="U316" s="57"/>
      <c r="V316" s="57"/>
      <c r="W316" s="57"/>
    </row>
    <row r="317" spans="1:23" s="63" customFormat="1" ht="15" customHeight="1" x14ac:dyDescent="0.2">
      <c r="A317" s="14" t="s">
        <v>65</v>
      </c>
      <c r="B317" s="64">
        <v>442557346</v>
      </c>
      <c r="C317" s="14" t="s">
        <v>227</v>
      </c>
      <c r="D317" s="58">
        <v>45383</v>
      </c>
      <c r="E317" s="14" t="s">
        <v>230</v>
      </c>
      <c r="F317" s="58">
        <v>45901</v>
      </c>
      <c r="G317" s="58">
        <v>45931</v>
      </c>
      <c r="H317" s="58">
        <v>45904</v>
      </c>
      <c r="I317" s="14" t="s">
        <v>69</v>
      </c>
      <c r="J317" s="64">
        <v>1</v>
      </c>
      <c r="K317" s="59">
        <v>18.73</v>
      </c>
      <c r="L317" s="65">
        <v>0.18</v>
      </c>
      <c r="M317" s="59">
        <v>3.37</v>
      </c>
      <c r="N317" s="14" t="s">
        <v>72</v>
      </c>
      <c r="O317" s="57" t="s">
        <v>627</v>
      </c>
      <c r="Q317" s="57" t="s">
        <v>628</v>
      </c>
      <c r="R317" s="57">
        <v>17425766</v>
      </c>
      <c r="S317" s="57" t="str">
        <f t="shared" si="4"/>
        <v>Carol Foley</v>
      </c>
      <c r="T317" s="57"/>
      <c r="U317" s="57"/>
      <c r="V317" s="57"/>
      <c r="W317" s="57"/>
    </row>
    <row r="318" spans="1:23" s="63" customFormat="1" ht="15" customHeight="1" x14ac:dyDescent="0.2">
      <c r="A318" s="60" t="s">
        <v>65</v>
      </c>
      <c r="B318" s="66">
        <v>442563687</v>
      </c>
      <c r="C318" s="60" t="s">
        <v>616</v>
      </c>
      <c r="D318" s="61">
        <v>45373</v>
      </c>
      <c r="E318" s="60" t="s">
        <v>284</v>
      </c>
      <c r="F318" s="61">
        <v>45901</v>
      </c>
      <c r="G318" s="61">
        <v>45931</v>
      </c>
      <c r="H318" s="61">
        <v>45910</v>
      </c>
      <c r="I318" s="60" t="s">
        <v>69</v>
      </c>
      <c r="J318" s="66">
        <v>1</v>
      </c>
      <c r="K318" s="62">
        <v>49.7</v>
      </c>
      <c r="L318" s="67">
        <v>0.03</v>
      </c>
      <c r="M318" s="62">
        <v>1.49</v>
      </c>
      <c r="N318" s="60" t="s">
        <v>72</v>
      </c>
      <c r="O318" s="63" t="s">
        <v>645</v>
      </c>
      <c r="Q318" s="63" t="s">
        <v>646</v>
      </c>
      <c r="R318" s="63">
        <v>19861194</v>
      </c>
      <c r="S318" s="57" t="str">
        <f t="shared" si="4"/>
        <v>Margaret Finnegan</v>
      </c>
    </row>
    <row r="319" spans="1:23" s="63" customFormat="1" ht="15" customHeight="1" x14ac:dyDescent="0.2">
      <c r="A319" s="14" t="s">
        <v>65</v>
      </c>
      <c r="B319" s="64">
        <v>442567854</v>
      </c>
      <c r="C319" s="14" t="s">
        <v>204</v>
      </c>
      <c r="D319" s="58">
        <v>45383</v>
      </c>
      <c r="E319" s="14" t="s">
        <v>157</v>
      </c>
      <c r="F319" s="58">
        <v>45901</v>
      </c>
      <c r="G319" s="58">
        <v>45931</v>
      </c>
      <c r="H319" s="58">
        <v>45904</v>
      </c>
      <c r="I319" s="14" t="s">
        <v>69</v>
      </c>
      <c r="J319" s="64">
        <v>1</v>
      </c>
      <c r="K319" s="59">
        <v>134.78</v>
      </c>
      <c r="L319" s="65">
        <v>0.18</v>
      </c>
      <c r="M319" s="59">
        <v>24.26</v>
      </c>
      <c r="N319" s="14" t="s">
        <v>72</v>
      </c>
      <c r="O319" s="57" t="s">
        <v>627</v>
      </c>
      <c r="Q319" s="57" t="s">
        <v>628</v>
      </c>
      <c r="R319" s="57">
        <v>17425766</v>
      </c>
      <c r="S319" s="57" t="str">
        <f t="shared" si="4"/>
        <v>Carol Foley</v>
      </c>
      <c r="T319" s="57"/>
      <c r="U319" s="57"/>
      <c r="V319" s="57"/>
      <c r="W319" s="57"/>
    </row>
    <row r="320" spans="1:23" s="63" customFormat="1" ht="15" customHeight="1" x14ac:dyDescent="0.2">
      <c r="A320" s="14" t="s">
        <v>65</v>
      </c>
      <c r="B320" s="64">
        <v>442567895</v>
      </c>
      <c r="C320" s="14" t="s">
        <v>304</v>
      </c>
      <c r="D320" s="58">
        <v>45413</v>
      </c>
      <c r="E320" s="14" t="s">
        <v>155</v>
      </c>
      <c r="F320" s="58">
        <v>45901</v>
      </c>
      <c r="G320" s="58">
        <v>45931</v>
      </c>
      <c r="H320" s="58">
        <v>45904</v>
      </c>
      <c r="I320" s="14" t="s">
        <v>69</v>
      </c>
      <c r="J320" s="64">
        <v>1</v>
      </c>
      <c r="K320" s="59">
        <v>46.98</v>
      </c>
      <c r="L320" s="65">
        <v>4.4999999999999998E-2</v>
      </c>
      <c r="M320" s="59">
        <v>2.11</v>
      </c>
      <c r="N320" s="14" t="s">
        <v>72</v>
      </c>
      <c r="O320" s="57" t="s">
        <v>627</v>
      </c>
      <c r="Q320" s="57" t="s">
        <v>628</v>
      </c>
      <c r="R320" s="57">
        <v>17425766</v>
      </c>
      <c r="S320" s="57" t="str">
        <f t="shared" si="4"/>
        <v>Carol Foley</v>
      </c>
      <c r="T320" s="57"/>
      <c r="U320" s="57"/>
      <c r="V320" s="57"/>
      <c r="W320" s="57"/>
    </row>
    <row r="321" spans="1:23" s="63" customFormat="1" ht="15" customHeight="1" x14ac:dyDescent="0.2">
      <c r="A321" s="14" t="s">
        <v>65</v>
      </c>
      <c r="B321" s="64">
        <v>442573385</v>
      </c>
      <c r="C321" s="14" t="s">
        <v>154</v>
      </c>
      <c r="D321" s="58">
        <v>45383</v>
      </c>
      <c r="E321" s="14" t="s">
        <v>155</v>
      </c>
      <c r="F321" s="58">
        <v>45901</v>
      </c>
      <c r="G321" s="58">
        <v>45931</v>
      </c>
      <c r="H321" s="58">
        <v>45904</v>
      </c>
      <c r="I321" s="14" t="s">
        <v>69</v>
      </c>
      <c r="J321" s="64">
        <v>1</v>
      </c>
      <c r="K321" s="59">
        <v>39.06</v>
      </c>
      <c r="L321" s="65">
        <v>7.0000000000000007E-2</v>
      </c>
      <c r="M321" s="59">
        <v>2.73</v>
      </c>
      <c r="N321" s="14" t="s">
        <v>72</v>
      </c>
      <c r="O321" s="57" t="s">
        <v>627</v>
      </c>
      <c r="Q321" s="57" t="s">
        <v>628</v>
      </c>
      <c r="R321" s="57">
        <v>17425766</v>
      </c>
      <c r="S321" s="57" t="str">
        <f t="shared" si="4"/>
        <v>Carol Foley</v>
      </c>
      <c r="T321" s="57"/>
      <c r="U321" s="57"/>
      <c r="V321" s="57"/>
      <c r="W321" s="57"/>
    </row>
    <row r="322" spans="1:23" s="63" customFormat="1" ht="15" customHeight="1" x14ac:dyDescent="0.2">
      <c r="A322" s="14" t="s">
        <v>65</v>
      </c>
      <c r="B322" s="64">
        <v>442573386</v>
      </c>
      <c r="C322" s="14" t="s">
        <v>154</v>
      </c>
      <c r="D322" s="58">
        <v>45383</v>
      </c>
      <c r="E322" s="14" t="s">
        <v>157</v>
      </c>
      <c r="F322" s="58">
        <v>45901</v>
      </c>
      <c r="G322" s="58">
        <v>45931</v>
      </c>
      <c r="H322" s="58">
        <v>45904</v>
      </c>
      <c r="I322" s="14" t="s">
        <v>69</v>
      </c>
      <c r="J322" s="64">
        <v>1</v>
      </c>
      <c r="K322" s="59">
        <v>28.37</v>
      </c>
      <c r="L322" s="65">
        <v>0.18</v>
      </c>
      <c r="M322" s="59">
        <v>5.1100000000000003</v>
      </c>
      <c r="N322" s="14" t="s">
        <v>72</v>
      </c>
      <c r="O322" s="57" t="s">
        <v>627</v>
      </c>
      <c r="Q322" s="57" t="s">
        <v>628</v>
      </c>
      <c r="R322" s="57">
        <v>17425766</v>
      </c>
      <c r="S322" s="57" t="str">
        <f t="shared" si="4"/>
        <v>Carol Foley</v>
      </c>
      <c r="T322" s="57"/>
      <c r="U322" s="57"/>
      <c r="V322" s="57"/>
      <c r="W322" s="57"/>
    </row>
    <row r="323" spans="1:23" s="63" customFormat="1" ht="15" customHeight="1" x14ac:dyDescent="0.2">
      <c r="A323" s="14" t="s">
        <v>65</v>
      </c>
      <c r="B323" s="64">
        <v>442574109</v>
      </c>
      <c r="C323" s="14" t="s">
        <v>190</v>
      </c>
      <c r="D323" s="58">
        <v>45383</v>
      </c>
      <c r="E323" s="14" t="s">
        <v>191</v>
      </c>
      <c r="F323" s="58">
        <v>45901</v>
      </c>
      <c r="G323" s="58">
        <v>45931</v>
      </c>
      <c r="H323" s="58">
        <v>45904</v>
      </c>
      <c r="I323" s="14" t="s">
        <v>69</v>
      </c>
      <c r="J323" s="64">
        <v>1</v>
      </c>
      <c r="K323" s="59">
        <v>48.82</v>
      </c>
      <c r="L323" s="65">
        <v>0.18</v>
      </c>
      <c r="M323" s="59">
        <v>8.7899999999999991</v>
      </c>
      <c r="N323" s="14" t="s">
        <v>72</v>
      </c>
      <c r="O323" s="57" t="s">
        <v>627</v>
      </c>
      <c r="Q323" s="57" t="s">
        <v>628</v>
      </c>
      <c r="R323" s="57">
        <v>17425766</v>
      </c>
      <c r="S323" s="57" t="str">
        <f t="shared" ref="S323:S331" si="5">CONCATENATE(O323, " ",Q323)</f>
        <v>Carol Foley</v>
      </c>
      <c r="T323" s="57"/>
      <c r="U323" s="57"/>
      <c r="V323" s="57"/>
      <c r="W323" s="57"/>
    </row>
    <row r="324" spans="1:23" s="63" customFormat="1" ht="15" customHeight="1" x14ac:dyDescent="0.2">
      <c r="A324" s="14" t="s">
        <v>65</v>
      </c>
      <c r="B324" s="64">
        <v>442578306</v>
      </c>
      <c r="C324" s="14" t="s">
        <v>232</v>
      </c>
      <c r="D324" s="58">
        <v>45383</v>
      </c>
      <c r="E324" s="14" t="s">
        <v>196</v>
      </c>
      <c r="F324" s="58">
        <v>45901</v>
      </c>
      <c r="G324" s="58">
        <v>45931</v>
      </c>
      <c r="H324" s="58">
        <v>45904</v>
      </c>
      <c r="I324" s="14" t="s">
        <v>69</v>
      </c>
      <c r="J324" s="64">
        <v>1</v>
      </c>
      <c r="K324" s="59">
        <v>19.760000000000002</v>
      </c>
      <c r="L324" s="65">
        <v>0.09</v>
      </c>
      <c r="M324" s="59">
        <v>1.78</v>
      </c>
      <c r="N324" s="14" t="s">
        <v>72</v>
      </c>
      <c r="O324" s="57" t="s">
        <v>627</v>
      </c>
      <c r="Q324" s="57" t="s">
        <v>628</v>
      </c>
      <c r="R324" s="57">
        <v>17425766</v>
      </c>
      <c r="S324" s="57" t="str">
        <f t="shared" si="5"/>
        <v>Carol Foley</v>
      </c>
      <c r="T324" s="57"/>
      <c r="U324" s="57"/>
      <c r="V324" s="57"/>
      <c r="W324" s="57"/>
    </row>
    <row r="325" spans="1:23" s="63" customFormat="1" ht="15" customHeight="1" x14ac:dyDescent="0.2">
      <c r="A325" s="14" t="s">
        <v>65</v>
      </c>
      <c r="B325" s="64">
        <v>442578307</v>
      </c>
      <c r="C325" s="14" t="s">
        <v>232</v>
      </c>
      <c r="D325" s="58">
        <v>45383</v>
      </c>
      <c r="E325" s="14" t="s">
        <v>198</v>
      </c>
      <c r="F325" s="58">
        <v>45901</v>
      </c>
      <c r="G325" s="58">
        <v>45931</v>
      </c>
      <c r="H325" s="58">
        <v>45904</v>
      </c>
      <c r="I325" s="14" t="s">
        <v>69</v>
      </c>
      <c r="J325" s="64">
        <v>1</v>
      </c>
      <c r="K325" s="59">
        <v>9</v>
      </c>
      <c r="L325" s="65">
        <v>0.09</v>
      </c>
      <c r="M325" s="59">
        <v>0.81</v>
      </c>
      <c r="N325" s="14" t="s">
        <v>72</v>
      </c>
      <c r="O325" s="57" t="s">
        <v>627</v>
      </c>
      <c r="Q325" s="57" t="s">
        <v>628</v>
      </c>
      <c r="R325" s="57">
        <v>17425766</v>
      </c>
      <c r="S325" s="57" t="str">
        <f t="shared" si="5"/>
        <v>Carol Foley</v>
      </c>
      <c r="T325" s="57"/>
      <c r="U325" s="57"/>
      <c r="V325" s="57"/>
      <c r="W325" s="57"/>
    </row>
    <row r="326" spans="1:23" s="63" customFormat="1" ht="15" customHeight="1" x14ac:dyDescent="0.2">
      <c r="A326" s="14" t="s">
        <v>65</v>
      </c>
      <c r="B326" s="64">
        <v>442578440</v>
      </c>
      <c r="C326" s="14" t="s">
        <v>195</v>
      </c>
      <c r="D326" s="58">
        <v>45383</v>
      </c>
      <c r="E326" s="14" t="s">
        <v>196</v>
      </c>
      <c r="F326" s="58">
        <v>45901</v>
      </c>
      <c r="G326" s="58">
        <v>45931</v>
      </c>
      <c r="H326" s="58">
        <v>45904</v>
      </c>
      <c r="I326" s="14" t="s">
        <v>69</v>
      </c>
      <c r="J326" s="64">
        <v>1</v>
      </c>
      <c r="K326" s="59">
        <v>36.4</v>
      </c>
      <c r="L326" s="65">
        <v>0.09</v>
      </c>
      <c r="M326" s="59">
        <v>3.28</v>
      </c>
      <c r="N326" s="14" t="s">
        <v>72</v>
      </c>
      <c r="O326" s="57" t="s">
        <v>627</v>
      </c>
      <c r="Q326" s="57" t="s">
        <v>628</v>
      </c>
      <c r="R326" s="57">
        <v>17425766</v>
      </c>
      <c r="S326" s="57" t="str">
        <f t="shared" si="5"/>
        <v>Carol Foley</v>
      </c>
      <c r="T326" s="57"/>
      <c r="U326" s="57"/>
      <c r="V326" s="57"/>
      <c r="W326" s="57"/>
    </row>
    <row r="327" spans="1:23" s="63" customFormat="1" ht="15" customHeight="1" x14ac:dyDescent="0.2">
      <c r="A327" s="14" t="s">
        <v>65</v>
      </c>
      <c r="B327" s="64">
        <v>442578441</v>
      </c>
      <c r="C327" s="14" t="s">
        <v>195</v>
      </c>
      <c r="D327" s="58">
        <v>45383</v>
      </c>
      <c r="E327" s="14" t="s">
        <v>198</v>
      </c>
      <c r="F327" s="58">
        <v>45901</v>
      </c>
      <c r="G327" s="58">
        <v>45931</v>
      </c>
      <c r="H327" s="58">
        <v>45904</v>
      </c>
      <c r="I327" s="14" t="s">
        <v>69</v>
      </c>
      <c r="J327" s="64">
        <v>1</v>
      </c>
      <c r="K327" s="59">
        <v>16</v>
      </c>
      <c r="L327" s="65">
        <v>0.09</v>
      </c>
      <c r="M327" s="59">
        <v>1.44</v>
      </c>
      <c r="N327" s="14" t="s">
        <v>72</v>
      </c>
      <c r="O327" s="57" t="s">
        <v>627</v>
      </c>
      <c r="Q327" s="57" t="s">
        <v>628</v>
      </c>
      <c r="R327" s="57">
        <v>17425766</v>
      </c>
      <c r="S327" s="57" t="str">
        <f t="shared" si="5"/>
        <v>Carol Foley</v>
      </c>
      <c r="T327" s="57"/>
      <c r="U327" s="57"/>
      <c r="V327" s="57"/>
      <c r="W327" s="57"/>
    </row>
    <row r="328" spans="1:23" s="63" customFormat="1" ht="15" customHeight="1" x14ac:dyDescent="0.2">
      <c r="A328" s="14" t="s">
        <v>65</v>
      </c>
      <c r="B328" s="64">
        <v>442602562</v>
      </c>
      <c r="C328" s="14" t="s">
        <v>370</v>
      </c>
      <c r="D328" s="58">
        <v>45413</v>
      </c>
      <c r="E328" s="14" t="s">
        <v>371</v>
      </c>
      <c r="F328" s="58">
        <v>45901</v>
      </c>
      <c r="G328" s="58">
        <v>45931</v>
      </c>
      <c r="H328" s="58">
        <v>45904</v>
      </c>
      <c r="I328" s="14" t="s">
        <v>69</v>
      </c>
      <c r="J328" s="64">
        <v>1</v>
      </c>
      <c r="K328" s="59">
        <v>26.4</v>
      </c>
      <c r="L328" s="65">
        <v>0.09</v>
      </c>
      <c r="M328" s="59">
        <v>2.38</v>
      </c>
      <c r="N328" s="14" t="s">
        <v>72</v>
      </c>
      <c r="O328" s="57" t="s">
        <v>636</v>
      </c>
      <c r="P328" s="57" t="s">
        <v>637</v>
      </c>
      <c r="Q328" s="57" t="s">
        <v>638</v>
      </c>
      <c r="R328" s="57">
        <v>17528908</v>
      </c>
      <c r="S328" s="57" t="str">
        <f t="shared" si="5"/>
        <v>Deborah Inskipt</v>
      </c>
      <c r="T328" s="57"/>
      <c r="U328" s="57"/>
      <c r="V328" s="57"/>
      <c r="W328" s="57"/>
    </row>
    <row r="329" spans="1:23" s="63" customFormat="1" ht="15" customHeight="1" x14ac:dyDescent="0.2">
      <c r="A329" s="14" t="s">
        <v>65</v>
      </c>
      <c r="B329" s="64">
        <v>442602563</v>
      </c>
      <c r="C329" s="14" t="s">
        <v>370</v>
      </c>
      <c r="D329" s="58">
        <v>45413</v>
      </c>
      <c r="E329" s="14" t="s">
        <v>373</v>
      </c>
      <c r="F329" s="58">
        <v>45901</v>
      </c>
      <c r="G329" s="58">
        <v>45931</v>
      </c>
      <c r="H329" s="58">
        <v>45904</v>
      </c>
      <c r="I329" s="14" t="s">
        <v>69</v>
      </c>
      <c r="J329" s="64">
        <v>1</v>
      </c>
      <c r="K329" s="59">
        <v>30.8</v>
      </c>
      <c r="L329" s="65">
        <v>0.09</v>
      </c>
      <c r="M329" s="59">
        <v>2.77</v>
      </c>
      <c r="N329" s="14" t="s">
        <v>72</v>
      </c>
      <c r="O329" s="57" t="s">
        <v>636</v>
      </c>
      <c r="P329" s="57" t="s">
        <v>637</v>
      </c>
      <c r="Q329" s="57" t="s">
        <v>638</v>
      </c>
      <c r="R329" s="57">
        <v>17528908</v>
      </c>
      <c r="S329" s="57" t="str">
        <f t="shared" si="5"/>
        <v>Deborah Inskipt</v>
      </c>
      <c r="T329" s="57"/>
      <c r="U329" s="57"/>
      <c r="V329" s="57"/>
      <c r="W329" s="57"/>
    </row>
    <row r="330" spans="1:23" s="63" customFormat="1" ht="15" customHeight="1" x14ac:dyDescent="0.2">
      <c r="A330" s="14" t="s">
        <v>65</v>
      </c>
      <c r="B330" s="64">
        <v>442609512</v>
      </c>
      <c r="C330" s="14" t="s">
        <v>367</v>
      </c>
      <c r="D330" s="58">
        <v>45444</v>
      </c>
      <c r="E330" s="14" t="s">
        <v>368</v>
      </c>
      <c r="F330" s="58">
        <v>45901</v>
      </c>
      <c r="G330" s="58">
        <v>45931</v>
      </c>
      <c r="H330" s="58">
        <v>45904</v>
      </c>
      <c r="I330" s="14" t="s">
        <v>69</v>
      </c>
      <c r="J330" s="64">
        <v>1</v>
      </c>
      <c r="K330" s="59">
        <v>28.25</v>
      </c>
      <c r="L330" s="65">
        <v>0.09</v>
      </c>
      <c r="M330" s="59">
        <v>2.54</v>
      </c>
      <c r="N330" s="14" t="s">
        <v>72</v>
      </c>
      <c r="O330" s="57" t="s">
        <v>636</v>
      </c>
      <c r="P330" s="57" t="s">
        <v>637</v>
      </c>
      <c r="Q330" s="57" t="s">
        <v>638</v>
      </c>
      <c r="R330" s="57">
        <v>17528908</v>
      </c>
      <c r="S330" s="57" t="str">
        <f t="shared" si="5"/>
        <v>Deborah Inskipt</v>
      </c>
      <c r="T330" s="57"/>
      <c r="U330" s="57"/>
      <c r="V330" s="57"/>
      <c r="W330" s="57"/>
    </row>
    <row r="331" spans="1:23" s="63" customFormat="1" ht="15" customHeight="1" x14ac:dyDescent="0.2">
      <c r="A331" s="14" t="s">
        <v>65</v>
      </c>
      <c r="B331" s="64">
        <v>442635616</v>
      </c>
      <c r="C331" s="14" t="s">
        <v>348</v>
      </c>
      <c r="D331" s="58">
        <v>45413</v>
      </c>
      <c r="E331" s="14" t="s">
        <v>160</v>
      </c>
      <c r="F331" s="58">
        <v>45901</v>
      </c>
      <c r="G331" s="58">
        <v>45931</v>
      </c>
      <c r="H331" s="58">
        <v>45904</v>
      </c>
      <c r="I331" s="14" t="s">
        <v>69</v>
      </c>
      <c r="J331" s="64">
        <v>1</v>
      </c>
      <c r="K331" s="59">
        <v>89.79</v>
      </c>
      <c r="L331" s="65">
        <v>0.09</v>
      </c>
      <c r="M331" s="59">
        <v>8.08</v>
      </c>
      <c r="N331" s="14" t="s">
        <v>72</v>
      </c>
      <c r="O331" s="57" t="s">
        <v>639</v>
      </c>
      <c r="P331" s="57" t="s">
        <v>640</v>
      </c>
      <c r="Q331" s="57" t="s">
        <v>641</v>
      </c>
      <c r="R331" s="57">
        <v>17437820</v>
      </c>
      <c r="S331" s="57" t="str">
        <f t="shared" si="5"/>
        <v>Colleen Finnigan</v>
      </c>
      <c r="T331" s="57"/>
      <c r="U331" s="57"/>
      <c r="V331" s="57"/>
      <c r="W331" s="57"/>
    </row>
  </sheetData>
  <sortState xmlns:xlrd2="http://schemas.microsoft.com/office/spreadsheetml/2017/richdata2" ref="A2:W331">
    <sortCondition ref="B2:B3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Sheet1!Print_Titles</vt:lpstr>
      <vt:lpstr>Sheet2!Print_Titles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2025-09-18T19:14:32Z</dcterms:created>
  <dcterms:modified xsi:type="dcterms:W3CDTF">2025-09-23T19:35:42Z</dcterms:modified>
</cp:coreProperties>
</file>