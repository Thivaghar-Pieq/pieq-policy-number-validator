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 defaultThemeVersion="166925"/>
  <xr:revisionPtr revIDLastSave="0" documentId="13_ncr:1_{74470A6A-B7F9-4ACF-99AE-614473154BFC}" xr6:coauthVersionLast="47" xr6:coauthVersionMax="47" xr10:uidLastSave="{00000000-0000-0000-0000-000000000000}"/>
  <bookViews>
    <workbookView xWindow="28680" yWindow="-120" windowWidth="29040" windowHeight="16440" activeTab="2" xr2:uid="{CED5D7EE-59C8-4651-BF49-2164167CB844}"/>
  </bookViews>
  <sheets>
    <sheet name="Sheet1" sheetId="1" r:id="rId1"/>
    <sheet name="Sheet2" sheetId="2" r:id="rId2"/>
    <sheet name="Sheet3" sheetId="3" r:id="rId3"/>
  </sheets>
  <calcPr calcId="181029"/>
  <fileRecoveryPr autoRecover="0"/>
</workbook>
</file>

<file path=xl/calcChain.xml><?xml version="1.0" encoding="utf-8"?>
<calcChain xmlns="http://schemas.openxmlformats.org/spreadsheetml/2006/main">
  <c r="Q288" i="3" l="1"/>
  <c r="Q246" i="3"/>
  <c r="Q245" i="3"/>
  <c r="Q229" i="3"/>
  <c r="Q228" i="3"/>
  <c r="Q227" i="3"/>
  <c r="Q226" i="3"/>
  <c r="Q248" i="3"/>
  <c r="Q247" i="3"/>
  <c r="Q200" i="3"/>
  <c r="Q199" i="3"/>
  <c r="Q198" i="3"/>
  <c r="Q197" i="3"/>
  <c r="Q196" i="3"/>
  <c r="Q195" i="3"/>
  <c r="Q187" i="3"/>
  <c r="Q186" i="3"/>
  <c r="Q185" i="3"/>
  <c r="Q184" i="3"/>
  <c r="Q249" i="3"/>
  <c r="Q244" i="3"/>
  <c r="Q243" i="3"/>
  <c r="Q242" i="3"/>
  <c r="Q241" i="3"/>
  <c r="Q240" i="3"/>
  <c r="Q239" i="3"/>
  <c r="Q183" i="3"/>
  <c r="Q182" i="3"/>
  <c r="Q181" i="3"/>
  <c r="Q180" i="3"/>
  <c r="Q205" i="3"/>
  <c r="Q201" i="3"/>
  <c r="Q235" i="3"/>
  <c r="Q250" i="3"/>
  <c r="Q207" i="3"/>
  <c r="Q206" i="3"/>
  <c r="Q191" i="3"/>
  <c r="Q179" i="3"/>
  <c r="Q190" i="3"/>
  <c r="Q189" i="3"/>
  <c r="Q188" i="3"/>
  <c r="Q204" i="3"/>
  <c r="Q223" i="3"/>
  <c r="Q222" i="3"/>
  <c r="Q221" i="3"/>
  <c r="Q220" i="3"/>
  <c r="Q203" i="3"/>
  <c r="Q202" i="3"/>
  <c r="Q236" i="3"/>
  <c r="Q225" i="3"/>
  <c r="Q224" i="3"/>
  <c r="Q234" i="3"/>
  <c r="Q233" i="3"/>
  <c r="Q232" i="3"/>
  <c r="Q231" i="3"/>
  <c r="Q230" i="3"/>
  <c r="Q178" i="3"/>
  <c r="Q177" i="3"/>
  <c r="Q175" i="3"/>
  <c r="Q160" i="3"/>
  <c r="Q159" i="3"/>
  <c r="Q166" i="3"/>
  <c r="Q172" i="3"/>
  <c r="Q150" i="3"/>
  <c r="Q163" i="3"/>
  <c r="Q162" i="3"/>
  <c r="Q161" i="3"/>
  <c r="Q158" i="3"/>
  <c r="Q157" i="3"/>
  <c r="Q173" i="3"/>
  <c r="Q145" i="3"/>
  <c r="Q144" i="3"/>
  <c r="Q165" i="3"/>
  <c r="Q164" i="3"/>
  <c r="Q146" i="3"/>
  <c r="Q171" i="3"/>
  <c r="Q170" i="3"/>
  <c r="Q169" i="3"/>
  <c r="Q149" i="3"/>
  <c r="Q148" i="3"/>
  <c r="Q147" i="3"/>
  <c r="Q156" i="3"/>
  <c r="Q155" i="3"/>
  <c r="Q154" i="3"/>
  <c r="Q153" i="3"/>
  <c r="Q152" i="3"/>
  <c r="Q151" i="3"/>
  <c r="Q168" i="3"/>
  <c r="Q167" i="3"/>
  <c r="Q132" i="3"/>
  <c r="Q131" i="3"/>
  <c r="Q133" i="3"/>
  <c r="Q134" i="3"/>
  <c r="Q136" i="3"/>
  <c r="Q135" i="3"/>
  <c r="Q137" i="3"/>
  <c r="Q130" i="3"/>
  <c r="Q142" i="3"/>
  <c r="Q141" i="3"/>
  <c r="Q143" i="3"/>
  <c r="Q140" i="3"/>
  <c r="Q139" i="3"/>
  <c r="Q126" i="3"/>
  <c r="Q125" i="3"/>
  <c r="Q124" i="3"/>
  <c r="Q123" i="3"/>
  <c r="Q122" i="3"/>
  <c r="Q128" i="3"/>
  <c r="Q127" i="3"/>
  <c r="Q129" i="3"/>
  <c r="Q62" i="3"/>
  <c r="Q81" i="3"/>
  <c r="Q97" i="3"/>
  <c r="Q96" i="3"/>
  <c r="Q95" i="3"/>
  <c r="Q94" i="3"/>
  <c r="Q93" i="3"/>
  <c r="Q92" i="3"/>
  <c r="Q55" i="3"/>
  <c r="Q54" i="3"/>
  <c r="Q107" i="3"/>
  <c r="Q106" i="3"/>
  <c r="Q89" i="3"/>
  <c r="Q101" i="3"/>
  <c r="Q100" i="3"/>
  <c r="Q99" i="3"/>
  <c r="Q61" i="3"/>
  <c r="Q60" i="3"/>
  <c r="Q41" i="3"/>
  <c r="Q40" i="3"/>
  <c r="Q98" i="3"/>
  <c r="Q53" i="3"/>
  <c r="Q52" i="3"/>
  <c r="Q83" i="3"/>
  <c r="Q108" i="3"/>
  <c r="Q113" i="3"/>
  <c r="Q91" i="3"/>
  <c r="Q90" i="3"/>
  <c r="Q77" i="3"/>
  <c r="Q76" i="3"/>
  <c r="Q105" i="3"/>
  <c r="Q44" i="3"/>
  <c r="Q46" i="3"/>
  <c r="Q45" i="3"/>
  <c r="Q66" i="3"/>
  <c r="Q65" i="3"/>
  <c r="Q86" i="3"/>
  <c r="Q85" i="3"/>
  <c r="Q82" i="3"/>
  <c r="Q75" i="3"/>
  <c r="Q74" i="3"/>
  <c r="Q43" i="3"/>
  <c r="Q42" i="3"/>
  <c r="Q87" i="3"/>
  <c r="Q51" i="3"/>
  <c r="Q80" i="3"/>
  <c r="Q79" i="3"/>
  <c r="Q118" i="3"/>
  <c r="Q117" i="3"/>
  <c r="Q111" i="3"/>
  <c r="Q110" i="3"/>
  <c r="Q59" i="3"/>
  <c r="Q58" i="3"/>
  <c r="Q57" i="3"/>
  <c r="Q56" i="3"/>
  <c r="Q36" i="3"/>
  <c r="Q39" i="3"/>
  <c r="Q38" i="3"/>
  <c r="Q37" i="3"/>
  <c r="Q112" i="3"/>
  <c r="Q120" i="3"/>
  <c r="Q119" i="3"/>
  <c r="Q116" i="3"/>
  <c r="Q103" i="3"/>
  <c r="Q102" i="3"/>
  <c r="Q84" i="3"/>
  <c r="Q73" i="3"/>
  <c r="Q72" i="3"/>
  <c r="Q121" i="3"/>
  <c r="Q68" i="3"/>
  <c r="Q67" i="3"/>
  <c r="Q64" i="3"/>
  <c r="Q63" i="3"/>
  <c r="Q50" i="3"/>
  <c r="Q49" i="3"/>
  <c r="Q70" i="3"/>
  <c r="Q69" i="3"/>
  <c r="Q48" i="3"/>
  <c r="Q47" i="3"/>
  <c r="Q115" i="3"/>
  <c r="Q114" i="3"/>
  <c r="Q71" i="3"/>
  <c r="Q26" i="3"/>
  <c r="Q29" i="3"/>
  <c r="Q30" i="3"/>
  <c r="Q24" i="3"/>
  <c r="Q34" i="3"/>
  <c r="Q25" i="3"/>
  <c r="Q33" i="3"/>
  <c r="Q32" i="3"/>
  <c r="Q22" i="3"/>
  <c r="Q14" i="3"/>
  <c r="Q16" i="3"/>
  <c r="Q27" i="3"/>
  <c r="Q17" i="3"/>
  <c r="Q23" i="3"/>
  <c r="Q13" i="3"/>
  <c r="Q21" i="3"/>
  <c r="Q15" i="3"/>
  <c r="Q28" i="3"/>
  <c r="Q18" i="3"/>
  <c r="Q9" i="3"/>
  <c r="Q8" i="3"/>
  <c r="Q6" i="3"/>
  <c r="Q12" i="3"/>
  <c r="Q7" i="3"/>
  <c r="Q5" i="3"/>
  <c r="Q3" i="3"/>
  <c r="Q4" i="3"/>
  <c r="Q11" i="3"/>
  <c r="Q10" i="3"/>
  <c r="Q31" i="3"/>
  <c r="Q19" i="3"/>
  <c r="Q20" i="3"/>
  <c r="Q78" i="3"/>
  <c r="Q88" i="3"/>
  <c r="Q109" i="3"/>
  <c r="Q35" i="3"/>
  <c r="Q104" i="3"/>
  <c r="Q138" i="3"/>
  <c r="Q174" i="3"/>
  <c r="Q176" i="3"/>
  <c r="Q194" i="3"/>
  <c r="Q212" i="3"/>
  <c r="Q213" i="3"/>
  <c r="Q214" i="3"/>
  <c r="Q215" i="3"/>
  <c r="Q192" i="3"/>
  <c r="Q193" i="3"/>
  <c r="Q216" i="3"/>
  <c r="Q210" i="3"/>
  <c r="Q211" i="3"/>
  <c r="Q217" i="3"/>
  <c r="Q218" i="3"/>
  <c r="Q208" i="3"/>
  <c r="Q209" i="3"/>
  <c r="Q219" i="3"/>
  <c r="Q237" i="3"/>
  <c r="Q238" i="3"/>
  <c r="Q2" i="3"/>
</calcChain>
</file>

<file path=xl/sharedStrings.xml><?xml version="1.0" encoding="utf-8"?>
<sst xmlns="http://schemas.openxmlformats.org/spreadsheetml/2006/main" count="2940" uniqueCount="424">
  <si>
    <r>
      <t xml:space="preserve"> </t>
    </r>
    <r>
      <rPr>
        <b/>
        <sz val="9"/>
        <color indexed="8"/>
        <rFont val="Arial"/>
        <family val="2"/>
      </rPr>
      <t>Summary</t>
    </r>
  </si>
  <si>
    <r>
      <t xml:space="preserve"> </t>
    </r>
    <r>
      <rPr>
        <sz val="8"/>
        <color indexed="8"/>
        <rFont val="Arial"/>
        <family val="2"/>
      </rPr>
      <t>$0.00</t>
    </r>
  </si>
  <si>
    <r>
      <t xml:space="preserve"> </t>
    </r>
    <r>
      <rPr>
        <b/>
        <sz val="9"/>
        <color indexed="8"/>
        <rFont val="Arial"/>
        <family val="2"/>
      </rPr>
      <t>Commission Activity</t>
    </r>
  </si>
  <si>
    <t>Agency:</t>
  </si>
  <si>
    <t>Core Benefits Group Inc 15791498</t>
  </si>
  <si>
    <t>Contract Date: 08/24/2022</t>
  </si>
  <si>
    <t>The Chesapeake Life Insurance Co</t>
  </si>
  <si>
    <t>Statement From Date: 06/06/2025</t>
  </si>
  <si>
    <t>Attn:  Commission Accounting</t>
  </si>
  <si>
    <t>Payee:</t>
  </si>
  <si>
    <t>Main Line Benefits LLC 15791498</t>
  </si>
  <si>
    <t>Statement To Date: 06/09/2025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</si>
  <si>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</si>
  <si>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</si>
  <si>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</si>
  <si>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</si>
  <si>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</si>
  <si>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</si>
  <si>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</si>
  <si>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</si>
  <si>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</si>
  <si>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</si>
  <si>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</si>
  <si>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</si>
  <si>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</si>
  <si>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</si>
  <si>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</si>
  <si>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</si>
  <si>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</si>
  <si>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</si>
  <si>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</si>
  <si>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</si>
  <si>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</si>
  <si>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</si>
  <si>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</si>
  <si>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</si>
  <si>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</si>
  <si>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</si>
  <si>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</si>
  <si>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</si>
  <si>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</si>
  <si>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</si>
  <si>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</si>
  <si>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</si>
  <si>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</si>
  <si>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</si>
  <si>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</si>
  <si>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</si>
  <si>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</si>
  <si>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</si>
  <si>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</si>
  <si>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</si>
  <si>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</si>
  <si>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</si>
  <si>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</si>
  <si>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</si>
  <si>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</si>
  <si>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</si>
  <si>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</si>
  <si>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</si>
  <si>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</si>
  <si>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</si>
  <si>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</si>
  <si>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Anne Marie  Kozacheck 19278370</t>
  </si>
  <si>
    <t>CH</t>
  </si>
  <si>
    <t>441619259</t>
  </si>
  <si>
    <t>PAUL  SEVILLE</t>
  </si>
  <si>
    <t>SWTL1100</t>
  </si>
  <si>
    <t>R</t>
  </si>
  <si>
    <t>1</t>
  </si>
  <si>
    <t>9.00%</t>
  </si>
  <si>
    <t>OVR</t>
  </si>
  <si>
    <t>Ashley Elizabeth Teipel 20436925</t>
  </si>
  <si>
    <t>441750607</t>
  </si>
  <si>
    <t>KELSEY  SNODGRASS</t>
  </si>
  <si>
    <t>SPV00008</t>
  </si>
  <si>
    <t>441624181</t>
  </si>
  <si>
    <t>RANDAL  HAKL</t>
  </si>
  <si>
    <t>SWTL1033</t>
  </si>
  <si>
    <t>441625087</t>
  </si>
  <si>
    <t>RECHIE  HAKL</t>
  </si>
  <si>
    <t>SWTL1093</t>
  </si>
  <si>
    <t>Carol  Foley 17425766</t>
  </si>
  <si>
    <t>441602827</t>
  </si>
  <si>
    <t>DANIEL  SIGG</t>
  </si>
  <si>
    <t>SHW00020</t>
  </si>
  <si>
    <t>6.00%</t>
  </si>
  <si>
    <t>442254656</t>
  </si>
  <si>
    <t>SPH00092</t>
  </si>
  <si>
    <t>4.50%</t>
  </si>
  <si>
    <t>441705578</t>
  </si>
  <si>
    <t>MARC  TREANOR</t>
  </si>
  <si>
    <t>SHW00010</t>
  </si>
  <si>
    <t>442355390</t>
  </si>
  <si>
    <t>SPHV0091</t>
  </si>
  <si>
    <t>7.00%</t>
  </si>
  <si>
    <t>442548317</t>
  </si>
  <si>
    <t>MARSHA  MCCANNEY</t>
  </si>
  <si>
    <t>SPHV0108</t>
  </si>
  <si>
    <t>441908688</t>
  </si>
  <si>
    <t>ROBYN  RAPP</t>
  </si>
  <si>
    <t>SPH00023</t>
  </si>
  <si>
    <t>3.00%</t>
  </si>
  <si>
    <t>442474033</t>
  </si>
  <si>
    <t>STACY  SHAFFER</t>
  </si>
  <si>
    <t>SPH00096</t>
  </si>
  <si>
    <t>441763086</t>
  </si>
  <si>
    <t>STEPHEN  MASSIMINI</t>
  </si>
  <si>
    <t>SPV10001</t>
  </si>
  <si>
    <t>441763087</t>
  </si>
  <si>
    <t>SPD10010</t>
  </si>
  <si>
    <t>Deborah Lee Inskipt 17528908</t>
  </si>
  <si>
    <t>442490167</t>
  </si>
  <si>
    <t>REBECCA  MAYHEW</t>
  </si>
  <si>
    <t>SH000002</t>
  </si>
  <si>
    <t>Katelenn  Caltagirone 20436896</t>
  </si>
  <si>
    <t>441659598</t>
  </si>
  <si>
    <t>GINGER  MILLER</t>
  </si>
  <si>
    <t>SA000004</t>
  </si>
  <si>
    <t>441659600</t>
  </si>
  <si>
    <t>SWTL1014</t>
  </si>
  <si>
    <t>Kimberly Anne Dickerson 16243811</t>
  </si>
  <si>
    <t>441603753</t>
  </si>
  <si>
    <t>DONALD  SEYFFERTH</t>
  </si>
  <si>
    <t>SCP10003</t>
  </si>
  <si>
    <t>441699461</t>
  </si>
  <si>
    <t>JOHN  MILLER</t>
  </si>
  <si>
    <t>SB000007</t>
  </si>
  <si>
    <t>441699462</t>
  </si>
  <si>
    <t>441699464</t>
  </si>
  <si>
    <t>SAC00004</t>
  </si>
  <si>
    <t>441699465</t>
  </si>
  <si>
    <t>SPF00001</t>
  </si>
  <si>
    <t>441601154</t>
  </si>
  <si>
    <t>KATHLEEN  LEVITON</t>
  </si>
  <si>
    <t>SPV00006</t>
  </si>
  <si>
    <t>441601155</t>
  </si>
  <si>
    <t>SPD00002</t>
  </si>
  <si>
    <t>441707181</t>
  </si>
  <si>
    <t>MELISSA  BARCLAY</t>
  </si>
  <si>
    <t>441697647</t>
  </si>
  <si>
    <t>MONICA  JONES</t>
  </si>
  <si>
    <t>441697650</t>
  </si>
  <si>
    <t>SPV00001</t>
  </si>
  <si>
    <t>441713408</t>
  </si>
  <si>
    <t>NAYAN  PATEL</t>
  </si>
  <si>
    <t>SA000002</t>
  </si>
  <si>
    <t>441713409</t>
  </si>
  <si>
    <t>441674279</t>
  </si>
  <si>
    <t>REGINA  MEEHAN</t>
  </si>
  <si>
    <t>441674280</t>
  </si>
  <si>
    <t>441713414</t>
  </si>
  <si>
    <t>VANESSA  PATEL</t>
  </si>
  <si>
    <t>SPD00008</t>
  </si>
  <si>
    <t>441774712</t>
  </si>
  <si>
    <t>WARREN  HARRIS</t>
  </si>
  <si>
    <t>Total</t>
  </si>
  <si>
    <t>Anne</t>
  </si>
  <si>
    <t>Marie</t>
  </si>
  <si>
    <t>Kozacheck</t>
  </si>
  <si>
    <t>Ashley</t>
  </si>
  <si>
    <t>Elizabeth</t>
  </si>
  <si>
    <t>Teipel</t>
  </si>
  <si>
    <t>Carol</t>
  </si>
  <si>
    <t>Foley</t>
  </si>
  <si>
    <t>Deborah</t>
  </si>
  <si>
    <t>Lee</t>
  </si>
  <si>
    <t>Inskipt</t>
  </si>
  <si>
    <t>Katelenn</t>
  </si>
  <si>
    <t>Caltagirone</t>
  </si>
  <si>
    <t>Kimberly</t>
  </si>
  <si>
    <t>Dickerson</t>
  </si>
  <si>
    <t>JULIE  HOLMES</t>
  </si>
  <si>
    <t>SHW10165</t>
  </si>
  <si>
    <t>KATHRYN  PETEL</t>
  </si>
  <si>
    <t>SCP10002</t>
  </si>
  <si>
    <t>LAURA  JAMES</t>
  </si>
  <si>
    <t>LAUREN  MIRTO</t>
  </si>
  <si>
    <t>SPV10008</t>
  </si>
  <si>
    <t>MATTHEW  PHILLIPS</t>
  </si>
  <si>
    <t>ROBERT  HOLMES</t>
  </si>
  <si>
    <t>SUSAN  PATTON</t>
  </si>
  <si>
    <t>WANDA  GARRISON</t>
  </si>
  <si>
    <t>SHW10161</t>
  </si>
  <si>
    <t>Anita  Ginnever</t>
  </si>
  <si>
    <t>BERNIE  WATTS</t>
  </si>
  <si>
    <t>SWTL1073</t>
  </si>
  <si>
    <t>DELIA  FLACK</t>
  </si>
  <si>
    <t>SHW10170</t>
  </si>
  <si>
    <t>ELIZABETH  CULVERHOUSE</t>
  </si>
  <si>
    <t>SWTL1023</t>
  </si>
  <si>
    <t>EUNICE  CRAWFORD</t>
  </si>
  <si>
    <t>HIAWATHA  DAUGHERTY</t>
  </si>
  <si>
    <t>SWTL1083</t>
  </si>
  <si>
    <t>JAMES  DITTMER</t>
  </si>
  <si>
    <t>JEREMIAH  LASCELLES</t>
  </si>
  <si>
    <t>SPH00003</t>
  </si>
  <si>
    <t>JULIE  WEBBER</t>
  </si>
  <si>
    <t>KATHLEEN  LEEDS</t>
  </si>
  <si>
    <t>SWTL1006</t>
  </si>
  <si>
    <t>LAURA  HOLMES</t>
  </si>
  <si>
    <t>LEIGHANNE  SHERER</t>
  </si>
  <si>
    <t>SCP00008</t>
  </si>
  <si>
    <t>MICHAEL  SHERER</t>
  </si>
  <si>
    <t>NATUSHICA  SMITH</t>
  </si>
  <si>
    <t>PATSY  THOMAS</t>
  </si>
  <si>
    <t>SAMANTHA  FARRIS</t>
  </si>
  <si>
    <t>SCOTT  PHILLIPS</t>
  </si>
  <si>
    <t>SWTL1053</t>
  </si>
  <si>
    <t>TRACEY  GLOVER</t>
  </si>
  <si>
    <t>TROY  BAKER</t>
  </si>
  <si>
    <t>AARON  ADLER</t>
  </si>
  <si>
    <t>ALAN  FORAN</t>
  </si>
  <si>
    <t>SPHV0104</t>
  </si>
  <si>
    <t>SHW00161</t>
  </si>
  <si>
    <t>ALEXANDER  SHELTON</t>
  </si>
  <si>
    <t>ALLAN  PURYEAR</t>
  </si>
  <si>
    <t>SHW10026</t>
  </si>
  <si>
    <t>AMANDA  RELICK</t>
  </si>
  <si>
    <t>ANA  FELL</t>
  </si>
  <si>
    <t>ANA MARIA  BADEA</t>
  </si>
  <si>
    <t>SPH00094</t>
  </si>
  <si>
    <t>ASHLEY  BACKERT</t>
  </si>
  <si>
    <t>BERNARDO  JOAQUIM DE CARVALHO</t>
  </si>
  <si>
    <t>CAROL  GUIRE</t>
  </si>
  <si>
    <t>SHW10185</t>
  </si>
  <si>
    <t>CATHERINE  MURRAY</t>
  </si>
  <si>
    <t>CATHERINE  SLOAT</t>
  </si>
  <si>
    <t>CECELIA  PRENTISS</t>
  </si>
  <si>
    <t>SHW00001</t>
  </si>
  <si>
    <t>CRISTA  CUGINI</t>
  </si>
  <si>
    <t>DANELLE  LEES</t>
  </si>
  <si>
    <t>SPD00001</t>
  </si>
  <si>
    <t>DOMINIC  BAVARO</t>
  </si>
  <si>
    <t>ELIZABETH  SPROAT</t>
  </si>
  <si>
    <t>HANNAH  FRANKLIN</t>
  </si>
  <si>
    <t>SPV00003</t>
  </si>
  <si>
    <t>SPD00006</t>
  </si>
  <si>
    <t>SHW00180</t>
  </si>
  <si>
    <t>HOWARD  MAISENHELDER</t>
  </si>
  <si>
    <t>SPD10002</t>
  </si>
  <si>
    <t>JAMES  MCDERMOTT</t>
  </si>
  <si>
    <t>SHW10187</t>
  </si>
  <si>
    <t>JAMIE  ORRIS</t>
  </si>
  <si>
    <t>SPH00002</t>
  </si>
  <si>
    <t>JARED  VANETT</t>
  </si>
  <si>
    <t>SCP00003</t>
  </si>
  <si>
    <t>SHW00185</t>
  </si>
  <si>
    <t>JASON  RICHARD</t>
  </si>
  <si>
    <t>JENNIFER  MOCKOVIAK</t>
  </si>
  <si>
    <t>JOANNE  PANELLA</t>
  </si>
  <si>
    <t>JULIA  POETA</t>
  </si>
  <si>
    <t>KATHLEEN  KING</t>
  </si>
  <si>
    <t>KATHLEEN  ROGALSKI</t>
  </si>
  <si>
    <t>KELLIANNE  KARLTON</t>
  </si>
  <si>
    <t>KEVIN  NENSTIEL</t>
  </si>
  <si>
    <t>SPD00005</t>
  </si>
  <si>
    <t>KORMASAH  JALLAH</t>
  </si>
  <si>
    <t>KRISTINA  FLYNN</t>
  </si>
  <si>
    <t>SPH00001</t>
  </si>
  <si>
    <t>KYLEE  BRAZELTON</t>
  </si>
  <si>
    <t>LEXINSKA  JEAN BAPTISTE</t>
  </si>
  <si>
    <t>LISA  DIMEO</t>
  </si>
  <si>
    <t>LISA  SHELTON</t>
  </si>
  <si>
    <t>LOUIS  DECARO</t>
  </si>
  <si>
    <t>MARCELLA  STERLING</t>
  </si>
  <si>
    <t>MARISSA  GEORGIOU</t>
  </si>
  <si>
    <t>NANCY  SZCZUROWSKI</t>
  </si>
  <si>
    <t>NICOLE  DELUCA</t>
  </si>
  <si>
    <t>PATRICIA  ROTONDI</t>
  </si>
  <si>
    <t>PAUL  AMBROSE</t>
  </si>
  <si>
    <t>PAUL  VANDEVERE</t>
  </si>
  <si>
    <t>PETER  MATTIS</t>
  </si>
  <si>
    <t>RANYA  HANEY</t>
  </si>
  <si>
    <t>RICHARD  NENSTIEL</t>
  </si>
  <si>
    <t>RICHARD  TEVLIN</t>
  </si>
  <si>
    <t>ROBERT  BOURNE</t>
  </si>
  <si>
    <t>ROBERT  HOLT</t>
  </si>
  <si>
    <t>ROBERT  STEINBERG</t>
  </si>
  <si>
    <t>SAMUEL  SHELTON</t>
  </si>
  <si>
    <t>SARAH  YILJEP</t>
  </si>
  <si>
    <t>SEAMUS  MARCHETTO</t>
  </si>
  <si>
    <t>SIDNEY  KIRSCH</t>
  </si>
  <si>
    <t>STEPHANIE  SCOTT</t>
  </si>
  <si>
    <t>STUART  STURROCK</t>
  </si>
  <si>
    <t>SUSAN  MARTIN</t>
  </si>
  <si>
    <t>SHW10167</t>
  </si>
  <si>
    <t>SYBILLE  GALOSY</t>
  </si>
  <si>
    <t>TAQERA  MING</t>
  </si>
  <si>
    <t>TARA  BLACK</t>
  </si>
  <si>
    <t>THOMAS  AYRAL</t>
  </si>
  <si>
    <t>SPH00024</t>
  </si>
  <si>
    <t>THOMAS  FARRELL</t>
  </si>
  <si>
    <t>TODD  FINKEL</t>
  </si>
  <si>
    <t>TODD  HERREMANS</t>
  </si>
  <si>
    <t>WILL  STEWART</t>
  </si>
  <si>
    <t>DOUG  SHIELDS</t>
  </si>
  <si>
    <t>Colleen</t>
  </si>
  <si>
    <t>J</t>
  </si>
  <si>
    <t>Finnigan</t>
  </si>
  <si>
    <t>GABE  PACK</t>
  </si>
  <si>
    <t>SCP00018</t>
  </si>
  <si>
    <t>LAURA  KEZDI-HAMZELOO</t>
  </si>
  <si>
    <t>SAW00002</t>
  </si>
  <si>
    <t>NICOLE  THREATS</t>
  </si>
  <si>
    <t>SCP00010</t>
  </si>
  <si>
    <t>SABRINA  VOLPE</t>
  </si>
  <si>
    <t>ALAN  BLACK</t>
  </si>
  <si>
    <t>SCP00002</t>
  </si>
  <si>
    <t>ANGELA  BLACK</t>
  </si>
  <si>
    <t>DONNA  PARRISH</t>
  </si>
  <si>
    <t>SCP10005</t>
  </si>
  <si>
    <t>HOWARD  BELLAIRE</t>
  </si>
  <si>
    <t>SCP00004</t>
  </si>
  <si>
    <t>SH000004</t>
  </si>
  <si>
    <t>KAYLEE  MASON</t>
  </si>
  <si>
    <t>KENNETH  MCGREGOR</t>
  </si>
  <si>
    <t>LISA  GRESS</t>
  </si>
  <si>
    <t>SH010005</t>
  </si>
  <si>
    <t>LOUIS  PAONESSA</t>
  </si>
  <si>
    <t>SCP00005</t>
  </si>
  <si>
    <t>REBECCA  STAHL</t>
  </si>
  <si>
    <t>TONI  WRIGHT</t>
  </si>
  <si>
    <t>BROOKE  BUCHAKJIAN</t>
  </si>
  <si>
    <t>Jason</t>
  </si>
  <si>
    <t>Hoffmann</t>
  </si>
  <si>
    <t>CARLY  BUCHAKJIAN</t>
  </si>
  <si>
    <t>DANIEL  FERNANDEZ</t>
  </si>
  <si>
    <t>Emily  Detwiler</t>
  </si>
  <si>
    <t>EMMA  RALL</t>
  </si>
  <si>
    <t>EVONNE  SNYDER</t>
  </si>
  <si>
    <t>GEORGE  PANAGOPOULOS</t>
  </si>
  <si>
    <t>JOSEPH  UK</t>
  </si>
  <si>
    <t>KATHLEEN  DONNELLY</t>
  </si>
  <si>
    <t>SHW10205</t>
  </si>
  <si>
    <t>MARY BETH  MORAN</t>
  </si>
  <si>
    <t>MICHAEL  FLOYD</t>
  </si>
  <si>
    <t>ROGER  HENDRICKS</t>
  </si>
  <si>
    <t>ROGER  HUNTER</t>
  </si>
  <si>
    <t>RONALD  SCHULTE</t>
  </si>
  <si>
    <t>SHW10186</t>
  </si>
  <si>
    <t>SEETA  SHRESTHA</t>
  </si>
  <si>
    <t>TINA  FREY</t>
  </si>
  <si>
    <t>SANTOS  RIVERA</t>
  </si>
  <si>
    <t>SCP10006</t>
  </si>
  <si>
    <t>ALBERTO  FONSECA</t>
  </si>
  <si>
    <t>SAC00003</t>
  </si>
  <si>
    <t>SB000004</t>
  </si>
  <si>
    <t>ANNA  TIJERINA</t>
  </si>
  <si>
    <t>ASHAQ  WANI</t>
  </si>
  <si>
    <t>SWTL2202</t>
  </si>
  <si>
    <t>BERTHA  MATHAWS</t>
  </si>
  <si>
    <t>DANIEL  FRIEHLICH</t>
  </si>
  <si>
    <t>DANIEL  GOETTEL JR</t>
  </si>
  <si>
    <t>SWTL2221</t>
  </si>
  <si>
    <t>DAVID  KENNEDY</t>
  </si>
  <si>
    <t>DEBRA  JETT</t>
  </si>
  <si>
    <t>SPD20002</t>
  </si>
  <si>
    <t>FRANCISCO  RODRIGUEZ</t>
  </si>
  <si>
    <t>SHW00031</t>
  </si>
  <si>
    <t>Gabriel  Ferandes</t>
  </si>
  <si>
    <t>GHASSEM  SHAHROOZ</t>
  </si>
  <si>
    <t>JACK  MANCHESTER</t>
  </si>
  <si>
    <t>JAMES  COANE</t>
  </si>
  <si>
    <t>SAD10030</t>
  </si>
  <si>
    <t>KERRY  DEBORD</t>
  </si>
  <si>
    <t>KRISTOFFER  SANDIN</t>
  </si>
  <si>
    <t>MICHAEL  TROISE</t>
  </si>
  <si>
    <t>NADIA  BRANNON</t>
  </si>
  <si>
    <t>SPF00002</t>
  </si>
  <si>
    <t>ROSALIE  PAKER</t>
  </si>
  <si>
    <t>STEVEN  RADOSEVICH</t>
  </si>
  <si>
    <t>SHW00060</t>
  </si>
  <si>
    <t>THOMAS  MCDONALD</t>
  </si>
  <si>
    <t>TINA  WYNEGAR</t>
  </si>
  <si>
    <t>JAMES  DRAKE</t>
  </si>
  <si>
    <t>Peter</t>
  </si>
  <si>
    <t>Richter</t>
  </si>
  <si>
    <t>SecureWise Term Life 10 Year</t>
  </si>
  <si>
    <t>Senior PPO Dental - Premiere</t>
  </si>
  <si>
    <t>Accident Direct</t>
  </si>
  <si>
    <t>Accident Companion</t>
  </si>
  <si>
    <t>Critical Accident Direct</t>
  </si>
  <si>
    <t>ProtectFit Plus Plan - High</t>
  </si>
  <si>
    <t>ProtectFit Plus Plan - Low</t>
  </si>
  <si>
    <t>Senior Prime DVH</t>
  </si>
  <si>
    <t>Premiere Vision</t>
  </si>
  <si>
    <t>Dental Premiere</t>
  </si>
  <si>
    <t>HospitalWise</t>
  </si>
  <si>
    <t>Senior HospitalWise</t>
  </si>
  <si>
    <t>Senior CancerWise Plus</t>
  </si>
  <si>
    <t>Accident Disability Direct</t>
  </si>
  <si>
    <t>Prime DVH</t>
  </si>
  <si>
    <t>CancerWise Plus</t>
  </si>
  <si>
    <t>SecureWise Term Life 20 Year</t>
  </si>
  <si>
    <t>Dental Basic</t>
  </si>
  <si>
    <t>Senior Permiere Vision</t>
  </si>
  <si>
    <t>Senior PPO Dental - Basic</t>
  </si>
  <si>
    <t>VisionWise Premier</t>
  </si>
  <si>
    <t>DentalWise Max 1000</t>
  </si>
  <si>
    <t>DentalWise 2000</t>
  </si>
  <si>
    <t>DentalWise 1000</t>
  </si>
  <si>
    <t>DentalWise Basic</t>
  </si>
  <si>
    <t>AccidentWise</t>
  </si>
  <si>
    <t>HeartWise</t>
  </si>
  <si>
    <t>DentalWise Max 3000</t>
  </si>
  <si>
    <t>Senior HeartWise</t>
  </si>
  <si>
    <t>Surebridge OVR</t>
  </si>
  <si>
    <t>SB Accident Companion</t>
  </si>
  <si>
    <t>SB Accident Disability Direct</t>
  </si>
  <si>
    <t>SB AccidentWise Plan C,D</t>
  </si>
  <si>
    <t>SB HeartWise and Cancer Wise Plus - All Other States</t>
  </si>
  <si>
    <t>SB Premiere Vision</t>
  </si>
  <si>
    <t>SB Dental Premiere &amp; Basic - All States</t>
  </si>
  <si>
    <t>SB DentalWise 1000- FL,CO,WA,SD,ND</t>
  </si>
  <si>
    <t>SB DentalWise Basic-FL,CO,WA,SD,ND</t>
  </si>
  <si>
    <t>SB DentalWise/VisionWise</t>
  </si>
  <si>
    <t>SB HospitalWise - All States</t>
  </si>
  <si>
    <t>SB ProtectFit Plus</t>
  </si>
  <si>
    <t>SB SecureWise Term life 10 year</t>
  </si>
  <si>
    <t>SB Dental Premier &amp; Basic - NV</t>
  </si>
  <si>
    <t>SB AccidentWise Plan C,D - MN,SD,WA</t>
  </si>
  <si>
    <t>Main Line Benefits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</si>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</sst>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&quot;$&quot;#,##0.00;\(&quot;$&quot;#,##0.00\)"/>
    <numFmt numFmtId="165" formatCode="[$-10409]mm/dd/yyyy"/>
  </numFmts>
  <fonts count="12" x14ac:knownFonts="1">
    <font>
      <sz val="10"/>
      <name val="Arial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10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i/>
      <sz val="8"/>
      <color indexed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horizontal="left"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8" fillId="0" borderId="0" xfId="0" applyFont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8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lef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right" vertical="top" wrapText="1" readingOrder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1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164" fontId="1" fillId="0" borderId="0" xfId="0" applyNumberFormat="1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9" fillId="2" borderId="0" xfId="0" applyFont="1" applyFill="1" applyAlignment="1">
      <alignment horizontal="left"/>
    </xf>
    <xf numFmtId="0" fontId="9" fillId="0" borderId="0" xfId="0" applyFont="1" applyFill="1" applyAlignment="1">
      <alignment horizontal="left"/>
    </xf>
    <xf numFmtId="0" fontId="10" fillId="0" borderId="2" xfId="0" applyFont="1" applyFill="1" applyBorder="1" applyAlignment="1" applyProtection="1">
      <alignment horizontal="left" wrapText="1" readingOrder="1"/>
      <protection locked="0"/>
    </xf>
    <xf numFmtId="0" fontId="11" fillId="0" borderId="0" xfId="0" applyFont="1" applyFill="1" applyAlignment="1" applyProtection="1">
      <alignment horizontal="left" wrapText="1" readingOrder="1"/>
      <protection locked="0"/>
    </xf>
    <xf numFmtId="165" fontId="11" fillId="0" borderId="0" xfId="0" applyNumberFormat="1" applyFont="1" applyFill="1" applyAlignment="1" applyProtection="1">
      <alignment horizontal="left" wrapText="1" readingOrder="1"/>
      <protection locked="0"/>
    </xf>
    <xf numFmtId="164" fontId="11" fillId="0" borderId="0" xfId="0" applyNumberFormat="1" applyFont="1" applyFill="1" applyAlignment="1" applyProtection="1">
      <alignment horizontal="left" wrapText="1" readingOrder="1"/>
      <protection locked="0"/>
    </xf>
    <xf numFmtId="10" fontId="11" fillId="0" borderId="0" xfId="0" applyNumberFormat="1" applyFont="1" applyFill="1" applyAlignment="1" applyProtection="1">
      <alignment horizontal="left" wrapText="1" readingOrder="1"/>
      <protection locked="0"/>
    </xf>
    <xf numFmtId="0" fontId="10" fillId="0" borderId="0" xfId="0" applyFont="1" applyFill="1" applyAlignment="1" applyProtection="1">
      <alignment horizontal="left" wrapText="1" readingOrder="1"/>
      <protection locked="0"/>
    </xf>
    <xf numFmtId="0" fontId="9" fillId="0" borderId="3" xfId="0" applyFont="1" applyFill="1" applyBorder="1" applyAlignment="1"/>
    <xf numFmtId="0" fontId="11" fillId="0" borderId="0" xfId="0" applyNumberFormat="1" applyFont="1" applyFill="1" applyAlignment="1" applyProtection="1">
      <alignment horizontal="left" wrapText="1" readingOrder="1"/>
      <protection locked="0"/>
    </xf>
    <xf numFmtId="0" fontId="11" fillId="3" borderId="0" xfId="0" applyFont="1" applyFill="1" applyAlignment="1" applyProtection="1">
      <alignment horizontal="left" wrapText="1" readingOrder="1"/>
      <protection locked="0"/>
    </xf>
    <xf numFmtId="165" fontId="11" fillId="3" borderId="0" xfId="0" applyNumberFormat="1" applyFont="1" applyFill="1" applyAlignment="1" applyProtection="1">
      <alignment horizontal="left" wrapText="1" readingOrder="1"/>
      <protection locked="0"/>
    </xf>
    <xf numFmtId="164" fontId="11" fillId="3" borderId="0" xfId="0" applyNumberFormat="1" applyFont="1" applyFill="1" applyAlignment="1" applyProtection="1">
      <alignment horizontal="left" wrapText="1" readingOrder="1"/>
      <protection locked="0"/>
    </xf>
    <xf numFmtId="10" fontId="11" fillId="3" borderId="0" xfId="0" applyNumberFormat="1" applyFont="1" applyFill="1" applyAlignment="1" applyProtection="1">
      <alignment horizontal="left" wrapText="1" readingOrder="1"/>
      <protection locked="0"/>
    </xf>
    <xf numFmtId="0" fontId="10" fillId="3" borderId="0" xfId="0" applyFont="1" applyFill="1" applyAlignment="1" applyProtection="1">
      <alignment horizontal="left" wrapText="1" readingOrder="1"/>
      <protection locked="0"/>
    </xf>
    <xf numFmtId="0" fontId="9" fillId="3" borderId="0" xfId="0" applyFont="1" applyFill="1" applyAlignment="1">
      <alignment horizontal="left"/>
    </xf>
    <xf numFmtId="0" fontId="9" fillId="3" borderId="3" xfId="0" applyFont="1" applyFill="1" applyBorder="1" applyAlignment="1"/>
    <xf numFmtId="0" fontId="11" fillId="2" borderId="0" xfId="0" applyFont="1" applyFill="1" applyAlignment="1" applyProtection="1">
      <alignment horizontal="left" wrapText="1" readingOrder="1"/>
      <protection locked="0"/>
    </xf>
    <xf numFmtId="165" fontId="11" fillId="2" borderId="0" xfId="0" applyNumberFormat="1" applyFont="1" applyFill="1" applyAlignment="1" applyProtection="1">
      <alignment horizontal="left" wrapText="1" readingOrder="1"/>
      <protection locked="0"/>
    </xf>
    <xf numFmtId="164" fontId="11" fillId="2" borderId="0" xfId="0" applyNumberFormat="1" applyFont="1" applyFill="1" applyAlignment="1" applyProtection="1">
      <alignment horizontal="left" wrapText="1" readingOrder="1"/>
      <protection locked="0"/>
    </xf>
    <xf numFmtId="10" fontId="11" fillId="2" borderId="0" xfId="0" applyNumberFormat="1" applyFont="1" applyFill="1" applyAlignment="1" applyProtection="1">
      <alignment horizontal="left" wrapText="1" readingOrder="1"/>
      <protection locked="0"/>
    </xf>
    <xf numFmtId="0" fontId="10" fillId="2" borderId="0" xfId="0" applyFont="1" applyFill="1" applyAlignment="1" applyProtection="1">
      <alignment horizontal="left" wrapText="1" readingOrder="1"/>
      <protection locked="0"/>
    </xf>
    <xf numFmtId="0" fontId="9" fillId="2" borderId="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5710E-3DF2-4CE5-8F05-F19E671885FB}">
  <dimension ref="A1:R33"/>
  <sheetViews>
    <sheetView showGridLines="0" workbookViewId="0"/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3" t="s">
        <v>4</v>
      </c>
      <c r="C2" s="31"/>
      <c r="D2" s="31"/>
      <c r="E2" s="43" t="s">
        <v>0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3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5" t="s">
        <v>6</v>
      </c>
      <c r="Q3" s="31"/>
      <c r="R3" s="31"/>
    </row>
    <row r="4" spans="1:18" x14ac:dyDescent="0.2">
      <c r="A4" s="2"/>
      <c r="B4" s="2"/>
      <c r="C4" s="2"/>
      <c r="D4" s="2"/>
      <c r="E4" s="43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3" t="s">
        <v>8</v>
      </c>
      <c r="Q4" s="31"/>
      <c r="R4" s="31"/>
    </row>
    <row r="5" spans="1:18" x14ac:dyDescent="0.2">
      <c r="A5" s="2" t="s">
        <v>9</v>
      </c>
      <c r="B5" s="33" t="s">
        <v>10</v>
      </c>
      <c r="C5" s="31"/>
      <c r="D5" s="31"/>
      <c r="E5" s="43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5" t="s">
        <v>12</v>
      </c>
      <c r="Q5" s="31"/>
      <c r="R5" s="31"/>
    </row>
    <row r="6" spans="1:18" x14ac:dyDescent="0.2">
      <c r="A6" s="2"/>
      <c r="B6" s="33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5" t="s">
        <v>14</v>
      </c>
      <c r="Q6" s="31"/>
      <c r="R6" s="31"/>
    </row>
    <row r="7" spans="1:18" x14ac:dyDescent="0.2">
      <c r="A7" s="6"/>
      <c r="B7" s="33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s="7"/>
      <c r="B8" s="7"/>
      <c r="C8" s="7"/>
      <c r="D8" s="8"/>
      <c r="E8" s="7"/>
      <c r="F8" s="7"/>
      <c r="G8" s="7"/>
      <c r="H8" s="7"/>
      <c r="I8" s="7"/>
      <c r="J8" s="7"/>
      <c r="K8" s="7"/>
      <c r="L8" s="9"/>
      <c r="M8" s="9"/>
      <c r="N8" s="9"/>
      <c r="O8" s="9"/>
      <c r="P8" s="9"/>
      <c r="Q8" s="9"/>
      <c r="R8" s="9"/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2"/>
      <c r="B10" s="33" t="s">
        <v>16</v>
      </c>
      <c r="C10" s="31"/>
      <c r="D10" s="31"/>
      <c r="E10" s="31"/>
      <c r="F10" s="2"/>
      <c r="G10" s="33"/>
      <c r="H10" s="31"/>
      <c r="I10" s="10"/>
      <c r="J10" s="2"/>
      <c r="K10" s="33" t="s">
        <v>17</v>
      </c>
      <c r="L10" s="31"/>
      <c r="M10" s="31"/>
      <c r="N10" s="31"/>
      <c r="O10" s="31"/>
      <c r="P10" s="42"/>
      <c r="Q10" s="31"/>
      <c r="R10" s="11"/>
    </row>
    <row r="11" spans="1:18" ht="15" x14ac:dyDescent="0.2">
      <c r="A11" s="2"/>
      <c r="B11" s="35" t="s">
        <v>18</v>
      </c>
      <c r="C11" s="31"/>
      <c r="D11" s="31"/>
      <c r="E11" s="12"/>
      <c r="F11" s="2"/>
      <c r="G11" s="36">
        <v>0</v>
      </c>
      <c r="H11" s="31"/>
      <c r="I11" s="10"/>
      <c r="J11" s="2"/>
      <c r="K11" s="33" t="s">
        <v>19</v>
      </c>
      <c r="L11" s="31"/>
      <c r="M11" s="31"/>
      <c r="N11" s="31"/>
      <c r="O11" s="31"/>
      <c r="P11" s="36">
        <v>0</v>
      </c>
      <c r="Q11" s="31"/>
      <c r="R11" s="11"/>
    </row>
    <row r="12" spans="1:18" ht="15" x14ac:dyDescent="0.2">
      <c r="A12" s="2"/>
      <c r="B12" s="12"/>
      <c r="C12" s="30" t="s">
        <v>20</v>
      </c>
      <c r="D12" s="31"/>
      <c r="E12" s="31"/>
      <c r="F12" s="31"/>
      <c r="G12" s="36">
        <v>0</v>
      </c>
      <c r="H12" s="31"/>
      <c r="I12" s="10"/>
      <c r="J12" s="2"/>
      <c r="K12" s="11"/>
      <c r="L12" s="32" t="s">
        <v>21</v>
      </c>
      <c r="M12" s="31"/>
      <c r="N12" s="14"/>
      <c r="O12" s="14"/>
      <c r="P12" s="36">
        <v>0</v>
      </c>
      <c r="Q12" s="31"/>
      <c r="R12" s="11"/>
    </row>
    <row r="13" spans="1:18" ht="15" x14ac:dyDescent="0.2">
      <c r="A13" s="2"/>
      <c r="B13" s="12"/>
      <c r="C13" s="30" t="s">
        <v>22</v>
      </c>
      <c r="D13" s="31"/>
      <c r="E13" s="12"/>
      <c r="F13" s="15"/>
      <c r="G13" s="36">
        <v>0</v>
      </c>
      <c r="H13" s="31"/>
      <c r="I13" s="10"/>
      <c r="J13" s="2"/>
      <c r="K13" s="11"/>
      <c r="L13" s="32" t="s">
        <v>23</v>
      </c>
      <c r="M13" s="31"/>
      <c r="N13" s="31"/>
      <c r="O13" s="31"/>
      <c r="P13" s="38" t="s">
        <v>1</v>
      </c>
      <c r="Q13" s="31"/>
      <c r="R13" s="11"/>
    </row>
    <row r="14" spans="1:18" ht="15" x14ac:dyDescent="0.2">
      <c r="A14" s="2"/>
      <c r="B14" s="16"/>
      <c r="C14" s="30" t="s">
        <v>24</v>
      </c>
      <c r="D14" s="31"/>
      <c r="E14" s="1"/>
      <c r="F14" s="15"/>
      <c r="G14" s="36">
        <v>87.52</v>
      </c>
      <c r="H14" s="31"/>
      <c r="I14" s="10"/>
      <c r="J14" s="2"/>
      <c r="K14" s="11"/>
      <c r="L14" s="32" t="s">
        <v>25</v>
      </c>
      <c r="M14" s="31"/>
      <c r="N14" s="31"/>
      <c r="O14" s="31"/>
      <c r="P14" s="36">
        <v>0</v>
      </c>
      <c r="Q14" s="31"/>
      <c r="R14" s="11"/>
    </row>
    <row r="15" spans="1:18" x14ac:dyDescent="0.2">
      <c r="A15" s="2"/>
      <c r="B15" s="2"/>
      <c r="C15" s="30" t="s">
        <v>26</v>
      </c>
      <c r="D15" s="31"/>
      <c r="E15" s="31"/>
      <c r="F15" s="15"/>
      <c r="G15" s="36">
        <v>0</v>
      </c>
      <c r="H15" s="31"/>
      <c r="I15" s="10"/>
      <c r="J15" s="2"/>
      <c r="K15" s="11"/>
      <c r="L15" s="32" t="s">
        <v>26</v>
      </c>
      <c r="M15" s="31"/>
      <c r="N15" s="31"/>
      <c r="O15" s="31"/>
      <c r="P15" s="36">
        <v>0</v>
      </c>
      <c r="Q15" s="31"/>
      <c r="R15" s="11"/>
    </row>
    <row r="16" spans="1:18" x14ac:dyDescent="0.2">
      <c r="A16" s="2"/>
      <c r="B16" s="5"/>
      <c r="C16" s="30" t="s">
        <v>27</v>
      </c>
      <c r="D16" s="31"/>
      <c r="E16" s="2"/>
      <c r="F16" s="15"/>
      <c r="G16" s="36">
        <v>0</v>
      </c>
      <c r="H16" s="31"/>
      <c r="I16" s="10"/>
      <c r="J16" s="2"/>
      <c r="K16" s="2"/>
      <c r="L16" s="32" t="s">
        <v>28</v>
      </c>
      <c r="M16" s="31"/>
      <c r="N16" s="31"/>
      <c r="O16" s="31"/>
      <c r="P16" s="41">
        <v>0</v>
      </c>
      <c r="Q16" s="31"/>
      <c r="R16" s="11"/>
    </row>
    <row r="17" spans="1:18" ht="15" x14ac:dyDescent="0.2">
      <c r="A17" s="2"/>
      <c r="B17" s="35" t="s">
        <v>29</v>
      </c>
      <c r="C17" s="31"/>
      <c r="D17" s="31"/>
      <c r="E17" s="12"/>
      <c r="F17" s="11"/>
      <c r="G17" s="34">
        <v>87.52</v>
      </c>
      <c r="H17" s="31"/>
      <c r="I17" s="10"/>
      <c r="J17" s="2"/>
      <c r="K17" s="33" t="s">
        <v>30</v>
      </c>
      <c r="L17" s="31"/>
      <c r="M17" s="31"/>
      <c r="N17" s="6"/>
      <c r="O17" s="6"/>
      <c r="P17" s="34">
        <v>0</v>
      </c>
      <c r="Q17" s="31"/>
      <c r="R17" s="11"/>
    </row>
    <row r="18" spans="1:18" ht="15" x14ac:dyDescent="0.2">
      <c r="A18" s="2"/>
      <c r="B18" s="35"/>
      <c r="C18" s="31"/>
      <c r="D18" s="31"/>
      <c r="E18" s="16"/>
      <c r="F18" s="16"/>
      <c r="G18" s="37"/>
      <c r="H18" s="31"/>
      <c r="I18" s="10"/>
      <c r="J18" s="2"/>
      <c r="K18" s="33"/>
      <c r="L18" s="31"/>
      <c r="M18" s="31"/>
      <c r="N18" s="31"/>
      <c r="O18" s="31"/>
      <c r="P18" s="38"/>
      <c r="Q18" s="31"/>
      <c r="R18" s="11"/>
    </row>
    <row r="19" spans="1:18" ht="15" x14ac:dyDescent="0.2">
      <c r="A19" s="2"/>
      <c r="B19" s="35" t="s">
        <v>31</v>
      </c>
      <c r="C19" s="31"/>
      <c r="D19" s="31"/>
      <c r="E19" s="12"/>
      <c r="F19" s="18"/>
      <c r="G19" s="39"/>
      <c r="H19" s="31"/>
      <c r="I19" s="18"/>
      <c r="J19" s="18"/>
      <c r="K19" s="33" t="s">
        <v>32</v>
      </c>
      <c r="L19" s="31"/>
      <c r="M19" s="31"/>
      <c r="N19" s="6"/>
      <c r="O19" s="6"/>
      <c r="P19" s="40"/>
      <c r="Q19" s="31"/>
      <c r="R19" s="11"/>
    </row>
    <row r="20" spans="1:18" ht="15" x14ac:dyDescent="0.2">
      <c r="A20" s="2"/>
      <c r="B20" s="12"/>
      <c r="C20" s="30" t="s">
        <v>29</v>
      </c>
      <c r="D20" s="31"/>
      <c r="E20" s="12"/>
      <c r="F20" s="15"/>
      <c r="G20" s="36">
        <v>87.52</v>
      </c>
      <c r="H20" s="31"/>
      <c r="I20" s="18"/>
      <c r="J20" s="18"/>
      <c r="K20" s="18"/>
      <c r="L20" s="32" t="s">
        <v>21</v>
      </c>
      <c r="M20" s="31"/>
      <c r="N20" s="6"/>
      <c r="O20" s="6"/>
      <c r="P20" s="36">
        <v>0</v>
      </c>
      <c r="Q20" s="31"/>
      <c r="R20" s="11"/>
    </row>
    <row r="21" spans="1:18" ht="15" x14ac:dyDescent="0.2">
      <c r="A21" s="2"/>
      <c r="B21" s="12"/>
      <c r="C21" s="30" t="s">
        <v>33</v>
      </c>
      <c r="D21" s="31"/>
      <c r="E21" s="12"/>
      <c r="F21" s="15"/>
      <c r="G21" s="36">
        <v>0</v>
      </c>
      <c r="H21" s="31"/>
      <c r="I21" s="18"/>
      <c r="J21" s="18"/>
      <c r="K21" s="18"/>
      <c r="L21" s="32" t="s">
        <v>23</v>
      </c>
      <c r="M21" s="31"/>
      <c r="N21" s="6"/>
      <c r="O21" s="6"/>
      <c r="P21" s="36">
        <v>0</v>
      </c>
      <c r="Q21" s="31"/>
      <c r="R21" s="11"/>
    </row>
    <row r="22" spans="1:18" ht="15" x14ac:dyDescent="0.2">
      <c r="A22" s="2"/>
      <c r="B22" s="33" t="s">
        <v>34</v>
      </c>
      <c r="C22" s="31"/>
      <c r="D22" s="31"/>
      <c r="E22" s="12"/>
      <c r="F22" s="15"/>
      <c r="G22" s="34">
        <v>87.52</v>
      </c>
      <c r="H22" s="31"/>
      <c r="I22" s="18"/>
      <c r="J22" s="18"/>
      <c r="K22" s="18"/>
      <c r="L22" s="35" t="s">
        <v>35</v>
      </c>
      <c r="M22" s="31"/>
      <c r="N22" s="6"/>
      <c r="O22" s="6"/>
      <c r="P22" s="34">
        <v>0</v>
      </c>
      <c r="Q22" s="31"/>
      <c r="R22" s="11"/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5"/>
      <c r="B24" s="5"/>
      <c r="C24" s="5"/>
      <c r="D24" s="1"/>
      <c r="E24" s="15"/>
      <c r="F24" s="15"/>
      <c r="G24" s="15"/>
      <c r="H24" s="1"/>
      <c r="I24" s="1"/>
      <c r="J24" s="15"/>
      <c r="K24" s="15"/>
      <c r="L24" s="11"/>
      <c r="M24" s="11"/>
      <c r="N24" s="19"/>
      <c r="O24" s="19"/>
      <c r="P24" s="19"/>
      <c r="Q24" s="11"/>
      <c r="R24" s="11"/>
    </row>
    <row r="25" spans="1:18" x14ac:dyDescent="0.2">
      <c r="A25" s="5"/>
      <c r="B25" s="5"/>
      <c r="C25" s="5"/>
      <c r="D25" s="1"/>
      <c r="E25" s="15"/>
      <c r="F25" s="15"/>
      <c r="G25" s="15"/>
      <c r="H25" s="1"/>
      <c r="I25" s="1"/>
      <c r="J25" s="15"/>
      <c r="K25" s="15"/>
      <c r="L25" s="11"/>
      <c r="M25" s="11"/>
      <c r="N25" s="11"/>
      <c r="O25" s="11"/>
      <c r="P25" s="19"/>
      <c r="Q25" s="11"/>
      <c r="R25" s="11"/>
    </row>
    <row r="26" spans="1:18" x14ac:dyDescent="0.2">
      <c r="A26" s="20"/>
      <c r="B26" s="20"/>
      <c r="C26" s="20"/>
      <c r="D26" s="21"/>
      <c r="E26" s="22"/>
      <c r="F26" s="22"/>
      <c r="G26" s="22"/>
      <c r="H26" s="21"/>
      <c r="I26" s="21"/>
      <c r="J26" s="22"/>
      <c r="K26" s="22"/>
      <c r="L26" s="23"/>
      <c r="M26" s="23"/>
      <c r="N26" s="24"/>
      <c r="O26" s="24"/>
      <c r="P26" s="24"/>
      <c r="Q26" s="23"/>
      <c r="R26" s="23"/>
    </row>
    <row r="27" spans="1:18" x14ac:dyDescent="0.2">
      <c r="A27" s="35" t="s">
        <v>36</v>
      </c>
      <c r="B27" s="31"/>
      <c r="C27" s="31"/>
      <c r="D27" s="31"/>
      <c r="E27" s="1"/>
      <c r="F27" s="1"/>
      <c r="G27" s="1"/>
      <c r="H27" s="1"/>
      <c r="I27" s="1"/>
      <c r="J27" s="1"/>
      <c r="K27" s="1"/>
      <c r="L27" s="1"/>
      <c r="M27" s="35" t="s">
        <v>37</v>
      </c>
      <c r="N27" s="31"/>
      <c r="O27" s="31"/>
      <c r="P27" s="31"/>
      <c r="Q27" s="1"/>
      <c r="R27" s="1"/>
    </row>
    <row r="28" spans="1:18" x14ac:dyDescent="0.2">
      <c r="A28" s="1"/>
      <c r="B28" s="30" t="s">
        <v>38</v>
      </c>
      <c r="C28" s="31"/>
      <c r="D28" s="31"/>
      <c r="E28" s="32" t="s">
        <v>39</v>
      </c>
      <c r="F28" s="31"/>
      <c r="G28" s="31"/>
      <c r="H28" s="31"/>
      <c r="I28" s="31"/>
      <c r="J28" s="31"/>
      <c r="K28" s="31"/>
      <c r="L28" s="1"/>
      <c r="M28" s="1"/>
      <c r="N28" s="1"/>
      <c r="O28" s="30" t="s">
        <v>40</v>
      </c>
      <c r="P28" s="31"/>
      <c r="Q28" s="31"/>
      <c r="R28" s="1"/>
    </row>
    <row r="29" spans="1:18" x14ac:dyDescent="0.2">
      <c r="A29" s="1"/>
      <c r="B29" s="30" t="s">
        <v>41</v>
      </c>
      <c r="C29" s="31"/>
      <c r="D29" s="31"/>
      <c r="E29" s="32" t="s">
        <v>42</v>
      </c>
      <c r="F29" s="31"/>
      <c r="G29" s="31"/>
      <c r="H29" s="31"/>
      <c r="I29" s="31"/>
      <c r="J29" s="31"/>
      <c r="K29" s="31"/>
      <c r="L29" s="1"/>
      <c r="M29" s="1"/>
      <c r="N29" s="1"/>
      <c r="O29" s="1"/>
      <c r="P29" s="1"/>
      <c r="Q29" s="1"/>
      <c r="R29" s="1"/>
    </row>
    <row r="30" spans="1:18" x14ac:dyDescent="0.2">
      <c r="A30" s="1"/>
      <c r="B30" s="30" t="s">
        <v>43</v>
      </c>
      <c r="C30" s="31"/>
      <c r="D30" s="31"/>
      <c r="E30" s="32" t="s">
        <v>44</v>
      </c>
      <c r="F30" s="31"/>
      <c r="G30" s="31"/>
      <c r="H30" s="31"/>
      <c r="I30" s="31"/>
      <c r="J30" s="31"/>
      <c r="K30" s="31"/>
      <c r="L30" s="1"/>
      <c r="M30" s="1"/>
      <c r="N30" s="1"/>
      <c r="O30" s="1"/>
      <c r="P30" s="1"/>
      <c r="Q30" s="1"/>
      <c r="R30" s="1"/>
    </row>
    <row r="31" spans="1:18" x14ac:dyDescent="0.2">
      <c r="A31" s="1"/>
      <c r="B31" s="30" t="s">
        <v>45</v>
      </c>
      <c r="C31" s="31"/>
      <c r="D31" s="31"/>
      <c r="E31" s="32"/>
      <c r="F31" s="31"/>
      <c r="G31" s="31"/>
      <c r="H31" s="31"/>
      <c r="I31" s="31"/>
      <c r="J31" s="31"/>
      <c r="K31" s="31"/>
      <c r="L31" s="1"/>
      <c r="M31" s="1"/>
      <c r="N31" s="1"/>
      <c r="O31" s="1"/>
      <c r="P31" s="1"/>
      <c r="Q31" s="1"/>
      <c r="R31" s="1"/>
    </row>
    <row r="32" spans="1:18" x14ac:dyDescent="0.2">
      <c r="A32" s="1"/>
      <c r="B32" s="30" t="s">
        <v>46</v>
      </c>
      <c r="C32" s="31"/>
      <c r="D32" s="31"/>
      <c r="E32" s="30"/>
      <c r="F32" s="31"/>
      <c r="G32" s="31"/>
      <c r="H32" s="31"/>
      <c r="I32" s="31"/>
      <c r="J32" s="31"/>
      <c r="K32" s="31"/>
      <c r="L32" s="1"/>
      <c r="M32" s="1"/>
      <c r="N32" s="1"/>
      <c r="O32" s="1"/>
      <c r="P32" s="1"/>
      <c r="Q32" s="1"/>
      <c r="R32" s="1"/>
    </row>
    <row r="33" ht="12.75" hidden="1" customHeight="1" x14ac:dyDescent="0.2"/>
  </sheetData>
  <mergeCells count="77">
    <mergeCell ref="B7:D7"/>
    <mergeCell ref="B2:D2"/>
    <mergeCell ref="E2:O2"/>
    <mergeCell ref="A3:H3"/>
    <mergeCell ref="P3:R3"/>
    <mergeCell ref="E4:O4"/>
    <mergeCell ref="P4:R4"/>
    <mergeCell ref="B5:D5"/>
    <mergeCell ref="E5:O5"/>
    <mergeCell ref="P5:R5"/>
    <mergeCell ref="B6:D6"/>
    <mergeCell ref="P6:R6"/>
    <mergeCell ref="B10:E10"/>
    <mergeCell ref="G10:H10"/>
    <mergeCell ref="K10:O10"/>
    <mergeCell ref="P10:Q10"/>
    <mergeCell ref="B11:D11"/>
    <mergeCell ref="G11:H11"/>
    <mergeCell ref="K11:O11"/>
    <mergeCell ref="P11:Q11"/>
    <mergeCell ref="C12:F12"/>
    <mergeCell ref="G12:H12"/>
    <mergeCell ref="L12:M12"/>
    <mergeCell ref="P12:Q12"/>
    <mergeCell ref="C13:D13"/>
    <mergeCell ref="G13:H13"/>
    <mergeCell ref="L13:O13"/>
    <mergeCell ref="P13:Q13"/>
    <mergeCell ref="C14:D14"/>
    <mergeCell ref="G14:H14"/>
    <mergeCell ref="L14:O14"/>
    <mergeCell ref="P14:Q14"/>
    <mergeCell ref="C15:E15"/>
    <mergeCell ref="G15:H15"/>
    <mergeCell ref="L15:O15"/>
    <mergeCell ref="P15:Q15"/>
    <mergeCell ref="C16:D16"/>
    <mergeCell ref="G16:H16"/>
    <mergeCell ref="L16:O16"/>
    <mergeCell ref="P16:Q16"/>
    <mergeCell ref="B17:D17"/>
    <mergeCell ref="G17:H17"/>
    <mergeCell ref="K17:M17"/>
    <mergeCell ref="P17:Q17"/>
    <mergeCell ref="B18:D18"/>
    <mergeCell ref="G18:H18"/>
    <mergeCell ref="K18:O18"/>
    <mergeCell ref="P18:Q18"/>
    <mergeCell ref="B19:D19"/>
    <mergeCell ref="G19:H19"/>
    <mergeCell ref="K19:M19"/>
    <mergeCell ref="P19:Q19"/>
    <mergeCell ref="C20:D20"/>
    <mergeCell ref="G20:H20"/>
    <mergeCell ref="L20:M20"/>
    <mergeCell ref="P20:Q20"/>
    <mergeCell ref="C21:D21"/>
    <mergeCell ref="G21:H21"/>
    <mergeCell ref="L21:M21"/>
    <mergeCell ref="P21:Q21"/>
    <mergeCell ref="B22:D22"/>
    <mergeCell ref="G22:H22"/>
    <mergeCell ref="L22:M22"/>
    <mergeCell ref="P22:Q22"/>
    <mergeCell ref="A27:D27"/>
    <mergeCell ref="M27:P27"/>
    <mergeCell ref="O28:Q28"/>
    <mergeCell ref="B29:D29"/>
    <mergeCell ref="E29:K29"/>
    <mergeCell ref="B30:D30"/>
    <mergeCell ref="E30:K30"/>
    <mergeCell ref="B31:D31"/>
    <mergeCell ref="E31:K31"/>
    <mergeCell ref="B32:D32"/>
    <mergeCell ref="E32:K32"/>
    <mergeCell ref="B28:D28"/>
    <mergeCell ref="E28:K28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06/11/2025&amp;B &amp;C&amp;R&amp;"Arial"&amp;9&amp;BPage No: &amp;P of &amp;N&amp;B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054B2-EA51-42C4-A3F6-41E7E36B542E}">
  <dimension ref="A1:R53"/>
  <sheetViews>
    <sheetView showGridLines="0" workbookViewId="0">
      <selection sqref="A1:XFD1048576"/>
    </sheetView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3" t="s">
        <v>4</v>
      </c>
      <c r="C2" s="31"/>
      <c r="D2" s="31"/>
      <c r="E2" s="43" t="s">
        <v>2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3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5" t="s">
        <v>6</v>
      </c>
      <c r="Q3" s="31"/>
      <c r="R3" s="31"/>
    </row>
    <row r="4" spans="1:18" x14ac:dyDescent="0.2">
      <c r="A4" s="2"/>
      <c r="B4" s="2"/>
      <c r="C4" s="2"/>
      <c r="D4" s="2"/>
      <c r="E4" s="43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3" t="s">
        <v>8</v>
      </c>
      <c r="Q4" s="31"/>
      <c r="R4" s="31"/>
    </row>
    <row r="5" spans="1:18" x14ac:dyDescent="0.2">
      <c r="A5" s="2" t="s">
        <v>9</v>
      </c>
      <c r="B5" s="33" t="s">
        <v>10</v>
      </c>
      <c r="C5" s="31"/>
      <c r="D5" s="31"/>
      <c r="E5" s="43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5" t="s">
        <v>12</v>
      </c>
      <c r="Q5" s="31"/>
      <c r="R5" s="31"/>
    </row>
    <row r="6" spans="1:18" x14ac:dyDescent="0.2">
      <c r="A6" s="2"/>
      <c r="B6" s="33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5" t="s">
        <v>14</v>
      </c>
      <c r="Q6" s="31"/>
      <c r="R6" s="31"/>
    </row>
    <row r="7" spans="1:18" x14ac:dyDescent="0.2">
      <c r="A7" s="6"/>
      <c r="B7" s="33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2.5" x14ac:dyDescent="0.2">
      <c r="A8" s="25" t="s">
        <v>47</v>
      </c>
      <c r="B8" s="25" t="s">
        <v>48</v>
      </c>
      <c r="C8" s="25" t="s">
        <v>49</v>
      </c>
      <c r="D8" s="25" t="s">
        <v>50</v>
      </c>
      <c r="E8" s="26" t="s">
        <v>51</v>
      </c>
      <c r="F8" s="25" t="s">
        <v>52</v>
      </c>
      <c r="G8" s="25" t="s">
        <v>53</v>
      </c>
      <c r="H8" s="45" t="s">
        <v>54</v>
      </c>
      <c r="I8" s="46"/>
      <c r="J8" s="45" t="s">
        <v>55</v>
      </c>
      <c r="K8" s="46"/>
      <c r="L8" s="26" t="s">
        <v>56</v>
      </c>
      <c r="M8" s="26" t="s">
        <v>57</v>
      </c>
      <c r="N8" s="26" t="s">
        <v>58</v>
      </c>
      <c r="O8" s="27" t="s">
        <v>59</v>
      </c>
      <c r="P8" s="27" t="s">
        <v>60</v>
      </c>
      <c r="Q8" s="27" t="s">
        <v>61</v>
      </c>
      <c r="R8" s="26" t="s">
        <v>62</v>
      </c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35" t="s">
        <v>63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1"/>
      <c r="O10" s="1"/>
      <c r="P10" s="1"/>
      <c r="Q10" s="1"/>
      <c r="R10" s="1"/>
    </row>
    <row r="11" spans="1:18" ht="22.5" x14ac:dyDescent="0.2">
      <c r="A11" s="1"/>
      <c r="B11" s="1" t="s">
        <v>64</v>
      </c>
      <c r="C11" s="1" t="s">
        <v>65</v>
      </c>
      <c r="D11" s="1" t="s">
        <v>66</v>
      </c>
      <c r="E11" s="28">
        <v>44876</v>
      </c>
      <c r="F11" s="14"/>
      <c r="G11" s="14" t="s">
        <v>67</v>
      </c>
      <c r="H11" s="44">
        <v>45809</v>
      </c>
      <c r="I11" s="31"/>
      <c r="J11" s="44">
        <v>45839</v>
      </c>
      <c r="K11" s="31"/>
      <c r="L11" s="28">
        <v>45814</v>
      </c>
      <c r="M11" s="29" t="s">
        <v>68</v>
      </c>
      <c r="N11" s="15" t="s">
        <v>69</v>
      </c>
      <c r="O11" s="13">
        <v>41.5</v>
      </c>
      <c r="P11" s="15" t="s">
        <v>70</v>
      </c>
      <c r="Q11" s="13">
        <v>3.74</v>
      </c>
      <c r="R11" s="29" t="s">
        <v>71</v>
      </c>
    </row>
    <row r="12" spans="1:18" x14ac:dyDescent="0.2">
      <c r="A12" s="35" t="s">
        <v>72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1"/>
      <c r="O12" s="1"/>
      <c r="P12" s="1"/>
      <c r="Q12" s="1"/>
      <c r="R12" s="1"/>
    </row>
    <row r="13" spans="1:18" ht="33.75" x14ac:dyDescent="0.2">
      <c r="A13" s="1"/>
      <c r="B13" s="1" t="s">
        <v>64</v>
      </c>
      <c r="C13" s="1" t="s">
        <v>73</v>
      </c>
      <c r="D13" s="1" t="s">
        <v>74</v>
      </c>
      <c r="E13" s="28">
        <v>44930</v>
      </c>
      <c r="F13" s="14"/>
      <c r="G13" s="14" t="s">
        <v>75</v>
      </c>
      <c r="H13" s="44">
        <v>45809</v>
      </c>
      <c r="I13" s="31"/>
      <c r="J13" s="44">
        <v>45839</v>
      </c>
      <c r="K13" s="31"/>
      <c r="L13" s="28">
        <v>45814</v>
      </c>
      <c r="M13" s="29" t="s">
        <v>68</v>
      </c>
      <c r="N13" s="15" t="s">
        <v>69</v>
      </c>
      <c r="O13" s="13">
        <v>9</v>
      </c>
      <c r="P13" s="15" t="s">
        <v>70</v>
      </c>
      <c r="Q13" s="13">
        <v>0.81</v>
      </c>
      <c r="R13" s="29" t="s">
        <v>71</v>
      </c>
    </row>
    <row r="14" spans="1:18" ht="22.5" x14ac:dyDescent="0.2">
      <c r="A14" s="1"/>
      <c r="B14" s="1" t="s">
        <v>64</v>
      </c>
      <c r="C14" s="1" t="s">
        <v>76</v>
      </c>
      <c r="D14" s="1" t="s">
        <v>77</v>
      </c>
      <c r="E14" s="28">
        <v>44879</v>
      </c>
      <c r="F14" s="14"/>
      <c r="G14" s="14" t="s">
        <v>78</v>
      </c>
      <c r="H14" s="44">
        <v>45809</v>
      </c>
      <c r="I14" s="31"/>
      <c r="J14" s="44">
        <v>45839</v>
      </c>
      <c r="K14" s="31"/>
      <c r="L14" s="28">
        <v>45815</v>
      </c>
      <c r="M14" s="29" t="s">
        <v>68</v>
      </c>
      <c r="N14" s="15" t="s">
        <v>69</v>
      </c>
      <c r="O14" s="13">
        <v>165.99</v>
      </c>
      <c r="P14" s="15" t="s">
        <v>70</v>
      </c>
      <c r="Q14" s="13">
        <v>14.94</v>
      </c>
      <c r="R14" s="29" t="s">
        <v>71</v>
      </c>
    </row>
    <row r="15" spans="1:18" ht="22.5" x14ac:dyDescent="0.2">
      <c r="A15" s="1"/>
      <c r="B15" s="1" t="s">
        <v>64</v>
      </c>
      <c r="C15" s="1" t="s">
        <v>79</v>
      </c>
      <c r="D15" s="1" t="s">
        <v>80</v>
      </c>
      <c r="E15" s="28">
        <v>44880</v>
      </c>
      <c r="F15" s="14"/>
      <c r="G15" s="14" t="s">
        <v>81</v>
      </c>
      <c r="H15" s="44">
        <v>45809</v>
      </c>
      <c r="I15" s="31"/>
      <c r="J15" s="44">
        <v>45839</v>
      </c>
      <c r="K15" s="31"/>
      <c r="L15" s="28">
        <v>45815</v>
      </c>
      <c r="M15" s="29" t="s">
        <v>68</v>
      </c>
      <c r="N15" s="15" t="s">
        <v>69</v>
      </c>
      <c r="O15" s="13">
        <v>62.5</v>
      </c>
      <c r="P15" s="15" t="s">
        <v>70</v>
      </c>
      <c r="Q15" s="13">
        <v>5.63</v>
      </c>
      <c r="R15" s="29" t="s">
        <v>71</v>
      </c>
    </row>
    <row r="16" spans="1:18" x14ac:dyDescent="0.2">
      <c r="A16" s="35" t="s">
        <v>82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1"/>
      <c r="O16" s="1"/>
      <c r="P16" s="1"/>
      <c r="Q16" s="1"/>
      <c r="R16" s="1"/>
    </row>
    <row r="17" spans="1:18" ht="22.5" x14ac:dyDescent="0.2">
      <c r="A17" s="1"/>
      <c r="B17" s="1" t="s">
        <v>64</v>
      </c>
      <c r="C17" s="1" t="s">
        <v>83</v>
      </c>
      <c r="D17" s="1" t="s">
        <v>84</v>
      </c>
      <c r="E17" s="28">
        <v>44870</v>
      </c>
      <c r="F17" s="14"/>
      <c r="G17" s="14" t="s">
        <v>85</v>
      </c>
      <c r="H17" s="44">
        <v>45809</v>
      </c>
      <c r="I17" s="31"/>
      <c r="J17" s="44">
        <v>45839</v>
      </c>
      <c r="K17" s="31"/>
      <c r="L17" s="28">
        <v>45815</v>
      </c>
      <c r="M17" s="29" t="s">
        <v>68</v>
      </c>
      <c r="N17" s="15" t="s">
        <v>69</v>
      </c>
      <c r="O17" s="13">
        <v>71.03</v>
      </c>
      <c r="P17" s="15" t="s">
        <v>86</v>
      </c>
      <c r="Q17" s="13">
        <v>4.26</v>
      </c>
      <c r="R17" s="29" t="s">
        <v>71</v>
      </c>
    </row>
    <row r="18" spans="1:18" ht="22.5" x14ac:dyDescent="0.2">
      <c r="A18" s="1"/>
      <c r="B18" s="1" t="s">
        <v>64</v>
      </c>
      <c r="C18" s="1" t="s">
        <v>87</v>
      </c>
      <c r="D18" s="1" t="s">
        <v>84</v>
      </c>
      <c r="E18" s="28">
        <v>45235</v>
      </c>
      <c r="F18" s="14"/>
      <c r="G18" s="14" t="s">
        <v>88</v>
      </c>
      <c r="H18" s="44">
        <v>45809</v>
      </c>
      <c r="I18" s="31"/>
      <c r="J18" s="44">
        <v>45839</v>
      </c>
      <c r="K18" s="31"/>
      <c r="L18" s="28">
        <v>45815</v>
      </c>
      <c r="M18" s="29" t="s">
        <v>68</v>
      </c>
      <c r="N18" s="15" t="s">
        <v>69</v>
      </c>
      <c r="O18" s="13">
        <v>18.48</v>
      </c>
      <c r="P18" s="15" t="s">
        <v>89</v>
      </c>
      <c r="Q18" s="13">
        <v>0.83</v>
      </c>
      <c r="R18" s="29" t="s">
        <v>71</v>
      </c>
    </row>
    <row r="19" spans="1:18" ht="22.5" x14ac:dyDescent="0.2">
      <c r="A19" s="1"/>
      <c r="B19" s="1" t="s">
        <v>64</v>
      </c>
      <c r="C19" s="1" t="s">
        <v>90</v>
      </c>
      <c r="D19" s="1" t="s">
        <v>91</v>
      </c>
      <c r="E19" s="28">
        <v>44910</v>
      </c>
      <c r="F19" s="14"/>
      <c r="G19" s="14" t="s">
        <v>92</v>
      </c>
      <c r="H19" s="44">
        <v>45809</v>
      </c>
      <c r="I19" s="31"/>
      <c r="J19" s="44">
        <v>45839</v>
      </c>
      <c r="K19" s="31"/>
      <c r="L19" s="28">
        <v>45815</v>
      </c>
      <c r="M19" s="29" t="s">
        <v>68</v>
      </c>
      <c r="N19" s="15" t="s">
        <v>69</v>
      </c>
      <c r="O19" s="13">
        <v>196.66</v>
      </c>
      <c r="P19" s="15" t="s">
        <v>86</v>
      </c>
      <c r="Q19" s="13">
        <v>11.8</v>
      </c>
      <c r="R19" s="29" t="s">
        <v>71</v>
      </c>
    </row>
    <row r="20" spans="1:18" ht="22.5" x14ac:dyDescent="0.2">
      <c r="A20" s="1"/>
      <c r="B20" s="1" t="s">
        <v>64</v>
      </c>
      <c r="C20" s="1" t="s">
        <v>93</v>
      </c>
      <c r="D20" s="1" t="s">
        <v>91</v>
      </c>
      <c r="E20" s="28">
        <v>45272</v>
      </c>
      <c r="F20" s="14"/>
      <c r="G20" s="14" t="s">
        <v>94</v>
      </c>
      <c r="H20" s="44">
        <v>45809</v>
      </c>
      <c r="I20" s="31"/>
      <c r="J20" s="44">
        <v>45839</v>
      </c>
      <c r="K20" s="31"/>
      <c r="L20" s="28">
        <v>45814</v>
      </c>
      <c r="M20" s="29" t="s">
        <v>68</v>
      </c>
      <c r="N20" s="15" t="s">
        <v>69</v>
      </c>
      <c r="O20" s="13">
        <v>26.56</v>
      </c>
      <c r="P20" s="15" t="s">
        <v>95</v>
      </c>
      <c r="Q20" s="13">
        <v>1.86</v>
      </c>
      <c r="R20" s="29" t="s">
        <v>71</v>
      </c>
    </row>
    <row r="21" spans="1:18" ht="22.5" x14ac:dyDescent="0.2">
      <c r="A21" s="1"/>
      <c r="B21" s="1" t="s">
        <v>64</v>
      </c>
      <c r="C21" s="1" t="s">
        <v>96</v>
      </c>
      <c r="D21" s="1" t="s">
        <v>97</v>
      </c>
      <c r="E21" s="28">
        <v>45366</v>
      </c>
      <c r="F21" s="14"/>
      <c r="G21" s="14" t="s">
        <v>98</v>
      </c>
      <c r="H21" s="44">
        <v>45809</v>
      </c>
      <c r="I21" s="31"/>
      <c r="J21" s="44">
        <v>45839</v>
      </c>
      <c r="K21" s="31"/>
      <c r="L21" s="28">
        <v>45815</v>
      </c>
      <c r="M21" s="29" t="s">
        <v>68</v>
      </c>
      <c r="N21" s="15" t="s">
        <v>69</v>
      </c>
      <c r="O21" s="13">
        <v>49.7</v>
      </c>
      <c r="P21" s="15" t="s">
        <v>95</v>
      </c>
      <c r="Q21" s="13">
        <v>3.48</v>
      </c>
      <c r="R21" s="29" t="s">
        <v>71</v>
      </c>
    </row>
    <row r="22" spans="1:18" ht="22.5" x14ac:dyDescent="0.2">
      <c r="A22" s="1"/>
      <c r="B22" s="1" t="s">
        <v>64</v>
      </c>
      <c r="C22" s="1" t="s">
        <v>99</v>
      </c>
      <c r="D22" s="1" t="s">
        <v>100</v>
      </c>
      <c r="E22" s="28">
        <v>45020</v>
      </c>
      <c r="F22" s="14"/>
      <c r="G22" s="14" t="s">
        <v>101</v>
      </c>
      <c r="H22" s="44">
        <v>45809</v>
      </c>
      <c r="I22" s="31"/>
      <c r="J22" s="44">
        <v>45839</v>
      </c>
      <c r="K22" s="31"/>
      <c r="L22" s="28">
        <v>45814</v>
      </c>
      <c r="M22" s="29" t="s">
        <v>68</v>
      </c>
      <c r="N22" s="15" t="s">
        <v>69</v>
      </c>
      <c r="O22" s="13">
        <v>61.05</v>
      </c>
      <c r="P22" s="15" t="s">
        <v>102</v>
      </c>
      <c r="Q22" s="13">
        <v>1.83</v>
      </c>
      <c r="R22" s="29" t="s">
        <v>71</v>
      </c>
    </row>
    <row r="23" spans="1:18" ht="22.5" x14ac:dyDescent="0.2">
      <c r="A23" s="1"/>
      <c r="B23" s="1" t="s">
        <v>64</v>
      </c>
      <c r="C23" s="1" t="s">
        <v>103</v>
      </c>
      <c r="D23" s="1" t="s">
        <v>104</v>
      </c>
      <c r="E23" s="28">
        <v>45327</v>
      </c>
      <c r="F23" s="14"/>
      <c r="G23" s="14" t="s">
        <v>105</v>
      </c>
      <c r="H23" s="44">
        <v>45809</v>
      </c>
      <c r="I23" s="31"/>
      <c r="J23" s="44">
        <v>45839</v>
      </c>
      <c r="K23" s="31"/>
      <c r="L23" s="28">
        <v>45815</v>
      </c>
      <c r="M23" s="29" t="s">
        <v>68</v>
      </c>
      <c r="N23" s="15" t="s">
        <v>69</v>
      </c>
      <c r="O23" s="13">
        <v>47.94</v>
      </c>
      <c r="P23" s="15" t="s">
        <v>89</v>
      </c>
      <c r="Q23" s="13">
        <v>2.16</v>
      </c>
      <c r="R23" s="29" t="s">
        <v>71</v>
      </c>
    </row>
    <row r="24" spans="1:18" ht="22.5" x14ac:dyDescent="0.2">
      <c r="A24" s="1"/>
      <c r="B24" s="1" t="s">
        <v>64</v>
      </c>
      <c r="C24" s="1" t="s">
        <v>106</v>
      </c>
      <c r="D24" s="1" t="s">
        <v>107</v>
      </c>
      <c r="E24" s="28">
        <v>44937</v>
      </c>
      <c r="F24" s="14"/>
      <c r="G24" s="14" t="s">
        <v>108</v>
      </c>
      <c r="H24" s="44">
        <v>45809</v>
      </c>
      <c r="I24" s="31"/>
      <c r="J24" s="44">
        <v>45839</v>
      </c>
      <c r="K24" s="31"/>
      <c r="L24" s="28">
        <v>45814</v>
      </c>
      <c r="M24" s="29" t="s">
        <v>68</v>
      </c>
      <c r="N24" s="15" t="s">
        <v>69</v>
      </c>
      <c r="O24" s="13">
        <v>18</v>
      </c>
      <c r="P24" s="15" t="s">
        <v>102</v>
      </c>
      <c r="Q24" s="13">
        <v>0.54</v>
      </c>
      <c r="R24" s="29" t="s">
        <v>71</v>
      </c>
    </row>
    <row r="25" spans="1:18" ht="22.5" x14ac:dyDescent="0.2">
      <c r="A25" s="1"/>
      <c r="B25" s="1" t="s">
        <v>64</v>
      </c>
      <c r="C25" s="1" t="s">
        <v>109</v>
      </c>
      <c r="D25" s="1" t="s">
        <v>107</v>
      </c>
      <c r="E25" s="28">
        <v>44937</v>
      </c>
      <c r="F25" s="14"/>
      <c r="G25" s="14" t="s">
        <v>110</v>
      </c>
      <c r="H25" s="44">
        <v>45809</v>
      </c>
      <c r="I25" s="31"/>
      <c r="J25" s="44">
        <v>45839</v>
      </c>
      <c r="K25" s="31"/>
      <c r="L25" s="28">
        <v>45814</v>
      </c>
      <c r="M25" s="29" t="s">
        <v>68</v>
      </c>
      <c r="N25" s="15" t="s">
        <v>69</v>
      </c>
      <c r="O25" s="13">
        <v>41.6</v>
      </c>
      <c r="P25" s="15" t="s">
        <v>102</v>
      </c>
      <c r="Q25" s="13">
        <v>1.25</v>
      </c>
      <c r="R25" s="29" t="s">
        <v>71</v>
      </c>
    </row>
    <row r="26" spans="1:18" x14ac:dyDescent="0.2">
      <c r="A26" s="35" t="s">
        <v>111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1"/>
      <c r="O26" s="1"/>
      <c r="P26" s="1"/>
      <c r="Q26" s="1"/>
      <c r="R26" s="1"/>
    </row>
    <row r="27" spans="1:18" ht="22.5" x14ac:dyDescent="0.2">
      <c r="A27" s="1"/>
      <c r="B27" s="1" t="s">
        <v>64</v>
      </c>
      <c r="C27" s="1" t="s">
        <v>112</v>
      </c>
      <c r="D27" s="1" t="s">
        <v>113</v>
      </c>
      <c r="E27" s="28">
        <v>45334</v>
      </c>
      <c r="F27" s="14"/>
      <c r="G27" s="14" t="s">
        <v>114</v>
      </c>
      <c r="H27" s="44">
        <v>45809</v>
      </c>
      <c r="I27" s="31"/>
      <c r="J27" s="44">
        <v>45839</v>
      </c>
      <c r="K27" s="31"/>
      <c r="L27" s="28">
        <v>45814</v>
      </c>
      <c r="M27" s="29" t="s">
        <v>68</v>
      </c>
      <c r="N27" s="15" t="s">
        <v>69</v>
      </c>
      <c r="O27" s="13">
        <v>16.95</v>
      </c>
      <c r="P27" s="15" t="s">
        <v>70</v>
      </c>
      <c r="Q27" s="13">
        <v>1.53</v>
      </c>
      <c r="R27" s="29" t="s">
        <v>71</v>
      </c>
    </row>
    <row r="28" spans="1:18" x14ac:dyDescent="0.2">
      <c r="A28" s="35" t="s">
        <v>115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1"/>
      <c r="O28" s="1"/>
      <c r="P28" s="1"/>
      <c r="Q28" s="1"/>
      <c r="R28" s="1"/>
    </row>
    <row r="29" spans="1:18" ht="22.5" x14ac:dyDescent="0.2">
      <c r="A29" s="1"/>
      <c r="B29" s="1" t="s">
        <v>64</v>
      </c>
      <c r="C29" s="1" t="s">
        <v>116</v>
      </c>
      <c r="D29" s="1" t="s">
        <v>117</v>
      </c>
      <c r="E29" s="28">
        <v>44927</v>
      </c>
      <c r="F29" s="14"/>
      <c r="G29" s="14" t="s">
        <v>118</v>
      </c>
      <c r="H29" s="44">
        <v>45809</v>
      </c>
      <c r="I29" s="31"/>
      <c r="J29" s="44">
        <v>45809</v>
      </c>
      <c r="K29" s="31"/>
      <c r="L29" s="28">
        <v>45815</v>
      </c>
      <c r="M29" s="29" t="s">
        <v>68</v>
      </c>
      <c r="N29" s="15" t="s">
        <v>69</v>
      </c>
      <c r="O29" s="13">
        <v>-4.8</v>
      </c>
      <c r="P29" s="15" t="s">
        <v>70</v>
      </c>
      <c r="Q29" s="13">
        <v>-0.43</v>
      </c>
      <c r="R29" s="29" t="s">
        <v>71</v>
      </c>
    </row>
    <row r="30" spans="1:18" ht="22.5" x14ac:dyDescent="0.2">
      <c r="A30" s="1"/>
      <c r="B30" s="1" t="s">
        <v>64</v>
      </c>
      <c r="C30" s="1" t="s">
        <v>119</v>
      </c>
      <c r="D30" s="1" t="s">
        <v>117</v>
      </c>
      <c r="E30" s="28">
        <v>44927</v>
      </c>
      <c r="F30" s="14"/>
      <c r="G30" s="14" t="s">
        <v>120</v>
      </c>
      <c r="H30" s="44">
        <v>45809</v>
      </c>
      <c r="I30" s="31"/>
      <c r="J30" s="44">
        <v>45809</v>
      </c>
      <c r="K30" s="31"/>
      <c r="L30" s="28">
        <v>45815</v>
      </c>
      <c r="M30" s="29" t="s">
        <v>68</v>
      </c>
      <c r="N30" s="15" t="s">
        <v>69</v>
      </c>
      <c r="O30" s="13">
        <v>-141.5</v>
      </c>
      <c r="P30" s="15" t="s">
        <v>70</v>
      </c>
      <c r="Q30" s="13">
        <v>-12.74</v>
      </c>
      <c r="R30" s="29" t="s">
        <v>71</v>
      </c>
    </row>
    <row r="31" spans="1:18" x14ac:dyDescent="0.2">
      <c r="A31" s="35" t="s">
        <v>121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1"/>
      <c r="O31" s="1"/>
      <c r="P31" s="1"/>
      <c r="Q31" s="1"/>
      <c r="R31" s="1"/>
    </row>
    <row r="32" spans="1:18" ht="22.5" x14ac:dyDescent="0.2">
      <c r="A32" s="1"/>
      <c r="B32" s="1" t="s">
        <v>64</v>
      </c>
      <c r="C32" s="1" t="s">
        <v>122</v>
      </c>
      <c r="D32" s="1" t="s">
        <v>123</v>
      </c>
      <c r="E32" s="28">
        <v>44870</v>
      </c>
      <c r="F32" s="14"/>
      <c r="G32" s="14" t="s">
        <v>124</v>
      </c>
      <c r="H32" s="44">
        <v>45809</v>
      </c>
      <c r="I32" s="31"/>
      <c r="J32" s="44">
        <v>45839</v>
      </c>
      <c r="K32" s="31"/>
      <c r="L32" s="28">
        <v>45815</v>
      </c>
      <c r="M32" s="29" t="s">
        <v>68</v>
      </c>
      <c r="N32" s="15" t="s">
        <v>69</v>
      </c>
      <c r="O32" s="13">
        <v>44.06</v>
      </c>
      <c r="P32" s="15" t="s">
        <v>70</v>
      </c>
      <c r="Q32" s="13">
        <v>3.97</v>
      </c>
      <c r="R32" s="29" t="s">
        <v>71</v>
      </c>
    </row>
    <row r="33" spans="1:18" ht="22.5" x14ac:dyDescent="0.2">
      <c r="A33" s="1"/>
      <c r="B33" s="1" t="s">
        <v>64</v>
      </c>
      <c r="C33" s="1" t="s">
        <v>125</v>
      </c>
      <c r="D33" s="1" t="s">
        <v>126</v>
      </c>
      <c r="E33" s="28">
        <v>44908</v>
      </c>
      <c r="F33" s="14"/>
      <c r="G33" s="14" t="s">
        <v>127</v>
      </c>
      <c r="H33" s="44">
        <v>45809</v>
      </c>
      <c r="I33" s="31"/>
      <c r="J33" s="44">
        <v>45839</v>
      </c>
      <c r="K33" s="31"/>
      <c r="L33" s="28">
        <v>45814</v>
      </c>
      <c r="M33" s="29" t="s">
        <v>68</v>
      </c>
      <c r="N33" s="15" t="s">
        <v>69</v>
      </c>
      <c r="O33" s="13">
        <v>15</v>
      </c>
      <c r="P33" s="15" t="s">
        <v>70</v>
      </c>
      <c r="Q33" s="13">
        <v>1.35</v>
      </c>
      <c r="R33" s="29" t="s">
        <v>71</v>
      </c>
    </row>
    <row r="34" spans="1:18" ht="22.5" x14ac:dyDescent="0.2">
      <c r="A34" s="1"/>
      <c r="B34" s="1" t="s">
        <v>64</v>
      </c>
      <c r="C34" s="1" t="s">
        <v>128</v>
      </c>
      <c r="D34" s="1" t="s">
        <v>126</v>
      </c>
      <c r="E34" s="28">
        <v>44908</v>
      </c>
      <c r="F34" s="14"/>
      <c r="G34" s="14" t="s">
        <v>118</v>
      </c>
      <c r="H34" s="44">
        <v>45809</v>
      </c>
      <c r="I34" s="31"/>
      <c r="J34" s="44">
        <v>45839</v>
      </c>
      <c r="K34" s="31"/>
      <c r="L34" s="28">
        <v>45814</v>
      </c>
      <c r="M34" s="29" t="s">
        <v>68</v>
      </c>
      <c r="N34" s="15" t="s">
        <v>69</v>
      </c>
      <c r="O34" s="13">
        <v>6.3</v>
      </c>
      <c r="P34" s="15" t="s">
        <v>70</v>
      </c>
      <c r="Q34" s="13">
        <v>0.56999999999999995</v>
      </c>
      <c r="R34" s="29" t="s">
        <v>71</v>
      </c>
    </row>
    <row r="35" spans="1:18" ht="22.5" x14ac:dyDescent="0.2">
      <c r="A35" s="1"/>
      <c r="B35" s="1" t="s">
        <v>64</v>
      </c>
      <c r="C35" s="1" t="s">
        <v>129</v>
      </c>
      <c r="D35" s="1" t="s">
        <v>126</v>
      </c>
      <c r="E35" s="28">
        <v>44908</v>
      </c>
      <c r="F35" s="14"/>
      <c r="G35" s="14" t="s">
        <v>130</v>
      </c>
      <c r="H35" s="44">
        <v>45809</v>
      </c>
      <c r="I35" s="31"/>
      <c r="J35" s="44">
        <v>45839</v>
      </c>
      <c r="K35" s="31"/>
      <c r="L35" s="28">
        <v>45814</v>
      </c>
      <c r="M35" s="29" t="s">
        <v>68</v>
      </c>
      <c r="N35" s="15" t="s">
        <v>69</v>
      </c>
      <c r="O35" s="13">
        <v>28</v>
      </c>
      <c r="P35" s="15" t="s">
        <v>70</v>
      </c>
      <c r="Q35" s="13">
        <v>2.52</v>
      </c>
      <c r="R35" s="29" t="s">
        <v>71</v>
      </c>
    </row>
    <row r="36" spans="1:18" ht="22.5" x14ac:dyDescent="0.2">
      <c r="A36" s="1"/>
      <c r="B36" s="1" t="s">
        <v>64</v>
      </c>
      <c r="C36" s="1" t="s">
        <v>131</v>
      </c>
      <c r="D36" s="1" t="s">
        <v>126</v>
      </c>
      <c r="E36" s="28">
        <v>44908</v>
      </c>
      <c r="F36" s="14"/>
      <c r="G36" s="14" t="s">
        <v>132</v>
      </c>
      <c r="H36" s="44">
        <v>45809</v>
      </c>
      <c r="I36" s="31"/>
      <c r="J36" s="44">
        <v>45839</v>
      </c>
      <c r="K36" s="31"/>
      <c r="L36" s="28">
        <v>45814</v>
      </c>
      <c r="M36" s="29" t="s">
        <v>68</v>
      </c>
      <c r="N36" s="15" t="s">
        <v>69</v>
      </c>
      <c r="O36" s="13">
        <v>23</v>
      </c>
      <c r="P36" s="15" t="s">
        <v>70</v>
      </c>
      <c r="Q36" s="13">
        <v>2.0699999999999998</v>
      </c>
      <c r="R36" s="29" t="s">
        <v>71</v>
      </c>
    </row>
    <row r="37" spans="1:18" ht="22.5" x14ac:dyDescent="0.2">
      <c r="A37" s="1"/>
      <c r="B37" s="1" t="s">
        <v>64</v>
      </c>
      <c r="C37" s="1" t="s">
        <v>133</v>
      </c>
      <c r="D37" s="1" t="s">
        <v>134</v>
      </c>
      <c r="E37" s="28">
        <v>44869</v>
      </c>
      <c r="F37" s="14"/>
      <c r="G37" s="14" t="s">
        <v>135</v>
      </c>
      <c r="H37" s="44">
        <v>45809</v>
      </c>
      <c r="I37" s="31"/>
      <c r="J37" s="44">
        <v>45839</v>
      </c>
      <c r="K37" s="31"/>
      <c r="L37" s="28">
        <v>45814</v>
      </c>
      <c r="M37" s="29" t="s">
        <v>68</v>
      </c>
      <c r="N37" s="15" t="s">
        <v>69</v>
      </c>
      <c r="O37" s="13">
        <v>9</v>
      </c>
      <c r="P37" s="15" t="s">
        <v>70</v>
      </c>
      <c r="Q37" s="13">
        <v>0.81</v>
      </c>
      <c r="R37" s="29" t="s">
        <v>71</v>
      </c>
    </row>
    <row r="38" spans="1:18" ht="22.5" x14ac:dyDescent="0.2">
      <c r="A38" s="1"/>
      <c r="B38" s="1" t="s">
        <v>64</v>
      </c>
      <c r="C38" s="1" t="s">
        <v>136</v>
      </c>
      <c r="D38" s="1" t="s">
        <v>134</v>
      </c>
      <c r="E38" s="28">
        <v>44869</v>
      </c>
      <c r="F38" s="14"/>
      <c r="G38" s="14" t="s">
        <v>137</v>
      </c>
      <c r="H38" s="44">
        <v>45809</v>
      </c>
      <c r="I38" s="31"/>
      <c r="J38" s="44">
        <v>45839</v>
      </c>
      <c r="K38" s="31"/>
      <c r="L38" s="28">
        <v>45814</v>
      </c>
      <c r="M38" s="29" t="s">
        <v>68</v>
      </c>
      <c r="N38" s="15" t="s">
        <v>69</v>
      </c>
      <c r="O38" s="13">
        <v>42.64</v>
      </c>
      <c r="P38" s="15" t="s">
        <v>70</v>
      </c>
      <c r="Q38" s="13">
        <v>3.84</v>
      </c>
      <c r="R38" s="29" t="s">
        <v>71</v>
      </c>
    </row>
    <row r="39" spans="1:18" ht="22.5" x14ac:dyDescent="0.2">
      <c r="A39" s="1"/>
      <c r="B39" s="1" t="s">
        <v>64</v>
      </c>
      <c r="C39" s="1" t="s">
        <v>138</v>
      </c>
      <c r="D39" s="1" t="s">
        <v>139</v>
      </c>
      <c r="E39" s="28">
        <v>44909</v>
      </c>
      <c r="F39" s="14"/>
      <c r="G39" s="14" t="s">
        <v>120</v>
      </c>
      <c r="H39" s="44">
        <v>45809</v>
      </c>
      <c r="I39" s="31"/>
      <c r="J39" s="44">
        <v>45839</v>
      </c>
      <c r="K39" s="31"/>
      <c r="L39" s="28">
        <v>45815</v>
      </c>
      <c r="M39" s="29" t="s">
        <v>68</v>
      </c>
      <c r="N39" s="15" t="s">
        <v>69</v>
      </c>
      <c r="O39" s="13">
        <v>41.7</v>
      </c>
      <c r="P39" s="15" t="s">
        <v>70</v>
      </c>
      <c r="Q39" s="13">
        <v>3.75</v>
      </c>
      <c r="R39" s="29" t="s">
        <v>71</v>
      </c>
    </row>
    <row r="40" spans="1:18" ht="22.5" x14ac:dyDescent="0.2">
      <c r="A40" s="1"/>
      <c r="B40" s="1" t="s">
        <v>64</v>
      </c>
      <c r="C40" s="1" t="s">
        <v>140</v>
      </c>
      <c r="D40" s="1" t="s">
        <v>141</v>
      </c>
      <c r="E40" s="28">
        <v>44908</v>
      </c>
      <c r="F40" s="14"/>
      <c r="G40" s="14" t="s">
        <v>120</v>
      </c>
      <c r="H40" s="44">
        <v>45809</v>
      </c>
      <c r="I40" s="31"/>
      <c r="J40" s="44">
        <v>45839</v>
      </c>
      <c r="K40" s="31"/>
      <c r="L40" s="28">
        <v>45814</v>
      </c>
      <c r="M40" s="29" t="s">
        <v>68</v>
      </c>
      <c r="N40" s="15" t="s">
        <v>69</v>
      </c>
      <c r="O40" s="13">
        <v>56.5</v>
      </c>
      <c r="P40" s="15" t="s">
        <v>70</v>
      </c>
      <c r="Q40" s="13">
        <v>5.09</v>
      </c>
      <c r="R40" s="29" t="s">
        <v>71</v>
      </c>
    </row>
    <row r="41" spans="1:18" ht="22.5" x14ac:dyDescent="0.2">
      <c r="A41" s="1"/>
      <c r="B41" s="1" t="s">
        <v>64</v>
      </c>
      <c r="C41" s="1" t="s">
        <v>142</v>
      </c>
      <c r="D41" s="1" t="s">
        <v>141</v>
      </c>
      <c r="E41" s="28">
        <v>44908</v>
      </c>
      <c r="F41" s="14"/>
      <c r="G41" s="14" t="s">
        <v>143</v>
      </c>
      <c r="H41" s="44">
        <v>45809</v>
      </c>
      <c r="I41" s="31"/>
      <c r="J41" s="44">
        <v>45839</v>
      </c>
      <c r="K41" s="31"/>
      <c r="L41" s="28">
        <v>45814</v>
      </c>
      <c r="M41" s="29" t="s">
        <v>68</v>
      </c>
      <c r="N41" s="15" t="s">
        <v>69</v>
      </c>
      <c r="O41" s="13">
        <v>16</v>
      </c>
      <c r="P41" s="15" t="s">
        <v>70</v>
      </c>
      <c r="Q41" s="13">
        <v>1.44</v>
      </c>
      <c r="R41" s="29" t="s">
        <v>71</v>
      </c>
    </row>
    <row r="42" spans="1:18" ht="22.5" x14ac:dyDescent="0.2">
      <c r="A42" s="1"/>
      <c r="B42" s="1" t="s">
        <v>64</v>
      </c>
      <c r="C42" s="1" t="s">
        <v>144</v>
      </c>
      <c r="D42" s="1" t="s">
        <v>145</v>
      </c>
      <c r="E42" s="28">
        <v>44910</v>
      </c>
      <c r="F42" s="14"/>
      <c r="G42" s="14" t="s">
        <v>146</v>
      </c>
      <c r="H42" s="44">
        <v>45809</v>
      </c>
      <c r="I42" s="31"/>
      <c r="J42" s="44">
        <v>45839</v>
      </c>
      <c r="K42" s="31"/>
      <c r="L42" s="28">
        <v>45815</v>
      </c>
      <c r="M42" s="29" t="s">
        <v>68</v>
      </c>
      <c r="N42" s="15" t="s">
        <v>69</v>
      </c>
      <c r="O42" s="13">
        <v>6.66</v>
      </c>
      <c r="P42" s="15" t="s">
        <v>70</v>
      </c>
      <c r="Q42" s="13">
        <v>0.6</v>
      </c>
      <c r="R42" s="29" t="s">
        <v>71</v>
      </c>
    </row>
    <row r="43" spans="1:18" ht="22.5" x14ac:dyDescent="0.2">
      <c r="A43" s="1"/>
      <c r="B43" s="1" t="s">
        <v>64</v>
      </c>
      <c r="C43" s="1" t="s">
        <v>147</v>
      </c>
      <c r="D43" s="1" t="s">
        <v>145</v>
      </c>
      <c r="E43" s="28">
        <v>44910</v>
      </c>
      <c r="F43" s="14"/>
      <c r="G43" s="14" t="s">
        <v>75</v>
      </c>
      <c r="H43" s="44">
        <v>45809</v>
      </c>
      <c r="I43" s="31"/>
      <c r="J43" s="44">
        <v>45839</v>
      </c>
      <c r="K43" s="31"/>
      <c r="L43" s="28">
        <v>45815</v>
      </c>
      <c r="M43" s="29" t="s">
        <v>68</v>
      </c>
      <c r="N43" s="15" t="s">
        <v>69</v>
      </c>
      <c r="O43" s="13">
        <v>16</v>
      </c>
      <c r="P43" s="15" t="s">
        <v>70</v>
      </c>
      <c r="Q43" s="13">
        <v>1.44</v>
      </c>
      <c r="R43" s="29" t="s">
        <v>71</v>
      </c>
    </row>
    <row r="44" spans="1:18" ht="22.5" x14ac:dyDescent="0.2">
      <c r="A44" s="1"/>
      <c r="B44" s="1" t="s">
        <v>64</v>
      </c>
      <c r="C44" s="1" t="s">
        <v>148</v>
      </c>
      <c r="D44" s="1" t="s">
        <v>149</v>
      </c>
      <c r="E44" s="28">
        <v>44900</v>
      </c>
      <c r="F44" s="14"/>
      <c r="G44" s="14" t="s">
        <v>137</v>
      </c>
      <c r="H44" s="44">
        <v>45809</v>
      </c>
      <c r="I44" s="31"/>
      <c r="J44" s="44">
        <v>45839</v>
      </c>
      <c r="K44" s="31"/>
      <c r="L44" s="28">
        <v>45815</v>
      </c>
      <c r="M44" s="29" t="s">
        <v>68</v>
      </c>
      <c r="N44" s="15" t="s">
        <v>69</v>
      </c>
      <c r="O44" s="13">
        <v>85.28</v>
      </c>
      <c r="P44" s="15" t="s">
        <v>70</v>
      </c>
      <c r="Q44" s="13">
        <v>7.68</v>
      </c>
      <c r="R44" s="29" t="s">
        <v>71</v>
      </c>
    </row>
    <row r="45" spans="1:18" ht="22.5" x14ac:dyDescent="0.2">
      <c r="A45" s="1"/>
      <c r="B45" s="1" t="s">
        <v>64</v>
      </c>
      <c r="C45" s="1" t="s">
        <v>150</v>
      </c>
      <c r="D45" s="1" t="s">
        <v>149</v>
      </c>
      <c r="E45" s="28">
        <v>44900</v>
      </c>
      <c r="F45" s="14"/>
      <c r="G45" s="14" t="s">
        <v>135</v>
      </c>
      <c r="H45" s="44">
        <v>45809</v>
      </c>
      <c r="I45" s="31"/>
      <c r="J45" s="44">
        <v>45839</v>
      </c>
      <c r="K45" s="31"/>
      <c r="L45" s="28">
        <v>45815</v>
      </c>
      <c r="M45" s="29" t="s">
        <v>68</v>
      </c>
      <c r="N45" s="15" t="s">
        <v>69</v>
      </c>
      <c r="O45" s="13">
        <v>16</v>
      </c>
      <c r="P45" s="15" t="s">
        <v>70</v>
      </c>
      <c r="Q45" s="13">
        <v>1.44</v>
      </c>
      <c r="R45" s="29" t="s">
        <v>71</v>
      </c>
    </row>
    <row r="46" spans="1:18" ht="22.5" x14ac:dyDescent="0.2">
      <c r="A46" s="1"/>
      <c r="B46" s="1" t="s">
        <v>64</v>
      </c>
      <c r="C46" s="1" t="s">
        <v>151</v>
      </c>
      <c r="D46" s="1" t="s">
        <v>152</v>
      </c>
      <c r="E46" s="28">
        <v>44910</v>
      </c>
      <c r="F46" s="14"/>
      <c r="G46" s="14" t="s">
        <v>153</v>
      </c>
      <c r="H46" s="44">
        <v>45809</v>
      </c>
      <c r="I46" s="31"/>
      <c r="J46" s="44">
        <v>45839</v>
      </c>
      <c r="K46" s="31"/>
      <c r="L46" s="28">
        <v>45815</v>
      </c>
      <c r="M46" s="29" t="s">
        <v>68</v>
      </c>
      <c r="N46" s="15" t="s">
        <v>69</v>
      </c>
      <c r="O46" s="13">
        <v>19.760000000000002</v>
      </c>
      <c r="P46" s="15" t="s">
        <v>70</v>
      </c>
      <c r="Q46" s="13">
        <v>1.78</v>
      </c>
      <c r="R46" s="29" t="s">
        <v>71</v>
      </c>
    </row>
    <row r="47" spans="1:18" ht="22.5" x14ac:dyDescent="0.2">
      <c r="A47" s="1"/>
      <c r="B47" s="1" t="s">
        <v>64</v>
      </c>
      <c r="C47" s="1" t="s">
        <v>154</v>
      </c>
      <c r="D47" s="1" t="s">
        <v>155</v>
      </c>
      <c r="E47" s="28">
        <v>44940</v>
      </c>
      <c r="F47" s="14"/>
      <c r="G47" s="14" t="s">
        <v>137</v>
      </c>
      <c r="H47" s="44">
        <v>45809</v>
      </c>
      <c r="I47" s="31"/>
      <c r="J47" s="44">
        <v>45839</v>
      </c>
      <c r="K47" s="31"/>
      <c r="L47" s="28">
        <v>45815</v>
      </c>
      <c r="M47" s="29" t="s">
        <v>68</v>
      </c>
      <c r="N47" s="15" t="s">
        <v>69</v>
      </c>
      <c r="O47" s="13">
        <v>42.64</v>
      </c>
      <c r="P47" s="15" t="s">
        <v>70</v>
      </c>
      <c r="Q47" s="13">
        <v>3.84</v>
      </c>
      <c r="R47" s="29" t="s">
        <v>71</v>
      </c>
    </row>
    <row r="48" spans="1:18" ht="22.5" x14ac:dyDescent="0.2">
      <c r="A48" s="1"/>
      <c r="B48" s="1" t="s">
        <v>64</v>
      </c>
      <c r="C48" s="1" t="s">
        <v>154</v>
      </c>
      <c r="D48" s="1" t="s">
        <v>155</v>
      </c>
      <c r="E48" s="28">
        <v>44940</v>
      </c>
      <c r="F48" s="14"/>
      <c r="G48" s="14" t="s">
        <v>137</v>
      </c>
      <c r="H48" s="44">
        <v>45778</v>
      </c>
      <c r="I48" s="31"/>
      <c r="J48" s="44">
        <v>45809</v>
      </c>
      <c r="K48" s="31"/>
      <c r="L48" s="28">
        <v>45815</v>
      </c>
      <c r="M48" s="29" t="s">
        <v>68</v>
      </c>
      <c r="N48" s="15" t="s">
        <v>69</v>
      </c>
      <c r="O48" s="13">
        <v>42.64</v>
      </c>
      <c r="P48" s="15" t="s">
        <v>70</v>
      </c>
      <c r="Q48" s="13">
        <v>3.84</v>
      </c>
      <c r="R48" s="29" t="s">
        <v>71</v>
      </c>
    </row>
    <row r="49" spans="1:18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2" t="s">
        <v>156</v>
      </c>
      <c r="Q49" s="17">
        <v>87.52</v>
      </c>
      <c r="R49" s="2"/>
    </row>
    <row r="50" spans="1:18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x14ac:dyDescent="0.2">
      <c r="A51" s="5"/>
      <c r="B51" s="5"/>
      <c r="C51" s="5"/>
      <c r="D51" s="1"/>
      <c r="E51" s="15"/>
      <c r="F51" s="15"/>
      <c r="G51" s="15"/>
      <c r="H51" s="1"/>
      <c r="I51" s="1"/>
      <c r="J51" s="15"/>
      <c r="K51" s="15"/>
      <c r="L51" s="11"/>
      <c r="M51" s="11"/>
      <c r="N51" s="11"/>
      <c r="O51" s="11"/>
      <c r="P51" s="19"/>
      <c r="Q51" s="11"/>
      <c r="R51" s="11"/>
    </row>
    <row r="52" spans="1:18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.7" customHeight="1" x14ac:dyDescent="0.2"/>
  </sheetData>
  <mergeCells count="86">
    <mergeCell ref="B2:D2"/>
    <mergeCell ref="E2:O2"/>
    <mergeCell ref="A3:H3"/>
    <mergeCell ref="P3:R3"/>
    <mergeCell ref="E4:O4"/>
    <mergeCell ref="P4:R4"/>
    <mergeCell ref="A12:M12"/>
    <mergeCell ref="B5:D5"/>
    <mergeCell ref="E5:O5"/>
    <mergeCell ref="P5:R5"/>
    <mergeCell ref="B6:D6"/>
    <mergeCell ref="P6:R6"/>
    <mergeCell ref="B7:D7"/>
    <mergeCell ref="H8:I8"/>
    <mergeCell ref="J8:K8"/>
    <mergeCell ref="A10:M10"/>
    <mergeCell ref="H11:I11"/>
    <mergeCell ref="J11:K11"/>
    <mergeCell ref="H19:I19"/>
    <mergeCell ref="J19:K19"/>
    <mergeCell ref="H13:I13"/>
    <mergeCell ref="J13:K13"/>
    <mergeCell ref="H14:I14"/>
    <mergeCell ref="J14:K14"/>
    <mergeCell ref="H15:I15"/>
    <mergeCell ref="J15:K15"/>
    <mergeCell ref="A16:M16"/>
    <mergeCell ref="H17:I17"/>
    <mergeCell ref="J17:K17"/>
    <mergeCell ref="H18:I18"/>
    <mergeCell ref="J18:K18"/>
    <mergeCell ref="H20:I20"/>
    <mergeCell ref="J20:K20"/>
    <mergeCell ref="H21:I21"/>
    <mergeCell ref="J21:K21"/>
    <mergeCell ref="H22:I22"/>
    <mergeCell ref="J22:K22"/>
    <mergeCell ref="H23:I23"/>
    <mergeCell ref="J23:K23"/>
    <mergeCell ref="H24:I24"/>
    <mergeCell ref="J24:K24"/>
    <mergeCell ref="H25:I25"/>
    <mergeCell ref="J25:K25"/>
    <mergeCell ref="H33:I33"/>
    <mergeCell ref="J33:K33"/>
    <mergeCell ref="A26:M26"/>
    <mergeCell ref="H27:I27"/>
    <mergeCell ref="J27:K27"/>
    <mergeCell ref="A28:M28"/>
    <mergeCell ref="H29:I29"/>
    <mergeCell ref="J29:K29"/>
    <mergeCell ref="H30:I30"/>
    <mergeCell ref="J30:K30"/>
    <mergeCell ref="A31:M31"/>
    <mergeCell ref="H32:I32"/>
    <mergeCell ref="J32:K32"/>
    <mergeCell ref="H34:I34"/>
    <mergeCell ref="J34:K34"/>
    <mergeCell ref="H35:I35"/>
    <mergeCell ref="J35:K35"/>
    <mergeCell ref="H36:I36"/>
    <mergeCell ref="J36:K36"/>
    <mergeCell ref="H37:I37"/>
    <mergeCell ref="J37:K37"/>
    <mergeCell ref="H38:I38"/>
    <mergeCell ref="J38:K38"/>
    <mergeCell ref="H39:I39"/>
    <mergeCell ref="J39:K39"/>
    <mergeCell ref="H40:I40"/>
    <mergeCell ref="J40:K40"/>
    <mergeCell ref="H41:I41"/>
    <mergeCell ref="J41:K41"/>
    <mergeCell ref="H42:I42"/>
    <mergeCell ref="J42:K42"/>
    <mergeCell ref="H43:I43"/>
    <mergeCell ref="J43:K43"/>
    <mergeCell ref="H44:I44"/>
    <mergeCell ref="J44:K44"/>
    <mergeCell ref="H45:I45"/>
    <mergeCell ref="J45:K45"/>
    <mergeCell ref="H46:I46"/>
    <mergeCell ref="J46:K46"/>
    <mergeCell ref="H47:I47"/>
    <mergeCell ref="J47:K47"/>
    <mergeCell ref="H48:I48"/>
    <mergeCell ref="J48:K48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06/11/2025&amp;B &amp;C&amp;R&amp;"Arial"&amp;9&amp;BPage No: &amp;P of &amp;N&amp;B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C4E0-1C8C-4A56-BF67-22B49ECBCCB8}">
  <dimension ref="A1:S288"/>
  <sheetViews>
    <sheetView tabSelected="1" topLeftCell="A250" workbookViewId="0">
      <selection activeCell="B282" sqref="B282"/>
    </sheetView>
  </sheetViews>
  <sheetFormatPr defaultRowHeight="12.75" x14ac:dyDescent="0.2"/>
  <cols>
    <col min="1" max="1" width="4.5703125" style="48" customWidth="1"/>
    <col min="2" max="2" width="10.140625" style="48" customWidth="1"/>
    <col min="3" max="3" width="28.28515625" style="48" bestFit="1" customWidth="1"/>
    <col min="4" max="4" width="8.7109375" style="48" bestFit="1" customWidth="1"/>
    <col min="5" max="5" width="8.5703125" style="48" customWidth="1"/>
    <col min="6" max="7" width="8.7109375" style="48" bestFit="1" customWidth="1"/>
    <col min="8" max="8" width="3.5703125" style="48" customWidth="1"/>
    <col min="9" max="9" width="9.5703125" style="48" customWidth="1"/>
    <col min="10" max="10" width="10.42578125" style="48" customWidth="1"/>
    <col min="11" max="11" width="11.140625" style="48" customWidth="1"/>
    <col min="12" max="12" width="9.140625" style="48"/>
    <col min="13" max="13" width="10.28515625" style="48" customWidth="1"/>
    <col min="14" max="16" width="9.140625" style="48"/>
    <col min="17" max="17" width="20.5703125" style="48" bestFit="1" customWidth="1"/>
    <col min="18" max="18" width="26.85546875" style="48" bestFit="1" customWidth="1"/>
    <col min="19" max="16384" width="9.140625" style="48"/>
  </cols>
  <sheetData>
    <row r="1" spans="1:19" ht="23.25" customHeight="1" thickBot="1" x14ac:dyDescent="0.25">
      <c r="A1" s="49" t="s">
        <v>48</v>
      </c>
      <c r="B1" s="49" t="s">
        <v>49</v>
      </c>
      <c r="C1" s="49" t="s">
        <v>50</v>
      </c>
      <c r="D1" s="49" t="s">
        <v>51</v>
      </c>
      <c r="E1" s="49" t="s">
        <v>53</v>
      </c>
      <c r="F1" s="49" t="s">
        <v>54</v>
      </c>
      <c r="G1" s="49" t="s">
        <v>55</v>
      </c>
      <c r="H1" s="49" t="s">
        <v>58</v>
      </c>
      <c r="I1" s="49" t="s">
        <v>59</v>
      </c>
      <c r="J1" s="49" t="s">
        <v>60</v>
      </c>
      <c r="K1" s="49" t="s">
        <v>61</v>
      </c>
      <c r="L1" s="49" t="s">
        <v>62</v>
      </c>
    </row>
    <row r="2" spans="1:19" ht="15" customHeight="1" x14ac:dyDescent="0.2">
      <c r="A2" s="50" t="s">
        <v>64</v>
      </c>
      <c r="B2" s="50">
        <v>441619259</v>
      </c>
      <c r="C2" s="50" t="s">
        <v>66</v>
      </c>
      <c r="D2" s="51">
        <v>44876</v>
      </c>
      <c r="E2" s="50" t="s">
        <v>67</v>
      </c>
      <c r="F2" s="51">
        <v>45809</v>
      </c>
      <c r="G2" s="51">
        <v>45839</v>
      </c>
      <c r="H2" s="56">
        <v>1</v>
      </c>
      <c r="I2" s="52">
        <v>41.5</v>
      </c>
      <c r="J2" s="53">
        <v>0.09</v>
      </c>
      <c r="K2" s="52">
        <v>3.74</v>
      </c>
      <c r="L2" s="50" t="s">
        <v>71</v>
      </c>
      <c r="M2" s="54" t="s">
        <v>157</v>
      </c>
      <c r="N2" s="48" t="s">
        <v>158</v>
      </c>
      <c r="O2" s="48" t="s">
        <v>159</v>
      </c>
      <c r="P2" s="48">
        <v>19278370</v>
      </c>
      <c r="Q2" s="48" t="str">
        <f>CONCATENATE(M2, " ",N2, " ",O2)</f>
        <v>Anne Marie Kozacheck</v>
      </c>
      <c r="R2" s="55" t="s">
        <v>378</v>
      </c>
      <c r="S2" s="48" t="s">
        <v>419</v>
      </c>
    </row>
    <row r="3" spans="1:19" ht="15" customHeight="1" x14ac:dyDescent="0.2">
      <c r="A3" s="50" t="s">
        <v>64</v>
      </c>
      <c r="B3" s="50">
        <v>441651020</v>
      </c>
      <c r="C3" s="50" t="s">
        <v>176</v>
      </c>
      <c r="D3" s="51">
        <v>44927</v>
      </c>
      <c r="E3" s="50" t="s">
        <v>75</v>
      </c>
      <c r="F3" s="51">
        <v>45809</v>
      </c>
      <c r="G3" s="51">
        <v>45839</v>
      </c>
      <c r="H3" s="50">
        <v>1</v>
      </c>
      <c r="I3" s="52">
        <v>9</v>
      </c>
      <c r="J3" s="53">
        <v>0.09</v>
      </c>
      <c r="K3" s="52">
        <v>0.81</v>
      </c>
      <c r="L3" s="50" t="s">
        <v>71</v>
      </c>
      <c r="M3" s="54" t="s">
        <v>157</v>
      </c>
      <c r="N3" s="48" t="s">
        <v>158</v>
      </c>
      <c r="O3" s="48" t="s">
        <v>159</v>
      </c>
      <c r="P3" s="48">
        <v>19278370</v>
      </c>
      <c r="Q3" s="48" t="str">
        <f>CONCATENATE(M3, " ",N3, " ",O3)</f>
        <v>Anne Marie Kozacheck</v>
      </c>
      <c r="R3" s="55" t="s">
        <v>386</v>
      </c>
      <c r="S3" s="48" t="s">
        <v>412</v>
      </c>
    </row>
    <row r="4" spans="1:19" ht="15" customHeight="1" x14ac:dyDescent="0.2">
      <c r="A4" s="50" t="s">
        <v>64</v>
      </c>
      <c r="B4" s="50">
        <v>441998030</v>
      </c>
      <c r="C4" s="50" t="s">
        <v>174</v>
      </c>
      <c r="D4" s="51">
        <v>45139</v>
      </c>
      <c r="E4" s="50" t="s">
        <v>175</v>
      </c>
      <c r="F4" s="51">
        <v>45809</v>
      </c>
      <c r="G4" s="51">
        <v>45839</v>
      </c>
      <c r="H4" s="50">
        <v>1</v>
      </c>
      <c r="I4" s="52">
        <v>9.8000000000000007</v>
      </c>
      <c r="J4" s="53">
        <v>0.09</v>
      </c>
      <c r="K4" s="52">
        <v>0.88</v>
      </c>
      <c r="L4" s="50" t="s">
        <v>71</v>
      </c>
      <c r="M4" s="54" t="s">
        <v>157</v>
      </c>
      <c r="N4" s="48" t="s">
        <v>158</v>
      </c>
      <c r="O4" s="48" t="s">
        <v>159</v>
      </c>
      <c r="P4" s="48">
        <v>19278370</v>
      </c>
      <c r="Q4" s="48" t="str">
        <f>CONCATENATE(M4, " ",N4, " ",O4)</f>
        <v>Anne Marie Kozacheck</v>
      </c>
      <c r="R4" s="55" t="s">
        <v>390</v>
      </c>
      <c r="S4" s="48" t="s">
        <v>411</v>
      </c>
    </row>
    <row r="5" spans="1:19" ht="15" customHeight="1" x14ac:dyDescent="0.2">
      <c r="A5" s="50" t="s">
        <v>64</v>
      </c>
      <c r="B5" s="50">
        <v>442027310</v>
      </c>
      <c r="C5" s="50" t="s">
        <v>177</v>
      </c>
      <c r="D5" s="51">
        <v>45108</v>
      </c>
      <c r="E5" s="50" t="s">
        <v>178</v>
      </c>
      <c r="F5" s="51">
        <v>45809</v>
      </c>
      <c r="G5" s="51">
        <v>45839</v>
      </c>
      <c r="H5" s="50">
        <v>1</v>
      </c>
      <c r="I5" s="52">
        <v>10</v>
      </c>
      <c r="J5" s="53">
        <v>0.09</v>
      </c>
      <c r="K5" s="52">
        <v>0.9</v>
      </c>
      <c r="L5" s="50" t="s">
        <v>71</v>
      </c>
      <c r="M5" s="54" t="s">
        <v>157</v>
      </c>
      <c r="N5" s="48" t="s">
        <v>158</v>
      </c>
      <c r="O5" s="48" t="s">
        <v>159</v>
      </c>
      <c r="P5" s="48">
        <v>19278370</v>
      </c>
      <c r="Q5" s="48" t="str">
        <f>CONCATENATE(M5, " ",N5, " ",O5)</f>
        <v>Anne Marie Kozacheck</v>
      </c>
      <c r="R5" s="55" t="s">
        <v>396</v>
      </c>
      <c r="S5" s="48" t="s">
        <v>412</v>
      </c>
    </row>
    <row r="6" spans="1:19" ht="15" customHeight="1" x14ac:dyDescent="0.2">
      <c r="A6" s="50" t="s">
        <v>64</v>
      </c>
      <c r="B6" s="50">
        <v>442057912</v>
      </c>
      <c r="C6" s="50" t="s">
        <v>181</v>
      </c>
      <c r="D6" s="51">
        <v>45170</v>
      </c>
      <c r="E6" s="50" t="s">
        <v>94</v>
      </c>
      <c r="F6" s="51">
        <v>45809</v>
      </c>
      <c r="G6" s="51">
        <v>45839</v>
      </c>
      <c r="H6" s="50">
        <v>1</v>
      </c>
      <c r="I6" s="52">
        <v>13.28</v>
      </c>
      <c r="J6" s="53">
        <v>7.0000000000000007E-2</v>
      </c>
      <c r="K6" s="52">
        <v>0.93</v>
      </c>
      <c r="L6" s="50" t="s">
        <v>71</v>
      </c>
      <c r="M6" s="54" t="s">
        <v>157</v>
      </c>
      <c r="N6" s="48" t="s">
        <v>158</v>
      </c>
      <c r="O6" s="48" t="s">
        <v>159</v>
      </c>
      <c r="P6" s="48">
        <v>19278370</v>
      </c>
      <c r="Q6" s="48" t="str">
        <f>CONCATENATE(M6, " ",N6, " ",O6)</f>
        <v>Anne Marie Kozacheck</v>
      </c>
      <c r="R6" s="55" t="s">
        <v>398</v>
      </c>
      <c r="S6" s="48" t="s">
        <v>416</v>
      </c>
    </row>
    <row r="7" spans="1:19" ht="15" customHeight="1" x14ac:dyDescent="0.2">
      <c r="A7" s="50" t="s">
        <v>64</v>
      </c>
      <c r="B7" s="50">
        <v>442244798</v>
      </c>
      <c r="C7" s="50" t="s">
        <v>179</v>
      </c>
      <c r="D7" s="51">
        <v>45292</v>
      </c>
      <c r="E7" s="50" t="s">
        <v>124</v>
      </c>
      <c r="F7" s="51">
        <v>45809</v>
      </c>
      <c r="G7" s="51">
        <v>45839</v>
      </c>
      <c r="H7" s="50">
        <v>1</v>
      </c>
      <c r="I7" s="52">
        <v>20.399999999999999</v>
      </c>
      <c r="J7" s="53">
        <v>0.09</v>
      </c>
      <c r="K7" s="52">
        <v>1.84</v>
      </c>
      <c r="L7" s="50" t="s">
        <v>71</v>
      </c>
      <c r="M7" s="54" t="s">
        <v>157</v>
      </c>
      <c r="N7" s="48" t="s">
        <v>158</v>
      </c>
      <c r="O7" s="48" t="s">
        <v>159</v>
      </c>
      <c r="P7" s="48">
        <v>19278370</v>
      </c>
      <c r="Q7" s="48" t="str">
        <f>CONCATENATE(M7, " ",N7, " ",O7)</f>
        <v>Anne Marie Kozacheck</v>
      </c>
      <c r="R7" s="55" t="s">
        <v>390</v>
      </c>
      <c r="S7" s="48" t="s">
        <v>411</v>
      </c>
    </row>
    <row r="8" spans="1:19" ht="15" customHeight="1" x14ac:dyDescent="0.2">
      <c r="A8" s="50" t="s">
        <v>64</v>
      </c>
      <c r="B8" s="50">
        <v>442274499</v>
      </c>
      <c r="C8" s="50" t="s">
        <v>182</v>
      </c>
      <c r="D8" s="51">
        <v>45261</v>
      </c>
      <c r="E8" s="50" t="s">
        <v>124</v>
      </c>
      <c r="F8" s="51">
        <v>45809</v>
      </c>
      <c r="G8" s="51">
        <v>45839</v>
      </c>
      <c r="H8" s="50">
        <v>1</v>
      </c>
      <c r="I8" s="52">
        <v>15.45</v>
      </c>
      <c r="J8" s="53">
        <v>0.09</v>
      </c>
      <c r="K8" s="52">
        <v>1.39</v>
      </c>
      <c r="L8" s="50" t="s">
        <v>71</v>
      </c>
      <c r="M8" s="54" t="s">
        <v>157</v>
      </c>
      <c r="N8" s="48" t="s">
        <v>158</v>
      </c>
      <c r="O8" s="48" t="s">
        <v>159</v>
      </c>
      <c r="P8" s="48">
        <v>19278370</v>
      </c>
      <c r="Q8" s="48" t="str">
        <f>CONCATENATE(M8, " ",N8, " ",O8)</f>
        <v>Anne Marie Kozacheck</v>
      </c>
      <c r="R8" s="55" t="s">
        <v>390</v>
      </c>
      <c r="S8" s="48" t="s">
        <v>411</v>
      </c>
    </row>
    <row r="9" spans="1:19" ht="15" customHeight="1" x14ac:dyDescent="0.2">
      <c r="A9" s="50" t="s">
        <v>64</v>
      </c>
      <c r="B9" s="50">
        <v>442274500</v>
      </c>
      <c r="C9" s="50" t="s">
        <v>182</v>
      </c>
      <c r="D9" s="51">
        <v>45261</v>
      </c>
      <c r="E9" s="50" t="s">
        <v>183</v>
      </c>
      <c r="F9" s="51">
        <v>45809</v>
      </c>
      <c r="G9" s="51">
        <v>45839</v>
      </c>
      <c r="H9" s="50">
        <v>1</v>
      </c>
      <c r="I9" s="52">
        <v>16.47</v>
      </c>
      <c r="J9" s="53">
        <v>0.18</v>
      </c>
      <c r="K9" s="52">
        <v>2.96</v>
      </c>
      <c r="L9" s="50" t="s">
        <v>71</v>
      </c>
      <c r="M9" s="54" t="s">
        <v>157</v>
      </c>
      <c r="N9" s="48" t="s">
        <v>158</v>
      </c>
      <c r="O9" s="48" t="s">
        <v>159</v>
      </c>
      <c r="P9" s="48">
        <v>19278370</v>
      </c>
      <c r="Q9" s="48" t="str">
        <f>CONCATENATE(M9, " ",N9, " ",O9)</f>
        <v>Anne Marie Kozacheck</v>
      </c>
      <c r="R9" s="55" t="s">
        <v>389</v>
      </c>
      <c r="S9" s="48" t="s">
        <v>417</v>
      </c>
    </row>
    <row r="10" spans="1:19" ht="15" customHeight="1" x14ac:dyDescent="0.2">
      <c r="A10" s="50" t="s">
        <v>64</v>
      </c>
      <c r="B10" s="50">
        <v>442296456</v>
      </c>
      <c r="C10" s="50" t="s">
        <v>172</v>
      </c>
      <c r="D10" s="51">
        <v>45292</v>
      </c>
      <c r="E10" s="50" t="s">
        <v>173</v>
      </c>
      <c r="F10" s="51">
        <v>45809</v>
      </c>
      <c r="G10" s="51">
        <v>45839</v>
      </c>
      <c r="H10" s="50">
        <v>1</v>
      </c>
      <c r="I10" s="52">
        <v>24.54</v>
      </c>
      <c r="J10" s="53">
        <v>0.18</v>
      </c>
      <c r="K10" s="52">
        <v>4.42</v>
      </c>
      <c r="L10" s="50" t="s">
        <v>71</v>
      </c>
      <c r="M10" s="54" t="s">
        <v>157</v>
      </c>
      <c r="N10" s="48" t="s">
        <v>158</v>
      </c>
      <c r="O10" s="48" t="s">
        <v>159</v>
      </c>
      <c r="P10" s="48">
        <v>19278370</v>
      </c>
      <c r="Q10" s="48" t="str">
        <f>CONCATENATE(M10, " ",N10, " ",O10)</f>
        <v>Anne Marie Kozacheck</v>
      </c>
      <c r="R10" s="55" t="s">
        <v>389</v>
      </c>
      <c r="S10" s="48" t="s">
        <v>417</v>
      </c>
    </row>
    <row r="11" spans="1:19" ht="15" customHeight="1" x14ac:dyDescent="0.2">
      <c r="A11" s="50" t="s">
        <v>64</v>
      </c>
      <c r="B11" s="50">
        <v>442296457</v>
      </c>
      <c r="C11" s="50" t="s">
        <v>172</v>
      </c>
      <c r="D11" s="51">
        <v>45292</v>
      </c>
      <c r="E11" s="50" t="s">
        <v>124</v>
      </c>
      <c r="F11" s="51">
        <v>45809</v>
      </c>
      <c r="G11" s="51">
        <v>45839</v>
      </c>
      <c r="H11" s="50">
        <v>1</v>
      </c>
      <c r="I11" s="52">
        <v>15.45</v>
      </c>
      <c r="J11" s="53">
        <v>0.09</v>
      </c>
      <c r="K11" s="52">
        <v>1.39</v>
      </c>
      <c r="L11" s="50" t="s">
        <v>71</v>
      </c>
      <c r="M11" s="54" t="s">
        <v>157</v>
      </c>
      <c r="N11" s="48" t="s">
        <v>158</v>
      </c>
      <c r="O11" s="48" t="s">
        <v>159</v>
      </c>
      <c r="P11" s="48">
        <v>19278370</v>
      </c>
      <c r="Q11" s="48" t="str">
        <f>CONCATENATE(M11, " ",N11, " ",O11)</f>
        <v>Anne Marie Kozacheck</v>
      </c>
      <c r="R11" s="55" t="s">
        <v>390</v>
      </c>
      <c r="S11" s="48" t="s">
        <v>411</v>
      </c>
    </row>
    <row r="12" spans="1:19" ht="15" customHeight="1" x14ac:dyDescent="0.2">
      <c r="A12" s="50" t="s">
        <v>64</v>
      </c>
      <c r="B12" s="50">
        <v>442556364</v>
      </c>
      <c r="C12" s="50" t="s">
        <v>180</v>
      </c>
      <c r="D12" s="51">
        <v>45413</v>
      </c>
      <c r="E12" s="50" t="s">
        <v>173</v>
      </c>
      <c r="F12" s="51">
        <v>45809</v>
      </c>
      <c r="G12" s="51">
        <v>45839</v>
      </c>
      <c r="H12" s="50">
        <v>1</v>
      </c>
      <c r="I12" s="52">
        <v>23.59</v>
      </c>
      <c r="J12" s="53">
        <v>0.18</v>
      </c>
      <c r="K12" s="52">
        <v>4.25</v>
      </c>
      <c r="L12" s="50" t="s">
        <v>71</v>
      </c>
      <c r="M12" s="54" t="s">
        <v>157</v>
      </c>
      <c r="N12" s="48" t="s">
        <v>158</v>
      </c>
      <c r="O12" s="48" t="s">
        <v>159</v>
      </c>
      <c r="P12" s="48">
        <v>19278370</v>
      </c>
      <c r="Q12" s="48" t="str">
        <f>CONCATENATE(M12, " ",N12, " ",O12)</f>
        <v>Anne Marie Kozacheck</v>
      </c>
      <c r="R12" s="55" t="s">
        <v>389</v>
      </c>
      <c r="S12" s="48" t="s">
        <v>417</v>
      </c>
    </row>
    <row r="13" spans="1:19" ht="15" customHeight="1" x14ac:dyDescent="0.2">
      <c r="A13" s="50" t="s">
        <v>64</v>
      </c>
      <c r="B13" s="50">
        <v>441539049</v>
      </c>
      <c r="C13" s="50" t="s">
        <v>191</v>
      </c>
      <c r="D13" s="51">
        <v>44835</v>
      </c>
      <c r="E13" s="50" t="s">
        <v>120</v>
      </c>
      <c r="F13" s="51">
        <v>45809</v>
      </c>
      <c r="G13" s="51">
        <v>45839</v>
      </c>
      <c r="H13" s="50">
        <v>1</v>
      </c>
      <c r="I13" s="52">
        <v>113.5</v>
      </c>
      <c r="J13" s="53">
        <v>0.09</v>
      </c>
      <c r="K13" s="52">
        <v>10.220000000000001</v>
      </c>
      <c r="L13" s="50" t="s">
        <v>71</v>
      </c>
      <c r="M13" s="54" t="s">
        <v>160</v>
      </c>
      <c r="N13" s="48" t="s">
        <v>161</v>
      </c>
      <c r="O13" s="48" t="s">
        <v>162</v>
      </c>
      <c r="P13" s="48">
        <v>20436925</v>
      </c>
      <c r="Q13" s="48" t="str">
        <f>CONCATENATE(M13, " ",N13, " ",O13)</f>
        <v>Ashley Elizabeth Teipel</v>
      </c>
      <c r="R13" s="55" t="s">
        <v>378</v>
      </c>
      <c r="S13" s="48" t="s">
        <v>419</v>
      </c>
    </row>
    <row r="14" spans="1:19" ht="15" customHeight="1" x14ac:dyDescent="0.2">
      <c r="A14" s="50" t="s">
        <v>64</v>
      </c>
      <c r="B14" s="50">
        <v>441543447</v>
      </c>
      <c r="C14" s="50" t="s">
        <v>198</v>
      </c>
      <c r="D14" s="51">
        <v>44835</v>
      </c>
      <c r="E14" s="50" t="s">
        <v>199</v>
      </c>
      <c r="F14" s="51">
        <v>45809</v>
      </c>
      <c r="G14" s="51">
        <v>45839</v>
      </c>
      <c r="H14" s="50">
        <v>1</v>
      </c>
      <c r="I14" s="52">
        <v>77.8</v>
      </c>
      <c r="J14" s="53">
        <v>0.09</v>
      </c>
      <c r="K14" s="52">
        <v>7</v>
      </c>
      <c r="L14" s="50" t="s">
        <v>71</v>
      </c>
      <c r="M14" s="54" t="s">
        <v>160</v>
      </c>
      <c r="N14" s="48" t="s">
        <v>161</v>
      </c>
      <c r="O14" s="48" t="s">
        <v>162</v>
      </c>
      <c r="P14" s="48">
        <v>20436925</v>
      </c>
      <c r="Q14" s="48" t="str">
        <f>CONCATENATE(M14, " ",N14, " ",O14)</f>
        <v>Ashley Elizabeth Teipel</v>
      </c>
      <c r="R14" s="55" t="s">
        <v>378</v>
      </c>
      <c r="S14" s="48" t="s">
        <v>419</v>
      </c>
    </row>
    <row r="15" spans="1:19" ht="15" customHeight="1" x14ac:dyDescent="0.2">
      <c r="A15" s="50" t="s">
        <v>64</v>
      </c>
      <c r="B15" s="50">
        <v>441598923</v>
      </c>
      <c r="C15" s="50" t="s">
        <v>187</v>
      </c>
      <c r="D15" s="51">
        <v>44896</v>
      </c>
      <c r="E15" s="50" t="s">
        <v>188</v>
      </c>
      <c r="F15" s="51">
        <v>45809</v>
      </c>
      <c r="G15" s="51">
        <v>45839</v>
      </c>
      <c r="H15" s="50">
        <v>1</v>
      </c>
      <c r="I15" s="52">
        <v>212.94</v>
      </c>
      <c r="J15" s="53">
        <v>0.18</v>
      </c>
      <c r="K15" s="52">
        <v>38.33</v>
      </c>
      <c r="L15" s="50" t="s">
        <v>71</v>
      </c>
      <c r="M15" s="54" t="s">
        <v>160</v>
      </c>
      <c r="N15" s="48" t="s">
        <v>161</v>
      </c>
      <c r="O15" s="48" t="s">
        <v>162</v>
      </c>
      <c r="P15" s="48">
        <v>20436925</v>
      </c>
      <c r="Q15" s="48" t="str">
        <f>CONCATENATE(M15, " ",N15, " ",O15)</f>
        <v>Ashley Elizabeth Teipel</v>
      </c>
      <c r="R15" s="55" t="s">
        <v>389</v>
      </c>
      <c r="S15" s="48" t="s">
        <v>417</v>
      </c>
    </row>
    <row r="16" spans="1:19" ht="15" customHeight="1" x14ac:dyDescent="0.2">
      <c r="A16" s="50" t="s">
        <v>64</v>
      </c>
      <c r="B16" s="50">
        <v>441604514</v>
      </c>
      <c r="C16" s="50" t="s">
        <v>197</v>
      </c>
      <c r="D16" s="51">
        <v>44927</v>
      </c>
      <c r="E16" s="50" t="s">
        <v>120</v>
      </c>
      <c r="F16" s="51">
        <v>45809</v>
      </c>
      <c r="G16" s="51">
        <v>45839</v>
      </c>
      <c r="H16" s="50">
        <v>1</v>
      </c>
      <c r="I16" s="52">
        <v>165.5</v>
      </c>
      <c r="J16" s="53">
        <v>0.09</v>
      </c>
      <c r="K16" s="52">
        <v>14.9</v>
      </c>
      <c r="L16" s="50" t="s">
        <v>71</v>
      </c>
      <c r="M16" s="54" t="s">
        <v>160</v>
      </c>
      <c r="N16" s="48" t="s">
        <v>161</v>
      </c>
      <c r="O16" s="48" t="s">
        <v>162</v>
      </c>
      <c r="P16" s="48">
        <v>20436925</v>
      </c>
      <c r="Q16" s="48" t="str">
        <f>CONCATENATE(M16, " ",N16, " ",O16)</f>
        <v>Ashley Elizabeth Teipel</v>
      </c>
      <c r="R16" s="55" t="s">
        <v>378</v>
      </c>
      <c r="S16" s="48" t="s">
        <v>419</v>
      </c>
    </row>
    <row r="17" spans="1:19" ht="15" customHeight="1" x14ac:dyDescent="0.2">
      <c r="A17" s="50" t="s">
        <v>64</v>
      </c>
      <c r="B17" s="50">
        <v>441612334</v>
      </c>
      <c r="C17" s="50" t="s">
        <v>194</v>
      </c>
      <c r="D17" s="51">
        <v>44896</v>
      </c>
      <c r="E17" s="50" t="s">
        <v>75</v>
      </c>
      <c r="F17" s="51">
        <v>45809</v>
      </c>
      <c r="G17" s="51">
        <v>45839</v>
      </c>
      <c r="H17" s="50">
        <v>1</v>
      </c>
      <c r="I17" s="52">
        <v>16</v>
      </c>
      <c r="J17" s="53">
        <v>0.09</v>
      </c>
      <c r="K17" s="52">
        <v>1.44</v>
      </c>
      <c r="L17" s="50" t="s">
        <v>71</v>
      </c>
      <c r="M17" s="54" t="s">
        <v>160</v>
      </c>
      <c r="N17" s="48" t="s">
        <v>161</v>
      </c>
      <c r="O17" s="48" t="s">
        <v>162</v>
      </c>
      <c r="P17" s="48">
        <v>20436925</v>
      </c>
      <c r="Q17" s="48" t="str">
        <f>CONCATENATE(M17, " ",N17, " ",O17)</f>
        <v>Ashley Elizabeth Teipel</v>
      </c>
      <c r="R17" s="55" t="s">
        <v>386</v>
      </c>
      <c r="S17" s="48" t="s">
        <v>412</v>
      </c>
    </row>
    <row r="18" spans="1:19" ht="15" customHeight="1" x14ac:dyDescent="0.2">
      <c r="A18" s="50" t="s">
        <v>64</v>
      </c>
      <c r="B18" s="50">
        <v>441617850</v>
      </c>
      <c r="C18" s="50" t="s">
        <v>184</v>
      </c>
      <c r="D18" s="51">
        <v>44896</v>
      </c>
      <c r="E18" s="50" t="s">
        <v>81</v>
      </c>
      <c r="F18" s="51">
        <v>45809</v>
      </c>
      <c r="G18" s="51">
        <v>45839</v>
      </c>
      <c r="H18" s="50">
        <v>1</v>
      </c>
      <c r="I18" s="52">
        <v>205.8</v>
      </c>
      <c r="J18" s="53">
        <v>0.09</v>
      </c>
      <c r="K18" s="52">
        <v>18.52</v>
      </c>
      <c r="L18" s="50" t="s">
        <v>71</v>
      </c>
      <c r="M18" s="54" t="s">
        <v>160</v>
      </c>
      <c r="N18" s="48" t="s">
        <v>161</v>
      </c>
      <c r="O18" s="48" t="s">
        <v>162</v>
      </c>
      <c r="P18" s="48">
        <v>20436925</v>
      </c>
      <c r="Q18" s="48" t="str">
        <f>CONCATENATE(M18, " ",N18, " ",O18)</f>
        <v>Ashley Elizabeth Teipel</v>
      </c>
      <c r="R18" s="55" t="s">
        <v>378</v>
      </c>
      <c r="S18" s="48" t="s">
        <v>419</v>
      </c>
    </row>
    <row r="19" spans="1:19" ht="15" customHeight="1" x14ac:dyDescent="0.2">
      <c r="A19" s="50" t="s">
        <v>64</v>
      </c>
      <c r="B19" s="56">
        <v>441624181</v>
      </c>
      <c r="C19" s="50" t="s">
        <v>77</v>
      </c>
      <c r="D19" s="51">
        <v>44879</v>
      </c>
      <c r="E19" s="50" t="s">
        <v>78</v>
      </c>
      <c r="F19" s="51">
        <v>45809</v>
      </c>
      <c r="G19" s="51">
        <v>45839</v>
      </c>
      <c r="H19" s="56">
        <v>1</v>
      </c>
      <c r="I19" s="52">
        <v>165.99</v>
      </c>
      <c r="J19" s="53">
        <v>0.09</v>
      </c>
      <c r="K19" s="52">
        <v>14.94</v>
      </c>
      <c r="L19" s="50" t="s">
        <v>71</v>
      </c>
      <c r="M19" s="54" t="s">
        <v>160</v>
      </c>
      <c r="N19" s="48" t="s">
        <v>161</v>
      </c>
      <c r="O19" s="48" t="s">
        <v>162</v>
      </c>
      <c r="P19" s="48">
        <v>20436925</v>
      </c>
      <c r="Q19" s="48" t="str">
        <f>CONCATENATE(M19, " ",N19, " ",O19)</f>
        <v>Ashley Elizabeth Teipel</v>
      </c>
      <c r="R19" s="55" t="s">
        <v>378</v>
      </c>
      <c r="S19" s="48" t="s">
        <v>419</v>
      </c>
    </row>
    <row r="20" spans="1:19" ht="15" customHeight="1" x14ac:dyDescent="0.2">
      <c r="A20" s="50" t="s">
        <v>64</v>
      </c>
      <c r="B20" s="56">
        <v>441625087</v>
      </c>
      <c r="C20" s="50" t="s">
        <v>80</v>
      </c>
      <c r="D20" s="51">
        <v>44880</v>
      </c>
      <c r="E20" s="50" t="s">
        <v>81</v>
      </c>
      <c r="F20" s="51">
        <v>45809</v>
      </c>
      <c r="G20" s="51">
        <v>45839</v>
      </c>
      <c r="H20" s="56">
        <v>1</v>
      </c>
      <c r="I20" s="52">
        <v>62.5</v>
      </c>
      <c r="J20" s="53">
        <v>0.09</v>
      </c>
      <c r="K20" s="52">
        <v>5.63</v>
      </c>
      <c r="L20" s="50" t="s">
        <v>71</v>
      </c>
      <c r="M20" s="54" t="s">
        <v>160</v>
      </c>
      <c r="N20" s="48" t="s">
        <v>161</v>
      </c>
      <c r="O20" s="48" t="s">
        <v>162</v>
      </c>
      <c r="P20" s="48">
        <v>20436925</v>
      </c>
      <c r="Q20" s="48" t="str">
        <f>CONCATENATE(M20, " ",N20, " ",O20)</f>
        <v>Ashley Elizabeth Teipel</v>
      </c>
      <c r="R20" s="55" t="s">
        <v>378</v>
      </c>
      <c r="S20" s="48" t="s">
        <v>419</v>
      </c>
    </row>
    <row r="21" spans="1:19" ht="15" customHeight="1" x14ac:dyDescent="0.2">
      <c r="A21" s="50" t="s">
        <v>64</v>
      </c>
      <c r="B21" s="50">
        <v>441635692</v>
      </c>
      <c r="C21" s="50" t="s">
        <v>189</v>
      </c>
      <c r="D21" s="51">
        <v>44896</v>
      </c>
      <c r="E21" s="50" t="s">
        <v>190</v>
      </c>
      <c r="F21" s="51">
        <v>45809</v>
      </c>
      <c r="G21" s="51">
        <v>45839</v>
      </c>
      <c r="H21" s="50">
        <v>1</v>
      </c>
      <c r="I21" s="52">
        <v>129.35</v>
      </c>
      <c r="J21" s="53">
        <v>0.09</v>
      </c>
      <c r="K21" s="52">
        <v>11.64</v>
      </c>
      <c r="L21" s="50" t="s">
        <v>71</v>
      </c>
      <c r="M21" s="54" t="s">
        <v>160</v>
      </c>
      <c r="N21" s="48" t="s">
        <v>161</v>
      </c>
      <c r="O21" s="48" t="s">
        <v>162</v>
      </c>
      <c r="P21" s="48">
        <v>20436925</v>
      </c>
      <c r="Q21" s="48" t="str">
        <f>CONCATENATE(M21, " ",N21, " ",O21)</f>
        <v>Ashley Elizabeth Teipel</v>
      </c>
      <c r="R21" s="55" t="s">
        <v>378</v>
      </c>
      <c r="S21" s="48" t="s">
        <v>419</v>
      </c>
    </row>
    <row r="22" spans="1:19" ht="15" customHeight="1" x14ac:dyDescent="0.2">
      <c r="A22" s="50" t="s">
        <v>64</v>
      </c>
      <c r="B22" s="50">
        <v>441640049</v>
      </c>
      <c r="C22" s="50" t="s">
        <v>200</v>
      </c>
      <c r="D22" s="51">
        <v>44927</v>
      </c>
      <c r="E22" s="50" t="s">
        <v>199</v>
      </c>
      <c r="F22" s="51">
        <v>45809</v>
      </c>
      <c r="G22" s="51">
        <v>45839</v>
      </c>
      <c r="H22" s="50">
        <v>1</v>
      </c>
      <c r="I22" s="52">
        <v>90.85</v>
      </c>
      <c r="J22" s="53">
        <v>0.09</v>
      </c>
      <c r="K22" s="52">
        <v>8.18</v>
      </c>
      <c r="L22" s="50" t="s">
        <v>71</v>
      </c>
      <c r="M22" s="54" t="s">
        <v>160</v>
      </c>
      <c r="N22" s="48" t="s">
        <v>161</v>
      </c>
      <c r="O22" s="48" t="s">
        <v>162</v>
      </c>
      <c r="P22" s="48">
        <v>20436925</v>
      </c>
      <c r="Q22" s="48" t="str">
        <f>CONCATENATE(M22, " ",N22, " ",O22)</f>
        <v>Ashley Elizabeth Teipel</v>
      </c>
      <c r="R22" s="55" t="s">
        <v>378</v>
      </c>
      <c r="S22" s="48" t="s">
        <v>419</v>
      </c>
    </row>
    <row r="23" spans="1:19" ht="15" customHeight="1" x14ac:dyDescent="0.2">
      <c r="A23" s="50" t="s">
        <v>64</v>
      </c>
      <c r="B23" s="50">
        <v>441659627</v>
      </c>
      <c r="C23" s="50" t="s">
        <v>192</v>
      </c>
      <c r="D23" s="51">
        <v>44896</v>
      </c>
      <c r="E23" s="50" t="s">
        <v>193</v>
      </c>
      <c r="F23" s="51">
        <v>45809</v>
      </c>
      <c r="G23" s="51">
        <v>45839</v>
      </c>
      <c r="H23" s="50">
        <v>1</v>
      </c>
      <c r="I23" s="52">
        <v>407.69</v>
      </c>
      <c r="J23" s="53">
        <v>0.09</v>
      </c>
      <c r="K23" s="52">
        <v>36.69</v>
      </c>
      <c r="L23" s="50" t="s">
        <v>71</v>
      </c>
      <c r="M23" s="54" t="s">
        <v>160</v>
      </c>
      <c r="N23" s="48" t="s">
        <v>161</v>
      </c>
      <c r="O23" s="48" t="s">
        <v>162</v>
      </c>
      <c r="P23" s="48">
        <v>20436925</v>
      </c>
      <c r="Q23" s="48" t="str">
        <f>CONCATENATE(M23, " ",N23, " ",O23)</f>
        <v>Ashley Elizabeth Teipel</v>
      </c>
      <c r="R23" s="55" t="s">
        <v>378</v>
      </c>
      <c r="S23" s="48" t="s">
        <v>419</v>
      </c>
    </row>
    <row r="24" spans="1:19" ht="15" customHeight="1" x14ac:dyDescent="0.2">
      <c r="A24" s="50" t="s">
        <v>64</v>
      </c>
      <c r="B24" s="50">
        <v>441675885</v>
      </c>
      <c r="C24" s="50" t="s">
        <v>206</v>
      </c>
      <c r="D24" s="51">
        <v>44927</v>
      </c>
      <c r="E24" s="50" t="s">
        <v>81</v>
      </c>
      <c r="F24" s="51">
        <v>45809</v>
      </c>
      <c r="G24" s="51">
        <v>45839</v>
      </c>
      <c r="H24" s="50">
        <v>1</v>
      </c>
      <c r="I24" s="52">
        <v>125.5</v>
      </c>
      <c r="J24" s="53">
        <v>0.09</v>
      </c>
      <c r="K24" s="52">
        <v>11.3</v>
      </c>
      <c r="L24" s="50" t="s">
        <v>71</v>
      </c>
      <c r="M24" s="54" t="s">
        <v>160</v>
      </c>
      <c r="N24" s="48" t="s">
        <v>161</v>
      </c>
      <c r="O24" s="48" t="s">
        <v>162</v>
      </c>
      <c r="P24" s="48">
        <v>20436925</v>
      </c>
      <c r="Q24" s="48" t="str">
        <f>CONCATENATE(M24, " ",N24, " ",O24)</f>
        <v>Ashley Elizabeth Teipel</v>
      </c>
      <c r="R24" s="55" t="s">
        <v>378</v>
      </c>
      <c r="S24" s="48" t="s">
        <v>419</v>
      </c>
    </row>
    <row r="25" spans="1:19" ht="15" customHeight="1" x14ac:dyDescent="0.2">
      <c r="A25" s="50" t="s">
        <v>64</v>
      </c>
      <c r="B25" s="50">
        <v>441693322</v>
      </c>
      <c r="C25" s="50" t="s">
        <v>204</v>
      </c>
      <c r="D25" s="51">
        <v>44927</v>
      </c>
      <c r="E25" s="50" t="s">
        <v>78</v>
      </c>
      <c r="F25" s="51">
        <v>45809</v>
      </c>
      <c r="G25" s="51">
        <v>45839</v>
      </c>
      <c r="H25" s="50">
        <v>1</v>
      </c>
      <c r="I25" s="52">
        <v>50</v>
      </c>
      <c r="J25" s="53">
        <v>0.09</v>
      </c>
      <c r="K25" s="52">
        <v>4.5</v>
      </c>
      <c r="L25" s="50" t="s">
        <v>71</v>
      </c>
      <c r="M25" s="54" t="s">
        <v>160</v>
      </c>
      <c r="N25" s="48" t="s">
        <v>161</v>
      </c>
      <c r="O25" s="48" t="s">
        <v>162</v>
      </c>
      <c r="P25" s="48">
        <v>20436925</v>
      </c>
      <c r="Q25" s="48" t="str">
        <f>CONCATENATE(M25, " ",N25, " ",O25)</f>
        <v>Ashley Elizabeth Teipel</v>
      </c>
      <c r="R25" s="55" t="s">
        <v>378</v>
      </c>
      <c r="S25" s="48" t="s">
        <v>419</v>
      </c>
    </row>
    <row r="26" spans="1:19" ht="15" customHeight="1" x14ac:dyDescent="0.2">
      <c r="A26" s="50" t="s">
        <v>64</v>
      </c>
      <c r="B26" s="50">
        <v>441708572</v>
      </c>
      <c r="C26" s="50" t="s">
        <v>210</v>
      </c>
      <c r="D26" s="51">
        <v>44927</v>
      </c>
      <c r="E26" s="50" t="s">
        <v>78</v>
      </c>
      <c r="F26" s="51">
        <v>45809</v>
      </c>
      <c r="G26" s="51">
        <v>45839</v>
      </c>
      <c r="H26" s="50">
        <v>1</v>
      </c>
      <c r="I26" s="52">
        <v>325.58999999999997</v>
      </c>
      <c r="J26" s="53">
        <v>0.09</v>
      </c>
      <c r="K26" s="52">
        <v>29.3</v>
      </c>
      <c r="L26" s="50" t="s">
        <v>71</v>
      </c>
      <c r="M26" s="54" t="s">
        <v>160</v>
      </c>
      <c r="N26" s="48" t="s">
        <v>161</v>
      </c>
      <c r="O26" s="48" t="s">
        <v>162</v>
      </c>
      <c r="P26" s="48">
        <v>20436925</v>
      </c>
      <c r="Q26" s="48" t="str">
        <f>CONCATENATE(M26, " ",N26, " ",O26)</f>
        <v>Ashley Elizabeth Teipel</v>
      </c>
      <c r="R26" s="55" t="s">
        <v>378</v>
      </c>
      <c r="S26" s="48" t="s">
        <v>419</v>
      </c>
    </row>
    <row r="27" spans="1:19" ht="15" customHeight="1" x14ac:dyDescent="0.2">
      <c r="A27" s="50" t="s">
        <v>64</v>
      </c>
      <c r="B27" s="50">
        <v>441722441</v>
      </c>
      <c r="C27" s="50" t="s">
        <v>195</v>
      </c>
      <c r="D27" s="51">
        <v>44927</v>
      </c>
      <c r="E27" s="50" t="s">
        <v>196</v>
      </c>
      <c r="F27" s="51">
        <v>45809</v>
      </c>
      <c r="G27" s="51">
        <v>45839</v>
      </c>
      <c r="H27" s="50">
        <v>1</v>
      </c>
      <c r="I27" s="52">
        <v>67.03</v>
      </c>
      <c r="J27" s="53">
        <v>0.09</v>
      </c>
      <c r="K27" s="52">
        <v>6.03</v>
      </c>
      <c r="L27" s="50" t="s">
        <v>71</v>
      </c>
      <c r="M27" s="54" t="s">
        <v>160</v>
      </c>
      <c r="N27" s="48" t="s">
        <v>161</v>
      </c>
      <c r="O27" s="48" t="s">
        <v>162</v>
      </c>
      <c r="P27" s="48">
        <v>20436925</v>
      </c>
      <c r="Q27" s="48" t="str">
        <f>CONCATENATE(M27, " ",N27, " ",O27)</f>
        <v>Ashley Elizabeth Teipel</v>
      </c>
      <c r="R27" s="55" t="s">
        <v>392</v>
      </c>
      <c r="S27" s="48" t="s">
        <v>412</v>
      </c>
    </row>
    <row r="28" spans="1:19" ht="15" customHeight="1" x14ac:dyDescent="0.2">
      <c r="A28" s="50" t="s">
        <v>64</v>
      </c>
      <c r="B28" s="50">
        <v>441726277</v>
      </c>
      <c r="C28" s="50" t="s">
        <v>185</v>
      </c>
      <c r="D28" s="51">
        <v>44927</v>
      </c>
      <c r="E28" s="50" t="s">
        <v>186</v>
      </c>
      <c r="F28" s="51">
        <v>45809</v>
      </c>
      <c r="G28" s="51">
        <v>45839</v>
      </c>
      <c r="H28" s="50">
        <v>1</v>
      </c>
      <c r="I28" s="52">
        <v>78.2</v>
      </c>
      <c r="J28" s="53">
        <v>0.09</v>
      </c>
      <c r="K28" s="52">
        <v>7.04</v>
      </c>
      <c r="L28" s="50" t="s">
        <v>71</v>
      </c>
      <c r="M28" s="54" t="s">
        <v>160</v>
      </c>
      <c r="N28" s="48" t="s">
        <v>161</v>
      </c>
      <c r="O28" s="48" t="s">
        <v>162</v>
      </c>
      <c r="P28" s="48">
        <v>20436925</v>
      </c>
      <c r="Q28" s="48" t="str">
        <f>CONCATENATE(M28, " ",N28, " ",O28)</f>
        <v>Ashley Elizabeth Teipel</v>
      </c>
      <c r="R28" s="55" t="s">
        <v>378</v>
      </c>
      <c r="S28" s="48" t="s">
        <v>419</v>
      </c>
    </row>
    <row r="29" spans="1:19" ht="15" customHeight="1" x14ac:dyDescent="0.2">
      <c r="A29" s="50" t="s">
        <v>64</v>
      </c>
      <c r="B29" s="50">
        <v>441747603</v>
      </c>
      <c r="C29" s="50" t="s">
        <v>209</v>
      </c>
      <c r="D29" s="51">
        <v>44958</v>
      </c>
      <c r="E29" s="50" t="s">
        <v>199</v>
      </c>
      <c r="F29" s="51">
        <v>45809</v>
      </c>
      <c r="G29" s="51">
        <v>45839</v>
      </c>
      <c r="H29" s="50">
        <v>1</v>
      </c>
      <c r="I29" s="52">
        <v>72.150000000000006</v>
      </c>
      <c r="J29" s="53">
        <v>0.09</v>
      </c>
      <c r="K29" s="52">
        <v>6.49</v>
      </c>
      <c r="L29" s="50" t="s">
        <v>71</v>
      </c>
      <c r="M29" s="54" t="s">
        <v>160</v>
      </c>
      <c r="N29" s="48" t="s">
        <v>161</v>
      </c>
      <c r="O29" s="48" t="s">
        <v>162</v>
      </c>
      <c r="P29" s="48">
        <v>20436925</v>
      </c>
      <c r="Q29" s="48" t="str">
        <f>CONCATENATE(M29, " ",N29, " ",O29)</f>
        <v>Ashley Elizabeth Teipel</v>
      </c>
      <c r="R29" s="55" t="s">
        <v>378</v>
      </c>
      <c r="S29" s="48" t="s">
        <v>419</v>
      </c>
    </row>
    <row r="30" spans="1:19" ht="15" customHeight="1" x14ac:dyDescent="0.2">
      <c r="A30" s="50" t="s">
        <v>64</v>
      </c>
      <c r="B30" s="50">
        <v>441748283</v>
      </c>
      <c r="C30" s="50" t="s">
        <v>207</v>
      </c>
      <c r="D30" s="51">
        <v>44958</v>
      </c>
      <c r="E30" s="50" t="s">
        <v>208</v>
      </c>
      <c r="F30" s="51">
        <v>45809</v>
      </c>
      <c r="G30" s="51">
        <v>45839</v>
      </c>
      <c r="H30" s="50">
        <v>1</v>
      </c>
      <c r="I30" s="52">
        <v>221</v>
      </c>
      <c r="J30" s="53">
        <v>0.09</v>
      </c>
      <c r="K30" s="52">
        <v>19.89</v>
      </c>
      <c r="L30" s="50" t="s">
        <v>71</v>
      </c>
      <c r="M30" s="54" t="s">
        <v>160</v>
      </c>
      <c r="N30" s="48" t="s">
        <v>161</v>
      </c>
      <c r="O30" s="48" t="s">
        <v>162</v>
      </c>
      <c r="P30" s="48">
        <v>20436925</v>
      </c>
      <c r="Q30" s="48" t="str">
        <f>CONCATENATE(M30, " ",N30, " ",O30)</f>
        <v>Ashley Elizabeth Teipel</v>
      </c>
      <c r="R30" s="55" t="s">
        <v>378</v>
      </c>
      <c r="S30" s="48" t="s">
        <v>419</v>
      </c>
    </row>
    <row r="31" spans="1:19" ht="15" customHeight="1" x14ac:dyDescent="0.2">
      <c r="A31" s="50" t="s">
        <v>64</v>
      </c>
      <c r="B31" s="56">
        <v>441750607</v>
      </c>
      <c r="C31" s="50" t="s">
        <v>74</v>
      </c>
      <c r="D31" s="51">
        <v>44930</v>
      </c>
      <c r="E31" s="50" t="s">
        <v>75</v>
      </c>
      <c r="F31" s="51">
        <v>45809</v>
      </c>
      <c r="G31" s="51">
        <v>45839</v>
      </c>
      <c r="H31" s="56">
        <v>1</v>
      </c>
      <c r="I31" s="52">
        <v>9</v>
      </c>
      <c r="J31" s="53">
        <v>0.09</v>
      </c>
      <c r="K31" s="52">
        <v>0.81</v>
      </c>
      <c r="L31" s="50" t="s">
        <v>71</v>
      </c>
      <c r="M31" s="54" t="s">
        <v>160</v>
      </c>
      <c r="N31" s="48" t="s">
        <v>161</v>
      </c>
      <c r="O31" s="48" t="s">
        <v>162</v>
      </c>
      <c r="P31" s="48">
        <v>20436925</v>
      </c>
      <c r="Q31" s="48" t="str">
        <f>CONCATENATE(M31, " ",N31, " ",O31)</f>
        <v>Ashley Elizabeth Teipel</v>
      </c>
      <c r="R31" s="55" t="s">
        <v>386</v>
      </c>
      <c r="S31" s="48" t="s">
        <v>412</v>
      </c>
    </row>
    <row r="32" spans="1:19" ht="15" customHeight="1" x14ac:dyDescent="0.2">
      <c r="A32" s="50" t="s">
        <v>64</v>
      </c>
      <c r="B32" s="50">
        <v>441803058</v>
      </c>
      <c r="C32" s="50" t="s">
        <v>201</v>
      </c>
      <c r="D32" s="51">
        <v>44958</v>
      </c>
      <c r="E32" s="50" t="s">
        <v>202</v>
      </c>
      <c r="F32" s="51">
        <v>45809</v>
      </c>
      <c r="G32" s="51">
        <v>45839</v>
      </c>
      <c r="H32" s="50">
        <v>1</v>
      </c>
      <c r="I32" s="52">
        <v>44</v>
      </c>
      <c r="J32" s="53">
        <v>0.09</v>
      </c>
      <c r="K32" s="52">
        <v>3.96</v>
      </c>
      <c r="L32" s="50" t="s">
        <v>71</v>
      </c>
      <c r="M32" s="54" t="s">
        <v>160</v>
      </c>
      <c r="N32" s="48" t="s">
        <v>161</v>
      </c>
      <c r="O32" s="48" t="s">
        <v>162</v>
      </c>
      <c r="P32" s="48">
        <v>20436925</v>
      </c>
      <c r="Q32" s="48" t="str">
        <f>CONCATENATE(M32, " ",N32, " ",O32)</f>
        <v>Ashley Elizabeth Teipel</v>
      </c>
      <c r="R32" s="55" t="s">
        <v>393</v>
      </c>
      <c r="S32" s="48" t="s">
        <v>411</v>
      </c>
    </row>
    <row r="33" spans="1:19" ht="15" customHeight="1" x14ac:dyDescent="0.2">
      <c r="A33" s="50" t="s">
        <v>64</v>
      </c>
      <c r="B33" s="50">
        <v>441803059</v>
      </c>
      <c r="C33" s="50" t="s">
        <v>203</v>
      </c>
      <c r="D33" s="51">
        <v>44958</v>
      </c>
      <c r="E33" s="50" t="s">
        <v>78</v>
      </c>
      <c r="F33" s="51">
        <v>45809</v>
      </c>
      <c r="G33" s="51">
        <v>45839</v>
      </c>
      <c r="H33" s="50">
        <v>1</v>
      </c>
      <c r="I33" s="52">
        <v>97.06</v>
      </c>
      <c r="J33" s="53">
        <v>0.09</v>
      </c>
      <c r="K33" s="52">
        <v>8.74</v>
      </c>
      <c r="L33" s="50" t="s">
        <v>71</v>
      </c>
      <c r="M33" s="54" t="s">
        <v>160</v>
      </c>
      <c r="N33" s="48" t="s">
        <v>161</v>
      </c>
      <c r="O33" s="48" t="s">
        <v>162</v>
      </c>
      <c r="P33" s="48">
        <v>20436925</v>
      </c>
      <c r="Q33" s="48" t="str">
        <f>CONCATENATE(M33, " ",N33, " ",O33)</f>
        <v>Ashley Elizabeth Teipel</v>
      </c>
      <c r="R33" s="55" t="s">
        <v>378</v>
      </c>
      <c r="S33" s="48" t="s">
        <v>419</v>
      </c>
    </row>
    <row r="34" spans="1:19" ht="15" customHeight="1" x14ac:dyDescent="0.2">
      <c r="A34" s="50" t="s">
        <v>64</v>
      </c>
      <c r="B34" s="50">
        <v>441807731</v>
      </c>
      <c r="C34" s="50" t="s">
        <v>205</v>
      </c>
      <c r="D34" s="51">
        <v>44986</v>
      </c>
      <c r="E34" s="50" t="s">
        <v>199</v>
      </c>
      <c r="F34" s="51">
        <v>45809</v>
      </c>
      <c r="G34" s="51">
        <v>45839</v>
      </c>
      <c r="H34" s="50">
        <v>1</v>
      </c>
      <c r="I34" s="52">
        <v>52.3</v>
      </c>
      <c r="J34" s="53">
        <v>0.09</v>
      </c>
      <c r="K34" s="52">
        <v>4.71</v>
      </c>
      <c r="L34" s="50" t="s">
        <v>71</v>
      </c>
      <c r="M34" s="54" t="s">
        <v>160</v>
      </c>
      <c r="N34" s="48" t="s">
        <v>161</v>
      </c>
      <c r="O34" s="48" t="s">
        <v>162</v>
      </c>
      <c r="P34" s="48">
        <v>20436925</v>
      </c>
      <c r="Q34" s="48" t="str">
        <f>CONCATENATE(M34, " ",N34, " ",O34)</f>
        <v>Ashley Elizabeth Teipel</v>
      </c>
      <c r="R34" s="55" t="s">
        <v>378</v>
      </c>
      <c r="S34" s="48" t="s">
        <v>419</v>
      </c>
    </row>
    <row r="35" spans="1:19" ht="15" customHeight="1" x14ac:dyDescent="0.2">
      <c r="A35" s="50" t="s">
        <v>64</v>
      </c>
      <c r="B35" s="56">
        <v>441908688</v>
      </c>
      <c r="C35" s="50" t="s">
        <v>100</v>
      </c>
      <c r="D35" s="51">
        <v>45020</v>
      </c>
      <c r="E35" s="50" t="s">
        <v>101</v>
      </c>
      <c r="F35" s="51">
        <v>45809</v>
      </c>
      <c r="G35" s="51">
        <v>45839</v>
      </c>
      <c r="H35" s="56">
        <v>1</v>
      </c>
      <c r="I35" s="52">
        <v>61.05</v>
      </c>
      <c r="J35" s="53">
        <v>0.03</v>
      </c>
      <c r="K35" s="52">
        <v>1.83</v>
      </c>
      <c r="L35" s="50" t="s">
        <v>71</v>
      </c>
      <c r="M35" s="54" t="s">
        <v>163</v>
      </c>
      <c r="N35" s="48" t="s">
        <v>164</v>
      </c>
      <c r="P35" s="48" t="s">
        <v>423</v>
      </c>
      <c r="Q35" s="48" t="str">
        <f>CONCATENATE(M35, " ",N35, " ",O35)</f>
        <v xml:space="preserve">Carol Foley </v>
      </c>
      <c r="R35" s="55" t="s">
        <v>385</v>
      </c>
      <c r="S35" s="48" t="s">
        <v>420</v>
      </c>
    </row>
    <row r="36" spans="1:19" ht="15" customHeight="1" x14ac:dyDescent="0.2">
      <c r="A36" s="50" t="s">
        <v>64</v>
      </c>
      <c r="B36" s="50">
        <v>441913487</v>
      </c>
      <c r="C36" s="50" t="s">
        <v>239</v>
      </c>
      <c r="D36" s="51">
        <v>45078</v>
      </c>
      <c r="E36" s="50" t="s">
        <v>240</v>
      </c>
      <c r="F36" s="51">
        <v>45809</v>
      </c>
      <c r="G36" s="51">
        <v>45839</v>
      </c>
      <c r="H36" s="50">
        <v>1</v>
      </c>
      <c r="I36" s="52">
        <v>43</v>
      </c>
      <c r="J36" s="53">
        <v>0.03</v>
      </c>
      <c r="K36" s="52">
        <v>1.29</v>
      </c>
      <c r="L36" s="50" t="s">
        <v>71</v>
      </c>
      <c r="M36" s="54" t="s">
        <v>163</v>
      </c>
      <c r="N36" s="48" t="s">
        <v>164</v>
      </c>
      <c r="P36" s="48" t="s">
        <v>423</v>
      </c>
      <c r="Q36" s="48" t="str">
        <f>CONCATENATE(M36, " ",N36, " ",O36)</f>
        <v xml:space="preserve">Carol Foley </v>
      </c>
      <c r="R36" s="55" t="s">
        <v>379</v>
      </c>
      <c r="S36" s="48" t="s">
        <v>420</v>
      </c>
    </row>
    <row r="37" spans="1:19" ht="15" customHeight="1" x14ac:dyDescent="0.2">
      <c r="A37" s="50" t="s">
        <v>64</v>
      </c>
      <c r="B37" s="50">
        <v>441925403</v>
      </c>
      <c r="C37" s="50" t="s">
        <v>235</v>
      </c>
      <c r="D37" s="51">
        <v>45047</v>
      </c>
      <c r="E37" s="50" t="s">
        <v>236</v>
      </c>
      <c r="F37" s="51">
        <v>45809</v>
      </c>
      <c r="G37" s="51">
        <v>45839</v>
      </c>
      <c r="H37" s="50">
        <v>1</v>
      </c>
      <c r="I37" s="52">
        <v>8.1</v>
      </c>
      <c r="J37" s="53">
        <v>0.03</v>
      </c>
      <c r="K37" s="52">
        <v>0.24</v>
      </c>
      <c r="L37" s="50" t="s">
        <v>71</v>
      </c>
      <c r="M37" s="54" t="s">
        <v>163</v>
      </c>
      <c r="N37" s="48" t="s">
        <v>164</v>
      </c>
      <c r="P37" s="48" t="s">
        <v>423</v>
      </c>
      <c r="Q37" s="48" t="str">
        <f>CONCATENATE(M37, " ",N37, " ",O37)</f>
        <v xml:space="preserve">Carol Foley </v>
      </c>
      <c r="R37" s="55" t="s">
        <v>386</v>
      </c>
      <c r="S37" s="48" t="s">
        <v>420</v>
      </c>
    </row>
    <row r="38" spans="1:19" ht="15" customHeight="1" x14ac:dyDescent="0.2">
      <c r="A38" s="50" t="s">
        <v>64</v>
      </c>
      <c r="B38" s="50">
        <v>441925404</v>
      </c>
      <c r="C38" s="50" t="s">
        <v>235</v>
      </c>
      <c r="D38" s="51">
        <v>45047</v>
      </c>
      <c r="E38" s="50" t="s">
        <v>237</v>
      </c>
      <c r="F38" s="51">
        <v>45809</v>
      </c>
      <c r="G38" s="51">
        <v>45839</v>
      </c>
      <c r="H38" s="50">
        <v>1</v>
      </c>
      <c r="I38" s="52">
        <v>13.5</v>
      </c>
      <c r="J38" s="53">
        <v>0.03</v>
      </c>
      <c r="K38" s="52">
        <v>0.41</v>
      </c>
      <c r="L38" s="50" t="s">
        <v>71</v>
      </c>
      <c r="M38" s="54" t="s">
        <v>163</v>
      </c>
      <c r="N38" s="48" t="s">
        <v>164</v>
      </c>
      <c r="P38" s="48" t="s">
        <v>423</v>
      </c>
      <c r="Q38" s="48" t="str">
        <f>CONCATENATE(M38, " ",N38, " ",O38)</f>
        <v xml:space="preserve">Carol Foley </v>
      </c>
      <c r="R38" s="55" t="s">
        <v>395</v>
      </c>
      <c r="S38" s="48" t="s">
        <v>420</v>
      </c>
    </row>
    <row r="39" spans="1:19" ht="15" customHeight="1" x14ac:dyDescent="0.2">
      <c r="A39" s="50" t="s">
        <v>64</v>
      </c>
      <c r="B39" s="50">
        <v>441925405</v>
      </c>
      <c r="C39" s="50" t="s">
        <v>235</v>
      </c>
      <c r="D39" s="51">
        <v>45047</v>
      </c>
      <c r="E39" s="50" t="s">
        <v>238</v>
      </c>
      <c r="F39" s="51">
        <v>45809</v>
      </c>
      <c r="G39" s="51">
        <v>45839</v>
      </c>
      <c r="H39" s="50">
        <v>1</v>
      </c>
      <c r="I39" s="52">
        <v>40.94</v>
      </c>
      <c r="J39" s="53">
        <v>0.03</v>
      </c>
      <c r="K39" s="52">
        <v>1.23</v>
      </c>
      <c r="L39" s="50" t="s">
        <v>71</v>
      </c>
      <c r="M39" s="54" t="s">
        <v>163</v>
      </c>
      <c r="N39" s="48" t="s">
        <v>164</v>
      </c>
      <c r="P39" s="48" t="s">
        <v>423</v>
      </c>
      <c r="Q39" s="48" t="str">
        <f>CONCATENATE(M39, " ",N39, " ",O39)</f>
        <v xml:space="preserve">Carol Foley </v>
      </c>
      <c r="R39" s="55" t="s">
        <v>388</v>
      </c>
      <c r="S39" s="48" t="s">
        <v>420</v>
      </c>
    </row>
    <row r="40" spans="1:19" ht="15" customHeight="1" x14ac:dyDescent="0.2">
      <c r="A40" s="50" t="s">
        <v>64</v>
      </c>
      <c r="B40" s="50">
        <v>441950360</v>
      </c>
      <c r="C40" s="50" t="s">
        <v>281</v>
      </c>
      <c r="D40" s="51">
        <v>45047</v>
      </c>
      <c r="E40" s="50" t="s">
        <v>137</v>
      </c>
      <c r="F40" s="51">
        <v>45809</v>
      </c>
      <c r="G40" s="51">
        <v>45839</v>
      </c>
      <c r="H40" s="50">
        <v>1</v>
      </c>
      <c r="I40" s="52">
        <v>39</v>
      </c>
      <c r="J40" s="53">
        <v>0.03</v>
      </c>
      <c r="K40" s="52">
        <v>1.17</v>
      </c>
      <c r="L40" s="50" t="s">
        <v>71</v>
      </c>
      <c r="M40" s="54" t="s">
        <v>163</v>
      </c>
      <c r="N40" s="48" t="s">
        <v>164</v>
      </c>
      <c r="P40" s="48" t="s">
        <v>423</v>
      </c>
      <c r="Q40" s="48" t="str">
        <f>CONCATENATE(M40, " ",N40, " ",O40)</f>
        <v xml:space="preserve">Carol Foley </v>
      </c>
      <c r="R40" s="55" t="s">
        <v>387</v>
      </c>
      <c r="S40" s="48" t="s">
        <v>420</v>
      </c>
    </row>
    <row r="41" spans="1:19" ht="15" customHeight="1" x14ac:dyDescent="0.2">
      <c r="A41" s="50" t="s">
        <v>64</v>
      </c>
      <c r="B41" s="50">
        <v>441950364</v>
      </c>
      <c r="C41" s="50" t="s">
        <v>281</v>
      </c>
      <c r="D41" s="51">
        <v>45047</v>
      </c>
      <c r="E41" s="50" t="s">
        <v>214</v>
      </c>
      <c r="F41" s="51">
        <v>45809</v>
      </c>
      <c r="G41" s="51">
        <v>45839</v>
      </c>
      <c r="H41" s="50">
        <v>1</v>
      </c>
      <c r="I41" s="52">
        <v>48.9</v>
      </c>
      <c r="J41" s="53">
        <v>0.06</v>
      </c>
      <c r="K41" s="52">
        <v>2.93</v>
      </c>
      <c r="L41" s="50" t="s">
        <v>71</v>
      </c>
      <c r="M41" s="54" t="s">
        <v>163</v>
      </c>
      <c r="N41" s="48" t="s">
        <v>164</v>
      </c>
      <c r="P41" s="48" t="s">
        <v>423</v>
      </c>
      <c r="Q41" s="48" t="str">
        <f>CONCATENATE(M41, " ",N41, " ",O41)</f>
        <v xml:space="preserve">Carol Foley </v>
      </c>
      <c r="R41" s="55" t="s">
        <v>388</v>
      </c>
      <c r="S41" s="48" t="s">
        <v>421</v>
      </c>
    </row>
    <row r="42" spans="1:19" ht="15" customHeight="1" x14ac:dyDescent="0.2">
      <c r="A42" s="50" t="s">
        <v>64</v>
      </c>
      <c r="B42" s="50">
        <v>442017602</v>
      </c>
      <c r="C42" s="50" t="s">
        <v>252</v>
      </c>
      <c r="D42" s="51">
        <v>45139</v>
      </c>
      <c r="E42" s="50" t="s">
        <v>240</v>
      </c>
      <c r="F42" s="51">
        <v>45809</v>
      </c>
      <c r="G42" s="51">
        <v>45839</v>
      </c>
      <c r="H42" s="50">
        <v>1</v>
      </c>
      <c r="I42" s="52">
        <v>43</v>
      </c>
      <c r="J42" s="53">
        <v>0.03</v>
      </c>
      <c r="K42" s="52">
        <v>1.29</v>
      </c>
      <c r="L42" s="50" t="s">
        <v>71</v>
      </c>
      <c r="M42" s="54" t="s">
        <v>163</v>
      </c>
      <c r="N42" s="48" t="s">
        <v>164</v>
      </c>
      <c r="P42" s="48" t="s">
        <v>423</v>
      </c>
      <c r="Q42" s="48" t="str">
        <f>CONCATENATE(M42, " ",N42, " ",O42)</f>
        <v xml:space="preserve">Carol Foley </v>
      </c>
      <c r="R42" s="55" t="s">
        <v>379</v>
      </c>
      <c r="S42" s="48" t="s">
        <v>420</v>
      </c>
    </row>
    <row r="43" spans="1:19" ht="15" customHeight="1" x14ac:dyDescent="0.2">
      <c r="A43" s="50" t="s">
        <v>64</v>
      </c>
      <c r="B43" s="50">
        <v>442017603</v>
      </c>
      <c r="C43" s="50" t="s">
        <v>252</v>
      </c>
      <c r="D43" s="51">
        <v>45139</v>
      </c>
      <c r="E43" s="50" t="s">
        <v>178</v>
      </c>
      <c r="F43" s="51">
        <v>45809</v>
      </c>
      <c r="G43" s="51">
        <v>45839</v>
      </c>
      <c r="H43" s="50">
        <v>1</v>
      </c>
      <c r="I43" s="52">
        <v>10</v>
      </c>
      <c r="J43" s="53">
        <v>0.03</v>
      </c>
      <c r="K43" s="52">
        <v>0.3</v>
      </c>
      <c r="L43" s="50" t="s">
        <v>71</v>
      </c>
      <c r="M43" s="54" t="s">
        <v>163</v>
      </c>
      <c r="N43" s="48" t="s">
        <v>164</v>
      </c>
      <c r="P43" s="48" t="s">
        <v>423</v>
      </c>
      <c r="Q43" s="48" t="str">
        <f>CONCATENATE(M43, " ",N43, " ",O43)</f>
        <v xml:space="preserve">Carol Foley </v>
      </c>
      <c r="R43" s="55" t="s">
        <v>396</v>
      </c>
      <c r="S43" s="48" t="s">
        <v>420</v>
      </c>
    </row>
    <row r="44" spans="1:19" ht="15" customHeight="1" x14ac:dyDescent="0.2">
      <c r="A44" s="50" t="s">
        <v>64</v>
      </c>
      <c r="B44" s="50">
        <v>442027611</v>
      </c>
      <c r="C44" s="50" t="s">
        <v>266</v>
      </c>
      <c r="D44" s="51">
        <v>45170</v>
      </c>
      <c r="E44" s="50" t="s">
        <v>238</v>
      </c>
      <c r="F44" s="51">
        <v>45809</v>
      </c>
      <c r="G44" s="51">
        <v>45839</v>
      </c>
      <c r="H44" s="50">
        <v>1</v>
      </c>
      <c r="I44" s="52">
        <v>103.59</v>
      </c>
      <c r="J44" s="53">
        <v>0.06</v>
      </c>
      <c r="K44" s="52">
        <v>6.22</v>
      </c>
      <c r="L44" s="50" t="s">
        <v>71</v>
      </c>
      <c r="M44" s="54" t="s">
        <v>163</v>
      </c>
      <c r="N44" s="48" t="s">
        <v>164</v>
      </c>
      <c r="P44" s="48" t="s">
        <v>423</v>
      </c>
      <c r="Q44" s="48" t="str">
        <f>CONCATENATE(M44, " ",N44, " ",O44)</f>
        <v xml:space="preserve">Carol Foley </v>
      </c>
      <c r="R44" s="55" t="s">
        <v>388</v>
      </c>
      <c r="S44" s="48" t="s">
        <v>421</v>
      </c>
    </row>
    <row r="45" spans="1:19" ht="15" customHeight="1" x14ac:dyDescent="0.2">
      <c r="A45" s="50" t="s">
        <v>64</v>
      </c>
      <c r="B45" s="50">
        <v>442087913</v>
      </c>
      <c r="C45" s="50" t="s">
        <v>263</v>
      </c>
      <c r="D45" s="51">
        <v>45170</v>
      </c>
      <c r="E45" s="50" t="s">
        <v>213</v>
      </c>
      <c r="F45" s="51">
        <v>45809</v>
      </c>
      <c r="G45" s="51">
        <v>45839</v>
      </c>
      <c r="H45" s="50">
        <v>1</v>
      </c>
      <c r="I45" s="52">
        <v>39.06</v>
      </c>
      <c r="J45" s="53">
        <v>7.0000000000000007E-2</v>
      </c>
      <c r="K45" s="52">
        <v>2.73</v>
      </c>
      <c r="L45" s="50" t="s">
        <v>71</v>
      </c>
      <c r="M45" s="54" t="s">
        <v>163</v>
      </c>
      <c r="N45" s="48" t="s">
        <v>164</v>
      </c>
      <c r="P45" s="48" t="s">
        <v>423</v>
      </c>
      <c r="Q45" s="48" t="str">
        <f>CONCATENATE(M45, " ",N45, " ",O45)</f>
        <v xml:space="preserve">Carol Foley </v>
      </c>
      <c r="R45" s="55" t="s">
        <v>399</v>
      </c>
      <c r="S45" s="48" t="s">
        <v>416</v>
      </c>
    </row>
    <row r="46" spans="1:19" ht="15" customHeight="1" x14ac:dyDescent="0.2">
      <c r="A46" s="50" t="s">
        <v>64</v>
      </c>
      <c r="B46" s="50">
        <v>442087916</v>
      </c>
      <c r="C46" s="50" t="s">
        <v>263</v>
      </c>
      <c r="D46" s="51">
        <v>45170</v>
      </c>
      <c r="E46" s="50" t="s">
        <v>183</v>
      </c>
      <c r="F46" s="51">
        <v>45809</v>
      </c>
      <c r="G46" s="51">
        <v>45839</v>
      </c>
      <c r="H46" s="50">
        <v>1</v>
      </c>
      <c r="I46" s="52">
        <v>82.14</v>
      </c>
      <c r="J46" s="53">
        <v>0.18</v>
      </c>
      <c r="K46" s="52">
        <v>14.79</v>
      </c>
      <c r="L46" s="50" t="s">
        <v>71</v>
      </c>
      <c r="M46" s="54" t="s">
        <v>163</v>
      </c>
      <c r="N46" s="48" t="s">
        <v>164</v>
      </c>
      <c r="P46" s="48" t="s">
        <v>423</v>
      </c>
      <c r="Q46" s="48" t="str">
        <f>CONCATENATE(M46, " ",N46, " ",O46)</f>
        <v xml:space="preserve">Carol Foley </v>
      </c>
      <c r="R46" s="55" t="s">
        <v>389</v>
      </c>
      <c r="S46" s="48" t="s">
        <v>417</v>
      </c>
    </row>
    <row r="47" spans="1:19" ht="15" customHeight="1" x14ac:dyDescent="0.2">
      <c r="A47" s="50" t="s">
        <v>64</v>
      </c>
      <c r="B47" s="50">
        <v>442088086</v>
      </c>
      <c r="C47" s="50" t="s">
        <v>215</v>
      </c>
      <c r="D47" s="51">
        <v>45170</v>
      </c>
      <c r="E47" s="50" t="s">
        <v>105</v>
      </c>
      <c r="F47" s="51">
        <v>45809</v>
      </c>
      <c r="G47" s="51">
        <v>45839</v>
      </c>
      <c r="H47" s="50">
        <v>1</v>
      </c>
      <c r="I47" s="52">
        <v>37.15</v>
      </c>
      <c r="J47" s="53">
        <v>4.4999999999999998E-2</v>
      </c>
      <c r="K47" s="52">
        <v>1.67</v>
      </c>
      <c r="L47" s="50" t="s">
        <v>71</v>
      </c>
      <c r="M47" s="54" t="s">
        <v>163</v>
      </c>
      <c r="N47" s="48" t="s">
        <v>164</v>
      </c>
      <c r="P47" s="48" t="s">
        <v>423</v>
      </c>
      <c r="Q47" s="48" t="str">
        <f>CONCATENATE(M47, " ",N47, " ",O47)</f>
        <v xml:space="preserve">Carol Foley </v>
      </c>
      <c r="R47" s="55" t="s">
        <v>400</v>
      </c>
      <c r="S47" s="48" t="s">
        <v>414</v>
      </c>
    </row>
    <row r="48" spans="1:19" ht="15" customHeight="1" x14ac:dyDescent="0.2">
      <c r="A48" s="50" t="s">
        <v>64</v>
      </c>
      <c r="B48" s="50">
        <v>442088087</v>
      </c>
      <c r="C48" s="50" t="s">
        <v>215</v>
      </c>
      <c r="D48" s="51">
        <v>45170</v>
      </c>
      <c r="E48" s="50" t="s">
        <v>214</v>
      </c>
      <c r="F48" s="51">
        <v>45809</v>
      </c>
      <c r="G48" s="51">
        <v>45839</v>
      </c>
      <c r="H48" s="50">
        <v>1</v>
      </c>
      <c r="I48" s="52">
        <v>42.1</v>
      </c>
      <c r="J48" s="53">
        <v>0.18</v>
      </c>
      <c r="K48" s="52">
        <v>7.58</v>
      </c>
      <c r="L48" s="50" t="s">
        <v>71</v>
      </c>
      <c r="M48" s="54" t="s">
        <v>163</v>
      </c>
      <c r="N48" s="48" t="s">
        <v>164</v>
      </c>
      <c r="P48" s="48" t="s">
        <v>423</v>
      </c>
      <c r="Q48" s="48" t="str">
        <f>CONCATENATE(M48, " ",N48, " ",O48)</f>
        <v xml:space="preserve">Carol Foley </v>
      </c>
      <c r="R48" s="55" t="s">
        <v>388</v>
      </c>
      <c r="S48" s="48" t="s">
        <v>417</v>
      </c>
    </row>
    <row r="49" spans="1:19" ht="15" customHeight="1" x14ac:dyDescent="0.2">
      <c r="A49" s="50" t="s">
        <v>64</v>
      </c>
      <c r="B49" s="50">
        <v>442089124</v>
      </c>
      <c r="C49" s="50" t="s">
        <v>218</v>
      </c>
      <c r="D49" s="51">
        <v>45139</v>
      </c>
      <c r="E49" s="50" t="s">
        <v>213</v>
      </c>
      <c r="F49" s="51">
        <v>45809</v>
      </c>
      <c r="G49" s="51">
        <v>45839</v>
      </c>
      <c r="H49" s="50">
        <v>1</v>
      </c>
      <c r="I49" s="52">
        <v>39.06</v>
      </c>
      <c r="J49" s="53">
        <v>7.0000000000000007E-2</v>
      </c>
      <c r="K49" s="52">
        <v>2.73</v>
      </c>
      <c r="L49" s="50" t="s">
        <v>71</v>
      </c>
      <c r="M49" s="54" t="s">
        <v>163</v>
      </c>
      <c r="N49" s="48" t="s">
        <v>164</v>
      </c>
      <c r="P49" s="48" t="s">
        <v>423</v>
      </c>
      <c r="Q49" s="48" t="str">
        <f>CONCATENATE(M49, " ",N49, " ",O49)</f>
        <v xml:space="preserve">Carol Foley </v>
      </c>
      <c r="R49" s="55" t="s">
        <v>399</v>
      </c>
      <c r="S49" s="48" t="s">
        <v>416</v>
      </c>
    </row>
    <row r="50" spans="1:19" ht="15" customHeight="1" x14ac:dyDescent="0.2">
      <c r="A50" s="50" t="s">
        <v>64</v>
      </c>
      <c r="B50" s="50">
        <v>442089129</v>
      </c>
      <c r="C50" s="50" t="s">
        <v>218</v>
      </c>
      <c r="D50" s="51">
        <v>45139</v>
      </c>
      <c r="E50" s="50" t="s">
        <v>214</v>
      </c>
      <c r="F50" s="51">
        <v>45809</v>
      </c>
      <c r="G50" s="51">
        <v>45839</v>
      </c>
      <c r="H50" s="50">
        <v>1</v>
      </c>
      <c r="I50" s="52">
        <v>48.9</v>
      </c>
      <c r="J50" s="53">
        <v>0.18</v>
      </c>
      <c r="K50" s="52">
        <v>8.8000000000000007</v>
      </c>
      <c r="L50" s="50" t="s">
        <v>71</v>
      </c>
      <c r="M50" s="54" t="s">
        <v>163</v>
      </c>
      <c r="N50" s="48" t="s">
        <v>164</v>
      </c>
      <c r="P50" s="48" t="s">
        <v>423</v>
      </c>
      <c r="Q50" s="48" t="str">
        <f>CONCATENATE(M50, " ",N50, " ",O50)</f>
        <v xml:space="preserve">Carol Foley </v>
      </c>
      <c r="R50" s="55" t="s">
        <v>388</v>
      </c>
      <c r="S50" s="48" t="s">
        <v>417</v>
      </c>
    </row>
    <row r="51" spans="1:19" ht="15" customHeight="1" x14ac:dyDescent="0.2">
      <c r="A51" s="50" t="s">
        <v>64</v>
      </c>
      <c r="B51" s="50">
        <v>442095367</v>
      </c>
      <c r="C51" s="50" t="s">
        <v>250</v>
      </c>
      <c r="D51" s="51">
        <v>45139</v>
      </c>
      <c r="E51" s="50" t="s">
        <v>221</v>
      </c>
      <c r="F51" s="51">
        <v>45809</v>
      </c>
      <c r="G51" s="51">
        <v>45839</v>
      </c>
      <c r="H51" s="50">
        <v>1</v>
      </c>
      <c r="I51" s="52">
        <v>39.409999999999997</v>
      </c>
      <c r="J51" s="53">
        <v>0.09</v>
      </c>
      <c r="K51" s="52">
        <v>3.55</v>
      </c>
      <c r="L51" s="50" t="s">
        <v>71</v>
      </c>
      <c r="M51" s="54" t="s">
        <v>163</v>
      </c>
      <c r="N51" s="48" t="s">
        <v>164</v>
      </c>
      <c r="P51" s="48" t="s">
        <v>423</v>
      </c>
      <c r="Q51" s="48" t="str">
        <f>CONCATENATE(M51, " ",N51, " ",O51)</f>
        <v xml:space="preserve">Carol Foley </v>
      </c>
      <c r="R51" s="55" t="s">
        <v>401</v>
      </c>
      <c r="S51" s="48" t="s">
        <v>413</v>
      </c>
    </row>
    <row r="52" spans="1:19" ht="15" customHeight="1" x14ac:dyDescent="0.2">
      <c r="A52" s="50" t="s">
        <v>64</v>
      </c>
      <c r="B52" s="50">
        <v>442098296</v>
      </c>
      <c r="C52" s="50" t="s">
        <v>279</v>
      </c>
      <c r="D52" s="51">
        <v>45170</v>
      </c>
      <c r="E52" s="50" t="s">
        <v>221</v>
      </c>
      <c r="F52" s="51">
        <v>45809</v>
      </c>
      <c r="G52" s="51">
        <v>45839</v>
      </c>
      <c r="H52" s="50">
        <v>1</v>
      </c>
      <c r="I52" s="52">
        <v>30.03</v>
      </c>
      <c r="J52" s="53">
        <v>4.4999999999999998E-2</v>
      </c>
      <c r="K52" s="52">
        <v>1.35</v>
      </c>
      <c r="L52" s="50" t="s">
        <v>71</v>
      </c>
      <c r="M52" s="54" t="s">
        <v>163</v>
      </c>
      <c r="N52" s="48" t="s">
        <v>164</v>
      </c>
      <c r="P52" s="48" t="s">
        <v>423</v>
      </c>
      <c r="Q52" s="48" t="str">
        <f>CONCATENATE(M52, " ",N52, " ",O52)</f>
        <v xml:space="preserve">Carol Foley </v>
      </c>
      <c r="R52" s="55" t="s">
        <v>401</v>
      </c>
      <c r="S52" s="48" t="s">
        <v>414</v>
      </c>
    </row>
    <row r="53" spans="1:19" ht="15" customHeight="1" x14ac:dyDescent="0.2">
      <c r="A53" s="50" t="s">
        <v>64</v>
      </c>
      <c r="B53" s="50">
        <v>442098300</v>
      </c>
      <c r="C53" s="50" t="s">
        <v>279</v>
      </c>
      <c r="D53" s="51">
        <v>45170</v>
      </c>
      <c r="E53" s="50" t="s">
        <v>214</v>
      </c>
      <c r="F53" s="51">
        <v>45809</v>
      </c>
      <c r="G53" s="51">
        <v>45839</v>
      </c>
      <c r="H53" s="50">
        <v>1</v>
      </c>
      <c r="I53" s="52">
        <v>31.93</v>
      </c>
      <c r="J53" s="53">
        <v>0.18</v>
      </c>
      <c r="K53" s="52">
        <v>5.75</v>
      </c>
      <c r="L53" s="50" t="s">
        <v>71</v>
      </c>
      <c r="M53" s="54" t="s">
        <v>163</v>
      </c>
      <c r="N53" s="48" t="s">
        <v>164</v>
      </c>
      <c r="P53" s="48" t="s">
        <v>423</v>
      </c>
      <c r="Q53" s="48" t="str">
        <f>CONCATENATE(M53, " ",N53, " ",O53)</f>
        <v xml:space="preserve">Carol Foley </v>
      </c>
      <c r="R53" s="55" t="s">
        <v>388</v>
      </c>
      <c r="S53" s="48" t="s">
        <v>417</v>
      </c>
    </row>
    <row r="54" spans="1:19" ht="15" customHeight="1" x14ac:dyDescent="0.2">
      <c r="A54" s="50" t="s">
        <v>64</v>
      </c>
      <c r="B54" s="50">
        <v>442126147</v>
      </c>
      <c r="C54" s="50" t="s">
        <v>287</v>
      </c>
      <c r="D54" s="51">
        <v>45170</v>
      </c>
      <c r="E54" s="50" t="s">
        <v>175</v>
      </c>
      <c r="F54" s="51">
        <v>45809</v>
      </c>
      <c r="G54" s="51">
        <v>45839</v>
      </c>
      <c r="H54" s="50">
        <v>1</v>
      </c>
      <c r="I54" s="52">
        <v>11.6</v>
      </c>
      <c r="J54" s="53">
        <v>0.09</v>
      </c>
      <c r="K54" s="52">
        <v>1.04</v>
      </c>
      <c r="L54" s="50" t="s">
        <v>71</v>
      </c>
      <c r="M54" s="54" t="s">
        <v>163</v>
      </c>
      <c r="N54" s="48" t="s">
        <v>164</v>
      </c>
      <c r="P54" s="48" t="s">
        <v>423</v>
      </c>
      <c r="Q54" s="48" t="str">
        <f>CONCATENATE(M54, " ",N54, " ",O54)</f>
        <v xml:space="preserve">Carol Foley </v>
      </c>
      <c r="R54" s="55" t="s">
        <v>390</v>
      </c>
      <c r="S54" s="48" t="s">
        <v>411</v>
      </c>
    </row>
    <row r="55" spans="1:19" ht="15" customHeight="1" x14ac:dyDescent="0.2">
      <c r="A55" s="50" t="s">
        <v>64</v>
      </c>
      <c r="B55" s="50">
        <v>442126148</v>
      </c>
      <c r="C55" s="50" t="s">
        <v>287</v>
      </c>
      <c r="D55" s="51">
        <v>45170</v>
      </c>
      <c r="E55" s="50" t="s">
        <v>225</v>
      </c>
      <c r="F55" s="51">
        <v>45809</v>
      </c>
      <c r="G55" s="51">
        <v>45839</v>
      </c>
      <c r="H55" s="50">
        <v>1</v>
      </c>
      <c r="I55" s="52">
        <v>49.32</v>
      </c>
      <c r="J55" s="53">
        <v>0.18</v>
      </c>
      <c r="K55" s="52">
        <v>8.8800000000000008</v>
      </c>
      <c r="L55" s="50" t="s">
        <v>71</v>
      </c>
      <c r="M55" s="54" t="s">
        <v>163</v>
      </c>
      <c r="N55" s="48" t="s">
        <v>164</v>
      </c>
      <c r="P55" s="48" t="s">
        <v>423</v>
      </c>
      <c r="Q55" s="48" t="str">
        <f>CONCATENATE(M55, " ",N55, " ",O55)</f>
        <v xml:space="preserve">Carol Foley </v>
      </c>
      <c r="R55" s="55" t="s">
        <v>389</v>
      </c>
      <c r="S55" s="48" t="s">
        <v>417</v>
      </c>
    </row>
    <row r="56" spans="1:19" ht="15" customHeight="1" x14ac:dyDescent="0.2">
      <c r="A56" s="50" t="s">
        <v>64</v>
      </c>
      <c r="B56" s="50">
        <v>442131578</v>
      </c>
      <c r="C56" s="50" t="s">
        <v>241</v>
      </c>
      <c r="D56" s="51">
        <v>45170</v>
      </c>
      <c r="E56" s="50" t="s">
        <v>175</v>
      </c>
      <c r="F56" s="51">
        <v>45809</v>
      </c>
      <c r="G56" s="51">
        <v>45839</v>
      </c>
      <c r="H56" s="50">
        <v>1</v>
      </c>
      <c r="I56" s="52">
        <v>13.6</v>
      </c>
      <c r="J56" s="53">
        <v>0.09</v>
      </c>
      <c r="K56" s="52">
        <v>1.22</v>
      </c>
      <c r="L56" s="50" t="s">
        <v>71</v>
      </c>
      <c r="M56" s="54" t="s">
        <v>163</v>
      </c>
      <c r="N56" s="48" t="s">
        <v>164</v>
      </c>
      <c r="P56" s="48" t="s">
        <v>423</v>
      </c>
      <c r="Q56" s="48" t="str">
        <f>CONCATENATE(M56, " ",N56, " ",O56)</f>
        <v xml:space="preserve">Carol Foley </v>
      </c>
      <c r="R56" s="55" t="s">
        <v>390</v>
      </c>
      <c r="S56" s="48" t="s">
        <v>411</v>
      </c>
    </row>
    <row r="57" spans="1:19" ht="15" customHeight="1" x14ac:dyDescent="0.2">
      <c r="A57" s="50" t="s">
        <v>64</v>
      </c>
      <c r="B57" s="50">
        <v>442131578</v>
      </c>
      <c r="C57" s="50" t="s">
        <v>241</v>
      </c>
      <c r="D57" s="51">
        <v>45170</v>
      </c>
      <c r="E57" s="50" t="s">
        <v>175</v>
      </c>
      <c r="F57" s="51">
        <v>45778</v>
      </c>
      <c r="G57" s="51">
        <v>45809</v>
      </c>
      <c r="H57" s="50">
        <v>1</v>
      </c>
      <c r="I57" s="52">
        <v>13.6</v>
      </c>
      <c r="J57" s="53">
        <v>0.09</v>
      </c>
      <c r="K57" s="52">
        <v>1.22</v>
      </c>
      <c r="L57" s="50" t="s">
        <v>71</v>
      </c>
      <c r="M57" s="54" t="s">
        <v>163</v>
      </c>
      <c r="N57" s="48" t="s">
        <v>164</v>
      </c>
      <c r="P57" s="48" t="s">
        <v>423</v>
      </c>
      <c r="Q57" s="48" t="str">
        <f>CONCATENATE(M57, " ",N57, " ",O57)</f>
        <v xml:space="preserve">Carol Foley </v>
      </c>
      <c r="R57" s="55" t="s">
        <v>390</v>
      </c>
      <c r="S57" s="48" t="s">
        <v>411</v>
      </c>
    </row>
    <row r="58" spans="1:19" ht="15" customHeight="1" x14ac:dyDescent="0.2">
      <c r="A58" s="50" t="s">
        <v>64</v>
      </c>
      <c r="B58" s="50">
        <v>442131583</v>
      </c>
      <c r="C58" s="50" t="s">
        <v>241</v>
      </c>
      <c r="D58" s="51">
        <v>45170</v>
      </c>
      <c r="E58" s="50" t="s">
        <v>242</v>
      </c>
      <c r="F58" s="51">
        <v>45809</v>
      </c>
      <c r="G58" s="51">
        <v>45839</v>
      </c>
      <c r="H58" s="50">
        <v>1</v>
      </c>
      <c r="I58" s="52">
        <v>51.81</v>
      </c>
      <c r="J58" s="53">
        <v>0.18</v>
      </c>
      <c r="K58" s="52">
        <v>9.33</v>
      </c>
      <c r="L58" s="50" t="s">
        <v>71</v>
      </c>
      <c r="M58" s="54" t="s">
        <v>163</v>
      </c>
      <c r="N58" s="48" t="s">
        <v>164</v>
      </c>
      <c r="P58" s="48" t="s">
        <v>423</v>
      </c>
      <c r="Q58" s="48" t="str">
        <f>CONCATENATE(M58, " ",N58, " ",O58)</f>
        <v xml:space="preserve">Carol Foley </v>
      </c>
      <c r="R58" s="55" t="s">
        <v>389</v>
      </c>
      <c r="S58" s="48" t="s">
        <v>417</v>
      </c>
    </row>
    <row r="59" spans="1:19" ht="15" customHeight="1" x14ac:dyDescent="0.2">
      <c r="A59" s="50" t="s">
        <v>64</v>
      </c>
      <c r="B59" s="50">
        <v>442131583</v>
      </c>
      <c r="C59" s="50" t="s">
        <v>241</v>
      </c>
      <c r="D59" s="51">
        <v>45170</v>
      </c>
      <c r="E59" s="50" t="s">
        <v>242</v>
      </c>
      <c r="F59" s="51">
        <v>45778</v>
      </c>
      <c r="G59" s="51">
        <v>45809</v>
      </c>
      <c r="H59" s="50">
        <v>1</v>
      </c>
      <c r="I59" s="52">
        <v>51.81</v>
      </c>
      <c r="J59" s="53">
        <v>0.18</v>
      </c>
      <c r="K59" s="52">
        <v>9.33</v>
      </c>
      <c r="L59" s="50" t="s">
        <v>71</v>
      </c>
      <c r="M59" s="54" t="s">
        <v>163</v>
      </c>
      <c r="N59" s="48" t="s">
        <v>164</v>
      </c>
      <c r="P59" s="48" t="s">
        <v>423</v>
      </c>
      <c r="Q59" s="48" t="str">
        <f>CONCATENATE(M59, " ",N59, " ",O59)</f>
        <v xml:space="preserve">Carol Foley </v>
      </c>
      <c r="R59" s="55" t="s">
        <v>389</v>
      </c>
      <c r="S59" s="48" t="s">
        <v>417</v>
      </c>
    </row>
    <row r="60" spans="1:19" ht="15" customHeight="1" x14ac:dyDescent="0.2">
      <c r="A60" s="50" t="s">
        <v>64</v>
      </c>
      <c r="B60" s="50">
        <v>442146746</v>
      </c>
      <c r="C60" s="50" t="s">
        <v>282</v>
      </c>
      <c r="D60" s="51">
        <v>45170</v>
      </c>
      <c r="E60" s="50" t="s">
        <v>105</v>
      </c>
      <c r="F60" s="51">
        <v>45809</v>
      </c>
      <c r="G60" s="51">
        <v>45839</v>
      </c>
      <c r="H60" s="50">
        <v>1</v>
      </c>
      <c r="I60" s="52">
        <v>37.15</v>
      </c>
      <c r="J60" s="53">
        <v>4.4999999999999998E-2</v>
      </c>
      <c r="K60" s="52">
        <v>1.67</v>
      </c>
      <c r="L60" s="50" t="s">
        <v>71</v>
      </c>
      <c r="M60" s="54" t="s">
        <v>163</v>
      </c>
      <c r="N60" s="48" t="s">
        <v>164</v>
      </c>
      <c r="P60" s="48" t="s">
        <v>423</v>
      </c>
      <c r="Q60" s="48" t="str">
        <f>CONCATENATE(M60, " ",N60, " ",O60)</f>
        <v xml:space="preserve">Carol Foley </v>
      </c>
      <c r="R60" s="55" t="s">
        <v>400</v>
      </c>
      <c r="S60" s="48" t="s">
        <v>414</v>
      </c>
    </row>
    <row r="61" spans="1:19" ht="15" customHeight="1" x14ac:dyDescent="0.2">
      <c r="A61" s="50" t="s">
        <v>64</v>
      </c>
      <c r="B61" s="50">
        <v>442146755</v>
      </c>
      <c r="C61" s="50" t="s">
        <v>282</v>
      </c>
      <c r="D61" s="51">
        <v>45170</v>
      </c>
      <c r="E61" s="50" t="s">
        <v>238</v>
      </c>
      <c r="F61" s="51">
        <v>45809</v>
      </c>
      <c r="G61" s="51">
        <v>45839</v>
      </c>
      <c r="H61" s="50">
        <v>1</v>
      </c>
      <c r="I61" s="52">
        <v>72.73</v>
      </c>
      <c r="J61" s="53">
        <v>0.18</v>
      </c>
      <c r="K61" s="52">
        <v>13.09</v>
      </c>
      <c r="L61" s="50" t="s">
        <v>71</v>
      </c>
      <c r="M61" s="54" t="s">
        <v>163</v>
      </c>
      <c r="N61" s="48" t="s">
        <v>164</v>
      </c>
      <c r="P61" s="48" t="s">
        <v>423</v>
      </c>
      <c r="Q61" s="48" t="str">
        <f>CONCATENATE(M61, " ",N61, " ",O61)</f>
        <v xml:space="preserve">Carol Foley </v>
      </c>
      <c r="R61" s="55" t="s">
        <v>388</v>
      </c>
      <c r="S61" s="48" t="s">
        <v>417</v>
      </c>
    </row>
    <row r="62" spans="1:19" ht="15" customHeight="1" x14ac:dyDescent="0.2">
      <c r="A62" s="50" t="s">
        <v>64</v>
      </c>
      <c r="B62" s="50">
        <v>442161959</v>
      </c>
      <c r="C62" s="50" t="s">
        <v>294</v>
      </c>
      <c r="D62" s="51">
        <v>45200</v>
      </c>
      <c r="E62" s="50" t="s">
        <v>214</v>
      </c>
      <c r="F62" s="51">
        <v>45809</v>
      </c>
      <c r="G62" s="51">
        <v>45839</v>
      </c>
      <c r="H62" s="50">
        <v>1</v>
      </c>
      <c r="I62" s="52">
        <v>180.65</v>
      </c>
      <c r="J62" s="53">
        <v>0.18</v>
      </c>
      <c r="K62" s="52">
        <v>32.520000000000003</v>
      </c>
      <c r="L62" s="50" t="s">
        <v>71</v>
      </c>
      <c r="M62" s="54" t="s">
        <v>163</v>
      </c>
      <c r="N62" s="48" t="s">
        <v>164</v>
      </c>
      <c r="P62" s="48" t="s">
        <v>423</v>
      </c>
      <c r="Q62" s="48" t="str">
        <f>CONCATENATE(M62, " ",N62, " ",O62)</f>
        <v xml:space="preserve">Carol Foley </v>
      </c>
      <c r="R62" s="55" t="s">
        <v>388</v>
      </c>
      <c r="S62" s="48" t="s">
        <v>417</v>
      </c>
    </row>
    <row r="63" spans="1:19" ht="15" customHeight="1" x14ac:dyDescent="0.2">
      <c r="A63" s="50" t="s">
        <v>64</v>
      </c>
      <c r="B63" s="50">
        <v>442187057</v>
      </c>
      <c r="C63" s="50" t="s">
        <v>220</v>
      </c>
      <c r="D63" s="51">
        <v>45200</v>
      </c>
      <c r="E63" s="50" t="s">
        <v>221</v>
      </c>
      <c r="F63" s="51">
        <v>45809</v>
      </c>
      <c r="G63" s="51">
        <v>45839</v>
      </c>
      <c r="H63" s="50">
        <v>1</v>
      </c>
      <c r="I63" s="52">
        <v>37.96</v>
      </c>
      <c r="J63" s="53">
        <v>4.4999999999999998E-2</v>
      </c>
      <c r="K63" s="52">
        <v>1.71</v>
      </c>
      <c r="L63" s="50" t="s">
        <v>71</v>
      </c>
      <c r="M63" s="54" t="s">
        <v>163</v>
      </c>
      <c r="N63" s="48" t="s">
        <v>164</v>
      </c>
      <c r="P63" s="48" t="s">
        <v>423</v>
      </c>
      <c r="Q63" s="48" t="str">
        <f>CONCATENATE(M63, " ",N63, " ",O63)</f>
        <v xml:space="preserve">Carol Foley </v>
      </c>
      <c r="R63" s="55" t="s">
        <v>401</v>
      </c>
      <c r="S63" s="48" t="s">
        <v>414</v>
      </c>
    </row>
    <row r="64" spans="1:19" ht="15" customHeight="1" x14ac:dyDescent="0.2">
      <c r="A64" s="50" t="s">
        <v>64</v>
      </c>
      <c r="B64" s="50">
        <v>442187065</v>
      </c>
      <c r="C64" s="50" t="s">
        <v>220</v>
      </c>
      <c r="D64" s="51">
        <v>45200</v>
      </c>
      <c r="E64" s="50" t="s">
        <v>214</v>
      </c>
      <c r="F64" s="51">
        <v>45809</v>
      </c>
      <c r="G64" s="51">
        <v>45839</v>
      </c>
      <c r="H64" s="50">
        <v>1</v>
      </c>
      <c r="I64" s="52">
        <v>31.04</v>
      </c>
      <c r="J64" s="53">
        <v>0.09</v>
      </c>
      <c r="K64" s="52">
        <v>2.79</v>
      </c>
      <c r="L64" s="50" t="s">
        <v>71</v>
      </c>
      <c r="M64" s="54" t="s">
        <v>163</v>
      </c>
      <c r="N64" s="48" t="s">
        <v>164</v>
      </c>
      <c r="P64" s="48" t="s">
        <v>423</v>
      </c>
      <c r="Q64" s="48" t="str">
        <f>CONCATENATE(M64, " ",N64, " ",O64)</f>
        <v xml:space="preserve">Carol Foley </v>
      </c>
      <c r="R64" s="55" t="s">
        <v>388</v>
      </c>
      <c r="S64" s="48" t="s">
        <v>417</v>
      </c>
    </row>
    <row r="65" spans="1:19" ht="15" customHeight="1" x14ac:dyDescent="0.2">
      <c r="A65" s="50" t="s">
        <v>64</v>
      </c>
      <c r="B65" s="50">
        <v>442191721</v>
      </c>
      <c r="C65" s="50" t="s">
        <v>261</v>
      </c>
      <c r="D65" s="51">
        <v>45200</v>
      </c>
      <c r="E65" s="50" t="s">
        <v>221</v>
      </c>
      <c r="F65" s="51">
        <v>45809</v>
      </c>
      <c r="G65" s="51">
        <v>45839</v>
      </c>
      <c r="H65" s="50">
        <v>1</v>
      </c>
      <c r="I65" s="52">
        <v>30.09</v>
      </c>
      <c r="J65" s="53">
        <v>4.4999999999999998E-2</v>
      </c>
      <c r="K65" s="52">
        <v>1.35</v>
      </c>
      <c r="L65" s="50" t="s">
        <v>71</v>
      </c>
      <c r="M65" s="54" t="s">
        <v>163</v>
      </c>
      <c r="N65" s="48" t="s">
        <v>164</v>
      </c>
      <c r="P65" s="48" t="s">
        <v>423</v>
      </c>
      <c r="Q65" s="48" t="str">
        <f>CONCATENATE(M65, " ",N65, " ",O65)</f>
        <v xml:space="preserve">Carol Foley </v>
      </c>
      <c r="R65" s="55" t="s">
        <v>401</v>
      </c>
      <c r="S65" s="48" t="s">
        <v>414</v>
      </c>
    </row>
    <row r="66" spans="1:19" ht="15" customHeight="1" x14ac:dyDescent="0.2">
      <c r="A66" s="50" t="s">
        <v>64</v>
      </c>
      <c r="B66" s="50">
        <v>442191726</v>
      </c>
      <c r="C66" s="50" t="s">
        <v>261</v>
      </c>
      <c r="D66" s="51">
        <v>45200</v>
      </c>
      <c r="E66" s="50" t="s">
        <v>229</v>
      </c>
      <c r="F66" s="51">
        <v>45809</v>
      </c>
      <c r="G66" s="51">
        <v>45839</v>
      </c>
      <c r="H66" s="50">
        <v>1</v>
      </c>
      <c r="I66" s="52">
        <v>40.86</v>
      </c>
      <c r="J66" s="53">
        <v>0.18</v>
      </c>
      <c r="K66" s="52">
        <v>7.35</v>
      </c>
      <c r="L66" s="50" t="s">
        <v>71</v>
      </c>
      <c r="M66" s="54" t="s">
        <v>163</v>
      </c>
      <c r="N66" s="48" t="s">
        <v>164</v>
      </c>
      <c r="P66" s="48" t="s">
        <v>423</v>
      </c>
      <c r="Q66" s="48" t="str">
        <f>CONCATENATE(M66, " ",N66, " ",O66)</f>
        <v xml:space="preserve">Carol Foley </v>
      </c>
      <c r="R66" s="55" t="s">
        <v>388</v>
      </c>
      <c r="S66" s="48" t="s">
        <v>417</v>
      </c>
    </row>
    <row r="67" spans="1:19" ht="15" customHeight="1" x14ac:dyDescent="0.2">
      <c r="A67" s="50" t="s">
        <v>64</v>
      </c>
      <c r="B67" s="50">
        <v>442192244</v>
      </c>
      <c r="C67" s="50" t="s">
        <v>222</v>
      </c>
      <c r="D67" s="51">
        <v>45200</v>
      </c>
      <c r="E67" s="50" t="s">
        <v>221</v>
      </c>
      <c r="F67" s="51">
        <v>45809</v>
      </c>
      <c r="G67" s="51">
        <v>45839</v>
      </c>
      <c r="H67" s="50">
        <v>1</v>
      </c>
      <c r="I67" s="52">
        <v>30.03</v>
      </c>
      <c r="J67" s="53">
        <v>4.4999999999999998E-2</v>
      </c>
      <c r="K67" s="52">
        <v>1.35</v>
      </c>
      <c r="L67" s="50" t="s">
        <v>71</v>
      </c>
      <c r="M67" s="54" t="s">
        <v>163</v>
      </c>
      <c r="N67" s="48" t="s">
        <v>164</v>
      </c>
      <c r="P67" s="48" t="s">
        <v>423</v>
      </c>
      <c r="Q67" s="48" t="str">
        <f>CONCATENATE(M67, " ",N67, " ",O67)</f>
        <v xml:space="preserve">Carol Foley </v>
      </c>
      <c r="R67" s="55" t="s">
        <v>401</v>
      </c>
      <c r="S67" s="48" t="s">
        <v>414</v>
      </c>
    </row>
    <row r="68" spans="1:19" ht="15" customHeight="1" x14ac:dyDescent="0.2">
      <c r="A68" s="50" t="s">
        <v>64</v>
      </c>
      <c r="B68" s="50">
        <v>442192248</v>
      </c>
      <c r="C68" s="50" t="s">
        <v>222</v>
      </c>
      <c r="D68" s="51">
        <v>45200</v>
      </c>
      <c r="E68" s="50" t="s">
        <v>214</v>
      </c>
      <c r="F68" s="51">
        <v>45809</v>
      </c>
      <c r="G68" s="51">
        <v>45839</v>
      </c>
      <c r="H68" s="50">
        <v>1</v>
      </c>
      <c r="I68" s="52">
        <v>45.4</v>
      </c>
      <c r="J68" s="53">
        <v>0.18</v>
      </c>
      <c r="K68" s="52">
        <v>8.17</v>
      </c>
      <c r="L68" s="50" t="s">
        <v>71</v>
      </c>
      <c r="M68" s="54" t="s">
        <v>163</v>
      </c>
      <c r="N68" s="48" t="s">
        <v>164</v>
      </c>
      <c r="P68" s="48" t="s">
        <v>423</v>
      </c>
      <c r="Q68" s="48" t="str">
        <f>CONCATENATE(M68, " ",N68, " ",O68)</f>
        <v xml:space="preserve">Carol Foley </v>
      </c>
      <c r="R68" s="55" t="s">
        <v>388</v>
      </c>
      <c r="S68" s="48" t="s">
        <v>417</v>
      </c>
    </row>
    <row r="69" spans="1:19" ht="15" customHeight="1" x14ac:dyDescent="0.2">
      <c r="A69" s="50" t="s">
        <v>64</v>
      </c>
      <c r="B69" s="50">
        <v>442214836</v>
      </c>
      <c r="C69" s="50" t="s">
        <v>216</v>
      </c>
      <c r="D69" s="51">
        <v>45292</v>
      </c>
      <c r="E69" s="50" t="s">
        <v>175</v>
      </c>
      <c r="F69" s="51">
        <v>45809</v>
      </c>
      <c r="G69" s="51">
        <v>45839</v>
      </c>
      <c r="H69" s="50">
        <v>1</v>
      </c>
      <c r="I69" s="52">
        <v>15</v>
      </c>
      <c r="J69" s="53">
        <v>0.09</v>
      </c>
      <c r="K69" s="52">
        <v>1.35</v>
      </c>
      <c r="L69" s="50" t="s">
        <v>71</v>
      </c>
      <c r="M69" s="54" t="s">
        <v>163</v>
      </c>
      <c r="N69" s="48" t="s">
        <v>164</v>
      </c>
      <c r="P69" s="48" t="s">
        <v>423</v>
      </c>
      <c r="Q69" s="48" t="str">
        <f>CONCATENATE(M69, " ",N69, " ",O69)</f>
        <v xml:space="preserve">Carol Foley </v>
      </c>
      <c r="R69" s="55" t="s">
        <v>390</v>
      </c>
      <c r="S69" s="48" t="s">
        <v>411</v>
      </c>
    </row>
    <row r="70" spans="1:19" ht="15" customHeight="1" x14ac:dyDescent="0.2">
      <c r="A70" s="50" t="s">
        <v>64</v>
      </c>
      <c r="B70" s="50">
        <v>442214841</v>
      </c>
      <c r="C70" s="50" t="s">
        <v>216</v>
      </c>
      <c r="D70" s="51">
        <v>45292</v>
      </c>
      <c r="E70" s="50" t="s">
        <v>217</v>
      </c>
      <c r="F70" s="51">
        <v>45809</v>
      </c>
      <c r="G70" s="51">
        <v>45839</v>
      </c>
      <c r="H70" s="50">
        <v>1</v>
      </c>
      <c r="I70" s="52">
        <v>52.29</v>
      </c>
      <c r="J70" s="53">
        <v>0.18</v>
      </c>
      <c r="K70" s="52">
        <v>9.41</v>
      </c>
      <c r="L70" s="50" t="s">
        <v>71</v>
      </c>
      <c r="M70" s="54" t="s">
        <v>163</v>
      </c>
      <c r="N70" s="48" t="s">
        <v>164</v>
      </c>
      <c r="P70" s="48" t="s">
        <v>423</v>
      </c>
      <c r="Q70" s="48" t="str">
        <f>CONCATENATE(M70, " ",N70, " ",O70)</f>
        <v xml:space="preserve">Carol Foley </v>
      </c>
      <c r="R70" s="55" t="s">
        <v>389</v>
      </c>
      <c r="S70" s="48" t="s">
        <v>417</v>
      </c>
    </row>
    <row r="71" spans="1:19" ht="15" customHeight="1" x14ac:dyDescent="0.2">
      <c r="A71" s="50" t="s">
        <v>64</v>
      </c>
      <c r="B71" s="50">
        <v>442231126</v>
      </c>
      <c r="C71" s="50" t="s">
        <v>211</v>
      </c>
      <c r="D71" s="51">
        <v>45231</v>
      </c>
      <c r="E71" s="50" t="s">
        <v>88</v>
      </c>
      <c r="F71" s="51">
        <v>45809</v>
      </c>
      <c r="G71" s="51">
        <v>45839</v>
      </c>
      <c r="H71" s="50">
        <v>1</v>
      </c>
      <c r="I71" s="52">
        <v>21.64</v>
      </c>
      <c r="J71" s="53">
        <v>4.4999999999999998E-2</v>
      </c>
      <c r="K71" s="52">
        <v>0.97</v>
      </c>
      <c r="L71" s="50" t="s">
        <v>71</v>
      </c>
      <c r="M71" s="54" t="s">
        <v>163</v>
      </c>
      <c r="N71" s="48" t="s">
        <v>164</v>
      </c>
      <c r="P71" s="48" t="s">
        <v>423</v>
      </c>
      <c r="Q71" s="48" t="str">
        <f>CONCATENATE(M71, " ",N71, " ",O71)</f>
        <v xml:space="preserve">Carol Foley </v>
      </c>
      <c r="R71" s="55" t="s">
        <v>402</v>
      </c>
      <c r="S71" s="48" t="s">
        <v>415</v>
      </c>
    </row>
    <row r="72" spans="1:19" ht="15" customHeight="1" x14ac:dyDescent="0.2">
      <c r="A72" s="50" t="s">
        <v>64</v>
      </c>
      <c r="B72" s="50">
        <v>442233186</v>
      </c>
      <c r="C72" s="50" t="s">
        <v>224</v>
      </c>
      <c r="D72" s="51">
        <v>45292</v>
      </c>
      <c r="E72" s="50" t="s">
        <v>175</v>
      </c>
      <c r="F72" s="51">
        <v>45809</v>
      </c>
      <c r="G72" s="51">
        <v>45839</v>
      </c>
      <c r="H72" s="50">
        <v>1</v>
      </c>
      <c r="I72" s="52">
        <v>10.8</v>
      </c>
      <c r="J72" s="53">
        <v>0.09</v>
      </c>
      <c r="K72" s="52">
        <v>0.97</v>
      </c>
      <c r="L72" s="50" t="s">
        <v>71</v>
      </c>
      <c r="M72" s="54" t="s">
        <v>163</v>
      </c>
      <c r="N72" s="48" t="s">
        <v>164</v>
      </c>
      <c r="P72" s="48" t="s">
        <v>423</v>
      </c>
      <c r="Q72" s="48" t="str">
        <f>CONCATENATE(M72, " ",N72, " ",O72)</f>
        <v xml:space="preserve">Carol Foley </v>
      </c>
      <c r="R72" s="55" t="s">
        <v>390</v>
      </c>
      <c r="S72" s="48" t="s">
        <v>411</v>
      </c>
    </row>
    <row r="73" spans="1:19" ht="15" customHeight="1" x14ac:dyDescent="0.2">
      <c r="A73" s="50" t="s">
        <v>64</v>
      </c>
      <c r="B73" s="50">
        <v>442233192</v>
      </c>
      <c r="C73" s="50" t="s">
        <v>224</v>
      </c>
      <c r="D73" s="51">
        <v>45292</v>
      </c>
      <c r="E73" s="50" t="s">
        <v>225</v>
      </c>
      <c r="F73" s="51">
        <v>45809</v>
      </c>
      <c r="G73" s="51">
        <v>45839</v>
      </c>
      <c r="H73" s="50">
        <v>1</v>
      </c>
      <c r="I73" s="52">
        <v>41.69</v>
      </c>
      <c r="J73" s="53">
        <v>0.18</v>
      </c>
      <c r="K73" s="52">
        <v>7.5</v>
      </c>
      <c r="L73" s="50" t="s">
        <v>71</v>
      </c>
      <c r="M73" s="54" t="s">
        <v>163</v>
      </c>
      <c r="N73" s="48" t="s">
        <v>164</v>
      </c>
      <c r="P73" s="48" t="s">
        <v>423</v>
      </c>
      <c r="Q73" s="48" t="str">
        <f>CONCATENATE(M73, " ",N73, " ",O73)</f>
        <v xml:space="preserve">Carol Foley </v>
      </c>
      <c r="R73" s="55" t="s">
        <v>389</v>
      </c>
      <c r="S73" s="48" t="s">
        <v>417</v>
      </c>
    </row>
    <row r="74" spans="1:19" ht="15" customHeight="1" x14ac:dyDescent="0.2">
      <c r="A74" s="50" t="s">
        <v>64</v>
      </c>
      <c r="B74" s="50">
        <v>442247856</v>
      </c>
      <c r="C74" s="50" t="s">
        <v>253</v>
      </c>
      <c r="D74" s="51">
        <v>45292</v>
      </c>
      <c r="E74" s="50" t="s">
        <v>175</v>
      </c>
      <c r="F74" s="51">
        <v>45809</v>
      </c>
      <c r="G74" s="51">
        <v>45839</v>
      </c>
      <c r="H74" s="50">
        <v>1</v>
      </c>
      <c r="I74" s="52">
        <v>10.8</v>
      </c>
      <c r="J74" s="53">
        <v>0.09</v>
      </c>
      <c r="K74" s="52">
        <v>0.97</v>
      </c>
      <c r="L74" s="50" t="s">
        <v>71</v>
      </c>
      <c r="M74" s="54" t="s">
        <v>163</v>
      </c>
      <c r="N74" s="48" t="s">
        <v>164</v>
      </c>
      <c r="P74" s="48" t="s">
        <v>423</v>
      </c>
      <c r="Q74" s="48" t="str">
        <f>CONCATENATE(M74, " ",N74, " ",O74)</f>
        <v xml:space="preserve">Carol Foley </v>
      </c>
      <c r="R74" s="55" t="s">
        <v>390</v>
      </c>
      <c r="S74" s="48" t="s">
        <v>411</v>
      </c>
    </row>
    <row r="75" spans="1:19" ht="15" customHeight="1" x14ac:dyDescent="0.2">
      <c r="A75" s="50" t="s">
        <v>64</v>
      </c>
      <c r="B75" s="50">
        <v>442247857</v>
      </c>
      <c r="C75" s="50" t="s">
        <v>253</v>
      </c>
      <c r="D75" s="51">
        <v>45292</v>
      </c>
      <c r="E75" s="50" t="s">
        <v>225</v>
      </c>
      <c r="F75" s="51">
        <v>45809</v>
      </c>
      <c r="G75" s="51">
        <v>45839</v>
      </c>
      <c r="H75" s="50">
        <v>1</v>
      </c>
      <c r="I75" s="52">
        <v>52.07</v>
      </c>
      <c r="J75" s="53">
        <v>0.18</v>
      </c>
      <c r="K75" s="52">
        <v>9.3699999999999992</v>
      </c>
      <c r="L75" s="50" t="s">
        <v>71</v>
      </c>
      <c r="M75" s="54" t="s">
        <v>163</v>
      </c>
      <c r="N75" s="48" t="s">
        <v>164</v>
      </c>
      <c r="P75" s="48" t="s">
        <v>423</v>
      </c>
      <c r="Q75" s="48" t="str">
        <f>CONCATENATE(M75, " ",N75, " ",O75)</f>
        <v xml:space="preserve">Carol Foley </v>
      </c>
      <c r="R75" s="55" t="s">
        <v>389</v>
      </c>
      <c r="S75" s="48" t="s">
        <v>417</v>
      </c>
    </row>
    <row r="76" spans="1:19" ht="15" customHeight="1" x14ac:dyDescent="0.2">
      <c r="A76" s="50" t="s">
        <v>64</v>
      </c>
      <c r="B76" s="50">
        <v>442254040</v>
      </c>
      <c r="C76" s="50" t="s">
        <v>271</v>
      </c>
      <c r="D76" s="51">
        <v>45261</v>
      </c>
      <c r="E76" s="50" t="s">
        <v>221</v>
      </c>
      <c r="F76" s="51">
        <v>45809</v>
      </c>
      <c r="G76" s="51">
        <v>45839</v>
      </c>
      <c r="H76" s="50">
        <v>1</v>
      </c>
      <c r="I76" s="52">
        <v>30.03</v>
      </c>
      <c r="J76" s="53">
        <v>4.4999999999999998E-2</v>
      </c>
      <c r="K76" s="52">
        <v>1.35</v>
      </c>
      <c r="L76" s="50" t="s">
        <v>71</v>
      </c>
      <c r="M76" s="54" t="s">
        <v>163</v>
      </c>
      <c r="N76" s="48" t="s">
        <v>164</v>
      </c>
      <c r="P76" s="48" t="s">
        <v>423</v>
      </c>
      <c r="Q76" s="48" t="str">
        <f>CONCATENATE(M76, " ",N76, " ",O76)</f>
        <v xml:space="preserve">Carol Foley </v>
      </c>
      <c r="R76" s="55" t="s">
        <v>401</v>
      </c>
      <c r="S76" s="48" t="s">
        <v>414</v>
      </c>
    </row>
    <row r="77" spans="1:19" ht="15" customHeight="1" x14ac:dyDescent="0.2">
      <c r="A77" s="50" t="s">
        <v>64</v>
      </c>
      <c r="B77" s="50">
        <v>442254042</v>
      </c>
      <c r="C77" s="50" t="s">
        <v>271</v>
      </c>
      <c r="D77" s="51">
        <v>45261</v>
      </c>
      <c r="E77" s="50" t="s">
        <v>214</v>
      </c>
      <c r="F77" s="51">
        <v>45809</v>
      </c>
      <c r="G77" s="51">
        <v>45839</v>
      </c>
      <c r="H77" s="50">
        <v>1</v>
      </c>
      <c r="I77" s="52">
        <v>80.819999999999993</v>
      </c>
      <c r="J77" s="53">
        <v>0.18</v>
      </c>
      <c r="K77" s="52">
        <v>14.55</v>
      </c>
      <c r="L77" s="50" t="s">
        <v>71</v>
      </c>
      <c r="M77" s="54" t="s">
        <v>163</v>
      </c>
      <c r="N77" s="48" t="s">
        <v>164</v>
      </c>
      <c r="P77" s="48" t="s">
        <v>423</v>
      </c>
      <c r="Q77" s="48" t="str">
        <f>CONCATENATE(M77, " ",N77, " ",O77)</f>
        <v xml:space="preserve">Carol Foley </v>
      </c>
      <c r="R77" s="55" t="s">
        <v>388</v>
      </c>
      <c r="S77" s="48" t="s">
        <v>417</v>
      </c>
    </row>
    <row r="78" spans="1:19" ht="15" customHeight="1" x14ac:dyDescent="0.2">
      <c r="A78" s="50" t="s">
        <v>64</v>
      </c>
      <c r="B78" s="56">
        <v>442254656</v>
      </c>
      <c r="C78" s="50" t="s">
        <v>84</v>
      </c>
      <c r="D78" s="51">
        <v>45235</v>
      </c>
      <c r="E78" s="50" t="s">
        <v>88</v>
      </c>
      <c r="F78" s="51">
        <v>45809</v>
      </c>
      <c r="G78" s="51">
        <v>45839</v>
      </c>
      <c r="H78" s="56">
        <v>1</v>
      </c>
      <c r="I78" s="52">
        <v>18.48</v>
      </c>
      <c r="J78" s="53">
        <v>4.4999999999999998E-2</v>
      </c>
      <c r="K78" s="52">
        <v>0.83</v>
      </c>
      <c r="L78" s="50" t="s">
        <v>71</v>
      </c>
      <c r="M78" s="54" t="s">
        <v>163</v>
      </c>
      <c r="N78" s="48" t="s">
        <v>164</v>
      </c>
      <c r="P78" s="48" t="s">
        <v>423</v>
      </c>
      <c r="Q78" s="48" t="str">
        <f>CONCATENATE(M78, " ",N78, " ",O78)</f>
        <v xml:space="preserve">Carol Foley </v>
      </c>
      <c r="R78" s="55" t="s">
        <v>402</v>
      </c>
      <c r="S78" s="48" t="s">
        <v>415</v>
      </c>
    </row>
    <row r="79" spans="1:19" ht="15" customHeight="1" x14ac:dyDescent="0.2">
      <c r="A79" s="50" t="s">
        <v>64</v>
      </c>
      <c r="B79" s="50">
        <v>442255341</v>
      </c>
      <c r="C79" s="50" t="s">
        <v>249</v>
      </c>
      <c r="D79" s="51">
        <v>45292</v>
      </c>
      <c r="E79" s="50" t="s">
        <v>88</v>
      </c>
      <c r="F79" s="51">
        <v>45809</v>
      </c>
      <c r="G79" s="51">
        <v>45839</v>
      </c>
      <c r="H79" s="50">
        <v>1</v>
      </c>
      <c r="I79" s="52">
        <v>68.45</v>
      </c>
      <c r="J79" s="53">
        <v>4.4999999999999998E-2</v>
      </c>
      <c r="K79" s="52">
        <v>3.08</v>
      </c>
      <c r="L79" s="50" t="s">
        <v>71</v>
      </c>
      <c r="M79" s="54" t="s">
        <v>163</v>
      </c>
      <c r="N79" s="48" t="s">
        <v>164</v>
      </c>
      <c r="P79" s="48" t="s">
        <v>423</v>
      </c>
      <c r="Q79" s="48" t="str">
        <f>CONCATENATE(M79, " ",N79, " ",O79)</f>
        <v xml:space="preserve">Carol Foley </v>
      </c>
      <c r="R79" s="55" t="s">
        <v>402</v>
      </c>
      <c r="S79" s="48" t="s">
        <v>415</v>
      </c>
    </row>
    <row r="80" spans="1:19" ht="15" customHeight="1" x14ac:dyDescent="0.2">
      <c r="A80" s="50" t="s">
        <v>64</v>
      </c>
      <c r="B80" s="50">
        <v>442255344</v>
      </c>
      <c r="C80" s="50" t="s">
        <v>249</v>
      </c>
      <c r="D80" s="51">
        <v>45292</v>
      </c>
      <c r="E80" s="50" t="s">
        <v>214</v>
      </c>
      <c r="F80" s="51">
        <v>45809</v>
      </c>
      <c r="G80" s="51">
        <v>45839</v>
      </c>
      <c r="H80" s="50">
        <v>1</v>
      </c>
      <c r="I80" s="52">
        <v>101.85</v>
      </c>
      <c r="J80" s="53">
        <v>0.09</v>
      </c>
      <c r="K80" s="52">
        <v>9.17</v>
      </c>
      <c r="L80" s="50" t="s">
        <v>71</v>
      </c>
      <c r="M80" s="54" t="s">
        <v>163</v>
      </c>
      <c r="N80" s="48" t="s">
        <v>164</v>
      </c>
      <c r="P80" s="48" t="s">
        <v>423</v>
      </c>
      <c r="Q80" s="48" t="str">
        <f>CONCATENATE(M80, " ",N80, " ",O80)</f>
        <v xml:space="preserve">Carol Foley </v>
      </c>
      <c r="R80" s="55" t="s">
        <v>388</v>
      </c>
      <c r="S80" s="48" t="s">
        <v>417</v>
      </c>
    </row>
    <row r="81" spans="1:19" ht="15" customHeight="1" x14ac:dyDescent="0.2">
      <c r="A81" s="50" t="s">
        <v>64</v>
      </c>
      <c r="B81" s="50">
        <v>442266787</v>
      </c>
      <c r="C81" s="50" t="s">
        <v>293</v>
      </c>
      <c r="D81" s="51">
        <v>45292</v>
      </c>
      <c r="E81" s="50" t="s">
        <v>94</v>
      </c>
      <c r="F81" s="51">
        <v>45809</v>
      </c>
      <c r="G81" s="51">
        <v>45839</v>
      </c>
      <c r="H81" s="50">
        <v>1</v>
      </c>
      <c r="I81" s="52">
        <v>13.28</v>
      </c>
      <c r="J81" s="53">
        <v>7.0000000000000007E-2</v>
      </c>
      <c r="K81" s="52">
        <v>0.93</v>
      </c>
      <c r="L81" s="50" t="s">
        <v>71</v>
      </c>
      <c r="M81" s="54" t="s">
        <v>163</v>
      </c>
      <c r="N81" s="48" t="s">
        <v>164</v>
      </c>
      <c r="P81" s="48" t="s">
        <v>423</v>
      </c>
      <c r="Q81" s="48" t="str">
        <f>CONCATENATE(M81, " ",N81, " ",O81)</f>
        <v xml:space="preserve">Carol Foley </v>
      </c>
      <c r="R81" s="55" t="s">
        <v>398</v>
      </c>
      <c r="S81" s="48" t="s">
        <v>416</v>
      </c>
    </row>
    <row r="82" spans="1:19" ht="15" customHeight="1" x14ac:dyDescent="0.2">
      <c r="A82" s="50" t="s">
        <v>64</v>
      </c>
      <c r="B82" s="50">
        <v>442269923</v>
      </c>
      <c r="C82" s="50" t="s">
        <v>254</v>
      </c>
      <c r="D82" s="51">
        <v>45261</v>
      </c>
      <c r="E82" s="50" t="s">
        <v>213</v>
      </c>
      <c r="F82" s="51">
        <v>45809</v>
      </c>
      <c r="G82" s="51">
        <v>45839</v>
      </c>
      <c r="H82" s="50">
        <v>1</v>
      </c>
      <c r="I82" s="52">
        <v>39.06</v>
      </c>
      <c r="J82" s="53">
        <v>7.0000000000000007E-2</v>
      </c>
      <c r="K82" s="52">
        <v>2.73</v>
      </c>
      <c r="L82" s="50" t="s">
        <v>71</v>
      </c>
      <c r="M82" s="54" t="s">
        <v>163</v>
      </c>
      <c r="N82" s="48" t="s">
        <v>164</v>
      </c>
      <c r="P82" s="48" t="s">
        <v>423</v>
      </c>
      <c r="Q82" s="48" t="str">
        <f>CONCATENATE(M82, " ",N82, " ",O82)</f>
        <v xml:space="preserve">Carol Foley </v>
      </c>
      <c r="R82" s="55" t="s">
        <v>399</v>
      </c>
      <c r="S82" s="48" t="s">
        <v>416</v>
      </c>
    </row>
    <row r="83" spans="1:19" ht="15" customHeight="1" x14ac:dyDescent="0.2">
      <c r="A83" s="50" t="s">
        <v>64</v>
      </c>
      <c r="B83" s="50">
        <v>442271427</v>
      </c>
      <c r="C83" s="50" t="s">
        <v>278</v>
      </c>
      <c r="D83" s="51">
        <v>45292</v>
      </c>
      <c r="E83" s="50" t="s">
        <v>94</v>
      </c>
      <c r="F83" s="51">
        <v>45809</v>
      </c>
      <c r="G83" s="51">
        <v>45839</v>
      </c>
      <c r="H83" s="50">
        <v>1</v>
      </c>
      <c r="I83" s="52">
        <v>26.56</v>
      </c>
      <c r="J83" s="53">
        <v>7.0000000000000007E-2</v>
      </c>
      <c r="K83" s="52">
        <v>1.86</v>
      </c>
      <c r="L83" s="50" t="s">
        <v>71</v>
      </c>
      <c r="M83" s="54" t="s">
        <v>163</v>
      </c>
      <c r="N83" s="48" t="s">
        <v>164</v>
      </c>
      <c r="P83" s="48" t="s">
        <v>423</v>
      </c>
      <c r="Q83" s="48" t="str">
        <f>CONCATENATE(M83, " ",N83, " ",O83)</f>
        <v xml:space="preserve">Carol Foley </v>
      </c>
      <c r="R83" s="55" t="s">
        <v>398</v>
      </c>
      <c r="S83" s="48" t="s">
        <v>416</v>
      </c>
    </row>
    <row r="84" spans="1:19" ht="15" customHeight="1" x14ac:dyDescent="0.2">
      <c r="A84" s="50" t="s">
        <v>64</v>
      </c>
      <c r="B84" s="50">
        <v>442300659</v>
      </c>
      <c r="C84" s="50" t="s">
        <v>226</v>
      </c>
      <c r="D84" s="51">
        <v>45261</v>
      </c>
      <c r="E84" s="50" t="s">
        <v>214</v>
      </c>
      <c r="F84" s="51">
        <v>45809</v>
      </c>
      <c r="G84" s="51">
        <v>45839</v>
      </c>
      <c r="H84" s="50">
        <v>1</v>
      </c>
      <c r="I84" s="52">
        <v>98.2</v>
      </c>
      <c r="J84" s="53">
        <v>0.18</v>
      </c>
      <c r="K84" s="52">
        <v>17.68</v>
      </c>
      <c r="L84" s="50" t="s">
        <v>71</v>
      </c>
      <c r="M84" s="54" t="s">
        <v>163</v>
      </c>
      <c r="N84" s="48" t="s">
        <v>164</v>
      </c>
      <c r="P84" s="48" t="s">
        <v>423</v>
      </c>
      <c r="Q84" s="48" t="str">
        <f>CONCATENATE(M84, " ",N84, " ",O84)</f>
        <v xml:space="preserve">Carol Foley </v>
      </c>
      <c r="R84" s="55" t="s">
        <v>388</v>
      </c>
      <c r="S84" s="48" t="s">
        <v>417</v>
      </c>
    </row>
    <row r="85" spans="1:19" ht="15" customHeight="1" x14ac:dyDescent="0.2">
      <c r="A85" s="50" t="s">
        <v>64</v>
      </c>
      <c r="B85" s="50">
        <v>442324830</v>
      </c>
      <c r="C85" s="50" t="s">
        <v>257</v>
      </c>
      <c r="D85" s="51">
        <v>45263</v>
      </c>
      <c r="E85" s="50" t="s">
        <v>221</v>
      </c>
      <c r="F85" s="51">
        <v>45809</v>
      </c>
      <c r="G85" s="51">
        <v>45839</v>
      </c>
      <c r="H85" s="50">
        <v>1</v>
      </c>
      <c r="I85" s="52">
        <v>30.03</v>
      </c>
      <c r="J85" s="53">
        <v>4.4999999999999998E-2</v>
      </c>
      <c r="K85" s="52">
        <v>1.35</v>
      </c>
      <c r="L85" s="50" t="s">
        <v>71</v>
      </c>
      <c r="M85" s="54" t="s">
        <v>163</v>
      </c>
      <c r="N85" s="48" t="s">
        <v>164</v>
      </c>
      <c r="P85" s="48" t="s">
        <v>423</v>
      </c>
      <c r="Q85" s="48" t="str">
        <f>CONCATENATE(M85, " ",N85, " ",O85)</f>
        <v xml:space="preserve">Carol Foley </v>
      </c>
      <c r="R85" s="55" t="s">
        <v>401</v>
      </c>
      <c r="S85" s="48" t="s">
        <v>414</v>
      </c>
    </row>
    <row r="86" spans="1:19" ht="15" customHeight="1" x14ac:dyDescent="0.2">
      <c r="A86" s="50" t="s">
        <v>64</v>
      </c>
      <c r="B86" s="50">
        <v>442324831</v>
      </c>
      <c r="C86" s="50" t="s">
        <v>257</v>
      </c>
      <c r="D86" s="51">
        <v>45263</v>
      </c>
      <c r="E86" s="50" t="s">
        <v>214</v>
      </c>
      <c r="F86" s="51">
        <v>45809</v>
      </c>
      <c r="G86" s="51">
        <v>45839</v>
      </c>
      <c r="H86" s="50">
        <v>1</v>
      </c>
      <c r="I86" s="52">
        <v>68.44</v>
      </c>
      <c r="J86" s="53">
        <v>0.18</v>
      </c>
      <c r="K86" s="52">
        <v>12.32</v>
      </c>
      <c r="L86" s="50" t="s">
        <v>71</v>
      </c>
      <c r="M86" s="54" t="s">
        <v>163</v>
      </c>
      <c r="N86" s="48" t="s">
        <v>164</v>
      </c>
      <c r="P86" s="48" t="s">
        <v>423</v>
      </c>
      <c r="Q86" s="48" t="str">
        <f>CONCATENATE(M86, " ",N86, " ",O86)</f>
        <v xml:space="preserve">Carol Foley </v>
      </c>
      <c r="R86" s="55" t="s">
        <v>388</v>
      </c>
      <c r="S86" s="48" t="s">
        <v>417</v>
      </c>
    </row>
    <row r="87" spans="1:19" ht="15" customHeight="1" x14ac:dyDescent="0.2">
      <c r="A87" s="50" t="s">
        <v>64</v>
      </c>
      <c r="B87" s="50">
        <v>442350484</v>
      </c>
      <c r="C87" s="50" t="s">
        <v>251</v>
      </c>
      <c r="D87" s="51">
        <v>45292</v>
      </c>
      <c r="E87" s="50" t="s">
        <v>214</v>
      </c>
      <c r="F87" s="51">
        <v>45809</v>
      </c>
      <c r="G87" s="51">
        <v>45839</v>
      </c>
      <c r="H87" s="50">
        <v>1</v>
      </c>
      <c r="I87" s="52">
        <v>34.049999999999997</v>
      </c>
      <c r="J87" s="53">
        <v>0.18</v>
      </c>
      <c r="K87" s="52">
        <v>6.13</v>
      </c>
      <c r="L87" s="50" t="s">
        <v>71</v>
      </c>
      <c r="M87" s="54" t="s">
        <v>163</v>
      </c>
      <c r="N87" s="48" t="s">
        <v>164</v>
      </c>
      <c r="P87" s="48" t="s">
        <v>423</v>
      </c>
      <c r="Q87" s="48" t="str">
        <f>CONCATENATE(M87, " ",N87, " ",O87)</f>
        <v xml:space="preserve">Carol Foley </v>
      </c>
      <c r="R87" s="55" t="s">
        <v>388</v>
      </c>
      <c r="S87" s="48" t="s">
        <v>417</v>
      </c>
    </row>
    <row r="88" spans="1:19" ht="15" customHeight="1" x14ac:dyDescent="0.2">
      <c r="A88" s="50" t="s">
        <v>64</v>
      </c>
      <c r="B88" s="56">
        <v>442355390</v>
      </c>
      <c r="C88" s="50" t="s">
        <v>91</v>
      </c>
      <c r="D88" s="51">
        <v>45272</v>
      </c>
      <c r="E88" s="50" t="s">
        <v>94</v>
      </c>
      <c r="F88" s="51">
        <v>45809</v>
      </c>
      <c r="G88" s="51">
        <v>45839</v>
      </c>
      <c r="H88" s="56">
        <v>1</v>
      </c>
      <c r="I88" s="52">
        <v>26.56</v>
      </c>
      <c r="J88" s="53">
        <v>7.0000000000000007E-2</v>
      </c>
      <c r="K88" s="52">
        <v>1.86</v>
      </c>
      <c r="L88" s="50" t="s">
        <v>71</v>
      </c>
      <c r="M88" s="54" t="s">
        <v>163</v>
      </c>
      <c r="N88" s="48" t="s">
        <v>164</v>
      </c>
      <c r="P88" s="48" t="s">
        <v>423</v>
      </c>
      <c r="Q88" s="48" t="str">
        <f>CONCATENATE(M88, " ",N88, " ",O88)</f>
        <v xml:space="preserve">Carol Foley </v>
      </c>
      <c r="R88" s="55" t="s">
        <v>398</v>
      </c>
      <c r="S88" s="48" t="s">
        <v>416</v>
      </c>
    </row>
    <row r="89" spans="1:19" ht="15" customHeight="1" x14ac:dyDescent="0.2">
      <c r="A89" s="50" t="s">
        <v>64</v>
      </c>
      <c r="B89" s="50">
        <v>442363974</v>
      </c>
      <c r="C89" s="50" t="s">
        <v>284</v>
      </c>
      <c r="D89" s="51">
        <v>45292</v>
      </c>
      <c r="E89" s="50" t="s">
        <v>221</v>
      </c>
      <c r="F89" s="51">
        <v>45809</v>
      </c>
      <c r="G89" s="51">
        <v>45839</v>
      </c>
      <c r="H89" s="50">
        <v>1</v>
      </c>
      <c r="I89" s="52">
        <v>30.03</v>
      </c>
      <c r="J89" s="53">
        <v>4.4999999999999998E-2</v>
      </c>
      <c r="K89" s="52">
        <v>1.35</v>
      </c>
      <c r="L89" s="50" t="s">
        <v>71</v>
      </c>
      <c r="M89" s="54" t="s">
        <v>163</v>
      </c>
      <c r="N89" s="48" t="s">
        <v>164</v>
      </c>
      <c r="P89" s="48" t="s">
        <v>423</v>
      </c>
      <c r="Q89" s="48" t="str">
        <f>CONCATENATE(M89, " ",N89, " ",O89)</f>
        <v xml:space="preserve">Carol Foley </v>
      </c>
      <c r="R89" s="55" t="s">
        <v>401</v>
      </c>
      <c r="S89" s="48" t="s">
        <v>414</v>
      </c>
    </row>
    <row r="90" spans="1:19" ht="15" customHeight="1" x14ac:dyDescent="0.2">
      <c r="A90" s="50" t="s">
        <v>64</v>
      </c>
      <c r="B90" s="50">
        <v>442368785</v>
      </c>
      <c r="C90" s="50" t="s">
        <v>275</v>
      </c>
      <c r="D90" s="51">
        <v>45292</v>
      </c>
      <c r="E90" s="50" t="s">
        <v>221</v>
      </c>
      <c r="F90" s="51">
        <v>45809</v>
      </c>
      <c r="G90" s="51">
        <v>45839</v>
      </c>
      <c r="H90" s="50">
        <v>1</v>
      </c>
      <c r="I90" s="52">
        <v>30.03</v>
      </c>
      <c r="J90" s="53">
        <v>4.4999999999999998E-2</v>
      </c>
      <c r="K90" s="52">
        <v>1.35</v>
      </c>
      <c r="L90" s="50" t="s">
        <v>71</v>
      </c>
      <c r="M90" s="54" t="s">
        <v>163</v>
      </c>
      <c r="N90" s="48" t="s">
        <v>164</v>
      </c>
      <c r="P90" s="48" t="s">
        <v>423</v>
      </c>
      <c r="Q90" s="48" t="str">
        <f>CONCATENATE(M90, " ",N90, " ",O90)</f>
        <v xml:space="preserve">Carol Foley </v>
      </c>
      <c r="R90" s="55" t="s">
        <v>401</v>
      </c>
      <c r="S90" s="48" t="s">
        <v>414</v>
      </c>
    </row>
    <row r="91" spans="1:19" ht="15" customHeight="1" x14ac:dyDescent="0.2">
      <c r="A91" s="50" t="s">
        <v>64</v>
      </c>
      <c r="B91" s="50">
        <v>442368786</v>
      </c>
      <c r="C91" s="50" t="s">
        <v>275</v>
      </c>
      <c r="D91" s="51">
        <v>45292</v>
      </c>
      <c r="E91" s="50" t="s">
        <v>214</v>
      </c>
      <c r="F91" s="51">
        <v>45809</v>
      </c>
      <c r="G91" s="51">
        <v>45839</v>
      </c>
      <c r="H91" s="50">
        <v>1</v>
      </c>
      <c r="I91" s="52">
        <v>58.7</v>
      </c>
      <c r="J91" s="53">
        <v>0.18</v>
      </c>
      <c r="K91" s="52">
        <v>10.57</v>
      </c>
      <c r="L91" s="50" t="s">
        <v>71</v>
      </c>
      <c r="M91" s="54" t="s">
        <v>163</v>
      </c>
      <c r="N91" s="48" t="s">
        <v>164</v>
      </c>
      <c r="P91" s="48" t="s">
        <v>423</v>
      </c>
      <c r="Q91" s="48" t="str">
        <f>CONCATENATE(M91, " ",N91, " ",O91)</f>
        <v xml:space="preserve">Carol Foley </v>
      </c>
      <c r="R91" s="55" t="s">
        <v>388</v>
      </c>
      <c r="S91" s="48" t="s">
        <v>417</v>
      </c>
    </row>
    <row r="92" spans="1:19" ht="15" customHeight="1" x14ac:dyDescent="0.2">
      <c r="A92" s="50" t="s">
        <v>64</v>
      </c>
      <c r="B92" s="50">
        <v>442371645</v>
      </c>
      <c r="C92" s="50" t="s">
        <v>288</v>
      </c>
      <c r="D92" s="51">
        <v>45292</v>
      </c>
      <c r="E92" s="50" t="s">
        <v>221</v>
      </c>
      <c r="F92" s="51">
        <v>45809</v>
      </c>
      <c r="G92" s="51">
        <v>45839</v>
      </c>
      <c r="H92" s="50">
        <v>1</v>
      </c>
      <c r="I92" s="52">
        <v>29.36</v>
      </c>
      <c r="J92" s="53">
        <v>4.4999999999999998E-2</v>
      </c>
      <c r="K92" s="52">
        <v>1.32</v>
      </c>
      <c r="L92" s="50" t="s">
        <v>71</v>
      </c>
      <c r="M92" s="54" t="s">
        <v>163</v>
      </c>
      <c r="N92" s="48" t="s">
        <v>164</v>
      </c>
      <c r="P92" s="48" t="s">
        <v>423</v>
      </c>
      <c r="Q92" s="48" t="str">
        <f>CONCATENATE(M92, " ",N92, " ",O92)</f>
        <v xml:space="preserve">Carol Foley </v>
      </c>
      <c r="R92" s="55" t="s">
        <v>401</v>
      </c>
      <c r="S92" s="48" t="s">
        <v>414</v>
      </c>
    </row>
    <row r="93" spans="1:19" ht="15" customHeight="1" x14ac:dyDescent="0.2">
      <c r="A93" s="50" t="s">
        <v>64</v>
      </c>
      <c r="B93" s="50">
        <v>442371645</v>
      </c>
      <c r="C93" s="50" t="s">
        <v>288</v>
      </c>
      <c r="D93" s="51">
        <v>45292</v>
      </c>
      <c r="E93" s="50" t="s">
        <v>221</v>
      </c>
      <c r="F93" s="51">
        <v>45778</v>
      </c>
      <c r="G93" s="51">
        <v>45809</v>
      </c>
      <c r="H93" s="50">
        <v>1</v>
      </c>
      <c r="I93" s="52">
        <v>29.36</v>
      </c>
      <c r="J93" s="53">
        <v>4.4999999999999998E-2</v>
      </c>
      <c r="K93" s="52">
        <v>1.32</v>
      </c>
      <c r="L93" s="50" t="s">
        <v>71</v>
      </c>
      <c r="M93" s="54" t="s">
        <v>163</v>
      </c>
      <c r="N93" s="48" t="s">
        <v>164</v>
      </c>
      <c r="P93" s="48" t="s">
        <v>423</v>
      </c>
      <c r="Q93" s="48" t="str">
        <f>CONCATENATE(M93, " ",N93, " ",O93)</f>
        <v xml:space="preserve">Carol Foley </v>
      </c>
      <c r="R93" s="55" t="s">
        <v>401</v>
      </c>
      <c r="S93" s="48" t="s">
        <v>414</v>
      </c>
    </row>
    <row r="94" spans="1:19" ht="15" customHeight="1" x14ac:dyDescent="0.2">
      <c r="A94" s="50" t="s">
        <v>64</v>
      </c>
      <c r="B94" s="50">
        <v>442371646</v>
      </c>
      <c r="C94" s="50" t="s">
        <v>288</v>
      </c>
      <c r="D94" s="51">
        <v>45292</v>
      </c>
      <c r="E94" s="50" t="s">
        <v>214</v>
      </c>
      <c r="F94" s="51">
        <v>45809</v>
      </c>
      <c r="G94" s="51">
        <v>45839</v>
      </c>
      <c r="H94" s="50">
        <v>1</v>
      </c>
      <c r="I94" s="52">
        <v>29.05</v>
      </c>
      <c r="J94" s="53">
        <v>0.09</v>
      </c>
      <c r="K94" s="52">
        <v>2.61</v>
      </c>
      <c r="L94" s="50" t="s">
        <v>71</v>
      </c>
      <c r="M94" s="54" t="s">
        <v>163</v>
      </c>
      <c r="N94" s="48" t="s">
        <v>164</v>
      </c>
      <c r="P94" s="48" t="s">
        <v>423</v>
      </c>
      <c r="Q94" s="48" t="str">
        <f>CONCATENATE(M94, " ",N94, " ",O94)</f>
        <v xml:space="preserve">Carol Foley </v>
      </c>
      <c r="R94" s="55" t="s">
        <v>388</v>
      </c>
      <c r="S94" s="48" t="s">
        <v>417</v>
      </c>
    </row>
    <row r="95" spans="1:19" ht="15" customHeight="1" x14ac:dyDescent="0.2">
      <c r="A95" s="50" t="s">
        <v>64</v>
      </c>
      <c r="B95" s="50">
        <v>442371646</v>
      </c>
      <c r="C95" s="50" t="s">
        <v>288</v>
      </c>
      <c r="D95" s="51">
        <v>45292</v>
      </c>
      <c r="E95" s="50" t="s">
        <v>214</v>
      </c>
      <c r="F95" s="51">
        <v>45778</v>
      </c>
      <c r="G95" s="51">
        <v>45809</v>
      </c>
      <c r="H95" s="50">
        <v>1</v>
      </c>
      <c r="I95" s="52">
        <v>29.05</v>
      </c>
      <c r="J95" s="53">
        <v>0.09</v>
      </c>
      <c r="K95" s="52">
        <v>2.61</v>
      </c>
      <c r="L95" s="50" t="s">
        <v>71</v>
      </c>
      <c r="M95" s="54" t="s">
        <v>163</v>
      </c>
      <c r="N95" s="48" t="s">
        <v>164</v>
      </c>
      <c r="P95" s="48" t="s">
        <v>423</v>
      </c>
      <c r="Q95" s="48" t="str">
        <f>CONCATENATE(M95, " ",N95, " ",O95)</f>
        <v xml:space="preserve">Carol Foley </v>
      </c>
      <c r="R95" s="55" t="s">
        <v>388</v>
      </c>
      <c r="S95" s="48" t="s">
        <v>417</v>
      </c>
    </row>
    <row r="96" spans="1:19" ht="15" customHeight="1" x14ac:dyDescent="0.2">
      <c r="A96" s="50" t="s">
        <v>64</v>
      </c>
      <c r="B96" s="50">
        <v>442371651</v>
      </c>
      <c r="C96" s="50" t="s">
        <v>288</v>
      </c>
      <c r="D96" s="51">
        <v>45292</v>
      </c>
      <c r="E96" s="50" t="s">
        <v>94</v>
      </c>
      <c r="F96" s="51">
        <v>45809</v>
      </c>
      <c r="G96" s="51">
        <v>45839</v>
      </c>
      <c r="H96" s="50">
        <v>1</v>
      </c>
      <c r="I96" s="52">
        <v>13.28</v>
      </c>
      <c r="J96" s="53">
        <v>7.0000000000000007E-2</v>
      </c>
      <c r="K96" s="52">
        <v>0.93</v>
      </c>
      <c r="L96" s="50" t="s">
        <v>71</v>
      </c>
      <c r="M96" s="54" t="s">
        <v>163</v>
      </c>
      <c r="N96" s="48" t="s">
        <v>164</v>
      </c>
      <c r="P96" s="48" t="s">
        <v>423</v>
      </c>
      <c r="Q96" s="48" t="str">
        <f>CONCATENATE(M96, " ",N96, " ",O96)</f>
        <v xml:space="preserve">Carol Foley </v>
      </c>
      <c r="R96" s="55" t="s">
        <v>398</v>
      </c>
      <c r="S96" s="48" t="s">
        <v>416</v>
      </c>
    </row>
    <row r="97" spans="1:19" ht="15" customHeight="1" x14ac:dyDescent="0.2">
      <c r="A97" s="50" t="s">
        <v>64</v>
      </c>
      <c r="B97" s="50">
        <v>442371651</v>
      </c>
      <c r="C97" s="50" t="s">
        <v>288</v>
      </c>
      <c r="D97" s="51">
        <v>45292</v>
      </c>
      <c r="E97" s="50" t="s">
        <v>94</v>
      </c>
      <c r="F97" s="51">
        <v>45778</v>
      </c>
      <c r="G97" s="51">
        <v>45809</v>
      </c>
      <c r="H97" s="50">
        <v>1</v>
      </c>
      <c r="I97" s="52">
        <v>13.28</v>
      </c>
      <c r="J97" s="53">
        <v>7.0000000000000007E-2</v>
      </c>
      <c r="K97" s="52">
        <v>0.93</v>
      </c>
      <c r="L97" s="50" t="s">
        <v>71</v>
      </c>
      <c r="M97" s="54" t="s">
        <v>163</v>
      </c>
      <c r="N97" s="48" t="s">
        <v>164</v>
      </c>
      <c r="P97" s="48" t="s">
        <v>423</v>
      </c>
      <c r="Q97" s="48" t="str">
        <f>CONCATENATE(M97, " ",N97, " ",O97)</f>
        <v xml:space="preserve">Carol Foley </v>
      </c>
      <c r="R97" s="55" t="s">
        <v>398</v>
      </c>
      <c r="S97" s="48" t="s">
        <v>416</v>
      </c>
    </row>
    <row r="98" spans="1:19" ht="15" customHeight="1" x14ac:dyDescent="0.2">
      <c r="A98" s="50" t="s">
        <v>64</v>
      </c>
      <c r="B98" s="50">
        <v>442374060</v>
      </c>
      <c r="C98" s="50" t="s">
        <v>280</v>
      </c>
      <c r="D98" s="51">
        <v>45293</v>
      </c>
      <c r="E98" s="50" t="s">
        <v>221</v>
      </c>
      <c r="F98" s="51">
        <v>45809</v>
      </c>
      <c r="G98" s="51">
        <v>45839</v>
      </c>
      <c r="H98" s="50">
        <v>1</v>
      </c>
      <c r="I98" s="52">
        <v>30.03</v>
      </c>
      <c r="J98" s="53">
        <v>4.4999999999999998E-2</v>
      </c>
      <c r="K98" s="52">
        <v>1.35</v>
      </c>
      <c r="L98" s="50" t="s">
        <v>71</v>
      </c>
      <c r="M98" s="54" t="s">
        <v>163</v>
      </c>
      <c r="N98" s="48" t="s">
        <v>164</v>
      </c>
      <c r="P98" s="48" t="s">
        <v>423</v>
      </c>
      <c r="Q98" s="48" t="str">
        <f>CONCATENATE(M98, " ",N98, " ",O98)</f>
        <v xml:space="preserve">Carol Foley </v>
      </c>
      <c r="R98" s="55" t="s">
        <v>401</v>
      </c>
      <c r="S98" s="48" t="s">
        <v>414</v>
      </c>
    </row>
    <row r="99" spans="1:19" ht="15" customHeight="1" x14ac:dyDescent="0.2">
      <c r="A99" s="50" t="s">
        <v>64</v>
      </c>
      <c r="B99" s="50">
        <v>442378984</v>
      </c>
      <c r="C99" s="50" t="s">
        <v>283</v>
      </c>
      <c r="D99" s="51">
        <v>45292</v>
      </c>
      <c r="E99" s="50" t="s">
        <v>88</v>
      </c>
      <c r="F99" s="51">
        <v>45809</v>
      </c>
      <c r="G99" s="51">
        <v>45839</v>
      </c>
      <c r="H99" s="50">
        <v>1</v>
      </c>
      <c r="I99" s="52">
        <v>21.64</v>
      </c>
      <c r="J99" s="53">
        <v>4.4999999999999998E-2</v>
      </c>
      <c r="K99" s="52">
        <v>0.97</v>
      </c>
      <c r="L99" s="50" t="s">
        <v>71</v>
      </c>
      <c r="M99" s="54" t="s">
        <v>163</v>
      </c>
      <c r="N99" s="48" t="s">
        <v>164</v>
      </c>
      <c r="P99" s="48" t="s">
        <v>423</v>
      </c>
      <c r="Q99" s="48" t="str">
        <f>CONCATENATE(M99, " ",N99, " ",O99)</f>
        <v xml:space="preserve">Carol Foley </v>
      </c>
      <c r="R99" s="55" t="s">
        <v>402</v>
      </c>
      <c r="S99" s="48" t="s">
        <v>415</v>
      </c>
    </row>
    <row r="100" spans="1:19" ht="15" customHeight="1" x14ac:dyDescent="0.2">
      <c r="A100" s="50" t="s">
        <v>64</v>
      </c>
      <c r="B100" s="50">
        <v>442378985</v>
      </c>
      <c r="C100" s="50" t="s">
        <v>283</v>
      </c>
      <c r="D100" s="51">
        <v>45292</v>
      </c>
      <c r="E100" s="50" t="s">
        <v>214</v>
      </c>
      <c r="F100" s="51">
        <v>45809</v>
      </c>
      <c r="G100" s="51">
        <v>45839</v>
      </c>
      <c r="H100" s="50">
        <v>1</v>
      </c>
      <c r="I100" s="52">
        <v>60.35</v>
      </c>
      <c r="J100" s="53">
        <v>0.18</v>
      </c>
      <c r="K100" s="52">
        <v>10.86</v>
      </c>
      <c r="L100" s="50" t="s">
        <v>71</v>
      </c>
      <c r="M100" s="54" t="s">
        <v>163</v>
      </c>
      <c r="N100" s="48" t="s">
        <v>164</v>
      </c>
      <c r="P100" s="48" t="s">
        <v>423</v>
      </c>
      <c r="Q100" s="48" t="str">
        <f>CONCATENATE(M100, " ",N100, " ",O100)</f>
        <v xml:space="preserve">Carol Foley </v>
      </c>
      <c r="R100" s="55" t="s">
        <v>388</v>
      </c>
      <c r="S100" s="48" t="s">
        <v>417</v>
      </c>
    </row>
    <row r="101" spans="1:19" ht="15" customHeight="1" x14ac:dyDescent="0.2">
      <c r="A101" s="50" t="s">
        <v>64</v>
      </c>
      <c r="B101" s="50">
        <v>442378988</v>
      </c>
      <c r="C101" s="50" t="s">
        <v>283</v>
      </c>
      <c r="D101" s="51">
        <v>45292</v>
      </c>
      <c r="E101" s="50" t="s">
        <v>94</v>
      </c>
      <c r="F101" s="51">
        <v>45809</v>
      </c>
      <c r="G101" s="51">
        <v>45839</v>
      </c>
      <c r="H101" s="50">
        <v>1</v>
      </c>
      <c r="I101" s="52">
        <v>13.28</v>
      </c>
      <c r="J101" s="53">
        <v>7.0000000000000007E-2</v>
      </c>
      <c r="K101" s="52">
        <v>0.93</v>
      </c>
      <c r="L101" s="50" t="s">
        <v>71</v>
      </c>
      <c r="M101" s="54" t="s">
        <v>163</v>
      </c>
      <c r="N101" s="48" t="s">
        <v>164</v>
      </c>
      <c r="P101" s="48" t="s">
        <v>423</v>
      </c>
      <c r="Q101" s="48" t="str">
        <f>CONCATENATE(M101, " ",N101, " ",O101)</f>
        <v xml:space="preserve">Carol Foley </v>
      </c>
      <c r="R101" s="55" t="s">
        <v>398</v>
      </c>
      <c r="S101" s="48" t="s">
        <v>416</v>
      </c>
    </row>
    <row r="102" spans="1:19" ht="15" customHeight="1" x14ac:dyDescent="0.2">
      <c r="A102" s="50" t="s">
        <v>64</v>
      </c>
      <c r="B102" s="50">
        <v>442448275</v>
      </c>
      <c r="C102" s="50" t="s">
        <v>227</v>
      </c>
      <c r="D102" s="51">
        <v>45323</v>
      </c>
      <c r="E102" s="50" t="s">
        <v>221</v>
      </c>
      <c r="F102" s="51">
        <v>45809</v>
      </c>
      <c r="G102" s="51">
        <v>45839</v>
      </c>
      <c r="H102" s="50">
        <v>1</v>
      </c>
      <c r="I102" s="52">
        <v>30.03</v>
      </c>
      <c r="J102" s="53">
        <v>4.4999999999999998E-2</v>
      </c>
      <c r="K102" s="52">
        <v>1.35</v>
      </c>
      <c r="L102" s="50" t="s">
        <v>71</v>
      </c>
      <c r="M102" s="54" t="s">
        <v>163</v>
      </c>
      <c r="N102" s="48" t="s">
        <v>164</v>
      </c>
      <c r="P102" s="48" t="s">
        <v>423</v>
      </c>
      <c r="Q102" s="48" t="str">
        <f>CONCATENATE(M102, " ",N102, " ",O102)</f>
        <v xml:space="preserve">Carol Foley </v>
      </c>
      <c r="R102" s="55" t="s">
        <v>401</v>
      </c>
      <c r="S102" s="48" t="s">
        <v>414</v>
      </c>
    </row>
    <row r="103" spans="1:19" ht="15" customHeight="1" x14ac:dyDescent="0.2">
      <c r="A103" s="50" t="s">
        <v>64</v>
      </c>
      <c r="B103" s="50">
        <v>442448276</v>
      </c>
      <c r="C103" s="50" t="s">
        <v>227</v>
      </c>
      <c r="D103" s="51">
        <v>45323</v>
      </c>
      <c r="E103" s="50" t="s">
        <v>214</v>
      </c>
      <c r="F103" s="51">
        <v>45809</v>
      </c>
      <c r="G103" s="51">
        <v>45839</v>
      </c>
      <c r="H103" s="50">
        <v>1</v>
      </c>
      <c r="I103" s="52">
        <v>26.51</v>
      </c>
      <c r="J103" s="53">
        <v>0.18</v>
      </c>
      <c r="K103" s="52">
        <v>4.7699999999999996</v>
      </c>
      <c r="L103" s="50" t="s">
        <v>71</v>
      </c>
      <c r="M103" s="54" t="s">
        <v>163</v>
      </c>
      <c r="N103" s="48" t="s">
        <v>164</v>
      </c>
      <c r="P103" s="48" t="s">
        <v>423</v>
      </c>
      <c r="Q103" s="48" t="str">
        <f>CONCATENATE(M103, " ",N103, " ",O103)</f>
        <v xml:space="preserve">Carol Foley </v>
      </c>
      <c r="R103" s="55" t="s">
        <v>388</v>
      </c>
      <c r="S103" s="48" t="s">
        <v>417</v>
      </c>
    </row>
    <row r="104" spans="1:19" ht="15" customHeight="1" x14ac:dyDescent="0.2">
      <c r="A104" s="50" t="s">
        <v>64</v>
      </c>
      <c r="B104" s="56">
        <v>442474033</v>
      </c>
      <c r="C104" s="50" t="s">
        <v>104</v>
      </c>
      <c r="D104" s="51">
        <v>45327</v>
      </c>
      <c r="E104" s="50" t="s">
        <v>105</v>
      </c>
      <c r="F104" s="51">
        <v>45809</v>
      </c>
      <c r="G104" s="51">
        <v>45839</v>
      </c>
      <c r="H104" s="56">
        <v>1</v>
      </c>
      <c r="I104" s="52">
        <v>47.94</v>
      </c>
      <c r="J104" s="53">
        <v>4.4999999999999998E-2</v>
      </c>
      <c r="K104" s="52">
        <v>2.16</v>
      </c>
      <c r="L104" s="50" t="s">
        <v>71</v>
      </c>
      <c r="M104" s="54" t="s">
        <v>163</v>
      </c>
      <c r="N104" s="48" t="s">
        <v>164</v>
      </c>
      <c r="P104" s="48" t="s">
        <v>423</v>
      </c>
      <c r="Q104" s="48" t="str">
        <f>CONCATENATE(M104, " ",N104, " ",O104)</f>
        <v xml:space="preserve">Carol Foley </v>
      </c>
      <c r="R104" s="55" t="s">
        <v>400</v>
      </c>
      <c r="S104" s="48" t="s">
        <v>414</v>
      </c>
    </row>
    <row r="105" spans="1:19" ht="15" customHeight="1" x14ac:dyDescent="0.2">
      <c r="A105" s="50" t="s">
        <v>64</v>
      </c>
      <c r="B105" s="50">
        <v>442520332</v>
      </c>
      <c r="C105" s="50" t="s">
        <v>267</v>
      </c>
      <c r="D105" s="51">
        <v>45352</v>
      </c>
      <c r="E105" s="50" t="s">
        <v>98</v>
      </c>
      <c r="F105" s="51">
        <v>45809</v>
      </c>
      <c r="G105" s="51">
        <v>45839</v>
      </c>
      <c r="H105" s="50">
        <v>1</v>
      </c>
      <c r="I105" s="52">
        <v>64.48</v>
      </c>
      <c r="J105" s="53">
        <v>0.09</v>
      </c>
      <c r="K105" s="52">
        <v>5.8</v>
      </c>
      <c r="L105" s="50" t="s">
        <v>71</v>
      </c>
      <c r="M105" s="54" t="s">
        <v>163</v>
      </c>
      <c r="N105" s="48" t="s">
        <v>164</v>
      </c>
      <c r="P105" s="48" t="s">
        <v>423</v>
      </c>
      <c r="Q105" s="48" t="str">
        <f>CONCATENATE(M105, " ",N105, " ",O105)</f>
        <v xml:space="preserve">Carol Foley </v>
      </c>
      <c r="R105" s="55" t="s">
        <v>405</v>
      </c>
      <c r="S105" s="48" t="s">
        <v>408</v>
      </c>
    </row>
    <row r="106" spans="1:19" ht="15" customHeight="1" x14ac:dyDescent="0.2">
      <c r="A106" s="50" t="s">
        <v>64</v>
      </c>
      <c r="B106" s="50">
        <v>442522920</v>
      </c>
      <c r="C106" s="50" t="s">
        <v>285</v>
      </c>
      <c r="D106" s="51">
        <v>45352</v>
      </c>
      <c r="E106" s="50" t="s">
        <v>175</v>
      </c>
      <c r="F106" s="51">
        <v>45809</v>
      </c>
      <c r="G106" s="51">
        <v>45839</v>
      </c>
      <c r="H106" s="50">
        <v>1</v>
      </c>
      <c r="I106" s="52">
        <v>9.4</v>
      </c>
      <c r="J106" s="53">
        <v>0.09</v>
      </c>
      <c r="K106" s="52">
        <v>0.85</v>
      </c>
      <c r="L106" s="50" t="s">
        <v>71</v>
      </c>
      <c r="M106" s="54" t="s">
        <v>163</v>
      </c>
      <c r="N106" s="48" t="s">
        <v>164</v>
      </c>
      <c r="P106" s="48" t="s">
        <v>423</v>
      </c>
      <c r="Q106" s="48" t="str">
        <f>CONCATENATE(M106, " ",N106, " ",O106)</f>
        <v xml:space="preserve">Carol Foley </v>
      </c>
      <c r="R106" s="55" t="s">
        <v>390</v>
      </c>
      <c r="S106" s="48" t="s">
        <v>411</v>
      </c>
    </row>
    <row r="107" spans="1:19" ht="15" customHeight="1" x14ac:dyDescent="0.2">
      <c r="A107" s="50" t="s">
        <v>64</v>
      </c>
      <c r="B107" s="50">
        <v>442522921</v>
      </c>
      <c r="C107" s="50" t="s">
        <v>285</v>
      </c>
      <c r="D107" s="51">
        <v>45352</v>
      </c>
      <c r="E107" s="50" t="s">
        <v>286</v>
      </c>
      <c r="F107" s="51">
        <v>45809</v>
      </c>
      <c r="G107" s="51">
        <v>45839</v>
      </c>
      <c r="H107" s="50">
        <v>1</v>
      </c>
      <c r="I107" s="52">
        <v>49.13</v>
      </c>
      <c r="J107" s="53">
        <v>0.18</v>
      </c>
      <c r="K107" s="52">
        <v>8.84</v>
      </c>
      <c r="L107" s="50" t="s">
        <v>71</v>
      </c>
      <c r="M107" s="54" t="s">
        <v>163</v>
      </c>
      <c r="N107" s="48" t="s">
        <v>164</v>
      </c>
      <c r="P107" s="48" t="s">
        <v>423</v>
      </c>
      <c r="Q107" s="48" t="str">
        <f>CONCATENATE(M107, " ",N107, " ",O107)</f>
        <v xml:space="preserve">Carol Foley </v>
      </c>
      <c r="R107" s="55" t="s">
        <v>389</v>
      </c>
      <c r="S107" s="48" t="s">
        <v>417</v>
      </c>
    </row>
    <row r="108" spans="1:19" ht="15" customHeight="1" x14ac:dyDescent="0.2">
      <c r="A108" s="50" t="s">
        <v>64</v>
      </c>
      <c r="B108" s="50">
        <v>442525756</v>
      </c>
      <c r="C108" s="50" t="s">
        <v>277</v>
      </c>
      <c r="D108" s="51">
        <v>45352</v>
      </c>
      <c r="E108" s="50" t="s">
        <v>98</v>
      </c>
      <c r="F108" s="51">
        <v>45809</v>
      </c>
      <c r="G108" s="51">
        <v>45839</v>
      </c>
      <c r="H108" s="50">
        <v>1</v>
      </c>
      <c r="I108" s="52">
        <v>49.7</v>
      </c>
      <c r="J108" s="53">
        <v>7.0000000000000007E-2</v>
      </c>
      <c r="K108" s="52">
        <v>3.48</v>
      </c>
      <c r="L108" s="50" t="s">
        <v>71</v>
      </c>
      <c r="M108" s="54" t="s">
        <v>163</v>
      </c>
      <c r="N108" s="48" t="s">
        <v>164</v>
      </c>
      <c r="P108" s="48" t="s">
        <v>423</v>
      </c>
      <c r="Q108" s="48" t="str">
        <f>CONCATENATE(M108, " ",N108, " ",O108)</f>
        <v xml:space="preserve">Carol Foley </v>
      </c>
      <c r="R108" s="55" t="s">
        <v>405</v>
      </c>
      <c r="S108" s="48" t="s">
        <v>416</v>
      </c>
    </row>
    <row r="109" spans="1:19" ht="15" customHeight="1" x14ac:dyDescent="0.2">
      <c r="A109" s="50" t="s">
        <v>64</v>
      </c>
      <c r="B109" s="56">
        <v>442548317</v>
      </c>
      <c r="C109" s="50" t="s">
        <v>97</v>
      </c>
      <c r="D109" s="51">
        <v>45366</v>
      </c>
      <c r="E109" s="50" t="s">
        <v>98</v>
      </c>
      <c r="F109" s="51">
        <v>45809</v>
      </c>
      <c r="G109" s="51">
        <v>45839</v>
      </c>
      <c r="H109" s="56">
        <v>1</v>
      </c>
      <c r="I109" s="52">
        <v>49.7</v>
      </c>
      <c r="J109" s="53">
        <v>7.0000000000000007E-2</v>
      </c>
      <c r="K109" s="52">
        <v>3.48</v>
      </c>
      <c r="L109" s="50" t="s">
        <v>71</v>
      </c>
      <c r="M109" s="54" t="s">
        <v>163</v>
      </c>
      <c r="N109" s="48" t="s">
        <v>164</v>
      </c>
      <c r="P109" s="48" t="s">
        <v>423</v>
      </c>
      <c r="Q109" s="48" t="str">
        <f>CONCATENATE(M109, " ",N109, " ",O109)</f>
        <v xml:space="preserve">Carol Foley </v>
      </c>
      <c r="R109" s="55" t="s">
        <v>405</v>
      </c>
      <c r="S109" s="48" t="s">
        <v>416</v>
      </c>
    </row>
    <row r="110" spans="1:19" ht="15" customHeight="1" x14ac:dyDescent="0.2">
      <c r="A110" s="50" t="s">
        <v>64</v>
      </c>
      <c r="B110" s="50">
        <v>442557345</v>
      </c>
      <c r="C110" s="50" t="s">
        <v>245</v>
      </c>
      <c r="D110" s="51">
        <v>45383</v>
      </c>
      <c r="E110" s="50" t="s">
        <v>246</v>
      </c>
      <c r="F110" s="51">
        <v>45809</v>
      </c>
      <c r="G110" s="51">
        <v>45839</v>
      </c>
      <c r="H110" s="50">
        <v>1</v>
      </c>
      <c r="I110" s="52">
        <v>6.3</v>
      </c>
      <c r="J110" s="53">
        <v>0.09</v>
      </c>
      <c r="K110" s="52">
        <v>0.56999999999999995</v>
      </c>
      <c r="L110" s="50" t="s">
        <v>71</v>
      </c>
      <c r="M110" s="54" t="s">
        <v>163</v>
      </c>
      <c r="N110" s="48" t="s">
        <v>164</v>
      </c>
      <c r="P110" s="48" t="s">
        <v>423</v>
      </c>
      <c r="Q110" s="48" t="str">
        <f>CONCATENATE(M110, " ",N110, " ",O110)</f>
        <v xml:space="preserve">Carol Foley </v>
      </c>
      <c r="R110" s="55" t="s">
        <v>393</v>
      </c>
      <c r="S110" s="48" t="s">
        <v>411</v>
      </c>
    </row>
    <row r="111" spans="1:19" ht="15" customHeight="1" x14ac:dyDescent="0.2">
      <c r="A111" s="50" t="s">
        <v>64</v>
      </c>
      <c r="B111" s="50">
        <v>442557346</v>
      </c>
      <c r="C111" s="50" t="s">
        <v>245</v>
      </c>
      <c r="D111" s="51">
        <v>45383</v>
      </c>
      <c r="E111" s="50" t="s">
        <v>247</v>
      </c>
      <c r="F111" s="51">
        <v>45809</v>
      </c>
      <c r="G111" s="51">
        <v>45839</v>
      </c>
      <c r="H111" s="50">
        <v>1</v>
      </c>
      <c r="I111" s="52">
        <v>18.73</v>
      </c>
      <c r="J111" s="53">
        <v>0.18</v>
      </c>
      <c r="K111" s="52">
        <v>3.37</v>
      </c>
      <c r="L111" s="50" t="s">
        <v>71</v>
      </c>
      <c r="M111" s="54" t="s">
        <v>163</v>
      </c>
      <c r="N111" s="48" t="s">
        <v>164</v>
      </c>
      <c r="P111" s="48" t="s">
        <v>423</v>
      </c>
      <c r="Q111" s="48" t="str">
        <f>CONCATENATE(M111, " ",N111, " ",O111)</f>
        <v xml:space="preserve">Carol Foley </v>
      </c>
      <c r="R111" s="55" t="s">
        <v>388</v>
      </c>
      <c r="S111" s="48" t="s">
        <v>417</v>
      </c>
    </row>
    <row r="112" spans="1:19" ht="15" customHeight="1" x14ac:dyDescent="0.2">
      <c r="A112" s="50" t="s">
        <v>64</v>
      </c>
      <c r="B112" s="50">
        <v>442567854</v>
      </c>
      <c r="C112" s="50" t="s">
        <v>234</v>
      </c>
      <c r="D112" s="51">
        <v>45383</v>
      </c>
      <c r="E112" s="50" t="s">
        <v>214</v>
      </c>
      <c r="F112" s="51">
        <v>45809</v>
      </c>
      <c r="G112" s="51">
        <v>45839</v>
      </c>
      <c r="H112" s="50">
        <v>1</v>
      </c>
      <c r="I112" s="52">
        <v>134.78</v>
      </c>
      <c r="J112" s="53">
        <v>0.18</v>
      </c>
      <c r="K112" s="52">
        <v>24.26</v>
      </c>
      <c r="L112" s="50" t="s">
        <v>71</v>
      </c>
      <c r="M112" s="54" t="s">
        <v>163</v>
      </c>
      <c r="N112" s="48" t="s">
        <v>164</v>
      </c>
      <c r="P112" s="48" t="s">
        <v>423</v>
      </c>
      <c r="Q112" s="48" t="str">
        <f>CONCATENATE(M112, " ",N112, " ",O112)</f>
        <v xml:space="preserve">Carol Foley </v>
      </c>
      <c r="R112" s="55" t="s">
        <v>388</v>
      </c>
      <c r="S112" s="48" t="s">
        <v>417</v>
      </c>
    </row>
    <row r="113" spans="1:19" ht="15" customHeight="1" x14ac:dyDescent="0.2">
      <c r="A113" s="50" t="s">
        <v>64</v>
      </c>
      <c r="B113" s="50">
        <v>442567895</v>
      </c>
      <c r="C113" s="50" t="s">
        <v>276</v>
      </c>
      <c r="D113" s="51">
        <v>45413</v>
      </c>
      <c r="E113" s="50" t="s">
        <v>213</v>
      </c>
      <c r="F113" s="51">
        <v>45809</v>
      </c>
      <c r="G113" s="51">
        <v>45839</v>
      </c>
      <c r="H113" s="50">
        <v>1</v>
      </c>
      <c r="I113" s="52">
        <v>46.98</v>
      </c>
      <c r="J113" s="53">
        <v>4.4999999999999998E-2</v>
      </c>
      <c r="K113" s="52">
        <v>2.11</v>
      </c>
      <c r="L113" s="50" t="s">
        <v>71</v>
      </c>
      <c r="M113" s="54" t="s">
        <v>163</v>
      </c>
      <c r="N113" s="48" t="s">
        <v>164</v>
      </c>
      <c r="P113" s="48" t="s">
        <v>423</v>
      </c>
      <c r="Q113" s="48" t="str">
        <f>CONCATENATE(M113, " ",N113, " ",O113)</f>
        <v xml:space="preserve">Carol Foley </v>
      </c>
      <c r="R113" s="55" t="s">
        <v>399</v>
      </c>
      <c r="S113" s="48" t="s">
        <v>414</v>
      </c>
    </row>
    <row r="114" spans="1:19" ht="15" customHeight="1" x14ac:dyDescent="0.2">
      <c r="A114" s="50" t="s">
        <v>64</v>
      </c>
      <c r="B114" s="50">
        <v>442573385</v>
      </c>
      <c r="C114" s="50" t="s">
        <v>212</v>
      </c>
      <c r="D114" s="51">
        <v>45383</v>
      </c>
      <c r="E114" s="50" t="s">
        <v>213</v>
      </c>
      <c r="F114" s="51">
        <v>45809</v>
      </c>
      <c r="G114" s="51">
        <v>45839</v>
      </c>
      <c r="H114" s="50">
        <v>1</v>
      </c>
      <c r="I114" s="52">
        <v>39.06</v>
      </c>
      <c r="J114" s="53">
        <v>7.0000000000000007E-2</v>
      </c>
      <c r="K114" s="52">
        <v>2.73</v>
      </c>
      <c r="L114" s="50" t="s">
        <v>71</v>
      </c>
      <c r="M114" s="54" t="s">
        <v>163</v>
      </c>
      <c r="N114" s="48" t="s">
        <v>164</v>
      </c>
      <c r="P114" s="48" t="s">
        <v>423</v>
      </c>
      <c r="Q114" s="48" t="str">
        <f>CONCATENATE(M114, " ",N114, " ",O114)</f>
        <v xml:space="preserve">Carol Foley </v>
      </c>
      <c r="R114" s="55" t="s">
        <v>399</v>
      </c>
      <c r="S114" s="48" t="s">
        <v>416</v>
      </c>
    </row>
    <row r="115" spans="1:19" ht="15" customHeight="1" x14ac:dyDescent="0.2">
      <c r="A115" s="50" t="s">
        <v>64</v>
      </c>
      <c r="B115" s="50">
        <v>442573386</v>
      </c>
      <c r="C115" s="50" t="s">
        <v>212</v>
      </c>
      <c r="D115" s="51">
        <v>45383</v>
      </c>
      <c r="E115" s="50" t="s">
        <v>214</v>
      </c>
      <c r="F115" s="51">
        <v>45809</v>
      </c>
      <c r="G115" s="51">
        <v>45839</v>
      </c>
      <c r="H115" s="50">
        <v>1</v>
      </c>
      <c r="I115" s="52">
        <v>28.37</v>
      </c>
      <c r="J115" s="53">
        <v>0.18</v>
      </c>
      <c r="K115" s="52">
        <v>5.1100000000000003</v>
      </c>
      <c r="L115" s="50" t="s">
        <v>71</v>
      </c>
      <c r="M115" s="54" t="s">
        <v>163</v>
      </c>
      <c r="N115" s="48" t="s">
        <v>164</v>
      </c>
      <c r="P115" s="48" t="s">
        <v>423</v>
      </c>
      <c r="Q115" s="48" t="str">
        <f>CONCATENATE(M115, " ",N115, " ",O115)</f>
        <v xml:space="preserve">Carol Foley </v>
      </c>
      <c r="R115" s="55" t="s">
        <v>388</v>
      </c>
      <c r="S115" s="48" t="s">
        <v>417</v>
      </c>
    </row>
    <row r="116" spans="1:19" ht="15" customHeight="1" x14ac:dyDescent="0.2">
      <c r="A116" s="50" t="s">
        <v>64</v>
      </c>
      <c r="B116" s="50">
        <v>442574109</v>
      </c>
      <c r="C116" s="50" t="s">
        <v>228</v>
      </c>
      <c r="D116" s="51">
        <v>45383</v>
      </c>
      <c r="E116" s="50" t="s">
        <v>229</v>
      </c>
      <c r="F116" s="51">
        <v>45809</v>
      </c>
      <c r="G116" s="51">
        <v>45839</v>
      </c>
      <c r="H116" s="50">
        <v>1</v>
      </c>
      <c r="I116" s="52">
        <v>48.82</v>
      </c>
      <c r="J116" s="53">
        <v>0.18</v>
      </c>
      <c r="K116" s="52">
        <v>8.7899999999999991</v>
      </c>
      <c r="L116" s="50" t="s">
        <v>71</v>
      </c>
      <c r="M116" s="54" t="s">
        <v>163</v>
      </c>
      <c r="N116" s="48" t="s">
        <v>164</v>
      </c>
      <c r="P116" s="48" t="s">
        <v>423</v>
      </c>
      <c r="Q116" s="48" t="str">
        <f>CONCATENATE(M116, " ",N116, " ",O116)</f>
        <v xml:space="preserve">Carol Foley </v>
      </c>
      <c r="R116" s="55" t="s">
        <v>388</v>
      </c>
      <c r="S116" s="48" t="s">
        <v>417</v>
      </c>
    </row>
    <row r="117" spans="1:19" ht="15" customHeight="1" x14ac:dyDescent="0.2">
      <c r="A117" s="50" t="s">
        <v>64</v>
      </c>
      <c r="B117" s="50">
        <v>442578306</v>
      </c>
      <c r="C117" s="50" t="s">
        <v>248</v>
      </c>
      <c r="D117" s="51">
        <v>45383</v>
      </c>
      <c r="E117" s="50" t="s">
        <v>232</v>
      </c>
      <c r="F117" s="51">
        <v>45809</v>
      </c>
      <c r="G117" s="51">
        <v>45839</v>
      </c>
      <c r="H117" s="50">
        <v>1</v>
      </c>
      <c r="I117" s="52">
        <v>19.760000000000002</v>
      </c>
      <c r="J117" s="53">
        <v>0.09</v>
      </c>
      <c r="K117" s="52">
        <v>1.78</v>
      </c>
      <c r="L117" s="50" t="s">
        <v>71</v>
      </c>
      <c r="M117" s="54" t="s">
        <v>163</v>
      </c>
      <c r="N117" s="48" t="s">
        <v>164</v>
      </c>
      <c r="P117" s="48" t="s">
        <v>423</v>
      </c>
      <c r="Q117" s="48" t="str">
        <f>CONCATENATE(M117, " ",N117, " ",O117)</f>
        <v xml:space="preserve">Carol Foley </v>
      </c>
      <c r="R117" s="55" t="s">
        <v>395</v>
      </c>
      <c r="S117" s="48" t="s">
        <v>413</v>
      </c>
    </row>
    <row r="118" spans="1:19" ht="15" customHeight="1" x14ac:dyDescent="0.2">
      <c r="A118" s="50" t="s">
        <v>64</v>
      </c>
      <c r="B118" s="50">
        <v>442578307</v>
      </c>
      <c r="C118" s="50" t="s">
        <v>248</v>
      </c>
      <c r="D118" s="51">
        <v>45383</v>
      </c>
      <c r="E118" s="50" t="s">
        <v>143</v>
      </c>
      <c r="F118" s="51">
        <v>45809</v>
      </c>
      <c r="G118" s="51">
        <v>45839</v>
      </c>
      <c r="H118" s="50">
        <v>1</v>
      </c>
      <c r="I118" s="52">
        <v>9</v>
      </c>
      <c r="J118" s="53">
        <v>0.09</v>
      </c>
      <c r="K118" s="52">
        <v>0.81</v>
      </c>
      <c r="L118" s="50" t="s">
        <v>71</v>
      </c>
      <c r="M118" s="54" t="s">
        <v>163</v>
      </c>
      <c r="N118" s="48" t="s">
        <v>164</v>
      </c>
      <c r="P118" s="48" t="s">
        <v>423</v>
      </c>
      <c r="Q118" s="48" t="str">
        <f>CONCATENATE(M118, " ",N118, " ",O118)</f>
        <v xml:space="preserve">Carol Foley </v>
      </c>
      <c r="R118" s="55" t="s">
        <v>386</v>
      </c>
      <c r="S118" s="48" t="s">
        <v>412</v>
      </c>
    </row>
    <row r="119" spans="1:19" ht="15" customHeight="1" x14ac:dyDescent="0.2">
      <c r="A119" s="50" t="s">
        <v>64</v>
      </c>
      <c r="B119" s="50">
        <v>442578440</v>
      </c>
      <c r="C119" s="50" t="s">
        <v>231</v>
      </c>
      <c r="D119" s="51">
        <v>45383</v>
      </c>
      <c r="E119" s="50" t="s">
        <v>232</v>
      </c>
      <c r="F119" s="51">
        <v>45809</v>
      </c>
      <c r="G119" s="51">
        <v>45839</v>
      </c>
      <c r="H119" s="50">
        <v>1</v>
      </c>
      <c r="I119" s="52">
        <v>36.4</v>
      </c>
      <c r="J119" s="53">
        <v>0.09</v>
      </c>
      <c r="K119" s="52">
        <v>3.28</v>
      </c>
      <c r="L119" s="50" t="s">
        <v>71</v>
      </c>
      <c r="M119" s="54" t="s">
        <v>163</v>
      </c>
      <c r="N119" s="48" t="s">
        <v>164</v>
      </c>
      <c r="P119" s="48" t="s">
        <v>423</v>
      </c>
      <c r="Q119" s="48" t="str">
        <f>CONCATENATE(M119, " ",N119, " ",O119)</f>
        <v xml:space="preserve">Carol Foley </v>
      </c>
      <c r="R119" s="55" t="s">
        <v>395</v>
      </c>
      <c r="S119" s="48" t="s">
        <v>413</v>
      </c>
    </row>
    <row r="120" spans="1:19" ht="15" customHeight="1" x14ac:dyDescent="0.2">
      <c r="A120" s="50" t="s">
        <v>64</v>
      </c>
      <c r="B120" s="50">
        <v>442578441</v>
      </c>
      <c r="C120" s="50" t="s">
        <v>231</v>
      </c>
      <c r="D120" s="51">
        <v>45383</v>
      </c>
      <c r="E120" s="50" t="s">
        <v>143</v>
      </c>
      <c r="F120" s="51">
        <v>45809</v>
      </c>
      <c r="G120" s="51">
        <v>45839</v>
      </c>
      <c r="H120" s="50">
        <v>1</v>
      </c>
      <c r="I120" s="52">
        <v>16</v>
      </c>
      <c r="J120" s="53">
        <v>0.09</v>
      </c>
      <c r="K120" s="52">
        <v>1.44</v>
      </c>
      <c r="L120" s="50" t="s">
        <v>71</v>
      </c>
      <c r="M120" s="54" t="s">
        <v>163</v>
      </c>
      <c r="N120" s="48" t="s">
        <v>164</v>
      </c>
      <c r="P120" s="48" t="s">
        <v>423</v>
      </c>
      <c r="Q120" s="48" t="str">
        <f>CONCATENATE(M120, " ",N120, " ",O120)</f>
        <v xml:space="preserve">Carol Foley </v>
      </c>
      <c r="R120" s="55" t="s">
        <v>386</v>
      </c>
      <c r="S120" s="48" t="s">
        <v>412</v>
      </c>
    </row>
    <row r="121" spans="1:19" ht="15" customHeight="1" x14ac:dyDescent="0.2">
      <c r="A121" s="50" t="s">
        <v>64</v>
      </c>
      <c r="B121" s="50">
        <v>442579305</v>
      </c>
      <c r="C121" s="50" t="s">
        <v>223</v>
      </c>
      <c r="D121" s="51">
        <v>45383</v>
      </c>
      <c r="E121" s="50" t="s">
        <v>94</v>
      </c>
      <c r="F121" s="51">
        <v>45809</v>
      </c>
      <c r="G121" s="51">
        <v>45839</v>
      </c>
      <c r="H121" s="50">
        <v>1</v>
      </c>
      <c r="I121" s="52">
        <v>26.56</v>
      </c>
      <c r="J121" s="53">
        <v>7.0000000000000007E-2</v>
      </c>
      <c r="K121" s="52">
        <v>1.86</v>
      </c>
      <c r="L121" s="50" t="s">
        <v>71</v>
      </c>
      <c r="M121" s="54" t="s">
        <v>163</v>
      </c>
      <c r="N121" s="48" t="s">
        <v>164</v>
      </c>
      <c r="P121" s="48" t="s">
        <v>423</v>
      </c>
      <c r="Q121" s="48" t="str">
        <f>CONCATENATE(M121, " ",N121, " ",O121)</f>
        <v xml:space="preserve">Carol Foley </v>
      </c>
      <c r="R121" s="55" t="s">
        <v>398</v>
      </c>
      <c r="S121" s="48" t="s">
        <v>416</v>
      </c>
    </row>
    <row r="122" spans="1:19" ht="15" customHeight="1" x14ac:dyDescent="0.2">
      <c r="A122" s="50" t="s">
        <v>64</v>
      </c>
      <c r="B122" s="50">
        <v>442256604</v>
      </c>
      <c r="C122" s="50" t="s">
        <v>302</v>
      </c>
      <c r="D122" s="51">
        <v>45292</v>
      </c>
      <c r="E122" s="50" t="s">
        <v>303</v>
      </c>
      <c r="F122" s="51">
        <v>45809</v>
      </c>
      <c r="G122" s="51">
        <v>45839</v>
      </c>
      <c r="H122" s="50">
        <v>1</v>
      </c>
      <c r="I122" s="52">
        <v>21.4</v>
      </c>
      <c r="J122" s="53">
        <v>0.09</v>
      </c>
      <c r="K122" s="52">
        <v>1.93</v>
      </c>
      <c r="L122" s="50" t="s">
        <v>71</v>
      </c>
      <c r="M122" s="54" t="s">
        <v>297</v>
      </c>
      <c r="N122" s="48" t="s">
        <v>298</v>
      </c>
      <c r="O122" s="48" t="s">
        <v>299</v>
      </c>
      <c r="P122" s="48">
        <v>17437820</v>
      </c>
      <c r="Q122" s="48" t="str">
        <f>CONCATENATE(M122, " ",N122, " ",O122)</f>
        <v>Colleen J Finnigan</v>
      </c>
      <c r="R122" s="55" t="s">
        <v>403</v>
      </c>
      <c r="S122" s="48" t="s">
        <v>410</v>
      </c>
    </row>
    <row r="123" spans="1:19" ht="15" customHeight="1" x14ac:dyDescent="0.2">
      <c r="A123" s="50" t="s">
        <v>64</v>
      </c>
      <c r="B123" s="50">
        <v>442256605</v>
      </c>
      <c r="C123" s="50" t="s">
        <v>302</v>
      </c>
      <c r="D123" s="51">
        <v>45292</v>
      </c>
      <c r="E123" s="50" t="s">
        <v>105</v>
      </c>
      <c r="F123" s="51">
        <v>45809</v>
      </c>
      <c r="G123" s="51">
        <v>45839</v>
      </c>
      <c r="H123" s="50">
        <v>1</v>
      </c>
      <c r="I123" s="52">
        <v>37.869999999999997</v>
      </c>
      <c r="J123" s="53">
        <v>4.4999999999999998E-2</v>
      </c>
      <c r="K123" s="52">
        <v>1.7</v>
      </c>
      <c r="L123" s="50" t="s">
        <v>71</v>
      </c>
      <c r="M123" s="54" t="s">
        <v>297</v>
      </c>
      <c r="N123" s="48" t="s">
        <v>298</v>
      </c>
      <c r="O123" s="48" t="s">
        <v>299</v>
      </c>
      <c r="P123" s="48">
        <v>17437820</v>
      </c>
      <c r="Q123" s="48" t="str">
        <f>CONCATENATE(M123, " ",N123, " ",O123)</f>
        <v>Colleen J Finnigan</v>
      </c>
      <c r="R123" s="55" t="s">
        <v>400</v>
      </c>
      <c r="S123" s="48" t="s">
        <v>414</v>
      </c>
    </row>
    <row r="124" spans="1:19" ht="15" customHeight="1" x14ac:dyDescent="0.2">
      <c r="A124" s="50" t="s">
        <v>64</v>
      </c>
      <c r="B124" s="50">
        <v>442260890</v>
      </c>
      <c r="C124" s="50" t="s">
        <v>304</v>
      </c>
      <c r="D124" s="51">
        <v>45292</v>
      </c>
      <c r="E124" s="50" t="s">
        <v>94</v>
      </c>
      <c r="F124" s="51">
        <v>45809</v>
      </c>
      <c r="G124" s="51">
        <v>45839</v>
      </c>
      <c r="H124" s="50">
        <v>1</v>
      </c>
      <c r="I124" s="52">
        <v>13.28</v>
      </c>
      <c r="J124" s="53">
        <v>7.0000000000000007E-2</v>
      </c>
      <c r="K124" s="52">
        <v>0.93</v>
      </c>
      <c r="L124" s="50" t="s">
        <v>71</v>
      </c>
      <c r="M124" s="54" t="s">
        <v>297</v>
      </c>
      <c r="N124" s="48" t="s">
        <v>298</v>
      </c>
      <c r="O124" s="48" t="s">
        <v>299</v>
      </c>
      <c r="P124" s="48">
        <v>17437820</v>
      </c>
      <c r="Q124" s="48" t="str">
        <f>CONCATENATE(M124, " ",N124, " ",O124)</f>
        <v>Colleen J Finnigan</v>
      </c>
      <c r="R124" s="55" t="s">
        <v>398</v>
      </c>
      <c r="S124" s="48" t="s">
        <v>416</v>
      </c>
    </row>
    <row r="125" spans="1:19" ht="15" customHeight="1" x14ac:dyDescent="0.2">
      <c r="A125" s="50" t="s">
        <v>64</v>
      </c>
      <c r="B125" s="50">
        <v>442260892</v>
      </c>
      <c r="C125" s="50" t="s">
        <v>304</v>
      </c>
      <c r="D125" s="51">
        <v>45292</v>
      </c>
      <c r="E125" s="50" t="s">
        <v>305</v>
      </c>
      <c r="F125" s="51">
        <v>45809</v>
      </c>
      <c r="G125" s="51">
        <v>45839</v>
      </c>
      <c r="H125" s="50">
        <v>1</v>
      </c>
      <c r="I125" s="52">
        <v>74</v>
      </c>
      <c r="J125" s="53">
        <v>0.09</v>
      </c>
      <c r="K125" s="52">
        <v>6.66</v>
      </c>
      <c r="L125" s="50" t="s">
        <v>71</v>
      </c>
      <c r="M125" s="54" t="s">
        <v>297</v>
      </c>
      <c r="N125" s="48" t="s">
        <v>298</v>
      </c>
      <c r="O125" s="48" t="s">
        <v>299</v>
      </c>
      <c r="P125" s="48">
        <v>17437820</v>
      </c>
      <c r="Q125" s="48" t="str">
        <f>CONCATENATE(M125, " ",N125, " ",O125)</f>
        <v>Colleen J Finnigan</v>
      </c>
      <c r="R125" s="55" t="s">
        <v>393</v>
      </c>
      <c r="S125" s="48" t="s">
        <v>411</v>
      </c>
    </row>
    <row r="126" spans="1:19" ht="15" customHeight="1" x14ac:dyDescent="0.2">
      <c r="A126" s="50" t="s">
        <v>64</v>
      </c>
      <c r="B126" s="50">
        <v>442264554</v>
      </c>
      <c r="C126" s="50" t="s">
        <v>306</v>
      </c>
      <c r="D126" s="51">
        <v>45261</v>
      </c>
      <c r="E126" s="50" t="s">
        <v>105</v>
      </c>
      <c r="F126" s="51">
        <v>45809</v>
      </c>
      <c r="G126" s="51">
        <v>45839</v>
      </c>
      <c r="H126" s="50">
        <v>1</v>
      </c>
      <c r="I126" s="52">
        <v>75.739999999999995</v>
      </c>
      <c r="J126" s="53">
        <v>4.4999999999999998E-2</v>
      </c>
      <c r="K126" s="52">
        <v>3.41</v>
      </c>
      <c r="L126" s="50" t="s">
        <v>71</v>
      </c>
      <c r="M126" s="54" t="s">
        <v>297</v>
      </c>
      <c r="N126" s="48" t="s">
        <v>298</v>
      </c>
      <c r="O126" s="48" t="s">
        <v>299</v>
      </c>
      <c r="P126" s="48">
        <v>17437820</v>
      </c>
      <c r="Q126" s="48" t="str">
        <f>CONCATENATE(M126, " ",N126, " ",O126)</f>
        <v>Colleen J Finnigan</v>
      </c>
      <c r="R126" s="55" t="s">
        <v>400</v>
      </c>
      <c r="S126" s="48" t="s">
        <v>414</v>
      </c>
    </row>
    <row r="127" spans="1:19" ht="15" customHeight="1" x14ac:dyDescent="0.2">
      <c r="A127" s="50" t="s">
        <v>64</v>
      </c>
      <c r="B127" s="50">
        <v>442367538</v>
      </c>
      <c r="C127" s="50" t="s">
        <v>300</v>
      </c>
      <c r="D127" s="51">
        <v>45292</v>
      </c>
      <c r="E127" s="50" t="s">
        <v>105</v>
      </c>
      <c r="F127" s="51">
        <v>45809</v>
      </c>
      <c r="G127" s="51">
        <v>45839</v>
      </c>
      <c r="H127" s="50">
        <v>1</v>
      </c>
      <c r="I127" s="52">
        <v>131.63999999999999</v>
      </c>
      <c r="J127" s="53">
        <v>4.4999999999999998E-2</v>
      </c>
      <c r="K127" s="52">
        <v>5.92</v>
      </c>
      <c r="L127" s="50" t="s">
        <v>71</v>
      </c>
      <c r="M127" s="54" t="s">
        <v>297</v>
      </c>
      <c r="N127" s="48" t="s">
        <v>298</v>
      </c>
      <c r="O127" s="48" t="s">
        <v>299</v>
      </c>
      <c r="P127" s="48">
        <v>17437820</v>
      </c>
      <c r="Q127" s="48" t="str">
        <f>CONCATENATE(M127, " ",N127, " ",O127)</f>
        <v>Colleen J Finnigan</v>
      </c>
      <c r="R127" s="55" t="s">
        <v>400</v>
      </c>
      <c r="S127" s="48" t="s">
        <v>414</v>
      </c>
    </row>
    <row r="128" spans="1:19" ht="15" customHeight="1" x14ac:dyDescent="0.2">
      <c r="A128" s="50" t="s">
        <v>64</v>
      </c>
      <c r="B128" s="50">
        <v>442367539</v>
      </c>
      <c r="C128" s="50" t="s">
        <v>300</v>
      </c>
      <c r="D128" s="51">
        <v>45292</v>
      </c>
      <c r="E128" s="50" t="s">
        <v>301</v>
      </c>
      <c r="F128" s="51">
        <v>45809</v>
      </c>
      <c r="G128" s="51">
        <v>45839</v>
      </c>
      <c r="H128" s="50">
        <v>1</v>
      </c>
      <c r="I128" s="52">
        <v>104.79</v>
      </c>
      <c r="J128" s="53">
        <v>0.09</v>
      </c>
      <c r="K128" s="52">
        <v>9.43</v>
      </c>
      <c r="L128" s="50" t="s">
        <v>71</v>
      </c>
      <c r="M128" s="54" t="s">
        <v>297</v>
      </c>
      <c r="N128" s="48" t="s">
        <v>298</v>
      </c>
      <c r="O128" s="48" t="s">
        <v>299</v>
      </c>
      <c r="P128" s="48">
        <v>17437820</v>
      </c>
      <c r="Q128" s="48" t="str">
        <f>CONCATENATE(M128, " ",N128, " ",O128)</f>
        <v>Colleen J Finnigan</v>
      </c>
      <c r="R128" s="55" t="s">
        <v>393</v>
      </c>
      <c r="S128" s="48" t="s">
        <v>411</v>
      </c>
    </row>
    <row r="129" spans="1:19" ht="15" customHeight="1" x14ac:dyDescent="0.2">
      <c r="A129" s="50" t="s">
        <v>64</v>
      </c>
      <c r="B129" s="50">
        <v>442635616</v>
      </c>
      <c r="C129" s="50" t="s">
        <v>296</v>
      </c>
      <c r="D129" s="51">
        <v>45413</v>
      </c>
      <c r="E129" s="50" t="s">
        <v>105</v>
      </c>
      <c r="F129" s="51">
        <v>45809</v>
      </c>
      <c r="G129" s="51">
        <v>45839</v>
      </c>
      <c r="H129" s="50">
        <v>1</v>
      </c>
      <c r="I129" s="52">
        <v>89.79</v>
      </c>
      <c r="J129" s="53">
        <v>0.09</v>
      </c>
      <c r="K129" s="52">
        <v>8.08</v>
      </c>
      <c r="L129" s="50" t="s">
        <v>71</v>
      </c>
      <c r="M129" s="54" t="s">
        <v>297</v>
      </c>
      <c r="N129" s="48" t="s">
        <v>298</v>
      </c>
      <c r="O129" s="48" t="s">
        <v>299</v>
      </c>
      <c r="P129" s="48">
        <v>17437820</v>
      </c>
      <c r="Q129" s="48" t="str">
        <f>CONCATENATE(M129, " ",N129, " ",O129)</f>
        <v>Colleen J Finnigan</v>
      </c>
      <c r="R129" s="55" t="s">
        <v>400</v>
      </c>
      <c r="S129" s="48" t="s">
        <v>413</v>
      </c>
    </row>
    <row r="130" spans="1:19" ht="15" customHeight="1" x14ac:dyDescent="0.2">
      <c r="A130" s="50" t="s">
        <v>64</v>
      </c>
      <c r="B130" s="50">
        <v>442259767</v>
      </c>
      <c r="C130" s="50" t="s">
        <v>315</v>
      </c>
      <c r="D130" s="51">
        <v>45261</v>
      </c>
      <c r="E130" s="50" t="s">
        <v>238</v>
      </c>
      <c r="F130" s="51">
        <v>45809</v>
      </c>
      <c r="G130" s="51">
        <v>45839</v>
      </c>
      <c r="H130" s="50">
        <v>1</v>
      </c>
      <c r="I130" s="52">
        <v>40.630000000000003</v>
      </c>
      <c r="J130" s="53">
        <v>0.18</v>
      </c>
      <c r="K130" s="52">
        <v>7.31</v>
      </c>
      <c r="L130" s="50" t="s">
        <v>71</v>
      </c>
      <c r="M130" s="54" t="s">
        <v>165</v>
      </c>
      <c r="N130" s="48" t="s">
        <v>166</v>
      </c>
      <c r="O130" s="48" t="s">
        <v>167</v>
      </c>
      <c r="P130" s="48">
        <v>17528908</v>
      </c>
      <c r="Q130" s="48" t="str">
        <f>CONCATENATE(M130, " ",N130, " ",O130)</f>
        <v>Deborah Lee Inskipt</v>
      </c>
      <c r="R130" s="55" t="s">
        <v>388</v>
      </c>
      <c r="S130" s="48" t="s">
        <v>417</v>
      </c>
    </row>
    <row r="131" spans="1:19" ht="15" customHeight="1" x14ac:dyDescent="0.2">
      <c r="A131" s="50" t="s">
        <v>64</v>
      </c>
      <c r="B131" s="50">
        <v>442289841</v>
      </c>
      <c r="C131" s="50" t="s">
        <v>322</v>
      </c>
      <c r="D131" s="51">
        <v>45292</v>
      </c>
      <c r="E131" s="50" t="s">
        <v>114</v>
      </c>
      <c r="F131" s="51">
        <v>45809</v>
      </c>
      <c r="G131" s="51">
        <v>45839</v>
      </c>
      <c r="H131" s="50">
        <v>1</v>
      </c>
      <c r="I131" s="52">
        <v>15.9</v>
      </c>
      <c r="J131" s="53">
        <v>0.09</v>
      </c>
      <c r="K131" s="52">
        <v>1.43</v>
      </c>
      <c r="L131" s="50" t="s">
        <v>71</v>
      </c>
      <c r="M131" s="54" t="s">
        <v>165</v>
      </c>
      <c r="N131" s="48" t="s">
        <v>166</v>
      </c>
      <c r="O131" s="48" t="s">
        <v>167</v>
      </c>
      <c r="P131" s="48">
        <v>17528908</v>
      </c>
      <c r="Q131" s="48" t="str">
        <f>CONCATENATE(M131, " ",N131, " ",O131)</f>
        <v>Deborah Lee Inskipt</v>
      </c>
      <c r="R131" s="55" t="s">
        <v>404</v>
      </c>
      <c r="S131" s="48" t="s">
        <v>411</v>
      </c>
    </row>
    <row r="132" spans="1:19" ht="15" customHeight="1" x14ac:dyDescent="0.2">
      <c r="A132" s="50" t="s">
        <v>64</v>
      </c>
      <c r="B132" s="50">
        <v>442289842</v>
      </c>
      <c r="C132" s="50" t="s">
        <v>322</v>
      </c>
      <c r="D132" s="51">
        <v>45292</v>
      </c>
      <c r="E132" s="50" t="s">
        <v>308</v>
      </c>
      <c r="F132" s="51">
        <v>45809</v>
      </c>
      <c r="G132" s="51">
        <v>45839</v>
      </c>
      <c r="H132" s="50">
        <v>1</v>
      </c>
      <c r="I132" s="52">
        <v>14.2</v>
      </c>
      <c r="J132" s="53">
        <v>0.09</v>
      </c>
      <c r="K132" s="52">
        <v>1.28</v>
      </c>
      <c r="L132" s="50" t="s">
        <v>71</v>
      </c>
      <c r="M132" s="54" t="s">
        <v>165</v>
      </c>
      <c r="N132" s="48" t="s">
        <v>166</v>
      </c>
      <c r="O132" s="48" t="s">
        <v>167</v>
      </c>
      <c r="P132" s="48">
        <v>17528908</v>
      </c>
      <c r="Q132" s="48" t="str">
        <f>CONCATENATE(M132, " ",N132, " ",O132)</f>
        <v>Deborah Lee Inskipt</v>
      </c>
      <c r="R132" s="55" t="s">
        <v>393</v>
      </c>
      <c r="S132" s="48" t="s">
        <v>411</v>
      </c>
    </row>
    <row r="133" spans="1:19" ht="15" customHeight="1" x14ac:dyDescent="0.2">
      <c r="A133" s="50" t="s">
        <v>64</v>
      </c>
      <c r="B133" s="50">
        <v>442323300</v>
      </c>
      <c r="C133" s="50" t="s">
        <v>321</v>
      </c>
      <c r="D133" s="51">
        <v>45263</v>
      </c>
      <c r="E133" s="50" t="s">
        <v>98</v>
      </c>
      <c r="F133" s="51">
        <v>45809</v>
      </c>
      <c r="G133" s="51">
        <v>45839</v>
      </c>
      <c r="H133" s="50">
        <v>1</v>
      </c>
      <c r="I133" s="52">
        <v>64.48</v>
      </c>
      <c r="J133" s="53">
        <v>0.09</v>
      </c>
      <c r="K133" s="52">
        <v>5.8</v>
      </c>
      <c r="L133" s="50" t="s">
        <v>71</v>
      </c>
      <c r="M133" s="54" t="s">
        <v>165</v>
      </c>
      <c r="N133" s="48" t="s">
        <v>166</v>
      </c>
      <c r="O133" s="48" t="s">
        <v>167</v>
      </c>
      <c r="P133" s="48">
        <v>17528908</v>
      </c>
      <c r="Q133" s="48" t="str">
        <f>CONCATENATE(M133, " ",N133, " ",O133)</f>
        <v>Deborah Lee Inskipt</v>
      </c>
      <c r="R133" s="55" t="s">
        <v>405</v>
      </c>
      <c r="S133" s="48" t="s">
        <v>408</v>
      </c>
    </row>
    <row r="134" spans="1:19" ht="15" customHeight="1" x14ac:dyDescent="0.2">
      <c r="A134" s="50" t="s">
        <v>64</v>
      </c>
      <c r="B134" s="50">
        <v>442359010</v>
      </c>
      <c r="C134" s="50" t="s">
        <v>319</v>
      </c>
      <c r="D134" s="51">
        <v>45292</v>
      </c>
      <c r="E134" s="50" t="s">
        <v>320</v>
      </c>
      <c r="F134" s="51">
        <v>45809</v>
      </c>
      <c r="G134" s="51">
        <v>45839</v>
      </c>
      <c r="H134" s="50">
        <v>1</v>
      </c>
      <c r="I134" s="52">
        <v>51.75</v>
      </c>
      <c r="J134" s="53">
        <v>0.09</v>
      </c>
      <c r="K134" s="52">
        <v>4.66</v>
      </c>
      <c r="L134" s="50" t="s">
        <v>71</v>
      </c>
      <c r="M134" s="54" t="s">
        <v>165</v>
      </c>
      <c r="N134" s="48" t="s">
        <v>166</v>
      </c>
      <c r="O134" s="48" t="s">
        <v>167</v>
      </c>
      <c r="P134" s="48">
        <v>17528908</v>
      </c>
      <c r="Q134" s="48" t="str">
        <f>CONCATENATE(M134, " ",N134, " ",O134)</f>
        <v>Deborah Lee Inskipt</v>
      </c>
      <c r="R134" s="55" t="s">
        <v>393</v>
      </c>
      <c r="S134" s="48" t="s">
        <v>411</v>
      </c>
    </row>
    <row r="135" spans="1:19" ht="15" customHeight="1" x14ac:dyDescent="0.2">
      <c r="A135" s="50" t="s">
        <v>64</v>
      </c>
      <c r="B135" s="50">
        <v>442479343</v>
      </c>
      <c r="C135" s="50" t="s">
        <v>317</v>
      </c>
      <c r="D135" s="51">
        <v>45352</v>
      </c>
      <c r="E135" s="50" t="s">
        <v>311</v>
      </c>
      <c r="F135" s="51">
        <v>45809</v>
      </c>
      <c r="G135" s="51">
        <v>45839</v>
      </c>
      <c r="H135" s="50">
        <v>1</v>
      </c>
      <c r="I135" s="52">
        <v>24.5</v>
      </c>
      <c r="J135" s="53">
        <v>0.09</v>
      </c>
      <c r="K135" s="52">
        <v>2.21</v>
      </c>
      <c r="L135" s="50" t="s">
        <v>71</v>
      </c>
      <c r="M135" s="54" t="s">
        <v>165</v>
      </c>
      <c r="N135" s="48" t="s">
        <v>166</v>
      </c>
      <c r="O135" s="48" t="s">
        <v>167</v>
      </c>
      <c r="P135" s="48">
        <v>17528908</v>
      </c>
      <c r="Q135" s="48" t="str">
        <f>CONCATENATE(M135, " ",N135, " ",O135)</f>
        <v>Deborah Lee Inskipt</v>
      </c>
      <c r="R135" s="55" t="s">
        <v>390</v>
      </c>
      <c r="S135" s="48" t="s">
        <v>411</v>
      </c>
    </row>
    <row r="136" spans="1:19" ht="15" customHeight="1" x14ac:dyDescent="0.2">
      <c r="A136" s="50" t="s">
        <v>64</v>
      </c>
      <c r="B136" s="50">
        <v>442479344</v>
      </c>
      <c r="C136" s="50" t="s">
        <v>317</v>
      </c>
      <c r="D136" s="51">
        <v>45352</v>
      </c>
      <c r="E136" s="50" t="s">
        <v>318</v>
      </c>
      <c r="F136" s="51">
        <v>45809</v>
      </c>
      <c r="G136" s="51">
        <v>45839</v>
      </c>
      <c r="H136" s="50">
        <v>1</v>
      </c>
      <c r="I136" s="52">
        <v>31</v>
      </c>
      <c r="J136" s="53">
        <v>0.09</v>
      </c>
      <c r="K136" s="52">
        <v>2.79</v>
      </c>
      <c r="L136" s="50" t="s">
        <v>71</v>
      </c>
      <c r="M136" s="54" t="s">
        <v>165</v>
      </c>
      <c r="N136" s="48" t="s">
        <v>166</v>
      </c>
      <c r="O136" s="48" t="s">
        <v>167</v>
      </c>
      <c r="P136" s="48">
        <v>17528908</v>
      </c>
      <c r="Q136" s="48" t="str">
        <f>CONCATENATE(M136, " ",N136, " ",O136)</f>
        <v>Deborah Lee Inskipt</v>
      </c>
      <c r="R136" s="55" t="s">
        <v>406</v>
      </c>
      <c r="S136" s="48" t="s">
        <v>411</v>
      </c>
    </row>
    <row r="137" spans="1:19" ht="15" customHeight="1" x14ac:dyDescent="0.2">
      <c r="A137" s="50" t="s">
        <v>64</v>
      </c>
      <c r="B137" s="50">
        <v>442481571</v>
      </c>
      <c r="C137" s="50" t="s">
        <v>316</v>
      </c>
      <c r="D137" s="51">
        <v>45383</v>
      </c>
      <c r="E137" s="50" t="s">
        <v>313</v>
      </c>
      <c r="F137" s="51">
        <v>45809</v>
      </c>
      <c r="G137" s="51">
        <v>45839</v>
      </c>
      <c r="H137" s="50">
        <v>1</v>
      </c>
      <c r="I137" s="52">
        <v>26.4</v>
      </c>
      <c r="J137" s="53">
        <v>0.09</v>
      </c>
      <c r="K137" s="52">
        <v>2.38</v>
      </c>
      <c r="L137" s="50" t="s">
        <v>71</v>
      </c>
      <c r="M137" s="54" t="s">
        <v>165</v>
      </c>
      <c r="N137" s="48" t="s">
        <v>166</v>
      </c>
      <c r="O137" s="48" t="s">
        <v>167</v>
      </c>
      <c r="P137" s="48">
        <v>17528908</v>
      </c>
      <c r="Q137" s="48" t="str">
        <f>CONCATENATE(M137, " ",N137, " ",O137)</f>
        <v>Deborah Lee Inskipt</v>
      </c>
      <c r="R137" s="55" t="s">
        <v>393</v>
      </c>
      <c r="S137" s="48" t="s">
        <v>411</v>
      </c>
    </row>
    <row r="138" spans="1:19" ht="15" customHeight="1" x14ac:dyDescent="0.2">
      <c r="A138" s="50" t="s">
        <v>64</v>
      </c>
      <c r="B138" s="56">
        <v>442490167</v>
      </c>
      <c r="C138" s="50" t="s">
        <v>113</v>
      </c>
      <c r="D138" s="51">
        <v>45334</v>
      </c>
      <c r="E138" s="50" t="s">
        <v>114</v>
      </c>
      <c r="F138" s="51">
        <v>45809</v>
      </c>
      <c r="G138" s="51">
        <v>45839</v>
      </c>
      <c r="H138" s="56">
        <v>1</v>
      </c>
      <c r="I138" s="52">
        <v>16.95</v>
      </c>
      <c r="J138" s="53">
        <v>0.09</v>
      </c>
      <c r="K138" s="52">
        <v>1.53</v>
      </c>
      <c r="L138" s="50" t="s">
        <v>71</v>
      </c>
      <c r="M138" s="54" t="s">
        <v>165</v>
      </c>
      <c r="N138" s="48" t="s">
        <v>166</v>
      </c>
      <c r="O138" s="48" t="s">
        <v>167</v>
      </c>
      <c r="P138" s="48">
        <v>17528908</v>
      </c>
      <c r="Q138" s="48" t="str">
        <f>CONCATENATE(M138, " ",N138, " ",O138)</f>
        <v>Deborah Lee Inskipt</v>
      </c>
      <c r="R138" s="55" t="s">
        <v>404</v>
      </c>
      <c r="S138" s="48" t="s">
        <v>411</v>
      </c>
    </row>
    <row r="139" spans="1:19" ht="15" customHeight="1" x14ac:dyDescent="0.2">
      <c r="A139" s="50" t="s">
        <v>64</v>
      </c>
      <c r="B139" s="50">
        <v>442534725</v>
      </c>
      <c r="C139" s="50" t="s">
        <v>307</v>
      </c>
      <c r="D139" s="51">
        <v>45383</v>
      </c>
      <c r="E139" s="50" t="s">
        <v>308</v>
      </c>
      <c r="F139" s="51">
        <v>45809</v>
      </c>
      <c r="G139" s="51">
        <v>45839</v>
      </c>
      <c r="H139" s="50">
        <v>1</v>
      </c>
      <c r="I139" s="52">
        <v>19.8</v>
      </c>
      <c r="J139" s="53">
        <v>0.09</v>
      </c>
      <c r="K139" s="52">
        <v>1.78</v>
      </c>
      <c r="L139" s="50" t="s">
        <v>71</v>
      </c>
      <c r="M139" s="54" t="s">
        <v>165</v>
      </c>
      <c r="N139" s="48" t="s">
        <v>166</v>
      </c>
      <c r="O139" s="48" t="s">
        <v>167</v>
      </c>
      <c r="P139" s="48">
        <v>17528908</v>
      </c>
      <c r="Q139" s="48" t="str">
        <f>CONCATENATE(M139, " ",N139, " ",O139)</f>
        <v>Deborah Lee Inskipt</v>
      </c>
      <c r="R139" s="55" t="s">
        <v>393</v>
      </c>
      <c r="S139" s="48" t="s">
        <v>411</v>
      </c>
    </row>
    <row r="140" spans="1:19" ht="15" customHeight="1" x14ac:dyDescent="0.2">
      <c r="A140" s="50" t="s">
        <v>64</v>
      </c>
      <c r="B140" s="50">
        <v>442534726</v>
      </c>
      <c r="C140" s="50" t="s">
        <v>309</v>
      </c>
      <c r="D140" s="51">
        <v>45383</v>
      </c>
      <c r="E140" s="50" t="s">
        <v>114</v>
      </c>
      <c r="F140" s="51">
        <v>45809</v>
      </c>
      <c r="G140" s="51">
        <v>45839</v>
      </c>
      <c r="H140" s="50">
        <v>1</v>
      </c>
      <c r="I140" s="52">
        <v>36.75</v>
      </c>
      <c r="J140" s="53">
        <v>0.09</v>
      </c>
      <c r="K140" s="52">
        <v>3.31</v>
      </c>
      <c r="L140" s="50" t="s">
        <v>71</v>
      </c>
      <c r="M140" s="54" t="s">
        <v>165</v>
      </c>
      <c r="N140" s="48" t="s">
        <v>166</v>
      </c>
      <c r="O140" s="48" t="s">
        <v>167</v>
      </c>
      <c r="P140" s="48">
        <v>17528908</v>
      </c>
      <c r="Q140" s="48" t="str">
        <f>CONCATENATE(M140, " ",N140, " ",O140)</f>
        <v>Deborah Lee Inskipt</v>
      </c>
      <c r="R140" s="55" t="s">
        <v>404</v>
      </c>
      <c r="S140" s="48" t="s">
        <v>411</v>
      </c>
    </row>
    <row r="141" spans="1:19" ht="15" customHeight="1" x14ac:dyDescent="0.2">
      <c r="A141" s="50" t="s">
        <v>64</v>
      </c>
      <c r="B141" s="50">
        <v>442602562</v>
      </c>
      <c r="C141" s="50" t="s">
        <v>312</v>
      </c>
      <c r="D141" s="51">
        <v>45413</v>
      </c>
      <c r="E141" s="50" t="s">
        <v>313</v>
      </c>
      <c r="F141" s="51">
        <v>45809</v>
      </c>
      <c r="G141" s="51">
        <v>45839</v>
      </c>
      <c r="H141" s="50">
        <v>1</v>
      </c>
      <c r="I141" s="52">
        <v>26.4</v>
      </c>
      <c r="J141" s="53">
        <v>0.09</v>
      </c>
      <c r="K141" s="52">
        <v>2.38</v>
      </c>
      <c r="L141" s="50" t="s">
        <v>71</v>
      </c>
      <c r="M141" s="54" t="s">
        <v>165</v>
      </c>
      <c r="N141" s="48" t="s">
        <v>166</v>
      </c>
      <c r="O141" s="48" t="s">
        <v>167</v>
      </c>
      <c r="P141" s="48">
        <v>17528908</v>
      </c>
      <c r="Q141" s="48" t="str">
        <f>CONCATENATE(M141, " ",N141, " ",O141)</f>
        <v>Deborah Lee Inskipt</v>
      </c>
      <c r="R141" s="55" t="s">
        <v>393</v>
      </c>
      <c r="S141" s="48" t="s">
        <v>411</v>
      </c>
    </row>
    <row r="142" spans="1:19" ht="15" customHeight="1" x14ac:dyDescent="0.2">
      <c r="A142" s="50" t="s">
        <v>64</v>
      </c>
      <c r="B142" s="50">
        <v>442602563</v>
      </c>
      <c r="C142" s="50" t="s">
        <v>312</v>
      </c>
      <c r="D142" s="51">
        <v>45413</v>
      </c>
      <c r="E142" s="50" t="s">
        <v>314</v>
      </c>
      <c r="F142" s="51">
        <v>45809</v>
      </c>
      <c r="G142" s="51">
        <v>45839</v>
      </c>
      <c r="H142" s="50">
        <v>1</v>
      </c>
      <c r="I142" s="52">
        <v>30.8</v>
      </c>
      <c r="J142" s="53">
        <v>0.09</v>
      </c>
      <c r="K142" s="52">
        <v>2.77</v>
      </c>
      <c r="L142" s="50" t="s">
        <v>71</v>
      </c>
      <c r="M142" s="54" t="s">
        <v>165</v>
      </c>
      <c r="N142" s="48" t="s">
        <v>166</v>
      </c>
      <c r="O142" s="48" t="s">
        <v>167</v>
      </c>
      <c r="P142" s="48">
        <v>17528908</v>
      </c>
      <c r="Q142" s="48" t="str">
        <f>CONCATENATE(M142, " ",N142, " ",O142)</f>
        <v>Deborah Lee Inskipt</v>
      </c>
      <c r="R142" s="55" t="s">
        <v>404</v>
      </c>
      <c r="S142" s="48" t="s">
        <v>411</v>
      </c>
    </row>
    <row r="143" spans="1:19" ht="15" customHeight="1" x14ac:dyDescent="0.2">
      <c r="A143" s="50" t="s">
        <v>64</v>
      </c>
      <c r="B143" s="50">
        <v>442609512</v>
      </c>
      <c r="C143" s="50" t="s">
        <v>310</v>
      </c>
      <c r="D143" s="51">
        <v>45444</v>
      </c>
      <c r="E143" s="50" t="s">
        <v>311</v>
      </c>
      <c r="F143" s="51">
        <v>45809</v>
      </c>
      <c r="G143" s="51">
        <v>45839</v>
      </c>
      <c r="H143" s="50">
        <v>1</v>
      </c>
      <c r="I143" s="52">
        <v>28.25</v>
      </c>
      <c r="J143" s="53">
        <v>0.09</v>
      </c>
      <c r="K143" s="52">
        <v>2.54</v>
      </c>
      <c r="L143" s="50" t="s">
        <v>71</v>
      </c>
      <c r="M143" s="54" t="s">
        <v>165</v>
      </c>
      <c r="N143" s="48" t="s">
        <v>166</v>
      </c>
      <c r="O143" s="48" t="s">
        <v>167</v>
      </c>
      <c r="P143" s="48">
        <v>17528908</v>
      </c>
      <c r="Q143" s="48" t="str">
        <f>CONCATENATE(M143, " ",N143, " ",O143)</f>
        <v>Deborah Lee Inskipt</v>
      </c>
      <c r="R143" s="55" t="s">
        <v>390</v>
      </c>
      <c r="S143" s="48" t="s">
        <v>411</v>
      </c>
    </row>
    <row r="144" spans="1:19" ht="15" customHeight="1" x14ac:dyDescent="0.2">
      <c r="A144" s="50" t="s">
        <v>64</v>
      </c>
      <c r="B144" s="50">
        <v>441584139</v>
      </c>
      <c r="C144" s="50" t="s">
        <v>333</v>
      </c>
      <c r="D144" s="51">
        <v>44927</v>
      </c>
      <c r="E144" s="50" t="s">
        <v>334</v>
      </c>
      <c r="F144" s="51">
        <v>45809</v>
      </c>
      <c r="G144" s="51">
        <v>45839</v>
      </c>
      <c r="H144" s="50">
        <v>1</v>
      </c>
      <c r="I144" s="52">
        <v>34.14</v>
      </c>
      <c r="J144" s="53">
        <v>0.18</v>
      </c>
      <c r="K144" s="52">
        <v>6.15</v>
      </c>
      <c r="L144" s="50" t="s">
        <v>71</v>
      </c>
      <c r="M144" s="54" t="s">
        <v>324</v>
      </c>
      <c r="N144" s="48" t="s">
        <v>68</v>
      </c>
      <c r="O144" s="48" t="s">
        <v>325</v>
      </c>
      <c r="P144" s="48">
        <v>15278437</v>
      </c>
      <c r="Q144" s="48" t="str">
        <f>CONCATENATE(M144, " ",N144, " ",O144)</f>
        <v>Jason R Hoffmann</v>
      </c>
      <c r="R144" s="55" t="s">
        <v>389</v>
      </c>
      <c r="S144" s="48" t="s">
        <v>417</v>
      </c>
    </row>
    <row r="145" spans="1:19" ht="15" customHeight="1" x14ac:dyDescent="0.2">
      <c r="A145" s="50" t="s">
        <v>64</v>
      </c>
      <c r="B145" s="50">
        <v>441584140</v>
      </c>
      <c r="C145" s="50" t="s">
        <v>333</v>
      </c>
      <c r="D145" s="51">
        <v>44927</v>
      </c>
      <c r="E145" s="50" t="s">
        <v>175</v>
      </c>
      <c r="F145" s="51">
        <v>45809</v>
      </c>
      <c r="G145" s="51">
        <v>45839</v>
      </c>
      <c r="H145" s="50">
        <v>1</v>
      </c>
      <c r="I145" s="52">
        <v>11.3</v>
      </c>
      <c r="J145" s="53">
        <v>0.09</v>
      </c>
      <c r="K145" s="52">
        <v>1.02</v>
      </c>
      <c r="L145" s="50" t="s">
        <v>71</v>
      </c>
      <c r="M145" s="54" t="s">
        <v>324</v>
      </c>
      <c r="N145" s="48" t="s">
        <v>68</v>
      </c>
      <c r="O145" s="48" t="s">
        <v>325</v>
      </c>
      <c r="P145" s="48">
        <v>15278437</v>
      </c>
      <c r="Q145" s="48" t="str">
        <f>CONCATENATE(M145, " ",N145, " ",O145)</f>
        <v>Jason R Hoffmann</v>
      </c>
      <c r="R145" s="55" t="s">
        <v>390</v>
      </c>
      <c r="S145" s="48" t="s">
        <v>411</v>
      </c>
    </row>
    <row r="146" spans="1:19" ht="15" customHeight="1" x14ac:dyDescent="0.2">
      <c r="A146" s="50" t="s">
        <v>64</v>
      </c>
      <c r="B146" s="50">
        <v>441612373</v>
      </c>
      <c r="C146" s="50" t="s">
        <v>331</v>
      </c>
      <c r="D146" s="51">
        <v>44927</v>
      </c>
      <c r="E146" s="50" t="s">
        <v>75</v>
      </c>
      <c r="F146" s="51">
        <v>45809</v>
      </c>
      <c r="G146" s="51">
        <v>45839</v>
      </c>
      <c r="H146" s="50">
        <v>1</v>
      </c>
      <c r="I146" s="52">
        <v>25</v>
      </c>
      <c r="J146" s="53">
        <v>0.09</v>
      </c>
      <c r="K146" s="52">
        <v>2.25</v>
      </c>
      <c r="L146" s="50" t="s">
        <v>71</v>
      </c>
      <c r="M146" s="54" t="s">
        <v>324</v>
      </c>
      <c r="N146" s="48" t="s">
        <v>68</v>
      </c>
      <c r="O146" s="48" t="s">
        <v>325</v>
      </c>
      <c r="P146" s="48">
        <v>15278437</v>
      </c>
      <c r="Q146" s="48" t="str">
        <f>CONCATENATE(M146, " ",N146, " ",O146)</f>
        <v>Jason R Hoffmann</v>
      </c>
      <c r="R146" s="55" t="s">
        <v>386</v>
      </c>
      <c r="S146" s="48" t="s">
        <v>412</v>
      </c>
    </row>
    <row r="147" spans="1:19" ht="15" customHeight="1" x14ac:dyDescent="0.2">
      <c r="A147" s="50" t="s">
        <v>64</v>
      </c>
      <c r="B147" s="50">
        <v>441652254</v>
      </c>
      <c r="C147" s="50" t="s">
        <v>328</v>
      </c>
      <c r="D147" s="51">
        <v>44927</v>
      </c>
      <c r="E147" s="50" t="s">
        <v>244</v>
      </c>
      <c r="F147" s="51">
        <v>45809</v>
      </c>
      <c r="G147" s="51">
        <v>45839</v>
      </c>
      <c r="H147" s="50">
        <v>1</v>
      </c>
      <c r="I147" s="52">
        <v>35.99</v>
      </c>
      <c r="J147" s="53">
        <v>7.0000000000000007E-2</v>
      </c>
      <c r="K147" s="52">
        <v>2.52</v>
      </c>
      <c r="L147" s="50" t="s">
        <v>71</v>
      </c>
      <c r="M147" s="54" t="s">
        <v>324</v>
      </c>
      <c r="N147" s="48" t="s">
        <v>68</v>
      </c>
      <c r="O147" s="48" t="s">
        <v>325</v>
      </c>
      <c r="P147" s="48">
        <v>15278437</v>
      </c>
      <c r="Q147" s="48" t="str">
        <f>CONCATENATE(M147, " ",N147, " ",O147)</f>
        <v>Jason R Hoffmann</v>
      </c>
      <c r="R147" s="55" t="s">
        <v>392</v>
      </c>
      <c r="S147" s="48" t="s">
        <v>416</v>
      </c>
    </row>
    <row r="148" spans="1:19" ht="15" customHeight="1" x14ac:dyDescent="0.2">
      <c r="A148" s="50" t="s">
        <v>64</v>
      </c>
      <c r="B148" s="50">
        <v>441652256</v>
      </c>
      <c r="C148" s="50" t="s">
        <v>328</v>
      </c>
      <c r="D148" s="51">
        <v>44927</v>
      </c>
      <c r="E148" s="50" t="s">
        <v>214</v>
      </c>
      <c r="F148" s="51">
        <v>45809</v>
      </c>
      <c r="G148" s="51">
        <v>45839</v>
      </c>
      <c r="H148" s="50">
        <v>1</v>
      </c>
      <c r="I148" s="52">
        <v>15.62</v>
      </c>
      <c r="J148" s="53">
        <v>0.09</v>
      </c>
      <c r="K148" s="52">
        <v>1.41</v>
      </c>
      <c r="L148" s="50" t="s">
        <v>71</v>
      </c>
      <c r="M148" s="54" t="s">
        <v>324</v>
      </c>
      <c r="N148" s="48" t="s">
        <v>68</v>
      </c>
      <c r="O148" s="48" t="s">
        <v>325</v>
      </c>
      <c r="P148" s="48">
        <v>15278437</v>
      </c>
      <c r="Q148" s="48" t="str">
        <f>CONCATENATE(M148, " ",N148, " ",O148)</f>
        <v>Jason R Hoffmann</v>
      </c>
      <c r="R148" s="55" t="s">
        <v>388</v>
      </c>
      <c r="S148" s="48" t="s">
        <v>417</v>
      </c>
    </row>
    <row r="149" spans="1:19" ht="15" customHeight="1" x14ac:dyDescent="0.2">
      <c r="A149" s="50" t="s">
        <v>64</v>
      </c>
      <c r="B149" s="50">
        <v>441652262</v>
      </c>
      <c r="C149" s="50" t="s">
        <v>328</v>
      </c>
      <c r="D149" s="51">
        <v>44927</v>
      </c>
      <c r="E149" s="50" t="s">
        <v>202</v>
      </c>
      <c r="F149" s="51">
        <v>45809</v>
      </c>
      <c r="G149" s="51">
        <v>45839</v>
      </c>
      <c r="H149" s="50">
        <v>1</v>
      </c>
      <c r="I149" s="52">
        <v>10.45</v>
      </c>
      <c r="J149" s="53">
        <v>0.09</v>
      </c>
      <c r="K149" s="52">
        <v>0.94</v>
      </c>
      <c r="L149" s="50" t="s">
        <v>71</v>
      </c>
      <c r="M149" s="54" t="s">
        <v>324</v>
      </c>
      <c r="N149" s="48" t="s">
        <v>68</v>
      </c>
      <c r="O149" s="48" t="s">
        <v>325</v>
      </c>
      <c r="P149" s="48">
        <v>15278437</v>
      </c>
      <c r="Q149" s="48" t="str">
        <f>CONCATENATE(M149, " ",N149, " ",O149)</f>
        <v>Jason R Hoffmann</v>
      </c>
      <c r="R149" s="55" t="s">
        <v>393</v>
      </c>
      <c r="S149" s="48" t="s">
        <v>411</v>
      </c>
    </row>
    <row r="150" spans="1:19" ht="15" customHeight="1" x14ac:dyDescent="0.2">
      <c r="A150" s="50" t="s">
        <v>64</v>
      </c>
      <c r="B150" s="50">
        <v>441659717</v>
      </c>
      <c r="C150" s="50" t="s">
        <v>338</v>
      </c>
      <c r="D150" s="51">
        <v>44927</v>
      </c>
      <c r="E150" s="50" t="s">
        <v>75</v>
      </c>
      <c r="F150" s="51">
        <v>45809</v>
      </c>
      <c r="G150" s="51">
        <v>45839</v>
      </c>
      <c r="H150" s="50">
        <v>1</v>
      </c>
      <c r="I150" s="52">
        <v>16</v>
      </c>
      <c r="J150" s="53">
        <v>0.09</v>
      </c>
      <c r="K150" s="52">
        <v>1.44</v>
      </c>
      <c r="L150" s="50" t="s">
        <v>71</v>
      </c>
      <c r="M150" s="54" t="s">
        <v>324</v>
      </c>
      <c r="N150" s="48" t="s">
        <v>68</v>
      </c>
      <c r="O150" s="48" t="s">
        <v>325</v>
      </c>
      <c r="P150" s="48">
        <v>15278437</v>
      </c>
      <c r="Q150" s="48" t="str">
        <f>CONCATENATE(M150, " ",N150, " ",O150)</f>
        <v>Jason R Hoffmann</v>
      </c>
      <c r="R150" s="55" t="s">
        <v>386</v>
      </c>
      <c r="S150" s="48" t="s">
        <v>412</v>
      </c>
    </row>
    <row r="151" spans="1:19" ht="15" customHeight="1" x14ac:dyDescent="0.2">
      <c r="A151" s="50" t="s">
        <v>64</v>
      </c>
      <c r="B151" s="50">
        <v>441662401</v>
      </c>
      <c r="C151" s="50" t="s">
        <v>327</v>
      </c>
      <c r="D151" s="51">
        <v>44896</v>
      </c>
      <c r="E151" s="50" t="s">
        <v>75</v>
      </c>
      <c r="F151" s="51">
        <v>45809</v>
      </c>
      <c r="G151" s="51">
        <v>45839</v>
      </c>
      <c r="H151" s="50">
        <v>1</v>
      </c>
      <c r="I151" s="52">
        <v>25</v>
      </c>
      <c r="J151" s="53">
        <v>0.09</v>
      </c>
      <c r="K151" s="52">
        <v>2.25</v>
      </c>
      <c r="L151" s="50" t="s">
        <v>71</v>
      </c>
      <c r="M151" s="54" t="s">
        <v>324</v>
      </c>
      <c r="N151" s="48" t="s">
        <v>68</v>
      </c>
      <c r="O151" s="48" t="s">
        <v>325</v>
      </c>
      <c r="P151" s="48">
        <v>15278437</v>
      </c>
      <c r="Q151" s="48" t="str">
        <f>CONCATENATE(M151, " ",N151, " ",O151)</f>
        <v>Jason R Hoffmann</v>
      </c>
      <c r="R151" s="55" t="s">
        <v>386</v>
      </c>
      <c r="S151" s="48" t="s">
        <v>412</v>
      </c>
    </row>
    <row r="152" spans="1:19" ht="15" customHeight="1" x14ac:dyDescent="0.2">
      <c r="A152" s="50" t="s">
        <v>64</v>
      </c>
      <c r="B152" s="50">
        <v>441662401</v>
      </c>
      <c r="C152" s="50" t="s">
        <v>327</v>
      </c>
      <c r="D152" s="51">
        <v>44896</v>
      </c>
      <c r="E152" s="50" t="s">
        <v>75</v>
      </c>
      <c r="F152" s="51">
        <v>45778</v>
      </c>
      <c r="G152" s="51">
        <v>45809</v>
      </c>
      <c r="H152" s="50">
        <v>1</v>
      </c>
      <c r="I152" s="52">
        <v>25</v>
      </c>
      <c r="J152" s="53">
        <v>0.09</v>
      </c>
      <c r="K152" s="52">
        <v>2.25</v>
      </c>
      <c r="L152" s="50" t="s">
        <v>71</v>
      </c>
      <c r="M152" s="54" t="s">
        <v>324</v>
      </c>
      <c r="N152" s="48" t="s">
        <v>68</v>
      </c>
      <c r="O152" s="48" t="s">
        <v>325</v>
      </c>
      <c r="P152" s="48">
        <v>15278437</v>
      </c>
      <c r="Q152" s="48" t="str">
        <f>CONCATENATE(M152, " ",N152, " ",O152)</f>
        <v>Jason R Hoffmann</v>
      </c>
      <c r="R152" s="55" t="s">
        <v>386</v>
      </c>
      <c r="S152" s="48" t="s">
        <v>412</v>
      </c>
    </row>
    <row r="153" spans="1:19" ht="15" customHeight="1" x14ac:dyDescent="0.2">
      <c r="A153" s="50" t="s">
        <v>64</v>
      </c>
      <c r="B153" s="50">
        <v>441662402</v>
      </c>
      <c r="C153" s="50" t="s">
        <v>327</v>
      </c>
      <c r="D153" s="51">
        <v>44896</v>
      </c>
      <c r="E153" s="50" t="s">
        <v>232</v>
      </c>
      <c r="F153" s="51">
        <v>45809</v>
      </c>
      <c r="G153" s="51">
        <v>45839</v>
      </c>
      <c r="H153" s="50">
        <v>1</v>
      </c>
      <c r="I153" s="52">
        <v>54</v>
      </c>
      <c r="J153" s="53">
        <v>0.09</v>
      </c>
      <c r="K153" s="52">
        <v>4.8600000000000003</v>
      </c>
      <c r="L153" s="50" t="s">
        <v>71</v>
      </c>
      <c r="M153" s="54" t="s">
        <v>324</v>
      </c>
      <c r="N153" s="48" t="s">
        <v>68</v>
      </c>
      <c r="O153" s="48" t="s">
        <v>325</v>
      </c>
      <c r="P153" s="48">
        <v>15278437</v>
      </c>
      <c r="Q153" s="48" t="str">
        <f>CONCATENATE(M153, " ",N153, " ",O153)</f>
        <v>Jason R Hoffmann</v>
      </c>
      <c r="R153" s="55" t="s">
        <v>395</v>
      </c>
      <c r="S153" s="48" t="s">
        <v>413</v>
      </c>
    </row>
    <row r="154" spans="1:19" ht="15" customHeight="1" x14ac:dyDescent="0.2">
      <c r="A154" s="50" t="s">
        <v>64</v>
      </c>
      <c r="B154" s="50">
        <v>441662402</v>
      </c>
      <c r="C154" s="50" t="s">
        <v>327</v>
      </c>
      <c r="D154" s="51">
        <v>44896</v>
      </c>
      <c r="E154" s="50" t="s">
        <v>232</v>
      </c>
      <c r="F154" s="51">
        <v>45778</v>
      </c>
      <c r="G154" s="51">
        <v>45809</v>
      </c>
      <c r="H154" s="50">
        <v>1</v>
      </c>
      <c r="I154" s="52">
        <v>54</v>
      </c>
      <c r="J154" s="53">
        <v>0.09</v>
      </c>
      <c r="K154" s="52">
        <v>4.8600000000000003</v>
      </c>
      <c r="L154" s="50" t="s">
        <v>71</v>
      </c>
      <c r="M154" s="54" t="s">
        <v>324</v>
      </c>
      <c r="N154" s="48" t="s">
        <v>68</v>
      </c>
      <c r="O154" s="48" t="s">
        <v>325</v>
      </c>
      <c r="P154" s="48">
        <v>15278437</v>
      </c>
      <c r="Q154" s="48" t="str">
        <f>CONCATENATE(M154, " ",N154, " ",O154)</f>
        <v>Jason R Hoffmann</v>
      </c>
      <c r="R154" s="55" t="s">
        <v>395</v>
      </c>
      <c r="S154" s="48" t="s">
        <v>413</v>
      </c>
    </row>
    <row r="155" spans="1:19" ht="15" customHeight="1" x14ac:dyDescent="0.2">
      <c r="A155" s="50" t="s">
        <v>64</v>
      </c>
      <c r="B155" s="50">
        <v>441662404</v>
      </c>
      <c r="C155" s="50" t="s">
        <v>327</v>
      </c>
      <c r="D155" s="51">
        <v>44896</v>
      </c>
      <c r="E155" s="50" t="s">
        <v>214</v>
      </c>
      <c r="F155" s="51">
        <v>45809</v>
      </c>
      <c r="G155" s="51">
        <v>45839</v>
      </c>
      <c r="H155" s="50">
        <v>1</v>
      </c>
      <c r="I155" s="52">
        <v>146.41999999999999</v>
      </c>
      <c r="J155" s="53">
        <v>0.18</v>
      </c>
      <c r="K155" s="52">
        <v>26.36</v>
      </c>
      <c r="L155" s="50" t="s">
        <v>71</v>
      </c>
      <c r="M155" s="54" t="s">
        <v>324</v>
      </c>
      <c r="N155" s="48" t="s">
        <v>68</v>
      </c>
      <c r="O155" s="48" t="s">
        <v>325</v>
      </c>
      <c r="P155" s="48">
        <v>15278437</v>
      </c>
      <c r="Q155" s="48" t="str">
        <f>CONCATENATE(M155, " ",N155, " ",O155)</f>
        <v>Jason R Hoffmann</v>
      </c>
      <c r="R155" s="55" t="s">
        <v>388</v>
      </c>
      <c r="S155" s="48" t="s">
        <v>417</v>
      </c>
    </row>
    <row r="156" spans="1:19" ht="15" customHeight="1" x14ac:dyDescent="0.2">
      <c r="A156" s="50" t="s">
        <v>64</v>
      </c>
      <c r="B156" s="50">
        <v>441662404</v>
      </c>
      <c r="C156" s="50" t="s">
        <v>327</v>
      </c>
      <c r="D156" s="51">
        <v>44896</v>
      </c>
      <c r="E156" s="50" t="s">
        <v>214</v>
      </c>
      <c r="F156" s="51">
        <v>45778</v>
      </c>
      <c r="G156" s="51">
        <v>45809</v>
      </c>
      <c r="H156" s="50">
        <v>1</v>
      </c>
      <c r="I156" s="52">
        <v>146.41999999999999</v>
      </c>
      <c r="J156" s="53">
        <v>0.18</v>
      </c>
      <c r="K156" s="52">
        <v>26.36</v>
      </c>
      <c r="L156" s="50" t="s">
        <v>71</v>
      </c>
      <c r="M156" s="54" t="s">
        <v>324</v>
      </c>
      <c r="N156" s="48" t="s">
        <v>68</v>
      </c>
      <c r="O156" s="48" t="s">
        <v>325</v>
      </c>
      <c r="P156" s="48">
        <v>15278437</v>
      </c>
      <c r="Q156" s="48" t="str">
        <f>CONCATENATE(M156, " ",N156, " ",O156)</f>
        <v>Jason R Hoffmann</v>
      </c>
      <c r="R156" s="55" t="s">
        <v>388</v>
      </c>
      <c r="S156" s="48" t="s">
        <v>417</v>
      </c>
    </row>
    <row r="157" spans="1:19" ht="15" customHeight="1" x14ac:dyDescent="0.2">
      <c r="A157" s="50" t="s">
        <v>64</v>
      </c>
      <c r="B157" s="50">
        <v>441663878</v>
      </c>
      <c r="C157" s="50" t="s">
        <v>336</v>
      </c>
      <c r="D157" s="51">
        <v>44927</v>
      </c>
      <c r="E157" s="50" t="s">
        <v>225</v>
      </c>
      <c r="F157" s="51">
        <v>45809</v>
      </c>
      <c r="G157" s="51">
        <v>45839</v>
      </c>
      <c r="H157" s="50">
        <v>1</v>
      </c>
      <c r="I157" s="52">
        <v>84.91</v>
      </c>
      <c r="J157" s="53">
        <v>0.18</v>
      </c>
      <c r="K157" s="52">
        <v>15.28</v>
      </c>
      <c r="L157" s="50" t="s">
        <v>71</v>
      </c>
      <c r="M157" s="54" t="s">
        <v>324</v>
      </c>
      <c r="N157" s="48" t="s">
        <v>68</v>
      </c>
      <c r="O157" s="48" t="s">
        <v>325</v>
      </c>
      <c r="P157" s="48">
        <v>15278437</v>
      </c>
      <c r="Q157" s="48" t="str">
        <f>CONCATENATE(M157, " ",N157, " ",O157)</f>
        <v>Jason R Hoffmann</v>
      </c>
      <c r="R157" s="55" t="s">
        <v>389</v>
      </c>
      <c r="S157" s="48" t="s">
        <v>417</v>
      </c>
    </row>
    <row r="158" spans="1:19" ht="15" customHeight="1" x14ac:dyDescent="0.2">
      <c r="A158" s="50" t="s">
        <v>64</v>
      </c>
      <c r="B158" s="50">
        <v>441663879</v>
      </c>
      <c r="C158" s="50" t="s">
        <v>336</v>
      </c>
      <c r="D158" s="51">
        <v>44927</v>
      </c>
      <c r="E158" s="50" t="s">
        <v>175</v>
      </c>
      <c r="F158" s="51">
        <v>45809</v>
      </c>
      <c r="G158" s="51">
        <v>45839</v>
      </c>
      <c r="H158" s="50">
        <v>1</v>
      </c>
      <c r="I158" s="52">
        <v>30.4</v>
      </c>
      <c r="J158" s="53">
        <v>0.09</v>
      </c>
      <c r="K158" s="52">
        <v>2.74</v>
      </c>
      <c r="L158" s="50" t="s">
        <v>71</v>
      </c>
      <c r="M158" s="54" t="s">
        <v>324</v>
      </c>
      <c r="N158" s="48" t="s">
        <v>68</v>
      </c>
      <c r="O158" s="48" t="s">
        <v>325</v>
      </c>
      <c r="P158" s="48">
        <v>15278437</v>
      </c>
      <c r="Q158" s="48" t="str">
        <f>CONCATENATE(M158, " ",N158, " ",O158)</f>
        <v>Jason R Hoffmann</v>
      </c>
      <c r="R158" s="55" t="s">
        <v>390</v>
      </c>
      <c r="S158" s="48" t="s">
        <v>411</v>
      </c>
    </row>
    <row r="159" spans="1:19" ht="15" customHeight="1" x14ac:dyDescent="0.2">
      <c r="A159" s="50" t="s">
        <v>64</v>
      </c>
      <c r="B159" s="50">
        <v>441673836</v>
      </c>
      <c r="C159" s="50" t="s">
        <v>342</v>
      </c>
      <c r="D159" s="51">
        <v>44927</v>
      </c>
      <c r="E159" s="50" t="s">
        <v>244</v>
      </c>
      <c r="F159" s="51">
        <v>45809</v>
      </c>
      <c r="G159" s="51">
        <v>45839</v>
      </c>
      <c r="H159" s="50">
        <v>1</v>
      </c>
      <c r="I159" s="52">
        <v>47.13</v>
      </c>
      <c r="J159" s="53">
        <v>0.09</v>
      </c>
      <c r="K159" s="52">
        <v>4.24</v>
      </c>
      <c r="L159" s="50" t="s">
        <v>71</v>
      </c>
      <c r="M159" s="54" t="s">
        <v>324</v>
      </c>
      <c r="N159" s="48" t="s">
        <v>68</v>
      </c>
      <c r="O159" s="48" t="s">
        <v>325</v>
      </c>
      <c r="P159" s="48">
        <v>15278437</v>
      </c>
      <c r="Q159" s="48" t="str">
        <f>CONCATENATE(M159, " ",N159, " ",O159)</f>
        <v>Jason R Hoffmann</v>
      </c>
      <c r="R159" s="55" t="s">
        <v>392</v>
      </c>
      <c r="S159" s="48" t="s">
        <v>412</v>
      </c>
    </row>
    <row r="160" spans="1:19" ht="15" customHeight="1" x14ac:dyDescent="0.2">
      <c r="A160" s="50" t="s">
        <v>64</v>
      </c>
      <c r="B160" s="50">
        <v>441673839</v>
      </c>
      <c r="C160" s="50" t="s">
        <v>342</v>
      </c>
      <c r="D160" s="51">
        <v>44927</v>
      </c>
      <c r="E160" s="50" t="s">
        <v>214</v>
      </c>
      <c r="F160" s="51">
        <v>45809</v>
      </c>
      <c r="G160" s="51">
        <v>45839</v>
      </c>
      <c r="H160" s="50">
        <v>1</v>
      </c>
      <c r="I160" s="52">
        <v>68.03</v>
      </c>
      <c r="J160" s="53">
        <v>0.18</v>
      </c>
      <c r="K160" s="52">
        <v>12.25</v>
      </c>
      <c r="L160" s="50" t="s">
        <v>71</v>
      </c>
      <c r="M160" s="54" t="s">
        <v>324</v>
      </c>
      <c r="N160" s="48" t="s">
        <v>68</v>
      </c>
      <c r="O160" s="48" t="s">
        <v>325</v>
      </c>
      <c r="P160" s="48">
        <v>15278437</v>
      </c>
      <c r="Q160" s="48" t="str">
        <f>CONCATENATE(M160, " ",N160, " ",O160)</f>
        <v>Jason R Hoffmann</v>
      </c>
      <c r="R160" s="55" t="s">
        <v>388</v>
      </c>
      <c r="S160" s="48" t="s">
        <v>417</v>
      </c>
    </row>
    <row r="161" spans="1:19" ht="15" customHeight="1" x14ac:dyDescent="0.2">
      <c r="A161" s="50" t="s">
        <v>64</v>
      </c>
      <c r="B161" s="50">
        <v>441724483</v>
      </c>
      <c r="C161" s="50" t="s">
        <v>337</v>
      </c>
      <c r="D161" s="51">
        <v>44927</v>
      </c>
      <c r="E161" s="50" t="s">
        <v>75</v>
      </c>
      <c r="F161" s="51">
        <v>45809</v>
      </c>
      <c r="G161" s="51">
        <v>45839</v>
      </c>
      <c r="H161" s="50">
        <v>1</v>
      </c>
      <c r="I161" s="52">
        <v>16</v>
      </c>
      <c r="J161" s="53">
        <v>0.09</v>
      </c>
      <c r="K161" s="52">
        <v>1.44</v>
      </c>
      <c r="L161" s="50" t="s">
        <v>71</v>
      </c>
      <c r="M161" s="54" t="s">
        <v>324</v>
      </c>
      <c r="N161" s="48" t="s">
        <v>68</v>
      </c>
      <c r="O161" s="48" t="s">
        <v>325</v>
      </c>
      <c r="P161" s="48">
        <v>15278437</v>
      </c>
      <c r="Q161" s="48" t="str">
        <f>CONCATENATE(M161, " ",N161, " ",O161)</f>
        <v>Jason R Hoffmann</v>
      </c>
      <c r="R161" s="55" t="s">
        <v>386</v>
      </c>
      <c r="S161" s="48" t="s">
        <v>412</v>
      </c>
    </row>
    <row r="162" spans="1:19" ht="15" customHeight="1" x14ac:dyDescent="0.2">
      <c r="A162" s="50" t="s">
        <v>64</v>
      </c>
      <c r="B162" s="50">
        <v>441724484</v>
      </c>
      <c r="C162" s="50" t="s">
        <v>337</v>
      </c>
      <c r="D162" s="51">
        <v>44927</v>
      </c>
      <c r="E162" s="50" t="s">
        <v>232</v>
      </c>
      <c r="F162" s="51">
        <v>45809</v>
      </c>
      <c r="G162" s="51">
        <v>45839</v>
      </c>
      <c r="H162" s="50">
        <v>1</v>
      </c>
      <c r="I162" s="52">
        <v>38</v>
      </c>
      <c r="J162" s="53">
        <v>0.09</v>
      </c>
      <c r="K162" s="52">
        <v>3.42</v>
      </c>
      <c r="L162" s="50" t="s">
        <v>71</v>
      </c>
      <c r="M162" s="54" t="s">
        <v>324</v>
      </c>
      <c r="N162" s="48" t="s">
        <v>68</v>
      </c>
      <c r="O162" s="48" t="s">
        <v>325</v>
      </c>
      <c r="P162" s="48">
        <v>15278437</v>
      </c>
      <c r="Q162" s="48" t="str">
        <f>CONCATENATE(M162, " ",N162, " ",O162)</f>
        <v>Jason R Hoffmann</v>
      </c>
      <c r="R162" s="55" t="s">
        <v>395</v>
      </c>
      <c r="S162" s="48" t="s">
        <v>413</v>
      </c>
    </row>
    <row r="163" spans="1:19" ht="15" customHeight="1" x14ac:dyDescent="0.2">
      <c r="A163" s="50" t="s">
        <v>64</v>
      </c>
      <c r="B163" s="50">
        <v>441724486</v>
      </c>
      <c r="C163" s="50" t="s">
        <v>337</v>
      </c>
      <c r="D163" s="51">
        <v>44927</v>
      </c>
      <c r="E163" s="50" t="s">
        <v>214</v>
      </c>
      <c r="F163" s="51">
        <v>45809</v>
      </c>
      <c r="G163" s="51">
        <v>45839</v>
      </c>
      <c r="H163" s="50">
        <v>1</v>
      </c>
      <c r="I163" s="52">
        <v>136.96</v>
      </c>
      <c r="J163" s="53">
        <v>0.18</v>
      </c>
      <c r="K163" s="52">
        <v>24.65</v>
      </c>
      <c r="L163" s="50" t="s">
        <v>71</v>
      </c>
      <c r="M163" s="54" t="s">
        <v>324</v>
      </c>
      <c r="N163" s="48" t="s">
        <v>68</v>
      </c>
      <c r="O163" s="48" t="s">
        <v>325</v>
      </c>
      <c r="P163" s="48">
        <v>15278437</v>
      </c>
      <c r="Q163" s="48" t="str">
        <f>CONCATENATE(M163, " ",N163, " ",O163)</f>
        <v>Jason R Hoffmann</v>
      </c>
      <c r="R163" s="55" t="s">
        <v>388</v>
      </c>
      <c r="S163" s="48" t="s">
        <v>417</v>
      </c>
    </row>
    <row r="164" spans="1:19" ht="15" customHeight="1" x14ac:dyDescent="0.2">
      <c r="A164" s="50" t="s">
        <v>64</v>
      </c>
      <c r="B164" s="50">
        <v>441742016</v>
      </c>
      <c r="C164" s="50" t="s">
        <v>332</v>
      </c>
      <c r="D164" s="51">
        <v>44927</v>
      </c>
      <c r="E164" s="50" t="s">
        <v>137</v>
      </c>
      <c r="F164" s="51">
        <v>45809</v>
      </c>
      <c r="G164" s="51">
        <v>45839</v>
      </c>
      <c r="H164" s="50">
        <v>1</v>
      </c>
      <c r="I164" s="52">
        <v>39</v>
      </c>
      <c r="J164" s="53">
        <v>0.09</v>
      </c>
      <c r="K164" s="52">
        <v>3.51</v>
      </c>
      <c r="L164" s="50" t="s">
        <v>71</v>
      </c>
      <c r="M164" s="54" t="s">
        <v>324</v>
      </c>
      <c r="N164" s="48" t="s">
        <v>68</v>
      </c>
      <c r="O164" s="48" t="s">
        <v>325</v>
      </c>
      <c r="P164" s="48">
        <v>15278437</v>
      </c>
      <c r="Q164" s="48" t="str">
        <f>CONCATENATE(M164, " ",N164, " ",O164)</f>
        <v>Jason R Hoffmann</v>
      </c>
      <c r="R164" s="55" t="s">
        <v>387</v>
      </c>
      <c r="S164" s="48" t="s">
        <v>413</v>
      </c>
    </row>
    <row r="165" spans="1:19" ht="15" customHeight="1" x14ac:dyDescent="0.2">
      <c r="A165" s="50" t="s">
        <v>64</v>
      </c>
      <c r="B165" s="50">
        <v>441742020</v>
      </c>
      <c r="C165" s="50" t="s">
        <v>332</v>
      </c>
      <c r="D165" s="51">
        <v>44927</v>
      </c>
      <c r="E165" s="50" t="s">
        <v>238</v>
      </c>
      <c r="F165" s="51">
        <v>45809</v>
      </c>
      <c r="G165" s="51">
        <v>45839</v>
      </c>
      <c r="H165" s="50">
        <v>1</v>
      </c>
      <c r="I165" s="52">
        <v>91.23</v>
      </c>
      <c r="J165" s="53">
        <v>0.18</v>
      </c>
      <c r="K165" s="52">
        <v>16.420000000000002</v>
      </c>
      <c r="L165" s="50" t="s">
        <v>71</v>
      </c>
      <c r="M165" s="54" t="s">
        <v>324</v>
      </c>
      <c r="N165" s="48" t="s">
        <v>68</v>
      </c>
      <c r="O165" s="48" t="s">
        <v>325</v>
      </c>
      <c r="P165" s="48">
        <v>15278437</v>
      </c>
      <c r="Q165" s="48" t="str">
        <f>CONCATENATE(M165, " ",N165, " ",O165)</f>
        <v>Jason R Hoffmann</v>
      </c>
      <c r="R165" s="55" t="s">
        <v>388</v>
      </c>
      <c r="S165" s="48" t="s">
        <v>417</v>
      </c>
    </row>
    <row r="166" spans="1:19" ht="15" customHeight="1" x14ac:dyDescent="0.2">
      <c r="A166" s="50" t="s">
        <v>64</v>
      </c>
      <c r="B166" s="50">
        <v>441808040</v>
      </c>
      <c r="C166" s="50" t="s">
        <v>341</v>
      </c>
      <c r="D166" s="51">
        <v>44959</v>
      </c>
      <c r="E166" s="50" t="s">
        <v>75</v>
      </c>
      <c r="F166" s="51">
        <v>45809</v>
      </c>
      <c r="G166" s="51">
        <v>45839</v>
      </c>
      <c r="H166" s="50">
        <v>1</v>
      </c>
      <c r="I166" s="52">
        <v>9</v>
      </c>
      <c r="J166" s="53">
        <v>0.09</v>
      </c>
      <c r="K166" s="52">
        <v>0.81</v>
      </c>
      <c r="L166" s="50" t="s">
        <v>71</v>
      </c>
      <c r="M166" s="54" t="s">
        <v>324</v>
      </c>
      <c r="N166" s="48" t="s">
        <v>68</v>
      </c>
      <c r="O166" s="48" t="s">
        <v>325</v>
      </c>
      <c r="P166" s="48">
        <v>15278437</v>
      </c>
      <c r="Q166" s="48" t="str">
        <f>CONCATENATE(M166, " ",N166, " ",O166)</f>
        <v>Jason R Hoffmann</v>
      </c>
      <c r="R166" s="55" t="s">
        <v>386</v>
      </c>
      <c r="S166" s="48" t="s">
        <v>412</v>
      </c>
    </row>
    <row r="167" spans="1:19" ht="15" customHeight="1" x14ac:dyDescent="0.2">
      <c r="A167" s="50" t="s">
        <v>64</v>
      </c>
      <c r="B167" s="50">
        <v>441854229</v>
      </c>
      <c r="C167" s="50" t="s">
        <v>323</v>
      </c>
      <c r="D167" s="51">
        <v>44987</v>
      </c>
      <c r="E167" s="50" t="s">
        <v>214</v>
      </c>
      <c r="F167" s="51">
        <v>45809</v>
      </c>
      <c r="G167" s="51">
        <v>45839</v>
      </c>
      <c r="H167" s="50">
        <v>1</v>
      </c>
      <c r="I167" s="52">
        <v>25.42</v>
      </c>
      <c r="J167" s="53">
        <v>0.18</v>
      </c>
      <c r="K167" s="52">
        <v>4.58</v>
      </c>
      <c r="L167" s="50" t="s">
        <v>71</v>
      </c>
      <c r="M167" s="54" t="s">
        <v>324</v>
      </c>
      <c r="N167" s="48" t="s">
        <v>68</v>
      </c>
      <c r="O167" s="48" t="s">
        <v>325</v>
      </c>
      <c r="P167" s="48">
        <v>15278437</v>
      </c>
      <c r="Q167" s="48" t="str">
        <f>CONCATENATE(M167, " ",N167, " ",O167)</f>
        <v>Jason R Hoffmann</v>
      </c>
      <c r="R167" s="55" t="s">
        <v>388</v>
      </c>
      <c r="S167" s="48" t="s">
        <v>417</v>
      </c>
    </row>
    <row r="168" spans="1:19" ht="15" customHeight="1" x14ac:dyDescent="0.2">
      <c r="A168" s="50" t="s">
        <v>64</v>
      </c>
      <c r="B168" s="50">
        <v>441854230</v>
      </c>
      <c r="C168" s="50" t="s">
        <v>326</v>
      </c>
      <c r="D168" s="51">
        <v>44987</v>
      </c>
      <c r="E168" s="50" t="s">
        <v>214</v>
      </c>
      <c r="F168" s="51">
        <v>45809</v>
      </c>
      <c r="G168" s="51">
        <v>45839</v>
      </c>
      <c r="H168" s="50">
        <v>1</v>
      </c>
      <c r="I168" s="52">
        <v>25.42</v>
      </c>
      <c r="J168" s="53">
        <v>0.18</v>
      </c>
      <c r="K168" s="52">
        <v>4.58</v>
      </c>
      <c r="L168" s="50" t="s">
        <v>71</v>
      </c>
      <c r="M168" s="54" t="s">
        <v>324</v>
      </c>
      <c r="N168" s="48" t="s">
        <v>68</v>
      </c>
      <c r="O168" s="48" t="s">
        <v>325</v>
      </c>
      <c r="P168" s="48">
        <v>15278437</v>
      </c>
      <c r="Q168" s="48" t="str">
        <f>CONCATENATE(M168, " ",N168, " ",O168)</f>
        <v>Jason R Hoffmann</v>
      </c>
      <c r="R168" s="55" t="s">
        <v>388</v>
      </c>
      <c r="S168" s="48" t="s">
        <v>417</v>
      </c>
    </row>
    <row r="169" spans="1:19" ht="15" customHeight="1" x14ac:dyDescent="0.2">
      <c r="A169" s="50" t="s">
        <v>64</v>
      </c>
      <c r="B169" s="50">
        <v>441872789</v>
      </c>
      <c r="C169" s="50" t="s">
        <v>329</v>
      </c>
      <c r="D169" s="51">
        <v>45017</v>
      </c>
      <c r="E169" s="50" t="s">
        <v>232</v>
      </c>
      <c r="F169" s="51">
        <v>45809</v>
      </c>
      <c r="G169" s="51">
        <v>45839</v>
      </c>
      <c r="H169" s="50">
        <v>1</v>
      </c>
      <c r="I169" s="52">
        <v>19</v>
      </c>
      <c r="J169" s="53">
        <v>0.09</v>
      </c>
      <c r="K169" s="52">
        <v>1.71</v>
      </c>
      <c r="L169" s="50" t="s">
        <v>71</v>
      </c>
      <c r="M169" s="54" t="s">
        <v>324</v>
      </c>
      <c r="N169" s="48" t="s">
        <v>68</v>
      </c>
      <c r="O169" s="48" t="s">
        <v>325</v>
      </c>
      <c r="P169" s="48">
        <v>15278437</v>
      </c>
      <c r="Q169" s="48" t="str">
        <f>CONCATENATE(M169, " ",N169, " ",O169)</f>
        <v>Jason R Hoffmann</v>
      </c>
      <c r="R169" s="55" t="s">
        <v>395</v>
      </c>
      <c r="S169" s="48" t="s">
        <v>413</v>
      </c>
    </row>
    <row r="170" spans="1:19" ht="15" customHeight="1" x14ac:dyDescent="0.2">
      <c r="A170" s="50" t="s">
        <v>64</v>
      </c>
      <c r="B170" s="50">
        <v>441872791</v>
      </c>
      <c r="C170" s="50" t="s">
        <v>329</v>
      </c>
      <c r="D170" s="51">
        <v>45017</v>
      </c>
      <c r="E170" s="50" t="s">
        <v>214</v>
      </c>
      <c r="F170" s="51">
        <v>45809</v>
      </c>
      <c r="G170" s="51">
        <v>45839</v>
      </c>
      <c r="H170" s="50">
        <v>1</v>
      </c>
      <c r="I170" s="52">
        <v>29.75</v>
      </c>
      <c r="J170" s="53">
        <v>0.18</v>
      </c>
      <c r="K170" s="52">
        <v>5.36</v>
      </c>
      <c r="L170" s="50" t="s">
        <v>71</v>
      </c>
      <c r="M170" s="54" t="s">
        <v>324</v>
      </c>
      <c r="N170" s="48" t="s">
        <v>68</v>
      </c>
      <c r="O170" s="48" t="s">
        <v>325</v>
      </c>
      <c r="P170" s="48">
        <v>15278437</v>
      </c>
      <c r="Q170" s="48" t="str">
        <f>CONCATENATE(M170, " ",N170, " ",O170)</f>
        <v>Jason R Hoffmann</v>
      </c>
      <c r="R170" s="55" t="s">
        <v>388</v>
      </c>
      <c r="S170" s="48" t="s">
        <v>417</v>
      </c>
    </row>
    <row r="171" spans="1:19" ht="15" customHeight="1" x14ac:dyDescent="0.2">
      <c r="A171" s="50" t="s">
        <v>64</v>
      </c>
      <c r="B171" s="50">
        <v>441931254</v>
      </c>
      <c r="C171" s="50" t="s">
        <v>330</v>
      </c>
      <c r="D171" s="51">
        <v>45047</v>
      </c>
      <c r="E171" s="50" t="s">
        <v>75</v>
      </c>
      <c r="F171" s="51">
        <v>45809</v>
      </c>
      <c r="G171" s="51">
        <v>45839</v>
      </c>
      <c r="H171" s="50">
        <v>1</v>
      </c>
      <c r="I171" s="52">
        <v>25</v>
      </c>
      <c r="J171" s="53">
        <v>0.09</v>
      </c>
      <c r="K171" s="52">
        <v>2.25</v>
      </c>
      <c r="L171" s="50" t="s">
        <v>71</v>
      </c>
      <c r="M171" s="54" t="s">
        <v>324</v>
      </c>
      <c r="N171" s="48" t="s">
        <v>68</v>
      </c>
      <c r="O171" s="48" t="s">
        <v>325</v>
      </c>
      <c r="P171" s="48">
        <v>15278437</v>
      </c>
      <c r="Q171" s="48" t="str">
        <f>CONCATENATE(M171, " ",N171, " ",O171)</f>
        <v>Jason R Hoffmann</v>
      </c>
      <c r="R171" s="55" t="s">
        <v>386</v>
      </c>
      <c r="S171" s="48" t="s">
        <v>412</v>
      </c>
    </row>
    <row r="172" spans="1:19" ht="15" customHeight="1" x14ac:dyDescent="0.2">
      <c r="A172" s="50" t="s">
        <v>64</v>
      </c>
      <c r="B172" s="50">
        <v>442282230</v>
      </c>
      <c r="C172" s="50" t="s">
        <v>339</v>
      </c>
      <c r="D172" s="51">
        <v>45292</v>
      </c>
      <c r="E172" s="50" t="s">
        <v>340</v>
      </c>
      <c r="F172" s="51">
        <v>45809</v>
      </c>
      <c r="G172" s="51">
        <v>45839</v>
      </c>
      <c r="H172" s="50">
        <v>1</v>
      </c>
      <c r="I172" s="52">
        <v>78.7</v>
      </c>
      <c r="J172" s="53">
        <v>0.09</v>
      </c>
      <c r="K172" s="52">
        <v>7.08</v>
      </c>
      <c r="L172" s="50" t="s">
        <v>71</v>
      </c>
      <c r="M172" s="54" t="s">
        <v>324</v>
      </c>
      <c r="N172" s="48" t="s">
        <v>68</v>
      </c>
      <c r="O172" s="48" t="s">
        <v>325</v>
      </c>
      <c r="P172" s="48">
        <v>15278437</v>
      </c>
      <c r="Q172" s="48" t="str">
        <f>CONCATENATE(M172, " ",N172, " ",O172)</f>
        <v>Jason R Hoffmann</v>
      </c>
      <c r="R172" s="55" t="s">
        <v>389</v>
      </c>
      <c r="S172" s="48" t="s">
        <v>417</v>
      </c>
    </row>
    <row r="173" spans="1:19" ht="15" customHeight="1" x14ac:dyDescent="0.2">
      <c r="A173" s="50" t="s">
        <v>64</v>
      </c>
      <c r="B173" s="50">
        <v>442450565</v>
      </c>
      <c r="C173" s="50" t="s">
        <v>335</v>
      </c>
      <c r="D173" s="51">
        <v>45323</v>
      </c>
      <c r="E173" s="50" t="s">
        <v>214</v>
      </c>
      <c r="F173" s="51">
        <v>45809</v>
      </c>
      <c r="G173" s="51">
        <v>45839</v>
      </c>
      <c r="H173" s="50">
        <v>1</v>
      </c>
      <c r="I173" s="52">
        <v>62.81</v>
      </c>
      <c r="J173" s="53">
        <v>0.18</v>
      </c>
      <c r="K173" s="52">
        <v>11.31</v>
      </c>
      <c r="L173" s="50" t="s">
        <v>71</v>
      </c>
      <c r="M173" s="54" t="s">
        <v>324</v>
      </c>
      <c r="N173" s="48" t="s">
        <v>68</v>
      </c>
      <c r="O173" s="48" t="s">
        <v>325</v>
      </c>
      <c r="P173" s="48">
        <v>15278437</v>
      </c>
      <c r="Q173" s="48" t="str">
        <f>CONCATENATE(M173, " ",N173, " ",O173)</f>
        <v>Jason R Hoffmann</v>
      </c>
      <c r="R173" s="55" t="s">
        <v>388</v>
      </c>
      <c r="S173" s="48" t="s">
        <v>417</v>
      </c>
    </row>
    <row r="174" spans="1:19" ht="15" customHeight="1" x14ac:dyDescent="0.2">
      <c r="A174" s="50" t="s">
        <v>64</v>
      </c>
      <c r="B174" s="56">
        <v>441659598</v>
      </c>
      <c r="C174" s="50" t="s">
        <v>117</v>
      </c>
      <c r="D174" s="51">
        <v>44927</v>
      </c>
      <c r="E174" s="50" t="s">
        <v>118</v>
      </c>
      <c r="F174" s="51">
        <v>45809</v>
      </c>
      <c r="G174" s="51">
        <v>45809</v>
      </c>
      <c r="H174" s="56">
        <v>1</v>
      </c>
      <c r="I174" s="52">
        <v>-4.8</v>
      </c>
      <c r="J174" s="53">
        <v>0.09</v>
      </c>
      <c r="K174" s="52">
        <v>-0.43</v>
      </c>
      <c r="L174" s="50" t="s">
        <v>71</v>
      </c>
      <c r="M174" s="54" t="s">
        <v>168</v>
      </c>
      <c r="N174" s="48" t="s">
        <v>169</v>
      </c>
      <c r="P174" s="48">
        <v>20436896</v>
      </c>
      <c r="Q174" s="48" t="str">
        <f>CONCATENATE(M174, " ",N174, " ",O174)</f>
        <v xml:space="preserve">Katelenn Caltagirone </v>
      </c>
      <c r="R174" s="55" t="s">
        <v>380</v>
      </c>
      <c r="S174" s="48" t="s">
        <v>409</v>
      </c>
    </row>
    <row r="175" spans="1:19" ht="15" customHeight="1" x14ac:dyDescent="0.2">
      <c r="A175" s="50" t="s">
        <v>64</v>
      </c>
      <c r="B175" s="50">
        <v>441659598</v>
      </c>
      <c r="C175" s="50" t="s">
        <v>117</v>
      </c>
      <c r="D175" s="51">
        <v>44927</v>
      </c>
      <c r="E175" s="50" t="s">
        <v>118</v>
      </c>
      <c r="F175" s="51">
        <v>45809</v>
      </c>
      <c r="G175" s="51">
        <v>45839</v>
      </c>
      <c r="H175" s="50">
        <v>1</v>
      </c>
      <c r="I175" s="52">
        <v>4.8</v>
      </c>
      <c r="J175" s="53">
        <v>0.09</v>
      </c>
      <c r="K175" s="52">
        <v>0.43</v>
      </c>
      <c r="L175" s="50" t="s">
        <v>71</v>
      </c>
      <c r="M175" s="54" t="s">
        <v>168</v>
      </c>
      <c r="N175" s="48" t="s">
        <v>169</v>
      </c>
      <c r="P175" s="48">
        <v>20436896</v>
      </c>
      <c r="Q175" s="48" t="str">
        <f>CONCATENATE(M175, " ",N175, " ",O175)</f>
        <v xml:space="preserve">Katelenn Caltagirone </v>
      </c>
      <c r="R175" s="55" t="s">
        <v>380</v>
      </c>
      <c r="S175" s="48" t="s">
        <v>409</v>
      </c>
    </row>
    <row r="176" spans="1:19" ht="15" customHeight="1" x14ac:dyDescent="0.2">
      <c r="A176" s="50" t="s">
        <v>64</v>
      </c>
      <c r="B176" s="56">
        <v>441659600</v>
      </c>
      <c r="C176" s="50" t="s">
        <v>117</v>
      </c>
      <c r="D176" s="51">
        <v>44927</v>
      </c>
      <c r="E176" s="50" t="s">
        <v>120</v>
      </c>
      <c r="F176" s="51">
        <v>45809</v>
      </c>
      <c r="G176" s="51">
        <v>45809</v>
      </c>
      <c r="H176" s="56">
        <v>1</v>
      </c>
      <c r="I176" s="52">
        <v>-141.5</v>
      </c>
      <c r="J176" s="53">
        <v>0.09</v>
      </c>
      <c r="K176" s="52">
        <v>-12.74</v>
      </c>
      <c r="L176" s="50" t="s">
        <v>71</v>
      </c>
      <c r="M176" s="54" t="s">
        <v>168</v>
      </c>
      <c r="N176" s="48" t="s">
        <v>169</v>
      </c>
      <c r="P176" s="48">
        <v>20436896</v>
      </c>
      <c r="Q176" s="48" t="str">
        <f>CONCATENATE(M176, " ",N176, " ",O176)</f>
        <v xml:space="preserve">Katelenn Caltagirone </v>
      </c>
      <c r="R176" s="55" t="s">
        <v>378</v>
      </c>
      <c r="S176" s="48" t="s">
        <v>419</v>
      </c>
    </row>
    <row r="177" spans="1:19" ht="15" customHeight="1" x14ac:dyDescent="0.2">
      <c r="A177" s="50" t="s">
        <v>64</v>
      </c>
      <c r="B177" s="50">
        <v>441659600</v>
      </c>
      <c r="C177" s="50" t="s">
        <v>117</v>
      </c>
      <c r="D177" s="51">
        <v>44927</v>
      </c>
      <c r="E177" s="50" t="s">
        <v>120</v>
      </c>
      <c r="F177" s="51">
        <v>45809</v>
      </c>
      <c r="G177" s="51">
        <v>45839</v>
      </c>
      <c r="H177" s="50">
        <v>1</v>
      </c>
      <c r="I177" s="52">
        <v>141.5</v>
      </c>
      <c r="J177" s="53">
        <v>0.09</v>
      </c>
      <c r="K177" s="52">
        <v>12.74</v>
      </c>
      <c r="L177" s="50" t="s">
        <v>71</v>
      </c>
      <c r="M177" s="54" t="s">
        <v>168</v>
      </c>
      <c r="N177" s="48" t="s">
        <v>169</v>
      </c>
      <c r="P177" s="48">
        <v>20436896</v>
      </c>
      <c r="Q177" s="48" t="str">
        <f>CONCATENATE(M177, " ",N177, " ",O177)</f>
        <v xml:space="preserve">Katelenn Caltagirone </v>
      </c>
      <c r="R177" s="55" t="s">
        <v>378</v>
      </c>
      <c r="S177" s="48" t="s">
        <v>419</v>
      </c>
    </row>
    <row r="178" spans="1:19" ht="15" customHeight="1" x14ac:dyDescent="0.2">
      <c r="A178" s="50" t="s">
        <v>64</v>
      </c>
      <c r="B178" s="50">
        <v>441830922</v>
      </c>
      <c r="C178" s="50" t="s">
        <v>343</v>
      </c>
      <c r="D178" s="51">
        <v>44986</v>
      </c>
      <c r="E178" s="50" t="s">
        <v>344</v>
      </c>
      <c r="F178" s="51">
        <v>45809</v>
      </c>
      <c r="G178" s="51">
        <v>45839</v>
      </c>
      <c r="H178" s="50">
        <v>1</v>
      </c>
      <c r="I178" s="52">
        <v>110.7</v>
      </c>
      <c r="J178" s="53">
        <v>0.09</v>
      </c>
      <c r="K178" s="52">
        <v>9.9600000000000009</v>
      </c>
      <c r="L178" s="50" t="s">
        <v>71</v>
      </c>
      <c r="M178" s="54" t="s">
        <v>168</v>
      </c>
      <c r="N178" s="48" t="s">
        <v>169</v>
      </c>
      <c r="P178" s="48">
        <v>20436896</v>
      </c>
      <c r="Q178" s="48" t="str">
        <f>CONCATENATE(M178, " ",N178, " ",O178)</f>
        <v xml:space="preserve">Katelenn Caltagirone </v>
      </c>
      <c r="R178" s="55" t="s">
        <v>390</v>
      </c>
      <c r="S178" s="48" t="s">
        <v>411</v>
      </c>
    </row>
    <row r="179" spans="1:19" ht="15" customHeight="1" x14ac:dyDescent="0.2">
      <c r="A179" s="50" t="s">
        <v>64</v>
      </c>
      <c r="B179" s="50">
        <v>441542541</v>
      </c>
      <c r="C179" s="50" t="s">
        <v>356</v>
      </c>
      <c r="D179" s="51">
        <v>44835</v>
      </c>
      <c r="E179" s="50" t="s">
        <v>357</v>
      </c>
      <c r="F179" s="51">
        <v>45809</v>
      </c>
      <c r="G179" s="51">
        <v>45839</v>
      </c>
      <c r="H179" s="50">
        <v>1</v>
      </c>
      <c r="I179" s="52">
        <v>47.01</v>
      </c>
      <c r="J179" s="53">
        <v>0.09</v>
      </c>
      <c r="K179" s="52">
        <v>4.2300000000000004</v>
      </c>
      <c r="L179" s="50" t="s">
        <v>71</v>
      </c>
      <c r="M179" s="54" t="s">
        <v>170</v>
      </c>
      <c r="N179" s="48" t="s">
        <v>157</v>
      </c>
      <c r="O179" s="48" t="s">
        <v>171</v>
      </c>
      <c r="P179" s="48">
        <v>16243811</v>
      </c>
      <c r="Q179" s="48" t="str">
        <f>CONCATENATE(M179, " ",N179, " ",O179)</f>
        <v>Kimberly Anne Dickerson</v>
      </c>
      <c r="R179" s="55" t="s">
        <v>379</v>
      </c>
      <c r="S179" s="48" t="s">
        <v>412</v>
      </c>
    </row>
    <row r="180" spans="1:19" ht="15" customHeight="1" x14ac:dyDescent="0.2">
      <c r="A180" s="50" t="s">
        <v>64</v>
      </c>
      <c r="B180" s="50">
        <v>441568845</v>
      </c>
      <c r="C180" s="50" t="s">
        <v>366</v>
      </c>
      <c r="D180" s="51">
        <v>44866</v>
      </c>
      <c r="E180" s="50" t="s">
        <v>118</v>
      </c>
      <c r="F180" s="51">
        <v>45809</v>
      </c>
      <c r="G180" s="51">
        <v>45839</v>
      </c>
      <c r="H180" s="50">
        <v>1</v>
      </c>
      <c r="I180" s="52">
        <v>6.3</v>
      </c>
      <c r="J180" s="53">
        <v>0.09</v>
      </c>
      <c r="K180" s="52">
        <v>0.56999999999999995</v>
      </c>
      <c r="L180" s="50" t="s">
        <v>71</v>
      </c>
      <c r="M180" s="54" t="s">
        <v>170</v>
      </c>
      <c r="N180" s="48" t="s">
        <v>157</v>
      </c>
      <c r="O180" s="48" t="s">
        <v>171</v>
      </c>
      <c r="P180" s="48">
        <v>16243811</v>
      </c>
      <c r="Q180" s="48" t="str">
        <f>CONCATENATE(M180, " ",N180, " ",O180)</f>
        <v>Kimberly Anne Dickerson</v>
      </c>
      <c r="R180" s="55" t="s">
        <v>380</v>
      </c>
      <c r="S180" s="48" t="s">
        <v>409</v>
      </c>
    </row>
    <row r="181" spans="1:19" ht="15" customHeight="1" x14ac:dyDescent="0.2">
      <c r="A181" s="50" t="s">
        <v>64</v>
      </c>
      <c r="B181" s="50">
        <v>441568846</v>
      </c>
      <c r="C181" s="50" t="s">
        <v>366</v>
      </c>
      <c r="D181" s="51">
        <v>44866</v>
      </c>
      <c r="E181" s="50" t="s">
        <v>130</v>
      </c>
      <c r="F181" s="51">
        <v>45809</v>
      </c>
      <c r="G181" s="51">
        <v>45839</v>
      </c>
      <c r="H181" s="50">
        <v>1</v>
      </c>
      <c r="I181" s="52">
        <v>28</v>
      </c>
      <c r="J181" s="53">
        <v>0.09</v>
      </c>
      <c r="K181" s="52">
        <v>2.52</v>
      </c>
      <c r="L181" s="50" t="s">
        <v>71</v>
      </c>
      <c r="M181" s="54" t="s">
        <v>170</v>
      </c>
      <c r="N181" s="48" t="s">
        <v>157</v>
      </c>
      <c r="O181" s="48" t="s">
        <v>171</v>
      </c>
      <c r="P181" s="48">
        <v>16243811</v>
      </c>
      <c r="Q181" s="48" t="str">
        <f>CONCATENATE(M181, " ",N181, " ",O181)</f>
        <v>Kimberly Anne Dickerson</v>
      </c>
      <c r="R181" s="55" t="s">
        <v>381</v>
      </c>
      <c r="S181" s="48" t="s">
        <v>408</v>
      </c>
    </row>
    <row r="182" spans="1:19" ht="15" customHeight="1" x14ac:dyDescent="0.2">
      <c r="A182" s="50" t="s">
        <v>64</v>
      </c>
      <c r="B182" s="50">
        <v>441568847</v>
      </c>
      <c r="C182" s="50" t="s">
        <v>366</v>
      </c>
      <c r="D182" s="51">
        <v>44866</v>
      </c>
      <c r="E182" s="50" t="s">
        <v>127</v>
      </c>
      <c r="F182" s="51">
        <v>45809</v>
      </c>
      <c r="G182" s="51">
        <v>45839</v>
      </c>
      <c r="H182" s="50">
        <v>1</v>
      </c>
      <c r="I182" s="52">
        <v>15</v>
      </c>
      <c r="J182" s="53">
        <v>0.09</v>
      </c>
      <c r="K182" s="52">
        <v>1.35</v>
      </c>
      <c r="L182" s="50" t="s">
        <v>71</v>
      </c>
      <c r="M182" s="54" t="s">
        <v>170</v>
      </c>
      <c r="N182" s="48" t="s">
        <v>157</v>
      </c>
      <c r="O182" s="48" t="s">
        <v>171</v>
      </c>
      <c r="P182" s="48">
        <v>16243811</v>
      </c>
      <c r="Q182" s="48" t="str">
        <f>CONCATENATE(M182, " ",N182, " ",O182)</f>
        <v>Kimberly Anne Dickerson</v>
      </c>
      <c r="R182" s="55" t="s">
        <v>382</v>
      </c>
      <c r="S182" s="48" t="s">
        <v>409</v>
      </c>
    </row>
    <row r="183" spans="1:19" ht="15" customHeight="1" x14ac:dyDescent="0.2">
      <c r="A183" s="50" t="s">
        <v>64</v>
      </c>
      <c r="B183" s="50">
        <v>441568848</v>
      </c>
      <c r="C183" s="50" t="s">
        <v>366</v>
      </c>
      <c r="D183" s="51">
        <v>44866</v>
      </c>
      <c r="E183" s="50" t="s">
        <v>132</v>
      </c>
      <c r="F183" s="51">
        <v>45809</v>
      </c>
      <c r="G183" s="51">
        <v>45839</v>
      </c>
      <c r="H183" s="50">
        <v>1</v>
      </c>
      <c r="I183" s="52">
        <v>23</v>
      </c>
      <c r="J183" s="53">
        <v>0.09</v>
      </c>
      <c r="K183" s="52">
        <v>2.0699999999999998</v>
      </c>
      <c r="L183" s="50" t="s">
        <v>71</v>
      </c>
      <c r="M183" s="54" t="s">
        <v>170</v>
      </c>
      <c r="N183" s="48" t="s">
        <v>157</v>
      </c>
      <c r="O183" s="48" t="s">
        <v>171</v>
      </c>
      <c r="P183" s="48">
        <v>16243811</v>
      </c>
      <c r="Q183" s="48" t="str">
        <f>CONCATENATE(M183, " ",N183, " ",O183)</f>
        <v>Kimberly Anne Dickerson</v>
      </c>
      <c r="R183" s="55" t="s">
        <v>383</v>
      </c>
      <c r="S183" s="48" t="s">
        <v>418</v>
      </c>
    </row>
    <row r="184" spans="1:19" ht="15" customHeight="1" x14ac:dyDescent="0.2">
      <c r="A184" s="50" t="s">
        <v>64</v>
      </c>
      <c r="B184" s="50">
        <v>441573319</v>
      </c>
      <c r="C184" s="50" t="s">
        <v>368</v>
      </c>
      <c r="D184" s="51">
        <v>44866</v>
      </c>
      <c r="E184" s="50" t="s">
        <v>346</v>
      </c>
      <c r="F184" s="51">
        <v>45809</v>
      </c>
      <c r="G184" s="51">
        <v>45839</v>
      </c>
      <c r="H184" s="50">
        <v>1</v>
      </c>
      <c r="I184" s="52">
        <v>21.5</v>
      </c>
      <c r="J184" s="53">
        <v>0.09</v>
      </c>
      <c r="K184" s="52">
        <v>1.94</v>
      </c>
      <c r="L184" s="50" t="s">
        <v>71</v>
      </c>
      <c r="M184" s="54" t="s">
        <v>170</v>
      </c>
      <c r="N184" s="48" t="s">
        <v>157</v>
      </c>
      <c r="O184" s="48" t="s">
        <v>171</v>
      </c>
      <c r="P184" s="48">
        <v>16243811</v>
      </c>
      <c r="Q184" s="48" t="str">
        <f>CONCATENATE(M184, " ",N184, " ",O184)</f>
        <v>Kimberly Anne Dickerson</v>
      </c>
      <c r="R184" s="55" t="s">
        <v>381</v>
      </c>
      <c r="S184" s="48" t="s">
        <v>408</v>
      </c>
    </row>
    <row r="185" spans="1:19" ht="15" customHeight="1" x14ac:dyDescent="0.2">
      <c r="A185" s="50" t="s">
        <v>64</v>
      </c>
      <c r="B185" s="50">
        <v>441573320</v>
      </c>
      <c r="C185" s="50" t="s">
        <v>368</v>
      </c>
      <c r="D185" s="51">
        <v>44866</v>
      </c>
      <c r="E185" s="50" t="s">
        <v>127</v>
      </c>
      <c r="F185" s="51">
        <v>45809</v>
      </c>
      <c r="G185" s="51">
        <v>45839</v>
      </c>
      <c r="H185" s="50">
        <v>1</v>
      </c>
      <c r="I185" s="52">
        <v>9</v>
      </c>
      <c r="J185" s="53">
        <v>0.09</v>
      </c>
      <c r="K185" s="52">
        <v>0.81</v>
      </c>
      <c r="L185" s="50" t="s">
        <v>71</v>
      </c>
      <c r="M185" s="54" t="s">
        <v>170</v>
      </c>
      <c r="N185" s="48" t="s">
        <v>157</v>
      </c>
      <c r="O185" s="48" t="s">
        <v>171</v>
      </c>
      <c r="P185" s="48">
        <v>16243811</v>
      </c>
      <c r="Q185" s="48" t="str">
        <f>CONCATENATE(M185, " ",N185, " ",O185)</f>
        <v>Kimberly Anne Dickerson</v>
      </c>
      <c r="R185" s="55" t="s">
        <v>382</v>
      </c>
      <c r="S185" s="48" t="s">
        <v>409</v>
      </c>
    </row>
    <row r="186" spans="1:19" ht="15" customHeight="1" x14ac:dyDescent="0.2">
      <c r="A186" s="50" t="s">
        <v>64</v>
      </c>
      <c r="B186" s="50">
        <v>441573321</v>
      </c>
      <c r="C186" s="50" t="s">
        <v>368</v>
      </c>
      <c r="D186" s="51">
        <v>44866</v>
      </c>
      <c r="E186" s="50" t="s">
        <v>118</v>
      </c>
      <c r="F186" s="51">
        <v>45809</v>
      </c>
      <c r="G186" s="51">
        <v>45839</v>
      </c>
      <c r="H186" s="50">
        <v>1</v>
      </c>
      <c r="I186" s="52">
        <v>4.8</v>
      </c>
      <c r="J186" s="53">
        <v>0.09</v>
      </c>
      <c r="K186" s="52">
        <v>0.43</v>
      </c>
      <c r="L186" s="50" t="s">
        <v>71</v>
      </c>
      <c r="M186" s="54" t="s">
        <v>170</v>
      </c>
      <c r="N186" s="48" t="s">
        <v>157</v>
      </c>
      <c r="O186" s="48" t="s">
        <v>171</v>
      </c>
      <c r="P186" s="48">
        <v>16243811</v>
      </c>
      <c r="Q186" s="48" t="str">
        <f>CONCATENATE(M186, " ",N186, " ",O186)</f>
        <v>Kimberly Anne Dickerson</v>
      </c>
      <c r="R186" s="55" t="s">
        <v>380</v>
      </c>
      <c r="S186" s="48" t="s">
        <v>409</v>
      </c>
    </row>
    <row r="187" spans="1:19" ht="15" customHeight="1" x14ac:dyDescent="0.2">
      <c r="A187" s="50" t="s">
        <v>64</v>
      </c>
      <c r="B187" s="50">
        <v>441573323</v>
      </c>
      <c r="C187" s="50" t="s">
        <v>368</v>
      </c>
      <c r="D187" s="51">
        <v>44866</v>
      </c>
      <c r="E187" s="50" t="s">
        <v>369</v>
      </c>
      <c r="F187" s="51">
        <v>45809</v>
      </c>
      <c r="G187" s="51">
        <v>45839</v>
      </c>
      <c r="H187" s="50">
        <v>1</v>
      </c>
      <c r="I187" s="52">
        <v>11</v>
      </c>
      <c r="J187" s="53">
        <v>0.09</v>
      </c>
      <c r="K187" s="52">
        <v>0.99</v>
      </c>
      <c r="L187" s="50" t="s">
        <v>71</v>
      </c>
      <c r="M187" s="54" t="s">
        <v>170</v>
      </c>
      <c r="N187" s="48" t="s">
        <v>157</v>
      </c>
      <c r="O187" s="48" t="s">
        <v>171</v>
      </c>
      <c r="P187" s="48">
        <v>16243811</v>
      </c>
      <c r="Q187" s="48" t="str">
        <f>CONCATENATE(M187, " ",N187, " ",O187)</f>
        <v>Kimberly Anne Dickerson</v>
      </c>
      <c r="R187" s="55" t="s">
        <v>384</v>
      </c>
      <c r="S187" s="48" t="s">
        <v>418</v>
      </c>
    </row>
    <row r="188" spans="1:19" ht="15" customHeight="1" x14ac:dyDescent="0.2">
      <c r="A188" s="50" t="s">
        <v>64</v>
      </c>
      <c r="B188" s="50">
        <v>441581802</v>
      </c>
      <c r="C188" s="50" t="s">
        <v>355</v>
      </c>
      <c r="D188" s="51">
        <v>44866</v>
      </c>
      <c r="E188" s="50" t="s">
        <v>75</v>
      </c>
      <c r="F188" s="51">
        <v>45809</v>
      </c>
      <c r="G188" s="51">
        <v>45839</v>
      </c>
      <c r="H188" s="50">
        <v>1</v>
      </c>
      <c r="I188" s="52">
        <v>9</v>
      </c>
      <c r="J188" s="53">
        <v>0.09</v>
      </c>
      <c r="K188" s="52">
        <v>0.81</v>
      </c>
      <c r="L188" s="50" t="s">
        <v>71</v>
      </c>
      <c r="M188" s="54" t="s">
        <v>170</v>
      </c>
      <c r="N188" s="48" t="s">
        <v>157</v>
      </c>
      <c r="O188" s="48" t="s">
        <v>171</v>
      </c>
      <c r="P188" s="48">
        <v>16243811</v>
      </c>
      <c r="Q188" s="48" t="str">
        <f>CONCATENATE(M188, " ",N188, " ",O188)</f>
        <v>Kimberly Anne Dickerson</v>
      </c>
      <c r="R188" s="55" t="s">
        <v>386</v>
      </c>
      <c r="S188" s="48" t="s">
        <v>412</v>
      </c>
    </row>
    <row r="189" spans="1:19" ht="15" customHeight="1" x14ac:dyDescent="0.2">
      <c r="A189" s="50" t="s">
        <v>64</v>
      </c>
      <c r="B189" s="50">
        <v>441581805</v>
      </c>
      <c r="C189" s="50" t="s">
        <v>355</v>
      </c>
      <c r="D189" s="51">
        <v>44866</v>
      </c>
      <c r="E189" s="50" t="s">
        <v>137</v>
      </c>
      <c r="F189" s="51">
        <v>45809</v>
      </c>
      <c r="G189" s="51">
        <v>45839</v>
      </c>
      <c r="H189" s="50">
        <v>1</v>
      </c>
      <c r="I189" s="52">
        <v>39</v>
      </c>
      <c r="J189" s="53">
        <v>0.09</v>
      </c>
      <c r="K189" s="52">
        <v>3.51</v>
      </c>
      <c r="L189" s="50" t="s">
        <v>71</v>
      </c>
      <c r="M189" s="54" t="s">
        <v>170</v>
      </c>
      <c r="N189" s="48" t="s">
        <v>157</v>
      </c>
      <c r="O189" s="48" t="s">
        <v>171</v>
      </c>
      <c r="P189" s="48">
        <v>16243811</v>
      </c>
      <c r="Q189" s="48" t="str">
        <f>CONCATENATE(M189, " ",N189, " ",O189)</f>
        <v>Kimberly Anne Dickerson</v>
      </c>
      <c r="R189" s="55" t="s">
        <v>387</v>
      </c>
      <c r="S189" s="48" t="s">
        <v>413</v>
      </c>
    </row>
    <row r="190" spans="1:19" ht="15" customHeight="1" x14ac:dyDescent="0.2">
      <c r="A190" s="50" t="s">
        <v>64</v>
      </c>
      <c r="B190" s="50">
        <v>441581809</v>
      </c>
      <c r="C190" s="50" t="s">
        <v>355</v>
      </c>
      <c r="D190" s="51">
        <v>44866</v>
      </c>
      <c r="E190" s="50" t="s">
        <v>214</v>
      </c>
      <c r="F190" s="51">
        <v>45809</v>
      </c>
      <c r="G190" s="51">
        <v>45839</v>
      </c>
      <c r="H190" s="50">
        <v>1</v>
      </c>
      <c r="I190" s="52">
        <v>82.14</v>
      </c>
      <c r="J190" s="53">
        <v>0.18</v>
      </c>
      <c r="K190" s="52">
        <v>14.79</v>
      </c>
      <c r="L190" s="50" t="s">
        <v>71</v>
      </c>
      <c r="M190" s="54" t="s">
        <v>170</v>
      </c>
      <c r="N190" s="48" t="s">
        <v>157</v>
      </c>
      <c r="O190" s="48" t="s">
        <v>171</v>
      </c>
      <c r="P190" s="48">
        <v>16243811</v>
      </c>
      <c r="Q190" s="48" t="str">
        <f>CONCATENATE(M190, " ",N190, " ",O190)</f>
        <v>Kimberly Anne Dickerson</v>
      </c>
      <c r="R190" s="55" t="s">
        <v>388</v>
      </c>
      <c r="S190" s="48" t="s">
        <v>417</v>
      </c>
    </row>
    <row r="191" spans="1:19" ht="15" customHeight="1" x14ac:dyDescent="0.2">
      <c r="A191" s="50" t="s">
        <v>64</v>
      </c>
      <c r="B191" s="50">
        <v>441583852</v>
      </c>
      <c r="C191" s="50" t="s">
        <v>358</v>
      </c>
      <c r="D191" s="51">
        <v>44866</v>
      </c>
      <c r="E191" s="50" t="s">
        <v>359</v>
      </c>
      <c r="F191" s="51">
        <v>45809</v>
      </c>
      <c r="G191" s="51">
        <v>45839</v>
      </c>
      <c r="H191" s="50">
        <v>1</v>
      </c>
      <c r="I191" s="52">
        <v>96.75</v>
      </c>
      <c r="J191" s="53">
        <v>0.18</v>
      </c>
      <c r="K191" s="52">
        <v>17.420000000000002</v>
      </c>
      <c r="L191" s="50" t="s">
        <v>71</v>
      </c>
      <c r="M191" s="54" t="s">
        <v>170</v>
      </c>
      <c r="N191" s="48" t="s">
        <v>157</v>
      </c>
      <c r="O191" s="48" t="s">
        <v>171</v>
      </c>
      <c r="P191" s="48">
        <v>16243811</v>
      </c>
      <c r="Q191" s="48" t="str">
        <f>CONCATENATE(M191, " ",N191, " ",O191)</f>
        <v>Kimberly Anne Dickerson</v>
      </c>
      <c r="R191" s="55" t="s">
        <v>388</v>
      </c>
      <c r="S191" s="48" t="s">
        <v>417</v>
      </c>
    </row>
    <row r="192" spans="1:19" ht="15" customHeight="1" x14ac:dyDescent="0.2">
      <c r="A192" s="50" t="s">
        <v>64</v>
      </c>
      <c r="B192" s="56">
        <v>441601154</v>
      </c>
      <c r="C192" s="50" t="s">
        <v>134</v>
      </c>
      <c r="D192" s="51">
        <v>44869</v>
      </c>
      <c r="E192" s="50" t="s">
        <v>135</v>
      </c>
      <c r="F192" s="51">
        <v>45809</v>
      </c>
      <c r="G192" s="51">
        <v>45839</v>
      </c>
      <c r="H192" s="56">
        <v>1</v>
      </c>
      <c r="I192" s="52">
        <v>9</v>
      </c>
      <c r="J192" s="53">
        <v>0.09</v>
      </c>
      <c r="K192" s="52">
        <v>0.81</v>
      </c>
      <c r="L192" s="50" t="s">
        <v>71</v>
      </c>
      <c r="M192" s="54" t="s">
        <v>170</v>
      </c>
      <c r="N192" s="48" t="s">
        <v>157</v>
      </c>
      <c r="O192" s="48" t="s">
        <v>171</v>
      </c>
      <c r="P192" s="48">
        <v>16243811</v>
      </c>
      <c r="Q192" s="48" t="str">
        <f>CONCATENATE(M192, " ",N192, " ",O192)</f>
        <v>Kimberly Anne Dickerson</v>
      </c>
      <c r="R192" s="55" t="s">
        <v>386</v>
      </c>
      <c r="S192" s="48" t="s">
        <v>412</v>
      </c>
    </row>
    <row r="193" spans="1:19" ht="15" customHeight="1" x14ac:dyDescent="0.2">
      <c r="A193" s="50" t="s">
        <v>64</v>
      </c>
      <c r="B193" s="56">
        <v>441601155</v>
      </c>
      <c r="C193" s="50" t="s">
        <v>134</v>
      </c>
      <c r="D193" s="51">
        <v>44869</v>
      </c>
      <c r="E193" s="50" t="s">
        <v>137</v>
      </c>
      <c r="F193" s="51">
        <v>45809</v>
      </c>
      <c r="G193" s="51">
        <v>45839</v>
      </c>
      <c r="H193" s="56">
        <v>1</v>
      </c>
      <c r="I193" s="52">
        <v>42.64</v>
      </c>
      <c r="J193" s="53">
        <v>0.09</v>
      </c>
      <c r="K193" s="52">
        <v>3.84</v>
      </c>
      <c r="L193" s="50" t="s">
        <v>71</v>
      </c>
      <c r="M193" s="54" t="s">
        <v>170</v>
      </c>
      <c r="N193" s="48" t="s">
        <v>157</v>
      </c>
      <c r="O193" s="48" t="s">
        <v>171</v>
      </c>
      <c r="P193" s="48">
        <v>16243811</v>
      </c>
      <c r="Q193" s="48" t="str">
        <f>CONCATENATE(M193, " ",N193, " ",O193)</f>
        <v>Kimberly Anne Dickerson</v>
      </c>
      <c r="R193" s="55" t="s">
        <v>387</v>
      </c>
      <c r="S193" s="48" t="s">
        <v>413</v>
      </c>
    </row>
    <row r="194" spans="1:19" ht="15" customHeight="1" x14ac:dyDescent="0.2">
      <c r="A194" s="50" t="s">
        <v>64</v>
      </c>
      <c r="B194" s="56">
        <v>441603753</v>
      </c>
      <c r="C194" s="50" t="s">
        <v>123</v>
      </c>
      <c r="D194" s="51">
        <v>44870</v>
      </c>
      <c r="E194" s="50" t="s">
        <v>124</v>
      </c>
      <c r="F194" s="51">
        <v>45809</v>
      </c>
      <c r="G194" s="51">
        <v>45839</v>
      </c>
      <c r="H194" s="56">
        <v>1</v>
      </c>
      <c r="I194" s="52">
        <v>44.06</v>
      </c>
      <c r="J194" s="53">
        <v>0.09</v>
      </c>
      <c r="K194" s="52">
        <v>3.97</v>
      </c>
      <c r="L194" s="50" t="s">
        <v>71</v>
      </c>
      <c r="M194" s="54" t="s">
        <v>170</v>
      </c>
      <c r="N194" s="48" t="s">
        <v>157</v>
      </c>
      <c r="O194" s="48" t="s">
        <v>171</v>
      </c>
      <c r="P194" s="48">
        <v>16243811</v>
      </c>
      <c r="Q194" s="48" t="str">
        <f>CONCATENATE(M194, " ",N194, " ",O194)</f>
        <v>Kimberly Anne Dickerson</v>
      </c>
      <c r="R194" s="55" t="s">
        <v>390</v>
      </c>
      <c r="S194" s="48" t="s">
        <v>411</v>
      </c>
    </row>
    <row r="195" spans="1:19" ht="15" customHeight="1" x14ac:dyDescent="0.2">
      <c r="A195" s="50" t="s">
        <v>64</v>
      </c>
      <c r="B195" s="50">
        <v>441639969</v>
      </c>
      <c r="C195" s="50" t="s">
        <v>370</v>
      </c>
      <c r="D195" s="51">
        <v>44896</v>
      </c>
      <c r="E195" s="50" t="s">
        <v>127</v>
      </c>
      <c r="F195" s="51">
        <v>45809</v>
      </c>
      <c r="G195" s="51">
        <v>45839</v>
      </c>
      <c r="H195" s="50">
        <v>1</v>
      </c>
      <c r="I195" s="52">
        <v>9</v>
      </c>
      <c r="J195" s="53">
        <v>0.09</v>
      </c>
      <c r="K195" s="52">
        <v>0.81</v>
      </c>
      <c r="L195" s="50" t="s">
        <v>71</v>
      </c>
      <c r="M195" s="54" t="s">
        <v>170</v>
      </c>
      <c r="N195" s="48" t="s">
        <v>157</v>
      </c>
      <c r="O195" s="48" t="s">
        <v>171</v>
      </c>
      <c r="P195" s="48">
        <v>16243811</v>
      </c>
      <c r="Q195" s="48" t="str">
        <f>CONCATENATE(M195, " ",N195, " ",O195)</f>
        <v>Kimberly Anne Dickerson</v>
      </c>
      <c r="R195" s="55" t="s">
        <v>382</v>
      </c>
      <c r="S195" s="48" t="s">
        <v>409</v>
      </c>
    </row>
    <row r="196" spans="1:19" ht="15" customHeight="1" x14ac:dyDescent="0.2">
      <c r="A196" s="50" t="s">
        <v>64</v>
      </c>
      <c r="B196" s="50">
        <v>441639970</v>
      </c>
      <c r="C196" s="50" t="s">
        <v>370</v>
      </c>
      <c r="D196" s="51">
        <v>44896</v>
      </c>
      <c r="E196" s="50" t="s">
        <v>135</v>
      </c>
      <c r="F196" s="51">
        <v>45809</v>
      </c>
      <c r="G196" s="51">
        <v>45839</v>
      </c>
      <c r="H196" s="50">
        <v>1</v>
      </c>
      <c r="I196" s="52">
        <v>9</v>
      </c>
      <c r="J196" s="53">
        <v>0.09</v>
      </c>
      <c r="K196" s="52">
        <v>0.81</v>
      </c>
      <c r="L196" s="50" t="s">
        <v>71</v>
      </c>
      <c r="M196" s="54" t="s">
        <v>170</v>
      </c>
      <c r="N196" s="48" t="s">
        <v>157</v>
      </c>
      <c r="O196" s="48" t="s">
        <v>171</v>
      </c>
      <c r="P196" s="48">
        <v>16243811</v>
      </c>
      <c r="Q196" s="48" t="str">
        <f>CONCATENATE(M196, " ",N196, " ",O196)</f>
        <v>Kimberly Anne Dickerson</v>
      </c>
      <c r="R196" s="55" t="s">
        <v>386</v>
      </c>
      <c r="S196" s="48" t="s">
        <v>412</v>
      </c>
    </row>
    <row r="197" spans="1:19" ht="15" customHeight="1" x14ac:dyDescent="0.2">
      <c r="A197" s="50" t="s">
        <v>64</v>
      </c>
      <c r="B197" s="50">
        <v>441639971</v>
      </c>
      <c r="C197" s="50" t="s">
        <v>370</v>
      </c>
      <c r="D197" s="51">
        <v>44896</v>
      </c>
      <c r="E197" s="50" t="s">
        <v>137</v>
      </c>
      <c r="F197" s="51">
        <v>45809</v>
      </c>
      <c r="G197" s="51">
        <v>45839</v>
      </c>
      <c r="H197" s="50">
        <v>1</v>
      </c>
      <c r="I197" s="52">
        <v>42.64</v>
      </c>
      <c r="J197" s="53">
        <v>0.09</v>
      </c>
      <c r="K197" s="52">
        <v>3.84</v>
      </c>
      <c r="L197" s="50" t="s">
        <v>71</v>
      </c>
      <c r="M197" s="54" t="s">
        <v>170</v>
      </c>
      <c r="N197" s="48" t="s">
        <v>157</v>
      </c>
      <c r="O197" s="48" t="s">
        <v>171</v>
      </c>
      <c r="P197" s="48">
        <v>16243811</v>
      </c>
      <c r="Q197" s="48" t="str">
        <f>CONCATENATE(M197, " ",N197, " ",O197)</f>
        <v>Kimberly Anne Dickerson</v>
      </c>
      <c r="R197" s="55" t="s">
        <v>387</v>
      </c>
      <c r="S197" s="48" t="s">
        <v>413</v>
      </c>
    </row>
    <row r="198" spans="1:19" ht="15" customHeight="1" x14ac:dyDescent="0.2">
      <c r="A198" s="50" t="s">
        <v>64</v>
      </c>
      <c r="B198" s="50">
        <v>441639972</v>
      </c>
      <c r="C198" s="50" t="s">
        <v>370</v>
      </c>
      <c r="D198" s="51">
        <v>44896</v>
      </c>
      <c r="E198" s="50" t="s">
        <v>130</v>
      </c>
      <c r="F198" s="51">
        <v>45809</v>
      </c>
      <c r="G198" s="51">
        <v>45839</v>
      </c>
      <c r="H198" s="50">
        <v>1</v>
      </c>
      <c r="I198" s="52">
        <v>28</v>
      </c>
      <c r="J198" s="53">
        <v>0.09</v>
      </c>
      <c r="K198" s="52">
        <v>2.52</v>
      </c>
      <c r="L198" s="50" t="s">
        <v>71</v>
      </c>
      <c r="M198" s="54" t="s">
        <v>170</v>
      </c>
      <c r="N198" s="48" t="s">
        <v>157</v>
      </c>
      <c r="O198" s="48" t="s">
        <v>171</v>
      </c>
      <c r="P198" s="48">
        <v>16243811</v>
      </c>
      <c r="Q198" s="48" t="str">
        <f>CONCATENATE(M198, " ",N198, " ",O198)</f>
        <v>Kimberly Anne Dickerson</v>
      </c>
      <c r="R198" s="55" t="s">
        <v>381</v>
      </c>
      <c r="S198" s="48" t="s">
        <v>408</v>
      </c>
    </row>
    <row r="199" spans="1:19" ht="15" customHeight="1" x14ac:dyDescent="0.2">
      <c r="A199" s="50" t="s">
        <v>64</v>
      </c>
      <c r="B199" s="50">
        <v>441639973</v>
      </c>
      <c r="C199" s="50" t="s">
        <v>370</v>
      </c>
      <c r="D199" s="51">
        <v>44896</v>
      </c>
      <c r="E199" s="50" t="s">
        <v>118</v>
      </c>
      <c r="F199" s="51">
        <v>45809</v>
      </c>
      <c r="G199" s="51">
        <v>45839</v>
      </c>
      <c r="H199" s="50">
        <v>1</v>
      </c>
      <c r="I199" s="52">
        <v>4.8</v>
      </c>
      <c r="J199" s="53">
        <v>0.09</v>
      </c>
      <c r="K199" s="52">
        <v>0.43</v>
      </c>
      <c r="L199" s="50" t="s">
        <v>71</v>
      </c>
      <c r="M199" s="54" t="s">
        <v>170</v>
      </c>
      <c r="N199" s="48" t="s">
        <v>157</v>
      </c>
      <c r="O199" s="48" t="s">
        <v>171</v>
      </c>
      <c r="P199" s="48">
        <v>16243811</v>
      </c>
      <c r="Q199" s="48" t="str">
        <f>CONCATENATE(M199, " ",N199, " ",O199)</f>
        <v>Kimberly Anne Dickerson</v>
      </c>
      <c r="R199" s="55" t="s">
        <v>380</v>
      </c>
      <c r="S199" s="48" t="s">
        <v>409</v>
      </c>
    </row>
    <row r="200" spans="1:19" ht="15" customHeight="1" x14ac:dyDescent="0.2">
      <c r="A200" s="50" t="s">
        <v>64</v>
      </c>
      <c r="B200" s="50">
        <v>441639974</v>
      </c>
      <c r="C200" s="50" t="s">
        <v>370</v>
      </c>
      <c r="D200" s="51">
        <v>44896</v>
      </c>
      <c r="E200" s="50" t="s">
        <v>132</v>
      </c>
      <c r="F200" s="51">
        <v>45809</v>
      </c>
      <c r="G200" s="51">
        <v>45839</v>
      </c>
      <c r="H200" s="50">
        <v>1</v>
      </c>
      <c r="I200" s="52">
        <v>23</v>
      </c>
      <c r="J200" s="53">
        <v>0.09</v>
      </c>
      <c r="K200" s="52">
        <v>2.0699999999999998</v>
      </c>
      <c r="L200" s="50" t="s">
        <v>71</v>
      </c>
      <c r="M200" s="54" t="s">
        <v>170</v>
      </c>
      <c r="N200" s="48" t="s">
        <v>157</v>
      </c>
      <c r="O200" s="48" t="s">
        <v>171</v>
      </c>
      <c r="P200" s="48">
        <v>16243811</v>
      </c>
      <c r="Q200" s="48" t="str">
        <f>CONCATENATE(M200, " ",N200, " ",O200)</f>
        <v>Kimberly Anne Dickerson</v>
      </c>
      <c r="R200" s="55" t="s">
        <v>383</v>
      </c>
      <c r="S200" s="48" t="s">
        <v>418</v>
      </c>
    </row>
    <row r="201" spans="1:19" ht="15" customHeight="1" x14ac:dyDescent="0.2">
      <c r="A201" s="50" t="s">
        <v>64</v>
      </c>
      <c r="B201" s="50">
        <v>441647531</v>
      </c>
      <c r="C201" s="50" t="s">
        <v>363</v>
      </c>
      <c r="D201" s="51">
        <v>44896</v>
      </c>
      <c r="E201" s="50" t="s">
        <v>364</v>
      </c>
      <c r="F201" s="51">
        <v>45809</v>
      </c>
      <c r="G201" s="51">
        <v>45839</v>
      </c>
      <c r="H201" s="50">
        <v>1</v>
      </c>
      <c r="I201" s="52">
        <v>80.48</v>
      </c>
      <c r="J201" s="53">
        <v>0.09</v>
      </c>
      <c r="K201" s="52">
        <v>7.24</v>
      </c>
      <c r="L201" s="50" t="s">
        <v>71</v>
      </c>
      <c r="M201" s="54" t="s">
        <v>170</v>
      </c>
      <c r="N201" s="48" t="s">
        <v>157</v>
      </c>
      <c r="O201" s="48" t="s">
        <v>171</v>
      </c>
      <c r="P201" s="48">
        <v>16243811</v>
      </c>
      <c r="Q201" s="48" t="str">
        <f>CONCATENATE(M201, " ",N201, " ",O201)</f>
        <v>Kimberly Anne Dickerson</v>
      </c>
      <c r="R201" s="55" t="s">
        <v>391</v>
      </c>
      <c r="S201" s="48" t="s">
        <v>409</v>
      </c>
    </row>
    <row r="202" spans="1:19" ht="15" customHeight="1" x14ac:dyDescent="0.2">
      <c r="A202" s="50" t="s">
        <v>64</v>
      </c>
      <c r="B202" s="50">
        <v>441647685</v>
      </c>
      <c r="C202" s="50" t="s">
        <v>351</v>
      </c>
      <c r="D202" s="51">
        <v>44896</v>
      </c>
      <c r="E202" s="50" t="s">
        <v>135</v>
      </c>
      <c r="F202" s="51">
        <v>45809</v>
      </c>
      <c r="G202" s="51">
        <v>45839</v>
      </c>
      <c r="H202" s="50">
        <v>1</v>
      </c>
      <c r="I202" s="52">
        <v>9</v>
      </c>
      <c r="J202" s="53">
        <v>0.09</v>
      </c>
      <c r="K202" s="52">
        <v>0.81</v>
      </c>
      <c r="L202" s="50" t="s">
        <v>71</v>
      </c>
      <c r="M202" s="54" t="s">
        <v>170</v>
      </c>
      <c r="N202" s="48" t="s">
        <v>157</v>
      </c>
      <c r="O202" s="48" t="s">
        <v>171</v>
      </c>
      <c r="P202" s="48">
        <v>16243811</v>
      </c>
      <c r="Q202" s="48" t="str">
        <f>CONCATENATE(M202, " ",N202, " ",O202)</f>
        <v>Kimberly Anne Dickerson</v>
      </c>
      <c r="R202" s="55" t="s">
        <v>386</v>
      </c>
      <c r="S202" s="48" t="s">
        <v>412</v>
      </c>
    </row>
    <row r="203" spans="1:19" ht="15" customHeight="1" x14ac:dyDescent="0.2">
      <c r="A203" s="50" t="s">
        <v>64</v>
      </c>
      <c r="B203" s="50">
        <v>441647687</v>
      </c>
      <c r="C203" s="50" t="s">
        <v>351</v>
      </c>
      <c r="D203" s="51">
        <v>44896</v>
      </c>
      <c r="E203" s="50" t="s">
        <v>137</v>
      </c>
      <c r="F203" s="51">
        <v>45809</v>
      </c>
      <c r="G203" s="51">
        <v>45839</v>
      </c>
      <c r="H203" s="50">
        <v>1</v>
      </c>
      <c r="I203" s="52">
        <v>42.64</v>
      </c>
      <c r="J203" s="53">
        <v>0.09</v>
      </c>
      <c r="K203" s="52">
        <v>3.84</v>
      </c>
      <c r="L203" s="50" t="s">
        <v>71</v>
      </c>
      <c r="M203" s="54" t="s">
        <v>170</v>
      </c>
      <c r="N203" s="48" t="s">
        <v>157</v>
      </c>
      <c r="O203" s="48" t="s">
        <v>171</v>
      </c>
      <c r="P203" s="48">
        <v>16243811</v>
      </c>
      <c r="Q203" s="48" t="str">
        <f>CONCATENATE(M203, " ",N203, " ",O203)</f>
        <v>Kimberly Anne Dickerson</v>
      </c>
      <c r="R203" s="55" t="s">
        <v>387</v>
      </c>
      <c r="S203" s="48" t="s">
        <v>413</v>
      </c>
    </row>
    <row r="204" spans="1:19" ht="15" customHeight="1" x14ac:dyDescent="0.2">
      <c r="A204" s="50" t="s">
        <v>64</v>
      </c>
      <c r="B204" s="50">
        <v>441657234</v>
      </c>
      <c r="C204" s="50" t="s">
        <v>353</v>
      </c>
      <c r="D204" s="51">
        <v>44896</v>
      </c>
      <c r="E204" s="50" t="s">
        <v>354</v>
      </c>
      <c r="F204" s="51">
        <v>45809</v>
      </c>
      <c r="G204" s="51">
        <v>45839</v>
      </c>
      <c r="H204" s="50">
        <v>1</v>
      </c>
      <c r="I204" s="52">
        <v>25</v>
      </c>
      <c r="J204" s="53">
        <v>0.09</v>
      </c>
      <c r="K204" s="52">
        <v>2.25</v>
      </c>
      <c r="L204" s="50" t="s">
        <v>71</v>
      </c>
      <c r="M204" s="54" t="s">
        <v>170</v>
      </c>
      <c r="N204" s="48" t="s">
        <v>157</v>
      </c>
      <c r="O204" s="48" t="s">
        <v>171</v>
      </c>
      <c r="P204" s="48">
        <v>16243811</v>
      </c>
      <c r="Q204" s="48" t="str">
        <f>CONCATENATE(M204, " ",N204, " ",O204)</f>
        <v>Kimberly Anne Dickerson</v>
      </c>
      <c r="R204" s="55" t="s">
        <v>394</v>
      </c>
      <c r="S204" s="48" t="s">
        <v>419</v>
      </c>
    </row>
    <row r="205" spans="1:19" ht="15" customHeight="1" x14ac:dyDescent="0.2">
      <c r="A205" s="50" t="s">
        <v>64</v>
      </c>
      <c r="B205" s="50">
        <v>441668237</v>
      </c>
      <c r="C205" s="50" t="s">
        <v>365</v>
      </c>
      <c r="D205" s="51">
        <v>44897</v>
      </c>
      <c r="E205" s="50" t="s">
        <v>175</v>
      </c>
      <c r="F205" s="51">
        <v>45809</v>
      </c>
      <c r="G205" s="51">
        <v>45839</v>
      </c>
      <c r="H205" s="50">
        <v>1</v>
      </c>
      <c r="I205" s="52">
        <v>38.700000000000003</v>
      </c>
      <c r="J205" s="53">
        <v>0.09</v>
      </c>
      <c r="K205" s="52">
        <v>3.48</v>
      </c>
      <c r="L205" s="50" t="s">
        <v>71</v>
      </c>
      <c r="M205" s="54" t="s">
        <v>170</v>
      </c>
      <c r="N205" s="48" t="s">
        <v>157</v>
      </c>
      <c r="O205" s="48" t="s">
        <v>171</v>
      </c>
      <c r="P205" s="48">
        <v>16243811</v>
      </c>
      <c r="Q205" s="48" t="str">
        <f>CONCATENATE(M205, " ",N205, " ",O205)</f>
        <v>Kimberly Anne Dickerson</v>
      </c>
      <c r="R205" s="55" t="s">
        <v>390</v>
      </c>
      <c r="S205" s="48" t="s">
        <v>411</v>
      </c>
    </row>
    <row r="206" spans="1:19" ht="15" customHeight="1" x14ac:dyDescent="0.2">
      <c r="A206" s="50" t="s">
        <v>64</v>
      </c>
      <c r="B206" s="50">
        <v>441671088</v>
      </c>
      <c r="C206" s="50" t="s">
        <v>360</v>
      </c>
      <c r="D206" s="51">
        <v>44896</v>
      </c>
      <c r="E206" s="50" t="s">
        <v>137</v>
      </c>
      <c r="F206" s="51">
        <v>45809</v>
      </c>
      <c r="G206" s="51">
        <v>45839</v>
      </c>
      <c r="H206" s="50">
        <v>1</v>
      </c>
      <c r="I206" s="52">
        <v>42.64</v>
      </c>
      <c r="J206" s="53">
        <v>0.09</v>
      </c>
      <c r="K206" s="52">
        <v>3.84</v>
      </c>
      <c r="L206" s="50" t="s">
        <v>71</v>
      </c>
      <c r="M206" s="54" t="s">
        <v>170</v>
      </c>
      <c r="N206" s="48" t="s">
        <v>157</v>
      </c>
      <c r="O206" s="48" t="s">
        <v>171</v>
      </c>
      <c r="P206" s="48">
        <v>16243811</v>
      </c>
      <c r="Q206" s="48" t="str">
        <f>CONCATENATE(M206, " ",N206, " ",O206)</f>
        <v>Kimberly Anne Dickerson</v>
      </c>
      <c r="R206" s="55" t="s">
        <v>387</v>
      </c>
      <c r="S206" s="48" t="s">
        <v>413</v>
      </c>
    </row>
    <row r="207" spans="1:19" ht="15" customHeight="1" x14ac:dyDescent="0.2">
      <c r="A207" s="50" t="s">
        <v>64</v>
      </c>
      <c r="B207" s="50">
        <v>441672109</v>
      </c>
      <c r="C207" s="50" t="s">
        <v>360</v>
      </c>
      <c r="D207" s="51">
        <v>44896</v>
      </c>
      <c r="E207" s="50" t="s">
        <v>135</v>
      </c>
      <c r="F207" s="51">
        <v>45809</v>
      </c>
      <c r="G207" s="51">
        <v>45839</v>
      </c>
      <c r="H207" s="50">
        <v>1</v>
      </c>
      <c r="I207" s="52">
        <v>9</v>
      </c>
      <c r="J207" s="53">
        <v>0.09</v>
      </c>
      <c r="K207" s="52">
        <v>0.81</v>
      </c>
      <c r="L207" s="50" t="s">
        <v>71</v>
      </c>
      <c r="M207" s="54" t="s">
        <v>170</v>
      </c>
      <c r="N207" s="48" t="s">
        <v>157</v>
      </c>
      <c r="O207" s="48" t="s">
        <v>171</v>
      </c>
      <c r="P207" s="48">
        <v>16243811</v>
      </c>
      <c r="Q207" s="48" t="str">
        <f>CONCATENATE(M207, " ",N207, " ",O207)</f>
        <v>Kimberly Anne Dickerson</v>
      </c>
      <c r="R207" s="55" t="s">
        <v>386</v>
      </c>
      <c r="S207" s="48" t="s">
        <v>412</v>
      </c>
    </row>
    <row r="208" spans="1:19" ht="15" customHeight="1" x14ac:dyDescent="0.2">
      <c r="A208" s="50" t="s">
        <v>64</v>
      </c>
      <c r="B208" s="56">
        <v>441674279</v>
      </c>
      <c r="C208" s="50" t="s">
        <v>149</v>
      </c>
      <c r="D208" s="51">
        <v>44900</v>
      </c>
      <c r="E208" s="50" t="s">
        <v>137</v>
      </c>
      <c r="F208" s="51">
        <v>45809</v>
      </c>
      <c r="G208" s="51">
        <v>45839</v>
      </c>
      <c r="H208" s="56">
        <v>1</v>
      </c>
      <c r="I208" s="52">
        <v>85.28</v>
      </c>
      <c r="J208" s="53">
        <v>0.09</v>
      </c>
      <c r="K208" s="52">
        <v>7.68</v>
      </c>
      <c r="L208" s="50" t="s">
        <v>71</v>
      </c>
      <c r="M208" s="54" t="s">
        <v>170</v>
      </c>
      <c r="N208" s="48" t="s">
        <v>157</v>
      </c>
      <c r="O208" s="48" t="s">
        <v>171</v>
      </c>
      <c r="P208" s="48">
        <v>16243811</v>
      </c>
      <c r="Q208" s="48" t="str">
        <f>CONCATENATE(M208, " ",N208, " ",O208)</f>
        <v>Kimberly Anne Dickerson</v>
      </c>
      <c r="R208" s="55" t="s">
        <v>387</v>
      </c>
      <c r="S208" s="48" t="s">
        <v>413</v>
      </c>
    </row>
    <row r="209" spans="1:19" ht="15" customHeight="1" x14ac:dyDescent="0.2">
      <c r="A209" s="50" t="s">
        <v>64</v>
      </c>
      <c r="B209" s="56">
        <v>441674280</v>
      </c>
      <c r="C209" s="50" t="s">
        <v>149</v>
      </c>
      <c r="D209" s="51">
        <v>44900</v>
      </c>
      <c r="E209" s="50" t="s">
        <v>135</v>
      </c>
      <c r="F209" s="51">
        <v>45809</v>
      </c>
      <c r="G209" s="51">
        <v>45839</v>
      </c>
      <c r="H209" s="56">
        <v>1</v>
      </c>
      <c r="I209" s="52">
        <v>16</v>
      </c>
      <c r="J209" s="53">
        <v>0.09</v>
      </c>
      <c r="K209" s="52">
        <v>1.44</v>
      </c>
      <c r="L209" s="50" t="s">
        <v>71</v>
      </c>
      <c r="M209" s="54" t="s">
        <v>170</v>
      </c>
      <c r="N209" s="48" t="s">
        <v>157</v>
      </c>
      <c r="O209" s="48" t="s">
        <v>171</v>
      </c>
      <c r="P209" s="48">
        <v>16243811</v>
      </c>
      <c r="Q209" s="48" t="str">
        <f>CONCATENATE(M209, " ",N209, " ",O209)</f>
        <v>Kimberly Anne Dickerson</v>
      </c>
      <c r="R209" s="55" t="s">
        <v>386</v>
      </c>
      <c r="S209" s="48" t="s">
        <v>412</v>
      </c>
    </row>
    <row r="210" spans="1:19" ht="15" customHeight="1" x14ac:dyDescent="0.2">
      <c r="A210" s="50" t="s">
        <v>64</v>
      </c>
      <c r="B210" s="56">
        <v>441697647</v>
      </c>
      <c r="C210" s="50" t="s">
        <v>141</v>
      </c>
      <c r="D210" s="51">
        <v>44908</v>
      </c>
      <c r="E210" s="50" t="s">
        <v>120</v>
      </c>
      <c r="F210" s="51">
        <v>45809</v>
      </c>
      <c r="G210" s="51">
        <v>45839</v>
      </c>
      <c r="H210" s="56">
        <v>1</v>
      </c>
      <c r="I210" s="52">
        <v>56.5</v>
      </c>
      <c r="J210" s="53">
        <v>0.09</v>
      </c>
      <c r="K210" s="52">
        <v>5.09</v>
      </c>
      <c r="L210" s="50" t="s">
        <v>71</v>
      </c>
      <c r="M210" s="54" t="s">
        <v>170</v>
      </c>
      <c r="N210" s="48" t="s">
        <v>157</v>
      </c>
      <c r="O210" s="48" t="s">
        <v>171</v>
      </c>
      <c r="P210" s="48">
        <v>16243811</v>
      </c>
      <c r="Q210" s="48" t="str">
        <f>CONCATENATE(M210, " ",N210, " ",O210)</f>
        <v>Kimberly Anne Dickerson</v>
      </c>
      <c r="R210" s="55" t="s">
        <v>378</v>
      </c>
      <c r="S210" s="48" t="s">
        <v>419</v>
      </c>
    </row>
    <row r="211" spans="1:19" ht="15" customHeight="1" x14ac:dyDescent="0.2">
      <c r="A211" s="50" t="s">
        <v>64</v>
      </c>
      <c r="B211" s="56">
        <v>441697650</v>
      </c>
      <c r="C211" s="50" t="s">
        <v>141</v>
      </c>
      <c r="D211" s="51">
        <v>44908</v>
      </c>
      <c r="E211" s="50" t="s">
        <v>143</v>
      </c>
      <c r="F211" s="51">
        <v>45809</v>
      </c>
      <c r="G211" s="51">
        <v>45839</v>
      </c>
      <c r="H211" s="56">
        <v>1</v>
      </c>
      <c r="I211" s="52">
        <v>16</v>
      </c>
      <c r="J211" s="53">
        <v>0.09</v>
      </c>
      <c r="K211" s="52">
        <v>1.44</v>
      </c>
      <c r="L211" s="50" t="s">
        <v>71</v>
      </c>
      <c r="M211" s="54" t="s">
        <v>170</v>
      </c>
      <c r="N211" s="48" t="s">
        <v>157</v>
      </c>
      <c r="O211" s="48" t="s">
        <v>171</v>
      </c>
      <c r="P211" s="48">
        <v>16243811</v>
      </c>
      <c r="Q211" s="48" t="str">
        <f>CONCATENATE(M211, " ",N211, " ",O211)</f>
        <v>Kimberly Anne Dickerson</v>
      </c>
      <c r="R211" s="55" t="s">
        <v>386</v>
      </c>
      <c r="S211" s="48" t="s">
        <v>412</v>
      </c>
    </row>
    <row r="212" spans="1:19" ht="15" customHeight="1" x14ac:dyDescent="0.2">
      <c r="A212" s="50" t="s">
        <v>64</v>
      </c>
      <c r="B212" s="56">
        <v>441699461</v>
      </c>
      <c r="C212" s="50" t="s">
        <v>126</v>
      </c>
      <c r="D212" s="51">
        <v>44908</v>
      </c>
      <c r="E212" s="50" t="s">
        <v>127</v>
      </c>
      <c r="F212" s="51">
        <v>45809</v>
      </c>
      <c r="G212" s="51">
        <v>45839</v>
      </c>
      <c r="H212" s="56">
        <v>1</v>
      </c>
      <c r="I212" s="52">
        <v>15</v>
      </c>
      <c r="J212" s="53">
        <v>0.09</v>
      </c>
      <c r="K212" s="52">
        <v>1.35</v>
      </c>
      <c r="L212" s="50" t="s">
        <v>71</v>
      </c>
      <c r="M212" s="54" t="s">
        <v>170</v>
      </c>
      <c r="N212" s="48" t="s">
        <v>157</v>
      </c>
      <c r="O212" s="48" t="s">
        <v>171</v>
      </c>
      <c r="P212" s="48">
        <v>16243811</v>
      </c>
      <c r="Q212" s="48" t="str">
        <f>CONCATENATE(M212, " ",N212, " ",O212)</f>
        <v>Kimberly Anne Dickerson</v>
      </c>
      <c r="R212" s="55" t="s">
        <v>382</v>
      </c>
      <c r="S212" s="48" t="s">
        <v>409</v>
      </c>
    </row>
    <row r="213" spans="1:19" ht="15" customHeight="1" x14ac:dyDescent="0.2">
      <c r="A213" s="50" t="s">
        <v>64</v>
      </c>
      <c r="B213" s="56">
        <v>441699462</v>
      </c>
      <c r="C213" s="50" t="s">
        <v>126</v>
      </c>
      <c r="D213" s="51">
        <v>44908</v>
      </c>
      <c r="E213" s="50" t="s">
        <v>118</v>
      </c>
      <c r="F213" s="51">
        <v>45809</v>
      </c>
      <c r="G213" s="51">
        <v>45839</v>
      </c>
      <c r="H213" s="56">
        <v>1</v>
      </c>
      <c r="I213" s="52">
        <v>6.3</v>
      </c>
      <c r="J213" s="53">
        <v>0.09</v>
      </c>
      <c r="K213" s="52">
        <v>0.56999999999999995</v>
      </c>
      <c r="L213" s="50" t="s">
        <v>71</v>
      </c>
      <c r="M213" s="54" t="s">
        <v>170</v>
      </c>
      <c r="N213" s="48" t="s">
        <v>157</v>
      </c>
      <c r="O213" s="48" t="s">
        <v>171</v>
      </c>
      <c r="P213" s="48">
        <v>16243811</v>
      </c>
      <c r="Q213" s="48" t="str">
        <f>CONCATENATE(M213, " ",N213, " ",O213)</f>
        <v>Kimberly Anne Dickerson</v>
      </c>
      <c r="R213" s="55" t="s">
        <v>380</v>
      </c>
      <c r="S213" s="48" t="s">
        <v>409</v>
      </c>
    </row>
    <row r="214" spans="1:19" ht="15" customHeight="1" x14ac:dyDescent="0.2">
      <c r="A214" s="50" t="s">
        <v>64</v>
      </c>
      <c r="B214" s="56">
        <v>441699464</v>
      </c>
      <c r="C214" s="50" t="s">
        <v>126</v>
      </c>
      <c r="D214" s="51">
        <v>44908</v>
      </c>
      <c r="E214" s="50" t="s">
        <v>130</v>
      </c>
      <c r="F214" s="51">
        <v>45809</v>
      </c>
      <c r="G214" s="51">
        <v>45839</v>
      </c>
      <c r="H214" s="56">
        <v>1</v>
      </c>
      <c r="I214" s="52">
        <v>28</v>
      </c>
      <c r="J214" s="53">
        <v>0.09</v>
      </c>
      <c r="K214" s="52">
        <v>2.52</v>
      </c>
      <c r="L214" s="50" t="s">
        <v>71</v>
      </c>
      <c r="M214" s="54" t="s">
        <v>170</v>
      </c>
      <c r="N214" s="48" t="s">
        <v>157</v>
      </c>
      <c r="O214" s="48" t="s">
        <v>171</v>
      </c>
      <c r="P214" s="48">
        <v>16243811</v>
      </c>
      <c r="Q214" s="48" t="str">
        <f>CONCATENATE(M214, " ",N214, " ",O214)</f>
        <v>Kimberly Anne Dickerson</v>
      </c>
      <c r="R214" s="55" t="s">
        <v>381</v>
      </c>
      <c r="S214" s="48" t="s">
        <v>408</v>
      </c>
    </row>
    <row r="215" spans="1:19" ht="15" customHeight="1" x14ac:dyDescent="0.2">
      <c r="A215" s="50" t="s">
        <v>64</v>
      </c>
      <c r="B215" s="56">
        <v>441699465</v>
      </c>
      <c r="C215" s="50" t="s">
        <v>126</v>
      </c>
      <c r="D215" s="51">
        <v>44908</v>
      </c>
      <c r="E215" s="50" t="s">
        <v>132</v>
      </c>
      <c r="F215" s="51">
        <v>45809</v>
      </c>
      <c r="G215" s="51">
        <v>45839</v>
      </c>
      <c r="H215" s="56">
        <v>1</v>
      </c>
      <c r="I215" s="52">
        <v>23</v>
      </c>
      <c r="J215" s="53">
        <v>0.09</v>
      </c>
      <c r="K215" s="52">
        <v>2.0699999999999998</v>
      </c>
      <c r="L215" s="50" t="s">
        <v>71</v>
      </c>
      <c r="M215" s="54" t="s">
        <v>170</v>
      </c>
      <c r="N215" s="48" t="s">
        <v>157</v>
      </c>
      <c r="O215" s="48" t="s">
        <v>171</v>
      </c>
      <c r="P215" s="48">
        <v>16243811</v>
      </c>
      <c r="Q215" s="48" t="str">
        <f>CONCATENATE(M215, " ",N215, " ",O215)</f>
        <v>Kimberly Anne Dickerson</v>
      </c>
      <c r="R215" s="55" t="s">
        <v>383</v>
      </c>
      <c r="S215" s="48" t="s">
        <v>418</v>
      </c>
    </row>
    <row r="216" spans="1:19" ht="15" customHeight="1" x14ac:dyDescent="0.2">
      <c r="A216" s="50" t="s">
        <v>64</v>
      </c>
      <c r="B216" s="56">
        <v>441707181</v>
      </c>
      <c r="C216" s="50" t="s">
        <v>139</v>
      </c>
      <c r="D216" s="51">
        <v>44909</v>
      </c>
      <c r="E216" s="50" t="s">
        <v>120</v>
      </c>
      <c r="F216" s="51">
        <v>45809</v>
      </c>
      <c r="G216" s="51">
        <v>45839</v>
      </c>
      <c r="H216" s="56">
        <v>1</v>
      </c>
      <c r="I216" s="52">
        <v>41.7</v>
      </c>
      <c r="J216" s="53">
        <v>0.09</v>
      </c>
      <c r="K216" s="52">
        <v>3.75</v>
      </c>
      <c r="L216" s="50" t="s">
        <v>71</v>
      </c>
      <c r="M216" s="54" t="s">
        <v>170</v>
      </c>
      <c r="N216" s="48" t="s">
        <v>157</v>
      </c>
      <c r="O216" s="48" t="s">
        <v>171</v>
      </c>
      <c r="P216" s="48">
        <v>16243811</v>
      </c>
      <c r="Q216" s="48" t="str">
        <f>CONCATENATE(M216, " ",N216, " ",O216)</f>
        <v>Kimberly Anne Dickerson</v>
      </c>
      <c r="R216" s="55" t="s">
        <v>378</v>
      </c>
      <c r="S216" s="48" t="s">
        <v>419</v>
      </c>
    </row>
    <row r="217" spans="1:19" ht="15" customHeight="1" x14ac:dyDescent="0.2">
      <c r="A217" s="50" t="s">
        <v>64</v>
      </c>
      <c r="B217" s="56">
        <v>441713408</v>
      </c>
      <c r="C217" s="50" t="s">
        <v>145</v>
      </c>
      <c r="D217" s="51">
        <v>44910</v>
      </c>
      <c r="E217" s="50" t="s">
        <v>146</v>
      </c>
      <c r="F217" s="51">
        <v>45809</v>
      </c>
      <c r="G217" s="51">
        <v>45839</v>
      </c>
      <c r="H217" s="56">
        <v>1</v>
      </c>
      <c r="I217" s="52">
        <v>6.66</v>
      </c>
      <c r="J217" s="53">
        <v>0.09</v>
      </c>
      <c r="K217" s="52">
        <v>0.6</v>
      </c>
      <c r="L217" s="50" t="s">
        <v>71</v>
      </c>
      <c r="M217" s="54" t="s">
        <v>170</v>
      </c>
      <c r="N217" s="48" t="s">
        <v>157</v>
      </c>
      <c r="O217" s="48" t="s">
        <v>171</v>
      </c>
      <c r="P217" s="48">
        <v>16243811</v>
      </c>
      <c r="Q217" s="48" t="str">
        <f>CONCATENATE(M217, " ",N217, " ",O217)</f>
        <v>Kimberly Anne Dickerson</v>
      </c>
      <c r="R217" s="55" t="s">
        <v>380</v>
      </c>
      <c r="S217" s="48" t="s">
        <v>409</v>
      </c>
    </row>
    <row r="218" spans="1:19" ht="15" customHeight="1" x14ac:dyDescent="0.2">
      <c r="A218" s="50" t="s">
        <v>64</v>
      </c>
      <c r="B218" s="56">
        <v>441713409</v>
      </c>
      <c r="C218" s="50" t="s">
        <v>145</v>
      </c>
      <c r="D218" s="51">
        <v>44910</v>
      </c>
      <c r="E218" s="50" t="s">
        <v>75</v>
      </c>
      <c r="F218" s="51">
        <v>45809</v>
      </c>
      <c r="G218" s="51">
        <v>45839</v>
      </c>
      <c r="H218" s="56">
        <v>1</v>
      </c>
      <c r="I218" s="52">
        <v>16</v>
      </c>
      <c r="J218" s="53">
        <v>0.09</v>
      </c>
      <c r="K218" s="52">
        <v>1.44</v>
      </c>
      <c r="L218" s="50" t="s">
        <v>71</v>
      </c>
      <c r="M218" s="54" t="s">
        <v>170</v>
      </c>
      <c r="N218" s="48" t="s">
        <v>157</v>
      </c>
      <c r="O218" s="48" t="s">
        <v>171</v>
      </c>
      <c r="P218" s="48">
        <v>16243811</v>
      </c>
      <c r="Q218" s="48" t="str">
        <f>CONCATENATE(M218, " ",N218, " ",O218)</f>
        <v>Kimberly Anne Dickerson</v>
      </c>
      <c r="R218" s="55" t="s">
        <v>386</v>
      </c>
      <c r="S218" s="48" t="s">
        <v>412</v>
      </c>
    </row>
    <row r="219" spans="1:19" ht="15" customHeight="1" x14ac:dyDescent="0.2">
      <c r="A219" s="50" t="s">
        <v>64</v>
      </c>
      <c r="B219" s="56">
        <v>441713414</v>
      </c>
      <c r="C219" s="50" t="s">
        <v>152</v>
      </c>
      <c r="D219" s="51">
        <v>44910</v>
      </c>
      <c r="E219" s="50" t="s">
        <v>153</v>
      </c>
      <c r="F219" s="51">
        <v>45809</v>
      </c>
      <c r="G219" s="51">
        <v>45839</v>
      </c>
      <c r="H219" s="56">
        <v>1</v>
      </c>
      <c r="I219" s="52">
        <v>19.760000000000002</v>
      </c>
      <c r="J219" s="53">
        <v>0.09</v>
      </c>
      <c r="K219" s="52">
        <v>1.78</v>
      </c>
      <c r="L219" s="50" t="s">
        <v>71</v>
      </c>
      <c r="M219" s="54" t="s">
        <v>170</v>
      </c>
      <c r="N219" s="48" t="s">
        <v>157</v>
      </c>
      <c r="O219" s="48" t="s">
        <v>171</v>
      </c>
      <c r="P219" s="48">
        <v>16243811</v>
      </c>
      <c r="Q219" s="48" t="str">
        <f>CONCATENATE(M219, " ",N219, " ",O219)</f>
        <v>Kimberly Anne Dickerson</v>
      </c>
      <c r="R219" s="55" t="s">
        <v>395</v>
      </c>
      <c r="S219" s="48" t="s">
        <v>413</v>
      </c>
    </row>
    <row r="220" spans="1:19" ht="15" customHeight="1" x14ac:dyDescent="0.2">
      <c r="A220" s="50" t="s">
        <v>64</v>
      </c>
      <c r="B220" s="50">
        <v>441715464</v>
      </c>
      <c r="C220" s="50" t="s">
        <v>352</v>
      </c>
      <c r="D220" s="51">
        <v>44927</v>
      </c>
      <c r="E220" s="50" t="s">
        <v>130</v>
      </c>
      <c r="F220" s="51">
        <v>45809</v>
      </c>
      <c r="G220" s="51">
        <v>45839</v>
      </c>
      <c r="H220" s="50">
        <v>1</v>
      </c>
      <c r="I220" s="52">
        <v>28</v>
      </c>
      <c r="J220" s="53">
        <v>0.09</v>
      </c>
      <c r="K220" s="52">
        <v>2.52</v>
      </c>
      <c r="L220" s="50" t="s">
        <v>71</v>
      </c>
      <c r="M220" s="54" t="s">
        <v>170</v>
      </c>
      <c r="N220" s="48" t="s">
        <v>157</v>
      </c>
      <c r="O220" s="48" t="s">
        <v>171</v>
      </c>
      <c r="P220" s="48">
        <v>16243811</v>
      </c>
      <c r="Q220" s="48" t="str">
        <f>CONCATENATE(M220, " ",N220, " ",O220)</f>
        <v>Kimberly Anne Dickerson</v>
      </c>
      <c r="R220" s="55" t="s">
        <v>381</v>
      </c>
      <c r="S220" s="48" t="s">
        <v>408</v>
      </c>
    </row>
    <row r="221" spans="1:19" ht="15" customHeight="1" x14ac:dyDescent="0.2">
      <c r="A221" s="50" t="s">
        <v>64</v>
      </c>
      <c r="B221" s="50">
        <v>441715465</v>
      </c>
      <c r="C221" s="50" t="s">
        <v>352</v>
      </c>
      <c r="D221" s="51">
        <v>44927</v>
      </c>
      <c r="E221" s="50" t="s">
        <v>137</v>
      </c>
      <c r="F221" s="51">
        <v>45809</v>
      </c>
      <c r="G221" s="51">
        <v>45839</v>
      </c>
      <c r="H221" s="50">
        <v>1</v>
      </c>
      <c r="I221" s="52">
        <v>42.64</v>
      </c>
      <c r="J221" s="53">
        <v>0.09</v>
      </c>
      <c r="K221" s="52">
        <v>3.84</v>
      </c>
      <c r="L221" s="50" t="s">
        <v>71</v>
      </c>
      <c r="M221" s="54" t="s">
        <v>170</v>
      </c>
      <c r="N221" s="48" t="s">
        <v>157</v>
      </c>
      <c r="O221" s="48" t="s">
        <v>171</v>
      </c>
      <c r="P221" s="48">
        <v>16243811</v>
      </c>
      <c r="Q221" s="48" t="str">
        <f>CONCATENATE(M221, " ",N221, " ",O221)</f>
        <v>Kimberly Anne Dickerson</v>
      </c>
      <c r="R221" s="55" t="s">
        <v>387</v>
      </c>
      <c r="S221" s="48" t="s">
        <v>413</v>
      </c>
    </row>
    <row r="222" spans="1:19" ht="15" customHeight="1" x14ac:dyDescent="0.2">
      <c r="A222" s="50" t="s">
        <v>64</v>
      </c>
      <c r="B222" s="50">
        <v>441715466</v>
      </c>
      <c r="C222" s="50" t="s">
        <v>352</v>
      </c>
      <c r="D222" s="51">
        <v>44927</v>
      </c>
      <c r="E222" s="50" t="s">
        <v>127</v>
      </c>
      <c r="F222" s="51">
        <v>45809</v>
      </c>
      <c r="G222" s="51">
        <v>45839</v>
      </c>
      <c r="H222" s="50">
        <v>1</v>
      </c>
      <c r="I222" s="52">
        <v>15</v>
      </c>
      <c r="J222" s="53">
        <v>0.09</v>
      </c>
      <c r="K222" s="52">
        <v>1.35</v>
      </c>
      <c r="L222" s="50" t="s">
        <v>71</v>
      </c>
      <c r="M222" s="54" t="s">
        <v>170</v>
      </c>
      <c r="N222" s="48" t="s">
        <v>157</v>
      </c>
      <c r="O222" s="48" t="s">
        <v>171</v>
      </c>
      <c r="P222" s="48">
        <v>16243811</v>
      </c>
      <c r="Q222" s="48" t="str">
        <f>CONCATENATE(M222, " ",N222, " ",O222)</f>
        <v>Kimberly Anne Dickerson</v>
      </c>
      <c r="R222" s="55" t="s">
        <v>382</v>
      </c>
      <c r="S222" s="48" t="s">
        <v>409</v>
      </c>
    </row>
    <row r="223" spans="1:19" ht="15" customHeight="1" x14ac:dyDescent="0.2">
      <c r="A223" s="50" t="s">
        <v>64</v>
      </c>
      <c r="B223" s="50">
        <v>441715478</v>
      </c>
      <c r="C223" s="50" t="s">
        <v>352</v>
      </c>
      <c r="D223" s="51">
        <v>44927</v>
      </c>
      <c r="E223" s="50" t="s">
        <v>305</v>
      </c>
      <c r="F223" s="51">
        <v>45809</v>
      </c>
      <c r="G223" s="51">
        <v>45839</v>
      </c>
      <c r="H223" s="50">
        <v>1</v>
      </c>
      <c r="I223" s="52">
        <v>24.98</v>
      </c>
      <c r="J223" s="53">
        <v>0.09</v>
      </c>
      <c r="K223" s="52">
        <v>2.25</v>
      </c>
      <c r="L223" s="50" t="s">
        <v>71</v>
      </c>
      <c r="M223" s="54" t="s">
        <v>170</v>
      </c>
      <c r="N223" s="48" t="s">
        <v>157</v>
      </c>
      <c r="O223" s="48" t="s">
        <v>171</v>
      </c>
      <c r="P223" s="48">
        <v>16243811</v>
      </c>
      <c r="Q223" s="48" t="str">
        <f>CONCATENATE(M223, " ",N223, " ",O223)</f>
        <v>Kimberly Anne Dickerson</v>
      </c>
      <c r="R223" s="55" t="s">
        <v>393</v>
      </c>
      <c r="S223" s="48" t="s">
        <v>411</v>
      </c>
    </row>
    <row r="224" spans="1:19" ht="15" customHeight="1" x14ac:dyDescent="0.2">
      <c r="A224" s="50" t="s">
        <v>64</v>
      </c>
      <c r="B224" s="50">
        <v>441730183</v>
      </c>
      <c r="C224" s="50" t="s">
        <v>348</v>
      </c>
      <c r="D224" s="51">
        <v>44927</v>
      </c>
      <c r="E224" s="50" t="s">
        <v>137</v>
      </c>
      <c r="F224" s="51">
        <v>45809</v>
      </c>
      <c r="G224" s="51">
        <v>45839</v>
      </c>
      <c r="H224" s="50">
        <v>1</v>
      </c>
      <c r="I224" s="52">
        <v>42.64</v>
      </c>
      <c r="J224" s="53">
        <v>0.09</v>
      </c>
      <c r="K224" s="52">
        <v>3.84</v>
      </c>
      <c r="L224" s="50" t="s">
        <v>71</v>
      </c>
      <c r="M224" s="54" t="s">
        <v>170</v>
      </c>
      <c r="N224" s="48" t="s">
        <v>157</v>
      </c>
      <c r="O224" s="48" t="s">
        <v>171</v>
      </c>
      <c r="P224" s="48">
        <v>16243811</v>
      </c>
      <c r="Q224" s="48" t="str">
        <f>CONCATENATE(M224, " ",N224, " ",O224)</f>
        <v>Kimberly Anne Dickerson</v>
      </c>
      <c r="R224" s="55" t="s">
        <v>387</v>
      </c>
      <c r="S224" s="48" t="s">
        <v>413</v>
      </c>
    </row>
    <row r="225" spans="1:19" ht="15" customHeight="1" x14ac:dyDescent="0.2">
      <c r="A225" s="50" t="s">
        <v>64</v>
      </c>
      <c r="B225" s="50">
        <v>441730187</v>
      </c>
      <c r="C225" s="50" t="s">
        <v>348</v>
      </c>
      <c r="D225" s="51">
        <v>44927</v>
      </c>
      <c r="E225" s="50" t="s">
        <v>135</v>
      </c>
      <c r="F225" s="51">
        <v>45809</v>
      </c>
      <c r="G225" s="51">
        <v>45839</v>
      </c>
      <c r="H225" s="50">
        <v>1</v>
      </c>
      <c r="I225" s="52">
        <v>9</v>
      </c>
      <c r="J225" s="53">
        <v>0.09</v>
      </c>
      <c r="K225" s="52">
        <v>0.81</v>
      </c>
      <c r="L225" s="50" t="s">
        <v>71</v>
      </c>
      <c r="M225" s="54" t="s">
        <v>170</v>
      </c>
      <c r="N225" s="48" t="s">
        <v>157</v>
      </c>
      <c r="O225" s="48" t="s">
        <v>171</v>
      </c>
      <c r="P225" s="48">
        <v>16243811</v>
      </c>
      <c r="Q225" s="48" t="str">
        <f>CONCATENATE(M225, " ",N225, " ",O225)</f>
        <v>Kimberly Anne Dickerson</v>
      </c>
      <c r="R225" s="55" t="s">
        <v>386</v>
      </c>
      <c r="S225" s="48" t="s">
        <v>412</v>
      </c>
    </row>
    <row r="226" spans="1:19" ht="15" customHeight="1" x14ac:dyDescent="0.2">
      <c r="A226" s="50" t="s">
        <v>64</v>
      </c>
      <c r="B226" s="50">
        <v>441731239</v>
      </c>
      <c r="C226" s="50" t="s">
        <v>373</v>
      </c>
      <c r="D226" s="51">
        <v>44927</v>
      </c>
      <c r="E226" s="50" t="s">
        <v>364</v>
      </c>
      <c r="F226" s="51">
        <v>45809</v>
      </c>
      <c r="G226" s="51">
        <v>45839</v>
      </c>
      <c r="H226" s="50">
        <v>1</v>
      </c>
      <c r="I226" s="52">
        <v>38.630000000000003</v>
      </c>
      <c r="J226" s="53">
        <v>0.09</v>
      </c>
      <c r="K226" s="52">
        <v>3.48</v>
      </c>
      <c r="L226" s="50" t="s">
        <v>71</v>
      </c>
      <c r="M226" s="54" t="s">
        <v>170</v>
      </c>
      <c r="N226" s="48" t="s">
        <v>157</v>
      </c>
      <c r="O226" s="48" t="s">
        <v>171</v>
      </c>
      <c r="P226" s="48">
        <v>16243811</v>
      </c>
      <c r="Q226" s="48" t="str">
        <f>CONCATENATE(M226, " ",N226, " ",O226)</f>
        <v>Kimberly Anne Dickerson</v>
      </c>
      <c r="R226" s="55" t="s">
        <v>391</v>
      </c>
      <c r="S226" s="48" t="s">
        <v>409</v>
      </c>
    </row>
    <row r="227" spans="1:19" ht="15" customHeight="1" x14ac:dyDescent="0.2">
      <c r="A227" s="50" t="s">
        <v>64</v>
      </c>
      <c r="B227" s="50">
        <v>441731240</v>
      </c>
      <c r="C227" s="50" t="s">
        <v>373</v>
      </c>
      <c r="D227" s="51">
        <v>44927</v>
      </c>
      <c r="E227" s="50" t="s">
        <v>135</v>
      </c>
      <c r="F227" s="51">
        <v>45809</v>
      </c>
      <c r="G227" s="51">
        <v>45839</v>
      </c>
      <c r="H227" s="50">
        <v>1</v>
      </c>
      <c r="I227" s="52">
        <v>9</v>
      </c>
      <c r="J227" s="53">
        <v>0.09</v>
      </c>
      <c r="K227" s="52">
        <v>0.81</v>
      </c>
      <c r="L227" s="50" t="s">
        <v>71</v>
      </c>
      <c r="M227" s="54" t="s">
        <v>170</v>
      </c>
      <c r="N227" s="48" t="s">
        <v>157</v>
      </c>
      <c r="O227" s="48" t="s">
        <v>171</v>
      </c>
      <c r="P227" s="48">
        <v>16243811</v>
      </c>
      <c r="Q227" s="48" t="str">
        <f>CONCATENATE(M227, " ",N227, " ",O227)</f>
        <v>Kimberly Anne Dickerson</v>
      </c>
      <c r="R227" s="55" t="s">
        <v>386</v>
      </c>
      <c r="S227" s="48" t="s">
        <v>412</v>
      </c>
    </row>
    <row r="228" spans="1:19" ht="15" customHeight="1" x14ac:dyDescent="0.2">
      <c r="A228" s="50" t="s">
        <v>64</v>
      </c>
      <c r="B228" s="50">
        <v>441731242</v>
      </c>
      <c r="C228" s="50" t="s">
        <v>373</v>
      </c>
      <c r="D228" s="51">
        <v>44927</v>
      </c>
      <c r="E228" s="50" t="s">
        <v>137</v>
      </c>
      <c r="F228" s="51">
        <v>45809</v>
      </c>
      <c r="G228" s="51">
        <v>45839</v>
      </c>
      <c r="H228" s="50">
        <v>1</v>
      </c>
      <c r="I228" s="52">
        <v>42.64</v>
      </c>
      <c r="J228" s="53">
        <v>0.09</v>
      </c>
      <c r="K228" s="52">
        <v>3.84</v>
      </c>
      <c r="L228" s="50" t="s">
        <v>71</v>
      </c>
      <c r="M228" s="54" t="s">
        <v>170</v>
      </c>
      <c r="N228" s="48" t="s">
        <v>157</v>
      </c>
      <c r="O228" s="48" t="s">
        <v>171</v>
      </c>
      <c r="P228" s="48">
        <v>16243811</v>
      </c>
      <c r="Q228" s="48" t="str">
        <f>CONCATENATE(M228, " ",N228, " ",O228)</f>
        <v>Kimberly Anne Dickerson</v>
      </c>
      <c r="R228" s="55" t="s">
        <v>387</v>
      </c>
      <c r="S228" s="48" t="s">
        <v>413</v>
      </c>
    </row>
    <row r="229" spans="1:19" ht="15" customHeight="1" x14ac:dyDescent="0.2">
      <c r="A229" s="50" t="s">
        <v>64</v>
      </c>
      <c r="B229" s="50">
        <v>441731243</v>
      </c>
      <c r="C229" s="50" t="s">
        <v>373</v>
      </c>
      <c r="D229" s="51">
        <v>44927</v>
      </c>
      <c r="E229" s="50" t="s">
        <v>246</v>
      </c>
      <c r="F229" s="51">
        <v>45809</v>
      </c>
      <c r="G229" s="51">
        <v>45839</v>
      </c>
      <c r="H229" s="50">
        <v>1</v>
      </c>
      <c r="I229" s="52">
        <v>41.01</v>
      </c>
      <c r="J229" s="53">
        <v>0.09</v>
      </c>
      <c r="K229" s="52">
        <v>3.69</v>
      </c>
      <c r="L229" s="50" t="s">
        <v>71</v>
      </c>
      <c r="M229" s="54" t="s">
        <v>170</v>
      </c>
      <c r="N229" s="48" t="s">
        <v>157</v>
      </c>
      <c r="O229" s="48" t="s">
        <v>171</v>
      </c>
      <c r="P229" s="48">
        <v>16243811</v>
      </c>
      <c r="Q229" s="48" t="str">
        <f>CONCATENATE(M229, " ",N229, " ",O229)</f>
        <v>Kimberly Anne Dickerson</v>
      </c>
      <c r="R229" s="55" t="s">
        <v>393</v>
      </c>
      <c r="S229" s="48" t="s">
        <v>411</v>
      </c>
    </row>
    <row r="230" spans="1:19" ht="15" customHeight="1" x14ac:dyDescent="0.2">
      <c r="A230" s="50" t="s">
        <v>64</v>
      </c>
      <c r="B230" s="50">
        <v>441739608</v>
      </c>
      <c r="C230" s="50" t="s">
        <v>345</v>
      </c>
      <c r="D230" s="51">
        <v>44927</v>
      </c>
      <c r="E230" s="50" t="s">
        <v>118</v>
      </c>
      <c r="F230" s="51">
        <v>45809</v>
      </c>
      <c r="G230" s="51">
        <v>45839</v>
      </c>
      <c r="H230" s="50">
        <v>1</v>
      </c>
      <c r="I230" s="52">
        <v>6.3</v>
      </c>
      <c r="J230" s="53">
        <v>0.09</v>
      </c>
      <c r="K230" s="52">
        <v>0.56999999999999995</v>
      </c>
      <c r="L230" s="50" t="s">
        <v>71</v>
      </c>
      <c r="M230" s="54" t="s">
        <v>170</v>
      </c>
      <c r="N230" s="48" t="s">
        <v>157</v>
      </c>
      <c r="O230" s="48" t="s">
        <v>171</v>
      </c>
      <c r="P230" s="48">
        <v>16243811</v>
      </c>
      <c r="Q230" s="48" t="str">
        <f>CONCATENATE(M230, " ",N230, " ",O230)</f>
        <v>Kimberly Anne Dickerson</v>
      </c>
      <c r="R230" s="55" t="s">
        <v>380</v>
      </c>
      <c r="S230" s="48" t="s">
        <v>409</v>
      </c>
    </row>
    <row r="231" spans="1:19" ht="15" customHeight="1" x14ac:dyDescent="0.2">
      <c r="A231" s="50" t="s">
        <v>64</v>
      </c>
      <c r="B231" s="50">
        <v>441739609</v>
      </c>
      <c r="C231" s="50" t="s">
        <v>345</v>
      </c>
      <c r="D231" s="51">
        <v>44927</v>
      </c>
      <c r="E231" s="50" t="s">
        <v>346</v>
      </c>
      <c r="F231" s="51">
        <v>45809</v>
      </c>
      <c r="G231" s="51">
        <v>45839</v>
      </c>
      <c r="H231" s="50">
        <v>1</v>
      </c>
      <c r="I231" s="52">
        <v>21.5</v>
      </c>
      <c r="J231" s="53">
        <v>0.09</v>
      </c>
      <c r="K231" s="52">
        <v>1.94</v>
      </c>
      <c r="L231" s="50" t="s">
        <v>71</v>
      </c>
      <c r="M231" s="54" t="s">
        <v>170</v>
      </c>
      <c r="N231" s="48" t="s">
        <v>157</v>
      </c>
      <c r="O231" s="48" t="s">
        <v>171</v>
      </c>
      <c r="P231" s="48">
        <v>16243811</v>
      </c>
      <c r="Q231" s="48" t="str">
        <f>CONCATENATE(M231, " ",N231, " ",O231)</f>
        <v>Kimberly Anne Dickerson</v>
      </c>
      <c r="R231" s="55" t="s">
        <v>381</v>
      </c>
      <c r="S231" s="48" t="s">
        <v>408</v>
      </c>
    </row>
    <row r="232" spans="1:19" ht="15" customHeight="1" x14ac:dyDescent="0.2">
      <c r="A232" s="50" t="s">
        <v>64</v>
      </c>
      <c r="B232" s="50">
        <v>441739610</v>
      </c>
      <c r="C232" s="50" t="s">
        <v>345</v>
      </c>
      <c r="D232" s="51">
        <v>44927</v>
      </c>
      <c r="E232" s="50" t="s">
        <v>137</v>
      </c>
      <c r="F232" s="51">
        <v>45809</v>
      </c>
      <c r="G232" s="51">
        <v>45839</v>
      </c>
      <c r="H232" s="50">
        <v>1</v>
      </c>
      <c r="I232" s="52">
        <v>42.64</v>
      </c>
      <c r="J232" s="53">
        <v>0.09</v>
      </c>
      <c r="K232" s="52">
        <v>3.84</v>
      </c>
      <c r="L232" s="50" t="s">
        <v>71</v>
      </c>
      <c r="M232" s="54" t="s">
        <v>170</v>
      </c>
      <c r="N232" s="48" t="s">
        <v>157</v>
      </c>
      <c r="O232" s="48" t="s">
        <v>171</v>
      </c>
      <c r="P232" s="48">
        <v>16243811</v>
      </c>
      <c r="Q232" s="48" t="str">
        <f>CONCATENATE(M232, " ",N232, " ",O232)</f>
        <v>Kimberly Anne Dickerson</v>
      </c>
      <c r="R232" s="55" t="s">
        <v>387</v>
      </c>
      <c r="S232" s="48" t="s">
        <v>413</v>
      </c>
    </row>
    <row r="233" spans="1:19" ht="15" customHeight="1" x14ac:dyDescent="0.2">
      <c r="A233" s="50" t="s">
        <v>64</v>
      </c>
      <c r="B233" s="50">
        <v>441739611</v>
      </c>
      <c r="C233" s="50" t="s">
        <v>345</v>
      </c>
      <c r="D233" s="51">
        <v>44927</v>
      </c>
      <c r="E233" s="50" t="s">
        <v>347</v>
      </c>
      <c r="F233" s="51">
        <v>45809</v>
      </c>
      <c r="G233" s="51">
        <v>45839</v>
      </c>
      <c r="H233" s="50">
        <v>1</v>
      </c>
      <c r="I233" s="52">
        <v>7.5</v>
      </c>
      <c r="J233" s="53">
        <v>0.09</v>
      </c>
      <c r="K233" s="52">
        <v>0.68</v>
      </c>
      <c r="L233" s="50" t="s">
        <v>71</v>
      </c>
      <c r="M233" s="54" t="s">
        <v>170</v>
      </c>
      <c r="N233" s="48" t="s">
        <v>157</v>
      </c>
      <c r="O233" s="48" t="s">
        <v>171</v>
      </c>
      <c r="P233" s="48">
        <v>16243811</v>
      </c>
      <c r="Q233" s="48" t="str">
        <f>CONCATENATE(M233, " ",N233, " ",O233)</f>
        <v>Kimberly Anne Dickerson</v>
      </c>
      <c r="R233" s="55" t="s">
        <v>382</v>
      </c>
      <c r="S233" s="48" t="s">
        <v>409</v>
      </c>
    </row>
    <row r="234" spans="1:19" ht="15" customHeight="1" x14ac:dyDescent="0.2">
      <c r="A234" s="50" t="s">
        <v>64</v>
      </c>
      <c r="B234" s="50">
        <v>441739612</v>
      </c>
      <c r="C234" s="50" t="s">
        <v>345</v>
      </c>
      <c r="D234" s="51">
        <v>44927</v>
      </c>
      <c r="E234" s="50" t="s">
        <v>229</v>
      </c>
      <c r="F234" s="51">
        <v>45809</v>
      </c>
      <c r="G234" s="51">
        <v>45839</v>
      </c>
      <c r="H234" s="50">
        <v>1</v>
      </c>
      <c r="I234" s="52">
        <v>74.83</v>
      </c>
      <c r="J234" s="53">
        <v>0.18</v>
      </c>
      <c r="K234" s="52">
        <v>13.47</v>
      </c>
      <c r="L234" s="50" t="s">
        <v>71</v>
      </c>
      <c r="M234" s="54" t="s">
        <v>170</v>
      </c>
      <c r="N234" s="48" t="s">
        <v>157</v>
      </c>
      <c r="O234" s="48" t="s">
        <v>171</v>
      </c>
      <c r="P234" s="48">
        <v>16243811</v>
      </c>
      <c r="Q234" s="48" t="str">
        <f>CONCATENATE(M234, " ",N234, " ",O234)</f>
        <v>Kimberly Anne Dickerson</v>
      </c>
      <c r="R234" s="55" t="s">
        <v>388</v>
      </c>
      <c r="S234" s="48" t="s">
        <v>417</v>
      </c>
    </row>
    <row r="235" spans="1:19" ht="15" customHeight="1" x14ac:dyDescent="0.2">
      <c r="A235" s="50" t="s">
        <v>64</v>
      </c>
      <c r="B235" s="50">
        <v>441740317</v>
      </c>
      <c r="C235" s="50" t="s">
        <v>362</v>
      </c>
      <c r="D235" s="51">
        <v>44927</v>
      </c>
      <c r="E235" s="50" t="s">
        <v>135</v>
      </c>
      <c r="F235" s="51">
        <v>45809</v>
      </c>
      <c r="G235" s="51">
        <v>45839</v>
      </c>
      <c r="H235" s="50">
        <v>1</v>
      </c>
      <c r="I235" s="52">
        <v>16</v>
      </c>
      <c r="J235" s="53">
        <v>0.09</v>
      </c>
      <c r="K235" s="52">
        <v>1.44</v>
      </c>
      <c r="L235" s="50" t="s">
        <v>71</v>
      </c>
      <c r="M235" s="54" t="s">
        <v>170</v>
      </c>
      <c r="N235" s="48" t="s">
        <v>157</v>
      </c>
      <c r="O235" s="48" t="s">
        <v>171</v>
      </c>
      <c r="P235" s="48">
        <v>16243811</v>
      </c>
      <c r="Q235" s="48" t="str">
        <f>CONCATENATE(M235, " ",N235, " ",O235)</f>
        <v>Kimberly Anne Dickerson</v>
      </c>
      <c r="R235" s="55" t="s">
        <v>386</v>
      </c>
      <c r="S235" s="48" t="s">
        <v>412</v>
      </c>
    </row>
    <row r="236" spans="1:19" ht="15" customHeight="1" x14ac:dyDescent="0.2">
      <c r="A236" s="50" t="s">
        <v>64</v>
      </c>
      <c r="B236" s="50">
        <v>441744881</v>
      </c>
      <c r="C236" s="50" t="s">
        <v>349</v>
      </c>
      <c r="D236" s="51">
        <v>44928</v>
      </c>
      <c r="E236" s="50" t="s">
        <v>350</v>
      </c>
      <c r="F236" s="51">
        <v>45809</v>
      </c>
      <c r="G236" s="51">
        <v>45839</v>
      </c>
      <c r="H236" s="50">
        <v>1</v>
      </c>
      <c r="I236" s="52">
        <v>54.5</v>
      </c>
      <c r="J236" s="53">
        <v>0.09</v>
      </c>
      <c r="K236" s="52">
        <v>4.91</v>
      </c>
      <c r="L236" s="50" t="s">
        <v>71</v>
      </c>
      <c r="M236" s="54" t="s">
        <v>170</v>
      </c>
      <c r="N236" s="48" t="s">
        <v>157</v>
      </c>
      <c r="O236" s="48" t="s">
        <v>171</v>
      </c>
      <c r="P236" s="48">
        <v>16243811</v>
      </c>
      <c r="Q236" s="48" t="str">
        <f>CONCATENATE(M236, " ",N236, " ",O236)</f>
        <v>Kimberly Anne Dickerson</v>
      </c>
      <c r="R236" s="55" t="s">
        <v>394</v>
      </c>
      <c r="S236" s="48" t="s">
        <v>419</v>
      </c>
    </row>
    <row r="237" spans="1:19" ht="15" customHeight="1" x14ac:dyDescent="0.2">
      <c r="A237" s="50" t="s">
        <v>64</v>
      </c>
      <c r="B237" s="56">
        <v>441774712</v>
      </c>
      <c r="C237" s="50" t="s">
        <v>155</v>
      </c>
      <c r="D237" s="51">
        <v>44940</v>
      </c>
      <c r="E237" s="50" t="s">
        <v>137</v>
      </c>
      <c r="F237" s="51">
        <v>45809</v>
      </c>
      <c r="G237" s="51">
        <v>45839</v>
      </c>
      <c r="H237" s="56">
        <v>1</v>
      </c>
      <c r="I237" s="52">
        <v>42.64</v>
      </c>
      <c r="J237" s="53">
        <v>0.09</v>
      </c>
      <c r="K237" s="52">
        <v>3.84</v>
      </c>
      <c r="L237" s="50" t="s">
        <v>71</v>
      </c>
      <c r="M237" s="54" t="s">
        <v>170</v>
      </c>
      <c r="N237" s="48" t="s">
        <v>157</v>
      </c>
      <c r="O237" s="48" t="s">
        <v>171</v>
      </c>
      <c r="P237" s="48">
        <v>16243811</v>
      </c>
      <c r="Q237" s="48" t="str">
        <f>CONCATENATE(M237, " ",N237, " ",O237)</f>
        <v>Kimberly Anne Dickerson</v>
      </c>
      <c r="R237" s="55" t="s">
        <v>387</v>
      </c>
      <c r="S237" s="48" t="s">
        <v>413</v>
      </c>
    </row>
    <row r="238" spans="1:19" ht="15" customHeight="1" x14ac:dyDescent="0.2">
      <c r="A238" s="50" t="s">
        <v>64</v>
      </c>
      <c r="B238" s="56">
        <v>441774712</v>
      </c>
      <c r="C238" s="50" t="s">
        <v>155</v>
      </c>
      <c r="D238" s="51">
        <v>44940</v>
      </c>
      <c r="E238" s="50" t="s">
        <v>137</v>
      </c>
      <c r="F238" s="51">
        <v>45778</v>
      </c>
      <c r="G238" s="51">
        <v>45809</v>
      </c>
      <c r="H238" s="56">
        <v>1</v>
      </c>
      <c r="I238" s="52">
        <v>42.64</v>
      </c>
      <c r="J238" s="53">
        <v>0.09</v>
      </c>
      <c r="K238" s="52">
        <v>3.84</v>
      </c>
      <c r="L238" s="50" t="s">
        <v>71</v>
      </c>
      <c r="M238" s="54" t="s">
        <v>170</v>
      </c>
      <c r="N238" s="48" t="s">
        <v>157</v>
      </c>
      <c r="O238" s="48" t="s">
        <v>171</v>
      </c>
      <c r="P238" s="48">
        <v>16243811</v>
      </c>
      <c r="Q238" s="48" t="str">
        <f>CONCATENATE(M238, " ",N238, " ",O238)</f>
        <v>Kimberly Anne Dickerson</v>
      </c>
      <c r="R238" s="55" t="s">
        <v>387</v>
      </c>
      <c r="S238" s="48" t="s">
        <v>413</v>
      </c>
    </row>
    <row r="239" spans="1:19" ht="15" customHeight="1" x14ac:dyDescent="0.2">
      <c r="A239" s="50" t="s">
        <v>64</v>
      </c>
      <c r="B239" s="50">
        <v>441793953</v>
      </c>
      <c r="C239" s="50" t="s">
        <v>367</v>
      </c>
      <c r="D239" s="51">
        <v>44958</v>
      </c>
      <c r="E239" s="50" t="s">
        <v>132</v>
      </c>
      <c r="F239" s="51">
        <v>45809</v>
      </c>
      <c r="G239" s="51">
        <v>45839</v>
      </c>
      <c r="H239" s="50">
        <v>1</v>
      </c>
      <c r="I239" s="52">
        <v>23</v>
      </c>
      <c r="J239" s="53">
        <v>0.09</v>
      </c>
      <c r="K239" s="52">
        <v>2.0699999999999998</v>
      </c>
      <c r="L239" s="50" t="s">
        <v>71</v>
      </c>
      <c r="M239" s="54" t="s">
        <v>170</v>
      </c>
      <c r="N239" s="48" t="s">
        <v>157</v>
      </c>
      <c r="O239" s="48" t="s">
        <v>171</v>
      </c>
      <c r="P239" s="48">
        <v>16243811</v>
      </c>
      <c r="Q239" s="48" t="str">
        <f>CONCATENATE(M239, " ",N239, " ",O239)</f>
        <v>Kimberly Anne Dickerson</v>
      </c>
      <c r="R239" s="55" t="s">
        <v>383</v>
      </c>
      <c r="S239" s="48" t="s">
        <v>418</v>
      </c>
    </row>
    <row r="240" spans="1:19" ht="15" customHeight="1" x14ac:dyDescent="0.2">
      <c r="A240" s="50" t="s">
        <v>64</v>
      </c>
      <c r="B240" s="50">
        <v>441793954</v>
      </c>
      <c r="C240" s="50" t="s">
        <v>367</v>
      </c>
      <c r="D240" s="51">
        <v>44958</v>
      </c>
      <c r="E240" s="50" t="s">
        <v>127</v>
      </c>
      <c r="F240" s="51">
        <v>45809</v>
      </c>
      <c r="G240" s="51">
        <v>45839</v>
      </c>
      <c r="H240" s="50">
        <v>1</v>
      </c>
      <c r="I240" s="52">
        <v>15</v>
      </c>
      <c r="J240" s="53">
        <v>0.09</v>
      </c>
      <c r="K240" s="52">
        <v>1.35</v>
      </c>
      <c r="L240" s="50" t="s">
        <v>71</v>
      </c>
      <c r="M240" s="54" t="s">
        <v>170</v>
      </c>
      <c r="N240" s="48" t="s">
        <v>157</v>
      </c>
      <c r="O240" s="48" t="s">
        <v>171</v>
      </c>
      <c r="P240" s="48">
        <v>16243811</v>
      </c>
      <c r="Q240" s="48" t="str">
        <f>CONCATENATE(M240, " ",N240, " ",O240)</f>
        <v>Kimberly Anne Dickerson</v>
      </c>
      <c r="R240" s="55" t="s">
        <v>382</v>
      </c>
      <c r="S240" s="48" t="s">
        <v>409</v>
      </c>
    </row>
    <row r="241" spans="1:19" ht="15" customHeight="1" x14ac:dyDescent="0.2">
      <c r="A241" s="50" t="s">
        <v>64</v>
      </c>
      <c r="B241" s="50">
        <v>441793955</v>
      </c>
      <c r="C241" s="50" t="s">
        <v>367</v>
      </c>
      <c r="D241" s="51">
        <v>44958</v>
      </c>
      <c r="E241" s="50" t="s">
        <v>137</v>
      </c>
      <c r="F241" s="51">
        <v>45809</v>
      </c>
      <c r="G241" s="51">
        <v>45839</v>
      </c>
      <c r="H241" s="50">
        <v>1</v>
      </c>
      <c r="I241" s="52">
        <v>42.64</v>
      </c>
      <c r="J241" s="53">
        <v>0.09</v>
      </c>
      <c r="K241" s="52">
        <v>3.84</v>
      </c>
      <c r="L241" s="50" t="s">
        <v>71</v>
      </c>
      <c r="M241" s="54" t="s">
        <v>170</v>
      </c>
      <c r="N241" s="48" t="s">
        <v>157</v>
      </c>
      <c r="O241" s="48" t="s">
        <v>171</v>
      </c>
      <c r="P241" s="48">
        <v>16243811</v>
      </c>
      <c r="Q241" s="48" t="str">
        <f>CONCATENATE(M241, " ",N241, " ",O241)</f>
        <v>Kimberly Anne Dickerson</v>
      </c>
      <c r="R241" s="55" t="s">
        <v>387</v>
      </c>
      <c r="S241" s="48" t="s">
        <v>413</v>
      </c>
    </row>
    <row r="242" spans="1:19" ht="15" customHeight="1" x14ac:dyDescent="0.2">
      <c r="A242" s="50" t="s">
        <v>64</v>
      </c>
      <c r="B242" s="50">
        <v>441793956</v>
      </c>
      <c r="C242" s="50" t="s">
        <v>367</v>
      </c>
      <c r="D242" s="51">
        <v>44958</v>
      </c>
      <c r="E242" s="50" t="s">
        <v>118</v>
      </c>
      <c r="F242" s="51">
        <v>45809</v>
      </c>
      <c r="G242" s="51">
        <v>45839</v>
      </c>
      <c r="H242" s="50">
        <v>1</v>
      </c>
      <c r="I242" s="52">
        <v>6.3</v>
      </c>
      <c r="J242" s="53">
        <v>0.09</v>
      </c>
      <c r="K242" s="52">
        <v>0.56999999999999995</v>
      </c>
      <c r="L242" s="50" t="s">
        <v>71</v>
      </c>
      <c r="M242" s="54" t="s">
        <v>170</v>
      </c>
      <c r="N242" s="48" t="s">
        <v>157</v>
      </c>
      <c r="O242" s="48" t="s">
        <v>171</v>
      </c>
      <c r="P242" s="48">
        <v>16243811</v>
      </c>
      <c r="Q242" s="48" t="str">
        <f>CONCATENATE(M242, " ",N242, " ",O242)</f>
        <v>Kimberly Anne Dickerson</v>
      </c>
      <c r="R242" s="55" t="s">
        <v>380</v>
      </c>
      <c r="S242" s="48" t="s">
        <v>409</v>
      </c>
    </row>
    <row r="243" spans="1:19" ht="15" customHeight="1" x14ac:dyDescent="0.2">
      <c r="A243" s="50" t="s">
        <v>64</v>
      </c>
      <c r="B243" s="50">
        <v>441793957</v>
      </c>
      <c r="C243" s="50" t="s">
        <v>367</v>
      </c>
      <c r="D243" s="51">
        <v>44958</v>
      </c>
      <c r="E243" s="50" t="s">
        <v>135</v>
      </c>
      <c r="F243" s="51">
        <v>45809</v>
      </c>
      <c r="G243" s="51">
        <v>45839</v>
      </c>
      <c r="H243" s="50">
        <v>1</v>
      </c>
      <c r="I243" s="52">
        <v>9</v>
      </c>
      <c r="J243" s="53">
        <v>0.09</v>
      </c>
      <c r="K243" s="52">
        <v>0.81</v>
      </c>
      <c r="L243" s="50" t="s">
        <v>71</v>
      </c>
      <c r="M243" s="54" t="s">
        <v>170</v>
      </c>
      <c r="N243" s="48" t="s">
        <v>157</v>
      </c>
      <c r="O243" s="48" t="s">
        <v>171</v>
      </c>
      <c r="P243" s="48">
        <v>16243811</v>
      </c>
      <c r="Q243" s="48" t="str">
        <f>CONCATENATE(M243, " ",N243, " ",O243)</f>
        <v>Kimberly Anne Dickerson</v>
      </c>
      <c r="R243" s="55" t="s">
        <v>386</v>
      </c>
      <c r="S243" s="48" t="s">
        <v>412</v>
      </c>
    </row>
    <row r="244" spans="1:19" ht="15" customHeight="1" x14ac:dyDescent="0.2">
      <c r="A244" s="50" t="s">
        <v>64</v>
      </c>
      <c r="B244" s="50">
        <v>441793958</v>
      </c>
      <c r="C244" s="50" t="s">
        <v>367</v>
      </c>
      <c r="D244" s="51">
        <v>44958</v>
      </c>
      <c r="E244" s="50" t="s">
        <v>130</v>
      </c>
      <c r="F244" s="51">
        <v>45809</v>
      </c>
      <c r="G244" s="51">
        <v>45839</v>
      </c>
      <c r="H244" s="50">
        <v>1</v>
      </c>
      <c r="I244" s="52">
        <v>28</v>
      </c>
      <c r="J244" s="53">
        <v>0.09</v>
      </c>
      <c r="K244" s="52">
        <v>2.52</v>
      </c>
      <c r="L244" s="50" t="s">
        <v>71</v>
      </c>
      <c r="M244" s="54" t="s">
        <v>170</v>
      </c>
      <c r="N244" s="48" t="s">
        <v>157</v>
      </c>
      <c r="O244" s="48" t="s">
        <v>171</v>
      </c>
      <c r="P244" s="48">
        <v>16243811</v>
      </c>
      <c r="Q244" s="48" t="str">
        <f>CONCATENATE(M244, " ",N244, " ",O244)</f>
        <v>Kimberly Anne Dickerson</v>
      </c>
      <c r="R244" s="55" t="s">
        <v>381</v>
      </c>
      <c r="S244" s="48" t="s">
        <v>408</v>
      </c>
    </row>
    <row r="245" spans="1:19" ht="15" customHeight="1" x14ac:dyDescent="0.2">
      <c r="A245" s="50" t="s">
        <v>64</v>
      </c>
      <c r="B245" s="50">
        <v>441805487</v>
      </c>
      <c r="C245" s="50" t="s">
        <v>374</v>
      </c>
      <c r="D245" s="51">
        <v>44958</v>
      </c>
      <c r="E245" s="50" t="s">
        <v>135</v>
      </c>
      <c r="F245" s="51">
        <v>45809</v>
      </c>
      <c r="G245" s="51">
        <v>45839</v>
      </c>
      <c r="H245" s="50">
        <v>1</v>
      </c>
      <c r="I245" s="52">
        <v>9</v>
      </c>
      <c r="J245" s="53">
        <v>0.09</v>
      </c>
      <c r="K245" s="52">
        <v>0.81</v>
      </c>
      <c r="L245" s="50" t="s">
        <v>71</v>
      </c>
      <c r="M245" s="54" t="s">
        <v>170</v>
      </c>
      <c r="N245" s="48" t="s">
        <v>157</v>
      </c>
      <c r="O245" s="48" t="s">
        <v>171</v>
      </c>
      <c r="P245" s="48">
        <v>16243811</v>
      </c>
      <c r="Q245" s="48" t="str">
        <f>CONCATENATE(M245, " ",N245, " ",O245)</f>
        <v>Kimberly Anne Dickerson</v>
      </c>
      <c r="R245" s="55" t="s">
        <v>386</v>
      </c>
      <c r="S245" s="48" t="s">
        <v>412</v>
      </c>
    </row>
    <row r="246" spans="1:19" ht="15" customHeight="1" x14ac:dyDescent="0.2">
      <c r="A246" s="50" t="s">
        <v>64</v>
      </c>
      <c r="B246" s="50">
        <v>441805488</v>
      </c>
      <c r="C246" s="50" t="s">
        <v>374</v>
      </c>
      <c r="D246" s="51">
        <v>44958</v>
      </c>
      <c r="E246" s="50" t="s">
        <v>137</v>
      </c>
      <c r="F246" s="51">
        <v>45809</v>
      </c>
      <c r="G246" s="51">
        <v>45839</v>
      </c>
      <c r="H246" s="50">
        <v>1</v>
      </c>
      <c r="I246" s="52">
        <v>42.64</v>
      </c>
      <c r="J246" s="53">
        <v>0.09</v>
      </c>
      <c r="K246" s="52">
        <v>3.84</v>
      </c>
      <c r="L246" s="50" t="s">
        <v>71</v>
      </c>
      <c r="M246" s="54" t="s">
        <v>170</v>
      </c>
      <c r="N246" s="48" t="s">
        <v>157</v>
      </c>
      <c r="O246" s="48" t="s">
        <v>171</v>
      </c>
      <c r="P246" s="48">
        <v>16243811</v>
      </c>
      <c r="Q246" s="48" t="str">
        <f>CONCATENATE(M246, " ",N246, " ",O246)</f>
        <v>Kimberly Anne Dickerson</v>
      </c>
      <c r="R246" s="55" t="s">
        <v>387</v>
      </c>
      <c r="S246" s="48" t="s">
        <v>413</v>
      </c>
    </row>
    <row r="247" spans="1:19" ht="15" customHeight="1" x14ac:dyDescent="0.2">
      <c r="A247" s="50" t="s">
        <v>64</v>
      </c>
      <c r="B247" s="50">
        <v>441805672</v>
      </c>
      <c r="C247" s="50" t="s">
        <v>371</v>
      </c>
      <c r="D247" s="51">
        <v>44958</v>
      </c>
      <c r="E247" s="50" t="s">
        <v>135</v>
      </c>
      <c r="F247" s="51">
        <v>45809</v>
      </c>
      <c r="G247" s="51">
        <v>45839</v>
      </c>
      <c r="H247" s="50">
        <v>1</v>
      </c>
      <c r="I247" s="52">
        <v>9</v>
      </c>
      <c r="J247" s="53">
        <v>0.09</v>
      </c>
      <c r="K247" s="52">
        <v>0.81</v>
      </c>
      <c r="L247" s="50" t="s">
        <v>71</v>
      </c>
      <c r="M247" s="54" t="s">
        <v>170</v>
      </c>
      <c r="N247" s="48" t="s">
        <v>157</v>
      </c>
      <c r="O247" s="48" t="s">
        <v>171</v>
      </c>
      <c r="P247" s="48">
        <v>16243811</v>
      </c>
      <c r="Q247" s="48" t="str">
        <f>CONCATENATE(M247, " ",N247, " ",O247)</f>
        <v>Kimberly Anne Dickerson</v>
      </c>
      <c r="R247" s="55" t="s">
        <v>386</v>
      </c>
      <c r="S247" s="48" t="s">
        <v>412</v>
      </c>
    </row>
    <row r="248" spans="1:19" ht="15" customHeight="1" x14ac:dyDescent="0.2">
      <c r="A248" s="50" t="s">
        <v>64</v>
      </c>
      <c r="B248" s="50">
        <v>441805675</v>
      </c>
      <c r="C248" s="50" t="s">
        <v>371</v>
      </c>
      <c r="D248" s="51">
        <v>44958</v>
      </c>
      <c r="E248" s="50" t="s">
        <v>372</v>
      </c>
      <c r="F248" s="51">
        <v>45809</v>
      </c>
      <c r="G248" s="51">
        <v>45839</v>
      </c>
      <c r="H248" s="50">
        <v>1</v>
      </c>
      <c r="I248" s="52">
        <v>153.79</v>
      </c>
      <c r="J248" s="53">
        <v>0.18</v>
      </c>
      <c r="K248" s="52">
        <v>27.68</v>
      </c>
      <c r="L248" s="50" t="s">
        <v>71</v>
      </c>
      <c r="M248" s="54" t="s">
        <v>170</v>
      </c>
      <c r="N248" s="48" t="s">
        <v>157</v>
      </c>
      <c r="O248" s="48" t="s">
        <v>171</v>
      </c>
      <c r="P248" s="48">
        <v>16243811</v>
      </c>
      <c r="Q248" s="48" t="str">
        <f>CONCATENATE(M248, " ",N248, " ",O248)</f>
        <v>Kimberly Anne Dickerson</v>
      </c>
      <c r="R248" s="55" t="s">
        <v>388</v>
      </c>
      <c r="S248" s="48" t="s">
        <v>417</v>
      </c>
    </row>
    <row r="249" spans="1:19" ht="15" customHeight="1" x14ac:dyDescent="0.2">
      <c r="A249" s="50" t="s">
        <v>64</v>
      </c>
      <c r="B249" s="50">
        <v>441809281</v>
      </c>
      <c r="C249" s="50" t="s">
        <v>141</v>
      </c>
      <c r="D249" s="51">
        <v>44959</v>
      </c>
      <c r="E249" s="50" t="s">
        <v>120</v>
      </c>
      <c r="F249" s="51">
        <v>45809</v>
      </c>
      <c r="G249" s="51">
        <v>45839</v>
      </c>
      <c r="H249" s="50">
        <v>1</v>
      </c>
      <c r="I249" s="52">
        <v>28.5</v>
      </c>
      <c r="J249" s="53">
        <v>0.09</v>
      </c>
      <c r="K249" s="52">
        <v>2.57</v>
      </c>
      <c r="L249" s="50" t="s">
        <v>71</v>
      </c>
      <c r="M249" s="54" t="s">
        <v>170</v>
      </c>
      <c r="N249" s="48" t="s">
        <v>157</v>
      </c>
      <c r="O249" s="48" t="s">
        <v>171</v>
      </c>
      <c r="P249" s="48">
        <v>16243811</v>
      </c>
      <c r="Q249" s="48" t="str">
        <f>CONCATENATE(M249, " ",N249, " ",O249)</f>
        <v>Kimberly Anne Dickerson</v>
      </c>
      <c r="R249" s="55" t="s">
        <v>378</v>
      </c>
      <c r="S249" s="48" t="s">
        <v>419</v>
      </c>
    </row>
    <row r="250" spans="1:19" ht="15" customHeight="1" x14ac:dyDescent="0.2">
      <c r="A250" s="50" t="s">
        <v>64</v>
      </c>
      <c r="B250" s="50">
        <v>441809541</v>
      </c>
      <c r="C250" s="50" t="s">
        <v>361</v>
      </c>
      <c r="D250" s="51">
        <v>44959</v>
      </c>
      <c r="E250" s="50" t="s">
        <v>92</v>
      </c>
      <c r="F250" s="51">
        <v>45809</v>
      </c>
      <c r="G250" s="51">
        <v>45839</v>
      </c>
      <c r="H250" s="50">
        <v>1</v>
      </c>
      <c r="I250" s="52">
        <v>181.51</v>
      </c>
      <c r="J250" s="53">
        <v>0.18</v>
      </c>
      <c r="K250" s="52">
        <v>32.67</v>
      </c>
      <c r="L250" s="50" t="s">
        <v>71</v>
      </c>
      <c r="M250" s="54" t="s">
        <v>170</v>
      </c>
      <c r="N250" s="48" t="s">
        <v>157</v>
      </c>
      <c r="O250" s="48" t="s">
        <v>171</v>
      </c>
      <c r="P250" s="48">
        <v>16243811</v>
      </c>
      <c r="Q250" s="48" t="str">
        <f>CONCATENATE(M250, " ",N250, " ",O250)</f>
        <v>Kimberly Anne Dickerson</v>
      </c>
      <c r="R250" s="55" t="s">
        <v>388</v>
      </c>
      <c r="S250" s="48" t="s">
        <v>417</v>
      </c>
    </row>
    <row r="251" spans="1:19" ht="15" customHeight="1" x14ac:dyDescent="0.2">
      <c r="A251" s="50" t="s">
        <v>64</v>
      </c>
      <c r="B251" s="50">
        <v>441579586</v>
      </c>
      <c r="C251" s="50" t="s">
        <v>290</v>
      </c>
      <c r="D251" s="51">
        <v>44866</v>
      </c>
      <c r="E251" s="50" t="s">
        <v>291</v>
      </c>
      <c r="F251" s="51">
        <v>45809</v>
      </c>
      <c r="G251" s="51">
        <v>45839</v>
      </c>
      <c r="H251" s="50">
        <v>1</v>
      </c>
      <c r="I251" s="52">
        <v>59.98</v>
      </c>
      <c r="J251" s="53">
        <v>0.03</v>
      </c>
      <c r="K251" s="52">
        <v>1.8</v>
      </c>
      <c r="L251" s="50" t="s">
        <v>71</v>
      </c>
      <c r="M251" s="54" t="s">
        <v>163</v>
      </c>
      <c r="N251" s="48" t="s">
        <v>164</v>
      </c>
      <c r="P251" s="48">
        <v>20411454</v>
      </c>
      <c r="Q251" s="48" t="s">
        <v>422</v>
      </c>
      <c r="R251" s="55" t="s">
        <v>385</v>
      </c>
      <c r="S251" s="48" t="s">
        <v>407</v>
      </c>
    </row>
    <row r="252" spans="1:19" ht="15" customHeight="1" x14ac:dyDescent="0.2">
      <c r="A252" s="50" t="s">
        <v>64</v>
      </c>
      <c r="B252" s="50">
        <v>441595669</v>
      </c>
      <c r="C252" s="50" t="s">
        <v>272</v>
      </c>
      <c r="D252" s="51">
        <v>44868</v>
      </c>
      <c r="E252" s="50" t="s">
        <v>214</v>
      </c>
      <c r="F252" s="51">
        <v>45809</v>
      </c>
      <c r="G252" s="51">
        <v>45839</v>
      </c>
      <c r="H252" s="50">
        <v>1</v>
      </c>
      <c r="I252" s="52">
        <v>56.22</v>
      </c>
      <c r="J252" s="53">
        <v>0.06</v>
      </c>
      <c r="K252" s="52">
        <v>3.37</v>
      </c>
      <c r="L252" s="50" t="s">
        <v>71</v>
      </c>
      <c r="M252" s="54" t="s">
        <v>163</v>
      </c>
      <c r="N252" s="48" t="s">
        <v>164</v>
      </c>
      <c r="P252" s="48">
        <v>20411454</v>
      </c>
      <c r="Q252" s="48" t="s">
        <v>422</v>
      </c>
      <c r="R252" s="55" t="s">
        <v>388</v>
      </c>
      <c r="S252" s="48" t="s">
        <v>407</v>
      </c>
    </row>
    <row r="253" spans="1:19" ht="15" customHeight="1" x14ac:dyDescent="0.2">
      <c r="A253" s="50" t="s">
        <v>64</v>
      </c>
      <c r="B253" s="56">
        <v>441602827</v>
      </c>
      <c r="C253" s="50" t="s">
        <v>84</v>
      </c>
      <c r="D253" s="51">
        <v>44870</v>
      </c>
      <c r="E253" s="50" t="s">
        <v>85</v>
      </c>
      <c r="F253" s="51">
        <v>45809</v>
      </c>
      <c r="G253" s="51">
        <v>45839</v>
      </c>
      <c r="H253" s="56">
        <v>1</v>
      </c>
      <c r="I253" s="52">
        <v>71.03</v>
      </c>
      <c r="J253" s="53">
        <v>0.06</v>
      </c>
      <c r="K253" s="52">
        <v>4.26</v>
      </c>
      <c r="L253" s="50" t="s">
        <v>71</v>
      </c>
      <c r="M253" s="54" t="s">
        <v>163</v>
      </c>
      <c r="N253" s="48" t="s">
        <v>164</v>
      </c>
      <c r="P253" s="48">
        <v>20411454</v>
      </c>
      <c r="Q253" s="48" t="s">
        <v>422</v>
      </c>
      <c r="R253" s="55" t="s">
        <v>388</v>
      </c>
      <c r="S253" s="48" t="s">
        <v>407</v>
      </c>
    </row>
    <row r="254" spans="1:19" ht="15" customHeight="1" x14ac:dyDescent="0.2">
      <c r="A254" s="50" t="s">
        <v>64</v>
      </c>
      <c r="B254" s="50">
        <v>441638999</v>
      </c>
      <c r="C254" s="50" t="s">
        <v>230</v>
      </c>
      <c r="D254" s="51">
        <v>44896</v>
      </c>
      <c r="E254" s="50" t="s">
        <v>214</v>
      </c>
      <c r="F254" s="51">
        <v>45809</v>
      </c>
      <c r="G254" s="51">
        <v>45839</v>
      </c>
      <c r="H254" s="50">
        <v>1</v>
      </c>
      <c r="I254" s="52">
        <v>44.13</v>
      </c>
      <c r="J254" s="53">
        <v>0.06</v>
      </c>
      <c r="K254" s="52">
        <v>2.65</v>
      </c>
      <c r="L254" s="50" t="s">
        <v>71</v>
      </c>
      <c r="M254" s="54" t="s">
        <v>163</v>
      </c>
      <c r="N254" s="48" t="s">
        <v>164</v>
      </c>
      <c r="P254" s="48">
        <v>20411454</v>
      </c>
      <c r="Q254" s="48" t="s">
        <v>422</v>
      </c>
      <c r="R254" s="55" t="s">
        <v>388</v>
      </c>
      <c r="S254" s="48" t="s">
        <v>407</v>
      </c>
    </row>
    <row r="255" spans="1:19" ht="15" customHeight="1" x14ac:dyDescent="0.2">
      <c r="A255" s="50" t="s">
        <v>64</v>
      </c>
      <c r="B255" s="50">
        <v>441658342</v>
      </c>
      <c r="C255" s="50" t="s">
        <v>269</v>
      </c>
      <c r="D255" s="51">
        <v>44896</v>
      </c>
      <c r="E255" s="50" t="s">
        <v>175</v>
      </c>
      <c r="F255" s="51">
        <v>45809</v>
      </c>
      <c r="G255" s="51">
        <v>45839</v>
      </c>
      <c r="H255" s="50">
        <v>1</v>
      </c>
      <c r="I255" s="52">
        <v>10.6</v>
      </c>
      <c r="J255" s="53">
        <v>0.03</v>
      </c>
      <c r="K255" s="52">
        <v>0.32</v>
      </c>
      <c r="L255" s="50" t="s">
        <v>71</v>
      </c>
      <c r="M255" s="54" t="s">
        <v>163</v>
      </c>
      <c r="N255" s="48" t="s">
        <v>164</v>
      </c>
      <c r="P255" s="48">
        <v>20411454</v>
      </c>
      <c r="Q255" s="48" t="s">
        <v>422</v>
      </c>
      <c r="R255" s="55" t="s">
        <v>390</v>
      </c>
      <c r="S255" s="48" t="s">
        <v>407</v>
      </c>
    </row>
    <row r="256" spans="1:19" ht="15" customHeight="1" x14ac:dyDescent="0.2">
      <c r="A256" s="50" t="s">
        <v>64</v>
      </c>
      <c r="B256" s="50">
        <v>441664231</v>
      </c>
      <c r="C256" s="50" t="s">
        <v>233</v>
      </c>
      <c r="D256" s="51">
        <v>44927</v>
      </c>
      <c r="E256" s="50" t="s">
        <v>75</v>
      </c>
      <c r="F256" s="51">
        <v>45809</v>
      </c>
      <c r="G256" s="51">
        <v>45839</v>
      </c>
      <c r="H256" s="50">
        <v>1</v>
      </c>
      <c r="I256" s="52">
        <v>16</v>
      </c>
      <c r="J256" s="53">
        <v>0.03</v>
      </c>
      <c r="K256" s="52">
        <v>0.48</v>
      </c>
      <c r="L256" s="50" t="s">
        <v>71</v>
      </c>
      <c r="M256" s="54" t="s">
        <v>163</v>
      </c>
      <c r="N256" s="48" t="s">
        <v>164</v>
      </c>
      <c r="P256" s="48">
        <v>20411454</v>
      </c>
      <c r="Q256" s="48" t="s">
        <v>422</v>
      </c>
      <c r="R256" s="55" t="s">
        <v>386</v>
      </c>
      <c r="S256" s="48" t="s">
        <v>407</v>
      </c>
    </row>
    <row r="257" spans="1:19" ht="15" customHeight="1" x14ac:dyDescent="0.2">
      <c r="A257" s="50" t="s">
        <v>64</v>
      </c>
      <c r="B257" s="50">
        <v>441664237</v>
      </c>
      <c r="C257" s="50" t="s">
        <v>233</v>
      </c>
      <c r="D257" s="51">
        <v>44927</v>
      </c>
      <c r="E257" s="50" t="s">
        <v>214</v>
      </c>
      <c r="F257" s="51">
        <v>45809</v>
      </c>
      <c r="G257" s="51">
        <v>45839</v>
      </c>
      <c r="H257" s="50">
        <v>1</v>
      </c>
      <c r="I257" s="52">
        <v>116.18</v>
      </c>
      <c r="J257" s="53">
        <v>0.06</v>
      </c>
      <c r="K257" s="52">
        <v>6.97</v>
      </c>
      <c r="L257" s="50" t="s">
        <v>71</v>
      </c>
      <c r="M257" s="54" t="s">
        <v>163</v>
      </c>
      <c r="N257" s="48" t="s">
        <v>164</v>
      </c>
      <c r="P257" s="48">
        <v>20411454</v>
      </c>
      <c r="Q257" s="48" t="s">
        <v>422</v>
      </c>
      <c r="R257" s="55" t="s">
        <v>388</v>
      </c>
      <c r="S257" s="48" t="s">
        <v>407</v>
      </c>
    </row>
    <row r="258" spans="1:19" ht="15" customHeight="1" x14ac:dyDescent="0.2">
      <c r="A258" s="50" t="s">
        <v>64</v>
      </c>
      <c r="B258" s="50">
        <v>441686777</v>
      </c>
      <c r="C258" s="50" t="s">
        <v>243</v>
      </c>
      <c r="D258" s="51">
        <v>44927</v>
      </c>
      <c r="E258" s="50" t="s">
        <v>244</v>
      </c>
      <c r="F258" s="51">
        <v>45809</v>
      </c>
      <c r="G258" s="51">
        <v>45839</v>
      </c>
      <c r="H258" s="50">
        <v>1</v>
      </c>
      <c r="I258" s="52">
        <v>47.13</v>
      </c>
      <c r="J258" s="53">
        <v>0.03</v>
      </c>
      <c r="K258" s="52">
        <v>1.41</v>
      </c>
      <c r="L258" s="50" t="s">
        <v>71</v>
      </c>
      <c r="M258" s="54" t="s">
        <v>163</v>
      </c>
      <c r="N258" s="48" t="s">
        <v>164</v>
      </c>
      <c r="P258" s="48">
        <v>20411454</v>
      </c>
      <c r="Q258" s="48" t="s">
        <v>422</v>
      </c>
      <c r="R258" s="55" t="s">
        <v>392</v>
      </c>
      <c r="S258" s="48" t="s">
        <v>407</v>
      </c>
    </row>
    <row r="259" spans="1:19" ht="15" customHeight="1" x14ac:dyDescent="0.2">
      <c r="A259" s="50" t="s">
        <v>64</v>
      </c>
      <c r="B259" s="50">
        <v>441686789</v>
      </c>
      <c r="C259" s="50" t="s">
        <v>243</v>
      </c>
      <c r="D259" s="51">
        <v>44927</v>
      </c>
      <c r="E259" s="50" t="s">
        <v>214</v>
      </c>
      <c r="F259" s="51">
        <v>45809</v>
      </c>
      <c r="G259" s="51">
        <v>45839</v>
      </c>
      <c r="H259" s="50">
        <v>1</v>
      </c>
      <c r="I259" s="52">
        <v>109.62</v>
      </c>
      <c r="J259" s="53">
        <v>0.06</v>
      </c>
      <c r="K259" s="52">
        <v>6.58</v>
      </c>
      <c r="L259" s="50" t="s">
        <v>71</v>
      </c>
      <c r="M259" s="54" t="s">
        <v>163</v>
      </c>
      <c r="N259" s="48" t="s">
        <v>164</v>
      </c>
      <c r="P259" s="48">
        <v>20411454</v>
      </c>
      <c r="Q259" s="48" t="s">
        <v>422</v>
      </c>
      <c r="R259" s="55" t="s">
        <v>388</v>
      </c>
      <c r="S259" s="48" t="s">
        <v>407</v>
      </c>
    </row>
    <row r="260" spans="1:19" ht="15" customHeight="1" x14ac:dyDescent="0.2">
      <c r="A260" s="50" t="s">
        <v>64</v>
      </c>
      <c r="B260" s="50">
        <v>441698084</v>
      </c>
      <c r="C260" s="50" t="s">
        <v>255</v>
      </c>
      <c r="D260" s="51">
        <v>44927</v>
      </c>
      <c r="E260" s="50" t="s">
        <v>256</v>
      </c>
      <c r="F260" s="51">
        <v>45809</v>
      </c>
      <c r="G260" s="51">
        <v>45839</v>
      </c>
      <c r="H260" s="50">
        <v>1</v>
      </c>
      <c r="I260" s="52">
        <v>110</v>
      </c>
      <c r="J260" s="53">
        <v>0.03</v>
      </c>
      <c r="K260" s="52">
        <v>3.3</v>
      </c>
      <c r="L260" s="50" t="s">
        <v>71</v>
      </c>
      <c r="M260" s="54" t="s">
        <v>163</v>
      </c>
      <c r="N260" s="48" t="s">
        <v>164</v>
      </c>
      <c r="P260" s="48">
        <v>20411454</v>
      </c>
      <c r="Q260" s="48" t="s">
        <v>422</v>
      </c>
      <c r="R260" s="55" t="s">
        <v>387</v>
      </c>
      <c r="S260" s="48" t="s">
        <v>407</v>
      </c>
    </row>
    <row r="261" spans="1:19" ht="15" customHeight="1" x14ac:dyDescent="0.2">
      <c r="A261" s="50" t="s">
        <v>64</v>
      </c>
      <c r="B261" s="50">
        <v>441698089</v>
      </c>
      <c r="C261" s="50" t="s">
        <v>255</v>
      </c>
      <c r="D261" s="51">
        <v>44927</v>
      </c>
      <c r="E261" s="50" t="s">
        <v>236</v>
      </c>
      <c r="F261" s="51">
        <v>45809</v>
      </c>
      <c r="G261" s="51">
        <v>45839</v>
      </c>
      <c r="H261" s="50">
        <v>1</v>
      </c>
      <c r="I261" s="52">
        <v>22.5</v>
      </c>
      <c r="J261" s="53">
        <v>0.03</v>
      </c>
      <c r="K261" s="52">
        <v>0.68</v>
      </c>
      <c r="L261" s="50" t="s">
        <v>71</v>
      </c>
      <c r="M261" s="54" t="s">
        <v>163</v>
      </c>
      <c r="N261" s="48" t="s">
        <v>164</v>
      </c>
      <c r="P261" s="48">
        <v>20411454</v>
      </c>
      <c r="Q261" s="48" t="s">
        <v>422</v>
      </c>
      <c r="R261" s="55" t="s">
        <v>386</v>
      </c>
      <c r="S261" s="48" t="s">
        <v>407</v>
      </c>
    </row>
    <row r="262" spans="1:19" ht="15" customHeight="1" x14ac:dyDescent="0.2">
      <c r="A262" s="50" t="s">
        <v>64</v>
      </c>
      <c r="B262" s="50">
        <v>441698092</v>
      </c>
      <c r="C262" s="50" t="s">
        <v>255</v>
      </c>
      <c r="D262" s="51">
        <v>44927</v>
      </c>
      <c r="E262" s="50" t="s">
        <v>238</v>
      </c>
      <c r="F262" s="51">
        <v>45809</v>
      </c>
      <c r="G262" s="51">
        <v>45839</v>
      </c>
      <c r="H262" s="50">
        <v>1</v>
      </c>
      <c r="I262" s="52">
        <v>237.79</v>
      </c>
      <c r="J262" s="53">
        <v>0.03</v>
      </c>
      <c r="K262" s="52">
        <v>7.13</v>
      </c>
      <c r="L262" s="50" t="s">
        <v>71</v>
      </c>
      <c r="M262" s="54" t="s">
        <v>163</v>
      </c>
      <c r="N262" s="48" t="s">
        <v>164</v>
      </c>
      <c r="P262" s="48">
        <v>20411454</v>
      </c>
      <c r="Q262" s="48" t="s">
        <v>422</v>
      </c>
      <c r="R262" s="55" t="s">
        <v>388</v>
      </c>
      <c r="S262" s="48" t="s">
        <v>407</v>
      </c>
    </row>
    <row r="263" spans="1:19" ht="15" customHeight="1" x14ac:dyDescent="0.2">
      <c r="A263" s="50" t="s">
        <v>64</v>
      </c>
      <c r="B263" s="50">
        <v>441698343</v>
      </c>
      <c r="C263" s="50" t="s">
        <v>274</v>
      </c>
      <c r="D263" s="51">
        <v>44927</v>
      </c>
      <c r="E263" s="50" t="s">
        <v>256</v>
      </c>
      <c r="F263" s="51">
        <v>45809</v>
      </c>
      <c r="G263" s="51">
        <v>45839</v>
      </c>
      <c r="H263" s="50">
        <v>1</v>
      </c>
      <c r="I263" s="52">
        <v>31.5</v>
      </c>
      <c r="J263" s="53">
        <v>0.03</v>
      </c>
      <c r="K263" s="52">
        <v>0.95</v>
      </c>
      <c r="L263" s="50" t="s">
        <v>71</v>
      </c>
      <c r="M263" s="54" t="s">
        <v>163</v>
      </c>
      <c r="N263" s="48" t="s">
        <v>164</v>
      </c>
      <c r="P263" s="48">
        <v>20411454</v>
      </c>
      <c r="Q263" s="48" t="s">
        <v>422</v>
      </c>
      <c r="R263" s="55" t="s">
        <v>387</v>
      </c>
      <c r="S263" s="48" t="s">
        <v>407</v>
      </c>
    </row>
    <row r="264" spans="1:19" ht="15" customHeight="1" x14ac:dyDescent="0.2">
      <c r="A264" s="50" t="s">
        <v>64</v>
      </c>
      <c r="B264" s="50">
        <v>441698348</v>
      </c>
      <c r="C264" s="50" t="s">
        <v>274</v>
      </c>
      <c r="D264" s="51">
        <v>44927</v>
      </c>
      <c r="E264" s="50" t="s">
        <v>238</v>
      </c>
      <c r="F264" s="51">
        <v>45809</v>
      </c>
      <c r="G264" s="51">
        <v>45839</v>
      </c>
      <c r="H264" s="50">
        <v>1</v>
      </c>
      <c r="I264" s="52">
        <v>106.23</v>
      </c>
      <c r="J264" s="53">
        <v>0.03</v>
      </c>
      <c r="K264" s="52">
        <v>3.19</v>
      </c>
      <c r="L264" s="50" t="s">
        <v>71</v>
      </c>
      <c r="M264" s="54" t="s">
        <v>163</v>
      </c>
      <c r="N264" s="48" t="s">
        <v>164</v>
      </c>
      <c r="P264" s="48">
        <v>20411454</v>
      </c>
      <c r="Q264" s="48" t="s">
        <v>422</v>
      </c>
      <c r="R264" s="55" t="s">
        <v>388</v>
      </c>
      <c r="S264" s="48" t="s">
        <v>407</v>
      </c>
    </row>
    <row r="265" spans="1:19" ht="15" customHeight="1" x14ac:dyDescent="0.2">
      <c r="A265" s="50" t="s">
        <v>64</v>
      </c>
      <c r="B265" s="56">
        <v>441705578</v>
      </c>
      <c r="C265" s="50" t="s">
        <v>91</v>
      </c>
      <c r="D265" s="51">
        <v>44910</v>
      </c>
      <c r="E265" s="50" t="s">
        <v>92</v>
      </c>
      <c r="F265" s="51">
        <v>45809</v>
      </c>
      <c r="G265" s="51">
        <v>45839</v>
      </c>
      <c r="H265" s="56">
        <v>1</v>
      </c>
      <c r="I265" s="52">
        <v>196.66</v>
      </c>
      <c r="J265" s="53">
        <v>0.06</v>
      </c>
      <c r="K265" s="52">
        <v>11.8</v>
      </c>
      <c r="L265" s="50" t="s">
        <v>71</v>
      </c>
      <c r="M265" s="54" t="s">
        <v>163</v>
      </c>
      <c r="N265" s="48" t="s">
        <v>164</v>
      </c>
      <c r="P265" s="48">
        <v>20411454</v>
      </c>
      <c r="Q265" s="48" t="s">
        <v>422</v>
      </c>
      <c r="R265" s="55" t="s">
        <v>388</v>
      </c>
      <c r="S265" s="48" t="s">
        <v>407</v>
      </c>
    </row>
    <row r="266" spans="1:19" ht="15" customHeight="1" x14ac:dyDescent="0.2">
      <c r="A266" s="50" t="s">
        <v>64</v>
      </c>
      <c r="B266" s="50">
        <v>441709754</v>
      </c>
      <c r="C266" s="50" t="s">
        <v>262</v>
      </c>
      <c r="D266" s="51">
        <v>44927</v>
      </c>
      <c r="E266" s="50" t="s">
        <v>132</v>
      </c>
      <c r="F266" s="51">
        <v>45809</v>
      </c>
      <c r="G266" s="51">
        <v>45839</v>
      </c>
      <c r="H266" s="50">
        <v>1</v>
      </c>
      <c r="I266" s="52">
        <v>23</v>
      </c>
      <c r="J266" s="53">
        <v>0.03</v>
      </c>
      <c r="K266" s="52">
        <v>0.69</v>
      </c>
      <c r="L266" s="50" t="s">
        <v>71</v>
      </c>
      <c r="M266" s="54" t="s">
        <v>163</v>
      </c>
      <c r="N266" s="48" t="s">
        <v>164</v>
      </c>
      <c r="P266" s="48">
        <v>20411454</v>
      </c>
      <c r="Q266" s="48" t="s">
        <v>422</v>
      </c>
      <c r="R266" s="55" t="s">
        <v>383</v>
      </c>
      <c r="S266" s="48" t="s">
        <v>407</v>
      </c>
    </row>
    <row r="267" spans="1:19" ht="15" customHeight="1" x14ac:dyDescent="0.2">
      <c r="A267" s="50" t="s">
        <v>64</v>
      </c>
      <c r="B267" s="50">
        <v>441710405</v>
      </c>
      <c r="C267" s="50" t="s">
        <v>260</v>
      </c>
      <c r="D267" s="51">
        <v>44927</v>
      </c>
      <c r="E267" s="50" t="s">
        <v>237</v>
      </c>
      <c r="F267" s="51">
        <v>45809</v>
      </c>
      <c r="G267" s="51">
        <v>45839</v>
      </c>
      <c r="H267" s="50">
        <v>1</v>
      </c>
      <c r="I267" s="52">
        <v>13.5</v>
      </c>
      <c r="J267" s="53">
        <v>0.03</v>
      </c>
      <c r="K267" s="52">
        <v>0.41</v>
      </c>
      <c r="L267" s="50" t="s">
        <v>71</v>
      </c>
      <c r="M267" s="54" t="s">
        <v>163</v>
      </c>
      <c r="N267" s="48" t="s">
        <v>164</v>
      </c>
      <c r="P267" s="48">
        <v>20411454</v>
      </c>
      <c r="Q267" s="48" t="s">
        <v>422</v>
      </c>
      <c r="R267" s="55" t="s">
        <v>395</v>
      </c>
      <c r="S267" s="48" t="s">
        <v>407</v>
      </c>
    </row>
    <row r="268" spans="1:19" ht="15" customHeight="1" x14ac:dyDescent="0.2">
      <c r="A268" s="50" t="s">
        <v>64</v>
      </c>
      <c r="B268" s="50">
        <v>441727097</v>
      </c>
      <c r="C268" s="50" t="s">
        <v>264</v>
      </c>
      <c r="D268" s="51">
        <v>44927</v>
      </c>
      <c r="E268" s="50" t="s">
        <v>175</v>
      </c>
      <c r="F268" s="51">
        <v>45809</v>
      </c>
      <c r="G268" s="51">
        <v>45839</v>
      </c>
      <c r="H268" s="50">
        <v>1</v>
      </c>
      <c r="I268" s="52">
        <v>13.6</v>
      </c>
      <c r="J268" s="53">
        <v>0.03</v>
      </c>
      <c r="K268" s="52">
        <v>0.41</v>
      </c>
      <c r="L268" s="50" t="s">
        <v>71</v>
      </c>
      <c r="M268" s="54" t="s">
        <v>163</v>
      </c>
      <c r="N268" s="48" t="s">
        <v>164</v>
      </c>
      <c r="P268" s="48">
        <v>20411454</v>
      </c>
      <c r="Q268" s="48" t="s">
        <v>422</v>
      </c>
      <c r="R268" s="55" t="s">
        <v>390</v>
      </c>
      <c r="S268" s="48" t="s">
        <v>407</v>
      </c>
    </row>
    <row r="269" spans="1:19" ht="15" customHeight="1" x14ac:dyDescent="0.2">
      <c r="A269" s="50" t="s">
        <v>64</v>
      </c>
      <c r="B269" s="50">
        <v>441727099</v>
      </c>
      <c r="C269" s="50" t="s">
        <v>264</v>
      </c>
      <c r="D269" s="51">
        <v>44927</v>
      </c>
      <c r="E269" s="50" t="s">
        <v>225</v>
      </c>
      <c r="F269" s="51">
        <v>45809</v>
      </c>
      <c r="G269" s="51">
        <v>45839</v>
      </c>
      <c r="H269" s="50">
        <v>1</v>
      </c>
      <c r="I269" s="52">
        <v>56.38</v>
      </c>
      <c r="J269" s="53">
        <v>0.06</v>
      </c>
      <c r="K269" s="52">
        <v>3.38</v>
      </c>
      <c r="L269" s="50" t="s">
        <v>71</v>
      </c>
      <c r="M269" s="54" t="s">
        <v>163</v>
      </c>
      <c r="N269" s="48" t="s">
        <v>164</v>
      </c>
      <c r="P269" s="48">
        <v>20411454</v>
      </c>
      <c r="Q269" s="48" t="s">
        <v>422</v>
      </c>
      <c r="R269" s="55" t="s">
        <v>389</v>
      </c>
      <c r="S269" s="48" t="s">
        <v>407</v>
      </c>
    </row>
    <row r="270" spans="1:19" ht="15" customHeight="1" x14ac:dyDescent="0.2">
      <c r="A270" s="50" t="s">
        <v>64</v>
      </c>
      <c r="B270" s="50">
        <v>441733220</v>
      </c>
      <c r="C270" s="50" t="s">
        <v>295</v>
      </c>
      <c r="D270" s="51">
        <v>44927</v>
      </c>
      <c r="E270" s="50" t="s">
        <v>259</v>
      </c>
      <c r="F270" s="51">
        <v>45809</v>
      </c>
      <c r="G270" s="51">
        <v>45839</v>
      </c>
      <c r="H270" s="50">
        <v>1</v>
      </c>
      <c r="I270" s="52">
        <v>32.130000000000003</v>
      </c>
      <c r="J270" s="53">
        <v>0.03</v>
      </c>
      <c r="K270" s="52">
        <v>0.96</v>
      </c>
      <c r="L270" s="50" t="s">
        <v>71</v>
      </c>
      <c r="M270" s="54" t="s">
        <v>163</v>
      </c>
      <c r="N270" s="48" t="s">
        <v>164</v>
      </c>
      <c r="P270" s="48">
        <v>20411454</v>
      </c>
      <c r="Q270" s="48" t="s">
        <v>422</v>
      </c>
      <c r="R270" s="55" t="s">
        <v>392</v>
      </c>
      <c r="S270" s="48" t="s">
        <v>407</v>
      </c>
    </row>
    <row r="271" spans="1:19" ht="15" customHeight="1" x14ac:dyDescent="0.2">
      <c r="A271" s="50" t="s">
        <v>64</v>
      </c>
      <c r="B271" s="50">
        <v>441733224</v>
      </c>
      <c r="C271" s="50" t="s">
        <v>295</v>
      </c>
      <c r="D271" s="51">
        <v>44927</v>
      </c>
      <c r="E271" s="50" t="s">
        <v>238</v>
      </c>
      <c r="F271" s="51">
        <v>45809</v>
      </c>
      <c r="G271" s="51">
        <v>45839</v>
      </c>
      <c r="H271" s="50">
        <v>1</v>
      </c>
      <c r="I271" s="52">
        <v>76.66</v>
      </c>
      <c r="J271" s="53">
        <v>0.06</v>
      </c>
      <c r="K271" s="52">
        <v>4.5999999999999996</v>
      </c>
      <c r="L271" s="50" t="s">
        <v>71</v>
      </c>
      <c r="M271" s="54" t="s">
        <v>163</v>
      </c>
      <c r="N271" s="48" t="s">
        <v>164</v>
      </c>
      <c r="P271" s="48">
        <v>20411454</v>
      </c>
      <c r="Q271" s="48" t="s">
        <v>422</v>
      </c>
      <c r="R271" s="55" t="s">
        <v>388</v>
      </c>
      <c r="S271" s="48" t="s">
        <v>407</v>
      </c>
    </row>
    <row r="272" spans="1:19" ht="15" customHeight="1" x14ac:dyDescent="0.2">
      <c r="A272" s="50" t="s">
        <v>64</v>
      </c>
      <c r="B272" s="50">
        <v>441757662</v>
      </c>
      <c r="C272" s="50" t="s">
        <v>273</v>
      </c>
      <c r="D272" s="51">
        <v>44959</v>
      </c>
      <c r="E272" s="50" t="s">
        <v>75</v>
      </c>
      <c r="F272" s="51">
        <v>45809</v>
      </c>
      <c r="G272" s="51">
        <v>45839</v>
      </c>
      <c r="H272" s="50">
        <v>1</v>
      </c>
      <c r="I272" s="52">
        <v>9</v>
      </c>
      <c r="J272" s="53">
        <v>0.03</v>
      </c>
      <c r="K272" s="52">
        <v>0.27</v>
      </c>
      <c r="L272" s="50" t="s">
        <v>71</v>
      </c>
      <c r="M272" s="54" t="s">
        <v>163</v>
      </c>
      <c r="N272" s="48" t="s">
        <v>164</v>
      </c>
      <c r="P272" s="48">
        <v>20411454</v>
      </c>
      <c r="Q272" s="48" t="s">
        <v>422</v>
      </c>
      <c r="R272" s="55" t="s">
        <v>386</v>
      </c>
      <c r="S272" s="48" t="s">
        <v>407</v>
      </c>
    </row>
    <row r="273" spans="1:19" ht="15" customHeight="1" x14ac:dyDescent="0.2">
      <c r="A273" s="50" t="s">
        <v>64</v>
      </c>
      <c r="B273" s="50">
        <v>441757663</v>
      </c>
      <c r="C273" s="50" t="s">
        <v>273</v>
      </c>
      <c r="D273" s="51">
        <v>44959</v>
      </c>
      <c r="E273" s="50" t="s">
        <v>137</v>
      </c>
      <c r="F273" s="51">
        <v>45809</v>
      </c>
      <c r="G273" s="51">
        <v>45839</v>
      </c>
      <c r="H273" s="50">
        <v>1</v>
      </c>
      <c r="I273" s="52">
        <v>39</v>
      </c>
      <c r="J273" s="53">
        <v>0.03</v>
      </c>
      <c r="K273" s="52">
        <v>1.17</v>
      </c>
      <c r="L273" s="50" t="s">
        <v>71</v>
      </c>
      <c r="M273" s="54" t="s">
        <v>163</v>
      </c>
      <c r="N273" s="48" t="s">
        <v>164</v>
      </c>
      <c r="P273" s="48">
        <v>20411454</v>
      </c>
      <c r="Q273" s="48" t="s">
        <v>422</v>
      </c>
      <c r="R273" s="55" t="s">
        <v>387</v>
      </c>
      <c r="S273" s="48" t="s">
        <v>407</v>
      </c>
    </row>
    <row r="274" spans="1:19" ht="15" customHeight="1" x14ac:dyDescent="0.2">
      <c r="A274" s="50" t="s">
        <v>64</v>
      </c>
      <c r="B274" s="50">
        <v>441757668</v>
      </c>
      <c r="C274" s="50" t="s">
        <v>273</v>
      </c>
      <c r="D274" s="51">
        <v>44959</v>
      </c>
      <c r="E274" s="50" t="s">
        <v>238</v>
      </c>
      <c r="F274" s="51">
        <v>45809</v>
      </c>
      <c r="G274" s="51">
        <v>45839</v>
      </c>
      <c r="H274" s="50">
        <v>1</v>
      </c>
      <c r="I274" s="52">
        <v>72.73</v>
      </c>
      <c r="J274" s="53">
        <v>0.06</v>
      </c>
      <c r="K274" s="52">
        <v>4.3600000000000003</v>
      </c>
      <c r="L274" s="50" t="s">
        <v>71</v>
      </c>
      <c r="M274" s="54" t="s">
        <v>163</v>
      </c>
      <c r="N274" s="48" t="s">
        <v>164</v>
      </c>
      <c r="P274" s="48">
        <v>20411454</v>
      </c>
      <c r="Q274" s="48" t="s">
        <v>422</v>
      </c>
      <c r="R274" s="55" t="s">
        <v>388</v>
      </c>
      <c r="S274" s="48" t="s">
        <v>407</v>
      </c>
    </row>
    <row r="275" spans="1:19" ht="15" customHeight="1" x14ac:dyDescent="0.2">
      <c r="A275" s="50" t="s">
        <v>64</v>
      </c>
      <c r="B275" s="56">
        <v>441763086</v>
      </c>
      <c r="C275" s="50" t="s">
        <v>107</v>
      </c>
      <c r="D275" s="51">
        <v>44937</v>
      </c>
      <c r="E275" s="50" t="s">
        <v>108</v>
      </c>
      <c r="F275" s="51">
        <v>45809</v>
      </c>
      <c r="G275" s="51">
        <v>45839</v>
      </c>
      <c r="H275" s="56">
        <v>1</v>
      </c>
      <c r="I275" s="52">
        <v>18</v>
      </c>
      <c r="J275" s="53">
        <v>0.03</v>
      </c>
      <c r="K275" s="52">
        <v>0.54</v>
      </c>
      <c r="L275" s="50" t="s">
        <v>71</v>
      </c>
      <c r="M275" s="54" t="s">
        <v>163</v>
      </c>
      <c r="N275" s="48" t="s">
        <v>164</v>
      </c>
      <c r="P275" s="48">
        <v>20411454</v>
      </c>
      <c r="Q275" s="48" t="s">
        <v>422</v>
      </c>
      <c r="R275" s="55" t="s">
        <v>396</v>
      </c>
      <c r="S275" s="48" t="s">
        <v>407</v>
      </c>
    </row>
    <row r="276" spans="1:19" ht="15" customHeight="1" x14ac:dyDescent="0.2">
      <c r="A276" s="50" t="s">
        <v>64</v>
      </c>
      <c r="B276" s="56">
        <v>441763087</v>
      </c>
      <c r="C276" s="50" t="s">
        <v>107</v>
      </c>
      <c r="D276" s="51">
        <v>44937</v>
      </c>
      <c r="E276" s="50" t="s">
        <v>110</v>
      </c>
      <c r="F276" s="51">
        <v>45809</v>
      </c>
      <c r="G276" s="51">
        <v>45839</v>
      </c>
      <c r="H276" s="56">
        <v>1</v>
      </c>
      <c r="I276" s="52">
        <v>41.6</v>
      </c>
      <c r="J276" s="53">
        <v>0.03</v>
      </c>
      <c r="K276" s="52">
        <v>1.25</v>
      </c>
      <c r="L276" s="50" t="s">
        <v>71</v>
      </c>
      <c r="M276" s="54" t="s">
        <v>163</v>
      </c>
      <c r="N276" s="48" t="s">
        <v>164</v>
      </c>
      <c r="P276" s="48">
        <v>20411454</v>
      </c>
      <c r="Q276" s="48" t="s">
        <v>422</v>
      </c>
      <c r="R276" s="55" t="s">
        <v>397</v>
      </c>
      <c r="S276" s="48" t="s">
        <v>407</v>
      </c>
    </row>
    <row r="277" spans="1:19" ht="15" customHeight="1" x14ac:dyDescent="0.2">
      <c r="A277" s="50" t="s">
        <v>64</v>
      </c>
      <c r="B277" s="50">
        <v>441771914</v>
      </c>
      <c r="C277" s="50" t="s">
        <v>289</v>
      </c>
      <c r="D277" s="51">
        <v>44958</v>
      </c>
      <c r="E277" s="50" t="s">
        <v>214</v>
      </c>
      <c r="F277" s="51">
        <v>45809</v>
      </c>
      <c r="G277" s="51">
        <v>45839</v>
      </c>
      <c r="H277" s="50">
        <v>1</v>
      </c>
      <c r="I277" s="52">
        <v>88.24</v>
      </c>
      <c r="J277" s="53">
        <v>0.06</v>
      </c>
      <c r="K277" s="52">
        <v>5.29</v>
      </c>
      <c r="L277" s="50" t="s">
        <v>71</v>
      </c>
      <c r="M277" s="54" t="s">
        <v>163</v>
      </c>
      <c r="N277" s="48" t="s">
        <v>164</v>
      </c>
      <c r="P277" s="48">
        <v>20411454</v>
      </c>
      <c r="Q277" s="48" t="s">
        <v>422</v>
      </c>
      <c r="R277" s="55" t="s">
        <v>388</v>
      </c>
      <c r="S277" s="48" t="s">
        <v>407</v>
      </c>
    </row>
    <row r="278" spans="1:19" ht="15" customHeight="1" x14ac:dyDescent="0.2">
      <c r="A278" s="50" t="s">
        <v>64</v>
      </c>
      <c r="B278" s="50">
        <v>441772281</v>
      </c>
      <c r="C278" s="50" t="s">
        <v>265</v>
      </c>
      <c r="D278" s="51">
        <v>44958</v>
      </c>
      <c r="E278" s="50" t="s">
        <v>137</v>
      </c>
      <c r="F278" s="51">
        <v>45809</v>
      </c>
      <c r="G278" s="51">
        <v>45839</v>
      </c>
      <c r="H278" s="50">
        <v>1</v>
      </c>
      <c r="I278" s="52">
        <v>39</v>
      </c>
      <c r="J278" s="53">
        <v>0.03</v>
      </c>
      <c r="K278" s="52">
        <v>1.17</v>
      </c>
      <c r="L278" s="50" t="s">
        <v>71</v>
      </c>
      <c r="M278" s="54" t="s">
        <v>163</v>
      </c>
      <c r="N278" s="48" t="s">
        <v>164</v>
      </c>
      <c r="P278" s="48">
        <v>20411454</v>
      </c>
      <c r="Q278" s="48" t="s">
        <v>422</v>
      </c>
      <c r="R278" s="55" t="s">
        <v>387</v>
      </c>
      <c r="S278" s="48" t="s">
        <v>407</v>
      </c>
    </row>
    <row r="279" spans="1:19" ht="15" customHeight="1" x14ac:dyDescent="0.2">
      <c r="A279" s="50" t="s">
        <v>64</v>
      </c>
      <c r="B279" s="50">
        <v>441772286</v>
      </c>
      <c r="C279" s="50" t="s">
        <v>265</v>
      </c>
      <c r="D279" s="51">
        <v>44958</v>
      </c>
      <c r="E279" s="50" t="s">
        <v>214</v>
      </c>
      <c r="F279" s="51">
        <v>45809</v>
      </c>
      <c r="G279" s="51">
        <v>45839</v>
      </c>
      <c r="H279" s="50">
        <v>1</v>
      </c>
      <c r="I279" s="52">
        <v>102.79</v>
      </c>
      <c r="J279" s="53">
        <v>0.06</v>
      </c>
      <c r="K279" s="52">
        <v>6.17</v>
      </c>
      <c r="L279" s="50" t="s">
        <v>71</v>
      </c>
      <c r="M279" s="54" t="s">
        <v>163</v>
      </c>
      <c r="N279" s="48" t="s">
        <v>164</v>
      </c>
      <c r="P279" s="48">
        <v>20411454</v>
      </c>
      <c r="Q279" s="48" t="s">
        <v>422</v>
      </c>
      <c r="R279" s="55" t="s">
        <v>388</v>
      </c>
      <c r="S279" s="48" t="s">
        <v>407</v>
      </c>
    </row>
    <row r="280" spans="1:19" ht="15" customHeight="1" x14ac:dyDescent="0.2">
      <c r="A280" s="50" t="s">
        <v>64</v>
      </c>
      <c r="B280" s="50">
        <v>441836406</v>
      </c>
      <c r="C280" s="50" t="s">
        <v>270</v>
      </c>
      <c r="D280" s="51">
        <v>44986</v>
      </c>
      <c r="E280" s="50" t="s">
        <v>259</v>
      </c>
      <c r="F280" s="51">
        <v>45809</v>
      </c>
      <c r="G280" s="51">
        <v>45839</v>
      </c>
      <c r="H280" s="50">
        <v>1</v>
      </c>
      <c r="I280" s="52">
        <v>37.49</v>
      </c>
      <c r="J280" s="53">
        <v>0.03</v>
      </c>
      <c r="K280" s="52">
        <v>1.1200000000000001</v>
      </c>
      <c r="L280" s="50" t="s">
        <v>71</v>
      </c>
      <c r="M280" s="54" t="s">
        <v>163</v>
      </c>
      <c r="N280" s="48" t="s">
        <v>164</v>
      </c>
      <c r="P280" s="48">
        <v>20411454</v>
      </c>
      <c r="Q280" s="48" t="s">
        <v>422</v>
      </c>
      <c r="R280" s="55" t="s">
        <v>392</v>
      </c>
      <c r="S280" s="48" t="s">
        <v>407</v>
      </c>
    </row>
    <row r="281" spans="1:19" s="47" customFormat="1" ht="15" customHeight="1" x14ac:dyDescent="0.2">
      <c r="A281" s="64" t="s">
        <v>64</v>
      </c>
      <c r="B281" s="64">
        <v>441882731</v>
      </c>
      <c r="C281" s="64" t="s">
        <v>268</v>
      </c>
      <c r="D281" s="65">
        <v>45017</v>
      </c>
      <c r="E281" s="64" t="s">
        <v>259</v>
      </c>
      <c r="F281" s="65">
        <v>45809</v>
      </c>
      <c r="G281" s="65">
        <v>45839</v>
      </c>
      <c r="H281" s="64">
        <v>1</v>
      </c>
      <c r="I281" s="66">
        <v>32.130000000000003</v>
      </c>
      <c r="J281" s="67">
        <v>0.03</v>
      </c>
      <c r="K281" s="66">
        <v>0.96</v>
      </c>
      <c r="L281" s="64" t="s">
        <v>71</v>
      </c>
      <c r="M281" s="68" t="s">
        <v>163</v>
      </c>
      <c r="N281" s="47" t="s">
        <v>164</v>
      </c>
      <c r="P281" s="47">
        <v>20411454</v>
      </c>
      <c r="Q281" s="47" t="s">
        <v>422</v>
      </c>
      <c r="R281" s="69" t="s">
        <v>392</v>
      </c>
      <c r="S281" s="47" t="s">
        <v>407</v>
      </c>
    </row>
    <row r="282" spans="1:19" s="62" customFormat="1" ht="15" customHeight="1" x14ac:dyDescent="0.2">
      <c r="A282" s="57" t="s">
        <v>64</v>
      </c>
      <c r="B282" s="57">
        <v>441882733</v>
      </c>
      <c r="C282" s="57" t="s">
        <v>268</v>
      </c>
      <c r="D282" s="58">
        <v>45017</v>
      </c>
      <c r="E282" s="57" t="s">
        <v>238</v>
      </c>
      <c r="F282" s="58">
        <v>45809</v>
      </c>
      <c r="G282" s="58">
        <v>45839</v>
      </c>
      <c r="H282" s="57">
        <v>1</v>
      </c>
      <c r="I282" s="59">
        <v>72.73</v>
      </c>
      <c r="J282" s="60">
        <v>0.06</v>
      </c>
      <c r="K282" s="59">
        <v>4.3600000000000003</v>
      </c>
      <c r="L282" s="57" t="s">
        <v>71</v>
      </c>
      <c r="M282" s="61" t="s">
        <v>163</v>
      </c>
      <c r="N282" s="62" t="s">
        <v>164</v>
      </c>
      <c r="P282" s="62">
        <v>20411454</v>
      </c>
      <c r="Q282" s="62" t="s">
        <v>422</v>
      </c>
      <c r="R282" s="63" t="s">
        <v>388</v>
      </c>
      <c r="S282" s="62" t="s">
        <v>407</v>
      </c>
    </row>
    <row r="283" spans="1:19" s="62" customFormat="1" ht="15" customHeight="1" x14ac:dyDescent="0.2">
      <c r="A283" s="57" t="s">
        <v>64</v>
      </c>
      <c r="B283" s="57">
        <v>441883102</v>
      </c>
      <c r="C283" s="57" t="s">
        <v>219</v>
      </c>
      <c r="D283" s="58">
        <v>45017</v>
      </c>
      <c r="E283" s="57" t="s">
        <v>214</v>
      </c>
      <c r="F283" s="58">
        <v>45809</v>
      </c>
      <c r="G283" s="58">
        <v>45839</v>
      </c>
      <c r="H283" s="57">
        <v>1</v>
      </c>
      <c r="I283" s="59">
        <v>106.93</v>
      </c>
      <c r="J283" s="60">
        <v>0.06</v>
      </c>
      <c r="K283" s="59">
        <v>6.42</v>
      </c>
      <c r="L283" s="57" t="s">
        <v>71</v>
      </c>
      <c r="M283" s="61" t="s">
        <v>163</v>
      </c>
      <c r="N283" s="62" t="s">
        <v>164</v>
      </c>
      <c r="P283" s="62">
        <v>20411454</v>
      </c>
      <c r="Q283" s="62" t="s">
        <v>422</v>
      </c>
      <c r="R283" s="63" t="s">
        <v>388</v>
      </c>
      <c r="S283" s="62" t="s">
        <v>407</v>
      </c>
    </row>
    <row r="284" spans="1:19" s="47" customFormat="1" ht="15" customHeight="1" x14ac:dyDescent="0.2">
      <c r="A284" s="64" t="s">
        <v>64</v>
      </c>
      <c r="B284" s="64">
        <v>441884974</v>
      </c>
      <c r="C284" s="64" t="s">
        <v>258</v>
      </c>
      <c r="D284" s="65">
        <v>45017</v>
      </c>
      <c r="E284" s="64" t="s">
        <v>259</v>
      </c>
      <c r="F284" s="65">
        <v>45809</v>
      </c>
      <c r="G284" s="65">
        <v>45839</v>
      </c>
      <c r="H284" s="64">
        <v>1</v>
      </c>
      <c r="I284" s="66">
        <v>37.49</v>
      </c>
      <c r="J284" s="67">
        <v>0.03</v>
      </c>
      <c r="K284" s="66">
        <v>1.1200000000000001</v>
      </c>
      <c r="L284" s="64" t="s">
        <v>71</v>
      </c>
      <c r="M284" s="68" t="s">
        <v>163</v>
      </c>
      <c r="N284" s="47" t="s">
        <v>164</v>
      </c>
      <c r="P284" s="47">
        <v>20411454</v>
      </c>
      <c r="Q284" s="47" t="s">
        <v>422</v>
      </c>
      <c r="R284" s="69" t="s">
        <v>392</v>
      </c>
      <c r="S284" s="47" t="s">
        <v>407</v>
      </c>
    </row>
    <row r="285" spans="1:19" s="62" customFormat="1" ht="15" customHeight="1" x14ac:dyDescent="0.2">
      <c r="A285" s="57" t="s">
        <v>64</v>
      </c>
      <c r="B285" s="57">
        <v>441884980</v>
      </c>
      <c r="C285" s="57" t="s">
        <v>258</v>
      </c>
      <c r="D285" s="58">
        <v>45017</v>
      </c>
      <c r="E285" s="57" t="s">
        <v>214</v>
      </c>
      <c r="F285" s="58">
        <v>45809</v>
      </c>
      <c r="G285" s="58">
        <v>45839</v>
      </c>
      <c r="H285" s="57">
        <v>1</v>
      </c>
      <c r="I285" s="59">
        <v>98.99</v>
      </c>
      <c r="J285" s="60">
        <v>0.06</v>
      </c>
      <c r="K285" s="59">
        <v>5.94</v>
      </c>
      <c r="L285" s="57" t="s">
        <v>71</v>
      </c>
      <c r="M285" s="61" t="s">
        <v>163</v>
      </c>
      <c r="N285" s="62" t="s">
        <v>164</v>
      </c>
      <c r="P285" s="62">
        <v>20411454</v>
      </c>
      <c r="Q285" s="62" t="s">
        <v>422</v>
      </c>
      <c r="R285" s="63" t="s">
        <v>388</v>
      </c>
      <c r="S285" s="62" t="s">
        <v>407</v>
      </c>
    </row>
    <row r="286" spans="1:19" s="47" customFormat="1" ht="15" customHeight="1" x14ac:dyDescent="0.2">
      <c r="A286" s="64" t="s">
        <v>64</v>
      </c>
      <c r="B286" s="64">
        <v>441885201</v>
      </c>
      <c r="C286" s="64" t="s">
        <v>292</v>
      </c>
      <c r="D286" s="65">
        <v>45017</v>
      </c>
      <c r="E286" s="64" t="s">
        <v>259</v>
      </c>
      <c r="F286" s="65">
        <v>45809</v>
      </c>
      <c r="G286" s="65">
        <v>45839</v>
      </c>
      <c r="H286" s="64">
        <v>1</v>
      </c>
      <c r="I286" s="66">
        <v>37.49</v>
      </c>
      <c r="J286" s="67">
        <v>0.03</v>
      </c>
      <c r="K286" s="66">
        <v>1.1200000000000001</v>
      </c>
      <c r="L286" s="64" t="s">
        <v>71</v>
      </c>
      <c r="M286" s="68" t="s">
        <v>163</v>
      </c>
      <c r="N286" s="47" t="s">
        <v>164</v>
      </c>
      <c r="P286" s="47">
        <v>20411454</v>
      </c>
      <c r="Q286" s="47" t="s">
        <v>422</v>
      </c>
      <c r="R286" s="69" t="s">
        <v>392</v>
      </c>
      <c r="S286" s="47" t="s">
        <v>407</v>
      </c>
    </row>
    <row r="287" spans="1:19" s="62" customFormat="1" ht="15" customHeight="1" x14ac:dyDescent="0.2">
      <c r="A287" s="57" t="s">
        <v>64</v>
      </c>
      <c r="B287" s="57">
        <v>441885213</v>
      </c>
      <c r="C287" s="57" t="s">
        <v>292</v>
      </c>
      <c r="D287" s="58">
        <v>45017</v>
      </c>
      <c r="E287" s="57" t="s">
        <v>214</v>
      </c>
      <c r="F287" s="58">
        <v>45809</v>
      </c>
      <c r="G287" s="58">
        <v>45839</v>
      </c>
      <c r="H287" s="57">
        <v>1</v>
      </c>
      <c r="I287" s="59">
        <v>109.86</v>
      </c>
      <c r="J287" s="60">
        <v>0.06</v>
      </c>
      <c r="K287" s="59">
        <v>6.59</v>
      </c>
      <c r="L287" s="57" t="s">
        <v>71</v>
      </c>
      <c r="M287" s="61" t="s">
        <v>163</v>
      </c>
      <c r="N287" s="62" t="s">
        <v>164</v>
      </c>
      <c r="P287" s="62">
        <v>20411454</v>
      </c>
      <c r="Q287" s="62" t="s">
        <v>422</v>
      </c>
      <c r="R287" s="63" t="s">
        <v>388</v>
      </c>
      <c r="S287" s="62" t="s">
        <v>407</v>
      </c>
    </row>
    <row r="288" spans="1:19" ht="15" customHeight="1" x14ac:dyDescent="0.2">
      <c r="A288" s="50" t="s">
        <v>64</v>
      </c>
      <c r="B288" s="50">
        <v>441999551</v>
      </c>
      <c r="C288" s="50" t="s">
        <v>375</v>
      </c>
      <c r="D288" s="51">
        <v>45078</v>
      </c>
      <c r="E288" s="50" t="s">
        <v>137</v>
      </c>
      <c r="F288" s="51">
        <v>45809</v>
      </c>
      <c r="G288" s="51">
        <v>45839</v>
      </c>
      <c r="H288" s="50">
        <v>1</v>
      </c>
      <c r="I288" s="52">
        <v>78</v>
      </c>
      <c r="J288" s="53">
        <v>0.09</v>
      </c>
      <c r="K288" s="52">
        <v>7.02</v>
      </c>
      <c r="L288" s="50" t="s">
        <v>71</v>
      </c>
      <c r="M288" s="54" t="s">
        <v>376</v>
      </c>
      <c r="O288" s="48" t="s">
        <v>377</v>
      </c>
      <c r="P288" s="48">
        <v>16509456</v>
      </c>
      <c r="Q288" s="48" t="str">
        <f>CONCATENATE(M288, " ",N288, " ",O288)</f>
        <v>Peter  Richter</v>
      </c>
      <c r="R288" s="55" t="s">
        <v>387</v>
      </c>
      <c r="S288" s="48" t="s">
        <v>413</v>
      </c>
    </row>
  </sheetData>
  <sortState xmlns:xlrd2="http://schemas.microsoft.com/office/spreadsheetml/2017/richdata2" ref="A2:X288">
    <sortCondition ref="Q2:Q28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2025-06-11T16:04:24Z</dcterms:created>
  <dcterms:modified xsi:type="dcterms:W3CDTF">2025-06-17T18:32:05Z</dcterms:modified>
</cp:coreProperties>
</file>