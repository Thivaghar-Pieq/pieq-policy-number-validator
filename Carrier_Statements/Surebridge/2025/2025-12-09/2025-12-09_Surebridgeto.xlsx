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A65B5882-8B3C-459F-9201-7CEEB733E42E}" xr6:coauthVersionLast="47" xr6:coauthVersionMax="47" xr10:uidLastSave="{00000000-0000-0000-0000-000000000000}"/>
  <bookViews>
    <workbookView xWindow="28680" yWindow="-120" windowWidth="29040" windowHeight="16440" activeTab="2" xr2:uid="{8E89564D-869E-4484-BCF5-5FD7428514C3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calcChain.xml><?xml version="1.0" encoding="utf-8"?>
<calcChain xmlns="http://schemas.openxmlformats.org/spreadsheetml/2006/main">
  <c r="R43" i="3" l="1"/>
  <c r="R48" i="3"/>
  <c r="R42" i="3"/>
  <c r="R22" i="3"/>
  <c r="R23" i="3"/>
  <c r="R39" i="3"/>
  <c r="R41" i="3"/>
  <c r="R9" i="3"/>
  <c r="R10" i="3"/>
  <c r="R36" i="3"/>
  <c r="R65" i="3"/>
  <c r="R64" i="3"/>
  <c r="R4" i="3"/>
  <c r="R51" i="3"/>
  <c r="R54" i="3"/>
  <c r="R52" i="3"/>
  <c r="R53" i="3"/>
  <c r="R61" i="3"/>
  <c r="R68" i="3"/>
  <c r="R69" i="3"/>
  <c r="R38" i="3"/>
  <c r="R24" i="3"/>
  <c r="R25" i="3"/>
  <c r="R82" i="3"/>
  <c r="R55" i="3"/>
  <c r="R56" i="3"/>
  <c r="R44" i="3"/>
  <c r="R46" i="3"/>
  <c r="R75" i="3"/>
  <c r="R45" i="3"/>
  <c r="R78" i="3"/>
  <c r="R79" i="3"/>
  <c r="R80" i="3"/>
  <c r="R81" i="3"/>
  <c r="R49" i="3"/>
  <c r="R50" i="3"/>
  <c r="R76" i="3"/>
  <c r="R77" i="3"/>
  <c r="R57" i="3"/>
  <c r="R72" i="3"/>
  <c r="R73" i="3"/>
  <c r="R62" i="3"/>
  <c r="R63" i="3"/>
  <c r="R60" i="3"/>
  <c r="R70" i="3"/>
  <c r="R71" i="3"/>
  <c r="R58" i="3"/>
  <c r="R59" i="3"/>
  <c r="R66" i="3"/>
  <c r="R67" i="3"/>
  <c r="R12" i="3"/>
  <c r="R13" i="3"/>
  <c r="R20" i="3"/>
  <c r="R21" i="3"/>
  <c r="R2" i="3"/>
  <c r="R3" i="3"/>
  <c r="R34" i="3"/>
  <c r="R35" i="3"/>
  <c r="R18" i="3"/>
  <c r="R19" i="3"/>
  <c r="R5" i="3"/>
  <c r="R6" i="3"/>
  <c r="R40" i="3"/>
  <c r="R26" i="3"/>
  <c r="R27" i="3"/>
  <c r="R28" i="3"/>
  <c r="R29" i="3"/>
  <c r="R30" i="3"/>
  <c r="R31" i="3"/>
  <c r="R14" i="3"/>
  <c r="R15" i="3"/>
  <c r="R16" i="3"/>
  <c r="R17" i="3"/>
  <c r="R11" i="3"/>
  <c r="R7" i="3"/>
  <c r="R8" i="3"/>
  <c r="R32" i="3"/>
  <c r="R33" i="3"/>
  <c r="R37" i="3"/>
  <c r="R83" i="3"/>
  <c r="R74" i="3"/>
  <c r="R47" i="3"/>
</calcChain>
</file>

<file path=xl/sharedStrings.xml><?xml version="1.0" encoding="utf-8"?>
<sst xmlns="http://schemas.openxmlformats.org/spreadsheetml/2006/main" count="1498" uniqueCount="268">
  <si>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</si>
  <si>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</si>
  <si>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</si>
  <si>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</si>
  <si>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</si>
  <si>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</si>
  <si>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</si>
  <si>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12/09/2025</t>
  </si>
  <si>
    <t>Attn:  Commission Accounting</t>
  </si>
  <si>
    <t>Payee:</t>
  </si>
  <si>
    <t>Main Line Benefits LLC 15791498</t>
  </si>
  <si>
    <t>Statement To Date: 12/15/2025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</si>
  <si>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</si>
  <si>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</si>
  <si>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</si>
  <si>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</si>
  <si>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</si>
  <si>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</si>
  <si>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</si>
  <si>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</si>
  <si>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</si>
  <si>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</si>
  <si>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</si>
  <si>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</si>
  <si>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</si>
  <si>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</si>
  <si>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</si>
  <si>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</si>
  <si>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</si>
  <si>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</si>
  <si>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</si>
  <si>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</si>
  <si>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</si>
  <si>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</si>
  <si>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</si>
  <si>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</si>
  <si>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</si>
  <si>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</si>
  <si>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</si>
  <si>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</si>
  <si>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</si>
  <si>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</si>
  <si>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</si>
  <si>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</si>
  <si>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</si>
  <si>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</si>
  <si>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</si>
  <si>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</si>
  <si>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</si>
  <si>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</si>
  <si>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</si>
  <si>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</si>
  <si>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</si>
  <si>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</si>
  <si>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</si>
  <si>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</si>
  <si>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</si>
  <si>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</si>
  <si>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</si>
  <si>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</si>
  <si>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</si>
  <si>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</si>
  <si>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</si>
  <si>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</si>
  <si>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</si>
  <si>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</si>
  <si>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</si>
  <si>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</si>
  <si>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</si>
  <si>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</si>
  <si>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</si>
  <si>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</si>
  <si>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</si>
  <si>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</si>
  <si>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</si>
  <si>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</si>
  <si>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</si>
  <si>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</si>
  <si>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</si>
  <si>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</si>
  <si>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</si>
  <si>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</si>
  <si>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</si>
  <si>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</si>
  <si>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</si>
  <si>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</si>
  <si>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441818010</t>
  </si>
  <si>
    <t>LESA  THOMAS</t>
  </si>
  <si>
    <t>SWTL1014</t>
  </si>
  <si>
    <t>441624181</t>
  </si>
  <si>
    <t>RANDAL  HAKL</t>
  </si>
  <si>
    <t>SWTL1033</t>
  </si>
  <si>
    <t>441625087</t>
  </si>
  <si>
    <t>RECHIE  HAKL</t>
  </si>
  <si>
    <t>SWTL1093</t>
  </si>
  <si>
    <t>441765054</t>
  </si>
  <si>
    <t>VANESSA  BROWN</t>
  </si>
  <si>
    <t>Carol  Foley 17425766</t>
  </si>
  <si>
    <t>442300659</t>
  </si>
  <si>
    <t>CATHERINE  MURRAY</t>
  </si>
  <si>
    <t>SHW00161</t>
  </si>
  <si>
    <t>18.00%</t>
  </si>
  <si>
    <t>442296755</t>
  </si>
  <si>
    <t>CHERYL  LAUMAKIS</t>
  </si>
  <si>
    <t>SPH00094</t>
  </si>
  <si>
    <t>4.50%</t>
  </si>
  <si>
    <t>441602827</t>
  </si>
  <si>
    <t>DANIEL  SIGG</t>
  </si>
  <si>
    <t>SHW00020</t>
  </si>
  <si>
    <t>6.00%</t>
  </si>
  <si>
    <t>442254656</t>
  </si>
  <si>
    <t>SPH00092</t>
  </si>
  <si>
    <t>442256625</t>
  </si>
  <si>
    <t>JAMES  PAETZ</t>
  </si>
  <si>
    <t>442255341</t>
  </si>
  <si>
    <t>JENNIFER  MOCKOVIAK</t>
  </si>
  <si>
    <t>442255344</t>
  </si>
  <si>
    <t>442292751</t>
  </si>
  <si>
    <t>JOHN  MOSS</t>
  </si>
  <si>
    <t>SHW10166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</si>
  <si>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</si>
  <si>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</si>
  <si>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</si>
  <si>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</si>
  <si>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</si>
  <si>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</si>
  <si>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</si>
  <si>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441705578</t>
  </si>
  <si>
    <t>MARC  TREANOR</t>
  </si>
  <si>
    <t>SHW00010</t>
  </si>
  <si>
    <t>442548317</t>
  </si>
  <si>
    <t>MARSHA  MCCANNEY</t>
  </si>
  <si>
    <t>SPHV0108</t>
  </si>
  <si>
    <t>7.00%</t>
  </si>
  <si>
    <t>442267305</t>
  </si>
  <si>
    <t>MICHAEL  SMALL</t>
  </si>
  <si>
    <t>442267307</t>
  </si>
  <si>
    <t>441884278</t>
  </si>
  <si>
    <t>PATRICIA  COBEN</t>
  </si>
  <si>
    <t>SPH00003</t>
  </si>
  <si>
    <t>441955925</t>
  </si>
  <si>
    <t>ROSE  CINEUS</t>
  </si>
  <si>
    <t>SPD00005</t>
  </si>
  <si>
    <t>442474033</t>
  </si>
  <si>
    <t>STACY  SHAFFER</t>
  </si>
  <si>
    <t>SPH00096</t>
  </si>
  <si>
    <t>441894645</t>
  </si>
  <si>
    <t>STEVEN  SCALIA</t>
  </si>
  <si>
    <t>442522920</t>
  </si>
  <si>
    <t>SUSAN  MARTIN</t>
  </si>
  <si>
    <t>SCP10002</t>
  </si>
  <si>
    <t>442522921</t>
  </si>
  <si>
    <t>SHW10167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</si>
  <si>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</si>
  <si>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</si>
  <si>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</si>
  <si>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</si>
  <si>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</si>
  <si>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</si>
  <si>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</si>
  <si>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</si>
  <si>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</si>
  <si>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</si>
  <si>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</si>
  <si>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</si>
  <si>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</si>
  <si>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</si>
  <si>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</si>
  <si>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</si>
  <si>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</si>
  <si>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</si>
  <si>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</si>
  <si>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</si>
  <si>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</si>
  <si>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</si>
  <si>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</si>
  <si>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</si>
  <si>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</si>
  <si>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</si>
  <si>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</si>
  <si>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</si>
  <si>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</si>
  <si>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</si>
  <si>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</si>
  <si>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442289842</t>
  </si>
  <si>
    <t>442301963</t>
  </si>
  <si>
    <t>WILLIAM  WORMS</t>
  </si>
  <si>
    <t>SH010004</t>
  </si>
  <si>
    <t>442301964</t>
  </si>
  <si>
    <t>SCP10004</t>
  </si>
  <si>
    <t>Katelenn  Caltagirone 20436896</t>
  </si>
  <si>
    <t>441659598</t>
  </si>
  <si>
    <t>GINGER  MILLER</t>
  </si>
  <si>
    <t>SA000004</t>
  </si>
  <si>
    <t>441659600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</si>
  <si>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</si>
  <si>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</si>
  <si>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</si>
  <si>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</si>
  <si>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</si>
  <si>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</si>
  <si>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</si>
  <si>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</si>
  <si>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</si>
  <si>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</si>
  <si>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</si>
  <si>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</si>
  <si>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</si>
  <si>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</si>
  <si>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</si>
  <si>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441679321</t>
  </si>
  <si>
    <t>DEBRA  BLOMME</t>
  </si>
  <si>
    <t>441603753</t>
  </si>
  <si>
    <t>DONALD  SEYFFERTH</t>
  </si>
  <si>
    <t>441607364</t>
  </si>
  <si>
    <t>JOHN  WORTMAN</t>
  </si>
  <si>
    <t>SPV00006</t>
  </si>
  <si>
    <t>441794112</t>
  </si>
  <si>
    <t>KIMBERLY  MCCLUSKEY</t>
  </si>
  <si>
    <t>441707181</t>
  </si>
  <si>
    <t>MELISSA  BARCLAY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</si>
  <si>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</si>
  <si>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</si>
  <si>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</si>
  <si>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</si>
  <si>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</si>
  <si>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</si>
  <si>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</si>
  <si>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</si>
  <si>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</si>
  <si>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</si>
  <si>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</si>
  <si>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</si>
  <si>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</si>
  <si>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</si>
  <si>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</si>
  <si>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SWTL2221</t>
  </si>
  <si>
    <t>441713414</t>
  </si>
  <si>
    <t>VANESSA  PATEL</t>
  </si>
  <si>
    <t>SPD00008</t>
  </si>
  <si>
    <t>441774712</t>
  </si>
  <si>
    <t>WARREN  HARRIS</t>
  </si>
  <si>
    <t>Margaret Finnegan 19861194</t>
  </si>
  <si>
    <t>442563687</t>
  </si>
  <si>
    <t>ASHLEY  PENCE</t>
  </si>
  <si>
    <t>Scott Christopher Aguglia 8971826</t>
  </si>
  <si>
    <t>442459673</t>
  </si>
  <si>
    <t>ANNETTE  PHILLIPS</t>
  </si>
  <si>
    <t>SWTL2147</t>
  </si>
  <si>
    <t>Total</t>
  </si>
  <si>
    <t>Anne</t>
  </si>
  <si>
    <t>Kozacheck</t>
  </si>
  <si>
    <t>Ashley</t>
  </si>
  <si>
    <t>Teipel</t>
  </si>
  <si>
    <t>Carol</t>
  </si>
  <si>
    <t>Foley</t>
  </si>
  <si>
    <t>Colleen</t>
  </si>
  <si>
    <t>Finnigan</t>
  </si>
  <si>
    <t>Deborah</t>
  </si>
  <si>
    <t>Inskipt</t>
  </si>
  <si>
    <t>Katelenn</t>
  </si>
  <si>
    <t>Caltagirone</t>
  </si>
  <si>
    <t>Kimberly</t>
  </si>
  <si>
    <t>Dickerson</t>
  </si>
  <si>
    <t>Margaret</t>
  </si>
  <si>
    <t>Finnegan</t>
  </si>
  <si>
    <t>Scott</t>
  </si>
  <si>
    <t>Aguglia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</si>
</sst>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0" xfId="0" applyAlignment="1">
      <alignment horizontal="left"/>
    </xf>
    <xf numFmtId="165" fontId="1" fillId="0" borderId="0" xfId="0" applyNumberFormat="1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left" vertical="top" wrapText="1" readingOrder="1"/>
      <protection locked="0"/>
    </xf>
    <xf numFmtId="0" fontId="1" fillId="0" borderId="0" xfId="0" applyNumberFormat="1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4512-3703-4685-AE89-6C724E7100CA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6">
        <v>0</v>
      </c>
      <c r="H11" s="31"/>
      <c r="I11" s="10"/>
      <c r="J11" s="2"/>
      <c r="K11" s="33" t="s">
        <v>19</v>
      </c>
      <c r="L11" s="31"/>
      <c r="M11" s="31"/>
      <c r="N11" s="31"/>
      <c r="O11" s="31"/>
      <c r="P11" s="36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6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6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6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6">
        <v>294.52</v>
      </c>
      <c r="H14" s="31"/>
      <c r="I14" s="10"/>
      <c r="J14" s="2"/>
      <c r="K14" s="11"/>
      <c r="L14" s="32" t="s">
        <v>25</v>
      </c>
      <c r="M14" s="31"/>
      <c r="N14" s="31"/>
      <c r="O14" s="31"/>
      <c r="P14" s="36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6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6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6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4">
        <v>294.52</v>
      </c>
      <c r="H17" s="31"/>
      <c r="I17" s="10"/>
      <c r="J17" s="2"/>
      <c r="K17" s="33" t="s">
        <v>30</v>
      </c>
      <c r="L17" s="31"/>
      <c r="M17" s="31"/>
      <c r="N17" s="6"/>
      <c r="O17" s="6"/>
      <c r="P17" s="34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7"/>
      <c r="H18" s="31"/>
      <c r="I18" s="10"/>
      <c r="J18" s="2"/>
      <c r="K18" s="33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39"/>
      <c r="H19" s="31"/>
      <c r="I19" s="18"/>
      <c r="J19" s="18"/>
      <c r="K19" s="33" t="s">
        <v>32</v>
      </c>
      <c r="L19" s="31"/>
      <c r="M19" s="31"/>
      <c r="N19" s="6"/>
      <c r="O19" s="6"/>
      <c r="P19" s="40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6">
        <v>294.52</v>
      </c>
      <c r="H20" s="31"/>
      <c r="I20" s="18"/>
      <c r="J20" s="18"/>
      <c r="K20" s="18"/>
      <c r="L20" s="32" t="s">
        <v>21</v>
      </c>
      <c r="M20" s="31"/>
      <c r="N20" s="6"/>
      <c r="O20" s="6"/>
      <c r="P20" s="36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6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6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>
        <v>294.52</v>
      </c>
      <c r="H22" s="31"/>
      <c r="I22" s="18"/>
      <c r="J22" s="18"/>
      <c r="K22" s="18"/>
      <c r="L22" s="35" t="s">
        <v>35</v>
      </c>
      <c r="M22" s="31"/>
      <c r="N22" s="6"/>
      <c r="O22" s="6"/>
      <c r="P22" s="34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37</v>
      </c>
      <c r="N27" s="31"/>
      <c r="O27" s="31"/>
      <c r="P27" s="31"/>
      <c r="Q27" s="1"/>
      <c r="R27" s="1"/>
    </row>
    <row r="28" spans="1:18" x14ac:dyDescent="0.2">
      <c r="A28" s="1"/>
      <c r="B28" s="30" t="s">
        <v>38</v>
      </c>
      <c r="C28" s="31"/>
      <c r="D28" s="31"/>
      <c r="E28" s="32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40</v>
      </c>
      <c r="P28" s="31"/>
      <c r="Q28" s="31"/>
      <c r="R28" s="1"/>
    </row>
    <row r="29" spans="1:18" x14ac:dyDescent="0.2">
      <c r="A29" s="1"/>
      <c r="B29" s="30" t="s">
        <v>41</v>
      </c>
      <c r="C29" s="31"/>
      <c r="D29" s="31"/>
      <c r="E29" s="32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43</v>
      </c>
      <c r="C30" s="31"/>
      <c r="D30" s="31"/>
      <c r="E30" s="32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45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46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12/19/2025&amp;B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37F-F0DB-479F-93A5-A27B19FC0784}">
  <dimension ref="A1:R105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6"/>
      <c r="J8" s="45" t="s">
        <v>55</v>
      </c>
      <c r="K8" s="46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4">
        <v>45992</v>
      </c>
      <c r="I11" s="31"/>
      <c r="J11" s="44">
        <v>46023</v>
      </c>
      <c r="K11" s="31"/>
      <c r="L11" s="28">
        <v>46001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44985</v>
      </c>
      <c r="F12" s="14"/>
      <c r="G12" s="14" t="s">
        <v>74</v>
      </c>
      <c r="H12" s="44">
        <v>45992</v>
      </c>
      <c r="I12" s="31"/>
      <c r="J12" s="44">
        <v>46023</v>
      </c>
      <c r="K12" s="31"/>
      <c r="L12" s="28">
        <v>46003</v>
      </c>
      <c r="M12" s="29" t="s">
        <v>68</v>
      </c>
      <c r="N12" s="15" t="s">
        <v>69</v>
      </c>
      <c r="O12" s="13">
        <v>154.99</v>
      </c>
      <c r="P12" s="15" t="s">
        <v>70</v>
      </c>
      <c r="Q12" s="13">
        <v>13.95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45100</v>
      </c>
      <c r="F13" s="14"/>
      <c r="G13" s="14" t="s">
        <v>77</v>
      </c>
      <c r="H13" s="44">
        <v>45992</v>
      </c>
      <c r="I13" s="31"/>
      <c r="J13" s="44">
        <v>46023</v>
      </c>
      <c r="K13" s="31"/>
      <c r="L13" s="28">
        <v>46001</v>
      </c>
      <c r="M13" s="29" t="s">
        <v>68</v>
      </c>
      <c r="N13" s="15" t="s">
        <v>69</v>
      </c>
      <c r="O13" s="13">
        <v>67</v>
      </c>
      <c r="P13" s="15" t="s">
        <v>70</v>
      </c>
      <c r="Q13" s="13">
        <v>6.03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44979</v>
      </c>
      <c r="F14" s="14"/>
      <c r="G14" s="14" t="s">
        <v>67</v>
      </c>
      <c r="H14" s="44">
        <v>45992</v>
      </c>
      <c r="I14" s="31"/>
      <c r="J14" s="44">
        <v>46023</v>
      </c>
      <c r="K14" s="31"/>
      <c r="L14" s="28">
        <v>46001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x14ac:dyDescent="0.2">
      <c r="A15" s="35" t="s">
        <v>80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44903</v>
      </c>
      <c r="F16" s="14"/>
      <c r="G16" s="14" t="s">
        <v>83</v>
      </c>
      <c r="H16" s="44">
        <v>46000</v>
      </c>
      <c r="I16" s="31"/>
      <c r="J16" s="44">
        <v>46023</v>
      </c>
      <c r="K16" s="31"/>
      <c r="L16" s="28">
        <v>46001</v>
      </c>
      <c r="M16" s="29" t="s">
        <v>68</v>
      </c>
      <c r="N16" s="15" t="s">
        <v>69</v>
      </c>
      <c r="O16" s="13">
        <v>46.84</v>
      </c>
      <c r="P16" s="15" t="s">
        <v>70</v>
      </c>
      <c r="Q16" s="13">
        <v>4.22</v>
      </c>
      <c r="R16" s="29" t="s">
        <v>71</v>
      </c>
    </row>
    <row r="17" spans="1:18" ht="22.5" x14ac:dyDescent="0.2">
      <c r="A17" s="1"/>
      <c r="B17" s="1" t="s">
        <v>64</v>
      </c>
      <c r="C17" s="1" t="s">
        <v>81</v>
      </c>
      <c r="D17" s="1" t="s">
        <v>82</v>
      </c>
      <c r="E17" s="28">
        <v>44903</v>
      </c>
      <c r="F17" s="14"/>
      <c r="G17" s="14" t="s">
        <v>83</v>
      </c>
      <c r="H17" s="44">
        <v>45992</v>
      </c>
      <c r="I17" s="31"/>
      <c r="J17" s="44">
        <v>45999</v>
      </c>
      <c r="K17" s="31"/>
      <c r="L17" s="28">
        <v>46001</v>
      </c>
      <c r="M17" s="29" t="s">
        <v>68</v>
      </c>
      <c r="N17" s="15" t="s">
        <v>69</v>
      </c>
      <c r="O17" s="13">
        <v>13.66</v>
      </c>
      <c r="P17" s="15" t="s">
        <v>70</v>
      </c>
      <c r="Q17" s="13">
        <v>1.23</v>
      </c>
      <c r="R17" s="29" t="s">
        <v>71</v>
      </c>
    </row>
    <row r="18" spans="1:18" ht="22.5" x14ac:dyDescent="0.2">
      <c r="A18" s="1"/>
      <c r="B18" s="1" t="s">
        <v>64</v>
      </c>
      <c r="C18" s="1" t="s">
        <v>84</v>
      </c>
      <c r="D18" s="1" t="s">
        <v>85</v>
      </c>
      <c r="E18" s="28">
        <v>44947</v>
      </c>
      <c r="F18" s="14"/>
      <c r="G18" s="14" t="s">
        <v>67</v>
      </c>
      <c r="H18" s="44">
        <v>45992</v>
      </c>
      <c r="I18" s="31"/>
      <c r="J18" s="44">
        <v>46023</v>
      </c>
      <c r="K18" s="31"/>
      <c r="L18" s="28">
        <v>46001</v>
      </c>
      <c r="M18" s="29" t="s">
        <v>68</v>
      </c>
      <c r="N18" s="15" t="s">
        <v>69</v>
      </c>
      <c r="O18" s="13">
        <v>16</v>
      </c>
      <c r="P18" s="15" t="s">
        <v>70</v>
      </c>
      <c r="Q18" s="13">
        <v>1.44</v>
      </c>
      <c r="R18" s="29" t="s">
        <v>71</v>
      </c>
    </row>
    <row r="19" spans="1:18" ht="22.5" x14ac:dyDescent="0.2">
      <c r="A19" s="1"/>
      <c r="B19" s="1" t="s">
        <v>64</v>
      </c>
      <c r="C19" s="1" t="s">
        <v>86</v>
      </c>
      <c r="D19" s="1" t="s">
        <v>87</v>
      </c>
      <c r="E19" s="28">
        <v>44979</v>
      </c>
      <c r="F19" s="14"/>
      <c r="G19" s="14" t="s">
        <v>88</v>
      </c>
      <c r="H19" s="44">
        <v>45992</v>
      </c>
      <c r="I19" s="31"/>
      <c r="J19" s="44">
        <v>46023</v>
      </c>
      <c r="K19" s="31"/>
      <c r="L19" s="28">
        <v>46001</v>
      </c>
      <c r="M19" s="29" t="s">
        <v>68</v>
      </c>
      <c r="N19" s="15" t="s">
        <v>69</v>
      </c>
      <c r="O19" s="13">
        <v>98.66</v>
      </c>
      <c r="P19" s="15" t="s">
        <v>70</v>
      </c>
      <c r="Q19" s="13">
        <v>8.8800000000000008</v>
      </c>
      <c r="R19" s="29" t="s">
        <v>71</v>
      </c>
    </row>
    <row r="20" spans="1:18" ht="22.5" x14ac:dyDescent="0.2">
      <c r="A20" s="1"/>
      <c r="B20" s="1" t="s">
        <v>64</v>
      </c>
      <c r="C20" s="1" t="s">
        <v>89</v>
      </c>
      <c r="D20" s="1" t="s">
        <v>90</v>
      </c>
      <c r="E20" s="28">
        <v>44879</v>
      </c>
      <c r="F20" s="14"/>
      <c r="G20" s="14" t="s">
        <v>91</v>
      </c>
      <c r="H20" s="44">
        <v>45992</v>
      </c>
      <c r="I20" s="31"/>
      <c r="J20" s="44">
        <v>46023</v>
      </c>
      <c r="K20" s="31"/>
      <c r="L20" s="28">
        <v>46000</v>
      </c>
      <c r="M20" s="29" t="s">
        <v>68</v>
      </c>
      <c r="N20" s="15" t="s">
        <v>69</v>
      </c>
      <c r="O20" s="13">
        <v>165.99</v>
      </c>
      <c r="P20" s="15" t="s">
        <v>70</v>
      </c>
      <c r="Q20" s="13">
        <v>14.94</v>
      </c>
      <c r="R20" s="29" t="s">
        <v>71</v>
      </c>
    </row>
    <row r="21" spans="1:18" ht="22.5" x14ac:dyDescent="0.2">
      <c r="A21" s="1"/>
      <c r="B21" s="1" t="s">
        <v>64</v>
      </c>
      <c r="C21" s="1" t="s">
        <v>92</v>
      </c>
      <c r="D21" s="1" t="s">
        <v>93</v>
      </c>
      <c r="E21" s="28">
        <v>44880</v>
      </c>
      <c r="F21" s="14"/>
      <c r="G21" s="14" t="s">
        <v>94</v>
      </c>
      <c r="H21" s="44">
        <v>45992</v>
      </c>
      <c r="I21" s="31"/>
      <c r="J21" s="44">
        <v>46023</v>
      </c>
      <c r="K21" s="31"/>
      <c r="L21" s="28">
        <v>46000</v>
      </c>
      <c r="M21" s="29" t="s">
        <v>68</v>
      </c>
      <c r="N21" s="15" t="s">
        <v>69</v>
      </c>
      <c r="O21" s="13">
        <v>62.5</v>
      </c>
      <c r="P21" s="15" t="s">
        <v>70</v>
      </c>
      <c r="Q21" s="13">
        <v>5.63</v>
      </c>
      <c r="R21" s="29" t="s">
        <v>71</v>
      </c>
    </row>
    <row r="22" spans="1:18" ht="22.5" x14ac:dyDescent="0.2">
      <c r="A22" s="1"/>
      <c r="B22" s="1" t="s">
        <v>64</v>
      </c>
      <c r="C22" s="1" t="s">
        <v>95</v>
      </c>
      <c r="D22" s="1" t="s">
        <v>96</v>
      </c>
      <c r="E22" s="28">
        <v>44941</v>
      </c>
      <c r="F22" s="14"/>
      <c r="G22" s="14" t="s">
        <v>88</v>
      </c>
      <c r="H22" s="44">
        <v>45992</v>
      </c>
      <c r="I22" s="31"/>
      <c r="J22" s="44">
        <v>46023</v>
      </c>
      <c r="K22" s="31"/>
      <c r="L22" s="28">
        <v>46003</v>
      </c>
      <c r="M22" s="29" t="s">
        <v>68</v>
      </c>
      <c r="N22" s="15" t="s">
        <v>69</v>
      </c>
      <c r="O22" s="13">
        <v>123.1</v>
      </c>
      <c r="P22" s="15" t="s">
        <v>70</v>
      </c>
      <c r="Q22" s="13">
        <v>11.08</v>
      </c>
      <c r="R22" s="29" t="s">
        <v>71</v>
      </c>
    </row>
    <row r="23" spans="1:18" x14ac:dyDescent="0.2">
      <c r="A23" s="35" t="s">
        <v>97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1"/>
      <c r="O23" s="1"/>
      <c r="P23" s="1"/>
      <c r="Q23" s="1"/>
      <c r="R23" s="1"/>
    </row>
    <row r="24" spans="1:18" ht="22.5" x14ac:dyDescent="0.2">
      <c r="A24" s="1"/>
      <c r="B24" s="1" t="s">
        <v>64</v>
      </c>
      <c r="C24" s="1" t="s">
        <v>98</v>
      </c>
      <c r="D24" s="1" t="s">
        <v>99</v>
      </c>
      <c r="E24" s="28">
        <v>45261</v>
      </c>
      <c r="F24" s="14"/>
      <c r="G24" s="14" t="s">
        <v>100</v>
      </c>
      <c r="H24" s="44">
        <v>45992</v>
      </c>
      <c r="I24" s="31"/>
      <c r="J24" s="44">
        <v>46023</v>
      </c>
      <c r="K24" s="31"/>
      <c r="L24" s="28">
        <v>46004</v>
      </c>
      <c r="M24" s="29" t="s">
        <v>68</v>
      </c>
      <c r="N24" s="15" t="s">
        <v>69</v>
      </c>
      <c r="O24" s="13">
        <v>98.2</v>
      </c>
      <c r="P24" s="15" t="s">
        <v>101</v>
      </c>
      <c r="Q24" s="13">
        <v>17.68</v>
      </c>
      <c r="R24" s="29" t="s">
        <v>71</v>
      </c>
    </row>
    <row r="25" spans="1:18" ht="22.5" x14ac:dyDescent="0.2">
      <c r="A25" s="1"/>
      <c r="B25" s="1" t="s">
        <v>64</v>
      </c>
      <c r="C25" s="1" t="s">
        <v>102</v>
      </c>
      <c r="D25" s="1" t="s">
        <v>103</v>
      </c>
      <c r="E25" s="28">
        <v>45253</v>
      </c>
      <c r="F25" s="14"/>
      <c r="G25" s="14" t="s">
        <v>104</v>
      </c>
      <c r="H25" s="44">
        <v>45992</v>
      </c>
      <c r="I25" s="31"/>
      <c r="J25" s="44">
        <v>46023</v>
      </c>
      <c r="K25" s="31"/>
      <c r="L25" s="28">
        <v>46001</v>
      </c>
      <c r="M25" s="29" t="s">
        <v>68</v>
      </c>
      <c r="N25" s="15" t="s">
        <v>69</v>
      </c>
      <c r="O25" s="13">
        <v>30.03</v>
      </c>
      <c r="P25" s="15" t="s">
        <v>105</v>
      </c>
      <c r="Q25" s="13">
        <v>1.35</v>
      </c>
      <c r="R25" s="29" t="s">
        <v>71</v>
      </c>
    </row>
    <row r="26" spans="1:18" ht="22.5" x14ac:dyDescent="0.2">
      <c r="A26" s="1"/>
      <c r="B26" s="1" t="s">
        <v>64</v>
      </c>
      <c r="C26" s="1" t="s">
        <v>106</v>
      </c>
      <c r="D26" s="1" t="s">
        <v>107</v>
      </c>
      <c r="E26" s="28">
        <v>44870</v>
      </c>
      <c r="F26" s="14"/>
      <c r="G26" s="14" t="s">
        <v>108</v>
      </c>
      <c r="H26" s="44">
        <v>45992</v>
      </c>
      <c r="I26" s="31"/>
      <c r="J26" s="44">
        <v>46023</v>
      </c>
      <c r="K26" s="31"/>
      <c r="L26" s="28">
        <v>46000</v>
      </c>
      <c r="M26" s="29" t="s">
        <v>68</v>
      </c>
      <c r="N26" s="15" t="s">
        <v>69</v>
      </c>
      <c r="O26" s="13">
        <v>71.03</v>
      </c>
      <c r="P26" s="15" t="s">
        <v>109</v>
      </c>
      <c r="Q26" s="13">
        <v>4.26</v>
      </c>
      <c r="R26" s="29" t="s">
        <v>71</v>
      </c>
    </row>
    <row r="27" spans="1:18" ht="22.5" x14ac:dyDescent="0.2">
      <c r="A27" s="1"/>
      <c r="B27" s="1" t="s">
        <v>64</v>
      </c>
      <c r="C27" s="1" t="s">
        <v>110</v>
      </c>
      <c r="D27" s="1" t="s">
        <v>107</v>
      </c>
      <c r="E27" s="28">
        <v>45235</v>
      </c>
      <c r="F27" s="14"/>
      <c r="G27" s="14" t="s">
        <v>111</v>
      </c>
      <c r="H27" s="44">
        <v>45992</v>
      </c>
      <c r="I27" s="31"/>
      <c r="J27" s="44">
        <v>46023</v>
      </c>
      <c r="K27" s="31"/>
      <c r="L27" s="28">
        <v>46000</v>
      </c>
      <c r="M27" s="29" t="s">
        <v>68</v>
      </c>
      <c r="N27" s="15" t="s">
        <v>69</v>
      </c>
      <c r="O27" s="13">
        <v>18.48</v>
      </c>
      <c r="P27" s="15" t="s">
        <v>105</v>
      </c>
      <c r="Q27" s="13">
        <v>0.83</v>
      </c>
      <c r="R27" s="29" t="s">
        <v>71</v>
      </c>
    </row>
    <row r="28" spans="1:18" ht="22.5" x14ac:dyDescent="0.2">
      <c r="A28" s="1"/>
      <c r="B28" s="1" t="s">
        <v>64</v>
      </c>
      <c r="C28" s="1" t="s">
        <v>112</v>
      </c>
      <c r="D28" s="1" t="s">
        <v>113</v>
      </c>
      <c r="E28" s="28">
        <v>45237</v>
      </c>
      <c r="F28" s="14"/>
      <c r="G28" s="14" t="s">
        <v>100</v>
      </c>
      <c r="H28" s="44">
        <v>45992</v>
      </c>
      <c r="I28" s="31"/>
      <c r="J28" s="44">
        <v>46023</v>
      </c>
      <c r="K28" s="31"/>
      <c r="L28" s="28">
        <v>46001</v>
      </c>
      <c r="M28" s="29" t="s">
        <v>68</v>
      </c>
      <c r="N28" s="15" t="s">
        <v>69</v>
      </c>
      <c r="O28" s="13">
        <v>112.72</v>
      </c>
      <c r="P28" s="15" t="s">
        <v>101</v>
      </c>
      <c r="Q28" s="13">
        <v>20.29</v>
      </c>
      <c r="R28" s="29" t="s">
        <v>71</v>
      </c>
    </row>
    <row r="29" spans="1:18" ht="22.5" x14ac:dyDescent="0.2">
      <c r="A29" s="1"/>
      <c r="B29" s="1" t="s">
        <v>64</v>
      </c>
      <c r="C29" s="1" t="s">
        <v>114</v>
      </c>
      <c r="D29" s="1" t="s">
        <v>115</v>
      </c>
      <c r="E29" s="28">
        <v>45292</v>
      </c>
      <c r="F29" s="14"/>
      <c r="G29" s="14" t="s">
        <v>111</v>
      </c>
      <c r="H29" s="44">
        <v>45992</v>
      </c>
      <c r="I29" s="31"/>
      <c r="J29" s="44">
        <v>46023</v>
      </c>
      <c r="K29" s="31"/>
      <c r="L29" s="28">
        <v>46003</v>
      </c>
      <c r="M29" s="29" t="s">
        <v>68</v>
      </c>
      <c r="N29" s="15" t="s">
        <v>69</v>
      </c>
      <c r="O29" s="13">
        <v>68.45</v>
      </c>
      <c r="P29" s="15" t="s">
        <v>105</v>
      </c>
      <c r="Q29" s="13">
        <v>3.08</v>
      </c>
      <c r="R29" s="29" t="s">
        <v>71</v>
      </c>
    </row>
    <row r="30" spans="1:18" ht="22.5" x14ac:dyDescent="0.2">
      <c r="A30" s="1"/>
      <c r="B30" s="1" t="s">
        <v>64</v>
      </c>
      <c r="C30" s="1" t="s">
        <v>116</v>
      </c>
      <c r="D30" s="1" t="s">
        <v>115</v>
      </c>
      <c r="E30" s="28">
        <v>45292</v>
      </c>
      <c r="F30" s="14"/>
      <c r="G30" s="14" t="s">
        <v>100</v>
      </c>
      <c r="H30" s="44">
        <v>45992</v>
      </c>
      <c r="I30" s="31"/>
      <c r="J30" s="44">
        <v>46023</v>
      </c>
      <c r="K30" s="31"/>
      <c r="L30" s="28">
        <v>46003</v>
      </c>
      <c r="M30" s="29" t="s">
        <v>68</v>
      </c>
      <c r="N30" s="15" t="s">
        <v>69</v>
      </c>
      <c r="O30" s="13">
        <v>101.85</v>
      </c>
      <c r="P30" s="15" t="s">
        <v>70</v>
      </c>
      <c r="Q30" s="13">
        <v>9.17</v>
      </c>
      <c r="R30" s="29" t="s">
        <v>71</v>
      </c>
    </row>
    <row r="31" spans="1:18" ht="22.5" x14ac:dyDescent="0.2">
      <c r="A31" s="1"/>
      <c r="B31" s="1" t="s">
        <v>64</v>
      </c>
      <c r="C31" s="1" t="s">
        <v>117</v>
      </c>
      <c r="D31" s="1" t="s">
        <v>118</v>
      </c>
      <c r="E31" s="28">
        <v>45250</v>
      </c>
      <c r="F31" s="14"/>
      <c r="G31" s="14" t="s">
        <v>119</v>
      </c>
      <c r="H31" s="44">
        <v>45992</v>
      </c>
      <c r="I31" s="31"/>
      <c r="J31" s="44">
        <v>46023</v>
      </c>
      <c r="K31" s="31"/>
      <c r="L31" s="28">
        <v>46003</v>
      </c>
      <c r="M31" s="29" t="s">
        <v>68</v>
      </c>
      <c r="N31" s="15" t="s">
        <v>69</v>
      </c>
      <c r="O31" s="13">
        <v>45.26</v>
      </c>
      <c r="P31" s="15" t="s">
        <v>101</v>
      </c>
      <c r="Q31" s="13">
        <v>8.15</v>
      </c>
      <c r="R31" s="29" t="s">
        <v>71</v>
      </c>
    </row>
    <row r="32" spans="1:18" ht="22.5" x14ac:dyDescent="0.2">
      <c r="A32" s="1"/>
      <c r="B32" s="1" t="s">
        <v>64</v>
      </c>
      <c r="C32" s="1" t="s">
        <v>120</v>
      </c>
      <c r="D32" s="1" t="s">
        <v>121</v>
      </c>
      <c r="E32" s="28">
        <v>45278</v>
      </c>
      <c r="F32" s="14"/>
      <c r="G32" s="14" t="s">
        <v>122</v>
      </c>
      <c r="H32" s="44">
        <v>45992</v>
      </c>
      <c r="I32" s="31"/>
      <c r="J32" s="44">
        <v>46009</v>
      </c>
      <c r="K32" s="31"/>
      <c r="L32" s="28">
        <v>46001</v>
      </c>
      <c r="M32" s="29" t="s">
        <v>68</v>
      </c>
      <c r="N32" s="15" t="s">
        <v>69</v>
      </c>
      <c r="O32" s="13">
        <v>65.290000000000006</v>
      </c>
      <c r="P32" s="15" t="s">
        <v>70</v>
      </c>
      <c r="Q32" s="13">
        <v>5.88</v>
      </c>
      <c r="R32" s="29" t="s">
        <v>71</v>
      </c>
    </row>
    <row r="33" spans="1:18" ht="22.5" x14ac:dyDescent="0.2">
      <c r="A33" s="1"/>
      <c r="B33" s="1" t="s">
        <v>64</v>
      </c>
      <c r="C33" s="1" t="s">
        <v>120</v>
      </c>
      <c r="D33" s="1" t="s">
        <v>121</v>
      </c>
      <c r="E33" s="28">
        <v>45278</v>
      </c>
      <c r="F33" s="14"/>
      <c r="G33" s="14" t="s">
        <v>122</v>
      </c>
      <c r="H33" s="44">
        <v>46010</v>
      </c>
      <c r="I33" s="31"/>
      <c r="J33" s="44">
        <v>46023</v>
      </c>
      <c r="K33" s="31"/>
      <c r="L33" s="28">
        <v>46001</v>
      </c>
      <c r="M33" s="29" t="s">
        <v>68</v>
      </c>
      <c r="N33" s="15" t="s">
        <v>69</v>
      </c>
      <c r="O33" s="13">
        <v>53.76</v>
      </c>
      <c r="P33" s="15" t="s">
        <v>70</v>
      </c>
      <c r="Q33" s="13">
        <v>4.84</v>
      </c>
      <c r="R33" s="29" t="s">
        <v>71</v>
      </c>
    </row>
    <row r="34" spans="1:18" ht="22.5" x14ac:dyDescent="0.2">
      <c r="A34" s="1"/>
      <c r="B34" s="1" t="s">
        <v>64</v>
      </c>
      <c r="C34" s="1" t="s">
        <v>123</v>
      </c>
      <c r="D34" s="1" t="s">
        <v>124</v>
      </c>
      <c r="E34" s="28">
        <v>44945</v>
      </c>
      <c r="F34" s="14"/>
      <c r="G34" s="14" t="s">
        <v>125</v>
      </c>
      <c r="H34" s="44">
        <v>45992</v>
      </c>
      <c r="I34" s="31"/>
      <c r="J34" s="44">
        <v>46023</v>
      </c>
      <c r="K34" s="31"/>
      <c r="L34" s="28">
        <v>46001</v>
      </c>
      <c r="M34" s="29" t="s">
        <v>68</v>
      </c>
      <c r="N34" s="15" t="s">
        <v>69</v>
      </c>
      <c r="O34" s="13">
        <v>19</v>
      </c>
      <c r="P34" s="15" t="s">
        <v>126</v>
      </c>
      <c r="Q34" s="13">
        <v>0.56999999999999995</v>
      </c>
      <c r="R34" s="29" t="s">
        <v>71</v>
      </c>
    </row>
    <row r="35" spans="1:18" ht="22.5" x14ac:dyDescent="0.2">
      <c r="A35" s="1"/>
      <c r="B35" s="1" t="s">
        <v>64</v>
      </c>
      <c r="C35" s="1" t="s">
        <v>127</v>
      </c>
      <c r="D35" s="1" t="s">
        <v>128</v>
      </c>
      <c r="E35" s="28">
        <v>44910</v>
      </c>
      <c r="F35" s="14"/>
      <c r="G35" s="14" t="s">
        <v>129</v>
      </c>
      <c r="H35" s="44">
        <v>45992</v>
      </c>
      <c r="I35" s="31"/>
      <c r="J35" s="44">
        <v>46006</v>
      </c>
      <c r="K35" s="31"/>
      <c r="L35" s="28">
        <v>46000</v>
      </c>
      <c r="M35" s="29" t="s">
        <v>68</v>
      </c>
      <c r="N35" s="15" t="s">
        <v>69</v>
      </c>
      <c r="O35" s="13">
        <v>88.81</v>
      </c>
      <c r="P35" s="15" t="s">
        <v>109</v>
      </c>
      <c r="Q35" s="13">
        <v>5.33</v>
      </c>
      <c r="R35" s="29" t="s">
        <v>71</v>
      </c>
    </row>
    <row r="36" spans="1:18" ht="22.5" x14ac:dyDescent="0.2">
      <c r="A36" s="1"/>
      <c r="B36" s="1" t="s">
        <v>64</v>
      </c>
      <c r="C36" s="1" t="s">
        <v>127</v>
      </c>
      <c r="D36" s="1" t="s">
        <v>128</v>
      </c>
      <c r="E36" s="28">
        <v>44910</v>
      </c>
      <c r="F36" s="14"/>
      <c r="G36" s="14" t="s">
        <v>129</v>
      </c>
      <c r="H36" s="44">
        <v>46007</v>
      </c>
      <c r="I36" s="31"/>
      <c r="J36" s="44">
        <v>46023</v>
      </c>
      <c r="K36" s="31"/>
      <c r="L36" s="28">
        <v>46000</v>
      </c>
      <c r="M36" s="29" t="s">
        <v>68</v>
      </c>
      <c r="N36" s="15" t="s">
        <v>69</v>
      </c>
      <c r="O36" s="13">
        <v>107.85</v>
      </c>
      <c r="P36" s="15" t="s">
        <v>109</v>
      </c>
      <c r="Q36" s="13">
        <v>6.47</v>
      </c>
      <c r="R36" s="29" t="s">
        <v>71</v>
      </c>
    </row>
    <row r="37" spans="1:18" ht="22.5" x14ac:dyDescent="0.2">
      <c r="A37" s="1"/>
      <c r="B37" s="1" t="s">
        <v>64</v>
      </c>
      <c r="C37" s="1" t="s">
        <v>130</v>
      </c>
      <c r="D37" s="1" t="s">
        <v>131</v>
      </c>
      <c r="E37" s="28">
        <v>45366</v>
      </c>
      <c r="F37" s="14"/>
      <c r="G37" s="14" t="s">
        <v>132</v>
      </c>
      <c r="H37" s="44">
        <v>45992</v>
      </c>
      <c r="I37" s="31"/>
      <c r="J37" s="44">
        <v>46023</v>
      </c>
      <c r="K37" s="31"/>
      <c r="L37" s="28">
        <v>46000</v>
      </c>
      <c r="M37" s="29" t="s">
        <v>68</v>
      </c>
      <c r="N37" s="15" t="s">
        <v>69</v>
      </c>
      <c r="O37" s="13">
        <v>49.7</v>
      </c>
      <c r="P37" s="15" t="s">
        <v>133</v>
      </c>
      <c r="Q37" s="13">
        <v>3.48</v>
      </c>
      <c r="R37" s="29" t="s">
        <v>71</v>
      </c>
    </row>
    <row r="38" spans="1:18" ht="22.5" x14ac:dyDescent="0.2">
      <c r="A38" s="1"/>
      <c r="B38" s="1" t="s">
        <v>64</v>
      </c>
      <c r="C38" s="1" t="s">
        <v>134</v>
      </c>
      <c r="D38" s="1" t="s">
        <v>135</v>
      </c>
      <c r="E38" s="28">
        <v>45261</v>
      </c>
      <c r="F38" s="14"/>
      <c r="G38" s="14" t="s">
        <v>104</v>
      </c>
      <c r="H38" s="44">
        <v>45992</v>
      </c>
      <c r="I38" s="31"/>
      <c r="J38" s="44">
        <v>46023</v>
      </c>
      <c r="K38" s="31"/>
      <c r="L38" s="28">
        <v>46003</v>
      </c>
      <c r="M38" s="29" t="s">
        <v>68</v>
      </c>
      <c r="N38" s="15" t="s">
        <v>69</v>
      </c>
      <c r="O38" s="13">
        <v>30.03</v>
      </c>
      <c r="P38" s="15" t="s">
        <v>105</v>
      </c>
      <c r="Q38" s="13">
        <v>1.35</v>
      </c>
      <c r="R38" s="29" t="s">
        <v>71</v>
      </c>
    </row>
    <row r="39" spans="1:18" ht="22.5" x14ac:dyDescent="0.2">
      <c r="A39" s="1"/>
      <c r="B39" s="1" t="s">
        <v>64</v>
      </c>
      <c r="C39" s="1" t="s">
        <v>136</v>
      </c>
      <c r="D39" s="1" t="s">
        <v>135</v>
      </c>
      <c r="E39" s="28">
        <v>45261</v>
      </c>
      <c r="F39" s="14"/>
      <c r="G39" s="14" t="s">
        <v>100</v>
      </c>
      <c r="H39" s="44">
        <v>45992</v>
      </c>
      <c r="I39" s="31"/>
      <c r="J39" s="44">
        <v>46023</v>
      </c>
      <c r="K39" s="31"/>
      <c r="L39" s="28">
        <v>46003</v>
      </c>
      <c r="M39" s="29" t="s">
        <v>68</v>
      </c>
      <c r="N39" s="15" t="s">
        <v>69</v>
      </c>
      <c r="O39" s="13">
        <v>88.04</v>
      </c>
      <c r="P39" s="15" t="s">
        <v>101</v>
      </c>
      <c r="Q39" s="13">
        <v>15.85</v>
      </c>
      <c r="R39" s="29" t="s">
        <v>71</v>
      </c>
    </row>
    <row r="40" spans="1:18" ht="22.5" x14ac:dyDescent="0.2">
      <c r="A40" s="1"/>
      <c r="B40" s="1" t="s">
        <v>64</v>
      </c>
      <c r="C40" s="1" t="s">
        <v>137</v>
      </c>
      <c r="D40" s="1" t="s">
        <v>138</v>
      </c>
      <c r="E40" s="28">
        <v>45007</v>
      </c>
      <c r="F40" s="14"/>
      <c r="G40" s="14" t="s">
        <v>139</v>
      </c>
      <c r="H40" s="44">
        <v>45992</v>
      </c>
      <c r="I40" s="31"/>
      <c r="J40" s="44">
        <v>46023</v>
      </c>
      <c r="K40" s="31"/>
      <c r="L40" s="28">
        <v>46001</v>
      </c>
      <c r="M40" s="29" t="s">
        <v>68</v>
      </c>
      <c r="N40" s="15" t="s">
        <v>69</v>
      </c>
      <c r="O40" s="13">
        <v>59.98</v>
      </c>
      <c r="P40" s="15" t="s">
        <v>126</v>
      </c>
      <c r="Q40" s="13">
        <v>1.8</v>
      </c>
      <c r="R40" s="29" t="s">
        <v>71</v>
      </c>
    </row>
    <row r="41" spans="1:18" ht="22.5" x14ac:dyDescent="0.2">
      <c r="A41" s="1"/>
      <c r="B41" s="1" t="s">
        <v>64</v>
      </c>
      <c r="C41" s="1" t="s">
        <v>140</v>
      </c>
      <c r="D41" s="1" t="s">
        <v>141</v>
      </c>
      <c r="E41" s="28">
        <v>45050</v>
      </c>
      <c r="F41" s="14"/>
      <c r="G41" s="14" t="s">
        <v>142</v>
      </c>
      <c r="H41" s="44">
        <v>45992</v>
      </c>
      <c r="I41" s="31"/>
      <c r="J41" s="44">
        <v>46023</v>
      </c>
      <c r="K41" s="31"/>
      <c r="L41" s="28">
        <v>46001</v>
      </c>
      <c r="M41" s="29" t="s">
        <v>68</v>
      </c>
      <c r="N41" s="15" t="s">
        <v>69</v>
      </c>
      <c r="O41" s="13">
        <v>32.76</v>
      </c>
      <c r="P41" s="15" t="s">
        <v>126</v>
      </c>
      <c r="Q41" s="13">
        <v>0.98</v>
      </c>
      <c r="R41" s="29" t="s">
        <v>71</v>
      </c>
    </row>
    <row r="42" spans="1:18" ht="22.5" x14ac:dyDescent="0.2">
      <c r="A42" s="1"/>
      <c r="B42" s="1" t="s">
        <v>64</v>
      </c>
      <c r="C42" s="1" t="s">
        <v>143</v>
      </c>
      <c r="D42" s="1" t="s">
        <v>144</v>
      </c>
      <c r="E42" s="28">
        <v>45327</v>
      </c>
      <c r="F42" s="14"/>
      <c r="G42" s="14" t="s">
        <v>145</v>
      </c>
      <c r="H42" s="44">
        <v>45992</v>
      </c>
      <c r="I42" s="31"/>
      <c r="J42" s="44">
        <v>46023</v>
      </c>
      <c r="K42" s="31"/>
      <c r="L42" s="28">
        <v>46000</v>
      </c>
      <c r="M42" s="29" t="s">
        <v>68</v>
      </c>
      <c r="N42" s="15" t="s">
        <v>69</v>
      </c>
      <c r="O42" s="13">
        <v>47.94</v>
      </c>
      <c r="P42" s="15" t="s">
        <v>105</v>
      </c>
      <c r="Q42" s="13">
        <v>2.16</v>
      </c>
      <c r="R42" s="29" t="s">
        <v>71</v>
      </c>
    </row>
    <row r="43" spans="1:18" ht="22.5" x14ac:dyDescent="0.2">
      <c r="A43" s="1"/>
      <c r="B43" s="1" t="s">
        <v>64</v>
      </c>
      <c r="C43" s="1" t="s">
        <v>146</v>
      </c>
      <c r="D43" s="1" t="s">
        <v>147</v>
      </c>
      <c r="E43" s="28">
        <v>45017</v>
      </c>
      <c r="F43" s="14"/>
      <c r="G43" s="14" t="s">
        <v>100</v>
      </c>
      <c r="H43" s="44">
        <v>45992</v>
      </c>
      <c r="I43" s="31"/>
      <c r="J43" s="44">
        <v>46023</v>
      </c>
      <c r="K43" s="31"/>
      <c r="L43" s="28">
        <v>46003</v>
      </c>
      <c r="M43" s="29" t="s">
        <v>68</v>
      </c>
      <c r="N43" s="15" t="s">
        <v>69</v>
      </c>
      <c r="O43" s="13">
        <v>70.239999999999995</v>
      </c>
      <c r="P43" s="15" t="s">
        <v>109</v>
      </c>
      <c r="Q43" s="13">
        <v>4.21</v>
      </c>
      <c r="R43" s="29" t="s">
        <v>71</v>
      </c>
    </row>
    <row r="44" spans="1:18" ht="22.5" x14ac:dyDescent="0.2">
      <c r="A44" s="1"/>
      <c r="B44" s="1" t="s">
        <v>64</v>
      </c>
      <c r="C44" s="1" t="s">
        <v>148</v>
      </c>
      <c r="D44" s="1" t="s">
        <v>149</v>
      </c>
      <c r="E44" s="28">
        <v>45352</v>
      </c>
      <c r="F44" s="14"/>
      <c r="G44" s="14" t="s">
        <v>150</v>
      </c>
      <c r="H44" s="44">
        <v>45992</v>
      </c>
      <c r="I44" s="31"/>
      <c r="J44" s="44">
        <v>45992</v>
      </c>
      <c r="K44" s="31"/>
      <c r="L44" s="28">
        <v>46000</v>
      </c>
      <c r="M44" s="29" t="s">
        <v>68</v>
      </c>
      <c r="N44" s="15" t="s">
        <v>69</v>
      </c>
      <c r="O44" s="13">
        <v>-9.4</v>
      </c>
      <c r="P44" s="15" t="s">
        <v>70</v>
      </c>
      <c r="Q44" s="13">
        <v>-0.85</v>
      </c>
      <c r="R44" s="29" t="s">
        <v>71</v>
      </c>
    </row>
    <row r="45" spans="1:18" ht="22.5" x14ac:dyDescent="0.2">
      <c r="A45" s="1"/>
      <c r="B45" s="1" t="s">
        <v>64</v>
      </c>
      <c r="C45" s="1" t="s">
        <v>148</v>
      </c>
      <c r="D45" s="1" t="s">
        <v>149</v>
      </c>
      <c r="E45" s="28">
        <v>45352</v>
      </c>
      <c r="F45" s="14"/>
      <c r="G45" s="14" t="s">
        <v>150</v>
      </c>
      <c r="H45" s="44">
        <v>45962</v>
      </c>
      <c r="I45" s="31"/>
      <c r="J45" s="44">
        <v>45962</v>
      </c>
      <c r="K45" s="31"/>
      <c r="L45" s="28">
        <v>46000</v>
      </c>
      <c r="M45" s="29" t="s">
        <v>68</v>
      </c>
      <c r="N45" s="15" t="s">
        <v>69</v>
      </c>
      <c r="O45" s="13">
        <v>-9.4</v>
      </c>
      <c r="P45" s="15" t="s">
        <v>70</v>
      </c>
      <c r="Q45" s="13">
        <v>-0.85</v>
      </c>
      <c r="R45" s="29" t="s">
        <v>71</v>
      </c>
    </row>
    <row r="46" spans="1:18" ht="22.5" x14ac:dyDescent="0.2">
      <c r="A46" s="1"/>
      <c r="B46" s="1" t="s">
        <v>64</v>
      </c>
      <c r="C46" s="1" t="s">
        <v>151</v>
      </c>
      <c r="D46" s="1" t="s">
        <v>149</v>
      </c>
      <c r="E46" s="28">
        <v>45352</v>
      </c>
      <c r="F46" s="14"/>
      <c r="G46" s="14" t="s">
        <v>152</v>
      </c>
      <c r="H46" s="44">
        <v>45962</v>
      </c>
      <c r="I46" s="31"/>
      <c r="J46" s="44">
        <v>45962</v>
      </c>
      <c r="K46" s="31"/>
      <c r="L46" s="28">
        <v>46000</v>
      </c>
      <c r="M46" s="29" t="s">
        <v>68</v>
      </c>
      <c r="N46" s="15" t="s">
        <v>69</v>
      </c>
      <c r="O46" s="13">
        <v>-49.13</v>
      </c>
      <c r="P46" s="15" t="s">
        <v>101</v>
      </c>
      <c r="Q46" s="13">
        <v>-8.84</v>
      </c>
      <c r="R46" s="29" t="s">
        <v>71</v>
      </c>
    </row>
    <row r="47" spans="1:18" ht="22.5" x14ac:dyDescent="0.2">
      <c r="A47" s="1"/>
      <c r="B47" s="1" t="s">
        <v>64</v>
      </c>
      <c r="C47" s="1" t="s">
        <v>151</v>
      </c>
      <c r="D47" s="1" t="s">
        <v>149</v>
      </c>
      <c r="E47" s="28">
        <v>45352</v>
      </c>
      <c r="F47" s="14"/>
      <c r="G47" s="14" t="s">
        <v>152</v>
      </c>
      <c r="H47" s="44">
        <v>45992</v>
      </c>
      <c r="I47" s="31"/>
      <c r="J47" s="44">
        <v>45992</v>
      </c>
      <c r="K47" s="31"/>
      <c r="L47" s="28">
        <v>46000</v>
      </c>
      <c r="M47" s="29" t="s">
        <v>68</v>
      </c>
      <c r="N47" s="15" t="s">
        <v>69</v>
      </c>
      <c r="O47" s="13">
        <v>-49.13</v>
      </c>
      <c r="P47" s="15" t="s">
        <v>101</v>
      </c>
      <c r="Q47" s="13">
        <v>-8.84</v>
      </c>
      <c r="R47" s="29" t="s">
        <v>71</v>
      </c>
    </row>
    <row r="48" spans="1:18" ht="22.5" x14ac:dyDescent="0.2">
      <c r="A48" s="1"/>
      <c r="B48" s="1" t="s">
        <v>64</v>
      </c>
      <c r="C48" s="1" t="s">
        <v>153</v>
      </c>
      <c r="D48" s="1" t="s">
        <v>154</v>
      </c>
      <c r="E48" s="28">
        <v>45227</v>
      </c>
      <c r="F48" s="14"/>
      <c r="G48" s="14" t="s">
        <v>155</v>
      </c>
      <c r="H48" s="44">
        <v>45992</v>
      </c>
      <c r="I48" s="31"/>
      <c r="J48" s="44">
        <v>46023</v>
      </c>
      <c r="K48" s="31"/>
      <c r="L48" s="28">
        <v>46003</v>
      </c>
      <c r="M48" s="29" t="s">
        <v>68</v>
      </c>
      <c r="N48" s="15" t="s">
        <v>69</v>
      </c>
      <c r="O48" s="13">
        <v>13.5</v>
      </c>
      <c r="P48" s="15" t="s">
        <v>70</v>
      </c>
      <c r="Q48" s="13">
        <v>1.22</v>
      </c>
      <c r="R48" s="29" t="s">
        <v>71</v>
      </c>
    </row>
    <row r="49" spans="1:18" ht="22.5" x14ac:dyDescent="0.2">
      <c r="A49" s="1"/>
      <c r="B49" s="1" t="s">
        <v>64</v>
      </c>
      <c r="C49" s="1" t="s">
        <v>156</v>
      </c>
      <c r="D49" s="1" t="s">
        <v>154</v>
      </c>
      <c r="E49" s="28">
        <v>45227</v>
      </c>
      <c r="F49" s="14"/>
      <c r="G49" s="14" t="s">
        <v>157</v>
      </c>
      <c r="H49" s="44">
        <v>45992</v>
      </c>
      <c r="I49" s="31"/>
      <c r="J49" s="44">
        <v>46023</v>
      </c>
      <c r="K49" s="31"/>
      <c r="L49" s="28">
        <v>46003</v>
      </c>
      <c r="M49" s="29" t="s">
        <v>68</v>
      </c>
      <c r="N49" s="15" t="s">
        <v>69</v>
      </c>
      <c r="O49" s="13">
        <v>33.92</v>
      </c>
      <c r="P49" s="15" t="s">
        <v>101</v>
      </c>
      <c r="Q49" s="13">
        <v>6.11</v>
      </c>
      <c r="R49" s="29" t="s">
        <v>71</v>
      </c>
    </row>
    <row r="50" spans="1:18" ht="33.75" x14ac:dyDescent="0.2">
      <c r="A50" s="1"/>
      <c r="B50" s="1" t="s">
        <v>64</v>
      </c>
      <c r="C50" s="1" t="s">
        <v>158</v>
      </c>
      <c r="D50" s="1" t="s">
        <v>159</v>
      </c>
      <c r="E50" s="28">
        <v>45343</v>
      </c>
      <c r="F50" s="14"/>
      <c r="G50" s="14" t="s">
        <v>104</v>
      </c>
      <c r="H50" s="44">
        <v>45992</v>
      </c>
      <c r="I50" s="31"/>
      <c r="J50" s="44">
        <v>46023</v>
      </c>
      <c r="K50" s="31"/>
      <c r="L50" s="28">
        <v>46001</v>
      </c>
      <c r="M50" s="29" t="s">
        <v>68</v>
      </c>
      <c r="N50" s="15" t="s">
        <v>69</v>
      </c>
      <c r="O50" s="13">
        <v>38.71</v>
      </c>
      <c r="P50" s="15" t="s">
        <v>105</v>
      </c>
      <c r="Q50" s="13">
        <v>1.74</v>
      </c>
      <c r="R50" s="29" t="s">
        <v>71</v>
      </c>
    </row>
    <row r="51" spans="1:18" ht="33.75" x14ac:dyDescent="0.2">
      <c r="A51" s="1"/>
      <c r="B51" s="1" t="s">
        <v>64</v>
      </c>
      <c r="C51" s="1" t="s">
        <v>160</v>
      </c>
      <c r="D51" s="1" t="s">
        <v>159</v>
      </c>
      <c r="E51" s="28">
        <v>45343</v>
      </c>
      <c r="F51" s="14"/>
      <c r="G51" s="14" t="s">
        <v>100</v>
      </c>
      <c r="H51" s="44">
        <v>45992</v>
      </c>
      <c r="I51" s="31"/>
      <c r="J51" s="44">
        <v>46023</v>
      </c>
      <c r="K51" s="31"/>
      <c r="L51" s="28">
        <v>46001</v>
      </c>
      <c r="M51" s="29" t="s">
        <v>68</v>
      </c>
      <c r="N51" s="15" t="s">
        <v>69</v>
      </c>
      <c r="O51" s="13">
        <v>23.37</v>
      </c>
      <c r="P51" s="15" t="s">
        <v>70</v>
      </c>
      <c r="Q51" s="13">
        <v>2.1</v>
      </c>
      <c r="R51" s="29" t="s">
        <v>71</v>
      </c>
    </row>
    <row r="52" spans="1:18" x14ac:dyDescent="0.2">
      <c r="A52" s="35" t="s">
        <v>161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1"/>
      <c r="O52" s="1"/>
      <c r="P52" s="1"/>
      <c r="Q52" s="1"/>
      <c r="R52" s="1"/>
    </row>
    <row r="53" spans="1:18" ht="22.5" x14ac:dyDescent="0.2">
      <c r="A53" s="1"/>
      <c r="B53" s="1" t="s">
        <v>64</v>
      </c>
      <c r="C53" s="1" t="s">
        <v>162</v>
      </c>
      <c r="D53" s="1" t="s">
        <v>163</v>
      </c>
      <c r="E53" s="28">
        <v>45247</v>
      </c>
      <c r="F53" s="14"/>
      <c r="G53" s="14" t="s">
        <v>104</v>
      </c>
      <c r="H53" s="44">
        <v>45992</v>
      </c>
      <c r="I53" s="31"/>
      <c r="J53" s="44">
        <v>46023</v>
      </c>
      <c r="K53" s="31"/>
      <c r="L53" s="28">
        <v>46001</v>
      </c>
      <c r="M53" s="29" t="s">
        <v>68</v>
      </c>
      <c r="N53" s="15" t="s">
        <v>69</v>
      </c>
      <c r="O53" s="13">
        <v>26.69</v>
      </c>
      <c r="P53" s="15" t="s">
        <v>105</v>
      </c>
      <c r="Q53" s="13">
        <v>1.2</v>
      </c>
      <c r="R53" s="29" t="s">
        <v>71</v>
      </c>
    </row>
    <row r="54" spans="1:18" x14ac:dyDescent="0.2">
      <c r="A54" s="35" t="s">
        <v>164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1"/>
      <c r="O54" s="1"/>
      <c r="P54" s="1"/>
      <c r="Q54" s="1"/>
      <c r="R54" s="1"/>
    </row>
    <row r="55" spans="1:18" ht="22.5" x14ac:dyDescent="0.2">
      <c r="A55" s="1"/>
      <c r="B55" s="1" t="s">
        <v>64</v>
      </c>
      <c r="C55" s="1" t="s">
        <v>165</v>
      </c>
      <c r="D55" s="1" t="s">
        <v>166</v>
      </c>
      <c r="E55" s="28">
        <v>45309</v>
      </c>
      <c r="F55" s="14"/>
      <c r="G55" s="14" t="s">
        <v>167</v>
      </c>
      <c r="H55" s="44">
        <v>45992</v>
      </c>
      <c r="I55" s="31"/>
      <c r="J55" s="44">
        <v>46023</v>
      </c>
      <c r="K55" s="31"/>
      <c r="L55" s="28">
        <v>46001</v>
      </c>
      <c r="M55" s="29" t="s">
        <v>68</v>
      </c>
      <c r="N55" s="15" t="s">
        <v>69</v>
      </c>
      <c r="O55" s="13">
        <v>31.5</v>
      </c>
      <c r="P55" s="15" t="s">
        <v>70</v>
      </c>
      <c r="Q55" s="13">
        <v>2.84</v>
      </c>
      <c r="R55" s="29" t="s">
        <v>71</v>
      </c>
    </row>
    <row r="56" spans="1:18" ht="22.5" x14ac:dyDescent="0.2">
      <c r="A56" s="1"/>
      <c r="B56" s="1" t="s">
        <v>64</v>
      </c>
      <c r="C56" s="1" t="s">
        <v>168</v>
      </c>
      <c r="D56" s="1" t="s">
        <v>166</v>
      </c>
      <c r="E56" s="28">
        <v>45309</v>
      </c>
      <c r="F56" s="14"/>
      <c r="G56" s="14" t="s">
        <v>169</v>
      </c>
      <c r="H56" s="44">
        <v>45992</v>
      </c>
      <c r="I56" s="31"/>
      <c r="J56" s="44">
        <v>46023</v>
      </c>
      <c r="K56" s="31"/>
      <c r="L56" s="28">
        <v>46001</v>
      </c>
      <c r="M56" s="29" t="s">
        <v>68</v>
      </c>
      <c r="N56" s="15" t="s">
        <v>69</v>
      </c>
      <c r="O56" s="13">
        <v>37.799999999999997</v>
      </c>
      <c r="P56" s="15" t="s">
        <v>70</v>
      </c>
      <c r="Q56" s="13">
        <v>3.4</v>
      </c>
      <c r="R56" s="29" t="s">
        <v>71</v>
      </c>
    </row>
    <row r="57" spans="1:18" ht="22.5" x14ac:dyDescent="0.2">
      <c r="A57" s="1"/>
      <c r="B57" s="1" t="s">
        <v>64</v>
      </c>
      <c r="C57" s="1" t="s">
        <v>170</v>
      </c>
      <c r="D57" s="1" t="s">
        <v>171</v>
      </c>
      <c r="E57" s="28">
        <v>45250</v>
      </c>
      <c r="F57" s="14"/>
      <c r="G57" s="14" t="s">
        <v>172</v>
      </c>
      <c r="H57" s="44">
        <v>45992</v>
      </c>
      <c r="I57" s="31"/>
      <c r="J57" s="44">
        <v>46023</v>
      </c>
      <c r="K57" s="31"/>
      <c r="L57" s="28">
        <v>46001</v>
      </c>
      <c r="M57" s="29" t="s">
        <v>68</v>
      </c>
      <c r="N57" s="15" t="s">
        <v>69</v>
      </c>
      <c r="O57" s="13">
        <v>12</v>
      </c>
      <c r="P57" s="15" t="s">
        <v>70</v>
      </c>
      <c r="Q57" s="13">
        <v>1.08</v>
      </c>
      <c r="R57" s="29" t="s">
        <v>71</v>
      </c>
    </row>
    <row r="58" spans="1:18" ht="22.5" x14ac:dyDescent="0.2">
      <c r="A58" s="1"/>
      <c r="B58" s="1" t="s">
        <v>64</v>
      </c>
      <c r="C58" s="1" t="s">
        <v>173</v>
      </c>
      <c r="D58" s="1" t="s">
        <v>171</v>
      </c>
      <c r="E58" s="28">
        <v>45250</v>
      </c>
      <c r="F58" s="14"/>
      <c r="G58" s="14" t="s">
        <v>174</v>
      </c>
      <c r="H58" s="44">
        <v>45992</v>
      </c>
      <c r="I58" s="31"/>
      <c r="J58" s="44">
        <v>46023</v>
      </c>
      <c r="K58" s="31"/>
      <c r="L58" s="28">
        <v>46001</v>
      </c>
      <c r="M58" s="29" t="s">
        <v>68</v>
      </c>
      <c r="N58" s="15" t="s">
        <v>69</v>
      </c>
      <c r="O58" s="13">
        <v>13.2</v>
      </c>
      <c r="P58" s="15" t="s">
        <v>70</v>
      </c>
      <c r="Q58" s="13">
        <v>1.19</v>
      </c>
      <c r="R58" s="29" t="s">
        <v>71</v>
      </c>
    </row>
    <row r="59" spans="1:18" ht="33.75" x14ac:dyDescent="0.2">
      <c r="A59" s="1"/>
      <c r="B59" s="1" t="s">
        <v>64</v>
      </c>
      <c r="C59" s="1" t="s">
        <v>175</v>
      </c>
      <c r="D59" s="1" t="s">
        <v>176</v>
      </c>
      <c r="E59" s="28">
        <v>45250</v>
      </c>
      <c r="F59" s="14"/>
      <c r="G59" s="14" t="s">
        <v>104</v>
      </c>
      <c r="H59" s="44">
        <v>45992</v>
      </c>
      <c r="I59" s="31"/>
      <c r="J59" s="44">
        <v>46023</v>
      </c>
      <c r="K59" s="31"/>
      <c r="L59" s="28">
        <v>46001</v>
      </c>
      <c r="M59" s="29" t="s">
        <v>68</v>
      </c>
      <c r="N59" s="15" t="s">
        <v>69</v>
      </c>
      <c r="O59" s="13">
        <v>30.03</v>
      </c>
      <c r="P59" s="15" t="s">
        <v>105</v>
      </c>
      <c r="Q59" s="13">
        <v>1.35</v>
      </c>
      <c r="R59" s="29" t="s">
        <v>71</v>
      </c>
    </row>
    <row r="60" spans="1:18" ht="22.5" x14ac:dyDescent="0.2">
      <c r="A60" s="1"/>
      <c r="B60" s="1" t="s">
        <v>64</v>
      </c>
      <c r="C60" s="1" t="s">
        <v>177</v>
      </c>
      <c r="D60" s="1" t="s">
        <v>178</v>
      </c>
      <c r="E60" s="28">
        <v>45301</v>
      </c>
      <c r="F60" s="14"/>
      <c r="G60" s="14" t="s">
        <v>179</v>
      </c>
      <c r="H60" s="44">
        <v>45992</v>
      </c>
      <c r="I60" s="31"/>
      <c r="J60" s="44">
        <v>46023</v>
      </c>
      <c r="K60" s="31"/>
      <c r="L60" s="28">
        <v>46003</v>
      </c>
      <c r="M60" s="29" t="s">
        <v>68</v>
      </c>
      <c r="N60" s="15" t="s">
        <v>69</v>
      </c>
      <c r="O60" s="13">
        <v>20.399999999999999</v>
      </c>
      <c r="P60" s="15" t="s">
        <v>70</v>
      </c>
      <c r="Q60" s="13">
        <v>1.84</v>
      </c>
      <c r="R60" s="29" t="s">
        <v>71</v>
      </c>
    </row>
    <row r="61" spans="1:18" ht="22.5" x14ac:dyDescent="0.2">
      <c r="A61" s="1"/>
      <c r="B61" s="1" t="s">
        <v>64</v>
      </c>
      <c r="C61" s="1" t="s">
        <v>180</v>
      </c>
      <c r="D61" s="1" t="s">
        <v>178</v>
      </c>
      <c r="E61" s="28">
        <v>45301</v>
      </c>
      <c r="F61" s="14"/>
      <c r="G61" s="14" t="s">
        <v>181</v>
      </c>
      <c r="H61" s="44">
        <v>45992</v>
      </c>
      <c r="I61" s="31"/>
      <c r="J61" s="44">
        <v>46023</v>
      </c>
      <c r="K61" s="31"/>
      <c r="L61" s="28">
        <v>46003</v>
      </c>
      <c r="M61" s="29" t="s">
        <v>68</v>
      </c>
      <c r="N61" s="15" t="s">
        <v>69</v>
      </c>
      <c r="O61" s="13">
        <v>24</v>
      </c>
      <c r="P61" s="15" t="s">
        <v>70</v>
      </c>
      <c r="Q61" s="13">
        <v>2.16</v>
      </c>
      <c r="R61" s="29" t="s">
        <v>71</v>
      </c>
    </row>
    <row r="62" spans="1:18" ht="22.5" x14ac:dyDescent="0.2">
      <c r="A62" s="1"/>
      <c r="B62" s="1" t="s">
        <v>64</v>
      </c>
      <c r="C62" s="1" t="s">
        <v>182</v>
      </c>
      <c r="D62" s="1" t="s">
        <v>183</v>
      </c>
      <c r="E62" s="28">
        <v>45292</v>
      </c>
      <c r="F62" s="14"/>
      <c r="G62" s="14" t="s">
        <v>172</v>
      </c>
      <c r="H62" s="44">
        <v>45992</v>
      </c>
      <c r="I62" s="31"/>
      <c r="J62" s="44">
        <v>46023</v>
      </c>
      <c r="K62" s="31"/>
      <c r="L62" s="28">
        <v>46003</v>
      </c>
      <c r="M62" s="29" t="s">
        <v>68</v>
      </c>
      <c r="N62" s="15" t="s">
        <v>69</v>
      </c>
      <c r="O62" s="13">
        <v>15.9</v>
      </c>
      <c r="P62" s="15" t="s">
        <v>70</v>
      </c>
      <c r="Q62" s="13">
        <v>1.43</v>
      </c>
      <c r="R62" s="29" t="s">
        <v>71</v>
      </c>
    </row>
    <row r="63" spans="1:18" ht="22.5" x14ac:dyDescent="0.2">
      <c r="A63" s="1"/>
      <c r="B63" s="1" t="s">
        <v>64</v>
      </c>
      <c r="C63" s="1" t="s">
        <v>184</v>
      </c>
      <c r="D63" s="1" t="s">
        <v>183</v>
      </c>
      <c r="E63" s="28">
        <v>45292</v>
      </c>
      <c r="F63" s="14"/>
      <c r="G63" s="14" t="s">
        <v>174</v>
      </c>
      <c r="H63" s="44">
        <v>45992</v>
      </c>
      <c r="I63" s="31"/>
      <c r="J63" s="44">
        <v>46023</v>
      </c>
      <c r="K63" s="31"/>
      <c r="L63" s="28">
        <v>46003</v>
      </c>
      <c r="M63" s="29" t="s">
        <v>68</v>
      </c>
      <c r="N63" s="15" t="s">
        <v>69</v>
      </c>
      <c r="O63" s="13">
        <v>14.2</v>
      </c>
      <c r="P63" s="15" t="s">
        <v>70</v>
      </c>
      <c r="Q63" s="13">
        <v>1.28</v>
      </c>
      <c r="R63" s="29" t="s">
        <v>71</v>
      </c>
    </row>
    <row r="64" spans="1:18" ht="22.5" x14ac:dyDescent="0.2">
      <c r="A64" s="1"/>
      <c r="B64" s="1" t="s">
        <v>64</v>
      </c>
      <c r="C64" s="1" t="s">
        <v>185</v>
      </c>
      <c r="D64" s="1" t="s">
        <v>186</v>
      </c>
      <c r="E64" s="28">
        <v>45254</v>
      </c>
      <c r="F64" s="14"/>
      <c r="G64" s="14" t="s">
        <v>187</v>
      </c>
      <c r="H64" s="44">
        <v>45992</v>
      </c>
      <c r="I64" s="31"/>
      <c r="J64" s="44">
        <v>46023</v>
      </c>
      <c r="K64" s="31"/>
      <c r="L64" s="28">
        <v>46001</v>
      </c>
      <c r="M64" s="29" t="s">
        <v>68</v>
      </c>
      <c r="N64" s="15" t="s">
        <v>69</v>
      </c>
      <c r="O64" s="13">
        <v>53</v>
      </c>
      <c r="P64" s="15" t="s">
        <v>70</v>
      </c>
      <c r="Q64" s="13">
        <v>4.7699999999999996</v>
      </c>
      <c r="R64" s="29" t="s">
        <v>71</v>
      </c>
    </row>
    <row r="65" spans="1:18" ht="22.5" x14ac:dyDescent="0.2">
      <c r="A65" s="1"/>
      <c r="B65" s="1" t="s">
        <v>64</v>
      </c>
      <c r="C65" s="1" t="s">
        <v>188</v>
      </c>
      <c r="D65" s="1" t="s">
        <v>186</v>
      </c>
      <c r="E65" s="28">
        <v>45254</v>
      </c>
      <c r="F65" s="14"/>
      <c r="G65" s="14" t="s">
        <v>189</v>
      </c>
      <c r="H65" s="44">
        <v>45992</v>
      </c>
      <c r="I65" s="31"/>
      <c r="J65" s="44">
        <v>46023</v>
      </c>
      <c r="K65" s="31"/>
      <c r="L65" s="28">
        <v>46001</v>
      </c>
      <c r="M65" s="29" t="s">
        <v>68</v>
      </c>
      <c r="N65" s="15" t="s">
        <v>69</v>
      </c>
      <c r="O65" s="13">
        <v>47.6</v>
      </c>
      <c r="P65" s="15" t="s">
        <v>70</v>
      </c>
      <c r="Q65" s="13">
        <v>4.28</v>
      </c>
      <c r="R65" s="29" t="s">
        <v>71</v>
      </c>
    </row>
    <row r="66" spans="1:18" x14ac:dyDescent="0.2">
      <c r="A66" s="35" t="s">
        <v>190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1"/>
      <c r="O66" s="1"/>
      <c r="P66" s="1"/>
      <c r="Q66" s="1"/>
      <c r="R66" s="1"/>
    </row>
    <row r="67" spans="1:18" ht="22.5" x14ac:dyDescent="0.2">
      <c r="A67" s="1"/>
      <c r="B67" s="1" t="s">
        <v>64</v>
      </c>
      <c r="C67" s="1" t="s">
        <v>191</v>
      </c>
      <c r="D67" s="1" t="s">
        <v>192</v>
      </c>
      <c r="E67" s="28">
        <v>44927</v>
      </c>
      <c r="F67" s="14"/>
      <c r="G67" s="14" t="s">
        <v>193</v>
      </c>
      <c r="H67" s="44">
        <v>45992</v>
      </c>
      <c r="I67" s="31"/>
      <c r="J67" s="44">
        <v>45992</v>
      </c>
      <c r="K67" s="31"/>
      <c r="L67" s="28">
        <v>46000</v>
      </c>
      <c r="M67" s="29" t="s">
        <v>68</v>
      </c>
      <c r="N67" s="15" t="s">
        <v>69</v>
      </c>
      <c r="O67" s="13">
        <v>-3.36</v>
      </c>
      <c r="P67" s="15" t="s">
        <v>70</v>
      </c>
      <c r="Q67" s="13">
        <v>-0.3</v>
      </c>
      <c r="R67" s="29" t="s">
        <v>71</v>
      </c>
    </row>
    <row r="68" spans="1:18" ht="22.5" x14ac:dyDescent="0.2">
      <c r="A68" s="1"/>
      <c r="B68" s="1" t="s">
        <v>64</v>
      </c>
      <c r="C68" s="1" t="s">
        <v>194</v>
      </c>
      <c r="D68" s="1" t="s">
        <v>192</v>
      </c>
      <c r="E68" s="28">
        <v>44927</v>
      </c>
      <c r="F68" s="14"/>
      <c r="G68" s="14" t="s">
        <v>88</v>
      </c>
      <c r="H68" s="44">
        <v>45992</v>
      </c>
      <c r="I68" s="31"/>
      <c r="J68" s="44">
        <v>45992</v>
      </c>
      <c r="K68" s="31"/>
      <c r="L68" s="28">
        <v>46000</v>
      </c>
      <c r="M68" s="29" t="s">
        <v>68</v>
      </c>
      <c r="N68" s="15" t="s">
        <v>69</v>
      </c>
      <c r="O68" s="13">
        <v>-141.5</v>
      </c>
      <c r="P68" s="15" t="s">
        <v>70</v>
      </c>
      <c r="Q68" s="13">
        <v>-12.74</v>
      </c>
      <c r="R68" s="29" t="s">
        <v>71</v>
      </c>
    </row>
    <row r="69" spans="1:18" ht="22.5" x14ac:dyDescent="0.2">
      <c r="A69" s="1"/>
      <c r="B69" s="1" t="s">
        <v>64</v>
      </c>
      <c r="C69" s="1" t="s">
        <v>195</v>
      </c>
      <c r="D69" s="1" t="s">
        <v>196</v>
      </c>
      <c r="E69" s="28">
        <v>44902</v>
      </c>
      <c r="F69" s="14"/>
      <c r="G69" s="14" t="s">
        <v>197</v>
      </c>
      <c r="H69" s="44">
        <v>45999</v>
      </c>
      <c r="I69" s="31"/>
      <c r="J69" s="44">
        <v>46023</v>
      </c>
      <c r="K69" s="31"/>
      <c r="L69" s="28">
        <v>46001</v>
      </c>
      <c r="M69" s="29" t="s">
        <v>68</v>
      </c>
      <c r="N69" s="15" t="s">
        <v>69</v>
      </c>
      <c r="O69" s="13">
        <v>89.92</v>
      </c>
      <c r="P69" s="15" t="s">
        <v>70</v>
      </c>
      <c r="Q69" s="13">
        <v>8.09</v>
      </c>
      <c r="R69" s="29" t="s">
        <v>71</v>
      </c>
    </row>
    <row r="70" spans="1:18" ht="22.5" x14ac:dyDescent="0.2">
      <c r="A70" s="1"/>
      <c r="B70" s="1" t="s">
        <v>64</v>
      </c>
      <c r="C70" s="1" t="s">
        <v>195</v>
      </c>
      <c r="D70" s="1" t="s">
        <v>196</v>
      </c>
      <c r="E70" s="28">
        <v>44902</v>
      </c>
      <c r="F70" s="14"/>
      <c r="G70" s="14" t="s">
        <v>197</v>
      </c>
      <c r="H70" s="44">
        <v>45992</v>
      </c>
      <c r="I70" s="31"/>
      <c r="J70" s="44">
        <v>45998</v>
      </c>
      <c r="K70" s="31"/>
      <c r="L70" s="28">
        <v>46001</v>
      </c>
      <c r="M70" s="29" t="s">
        <v>68</v>
      </c>
      <c r="N70" s="15" t="s">
        <v>69</v>
      </c>
      <c r="O70" s="13">
        <v>21.58</v>
      </c>
      <c r="P70" s="15" t="s">
        <v>70</v>
      </c>
      <c r="Q70" s="13">
        <v>1.94</v>
      </c>
      <c r="R70" s="29" t="s">
        <v>71</v>
      </c>
    </row>
    <row r="71" spans="1:18" ht="33.75" x14ac:dyDescent="0.2">
      <c r="A71" s="1"/>
      <c r="B71" s="1" t="s">
        <v>64</v>
      </c>
      <c r="C71" s="1" t="s">
        <v>198</v>
      </c>
      <c r="D71" s="1" t="s">
        <v>199</v>
      </c>
      <c r="E71" s="28">
        <v>44858</v>
      </c>
      <c r="F71" s="14"/>
      <c r="G71" s="14" t="s">
        <v>200</v>
      </c>
      <c r="H71" s="44">
        <v>45992</v>
      </c>
      <c r="I71" s="31"/>
      <c r="J71" s="44">
        <v>46023</v>
      </c>
      <c r="K71" s="31"/>
      <c r="L71" s="28">
        <v>46001</v>
      </c>
      <c r="M71" s="29" t="s">
        <v>68</v>
      </c>
      <c r="N71" s="15" t="s">
        <v>69</v>
      </c>
      <c r="O71" s="13">
        <v>64.430000000000007</v>
      </c>
      <c r="P71" s="15" t="s">
        <v>70</v>
      </c>
      <c r="Q71" s="13">
        <v>5.8</v>
      </c>
      <c r="R71" s="29" t="s">
        <v>71</v>
      </c>
    </row>
    <row r="72" spans="1:18" x14ac:dyDescent="0.2">
      <c r="A72" s="35" t="s">
        <v>201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1"/>
      <c r="O72" s="1"/>
      <c r="P72" s="1"/>
      <c r="Q72" s="1"/>
      <c r="R72" s="1"/>
    </row>
    <row r="73" spans="1:18" ht="22.5" x14ac:dyDescent="0.2">
      <c r="A73" s="1"/>
      <c r="B73" s="1" t="s">
        <v>64</v>
      </c>
      <c r="C73" s="1" t="s">
        <v>202</v>
      </c>
      <c r="D73" s="1" t="s">
        <v>203</v>
      </c>
      <c r="E73" s="28">
        <v>44860</v>
      </c>
      <c r="F73" s="14"/>
      <c r="G73" s="14" t="s">
        <v>204</v>
      </c>
      <c r="H73" s="44">
        <v>45992</v>
      </c>
      <c r="I73" s="31"/>
      <c r="J73" s="44">
        <v>46023</v>
      </c>
      <c r="K73" s="31"/>
      <c r="L73" s="28">
        <v>46002</v>
      </c>
      <c r="M73" s="29" t="s">
        <v>68</v>
      </c>
      <c r="N73" s="15" t="s">
        <v>69</v>
      </c>
      <c r="O73" s="13">
        <v>9.1999999999999993</v>
      </c>
      <c r="P73" s="15" t="s">
        <v>70</v>
      </c>
      <c r="Q73" s="13">
        <v>0.83</v>
      </c>
      <c r="R73" s="29" t="s">
        <v>71</v>
      </c>
    </row>
    <row r="74" spans="1:18" ht="22.5" x14ac:dyDescent="0.2">
      <c r="A74" s="1"/>
      <c r="B74" s="1" t="s">
        <v>64</v>
      </c>
      <c r="C74" s="1" t="s">
        <v>205</v>
      </c>
      <c r="D74" s="1" t="s">
        <v>206</v>
      </c>
      <c r="E74" s="28">
        <v>44936</v>
      </c>
      <c r="F74" s="14"/>
      <c r="G74" s="14" t="s">
        <v>207</v>
      </c>
      <c r="H74" s="44">
        <v>45992</v>
      </c>
      <c r="I74" s="31"/>
      <c r="J74" s="44">
        <v>46023</v>
      </c>
      <c r="K74" s="31"/>
      <c r="L74" s="28">
        <v>46003</v>
      </c>
      <c r="M74" s="29" t="s">
        <v>68</v>
      </c>
      <c r="N74" s="15" t="s">
        <v>69</v>
      </c>
      <c r="O74" s="13">
        <v>42.64</v>
      </c>
      <c r="P74" s="15" t="s">
        <v>70</v>
      </c>
      <c r="Q74" s="13">
        <v>3.84</v>
      </c>
      <c r="R74" s="29" t="s">
        <v>71</v>
      </c>
    </row>
    <row r="75" spans="1:18" ht="22.5" x14ac:dyDescent="0.2">
      <c r="A75" s="1"/>
      <c r="B75" s="1" t="s">
        <v>64</v>
      </c>
      <c r="C75" s="1" t="s">
        <v>208</v>
      </c>
      <c r="D75" s="1" t="s">
        <v>206</v>
      </c>
      <c r="E75" s="28">
        <v>44936</v>
      </c>
      <c r="F75" s="14"/>
      <c r="G75" s="14" t="s">
        <v>209</v>
      </c>
      <c r="H75" s="44">
        <v>45992</v>
      </c>
      <c r="I75" s="31"/>
      <c r="J75" s="44">
        <v>46023</v>
      </c>
      <c r="K75" s="31"/>
      <c r="L75" s="28">
        <v>46003</v>
      </c>
      <c r="M75" s="29" t="s">
        <v>68</v>
      </c>
      <c r="N75" s="15" t="s">
        <v>69</v>
      </c>
      <c r="O75" s="13">
        <v>10</v>
      </c>
      <c r="P75" s="15" t="s">
        <v>70</v>
      </c>
      <c r="Q75" s="13">
        <v>0.9</v>
      </c>
      <c r="R75" s="29" t="s">
        <v>71</v>
      </c>
    </row>
    <row r="76" spans="1:18" ht="22.5" x14ac:dyDescent="0.2">
      <c r="A76" s="1"/>
      <c r="B76" s="1" t="s">
        <v>64</v>
      </c>
      <c r="C76" s="1" t="s">
        <v>210</v>
      </c>
      <c r="D76" s="1" t="s">
        <v>211</v>
      </c>
      <c r="E76" s="28">
        <v>44902</v>
      </c>
      <c r="F76" s="14"/>
      <c r="G76" s="14" t="s">
        <v>88</v>
      </c>
      <c r="H76" s="44">
        <v>45999</v>
      </c>
      <c r="I76" s="31"/>
      <c r="J76" s="44">
        <v>46023</v>
      </c>
      <c r="K76" s="31"/>
      <c r="L76" s="28">
        <v>46001</v>
      </c>
      <c r="M76" s="29" t="s">
        <v>68</v>
      </c>
      <c r="N76" s="15" t="s">
        <v>69</v>
      </c>
      <c r="O76" s="13">
        <v>104.03</v>
      </c>
      <c r="P76" s="15" t="s">
        <v>70</v>
      </c>
      <c r="Q76" s="13">
        <v>9.36</v>
      </c>
      <c r="R76" s="29" t="s">
        <v>71</v>
      </c>
    </row>
    <row r="77" spans="1:18" ht="22.5" x14ac:dyDescent="0.2">
      <c r="A77" s="1"/>
      <c r="B77" s="1" t="s">
        <v>64</v>
      </c>
      <c r="C77" s="1" t="s">
        <v>210</v>
      </c>
      <c r="D77" s="1" t="s">
        <v>211</v>
      </c>
      <c r="E77" s="28">
        <v>44902</v>
      </c>
      <c r="F77" s="14"/>
      <c r="G77" s="14" t="s">
        <v>88</v>
      </c>
      <c r="H77" s="44">
        <v>45992</v>
      </c>
      <c r="I77" s="31"/>
      <c r="J77" s="44">
        <v>45998</v>
      </c>
      <c r="K77" s="31"/>
      <c r="L77" s="28">
        <v>46001</v>
      </c>
      <c r="M77" s="29" t="s">
        <v>68</v>
      </c>
      <c r="N77" s="15" t="s">
        <v>69</v>
      </c>
      <c r="O77" s="13">
        <v>24.97</v>
      </c>
      <c r="P77" s="15" t="s">
        <v>70</v>
      </c>
      <c r="Q77" s="13">
        <v>2.25</v>
      </c>
      <c r="R77" s="29" t="s">
        <v>71</v>
      </c>
    </row>
    <row r="78" spans="1:18" ht="22.5" x14ac:dyDescent="0.2">
      <c r="A78" s="1"/>
      <c r="B78" s="1" t="s">
        <v>64</v>
      </c>
      <c r="C78" s="1" t="s">
        <v>212</v>
      </c>
      <c r="D78" s="1" t="s">
        <v>213</v>
      </c>
      <c r="E78" s="28">
        <v>44870</v>
      </c>
      <c r="F78" s="14"/>
      <c r="G78" s="14" t="s">
        <v>155</v>
      </c>
      <c r="H78" s="44">
        <v>45992</v>
      </c>
      <c r="I78" s="31"/>
      <c r="J78" s="44">
        <v>46023</v>
      </c>
      <c r="K78" s="31"/>
      <c r="L78" s="28">
        <v>46000</v>
      </c>
      <c r="M78" s="29" t="s">
        <v>68</v>
      </c>
      <c r="N78" s="15" t="s">
        <v>69</v>
      </c>
      <c r="O78" s="13">
        <v>44.06</v>
      </c>
      <c r="P78" s="15" t="s">
        <v>70</v>
      </c>
      <c r="Q78" s="13">
        <v>3.97</v>
      </c>
      <c r="R78" s="29" t="s">
        <v>71</v>
      </c>
    </row>
    <row r="79" spans="1:18" ht="22.5" x14ac:dyDescent="0.2">
      <c r="A79" s="1"/>
      <c r="B79" s="1" t="s">
        <v>64</v>
      </c>
      <c r="C79" s="1" t="s">
        <v>214</v>
      </c>
      <c r="D79" s="1" t="s">
        <v>215</v>
      </c>
      <c r="E79" s="28">
        <v>44872</v>
      </c>
      <c r="F79" s="14"/>
      <c r="G79" s="14" t="s">
        <v>216</v>
      </c>
      <c r="H79" s="44">
        <v>45992</v>
      </c>
      <c r="I79" s="31"/>
      <c r="J79" s="44">
        <v>46023</v>
      </c>
      <c r="K79" s="31"/>
      <c r="L79" s="28">
        <v>46001</v>
      </c>
      <c r="M79" s="29" t="s">
        <v>68</v>
      </c>
      <c r="N79" s="15" t="s">
        <v>69</v>
      </c>
      <c r="O79" s="13">
        <v>16</v>
      </c>
      <c r="P79" s="15" t="s">
        <v>70</v>
      </c>
      <c r="Q79" s="13">
        <v>1.44</v>
      </c>
      <c r="R79" s="29" t="s">
        <v>71</v>
      </c>
    </row>
    <row r="80" spans="1:18" ht="22.5" x14ac:dyDescent="0.2">
      <c r="A80" s="1"/>
      <c r="B80" s="1" t="s">
        <v>64</v>
      </c>
      <c r="C80" s="1" t="s">
        <v>217</v>
      </c>
      <c r="D80" s="1" t="s">
        <v>218</v>
      </c>
      <c r="E80" s="28">
        <v>44951</v>
      </c>
      <c r="F80" s="14"/>
      <c r="G80" s="14" t="s">
        <v>216</v>
      </c>
      <c r="H80" s="44">
        <v>45992</v>
      </c>
      <c r="I80" s="31"/>
      <c r="J80" s="44">
        <v>46023</v>
      </c>
      <c r="K80" s="31"/>
      <c r="L80" s="28">
        <v>46002</v>
      </c>
      <c r="M80" s="29" t="s">
        <v>68</v>
      </c>
      <c r="N80" s="15" t="s">
        <v>69</v>
      </c>
      <c r="O80" s="13">
        <v>16</v>
      </c>
      <c r="P80" s="15" t="s">
        <v>70</v>
      </c>
      <c r="Q80" s="13">
        <v>1.44</v>
      </c>
      <c r="R80" s="29" t="s">
        <v>71</v>
      </c>
    </row>
    <row r="81" spans="1:18" ht="22.5" x14ac:dyDescent="0.2">
      <c r="A81" s="1"/>
      <c r="B81" s="1" t="s">
        <v>64</v>
      </c>
      <c r="C81" s="1" t="s">
        <v>219</v>
      </c>
      <c r="D81" s="1" t="s">
        <v>220</v>
      </c>
      <c r="E81" s="28">
        <v>44909</v>
      </c>
      <c r="F81" s="14"/>
      <c r="G81" s="14" t="s">
        <v>88</v>
      </c>
      <c r="H81" s="44">
        <v>46006</v>
      </c>
      <c r="I81" s="31"/>
      <c r="J81" s="44">
        <v>46023</v>
      </c>
      <c r="K81" s="31"/>
      <c r="L81" s="28">
        <v>46000</v>
      </c>
      <c r="M81" s="29" t="s">
        <v>68</v>
      </c>
      <c r="N81" s="15" t="s">
        <v>69</v>
      </c>
      <c r="O81" s="13">
        <v>24.21</v>
      </c>
      <c r="P81" s="15" t="s">
        <v>70</v>
      </c>
      <c r="Q81" s="13">
        <v>2.1800000000000002</v>
      </c>
      <c r="R81" s="29" t="s">
        <v>71</v>
      </c>
    </row>
    <row r="82" spans="1:18" ht="22.5" x14ac:dyDescent="0.2">
      <c r="A82" s="1"/>
      <c r="B82" s="1" t="s">
        <v>64</v>
      </c>
      <c r="C82" s="1" t="s">
        <v>219</v>
      </c>
      <c r="D82" s="1" t="s">
        <v>220</v>
      </c>
      <c r="E82" s="28">
        <v>44909</v>
      </c>
      <c r="F82" s="14"/>
      <c r="G82" s="14" t="s">
        <v>88</v>
      </c>
      <c r="H82" s="44">
        <v>45992</v>
      </c>
      <c r="I82" s="31"/>
      <c r="J82" s="44">
        <v>46005</v>
      </c>
      <c r="K82" s="31"/>
      <c r="L82" s="28">
        <v>46000</v>
      </c>
      <c r="M82" s="29" t="s">
        <v>68</v>
      </c>
      <c r="N82" s="15" t="s">
        <v>69</v>
      </c>
      <c r="O82" s="13">
        <v>17.489999999999998</v>
      </c>
      <c r="P82" s="15" t="s">
        <v>70</v>
      </c>
      <c r="Q82" s="13">
        <v>1.57</v>
      </c>
      <c r="R82" s="29" t="s">
        <v>71</v>
      </c>
    </row>
    <row r="83" spans="1:18" ht="22.5" x14ac:dyDescent="0.2">
      <c r="A83" s="1"/>
      <c r="B83" s="1" t="s">
        <v>64</v>
      </c>
      <c r="C83" s="1" t="s">
        <v>221</v>
      </c>
      <c r="D83" s="1" t="s">
        <v>222</v>
      </c>
      <c r="E83" s="28">
        <v>44910</v>
      </c>
      <c r="F83" s="14"/>
      <c r="G83" s="14" t="s">
        <v>223</v>
      </c>
      <c r="H83" s="44">
        <v>46007</v>
      </c>
      <c r="I83" s="31"/>
      <c r="J83" s="44">
        <v>46023</v>
      </c>
      <c r="K83" s="31"/>
      <c r="L83" s="28">
        <v>46000</v>
      </c>
      <c r="M83" s="29" t="s">
        <v>68</v>
      </c>
      <c r="N83" s="15" t="s">
        <v>69</v>
      </c>
      <c r="O83" s="13">
        <v>3.65</v>
      </c>
      <c r="P83" s="15" t="s">
        <v>70</v>
      </c>
      <c r="Q83" s="13">
        <v>0.33</v>
      </c>
      <c r="R83" s="29" t="s">
        <v>71</v>
      </c>
    </row>
    <row r="84" spans="1:18" ht="22.5" x14ac:dyDescent="0.2">
      <c r="A84" s="1"/>
      <c r="B84" s="1" t="s">
        <v>64</v>
      </c>
      <c r="C84" s="1" t="s">
        <v>221</v>
      </c>
      <c r="D84" s="1" t="s">
        <v>222</v>
      </c>
      <c r="E84" s="28">
        <v>44910</v>
      </c>
      <c r="F84" s="14"/>
      <c r="G84" s="14" t="s">
        <v>223</v>
      </c>
      <c r="H84" s="44">
        <v>45992</v>
      </c>
      <c r="I84" s="31"/>
      <c r="J84" s="44">
        <v>46006</v>
      </c>
      <c r="K84" s="31"/>
      <c r="L84" s="28">
        <v>46000</v>
      </c>
      <c r="M84" s="29" t="s">
        <v>68</v>
      </c>
      <c r="N84" s="15" t="s">
        <v>69</v>
      </c>
      <c r="O84" s="13">
        <v>3.01</v>
      </c>
      <c r="P84" s="15" t="s">
        <v>70</v>
      </c>
      <c r="Q84" s="13">
        <v>0.27</v>
      </c>
      <c r="R84" s="29" t="s">
        <v>71</v>
      </c>
    </row>
    <row r="85" spans="1:18" ht="22.5" x14ac:dyDescent="0.2">
      <c r="A85" s="1"/>
      <c r="B85" s="1" t="s">
        <v>64</v>
      </c>
      <c r="C85" s="1" t="s">
        <v>224</v>
      </c>
      <c r="D85" s="1" t="s">
        <v>222</v>
      </c>
      <c r="E85" s="28">
        <v>44910</v>
      </c>
      <c r="F85" s="14"/>
      <c r="G85" s="14" t="s">
        <v>67</v>
      </c>
      <c r="H85" s="44">
        <v>45992</v>
      </c>
      <c r="I85" s="31"/>
      <c r="J85" s="44">
        <v>46006</v>
      </c>
      <c r="K85" s="31"/>
      <c r="L85" s="28">
        <v>46000</v>
      </c>
      <c r="M85" s="29" t="s">
        <v>68</v>
      </c>
      <c r="N85" s="15" t="s">
        <v>69</v>
      </c>
      <c r="O85" s="13">
        <v>7.23</v>
      </c>
      <c r="P85" s="15" t="s">
        <v>70</v>
      </c>
      <c r="Q85" s="13">
        <v>0.65</v>
      </c>
      <c r="R85" s="29" t="s">
        <v>71</v>
      </c>
    </row>
    <row r="86" spans="1:18" ht="22.5" x14ac:dyDescent="0.2">
      <c r="A86" s="1"/>
      <c r="B86" s="1" t="s">
        <v>64</v>
      </c>
      <c r="C86" s="1" t="s">
        <v>224</v>
      </c>
      <c r="D86" s="1" t="s">
        <v>222</v>
      </c>
      <c r="E86" s="28">
        <v>44910</v>
      </c>
      <c r="F86" s="14"/>
      <c r="G86" s="14" t="s">
        <v>67</v>
      </c>
      <c r="H86" s="44">
        <v>46007</v>
      </c>
      <c r="I86" s="31"/>
      <c r="J86" s="44">
        <v>46023</v>
      </c>
      <c r="K86" s="31"/>
      <c r="L86" s="28">
        <v>46000</v>
      </c>
      <c r="M86" s="29" t="s">
        <v>68</v>
      </c>
      <c r="N86" s="15" t="s">
        <v>69</v>
      </c>
      <c r="O86" s="13">
        <v>8.77</v>
      </c>
      <c r="P86" s="15" t="s">
        <v>70</v>
      </c>
      <c r="Q86" s="13">
        <v>0.79</v>
      </c>
      <c r="R86" s="29" t="s">
        <v>71</v>
      </c>
    </row>
    <row r="87" spans="1:18" ht="22.5" x14ac:dyDescent="0.2">
      <c r="A87" s="1"/>
      <c r="B87" s="1" t="s">
        <v>64</v>
      </c>
      <c r="C87" s="1" t="s">
        <v>225</v>
      </c>
      <c r="D87" s="1" t="s">
        <v>226</v>
      </c>
      <c r="E87" s="28">
        <v>44900</v>
      </c>
      <c r="F87" s="14"/>
      <c r="G87" s="14" t="s">
        <v>77</v>
      </c>
      <c r="H87" s="44">
        <v>45992</v>
      </c>
      <c r="I87" s="31"/>
      <c r="J87" s="44">
        <v>45996</v>
      </c>
      <c r="K87" s="31"/>
      <c r="L87" s="28">
        <v>46000</v>
      </c>
      <c r="M87" s="29" t="s">
        <v>68</v>
      </c>
      <c r="N87" s="15" t="s">
        <v>69</v>
      </c>
      <c r="O87" s="13">
        <v>11</v>
      </c>
      <c r="P87" s="15" t="s">
        <v>70</v>
      </c>
      <c r="Q87" s="13">
        <v>0.99</v>
      </c>
      <c r="R87" s="29" t="s">
        <v>71</v>
      </c>
    </row>
    <row r="88" spans="1:18" ht="22.5" x14ac:dyDescent="0.2">
      <c r="A88" s="1"/>
      <c r="B88" s="1" t="s">
        <v>64</v>
      </c>
      <c r="C88" s="1" t="s">
        <v>225</v>
      </c>
      <c r="D88" s="1" t="s">
        <v>226</v>
      </c>
      <c r="E88" s="28">
        <v>44900</v>
      </c>
      <c r="F88" s="14"/>
      <c r="G88" s="14" t="s">
        <v>77</v>
      </c>
      <c r="H88" s="44">
        <v>45997</v>
      </c>
      <c r="I88" s="31"/>
      <c r="J88" s="44">
        <v>46023</v>
      </c>
      <c r="K88" s="31"/>
      <c r="L88" s="28">
        <v>46000</v>
      </c>
      <c r="M88" s="29" t="s">
        <v>68</v>
      </c>
      <c r="N88" s="15" t="s">
        <v>69</v>
      </c>
      <c r="O88" s="13">
        <v>74.28</v>
      </c>
      <c r="P88" s="15" t="s">
        <v>70</v>
      </c>
      <c r="Q88" s="13">
        <v>6.69</v>
      </c>
      <c r="R88" s="29" t="s">
        <v>71</v>
      </c>
    </row>
    <row r="89" spans="1:18" ht="22.5" x14ac:dyDescent="0.2">
      <c r="A89" s="1"/>
      <c r="B89" s="1" t="s">
        <v>64</v>
      </c>
      <c r="C89" s="1" t="s">
        <v>227</v>
      </c>
      <c r="D89" s="1" t="s">
        <v>226</v>
      </c>
      <c r="E89" s="28">
        <v>44900</v>
      </c>
      <c r="F89" s="14"/>
      <c r="G89" s="14" t="s">
        <v>216</v>
      </c>
      <c r="H89" s="44">
        <v>45997</v>
      </c>
      <c r="I89" s="31"/>
      <c r="J89" s="44">
        <v>46023</v>
      </c>
      <c r="K89" s="31"/>
      <c r="L89" s="28">
        <v>46000</v>
      </c>
      <c r="M89" s="29" t="s">
        <v>68</v>
      </c>
      <c r="N89" s="15" t="s">
        <v>69</v>
      </c>
      <c r="O89" s="13">
        <v>13.94</v>
      </c>
      <c r="P89" s="15" t="s">
        <v>70</v>
      </c>
      <c r="Q89" s="13">
        <v>1.25</v>
      </c>
      <c r="R89" s="29" t="s">
        <v>71</v>
      </c>
    </row>
    <row r="90" spans="1:18" ht="22.5" x14ac:dyDescent="0.2">
      <c r="A90" s="1"/>
      <c r="B90" s="1" t="s">
        <v>64</v>
      </c>
      <c r="C90" s="1" t="s">
        <v>227</v>
      </c>
      <c r="D90" s="1" t="s">
        <v>226</v>
      </c>
      <c r="E90" s="28">
        <v>44900</v>
      </c>
      <c r="F90" s="14"/>
      <c r="G90" s="14" t="s">
        <v>216</v>
      </c>
      <c r="H90" s="44">
        <v>45992</v>
      </c>
      <c r="I90" s="31"/>
      <c r="J90" s="44">
        <v>45996</v>
      </c>
      <c r="K90" s="31"/>
      <c r="L90" s="28">
        <v>46000</v>
      </c>
      <c r="M90" s="29" t="s">
        <v>68</v>
      </c>
      <c r="N90" s="15" t="s">
        <v>69</v>
      </c>
      <c r="O90" s="13">
        <v>2.06</v>
      </c>
      <c r="P90" s="15" t="s">
        <v>70</v>
      </c>
      <c r="Q90" s="13">
        <v>0.19</v>
      </c>
      <c r="R90" s="29" t="s">
        <v>71</v>
      </c>
    </row>
    <row r="91" spans="1:18" ht="22.5" x14ac:dyDescent="0.2">
      <c r="A91" s="1"/>
      <c r="B91" s="1" t="s">
        <v>64</v>
      </c>
      <c r="C91" s="1" t="s">
        <v>228</v>
      </c>
      <c r="D91" s="1" t="s">
        <v>229</v>
      </c>
      <c r="E91" s="28">
        <v>44882</v>
      </c>
      <c r="F91" s="14"/>
      <c r="G91" s="14" t="s">
        <v>230</v>
      </c>
      <c r="H91" s="44">
        <v>45992</v>
      </c>
      <c r="I91" s="31"/>
      <c r="J91" s="44">
        <v>46023</v>
      </c>
      <c r="K91" s="31"/>
      <c r="L91" s="28">
        <v>46001</v>
      </c>
      <c r="M91" s="29" t="s">
        <v>68</v>
      </c>
      <c r="N91" s="15" t="s">
        <v>69</v>
      </c>
      <c r="O91" s="13">
        <v>154.5</v>
      </c>
      <c r="P91" s="15" t="s">
        <v>70</v>
      </c>
      <c r="Q91" s="13">
        <v>13.91</v>
      </c>
      <c r="R91" s="29" t="s">
        <v>71</v>
      </c>
    </row>
    <row r="92" spans="1:18" ht="22.5" x14ac:dyDescent="0.2">
      <c r="A92" s="1"/>
      <c r="B92" s="1" t="s">
        <v>64</v>
      </c>
      <c r="C92" s="1" t="s">
        <v>231</v>
      </c>
      <c r="D92" s="1" t="s">
        <v>232</v>
      </c>
      <c r="E92" s="28">
        <v>44875</v>
      </c>
      <c r="F92" s="14"/>
      <c r="G92" s="14" t="s">
        <v>233</v>
      </c>
      <c r="H92" s="44">
        <v>45992</v>
      </c>
      <c r="I92" s="31"/>
      <c r="J92" s="44">
        <v>46023</v>
      </c>
      <c r="K92" s="31"/>
      <c r="L92" s="28">
        <v>46003</v>
      </c>
      <c r="M92" s="29" t="s">
        <v>68</v>
      </c>
      <c r="N92" s="15" t="s">
        <v>69</v>
      </c>
      <c r="O92" s="13">
        <v>147.29</v>
      </c>
      <c r="P92" s="15" t="s">
        <v>70</v>
      </c>
      <c r="Q92" s="13">
        <v>13.26</v>
      </c>
      <c r="R92" s="29" t="s">
        <v>71</v>
      </c>
    </row>
    <row r="93" spans="1:18" ht="22.5" x14ac:dyDescent="0.2">
      <c r="A93" s="1"/>
      <c r="B93" s="1" t="s">
        <v>64</v>
      </c>
      <c r="C93" s="1" t="s">
        <v>234</v>
      </c>
      <c r="D93" s="1" t="s">
        <v>235</v>
      </c>
      <c r="E93" s="28">
        <v>44875</v>
      </c>
      <c r="F93" s="14"/>
      <c r="G93" s="14" t="s">
        <v>236</v>
      </c>
      <c r="H93" s="44">
        <v>45992</v>
      </c>
      <c r="I93" s="31"/>
      <c r="J93" s="44">
        <v>46023</v>
      </c>
      <c r="K93" s="31"/>
      <c r="L93" s="28">
        <v>46003</v>
      </c>
      <c r="M93" s="29" t="s">
        <v>68</v>
      </c>
      <c r="N93" s="15" t="s">
        <v>69</v>
      </c>
      <c r="O93" s="13">
        <v>44.5</v>
      </c>
      <c r="P93" s="15" t="s">
        <v>70</v>
      </c>
      <c r="Q93" s="13">
        <v>4.01</v>
      </c>
      <c r="R93" s="29" t="s">
        <v>71</v>
      </c>
    </row>
    <row r="94" spans="1:18" ht="22.5" x14ac:dyDescent="0.2">
      <c r="A94" s="1"/>
      <c r="B94" s="1" t="s">
        <v>64</v>
      </c>
      <c r="C94" s="1" t="s">
        <v>237</v>
      </c>
      <c r="D94" s="1" t="s">
        <v>238</v>
      </c>
      <c r="E94" s="28">
        <v>44910</v>
      </c>
      <c r="F94" s="14"/>
      <c r="G94" s="14" t="s">
        <v>239</v>
      </c>
      <c r="H94" s="44">
        <v>45992</v>
      </c>
      <c r="I94" s="31"/>
      <c r="J94" s="44">
        <v>46006</v>
      </c>
      <c r="K94" s="31"/>
      <c r="L94" s="28">
        <v>46000</v>
      </c>
      <c r="M94" s="29" t="s">
        <v>68</v>
      </c>
      <c r="N94" s="15" t="s">
        <v>69</v>
      </c>
      <c r="O94" s="13">
        <v>8.92</v>
      </c>
      <c r="P94" s="15" t="s">
        <v>70</v>
      </c>
      <c r="Q94" s="13">
        <v>0.8</v>
      </c>
      <c r="R94" s="29" t="s">
        <v>71</v>
      </c>
    </row>
    <row r="95" spans="1:18" ht="22.5" x14ac:dyDescent="0.2">
      <c r="A95" s="1"/>
      <c r="B95" s="1" t="s">
        <v>64</v>
      </c>
      <c r="C95" s="1" t="s">
        <v>237</v>
      </c>
      <c r="D95" s="1" t="s">
        <v>238</v>
      </c>
      <c r="E95" s="28">
        <v>44910</v>
      </c>
      <c r="F95" s="14"/>
      <c r="G95" s="14" t="s">
        <v>239</v>
      </c>
      <c r="H95" s="44">
        <v>46007</v>
      </c>
      <c r="I95" s="31"/>
      <c r="J95" s="44">
        <v>46023</v>
      </c>
      <c r="K95" s="31"/>
      <c r="L95" s="28">
        <v>46000</v>
      </c>
      <c r="M95" s="29" t="s">
        <v>68</v>
      </c>
      <c r="N95" s="15" t="s">
        <v>69</v>
      </c>
      <c r="O95" s="13">
        <v>10.84</v>
      </c>
      <c r="P95" s="15" t="s">
        <v>70</v>
      </c>
      <c r="Q95" s="13">
        <v>0.98</v>
      </c>
      <c r="R95" s="29" t="s">
        <v>71</v>
      </c>
    </row>
    <row r="96" spans="1:18" ht="22.5" x14ac:dyDescent="0.2">
      <c r="A96" s="1"/>
      <c r="B96" s="1" t="s">
        <v>64</v>
      </c>
      <c r="C96" s="1" t="s">
        <v>240</v>
      </c>
      <c r="D96" s="1" t="s">
        <v>241</v>
      </c>
      <c r="E96" s="28">
        <v>44940</v>
      </c>
      <c r="F96" s="14"/>
      <c r="G96" s="14" t="s">
        <v>77</v>
      </c>
      <c r="H96" s="44">
        <v>45992</v>
      </c>
      <c r="I96" s="31"/>
      <c r="J96" s="44">
        <v>46023</v>
      </c>
      <c r="K96" s="31"/>
      <c r="L96" s="28">
        <v>46000</v>
      </c>
      <c r="M96" s="29" t="s">
        <v>68</v>
      </c>
      <c r="N96" s="15" t="s">
        <v>69</v>
      </c>
      <c r="O96" s="13">
        <v>42.64</v>
      </c>
      <c r="P96" s="15" t="s">
        <v>70</v>
      </c>
      <c r="Q96" s="13">
        <v>3.84</v>
      </c>
      <c r="R96" s="29" t="s">
        <v>71</v>
      </c>
    </row>
    <row r="97" spans="1:18" x14ac:dyDescent="0.2">
      <c r="A97" s="35" t="s">
        <v>242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1"/>
      <c r="O97" s="1"/>
      <c r="P97" s="1"/>
      <c r="Q97" s="1"/>
      <c r="R97" s="1"/>
    </row>
    <row r="98" spans="1:18" ht="22.5" x14ac:dyDescent="0.2">
      <c r="A98" s="1"/>
      <c r="B98" s="1" t="s">
        <v>64</v>
      </c>
      <c r="C98" s="1" t="s">
        <v>243</v>
      </c>
      <c r="D98" s="1" t="s">
        <v>244</v>
      </c>
      <c r="E98" s="28">
        <v>45373</v>
      </c>
      <c r="F98" s="14"/>
      <c r="G98" s="14" t="s">
        <v>132</v>
      </c>
      <c r="H98" s="44">
        <v>45992</v>
      </c>
      <c r="I98" s="31"/>
      <c r="J98" s="44">
        <v>46023</v>
      </c>
      <c r="K98" s="31"/>
      <c r="L98" s="28">
        <v>46001</v>
      </c>
      <c r="M98" s="29" t="s">
        <v>68</v>
      </c>
      <c r="N98" s="15" t="s">
        <v>69</v>
      </c>
      <c r="O98" s="13">
        <v>49.7</v>
      </c>
      <c r="P98" s="15" t="s">
        <v>126</v>
      </c>
      <c r="Q98" s="13">
        <v>1.49</v>
      </c>
      <c r="R98" s="29" t="s">
        <v>71</v>
      </c>
    </row>
    <row r="99" spans="1:18" x14ac:dyDescent="0.2">
      <c r="A99" s="35" t="s">
        <v>245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1"/>
      <c r="O99" s="1"/>
      <c r="P99" s="1"/>
      <c r="Q99" s="1"/>
      <c r="R99" s="1"/>
    </row>
    <row r="100" spans="1:18" ht="22.5" x14ac:dyDescent="0.2">
      <c r="A100" s="1"/>
      <c r="B100" s="1" t="s">
        <v>64</v>
      </c>
      <c r="C100" s="1" t="s">
        <v>246</v>
      </c>
      <c r="D100" s="1" t="s">
        <v>247</v>
      </c>
      <c r="E100" s="28">
        <v>45317</v>
      </c>
      <c r="F100" s="14"/>
      <c r="G100" s="14" t="s">
        <v>248</v>
      </c>
      <c r="H100" s="44">
        <v>45992</v>
      </c>
      <c r="I100" s="31"/>
      <c r="J100" s="44">
        <v>46023</v>
      </c>
      <c r="K100" s="31"/>
      <c r="L100" s="28">
        <v>46002</v>
      </c>
      <c r="M100" s="29" t="s">
        <v>68</v>
      </c>
      <c r="N100" s="15" t="s">
        <v>69</v>
      </c>
      <c r="O100" s="13">
        <v>85.5</v>
      </c>
      <c r="P100" s="15" t="s">
        <v>70</v>
      </c>
      <c r="Q100" s="13">
        <v>7.7</v>
      </c>
      <c r="R100" s="29" t="s">
        <v>71</v>
      </c>
    </row>
    <row r="101" spans="1:1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 t="s">
        <v>249</v>
      </c>
      <c r="Q101" s="17">
        <v>294.52</v>
      </c>
      <c r="R101" s="2"/>
    </row>
    <row r="102" spans="1:1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">
      <c r="A103" s="5"/>
      <c r="B103" s="5"/>
      <c r="C103" s="5"/>
      <c r="D103" s="1"/>
      <c r="E103" s="15"/>
      <c r="F103" s="15"/>
      <c r="G103" s="15"/>
      <c r="H103" s="1"/>
      <c r="I103" s="1"/>
      <c r="J103" s="15"/>
      <c r="K103" s="15"/>
      <c r="L103" s="11"/>
      <c r="M103" s="11"/>
      <c r="N103" s="11"/>
      <c r="O103" s="11"/>
      <c r="P103" s="19"/>
      <c r="Q103" s="11"/>
      <c r="R103" s="11"/>
    </row>
    <row r="104" spans="1:1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.7" customHeight="1" x14ac:dyDescent="0.2"/>
  </sheetData>
  <mergeCells count="187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H20:I20"/>
    <mergeCell ref="J20:K20"/>
    <mergeCell ref="H21:I21"/>
    <mergeCell ref="J21:K21"/>
    <mergeCell ref="H22:I22"/>
    <mergeCell ref="J22:K22"/>
    <mergeCell ref="H17:I17"/>
    <mergeCell ref="J17:K17"/>
    <mergeCell ref="H18:I18"/>
    <mergeCell ref="J18:K18"/>
    <mergeCell ref="H19:I19"/>
    <mergeCell ref="J19:K19"/>
    <mergeCell ref="H27:I27"/>
    <mergeCell ref="J27:K27"/>
    <mergeCell ref="H28:I28"/>
    <mergeCell ref="J28:K28"/>
    <mergeCell ref="H29:I29"/>
    <mergeCell ref="J29:K29"/>
    <mergeCell ref="A23:M23"/>
    <mergeCell ref="H24:I24"/>
    <mergeCell ref="J24:K24"/>
    <mergeCell ref="H25:I25"/>
    <mergeCell ref="J25:K25"/>
    <mergeCell ref="H26:I26"/>
    <mergeCell ref="J26:K26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45:I45"/>
    <mergeCell ref="J45:K45"/>
    <mergeCell ref="H46:I46"/>
    <mergeCell ref="J46:K46"/>
    <mergeCell ref="H47:I47"/>
    <mergeCell ref="J47:K47"/>
    <mergeCell ref="H42:I42"/>
    <mergeCell ref="J42:K42"/>
    <mergeCell ref="H43:I43"/>
    <mergeCell ref="J43:K43"/>
    <mergeCell ref="H44:I44"/>
    <mergeCell ref="J44:K44"/>
    <mergeCell ref="H51:I51"/>
    <mergeCell ref="J51:K51"/>
    <mergeCell ref="A52:M52"/>
    <mergeCell ref="H53:I53"/>
    <mergeCell ref="J53:K53"/>
    <mergeCell ref="A54:M54"/>
    <mergeCell ref="H48:I48"/>
    <mergeCell ref="J48:K48"/>
    <mergeCell ref="H49:I49"/>
    <mergeCell ref="J49:K49"/>
    <mergeCell ref="H50:I50"/>
    <mergeCell ref="J50:K50"/>
    <mergeCell ref="H58:I58"/>
    <mergeCell ref="J58:K58"/>
    <mergeCell ref="H59:I59"/>
    <mergeCell ref="J59:K59"/>
    <mergeCell ref="H60:I60"/>
    <mergeCell ref="J60:K60"/>
    <mergeCell ref="H55:I55"/>
    <mergeCell ref="J55:K55"/>
    <mergeCell ref="H56:I56"/>
    <mergeCell ref="J56:K56"/>
    <mergeCell ref="H57:I57"/>
    <mergeCell ref="J57:K57"/>
    <mergeCell ref="H64:I64"/>
    <mergeCell ref="J64:K64"/>
    <mergeCell ref="H65:I65"/>
    <mergeCell ref="J65:K65"/>
    <mergeCell ref="A66:M66"/>
    <mergeCell ref="H67:I67"/>
    <mergeCell ref="J67:K67"/>
    <mergeCell ref="H61:I61"/>
    <mergeCell ref="J61:K61"/>
    <mergeCell ref="H62:I62"/>
    <mergeCell ref="J62:K62"/>
    <mergeCell ref="H63:I63"/>
    <mergeCell ref="J63:K63"/>
    <mergeCell ref="H71:I71"/>
    <mergeCell ref="J71:K71"/>
    <mergeCell ref="A72:M72"/>
    <mergeCell ref="H73:I73"/>
    <mergeCell ref="J73:K73"/>
    <mergeCell ref="H74:I74"/>
    <mergeCell ref="J74:K74"/>
    <mergeCell ref="H68:I68"/>
    <mergeCell ref="J68:K68"/>
    <mergeCell ref="H69:I69"/>
    <mergeCell ref="J69:K69"/>
    <mergeCell ref="H70:I70"/>
    <mergeCell ref="J70:K70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100:I100"/>
    <mergeCell ref="J100:K100"/>
    <mergeCell ref="H96:I96"/>
    <mergeCell ref="J96:K96"/>
    <mergeCell ref="A97:M97"/>
    <mergeCell ref="H98:I98"/>
    <mergeCell ref="J98:K98"/>
    <mergeCell ref="A99:M99"/>
    <mergeCell ref="H93:I93"/>
    <mergeCell ref="J93:K93"/>
    <mergeCell ref="H94:I94"/>
    <mergeCell ref="J94:K94"/>
    <mergeCell ref="H95:I95"/>
    <mergeCell ref="J95:K95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12/19/2025&amp;B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0306-9880-43A9-A67D-ED9A827D7F78}">
  <dimension ref="A1:S83"/>
  <sheetViews>
    <sheetView tabSelected="1" workbookViewId="0">
      <selection activeCell="R2" sqref="R2:S83"/>
    </sheetView>
  </sheetViews>
  <sheetFormatPr defaultRowHeight="15" customHeight="1" x14ac:dyDescent="0.2"/>
  <cols>
    <col min="1" max="1" width="4.5703125" style="47" customWidth="1"/>
    <col min="2" max="2" width="10.140625" style="47" customWidth="1"/>
    <col min="3" max="3" width="19.5703125" style="47" customWidth="1"/>
    <col min="4" max="4" width="12.7109375" style="47" customWidth="1"/>
    <col min="5" max="5" width="8.5703125" style="47" customWidth="1"/>
    <col min="6" max="6" width="12.5703125" style="47" customWidth="1"/>
    <col min="7" max="7" width="12.42578125" style="47" customWidth="1"/>
    <col min="8" max="8" width="10.42578125" style="47" customWidth="1"/>
    <col min="9" max="9" width="7.85546875" style="47" customWidth="1"/>
    <col min="10" max="10" width="8.42578125" style="47" customWidth="1"/>
    <col min="11" max="11" width="9.5703125" style="47" customWidth="1"/>
    <col min="12" max="12" width="10.42578125" style="47" customWidth="1"/>
    <col min="13" max="13" width="11.140625" style="47" customWidth="1"/>
    <col min="14" max="14" width="9.140625" style="47"/>
    <col min="15" max="15" width="0" style="47" hidden="1" customWidth="1"/>
    <col min="16" max="16" width="14.28515625" style="47" customWidth="1"/>
    <col min="17" max="17" width="9.140625" style="47"/>
    <col min="18" max="18" width="24.140625" style="47" customWidth="1"/>
    <col min="19" max="16384" width="9.140625" style="47"/>
  </cols>
  <sheetData>
    <row r="1" spans="1:19" ht="15" customHeight="1" thickBot="1" x14ac:dyDescent="0.25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</row>
    <row r="2" spans="1:19" ht="15" customHeight="1" x14ac:dyDescent="0.2">
      <c r="A2" s="14" t="s">
        <v>64</v>
      </c>
      <c r="B2" s="50">
        <v>441577763</v>
      </c>
      <c r="C2" s="14" t="s">
        <v>199</v>
      </c>
      <c r="D2" s="48">
        <v>44858</v>
      </c>
      <c r="E2" s="14" t="s">
        <v>200</v>
      </c>
      <c r="F2" s="48">
        <v>45992</v>
      </c>
      <c r="G2" s="48">
        <v>46023</v>
      </c>
      <c r="H2" s="48">
        <v>46001</v>
      </c>
      <c r="I2" s="14" t="s">
        <v>68</v>
      </c>
      <c r="J2" s="14" t="s">
        <v>69</v>
      </c>
      <c r="K2" s="49">
        <v>64.430000000000007</v>
      </c>
      <c r="L2" s="14" t="s">
        <v>70</v>
      </c>
      <c r="M2" s="49">
        <v>5.8</v>
      </c>
      <c r="N2" s="14" t="s">
        <v>71</v>
      </c>
      <c r="P2" s="2" t="s">
        <v>260</v>
      </c>
      <c r="Q2" s="47" t="s">
        <v>261</v>
      </c>
      <c r="R2" s="47" t="str">
        <f>CONCATENATE(P2," ",Q2)</f>
        <v>Katelenn Caltagirone</v>
      </c>
      <c r="S2" s="47">
        <v>20436896</v>
      </c>
    </row>
    <row r="3" spans="1:19" ht="15" customHeight="1" x14ac:dyDescent="0.2">
      <c r="A3" s="14" t="s">
        <v>64</v>
      </c>
      <c r="B3" s="50">
        <v>441582942</v>
      </c>
      <c r="C3" s="14" t="s">
        <v>203</v>
      </c>
      <c r="D3" s="48">
        <v>44860</v>
      </c>
      <c r="E3" s="14" t="s">
        <v>204</v>
      </c>
      <c r="F3" s="48">
        <v>45992</v>
      </c>
      <c r="G3" s="48">
        <v>46023</v>
      </c>
      <c r="H3" s="48">
        <v>46002</v>
      </c>
      <c r="I3" s="14" t="s">
        <v>68</v>
      </c>
      <c r="J3" s="14" t="s">
        <v>69</v>
      </c>
      <c r="K3" s="49">
        <v>9.1999999999999993</v>
      </c>
      <c r="L3" s="14" t="s">
        <v>70</v>
      </c>
      <c r="M3" s="49">
        <v>0.83</v>
      </c>
      <c r="N3" s="14" t="s">
        <v>71</v>
      </c>
      <c r="P3" s="2" t="s">
        <v>262</v>
      </c>
      <c r="Q3" s="47" t="s">
        <v>263</v>
      </c>
      <c r="R3" s="47" t="str">
        <f>CONCATENATE(P3," ",Q3)</f>
        <v>Kimberly Dickerson</v>
      </c>
      <c r="S3" s="47">
        <v>16243811</v>
      </c>
    </row>
    <row r="4" spans="1:19" ht="15" customHeight="1" x14ac:dyDescent="0.2">
      <c r="A4" s="14" t="s">
        <v>64</v>
      </c>
      <c r="B4" s="50">
        <v>441602827</v>
      </c>
      <c r="C4" s="14" t="s">
        <v>107</v>
      </c>
      <c r="D4" s="48">
        <v>44870</v>
      </c>
      <c r="E4" s="14" t="s">
        <v>108</v>
      </c>
      <c r="F4" s="48">
        <v>45992</v>
      </c>
      <c r="G4" s="48">
        <v>46023</v>
      </c>
      <c r="H4" s="48">
        <v>46000</v>
      </c>
      <c r="I4" s="14" t="s">
        <v>68</v>
      </c>
      <c r="J4" s="14" t="s">
        <v>69</v>
      </c>
      <c r="K4" s="49">
        <v>71.03</v>
      </c>
      <c r="L4" s="14" t="s">
        <v>109</v>
      </c>
      <c r="M4" s="49">
        <v>4.26</v>
      </c>
      <c r="N4" s="14" t="s">
        <v>71</v>
      </c>
      <c r="P4" s="2" t="s">
        <v>254</v>
      </c>
      <c r="Q4" s="47" t="s">
        <v>255</v>
      </c>
      <c r="R4" s="47" t="str">
        <f>CONCATENATE(P4," ",Q4)</f>
        <v>Carol Foley</v>
      </c>
      <c r="S4" s="47">
        <v>17425766</v>
      </c>
    </row>
    <row r="5" spans="1:19" ht="15" customHeight="1" x14ac:dyDescent="0.2">
      <c r="A5" s="14" t="s">
        <v>64</v>
      </c>
      <c r="B5" s="50">
        <v>441603753</v>
      </c>
      <c r="C5" s="14" t="s">
        <v>213</v>
      </c>
      <c r="D5" s="48">
        <v>44870</v>
      </c>
      <c r="E5" s="14" t="s">
        <v>155</v>
      </c>
      <c r="F5" s="48">
        <v>45992</v>
      </c>
      <c r="G5" s="48">
        <v>46023</v>
      </c>
      <c r="H5" s="48">
        <v>46000</v>
      </c>
      <c r="I5" s="14" t="s">
        <v>68</v>
      </c>
      <c r="J5" s="14" t="s">
        <v>69</v>
      </c>
      <c r="K5" s="49">
        <v>44.06</v>
      </c>
      <c r="L5" s="14" t="s">
        <v>70</v>
      </c>
      <c r="M5" s="49">
        <v>3.97</v>
      </c>
      <c r="N5" s="14" t="s">
        <v>71</v>
      </c>
      <c r="P5" s="2" t="s">
        <v>262</v>
      </c>
      <c r="Q5" s="47" t="s">
        <v>263</v>
      </c>
      <c r="R5" s="47" t="str">
        <f>CONCATENATE(P5," ",Q5)</f>
        <v>Kimberly Dickerson</v>
      </c>
      <c r="S5" s="47">
        <v>16243811</v>
      </c>
    </row>
    <row r="6" spans="1:19" ht="15" customHeight="1" x14ac:dyDescent="0.2">
      <c r="A6" s="14" t="s">
        <v>64</v>
      </c>
      <c r="B6" s="50">
        <v>441607364</v>
      </c>
      <c r="C6" s="14" t="s">
        <v>215</v>
      </c>
      <c r="D6" s="48">
        <v>44872</v>
      </c>
      <c r="E6" s="14" t="s">
        <v>216</v>
      </c>
      <c r="F6" s="48">
        <v>45992</v>
      </c>
      <c r="G6" s="48">
        <v>46023</v>
      </c>
      <c r="H6" s="48">
        <v>46001</v>
      </c>
      <c r="I6" s="14" t="s">
        <v>68</v>
      </c>
      <c r="J6" s="14" t="s">
        <v>69</v>
      </c>
      <c r="K6" s="49">
        <v>16</v>
      </c>
      <c r="L6" s="14" t="s">
        <v>70</v>
      </c>
      <c r="M6" s="49">
        <v>1.44</v>
      </c>
      <c r="N6" s="14" t="s">
        <v>71</v>
      </c>
      <c r="P6" s="2" t="s">
        <v>262</v>
      </c>
      <c r="Q6" s="47" t="s">
        <v>263</v>
      </c>
      <c r="R6" s="47" t="str">
        <f>CONCATENATE(P6," ",Q6)</f>
        <v>Kimberly Dickerson</v>
      </c>
      <c r="S6" s="47">
        <v>16243811</v>
      </c>
    </row>
    <row r="7" spans="1:19" ht="15" customHeight="1" x14ac:dyDescent="0.2">
      <c r="A7" s="14" t="s">
        <v>64</v>
      </c>
      <c r="B7" s="50">
        <v>441615076</v>
      </c>
      <c r="C7" s="14" t="s">
        <v>232</v>
      </c>
      <c r="D7" s="48">
        <v>44875</v>
      </c>
      <c r="E7" s="14" t="s">
        <v>233</v>
      </c>
      <c r="F7" s="48">
        <v>45992</v>
      </c>
      <c r="G7" s="48">
        <v>46023</v>
      </c>
      <c r="H7" s="48">
        <v>46003</v>
      </c>
      <c r="I7" s="14" t="s">
        <v>68</v>
      </c>
      <c r="J7" s="14" t="s">
        <v>69</v>
      </c>
      <c r="K7" s="49">
        <v>147.29</v>
      </c>
      <c r="L7" s="14" t="s">
        <v>70</v>
      </c>
      <c r="M7" s="49">
        <v>13.26</v>
      </c>
      <c r="N7" s="14" t="s">
        <v>71</v>
      </c>
      <c r="P7" s="2" t="s">
        <v>262</v>
      </c>
      <c r="Q7" s="47" t="s">
        <v>263</v>
      </c>
      <c r="R7" s="47" t="str">
        <f>CONCATENATE(P7," ",Q7)</f>
        <v>Kimberly Dickerson</v>
      </c>
      <c r="S7" s="47">
        <v>16243811</v>
      </c>
    </row>
    <row r="8" spans="1:19" ht="15" customHeight="1" x14ac:dyDescent="0.2">
      <c r="A8" s="14" t="s">
        <v>64</v>
      </c>
      <c r="B8" s="50">
        <v>441615079</v>
      </c>
      <c r="C8" s="14" t="s">
        <v>235</v>
      </c>
      <c r="D8" s="48">
        <v>44875</v>
      </c>
      <c r="E8" s="14" t="s">
        <v>236</v>
      </c>
      <c r="F8" s="48">
        <v>45992</v>
      </c>
      <c r="G8" s="48">
        <v>46023</v>
      </c>
      <c r="H8" s="48">
        <v>46003</v>
      </c>
      <c r="I8" s="14" t="s">
        <v>68</v>
      </c>
      <c r="J8" s="14" t="s">
        <v>69</v>
      </c>
      <c r="K8" s="49">
        <v>44.5</v>
      </c>
      <c r="L8" s="14" t="s">
        <v>70</v>
      </c>
      <c r="M8" s="49">
        <v>4.01</v>
      </c>
      <c r="N8" s="14" t="s">
        <v>71</v>
      </c>
      <c r="P8" s="2" t="s">
        <v>262</v>
      </c>
      <c r="Q8" s="47" t="s">
        <v>263</v>
      </c>
      <c r="R8" s="47" t="str">
        <f>CONCATENATE(P8," ",Q8)</f>
        <v>Kimberly Dickerson</v>
      </c>
      <c r="S8" s="47">
        <v>16243811</v>
      </c>
    </row>
    <row r="9" spans="1:19" ht="15" customHeight="1" x14ac:dyDescent="0.2">
      <c r="A9" s="14" t="s">
        <v>64</v>
      </c>
      <c r="B9" s="50">
        <v>441624181</v>
      </c>
      <c r="C9" s="14" t="s">
        <v>90</v>
      </c>
      <c r="D9" s="48">
        <v>44879</v>
      </c>
      <c r="E9" s="14" t="s">
        <v>91</v>
      </c>
      <c r="F9" s="48">
        <v>45992</v>
      </c>
      <c r="G9" s="48">
        <v>46023</v>
      </c>
      <c r="H9" s="48">
        <v>46000</v>
      </c>
      <c r="I9" s="14" t="s">
        <v>68</v>
      </c>
      <c r="J9" s="14" t="s">
        <v>69</v>
      </c>
      <c r="K9" s="49">
        <v>165.99</v>
      </c>
      <c r="L9" s="14" t="s">
        <v>70</v>
      </c>
      <c r="M9" s="49">
        <v>14.94</v>
      </c>
      <c r="N9" s="14" t="s">
        <v>71</v>
      </c>
      <c r="P9" s="2" t="s">
        <v>252</v>
      </c>
      <c r="Q9" s="47" t="s">
        <v>253</v>
      </c>
      <c r="R9" s="47" t="str">
        <f>CONCATENATE(P9," ",Q9)</f>
        <v>Ashley Teipel</v>
      </c>
      <c r="S9" s="47">
        <v>20436925</v>
      </c>
    </row>
    <row r="10" spans="1:19" ht="15" customHeight="1" x14ac:dyDescent="0.2">
      <c r="A10" s="14" t="s">
        <v>64</v>
      </c>
      <c r="B10" s="50">
        <v>441625087</v>
      </c>
      <c r="C10" s="14" t="s">
        <v>93</v>
      </c>
      <c r="D10" s="48">
        <v>44880</v>
      </c>
      <c r="E10" s="14" t="s">
        <v>94</v>
      </c>
      <c r="F10" s="48">
        <v>45992</v>
      </c>
      <c r="G10" s="48">
        <v>46023</v>
      </c>
      <c r="H10" s="48">
        <v>46000</v>
      </c>
      <c r="I10" s="14" t="s">
        <v>68</v>
      </c>
      <c r="J10" s="14" t="s">
        <v>69</v>
      </c>
      <c r="K10" s="49">
        <v>62.5</v>
      </c>
      <c r="L10" s="14" t="s">
        <v>70</v>
      </c>
      <c r="M10" s="49">
        <v>5.63</v>
      </c>
      <c r="N10" s="14" t="s">
        <v>71</v>
      </c>
      <c r="P10" s="2" t="s">
        <v>252</v>
      </c>
      <c r="Q10" s="47" t="s">
        <v>253</v>
      </c>
      <c r="R10" s="47" t="str">
        <f>CONCATENATE(P10," ",Q10)</f>
        <v>Ashley Teipel</v>
      </c>
      <c r="S10" s="47">
        <v>20436925</v>
      </c>
    </row>
    <row r="11" spans="1:19" ht="15" customHeight="1" x14ac:dyDescent="0.2">
      <c r="A11" s="14" t="s">
        <v>64</v>
      </c>
      <c r="B11" s="50">
        <v>441635063</v>
      </c>
      <c r="C11" s="14" t="s">
        <v>229</v>
      </c>
      <c r="D11" s="48">
        <v>44882</v>
      </c>
      <c r="E11" s="14" t="s">
        <v>230</v>
      </c>
      <c r="F11" s="48">
        <v>45992</v>
      </c>
      <c r="G11" s="48">
        <v>46023</v>
      </c>
      <c r="H11" s="48">
        <v>46001</v>
      </c>
      <c r="I11" s="14" t="s">
        <v>68</v>
      </c>
      <c r="J11" s="14" t="s">
        <v>69</v>
      </c>
      <c r="K11" s="49">
        <v>154.5</v>
      </c>
      <c r="L11" s="14" t="s">
        <v>70</v>
      </c>
      <c r="M11" s="49">
        <v>13.91</v>
      </c>
      <c r="N11" s="14" t="s">
        <v>71</v>
      </c>
      <c r="P11" s="2" t="s">
        <v>262</v>
      </c>
      <c r="Q11" s="47" t="s">
        <v>263</v>
      </c>
      <c r="R11" s="47" t="str">
        <f>CONCATENATE(P11," ",Q11)</f>
        <v>Kimberly Dickerson</v>
      </c>
      <c r="S11" s="47">
        <v>16243811</v>
      </c>
    </row>
    <row r="12" spans="1:19" ht="15" customHeight="1" x14ac:dyDescent="0.2">
      <c r="A12" s="14" t="s">
        <v>64</v>
      </c>
      <c r="B12" s="50">
        <v>441659598</v>
      </c>
      <c r="C12" s="14" t="s">
        <v>192</v>
      </c>
      <c r="D12" s="48">
        <v>44927</v>
      </c>
      <c r="E12" s="14" t="s">
        <v>193</v>
      </c>
      <c r="F12" s="48">
        <v>45992</v>
      </c>
      <c r="G12" s="48">
        <v>45992</v>
      </c>
      <c r="H12" s="48">
        <v>46000</v>
      </c>
      <c r="I12" s="14" t="s">
        <v>68</v>
      </c>
      <c r="J12" s="14" t="s">
        <v>69</v>
      </c>
      <c r="K12" s="49">
        <v>-3.36</v>
      </c>
      <c r="L12" s="14" t="s">
        <v>70</v>
      </c>
      <c r="M12" s="49">
        <v>-0.3</v>
      </c>
      <c r="N12" s="14" t="s">
        <v>71</v>
      </c>
      <c r="P12" s="2" t="s">
        <v>260</v>
      </c>
      <c r="Q12" s="47" t="s">
        <v>261</v>
      </c>
      <c r="R12" s="47" t="str">
        <f>CONCATENATE(P12," ",Q12)</f>
        <v>Katelenn Caltagirone</v>
      </c>
      <c r="S12" s="47">
        <v>20436896</v>
      </c>
    </row>
    <row r="13" spans="1:19" ht="15" customHeight="1" x14ac:dyDescent="0.2">
      <c r="A13" s="14" t="s">
        <v>64</v>
      </c>
      <c r="B13" s="50">
        <v>441659600</v>
      </c>
      <c r="C13" s="14" t="s">
        <v>192</v>
      </c>
      <c r="D13" s="48">
        <v>44927</v>
      </c>
      <c r="E13" s="14" t="s">
        <v>88</v>
      </c>
      <c r="F13" s="48">
        <v>45992</v>
      </c>
      <c r="G13" s="48">
        <v>45992</v>
      </c>
      <c r="H13" s="48">
        <v>46000</v>
      </c>
      <c r="I13" s="14" t="s">
        <v>68</v>
      </c>
      <c r="J13" s="14" t="s">
        <v>69</v>
      </c>
      <c r="K13" s="49">
        <v>-141.5</v>
      </c>
      <c r="L13" s="14" t="s">
        <v>70</v>
      </c>
      <c r="M13" s="49">
        <v>-12.74</v>
      </c>
      <c r="N13" s="14" t="s">
        <v>71</v>
      </c>
      <c r="P13" s="2" t="s">
        <v>260</v>
      </c>
      <c r="Q13" s="47" t="s">
        <v>261</v>
      </c>
      <c r="R13" s="47" t="str">
        <f>CONCATENATE(P13," ",Q13)</f>
        <v>Katelenn Caltagirone</v>
      </c>
      <c r="S13" s="47">
        <v>20436896</v>
      </c>
    </row>
    <row r="14" spans="1:19" ht="15" customHeight="1" x14ac:dyDescent="0.2">
      <c r="A14" s="14" t="s">
        <v>64</v>
      </c>
      <c r="B14" s="50">
        <v>441674279</v>
      </c>
      <c r="C14" s="14" t="s">
        <v>226</v>
      </c>
      <c r="D14" s="48">
        <v>44900</v>
      </c>
      <c r="E14" s="14" t="s">
        <v>77</v>
      </c>
      <c r="F14" s="48">
        <v>45992</v>
      </c>
      <c r="G14" s="48">
        <v>45996</v>
      </c>
      <c r="H14" s="48">
        <v>46000</v>
      </c>
      <c r="I14" s="14" t="s">
        <v>68</v>
      </c>
      <c r="J14" s="14" t="s">
        <v>69</v>
      </c>
      <c r="K14" s="49">
        <v>11</v>
      </c>
      <c r="L14" s="14" t="s">
        <v>70</v>
      </c>
      <c r="M14" s="49">
        <v>0.99</v>
      </c>
      <c r="N14" s="14" t="s">
        <v>71</v>
      </c>
      <c r="P14" s="2" t="s">
        <v>262</v>
      </c>
      <c r="Q14" s="47" t="s">
        <v>263</v>
      </c>
      <c r="R14" s="47" t="str">
        <f>CONCATENATE(P14," ",Q14)</f>
        <v>Kimberly Dickerson</v>
      </c>
      <c r="S14" s="47">
        <v>16243811</v>
      </c>
    </row>
    <row r="15" spans="1:19" ht="15" customHeight="1" x14ac:dyDescent="0.2">
      <c r="A15" s="14" t="s">
        <v>64</v>
      </c>
      <c r="B15" s="50">
        <v>441674279</v>
      </c>
      <c r="C15" s="14" t="s">
        <v>226</v>
      </c>
      <c r="D15" s="48">
        <v>44900</v>
      </c>
      <c r="E15" s="14" t="s">
        <v>77</v>
      </c>
      <c r="F15" s="48">
        <v>45997</v>
      </c>
      <c r="G15" s="48">
        <v>46023</v>
      </c>
      <c r="H15" s="48">
        <v>46000</v>
      </c>
      <c r="I15" s="14" t="s">
        <v>68</v>
      </c>
      <c r="J15" s="14" t="s">
        <v>69</v>
      </c>
      <c r="K15" s="49">
        <v>74.28</v>
      </c>
      <c r="L15" s="14" t="s">
        <v>70</v>
      </c>
      <c r="M15" s="49">
        <v>6.69</v>
      </c>
      <c r="N15" s="14" t="s">
        <v>71</v>
      </c>
      <c r="P15" s="2" t="s">
        <v>262</v>
      </c>
      <c r="Q15" s="47" t="s">
        <v>263</v>
      </c>
      <c r="R15" s="47" t="str">
        <f>CONCATENATE(P15," ",Q15)</f>
        <v>Kimberly Dickerson</v>
      </c>
      <c r="S15" s="47">
        <v>16243811</v>
      </c>
    </row>
    <row r="16" spans="1:19" ht="15" customHeight="1" x14ac:dyDescent="0.2">
      <c r="A16" s="14" t="s">
        <v>64</v>
      </c>
      <c r="B16" s="50">
        <v>441674280</v>
      </c>
      <c r="C16" s="14" t="s">
        <v>226</v>
      </c>
      <c r="D16" s="48">
        <v>44900</v>
      </c>
      <c r="E16" s="14" t="s">
        <v>216</v>
      </c>
      <c r="F16" s="48">
        <v>45997</v>
      </c>
      <c r="G16" s="48">
        <v>46023</v>
      </c>
      <c r="H16" s="48">
        <v>46000</v>
      </c>
      <c r="I16" s="14" t="s">
        <v>68</v>
      </c>
      <c r="J16" s="14" t="s">
        <v>69</v>
      </c>
      <c r="K16" s="49">
        <v>13.94</v>
      </c>
      <c r="L16" s="14" t="s">
        <v>70</v>
      </c>
      <c r="M16" s="49">
        <v>1.25</v>
      </c>
      <c r="N16" s="14" t="s">
        <v>71</v>
      </c>
      <c r="P16" s="2" t="s">
        <v>262</v>
      </c>
      <c r="Q16" s="47" t="s">
        <v>263</v>
      </c>
      <c r="R16" s="47" t="str">
        <f>CONCATENATE(P16," ",Q16)</f>
        <v>Kimberly Dickerson</v>
      </c>
      <c r="S16" s="47">
        <v>16243811</v>
      </c>
    </row>
    <row r="17" spans="1:19" ht="15" customHeight="1" x14ac:dyDescent="0.2">
      <c r="A17" s="14" t="s">
        <v>64</v>
      </c>
      <c r="B17" s="50">
        <v>441674280</v>
      </c>
      <c r="C17" s="14" t="s">
        <v>226</v>
      </c>
      <c r="D17" s="48">
        <v>44900</v>
      </c>
      <c r="E17" s="14" t="s">
        <v>216</v>
      </c>
      <c r="F17" s="48">
        <v>45992</v>
      </c>
      <c r="G17" s="48">
        <v>45996</v>
      </c>
      <c r="H17" s="48">
        <v>46000</v>
      </c>
      <c r="I17" s="14" t="s">
        <v>68</v>
      </c>
      <c r="J17" s="14" t="s">
        <v>69</v>
      </c>
      <c r="K17" s="49">
        <v>2.06</v>
      </c>
      <c r="L17" s="14" t="s">
        <v>70</v>
      </c>
      <c r="M17" s="49">
        <v>0.19</v>
      </c>
      <c r="N17" s="14" t="s">
        <v>71</v>
      </c>
      <c r="P17" s="2" t="s">
        <v>262</v>
      </c>
      <c r="Q17" s="47" t="s">
        <v>263</v>
      </c>
      <c r="R17" s="47" t="str">
        <f>CONCATENATE(P17," ",Q17)</f>
        <v>Kimberly Dickerson</v>
      </c>
      <c r="S17" s="47">
        <v>16243811</v>
      </c>
    </row>
    <row r="18" spans="1:19" ht="15" customHeight="1" x14ac:dyDescent="0.2">
      <c r="A18" s="14" t="s">
        <v>64</v>
      </c>
      <c r="B18" s="50">
        <v>441679321</v>
      </c>
      <c r="C18" s="14" t="s">
        <v>211</v>
      </c>
      <c r="D18" s="48">
        <v>44902</v>
      </c>
      <c r="E18" s="14" t="s">
        <v>88</v>
      </c>
      <c r="F18" s="48">
        <v>45999</v>
      </c>
      <c r="G18" s="48">
        <v>46023</v>
      </c>
      <c r="H18" s="48">
        <v>46001</v>
      </c>
      <c r="I18" s="14" t="s">
        <v>68</v>
      </c>
      <c r="J18" s="14" t="s">
        <v>69</v>
      </c>
      <c r="K18" s="49">
        <v>104.03</v>
      </c>
      <c r="L18" s="14" t="s">
        <v>70</v>
      </c>
      <c r="M18" s="49">
        <v>9.36</v>
      </c>
      <c r="N18" s="14" t="s">
        <v>71</v>
      </c>
      <c r="P18" s="2" t="s">
        <v>262</v>
      </c>
      <c r="Q18" s="47" t="s">
        <v>263</v>
      </c>
      <c r="R18" s="47" t="str">
        <f>CONCATENATE(P18," ",Q18)</f>
        <v>Kimberly Dickerson</v>
      </c>
      <c r="S18" s="47">
        <v>16243811</v>
      </c>
    </row>
    <row r="19" spans="1:19" ht="15" customHeight="1" x14ac:dyDescent="0.2">
      <c r="A19" s="14" t="s">
        <v>64</v>
      </c>
      <c r="B19" s="50">
        <v>441679321</v>
      </c>
      <c r="C19" s="14" t="s">
        <v>211</v>
      </c>
      <c r="D19" s="48">
        <v>44902</v>
      </c>
      <c r="E19" s="14" t="s">
        <v>88</v>
      </c>
      <c r="F19" s="48">
        <v>45992</v>
      </c>
      <c r="G19" s="48">
        <v>45998</v>
      </c>
      <c r="H19" s="48">
        <v>46001</v>
      </c>
      <c r="I19" s="14" t="s">
        <v>68</v>
      </c>
      <c r="J19" s="14" t="s">
        <v>69</v>
      </c>
      <c r="K19" s="49">
        <v>24.97</v>
      </c>
      <c r="L19" s="14" t="s">
        <v>70</v>
      </c>
      <c r="M19" s="49">
        <v>2.25</v>
      </c>
      <c r="N19" s="14" t="s">
        <v>71</v>
      </c>
      <c r="P19" s="2" t="s">
        <v>262</v>
      </c>
      <c r="Q19" s="47" t="s">
        <v>263</v>
      </c>
      <c r="R19" s="47" t="str">
        <f>CONCATENATE(P19," ",Q19)</f>
        <v>Kimberly Dickerson</v>
      </c>
      <c r="S19" s="47">
        <v>16243811</v>
      </c>
    </row>
    <row r="20" spans="1:19" ht="15" customHeight="1" x14ac:dyDescent="0.2">
      <c r="A20" s="14" t="s">
        <v>64</v>
      </c>
      <c r="B20" s="50">
        <v>441680518</v>
      </c>
      <c r="C20" s="14" t="s">
        <v>196</v>
      </c>
      <c r="D20" s="48">
        <v>44902</v>
      </c>
      <c r="E20" s="14" t="s">
        <v>197</v>
      </c>
      <c r="F20" s="48">
        <v>45999</v>
      </c>
      <c r="G20" s="48">
        <v>46023</v>
      </c>
      <c r="H20" s="48">
        <v>46001</v>
      </c>
      <c r="I20" s="14" t="s">
        <v>68</v>
      </c>
      <c r="J20" s="14" t="s">
        <v>69</v>
      </c>
      <c r="K20" s="49">
        <v>89.92</v>
      </c>
      <c r="L20" s="14" t="s">
        <v>70</v>
      </c>
      <c r="M20" s="49">
        <v>8.09</v>
      </c>
      <c r="N20" s="14" t="s">
        <v>71</v>
      </c>
      <c r="P20" s="2" t="s">
        <v>260</v>
      </c>
      <c r="Q20" s="47" t="s">
        <v>261</v>
      </c>
      <c r="R20" s="47" t="str">
        <f>CONCATENATE(P20," ",Q20)</f>
        <v>Katelenn Caltagirone</v>
      </c>
      <c r="S20" s="47">
        <v>20436896</v>
      </c>
    </row>
    <row r="21" spans="1:19" ht="15" customHeight="1" x14ac:dyDescent="0.2">
      <c r="A21" s="14" t="s">
        <v>64</v>
      </c>
      <c r="B21" s="50">
        <v>441680518</v>
      </c>
      <c r="C21" s="14" t="s">
        <v>196</v>
      </c>
      <c r="D21" s="48">
        <v>44902</v>
      </c>
      <c r="E21" s="14" t="s">
        <v>197</v>
      </c>
      <c r="F21" s="48">
        <v>45992</v>
      </c>
      <c r="G21" s="48">
        <v>45998</v>
      </c>
      <c r="H21" s="48">
        <v>46001</v>
      </c>
      <c r="I21" s="14" t="s">
        <v>68</v>
      </c>
      <c r="J21" s="14" t="s">
        <v>69</v>
      </c>
      <c r="K21" s="49">
        <v>21.58</v>
      </c>
      <c r="L21" s="14" t="s">
        <v>70</v>
      </c>
      <c r="M21" s="49">
        <v>1.94</v>
      </c>
      <c r="N21" s="14" t="s">
        <v>71</v>
      </c>
      <c r="P21" s="2" t="s">
        <v>260</v>
      </c>
      <c r="Q21" s="47" t="s">
        <v>261</v>
      </c>
      <c r="R21" s="47" t="str">
        <f>CONCATENATE(P21," ",Q21)</f>
        <v>Katelenn Caltagirone</v>
      </c>
      <c r="S21" s="47">
        <v>20436896</v>
      </c>
    </row>
    <row r="22" spans="1:19" ht="15" customHeight="1" x14ac:dyDescent="0.2">
      <c r="A22" s="14" t="s">
        <v>64</v>
      </c>
      <c r="B22" s="50">
        <v>441684105</v>
      </c>
      <c r="C22" s="14" t="s">
        <v>82</v>
      </c>
      <c r="D22" s="48">
        <v>44903</v>
      </c>
      <c r="E22" s="14" t="s">
        <v>83</v>
      </c>
      <c r="F22" s="48">
        <v>46000</v>
      </c>
      <c r="G22" s="48">
        <v>46023</v>
      </c>
      <c r="H22" s="48">
        <v>46001</v>
      </c>
      <c r="I22" s="14" t="s">
        <v>68</v>
      </c>
      <c r="J22" s="14" t="s">
        <v>69</v>
      </c>
      <c r="K22" s="49">
        <v>46.84</v>
      </c>
      <c r="L22" s="14" t="s">
        <v>70</v>
      </c>
      <c r="M22" s="49">
        <v>4.22</v>
      </c>
      <c r="N22" s="14" t="s">
        <v>71</v>
      </c>
      <c r="P22" s="2" t="s">
        <v>252</v>
      </c>
      <c r="Q22" s="47" t="s">
        <v>253</v>
      </c>
      <c r="R22" s="47" t="str">
        <f>CONCATENATE(P22," ",Q22)</f>
        <v>Ashley Teipel</v>
      </c>
      <c r="S22" s="47">
        <v>20436925</v>
      </c>
    </row>
    <row r="23" spans="1:19" ht="15" customHeight="1" x14ac:dyDescent="0.2">
      <c r="A23" s="14" t="s">
        <v>64</v>
      </c>
      <c r="B23" s="50">
        <v>441684105</v>
      </c>
      <c r="C23" s="14" t="s">
        <v>82</v>
      </c>
      <c r="D23" s="48">
        <v>44903</v>
      </c>
      <c r="E23" s="14" t="s">
        <v>83</v>
      </c>
      <c r="F23" s="48">
        <v>45992</v>
      </c>
      <c r="G23" s="48">
        <v>45999</v>
      </c>
      <c r="H23" s="48">
        <v>46001</v>
      </c>
      <c r="I23" s="14" t="s">
        <v>68</v>
      </c>
      <c r="J23" s="14" t="s">
        <v>69</v>
      </c>
      <c r="K23" s="49">
        <v>13.66</v>
      </c>
      <c r="L23" s="14" t="s">
        <v>70</v>
      </c>
      <c r="M23" s="49">
        <v>1.23</v>
      </c>
      <c r="N23" s="14" t="s">
        <v>71</v>
      </c>
      <c r="P23" s="2" t="s">
        <v>252</v>
      </c>
      <c r="Q23" s="47" t="s">
        <v>253</v>
      </c>
      <c r="R23" s="47" t="str">
        <f>CONCATENATE(P23," ",Q23)</f>
        <v>Ashley Teipel</v>
      </c>
      <c r="S23" s="47">
        <v>20436925</v>
      </c>
    </row>
    <row r="24" spans="1:19" ht="15" customHeight="1" x14ac:dyDescent="0.2">
      <c r="A24" s="14" t="s">
        <v>64</v>
      </c>
      <c r="B24" s="50">
        <v>441705578</v>
      </c>
      <c r="C24" s="14" t="s">
        <v>128</v>
      </c>
      <c r="D24" s="48">
        <v>44910</v>
      </c>
      <c r="E24" s="14" t="s">
        <v>129</v>
      </c>
      <c r="F24" s="48">
        <v>45992</v>
      </c>
      <c r="G24" s="48">
        <v>46006</v>
      </c>
      <c r="H24" s="48">
        <v>46000</v>
      </c>
      <c r="I24" s="14" t="s">
        <v>68</v>
      </c>
      <c r="J24" s="14" t="s">
        <v>69</v>
      </c>
      <c r="K24" s="49">
        <v>88.81</v>
      </c>
      <c r="L24" s="14" t="s">
        <v>109</v>
      </c>
      <c r="M24" s="49">
        <v>5.33</v>
      </c>
      <c r="N24" s="14" t="s">
        <v>71</v>
      </c>
      <c r="P24" s="2" t="s">
        <v>254</v>
      </c>
      <c r="Q24" s="47" t="s">
        <v>255</v>
      </c>
      <c r="R24" s="47" t="str">
        <f>CONCATENATE(P24," ",Q24)</f>
        <v>Carol Foley</v>
      </c>
      <c r="S24" s="47">
        <v>17425766</v>
      </c>
    </row>
    <row r="25" spans="1:19" ht="15" customHeight="1" x14ac:dyDescent="0.2">
      <c r="A25" s="14" t="s">
        <v>64</v>
      </c>
      <c r="B25" s="50">
        <v>441705578</v>
      </c>
      <c r="C25" s="14" t="s">
        <v>128</v>
      </c>
      <c r="D25" s="48">
        <v>44910</v>
      </c>
      <c r="E25" s="14" t="s">
        <v>129</v>
      </c>
      <c r="F25" s="48">
        <v>46007</v>
      </c>
      <c r="G25" s="48">
        <v>46023</v>
      </c>
      <c r="H25" s="48">
        <v>46000</v>
      </c>
      <c r="I25" s="14" t="s">
        <v>68</v>
      </c>
      <c r="J25" s="14" t="s">
        <v>69</v>
      </c>
      <c r="K25" s="49">
        <v>107.85</v>
      </c>
      <c r="L25" s="14" t="s">
        <v>109</v>
      </c>
      <c r="M25" s="49">
        <v>6.47</v>
      </c>
      <c r="N25" s="14" t="s">
        <v>71</v>
      </c>
      <c r="P25" s="2" t="s">
        <v>254</v>
      </c>
      <c r="Q25" s="47" t="s">
        <v>255</v>
      </c>
      <c r="R25" s="47" t="str">
        <f>CONCATENATE(P25," ",Q25)</f>
        <v>Carol Foley</v>
      </c>
      <c r="S25" s="47">
        <v>17425766</v>
      </c>
    </row>
    <row r="26" spans="1:19" ht="15" customHeight="1" x14ac:dyDescent="0.2">
      <c r="A26" s="14" t="s">
        <v>64</v>
      </c>
      <c r="B26" s="50">
        <v>441707181</v>
      </c>
      <c r="C26" s="14" t="s">
        <v>220</v>
      </c>
      <c r="D26" s="48">
        <v>44909</v>
      </c>
      <c r="E26" s="14" t="s">
        <v>88</v>
      </c>
      <c r="F26" s="48">
        <v>46006</v>
      </c>
      <c r="G26" s="48">
        <v>46023</v>
      </c>
      <c r="H26" s="48">
        <v>46000</v>
      </c>
      <c r="I26" s="14" t="s">
        <v>68</v>
      </c>
      <c r="J26" s="14" t="s">
        <v>69</v>
      </c>
      <c r="K26" s="49">
        <v>24.21</v>
      </c>
      <c r="L26" s="14" t="s">
        <v>70</v>
      </c>
      <c r="M26" s="49">
        <v>2.1800000000000002</v>
      </c>
      <c r="N26" s="14" t="s">
        <v>71</v>
      </c>
      <c r="P26" s="2" t="s">
        <v>262</v>
      </c>
      <c r="Q26" s="47" t="s">
        <v>263</v>
      </c>
      <c r="R26" s="47" t="str">
        <f>CONCATENATE(P26," ",Q26)</f>
        <v>Kimberly Dickerson</v>
      </c>
      <c r="S26" s="47">
        <v>16243811</v>
      </c>
    </row>
    <row r="27" spans="1:19" ht="15" customHeight="1" x14ac:dyDescent="0.2">
      <c r="A27" s="14" t="s">
        <v>64</v>
      </c>
      <c r="B27" s="50">
        <v>441707181</v>
      </c>
      <c r="C27" s="14" t="s">
        <v>220</v>
      </c>
      <c r="D27" s="48">
        <v>44909</v>
      </c>
      <c r="E27" s="14" t="s">
        <v>88</v>
      </c>
      <c r="F27" s="48">
        <v>45992</v>
      </c>
      <c r="G27" s="48">
        <v>46005</v>
      </c>
      <c r="H27" s="48">
        <v>46000</v>
      </c>
      <c r="I27" s="14" t="s">
        <v>68</v>
      </c>
      <c r="J27" s="14" t="s">
        <v>69</v>
      </c>
      <c r="K27" s="49">
        <v>17.489999999999998</v>
      </c>
      <c r="L27" s="14" t="s">
        <v>70</v>
      </c>
      <c r="M27" s="49">
        <v>1.57</v>
      </c>
      <c r="N27" s="14" t="s">
        <v>71</v>
      </c>
      <c r="P27" s="2" t="s">
        <v>262</v>
      </c>
      <c r="Q27" s="47" t="s">
        <v>263</v>
      </c>
      <c r="R27" s="47" t="str">
        <f>CONCATENATE(P27," ",Q27)</f>
        <v>Kimberly Dickerson</v>
      </c>
      <c r="S27" s="47">
        <v>16243811</v>
      </c>
    </row>
    <row r="28" spans="1:19" ht="15" customHeight="1" x14ac:dyDescent="0.2">
      <c r="A28" s="14" t="s">
        <v>64</v>
      </c>
      <c r="B28" s="50">
        <v>441713408</v>
      </c>
      <c r="C28" s="14" t="s">
        <v>222</v>
      </c>
      <c r="D28" s="48">
        <v>44910</v>
      </c>
      <c r="E28" s="14" t="s">
        <v>223</v>
      </c>
      <c r="F28" s="48">
        <v>46007</v>
      </c>
      <c r="G28" s="48">
        <v>46023</v>
      </c>
      <c r="H28" s="48">
        <v>46000</v>
      </c>
      <c r="I28" s="14" t="s">
        <v>68</v>
      </c>
      <c r="J28" s="14" t="s">
        <v>69</v>
      </c>
      <c r="K28" s="49">
        <v>3.65</v>
      </c>
      <c r="L28" s="14" t="s">
        <v>70</v>
      </c>
      <c r="M28" s="49">
        <v>0.33</v>
      </c>
      <c r="N28" s="14" t="s">
        <v>71</v>
      </c>
      <c r="P28" s="2" t="s">
        <v>262</v>
      </c>
      <c r="Q28" s="47" t="s">
        <v>263</v>
      </c>
      <c r="R28" s="47" t="str">
        <f>CONCATENATE(P28," ",Q28)</f>
        <v>Kimberly Dickerson</v>
      </c>
      <c r="S28" s="47">
        <v>16243811</v>
      </c>
    </row>
    <row r="29" spans="1:19" ht="15" customHeight="1" x14ac:dyDescent="0.2">
      <c r="A29" s="14" t="s">
        <v>64</v>
      </c>
      <c r="B29" s="50">
        <v>441713408</v>
      </c>
      <c r="C29" s="14" t="s">
        <v>222</v>
      </c>
      <c r="D29" s="48">
        <v>44910</v>
      </c>
      <c r="E29" s="14" t="s">
        <v>223</v>
      </c>
      <c r="F29" s="48">
        <v>45992</v>
      </c>
      <c r="G29" s="48">
        <v>46006</v>
      </c>
      <c r="H29" s="48">
        <v>46000</v>
      </c>
      <c r="I29" s="14" t="s">
        <v>68</v>
      </c>
      <c r="J29" s="14" t="s">
        <v>69</v>
      </c>
      <c r="K29" s="49">
        <v>3.01</v>
      </c>
      <c r="L29" s="14" t="s">
        <v>70</v>
      </c>
      <c r="M29" s="49">
        <v>0.27</v>
      </c>
      <c r="N29" s="14" t="s">
        <v>71</v>
      </c>
      <c r="P29" s="2" t="s">
        <v>262</v>
      </c>
      <c r="Q29" s="47" t="s">
        <v>263</v>
      </c>
      <c r="R29" s="47" t="str">
        <f>CONCATENATE(P29," ",Q29)</f>
        <v>Kimberly Dickerson</v>
      </c>
      <c r="S29" s="47">
        <v>16243811</v>
      </c>
    </row>
    <row r="30" spans="1:19" ht="15" customHeight="1" x14ac:dyDescent="0.2">
      <c r="A30" s="14" t="s">
        <v>64</v>
      </c>
      <c r="B30" s="50">
        <v>441713409</v>
      </c>
      <c r="C30" s="14" t="s">
        <v>222</v>
      </c>
      <c r="D30" s="48">
        <v>44910</v>
      </c>
      <c r="E30" s="14" t="s">
        <v>67</v>
      </c>
      <c r="F30" s="48">
        <v>45992</v>
      </c>
      <c r="G30" s="48">
        <v>46006</v>
      </c>
      <c r="H30" s="48">
        <v>46000</v>
      </c>
      <c r="I30" s="14" t="s">
        <v>68</v>
      </c>
      <c r="J30" s="14" t="s">
        <v>69</v>
      </c>
      <c r="K30" s="49">
        <v>7.23</v>
      </c>
      <c r="L30" s="14" t="s">
        <v>70</v>
      </c>
      <c r="M30" s="49">
        <v>0.65</v>
      </c>
      <c r="N30" s="14" t="s">
        <v>71</v>
      </c>
      <c r="P30" s="2" t="s">
        <v>262</v>
      </c>
      <c r="Q30" s="47" t="s">
        <v>263</v>
      </c>
      <c r="R30" s="47" t="str">
        <f>CONCATENATE(P30," ",Q30)</f>
        <v>Kimberly Dickerson</v>
      </c>
      <c r="S30" s="47">
        <v>16243811</v>
      </c>
    </row>
    <row r="31" spans="1:19" ht="15" customHeight="1" x14ac:dyDescent="0.2">
      <c r="A31" s="14" t="s">
        <v>64</v>
      </c>
      <c r="B31" s="50">
        <v>441713409</v>
      </c>
      <c r="C31" s="14" t="s">
        <v>222</v>
      </c>
      <c r="D31" s="48">
        <v>44910</v>
      </c>
      <c r="E31" s="14" t="s">
        <v>67</v>
      </c>
      <c r="F31" s="48">
        <v>46007</v>
      </c>
      <c r="G31" s="48">
        <v>46023</v>
      </c>
      <c r="H31" s="48">
        <v>46000</v>
      </c>
      <c r="I31" s="14" t="s">
        <v>68</v>
      </c>
      <c r="J31" s="14" t="s">
        <v>69</v>
      </c>
      <c r="K31" s="49">
        <v>8.77</v>
      </c>
      <c r="L31" s="14" t="s">
        <v>70</v>
      </c>
      <c r="M31" s="49">
        <v>0.79</v>
      </c>
      <c r="N31" s="14" t="s">
        <v>71</v>
      </c>
      <c r="P31" s="2" t="s">
        <v>262</v>
      </c>
      <c r="Q31" s="47" t="s">
        <v>263</v>
      </c>
      <c r="R31" s="47" t="str">
        <f>CONCATENATE(P31," ",Q31)</f>
        <v>Kimberly Dickerson</v>
      </c>
      <c r="S31" s="47">
        <v>16243811</v>
      </c>
    </row>
    <row r="32" spans="1:19" ht="15" customHeight="1" x14ac:dyDescent="0.2">
      <c r="A32" s="14" t="s">
        <v>64</v>
      </c>
      <c r="B32" s="50">
        <v>441713414</v>
      </c>
      <c r="C32" s="14" t="s">
        <v>238</v>
      </c>
      <c r="D32" s="48">
        <v>44910</v>
      </c>
      <c r="E32" s="14" t="s">
        <v>239</v>
      </c>
      <c r="F32" s="48">
        <v>45992</v>
      </c>
      <c r="G32" s="48">
        <v>46006</v>
      </c>
      <c r="H32" s="48">
        <v>46000</v>
      </c>
      <c r="I32" s="14" t="s">
        <v>68</v>
      </c>
      <c r="J32" s="14" t="s">
        <v>69</v>
      </c>
      <c r="K32" s="49">
        <v>8.92</v>
      </c>
      <c r="L32" s="14" t="s">
        <v>70</v>
      </c>
      <c r="M32" s="49">
        <v>0.8</v>
      </c>
      <c r="N32" s="14" t="s">
        <v>71</v>
      </c>
      <c r="P32" s="2" t="s">
        <v>262</v>
      </c>
      <c r="Q32" s="47" t="s">
        <v>263</v>
      </c>
      <c r="R32" s="47" t="str">
        <f>CONCATENATE(P32," ",Q32)</f>
        <v>Kimberly Dickerson</v>
      </c>
      <c r="S32" s="47">
        <v>16243811</v>
      </c>
    </row>
    <row r="33" spans="1:19" ht="15" customHeight="1" x14ac:dyDescent="0.2">
      <c r="A33" s="14" t="s">
        <v>64</v>
      </c>
      <c r="B33" s="50">
        <v>441713414</v>
      </c>
      <c r="C33" s="14" t="s">
        <v>238</v>
      </c>
      <c r="D33" s="48">
        <v>44910</v>
      </c>
      <c r="E33" s="14" t="s">
        <v>239</v>
      </c>
      <c r="F33" s="48">
        <v>46007</v>
      </c>
      <c r="G33" s="48">
        <v>46023</v>
      </c>
      <c r="H33" s="48">
        <v>46000</v>
      </c>
      <c r="I33" s="14" t="s">
        <v>68</v>
      </c>
      <c r="J33" s="14" t="s">
        <v>69</v>
      </c>
      <c r="K33" s="49">
        <v>10.84</v>
      </c>
      <c r="L33" s="14" t="s">
        <v>70</v>
      </c>
      <c r="M33" s="49">
        <v>0.98</v>
      </c>
      <c r="N33" s="14" t="s">
        <v>71</v>
      </c>
      <c r="P33" s="2" t="s">
        <v>262</v>
      </c>
      <c r="Q33" s="47" t="s">
        <v>263</v>
      </c>
      <c r="R33" s="47" t="str">
        <f>CONCATENATE(P33," ",Q33)</f>
        <v>Kimberly Dickerson</v>
      </c>
      <c r="S33" s="47">
        <v>16243811</v>
      </c>
    </row>
    <row r="34" spans="1:19" ht="15" customHeight="1" x14ac:dyDescent="0.2">
      <c r="A34" s="14" t="s">
        <v>64</v>
      </c>
      <c r="B34" s="50">
        <v>441761638</v>
      </c>
      <c r="C34" s="14" t="s">
        <v>206</v>
      </c>
      <c r="D34" s="48">
        <v>44936</v>
      </c>
      <c r="E34" s="14" t="s">
        <v>207</v>
      </c>
      <c r="F34" s="48">
        <v>45992</v>
      </c>
      <c r="G34" s="48">
        <v>46023</v>
      </c>
      <c r="H34" s="48">
        <v>46003</v>
      </c>
      <c r="I34" s="14" t="s">
        <v>68</v>
      </c>
      <c r="J34" s="14" t="s">
        <v>69</v>
      </c>
      <c r="K34" s="49">
        <v>42.64</v>
      </c>
      <c r="L34" s="14" t="s">
        <v>70</v>
      </c>
      <c r="M34" s="49">
        <v>3.84</v>
      </c>
      <c r="N34" s="14" t="s">
        <v>71</v>
      </c>
      <c r="P34" s="2" t="s">
        <v>262</v>
      </c>
      <c r="Q34" s="47" t="s">
        <v>263</v>
      </c>
      <c r="R34" s="47" t="str">
        <f>CONCATENATE(P34," ",Q34)</f>
        <v>Kimberly Dickerson</v>
      </c>
      <c r="S34" s="47">
        <v>16243811</v>
      </c>
    </row>
    <row r="35" spans="1:19" ht="15" customHeight="1" x14ac:dyDescent="0.2">
      <c r="A35" s="14" t="s">
        <v>64</v>
      </c>
      <c r="B35" s="50">
        <v>441761639</v>
      </c>
      <c r="C35" s="14" t="s">
        <v>206</v>
      </c>
      <c r="D35" s="48">
        <v>44936</v>
      </c>
      <c r="E35" s="14" t="s">
        <v>209</v>
      </c>
      <c r="F35" s="48">
        <v>45992</v>
      </c>
      <c r="G35" s="48">
        <v>46023</v>
      </c>
      <c r="H35" s="48">
        <v>46003</v>
      </c>
      <c r="I35" s="14" t="s">
        <v>68</v>
      </c>
      <c r="J35" s="14" t="s">
        <v>69</v>
      </c>
      <c r="K35" s="49">
        <v>10</v>
      </c>
      <c r="L35" s="14" t="s">
        <v>70</v>
      </c>
      <c r="M35" s="49">
        <v>0.9</v>
      </c>
      <c r="N35" s="14" t="s">
        <v>71</v>
      </c>
      <c r="P35" s="2" t="s">
        <v>262</v>
      </c>
      <c r="Q35" s="47" t="s">
        <v>263</v>
      </c>
      <c r="R35" s="47" t="str">
        <f>CONCATENATE(P35," ",Q35)</f>
        <v>Kimberly Dickerson</v>
      </c>
      <c r="S35" s="47">
        <v>16243811</v>
      </c>
    </row>
    <row r="36" spans="1:19" ht="15" customHeight="1" x14ac:dyDescent="0.2">
      <c r="A36" s="14" t="s">
        <v>64</v>
      </c>
      <c r="B36" s="50">
        <v>441765054</v>
      </c>
      <c r="C36" s="14" t="s">
        <v>96</v>
      </c>
      <c r="D36" s="48">
        <v>44941</v>
      </c>
      <c r="E36" s="14" t="s">
        <v>88</v>
      </c>
      <c r="F36" s="48">
        <v>45992</v>
      </c>
      <c r="G36" s="48">
        <v>46023</v>
      </c>
      <c r="H36" s="48">
        <v>46003</v>
      </c>
      <c r="I36" s="14" t="s">
        <v>68</v>
      </c>
      <c r="J36" s="14" t="s">
        <v>69</v>
      </c>
      <c r="K36" s="49">
        <v>123.1</v>
      </c>
      <c r="L36" s="14" t="s">
        <v>70</v>
      </c>
      <c r="M36" s="49">
        <v>11.08</v>
      </c>
      <c r="N36" s="14" t="s">
        <v>71</v>
      </c>
      <c r="P36" s="2" t="s">
        <v>252</v>
      </c>
      <c r="Q36" s="47" t="s">
        <v>253</v>
      </c>
      <c r="R36" s="47" t="str">
        <f>CONCATENATE(P36," ",Q36)</f>
        <v>Ashley Teipel</v>
      </c>
      <c r="S36" s="47">
        <v>20436925</v>
      </c>
    </row>
    <row r="37" spans="1:19" ht="15" customHeight="1" x14ac:dyDescent="0.2">
      <c r="A37" s="14" t="s">
        <v>64</v>
      </c>
      <c r="B37" s="50">
        <v>441774712</v>
      </c>
      <c r="C37" s="14" t="s">
        <v>241</v>
      </c>
      <c r="D37" s="48">
        <v>44940</v>
      </c>
      <c r="E37" s="14" t="s">
        <v>77</v>
      </c>
      <c r="F37" s="48">
        <v>45992</v>
      </c>
      <c r="G37" s="48">
        <v>46023</v>
      </c>
      <c r="H37" s="48">
        <v>46000</v>
      </c>
      <c r="I37" s="14" t="s">
        <v>68</v>
      </c>
      <c r="J37" s="14" t="s">
        <v>69</v>
      </c>
      <c r="K37" s="49">
        <v>42.64</v>
      </c>
      <c r="L37" s="14" t="s">
        <v>70</v>
      </c>
      <c r="M37" s="49">
        <v>3.84</v>
      </c>
      <c r="N37" s="14" t="s">
        <v>71</v>
      </c>
      <c r="P37" s="2" t="s">
        <v>262</v>
      </c>
      <c r="Q37" s="47" t="s">
        <v>263</v>
      </c>
      <c r="R37" s="47" t="str">
        <f>CONCATENATE(P37," ",Q37)</f>
        <v>Kimberly Dickerson</v>
      </c>
      <c r="S37" s="47">
        <v>16243811</v>
      </c>
    </row>
    <row r="38" spans="1:19" ht="15" customHeight="1" x14ac:dyDescent="0.2">
      <c r="A38" s="14" t="s">
        <v>64</v>
      </c>
      <c r="B38" s="50">
        <v>441782531</v>
      </c>
      <c r="C38" s="14" t="s">
        <v>124</v>
      </c>
      <c r="D38" s="48">
        <v>44945</v>
      </c>
      <c r="E38" s="14" t="s">
        <v>125</v>
      </c>
      <c r="F38" s="48">
        <v>45992</v>
      </c>
      <c r="G38" s="48">
        <v>46023</v>
      </c>
      <c r="H38" s="48">
        <v>46001</v>
      </c>
      <c r="I38" s="14" t="s">
        <v>68</v>
      </c>
      <c r="J38" s="14" t="s">
        <v>69</v>
      </c>
      <c r="K38" s="49">
        <v>19</v>
      </c>
      <c r="L38" s="14" t="s">
        <v>126</v>
      </c>
      <c r="M38" s="49">
        <v>0.56999999999999995</v>
      </c>
      <c r="N38" s="14" t="s">
        <v>71</v>
      </c>
      <c r="P38" s="2" t="s">
        <v>254</v>
      </c>
      <c r="Q38" s="47" t="s">
        <v>255</v>
      </c>
      <c r="R38" s="47" t="str">
        <f>CONCATENATE(P38," ",Q38)</f>
        <v>Carol Foley</v>
      </c>
      <c r="S38" s="47">
        <v>17425766</v>
      </c>
    </row>
    <row r="39" spans="1:19" ht="15" customHeight="1" x14ac:dyDescent="0.2">
      <c r="A39" s="14" t="s">
        <v>64</v>
      </c>
      <c r="B39" s="50">
        <v>441789847</v>
      </c>
      <c r="C39" s="14" t="s">
        <v>85</v>
      </c>
      <c r="D39" s="48">
        <v>44947</v>
      </c>
      <c r="E39" s="14" t="s">
        <v>67</v>
      </c>
      <c r="F39" s="48">
        <v>45992</v>
      </c>
      <c r="G39" s="48">
        <v>46023</v>
      </c>
      <c r="H39" s="48">
        <v>46001</v>
      </c>
      <c r="I39" s="14" t="s">
        <v>68</v>
      </c>
      <c r="J39" s="14" t="s">
        <v>69</v>
      </c>
      <c r="K39" s="49">
        <v>16</v>
      </c>
      <c r="L39" s="14" t="s">
        <v>70</v>
      </c>
      <c r="M39" s="49">
        <v>1.44</v>
      </c>
      <c r="N39" s="14" t="s">
        <v>71</v>
      </c>
      <c r="P39" s="2" t="s">
        <v>252</v>
      </c>
      <c r="Q39" s="47" t="s">
        <v>253</v>
      </c>
      <c r="R39" s="47" t="str">
        <f>CONCATENATE(P39," ",Q39)</f>
        <v>Ashley Teipel</v>
      </c>
      <c r="S39" s="47">
        <v>20436925</v>
      </c>
    </row>
    <row r="40" spans="1:19" ht="15" customHeight="1" x14ac:dyDescent="0.2">
      <c r="A40" s="14" t="s">
        <v>64</v>
      </c>
      <c r="B40" s="50">
        <v>441794112</v>
      </c>
      <c r="C40" s="14" t="s">
        <v>218</v>
      </c>
      <c r="D40" s="48">
        <v>44951</v>
      </c>
      <c r="E40" s="14" t="s">
        <v>216</v>
      </c>
      <c r="F40" s="48">
        <v>45992</v>
      </c>
      <c r="G40" s="48">
        <v>46023</v>
      </c>
      <c r="H40" s="48">
        <v>46002</v>
      </c>
      <c r="I40" s="14" t="s">
        <v>68</v>
      </c>
      <c r="J40" s="14" t="s">
        <v>69</v>
      </c>
      <c r="K40" s="49">
        <v>16</v>
      </c>
      <c r="L40" s="14" t="s">
        <v>70</v>
      </c>
      <c r="M40" s="49">
        <v>1.44</v>
      </c>
      <c r="N40" s="14" t="s">
        <v>71</v>
      </c>
      <c r="P40" s="2" t="s">
        <v>262</v>
      </c>
      <c r="Q40" s="47" t="s">
        <v>263</v>
      </c>
      <c r="R40" s="47" t="str">
        <f>CONCATENATE(P40," ",Q40)</f>
        <v>Kimberly Dickerson</v>
      </c>
      <c r="S40" s="47">
        <v>16243811</v>
      </c>
    </row>
    <row r="41" spans="1:19" ht="15" customHeight="1" x14ac:dyDescent="0.2">
      <c r="A41" s="14" t="s">
        <v>64</v>
      </c>
      <c r="B41" s="50">
        <v>441818010</v>
      </c>
      <c r="C41" s="14" t="s">
        <v>87</v>
      </c>
      <c r="D41" s="48">
        <v>44979</v>
      </c>
      <c r="E41" s="14" t="s">
        <v>88</v>
      </c>
      <c r="F41" s="48">
        <v>45992</v>
      </c>
      <c r="G41" s="48">
        <v>46023</v>
      </c>
      <c r="H41" s="48">
        <v>46001</v>
      </c>
      <c r="I41" s="14" t="s">
        <v>68</v>
      </c>
      <c r="J41" s="14" t="s">
        <v>69</v>
      </c>
      <c r="K41" s="49">
        <v>98.66</v>
      </c>
      <c r="L41" s="14" t="s">
        <v>70</v>
      </c>
      <c r="M41" s="49">
        <v>8.8800000000000008</v>
      </c>
      <c r="N41" s="14" t="s">
        <v>71</v>
      </c>
      <c r="P41" s="2" t="s">
        <v>252</v>
      </c>
      <c r="Q41" s="47" t="s">
        <v>253</v>
      </c>
      <c r="R41" s="47" t="str">
        <f>CONCATENATE(P41," ",Q41)</f>
        <v>Ashley Teipel</v>
      </c>
      <c r="S41" s="47">
        <v>20436925</v>
      </c>
    </row>
    <row r="42" spans="1:19" ht="15" customHeight="1" x14ac:dyDescent="0.2">
      <c r="A42" s="14" t="s">
        <v>64</v>
      </c>
      <c r="B42" s="50">
        <v>441839748</v>
      </c>
      <c r="C42" s="14" t="s">
        <v>79</v>
      </c>
      <c r="D42" s="48">
        <v>44979</v>
      </c>
      <c r="E42" s="14" t="s">
        <v>67</v>
      </c>
      <c r="F42" s="48">
        <v>45992</v>
      </c>
      <c r="G42" s="48">
        <v>46023</v>
      </c>
      <c r="H42" s="48">
        <v>46001</v>
      </c>
      <c r="I42" s="14" t="s">
        <v>68</v>
      </c>
      <c r="J42" s="14" t="s">
        <v>69</v>
      </c>
      <c r="K42" s="49">
        <v>9</v>
      </c>
      <c r="L42" s="14" t="s">
        <v>70</v>
      </c>
      <c r="M42" s="49">
        <v>0.81</v>
      </c>
      <c r="N42" s="14" t="s">
        <v>71</v>
      </c>
      <c r="P42" s="2" t="s">
        <v>250</v>
      </c>
      <c r="Q42" s="47" t="s">
        <v>251</v>
      </c>
      <c r="R42" s="47" t="str">
        <f>CONCATENATE(P42," ",Q42)</f>
        <v>Anne Kozacheck</v>
      </c>
      <c r="S42" s="47">
        <v>19278370</v>
      </c>
    </row>
    <row r="43" spans="1:19" ht="15" customHeight="1" x14ac:dyDescent="0.2">
      <c r="A43" s="14" t="s">
        <v>64</v>
      </c>
      <c r="B43" s="50">
        <v>441847980</v>
      </c>
      <c r="C43" s="14" t="s">
        <v>73</v>
      </c>
      <c r="D43" s="48">
        <v>44985</v>
      </c>
      <c r="E43" s="14" t="s">
        <v>74</v>
      </c>
      <c r="F43" s="48">
        <v>45992</v>
      </c>
      <c r="G43" s="48">
        <v>46023</v>
      </c>
      <c r="H43" s="48">
        <v>46003</v>
      </c>
      <c r="I43" s="14" t="s">
        <v>68</v>
      </c>
      <c r="J43" s="14" t="s">
        <v>69</v>
      </c>
      <c r="K43" s="49">
        <v>154.99</v>
      </c>
      <c r="L43" s="14" t="s">
        <v>70</v>
      </c>
      <c r="M43" s="49">
        <v>13.95</v>
      </c>
      <c r="N43" s="14" t="s">
        <v>71</v>
      </c>
      <c r="P43" s="2" t="s">
        <v>250</v>
      </c>
      <c r="Q43" s="47" t="s">
        <v>251</v>
      </c>
      <c r="R43" s="47" t="str">
        <f>CONCATENATE(P43," ",Q43)</f>
        <v>Anne Kozacheck</v>
      </c>
      <c r="S43" s="47">
        <v>19278370</v>
      </c>
    </row>
    <row r="44" spans="1:19" ht="15" customHeight="1" x14ac:dyDescent="0.2">
      <c r="A44" s="14" t="s">
        <v>64</v>
      </c>
      <c r="B44" s="50">
        <v>441884278</v>
      </c>
      <c r="C44" s="14" t="s">
        <v>138</v>
      </c>
      <c r="D44" s="48">
        <v>45007</v>
      </c>
      <c r="E44" s="14" t="s">
        <v>139</v>
      </c>
      <c r="F44" s="48">
        <v>45992</v>
      </c>
      <c r="G44" s="48">
        <v>46023</v>
      </c>
      <c r="H44" s="48">
        <v>46001</v>
      </c>
      <c r="I44" s="14" t="s">
        <v>68</v>
      </c>
      <c r="J44" s="14" t="s">
        <v>69</v>
      </c>
      <c r="K44" s="49">
        <v>59.98</v>
      </c>
      <c r="L44" s="14" t="s">
        <v>126</v>
      </c>
      <c r="M44" s="49">
        <v>1.8</v>
      </c>
      <c r="N44" s="14" t="s">
        <v>71</v>
      </c>
      <c r="P44" s="2" t="s">
        <v>254</v>
      </c>
      <c r="Q44" s="47" t="s">
        <v>255</v>
      </c>
      <c r="R44" s="47" t="str">
        <f>CONCATENATE(P44," ",Q44)</f>
        <v>Carol Foley</v>
      </c>
      <c r="S44" s="47">
        <v>17425766</v>
      </c>
    </row>
    <row r="45" spans="1:19" ht="15" customHeight="1" x14ac:dyDescent="0.2">
      <c r="A45" s="14" t="s">
        <v>64</v>
      </c>
      <c r="B45" s="50">
        <v>441894645</v>
      </c>
      <c r="C45" s="14" t="s">
        <v>147</v>
      </c>
      <c r="D45" s="48">
        <v>45017</v>
      </c>
      <c r="E45" s="14" t="s">
        <v>100</v>
      </c>
      <c r="F45" s="48">
        <v>45992</v>
      </c>
      <c r="G45" s="48">
        <v>46023</v>
      </c>
      <c r="H45" s="48">
        <v>46003</v>
      </c>
      <c r="I45" s="14" t="s">
        <v>68</v>
      </c>
      <c r="J45" s="14" t="s">
        <v>69</v>
      </c>
      <c r="K45" s="49">
        <v>70.239999999999995</v>
      </c>
      <c r="L45" s="14" t="s">
        <v>109</v>
      </c>
      <c r="M45" s="49">
        <v>4.21</v>
      </c>
      <c r="N45" s="14" t="s">
        <v>71</v>
      </c>
      <c r="P45" s="2" t="s">
        <v>254</v>
      </c>
      <c r="Q45" s="47" t="s">
        <v>255</v>
      </c>
      <c r="R45" s="47" t="str">
        <f>CONCATENATE(P45," ",Q45)</f>
        <v>Carol Foley</v>
      </c>
      <c r="S45" s="47">
        <v>17425766</v>
      </c>
    </row>
    <row r="46" spans="1:19" ht="15" customHeight="1" x14ac:dyDescent="0.2">
      <c r="A46" s="14" t="s">
        <v>64</v>
      </c>
      <c r="B46" s="50">
        <v>441955925</v>
      </c>
      <c r="C46" s="14" t="s">
        <v>141</v>
      </c>
      <c r="D46" s="48">
        <v>45050</v>
      </c>
      <c r="E46" s="14" t="s">
        <v>142</v>
      </c>
      <c r="F46" s="48">
        <v>45992</v>
      </c>
      <c r="G46" s="48">
        <v>46023</v>
      </c>
      <c r="H46" s="48">
        <v>46001</v>
      </c>
      <c r="I46" s="14" t="s">
        <v>68</v>
      </c>
      <c r="J46" s="14" t="s">
        <v>69</v>
      </c>
      <c r="K46" s="49">
        <v>32.76</v>
      </c>
      <c r="L46" s="14" t="s">
        <v>126</v>
      </c>
      <c r="M46" s="49">
        <v>0.98</v>
      </c>
      <c r="N46" s="14" t="s">
        <v>71</v>
      </c>
      <c r="P46" s="2" t="s">
        <v>254</v>
      </c>
      <c r="Q46" s="47" t="s">
        <v>255</v>
      </c>
      <c r="R46" s="47" t="str">
        <f>CONCATENATE(P46," ",Q46)</f>
        <v>Carol Foley</v>
      </c>
      <c r="S46" s="47">
        <v>17425766</v>
      </c>
    </row>
    <row r="47" spans="1:19" ht="15" customHeight="1" x14ac:dyDescent="0.2">
      <c r="A47" s="14" t="s">
        <v>64</v>
      </c>
      <c r="B47" s="50">
        <v>442023558</v>
      </c>
      <c r="C47" s="14" t="s">
        <v>66</v>
      </c>
      <c r="D47" s="48">
        <v>45093</v>
      </c>
      <c r="E47" s="14" t="s">
        <v>67</v>
      </c>
      <c r="F47" s="48">
        <v>45992</v>
      </c>
      <c r="G47" s="48">
        <v>46023</v>
      </c>
      <c r="H47" s="48">
        <v>46001</v>
      </c>
      <c r="I47" s="14" t="s">
        <v>68</v>
      </c>
      <c r="J47" s="14" t="s">
        <v>69</v>
      </c>
      <c r="K47" s="49">
        <v>25</v>
      </c>
      <c r="L47" s="14" t="s">
        <v>70</v>
      </c>
      <c r="M47" s="49">
        <v>2.25</v>
      </c>
      <c r="N47" s="14" t="s">
        <v>71</v>
      </c>
      <c r="P47" s="2" t="s">
        <v>250</v>
      </c>
      <c r="Q47" s="47" t="s">
        <v>251</v>
      </c>
      <c r="R47" s="47" t="str">
        <f>CONCATENATE(P47," ",Q47)</f>
        <v>Anne Kozacheck</v>
      </c>
      <c r="S47" s="47">
        <v>19278370</v>
      </c>
    </row>
    <row r="48" spans="1:19" ht="15" customHeight="1" x14ac:dyDescent="0.2">
      <c r="A48" s="14" t="s">
        <v>64</v>
      </c>
      <c r="B48" s="50">
        <v>442034541</v>
      </c>
      <c r="C48" s="14" t="s">
        <v>76</v>
      </c>
      <c r="D48" s="48">
        <v>45100</v>
      </c>
      <c r="E48" s="14" t="s">
        <v>77</v>
      </c>
      <c r="F48" s="48">
        <v>45992</v>
      </c>
      <c r="G48" s="48">
        <v>46023</v>
      </c>
      <c r="H48" s="48">
        <v>46001</v>
      </c>
      <c r="I48" s="14" t="s">
        <v>68</v>
      </c>
      <c r="J48" s="14" t="s">
        <v>69</v>
      </c>
      <c r="K48" s="49">
        <v>67</v>
      </c>
      <c r="L48" s="14" t="s">
        <v>70</v>
      </c>
      <c r="M48" s="49">
        <v>6.03</v>
      </c>
      <c r="N48" s="14" t="s">
        <v>71</v>
      </c>
      <c r="P48" s="2" t="s">
        <v>250</v>
      </c>
      <c r="Q48" s="47" t="s">
        <v>251</v>
      </c>
      <c r="R48" s="47" t="str">
        <f>CONCATENATE(P48," ",Q48)</f>
        <v>Anne Kozacheck</v>
      </c>
      <c r="S48" s="47">
        <v>19278370</v>
      </c>
    </row>
    <row r="49" spans="1:19" ht="15" customHeight="1" x14ac:dyDescent="0.2">
      <c r="A49" s="14" t="s">
        <v>64</v>
      </c>
      <c r="B49" s="50">
        <v>442098436</v>
      </c>
      <c r="C49" s="14" t="s">
        <v>154</v>
      </c>
      <c r="D49" s="48">
        <v>45227</v>
      </c>
      <c r="E49" s="14" t="s">
        <v>155</v>
      </c>
      <c r="F49" s="48">
        <v>45992</v>
      </c>
      <c r="G49" s="48">
        <v>46023</v>
      </c>
      <c r="H49" s="48">
        <v>46003</v>
      </c>
      <c r="I49" s="14" t="s">
        <v>68</v>
      </c>
      <c r="J49" s="14" t="s">
        <v>69</v>
      </c>
      <c r="K49" s="49">
        <v>13.5</v>
      </c>
      <c r="L49" s="14" t="s">
        <v>70</v>
      </c>
      <c r="M49" s="49">
        <v>1.22</v>
      </c>
      <c r="N49" s="14" t="s">
        <v>71</v>
      </c>
      <c r="P49" s="2" t="s">
        <v>254</v>
      </c>
      <c r="Q49" s="47" t="s">
        <v>255</v>
      </c>
      <c r="R49" s="47" t="str">
        <f>CONCATENATE(P49," ",Q49)</f>
        <v>Carol Foley</v>
      </c>
      <c r="S49" s="47">
        <v>17425766</v>
      </c>
    </row>
    <row r="50" spans="1:19" ht="15" customHeight="1" x14ac:dyDescent="0.2">
      <c r="A50" s="14" t="s">
        <v>64</v>
      </c>
      <c r="B50" s="50">
        <v>442098439</v>
      </c>
      <c r="C50" s="14" t="s">
        <v>154</v>
      </c>
      <c r="D50" s="48">
        <v>45227</v>
      </c>
      <c r="E50" s="14" t="s">
        <v>157</v>
      </c>
      <c r="F50" s="48">
        <v>45992</v>
      </c>
      <c r="G50" s="48">
        <v>46023</v>
      </c>
      <c r="H50" s="48">
        <v>46003</v>
      </c>
      <c r="I50" s="14" t="s">
        <v>68</v>
      </c>
      <c r="J50" s="14" t="s">
        <v>69</v>
      </c>
      <c r="K50" s="49">
        <v>33.92</v>
      </c>
      <c r="L50" s="14" t="s">
        <v>101</v>
      </c>
      <c r="M50" s="49">
        <v>6.11</v>
      </c>
      <c r="N50" s="14" t="s">
        <v>71</v>
      </c>
      <c r="P50" s="2" t="s">
        <v>254</v>
      </c>
      <c r="Q50" s="47" t="s">
        <v>255</v>
      </c>
      <c r="R50" s="47" t="str">
        <f>CONCATENATE(P50," ",Q50)</f>
        <v>Carol Foley</v>
      </c>
      <c r="S50" s="47">
        <v>17425766</v>
      </c>
    </row>
    <row r="51" spans="1:19" ht="15" customHeight="1" x14ac:dyDescent="0.2">
      <c r="A51" s="14" t="s">
        <v>64</v>
      </c>
      <c r="B51" s="50">
        <v>442254656</v>
      </c>
      <c r="C51" s="14" t="s">
        <v>107</v>
      </c>
      <c r="D51" s="48">
        <v>45235</v>
      </c>
      <c r="E51" s="14" t="s">
        <v>111</v>
      </c>
      <c r="F51" s="48">
        <v>45992</v>
      </c>
      <c r="G51" s="48">
        <v>46023</v>
      </c>
      <c r="H51" s="48">
        <v>46000</v>
      </c>
      <c r="I51" s="14" t="s">
        <v>68</v>
      </c>
      <c r="J51" s="14" t="s">
        <v>69</v>
      </c>
      <c r="K51" s="49">
        <v>18.48</v>
      </c>
      <c r="L51" s="14" t="s">
        <v>105</v>
      </c>
      <c r="M51" s="49">
        <v>0.83</v>
      </c>
      <c r="N51" s="14" t="s">
        <v>71</v>
      </c>
      <c r="P51" s="2" t="s">
        <v>254</v>
      </c>
      <c r="Q51" s="47" t="s">
        <v>255</v>
      </c>
      <c r="R51" s="47" t="str">
        <f>CONCATENATE(P51," ",Q51)</f>
        <v>Carol Foley</v>
      </c>
      <c r="S51" s="47">
        <v>17425766</v>
      </c>
    </row>
    <row r="52" spans="1:19" ht="15" customHeight="1" x14ac:dyDescent="0.2">
      <c r="A52" s="14" t="s">
        <v>64</v>
      </c>
      <c r="B52" s="50">
        <v>442255341</v>
      </c>
      <c r="C52" s="14" t="s">
        <v>115</v>
      </c>
      <c r="D52" s="48">
        <v>45292</v>
      </c>
      <c r="E52" s="14" t="s">
        <v>111</v>
      </c>
      <c r="F52" s="48">
        <v>45992</v>
      </c>
      <c r="G52" s="48">
        <v>46023</v>
      </c>
      <c r="H52" s="48">
        <v>46003</v>
      </c>
      <c r="I52" s="14" t="s">
        <v>68</v>
      </c>
      <c r="J52" s="14" t="s">
        <v>69</v>
      </c>
      <c r="K52" s="49">
        <v>68.45</v>
      </c>
      <c r="L52" s="14" t="s">
        <v>105</v>
      </c>
      <c r="M52" s="49">
        <v>3.08</v>
      </c>
      <c r="N52" s="14" t="s">
        <v>71</v>
      </c>
      <c r="P52" s="2" t="s">
        <v>254</v>
      </c>
      <c r="Q52" s="47" t="s">
        <v>255</v>
      </c>
      <c r="R52" s="47" t="str">
        <f>CONCATENATE(P52," ",Q52)</f>
        <v>Carol Foley</v>
      </c>
      <c r="S52" s="47">
        <v>17425766</v>
      </c>
    </row>
    <row r="53" spans="1:19" ht="15" customHeight="1" x14ac:dyDescent="0.2">
      <c r="A53" s="14" t="s">
        <v>64</v>
      </c>
      <c r="B53" s="50">
        <v>442255344</v>
      </c>
      <c r="C53" s="14" t="s">
        <v>115</v>
      </c>
      <c r="D53" s="48">
        <v>45292</v>
      </c>
      <c r="E53" s="14" t="s">
        <v>100</v>
      </c>
      <c r="F53" s="48">
        <v>45992</v>
      </c>
      <c r="G53" s="48">
        <v>46023</v>
      </c>
      <c r="H53" s="48">
        <v>46003</v>
      </c>
      <c r="I53" s="14" t="s">
        <v>68</v>
      </c>
      <c r="J53" s="14" t="s">
        <v>69</v>
      </c>
      <c r="K53" s="49">
        <v>101.85</v>
      </c>
      <c r="L53" s="14" t="s">
        <v>70</v>
      </c>
      <c r="M53" s="49">
        <v>9.17</v>
      </c>
      <c r="N53" s="14" t="s">
        <v>71</v>
      </c>
      <c r="P53" s="2" t="s">
        <v>254</v>
      </c>
      <c r="Q53" s="47" t="s">
        <v>255</v>
      </c>
      <c r="R53" s="47" t="str">
        <f>CONCATENATE(P53," ",Q53)</f>
        <v>Carol Foley</v>
      </c>
      <c r="S53" s="47">
        <v>17425766</v>
      </c>
    </row>
    <row r="54" spans="1:19" ht="15" customHeight="1" x14ac:dyDescent="0.2">
      <c r="A54" s="14" t="s">
        <v>64</v>
      </c>
      <c r="B54" s="50">
        <v>442256625</v>
      </c>
      <c r="C54" s="14" t="s">
        <v>113</v>
      </c>
      <c r="D54" s="48">
        <v>45237</v>
      </c>
      <c r="E54" s="14" t="s">
        <v>100</v>
      </c>
      <c r="F54" s="48">
        <v>45992</v>
      </c>
      <c r="G54" s="48">
        <v>46023</v>
      </c>
      <c r="H54" s="48">
        <v>46001</v>
      </c>
      <c r="I54" s="14" t="s">
        <v>68</v>
      </c>
      <c r="J54" s="14" t="s">
        <v>69</v>
      </c>
      <c r="K54" s="49">
        <v>112.72</v>
      </c>
      <c r="L54" s="14" t="s">
        <v>101</v>
      </c>
      <c r="M54" s="49">
        <v>20.29</v>
      </c>
      <c r="N54" s="14" t="s">
        <v>71</v>
      </c>
      <c r="P54" s="2" t="s">
        <v>254</v>
      </c>
      <c r="Q54" s="47" t="s">
        <v>255</v>
      </c>
      <c r="R54" s="47" t="str">
        <f>CONCATENATE(P54," ",Q54)</f>
        <v>Carol Foley</v>
      </c>
      <c r="S54" s="47">
        <v>17425766</v>
      </c>
    </row>
    <row r="55" spans="1:19" ht="15" customHeight="1" x14ac:dyDescent="0.2">
      <c r="A55" s="14" t="s">
        <v>64</v>
      </c>
      <c r="B55" s="50">
        <v>442267305</v>
      </c>
      <c r="C55" s="14" t="s">
        <v>135</v>
      </c>
      <c r="D55" s="48">
        <v>45261</v>
      </c>
      <c r="E55" s="14" t="s">
        <v>104</v>
      </c>
      <c r="F55" s="48">
        <v>45992</v>
      </c>
      <c r="G55" s="48">
        <v>46023</v>
      </c>
      <c r="H55" s="48">
        <v>46003</v>
      </c>
      <c r="I55" s="14" t="s">
        <v>68</v>
      </c>
      <c r="J55" s="14" t="s">
        <v>69</v>
      </c>
      <c r="K55" s="49">
        <v>30.03</v>
      </c>
      <c r="L55" s="14" t="s">
        <v>105</v>
      </c>
      <c r="M55" s="49">
        <v>1.35</v>
      </c>
      <c r="N55" s="14" t="s">
        <v>71</v>
      </c>
      <c r="P55" s="2" t="s">
        <v>254</v>
      </c>
      <c r="Q55" s="47" t="s">
        <v>255</v>
      </c>
      <c r="R55" s="47" t="str">
        <f>CONCATENATE(P55," ",Q55)</f>
        <v>Carol Foley</v>
      </c>
      <c r="S55" s="47">
        <v>17425766</v>
      </c>
    </row>
    <row r="56" spans="1:19" ht="15" customHeight="1" x14ac:dyDescent="0.2">
      <c r="A56" s="14" t="s">
        <v>64</v>
      </c>
      <c r="B56" s="50">
        <v>442267307</v>
      </c>
      <c r="C56" s="14" t="s">
        <v>135</v>
      </c>
      <c r="D56" s="48">
        <v>45261</v>
      </c>
      <c r="E56" s="14" t="s">
        <v>100</v>
      </c>
      <c r="F56" s="48">
        <v>45992</v>
      </c>
      <c r="G56" s="48">
        <v>46023</v>
      </c>
      <c r="H56" s="48">
        <v>46003</v>
      </c>
      <c r="I56" s="14" t="s">
        <v>68</v>
      </c>
      <c r="J56" s="14" t="s">
        <v>69</v>
      </c>
      <c r="K56" s="49">
        <v>88.04</v>
      </c>
      <c r="L56" s="14" t="s">
        <v>101</v>
      </c>
      <c r="M56" s="49">
        <v>15.85</v>
      </c>
      <c r="N56" s="14" t="s">
        <v>71</v>
      </c>
      <c r="P56" s="2" t="s">
        <v>254</v>
      </c>
      <c r="Q56" s="47" t="s">
        <v>255</v>
      </c>
      <c r="R56" s="47" t="str">
        <f>CONCATENATE(P56," ",Q56)</f>
        <v>Carol Foley</v>
      </c>
      <c r="S56" s="47">
        <v>17425766</v>
      </c>
    </row>
    <row r="57" spans="1:19" ht="15" customHeight="1" x14ac:dyDescent="0.2">
      <c r="A57" s="14" t="s">
        <v>64</v>
      </c>
      <c r="B57" s="50">
        <v>442289683</v>
      </c>
      <c r="C57" s="14" t="s">
        <v>163</v>
      </c>
      <c r="D57" s="48">
        <v>45247</v>
      </c>
      <c r="E57" s="14" t="s">
        <v>104</v>
      </c>
      <c r="F57" s="48">
        <v>45992</v>
      </c>
      <c r="G57" s="48">
        <v>46023</v>
      </c>
      <c r="H57" s="48">
        <v>46001</v>
      </c>
      <c r="I57" s="14" t="s">
        <v>68</v>
      </c>
      <c r="J57" s="14" t="s">
        <v>69</v>
      </c>
      <c r="K57" s="49">
        <v>26.69</v>
      </c>
      <c r="L57" s="14" t="s">
        <v>105</v>
      </c>
      <c r="M57" s="49">
        <v>1.2</v>
      </c>
      <c r="N57" s="14" t="s">
        <v>71</v>
      </c>
      <c r="P57" s="2" t="s">
        <v>256</v>
      </c>
      <c r="Q57" s="47" t="s">
        <v>257</v>
      </c>
      <c r="R57" s="47" t="str">
        <f>CONCATENATE(P57," ",Q57)</f>
        <v>Colleen Finnigan</v>
      </c>
      <c r="S57" s="47">
        <v>17437820</v>
      </c>
    </row>
    <row r="58" spans="1:19" ht="15" customHeight="1" x14ac:dyDescent="0.2">
      <c r="A58" s="14" t="s">
        <v>64</v>
      </c>
      <c r="B58" s="50">
        <v>442289841</v>
      </c>
      <c r="C58" s="14" t="s">
        <v>183</v>
      </c>
      <c r="D58" s="48">
        <v>45292</v>
      </c>
      <c r="E58" s="14" t="s">
        <v>172</v>
      </c>
      <c r="F58" s="48">
        <v>45992</v>
      </c>
      <c r="G58" s="48">
        <v>46023</v>
      </c>
      <c r="H58" s="48">
        <v>46003</v>
      </c>
      <c r="I58" s="14" t="s">
        <v>68</v>
      </c>
      <c r="J58" s="14" t="s">
        <v>69</v>
      </c>
      <c r="K58" s="49">
        <v>15.9</v>
      </c>
      <c r="L58" s="14" t="s">
        <v>70</v>
      </c>
      <c r="M58" s="49">
        <v>1.43</v>
      </c>
      <c r="N58" s="14" t="s">
        <v>71</v>
      </c>
      <c r="P58" s="2" t="s">
        <v>258</v>
      </c>
      <c r="Q58" s="47" t="s">
        <v>259</v>
      </c>
      <c r="R58" s="47" t="str">
        <f>CONCATENATE(P58," ",Q58)</f>
        <v>Deborah Inskipt</v>
      </c>
      <c r="S58" s="47">
        <v>17528908</v>
      </c>
    </row>
    <row r="59" spans="1:19" ht="15" customHeight="1" x14ac:dyDescent="0.2">
      <c r="A59" s="14" t="s">
        <v>64</v>
      </c>
      <c r="B59" s="50">
        <v>442289842</v>
      </c>
      <c r="C59" s="14" t="s">
        <v>183</v>
      </c>
      <c r="D59" s="48">
        <v>45292</v>
      </c>
      <c r="E59" s="14" t="s">
        <v>174</v>
      </c>
      <c r="F59" s="48">
        <v>45992</v>
      </c>
      <c r="G59" s="48">
        <v>46023</v>
      </c>
      <c r="H59" s="48">
        <v>46003</v>
      </c>
      <c r="I59" s="14" t="s">
        <v>68</v>
      </c>
      <c r="J59" s="14" t="s">
        <v>69</v>
      </c>
      <c r="K59" s="49">
        <v>14.2</v>
      </c>
      <c r="L59" s="14" t="s">
        <v>70</v>
      </c>
      <c r="M59" s="49">
        <v>1.28</v>
      </c>
      <c r="N59" s="14" t="s">
        <v>71</v>
      </c>
      <c r="P59" s="2" t="s">
        <v>258</v>
      </c>
      <c r="Q59" s="47" t="s">
        <v>259</v>
      </c>
      <c r="R59" s="47" t="str">
        <f>CONCATENATE(P59," ",Q59)</f>
        <v>Deborah Inskipt</v>
      </c>
      <c r="S59" s="47">
        <v>17528908</v>
      </c>
    </row>
    <row r="60" spans="1:19" ht="15" customHeight="1" x14ac:dyDescent="0.2">
      <c r="A60" s="14" t="s">
        <v>64</v>
      </c>
      <c r="B60" s="50">
        <v>442292229</v>
      </c>
      <c r="C60" s="14" t="s">
        <v>176</v>
      </c>
      <c r="D60" s="48">
        <v>45250</v>
      </c>
      <c r="E60" s="14" t="s">
        <v>104</v>
      </c>
      <c r="F60" s="48">
        <v>45992</v>
      </c>
      <c r="G60" s="48">
        <v>46023</v>
      </c>
      <c r="H60" s="48">
        <v>46001</v>
      </c>
      <c r="I60" s="14" t="s">
        <v>68</v>
      </c>
      <c r="J60" s="14" t="s">
        <v>69</v>
      </c>
      <c r="K60" s="49">
        <v>30.03</v>
      </c>
      <c r="L60" s="14" t="s">
        <v>105</v>
      </c>
      <c r="M60" s="49">
        <v>1.35</v>
      </c>
      <c r="N60" s="14" t="s">
        <v>71</v>
      </c>
      <c r="P60" s="2" t="s">
        <v>258</v>
      </c>
      <c r="Q60" s="47" t="s">
        <v>259</v>
      </c>
      <c r="R60" s="47" t="str">
        <f>CONCATENATE(P60," ",Q60)</f>
        <v>Deborah Inskipt</v>
      </c>
      <c r="S60" s="47">
        <v>17528908</v>
      </c>
    </row>
    <row r="61" spans="1:19" ht="15" customHeight="1" x14ac:dyDescent="0.2">
      <c r="A61" s="14" t="s">
        <v>64</v>
      </c>
      <c r="B61" s="50">
        <v>442292751</v>
      </c>
      <c r="C61" s="14" t="s">
        <v>118</v>
      </c>
      <c r="D61" s="48">
        <v>45250</v>
      </c>
      <c r="E61" s="14" t="s">
        <v>119</v>
      </c>
      <c r="F61" s="48">
        <v>45992</v>
      </c>
      <c r="G61" s="48">
        <v>46023</v>
      </c>
      <c r="H61" s="48">
        <v>46003</v>
      </c>
      <c r="I61" s="14" t="s">
        <v>68</v>
      </c>
      <c r="J61" s="14" t="s">
        <v>69</v>
      </c>
      <c r="K61" s="49">
        <v>45.26</v>
      </c>
      <c r="L61" s="14" t="s">
        <v>101</v>
      </c>
      <c r="M61" s="49">
        <v>8.15</v>
      </c>
      <c r="N61" s="14" t="s">
        <v>71</v>
      </c>
      <c r="P61" s="2" t="s">
        <v>254</v>
      </c>
      <c r="Q61" s="47" t="s">
        <v>255</v>
      </c>
      <c r="R61" s="47" t="str">
        <f>CONCATENATE(P61," ",Q61)</f>
        <v>Carol Foley</v>
      </c>
      <c r="S61" s="47">
        <v>17425766</v>
      </c>
    </row>
    <row r="62" spans="1:19" ht="15" customHeight="1" x14ac:dyDescent="0.2">
      <c r="A62" s="14" t="s">
        <v>64</v>
      </c>
      <c r="B62" s="50">
        <v>442294068</v>
      </c>
      <c r="C62" s="14" t="s">
        <v>171</v>
      </c>
      <c r="D62" s="48">
        <v>45250</v>
      </c>
      <c r="E62" s="14" t="s">
        <v>172</v>
      </c>
      <c r="F62" s="48">
        <v>45992</v>
      </c>
      <c r="G62" s="48">
        <v>46023</v>
      </c>
      <c r="H62" s="48">
        <v>46001</v>
      </c>
      <c r="I62" s="14" t="s">
        <v>68</v>
      </c>
      <c r="J62" s="14" t="s">
        <v>69</v>
      </c>
      <c r="K62" s="49">
        <v>12</v>
      </c>
      <c r="L62" s="14" t="s">
        <v>70</v>
      </c>
      <c r="M62" s="49">
        <v>1.08</v>
      </c>
      <c r="N62" s="14" t="s">
        <v>71</v>
      </c>
      <c r="P62" s="2" t="s">
        <v>258</v>
      </c>
      <c r="Q62" s="47" t="s">
        <v>259</v>
      </c>
      <c r="R62" s="47" t="str">
        <f>CONCATENATE(P62," ",Q62)</f>
        <v>Deborah Inskipt</v>
      </c>
      <c r="S62" s="47">
        <v>17528908</v>
      </c>
    </row>
    <row r="63" spans="1:19" ht="15" customHeight="1" x14ac:dyDescent="0.2">
      <c r="A63" s="14" t="s">
        <v>64</v>
      </c>
      <c r="B63" s="50">
        <v>442294069</v>
      </c>
      <c r="C63" s="14" t="s">
        <v>171</v>
      </c>
      <c r="D63" s="48">
        <v>45250</v>
      </c>
      <c r="E63" s="14" t="s">
        <v>174</v>
      </c>
      <c r="F63" s="48">
        <v>45992</v>
      </c>
      <c r="G63" s="48">
        <v>46023</v>
      </c>
      <c r="H63" s="48">
        <v>46001</v>
      </c>
      <c r="I63" s="14" t="s">
        <v>68</v>
      </c>
      <c r="J63" s="14" t="s">
        <v>69</v>
      </c>
      <c r="K63" s="49">
        <v>13.2</v>
      </c>
      <c r="L63" s="14" t="s">
        <v>70</v>
      </c>
      <c r="M63" s="49">
        <v>1.19</v>
      </c>
      <c r="N63" s="14" t="s">
        <v>71</v>
      </c>
      <c r="P63" s="2" t="s">
        <v>258</v>
      </c>
      <c r="Q63" s="47" t="s">
        <v>259</v>
      </c>
      <c r="R63" s="47" t="str">
        <f>CONCATENATE(P63," ",Q63)</f>
        <v>Deborah Inskipt</v>
      </c>
      <c r="S63" s="47">
        <v>17528908</v>
      </c>
    </row>
    <row r="64" spans="1:19" ht="15" customHeight="1" x14ac:dyDescent="0.2">
      <c r="A64" s="14" t="s">
        <v>64</v>
      </c>
      <c r="B64" s="50">
        <v>442296755</v>
      </c>
      <c r="C64" s="14" t="s">
        <v>103</v>
      </c>
      <c r="D64" s="48">
        <v>45253</v>
      </c>
      <c r="E64" s="14" t="s">
        <v>104</v>
      </c>
      <c r="F64" s="48">
        <v>45992</v>
      </c>
      <c r="G64" s="48">
        <v>46023</v>
      </c>
      <c r="H64" s="48">
        <v>46001</v>
      </c>
      <c r="I64" s="14" t="s">
        <v>68</v>
      </c>
      <c r="J64" s="14" t="s">
        <v>69</v>
      </c>
      <c r="K64" s="49">
        <v>30.03</v>
      </c>
      <c r="L64" s="14" t="s">
        <v>105</v>
      </c>
      <c r="M64" s="49">
        <v>1.35</v>
      </c>
      <c r="N64" s="14" t="s">
        <v>71</v>
      </c>
      <c r="P64" s="2" t="s">
        <v>254</v>
      </c>
      <c r="Q64" s="47" t="s">
        <v>255</v>
      </c>
      <c r="R64" s="47" t="str">
        <f>CONCATENATE(P64," ",Q64)</f>
        <v>Carol Foley</v>
      </c>
      <c r="S64" s="47">
        <v>17425766</v>
      </c>
    </row>
    <row r="65" spans="1:19" ht="15" customHeight="1" x14ac:dyDescent="0.2">
      <c r="A65" s="14" t="s">
        <v>64</v>
      </c>
      <c r="B65" s="50">
        <v>442300659</v>
      </c>
      <c r="C65" s="14" t="s">
        <v>99</v>
      </c>
      <c r="D65" s="48">
        <v>45261</v>
      </c>
      <c r="E65" s="14" t="s">
        <v>100</v>
      </c>
      <c r="F65" s="48">
        <v>45992</v>
      </c>
      <c r="G65" s="48">
        <v>46023</v>
      </c>
      <c r="H65" s="48">
        <v>46004</v>
      </c>
      <c r="I65" s="14" t="s">
        <v>68</v>
      </c>
      <c r="J65" s="14" t="s">
        <v>69</v>
      </c>
      <c r="K65" s="49">
        <v>98.2</v>
      </c>
      <c r="L65" s="14" t="s">
        <v>101</v>
      </c>
      <c r="M65" s="49">
        <v>17.68</v>
      </c>
      <c r="N65" s="14" t="s">
        <v>71</v>
      </c>
      <c r="P65" s="2" t="s">
        <v>254</v>
      </c>
      <c r="Q65" s="47" t="s">
        <v>255</v>
      </c>
      <c r="R65" s="47" t="str">
        <f>CONCATENATE(P65," ",Q65)</f>
        <v>Carol Foley</v>
      </c>
      <c r="S65" s="47">
        <v>17425766</v>
      </c>
    </row>
    <row r="66" spans="1:19" ht="15" customHeight="1" x14ac:dyDescent="0.2">
      <c r="A66" s="14" t="s">
        <v>64</v>
      </c>
      <c r="B66" s="50">
        <v>442301963</v>
      </c>
      <c r="C66" s="14" t="s">
        <v>186</v>
      </c>
      <c r="D66" s="48">
        <v>45254</v>
      </c>
      <c r="E66" s="14" t="s">
        <v>187</v>
      </c>
      <c r="F66" s="48">
        <v>45992</v>
      </c>
      <c r="G66" s="48">
        <v>46023</v>
      </c>
      <c r="H66" s="48">
        <v>46001</v>
      </c>
      <c r="I66" s="14" t="s">
        <v>68</v>
      </c>
      <c r="J66" s="14" t="s">
        <v>69</v>
      </c>
      <c r="K66" s="49">
        <v>53</v>
      </c>
      <c r="L66" s="14" t="s">
        <v>70</v>
      </c>
      <c r="M66" s="49">
        <v>4.7699999999999996</v>
      </c>
      <c r="N66" s="14" t="s">
        <v>71</v>
      </c>
      <c r="P66" s="2" t="s">
        <v>258</v>
      </c>
      <c r="Q66" s="47" t="s">
        <v>259</v>
      </c>
      <c r="R66" s="47" t="str">
        <f>CONCATENATE(P66," ",Q66)</f>
        <v>Deborah Inskipt</v>
      </c>
      <c r="S66" s="47">
        <v>17528908</v>
      </c>
    </row>
    <row r="67" spans="1:19" ht="15" customHeight="1" x14ac:dyDescent="0.2">
      <c r="A67" s="14" t="s">
        <v>64</v>
      </c>
      <c r="B67" s="50">
        <v>442301964</v>
      </c>
      <c r="C67" s="14" t="s">
        <v>186</v>
      </c>
      <c r="D67" s="48">
        <v>45254</v>
      </c>
      <c r="E67" s="14" t="s">
        <v>189</v>
      </c>
      <c r="F67" s="48">
        <v>45992</v>
      </c>
      <c r="G67" s="48">
        <v>46023</v>
      </c>
      <c r="H67" s="48">
        <v>46001</v>
      </c>
      <c r="I67" s="14" t="s">
        <v>68</v>
      </c>
      <c r="J67" s="14" t="s">
        <v>69</v>
      </c>
      <c r="K67" s="49">
        <v>47.6</v>
      </c>
      <c r="L67" s="14" t="s">
        <v>70</v>
      </c>
      <c r="M67" s="49">
        <v>4.28</v>
      </c>
      <c r="N67" s="14" t="s">
        <v>71</v>
      </c>
      <c r="P67" s="2" t="s">
        <v>258</v>
      </c>
      <c r="Q67" s="47" t="s">
        <v>259</v>
      </c>
      <c r="R67" s="47" t="str">
        <f>CONCATENATE(P67," ",Q67)</f>
        <v>Deborah Inskipt</v>
      </c>
      <c r="S67" s="47">
        <v>17528908</v>
      </c>
    </row>
    <row r="68" spans="1:19" ht="15" customHeight="1" x14ac:dyDescent="0.2">
      <c r="A68" s="14" t="s">
        <v>64</v>
      </c>
      <c r="B68" s="50">
        <v>442381470</v>
      </c>
      <c r="C68" s="14" t="s">
        <v>121</v>
      </c>
      <c r="D68" s="48">
        <v>45278</v>
      </c>
      <c r="E68" s="14" t="s">
        <v>122</v>
      </c>
      <c r="F68" s="48">
        <v>45992</v>
      </c>
      <c r="G68" s="48">
        <v>46009</v>
      </c>
      <c r="H68" s="48">
        <v>46001</v>
      </c>
      <c r="I68" s="14" t="s">
        <v>68</v>
      </c>
      <c r="J68" s="14" t="s">
        <v>69</v>
      </c>
      <c r="K68" s="49">
        <v>65.290000000000006</v>
      </c>
      <c r="L68" s="14" t="s">
        <v>70</v>
      </c>
      <c r="M68" s="49">
        <v>5.88</v>
      </c>
      <c r="N68" s="14" t="s">
        <v>71</v>
      </c>
      <c r="P68" s="2" t="s">
        <v>254</v>
      </c>
      <c r="Q68" s="47" t="s">
        <v>255</v>
      </c>
      <c r="R68" s="47" t="str">
        <f>CONCATENATE(P68," ",Q68)</f>
        <v>Carol Foley</v>
      </c>
      <c r="S68" s="47">
        <v>17425766</v>
      </c>
    </row>
    <row r="69" spans="1:19" ht="15" customHeight="1" x14ac:dyDescent="0.2">
      <c r="A69" s="14" t="s">
        <v>64</v>
      </c>
      <c r="B69" s="50">
        <v>442381470</v>
      </c>
      <c r="C69" s="14" t="s">
        <v>121</v>
      </c>
      <c r="D69" s="48">
        <v>45278</v>
      </c>
      <c r="E69" s="14" t="s">
        <v>122</v>
      </c>
      <c r="F69" s="48">
        <v>46010</v>
      </c>
      <c r="G69" s="48">
        <v>46023</v>
      </c>
      <c r="H69" s="48">
        <v>46001</v>
      </c>
      <c r="I69" s="14" t="s">
        <v>68</v>
      </c>
      <c r="J69" s="14" t="s">
        <v>69</v>
      </c>
      <c r="K69" s="49">
        <v>53.76</v>
      </c>
      <c r="L69" s="14" t="s">
        <v>70</v>
      </c>
      <c r="M69" s="49">
        <v>4.84</v>
      </c>
      <c r="N69" s="14" t="s">
        <v>71</v>
      </c>
      <c r="P69" s="2" t="s">
        <v>254</v>
      </c>
      <c r="Q69" s="47" t="s">
        <v>255</v>
      </c>
      <c r="R69" s="47" t="str">
        <f>CONCATENATE(P69," ",Q69)</f>
        <v>Carol Foley</v>
      </c>
      <c r="S69" s="47">
        <v>17425766</v>
      </c>
    </row>
    <row r="70" spans="1:19" ht="15" customHeight="1" x14ac:dyDescent="0.2">
      <c r="A70" s="14" t="s">
        <v>64</v>
      </c>
      <c r="B70" s="50">
        <v>442425089</v>
      </c>
      <c r="C70" s="14" t="s">
        <v>178</v>
      </c>
      <c r="D70" s="48">
        <v>45301</v>
      </c>
      <c r="E70" s="14" t="s">
        <v>179</v>
      </c>
      <c r="F70" s="48">
        <v>45992</v>
      </c>
      <c r="G70" s="48">
        <v>46023</v>
      </c>
      <c r="H70" s="48">
        <v>46003</v>
      </c>
      <c r="I70" s="14" t="s">
        <v>68</v>
      </c>
      <c r="J70" s="14" t="s">
        <v>69</v>
      </c>
      <c r="K70" s="49">
        <v>20.399999999999999</v>
      </c>
      <c r="L70" s="14" t="s">
        <v>70</v>
      </c>
      <c r="M70" s="49">
        <v>1.84</v>
      </c>
      <c r="N70" s="14" t="s">
        <v>71</v>
      </c>
      <c r="P70" s="2" t="s">
        <v>258</v>
      </c>
      <c r="Q70" s="47" t="s">
        <v>259</v>
      </c>
      <c r="R70" s="47" t="str">
        <f>CONCATENATE(P70," ",Q70)</f>
        <v>Deborah Inskipt</v>
      </c>
      <c r="S70" s="47">
        <v>17528908</v>
      </c>
    </row>
    <row r="71" spans="1:19" ht="15" customHeight="1" x14ac:dyDescent="0.2">
      <c r="A71" s="14" t="s">
        <v>64</v>
      </c>
      <c r="B71" s="50">
        <v>442425090</v>
      </c>
      <c r="C71" s="14" t="s">
        <v>178</v>
      </c>
      <c r="D71" s="48">
        <v>45301</v>
      </c>
      <c r="E71" s="14" t="s">
        <v>181</v>
      </c>
      <c r="F71" s="48">
        <v>45992</v>
      </c>
      <c r="G71" s="48">
        <v>46023</v>
      </c>
      <c r="H71" s="48">
        <v>46003</v>
      </c>
      <c r="I71" s="14" t="s">
        <v>68</v>
      </c>
      <c r="J71" s="14" t="s">
        <v>69</v>
      </c>
      <c r="K71" s="49">
        <v>24</v>
      </c>
      <c r="L71" s="14" t="s">
        <v>70</v>
      </c>
      <c r="M71" s="49">
        <v>2.16</v>
      </c>
      <c r="N71" s="14" t="s">
        <v>71</v>
      </c>
      <c r="P71" s="2" t="s">
        <v>258</v>
      </c>
      <c r="Q71" s="47" t="s">
        <v>259</v>
      </c>
      <c r="R71" s="47" t="str">
        <f>CONCATENATE(P71," ",Q71)</f>
        <v>Deborah Inskipt</v>
      </c>
      <c r="S71" s="47">
        <v>17528908</v>
      </c>
    </row>
    <row r="72" spans="1:19" ht="15" customHeight="1" x14ac:dyDescent="0.2">
      <c r="A72" s="14" t="s">
        <v>64</v>
      </c>
      <c r="B72" s="50">
        <v>442446643</v>
      </c>
      <c r="C72" s="14" t="s">
        <v>166</v>
      </c>
      <c r="D72" s="48">
        <v>45309</v>
      </c>
      <c r="E72" s="14" t="s">
        <v>167</v>
      </c>
      <c r="F72" s="48">
        <v>45992</v>
      </c>
      <c r="G72" s="48">
        <v>46023</v>
      </c>
      <c r="H72" s="48">
        <v>46001</v>
      </c>
      <c r="I72" s="14" t="s">
        <v>68</v>
      </c>
      <c r="J72" s="14" t="s">
        <v>69</v>
      </c>
      <c r="K72" s="49">
        <v>31.5</v>
      </c>
      <c r="L72" s="14" t="s">
        <v>70</v>
      </c>
      <c r="M72" s="49">
        <v>2.84</v>
      </c>
      <c r="N72" s="14" t="s">
        <v>71</v>
      </c>
      <c r="P72" s="2" t="s">
        <v>258</v>
      </c>
      <c r="Q72" s="47" t="s">
        <v>259</v>
      </c>
      <c r="R72" s="47" t="str">
        <f>CONCATENATE(P72," ",Q72)</f>
        <v>Deborah Inskipt</v>
      </c>
      <c r="S72" s="47">
        <v>17528908</v>
      </c>
    </row>
    <row r="73" spans="1:19" ht="15" customHeight="1" x14ac:dyDescent="0.2">
      <c r="A73" s="14" t="s">
        <v>64</v>
      </c>
      <c r="B73" s="50">
        <v>442446644</v>
      </c>
      <c r="C73" s="14" t="s">
        <v>166</v>
      </c>
      <c r="D73" s="48">
        <v>45309</v>
      </c>
      <c r="E73" s="14" t="s">
        <v>169</v>
      </c>
      <c r="F73" s="48">
        <v>45992</v>
      </c>
      <c r="G73" s="48">
        <v>46023</v>
      </c>
      <c r="H73" s="48">
        <v>46001</v>
      </c>
      <c r="I73" s="14" t="s">
        <v>68</v>
      </c>
      <c r="J73" s="14" t="s">
        <v>69</v>
      </c>
      <c r="K73" s="49">
        <v>37.799999999999997</v>
      </c>
      <c r="L73" s="14" t="s">
        <v>70</v>
      </c>
      <c r="M73" s="49">
        <v>3.4</v>
      </c>
      <c r="N73" s="14" t="s">
        <v>71</v>
      </c>
      <c r="P73" s="2" t="s">
        <v>258</v>
      </c>
      <c r="Q73" s="47" t="s">
        <v>259</v>
      </c>
      <c r="R73" s="47" t="str">
        <f>CONCATENATE(P73," ",Q73)</f>
        <v>Deborah Inskipt</v>
      </c>
      <c r="S73" s="47">
        <v>17528908</v>
      </c>
    </row>
    <row r="74" spans="1:19" ht="15" customHeight="1" x14ac:dyDescent="0.2">
      <c r="A74" s="14" t="s">
        <v>64</v>
      </c>
      <c r="B74" s="50">
        <v>442459673</v>
      </c>
      <c r="C74" s="14" t="s">
        <v>247</v>
      </c>
      <c r="D74" s="48">
        <v>45317</v>
      </c>
      <c r="E74" s="14" t="s">
        <v>248</v>
      </c>
      <c r="F74" s="48">
        <v>45992</v>
      </c>
      <c r="G74" s="48">
        <v>46023</v>
      </c>
      <c r="H74" s="48">
        <v>46002</v>
      </c>
      <c r="I74" s="14" t="s">
        <v>68</v>
      </c>
      <c r="J74" s="14" t="s">
        <v>69</v>
      </c>
      <c r="K74" s="49">
        <v>85.5</v>
      </c>
      <c r="L74" s="14" t="s">
        <v>70</v>
      </c>
      <c r="M74" s="49">
        <v>7.7</v>
      </c>
      <c r="N74" s="14" t="s">
        <v>71</v>
      </c>
      <c r="P74" s="2" t="s">
        <v>266</v>
      </c>
      <c r="Q74" s="47" t="s">
        <v>267</v>
      </c>
      <c r="R74" s="47" t="str">
        <f>CONCATENATE(P74," ",Q74)</f>
        <v>Scott Aguglia</v>
      </c>
      <c r="S74" s="47">
        <v>8971826</v>
      </c>
    </row>
    <row r="75" spans="1:19" ht="15" customHeight="1" x14ac:dyDescent="0.2">
      <c r="A75" s="14" t="s">
        <v>64</v>
      </c>
      <c r="B75" s="50">
        <v>442474033</v>
      </c>
      <c r="C75" s="14" t="s">
        <v>144</v>
      </c>
      <c r="D75" s="48">
        <v>45327</v>
      </c>
      <c r="E75" s="14" t="s">
        <v>145</v>
      </c>
      <c r="F75" s="48">
        <v>45992</v>
      </c>
      <c r="G75" s="48">
        <v>46023</v>
      </c>
      <c r="H75" s="48">
        <v>46000</v>
      </c>
      <c r="I75" s="14" t="s">
        <v>68</v>
      </c>
      <c r="J75" s="14" t="s">
        <v>69</v>
      </c>
      <c r="K75" s="49">
        <v>47.94</v>
      </c>
      <c r="L75" s="14" t="s">
        <v>105</v>
      </c>
      <c r="M75" s="49">
        <v>2.16</v>
      </c>
      <c r="N75" s="14" t="s">
        <v>71</v>
      </c>
      <c r="P75" s="2" t="s">
        <v>254</v>
      </c>
      <c r="Q75" s="47" t="s">
        <v>255</v>
      </c>
      <c r="R75" s="47" t="str">
        <f>CONCATENATE(P75," ",Q75)</f>
        <v>Carol Foley</v>
      </c>
      <c r="S75" s="47">
        <v>17425766</v>
      </c>
    </row>
    <row r="76" spans="1:19" ht="15" customHeight="1" x14ac:dyDescent="0.2">
      <c r="A76" s="14" t="s">
        <v>64</v>
      </c>
      <c r="B76" s="50">
        <v>442502397</v>
      </c>
      <c r="C76" s="14" t="s">
        <v>159</v>
      </c>
      <c r="D76" s="48">
        <v>45343</v>
      </c>
      <c r="E76" s="14" t="s">
        <v>104</v>
      </c>
      <c r="F76" s="48">
        <v>45992</v>
      </c>
      <c r="G76" s="48">
        <v>46023</v>
      </c>
      <c r="H76" s="48">
        <v>46001</v>
      </c>
      <c r="I76" s="14" t="s">
        <v>68</v>
      </c>
      <c r="J76" s="14" t="s">
        <v>69</v>
      </c>
      <c r="K76" s="49">
        <v>38.71</v>
      </c>
      <c r="L76" s="14" t="s">
        <v>105</v>
      </c>
      <c r="M76" s="49">
        <v>1.74</v>
      </c>
      <c r="N76" s="14" t="s">
        <v>71</v>
      </c>
      <c r="P76" s="2" t="s">
        <v>254</v>
      </c>
      <c r="Q76" s="47" t="s">
        <v>255</v>
      </c>
      <c r="R76" s="47" t="str">
        <f>CONCATENATE(P76," ",Q76)</f>
        <v>Carol Foley</v>
      </c>
      <c r="S76" s="47">
        <v>17425766</v>
      </c>
    </row>
    <row r="77" spans="1:19" ht="15" customHeight="1" x14ac:dyDescent="0.2">
      <c r="A77" s="14" t="s">
        <v>64</v>
      </c>
      <c r="B77" s="50">
        <v>442502398</v>
      </c>
      <c r="C77" s="14" t="s">
        <v>159</v>
      </c>
      <c r="D77" s="48">
        <v>45343</v>
      </c>
      <c r="E77" s="14" t="s">
        <v>100</v>
      </c>
      <c r="F77" s="48">
        <v>45992</v>
      </c>
      <c r="G77" s="48">
        <v>46023</v>
      </c>
      <c r="H77" s="48">
        <v>46001</v>
      </c>
      <c r="I77" s="14" t="s">
        <v>68</v>
      </c>
      <c r="J77" s="14" t="s">
        <v>69</v>
      </c>
      <c r="K77" s="49">
        <v>23.37</v>
      </c>
      <c r="L77" s="14" t="s">
        <v>70</v>
      </c>
      <c r="M77" s="49">
        <v>2.1</v>
      </c>
      <c r="N77" s="14" t="s">
        <v>71</v>
      </c>
      <c r="P77" s="2" t="s">
        <v>254</v>
      </c>
      <c r="Q77" s="47" t="s">
        <v>255</v>
      </c>
      <c r="R77" s="47" t="str">
        <f>CONCATENATE(P77," ",Q77)</f>
        <v>Carol Foley</v>
      </c>
      <c r="S77" s="47">
        <v>17425766</v>
      </c>
    </row>
    <row r="78" spans="1:19" ht="15" customHeight="1" x14ac:dyDescent="0.2">
      <c r="A78" s="14" t="s">
        <v>64</v>
      </c>
      <c r="B78" s="50">
        <v>442522920</v>
      </c>
      <c r="C78" s="14" t="s">
        <v>149</v>
      </c>
      <c r="D78" s="48">
        <v>45352</v>
      </c>
      <c r="E78" s="14" t="s">
        <v>150</v>
      </c>
      <c r="F78" s="48">
        <v>45992</v>
      </c>
      <c r="G78" s="48">
        <v>45992</v>
      </c>
      <c r="H78" s="48">
        <v>46000</v>
      </c>
      <c r="I78" s="14" t="s">
        <v>68</v>
      </c>
      <c r="J78" s="14" t="s">
        <v>69</v>
      </c>
      <c r="K78" s="49">
        <v>-9.4</v>
      </c>
      <c r="L78" s="14" t="s">
        <v>70</v>
      </c>
      <c r="M78" s="49">
        <v>-0.85</v>
      </c>
      <c r="N78" s="14" t="s">
        <v>71</v>
      </c>
      <c r="P78" s="2" t="s">
        <v>254</v>
      </c>
      <c r="Q78" s="47" t="s">
        <v>255</v>
      </c>
      <c r="R78" s="47" t="str">
        <f>CONCATENATE(P78," ",Q78)</f>
        <v>Carol Foley</v>
      </c>
      <c r="S78" s="47">
        <v>17425766</v>
      </c>
    </row>
    <row r="79" spans="1:19" ht="15" customHeight="1" x14ac:dyDescent="0.2">
      <c r="A79" s="14" t="s">
        <v>64</v>
      </c>
      <c r="B79" s="50">
        <v>442522920</v>
      </c>
      <c r="C79" s="14" t="s">
        <v>149</v>
      </c>
      <c r="D79" s="48">
        <v>45352</v>
      </c>
      <c r="E79" s="14" t="s">
        <v>150</v>
      </c>
      <c r="F79" s="48">
        <v>45962</v>
      </c>
      <c r="G79" s="48">
        <v>45962</v>
      </c>
      <c r="H79" s="48">
        <v>46000</v>
      </c>
      <c r="I79" s="14" t="s">
        <v>68</v>
      </c>
      <c r="J79" s="14" t="s">
        <v>69</v>
      </c>
      <c r="K79" s="49">
        <v>-9.4</v>
      </c>
      <c r="L79" s="14" t="s">
        <v>70</v>
      </c>
      <c r="M79" s="49">
        <v>-0.85</v>
      </c>
      <c r="N79" s="14" t="s">
        <v>71</v>
      </c>
      <c r="P79" s="2" t="s">
        <v>254</v>
      </c>
      <c r="Q79" s="47" t="s">
        <v>255</v>
      </c>
      <c r="R79" s="47" t="str">
        <f>CONCATENATE(P79," ",Q79)</f>
        <v>Carol Foley</v>
      </c>
      <c r="S79" s="47">
        <v>17425766</v>
      </c>
    </row>
    <row r="80" spans="1:19" ht="15" customHeight="1" x14ac:dyDescent="0.2">
      <c r="A80" s="14" t="s">
        <v>64</v>
      </c>
      <c r="B80" s="50">
        <v>442522921</v>
      </c>
      <c r="C80" s="14" t="s">
        <v>149</v>
      </c>
      <c r="D80" s="48">
        <v>45352</v>
      </c>
      <c r="E80" s="14" t="s">
        <v>152</v>
      </c>
      <c r="F80" s="48">
        <v>45962</v>
      </c>
      <c r="G80" s="48">
        <v>45962</v>
      </c>
      <c r="H80" s="48">
        <v>46000</v>
      </c>
      <c r="I80" s="14" t="s">
        <v>68</v>
      </c>
      <c r="J80" s="14" t="s">
        <v>69</v>
      </c>
      <c r="K80" s="49">
        <v>-49.13</v>
      </c>
      <c r="L80" s="14" t="s">
        <v>101</v>
      </c>
      <c r="M80" s="49">
        <v>-8.84</v>
      </c>
      <c r="N80" s="14" t="s">
        <v>71</v>
      </c>
      <c r="P80" s="2" t="s">
        <v>254</v>
      </c>
      <c r="Q80" s="47" t="s">
        <v>255</v>
      </c>
      <c r="R80" s="47" t="str">
        <f>CONCATENATE(P80," ",Q80)</f>
        <v>Carol Foley</v>
      </c>
      <c r="S80" s="47">
        <v>17425766</v>
      </c>
    </row>
    <row r="81" spans="1:19" ht="15" customHeight="1" x14ac:dyDescent="0.2">
      <c r="A81" s="14" t="s">
        <v>64</v>
      </c>
      <c r="B81" s="50">
        <v>442522921</v>
      </c>
      <c r="C81" s="14" t="s">
        <v>149</v>
      </c>
      <c r="D81" s="48">
        <v>45352</v>
      </c>
      <c r="E81" s="14" t="s">
        <v>152</v>
      </c>
      <c r="F81" s="48">
        <v>45992</v>
      </c>
      <c r="G81" s="48">
        <v>45992</v>
      </c>
      <c r="H81" s="48">
        <v>46000</v>
      </c>
      <c r="I81" s="14" t="s">
        <v>68</v>
      </c>
      <c r="J81" s="14" t="s">
        <v>69</v>
      </c>
      <c r="K81" s="49">
        <v>-49.13</v>
      </c>
      <c r="L81" s="14" t="s">
        <v>101</v>
      </c>
      <c r="M81" s="49">
        <v>-8.84</v>
      </c>
      <c r="N81" s="14" t="s">
        <v>71</v>
      </c>
      <c r="P81" s="2" t="s">
        <v>254</v>
      </c>
      <c r="Q81" s="47" t="s">
        <v>255</v>
      </c>
      <c r="R81" s="47" t="str">
        <f>CONCATENATE(P81," ",Q81)</f>
        <v>Carol Foley</v>
      </c>
      <c r="S81" s="47">
        <v>17425766</v>
      </c>
    </row>
    <row r="82" spans="1:19" ht="15" customHeight="1" x14ac:dyDescent="0.2">
      <c r="A82" s="14" t="s">
        <v>64</v>
      </c>
      <c r="B82" s="50">
        <v>442548317</v>
      </c>
      <c r="C82" s="14" t="s">
        <v>131</v>
      </c>
      <c r="D82" s="48">
        <v>45366</v>
      </c>
      <c r="E82" s="14" t="s">
        <v>132</v>
      </c>
      <c r="F82" s="48">
        <v>45992</v>
      </c>
      <c r="G82" s="48">
        <v>46023</v>
      </c>
      <c r="H82" s="48">
        <v>46000</v>
      </c>
      <c r="I82" s="14" t="s">
        <v>68</v>
      </c>
      <c r="J82" s="14" t="s">
        <v>69</v>
      </c>
      <c r="K82" s="49">
        <v>49.7</v>
      </c>
      <c r="L82" s="14" t="s">
        <v>133</v>
      </c>
      <c r="M82" s="49">
        <v>3.48</v>
      </c>
      <c r="N82" s="14" t="s">
        <v>71</v>
      </c>
      <c r="P82" s="2" t="s">
        <v>254</v>
      </c>
      <c r="Q82" s="47" t="s">
        <v>255</v>
      </c>
      <c r="R82" s="47" t="str">
        <f>CONCATENATE(P82," ",Q82)</f>
        <v>Carol Foley</v>
      </c>
      <c r="S82" s="47">
        <v>17425766</v>
      </c>
    </row>
    <row r="83" spans="1:19" ht="15" customHeight="1" x14ac:dyDescent="0.2">
      <c r="A83" s="14" t="s">
        <v>64</v>
      </c>
      <c r="B83" s="50">
        <v>442563687</v>
      </c>
      <c r="C83" s="14" t="s">
        <v>244</v>
      </c>
      <c r="D83" s="48">
        <v>45373</v>
      </c>
      <c r="E83" s="14" t="s">
        <v>132</v>
      </c>
      <c r="F83" s="48">
        <v>45992</v>
      </c>
      <c r="G83" s="48">
        <v>46023</v>
      </c>
      <c r="H83" s="48">
        <v>46001</v>
      </c>
      <c r="I83" s="14" t="s">
        <v>68</v>
      </c>
      <c r="J83" s="14" t="s">
        <v>69</v>
      </c>
      <c r="K83" s="49">
        <v>49.7</v>
      </c>
      <c r="L83" s="14" t="s">
        <v>126</v>
      </c>
      <c r="M83" s="49">
        <v>1.49</v>
      </c>
      <c r="N83" s="14" t="s">
        <v>71</v>
      </c>
      <c r="P83" s="2" t="s">
        <v>264</v>
      </c>
      <c r="Q83" s="47" t="s">
        <v>265</v>
      </c>
      <c r="R83" s="47" t="str">
        <f>CONCATENATE(P83," ",Q83)</f>
        <v>Margaret Finnegan</v>
      </c>
      <c r="S83" s="47">
        <v>19861194</v>
      </c>
    </row>
  </sheetData>
  <sortState xmlns:xlrd2="http://schemas.microsoft.com/office/spreadsheetml/2017/richdata2" ref="A2:U83">
    <sortCondition ref="B2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2025-12-19T13:10:46Z</dcterms:created>
  <dcterms:modified xsi:type="dcterms:W3CDTF">2025-12-22T18:09:40Z</dcterms:modified>
</cp:coreProperties>
</file>