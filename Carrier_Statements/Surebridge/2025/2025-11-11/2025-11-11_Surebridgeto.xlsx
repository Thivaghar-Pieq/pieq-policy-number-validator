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 defaultThemeVersion="166925"/>
  <xr:revisionPtr revIDLastSave="0" documentId="13_ncr:1_{605A66AA-E72F-4F7B-ABE6-8A586D623E19}" xr6:coauthVersionLast="47" xr6:coauthVersionMax="47" xr10:uidLastSave="{00000000-0000-0000-0000-000000000000}"/>
  <bookViews>
    <workbookView xWindow="-57720" yWindow="-45" windowWidth="29040" windowHeight="15720" activeTab="1" xr2:uid="{345F6B8D-BE12-4861-ADE7-F4CEEE88C42E}"/>
  </bookViews>
  <sheets>
    <sheet name="Sheet1" sheetId="1" r:id="rId1"/>
    <sheet name="Sheet2" sheetId="2" r:id="rId2"/>
    <sheet name="Sheet3" sheetId="3" r:id="rId3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5" i="3" l="1"/>
  <c r="P26" i="3"/>
  <c r="P20" i="3"/>
  <c r="P12" i="3"/>
  <c r="P17" i="3"/>
  <c r="P19" i="3"/>
  <c r="P15" i="3"/>
  <c r="P45" i="3"/>
  <c r="P46" i="3"/>
  <c r="P31" i="3"/>
  <c r="P32" i="3"/>
  <c r="P29" i="3"/>
  <c r="P30" i="3"/>
  <c r="P39" i="3"/>
  <c r="P40" i="3"/>
  <c r="P16" i="3"/>
  <c r="P33" i="3"/>
  <c r="P34" i="3"/>
  <c r="P22" i="3"/>
  <c r="P24" i="3"/>
  <c r="P23" i="3"/>
  <c r="P27" i="3"/>
  <c r="P28" i="3"/>
  <c r="P54" i="3"/>
  <c r="P55" i="3"/>
  <c r="P41" i="3"/>
  <c r="P42" i="3"/>
  <c r="P43" i="3"/>
  <c r="P44" i="3"/>
  <c r="P37" i="3"/>
  <c r="P38" i="3"/>
  <c r="P51" i="3"/>
  <c r="P52" i="3"/>
  <c r="P35" i="3"/>
  <c r="P36" i="3"/>
  <c r="P47" i="3"/>
  <c r="P48" i="3"/>
  <c r="P49" i="3"/>
  <c r="P50" i="3"/>
  <c r="P11" i="3"/>
  <c r="P2" i="3"/>
  <c r="P3" i="3"/>
  <c r="P13" i="3"/>
  <c r="P14" i="3"/>
  <c r="P10" i="3"/>
  <c r="P4" i="3"/>
  <c r="P5" i="3"/>
  <c r="P18" i="3"/>
  <c r="P6" i="3"/>
  <c r="P7" i="3"/>
  <c r="P8" i="3"/>
  <c r="P9" i="3"/>
  <c r="P56" i="3"/>
  <c r="P53" i="3"/>
  <c r="P21" i="3"/>
</calcChain>
</file>

<file path=xl/sharedStrings.xml><?xml version="1.0" encoding="utf-8"?>
<sst xmlns="http://schemas.openxmlformats.org/spreadsheetml/2006/main" count="871" uniqueCount="206">
  <si>
    <r>
      <t xml:space="preserve"> </t>
    </r>
    <r>
      <rPr>
        <b/>
        <sz val="9"/>
        <color indexed="8"/>
        <rFont val="Arial"/>
        <family val="2"/>
      </rPr>
      <t>Summary</t>
    </r>
  </si>
  <si>
    <r>
      <t xml:space="preserve"> </t>
    </r>
    <r>
      <rPr>
        <sz val="8"/>
        <color indexed="8"/>
        <rFont val="Arial"/>
        <family val="2"/>
      </rPr>
      <t>$0.00</t>
    </r>
  </si>
  <si>
    <r>
      <t xml:space="preserve"> </t>
    </r>
    <r>
      <rPr>
        <b/>
        <sz val="9"/>
        <color indexed="8"/>
        <rFont val="Arial"/>
        <family val="2"/>
      </rPr>
      <t>Commission Activity</t>
    </r>
  </si>
  <si>
    <t>Agency:</t>
  </si>
  <si>
    <t>Core Benefits Group Inc 15791498</t>
  </si>
  <si>
    <t>Contract Date: 08/24/2022</t>
  </si>
  <si>
    <t>The Chesapeake Life Insurance Co</t>
  </si>
  <si>
    <t>Statement From Date: 11/11/2025</t>
  </si>
  <si>
    <t>Attn:  Commission Accounting</t>
  </si>
  <si>
    <t>Payee:</t>
  </si>
  <si>
    <t>Main Line Benefits LLC 15791498</t>
  </si>
  <si>
    <t>Statement To Date: 11/17/2025</t>
  </si>
  <si>
    <t>9151 Boulevard 26, Building B</t>
  </si>
  <si>
    <t xml:space="preserve">232 E King St </t>
  </si>
  <si>
    <t>North Richland Hills , TX   76180</t>
  </si>
  <si>
    <t>Malvern, PA  19355</t>
  </si>
  <si>
    <t>Commission Summary Information:</t>
  </si>
  <si>
    <t>Advance Summary Information</t>
  </si>
  <si>
    <t>Opening Agent Balance</t>
  </si>
  <si>
    <t>Opening Unearned Balance</t>
  </si>
  <si>
    <t>Advance Activity Applied</t>
  </si>
  <si>
    <t>New Advances</t>
  </si>
  <si>
    <t>Commissions</t>
  </si>
  <si>
    <t>Advance Adjustments</t>
  </si>
  <si>
    <t>Overrides</t>
  </si>
  <si>
    <t>Commission Applied to Advance</t>
  </si>
  <si>
    <t>Advance Chargebacks</t>
  </si>
  <si>
    <t>Adjustments</t>
  </si>
  <si>
    <t>Adjustments Applied to Advance</t>
  </si>
  <si>
    <t>Closing Agent Balance</t>
  </si>
  <si>
    <t>Closing Unearned Balance</t>
  </si>
  <si>
    <t>Payment Amount:</t>
  </si>
  <si>
    <t>Current Advance Activity:</t>
  </si>
  <si>
    <t>Garnishments</t>
  </si>
  <si>
    <t>EFT/Check Amount</t>
  </si>
  <si>
    <t>Net Current Activity</t>
  </si>
  <si>
    <t>Commission Activity Pay Codes:</t>
  </si>
  <si>
    <t>Advance  Activity Pay Codes:</t>
  </si>
  <si>
    <t>APP ADV = Applied to Advance</t>
  </si>
  <si>
    <t>REC+ = Reconciled Advance plus commission due</t>
  </si>
  <si>
    <t>NEW ADV = New Advance</t>
  </si>
  <si>
    <t>COMM = Commissions</t>
  </si>
  <si>
    <t>REC- = Reconciled Advance with balance due</t>
  </si>
  <si>
    <t>DED = Deduction</t>
  </si>
  <si>
    <t>REC TRM = Reconciled Advance due to policy term</t>
  </si>
  <si>
    <t>GARN = Garnishment</t>
  </si>
  <si>
    <t>OVR = Override</t>
  </si>
  <si>
    <t>Producer</t>
  </si>
  <si>
    <t>CO</t>
  </si>
  <si>
    <t>Policy No</t>
  </si>
  <si>
    <t>Insured Name</t>
  </si>
  <si>
    <t>Policy Eff Date</t>
  </si>
  <si>
    <t>Branding
Flag</t>
  </si>
  <si>
    <t>Coverage Code</t>
  </si>
  <si>
    <t>Premium Due Date</t>
  </si>
  <si>
    <t>Paid To Date</t>
  </si>
  <si>
    <t>Transaction Date</t>
  </si>
  <si>
    <t>Policy Duration</t>
  </si>
  <si>
    <t>Months</t>
  </si>
  <si>
    <t>Comm Premium</t>
  </si>
  <si>
    <t>Comm Rate</t>
  </si>
  <si>
    <t>Commission</t>
  </si>
  <si>
    <t>Pay Code</t>
  </si>
  <si>
    <t>Anne Marie  Kozacheck 19278370</t>
  </si>
  <si>
    <t>CH</t>
  </si>
  <si>
    <t>441847980</t>
  </si>
  <si>
    <t>JOCELYN  BATACAN</t>
  </si>
  <si>
    <t>SWTL2187</t>
  </si>
  <si>
    <t>R</t>
  </si>
  <si>
    <t>1</t>
  </si>
  <si>
    <t>9.00%</t>
  </si>
  <si>
    <t>OVR</t>
  </si>
  <si>
    <t>441998030</t>
  </si>
  <si>
    <t>KATHRYN  PETEL</t>
  </si>
  <si>
    <t>SCP10002</t>
  </si>
  <si>
    <t>442034541</t>
  </si>
  <si>
    <t>RICHARD  THORNTON</t>
  </si>
  <si>
    <t>SPD00002</t>
  </si>
  <si>
    <t>441839748</t>
  </si>
  <si>
    <t>YUANYUAN  ZHANG</t>
  </si>
  <si>
    <t>SPV00008</t>
  </si>
  <si>
    <t>Ashley Elizabeth Teipel 20436925</t>
  </si>
  <si>
    <t>BARBARA  COLSON</t>
  </si>
  <si>
    <t>SWTL1006</t>
  </si>
  <si>
    <t>441789847</t>
  </si>
  <si>
    <t>EUGENE  MONAHAN</t>
  </si>
  <si>
    <t>441818010</t>
  </si>
  <si>
    <t>LESA  THOMAS</t>
  </si>
  <si>
    <t>SWTL1014</t>
  </si>
  <si>
    <t>441765054</t>
  </si>
  <si>
    <t>VANESSA  BROWN</t>
  </si>
  <si>
    <t>Carol  Foley 17425766</t>
  </si>
  <si>
    <t>442296755</t>
  </si>
  <si>
    <t>CHERYL  LAUMAKIS</t>
  </si>
  <si>
    <t>SPH00094</t>
  </si>
  <si>
    <t>4.50%</t>
  </si>
  <si>
    <t>442256625</t>
  </si>
  <si>
    <t>JAMES  PAETZ</t>
  </si>
  <si>
    <t>SHW00161</t>
  </si>
  <si>
    <t>18.00%</t>
  </si>
  <si>
    <t>442255341</t>
  </si>
  <si>
    <t>JENNIFER  MOCKOVIAK</t>
  </si>
  <si>
    <t>SPH00092</t>
  </si>
  <si>
    <t>442255344</t>
  </si>
  <si>
    <t>442292751</t>
  </si>
  <si>
    <t>JOHN  MOSS</t>
  </si>
  <si>
    <t>SHW10166</t>
  </si>
  <si>
    <t>441782531</t>
  </si>
  <si>
    <t>KEDILEY  PERALTA</t>
  </si>
  <si>
    <t>SPD00001</t>
  </si>
  <si>
    <t>3.00%</t>
  </si>
  <si>
    <t>442267305</t>
  </si>
  <si>
    <t>MICHAEL  SMALL</t>
  </si>
  <si>
    <t>442267307</t>
  </si>
  <si>
    <t>441884278</t>
  </si>
  <si>
    <t>PATRICIA  COBEN</t>
  </si>
  <si>
    <t>SPH00003</t>
  </si>
  <si>
    <t>441955925</t>
  </si>
  <si>
    <t>ROSE  CINEUS</t>
  </si>
  <si>
    <t>SPD00005</t>
  </si>
  <si>
    <t>441894645</t>
  </si>
  <si>
    <t>STEVEN  SCALIA</t>
  </si>
  <si>
    <t>6.00%</t>
  </si>
  <si>
    <t>442098436</t>
  </si>
  <si>
    <t>VICKY  SCHAFFNER</t>
  </si>
  <si>
    <t>SCP10003</t>
  </si>
  <si>
    <t>442098439</t>
  </si>
  <si>
    <t>SHW10161</t>
  </si>
  <si>
    <t>442502397</t>
  </si>
  <si>
    <t>YOSEF  WASSERMANN</t>
  </si>
  <si>
    <t>442502398</t>
  </si>
  <si>
    <t>Deborah Lee Inskipt 17528908</t>
  </si>
  <si>
    <t>442294068</t>
  </si>
  <si>
    <t>MARCY  MEEHAN</t>
  </si>
  <si>
    <t>SH000002</t>
  </si>
  <si>
    <t>442294069</t>
  </si>
  <si>
    <t>SCP00002</t>
  </si>
  <si>
    <t>442292229</t>
  </si>
  <si>
    <t>SOFIA  ALBANOWSKI</t>
  </si>
  <si>
    <t>442425089</t>
  </si>
  <si>
    <t>TAMMY  HEIRENDT</t>
  </si>
  <si>
    <t>SH000006</t>
  </si>
  <si>
    <t>442425090</t>
  </si>
  <si>
    <t>SCP00006</t>
  </si>
  <si>
    <t>442289841</t>
  </si>
  <si>
    <t>TONI  WRIGHT</t>
  </si>
  <si>
    <t>442289842</t>
  </si>
  <si>
    <t>442301963</t>
  </si>
  <si>
    <t>WILLIAM  WORMS</t>
  </si>
  <si>
    <t>SH010004</t>
  </si>
  <si>
    <t>442301964</t>
  </si>
  <si>
    <t>SCP10004</t>
  </si>
  <si>
    <t>Katelenn  Caltagirone 20436896</t>
  </si>
  <si>
    <t>441680518</t>
  </si>
  <si>
    <t>HERMINIO  ROSALES</t>
  </si>
  <si>
    <t>SWTL2093</t>
  </si>
  <si>
    <t>441577763</t>
  </si>
  <si>
    <t>RYAN  CALTAGIRONE</t>
  </si>
  <si>
    <t>SCP00020</t>
  </si>
  <si>
    <t>Kimberly Anne Dickerson 16243811</t>
  </si>
  <si>
    <t>441582942</t>
  </si>
  <si>
    <t>BRANDON  BISHOP</t>
  </si>
  <si>
    <t>SPV00004</t>
  </si>
  <si>
    <t>441761638</t>
  </si>
  <si>
    <t>DANIEL  ELWOOD</t>
  </si>
  <si>
    <t>SPD20002</t>
  </si>
  <si>
    <t>441761639</t>
  </si>
  <si>
    <t>SPV10006</t>
  </si>
  <si>
    <t>441679321</t>
  </si>
  <si>
    <t>DEBRA  BLOMME</t>
  </si>
  <si>
    <t>441607364</t>
  </si>
  <si>
    <t>JOHN  WORTMAN</t>
  </si>
  <si>
    <t>SPV00006</t>
  </si>
  <si>
    <t>441794112</t>
  </si>
  <si>
    <t>KIMBERLY  MCCLUSKEY</t>
  </si>
  <si>
    <t>441615076</t>
  </si>
  <si>
    <t>SAVA  KELIDIS</t>
  </si>
  <si>
    <t>SWTL2241</t>
  </si>
  <si>
    <t>441615079</t>
  </si>
  <si>
    <t>TRACY  KELIDIS</t>
  </si>
  <si>
    <t>SWTL2221</t>
  </si>
  <si>
    <t>Margaret Finnegan 19861194</t>
  </si>
  <si>
    <t>442563687</t>
  </si>
  <si>
    <t>ASHLEY  PENCE</t>
  </si>
  <si>
    <t>SPHV0108</t>
  </si>
  <si>
    <t>Scott Christopher Aguglia 8971826</t>
  </si>
  <si>
    <t>442459673</t>
  </si>
  <si>
    <t>ANNETTE  PHILLIPS</t>
  </si>
  <si>
    <t>SWTL2147</t>
  </si>
  <si>
    <t>Total</t>
  </si>
  <si>
    <t>Anne</t>
  </si>
  <si>
    <t>Kozacheck</t>
  </si>
  <si>
    <t>Ashley</t>
  </si>
  <si>
    <t>Teipel</t>
  </si>
  <si>
    <t>Carol</t>
  </si>
  <si>
    <t>Foley</t>
  </si>
  <si>
    <t>Deborah</t>
  </si>
  <si>
    <t>Inskipt</t>
  </si>
  <si>
    <t>Katelenn</t>
  </si>
  <si>
    <t>Caltagirone</t>
  </si>
  <si>
    <t>Kimberly</t>
  </si>
  <si>
    <t>Dickerson</t>
  </si>
  <si>
    <t>Margaret</t>
  </si>
  <si>
    <t>Finnegan</t>
  </si>
  <si>
    <t>Scott</t>
  </si>
  <si>
    <t>Aguglia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</si>
</sst>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&quot;$&quot;#,##0.00;\(&quot;$&quot;#,##0.00\)"/>
    <numFmt numFmtId="165" formatCode="[$-10409]mm/dd/yyyy"/>
  </numFmts>
  <fonts count="9" x14ac:knownFonts="1">
    <font>
      <sz val="10"/>
      <name val="Arial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b/>
      <sz val="9"/>
      <color indexed="8"/>
      <name val="Arial"/>
      <family val="2"/>
    </font>
    <font>
      <b/>
      <sz val="8"/>
      <color indexed="10"/>
      <name val="Arial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i/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 applyAlignment="1" applyProtection="1">
      <alignment vertical="top" wrapText="1" readingOrder="1"/>
      <protection locked="0"/>
    </xf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horizontal="center"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2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horizontal="right" vertical="top" wrapText="1" readingOrder="1"/>
      <protection locked="0"/>
    </xf>
    <xf numFmtId="0" fontId="3" fillId="0" borderId="1" xfId="0" applyFont="1" applyBorder="1" applyAlignment="1" applyProtection="1">
      <alignment horizontal="left" vertical="top" wrapText="1" readingOrder="1"/>
      <protection locked="0"/>
    </xf>
    <xf numFmtId="0" fontId="3" fillId="0" borderId="1" xfId="0" applyFont="1" applyBorder="1" applyAlignment="1" applyProtection="1">
      <alignment horizontal="center" vertical="top" wrapText="1" readingOrder="1"/>
      <protection locked="0"/>
    </xf>
    <xf numFmtId="0" fontId="3" fillId="0" borderId="1" xfId="0" applyFont="1" applyBorder="1" applyAlignment="1" applyProtection="1">
      <alignment horizontal="right" vertical="top" wrapText="1" readingOrder="1"/>
      <protection locked="0"/>
    </xf>
    <xf numFmtId="0" fontId="2" fillId="0" borderId="0" xfId="0" applyFont="1" applyAlignment="1" applyProtection="1">
      <alignment horizontal="center" vertical="top" wrapText="1" readingOrder="1"/>
      <protection locked="0"/>
    </xf>
    <xf numFmtId="0" fontId="2" fillId="0" borderId="0" xfId="0" applyFont="1" applyAlignment="1" applyProtection="1">
      <alignment horizontal="right" vertical="top" wrapText="1" readingOrder="1"/>
      <protection locked="0"/>
    </xf>
    <xf numFmtId="0" fontId="6" fillId="0" borderId="0" xfId="0" applyFont="1" applyAlignment="1" applyProtection="1">
      <alignment horizontal="left" vertical="top" wrapText="1" readingOrder="1"/>
      <protection locked="0"/>
    </xf>
    <xf numFmtId="164" fontId="1" fillId="0" borderId="0" xfId="0" applyNumberFormat="1" applyFont="1" applyAlignment="1" applyProtection="1">
      <alignment horizontal="right" vertical="top" wrapText="1" readingOrder="1"/>
      <protection locked="0"/>
    </xf>
    <xf numFmtId="0" fontId="1" fillId="0" borderId="0" xfId="0" applyFont="1" applyAlignment="1" applyProtection="1">
      <alignment horizontal="left" vertical="top" wrapText="1" readingOrder="1"/>
      <protection locked="0"/>
    </xf>
    <xf numFmtId="0" fontId="1" fillId="0" borderId="0" xfId="0" applyFont="1" applyAlignment="1" applyProtection="1">
      <alignment horizontal="right" vertical="top" wrapText="1" readingOrder="1"/>
      <protection locked="0"/>
    </xf>
    <xf numFmtId="0" fontId="7" fillId="0" borderId="0" xfId="0" applyFont="1" applyAlignment="1" applyProtection="1">
      <alignment vertical="top" wrapText="1" readingOrder="1"/>
      <protection locked="0"/>
    </xf>
    <xf numFmtId="164" fontId="2" fillId="0" borderId="0" xfId="0" applyNumberFormat="1" applyFont="1" applyAlignment="1" applyProtection="1">
      <alignment horizontal="right" vertical="top" wrapText="1" readingOrder="1"/>
      <protection locked="0"/>
    </xf>
    <xf numFmtId="0" fontId="3" fillId="0" borderId="0" xfId="0" applyFont="1" applyAlignment="1" applyProtection="1">
      <alignment horizontal="left" vertical="top" wrapText="1" readingOrder="1"/>
      <protection locked="0"/>
    </xf>
    <xf numFmtId="0" fontId="8" fillId="0" borderId="0" xfId="0" applyFont="1" applyAlignment="1" applyProtection="1">
      <alignment horizontal="right" vertical="top" wrapText="1" readingOrder="1"/>
      <protection locked="0"/>
    </xf>
    <xf numFmtId="0" fontId="2" fillId="0" borderId="1" xfId="0" applyFont="1" applyBorder="1" applyAlignment="1" applyProtection="1">
      <alignment vertical="top" wrapText="1" readingOrder="1"/>
      <protection locked="0"/>
    </xf>
    <xf numFmtId="0" fontId="1" fillId="0" borderId="1" xfId="0" applyFont="1" applyBorder="1" applyAlignment="1" applyProtection="1">
      <alignment vertical="top" wrapText="1" readingOrder="1"/>
      <protection locked="0"/>
    </xf>
    <xf numFmtId="0" fontId="1" fillId="0" borderId="1" xfId="0" applyFont="1" applyBorder="1" applyAlignment="1" applyProtection="1">
      <alignment horizontal="right" vertical="top" wrapText="1" readingOrder="1"/>
      <protection locked="0"/>
    </xf>
    <xf numFmtId="0" fontId="2" fillId="0" borderId="1" xfId="0" applyFont="1" applyBorder="1" applyAlignment="1" applyProtection="1">
      <alignment horizontal="right" vertical="top" wrapText="1" readingOrder="1"/>
      <protection locked="0"/>
    </xf>
    <xf numFmtId="0" fontId="8" fillId="0" borderId="1" xfId="0" applyFont="1" applyBorder="1" applyAlignment="1" applyProtection="1">
      <alignment horizontal="right" vertical="top" wrapText="1" readingOrder="1"/>
      <protection locked="0"/>
    </xf>
    <xf numFmtId="0" fontId="2" fillId="0" borderId="2" xfId="0" applyFont="1" applyBorder="1" applyAlignment="1" applyProtection="1">
      <alignment horizontal="left" vertical="top" wrapText="1" readingOrder="1"/>
      <protection locked="0"/>
    </xf>
    <xf numFmtId="0" fontId="2" fillId="0" borderId="2" xfId="0" applyFont="1" applyBorder="1" applyAlignment="1" applyProtection="1">
      <alignment horizontal="center" vertical="top" wrapText="1" readingOrder="1"/>
      <protection locked="0"/>
    </xf>
    <xf numFmtId="0" fontId="2" fillId="0" borderId="2" xfId="0" applyFont="1" applyBorder="1" applyAlignment="1" applyProtection="1">
      <alignment horizontal="right" vertical="top" wrapText="1" readingOrder="1"/>
      <protection locked="0"/>
    </xf>
    <xf numFmtId="165" fontId="1" fillId="0" borderId="0" xfId="0" applyNumberFormat="1" applyFont="1" applyAlignment="1" applyProtection="1">
      <alignment horizontal="center" vertical="top" wrapText="1" readingOrder="1"/>
      <protection locked="0"/>
    </xf>
    <xf numFmtId="0" fontId="1" fillId="0" borderId="0" xfId="0" applyFont="1" applyAlignment="1" applyProtection="1">
      <alignment horizontal="center" vertical="top" wrapText="1" readingOrder="1"/>
      <protection locked="0"/>
    </xf>
    <xf numFmtId="0" fontId="0" fillId="0" borderId="0" xfId="0" applyAlignment="1">
      <alignment horizontal="left"/>
    </xf>
    <xf numFmtId="165" fontId="1" fillId="0" borderId="0" xfId="0" applyNumberFormat="1" applyFont="1" applyAlignment="1" applyProtection="1">
      <alignment horizontal="left" vertical="top" wrapText="1" readingOrder="1"/>
      <protection locked="0"/>
    </xf>
    <xf numFmtId="164" fontId="1" fillId="0" borderId="0" xfId="0" applyNumberFormat="1" applyFont="1" applyAlignment="1" applyProtection="1">
      <alignment horizontal="left" vertical="top" wrapText="1" readingOrder="1"/>
      <protection locked="0"/>
    </xf>
    <xf numFmtId="10" fontId="1" fillId="0" borderId="0" xfId="0" applyNumberFormat="1" applyFont="1" applyAlignment="1" applyProtection="1">
      <alignment horizontal="left" vertical="top" wrapText="1" readingOrder="1"/>
      <protection locked="0"/>
    </xf>
    <xf numFmtId="0" fontId="8" fillId="0" borderId="0" xfId="0" applyFont="1" applyAlignment="1" applyProtection="1">
      <alignment horizontal="left" vertical="top" wrapText="1" readingOrder="1"/>
      <protection locked="0"/>
    </xf>
    <xf numFmtId="0" fontId="2" fillId="0" borderId="0" xfId="0" applyFont="1" applyAlignment="1" applyProtection="1">
      <alignment horizontal="left" vertical="top" wrapText="1" readingOrder="1"/>
      <protection locked="0"/>
    </xf>
    <xf numFmtId="0" fontId="0" fillId="0" borderId="0" xfId="0"/>
    <xf numFmtId="0" fontId="3" fillId="0" borderId="0" xfId="0" applyFont="1" applyAlignment="1" applyProtection="1">
      <alignment horizontal="center" vertical="top" wrapText="1" readingOrder="1"/>
      <protection locked="0"/>
    </xf>
    <xf numFmtId="0" fontId="2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vertical="top" wrapText="1" readingOrder="1"/>
      <protection locked="0"/>
    </xf>
    <xf numFmtId="164" fontId="1" fillId="0" borderId="0" xfId="0" applyNumberFormat="1" applyFont="1" applyAlignment="1" applyProtection="1">
      <alignment horizontal="right" vertical="top" wrapText="1" readingOrder="1"/>
      <protection locked="0"/>
    </xf>
    <xf numFmtId="0" fontId="1" fillId="0" borderId="0" xfId="0" applyFont="1" applyAlignment="1" applyProtection="1">
      <alignment vertical="top" wrapText="1" readingOrder="1"/>
      <protection locked="0"/>
    </xf>
    <xf numFmtId="0" fontId="1" fillId="0" borderId="0" xfId="0" applyFont="1" applyAlignment="1" applyProtection="1">
      <alignment horizontal="left" vertical="top" wrapText="1" readingOrder="1"/>
      <protection locked="0"/>
    </xf>
    <xf numFmtId="0" fontId="1" fillId="0" borderId="0" xfId="0" applyFont="1" applyAlignment="1" applyProtection="1">
      <alignment horizontal="right" vertical="top" wrapText="1" readingOrder="1"/>
      <protection locked="0"/>
    </xf>
    <xf numFmtId="164" fontId="1" fillId="0" borderId="0" xfId="0" applyNumberFormat="1" applyFont="1" applyAlignment="1" applyProtection="1">
      <alignment vertical="top" wrapText="1" readingOrder="1"/>
      <protection locked="0"/>
    </xf>
    <xf numFmtId="164" fontId="2" fillId="0" borderId="0" xfId="0" applyNumberFormat="1" applyFont="1" applyAlignment="1" applyProtection="1">
      <alignment horizontal="right" vertical="top" wrapText="1" readingOrder="1"/>
      <protection locked="0"/>
    </xf>
    <xf numFmtId="0" fontId="7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horizontal="right" vertical="top" wrapText="1" readingOrder="1"/>
      <protection locked="0"/>
    </xf>
    <xf numFmtId="0" fontId="2" fillId="0" borderId="2" xfId="0" applyFont="1" applyBorder="1" applyAlignment="1" applyProtection="1">
      <alignment horizontal="center" vertical="top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165" fontId="1" fillId="0" borderId="0" xfId="0" applyNumberFormat="1" applyFont="1" applyAlignment="1" applyProtection="1">
      <alignment horizontal="center" vertical="top" wrapText="1" readingOrder="1"/>
      <protection locked="0"/>
    </xf>
    <xf numFmtId="0" fontId="1" fillId="0" borderId="0" xfId="0" applyNumberFormat="1" applyFont="1" applyAlignment="1" applyProtection="1">
      <alignment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00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F8227-0928-4289-8E95-879BD83076FF}">
  <dimension ref="A1:R33"/>
  <sheetViews>
    <sheetView showGridLines="0" workbookViewId="0"/>
  </sheetViews>
  <sheetFormatPr defaultRowHeight="12.75" x14ac:dyDescent="0.2"/>
  <cols>
    <col min="1" max="1" width="8.140625" customWidth="1"/>
    <col min="2" max="2" width="4.5703125" customWidth="1"/>
    <col min="3" max="3" width="10.140625" customWidth="1"/>
    <col min="4" max="4" width="10.28515625" customWidth="1"/>
    <col min="5" max="5" width="7.42578125" customWidth="1"/>
    <col min="6" max="6" width="8" customWidth="1"/>
    <col min="7" max="7" width="8.5703125" customWidth="1"/>
    <col min="8" max="8" width="8.140625" customWidth="1"/>
    <col min="9" max="9" width="0.42578125" customWidth="1"/>
    <col min="10" max="10" width="8.140625" customWidth="1"/>
    <col min="11" max="11" width="2.5703125" customWidth="1"/>
    <col min="12" max="12" width="10.42578125" customWidth="1"/>
    <col min="13" max="13" width="7.85546875" customWidth="1"/>
    <col min="14" max="14" width="8.42578125" customWidth="1"/>
    <col min="15" max="15" width="9.5703125" customWidth="1"/>
    <col min="16" max="16" width="10.42578125" customWidth="1"/>
    <col min="17" max="17" width="11.140625" customWidth="1"/>
    <col min="19" max="19" width="0" hidden="1" customWidth="1"/>
    <col min="20" max="20" width="2" customWidth="1"/>
  </cols>
  <sheetData>
    <row r="1" spans="1:18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">
      <c r="A2" s="2" t="s">
        <v>3</v>
      </c>
      <c r="B2" s="35" t="s">
        <v>4</v>
      </c>
      <c r="C2" s="36"/>
      <c r="D2" s="36"/>
      <c r="E2" s="37" t="s">
        <v>0</v>
      </c>
      <c r="F2" s="36"/>
      <c r="G2" s="36"/>
      <c r="H2" s="36"/>
      <c r="I2" s="36"/>
      <c r="J2" s="36"/>
      <c r="K2" s="36"/>
      <c r="L2" s="36"/>
      <c r="M2" s="36"/>
      <c r="N2" s="36"/>
      <c r="O2" s="36"/>
      <c r="P2" s="1"/>
      <c r="Q2" s="1"/>
      <c r="R2" s="1"/>
    </row>
    <row r="3" spans="1:18" x14ac:dyDescent="0.2">
      <c r="A3" s="35" t="s">
        <v>5</v>
      </c>
      <c r="B3" s="36"/>
      <c r="C3" s="36"/>
      <c r="D3" s="36"/>
      <c r="E3" s="36"/>
      <c r="F3" s="36"/>
      <c r="G3" s="36"/>
      <c r="H3" s="36"/>
      <c r="I3" s="3"/>
      <c r="J3" s="3"/>
      <c r="K3" s="3"/>
      <c r="L3" s="3"/>
      <c r="M3" s="3"/>
      <c r="N3" s="4"/>
      <c r="O3" s="4"/>
      <c r="P3" s="38" t="s">
        <v>6</v>
      </c>
      <c r="Q3" s="36"/>
      <c r="R3" s="36"/>
    </row>
    <row r="4" spans="1:18" x14ac:dyDescent="0.2">
      <c r="A4" s="2"/>
      <c r="B4" s="2"/>
      <c r="C4" s="2"/>
      <c r="D4" s="2"/>
      <c r="E4" s="37" t="s">
        <v>7</v>
      </c>
      <c r="F4" s="36"/>
      <c r="G4" s="36"/>
      <c r="H4" s="36"/>
      <c r="I4" s="36"/>
      <c r="J4" s="36"/>
      <c r="K4" s="36"/>
      <c r="L4" s="36"/>
      <c r="M4" s="36"/>
      <c r="N4" s="36"/>
      <c r="O4" s="36"/>
      <c r="P4" s="35" t="s">
        <v>8</v>
      </c>
      <c r="Q4" s="36"/>
      <c r="R4" s="36"/>
    </row>
    <row r="5" spans="1:18" x14ac:dyDescent="0.2">
      <c r="A5" s="2" t="s">
        <v>9</v>
      </c>
      <c r="B5" s="35" t="s">
        <v>10</v>
      </c>
      <c r="C5" s="36"/>
      <c r="D5" s="36"/>
      <c r="E5" s="37" t="s">
        <v>11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8" t="s">
        <v>12</v>
      </c>
      <c r="Q5" s="36"/>
      <c r="R5" s="36"/>
    </row>
    <row r="6" spans="1:18" x14ac:dyDescent="0.2">
      <c r="A6" s="2"/>
      <c r="B6" s="35" t="s">
        <v>13</v>
      </c>
      <c r="C6" s="36"/>
      <c r="D6" s="36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38" t="s">
        <v>14</v>
      </c>
      <c r="Q6" s="36"/>
      <c r="R6" s="36"/>
    </row>
    <row r="7" spans="1:18" x14ac:dyDescent="0.2">
      <c r="A7" s="6"/>
      <c r="B7" s="35" t="s">
        <v>15</v>
      </c>
      <c r="C7" s="36"/>
      <c r="D7" s="36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x14ac:dyDescent="0.2">
      <c r="A8" s="7"/>
      <c r="B8" s="7"/>
      <c r="C8" s="7"/>
      <c r="D8" s="8"/>
      <c r="E8" s="7"/>
      <c r="F8" s="7"/>
      <c r="G8" s="7"/>
      <c r="H8" s="7"/>
      <c r="I8" s="7"/>
      <c r="J8" s="7"/>
      <c r="K8" s="7"/>
      <c r="L8" s="9"/>
      <c r="M8" s="9"/>
      <c r="N8" s="9"/>
      <c r="O8" s="9"/>
      <c r="P8" s="9"/>
      <c r="Q8" s="9"/>
      <c r="R8" s="9"/>
    </row>
    <row r="9" spans="1:18" x14ac:dyDescent="0.2">
      <c r="A9" s="2"/>
      <c r="B9" s="2"/>
      <c r="C9" s="2"/>
      <c r="D9" s="2"/>
      <c r="E9" s="10"/>
      <c r="F9" s="2"/>
      <c r="G9" s="2"/>
      <c r="H9" s="10"/>
      <c r="I9" s="10"/>
      <c r="J9" s="2"/>
      <c r="K9" s="11"/>
      <c r="L9" s="11"/>
      <c r="M9" s="11"/>
      <c r="N9" s="11"/>
      <c r="O9" s="11"/>
      <c r="P9" s="11"/>
      <c r="Q9" s="11"/>
      <c r="R9" s="11"/>
    </row>
    <row r="10" spans="1:18" x14ac:dyDescent="0.2">
      <c r="A10" s="2"/>
      <c r="B10" s="35" t="s">
        <v>16</v>
      </c>
      <c r="C10" s="36"/>
      <c r="D10" s="36"/>
      <c r="E10" s="36"/>
      <c r="F10" s="2"/>
      <c r="G10" s="35"/>
      <c r="H10" s="36"/>
      <c r="I10" s="10"/>
      <c r="J10" s="2"/>
      <c r="K10" s="35" t="s">
        <v>17</v>
      </c>
      <c r="L10" s="36"/>
      <c r="M10" s="36"/>
      <c r="N10" s="36"/>
      <c r="O10" s="36"/>
      <c r="P10" s="39"/>
      <c r="Q10" s="36"/>
      <c r="R10" s="11"/>
    </row>
    <row r="11" spans="1:18" ht="15" x14ac:dyDescent="0.2">
      <c r="A11" s="2"/>
      <c r="B11" s="38" t="s">
        <v>18</v>
      </c>
      <c r="C11" s="36"/>
      <c r="D11" s="36"/>
      <c r="E11" s="12"/>
      <c r="F11" s="2"/>
      <c r="G11" s="40">
        <v>0</v>
      </c>
      <c r="H11" s="36"/>
      <c r="I11" s="10"/>
      <c r="J11" s="2"/>
      <c r="K11" s="35" t="s">
        <v>19</v>
      </c>
      <c r="L11" s="36"/>
      <c r="M11" s="36"/>
      <c r="N11" s="36"/>
      <c r="O11" s="36"/>
      <c r="P11" s="40">
        <v>0</v>
      </c>
      <c r="Q11" s="36"/>
      <c r="R11" s="11"/>
    </row>
    <row r="12" spans="1:18" ht="15" x14ac:dyDescent="0.2">
      <c r="A12" s="2"/>
      <c r="B12" s="12"/>
      <c r="C12" s="41" t="s">
        <v>20</v>
      </c>
      <c r="D12" s="36"/>
      <c r="E12" s="36"/>
      <c r="F12" s="36"/>
      <c r="G12" s="40">
        <v>0</v>
      </c>
      <c r="H12" s="36"/>
      <c r="I12" s="10"/>
      <c r="J12" s="2"/>
      <c r="K12" s="11"/>
      <c r="L12" s="42" t="s">
        <v>21</v>
      </c>
      <c r="M12" s="36"/>
      <c r="N12" s="14"/>
      <c r="O12" s="14"/>
      <c r="P12" s="40">
        <v>0</v>
      </c>
      <c r="Q12" s="36"/>
      <c r="R12" s="11"/>
    </row>
    <row r="13" spans="1:18" ht="15" x14ac:dyDescent="0.2">
      <c r="A13" s="2"/>
      <c r="B13" s="12"/>
      <c r="C13" s="41" t="s">
        <v>22</v>
      </c>
      <c r="D13" s="36"/>
      <c r="E13" s="12"/>
      <c r="F13" s="15"/>
      <c r="G13" s="40">
        <v>0</v>
      </c>
      <c r="H13" s="36"/>
      <c r="I13" s="10"/>
      <c r="J13" s="2"/>
      <c r="K13" s="11"/>
      <c r="L13" s="42" t="s">
        <v>23</v>
      </c>
      <c r="M13" s="36"/>
      <c r="N13" s="36"/>
      <c r="O13" s="36"/>
      <c r="P13" s="43" t="s">
        <v>1</v>
      </c>
      <c r="Q13" s="36"/>
      <c r="R13" s="11"/>
    </row>
    <row r="14" spans="1:18" ht="15" x14ac:dyDescent="0.2">
      <c r="A14" s="2"/>
      <c r="B14" s="16"/>
      <c r="C14" s="41" t="s">
        <v>24</v>
      </c>
      <c r="D14" s="36"/>
      <c r="E14" s="1"/>
      <c r="F14" s="15"/>
      <c r="G14" s="40">
        <v>208.23</v>
      </c>
      <c r="H14" s="36"/>
      <c r="I14" s="10"/>
      <c r="J14" s="2"/>
      <c r="K14" s="11"/>
      <c r="L14" s="42" t="s">
        <v>25</v>
      </c>
      <c r="M14" s="36"/>
      <c r="N14" s="36"/>
      <c r="O14" s="36"/>
      <c r="P14" s="40">
        <v>0</v>
      </c>
      <c r="Q14" s="36"/>
      <c r="R14" s="11"/>
    </row>
    <row r="15" spans="1:18" x14ac:dyDescent="0.2">
      <c r="A15" s="2"/>
      <c r="B15" s="2"/>
      <c r="C15" s="41" t="s">
        <v>26</v>
      </c>
      <c r="D15" s="36"/>
      <c r="E15" s="36"/>
      <c r="F15" s="15"/>
      <c r="G15" s="40">
        <v>0</v>
      </c>
      <c r="H15" s="36"/>
      <c r="I15" s="10"/>
      <c r="J15" s="2"/>
      <c r="K15" s="11"/>
      <c r="L15" s="42" t="s">
        <v>26</v>
      </c>
      <c r="M15" s="36"/>
      <c r="N15" s="36"/>
      <c r="O15" s="36"/>
      <c r="P15" s="40">
        <v>0</v>
      </c>
      <c r="Q15" s="36"/>
      <c r="R15" s="11"/>
    </row>
    <row r="16" spans="1:18" x14ac:dyDescent="0.2">
      <c r="A16" s="2"/>
      <c r="B16" s="5"/>
      <c r="C16" s="41" t="s">
        <v>27</v>
      </c>
      <c r="D16" s="36"/>
      <c r="E16" s="2"/>
      <c r="F16" s="15"/>
      <c r="G16" s="40">
        <v>0</v>
      </c>
      <c r="H16" s="36"/>
      <c r="I16" s="10"/>
      <c r="J16" s="2"/>
      <c r="K16" s="2"/>
      <c r="L16" s="42" t="s">
        <v>28</v>
      </c>
      <c r="M16" s="36"/>
      <c r="N16" s="36"/>
      <c r="O16" s="36"/>
      <c r="P16" s="44">
        <v>0</v>
      </c>
      <c r="Q16" s="36"/>
      <c r="R16" s="11"/>
    </row>
    <row r="17" spans="1:18" ht="15" x14ac:dyDescent="0.2">
      <c r="A17" s="2"/>
      <c r="B17" s="38" t="s">
        <v>29</v>
      </c>
      <c r="C17" s="36"/>
      <c r="D17" s="36"/>
      <c r="E17" s="12"/>
      <c r="F17" s="11"/>
      <c r="G17" s="45">
        <v>208.23</v>
      </c>
      <c r="H17" s="36"/>
      <c r="I17" s="10"/>
      <c r="J17" s="2"/>
      <c r="K17" s="35" t="s">
        <v>30</v>
      </c>
      <c r="L17" s="36"/>
      <c r="M17" s="36"/>
      <c r="N17" s="6"/>
      <c r="O17" s="6"/>
      <c r="P17" s="45">
        <v>0</v>
      </c>
      <c r="Q17" s="36"/>
      <c r="R17" s="11"/>
    </row>
    <row r="18" spans="1:18" ht="15" x14ac:dyDescent="0.2">
      <c r="A18" s="2"/>
      <c r="B18" s="38"/>
      <c r="C18" s="36"/>
      <c r="D18" s="36"/>
      <c r="E18" s="16"/>
      <c r="F18" s="16"/>
      <c r="G18" s="46"/>
      <c r="H18" s="36"/>
      <c r="I18" s="10"/>
      <c r="J18" s="2"/>
      <c r="K18" s="35"/>
      <c r="L18" s="36"/>
      <c r="M18" s="36"/>
      <c r="N18" s="36"/>
      <c r="O18" s="36"/>
      <c r="P18" s="43"/>
      <c r="Q18" s="36"/>
      <c r="R18" s="11"/>
    </row>
    <row r="19" spans="1:18" ht="15" x14ac:dyDescent="0.2">
      <c r="A19" s="2"/>
      <c r="B19" s="38" t="s">
        <v>31</v>
      </c>
      <c r="C19" s="36"/>
      <c r="D19" s="36"/>
      <c r="E19" s="12"/>
      <c r="F19" s="18"/>
      <c r="G19" s="47"/>
      <c r="H19" s="36"/>
      <c r="I19" s="18"/>
      <c r="J19" s="18"/>
      <c r="K19" s="35" t="s">
        <v>32</v>
      </c>
      <c r="L19" s="36"/>
      <c r="M19" s="36"/>
      <c r="N19" s="6"/>
      <c r="O19" s="6"/>
      <c r="P19" s="48"/>
      <c r="Q19" s="36"/>
      <c r="R19" s="11"/>
    </row>
    <row r="20" spans="1:18" ht="15" x14ac:dyDescent="0.2">
      <c r="A20" s="2"/>
      <c r="B20" s="12"/>
      <c r="C20" s="41" t="s">
        <v>29</v>
      </c>
      <c r="D20" s="36"/>
      <c r="E20" s="12"/>
      <c r="F20" s="15"/>
      <c r="G20" s="40">
        <v>208.23</v>
      </c>
      <c r="H20" s="36"/>
      <c r="I20" s="18"/>
      <c r="J20" s="18"/>
      <c r="K20" s="18"/>
      <c r="L20" s="42" t="s">
        <v>21</v>
      </c>
      <c r="M20" s="36"/>
      <c r="N20" s="6"/>
      <c r="O20" s="6"/>
      <c r="P20" s="40">
        <v>0</v>
      </c>
      <c r="Q20" s="36"/>
      <c r="R20" s="11"/>
    </row>
    <row r="21" spans="1:18" ht="15" x14ac:dyDescent="0.2">
      <c r="A21" s="2"/>
      <c r="B21" s="12"/>
      <c r="C21" s="41" t="s">
        <v>33</v>
      </c>
      <c r="D21" s="36"/>
      <c r="E21" s="12"/>
      <c r="F21" s="15"/>
      <c r="G21" s="40">
        <v>0</v>
      </c>
      <c r="H21" s="36"/>
      <c r="I21" s="18"/>
      <c r="J21" s="18"/>
      <c r="K21" s="18"/>
      <c r="L21" s="42" t="s">
        <v>23</v>
      </c>
      <c r="M21" s="36"/>
      <c r="N21" s="6"/>
      <c r="O21" s="6"/>
      <c r="P21" s="40">
        <v>0</v>
      </c>
      <c r="Q21" s="36"/>
      <c r="R21" s="11"/>
    </row>
    <row r="22" spans="1:18" ht="15" x14ac:dyDescent="0.2">
      <c r="A22" s="2"/>
      <c r="B22" s="35" t="s">
        <v>34</v>
      </c>
      <c r="C22" s="36"/>
      <c r="D22" s="36"/>
      <c r="E22" s="12"/>
      <c r="F22" s="15"/>
      <c r="G22" s="45">
        <v>208.23</v>
      </c>
      <c r="H22" s="36"/>
      <c r="I22" s="18"/>
      <c r="J22" s="18"/>
      <c r="K22" s="18"/>
      <c r="L22" s="38" t="s">
        <v>35</v>
      </c>
      <c r="M22" s="36"/>
      <c r="N22" s="6"/>
      <c r="O22" s="6"/>
      <c r="P22" s="45">
        <v>0</v>
      </c>
      <c r="Q22" s="36"/>
      <c r="R22" s="11"/>
    </row>
    <row r="23" spans="1:18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x14ac:dyDescent="0.2">
      <c r="A24" s="5"/>
      <c r="B24" s="5"/>
      <c r="C24" s="5"/>
      <c r="D24" s="1"/>
      <c r="E24" s="15"/>
      <c r="F24" s="15"/>
      <c r="G24" s="15"/>
      <c r="H24" s="1"/>
      <c r="I24" s="1"/>
      <c r="J24" s="15"/>
      <c r="K24" s="15"/>
      <c r="L24" s="11"/>
      <c r="M24" s="11"/>
      <c r="N24" s="19"/>
      <c r="O24" s="19"/>
      <c r="P24" s="19"/>
      <c r="Q24" s="11"/>
      <c r="R24" s="11"/>
    </row>
    <row r="25" spans="1:18" x14ac:dyDescent="0.2">
      <c r="A25" s="5"/>
      <c r="B25" s="5"/>
      <c r="C25" s="5"/>
      <c r="D25" s="1"/>
      <c r="E25" s="15"/>
      <c r="F25" s="15"/>
      <c r="G25" s="15"/>
      <c r="H25" s="1"/>
      <c r="I25" s="1"/>
      <c r="J25" s="15"/>
      <c r="K25" s="15"/>
      <c r="L25" s="11"/>
      <c r="M25" s="11"/>
      <c r="N25" s="11"/>
      <c r="O25" s="11"/>
      <c r="P25" s="19"/>
      <c r="Q25" s="11"/>
      <c r="R25" s="11"/>
    </row>
    <row r="26" spans="1:18" x14ac:dyDescent="0.2">
      <c r="A26" s="20"/>
      <c r="B26" s="20"/>
      <c r="C26" s="20"/>
      <c r="D26" s="21"/>
      <c r="E26" s="22"/>
      <c r="F26" s="22"/>
      <c r="G26" s="22"/>
      <c r="H26" s="21"/>
      <c r="I26" s="21"/>
      <c r="J26" s="22"/>
      <c r="K26" s="22"/>
      <c r="L26" s="23"/>
      <c r="M26" s="23"/>
      <c r="N26" s="24"/>
      <c r="O26" s="24"/>
      <c r="P26" s="24"/>
      <c r="Q26" s="23"/>
      <c r="R26" s="23"/>
    </row>
    <row r="27" spans="1:18" x14ac:dyDescent="0.2">
      <c r="A27" s="38" t="s">
        <v>36</v>
      </c>
      <c r="B27" s="36"/>
      <c r="C27" s="36"/>
      <c r="D27" s="36"/>
      <c r="E27" s="1"/>
      <c r="F27" s="1"/>
      <c r="G27" s="1"/>
      <c r="H27" s="1"/>
      <c r="I27" s="1"/>
      <c r="J27" s="1"/>
      <c r="K27" s="1"/>
      <c r="L27" s="1"/>
      <c r="M27" s="38" t="s">
        <v>37</v>
      </c>
      <c r="N27" s="36"/>
      <c r="O27" s="36"/>
      <c r="P27" s="36"/>
      <c r="Q27" s="1"/>
      <c r="R27" s="1"/>
    </row>
    <row r="28" spans="1:18" x14ac:dyDescent="0.2">
      <c r="A28" s="1"/>
      <c r="B28" s="41" t="s">
        <v>38</v>
      </c>
      <c r="C28" s="36"/>
      <c r="D28" s="36"/>
      <c r="E28" s="42" t="s">
        <v>39</v>
      </c>
      <c r="F28" s="36"/>
      <c r="G28" s="36"/>
      <c r="H28" s="36"/>
      <c r="I28" s="36"/>
      <c r="J28" s="36"/>
      <c r="K28" s="36"/>
      <c r="L28" s="1"/>
      <c r="M28" s="1"/>
      <c r="N28" s="1"/>
      <c r="O28" s="41" t="s">
        <v>40</v>
      </c>
      <c r="P28" s="36"/>
      <c r="Q28" s="36"/>
      <c r="R28" s="1"/>
    </row>
    <row r="29" spans="1:18" x14ac:dyDescent="0.2">
      <c r="A29" s="1"/>
      <c r="B29" s="41" t="s">
        <v>41</v>
      </c>
      <c r="C29" s="36"/>
      <c r="D29" s="36"/>
      <c r="E29" s="42" t="s">
        <v>42</v>
      </c>
      <c r="F29" s="36"/>
      <c r="G29" s="36"/>
      <c r="H29" s="36"/>
      <c r="I29" s="36"/>
      <c r="J29" s="36"/>
      <c r="K29" s="36"/>
      <c r="L29" s="1"/>
      <c r="M29" s="1"/>
      <c r="N29" s="1"/>
      <c r="O29" s="1"/>
      <c r="P29" s="1"/>
      <c r="Q29" s="1"/>
      <c r="R29" s="1"/>
    </row>
    <row r="30" spans="1:18" x14ac:dyDescent="0.2">
      <c r="A30" s="1"/>
      <c r="B30" s="41" t="s">
        <v>43</v>
      </c>
      <c r="C30" s="36"/>
      <c r="D30" s="36"/>
      <c r="E30" s="42" t="s">
        <v>44</v>
      </c>
      <c r="F30" s="36"/>
      <c r="G30" s="36"/>
      <c r="H30" s="36"/>
      <c r="I30" s="36"/>
      <c r="J30" s="36"/>
      <c r="K30" s="36"/>
      <c r="L30" s="1"/>
      <c r="M30" s="1"/>
      <c r="N30" s="1"/>
      <c r="O30" s="1"/>
      <c r="P30" s="1"/>
      <c r="Q30" s="1"/>
      <c r="R30" s="1"/>
    </row>
    <row r="31" spans="1:18" x14ac:dyDescent="0.2">
      <c r="A31" s="1"/>
      <c r="B31" s="41" t="s">
        <v>45</v>
      </c>
      <c r="C31" s="36"/>
      <c r="D31" s="36"/>
      <c r="E31" s="42"/>
      <c r="F31" s="36"/>
      <c r="G31" s="36"/>
      <c r="H31" s="36"/>
      <c r="I31" s="36"/>
      <c r="J31" s="36"/>
      <c r="K31" s="36"/>
      <c r="L31" s="1"/>
      <c r="M31" s="1"/>
      <c r="N31" s="1"/>
      <c r="O31" s="1"/>
      <c r="P31" s="1"/>
      <c r="Q31" s="1"/>
      <c r="R31" s="1"/>
    </row>
    <row r="32" spans="1:18" x14ac:dyDescent="0.2">
      <c r="A32" s="1"/>
      <c r="B32" s="41" t="s">
        <v>46</v>
      </c>
      <c r="C32" s="36"/>
      <c r="D32" s="36"/>
      <c r="E32" s="41"/>
      <c r="F32" s="36"/>
      <c r="G32" s="36"/>
      <c r="H32" s="36"/>
      <c r="I32" s="36"/>
      <c r="J32" s="36"/>
      <c r="K32" s="36"/>
      <c r="L32" s="1"/>
      <c r="M32" s="1"/>
      <c r="N32" s="1"/>
      <c r="O32" s="1"/>
      <c r="P32" s="1"/>
      <c r="Q32" s="1"/>
      <c r="R32" s="1"/>
    </row>
    <row r="33" ht="12.75" hidden="1" customHeight="1" x14ac:dyDescent="0.2"/>
  </sheetData>
  <mergeCells count="77">
    <mergeCell ref="B31:D31"/>
    <mergeCell ref="E31:K31"/>
    <mergeCell ref="B32:D32"/>
    <mergeCell ref="E32:K32"/>
    <mergeCell ref="B28:D28"/>
    <mergeCell ref="E28:K28"/>
    <mergeCell ref="O28:Q28"/>
    <mergeCell ref="B29:D29"/>
    <mergeCell ref="E29:K29"/>
    <mergeCell ref="B30:D30"/>
    <mergeCell ref="E30:K30"/>
    <mergeCell ref="B22:D22"/>
    <mergeCell ref="G22:H22"/>
    <mergeCell ref="L22:M22"/>
    <mergeCell ref="P22:Q22"/>
    <mergeCell ref="A27:D27"/>
    <mergeCell ref="M27:P27"/>
    <mergeCell ref="C20:D20"/>
    <mergeCell ref="G20:H20"/>
    <mergeCell ref="L20:M20"/>
    <mergeCell ref="P20:Q20"/>
    <mergeCell ref="C21:D21"/>
    <mergeCell ref="G21:H21"/>
    <mergeCell ref="L21:M21"/>
    <mergeCell ref="P21:Q21"/>
    <mergeCell ref="B18:D18"/>
    <mergeCell ref="G18:H18"/>
    <mergeCell ref="K18:O18"/>
    <mergeCell ref="P18:Q18"/>
    <mergeCell ref="B19:D19"/>
    <mergeCell ref="G19:H19"/>
    <mergeCell ref="K19:M19"/>
    <mergeCell ref="P19:Q19"/>
    <mergeCell ref="C16:D16"/>
    <mergeCell ref="G16:H16"/>
    <mergeCell ref="L16:O16"/>
    <mergeCell ref="P16:Q16"/>
    <mergeCell ref="B17:D17"/>
    <mergeCell ref="G17:H17"/>
    <mergeCell ref="K17:M17"/>
    <mergeCell ref="P17:Q17"/>
    <mergeCell ref="C14:D14"/>
    <mergeCell ref="G14:H14"/>
    <mergeCell ref="L14:O14"/>
    <mergeCell ref="P14:Q14"/>
    <mergeCell ref="C15:E15"/>
    <mergeCell ref="G15:H15"/>
    <mergeCell ref="L15:O15"/>
    <mergeCell ref="P15:Q15"/>
    <mergeCell ref="C12:F12"/>
    <mergeCell ref="G12:H12"/>
    <mergeCell ref="L12:M12"/>
    <mergeCell ref="P12:Q12"/>
    <mergeCell ref="C13:D13"/>
    <mergeCell ref="G13:H13"/>
    <mergeCell ref="L13:O13"/>
    <mergeCell ref="P13:Q13"/>
    <mergeCell ref="B10:E10"/>
    <mergeCell ref="G10:H10"/>
    <mergeCell ref="K10:O10"/>
    <mergeCell ref="P10:Q10"/>
    <mergeCell ref="B11:D11"/>
    <mergeCell ref="G11:H11"/>
    <mergeCell ref="K11:O11"/>
    <mergeCell ref="P11:Q11"/>
    <mergeCell ref="B7:D7"/>
    <mergeCell ref="B2:D2"/>
    <mergeCell ref="E2:O2"/>
    <mergeCell ref="A3:H3"/>
    <mergeCell ref="P3:R3"/>
    <mergeCell ref="E4:O4"/>
    <mergeCell ref="P4:R4"/>
    <mergeCell ref="B5:D5"/>
    <mergeCell ref="E5:O5"/>
    <mergeCell ref="P5:R5"/>
    <mergeCell ref="B6:D6"/>
    <mergeCell ref="P6:R6"/>
  </mergeCells>
  <phoneticPr fontId="0" type="noConversion"/>
  <pageMargins left="0.15000000000000002" right="0.15000000000000002" top="0.79542007874015752" bottom="0.40500000000000008" header="0.08" footer="0.08"/>
  <pageSetup orientation="landscape" horizontalDpi="0" verticalDpi="0"/>
  <headerFooter alignWithMargins="0">
    <oddHeader>&amp;L&amp;C&amp;"Arial"&amp;16&amp;BCompensation Statement&amp;B &amp;R</oddHeader>
    <oddFooter xml:space="preserve">&amp;L&amp;"Arial"&amp;9&amp;BDate: 12/02/2025&amp;B &amp;C&amp;R&amp;"Arial"&amp;9&amp;BPage No: &amp;P of &amp;N&amp;B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EB5A6-ED87-49F6-9D72-EEB056A1E192}">
  <dimension ref="A1:R77"/>
  <sheetViews>
    <sheetView showGridLines="0" tabSelected="1" topLeftCell="A49" workbookViewId="0">
      <selection activeCell="C16" sqref="C16"/>
    </sheetView>
  </sheetViews>
  <sheetFormatPr defaultRowHeight="12.75" x14ac:dyDescent="0.2"/>
  <cols>
    <col min="1" max="1" width="7.5703125" bestFit="1" customWidth="1"/>
    <col min="2" max="2" width="3.28515625" bestFit="1" customWidth="1"/>
    <col min="3" max="3" width="8.7109375" bestFit="1" customWidth="1"/>
    <col min="4" max="4" width="10" bestFit="1" customWidth="1"/>
    <col min="5" max="5" width="8.7109375" bestFit="1" customWidth="1"/>
    <col min="6" max="6" width="8" customWidth="1"/>
    <col min="7" max="7" width="8.5703125" customWidth="1"/>
    <col min="8" max="8" width="8.140625" customWidth="1"/>
    <col min="9" max="9" width="0.42578125" customWidth="1"/>
    <col min="10" max="10" width="8.140625" customWidth="1"/>
    <col min="11" max="11" width="2.5703125" customWidth="1"/>
    <col min="12" max="12" width="10.28515625" bestFit="1" customWidth="1"/>
    <col min="13" max="13" width="7.5703125" bestFit="1" customWidth="1"/>
    <col min="14" max="14" width="7" bestFit="1" customWidth="1"/>
    <col min="15" max="15" width="8.28515625" bestFit="1" customWidth="1"/>
    <col min="16" max="16" width="10.140625" bestFit="1" customWidth="1"/>
    <col min="17" max="17" width="11.140625" customWidth="1"/>
    <col min="18" max="18" width="8.28515625" bestFit="1" customWidth="1"/>
    <col min="19" max="19" width="0" hidden="1" customWidth="1"/>
    <col min="20" max="20" width="2" customWidth="1"/>
  </cols>
  <sheetData>
    <row r="1" spans="1:18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">
      <c r="A2" s="2" t="s">
        <v>3</v>
      </c>
      <c r="B2" s="35" t="s">
        <v>4</v>
      </c>
      <c r="C2" s="36"/>
      <c r="D2" s="36"/>
      <c r="E2" s="37" t="s">
        <v>2</v>
      </c>
      <c r="F2" s="36"/>
      <c r="G2" s="36"/>
      <c r="H2" s="36"/>
      <c r="I2" s="36"/>
      <c r="J2" s="36"/>
      <c r="K2" s="36"/>
      <c r="L2" s="36"/>
      <c r="M2" s="36"/>
      <c r="N2" s="36"/>
      <c r="O2" s="36"/>
      <c r="P2" s="1"/>
      <c r="Q2" s="1"/>
      <c r="R2" s="1"/>
    </row>
    <row r="3" spans="1:18" x14ac:dyDescent="0.2">
      <c r="A3" s="35" t="s">
        <v>5</v>
      </c>
      <c r="B3" s="36"/>
      <c r="C3" s="36"/>
      <c r="D3" s="36"/>
      <c r="E3" s="36"/>
      <c r="F3" s="36"/>
      <c r="G3" s="36"/>
      <c r="H3" s="36"/>
      <c r="I3" s="3"/>
      <c r="J3" s="3"/>
      <c r="K3" s="3"/>
      <c r="L3" s="3"/>
      <c r="M3" s="3"/>
      <c r="N3" s="4"/>
      <c r="O3" s="4"/>
      <c r="P3" s="38" t="s">
        <v>6</v>
      </c>
      <c r="Q3" s="36"/>
      <c r="R3" s="36"/>
    </row>
    <row r="4" spans="1:18" x14ac:dyDescent="0.2">
      <c r="A4" s="2"/>
      <c r="B4" s="2"/>
      <c r="C4" s="2"/>
      <c r="D4" s="2"/>
      <c r="E4" s="37" t="s">
        <v>7</v>
      </c>
      <c r="F4" s="36"/>
      <c r="G4" s="36"/>
      <c r="H4" s="36"/>
      <c r="I4" s="36"/>
      <c r="J4" s="36"/>
      <c r="K4" s="36"/>
      <c r="L4" s="36"/>
      <c r="M4" s="36"/>
      <c r="N4" s="36"/>
      <c r="O4" s="36"/>
      <c r="P4" s="35" t="s">
        <v>8</v>
      </c>
      <c r="Q4" s="36"/>
      <c r="R4" s="36"/>
    </row>
    <row r="5" spans="1:18" x14ac:dyDescent="0.2">
      <c r="A5" s="2" t="s">
        <v>9</v>
      </c>
      <c r="B5" s="35" t="s">
        <v>10</v>
      </c>
      <c r="C5" s="36"/>
      <c r="D5" s="36"/>
      <c r="E5" s="37" t="s">
        <v>11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8" t="s">
        <v>12</v>
      </c>
      <c r="Q5" s="36"/>
      <c r="R5" s="36"/>
    </row>
    <row r="6" spans="1:18" x14ac:dyDescent="0.2">
      <c r="A6" s="2"/>
      <c r="B6" s="35" t="s">
        <v>13</v>
      </c>
      <c r="C6" s="36"/>
      <c r="D6" s="36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38" t="s">
        <v>14</v>
      </c>
      <c r="Q6" s="36"/>
      <c r="R6" s="36"/>
    </row>
    <row r="7" spans="1:18" x14ac:dyDescent="0.2">
      <c r="A7" s="6"/>
      <c r="B7" s="35" t="s">
        <v>15</v>
      </c>
      <c r="C7" s="36"/>
      <c r="D7" s="36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22.5" x14ac:dyDescent="0.2">
      <c r="A8" s="25" t="s">
        <v>47</v>
      </c>
      <c r="B8" s="25" t="s">
        <v>48</v>
      </c>
      <c r="C8" s="25" t="s">
        <v>49</v>
      </c>
      <c r="D8" s="25" t="s">
        <v>50</v>
      </c>
      <c r="E8" s="26" t="s">
        <v>51</v>
      </c>
      <c r="F8" s="25" t="s">
        <v>52</v>
      </c>
      <c r="G8" s="25" t="s">
        <v>53</v>
      </c>
      <c r="H8" s="49" t="s">
        <v>54</v>
      </c>
      <c r="I8" s="50"/>
      <c r="J8" s="49" t="s">
        <v>55</v>
      </c>
      <c r="K8" s="50"/>
      <c r="L8" s="26" t="s">
        <v>56</v>
      </c>
      <c r="M8" s="26" t="s">
        <v>57</v>
      </c>
      <c r="N8" s="26" t="s">
        <v>58</v>
      </c>
      <c r="O8" s="27" t="s">
        <v>59</v>
      </c>
      <c r="P8" s="27" t="s">
        <v>60</v>
      </c>
      <c r="Q8" s="27" t="s">
        <v>61</v>
      </c>
      <c r="R8" s="26" t="s">
        <v>62</v>
      </c>
    </row>
    <row r="9" spans="1:18" x14ac:dyDescent="0.2">
      <c r="A9" s="2"/>
      <c r="B9" s="2"/>
      <c r="C9" s="2"/>
      <c r="D9" s="2"/>
      <c r="E9" s="10"/>
      <c r="F9" s="2"/>
      <c r="G9" s="2"/>
      <c r="H9" s="10"/>
      <c r="I9" s="10"/>
      <c r="J9" s="2"/>
      <c r="K9" s="11"/>
      <c r="L9" s="11"/>
      <c r="M9" s="11"/>
      <c r="N9" s="11"/>
      <c r="O9" s="11"/>
      <c r="P9" s="11"/>
      <c r="Q9" s="11"/>
      <c r="R9" s="11"/>
    </row>
    <row r="10" spans="1:18" x14ac:dyDescent="0.2">
      <c r="A10" s="38" t="s">
        <v>63</v>
      </c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1"/>
      <c r="O10" s="1"/>
      <c r="P10" s="1"/>
      <c r="Q10" s="1"/>
      <c r="R10" s="1"/>
    </row>
    <row r="11" spans="1:18" ht="22.5" x14ac:dyDescent="0.2">
      <c r="A11" s="1"/>
      <c r="B11" s="1" t="s">
        <v>64</v>
      </c>
      <c r="C11" s="1" t="s">
        <v>65</v>
      </c>
      <c r="D11" s="1" t="s">
        <v>66</v>
      </c>
      <c r="E11" s="28">
        <v>44985</v>
      </c>
      <c r="F11" s="14"/>
      <c r="G11" s="14" t="s">
        <v>67</v>
      </c>
      <c r="H11" s="51">
        <v>45962</v>
      </c>
      <c r="I11" s="36"/>
      <c r="J11" s="51">
        <v>45992</v>
      </c>
      <c r="K11" s="36"/>
      <c r="L11" s="28">
        <v>45973</v>
      </c>
      <c r="M11" s="29" t="s">
        <v>68</v>
      </c>
      <c r="N11" s="15" t="s">
        <v>69</v>
      </c>
      <c r="O11" s="13">
        <v>154.99</v>
      </c>
      <c r="P11" s="15" t="s">
        <v>70</v>
      </c>
      <c r="Q11" s="13">
        <v>13.95</v>
      </c>
      <c r="R11" s="29" t="s">
        <v>71</v>
      </c>
    </row>
    <row r="12" spans="1:18" ht="22.5" x14ac:dyDescent="0.2">
      <c r="A12" s="1"/>
      <c r="B12" s="1" t="s">
        <v>64</v>
      </c>
      <c r="C12" s="1" t="s">
        <v>72</v>
      </c>
      <c r="D12" s="1" t="s">
        <v>73</v>
      </c>
      <c r="E12" s="28">
        <v>45139</v>
      </c>
      <c r="F12" s="14"/>
      <c r="G12" s="14" t="s">
        <v>74</v>
      </c>
      <c r="H12" s="51">
        <v>45962</v>
      </c>
      <c r="I12" s="36"/>
      <c r="J12" s="51">
        <v>45992</v>
      </c>
      <c r="K12" s="36"/>
      <c r="L12" s="28">
        <v>45976</v>
      </c>
      <c r="M12" s="29" t="s">
        <v>68</v>
      </c>
      <c r="N12" s="15" t="s">
        <v>69</v>
      </c>
      <c r="O12" s="13">
        <v>9.8000000000000007</v>
      </c>
      <c r="P12" s="15" t="s">
        <v>70</v>
      </c>
      <c r="Q12" s="13">
        <v>0.88</v>
      </c>
      <c r="R12" s="29" t="s">
        <v>71</v>
      </c>
    </row>
    <row r="13" spans="1:18" ht="22.5" x14ac:dyDescent="0.2">
      <c r="A13" s="1"/>
      <c r="B13" s="1" t="s">
        <v>64</v>
      </c>
      <c r="C13" s="1" t="s">
        <v>75</v>
      </c>
      <c r="D13" s="1" t="s">
        <v>76</v>
      </c>
      <c r="E13" s="28">
        <v>45100</v>
      </c>
      <c r="F13" s="14"/>
      <c r="G13" s="14" t="s">
        <v>77</v>
      </c>
      <c r="H13" s="51">
        <v>45962</v>
      </c>
      <c r="I13" s="36"/>
      <c r="J13" s="51">
        <v>45992</v>
      </c>
      <c r="K13" s="36"/>
      <c r="L13" s="28">
        <v>45973</v>
      </c>
      <c r="M13" s="29" t="s">
        <v>68</v>
      </c>
      <c r="N13" s="15" t="s">
        <v>69</v>
      </c>
      <c r="O13" s="13">
        <v>67</v>
      </c>
      <c r="P13" s="15" t="s">
        <v>70</v>
      </c>
      <c r="Q13" s="13">
        <v>6.03</v>
      </c>
      <c r="R13" s="29" t="s">
        <v>71</v>
      </c>
    </row>
    <row r="14" spans="1:18" ht="22.5" x14ac:dyDescent="0.2">
      <c r="A14" s="1"/>
      <c r="B14" s="1" t="s">
        <v>64</v>
      </c>
      <c r="C14" s="1" t="s">
        <v>78</v>
      </c>
      <c r="D14" s="1" t="s">
        <v>79</v>
      </c>
      <c r="E14" s="28">
        <v>44979</v>
      </c>
      <c r="F14" s="14"/>
      <c r="G14" s="14" t="s">
        <v>80</v>
      </c>
      <c r="H14" s="51">
        <v>45962</v>
      </c>
      <c r="I14" s="36"/>
      <c r="J14" s="51">
        <v>45992</v>
      </c>
      <c r="K14" s="36"/>
      <c r="L14" s="28">
        <v>45973</v>
      </c>
      <c r="M14" s="29" t="s">
        <v>68</v>
      </c>
      <c r="N14" s="15" t="s">
        <v>69</v>
      </c>
      <c r="O14" s="13">
        <v>9</v>
      </c>
      <c r="P14" s="15" t="s">
        <v>70</v>
      </c>
      <c r="Q14" s="13">
        <v>0.81</v>
      </c>
      <c r="R14" s="29" t="s">
        <v>71</v>
      </c>
    </row>
    <row r="15" spans="1:18" x14ac:dyDescent="0.2">
      <c r="A15" s="38" t="s">
        <v>81</v>
      </c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1"/>
      <c r="O15" s="1"/>
      <c r="P15" s="1"/>
      <c r="Q15" s="1"/>
      <c r="R15" s="1"/>
    </row>
    <row r="16" spans="1:18" ht="22.5" x14ac:dyDescent="0.2">
      <c r="A16" s="1"/>
      <c r="B16" s="1" t="s">
        <v>64</v>
      </c>
      <c r="C16" s="52">
        <v>441684105</v>
      </c>
      <c r="D16" s="1" t="s">
        <v>82</v>
      </c>
      <c r="E16" s="28">
        <v>44903</v>
      </c>
      <c r="F16" s="14"/>
      <c r="G16" s="14" t="s">
        <v>83</v>
      </c>
      <c r="H16" s="51">
        <v>45962</v>
      </c>
      <c r="I16" s="36"/>
      <c r="J16" s="51">
        <v>45992</v>
      </c>
      <c r="K16" s="36"/>
      <c r="L16" s="28">
        <v>45973</v>
      </c>
      <c r="M16" s="29" t="s">
        <v>68</v>
      </c>
      <c r="N16" s="15" t="s">
        <v>69</v>
      </c>
      <c r="O16" s="13">
        <v>60.5</v>
      </c>
      <c r="P16" s="15" t="s">
        <v>70</v>
      </c>
      <c r="Q16" s="13">
        <v>5.45</v>
      </c>
      <c r="R16" s="29" t="s">
        <v>71</v>
      </c>
    </row>
    <row r="17" spans="1:18" ht="22.5" x14ac:dyDescent="0.2">
      <c r="A17" s="1"/>
      <c r="B17" s="1" t="s">
        <v>64</v>
      </c>
      <c r="C17" s="1" t="s">
        <v>84</v>
      </c>
      <c r="D17" s="1" t="s">
        <v>85</v>
      </c>
      <c r="E17" s="28">
        <v>44947</v>
      </c>
      <c r="F17" s="14"/>
      <c r="G17" s="14" t="s">
        <v>80</v>
      </c>
      <c r="H17" s="51">
        <v>45962</v>
      </c>
      <c r="I17" s="36"/>
      <c r="J17" s="51">
        <v>45992</v>
      </c>
      <c r="K17" s="36"/>
      <c r="L17" s="28">
        <v>45972</v>
      </c>
      <c r="M17" s="29" t="s">
        <v>68</v>
      </c>
      <c r="N17" s="15" t="s">
        <v>69</v>
      </c>
      <c r="O17" s="13">
        <v>16</v>
      </c>
      <c r="P17" s="15" t="s">
        <v>70</v>
      </c>
      <c r="Q17" s="13">
        <v>1.44</v>
      </c>
      <c r="R17" s="29" t="s">
        <v>71</v>
      </c>
    </row>
    <row r="18" spans="1:18" ht="22.5" x14ac:dyDescent="0.2">
      <c r="A18" s="1"/>
      <c r="B18" s="1" t="s">
        <v>64</v>
      </c>
      <c r="C18" s="1" t="s">
        <v>86</v>
      </c>
      <c r="D18" s="1" t="s">
        <v>87</v>
      </c>
      <c r="E18" s="28">
        <v>44979</v>
      </c>
      <c r="F18" s="14"/>
      <c r="G18" s="14" t="s">
        <v>88</v>
      </c>
      <c r="H18" s="51">
        <v>45962</v>
      </c>
      <c r="I18" s="36"/>
      <c r="J18" s="51">
        <v>45992</v>
      </c>
      <c r="K18" s="36"/>
      <c r="L18" s="28">
        <v>45973</v>
      </c>
      <c r="M18" s="29" t="s">
        <v>68</v>
      </c>
      <c r="N18" s="15" t="s">
        <v>69</v>
      </c>
      <c r="O18" s="13">
        <v>98.66</v>
      </c>
      <c r="P18" s="15" t="s">
        <v>70</v>
      </c>
      <c r="Q18" s="13">
        <v>8.8800000000000008</v>
      </c>
      <c r="R18" s="29" t="s">
        <v>71</v>
      </c>
    </row>
    <row r="19" spans="1:18" ht="22.5" x14ac:dyDescent="0.2">
      <c r="A19" s="1"/>
      <c r="B19" s="1" t="s">
        <v>64</v>
      </c>
      <c r="C19" s="1" t="s">
        <v>89</v>
      </c>
      <c r="D19" s="1" t="s">
        <v>90</v>
      </c>
      <c r="E19" s="28">
        <v>44941</v>
      </c>
      <c r="F19" s="14"/>
      <c r="G19" s="14" t="s">
        <v>88</v>
      </c>
      <c r="H19" s="51">
        <v>45962</v>
      </c>
      <c r="I19" s="36"/>
      <c r="J19" s="51">
        <v>45992</v>
      </c>
      <c r="K19" s="36"/>
      <c r="L19" s="28">
        <v>45973</v>
      </c>
      <c r="M19" s="29" t="s">
        <v>68</v>
      </c>
      <c r="N19" s="15" t="s">
        <v>69</v>
      </c>
      <c r="O19" s="13">
        <v>123.1</v>
      </c>
      <c r="P19" s="15" t="s">
        <v>70</v>
      </c>
      <c r="Q19" s="13">
        <v>11.08</v>
      </c>
      <c r="R19" s="29" t="s">
        <v>71</v>
      </c>
    </row>
    <row r="20" spans="1:18" x14ac:dyDescent="0.2">
      <c r="A20" s="38" t="s">
        <v>91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1"/>
      <c r="O20" s="1"/>
      <c r="P20" s="1"/>
      <c r="Q20" s="1"/>
      <c r="R20" s="1"/>
    </row>
    <row r="21" spans="1:18" ht="22.5" x14ac:dyDescent="0.2">
      <c r="A21" s="1"/>
      <c r="B21" s="1" t="s">
        <v>64</v>
      </c>
      <c r="C21" s="1" t="s">
        <v>92</v>
      </c>
      <c r="D21" s="1" t="s">
        <v>93</v>
      </c>
      <c r="E21" s="28">
        <v>45253</v>
      </c>
      <c r="F21" s="14"/>
      <c r="G21" s="14" t="s">
        <v>94</v>
      </c>
      <c r="H21" s="51">
        <v>45962</v>
      </c>
      <c r="I21" s="36"/>
      <c r="J21" s="51">
        <v>45984</v>
      </c>
      <c r="K21" s="36"/>
      <c r="L21" s="28">
        <v>45973</v>
      </c>
      <c r="M21" s="29" t="s">
        <v>68</v>
      </c>
      <c r="N21" s="15" t="s">
        <v>69</v>
      </c>
      <c r="O21" s="13">
        <v>22.02</v>
      </c>
      <c r="P21" s="15" t="s">
        <v>95</v>
      </c>
      <c r="Q21" s="13">
        <v>0.99</v>
      </c>
      <c r="R21" s="29" t="s">
        <v>71</v>
      </c>
    </row>
    <row r="22" spans="1:18" ht="22.5" x14ac:dyDescent="0.2">
      <c r="A22" s="1"/>
      <c r="B22" s="1" t="s">
        <v>64</v>
      </c>
      <c r="C22" s="1" t="s">
        <v>92</v>
      </c>
      <c r="D22" s="1" t="s">
        <v>93</v>
      </c>
      <c r="E22" s="28">
        <v>45253</v>
      </c>
      <c r="F22" s="14"/>
      <c r="G22" s="14" t="s">
        <v>94</v>
      </c>
      <c r="H22" s="51">
        <v>45985</v>
      </c>
      <c r="I22" s="36"/>
      <c r="J22" s="51">
        <v>45992</v>
      </c>
      <c r="K22" s="36"/>
      <c r="L22" s="28">
        <v>45973</v>
      </c>
      <c r="M22" s="29" t="s">
        <v>68</v>
      </c>
      <c r="N22" s="15" t="s">
        <v>69</v>
      </c>
      <c r="O22" s="13">
        <v>8.01</v>
      </c>
      <c r="P22" s="15" t="s">
        <v>95</v>
      </c>
      <c r="Q22" s="13">
        <v>0.36</v>
      </c>
      <c r="R22" s="29" t="s">
        <v>71</v>
      </c>
    </row>
    <row r="23" spans="1:18" ht="22.5" x14ac:dyDescent="0.2">
      <c r="A23" s="1"/>
      <c r="B23" s="1" t="s">
        <v>64</v>
      </c>
      <c r="C23" s="1" t="s">
        <v>96</v>
      </c>
      <c r="D23" s="1" t="s">
        <v>97</v>
      </c>
      <c r="E23" s="28">
        <v>45237</v>
      </c>
      <c r="F23" s="14"/>
      <c r="G23" s="14" t="s">
        <v>98</v>
      </c>
      <c r="H23" s="51">
        <v>45962</v>
      </c>
      <c r="I23" s="36"/>
      <c r="J23" s="51">
        <v>45968</v>
      </c>
      <c r="K23" s="36"/>
      <c r="L23" s="28">
        <v>45972</v>
      </c>
      <c r="M23" s="29" t="s">
        <v>68</v>
      </c>
      <c r="N23" s="15" t="s">
        <v>69</v>
      </c>
      <c r="O23" s="13">
        <v>22.54</v>
      </c>
      <c r="P23" s="15" t="s">
        <v>99</v>
      </c>
      <c r="Q23" s="13">
        <v>4.0599999999999996</v>
      </c>
      <c r="R23" s="29" t="s">
        <v>71</v>
      </c>
    </row>
    <row r="24" spans="1:18" ht="22.5" x14ac:dyDescent="0.2">
      <c r="A24" s="1"/>
      <c r="B24" s="1" t="s">
        <v>64</v>
      </c>
      <c r="C24" s="1" t="s">
        <v>96</v>
      </c>
      <c r="D24" s="1" t="s">
        <v>97</v>
      </c>
      <c r="E24" s="28">
        <v>45237</v>
      </c>
      <c r="F24" s="14"/>
      <c r="G24" s="14" t="s">
        <v>98</v>
      </c>
      <c r="H24" s="51">
        <v>45969</v>
      </c>
      <c r="I24" s="36"/>
      <c r="J24" s="51">
        <v>45992</v>
      </c>
      <c r="K24" s="36"/>
      <c r="L24" s="28">
        <v>45972</v>
      </c>
      <c r="M24" s="29" t="s">
        <v>68</v>
      </c>
      <c r="N24" s="15" t="s">
        <v>69</v>
      </c>
      <c r="O24" s="13">
        <v>90.18</v>
      </c>
      <c r="P24" s="15" t="s">
        <v>99</v>
      </c>
      <c r="Q24" s="13">
        <v>16.23</v>
      </c>
      <c r="R24" s="29" t="s">
        <v>71</v>
      </c>
    </row>
    <row r="25" spans="1:18" ht="22.5" x14ac:dyDescent="0.2">
      <c r="A25" s="1"/>
      <c r="B25" s="1" t="s">
        <v>64</v>
      </c>
      <c r="C25" s="1" t="s">
        <v>100</v>
      </c>
      <c r="D25" s="1" t="s">
        <v>101</v>
      </c>
      <c r="E25" s="28">
        <v>45292</v>
      </c>
      <c r="F25" s="14"/>
      <c r="G25" s="14" t="s">
        <v>102</v>
      </c>
      <c r="H25" s="51">
        <v>45962</v>
      </c>
      <c r="I25" s="36"/>
      <c r="J25" s="51">
        <v>45992</v>
      </c>
      <c r="K25" s="36"/>
      <c r="L25" s="28">
        <v>45973</v>
      </c>
      <c r="M25" s="29" t="s">
        <v>68</v>
      </c>
      <c r="N25" s="15" t="s">
        <v>69</v>
      </c>
      <c r="O25" s="13">
        <v>68.45</v>
      </c>
      <c r="P25" s="15" t="s">
        <v>95</v>
      </c>
      <c r="Q25" s="13">
        <v>3.08</v>
      </c>
      <c r="R25" s="29" t="s">
        <v>71</v>
      </c>
    </row>
    <row r="26" spans="1:18" ht="22.5" x14ac:dyDescent="0.2">
      <c r="A26" s="1"/>
      <c r="B26" s="1" t="s">
        <v>64</v>
      </c>
      <c r="C26" s="1" t="s">
        <v>103</v>
      </c>
      <c r="D26" s="1" t="s">
        <v>101</v>
      </c>
      <c r="E26" s="28">
        <v>45292</v>
      </c>
      <c r="F26" s="14"/>
      <c r="G26" s="14" t="s">
        <v>98</v>
      </c>
      <c r="H26" s="51">
        <v>45962</v>
      </c>
      <c r="I26" s="36"/>
      <c r="J26" s="51">
        <v>45992</v>
      </c>
      <c r="K26" s="36"/>
      <c r="L26" s="28">
        <v>45973</v>
      </c>
      <c r="M26" s="29" t="s">
        <v>68</v>
      </c>
      <c r="N26" s="15" t="s">
        <v>69</v>
      </c>
      <c r="O26" s="13">
        <v>101.85</v>
      </c>
      <c r="P26" s="15" t="s">
        <v>70</v>
      </c>
      <c r="Q26" s="13">
        <v>9.17</v>
      </c>
      <c r="R26" s="29" t="s">
        <v>71</v>
      </c>
    </row>
    <row r="27" spans="1:18" ht="22.5" x14ac:dyDescent="0.2">
      <c r="A27" s="1"/>
      <c r="B27" s="1" t="s">
        <v>64</v>
      </c>
      <c r="C27" s="1" t="s">
        <v>104</v>
      </c>
      <c r="D27" s="1" t="s">
        <v>105</v>
      </c>
      <c r="E27" s="28">
        <v>45250</v>
      </c>
      <c r="F27" s="14"/>
      <c r="G27" s="14" t="s">
        <v>106</v>
      </c>
      <c r="H27" s="51">
        <v>45982</v>
      </c>
      <c r="I27" s="36"/>
      <c r="J27" s="51">
        <v>45992</v>
      </c>
      <c r="K27" s="36"/>
      <c r="L27" s="28">
        <v>45973</v>
      </c>
      <c r="M27" s="29" t="s">
        <v>68</v>
      </c>
      <c r="N27" s="15" t="s">
        <v>69</v>
      </c>
      <c r="O27" s="13">
        <v>16.600000000000001</v>
      </c>
      <c r="P27" s="15" t="s">
        <v>99</v>
      </c>
      <c r="Q27" s="13">
        <v>2.99</v>
      </c>
      <c r="R27" s="29" t="s">
        <v>71</v>
      </c>
    </row>
    <row r="28" spans="1:18" ht="22.5" x14ac:dyDescent="0.2">
      <c r="A28" s="1"/>
      <c r="B28" s="1" t="s">
        <v>64</v>
      </c>
      <c r="C28" s="1" t="s">
        <v>104</v>
      </c>
      <c r="D28" s="1" t="s">
        <v>105</v>
      </c>
      <c r="E28" s="28">
        <v>45250</v>
      </c>
      <c r="F28" s="14"/>
      <c r="G28" s="14" t="s">
        <v>106</v>
      </c>
      <c r="H28" s="51">
        <v>45962</v>
      </c>
      <c r="I28" s="36"/>
      <c r="J28" s="51">
        <v>45981</v>
      </c>
      <c r="K28" s="36"/>
      <c r="L28" s="28">
        <v>45973</v>
      </c>
      <c r="M28" s="29" t="s">
        <v>68</v>
      </c>
      <c r="N28" s="15" t="s">
        <v>69</v>
      </c>
      <c r="O28" s="13">
        <v>28.66</v>
      </c>
      <c r="P28" s="15" t="s">
        <v>99</v>
      </c>
      <c r="Q28" s="13">
        <v>5.16</v>
      </c>
      <c r="R28" s="29" t="s">
        <v>71</v>
      </c>
    </row>
    <row r="29" spans="1:18" ht="22.5" x14ac:dyDescent="0.2">
      <c r="A29" s="1"/>
      <c r="B29" s="1" t="s">
        <v>64</v>
      </c>
      <c r="C29" s="1" t="s">
        <v>107</v>
      </c>
      <c r="D29" s="1" t="s">
        <v>108</v>
      </c>
      <c r="E29" s="28">
        <v>44945</v>
      </c>
      <c r="F29" s="14"/>
      <c r="G29" s="14" t="s">
        <v>109</v>
      </c>
      <c r="H29" s="51">
        <v>45962</v>
      </c>
      <c r="I29" s="36"/>
      <c r="J29" s="51">
        <v>45992</v>
      </c>
      <c r="K29" s="36"/>
      <c r="L29" s="28">
        <v>45972</v>
      </c>
      <c r="M29" s="29" t="s">
        <v>68</v>
      </c>
      <c r="N29" s="15" t="s">
        <v>69</v>
      </c>
      <c r="O29" s="13">
        <v>19</v>
      </c>
      <c r="P29" s="15" t="s">
        <v>110</v>
      </c>
      <c r="Q29" s="13">
        <v>0.56999999999999995</v>
      </c>
      <c r="R29" s="29" t="s">
        <v>71</v>
      </c>
    </row>
    <row r="30" spans="1:18" ht="22.5" x14ac:dyDescent="0.2">
      <c r="A30" s="1"/>
      <c r="B30" s="1" t="s">
        <v>64</v>
      </c>
      <c r="C30" s="1" t="s">
        <v>111</v>
      </c>
      <c r="D30" s="1" t="s">
        <v>112</v>
      </c>
      <c r="E30" s="28">
        <v>45261</v>
      </c>
      <c r="F30" s="14"/>
      <c r="G30" s="14" t="s">
        <v>94</v>
      </c>
      <c r="H30" s="51">
        <v>45962</v>
      </c>
      <c r="I30" s="36"/>
      <c r="J30" s="51">
        <v>45992</v>
      </c>
      <c r="K30" s="36"/>
      <c r="L30" s="28">
        <v>45973</v>
      </c>
      <c r="M30" s="29" t="s">
        <v>68</v>
      </c>
      <c r="N30" s="15" t="s">
        <v>69</v>
      </c>
      <c r="O30" s="13">
        <v>30.03</v>
      </c>
      <c r="P30" s="15" t="s">
        <v>95</v>
      </c>
      <c r="Q30" s="13">
        <v>1.35</v>
      </c>
      <c r="R30" s="29" t="s">
        <v>71</v>
      </c>
    </row>
    <row r="31" spans="1:18" ht="22.5" x14ac:dyDescent="0.2">
      <c r="A31" s="1"/>
      <c r="B31" s="1" t="s">
        <v>64</v>
      </c>
      <c r="C31" s="1" t="s">
        <v>113</v>
      </c>
      <c r="D31" s="1" t="s">
        <v>112</v>
      </c>
      <c r="E31" s="28">
        <v>45261</v>
      </c>
      <c r="F31" s="14"/>
      <c r="G31" s="14" t="s">
        <v>98</v>
      </c>
      <c r="H31" s="51">
        <v>45962</v>
      </c>
      <c r="I31" s="36"/>
      <c r="J31" s="51">
        <v>45992</v>
      </c>
      <c r="K31" s="36"/>
      <c r="L31" s="28">
        <v>45973</v>
      </c>
      <c r="M31" s="29" t="s">
        <v>68</v>
      </c>
      <c r="N31" s="15" t="s">
        <v>69</v>
      </c>
      <c r="O31" s="13">
        <v>88.04</v>
      </c>
      <c r="P31" s="15" t="s">
        <v>99</v>
      </c>
      <c r="Q31" s="13">
        <v>15.85</v>
      </c>
      <c r="R31" s="29" t="s">
        <v>71</v>
      </c>
    </row>
    <row r="32" spans="1:18" ht="22.5" x14ac:dyDescent="0.2">
      <c r="A32" s="1"/>
      <c r="B32" s="1" t="s">
        <v>64</v>
      </c>
      <c r="C32" s="1" t="s">
        <v>114</v>
      </c>
      <c r="D32" s="1" t="s">
        <v>115</v>
      </c>
      <c r="E32" s="28">
        <v>45007</v>
      </c>
      <c r="F32" s="14"/>
      <c r="G32" s="14" t="s">
        <v>116</v>
      </c>
      <c r="H32" s="51">
        <v>45962</v>
      </c>
      <c r="I32" s="36"/>
      <c r="J32" s="51">
        <v>45992</v>
      </c>
      <c r="K32" s="36"/>
      <c r="L32" s="28">
        <v>45973</v>
      </c>
      <c r="M32" s="29" t="s">
        <v>68</v>
      </c>
      <c r="N32" s="15" t="s">
        <v>69</v>
      </c>
      <c r="O32" s="13">
        <v>59.98</v>
      </c>
      <c r="P32" s="15" t="s">
        <v>110</v>
      </c>
      <c r="Q32" s="13">
        <v>1.8</v>
      </c>
      <c r="R32" s="29" t="s">
        <v>71</v>
      </c>
    </row>
    <row r="33" spans="1:18" ht="22.5" x14ac:dyDescent="0.2">
      <c r="A33" s="1"/>
      <c r="B33" s="1" t="s">
        <v>64</v>
      </c>
      <c r="C33" s="1" t="s">
        <v>117</v>
      </c>
      <c r="D33" s="1" t="s">
        <v>118</v>
      </c>
      <c r="E33" s="28">
        <v>45050</v>
      </c>
      <c r="F33" s="14"/>
      <c r="G33" s="14" t="s">
        <v>119</v>
      </c>
      <c r="H33" s="51">
        <v>45962</v>
      </c>
      <c r="I33" s="36"/>
      <c r="J33" s="51">
        <v>45992</v>
      </c>
      <c r="K33" s="36"/>
      <c r="L33" s="28">
        <v>45973</v>
      </c>
      <c r="M33" s="29" t="s">
        <v>68</v>
      </c>
      <c r="N33" s="15" t="s">
        <v>69</v>
      </c>
      <c r="O33" s="13">
        <v>32.76</v>
      </c>
      <c r="P33" s="15" t="s">
        <v>110</v>
      </c>
      <c r="Q33" s="13">
        <v>0.98</v>
      </c>
      <c r="R33" s="29" t="s">
        <v>71</v>
      </c>
    </row>
    <row r="34" spans="1:18" ht="22.5" x14ac:dyDescent="0.2">
      <c r="A34" s="1"/>
      <c r="B34" s="1" t="s">
        <v>64</v>
      </c>
      <c r="C34" s="1" t="s">
        <v>120</v>
      </c>
      <c r="D34" s="1" t="s">
        <v>121</v>
      </c>
      <c r="E34" s="28">
        <v>45017</v>
      </c>
      <c r="F34" s="14"/>
      <c r="G34" s="14" t="s">
        <v>98</v>
      </c>
      <c r="H34" s="51">
        <v>45962</v>
      </c>
      <c r="I34" s="36"/>
      <c r="J34" s="51">
        <v>45992</v>
      </c>
      <c r="K34" s="36"/>
      <c r="L34" s="28">
        <v>45973</v>
      </c>
      <c r="M34" s="29" t="s">
        <v>68</v>
      </c>
      <c r="N34" s="15" t="s">
        <v>69</v>
      </c>
      <c r="O34" s="13">
        <v>70.239999999999995</v>
      </c>
      <c r="P34" s="15" t="s">
        <v>122</v>
      </c>
      <c r="Q34" s="13">
        <v>4.21</v>
      </c>
      <c r="R34" s="29" t="s">
        <v>71</v>
      </c>
    </row>
    <row r="35" spans="1:18" ht="22.5" x14ac:dyDescent="0.2">
      <c r="A35" s="1"/>
      <c r="B35" s="1" t="s">
        <v>64</v>
      </c>
      <c r="C35" s="1" t="s">
        <v>123</v>
      </c>
      <c r="D35" s="1" t="s">
        <v>124</v>
      </c>
      <c r="E35" s="28">
        <v>45227</v>
      </c>
      <c r="F35" s="14"/>
      <c r="G35" s="14" t="s">
        <v>125</v>
      </c>
      <c r="H35" s="51">
        <v>45962</v>
      </c>
      <c r="I35" s="36"/>
      <c r="J35" s="51">
        <v>45992</v>
      </c>
      <c r="K35" s="36"/>
      <c r="L35" s="28">
        <v>45973</v>
      </c>
      <c r="M35" s="29" t="s">
        <v>68</v>
      </c>
      <c r="N35" s="15" t="s">
        <v>69</v>
      </c>
      <c r="O35" s="13">
        <v>13.5</v>
      </c>
      <c r="P35" s="15" t="s">
        <v>70</v>
      </c>
      <c r="Q35" s="13">
        <v>1.22</v>
      </c>
      <c r="R35" s="29" t="s">
        <v>71</v>
      </c>
    </row>
    <row r="36" spans="1:18" ht="22.5" x14ac:dyDescent="0.2">
      <c r="A36" s="1"/>
      <c r="B36" s="1" t="s">
        <v>64</v>
      </c>
      <c r="C36" s="1" t="s">
        <v>126</v>
      </c>
      <c r="D36" s="1" t="s">
        <v>124</v>
      </c>
      <c r="E36" s="28">
        <v>45227</v>
      </c>
      <c r="F36" s="14"/>
      <c r="G36" s="14" t="s">
        <v>127</v>
      </c>
      <c r="H36" s="51">
        <v>45962</v>
      </c>
      <c r="I36" s="36"/>
      <c r="J36" s="51">
        <v>45992</v>
      </c>
      <c r="K36" s="36"/>
      <c r="L36" s="28">
        <v>45973</v>
      </c>
      <c r="M36" s="29" t="s">
        <v>68</v>
      </c>
      <c r="N36" s="15" t="s">
        <v>69</v>
      </c>
      <c r="O36" s="13">
        <v>33.92</v>
      </c>
      <c r="P36" s="15" t="s">
        <v>99</v>
      </c>
      <c r="Q36" s="13">
        <v>6.11</v>
      </c>
      <c r="R36" s="29" t="s">
        <v>71</v>
      </c>
    </row>
    <row r="37" spans="1:18" ht="33.75" x14ac:dyDescent="0.2">
      <c r="A37" s="1"/>
      <c r="B37" s="1" t="s">
        <v>64</v>
      </c>
      <c r="C37" s="1" t="s">
        <v>128</v>
      </c>
      <c r="D37" s="1" t="s">
        <v>129</v>
      </c>
      <c r="E37" s="28">
        <v>45343</v>
      </c>
      <c r="F37" s="14"/>
      <c r="G37" s="14" t="s">
        <v>94</v>
      </c>
      <c r="H37" s="51">
        <v>45962</v>
      </c>
      <c r="I37" s="36"/>
      <c r="J37" s="51">
        <v>45992</v>
      </c>
      <c r="K37" s="36"/>
      <c r="L37" s="28">
        <v>45972</v>
      </c>
      <c r="M37" s="29" t="s">
        <v>68</v>
      </c>
      <c r="N37" s="15" t="s">
        <v>69</v>
      </c>
      <c r="O37" s="13">
        <v>38.71</v>
      </c>
      <c r="P37" s="15" t="s">
        <v>95</v>
      </c>
      <c r="Q37" s="13">
        <v>1.74</v>
      </c>
      <c r="R37" s="29" t="s">
        <v>71</v>
      </c>
    </row>
    <row r="38" spans="1:18" ht="33.75" x14ac:dyDescent="0.2">
      <c r="A38" s="1"/>
      <c r="B38" s="1" t="s">
        <v>64</v>
      </c>
      <c r="C38" s="1" t="s">
        <v>130</v>
      </c>
      <c r="D38" s="1" t="s">
        <v>129</v>
      </c>
      <c r="E38" s="28">
        <v>45343</v>
      </c>
      <c r="F38" s="14"/>
      <c r="G38" s="14" t="s">
        <v>98</v>
      </c>
      <c r="H38" s="51">
        <v>45962</v>
      </c>
      <c r="I38" s="36"/>
      <c r="J38" s="51">
        <v>45992</v>
      </c>
      <c r="K38" s="36"/>
      <c r="L38" s="28">
        <v>45972</v>
      </c>
      <c r="M38" s="29" t="s">
        <v>68</v>
      </c>
      <c r="N38" s="15" t="s">
        <v>69</v>
      </c>
      <c r="O38" s="13">
        <v>23.37</v>
      </c>
      <c r="P38" s="15" t="s">
        <v>70</v>
      </c>
      <c r="Q38" s="13">
        <v>2.1</v>
      </c>
      <c r="R38" s="29" t="s">
        <v>71</v>
      </c>
    </row>
    <row r="39" spans="1:18" x14ac:dyDescent="0.2">
      <c r="A39" s="38" t="s">
        <v>131</v>
      </c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1"/>
      <c r="O39" s="1"/>
      <c r="P39" s="1"/>
      <c r="Q39" s="1"/>
      <c r="R39" s="1"/>
    </row>
    <row r="40" spans="1:18" ht="22.5" x14ac:dyDescent="0.2">
      <c r="A40" s="1"/>
      <c r="B40" s="1" t="s">
        <v>64</v>
      </c>
      <c r="C40" s="1" t="s">
        <v>132</v>
      </c>
      <c r="D40" s="1" t="s">
        <v>133</v>
      </c>
      <c r="E40" s="28">
        <v>45250</v>
      </c>
      <c r="F40" s="14"/>
      <c r="G40" s="14" t="s">
        <v>134</v>
      </c>
      <c r="H40" s="51">
        <v>45962</v>
      </c>
      <c r="I40" s="36"/>
      <c r="J40" s="51">
        <v>45981</v>
      </c>
      <c r="K40" s="36"/>
      <c r="L40" s="28">
        <v>45972</v>
      </c>
      <c r="M40" s="29" t="s">
        <v>68</v>
      </c>
      <c r="N40" s="15" t="s">
        <v>69</v>
      </c>
      <c r="O40" s="13">
        <v>7.6</v>
      </c>
      <c r="P40" s="15" t="s">
        <v>70</v>
      </c>
      <c r="Q40" s="13">
        <v>0.68</v>
      </c>
      <c r="R40" s="29" t="s">
        <v>71</v>
      </c>
    </row>
    <row r="41" spans="1:18" ht="22.5" x14ac:dyDescent="0.2">
      <c r="A41" s="1"/>
      <c r="B41" s="1" t="s">
        <v>64</v>
      </c>
      <c r="C41" s="1" t="s">
        <v>132</v>
      </c>
      <c r="D41" s="1" t="s">
        <v>133</v>
      </c>
      <c r="E41" s="28">
        <v>45250</v>
      </c>
      <c r="F41" s="14"/>
      <c r="G41" s="14" t="s">
        <v>134</v>
      </c>
      <c r="H41" s="51">
        <v>45982</v>
      </c>
      <c r="I41" s="36"/>
      <c r="J41" s="51">
        <v>45992</v>
      </c>
      <c r="K41" s="36"/>
      <c r="L41" s="28">
        <v>45972</v>
      </c>
      <c r="M41" s="29" t="s">
        <v>68</v>
      </c>
      <c r="N41" s="15" t="s">
        <v>69</v>
      </c>
      <c r="O41" s="13">
        <v>4.4000000000000004</v>
      </c>
      <c r="P41" s="15" t="s">
        <v>70</v>
      </c>
      <c r="Q41" s="13">
        <v>0.4</v>
      </c>
      <c r="R41" s="29" t="s">
        <v>71</v>
      </c>
    </row>
    <row r="42" spans="1:18" ht="22.5" x14ac:dyDescent="0.2">
      <c r="A42" s="1"/>
      <c r="B42" s="1" t="s">
        <v>64</v>
      </c>
      <c r="C42" s="1" t="s">
        <v>135</v>
      </c>
      <c r="D42" s="1" t="s">
        <v>133</v>
      </c>
      <c r="E42" s="28">
        <v>45250</v>
      </c>
      <c r="F42" s="14"/>
      <c r="G42" s="14" t="s">
        <v>136</v>
      </c>
      <c r="H42" s="51">
        <v>45982</v>
      </c>
      <c r="I42" s="36"/>
      <c r="J42" s="51">
        <v>45992</v>
      </c>
      <c r="K42" s="36"/>
      <c r="L42" s="28">
        <v>45972</v>
      </c>
      <c r="M42" s="29" t="s">
        <v>68</v>
      </c>
      <c r="N42" s="15" t="s">
        <v>69</v>
      </c>
      <c r="O42" s="13">
        <v>4.84</v>
      </c>
      <c r="P42" s="15" t="s">
        <v>70</v>
      </c>
      <c r="Q42" s="13">
        <v>0.44</v>
      </c>
      <c r="R42" s="29" t="s">
        <v>71</v>
      </c>
    </row>
    <row r="43" spans="1:18" ht="22.5" x14ac:dyDescent="0.2">
      <c r="A43" s="1"/>
      <c r="B43" s="1" t="s">
        <v>64</v>
      </c>
      <c r="C43" s="1" t="s">
        <v>135</v>
      </c>
      <c r="D43" s="1" t="s">
        <v>133</v>
      </c>
      <c r="E43" s="28">
        <v>45250</v>
      </c>
      <c r="F43" s="14"/>
      <c r="G43" s="14" t="s">
        <v>136</v>
      </c>
      <c r="H43" s="51">
        <v>45962</v>
      </c>
      <c r="I43" s="36"/>
      <c r="J43" s="51">
        <v>45981</v>
      </c>
      <c r="K43" s="36"/>
      <c r="L43" s="28">
        <v>45972</v>
      </c>
      <c r="M43" s="29" t="s">
        <v>68</v>
      </c>
      <c r="N43" s="15" t="s">
        <v>69</v>
      </c>
      <c r="O43" s="13">
        <v>8.36</v>
      </c>
      <c r="P43" s="15" t="s">
        <v>70</v>
      </c>
      <c r="Q43" s="13">
        <v>0.75</v>
      </c>
      <c r="R43" s="29" t="s">
        <v>71</v>
      </c>
    </row>
    <row r="44" spans="1:18" ht="33.75" x14ac:dyDescent="0.2">
      <c r="A44" s="1"/>
      <c r="B44" s="1" t="s">
        <v>64</v>
      </c>
      <c r="C44" s="1" t="s">
        <v>137</v>
      </c>
      <c r="D44" s="1" t="s">
        <v>138</v>
      </c>
      <c r="E44" s="28">
        <v>45250</v>
      </c>
      <c r="F44" s="14"/>
      <c r="G44" s="14" t="s">
        <v>94</v>
      </c>
      <c r="H44" s="51">
        <v>45962</v>
      </c>
      <c r="I44" s="36"/>
      <c r="J44" s="51">
        <v>45981</v>
      </c>
      <c r="K44" s="36"/>
      <c r="L44" s="28">
        <v>45972</v>
      </c>
      <c r="M44" s="29" t="s">
        <v>68</v>
      </c>
      <c r="N44" s="15" t="s">
        <v>69</v>
      </c>
      <c r="O44" s="13">
        <v>19.02</v>
      </c>
      <c r="P44" s="15" t="s">
        <v>95</v>
      </c>
      <c r="Q44" s="13">
        <v>0.86</v>
      </c>
      <c r="R44" s="29" t="s">
        <v>71</v>
      </c>
    </row>
    <row r="45" spans="1:18" ht="33.75" x14ac:dyDescent="0.2">
      <c r="A45" s="1"/>
      <c r="B45" s="1" t="s">
        <v>64</v>
      </c>
      <c r="C45" s="1" t="s">
        <v>137</v>
      </c>
      <c r="D45" s="1" t="s">
        <v>138</v>
      </c>
      <c r="E45" s="28">
        <v>45250</v>
      </c>
      <c r="F45" s="14"/>
      <c r="G45" s="14" t="s">
        <v>94</v>
      </c>
      <c r="H45" s="51">
        <v>45982</v>
      </c>
      <c r="I45" s="36"/>
      <c r="J45" s="51">
        <v>45992</v>
      </c>
      <c r="K45" s="36"/>
      <c r="L45" s="28">
        <v>45972</v>
      </c>
      <c r="M45" s="29" t="s">
        <v>68</v>
      </c>
      <c r="N45" s="15" t="s">
        <v>69</v>
      </c>
      <c r="O45" s="13">
        <v>11.01</v>
      </c>
      <c r="P45" s="15" t="s">
        <v>95</v>
      </c>
      <c r="Q45" s="13">
        <v>0.5</v>
      </c>
      <c r="R45" s="29" t="s">
        <v>71</v>
      </c>
    </row>
    <row r="46" spans="1:18" ht="22.5" x14ac:dyDescent="0.2">
      <c r="A46" s="1"/>
      <c r="B46" s="1" t="s">
        <v>64</v>
      </c>
      <c r="C46" s="1" t="s">
        <v>139</v>
      </c>
      <c r="D46" s="1" t="s">
        <v>140</v>
      </c>
      <c r="E46" s="28">
        <v>45301</v>
      </c>
      <c r="F46" s="14"/>
      <c r="G46" s="14" t="s">
        <v>141</v>
      </c>
      <c r="H46" s="51">
        <v>45962</v>
      </c>
      <c r="I46" s="36"/>
      <c r="J46" s="51">
        <v>45992</v>
      </c>
      <c r="K46" s="36"/>
      <c r="L46" s="28">
        <v>45973</v>
      </c>
      <c r="M46" s="29" t="s">
        <v>68</v>
      </c>
      <c r="N46" s="15" t="s">
        <v>69</v>
      </c>
      <c r="O46" s="13">
        <v>20.399999999999999</v>
      </c>
      <c r="P46" s="15" t="s">
        <v>70</v>
      </c>
      <c r="Q46" s="13">
        <v>1.84</v>
      </c>
      <c r="R46" s="29" t="s">
        <v>71</v>
      </c>
    </row>
    <row r="47" spans="1:18" ht="22.5" x14ac:dyDescent="0.2">
      <c r="A47" s="1"/>
      <c r="B47" s="1" t="s">
        <v>64</v>
      </c>
      <c r="C47" s="1" t="s">
        <v>142</v>
      </c>
      <c r="D47" s="1" t="s">
        <v>140</v>
      </c>
      <c r="E47" s="28">
        <v>45301</v>
      </c>
      <c r="F47" s="14"/>
      <c r="G47" s="14" t="s">
        <v>143</v>
      </c>
      <c r="H47" s="51">
        <v>45962</v>
      </c>
      <c r="I47" s="36"/>
      <c r="J47" s="51">
        <v>45992</v>
      </c>
      <c r="K47" s="36"/>
      <c r="L47" s="28">
        <v>45973</v>
      </c>
      <c r="M47" s="29" t="s">
        <v>68</v>
      </c>
      <c r="N47" s="15" t="s">
        <v>69</v>
      </c>
      <c r="O47" s="13">
        <v>24</v>
      </c>
      <c r="P47" s="15" t="s">
        <v>70</v>
      </c>
      <c r="Q47" s="13">
        <v>2.16</v>
      </c>
      <c r="R47" s="29" t="s">
        <v>71</v>
      </c>
    </row>
    <row r="48" spans="1:18" ht="22.5" x14ac:dyDescent="0.2">
      <c r="A48" s="1"/>
      <c r="B48" s="1" t="s">
        <v>64</v>
      </c>
      <c r="C48" s="1" t="s">
        <v>144</v>
      </c>
      <c r="D48" s="1" t="s">
        <v>145</v>
      </c>
      <c r="E48" s="28">
        <v>45292</v>
      </c>
      <c r="F48" s="14"/>
      <c r="G48" s="14" t="s">
        <v>134</v>
      </c>
      <c r="H48" s="51">
        <v>45962</v>
      </c>
      <c r="I48" s="36"/>
      <c r="J48" s="51">
        <v>45992</v>
      </c>
      <c r="K48" s="36"/>
      <c r="L48" s="28">
        <v>45973</v>
      </c>
      <c r="M48" s="29" t="s">
        <v>68</v>
      </c>
      <c r="N48" s="15" t="s">
        <v>69</v>
      </c>
      <c r="O48" s="13">
        <v>15.9</v>
      </c>
      <c r="P48" s="15" t="s">
        <v>70</v>
      </c>
      <c r="Q48" s="13">
        <v>1.43</v>
      </c>
      <c r="R48" s="29" t="s">
        <v>71</v>
      </c>
    </row>
    <row r="49" spans="1:18" ht="22.5" x14ac:dyDescent="0.2">
      <c r="A49" s="1"/>
      <c r="B49" s="1" t="s">
        <v>64</v>
      </c>
      <c r="C49" s="1" t="s">
        <v>146</v>
      </c>
      <c r="D49" s="1" t="s">
        <v>145</v>
      </c>
      <c r="E49" s="28">
        <v>45292</v>
      </c>
      <c r="F49" s="14"/>
      <c r="G49" s="14" t="s">
        <v>136</v>
      </c>
      <c r="H49" s="51">
        <v>45962</v>
      </c>
      <c r="I49" s="36"/>
      <c r="J49" s="51">
        <v>45992</v>
      </c>
      <c r="K49" s="36"/>
      <c r="L49" s="28">
        <v>45973</v>
      </c>
      <c r="M49" s="29" t="s">
        <v>68</v>
      </c>
      <c r="N49" s="15" t="s">
        <v>69</v>
      </c>
      <c r="O49" s="13">
        <v>14.2</v>
      </c>
      <c r="P49" s="15" t="s">
        <v>70</v>
      </c>
      <c r="Q49" s="13">
        <v>1.28</v>
      </c>
      <c r="R49" s="29" t="s">
        <v>71</v>
      </c>
    </row>
    <row r="50" spans="1:18" ht="22.5" x14ac:dyDescent="0.2">
      <c r="A50" s="1"/>
      <c r="B50" s="1" t="s">
        <v>64</v>
      </c>
      <c r="C50" s="1" t="s">
        <v>147</v>
      </c>
      <c r="D50" s="1" t="s">
        <v>148</v>
      </c>
      <c r="E50" s="28">
        <v>45254</v>
      </c>
      <c r="F50" s="14"/>
      <c r="G50" s="14" t="s">
        <v>149</v>
      </c>
      <c r="H50" s="51">
        <v>45962</v>
      </c>
      <c r="I50" s="36"/>
      <c r="J50" s="51">
        <v>45985</v>
      </c>
      <c r="K50" s="36"/>
      <c r="L50" s="28">
        <v>45973</v>
      </c>
      <c r="M50" s="29" t="s">
        <v>68</v>
      </c>
      <c r="N50" s="15" t="s">
        <v>69</v>
      </c>
      <c r="O50" s="13">
        <v>40.630000000000003</v>
      </c>
      <c r="P50" s="15" t="s">
        <v>70</v>
      </c>
      <c r="Q50" s="13">
        <v>3.66</v>
      </c>
      <c r="R50" s="29" t="s">
        <v>71</v>
      </c>
    </row>
    <row r="51" spans="1:18" ht="22.5" x14ac:dyDescent="0.2">
      <c r="A51" s="1"/>
      <c r="B51" s="1" t="s">
        <v>64</v>
      </c>
      <c r="C51" s="1" t="s">
        <v>147</v>
      </c>
      <c r="D51" s="1" t="s">
        <v>148</v>
      </c>
      <c r="E51" s="28">
        <v>45254</v>
      </c>
      <c r="F51" s="14"/>
      <c r="G51" s="14" t="s">
        <v>149</v>
      </c>
      <c r="H51" s="51">
        <v>45986</v>
      </c>
      <c r="I51" s="36"/>
      <c r="J51" s="51">
        <v>45992</v>
      </c>
      <c r="K51" s="36"/>
      <c r="L51" s="28">
        <v>45973</v>
      </c>
      <c r="M51" s="29" t="s">
        <v>68</v>
      </c>
      <c r="N51" s="15" t="s">
        <v>69</v>
      </c>
      <c r="O51" s="13">
        <v>12.37</v>
      </c>
      <c r="P51" s="15" t="s">
        <v>70</v>
      </c>
      <c r="Q51" s="13">
        <v>1.1100000000000001</v>
      </c>
      <c r="R51" s="29" t="s">
        <v>71</v>
      </c>
    </row>
    <row r="52" spans="1:18" ht="22.5" x14ac:dyDescent="0.2">
      <c r="A52" s="1"/>
      <c r="B52" s="1" t="s">
        <v>64</v>
      </c>
      <c r="C52" s="1" t="s">
        <v>150</v>
      </c>
      <c r="D52" s="1" t="s">
        <v>148</v>
      </c>
      <c r="E52" s="28">
        <v>45254</v>
      </c>
      <c r="F52" s="14"/>
      <c r="G52" s="14" t="s">
        <v>151</v>
      </c>
      <c r="H52" s="51">
        <v>45962</v>
      </c>
      <c r="I52" s="36"/>
      <c r="J52" s="51">
        <v>45985</v>
      </c>
      <c r="K52" s="36"/>
      <c r="L52" s="28">
        <v>45973</v>
      </c>
      <c r="M52" s="29" t="s">
        <v>68</v>
      </c>
      <c r="N52" s="15" t="s">
        <v>69</v>
      </c>
      <c r="O52" s="13">
        <v>36.49</v>
      </c>
      <c r="P52" s="15" t="s">
        <v>70</v>
      </c>
      <c r="Q52" s="13">
        <v>3.28</v>
      </c>
      <c r="R52" s="29" t="s">
        <v>71</v>
      </c>
    </row>
    <row r="53" spans="1:18" ht="22.5" x14ac:dyDescent="0.2">
      <c r="A53" s="1"/>
      <c r="B53" s="1" t="s">
        <v>64</v>
      </c>
      <c r="C53" s="1" t="s">
        <v>150</v>
      </c>
      <c r="D53" s="1" t="s">
        <v>148</v>
      </c>
      <c r="E53" s="28">
        <v>45254</v>
      </c>
      <c r="F53" s="14"/>
      <c r="G53" s="14" t="s">
        <v>151</v>
      </c>
      <c r="H53" s="51">
        <v>45986</v>
      </c>
      <c r="I53" s="36"/>
      <c r="J53" s="51">
        <v>45992</v>
      </c>
      <c r="K53" s="36"/>
      <c r="L53" s="28">
        <v>45973</v>
      </c>
      <c r="M53" s="29" t="s">
        <v>68</v>
      </c>
      <c r="N53" s="15" t="s">
        <v>69</v>
      </c>
      <c r="O53" s="13">
        <v>11.11</v>
      </c>
      <c r="P53" s="15" t="s">
        <v>70</v>
      </c>
      <c r="Q53" s="13">
        <v>1</v>
      </c>
      <c r="R53" s="29" t="s">
        <v>71</v>
      </c>
    </row>
    <row r="54" spans="1:18" x14ac:dyDescent="0.2">
      <c r="A54" s="38" t="s">
        <v>152</v>
      </c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1"/>
      <c r="O54" s="1"/>
      <c r="P54" s="1"/>
      <c r="Q54" s="1"/>
      <c r="R54" s="1"/>
    </row>
    <row r="55" spans="1:18" ht="22.5" x14ac:dyDescent="0.2">
      <c r="A55" s="1"/>
      <c r="B55" s="1" t="s">
        <v>64</v>
      </c>
      <c r="C55" s="1" t="s">
        <v>153</v>
      </c>
      <c r="D55" s="1" t="s">
        <v>154</v>
      </c>
      <c r="E55" s="28">
        <v>44902</v>
      </c>
      <c r="F55" s="14"/>
      <c r="G55" s="14" t="s">
        <v>155</v>
      </c>
      <c r="H55" s="51">
        <v>45962</v>
      </c>
      <c r="I55" s="36"/>
      <c r="J55" s="51">
        <v>45992</v>
      </c>
      <c r="K55" s="36"/>
      <c r="L55" s="28">
        <v>45972</v>
      </c>
      <c r="M55" s="29" t="s">
        <v>68</v>
      </c>
      <c r="N55" s="15" t="s">
        <v>69</v>
      </c>
      <c r="O55" s="13">
        <v>111.5</v>
      </c>
      <c r="P55" s="15" t="s">
        <v>70</v>
      </c>
      <c r="Q55" s="13">
        <v>10.039999999999999</v>
      </c>
      <c r="R55" s="29" t="s">
        <v>71</v>
      </c>
    </row>
    <row r="56" spans="1:18" ht="33.75" x14ac:dyDescent="0.2">
      <c r="A56" s="1"/>
      <c r="B56" s="1" t="s">
        <v>64</v>
      </c>
      <c r="C56" s="1" t="s">
        <v>156</v>
      </c>
      <c r="D56" s="1" t="s">
        <v>157</v>
      </c>
      <c r="E56" s="28">
        <v>44858</v>
      </c>
      <c r="F56" s="14"/>
      <c r="G56" s="14" t="s">
        <v>158</v>
      </c>
      <c r="H56" s="51">
        <v>45962</v>
      </c>
      <c r="I56" s="36"/>
      <c r="J56" s="51">
        <v>45992</v>
      </c>
      <c r="K56" s="36"/>
      <c r="L56" s="28">
        <v>45973</v>
      </c>
      <c r="M56" s="29" t="s">
        <v>68</v>
      </c>
      <c r="N56" s="15" t="s">
        <v>69</v>
      </c>
      <c r="O56" s="13">
        <v>64.430000000000007</v>
      </c>
      <c r="P56" s="15" t="s">
        <v>70</v>
      </c>
      <c r="Q56" s="13">
        <v>5.8</v>
      </c>
      <c r="R56" s="29" t="s">
        <v>71</v>
      </c>
    </row>
    <row r="57" spans="1:18" x14ac:dyDescent="0.2">
      <c r="A57" s="38" t="s">
        <v>159</v>
      </c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1"/>
      <c r="O57" s="1"/>
      <c r="P57" s="1"/>
      <c r="Q57" s="1"/>
      <c r="R57" s="1"/>
    </row>
    <row r="58" spans="1:18" ht="22.5" x14ac:dyDescent="0.2">
      <c r="A58" s="1"/>
      <c r="B58" s="1" t="s">
        <v>64</v>
      </c>
      <c r="C58" s="1" t="s">
        <v>160</v>
      </c>
      <c r="D58" s="1" t="s">
        <v>161</v>
      </c>
      <c r="E58" s="28">
        <v>44860</v>
      </c>
      <c r="F58" s="14"/>
      <c r="G58" s="14" t="s">
        <v>162</v>
      </c>
      <c r="H58" s="51">
        <v>45962</v>
      </c>
      <c r="I58" s="36"/>
      <c r="J58" s="51">
        <v>45992</v>
      </c>
      <c r="K58" s="36"/>
      <c r="L58" s="28">
        <v>45973</v>
      </c>
      <c r="M58" s="29" t="s">
        <v>68</v>
      </c>
      <c r="N58" s="15" t="s">
        <v>69</v>
      </c>
      <c r="O58" s="13">
        <v>9.1999999999999993</v>
      </c>
      <c r="P58" s="15" t="s">
        <v>70</v>
      </c>
      <c r="Q58" s="13">
        <v>0.83</v>
      </c>
      <c r="R58" s="29" t="s">
        <v>71</v>
      </c>
    </row>
    <row r="59" spans="1:18" ht="22.5" x14ac:dyDescent="0.2">
      <c r="A59" s="1"/>
      <c r="B59" s="1" t="s">
        <v>64</v>
      </c>
      <c r="C59" s="1" t="s">
        <v>163</v>
      </c>
      <c r="D59" s="1" t="s">
        <v>164</v>
      </c>
      <c r="E59" s="28">
        <v>44936</v>
      </c>
      <c r="F59" s="14"/>
      <c r="G59" s="14" t="s">
        <v>165</v>
      </c>
      <c r="H59" s="51">
        <v>45962</v>
      </c>
      <c r="I59" s="36"/>
      <c r="J59" s="51">
        <v>45992</v>
      </c>
      <c r="K59" s="36"/>
      <c r="L59" s="28">
        <v>45973</v>
      </c>
      <c r="M59" s="29" t="s">
        <v>68</v>
      </c>
      <c r="N59" s="15" t="s">
        <v>69</v>
      </c>
      <c r="O59" s="13">
        <v>42.64</v>
      </c>
      <c r="P59" s="15" t="s">
        <v>70</v>
      </c>
      <c r="Q59" s="13">
        <v>3.84</v>
      </c>
      <c r="R59" s="29" t="s">
        <v>71</v>
      </c>
    </row>
    <row r="60" spans="1:18" ht="22.5" x14ac:dyDescent="0.2">
      <c r="A60" s="1"/>
      <c r="B60" s="1" t="s">
        <v>64</v>
      </c>
      <c r="C60" s="1" t="s">
        <v>166</v>
      </c>
      <c r="D60" s="1" t="s">
        <v>164</v>
      </c>
      <c r="E60" s="28">
        <v>44936</v>
      </c>
      <c r="F60" s="14"/>
      <c r="G60" s="14" t="s">
        <v>167</v>
      </c>
      <c r="H60" s="51">
        <v>45962</v>
      </c>
      <c r="I60" s="36"/>
      <c r="J60" s="51">
        <v>45992</v>
      </c>
      <c r="K60" s="36"/>
      <c r="L60" s="28">
        <v>45973</v>
      </c>
      <c r="M60" s="29" t="s">
        <v>68</v>
      </c>
      <c r="N60" s="15" t="s">
        <v>69</v>
      </c>
      <c r="O60" s="13">
        <v>10</v>
      </c>
      <c r="P60" s="15" t="s">
        <v>70</v>
      </c>
      <c r="Q60" s="13">
        <v>0.9</v>
      </c>
      <c r="R60" s="29" t="s">
        <v>71</v>
      </c>
    </row>
    <row r="61" spans="1:18" ht="22.5" x14ac:dyDescent="0.2">
      <c r="A61" s="1"/>
      <c r="B61" s="1" t="s">
        <v>64</v>
      </c>
      <c r="C61" s="1" t="s">
        <v>168</v>
      </c>
      <c r="D61" s="1" t="s">
        <v>169</v>
      </c>
      <c r="E61" s="28">
        <v>44902</v>
      </c>
      <c r="F61" s="14"/>
      <c r="G61" s="14" t="s">
        <v>88</v>
      </c>
      <c r="H61" s="51">
        <v>45962</v>
      </c>
      <c r="I61" s="36"/>
      <c r="J61" s="51">
        <v>45992</v>
      </c>
      <c r="K61" s="36"/>
      <c r="L61" s="28">
        <v>45972</v>
      </c>
      <c r="M61" s="29" t="s">
        <v>68</v>
      </c>
      <c r="N61" s="15" t="s">
        <v>69</v>
      </c>
      <c r="O61" s="13">
        <v>129</v>
      </c>
      <c r="P61" s="15" t="s">
        <v>70</v>
      </c>
      <c r="Q61" s="13">
        <v>11.61</v>
      </c>
      <c r="R61" s="29" t="s">
        <v>71</v>
      </c>
    </row>
    <row r="62" spans="1:18" ht="22.5" x14ac:dyDescent="0.2">
      <c r="A62" s="1"/>
      <c r="B62" s="1" t="s">
        <v>64</v>
      </c>
      <c r="C62" s="1" t="s">
        <v>170</v>
      </c>
      <c r="D62" s="1" t="s">
        <v>171</v>
      </c>
      <c r="E62" s="28">
        <v>44872</v>
      </c>
      <c r="F62" s="14"/>
      <c r="G62" s="14" t="s">
        <v>172</v>
      </c>
      <c r="H62" s="51">
        <v>45962</v>
      </c>
      <c r="I62" s="36"/>
      <c r="J62" s="51">
        <v>45968</v>
      </c>
      <c r="K62" s="36"/>
      <c r="L62" s="28">
        <v>45972</v>
      </c>
      <c r="M62" s="29" t="s">
        <v>68</v>
      </c>
      <c r="N62" s="15" t="s">
        <v>69</v>
      </c>
      <c r="O62" s="13">
        <v>3.2</v>
      </c>
      <c r="P62" s="15" t="s">
        <v>70</v>
      </c>
      <c r="Q62" s="13">
        <v>0.28999999999999998</v>
      </c>
      <c r="R62" s="29" t="s">
        <v>71</v>
      </c>
    </row>
    <row r="63" spans="1:18" ht="22.5" x14ac:dyDescent="0.2">
      <c r="A63" s="1"/>
      <c r="B63" s="1" t="s">
        <v>64</v>
      </c>
      <c r="C63" s="1" t="s">
        <v>170</v>
      </c>
      <c r="D63" s="1" t="s">
        <v>171</v>
      </c>
      <c r="E63" s="28">
        <v>44872</v>
      </c>
      <c r="F63" s="14"/>
      <c r="G63" s="14" t="s">
        <v>172</v>
      </c>
      <c r="H63" s="51">
        <v>45969</v>
      </c>
      <c r="I63" s="36"/>
      <c r="J63" s="51">
        <v>45992</v>
      </c>
      <c r="K63" s="36"/>
      <c r="L63" s="28">
        <v>45972</v>
      </c>
      <c r="M63" s="29" t="s">
        <v>68</v>
      </c>
      <c r="N63" s="15" t="s">
        <v>69</v>
      </c>
      <c r="O63" s="13">
        <v>12.8</v>
      </c>
      <c r="P63" s="15" t="s">
        <v>70</v>
      </c>
      <c r="Q63" s="13">
        <v>1.1499999999999999</v>
      </c>
      <c r="R63" s="29" t="s">
        <v>71</v>
      </c>
    </row>
    <row r="64" spans="1:18" ht="22.5" x14ac:dyDescent="0.2">
      <c r="A64" s="1"/>
      <c r="B64" s="1" t="s">
        <v>64</v>
      </c>
      <c r="C64" s="1" t="s">
        <v>173</v>
      </c>
      <c r="D64" s="1" t="s">
        <v>174</v>
      </c>
      <c r="E64" s="28">
        <v>44951</v>
      </c>
      <c r="F64" s="14"/>
      <c r="G64" s="14" t="s">
        <v>172</v>
      </c>
      <c r="H64" s="51">
        <v>45962</v>
      </c>
      <c r="I64" s="36"/>
      <c r="J64" s="51">
        <v>45992</v>
      </c>
      <c r="K64" s="36"/>
      <c r="L64" s="28">
        <v>45973</v>
      </c>
      <c r="M64" s="29" t="s">
        <v>68</v>
      </c>
      <c r="N64" s="15" t="s">
        <v>69</v>
      </c>
      <c r="O64" s="13">
        <v>16</v>
      </c>
      <c r="P64" s="15" t="s">
        <v>70</v>
      </c>
      <c r="Q64" s="13">
        <v>1.44</v>
      </c>
      <c r="R64" s="29" t="s">
        <v>71</v>
      </c>
    </row>
    <row r="65" spans="1:18" ht="22.5" x14ac:dyDescent="0.2">
      <c r="A65" s="1"/>
      <c r="B65" s="1" t="s">
        <v>64</v>
      </c>
      <c r="C65" s="1" t="s">
        <v>175</v>
      </c>
      <c r="D65" s="1" t="s">
        <v>176</v>
      </c>
      <c r="E65" s="28">
        <v>44875</v>
      </c>
      <c r="F65" s="14"/>
      <c r="G65" s="14" t="s">
        <v>177</v>
      </c>
      <c r="H65" s="51">
        <v>45962</v>
      </c>
      <c r="I65" s="36"/>
      <c r="J65" s="51">
        <v>45971</v>
      </c>
      <c r="K65" s="36"/>
      <c r="L65" s="28">
        <v>45973</v>
      </c>
      <c r="M65" s="29" t="s">
        <v>68</v>
      </c>
      <c r="N65" s="15" t="s">
        <v>69</v>
      </c>
      <c r="O65" s="13">
        <v>44.19</v>
      </c>
      <c r="P65" s="15" t="s">
        <v>70</v>
      </c>
      <c r="Q65" s="13">
        <v>3.98</v>
      </c>
      <c r="R65" s="29" t="s">
        <v>71</v>
      </c>
    </row>
    <row r="66" spans="1:18" ht="22.5" x14ac:dyDescent="0.2">
      <c r="A66" s="1"/>
      <c r="B66" s="1" t="s">
        <v>64</v>
      </c>
      <c r="C66" s="1" t="s">
        <v>175</v>
      </c>
      <c r="D66" s="1" t="s">
        <v>176</v>
      </c>
      <c r="E66" s="28">
        <v>44875</v>
      </c>
      <c r="F66" s="14"/>
      <c r="G66" s="14" t="s">
        <v>177</v>
      </c>
      <c r="H66" s="51">
        <v>45972</v>
      </c>
      <c r="I66" s="36"/>
      <c r="J66" s="51">
        <v>45992</v>
      </c>
      <c r="K66" s="36"/>
      <c r="L66" s="28">
        <v>45973</v>
      </c>
      <c r="M66" s="29" t="s">
        <v>68</v>
      </c>
      <c r="N66" s="15" t="s">
        <v>69</v>
      </c>
      <c r="O66" s="13">
        <v>103.1</v>
      </c>
      <c r="P66" s="15" t="s">
        <v>70</v>
      </c>
      <c r="Q66" s="13">
        <v>9.2799999999999994</v>
      </c>
      <c r="R66" s="29" t="s">
        <v>71</v>
      </c>
    </row>
    <row r="67" spans="1:18" ht="22.5" x14ac:dyDescent="0.2">
      <c r="A67" s="1"/>
      <c r="B67" s="1" t="s">
        <v>64</v>
      </c>
      <c r="C67" s="1" t="s">
        <v>178</v>
      </c>
      <c r="D67" s="1" t="s">
        <v>179</v>
      </c>
      <c r="E67" s="28">
        <v>44875</v>
      </c>
      <c r="F67" s="14"/>
      <c r="G67" s="14" t="s">
        <v>180</v>
      </c>
      <c r="H67" s="51">
        <v>45972</v>
      </c>
      <c r="I67" s="36"/>
      <c r="J67" s="51">
        <v>45992</v>
      </c>
      <c r="K67" s="36"/>
      <c r="L67" s="28">
        <v>45973</v>
      </c>
      <c r="M67" s="29" t="s">
        <v>68</v>
      </c>
      <c r="N67" s="15" t="s">
        <v>69</v>
      </c>
      <c r="O67" s="13">
        <v>31.15</v>
      </c>
      <c r="P67" s="15" t="s">
        <v>70</v>
      </c>
      <c r="Q67" s="13">
        <v>2.8</v>
      </c>
      <c r="R67" s="29" t="s">
        <v>71</v>
      </c>
    </row>
    <row r="68" spans="1:18" ht="22.5" x14ac:dyDescent="0.2">
      <c r="A68" s="1"/>
      <c r="B68" s="1" t="s">
        <v>64</v>
      </c>
      <c r="C68" s="1" t="s">
        <v>178</v>
      </c>
      <c r="D68" s="1" t="s">
        <v>179</v>
      </c>
      <c r="E68" s="28">
        <v>44875</v>
      </c>
      <c r="F68" s="14"/>
      <c r="G68" s="14" t="s">
        <v>180</v>
      </c>
      <c r="H68" s="51">
        <v>45962</v>
      </c>
      <c r="I68" s="36"/>
      <c r="J68" s="51">
        <v>45971</v>
      </c>
      <c r="K68" s="36"/>
      <c r="L68" s="28">
        <v>45973</v>
      </c>
      <c r="M68" s="29" t="s">
        <v>68</v>
      </c>
      <c r="N68" s="15" t="s">
        <v>69</v>
      </c>
      <c r="O68" s="13">
        <v>13.35</v>
      </c>
      <c r="P68" s="15" t="s">
        <v>70</v>
      </c>
      <c r="Q68" s="13">
        <v>1.2</v>
      </c>
      <c r="R68" s="29" t="s">
        <v>71</v>
      </c>
    </row>
    <row r="69" spans="1:18" x14ac:dyDescent="0.2">
      <c r="A69" s="38" t="s">
        <v>181</v>
      </c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1"/>
      <c r="O69" s="1"/>
      <c r="P69" s="1"/>
      <c r="Q69" s="1"/>
      <c r="R69" s="1"/>
    </row>
    <row r="70" spans="1:18" ht="22.5" x14ac:dyDescent="0.2">
      <c r="A70" s="1"/>
      <c r="B70" s="1" t="s">
        <v>64</v>
      </c>
      <c r="C70" s="1" t="s">
        <v>182</v>
      </c>
      <c r="D70" s="1" t="s">
        <v>183</v>
      </c>
      <c r="E70" s="28">
        <v>45373</v>
      </c>
      <c r="F70" s="14"/>
      <c r="G70" s="14" t="s">
        <v>184</v>
      </c>
      <c r="H70" s="51">
        <v>45962</v>
      </c>
      <c r="I70" s="36"/>
      <c r="J70" s="51">
        <v>45992</v>
      </c>
      <c r="K70" s="36"/>
      <c r="L70" s="28">
        <v>45973</v>
      </c>
      <c r="M70" s="29" t="s">
        <v>68</v>
      </c>
      <c r="N70" s="15" t="s">
        <v>69</v>
      </c>
      <c r="O70" s="13">
        <v>49.7</v>
      </c>
      <c r="P70" s="15" t="s">
        <v>110</v>
      </c>
      <c r="Q70" s="13">
        <v>1.49</v>
      </c>
      <c r="R70" s="29" t="s">
        <v>71</v>
      </c>
    </row>
    <row r="71" spans="1:18" x14ac:dyDescent="0.2">
      <c r="A71" s="38" t="s">
        <v>185</v>
      </c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1"/>
      <c r="O71" s="1"/>
      <c r="P71" s="1"/>
      <c r="Q71" s="1"/>
      <c r="R71" s="1"/>
    </row>
    <row r="72" spans="1:18" ht="22.5" x14ac:dyDescent="0.2">
      <c r="A72" s="1"/>
      <c r="B72" s="1" t="s">
        <v>64</v>
      </c>
      <c r="C72" s="1" t="s">
        <v>186</v>
      </c>
      <c r="D72" s="1" t="s">
        <v>187</v>
      </c>
      <c r="E72" s="28">
        <v>45317</v>
      </c>
      <c r="F72" s="14"/>
      <c r="G72" s="14" t="s">
        <v>188</v>
      </c>
      <c r="H72" s="51">
        <v>45962</v>
      </c>
      <c r="I72" s="36"/>
      <c r="J72" s="51">
        <v>45992</v>
      </c>
      <c r="K72" s="36"/>
      <c r="L72" s="28">
        <v>45973</v>
      </c>
      <c r="M72" s="29" t="s">
        <v>68</v>
      </c>
      <c r="N72" s="15" t="s">
        <v>69</v>
      </c>
      <c r="O72" s="13">
        <v>85.5</v>
      </c>
      <c r="P72" s="15" t="s">
        <v>70</v>
      </c>
      <c r="Q72" s="13">
        <v>7.7</v>
      </c>
      <c r="R72" s="29" t="s">
        <v>71</v>
      </c>
    </row>
    <row r="73" spans="1:18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2" t="s">
        <v>189</v>
      </c>
      <c r="Q73" s="17">
        <v>208.23</v>
      </c>
      <c r="R73" s="2"/>
    </row>
    <row r="74" spans="1:18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1:18" x14ac:dyDescent="0.2">
      <c r="A75" s="5"/>
      <c r="B75" s="5"/>
      <c r="C75" s="5"/>
      <c r="D75" s="1"/>
      <c r="E75" s="15"/>
      <c r="F75" s="15"/>
      <c r="G75" s="15"/>
      <c r="H75" s="1"/>
      <c r="I75" s="1"/>
      <c r="J75" s="15"/>
      <c r="K75" s="15"/>
      <c r="L75" s="11"/>
      <c r="M75" s="11"/>
      <c r="N75" s="11"/>
      <c r="O75" s="11"/>
      <c r="P75" s="19"/>
      <c r="Q75" s="11"/>
      <c r="R75" s="11"/>
    </row>
    <row r="76" spans="1:18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1:18" ht="1.7" customHeight="1" x14ac:dyDescent="0.2"/>
  </sheetData>
  <mergeCells count="132">
    <mergeCell ref="A69:M69"/>
    <mergeCell ref="H70:I70"/>
    <mergeCell ref="J70:K70"/>
    <mergeCell ref="A71:M71"/>
    <mergeCell ref="H72:I72"/>
    <mergeCell ref="J72:K72"/>
    <mergeCell ref="H66:I66"/>
    <mergeCell ref="J66:K66"/>
    <mergeCell ref="H67:I67"/>
    <mergeCell ref="J67:K67"/>
    <mergeCell ref="H68:I68"/>
    <mergeCell ref="J68:K68"/>
    <mergeCell ref="H63:I63"/>
    <mergeCell ref="J63:K63"/>
    <mergeCell ref="H64:I64"/>
    <mergeCell ref="J64:K64"/>
    <mergeCell ref="H65:I65"/>
    <mergeCell ref="J65:K65"/>
    <mergeCell ref="H60:I60"/>
    <mergeCell ref="J60:K60"/>
    <mergeCell ref="H61:I61"/>
    <mergeCell ref="J61:K61"/>
    <mergeCell ref="H62:I62"/>
    <mergeCell ref="J62:K62"/>
    <mergeCell ref="H56:I56"/>
    <mergeCell ref="J56:K56"/>
    <mergeCell ref="A57:M57"/>
    <mergeCell ref="H58:I58"/>
    <mergeCell ref="J58:K58"/>
    <mergeCell ref="H59:I59"/>
    <mergeCell ref="J59:K59"/>
    <mergeCell ref="H52:I52"/>
    <mergeCell ref="J52:K52"/>
    <mergeCell ref="H53:I53"/>
    <mergeCell ref="J53:K53"/>
    <mergeCell ref="A54:M54"/>
    <mergeCell ref="H55:I55"/>
    <mergeCell ref="J55:K55"/>
    <mergeCell ref="H49:I49"/>
    <mergeCell ref="J49:K49"/>
    <mergeCell ref="H50:I50"/>
    <mergeCell ref="J50:K50"/>
    <mergeCell ref="H51:I51"/>
    <mergeCell ref="J51:K51"/>
    <mergeCell ref="H46:I46"/>
    <mergeCell ref="J46:K46"/>
    <mergeCell ref="H47:I47"/>
    <mergeCell ref="J47:K47"/>
    <mergeCell ref="H48:I48"/>
    <mergeCell ref="J48:K48"/>
    <mergeCell ref="H43:I43"/>
    <mergeCell ref="J43:K43"/>
    <mergeCell ref="H44:I44"/>
    <mergeCell ref="J44:K44"/>
    <mergeCell ref="H45:I45"/>
    <mergeCell ref="J45:K45"/>
    <mergeCell ref="A39:M39"/>
    <mergeCell ref="H40:I40"/>
    <mergeCell ref="J40:K40"/>
    <mergeCell ref="H41:I41"/>
    <mergeCell ref="J41:K41"/>
    <mergeCell ref="H42:I42"/>
    <mergeCell ref="J42:K42"/>
    <mergeCell ref="H36:I36"/>
    <mergeCell ref="J36:K36"/>
    <mergeCell ref="H37:I37"/>
    <mergeCell ref="J37:K37"/>
    <mergeCell ref="H38:I38"/>
    <mergeCell ref="J38:K38"/>
    <mergeCell ref="H33:I33"/>
    <mergeCell ref="J33:K33"/>
    <mergeCell ref="H34:I34"/>
    <mergeCell ref="J34:K34"/>
    <mergeCell ref="H35:I35"/>
    <mergeCell ref="J35:K35"/>
    <mergeCell ref="H30:I30"/>
    <mergeCell ref="J30:K30"/>
    <mergeCell ref="H31:I31"/>
    <mergeCell ref="J31:K31"/>
    <mergeCell ref="H32:I32"/>
    <mergeCell ref="J32:K32"/>
    <mergeCell ref="H27:I27"/>
    <mergeCell ref="J27:K27"/>
    <mergeCell ref="H28:I28"/>
    <mergeCell ref="J28:K28"/>
    <mergeCell ref="H29:I29"/>
    <mergeCell ref="J29:K29"/>
    <mergeCell ref="H24:I24"/>
    <mergeCell ref="J24:K24"/>
    <mergeCell ref="H25:I25"/>
    <mergeCell ref="J25:K25"/>
    <mergeCell ref="H26:I26"/>
    <mergeCell ref="J26:K26"/>
    <mergeCell ref="A20:M20"/>
    <mergeCell ref="H21:I21"/>
    <mergeCell ref="J21:K21"/>
    <mergeCell ref="H22:I22"/>
    <mergeCell ref="J22:K22"/>
    <mergeCell ref="H23:I23"/>
    <mergeCell ref="J23:K23"/>
    <mergeCell ref="H17:I17"/>
    <mergeCell ref="J17:K17"/>
    <mergeCell ref="H18:I18"/>
    <mergeCell ref="J18:K18"/>
    <mergeCell ref="H19:I19"/>
    <mergeCell ref="J19:K19"/>
    <mergeCell ref="H13:I13"/>
    <mergeCell ref="J13:K13"/>
    <mergeCell ref="H14:I14"/>
    <mergeCell ref="J14:K14"/>
    <mergeCell ref="A15:M15"/>
    <mergeCell ref="H16:I16"/>
    <mergeCell ref="J16:K16"/>
    <mergeCell ref="H8:I8"/>
    <mergeCell ref="J8:K8"/>
    <mergeCell ref="A10:M10"/>
    <mergeCell ref="H11:I11"/>
    <mergeCell ref="J11:K11"/>
    <mergeCell ref="H12:I12"/>
    <mergeCell ref="J12:K12"/>
    <mergeCell ref="B5:D5"/>
    <mergeCell ref="E5:O5"/>
    <mergeCell ref="P5:R5"/>
    <mergeCell ref="B6:D6"/>
    <mergeCell ref="P6:R6"/>
    <mergeCell ref="B7:D7"/>
    <mergeCell ref="B2:D2"/>
    <mergeCell ref="E2:O2"/>
    <mergeCell ref="A3:H3"/>
    <mergeCell ref="P3:R3"/>
    <mergeCell ref="E4:O4"/>
    <mergeCell ref="P4:R4"/>
  </mergeCells>
  <phoneticPr fontId="0" type="noConversion"/>
  <pageMargins left="0.15000000000000002" right="0.15000000000000002" top="0.79542007874015752" bottom="0.40500000000000008" header="0.08" footer="0.08"/>
  <pageSetup orientation="landscape" horizontalDpi="0" verticalDpi="0"/>
  <headerFooter alignWithMargins="0">
    <oddHeader>&amp;L&amp;C&amp;"Arial"&amp;16&amp;BCompensation Statement&amp;B &amp;R</oddHeader>
    <oddFooter xml:space="preserve">&amp;L&amp;"Arial"&amp;9&amp;BDate: 12/02/2025&amp;B &amp;C&amp;R&amp;"Arial"&amp;9&amp;BPage No: &amp;P of &amp;N&amp;B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92ADF-1A84-4FD8-BB9D-7049A6C755D0}">
  <dimension ref="A1:Q60"/>
  <sheetViews>
    <sheetView topLeftCell="A25" workbookViewId="0">
      <selection activeCell="T45" sqref="T45"/>
    </sheetView>
  </sheetViews>
  <sheetFormatPr defaultRowHeight="12.75" x14ac:dyDescent="0.2"/>
  <cols>
    <col min="1" max="1" width="4.5703125" style="30" customWidth="1"/>
    <col min="2" max="2" width="10.140625" style="30" customWidth="1"/>
    <col min="3" max="3" width="18.42578125" style="30" bestFit="1" customWidth="1"/>
    <col min="4" max="6" width="8.7109375" style="30" bestFit="1" customWidth="1"/>
    <col min="7" max="7" width="11.42578125" style="30" customWidth="1"/>
    <col min="8" max="8" width="10.42578125" style="30" customWidth="1"/>
    <col min="9" max="9" width="7.85546875" style="30" customWidth="1"/>
    <col min="10" max="10" width="8.42578125" style="30" customWidth="1"/>
    <col min="11" max="11" width="9.5703125" style="30" customWidth="1"/>
    <col min="12" max="12" width="10.42578125" style="30" customWidth="1"/>
    <col min="13" max="13" width="11.140625" style="30" customWidth="1"/>
    <col min="14" max="14" width="15.28515625" style="30" customWidth="1"/>
    <col min="15" max="15" width="12.5703125" style="30" customWidth="1"/>
    <col min="16" max="16" width="15.28515625" style="30" bestFit="1" customWidth="1"/>
    <col min="17" max="16384" width="9.140625" style="30"/>
  </cols>
  <sheetData>
    <row r="1" spans="1:17" ht="23.25" customHeight="1" thickBot="1" x14ac:dyDescent="0.25">
      <c r="A1" s="25" t="s">
        <v>48</v>
      </c>
      <c r="B1" s="25" t="s">
        <v>49</v>
      </c>
      <c r="C1" s="25" t="s">
        <v>50</v>
      </c>
      <c r="D1" s="25" t="s">
        <v>51</v>
      </c>
      <c r="E1" s="25" t="s">
        <v>53</v>
      </c>
      <c r="F1" s="25" t="s">
        <v>54</v>
      </c>
      <c r="G1" s="25" t="s">
        <v>55</v>
      </c>
      <c r="H1" s="25" t="s">
        <v>56</v>
      </c>
      <c r="I1" s="25" t="s">
        <v>57</v>
      </c>
      <c r="J1" s="25" t="s">
        <v>58</v>
      </c>
      <c r="K1" s="25" t="s">
        <v>59</v>
      </c>
      <c r="L1" s="25" t="s">
        <v>60</v>
      </c>
      <c r="M1" s="25" t="s">
        <v>61</v>
      </c>
    </row>
    <row r="2" spans="1:17" ht="15" customHeight="1" x14ac:dyDescent="0.2">
      <c r="A2" s="14" t="s">
        <v>64</v>
      </c>
      <c r="B2" s="14">
        <v>441577763</v>
      </c>
      <c r="C2" s="14" t="s">
        <v>157</v>
      </c>
      <c r="D2" s="31">
        <v>44858</v>
      </c>
      <c r="E2" s="14" t="s">
        <v>158</v>
      </c>
      <c r="F2" s="31">
        <v>45962</v>
      </c>
      <c r="G2" s="31">
        <v>45992</v>
      </c>
      <c r="H2" s="31">
        <v>45973</v>
      </c>
      <c r="I2" s="14" t="s">
        <v>68</v>
      </c>
      <c r="J2" s="14">
        <v>1</v>
      </c>
      <c r="K2" s="32">
        <v>64.430000000000007</v>
      </c>
      <c r="L2" s="33">
        <v>0.09</v>
      </c>
      <c r="M2" s="32">
        <v>5.8</v>
      </c>
      <c r="N2" s="2" t="s">
        <v>198</v>
      </c>
      <c r="O2" s="30" t="s">
        <v>199</v>
      </c>
      <c r="P2" s="30" t="str">
        <f t="shared" ref="P2:P33" si="0">CONCATENATE(N2, " ",O2)</f>
        <v>Katelenn Caltagirone</v>
      </c>
      <c r="Q2" s="30">
        <v>20436896</v>
      </c>
    </row>
    <row r="3" spans="1:17" ht="15" customHeight="1" x14ac:dyDescent="0.2">
      <c r="A3" s="14" t="s">
        <v>64</v>
      </c>
      <c r="B3" s="14">
        <v>441582942</v>
      </c>
      <c r="C3" s="14" t="s">
        <v>161</v>
      </c>
      <c r="D3" s="31">
        <v>44860</v>
      </c>
      <c r="E3" s="14" t="s">
        <v>162</v>
      </c>
      <c r="F3" s="31">
        <v>45962</v>
      </c>
      <c r="G3" s="31">
        <v>45992</v>
      </c>
      <c r="H3" s="31">
        <v>45973</v>
      </c>
      <c r="I3" s="14" t="s">
        <v>68</v>
      </c>
      <c r="J3" s="14">
        <v>1</v>
      </c>
      <c r="K3" s="32">
        <v>9.1999999999999993</v>
      </c>
      <c r="L3" s="33">
        <v>0.09</v>
      </c>
      <c r="M3" s="32">
        <v>0.83</v>
      </c>
      <c r="N3" s="2" t="s">
        <v>200</v>
      </c>
      <c r="O3" s="30" t="s">
        <v>201</v>
      </c>
      <c r="P3" s="30" t="str">
        <f t="shared" si="0"/>
        <v>Kimberly Dickerson</v>
      </c>
      <c r="Q3" s="30">
        <v>16243811</v>
      </c>
    </row>
    <row r="4" spans="1:17" ht="15" customHeight="1" x14ac:dyDescent="0.2">
      <c r="A4" s="14" t="s">
        <v>64</v>
      </c>
      <c r="B4" s="14">
        <v>441607364</v>
      </c>
      <c r="C4" s="14" t="s">
        <v>171</v>
      </c>
      <c r="D4" s="31">
        <v>44872</v>
      </c>
      <c r="E4" s="14" t="s">
        <v>172</v>
      </c>
      <c r="F4" s="31">
        <v>45962</v>
      </c>
      <c r="G4" s="31">
        <v>45968</v>
      </c>
      <c r="H4" s="31">
        <v>45972</v>
      </c>
      <c r="I4" s="14" t="s">
        <v>68</v>
      </c>
      <c r="J4" s="14">
        <v>1</v>
      </c>
      <c r="K4" s="32">
        <v>3.2</v>
      </c>
      <c r="L4" s="33">
        <v>0.09</v>
      </c>
      <c r="M4" s="32">
        <v>0.28999999999999998</v>
      </c>
      <c r="N4" s="2" t="s">
        <v>200</v>
      </c>
      <c r="O4" s="30" t="s">
        <v>201</v>
      </c>
      <c r="P4" s="30" t="str">
        <f t="shared" si="0"/>
        <v>Kimberly Dickerson</v>
      </c>
      <c r="Q4" s="30">
        <v>16243811</v>
      </c>
    </row>
    <row r="5" spans="1:17" ht="15" customHeight="1" x14ac:dyDescent="0.2">
      <c r="A5" s="14" t="s">
        <v>64</v>
      </c>
      <c r="B5" s="14">
        <v>441607364</v>
      </c>
      <c r="C5" s="14" t="s">
        <v>171</v>
      </c>
      <c r="D5" s="31">
        <v>44872</v>
      </c>
      <c r="E5" s="14" t="s">
        <v>172</v>
      </c>
      <c r="F5" s="31">
        <v>45969</v>
      </c>
      <c r="G5" s="31">
        <v>45992</v>
      </c>
      <c r="H5" s="31">
        <v>45972</v>
      </c>
      <c r="I5" s="14" t="s">
        <v>68</v>
      </c>
      <c r="J5" s="14">
        <v>1</v>
      </c>
      <c r="K5" s="32">
        <v>12.8</v>
      </c>
      <c r="L5" s="33">
        <v>0.09</v>
      </c>
      <c r="M5" s="32">
        <v>1.1499999999999999</v>
      </c>
      <c r="N5" s="2" t="s">
        <v>200</v>
      </c>
      <c r="O5" s="30" t="s">
        <v>201</v>
      </c>
      <c r="P5" s="30" t="str">
        <f t="shared" si="0"/>
        <v>Kimberly Dickerson</v>
      </c>
      <c r="Q5" s="30">
        <v>16243811</v>
      </c>
    </row>
    <row r="6" spans="1:17" ht="15" customHeight="1" x14ac:dyDescent="0.2">
      <c r="A6" s="14" t="s">
        <v>64</v>
      </c>
      <c r="B6" s="14">
        <v>441615076</v>
      </c>
      <c r="C6" s="14" t="s">
        <v>176</v>
      </c>
      <c r="D6" s="31">
        <v>44875</v>
      </c>
      <c r="E6" s="14" t="s">
        <v>177</v>
      </c>
      <c r="F6" s="31">
        <v>45962</v>
      </c>
      <c r="G6" s="31">
        <v>45971</v>
      </c>
      <c r="H6" s="31">
        <v>45973</v>
      </c>
      <c r="I6" s="14" t="s">
        <v>68</v>
      </c>
      <c r="J6" s="14">
        <v>1</v>
      </c>
      <c r="K6" s="32">
        <v>44.19</v>
      </c>
      <c r="L6" s="33">
        <v>0.09</v>
      </c>
      <c r="M6" s="32">
        <v>3.98</v>
      </c>
      <c r="N6" s="2" t="s">
        <v>200</v>
      </c>
      <c r="O6" s="30" t="s">
        <v>201</v>
      </c>
      <c r="P6" s="30" t="str">
        <f t="shared" si="0"/>
        <v>Kimberly Dickerson</v>
      </c>
      <c r="Q6" s="30">
        <v>16243811</v>
      </c>
    </row>
    <row r="7" spans="1:17" ht="15" customHeight="1" x14ac:dyDescent="0.2">
      <c r="A7" s="14" t="s">
        <v>64</v>
      </c>
      <c r="B7" s="14">
        <v>441615076</v>
      </c>
      <c r="C7" s="14" t="s">
        <v>176</v>
      </c>
      <c r="D7" s="31">
        <v>44875</v>
      </c>
      <c r="E7" s="14" t="s">
        <v>177</v>
      </c>
      <c r="F7" s="31">
        <v>45972</v>
      </c>
      <c r="G7" s="31">
        <v>45992</v>
      </c>
      <c r="H7" s="31">
        <v>45973</v>
      </c>
      <c r="I7" s="14" t="s">
        <v>68</v>
      </c>
      <c r="J7" s="14">
        <v>1</v>
      </c>
      <c r="K7" s="32">
        <v>103.1</v>
      </c>
      <c r="L7" s="33">
        <v>0.09</v>
      </c>
      <c r="M7" s="32">
        <v>9.2799999999999994</v>
      </c>
      <c r="N7" s="2" t="s">
        <v>200</v>
      </c>
      <c r="O7" s="30" t="s">
        <v>201</v>
      </c>
      <c r="P7" s="30" t="str">
        <f t="shared" si="0"/>
        <v>Kimberly Dickerson</v>
      </c>
      <c r="Q7" s="30">
        <v>16243811</v>
      </c>
    </row>
    <row r="8" spans="1:17" ht="15" customHeight="1" x14ac:dyDescent="0.2">
      <c r="A8" s="14" t="s">
        <v>64</v>
      </c>
      <c r="B8" s="14">
        <v>441615079</v>
      </c>
      <c r="C8" s="14" t="s">
        <v>179</v>
      </c>
      <c r="D8" s="31">
        <v>44875</v>
      </c>
      <c r="E8" s="14" t="s">
        <v>180</v>
      </c>
      <c r="F8" s="31">
        <v>45972</v>
      </c>
      <c r="G8" s="31">
        <v>45992</v>
      </c>
      <c r="H8" s="31">
        <v>45973</v>
      </c>
      <c r="I8" s="14" t="s">
        <v>68</v>
      </c>
      <c r="J8" s="14">
        <v>1</v>
      </c>
      <c r="K8" s="32">
        <v>31.15</v>
      </c>
      <c r="L8" s="33">
        <v>0.09</v>
      </c>
      <c r="M8" s="32">
        <v>2.8</v>
      </c>
      <c r="N8" s="2" t="s">
        <v>200</v>
      </c>
      <c r="O8" s="30" t="s">
        <v>201</v>
      </c>
      <c r="P8" s="30" t="str">
        <f t="shared" si="0"/>
        <v>Kimberly Dickerson</v>
      </c>
      <c r="Q8" s="30">
        <v>16243811</v>
      </c>
    </row>
    <row r="9" spans="1:17" ht="15" customHeight="1" x14ac:dyDescent="0.2">
      <c r="A9" s="14" t="s">
        <v>64</v>
      </c>
      <c r="B9" s="14">
        <v>441615079</v>
      </c>
      <c r="C9" s="14" t="s">
        <v>179</v>
      </c>
      <c r="D9" s="31">
        <v>44875</v>
      </c>
      <c r="E9" s="14" t="s">
        <v>180</v>
      </c>
      <c r="F9" s="31">
        <v>45962</v>
      </c>
      <c r="G9" s="31">
        <v>45971</v>
      </c>
      <c r="H9" s="31">
        <v>45973</v>
      </c>
      <c r="I9" s="14" t="s">
        <v>68</v>
      </c>
      <c r="J9" s="14">
        <v>1</v>
      </c>
      <c r="K9" s="32">
        <v>13.35</v>
      </c>
      <c r="L9" s="33">
        <v>0.09</v>
      </c>
      <c r="M9" s="32">
        <v>1.2</v>
      </c>
      <c r="N9" s="2" t="s">
        <v>200</v>
      </c>
      <c r="O9" s="30" t="s">
        <v>201</v>
      </c>
      <c r="P9" s="30" t="str">
        <f t="shared" si="0"/>
        <v>Kimberly Dickerson</v>
      </c>
      <c r="Q9" s="30">
        <v>16243811</v>
      </c>
    </row>
    <row r="10" spans="1:17" ht="15" customHeight="1" x14ac:dyDescent="0.2">
      <c r="A10" s="14" t="s">
        <v>64</v>
      </c>
      <c r="B10" s="14">
        <v>441679321</v>
      </c>
      <c r="C10" s="14" t="s">
        <v>169</v>
      </c>
      <c r="D10" s="31">
        <v>44902</v>
      </c>
      <c r="E10" s="14" t="s">
        <v>88</v>
      </c>
      <c r="F10" s="31">
        <v>45962</v>
      </c>
      <c r="G10" s="31">
        <v>45992</v>
      </c>
      <c r="H10" s="31">
        <v>45972</v>
      </c>
      <c r="I10" s="14" t="s">
        <v>68</v>
      </c>
      <c r="J10" s="14">
        <v>1</v>
      </c>
      <c r="K10" s="32">
        <v>129</v>
      </c>
      <c r="L10" s="33">
        <v>0.09</v>
      </c>
      <c r="M10" s="32">
        <v>11.61</v>
      </c>
      <c r="N10" s="2" t="s">
        <v>200</v>
      </c>
      <c r="O10" s="30" t="s">
        <v>201</v>
      </c>
      <c r="P10" s="30" t="str">
        <f t="shared" si="0"/>
        <v>Kimberly Dickerson</v>
      </c>
      <c r="Q10" s="30">
        <v>16243811</v>
      </c>
    </row>
    <row r="11" spans="1:17" ht="15" customHeight="1" x14ac:dyDescent="0.2">
      <c r="A11" s="14" t="s">
        <v>64</v>
      </c>
      <c r="B11" s="14">
        <v>441680518</v>
      </c>
      <c r="C11" s="14" t="s">
        <v>154</v>
      </c>
      <c r="D11" s="31">
        <v>44902</v>
      </c>
      <c r="E11" s="14" t="s">
        <v>155</v>
      </c>
      <c r="F11" s="31">
        <v>45962</v>
      </c>
      <c r="G11" s="31">
        <v>45992</v>
      </c>
      <c r="H11" s="31">
        <v>45972</v>
      </c>
      <c r="I11" s="14" t="s">
        <v>68</v>
      </c>
      <c r="J11" s="14">
        <v>1</v>
      </c>
      <c r="K11" s="32">
        <v>111.5</v>
      </c>
      <c r="L11" s="33">
        <v>0.09</v>
      </c>
      <c r="M11" s="32">
        <v>10.039999999999999</v>
      </c>
      <c r="N11" s="2" t="s">
        <v>198</v>
      </c>
      <c r="O11" s="30" t="s">
        <v>199</v>
      </c>
      <c r="P11" s="30" t="str">
        <f t="shared" si="0"/>
        <v>Katelenn Caltagirone</v>
      </c>
      <c r="Q11" s="30">
        <v>20436896</v>
      </c>
    </row>
    <row r="12" spans="1:17" ht="15" customHeight="1" x14ac:dyDescent="0.2">
      <c r="A12" s="14" t="s">
        <v>64</v>
      </c>
      <c r="B12" s="14">
        <v>441684105</v>
      </c>
      <c r="C12" s="14" t="s">
        <v>82</v>
      </c>
      <c r="D12" s="31">
        <v>44903</v>
      </c>
      <c r="E12" s="14" t="s">
        <v>83</v>
      </c>
      <c r="F12" s="31">
        <v>45962</v>
      </c>
      <c r="G12" s="31">
        <v>45992</v>
      </c>
      <c r="H12" s="31">
        <v>45973</v>
      </c>
      <c r="I12" s="14" t="s">
        <v>68</v>
      </c>
      <c r="J12" s="14">
        <v>1</v>
      </c>
      <c r="K12" s="32">
        <v>60.5</v>
      </c>
      <c r="L12" s="33">
        <v>0.09</v>
      </c>
      <c r="M12" s="32">
        <v>5.45</v>
      </c>
      <c r="N12" s="2" t="s">
        <v>192</v>
      </c>
      <c r="O12" s="30" t="s">
        <v>193</v>
      </c>
      <c r="P12" s="30" t="str">
        <f t="shared" si="0"/>
        <v>Ashley Teipel</v>
      </c>
      <c r="Q12" s="30">
        <v>20436925</v>
      </c>
    </row>
    <row r="13" spans="1:17" ht="15" customHeight="1" x14ac:dyDescent="0.2">
      <c r="A13" s="14" t="s">
        <v>64</v>
      </c>
      <c r="B13" s="14">
        <v>441761638</v>
      </c>
      <c r="C13" s="14" t="s">
        <v>164</v>
      </c>
      <c r="D13" s="31">
        <v>44936</v>
      </c>
      <c r="E13" s="14" t="s">
        <v>165</v>
      </c>
      <c r="F13" s="31">
        <v>45962</v>
      </c>
      <c r="G13" s="31">
        <v>45992</v>
      </c>
      <c r="H13" s="31">
        <v>45973</v>
      </c>
      <c r="I13" s="14" t="s">
        <v>68</v>
      </c>
      <c r="J13" s="14">
        <v>1</v>
      </c>
      <c r="K13" s="32">
        <v>42.64</v>
      </c>
      <c r="L13" s="33">
        <v>0.09</v>
      </c>
      <c r="M13" s="32">
        <v>3.84</v>
      </c>
      <c r="N13" s="2" t="s">
        <v>200</v>
      </c>
      <c r="O13" s="30" t="s">
        <v>201</v>
      </c>
      <c r="P13" s="30" t="str">
        <f t="shared" si="0"/>
        <v>Kimberly Dickerson</v>
      </c>
      <c r="Q13" s="30">
        <v>16243811</v>
      </c>
    </row>
    <row r="14" spans="1:17" ht="15" customHeight="1" x14ac:dyDescent="0.2">
      <c r="A14" s="14" t="s">
        <v>64</v>
      </c>
      <c r="B14" s="14">
        <v>441761639</v>
      </c>
      <c r="C14" s="14" t="s">
        <v>164</v>
      </c>
      <c r="D14" s="31">
        <v>44936</v>
      </c>
      <c r="E14" s="14" t="s">
        <v>167</v>
      </c>
      <c r="F14" s="31">
        <v>45962</v>
      </c>
      <c r="G14" s="31">
        <v>45992</v>
      </c>
      <c r="H14" s="31">
        <v>45973</v>
      </c>
      <c r="I14" s="14" t="s">
        <v>68</v>
      </c>
      <c r="J14" s="14">
        <v>1</v>
      </c>
      <c r="K14" s="32">
        <v>10</v>
      </c>
      <c r="L14" s="33">
        <v>0.09</v>
      </c>
      <c r="M14" s="32">
        <v>0.9</v>
      </c>
      <c r="N14" s="2" t="s">
        <v>200</v>
      </c>
      <c r="O14" s="30" t="s">
        <v>201</v>
      </c>
      <c r="P14" s="30" t="str">
        <f t="shared" si="0"/>
        <v>Kimberly Dickerson</v>
      </c>
      <c r="Q14" s="30">
        <v>16243811</v>
      </c>
    </row>
    <row r="15" spans="1:17" ht="15" customHeight="1" x14ac:dyDescent="0.2">
      <c r="A15" s="14" t="s">
        <v>64</v>
      </c>
      <c r="B15" s="14">
        <v>441765054</v>
      </c>
      <c r="C15" s="14" t="s">
        <v>90</v>
      </c>
      <c r="D15" s="31">
        <v>44941</v>
      </c>
      <c r="E15" s="14" t="s">
        <v>88</v>
      </c>
      <c r="F15" s="31">
        <v>45962</v>
      </c>
      <c r="G15" s="31">
        <v>45992</v>
      </c>
      <c r="H15" s="31">
        <v>45973</v>
      </c>
      <c r="I15" s="14" t="s">
        <v>68</v>
      </c>
      <c r="J15" s="14">
        <v>1</v>
      </c>
      <c r="K15" s="32">
        <v>123.1</v>
      </c>
      <c r="L15" s="33">
        <v>0.09</v>
      </c>
      <c r="M15" s="32">
        <v>11.08</v>
      </c>
      <c r="N15" s="2" t="s">
        <v>192</v>
      </c>
      <c r="O15" s="30" t="s">
        <v>193</v>
      </c>
      <c r="P15" s="30" t="str">
        <f t="shared" si="0"/>
        <v>Ashley Teipel</v>
      </c>
      <c r="Q15" s="30">
        <v>20436925</v>
      </c>
    </row>
    <row r="16" spans="1:17" ht="15" customHeight="1" x14ac:dyDescent="0.2">
      <c r="A16" s="14" t="s">
        <v>64</v>
      </c>
      <c r="B16" s="14">
        <v>441782531</v>
      </c>
      <c r="C16" s="14" t="s">
        <v>108</v>
      </c>
      <c r="D16" s="31">
        <v>44945</v>
      </c>
      <c r="E16" s="14" t="s">
        <v>109</v>
      </c>
      <c r="F16" s="31">
        <v>45962</v>
      </c>
      <c r="G16" s="31">
        <v>45992</v>
      </c>
      <c r="H16" s="31">
        <v>45972</v>
      </c>
      <c r="I16" s="14" t="s">
        <v>68</v>
      </c>
      <c r="J16" s="14">
        <v>1</v>
      </c>
      <c r="K16" s="32">
        <v>19</v>
      </c>
      <c r="L16" s="33">
        <v>0.03</v>
      </c>
      <c r="M16" s="32">
        <v>0.56999999999999995</v>
      </c>
      <c r="N16" s="2" t="s">
        <v>194</v>
      </c>
      <c r="O16" s="30" t="s">
        <v>195</v>
      </c>
      <c r="P16" s="30" t="str">
        <f t="shared" si="0"/>
        <v>Carol Foley</v>
      </c>
      <c r="Q16" s="30">
        <v>17425766</v>
      </c>
    </row>
    <row r="17" spans="1:17" ht="15" customHeight="1" x14ac:dyDescent="0.2">
      <c r="A17" s="14" t="s">
        <v>64</v>
      </c>
      <c r="B17" s="14">
        <v>441789847</v>
      </c>
      <c r="C17" s="14" t="s">
        <v>85</v>
      </c>
      <c r="D17" s="31">
        <v>44947</v>
      </c>
      <c r="E17" s="14" t="s">
        <v>80</v>
      </c>
      <c r="F17" s="31">
        <v>45962</v>
      </c>
      <c r="G17" s="31">
        <v>45992</v>
      </c>
      <c r="H17" s="31">
        <v>45972</v>
      </c>
      <c r="I17" s="14" t="s">
        <v>68</v>
      </c>
      <c r="J17" s="14">
        <v>1</v>
      </c>
      <c r="K17" s="32">
        <v>16</v>
      </c>
      <c r="L17" s="33">
        <v>0.09</v>
      </c>
      <c r="M17" s="32">
        <v>1.44</v>
      </c>
      <c r="N17" s="2" t="s">
        <v>192</v>
      </c>
      <c r="O17" s="30" t="s">
        <v>193</v>
      </c>
      <c r="P17" s="30" t="str">
        <f t="shared" si="0"/>
        <v>Ashley Teipel</v>
      </c>
      <c r="Q17" s="30">
        <v>20436925</v>
      </c>
    </row>
    <row r="18" spans="1:17" ht="15" customHeight="1" x14ac:dyDescent="0.2">
      <c r="A18" s="14" t="s">
        <v>64</v>
      </c>
      <c r="B18" s="14">
        <v>441794112</v>
      </c>
      <c r="C18" s="14" t="s">
        <v>174</v>
      </c>
      <c r="D18" s="31">
        <v>44951</v>
      </c>
      <c r="E18" s="14" t="s">
        <v>172</v>
      </c>
      <c r="F18" s="31">
        <v>45962</v>
      </c>
      <c r="G18" s="31">
        <v>45992</v>
      </c>
      <c r="H18" s="31">
        <v>45973</v>
      </c>
      <c r="I18" s="14" t="s">
        <v>68</v>
      </c>
      <c r="J18" s="14">
        <v>1</v>
      </c>
      <c r="K18" s="32">
        <v>16</v>
      </c>
      <c r="L18" s="33">
        <v>0.09</v>
      </c>
      <c r="M18" s="32">
        <v>1.44</v>
      </c>
      <c r="N18" s="2" t="s">
        <v>200</v>
      </c>
      <c r="O18" s="30" t="s">
        <v>201</v>
      </c>
      <c r="P18" s="30" t="str">
        <f t="shared" si="0"/>
        <v>Kimberly Dickerson</v>
      </c>
      <c r="Q18" s="30">
        <v>16243811</v>
      </c>
    </row>
    <row r="19" spans="1:17" ht="15" customHeight="1" x14ac:dyDescent="0.2">
      <c r="A19" s="14" t="s">
        <v>64</v>
      </c>
      <c r="B19" s="14">
        <v>441818010</v>
      </c>
      <c r="C19" s="14" t="s">
        <v>87</v>
      </c>
      <c r="D19" s="31">
        <v>44979</v>
      </c>
      <c r="E19" s="14" t="s">
        <v>88</v>
      </c>
      <c r="F19" s="31">
        <v>45962</v>
      </c>
      <c r="G19" s="31">
        <v>45992</v>
      </c>
      <c r="H19" s="31">
        <v>45973</v>
      </c>
      <c r="I19" s="14" t="s">
        <v>68</v>
      </c>
      <c r="J19" s="14">
        <v>1</v>
      </c>
      <c r="K19" s="32">
        <v>98.66</v>
      </c>
      <c r="L19" s="33">
        <v>0.09</v>
      </c>
      <c r="M19" s="32">
        <v>8.8800000000000008</v>
      </c>
      <c r="N19" s="2" t="s">
        <v>192</v>
      </c>
      <c r="O19" s="30" t="s">
        <v>193</v>
      </c>
      <c r="P19" s="30" t="str">
        <f t="shared" si="0"/>
        <v>Ashley Teipel</v>
      </c>
      <c r="Q19" s="30">
        <v>20436925</v>
      </c>
    </row>
    <row r="20" spans="1:17" ht="15" customHeight="1" x14ac:dyDescent="0.2">
      <c r="A20" s="14" t="s">
        <v>64</v>
      </c>
      <c r="B20" s="14">
        <v>441839748</v>
      </c>
      <c r="C20" s="14" t="s">
        <v>79</v>
      </c>
      <c r="D20" s="31">
        <v>44979</v>
      </c>
      <c r="E20" s="14" t="s">
        <v>80</v>
      </c>
      <c r="F20" s="31">
        <v>45962</v>
      </c>
      <c r="G20" s="31">
        <v>45992</v>
      </c>
      <c r="H20" s="31">
        <v>45973</v>
      </c>
      <c r="I20" s="14" t="s">
        <v>68</v>
      </c>
      <c r="J20" s="14">
        <v>1</v>
      </c>
      <c r="K20" s="32">
        <v>9</v>
      </c>
      <c r="L20" s="33">
        <v>0.09</v>
      </c>
      <c r="M20" s="32">
        <v>0.81</v>
      </c>
      <c r="N20" s="2" t="s">
        <v>190</v>
      </c>
      <c r="O20" s="30" t="s">
        <v>191</v>
      </c>
      <c r="P20" s="30" t="str">
        <f t="shared" si="0"/>
        <v>Anne Kozacheck</v>
      </c>
      <c r="Q20" s="30">
        <v>19278370</v>
      </c>
    </row>
    <row r="21" spans="1:17" ht="15" customHeight="1" x14ac:dyDescent="0.2">
      <c r="A21" s="14" t="s">
        <v>64</v>
      </c>
      <c r="B21" s="14">
        <v>441847980</v>
      </c>
      <c r="C21" s="14" t="s">
        <v>66</v>
      </c>
      <c r="D21" s="31">
        <v>44985</v>
      </c>
      <c r="E21" s="14" t="s">
        <v>67</v>
      </c>
      <c r="F21" s="31">
        <v>45962</v>
      </c>
      <c r="G21" s="31">
        <v>45992</v>
      </c>
      <c r="H21" s="31">
        <v>45973</v>
      </c>
      <c r="I21" s="14" t="s">
        <v>68</v>
      </c>
      <c r="J21" s="14">
        <v>1</v>
      </c>
      <c r="K21" s="32">
        <v>154.99</v>
      </c>
      <c r="L21" s="33">
        <v>0.09</v>
      </c>
      <c r="M21" s="32">
        <v>13.95</v>
      </c>
      <c r="N21" s="2" t="s">
        <v>190</v>
      </c>
      <c r="O21" s="30" t="s">
        <v>191</v>
      </c>
      <c r="P21" s="30" t="str">
        <f t="shared" si="0"/>
        <v>Anne Kozacheck</v>
      </c>
      <c r="Q21" s="30">
        <v>19278370</v>
      </c>
    </row>
    <row r="22" spans="1:17" ht="15" customHeight="1" x14ac:dyDescent="0.2">
      <c r="A22" s="14" t="s">
        <v>64</v>
      </c>
      <c r="B22" s="14">
        <v>441884278</v>
      </c>
      <c r="C22" s="14" t="s">
        <v>115</v>
      </c>
      <c r="D22" s="31">
        <v>45007</v>
      </c>
      <c r="E22" s="14" t="s">
        <v>116</v>
      </c>
      <c r="F22" s="31">
        <v>45962</v>
      </c>
      <c r="G22" s="31">
        <v>45992</v>
      </c>
      <c r="H22" s="31">
        <v>45973</v>
      </c>
      <c r="I22" s="14" t="s">
        <v>68</v>
      </c>
      <c r="J22" s="14">
        <v>1</v>
      </c>
      <c r="K22" s="32">
        <v>59.98</v>
      </c>
      <c r="L22" s="33">
        <v>0.03</v>
      </c>
      <c r="M22" s="32">
        <v>1.8</v>
      </c>
      <c r="N22" s="2" t="s">
        <v>194</v>
      </c>
      <c r="O22" s="30" t="s">
        <v>195</v>
      </c>
      <c r="P22" s="30" t="str">
        <f t="shared" si="0"/>
        <v>Carol Foley</v>
      </c>
      <c r="Q22" s="30">
        <v>17425766</v>
      </c>
    </row>
    <row r="23" spans="1:17" ht="15" customHeight="1" x14ac:dyDescent="0.2">
      <c r="A23" s="14" t="s">
        <v>64</v>
      </c>
      <c r="B23" s="14">
        <v>441894645</v>
      </c>
      <c r="C23" s="14" t="s">
        <v>121</v>
      </c>
      <c r="D23" s="31">
        <v>45017</v>
      </c>
      <c r="E23" s="14" t="s">
        <v>98</v>
      </c>
      <c r="F23" s="31">
        <v>45962</v>
      </c>
      <c r="G23" s="31">
        <v>45992</v>
      </c>
      <c r="H23" s="31">
        <v>45973</v>
      </c>
      <c r="I23" s="14" t="s">
        <v>68</v>
      </c>
      <c r="J23" s="14">
        <v>1</v>
      </c>
      <c r="K23" s="32">
        <v>70.239999999999995</v>
      </c>
      <c r="L23" s="33">
        <v>0.06</v>
      </c>
      <c r="M23" s="32">
        <v>4.21</v>
      </c>
      <c r="N23" s="2" t="s">
        <v>194</v>
      </c>
      <c r="O23" s="30" t="s">
        <v>195</v>
      </c>
      <c r="P23" s="30" t="str">
        <f t="shared" si="0"/>
        <v>Carol Foley</v>
      </c>
      <c r="Q23" s="30">
        <v>17425766</v>
      </c>
    </row>
    <row r="24" spans="1:17" ht="15" customHeight="1" x14ac:dyDescent="0.2">
      <c r="A24" s="14" t="s">
        <v>64</v>
      </c>
      <c r="B24" s="14">
        <v>441955925</v>
      </c>
      <c r="C24" s="14" t="s">
        <v>118</v>
      </c>
      <c r="D24" s="31">
        <v>45050</v>
      </c>
      <c r="E24" s="14" t="s">
        <v>119</v>
      </c>
      <c r="F24" s="31">
        <v>45962</v>
      </c>
      <c r="G24" s="31">
        <v>45992</v>
      </c>
      <c r="H24" s="31">
        <v>45973</v>
      </c>
      <c r="I24" s="14" t="s">
        <v>68</v>
      </c>
      <c r="J24" s="14">
        <v>1</v>
      </c>
      <c r="K24" s="32">
        <v>32.76</v>
      </c>
      <c r="L24" s="33">
        <v>0.03</v>
      </c>
      <c r="M24" s="32">
        <v>0.98</v>
      </c>
      <c r="N24" s="2" t="s">
        <v>194</v>
      </c>
      <c r="O24" s="30" t="s">
        <v>195</v>
      </c>
      <c r="P24" s="30" t="str">
        <f t="shared" si="0"/>
        <v>Carol Foley</v>
      </c>
      <c r="Q24" s="30">
        <v>17425766</v>
      </c>
    </row>
    <row r="25" spans="1:17" ht="15" customHeight="1" x14ac:dyDescent="0.2">
      <c r="A25" s="14" t="s">
        <v>64</v>
      </c>
      <c r="B25" s="14">
        <v>441998030</v>
      </c>
      <c r="C25" s="14" t="s">
        <v>73</v>
      </c>
      <c r="D25" s="31">
        <v>45139</v>
      </c>
      <c r="E25" s="14" t="s">
        <v>74</v>
      </c>
      <c r="F25" s="31">
        <v>45962</v>
      </c>
      <c r="G25" s="31">
        <v>45992</v>
      </c>
      <c r="H25" s="31">
        <v>45976</v>
      </c>
      <c r="I25" s="14" t="s">
        <v>68</v>
      </c>
      <c r="J25" s="14">
        <v>1</v>
      </c>
      <c r="K25" s="32">
        <v>9.8000000000000007</v>
      </c>
      <c r="L25" s="33">
        <v>0.09</v>
      </c>
      <c r="M25" s="32">
        <v>0.88</v>
      </c>
      <c r="N25" s="2" t="s">
        <v>190</v>
      </c>
      <c r="O25" s="30" t="s">
        <v>191</v>
      </c>
      <c r="P25" s="30" t="str">
        <f t="shared" si="0"/>
        <v>Anne Kozacheck</v>
      </c>
      <c r="Q25" s="30">
        <v>19278370</v>
      </c>
    </row>
    <row r="26" spans="1:17" ht="15" customHeight="1" x14ac:dyDescent="0.2">
      <c r="A26" s="14" t="s">
        <v>64</v>
      </c>
      <c r="B26" s="14">
        <v>442034541</v>
      </c>
      <c r="C26" s="14" t="s">
        <v>76</v>
      </c>
      <c r="D26" s="31">
        <v>45100</v>
      </c>
      <c r="E26" s="14" t="s">
        <v>77</v>
      </c>
      <c r="F26" s="31">
        <v>45962</v>
      </c>
      <c r="G26" s="31">
        <v>45992</v>
      </c>
      <c r="H26" s="31">
        <v>45973</v>
      </c>
      <c r="I26" s="14" t="s">
        <v>68</v>
      </c>
      <c r="J26" s="14">
        <v>1</v>
      </c>
      <c r="K26" s="32">
        <v>67</v>
      </c>
      <c r="L26" s="33">
        <v>0.09</v>
      </c>
      <c r="M26" s="32">
        <v>6.03</v>
      </c>
      <c r="N26" s="2" t="s">
        <v>190</v>
      </c>
      <c r="O26" s="30" t="s">
        <v>191</v>
      </c>
      <c r="P26" s="30" t="str">
        <f t="shared" si="0"/>
        <v>Anne Kozacheck</v>
      </c>
      <c r="Q26" s="30">
        <v>19278370</v>
      </c>
    </row>
    <row r="27" spans="1:17" ht="15" customHeight="1" x14ac:dyDescent="0.2">
      <c r="A27" s="14" t="s">
        <v>64</v>
      </c>
      <c r="B27" s="14">
        <v>442098436</v>
      </c>
      <c r="C27" s="14" t="s">
        <v>124</v>
      </c>
      <c r="D27" s="31">
        <v>45227</v>
      </c>
      <c r="E27" s="14" t="s">
        <v>125</v>
      </c>
      <c r="F27" s="31">
        <v>45962</v>
      </c>
      <c r="G27" s="31">
        <v>45992</v>
      </c>
      <c r="H27" s="31">
        <v>45973</v>
      </c>
      <c r="I27" s="14" t="s">
        <v>68</v>
      </c>
      <c r="J27" s="14">
        <v>1</v>
      </c>
      <c r="K27" s="32">
        <v>13.5</v>
      </c>
      <c r="L27" s="33">
        <v>0.09</v>
      </c>
      <c r="M27" s="32">
        <v>1.22</v>
      </c>
      <c r="N27" s="2" t="s">
        <v>194</v>
      </c>
      <c r="O27" s="30" t="s">
        <v>195</v>
      </c>
      <c r="P27" s="30" t="str">
        <f t="shared" si="0"/>
        <v>Carol Foley</v>
      </c>
      <c r="Q27" s="30">
        <v>17425766</v>
      </c>
    </row>
    <row r="28" spans="1:17" ht="15" customHeight="1" x14ac:dyDescent="0.2">
      <c r="A28" s="14" t="s">
        <v>64</v>
      </c>
      <c r="B28" s="14">
        <v>442098439</v>
      </c>
      <c r="C28" s="14" t="s">
        <v>124</v>
      </c>
      <c r="D28" s="31">
        <v>45227</v>
      </c>
      <c r="E28" s="14" t="s">
        <v>127</v>
      </c>
      <c r="F28" s="31">
        <v>45962</v>
      </c>
      <c r="G28" s="31">
        <v>45992</v>
      </c>
      <c r="H28" s="31">
        <v>45973</v>
      </c>
      <c r="I28" s="14" t="s">
        <v>68</v>
      </c>
      <c r="J28" s="14">
        <v>1</v>
      </c>
      <c r="K28" s="32">
        <v>33.92</v>
      </c>
      <c r="L28" s="33">
        <v>0.18</v>
      </c>
      <c r="M28" s="32">
        <v>6.11</v>
      </c>
      <c r="N28" s="2" t="s">
        <v>194</v>
      </c>
      <c r="O28" s="30" t="s">
        <v>195</v>
      </c>
      <c r="P28" s="30" t="str">
        <f t="shared" si="0"/>
        <v>Carol Foley</v>
      </c>
      <c r="Q28" s="30">
        <v>17425766</v>
      </c>
    </row>
    <row r="29" spans="1:17" ht="15" customHeight="1" x14ac:dyDescent="0.2">
      <c r="A29" s="14" t="s">
        <v>64</v>
      </c>
      <c r="B29" s="14">
        <v>442255341</v>
      </c>
      <c r="C29" s="14" t="s">
        <v>101</v>
      </c>
      <c r="D29" s="31">
        <v>45292</v>
      </c>
      <c r="E29" s="14" t="s">
        <v>102</v>
      </c>
      <c r="F29" s="31">
        <v>45962</v>
      </c>
      <c r="G29" s="31">
        <v>45992</v>
      </c>
      <c r="H29" s="31">
        <v>45973</v>
      </c>
      <c r="I29" s="14" t="s">
        <v>68</v>
      </c>
      <c r="J29" s="14">
        <v>1</v>
      </c>
      <c r="K29" s="32">
        <v>68.45</v>
      </c>
      <c r="L29" s="33">
        <v>4.4999999999999998E-2</v>
      </c>
      <c r="M29" s="32">
        <v>3.08</v>
      </c>
      <c r="N29" s="2" t="s">
        <v>194</v>
      </c>
      <c r="O29" s="30" t="s">
        <v>195</v>
      </c>
      <c r="P29" s="30" t="str">
        <f t="shared" si="0"/>
        <v>Carol Foley</v>
      </c>
      <c r="Q29" s="30">
        <v>17425766</v>
      </c>
    </row>
    <row r="30" spans="1:17" ht="15" customHeight="1" x14ac:dyDescent="0.2">
      <c r="A30" s="14" t="s">
        <v>64</v>
      </c>
      <c r="B30" s="14">
        <v>442255344</v>
      </c>
      <c r="C30" s="14" t="s">
        <v>101</v>
      </c>
      <c r="D30" s="31">
        <v>45292</v>
      </c>
      <c r="E30" s="14" t="s">
        <v>98</v>
      </c>
      <c r="F30" s="31">
        <v>45962</v>
      </c>
      <c r="G30" s="31">
        <v>45992</v>
      </c>
      <c r="H30" s="31">
        <v>45973</v>
      </c>
      <c r="I30" s="14" t="s">
        <v>68</v>
      </c>
      <c r="J30" s="14">
        <v>1</v>
      </c>
      <c r="K30" s="32">
        <v>101.85</v>
      </c>
      <c r="L30" s="33">
        <v>0.09</v>
      </c>
      <c r="M30" s="32">
        <v>9.17</v>
      </c>
      <c r="N30" s="2" t="s">
        <v>194</v>
      </c>
      <c r="O30" s="30" t="s">
        <v>195</v>
      </c>
      <c r="P30" s="30" t="str">
        <f t="shared" si="0"/>
        <v>Carol Foley</v>
      </c>
      <c r="Q30" s="30">
        <v>17425766</v>
      </c>
    </row>
    <row r="31" spans="1:17" ht="15" customHeight="1" x14ac:dyDescent="0.2">
      <c r="A31" s="14" t="s">
        <v>64</v>
      </c>
      <c r="B31" s="14">
        <v>442256625</v>
      </c>
      <c r="C31" s="14" t="s">
        <v>97</v>
      </c>
      <c r="D31" s="31">
        <v>45237</v>
      </c>
      <c r="E31" s="14" t="s">
        <v>98</v>
      </c>
      <c r="F31" s="31">
        <v>45962</v>
      </c>
      <c r="G31" s="31">
        <v>45968</v>
      </c>
      <c r="H31" s="31">
        <v>45972</v>
      </c>
      <c r="I31" s="14" t="s">
        <v>68</v>
      </c>
      <c r="J31" s="14">
        <v>1</v>
      </c>
      <c r="K31" s="32">
        <v>22.54</v>
      </c>
      <c r="L31" s="33">
        <v>0.18</v>
      </c>
      <c r="M31" s="32">
        <v>4.0599999999999996</v>
      </c>
      <c r="N31" s="2" t="s">
        <v>194</v>
      </c>
      <c r="O31" s="30" t="s">
        <v>195</v>
      </c>
      <c r="P31" s="30" t="str">
        <f t="shared" si="0"/>
        <v>Carol Foley</v>
      </c>
      <c r="Q31" s="30">
        <v>17425766</v>
      </c>
    </row>
    <row r="32" spans="1:17" ht="15" customHeight="1" x14ac:dyDescent="0.2">
      <c r="A32" s="14" t="s">
        <v>64</v>
      </c>
      <c r="B32" s="14">
        <v>442256625</v>
      </c>
      <c r="C32" s="14" t="s">
        <v>97</v>
      </c>
      <c r="D32" s="31">
        <v>45237</v>
      </c>
      <c r="E32" s="14" t="s">
        <v>98</v>
      </c>
      <c r="F32" s="31">
        <v>45969</v>
      </c>
      <c r="G32" s="31">
        <v>45992</v>
      </c>
      <c r="H32" s="31">
        <v>45972</v>
      </c>
      <c r="I32" s="14" t="s">
        <v>68</v>
      </c>
      <c r="J32" s="14">
        <v>1</v>
      </c>
      <c r="K32" s="32">
        <v>90.18</v>
      </c>
      <c r="L32" s="33">
        <v>0.18</v>
      </c>
      <c r="M32" s="32">
        <v>16.23</v>
      </c>
      <c r="N32" s="2" t="s">
        <v>194</v>
      </c>
      <c r="O32" s="30" t="s">
        <v>195</v>
      </c>
      <c r="P32" s="30" t="str">
        <f t="shared" si="0"/>
        <v>Carol Foley</v>
      </c>
      <c r="Q32" s="30">
        <v>17425766</v>
      </c>
    </row>
    <row r="33" spans="1:17" ht="15" customHeight="1" x14ac:dyDescent="0.2">
      <c r="A33" s="14" t="s">
        <v>64</v>
      </c>
      <c r="B33" s="14">
        <v>442267305</v>
      </c>
      <c r="C33" s="14" t="s">
        <v>112</v>
      </c>
      <c r="D33" s="31">
        <v>45261</v>
      </c>
      <c r="E33" s="14" t="s">
        <v>94</v>
      </c>
      <c r="F33" s="31">
        <v>45962</v>
      </c>
      <c r="G33" s="31">
        <v>45992</v>
      </c>
      <c r="H33" s="31">
        <v>45973</v>
      </c>
      <c r="I33" s="14" t="s">
        <v>68</v>
      </c>
      <c r="J33" s="14">
        <v>1</v>
      </c>
      <c r="K33" s="32">
        <v>30.03</v>
      </c>
      <c r="L33" s="33">
        <v>4.4999999999999998E-2</v>
      </c>
      <c r="M33" s="32">
        <v>1.35</v>
      </c>
      <c r="N33" s="2" t="s">
        <v>194</v>
      </c>
      <c r="O33" s="30" t="s">
        <v>195</v>
      </c>
      <c r="P33" s="30" t="str">
        <f t="shared" si="0"/>
        <v>Carol Foley</v>
      </c>
      <c r="Q33" s="30">
        <v>17425766</v>
      </c>
    </row>
    <row r="34" spans="1:17" ht="15" customHeight="1" x14ac:dyDescent="0.2">
      <c r="A34" s="14" t="s">
        <v>64</v>
      </c>
      <c r="B34" s="14">
        <v>442267307</v>
      </c>
      <c r="C34" s="14" t="s">
        <v>112</v>
      </c>
      <c r="D34" s="31">
        <v>45261</v>
      </c>
      <c r="E34" s="14" t="s">
        <v>98</v>
      </c>
      <c r="F34" s="31">
        <v>45962</v>
      </c>
      <c r="G34" s="31">
        <v>45992</v>
      </c>
      <c r="H34" s="31">
        <v>45973</v>
      </c>
      <c r="I34" s="14" t="s">
        <v>68</v>
      </c>
      <c r="J34" s="14">
        <v>1</v>
      </c>
      <c r="K34" s="32">
        <v>88.04</v>
      </c>
      <c r="L34" s="33">
        <v>0.18</v>
      </c>
      <c r="M34" s="32">
        <v>15.85</v>
      </c>
      <c r="N34" s="2" t="s">
        <v>194</v>
      </c>
      <c r="O34" s="30" t="s">
        <v>195</v>
      </c>
      <c r="P34" s="30" t="str">
        <f t="shared" ref="P34:P65" si="1">CONCATENATE(N34, " ",O34)</f>
        <v>Carol Foley</v>
      </c>
      <c r="Q34" s="30">
        <v>17425766</v>
      </c>
    </row>
    <row r="35" spans="1:17" ht="15" customHeight="1" x14ac:dyDescent="0.2">
      <c r="A35" s="14" t="s">
        <v>64</v>
      </c>
      <c r="B35" s="14">
        <v>442289841</v>
      </c>
      <c r="C35" s="14" t="s">
        <v>145</v>
      </c>
      <c r="D35" s="31">
        <v>45292</v>
      </c>
      <c r="E35" s="14" t="s">
        <v>134</v>
      </c>
      <c r="F35" s="31">
        <v>45962</v>
      </c>
      <c r="G35" s="31">
        <v>45992</v>
      </c>
      <c r="H35" s="31">
        <v>45973</v>
      </c>
      <c r="I35" s="14" t="s">
        <v>68</v>
      </c>
      <c r="J35" s="14">
        <v>1</v>
      </c>
      <c r="K35" s="32">
        <v>15.9</v>
      </c>
      <c r="L35" s="33">
        <v>0.09</v>
      </c>
      <c r="M35" s="32">
        <v>1.43</v>
      </c>
      <c r="N35" s="2" t="s">
        <v>196</v>
      </c>
      <c r="O35" s="30" t="s">
        <v>197</v>
      </c>
      <c r="P35" s="30" t="str">
        <f t="shared" si="1"/>
        <v>Deborah Inskipt</v>
      </c>
      <c r="Q35" s="30">
        <v>17528908</v>
      </c>
    </row>
    <row r="36" spans="1:17" ht="15" customHeight="1" x14ac:dyDescent="0.2">
      <c r="A36" s="14" t="s">
        <v>64</v>
      </c>
      <c r="B36" s="14">
        <v>442289842</v>
      </c>
      <c r="C36" s="14" t="s">
        <v>145</v>
      </c>
      <c r="D36" s="31">
        <v>45292</v>
      </c>
      <c r="E36" s="14" t="s">
        <v>136</v>
      </c>
      <c r="F36" s="31">
        <v>45962</v>
      </c>
      <c r="G36" s="31">
        <v>45992</v>
      </c>
      <c r="H36" s="31">
        <v>45973</v>
      </c>
      <c r="I36" s="14" t="s">
        <v>68</v>
      </c>
      <c r="J36" s="14">
        <v>1</v>
      </c>
      <c r="K36" s="32">
        <v>14.2</v>
      </c>
      <c r="L36" s="33">
        <v>0.09</v>
      </c>
      <c r="M36" s="32">
        <v>1.28</v>
      </c>
      <c r="N36" s="2" t="s">
        <v>196</v>
      </c>
      <c r="O36" s="30" t="s">
        <v>197</v>
      </c>
      <c r="P36" s="30" t="str">
        <f t="shared" si="1"/>
        <v>Deborah Inskipt</v>
      </c>
      <c r="Q36" s="30">
        <v>17528908</v>
      </c>
    </row>
    <row r="37" spans="1:17" ht="15" customHeight="1" x14ac:dyDescent="0.2">
      <c r="A37" s="14" t="s">
        <v>64</v>
      </c>
      <c r="B37" s="14">
        <v>442292229</v>
      </c>
      <c r="C37" s="14" t="s">
        <v>138</v>
      </c>
      <c r="D37" s="31">
        <v>45250</v>
      </c>
      <c r="E37" s="14" t="s">
        <v>94</v>
      </c>
      <c r="F37" s="31">
        <v>45962</v>
      </c>
      <c r="G37" s="31">
        <v>45981</v>
      </c>
      <c r="H37" s="31">
        <v>45972</v>
      </c>
      <c r="I37" s="14" t="s">
        <v>68</v>
      </c>
      <c r="J37" s="14">
        <v>1</v>
      </c>
      <c r="K37" s="32">
        <v>19.02</v>
      </c>
      <c r="L37" s="33">
        <v>4.4999999999999998E-2</v>
      </c>
      <c r="M37" s="32">
        <v>0.86</v>
      </c>
      <c r="N37" s="2" t="s">
        <v>196</v>
      </c>
      <c r="O37" s="30" t="s">
        <v>197</v>
      </c>
      <c r="P37" s="30" t="str">
        <f t="shared" si="1"/>
        <v>Deborah Inskipt</v>
      </c>
      <c r="Q37" s="30">
        <v>17528908</v>
      </c>
    </row>
    <row r="38" spans="1:17" ht="15" customHeight="1" x14ac:dyDescent="0.2">
      <c r="A38" s="14" t="s">
        <v>64</v>
      </c>
      <c r="B38" s="14">
        <v>442292229</v>
      </c>
      <c r="C38" s="14" t="s">
        <v>138</v>
      </c>
      <c r="D38" s="31">
        <v>45250</v>
      </c>
      <c r="E38" s="14" t="s">
        <v>94</v>
      </c>
      <c r="F38" s="31">
        <v>45982</v>
      </c>
      <c r="G38" s="31">
        <v>45992</v>
      </c>
      <c r="H38" s="31">
        <v>45972</v>
      </c>
      <c r="I38" s="14" t="s">
        <v>68</v>
      </c>
      <c r="J38" s="14">
        <v>1</v>
      </c>
      <c r="K38" s="32">
        <v>11.01</v>
      </c>
      <c r="L38" s="33">
        <v>4.4999999999999998E-2</v>
      </c>
      <c r="M38" s="32">
        <v>0.5</v>
      </c>
      <c r="N38" s="2" t="s">
        <v>196</v>
      </c>
      <c r="O38" s="30" t="s">
        <v>197</v>
      </c>
      <c r="P38" s="30" t="str">
        <f t="shared" si="1"/>
        <v>Deborah Inskipt</v>
      </c>
      <c r="Q38" s="30">
        <v>17528908</v>
      </c>
    </row>
    <row r="39" spans="1:17" ht="15" customHeight="1" x14ac:dyDescent="0.2">
      <c r="A39" s="14" t="s">
        <v>64</v>
      </c>
      <c r="B39" s="14">
        <v>442292751</v>
      </c>
      <c r="C39" s="14" t="s">
        <v>105</v>
      </c>
      <c r="D39" s="31">
        <v>45250</v>
      </c>
      <c r="E39" s="14" t="s">
        <v>106</v>
      </c>
      <c r="F39" s="31">
        <v>45982</v>
      </c>
      <c r="G39" s="31">
        <v>45992</v>
      </c>
      <c r="H39" s="31">
        <v>45973</v>
      </c>
      <c r="I39" s="14" t="s">
        <v>68</v>
      </c>
      <c r="J39" s="14">
        <v>1</v>
      </c>
      <c r="K39" s="32">
        <v>16.600000000000001</v>
      </c>
      <c r="L39" s="33">
        <v>0.18</v>
      </c>
      <c r="M39" s="32">
        <v>2.99</v>
      </c>
      <c r="N39" s="2" t="s">
        <v>194</v>
      </c>
      <c r="O39" s="30" t="s">
        <v>195</v>
      </c>
      <c r="P39" s="30" t="str">
        <f t="shared" si="1"/>
        <v>Carol Foley</v>
      </c>
      <c r="Q39" s="30">
        <v>17425766</v>
      </c>
    </row>
    <row r="40" spans="1:17" ht="15" customHeight="1" x14ac:dyDescent="0.2">
      <c r="A40" s="14" t="s">
        <v>64</v>
      </c>
      <c r="B40" s="14">
        <v>442292751</v>
      </c>
      <c r="C40" s="14" t="s">
        <v>105</v>
      </c>
      <c r="D40" s="31">
        <v>45250</v>
      </c>
      <c r="E40" s="14" t="s">
        <v>106</v>
      </c>
      <c r="F40" s="31">
        <v>45962</v>
      </c>
      <c r="G40" s="31">
        <v>45981</v>
      </c>
      <c r="H40" s="31">
        <v>45973</v>
      </c>
      <c r="I40" s="14" t="s">
        <v>68</v>
      </c>
      <c r="J40" s="14">
        <v>1</v>
      </c>
      <c r="K40" s="32">
        <v>28.66</v>
      </c>
      <c r="L40" s="33">
        <v>0.18</v>
      </c>
      <c r="M40" s="32">
        <v>5.16</v>
      </c>
      <c r="N40" s="2" t="s">
        <v>194</v>
      </c>
      <c r="O40" s="30" t="s">
        <v>195</v>
      </c>
      <c r="P40" s="30" t="str">
        <f t="shared" si="1"/>
        <v>Carol Foley</v>
      </c>
      <c r="Q40" s="30">
        <v>17425766</v>
      </c>
    </row>
    <row r="41" spans="1:17" ht="15" customHeight="1" x14ac:dyDescent="0.2">
      <c r="A41" s="14" t="s">
        <v>64</v>
      </c>
      <c r="B41" s="14">
        <v>442294068</v>
      </c>
      <c r="C41" s="14" t="s">
        <v>133</v>
      </c>
      <c r="D41" s="31">
        <v>45250</v>
      </c>
      <c r="E41" s="14" t="s">
        <v>134</v>
      </c>
      <c r="F41" s="31">
        <v>45962</v>
      </c>
      <c r="G41" s="31">
        <v>45981</v>
      </c>
      <c r="H41" s="31">
        <v>45972</v>
      </c>
      <c r="I41" s="14" t="s">
        <v>68</v>
      </c>
      <c r="J41" s="14">
        <v>1</v>
      </c>
      <c r="K41" s="32">
        <v>7.6</v>
      </c>
      <c r="L41" s="33">
        <v>0.09</v>
      </c>
      <c r="M41" s="32">
        <v>0.68</v>
      </c>
      <c r="N41" s="2" t="s">
        <v>196</v>
      </c>
      <c r="O41" s="30" t="s">
        <v>197</v>
      </c>
      <c r="P41" s="30" t="str">
        <f t="shared" si="1"/>
        <v>Deborah Inskipt</v>
      </c>
      <c r="Q41" s="30">
        <v>17528908</v>
      </c>
    </row>
    <row r="42" spans="1:17" ht="15" customHeight="1" x14ac:dyDescent="0.2">
      <c r="A42" s="14" t="s">
        <v>64</v>
      </c>
      <c r="B42" s="14">
        <v>442294068</v>
      </c>
      <c r="C42" s="14" t="s">
        <v>133</v>
      </c>
      <c r="D42" s="31">
        <v>45250</v>
      </c>
      <c r="E42" s="14" t="s">
        <v>134</v>
      </c>
      <c r="F42" s="31">
        <v>45982</v>
      </c>
      <c r="G42" s="31">
        <v>45992</v>
      </c>
      <c r="H42" s="31">
        <v>45972</v>
      </c>
      <c r="I42" s="14" t="s">
        <v>68</v>
      </c>
      <c r="J42" s="14">
        <v>1</v>
      </c>
      <c r="K42" s="32">
        <v>4.4000000000000004</v>
      </c>
      <c r="L42" s="33">
        <v>0.09</v>
      </c>
      <c r="M42" s="32">
        <v>0.4</v>
      </c>
      <c r="N42" s="2" t="s">
        <v>196</v>
      </c>
      <c r="O42" s="30" t="s">
        <v>197</v>
      </c>
      <c r="P42" s="30" t="str">
        <f t="shared" si="1"/>
        <v>Deborah Inskipt</v>
      </c>
      <c r="Q42" s="30">
        <v>17528908</v>
      </c>
    </row>
    <row r="43" spans="1:17" ht="15" customHeight="1" x14ac:dyDescent="0.2">
      <c r="A43" s="14" t="s">
        <v>64</v>
      </c>
      <c r="B43" s="14">
        <v>442294069</v>
      </c>
      <c r="C43" s="14" t="s">
        <v>133</v>
      </c>
      <c r="D43" s="31">
        <v>45250</v>
      </c>
      <c r="E43" s="14" t="s">
        <v>136</v>
      </c>
      <c r="F43" s="31">
        <v>45982</v>
      </c>
      <c r="G43" s="31">
        <v>45992</v>
      </c>
      <c r="H43" s="31">
        <v>45972</v>
      </c>
      <c r="I43" s="14" t="s">
        <v>68</v>
      </c>
      <c r="J43" s="14">
        <v>1</v>
      </c>
      <c r="K43" s="32">
        <v>4.84</v>
      </c>
      <c r="L43" s="33">
        <v>0.09</v>
      </c>
      <c r="M43" s="32">
        <v>0.44</v>
      </c>
      <c r="N43" s="2" t="s">
        <v>196</v>
      </c>
      <c r="O43" s="30" t="s">
        <v>197</v>
      </c>
      <c r="P43" s="30" t="str">
        <f t="shared" si="1"/>
        <v>Deborah Inskipt</v>
      </c>
      <c r="Q43" s="30">
        <v>17528908</v>
      </c>
    </row>
    <row r="44" spans="1:17" ht="15" customHeight="1" x14ac:dyDescent="0.2">
      <c r="A44" s="14" t="s">
        <v>64</v>
      </c>
      <c r="B44" s="14">
        <v>442294069</v>
      </c>
      <c r="C44" s="14" t="s">
        <v>133</v>
      </c>
      <c r="D44" s="31">
        <v>45250</v>
      </c>
      <c r="E44" s="14" t="s">
        <v>136</v>
      </c>
      <c r="F44" s="31">
        <v>45962</v>
      </c>
      <c r="G44" s="31">
        <v>45981</v>
      </c>
      <c r="H44" s="31">
        <v>45972</v>
      </c>
      <c r="I44" s="14" t="s">
        <v>68</v>
      </c>
      <c r="J44" s="14">
        <v>1</v>
      </c>
      <c r="K44" s="32">
        <v>8.36</v>
      </c>
      <c r="L44" s="33">
        <v>0.09</v>
      </c>
      <c r="M44" s="32">
        <v>0.75</v>
      </c>
      <c r="N44" s="2" t="s">
        <v>196</v>
      </c>
      <c r="O44" s="30" t="s">
        <v>197</v>
      </c>
      <c r="P44" s="30" t="str">
        <f t="shared" si="1"/>
        <v>Deborah Inskipt</v>
      </c>
      <c r="Q44" s="30">
        <v>17528908</v>
      </c>
    </row>
    <row r="45" spans="1:17" ht="15" customHeight="1" x14ac:dyDescent="0.2">
      <c r="A45" s="14" t="s">
        <v>64</v>
      </c>
      <c r="B45" s="14">
        <v>442296755</v>
      </c>
      <c r="C45" s="14" t="s">
        <v>93</v>
      </c>
      <c r="D45" s="31">
        <v>45253</v>
      </c>
      <c r="E45" s="14" t="s">
        <v>94</v>
      </c>
      <c r="F45" s="31">
        <v>45962</v>
      </c>
      <c r="G45" s="31">
        <v>45984</v>
      </c>
      <c r="H45" s="31">
        <v>45973</v>
      </c>
      <c r="I45" s="14" t="s">
        <v>68</v>
      </c>
      <c r="J45" s="14">
        <v>1</v>
      </c>
      <c r="K45" s="32">
        <v>22.02</v>
      </c>
      <c r="L45" s="33">
        <v>4.4999999999999998E-2</v>
      </c>
      <c r="M45" s="32">
        <v>0.99</v>
      </c>
      <c r="N45" s="2" t="s">
        <v>194</v>
      </c>
      <c r="O45" s="30" t="s">
        <v>195</v>
      </c>
      <c r="P45" s="30" t="str">
        <f t="shared" si="1"/>
        <v>Carol Foley</v>
      </c>
      <c r="Q45" s="30">
        <v>17425766</v>
      </c>
    </row>
    <row r="46" spans="1:17" ht="15" customHeight="1" x14ac:dyDescent="0.2">
      <c r="A46" s="14" t="s">
        <v>64</v>
      </c>
      <c r="B46" s="14">
        <v>442296755</v>
      </c>
      <c r="C46" s="14" t="s">
        <v>93</v>
      </c>
      <c r="D46" s="31">
        <v>45253</v>
      </c>
      <c r="E46" s="14" t="s">
        <v>94</v>
      </c>
      <c r="F46" s="31">
        <v>45985</v>
      </c>
      <c r="G46" s="31">
        <v>45992</v>
      </c>
      <c r="H46" s="31">
        <v>45973</v>
      </c>
      <c r="I46" s="14" t="s">
        <v>68</v>
      </c>
      <c r="J46" s="14">
        <v>1</v>
      </c>
      <c r="K46" s="32">
        <v>8.01</v>
      </c>
      <c r="L46" s="33">
        <v>4.4999999999999998E-2</v>
      </c>
      <c r="M46" s="32">
        <v>0.36</v>
      </c>
      <c r="N46" s="2" t="s">
        <v>194</v>
      </c>
      <c r="O46" s="30" t="s">
        <v>195</v>
      </c>
      <c r="P46" s="30" t="str">
        <f t="shared" si="1"/>
        <v>Carol Foley</v>
      </c>
      <c r="Q46" s="30">
        <v>17425766</v>
      </c>
    </row>
    <row r="47" spans="1:17" ht="15" customHeight="1" x14ac:dyDescent="0.2">
      <c r="A47" s="14" t="s">
        <v>64</v>
      </c>
      <c r="B47" s="14">
        <v>442301963</v>
      </c>
      <c r="C47" s="14" t="s">
        <v>148</v>
      </c>
      <c r="D47" s="31">
        <v>45254</v>
      </c>
      <c r="E47" s="14" t="s">
        <v>149</v>
      </c>
      <c r="F47" s="31">
        <v>45962</v>
      </c>
      <c r="G47" s="31">
        <v>45985</v>
      </c>
      <c r="H47" s="31">
        <v>45973</v>
      </c>
      <c r="I47" s="14" t="s">
        <v>68</v>
      </c>
      <c r="J47" s="14">
        <v>1</v>
      </c>
      <c r="K47" s="32">
        <v>40.630000000000003</v>
      </c>
      <c r="L47" s="33">
        <v>0.09</v>
      </c>
      <c r="M47" s="32">
        <v>3.66</v>
      </c>
      <c r="N47" s="2" t="s">
        <v>196</v>
      </c>
      <c r="O47" s="30" t="s">
        <v>197</v>
      </c>
      <c r="P47" s="30" t="str">
        <f t="shared" si="1"/>
        <v>Deborah Inskipt</v>
      </c>
      <c r="Q47" s="30">
        <v>17528908</v>
      </c>
    </row>
    <row r="48" spans="1:17" ht="15" customHeight="1" x14ac:dyDescent="0.2">
      <c r="A48" s="14" t="s">
        <v>64</v>
      </c>
      <c r="B48" s="14">
        <v>442301963</v>
      </c>
      <c r="C48" s="14" t="s">
        <v>148</v>
      </c>
      <c r="D48" s="31">
        <v>45254</v>
      </c>
      <c r="E48" s="14" t="s">
        <v>149</v>
      </c>
      <c r="F48" s="31">
        <v>45986</v>
      </c>
      <c r="G48" s="31">
        <v>45992</v>
      </c>
      <c r="H48" s="31">
        <v>45973</v>
      </c>
      <c r="I48" s="14" t="s">
        <v>68</v>
      </c>
      <c r="J48" s="14">
        <v>1</v>
      </c>
      <c r="K48" s="32">
        <v>12.37</v>
      </c>
      <c r="L48" s="33">
        <v>0.09</v>
      </c>
      <c r="M48" s="32">
        <v>1.1100000000000001</v>
      </c>
      <c r="N48" s="2" t="s">
        <v>196</v>
      </c>
      <c r="O48" s="30" t="s">
        <v>197</v>
      </c>
      <c r="P48" s="30" t="str">
        <f t="shared" si="1"/>
        <v>Deborah Inskipt</v>
      </c>
      <c r="Q48" s="30">
        <v>17528908</v>
      </c>
    </row>
    <row r="49" spans="1:17" ht="15" customHeight="1" x14ac:dyDescent="0.2">
      <c r="A49" s="14" t="s">
        <v>64</v>
      </c>
      <c r="B49" s="14">
        <v>442301964</v>
      </c>
      <c r="C49" s="14" t="s">
        <v>148</v>
      </c>
      <c r="D49" s="31">
        <v>45254</v>
      </c>
      <c r="E49" s="14" t="s">
        <v>151</v>
      </c>
      <c r="F49" s="31">
        <v>45962</v>
      </c>
      <c r="G49" s="31">
        <v>45985</v>
      </c>
      <c r="H49" s="31">
        <v>45973</v>
      </c>
      <c r="I49" s="14" t="s">
        <v>68</v>
      </c>
      <c r="J49" s="14">
        <v>1</v>
      </c>
      <c r="K49" s="32">
        <v>36.49</v>
      </c>
      <c r="L49" s="33">
        <v>0.09</v>
      </c>
      <c r="M49" s="32">
        <v>3.28</v>
      </c>
      <c r="N49" s="2" t="s">
        <v>196</v>
      </c>
      <c r="O49" s="30" t="s">
        <v>197</v>
      </c>
      <c r="P49" s="30" t="str">
        <f t="shared" si="1"/>
        <v>Deborah Inskipt</v>
      </c>
      <c r="Q49" s="30">
        <v>17528908</v>
      </c>
    </row>
    <row r="50" spans="1:17" ht="15" customHeight="1" x14ac:dyDescent="0.2">
      <c r="A50" s="14" t="s">
        <v>64</v>
      </c>
      <c r="B50" s="14">
        <v>442301964</v>
      </c>
      <c r="C50" s="14" t="s">
        <v>148</v>
      </c>
      <c r="D50" s="31">
        <v>45254</v>
      </c>
      <c r="E50" s="14" t="s">
        <v>151</v>
      </c>
      <c r="F50" s="31">
        <v>45986</v>
      </c>
      <c r="G50" s="31">
        <v>45992</v>
      </c>
      <c r="H50" s="31">
        <v>45973</v>
      </c>
      <c r="I50" s="14" t="s">
        <v>68</v>
      </c>
      <c r="J50" s="14">
        <v>1</v>
      </c>
      <c r="K50" s="32">
        <v>11.11</v>
      </c>
      <c r="L50" s="33">
        <v>0.09</v>
      </c>
      <c r="M50" s="32">
        <v>1</v>
      </c>
      <c r="N50" s="2" t="s">
        <v>196</v>
      </c>
      <c r="O50" s="30" t="s">
        <v>197</v>
      </c>
      <c r="P50" s="30" t="str">
        <f t="shared" si="1"/>
        <v>Deborah Inskipt</v>
      </c>
      <c r="Q50" s="30">
        <v>17528908</v>
      </c>
    </row>
    <row r="51" spans="1:17" ht="15" customHeight="1" x14ac:dyDescent="0.2">
      <c r="A51" s="14" t="s">
        <v>64</v>
      </c>
      <c r="B51" s="14">
        <v>442425089</v>
      </c>
      <c r="C51" s="14" t="s">
        <v>140</v>
      </c>
      <c r="D51" s="31">
        <v>45301</v>
      </c>
      <c r="E51" s="14" t="s">
        <v>141</v>
      </c>
      <c r="F51" s="31">
        <v>45962</v>
      </c>
      <c r="G51" s="31">
        <v>45992</v>
      </c>
      <c r="H51" s="31">
        <v>45973</v>
      </c>
      <c r="I51" s="14" t="s">
        <v>68</v>
      </c>
      <c r="J51" s="14">
        <v>1</v>
      </c>
      <c r="K51" s="32">
        <v>20.399999999999999</v>
      </c>
      <c r="L51" s="33">
        <v>0.09</v>
      </c>
      <c r="M51" s="32">
        <v>1.84</v>
      </c>
      <c r="N51" s="2" t="s">
        <v>196</v>
      </c>
      <c r="O51" s="30" t="s">
        <v>197</v>
      </c>
      <c r="P51" s="30" t="str">
        <f t="shared" si="1"/>
        <v>Deborah Inskipt</v>
      </c>
      <c r="Q51" s="30">
        <v>17528908</v>
      </c>
    </row>
    <row r="52" spans="1:17" ht="15" customHeight="1" x14ac:dyDescent="0.2">
      <c r="A52" s="14" t="s">
        <v>64</v>
      </c>
      <c r="B52" s="14">
        <v>442425090</v>
      </c>
      <c r="C52" s="14" t="s">
        <v>140</v>
      </c>
      <c r="D52" s="31">
        <v>45301</v>
      </c>
      <c r="E52" s="14" t="s">
        <v>143</v>
      </c>
      <c r="F52" s="31">
        <v>45962</v>
      </c>
      <c r="G52" s="31">
        <v>45992</v>
      </c>
      <c r="H52" s="31">
        <v>45973</v>
      </c>
      <c r="I52" s="14" t="s">
        <v>68</v>
      </c>
      <c r="J52" s="14">
        <v>1</v>
      </c>
      <c r="K52" s="32">
        <v>24</v>
      </c>
      <c r="L52" s="33">
        <v>0.09</v>
      </c>
      <c r="M52" s="32">
        <v>2.16</v>
      </c>
      <c r="N52" s="2" t="s">
        <v>196</v>
      </c>
      <c r="O52" s="30" t="s">
        <v>197</v>
      </c>
      <c r="P52" s="30" t="str">
        <f t="shared" si="1"/>
        <v>Deborah Inskipt</v>
      </c>
      <c r="Q52" s="30">
        <v>17528908</v>
      </c>
    </row>
    <row r="53" spans="1:17" ht="15" customHeight="1" x14ac:dyDescent="0.2">
      <c r="A53" s="14" t="s">
        <v>64</v>
      </c>
      <c r="B53" s="14">
        <v>442459673</v>
      </c>
      <c r="C53" s="14" t="s">
        <v>187</v>
      </c>
      <c r="D53" s="31">
        <v>45317</v>
      </c>
      <c r="E53" s="14" t="s">
        <v>188</v>
      </c>
      <c r="F53" s="31">
        <v>45962</v>
      </c>
      <c r="G53" s="31">
        <v>45992</v>
      </c>
      <c r="H53" s="31">
        <v>45973</v>
      </c>
      <c r="I53" s="14" t="s">
        <v>68</v>
      </c>
      <c r="J53" s="14">
        <v>1</v>
      </c>
      <c r="K53" s="32">
        <v>85.5</v>
      </c>
      <c r="L53" s="33">
        <v>0.09</v>
      </c>
      <c r="M53" s="32">
        <v>7.7</v>
      </c>
      <c r="N53" s="2" t="s">
        <v>204</v>
      </c>
      <c r="O53" s="30" t="s">
        <v>205</v>
      </c>
      <c r="P53" s="30" t="str">
        <f t="shared" si="1"/>
        <v>Scott Aguglia</v>
      </c>
      <c r="Q53" s="30">
        <v>8971826</v>
      </c>
    </row>
    <row r="54" spans="1:17" ht="15" customHeight="1" x14ac:dyDescent="0.2">
      <c r="A54" s="14" t="s">
        <v>64</v>
      </c>
      <c r="B54" s="14">
        <v>442502397</v>
      </c>
      <c r="C54" s="14" t="s">
        <v>129</v>
      </c>
      <c r="D54" s="31">
        <v>45343</v>
      </c>
      <c r="E54" s="14" t="s">
        <v>94</v>
      </c>
      <c r="F54" s="31">
        <v>45962</v>
      </c>
      <c r="G54" s="31">
        <v>45992</v>
      </c>
      <c r="H54" s="31">
        <v>45972</v>
      </c>
      <c r="I54" s="14" t="s">
        <v>68</v>
      </c>
      <c r="J54" s="14">
        <v>1</v>
      </c>
      <c r="K54" s="32">
        <v>38.71</v>
      </c>
      <c r="L54" s="33">
        <v>4.4999999999999998E-2</v>
      </c>
      <c r="M54" s="32">
        <v>1.74</v>
      </c>
      <c r="N54" s="2" t="s">
        <v>194</v>
      </c>
      <c r="O54" s="30" t="s">
        <v>195</v>
      </c>
      <c r="P54" s="30" t="str">
        <f t="shared" si="1"/>
        <v>Carol Foley</v>
      </c>
      <c r="Q54" s="30">
        <v>17425766</v>
      </c>
    </row>
    <row r="55" spans="1:17" ht="15" customHeight="1" x14ac:dyDescent="0.2">
      <c r="A55" s="14" t="s">
        <v>64</v>
      </c>
      <c r="B55" s="14">
        <v>442502398</v>
      </c>
      <c r="C55" s="14" t="s">
        <v>129</v>
      </c>
      <c r="D55" s="31">
        <v>45343</v>
      </c>
      <c r="E55" s="14" t="s">
        <v>98</v>
      </c>
      <c r="F55" s="31">
        <v>45962</v>
      </c>
      <c r="G55" s="31">
        <v>45992</v>
      </c>
      <c r="H55" s="31">
        <v>45972</v>
      </c>
      <c r="I55" s="14" t="s">
        <v>68</v>
      </c>
      <c r="J55" s="14">
        <v>1</v>
      </c>
      <c r="K55" s="32">
        <v>23.37</v>
      </c>
      <c r="L55" s="33">
        <v>0.09</v>
      </c>
      <c r="M55" s="32">
        <v>2.1</v>
      </c>
      <c r="N55" s="2" t="s">
        <v>194</v>
      </c>
      <c r="O55" s="30" t="s">
        <v>195</v>
      </c>
      <c r="P55" s="30" t="str">
        <f t="shared" si="1"/>
        <v>Carol Foley</v>
      </c>
      <c r="Q55" s="30">
        <v>17425766</v>
      </c>
    </row>
    <row r="56" spans="1:17" ht="15" customHeight="1" x14ac:dyDescent="0.2">
      <c r="A56" s="14" t="s">
        <v>64</v>
      </c>
      <c r="B56" s="14">
        <v>442563687</v>
      </c>
      <c r="C56" s="14" t="s">
        <v>183</v>
      </c>
      <c r="D56" s="31">
        <v>45373</v>
      </c>
      <c r="E56" s="14" t="s">
        <v>184</v>
      </c>
      <c r="F56" s="31">
        <v>45962</v>
      </c>
      <c r="G56" s="31">
        <v>45992</v>
      </c>
      <c r="H56" s="31">
        <v>45973</v>
      </c>
      <c r="I56" s="14" t="s">
        <v>68</v>
      </c>
      <c r="J56" s="14">
        <v>1</v>
      </c>
      <c r="K56" s="32">
        <v>49.7</v>
      </c>
      <c r="L56" s="33">
        <v>0.03</v>
      </c>
      <c r="M56" s="32">
        <v>1.49</v>
      </c>
      <c r="N56" s="2" t="s">
        <v>202</v>
      </c>
      <c r="O56" s="30" t="s">
        <v>203</v>
      </c>
      <c r="P56" s="30" t="str">
        <f t="shared" si="1"/>
        <v>Margaret Finnegan</v>
      </c>
      <c r="Q56" s="30">
        <v>19861194</v>
      </c>
    </row>
    <row r="57" spans="1:17" x14ac:dyDescent="0.2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</row>
    <row r="58" spans="1:17" x14ac:dyDescent="0.2">
      <c r="A58" s="2"/>
      <c r="B58" s="2"/>
      <c r="C58" s="14"/>
      <c r="D58" s="14"/>
      <c r="E58" s="14"/>
      <c r="F58" s="14"/>
      <c r="G58" s="14"/>
      <c r="H58" s="2"/>
      <c r="I58" s="2"/>
      <c r="J58" s="2"/>
      <c r="K58" s="2"/>
      <c r="L58" s="34"/>
      <c r="M58" s="2"/>
    </row>
    <row r="59" spans="1:17" x14ac:dyDescent="0.2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</row>
    <row r="60" spans="1:17" ht="1.7" customHeight="1" x14ac:dyDescent="0.2"/>
  </sheetData>
  <sortState xmlns:xlrd2="http://schemas.microsoft.com/office/spreadsheetml/2017/richdata2" ref="A2:U56">
    <sortCondition ref="B2:B5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2025-12-02T11:11:05Z</dcterms:created>
  <dcterms:modified xsi:type="dcterms:W3CDTF">2025-12-04T15:58:17Z</dcterms:modified>
</cp:coreProperties>
</file>