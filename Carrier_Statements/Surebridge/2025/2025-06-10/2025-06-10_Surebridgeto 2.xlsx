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13_ncr:1_{DBFBD59F-14DB-4315-87DB-4AB4AD74489C}" xr6:coauthVersionLast="47" xr6:coauthVersionMax="47" xr10:uidLastSave="{00000000-0000-0000-0000-000000000000}"/>
  <bookViews>
    <workbookView xWindow="-57720" yWindow="-45" windowWidth="29040" windowHeight="15720" xr2:uid="{CA078DE4-9A43-47E7-A8A2-F4B3D3A91881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Print_Titles" localSheetId="0">Sheet1!$1:$3</definedName>
    <definedName name="_xlnm.Print_Titles" localSheetId="1">Sheet2!$1:$3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<sst xmlns="http://schemas.openxmlformats.org/spreadsheetml/2006/main" count="413" uniqueCount="162">
  <si>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</si>
  <si>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</si>
  <si>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</si>
  <si>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</si>
  <si>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</si>
  <si>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</si>
  <si>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</si>
  <si>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</si>
  <si>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06/10/2025</t>
  </si>
  <si>
    <t>Attn:  Commission Accounting</t>
  </si>
  <si>
    <t>Payee:</t>
  </si>
  <si>
    <t>Main Line Benefits LLC 15791498</t>
  </si>
  <si>
    <t>Statement To Date: 06/12/2025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</si>
  <si>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</si>
  <si>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</si>
  <si>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</si>
  <si>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</si>
  <si>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</si>
  <si>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</si>
  <si>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</si>
  <si>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</si>
  <si>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</si>
  <si>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</si>
  <si>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</si>
  <si>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</si>
  <si>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</si>
  <si>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</si>
  <si>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</si>
  <si>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</si>
  <si>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</si>
  <si>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</si>
  <si>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</si>
  <si>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</si>
  <si>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</si>
  <si>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</si>
  <si>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</si>
  <si>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</si>
  <si>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</si>
  <si>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</si>
  <si>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</si>
  <si>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</si>
  <si>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</si>
  <si>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</si>
  <si>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</si>
  <si>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</si>
  <si>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</si>
  <si>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</si>
  <si>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</si>
  <si>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</si>
  <si>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</si>
  <si>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</si>
  <si>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</si>
  <si>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</si>
  <si>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</si>
  <si>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</si>
  <si>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</si>
  <si>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</si>
  <si>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</si>
  <si>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</si>
  <si>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</si>
  <si>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</si>
  <si>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</si>
  <si>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</si>
  <si>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</si>
  <si>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</si>
  <si>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</si>
  <si>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JANET  PLASTINO</t>
  </si>
  <si>
    <t>SPV00008</t>
  </si>
  <si>
    <t>R</t>
  </si>
  <si>
    <t>1</t>
  </si>
  <si>
    <t>9.00%</t>
  </si>
  <si>
    <t>OVR</t>
  </si>
  <si>
    <t>JOCELYN  BATACAN</t>
  </si>
  <si>
    <t>SWTL2187</t>
  </si>
  <si>
    <t>RICHARD  THORNTON</t>
  </si>
  <si>
    <t>SPD00002</t>
  </si>
  <si>
    <t>YUANYUAN  ZHANG</t>
  </si>
  <si>
    <t>Ashley Elizabeth Teipel 20436925</t>
  </si>
  <si>
    <t>BARBARA  COLSON</t>
  </si>
  <si>
    <t>SWTL1006</t>
  </si>
  <si>
    <t>EUGENE  MONAHAN</t>
  </si>
  <si>
    <t>LESA  THOMAS</t>
  </si>
  <si>
    <t>SWTL1014</t>
  </si>
  <si>
    <t>VANESSA  BROWN</t>
  </si>
  <si>
    <t>Carol  Foley 17425766</t>
  </si>
  <si>
    <t>CHERYL  LAUMAKIS</t>
  </si>
  <si>
    <t>SPH00094</t>
  </si>
  <si>
    <t>JAMES  PAETZ</t>
  </si>
  <si>
    <t>SHW00161</t>
  </si>
  <si>
    <t>JOHN  MOSS</t>
  </si>
  <si>
    <t>SHW10166</t>
  </si>
  <si>
    <t>JOSEPH  BIEBEL</t>
  </si>
  <si>
    <t>SPHV0106</t>
  </si>
  <si>
    <t>KEDILEY  PERALTA</t>
  </si>
  <si>
    <t>SPD00001</t>
  </si>
  <si>
    <t>LAURA  STANDRING</t>
  </si>
  <si>
    <t>MICHAEL  SMALL</t>
  </si>
  <si>
    <t>PATRICIA  COBEN</t>
  </si>
  <si>
    <t>SPH00003</t>
  </si>
  <si>
    <t>ROSE  CINEUS</t>
  </si>
  <si>
    <t>SPD00005</t>
  </si>
  <si>
    <t>STEVEN  SCALIA</t>
  </si>
  <si>
    <t>VICKY  SCHAFFNER</t>
  </si>
  <si>
    <t>SCP10003</t>
  </si>
  <si>
    <t>SHW10161</t>
  </si>
  <si>
    <t>YOSEF  WASSERMANN</t>
  </si>
  <si>
    <t>Colleen J Finnigan 17437820</t>
  </si>
  <si>
    <t>CHARLES  GILLEY</t>
  </si>
  <si>
    <t>Deborah Lee Inskipt 17528908</t>
  </si>
  <si>
    <t>JAMES  KOWALSKI</t>
  </si>
  <si>
    <t>SCP00007</t>
  </si>
  <si>
    <t>SH000007</t>
  </si>
  <si>
    <t>MARCY  MEEHAN</t>
  </si>
  <si>
    <t>SH000002</t>
  </si>
  <si>
    <t>SCP00002</t>
  </si>
  <si>
    <t>SOFIA  ALBANOWSKI</t>
  </si>
  <si>
    <t>TAMMY  HEIRENDT</t>
  </si>
  <si>
    <t>SH000006</t>
  </si>
  <si>
    <t>SCP00006</t>
  </si>
  <si>
    <t>WILLIAM  WORMS</t>
  </si>
  <si>
    <t>SH010004</t>
  </si>
  <si>
    <t>SCP10004</t>
  </si>
  <si>
    <t>Katelenn  Caltagirone 20436896</t>
  </si>
  <si>
    <t>HERMINIO  ROSALES</t>
  </si>
  <si>
    <t>SWTL2093</t>
  </si>
  <si>
    <t>RYAN  CALTAGIRONE</t>
  </si>
  <si>
    <t>SCP00020</t>
  </si>
  <si>
    <t>Kimberly Anne Dickerson 16243811</t>
  </si>
  <si>
    <t>BRANDON  BISHOP</t>
  </si>
  <si>
    <t>SPV00004</t>
  </si>
  <si>
    <t>DANIEL  ELWOOD</t>
  </si>
  <si>
    <t>SPD20002</t>
  </si>
  <si>
    <t>SPV10006</t>
  </si>
  <si>
    <t>DEBRA  BLOMME</t>
  </si>
  <si>
    <t>GEORGE  KNOTTS</t>
  </si>
  <si>
    <t>SPV00006</t>
  </si>
  <si>
    <t>SWTL2221</t>
  </si>
  <si>
    <t>JOHN  WORTMAN</t>
  </si>
  <si>
    <t>KIMBERLY  MCCLUSKEY</t>
  </si>
  <si>
    <t>RHONDA  MEETZE</t>
  </si>
  <si>
    <t>SWTL1073</t>
  </si>
  <si>
    <t>SAVA  KELIDIS</t>
  </si>
  <si>
    <t>SWTL2241</t>
  </si>
  <si>
    <t>TRACY  KELIDIS</t>
  </si>
  <si>
    <t>Margaret Finnegan 19861194</t>
  </si>
  <si>
    <t>ASHLEY  PENCE</t>
  </si>
  <si>
    <t>SPHV0108</t>
  </si>
  <si>
    <t>Scott Christopher Aguglia 8971826</t>
  </si>
  <si>
    <t>ANNETTE  PHILLIPS</t>
  </si>
  <si>
    <t>SWTL2147</t>
  </si>
  <si>
    <t>Total</t>
  </si>
  <si>
    <t>SHW00180</t>
  </si>
  <si>
    <t>JAMES  DUNHAM</t>
  </si>
  <si>
    <t>Ashley Elizabeth Teipel</t>
  </si>
  <si>
    <t>Carol  Foley</t>
  </si>
  <si>
    <t>Colleen J Finnigan</t>
  </si>
  <si>
    <t>Deborah Lee Inskipt</t>
  </si>
  <si>
    <t>Katelenn  Caltagirone</t>
  </si>
  <si>
    <t>Kimberly Anne Dickerson</t>
  </si>
  <si>
    <t>Margaret Finnegan</t>
  </si>
  <si>
    <t>Scott Christopher Aguglia</t>
  </si>
  <si>
    <t xml:space="preserve">Anne Marie  Kozacheck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</si>
</sst>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2" fillId="0" borderId="0" xfId="0" applyNumberFormat="1" applyFont="1" applyAlignment="1" applyProtection="1">
      <alignment vertical="top" wrapText="1" readingOrder="1"/>
      <protection locked="0"/>
    </xf>
    <xf numFmtId="0" fontId="2" fillId="0" borderId="0" xfId="0" applyNumberFormat="1" applyFont="1" applyAlignment="1" applyProtection="1">
      <alignment horizontal="right" vertical="top" wrapText="1" readingOrder="1"/>
      <protection locked="0"/>
    </xf>
    <xf numFmtId="10" fontId="2" fillId="0" borderId="0" xfId="0" applyNumberFormat="1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3C7144D6-72BF-0B97-1312-5B286451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52214CD5-D57C-6C51-96F9-8784246D0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surebridge\2025\06-10-25%20to%2006-16-25\Surebridge%2006-10-25%20to%2006-16-25%20Detail.XLSX" TargetMode="External"/><Relationship Id="rId1" Type="http://schemas.openxmlformats.org/officeDocument/2006/relationships/externalLinkPath" Target="Surebridge%2006-10-25%20to%2006-16-25%20Det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clean sheet"/>
    </sheetNames>
    <sheetDataSet>
      <sheetData sheetId="0" refreshError="1"/>
      <sheetData sheetId="1">
        <row r="1">
          <cell r="A1" t="str">
            <v>Agent Name</v>
          </cell>
        </row>
        <row r="2">
          <cell r="A2" t="str">
            <v>Main Line Benefits</v>
          </cell>
        </row>
        <row r="3">
          <cell r="A3" t="str">
            <v>Main Line Benefits</v>
          </cell>
        </row>
        <row r="4">
          <cell r="A4" t="str">
            <v>Main Line Benefits</v>
          </cell>
        </row>
        <row r="5">
          <cell r="A5" t="str">
            <v>Main Line Benefits</v>
          </cell>
        </row>
        <row r="6">
          <cell r="A6" t="str">
            <v>Carol  Foley</v>
          </cell>
        </row>
        <row r="7">
          <cell r="A7" t="str">
            <v>Carol  Foley</v>
          </cell>
        </row>
        <row r="8">
          <cell r="A8" t="str">
            <v>Carol  Foley</v>
          </cell>
        </row>
        <row r="9">
          <cell r="A9" t="str">
            <v>Carol  Foley</v>
          </cell>
        </row>
        <row r="10">
          <cell r="A10" t="str">
            <v>Colleen J Finnigan</v>
          </cell>
        </row>
        <row r="11">
          <cell r="A11" t="str">
            <v>Deborah Lee Inskipt</v>
          </cell>
        </row>
        <row r="12">
          <cell r="A12" t="str">
            <v>Main Line Benefits</v>
          </cell>
        </row>
        <row r="13">
          <cell r="A13" t="str">
            <v xml:space="preserve">Anne Marie  Kozacheck </v>
          </cell>
        </row>
        <row r="14">
          <cell r="A14" t="str">
            <v xml:space="preserve">Anne Marie  Kozacheck </v>
          </cell>
        </row>
        <row r="15">
          <cell r="A15" t="str">
            <v xml:space="preserve">Anne Marie  Kozacheck </v>
          </cell>
        </row>
        <row r="16">
          <cell r="A16" t="str">
            <v xml:space="preserve">Anne Marie  Kozacheck </v>
          </cell>
        </row>
        <row r="17">
          <cell r="A17" t="str">
            <v xml:space="preserve">Anne Marie  Kozacheck </v>
          </cell>
        </row>
        <row r="18">
          <cell r="A18" t="str">
            <v xml:space="preserve">Anne Marie  Kozacheck </v>
          </cell>
        </row>
        <row r="19">
          <cell r="A19" t="str">
            <v>Ashley Elizabeth Teipel</v>
          </cell>
        </row>
        <row r="20">
          <cell r="A20" t="str">
            <v>Ashley Elizabeth Teipel</v>
          </cell>
        </row>
        <row r="21">
          <cell r="A21" t="str">
            <v>Ashley Elizabeth Teipel</v>
          </cell>
        </row>
        <row r="22">
          <cell r="A22" t="str">
            <v>Ashley Elizabeth Teipel</v>
          </cell>
        </row>
        <row r="23">
          <cell r="A23" t="str">
            <v>Carol  Foley</v>
          </cell>
        </row>
        <row r="24">
          <cell r="A24" t="str">
            <v>Carol  Foley</v>
          </cell>
        </row>
        <row r="25">
          <cell r="A25" t="str">
            <v>Carol  Foley</v>
          </cell>
        </row>
        <row r="26">
          <cell r="A26" t="str">
            <v>Carol  Foley</v>
          </cell>
        </row>
        <row r="27">
          <cell r="A27" t="str">
            <v>Carol  Foley</v>
          </cell>
        </row>
        <row r="28">
          <cell r="A28" t="str">
            <v>Deborah Lee Inskipt</v>
          </cell>
        </row>
        <row r="29">
          <cell r="A29" t="str">
            <v>Deborah Lee Inskipt</v>
          </cell>
        </row>
        <row r="30">
          <cell r="A30" t="str">
            <v>Deborah Lee Inskipt</v>
          </cell>
        </row>
        <row r="31">
          <cell r="A31" t="str">
            <v>Deborah Lee Inskipt</v>
          </cell>
        </row>
        <row r="32">
          <cell r="A32" t="str">
            <v>Deborah Lee Inskipt</v>
          </cell>
        </row>
        <row r="33">
          <cell r="A33" t="str">
            <v>Deborah Lee Inskipt</v>
          </cell>
        </row>
        <row r="34">
          <cell r="A34" t="str">
            <v>Deborah Lee Inskipt</v>
          </cell>
        </row>
        <row r="35">
          <cell r="A35" t="str">
            <v>Deborah Lee Inskipt</v>
          </cell>
        </row>
        <row r="36">
          <cell r="A36" t="str">
            <v>Katelenn  Caltagirone</v>
          </cell>
        </row>
        <row r="37">
          <cell r="A37" t="str">
            <v>Katelenn  Caltagirone</v>
          </cell>
        </row>
        <row r="38">
          <cell r="A38" t="str">
            <v>Kimberly Anne Dickerson</v>
          </cell>
        </row>
        <row r="39">
          <cell r="A39" t="str">
            <v>Kimberly Anne Dickerson</v>
          </cell>
        </row>
        <row r="40">
          <cell r="A40" t="str">
            <v>Kimberly Anne Dickerson</v>
          </cell>
        </row>
        <row r="41">
          <cell r="A41" t="str">
            <v>Kimberly Anne Dickerson</v>
          </cell>
        </row>
        <row r="42">
          <cell r="A42" t="str">
            <v>Kimberly Anne Dickerson</v>
          </cell>
        </row>
        <row r="43">
          <cell r="A43" t="str">
            <v>Kimberly Anne Dickerson</v>
          </cell>
        </row>
        <row r="44">
          <cell r="A44" t="str">
            <v>Kimberly Anne Dickerson</v>
          </cell>
        </row>
        <row r="45">
          <cell r="A45" t="str">
            <v>Kimberly Anne Dickerson</v>
          </cell>
        </row>
        <row r="46">
          <cell r="A46" t="str">
            <v>Kimberly Anne Dickerson</v>
          </cell>
        </row>
        <row r="47">
          <cell r="A47" t="str">
            <v>Kimberly Anne Dickerson</v>
          </cell>
        </row>
        <row r="48">
          <cell r="A48" t="str">
            <v>Kimberly Anne Dickerson</v>
          </cell>
        </row>
        <row r="49">
          <cell r="A49" t="str">
            <v>Kimberly Anne Dickerson</v>
          </cell>
        </row>
        <row r="50">
          <cell r="A50" t="str">
            <v>Scott Christopher Aguglia</v>
          </cell>
        </row>
        <row r="51">
          <cell r="A51" t="str">
            <v>Carol  Foley</v>
          </cell>
        </row>
        <row r="52">
          <cell r="A52" t="str">
            <v>Carol  Foley</v>
          </cell>
        </row>
        <row r="53">
          <cell r="A53" t="str">
            <v>Carol  Foley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A00A-2294-4927-B054-B1B585BC8281}">
  <dimension ref="A1:U36"/>
  <sheetViews>
    <sheetView showGridLines="0" tabSelected="1" workbookViewId="0">
      <pane ySplit="3" topLeftCell="A21" activePane="bottomLeft" state="frozenSplit"/>
      <selection pane="bottomLeft" activeCell="H18" sqref="H18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x14ac:dyDescent="0.2">
      <c r="A11" s="7"/>
      <c r="B11" s="7"/>
      <c r="C11" s="48"/>
      <c r="D11" s="34"/>
      <c r="E11" s="34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49"/>
      <c r="S11" s="34"/>
      <c r="T11" s="9"/>
      <c r="U11" s="9"/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2"/>
      <c r="B13" s="39" t="s">
        <v>17</v>
      </c>
      <c r="C13" s="31"/>
      <c r="D13" s="31"/>
      <c r="E13" s="31"/>
      <c r="F13" s="31"/>
      <c r="G13" s="31"/>
      <c r="H13" s="2"/>
      <c r="I13" s="39"/>
      <c r="J13" s="31"/>
      <c r="K13" s="10"/>
      <c r="L13" s="2"/>
      <c r="M13" s="39" t="s">
        <v>18</v>
      </c>
      <c r="N13" s="31"/>
      <c r="O13" s="31"/>
      <c r="P13" s="31"/>
      <c r="Q13" s="31"/>
      <c r="R13" s="47"/>
      <c r="S13" s="31"/>
      <c r="T13" s="31"/>
      <c r="U13" s="11"/>
    </row>
    <row r="14" spans="1:21" ht="15" x14ac:dyDescent="0.2">
      <c r="A14" s="2"/>
      <c r="B14" s="36" t="s">
        <v>19</v>
      </c>
      <c r="C14" s="31"/>
      <c r="D14" s="31"/>
      <c r="E14" s="31"/>
      <c r="F14" s="31"/>
      <c r="G14" s="12"/>
      <c r="H14" s="2"/>
      <c r="I14" s="38">
        <v>0</v>
      </c>
      <c r="J14" s="31"/>
      <c r="K14" s="10"/>
      <c r="L14" s="2"/>
      <c r="M14" s="39" t="s">
        <v>20</v>
      </c>
      <c r="N14" s="31"/>
      <c r="O14" s="31"/>
      <c r="P14" s="31"/>
      <c r="Q14" s="31"/>
      <c r="R14" s="38">
        <v>0</v>
      </c>
      <c r="S14" s="31"/>
      <c r="T14" s="31"/>
      <c r="U14" s="11"/>
    </row>
    <row r="15" spans="1:21" ht="15" x14ac:dyDescent="0.2">
      <c r="A15" s="2"/>
      <c r="B15" s="12"/>
      <c r="C15" s="30" t="s">
        <v>21</v>
      </c>
      <c r="D15" s="31"/>
      <c r="E15" s="31"/>
      <c r="F15" s="31"/>
      <c r="G15" s="31"/>
      <c r="H15" s="31"/>
      <c r="I15" s="38">
        <v>0</v>
      </c>
      <c r="J15" s="31"/>
      <c r="K15" s="10"/>
      <c r="L15" s="2"/>
      <c r="M15" s="11"/>
      <c r="N15" s="32" t="s">
        <v>22</v>
      </c>
      <c r="O15" s="31"/>
      <c r="P15" s="14"/>
      <c r="Q15" s="14"/>
      <c r="R15" s="38">
        <v>0</v>
      </c>
      <c r="S15" s="31"/>
      <c r="T15" s="31"/>
      <c r="U15" s="11"/>
    </row>
    <row r="16" spans="1:21" ht="15" x14ac:dyDescent="0.2">
      <c r="A16" s="2"/>
      <c r="B16" s="12"/>
      <c r="C16" s="30" t="s">
        <v>23</v>
      </c>
      <c r="D16" s="31"/>
      <c r="E16" s="31"/>
      <c r="F16" s="31"/>
      <c r="G16" s="12"/>
      <c r="H16" s="15"/>
      <c r="I16" s="38">
        <v>0</v>
      </c>
      <c r="J16" s="31"/>
      <c r="K16" s="10"/>
      <c r="L16" s="2"/>
      <c r="M16" s="11"/>
      <c r="N16" s="32" t="s">
        <v>24</v>
      </c>
      <c r="O16" s="31"/>
      <c r="P16" s="31"/>
      <c r="Q16" s="31"/>
      <c r="R16" s="44" t="s">
        <v>1</v>
      </c>
      <c r="S16" s="31"/>
      <c r="T16" s="31"/>
      <c r="U16" s="11"/>
    </row>
    <row r="17" spans="1:21" ht="15" x14ac:dyDescent="0.2">
      <c r="A17" s="2"/>
      <c r="B17" s="16"/>
      <c r="C17" s="30" t="s">
        <v>25</v>
      </c>
      <c r="D17" s="31"/>
      <c r="E17" s="31"/>
      <c r="F17" s="31"/>
      <c r="G17" s="1"/>
      <c r="H17" s="15"/>
      <c r="I17" s="38">
        <v>250.62</v>
      </c>
      <c r="J17" s="31"/>
      <c r="K17" s="10"/>
      <c r="L17" s="2"/>
      <c r="M17" s="11"/>
      <c r="N17" s="32" t="s">
        <v>26</v>
      </c>
      <c r="O17" s="31"/>
      <c r="P17" s="31"/>
      <c r="Q17" s="31"/>
      <c r="R17" s="38">
        <v>0</v>
      </c>
      <c r="S17" s="31"/>
      <c r="T17" s="31"/>
      <c r="U17" s="11"/>
    </row>
    <row r="18" spans="1:21" x14ac:dyDescent="0.2">
      <c r="A18" s="2"/>
      <c r="B18" s="2"/>
      <c r="C18" s="30" t="s">
        <v>27</v>
      </c>
      <c r="D18" s="31"/>
      <c r="E18" s="31"/>
      <c r="F18" s="31"/>
      <c r="G18" s="31"/>
      <c r="H18" s="15"/>
      <c r="I18" s="38">
        <v>0</v>
      </c>
      <c r="J18" s="31"/>
      <c r="K18" s="10"/>
      <c r="L18" s="2"/>
      <c r="M18" s="11"/>
      <c r="N18" s="32" t="s">
        <v>27</v>
      </c>
      <c r="O18" s="31"/>
      <c r="P18" s="31"/>
      <c r="Q18" s="31"/>
      <c r="R18" s="38">
        <v>0</v>
      </c>
      <c r="S18" s="31"/>
      <c r="T18" s="31"/>
      <c r="U18" s="11"/>
    </row>
    <row r="19" spans="1:21" x14ac:dyDescent="0.2">
      <c r="A19" s="2"/>
      <c r="B19" s="5"/>
      <c r="C19" s="30" t="s">
        <v>28</v>
      </c>
      <c r="D19" s="31"/>
      <c r="E19" s="31"/>
      <c r="F19" s="31"/>
      <c r="G19" s="2"/>
      <c r="H19" s="15"/>
      <c r="I19" s="38">
        <v>0</v>
      </c>
      <c r="J19" s="31"/>
      <c r="K19" s="10"/>
      <c r="L19" s="2"/>
      <c r="M19" s="2"/>
      <c r="N19" s="32" t="s">
        <v>29</v>
      </c>
      <c r="O19" s="31"/>
      <c r="P19" s="31"/>
      <c r="Q19" s="31"/>
      <c r="R19" s="45">
        <v>0</v>
      </c>
      <c r="S19" s="31"/>
      <c r="T19" s="31"/>
      <c r="U19" s="11"/>
    </row>
    <row r="20" spans="1:21" ht="15" x14ac:dyDescent="0.2">
      <c r="A20" s="2"/>
      <c r="B20" s="36" t="s">
        <v>30</v>
      </c>
      <c r="C20" s="31"/>
      <c r="D20" s="31"/>
      <c r="E20" s="31"/>
      <c r="F20" s="31"/>
      <c r="G20" s="12"/>
      <c r="H20" s="11"/>
      <c r="I20" s="40">
        <v>250.62</v>
      </c>
      <c r="J20" s="31"/>
      <c r="K20" s="10"/>
      <c r="L20" s="2"/>
      <c r="M20" s="39" t="s">
        <v>31</v>
      </c>
      <c r="N20" s="31"/>
      <c r="O20" s="31"/>
      <c r="P20" s="6"/>
      <c r="Q20" s="6"/>
      <c r="R20" s="40">
        <v>0</v>
      </c>
      <c r="S20" s="31"/>
      <c r="T20" s="31"/>
      <c r="U20" s="11"/>
    </row>
    <row r="21" spans="1:21" ht="15" x14ac:dyDescent="0.2">
      <c r="A21" s="2"/>
      <c r="B21" s="36"/>
      <c r="C21" s="31"/>
      <c r="D21" s="31"/>
      <c r="E21" s="31"/>
      <c r="F21" s="31"/>
      <c r="G21" s="16"/>
      <c r="H21" s="16"/>
      <c r="I21" s="43"/>
      <c r="J21" s="31"/>
      <c r="K21" s="10"/>
      <c r="L21" s="2"/>
      <c r="M21" s="39"/>
      <c r="N21" s="31"/>
      <c r="O21" s="31"/>
      <c r="P21" s="31"/>
      <c r="Q21" s="31"/>
      <c r="R21" s="44"/>
      <c r="S21" s="31"/>
      <c r="T21" s="31"/>
      <c r="U21" s="11"/>
    </row>
    <row r="22" spans="1:21" ht="15" x14ac:dyDescent="0.2">
      <c r="A22" s="2"/>
      <c r="B22" s="36" t="s">
        <v>32</v>
      </c>
      <c r="C22" s="31"/>
      <c r="D22" s="31"/>
      <c r="E22" s="31"/>
      <c r="F22" s="31"/>
      <c r="G22" s="12"/>
      <c r="H22" s="18"/>
      <c r="I22" s="41"/>
      <c r="J22" s="31"/>
      <c r="K22" s="18"/>
      <c r="L22" s="18"/>
      <c r="M22" s="39" t="s">
        <v>33</v>
      </c>
      <c r="N22" s="31"/>
      <c r="O22" s="31"/>
      <c r="P22" s="6"/>
      <c r="Q22" s="6"/>
      <c r="R22" s="42"/>
      <c r="S22" s="31"/>
      <c r="T22" s="31"/>
      <c r="U22" s="11"/>
    </row>
    <row r="23" spans="1:21" ht="15" x14ac:dyDescent="0.2">
      <c r="A23" s="2"/>
      <c r="B23" s="12"/>
      <c r="C23" s="30" t="s">
        <v>30</v>
      </c>
      <c r="D23" s="31"/>
      <c r="E23" s="31"/>
      <c r="F23" s="31"/>
      <c r="G23" s="12"/>
      <c r="H23" s="15"/>
      <c r="I23" s="38">
        <v>250.62</v>
      </c>
      <c r="J23" s="31"/>
      <c r="K23" s="18"/>
      <c r="L23" s="18"/>
      <c r="M23" s="18"/>
      <c r="N23" s="32" t="s">
        <v>22</v>
      </c>
      <c r="O23" s="31"/>
      <c r="P23" s="6"/>
      <c r="Q23" s="6"/>
      <c r="R23" s="38">
        <v>0</v>
      </c>
      <c r="S23" s="31"/>
      <c r="T23" s="31"/>
      <c r="U23" s="11"/>
    </row>
    <row r="24" spans="1:21" ht="15" x14ac:dyDescent="0.2">
      <c r="A24" s="2"/>
      <c r="B24" s="12"/>
      <c r="C24" s="30" t="s">
        <v>34</v>
      </c>
      <c r="D24" s="31"/>
      <c r="E24" s="31"/>
      <c r="F24" s="31"/>
      <c r="G24" s="12"/>
      <c r="H24" s="15"/>
      <c r="I24" s="38">
        <v>0</v>
      </c>
      <c r="J24" s="31"/>
      <c r="K24" s="18"/>
      <c r="L24" s="18"/>
      <c r="M24" s="18"/>
      <c r="N24" s="32" t="s">
        <v>24</v>
      </c>
      <c r="O24" s="31"/>
      <c r="P24" s="6"/>
      <c r="Q24" s="6"/>
      <c r="R24" s="38">
        <v>0</v>
      </c>
      <c r="S24" s="31"/>
      <c r="T24" s="31"/>
      <c r="U24" s="11"/>
    </row>
    <row r="25" spans="1:21" ht="15" x14ac:dyDescent="0.2">
      <c r="A25" s="2"/>
      <c r="B25" s="39" t="s">
        <v>35</v>
      </c>
      <c r="C25" s="31"/>
      <c r="D25" s="31"/>
      <c r="E25" s="31"/>
      <c r="F25" s="31"/>
      <c r="G25" s="12"/>
      <c r="H25" s="15"/>
      <c r="I25" s="40">
        <v>250.62</v>
      </c>
      <c r="J25" s="31"/>
      <c r="K25" s="18"/>
      <c r="L25" s="18"/>
      <c r="M25" s="18"/>
      <c r="N25" s="36" t="s">
        <v>36</v>
      </c>
      <c r="O25" s="31"/>
      <c r="P25" s="6"/>
      <c r="Q25" s="6"/>
      <c r="R25" s="40">
        <v>0</v>
      </c>
      <c r="S25" s="31"/>
      <c r="T25" s="31"/>
      <c r="U25" s="11"/>
    </row>
    <row r="26" spans="1:21" x14ac:dyDescent="0.2">
      <c r="A26" s="1"/>
      <c r="B26" s="1"/>
      <c r="C26" s="30"/>
      <c r="D26" s="31"/>
      <c r="E26" s="3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0"/>
      <c r="S26" s="31"/>
      <c r="T26" s="1"/>
      <c r="U26" s="1"/>
    </row>
    <row r="27" spans="1:21" x14ac:dyDescent="0.2">
      <c r="A27" s="5"/>
      <c r="B27" s="5"/>
      <c r="C27" s="36"/>
      <c r="D27" s="31"/>
      <c r="E27" s="31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37"/>
      <c r="S27" s="31"/>
      <c r="T27" s="11"/>
      <c r="U27" s="11"/>
    </row>
    <row r="28" spans="1:21" x14ac:dyDescent="0.2">
      <c r="A28" s="5"/>
      <c r="B28" s="5"/>
      <c r="C28" s="36"/>
      <c r="D28" s="31"/>
      <c r="E28" s="31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37"/>
      <c r="S28" s="31"/>
      <c r="T28" s="11"/>
      <c r="U28" s="11"/>
    </row>
    <row r="29" spans="1:21" x14ac:dyDescent="0.2">
      <c r="A29" s="20"/>
      <c r="B29" s="20"/>
      <c r="C29" s="33"/>
      <c r="D29" s="34"/>
      <c r="E29" s="34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35"/>
      <c r="S29" s="34"/>
      <c r="T29" s="23"/>
      <c r="U29" s="23"/>
    </row>
    <row r="30" spans="1:21" x14ac:dyDescent="0.2">
      <c r="A30" s="36" t="s">
        <v>37</v>
      </c>
      <c r="B30" s="31"/>
      <c r="C30" s="31"/>
      <c r="D30" s="31"/>
      <c r="E30" s="31"/>
      <c r="F30" s="31"/>
      <c r="G30" s="1"/>
      <c r="H30" s="1"/>
      <c r="I30" s="1"/>
      <c r="J30" s="1"/>
      <c r="K30" s="1"/>
      <c r="L30" s="1"/>
      <c r="M30" s="1"/>
      <c r="N30" s="1"/>
      <c r="O30" s="36" t="s">
        <v>38</v>
      </c>
      <c r="P30" s="31"/>
      <c r="Q30" s="31"/>
      <c r="R30" s="31"/>
      <c r="S30" s="31"/>
      <c r="T30" s="1"/>
      <c r="U30" s="1"/>
    </row>
    <row r="31" spans="1:21" x14ac:dyDescent="0.2">
      <c r="A31" s="1"/>
      <c r="B31" s="30" t="s">
        <v>39</v>
      </c>
      <c r="C31" s="31"/>
      <c r="D31" s="31"/>
      <c r="E31" s="31"/>
      <c r="F31" s="31"/>
      <c r="G31" s="32" t="s">
        <v>40</v>
      </c>
      <c r="H31" s="31"/>
      <c r="I31" s="31"/>
      <c r="J31" s="31"/>
      <c r="K31" s="31"/>
      <c r="L31" s="31"/>
      <c r="M31" s="31"/>
      <c r="N31" s="1"/>
      <c r="O31" s="1"/>
      <c r="P31" s="1"/>
      <c r="Q31" s="30" t="s">
        <v>41</v>
      </c>
      <c r="R31" s="31"/>
      <c r="S31" s="31"/>
      <c r="T31" s="31"/>
      <c r="U31" s="1"/>
    </row>
    <row r="32" spans="1:21" x14ac:dyDescent="0.2">
      <c r="A32" s="1"/>
      <c r="B32" s="30" t="s">
        <v>42</v>
      </c>
      <c r="C32" s="31"/>
      <c r="D32" s="31"/>
      <c r="E32" s="31"/>
      <c r="F32" s="31"/>
      <c r="G32" s="32" t="s">
        <v>43</v>
      </c>
      <c r="H32" s="31"/>
      <c r="I32" s="31"/>
      <c r="J32" s="31"/>
      <c r="K32" s="31"/>
      <c r="L32" s="31"/>
      <c r="M32" s="31"/>
      <c r="N32" s="1"/>
      <c r="O32" s="1"/>
      <c r="P32" s="1"/>
      <c r="Q32" s="1"/>
      <c r="R32" s="30"/>
      <c r="S32" s="31"/>
      <c r="T32" s="1"/>
      <c r="U32" s="1"/>
    </row>
    <row r="33" spans="1:21" x14ac:dyDescent="0.2">
      <c r="A33" s="1"/>
      <c r="B33" s="30" t="s">
        <v>44</v>
      </c>
      <c r="C33" s="31"/>
      <c r="D33" s="31"/>
      <c r="E33" s="31"/>
      <c r="F33" s="31"/>
      <c r="G33" s="32" t="s">
        <v>45</v>
      </c>
      <c r="H33" s="31"/>
      <c r="I33" s="31"/>
      <c r="J33" s="31"/>
      <c r="K33" s="31"/>
      <c r="L33" s="31"/>
      <c r="M33" s="31"/>
      <c r="N33" s="1"/>
      <c r="O33" s="1"/>
      <c r="P33" s="1"/>
      <c r="Q33" s="1"/>
      <c r="R33" s="30"/>
      <c r="S33" s="31"/>
      <c r="T33" s="1"/>
      <c r="U33" s="1"/>
    </row>
    <row r="34" spans="1:21" x14ac:dyDescent="0.2">
      <c r="A34" s="1"/>
      <c r="B34" s="30" t="s">
        <v>46</v>
      </c>
      <c r="C34" s="31"/>
      <c r="D34" s="31"/>
      <c r="E34" s="31"/>
      <c r="F34" s="31"/>
      <c r="G34" s="32"/>
      <c r="H34" s="31"/>
      <c r="I34" s="31"/>
      <c r="J34" s="31"/>
      <c r="K34" s="31"/>
      <c r="L34" s="31"/>
      <c r="M34" s="31"/>
      <c r="N34" s="1"/>
      <c r="O34" s="1"/>
      <c r="P34" s="1"/>
      <c r="Q34" s="1"/>
      <c r="R34" s="30"/>
      <c r="S34" s="31"/>
      <c r="T34" s="1"/>
      <c r="U34" s="1"/>
    </row>
    <row r="35" spans="1:21" x14ac:dyDescent="0.2">
      <c r="A35" s="1"/>
      <c r="B35" s="30" t="s">
        <v>47</v>
      </c>
      <c r="C35" s="31"/>
      <c r="D35" s="31"/>
      <c r="E35" s="31"/>
      <c r="F35" s="31"/>
      <c r="G35" s="30"/>
      <c r="H35" s="31"/>
      <c r="I35" s="31"/>
      <c r="J35" s="31"/>
      <c r="K35" s="31"/>
      <c r="L35" s="31"/>
      <c r="M35" s="31"/>
      <c r="N35" s="1"/>
      <c r="O35" s="1"/>
      <c r="P35" s="1"/>
      <c r="Q35" s="1"/>
      <c r="R35" s="30"/>
      <c r="S35" s="31"/>
      <c r="T35" s="1"/>
      <c r="U35" s="1"/>
    </row>
    <row r="36" spans="1:21" ht="12.75" hidden="1" customHeight="1" x14ac:dyDescent="0.2"/>
  </sheetData>
  <mergeCells count="100"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  <mergeCell ref="B9:F9"/>
    <mergeCell ref="R9:U9"/>
    <mergeCell ref="B10:F10"/>
    <mergeCell ref="R10:S10"/>
    <mergeCell ref="C11:E11"/>
    <mergeCell ref="R11:S11"/>
    <mergeCell ref="C12:E12"/>
    <mergeCell ref="R12:S12"/>
    <mergeCell ref="B13:G13"/>
    <mergeCell ref="I13:J13"/>
    <mergeCell ref="M13:Q13"/>
    <mergeCell ref="R13:T13"/>
    <mergeCell ref="B14:F14"/>
    <mergeCell ref="I14:J14"/>
    <mergeCell ref="M14:Q14"/>
    <mergeCell ref="R14:T14"/>
    <mergeCell ref="C15:H15"/>
    <mergeCell ref="I15:J15"/>
    <mergeCell ref="N15:O15"/>
    <mergeCell ref="R15:T15"/>
    <mergeCell ref="C16:F16"/>
    <mergeCell ref="I16:J16"/>
    <mergeCell ref="N16:Q16"/>
    <mergeCell ref="R16:T16"/>
    <mergeCell ref="C17:F17"/>
    <mergeCell ref="I17:J17"/>
    <mergeCell ref="N17:Q17"/>
    <mergeCell ref="R17:T17"/>
    <mergeCell ref="C18:G18"/>
    <mergeCell ref="I18:J18"/>
    <mergeCell ref="N18:Q18"/>
    <mergeCell ref="R18:T18"/>
    <mergeCell ref="C19:F19"/>
    <mergeCell ref="I19:J19"/>
    <mergeCell ref="N19:Q19"/>
    <mergeCell ref="R19:T19"/>
    <mergeCell ref="B20:F20"/>
    <mergeCell ref="I20:J20"/>
    <mergeCell ref="M20:O20"/>
    <mergeCell ref="R20:T20"/>
    <mergeCell ref="B21:F21"/>
    <mergeCell ref="I21:J21"/>
    <mergeCell ref="M21:Q21"/>
    <mergeCell ref="R21:T21"/>
    <mergeCell ref="B22:F22"/>
    <mergeCell ref="I22:J22"/>
    <mergeCell ref="M22:O22"/>
    <mergeCell ref="R22:T22"/>
    <mergeCell ref="C23:F23"/>
    <mergeCell ref="I23:J23"/>
    <mergeCell ref="N23:O23"/>
    <mergeCell ref="R23:T23"/>
    <mergeCell ref="C24:F24"/>
    <mergeCell ref="I24:J24"/>
    <mergeCell ref="N24:O24"/>
    <mergeCell ref="R24:T24"/>
    <mergeCell ref="B25:F25"/>
    <mergeCell ref="I25:J25"/>
    <mergeCell ref="N25:O25"/>
    <mergeCell ref="R25:T25"/>
    <mergeCell ref="C26:E26"/>
    <mergeCell ref="R26:S26"/>
    <mergeCell ref="C27:E27"/>
    <mergeCell ref="R27:S27"/>
    <mergeCell ref="C28:E28"/>
    <mergeCell ref="R28:S28"/>
    <mergeCell ref="C29:E29"/>
    <mergeCell ref="R29:S29"/>
    <mergeCell ref="A30:F30"/>
    <mergeCell ref="O30:S30"/>
    <mergeCell ref="B31:F31"/>
    <mergeCell ref="G31:M31"/>
    <mergeCell ref="Q31:T31"/>
    <mergeCell ref="B32:F32"/>
    <mergeCell ref="G32:M32"/>
    <mergeCell ref="R32:S32"/>
    <mergeCell ref="B33:F33"/>
    <mergeCell ref="G33:M33"/>
    <mergeCell ref="R33:S33"/>
    <mergeCell ref="B34:F34"/>
    <mergeCell ref="G34:M34"/>
    <mergeCell ref="R34:S34"/>
    <mergeCell ref="B35:F35"/>
    <mergeCell ref="G35:M35"/>
    <mergeCell ref="R35:S3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06/18/2025&amp;B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59DD-A0F2-49BA-9F82-83F20B404D3C}">
  <dimension ref="A1:U77"/>
  <sheetViews>
    <sheetView showGridLines="0" workbookViewId="0">
      <pane ySplit="3" topLeftCell="A4" activePane="bottomLeft" state="frozenSplit"/>
      <selection pane="bottomLeft" activeCell="F14" sqref="F14:F19"/>
    </sheetView>
  </sheetViews>
  <sheetFormatPr defaultRowHeight="12.75" x14ac:dyDescent="0.2"/>
  <cols>
    <col min="1" max="1" width="19.140625" customWidth="1"/>
    <col min="2" max="2" width="4.5703125" customWidth="1"/>
    <col min="3" max="3" width="7.5703125" customWidth="1"/>
    <col min="4" max="4" width="4.5703125" customWidth="1"/>
    <col min="5" max="5" width="4.7109375" customWidth="1"/>
    <col min="6" max="6" width="18" customWidth="1"/>
    <col min="7" max="7" width="9.8554687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2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ht="22.5" x14ac:dyDescent="0.2">
      <c r="A11" s="25" t="s">
        <v>48</v>
      </c>
      <c r="B11" s="25" t="s">
        <v>49</v>
      </c>
      <c r="C11" s="53" t="s">
        <v>50</v>
      </c>
      <c r="D11" s="54"/>
      <c r="E11" s="54"/>
      <c r="F11" s="25" t="s">
        <v>51</v>
      </c>
      <c r="G11" s="26" t="s">
        <v>52</v>
      </c>
      <c r="H11" s="25" t="s">
        <v>53</v>
      </c>
      <c r="I11" s="25" t="s">
        <v>54</v>
      </c>
      <c r="J11" s="55" t="s">
        <v>55</v>
      </c>
      <c r="K11" s="54"/>
      <c r="L11" s="55" t="s">
        <v>56</v>
      </c>
      <c r="M11" s="54"/>
      <c r="N11" s="26" t="s">
        <v>57</v>
      </c>
      <c r="O11" s="26" t="s">
        <v>58</v>
      </c>
      <c r="P11" s="26" t="s">
        <v>59</v>
      </c>
      <c r="Q11" s="27" t="s">
        <v>60</v>
      </c>
      <c r="R11" s="56" t="s">
        <v>61</v>
      </c>
      <c r="S11" s="54"/>
      <c r="T11" s="27" t="s">
        <v>62</v>
      </c>
      <c r="U11" s="26" t="s">
        <v>63</v>
      </c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36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1"/>
      <c r="Q13" s="1"/>
      <c r="R13" s="30"/>
      <c r="S13" s="31"/>
      <c r="T13" s="1"/>
      <c r="U13" s="1"/>
    </row>
    <row r="14" spans="1:21" ht="22.5" x14ac:dyDescent="0.2">
      <c r="A14" s="1" t="s">
        <v>161</v>
      </c>
      <c r="B14" s="1" t="s">
        <v>65</v>
      </c>
      <c r="C14" s="57">
        <v>442023558</v>
      </c>
      <c r="D14" s="31"/>
      <c r="E14" s="31"/>
      <c r="F14" s="1" t="s">
        <v>66</v>
      </c>
      <c r="G14" s="28">
        <v>45093</v>
      </c>
      <c r="H14" s="14"/>
      <c r="I14" s="14" t="s">
        <v>67</v>
      </c>
      <c r="J14" s="52">
        <v>45809</v>
      </c>
      <c r="K14" s="31"/>
      <c r="L14" s="52">
        <v>45824</v>
      </c>
      <c r="M14" s="31"/>
      <c r="N14" s="28">
        <v>45818</v>
      </c>
      <c r="O14" s="29" t="s">
        <v>68</v>
      </c>
      <c r="P14" s="58">
        <v>1</v>
      </c>
      <c r="Q14" s="13">
        <v>12.5</v>
      </c>
      <c r="R14" s="59">
        <v>0.09</v>
      </c>
      <c r="S14" s="31"/>
      <c r="T14" s="13">
        <v>1.1299999999999999</v>
      </c>
      <c r="U14" s="29" t="s">
        <v>71</v>
      </c>
    </row>
    <row r="15" spans="1:21" ht="22.5" x14ac:dyDescent="0.2">
      <c r="A15" s="1" t="s">
        <v>161</v>
      </c>
      <c r="B15" s="1" t="s">
        <v>65</v>
      </c>
      <c r="C15" s="57">
        <v>442023558</v>
      </c>
      <c r="D15" s="31"/>
      <c r="E15" s="31"/>
      <c r="F15" s="1" t="s">
        <v>66</v>
      </c>
      <c r="G15" s="28">
        <v>45093</v>
      </c>
      <c r="H15" s="14"/>
      <c r="I15" s="14" t="s">
        <v>67</v>
      </c>
      <c r="J15" s="52">
        <v>45825</v>
      </c>
      <c r="K15" s="31"/>
      <c r="L15" s="52">
        <v>45839</v>
      </c>
      <c r="M15" s="31"/>
      <c r="N15" s="28">
        <v>45818</v>
      </c>
      <c r="O15" s="29" t="s">
        <v>68</v>
      </c>
      <c r="P15" s="58">
        <v>1</v>
      </c>
      <c r="Q15" s="13">
        <v>12.5</v>
      </c>
      <c r="R15" s="59">
        <v>0.09</v>
      </c>
      <c r="S15" s="31"/>
      <c r="T15" s="13">
        <v>1.1299999999999999</v>
      </c>
      <c r="U15" s="29" t="s">
        <v>71</v>
      </c>
    </row>
    <row r="16" spans="1:21" ht="22.5" x14ac:dyDescent="0.2">
      <c r="A16" s="1" t="s">
        <v>161</v>
      </c>
      <c r="B16" s="1" t="s">
        <v>65</v>
      </c>
      <c r="C16" s="57">
        <v>441847980</v>
      </c>
      <c r="D16" s="31"/>
      <c r="E16" s="31"/>
      <c r="F16" s="1" t="s">
        <v>72</v>
      </c>
      <c r="G16" s="28">
        <v>44985</v>
      </c>
      <c r="H16" s="14"/>
      <c r="I16" s="14" t="s">
        <v>73</v>
      </c>
      <c r="J16" s="52">
        <v>45809</v>
      </c>
      <c r="K16" s="31"/>
      <c r="L16" s="52">
        <v>45839</v>
      </c>
      <c r="M16" s="31"/>
      <c r="N16" s="28">
        <v>45820</v>
      </c>
      <c r="O16" s="29" t="s">
        <v>68</v>
      </c>
      <c r="P16" s="58">
        <v>1</v>
      </c>
      <c r="Q16" s="13">
        <v>154.99</v>
      </c>
      <c r="R16" s="59">
        <v>0.09</v>
      </c>
      <c r="S16" s="31"/>
      <c r="T16" s="13">
        <v>13.95</v>
      </c>
      <c r="U16" s="29" t="s">
        <v>71</v>
      </c>
    </row>
    <row r="17" spans="1:21" ht="22.5" x14ac:dyDescent="0.2">
      <c r="A17" s="1" t="s">
        <v>161</v>
      </c>
      <c r="B17" s="1" t="s">
        <v>65</v>
      </c>
      <c r="C17" s="57">
        <v>442034541</v>
      </c>
      <c r="D17" s="31"/>
      <c r="E17" s="31"/>
      <c r="F17" s="1" t="s">
        <v>74</v>
      </c>
      <c r="G17" s="28">
        <v>45100</v>
      </c>
      <c r="H17" s="14"/>
      <c r="I17" s="14" t="s">
        <v>75</v>
      </c>
      <c r="J17" s="52">
        <v>45832</v>
      </c>
      <c r="K17" s="31"/>
      <c r="L17" s="52">
        <v>45839</v>
      </c>
      <c r="M17" s="31"/>
      <c r="N17" s="28">
        <v>45819</v>
      </c>
      <c r="O17" s="29" t="s">
        <v>68</v>
      </c>
      <c r="P17" s="58">
        <v>1</v>
      </c>
      <c r="Q17" s="13">
        <v>17.87</v>
      </c>
      <c r="R17" s="59">
        <v>0.09</v>
      </c>
      <c r="S17" s="31"/>
      <c r="T17" s="13">
        <v>1.61</v>
      </c>
      <c r="U17" s="29" t="s">
        <v>71</v>
      </c>
    </row>
    <row r="18" spans="1:21" ht="22.5" x14ac:dyDescent="0.2">
      <c r="A18" s="1" t="s">
        <v>161</v>
      </c>
      <c r="B18" s="1" t="s">
        <v>65</v>
      </c>
      <c r="C18" s="57">
        <v>442034541</v>
      </c>
      <c r="D18" s="31"/>
      <c r="E18" s="31"/>
      <c r="F18" s="1" t="s">
        <v>74</v>
      </c>
      <c r="G18" s="28">
        <v>45100</v>
      </c>
      <c r="H18" s="14"/>
      <c r="I18" s="14" t="s">
        <v>75</v>
      </c>
      <c r="J18" s="52">
        <v>45809</v>
      </c>
      <c r="K18" s="31"/>
      <c r="L18" s="52">
        <v>45831</v>
      </c>
      <c r="M18" s="31"/>
      <c r="N18" s="28">
        <v>45819</v>
      </c>
      <c r="O18" s="29" t="s">
        <v>68</v>
      </c>
      <c r="P18" s="58">
        <v>1</v>
      </c>
      <c r="Q18" s="13">
        <v>49.13</v>
      </c>
      <c r="R18" s="59">
        <v>0.09</v>
      </c>
      <c r="S18" s="31"/>
      <c r="T18" s="13">
        <v>4.42</v>
      </c>
      <c r="U18" s="29" t="s">
        <v>71</v>
      </c>
    </row>
    <row r="19" spans="1:21" ht="22.5" x14ac:dyDescent="0.2">
      <c r="A19" s="1" t="s">
        <v>161</v>
      </c>
      <c r="B19" s="1" t="s">
        <v>65</v>
      </c>
      <c r="C19" s="57">
        <v>441839748</v>
      </c>
      <c r="D19" s="31"/>
      <c r="E19" s="31"/>
      <c r="F19" s="1" t="s">
        <v>76</v>
      </c>
      <c r="G19" s="28">
        <v>44979</v>
      </c>
      <c r="H19" s="14"/>
      <c r="I19" s="14" t="s">
        <v>67</v>
      </c>
      <c r="J19" s="52">
        <v>45809</v>
      </c>
      <c r="K19" s="31"/>
      <c r="L19" s="52">
        <v>45839</v>
      </c>
      <c r="M19" s="31"/>
      <c r="N19" s="28">
        <v>45819</v>
      </c>
      <c r="O19" s="29" t="s">
        <v>68</v>
      </c>
      <c r="P19" s="58">
        <v>1</v>
      </c>
      <c r="Q19" s="13">
        <v>9</v>
      </c>
      <c r="R19" s="59">
        <v>0.09</v>
      </c>
      <c r="S19" s="31"/>
      <c r="T19" s="13">
        <v>0.81</v>
      </c>
      <c r="U19" s="29" t="s">
        <v>71</v>
      </c>
    </row>
    <row r="20" spans="1:21" x14ac:dyDescent="0.2">
      <c r="A20" s="36" t="s">
        <v>77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1"/>
      <c r="Q20" s="1"/>
      <c r="R20" s="30"/>
      <c r="S20" s="31"/>
      <c r="T20" s="1"/>
      <c r="U20" s="1"/>
    </row>
    <row r="21" spans="1:21" ht="22.5" x14ac:dyDescent="0.2">
      <c r="A21" s="1" t="s">
        <v>153</v>
      </c>
      <c r="B21" s="1" t="s">
        <v>65</v>
      </c>
      <c r="C21" s="57">
        <v>441684105</v>
      </c>
      <c r="D21" s="31"/>
      <c r="E21" s="31"/>
      <c r="F21" s="1" t="s">
        <v>78</v>
      </c>
      <c r="G21" s="28">
        <v>44903</v>
      </c>
      <c r="H21" s="14"/>
      <c r="I21" s="14" t="s">
        <v>79</v>
      </c>
      <c r="J21" s="52">
        <v>45809</v>
      </c>
      <c r="K21" s="31"/>
      <c r="L21" s="52">
        <v>45839</v>
      </c>
      <c r="M21" s="31"/>
      <c r="N21" s="28">
        <v>45819</v>
      </c>
      <c r="O21" s="29" t="s">
        <v>68</v>
      </c>
      <c r="P21" s="58">
        <v>1</v>
      </c>
      <c r="Q21" s="13">
        <v>60.5</v>
      </c>
      <c r="R21" s="59">
        <v>0.09</v>
      </c>
      <c r="S21" s="31"/>
      <c r="T21" s="13">
        <v>5.45</v>
      </c>
      <c r="U21" s="29" t="s">
        <v>71</v>
      </c>
    </row>
    <row r="22" spans="1:21" ht="22.5" x14ac:dyDescent="0.2">
      <c r="A22" s="1" t="s">
        <v>153</v>
      </c>
      <c r="B22" s="1" t="s">
        <v>65</v>
      </c>
      <c r="C22" s="57">
        <v>441789847</v>
      </c>
      <c r="D22" s="31"/>
      <c r="E22" s="31"/>
      <c r="F22" s="1" t="s">
        <v>80</v>
      </c>
      <c r="G22" s="28">
        <v>44947</v>
      </c>
      <c r="H22" s="14"/>
      <c r="I22" s="14" t="s">
        <v>67</v>
      </c>
      <c r="J22" s="52">
        <v>45809</v>
      </c>
      <c r="K22" s="31"/>
      <c r="L22" s="52">
        <v>45839</v>
      </c>
      <c r="M22" s="31"/>
      <c r="N22" s="28">
        <v>45819</v>
      </c>
      <c r="O22" s="29" t="s">
        <v>68</v>
      </c>
      <c r="P22" s="58">
        <v>1</v>
      </c>
      <c r="Q22" s="13">
        <v>16</v>
      </c>
      <c r="R22" s="59">
        <v>0.09</v>
      </c>
      <c r="S22" s="31"/>
      <c r="T22" s="13">
        <v>1.44</v>
      </c>
      <c r="U22" s="29" t="s">
        <v>71</v>
      </c>
    </row>
    <row r="23" spans="1:21" ht="22.5" x14ac:dyDescent="0.2">
      <c r="A23" s="1" t="s">
        <v>153</v>
      </c>
      <c r="B23" s="1" t="s">
        <v>65</v>
      </c>
      <c r="C23" s="57">
        <v>441818010</v>
      </c>
      <c r="D23" s="31"/>
      <c r="E23" s="31"/>
      <c r="F23" s="1" t="s">
        <v>81</v>
      </c>
      <c r="G23" s="28">
        <v>44979</v>
      </c>
      <c r="H23" s="14"/>
      <c r="I23" s="14" t="s">
        <v>82</v>
      </c>
      <c r="J23" s="52">
        <v>45809</v>
      </c>
      <c r="K23" s="31"/>
      <c r="L23" s="52">
        <v>45839</v>
      </c>
      <c r="M23" s="31"/>
      <c r="N23" s="28">
        <v>45819</v>
      </c>
      <c r="O23" s="29" t="s">
        <v>68</v>
      </c>
      <c r="P23" s="58">
        <v>1</v>
      </c>
      <c r="Q23" s="13">
        <v>98.66</v>
      </c>
      <c r="R23" s="59">
        <v>0.09</v>
      </c>
      <c r="S23" s="31"/>
      <c r="T23" s="13">
        <v>8.8800000000000008</v>
      </c>
      <c r="U23" s="29" t="s">
        <v>71</v>
      </c>
    </row>
    <row r="24" spans="1:21" ht="22.5" x14ac:dyDescent="0.2">
      <c r="A24" s="1" t="s">
        <v>153</v>
      </c>
      <c r="B24" s="1" t="s">
        <v>65</v>
      </c>
      <c r="C24" s="57">
        <v>441765054</v>
      </c>
      <c r="D24" s="31"/>
      <c r="E24" s="31"/>
      <c r="F24" s="1" t="s">
        <v>83</v>
      </c>
      <c r="G24" s="28">
        <v>44941</v>
      </c>
      <c r="H24" s="14"/>
      <c r="I24" s="14" t="s">
        <v>82</v>
      </c>
      <c r="J24" s="52">
        <v>45809</v>
      </c>
      <c r="K24" s="31"/>
      <c r="L24" s="52">
        <v>45839</v>
      </c>
      <c r="M24" s="31"/>
      <c r="N24" s="28">
        <v>45820</v>
      </c>
      <c r="O24" s="29" t="s">
        <v>68</v>
      </c>
      <c r="P24" s="58">
        <v>1</v>
      </c>
      <c r="Q24" s="13">
        <v>123.1</v>
      </c>
      <c r="R24" s="59">
        <v>0.09</v>
      </c>
      <c r="S24" s="31"/>
      <c r="T24" s="13">
        <v>11.08</v>
      </c>
      <c r="U24" s="29" t="s">
        <v>71</v>
      </c>
    </row>
    <row r="25" spans="1:21" x14ac:dyDescent="0.2">
      <c r="A25" s="36" t="s">
        <v>84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1"/>
      <c r="Q25" s="1"/>
      <c r="R25" s="30"/>
      <c r="S25" s="31"/>
      <c r="T25" s="1"/>
      <c r="U25" s="1"/>
    </row>
    <row r="26" spans="1:21" ht="22.5" x14ac:dyDescent="0.2">
      <c r="A26" s="1" t="s">
        <v>154</v>
      </c>
      <c r="B26" s="1" t="s">
        <v>65</v>
      </c>
      <c r="C26" s="57">
        <v>442296755</v>
      </c>
      <c r="D26" s="31"/>
      <c r="E26" s="31"/>
      <c r="F26" s="1" t="s">
        <v>85</v>
      </c>
      <c r="G26" s="28">
        <v>45253</v>
      </c>
      <c r="H26" s="14"/>
      <c r="I26" s="14" t="s">
        <v>86</v>
      </c>
      <c r="J26" s="52">
        <v>45809</v>
      </c>
      <c r="K26" s="31"/>
      <c r="L26" s="52">
        <v>45839</v>
      </c>
      <c r="M26" s="31"/>
      <c r="N26" s="28">
        <v>45819</v>
      </c>
      <c r="O26" s="29" t="s">
        <v>68</v>
      </c>
      <c r="P26" s="58">
        <v>1</v>
      </c>
      <c r="Q26" s="13">
        <v>30.03</v>
      </c>
      <c r="R26" s="59">
        <v>4.4999999999999998E-2</v>
      </c>
      <c r="S26" s="31"/>
      <c r="T26" s="13">
        <v>1.35</v>
      </c>
      <c r="U26" s="29" t="s">
        <v>71</v>
      </c>
    </row>
    <row r="27" spans="1:21" ht="22.5" x14ac:dyDescent="0.2">
      <c r="A27" s="1" t="s">
        <v>154</v>
      </c>
      <c r="B27" s="1" t="s">
        <v>65</v>
      </c>
      <c r="C27" s="57">
        <v>442256625</v>
      </c>
      <c r="D27" s="31"/>
      <c r="E27" s="31"/>
      <c r="F27" s="1" t="s">
        <v>87</v>
      </c>
      <c r="G27" s="28">
        <v>45237</v>
      </c>
      <c r="H27" s="14"/>
      <c r="I27" s="14" t="s">
        <v>88</v>
      </c>
      <c r="J27" s="52">
        <v>45809</v>
      </c>
      <c r="K27" s="31"/>
      <c r="L27" s="52">
        <v>45839</v>
      </c>
      <c r="M27" s="31"/>
      <c r="N27" s="28">
        <v>45819</v>
      </c>
      <c r="O27" s="29" t="s">
        <v>68</v>
      </c>
      <c r="P27" s="58">
        <v>1</v>
      </c>
      <c r="Q27" s="13">
        <v>112.72</v>
      </c>
      <c r="R27" s="59">
        <v>0.18</v>
      </c>
      <c r="S27" s="31"/>
      <c r="T27" s="13">
        <v>20.29</v>
      </c>
      <c r="U27" s="29" t="s">
        <v>71</v>
      </c>
    </row>
    <row r="28" spans="1:21" ht="22.5" x14ac:dyDescent="0.2">
      <c r="A28" s="1" t="s">
        <v>154</v>
      </c>
      <c r="B28" s="1" t="s">
        <v>65</v>
      </c>
      <c r="C28" s="57">
        <v>442292751</v>
      </c>
      <c r="D28" s="31"/>
      <c r="E28" s="31"/>
      <c r="F28" s="1" t="s">
        <v>89</v>
      </c>
      <c r="G28" s="28">
        <v>45250</v>
      </c>
      <c r="H28" s="14"/>
      <c r="I28" s="14" t="s">
        <v>90</v>
      </c>
      <c r="J28" s="52">
        <v>45809</v>
      </c>
      <c r="K28" s="31"/>
      <c r="L28" s="52">
        <v>45839</v>
      </c>
      <c r="M28" s="31"/>
      <c r="N28" s="28">
        <v>45820</v>
      </c>
      <c r="O28" s="29" t="s">
        <v>68</v>
      </c>
      <c r="P28" s="58">
        <v>1</v>
      </c>
      <c r="Q28" s="13">
        <v>45.26</v>
      </c>
      <c r="R28" s="59">
        <v>0.18</v>
      </c>
      <c r="S28" s="31"/>
      <c r="T28" s="13">
        <v>8.15</v>
      </c>
      <c r="U28" s="29" t="s">
        <v>71</v>
      </c>
    </row>
    <row r="29" spans="1:21" ht="22.5" x14ac:dyDescent="0.2">
      <c r="A29" s="1" t="s">
        <v>154</v>
      </c>
      <c r="B29" s="1" t="s">
        <v>65</v>
      </c>
      <c r="C29" s="57">
        <v>442381470</v>
      </c>
      <c r="D29" s="31"/>
      <c r="E29" s="31"/>
      <c r="F29" s="1" t="s">
        <v>91</v>
      </c>
      <c r="G29" s="28">
        <v>45278</v>
      </c>
      <c r="H29" s="14"/>
      <c r="I29" s="14" t="s">
        <v>92</v>
      </c>
      <c r="J29" s="52">
        <v>45809</v>
      </c>
      <c r="K29" s="31"/>
      <c r="L29" s="52">
        <v>45839</v>
      </c>
      <c r="M29" s="31"/>
      <c r="N29" s="28">
        <v>45818</v>
      </c>
      <c r="O29" s="29" t="s">
        <v>68</v>
      </c>
      <c r="P29" s="58">
        <v>1</v>
      </c>
      <c r="Q29" s="13">
        <v>119.05</v>
      </c>
      <c r="R29" s="59">
        <v>0.09</v>
      </c>
      <c r="S29" s="31"/>
      <c r="T29" s="13">
        <v>10.71</v>
      </c>
      <c r="U29" s="29" t="s">
        <v>71</v>
      </c>
    </row>
    <row r="30" spans="1:21" ht="22.5" x14ac:dyDescent="0.2">
      <c r="A30" s="1" t="s">
        <v>154</v>
      </c>
      <c r="B30" s="1" t="s">
        <v>65</v>
      </c>
      <c r="C30" s="57">
        <v>441782531</v>
      </c>
      <c r="D30" s="31"/>
      <c r="E30" s="31"/>
      <c r="F30" s="1" t="s">
        <v>93</v>
      </c>
      <c r="G30" s="28">
        <v>44945</v>
      </c>
      <c r="H30" s="14"/>
      <c r="I30" s="14" t="s">
        <v>94</v>
      </c>
      <c r="J30" s="52">
        <v>45809</v>
      </c>
      <c r="K30" s="31"/>
      <c r="L30" s="52">
        <v>45839</v>
      </c>
      <c r="M30" s="31"/>
      <c r="N30" s="28">
        <v>45819</v>
      </c>
      <c r="O30" s="29" t="s">
        <v>68</v>
      </c>
      <c r="P30" s="58">
        <v>1</v>
      </c>
      <c r="Q30" s="13">
        <v>19</v>
      </c>
      <c r="R30" s="59">
        <v>0.03</v>
      </c>
      <c r="S30" s="31"/>
      <c r="T30" s="13">
        <v>0.56999999999999995</v>
      </c>
      <c r="U30" s="29" t="s">
        <v>71</v>
      </c>
    </row>
    <row r="31" spans="1:21" ht="22.5" x14ac:dyDescent="0.2">
      <c r="A31" s="1" t="s">
        <v>154</v>
      </c>
      <c r="B31" s="1" t="s">
        <v>65</v>
      </c>
      <c r="C31" s="57">
        <v>442399128</v>
      </c>
      <c r="D31" s="31"/>
      <c r="E31" s="31"/>
      <c r="F31" s="1" t="s">
        <v>95</v>
      </c>
      <c r="G31" s="28">
        <v>45288</v>
      </c>
      <c r="H31" s="14"/>
      <c r="I31" s="14" t="s">
        <v>88</v>
      </c>
      <c r="J31" s="52">
        <v>45809</v>
      </c>
      <c r="K31" s="31"/>
      <c r="L31" s="52">
        <v>45839</v>
      </c>
      <c r="M31" s="31"/>
      <c r="N31" s="28">
        <v>45820</v>
      </c>
      <c r="O31" s="29" t="s">
        <v>68</v>
      </c>
      <c r="P31" s="58">
        <v>1</v>
      </c>
      <c r="Q31" s="13">
        <v>77.099999999999994</v>
      </c>
      <c r="R31" s="59">
        <v>0.09</v>
      </c>
      <c r="S31" s="31"/>
      <c r="T31" s="13">
        <v>6.94</v>
      </c>
      <c r="U31" s="29" t="s">
        <v>71</v>
      </c>
    </row>
    <row r="32" spans="1:21" ht="22.5" x14ac:dyDescent="0.2">
      <c r="A32" s="1" t="s">
        <v>154</v>
      </c>
      <c r="B32" s="1" t="s">
        <v>65</v>
      </c>
      <c r="C32" s="57">
        <v>442267305</v>
      </c>
      <c r="D32" s="31"/>
      <c r="E32" s="31"/>
      <c r="F32" s="1" t="s">
        <v>96</v>
      </c>
      <c r="G32" s="28">
        <v>45261</v>
      </c>
      <c r="H32" s="14"/>
      <c r="I32" s="14" t="s">
        <v>86</v>
      </c>
      <c r="J32" s="52">
        <v>45809</v>
      </c>
      <c r="K32" s="31"/>
      <c r="L32" s="52">
        <v>45839</v>
      </c>
      <c r="M32" s="31"/>
      <c r="N32" s="28">
        <v>45820</v>
      </c>
      <c r="O32" s="29" t="s">
        <v>68</v>
      </c>
      <c r="P32" s="58">
        <v>1</v>
      </c>
      <c r="Q32" s="13">
        <v>30.03</v>
      </c>
      <c r="R32" s="59">
        <v>4.4999999999999998E-2</v>
      </c>
      <c r="S32" s="31"/>
      <c r="T32" s="13">
        <v>1.35</v>
      </c>
      <c r="U32" s="29" t="s">
        <v>71</v>
      </c>
    </row>
    <row r="33" spans="1:21" ht="22.5" x14ac:dyDescent="0.2">
      <c r="A33" s="1" t="s">
        <v>154</v>
      </c>
      <c r="B33" s="1" t="s">
        <v>65</v>
      </c>
      <c r="C33" s="57">
        <v>442267307</v>
      </c>
      <c r="D33" s="31"/>
      <c r="E33" s="31"/>
      <c r="F33" s="1" t="s">
        <v>96</v>
      </c>
      <c r="G33" s="28">
        <v>45261</v>
      </c>
      <c r="H33" s="14"/>
      <c r="I33" s="14" t="s">
        <v>88</v>
      </c>
      <c r="J33" s="52">
        <v>45809</v>
      </c>
      <c r="K33" s="31"/>
      <c r="L33" s="52">
        <v>45839</v>
      </c>
      <c r="M33" s="31"/>
      <c r="N33" s="28">
        <v>45820</v>
      </c>
      <c r="O33" s="29" t="s">
        <v>68</v>
      </c>
      <c r="P33" s="58">
        <v>1</v>
      </c>
      <c r="Q33" s="13">
        <v>88.04</v>
      </c>
      <c r="R33" s="59">
        <v>0.18</v>
      </c>
      <c r="S33" s="31"/>
      <c r="T33" s="13">
        <v>15.85</v>
      </c>
      <c r="U33" s="29" t="s">
        <v>71</v>
      </c>
    </row>
    <row r="34" spans="1:21" ht="22.5" x14ac:dyDescent="0.2">
      <c r="A34" s="1" t="s">
        <v>154</v>
      </c>
      <c r="B34" s="1" t="s">
        <v>65</v>
      </c>
      <c r="C34" s="57">
        <v>441884278</v>
      </c>
      <c r="D34" s="31"/>
      <c r="E34" s="31"/>
      <c r="F34" s="1" t="s">
        <v>97</v>
      </c>
      <c r="G34" s="28">
        <v>45007</v>
      </c>
      <c r="H34" s="14"/>
      <c r="I34" s="14" t="s">
        <v>98</v>
      </c>
      <c r="J34" s="52">
        <v>45809</v>
      </c>
      <c r="K34" s="31"/>
      <c r="L34" s="52">
        <v>45839</v>
      </c>
      <c r="M34" s="31"/>
      <c r="N34" s="28">
        <v>45819</v>
      </c>
      <c r="O34" s="29" t="s">
        <v>68</v>
      </c>
      <c r="P34" s="58">
        <v>1</v>
      </c>
      <c r="Q34" s="13">
        <v>59.98</v>
      </c>
      <c r="R34" s="59">
        <v>0.03</v>
      </c>
      <c r="S34" s="31"/>
      <c r="T34" s="13">
        <v>1.8</v>
      </c>
      <c r="U34" s="29" t="s">
        <v>71</v>
      </c>
    </row>
    <row r="35" spans="1:21" ht="22.5" x14ac:dyDescent="0.2">
      <c r="A35" s="1" t="s">
        <v>154</v>
      </c>
      <c r="B35" s="1" t="s">
        <v>65</v>
      </c>
      <c r="C35" s="57">
        <v>441955925</v>
      </c>
      <c r="D35" s="31"/>
      <c r="E35" s="31"/>
      <c r="F35" s="1" t="s">
        <v>99</v>
      </c>
      <c r="G35" s="28">
        <v>45050</v>
      </c>
      <c r="H35" s="14"/>
      <c r="I35" s="14" t="s">
        <v>100</v>
      </c>
      <c r="J35" s="52">
        <v>45809</v>
      </c>
      <c r="K35" s="31"/>
      <c r="L35" s="52">
        <v>45839</v>
      </c>
      <c r="M35" s="31"/>
      <c r="N35" s="28">
        <v>45819</v>
      </c>
      <c r="O35" s="29" t="s">
        <v>68</v>
      </c>
      <c r="P35" s="58">
        <v>1</v>
      </c>
      <c r="Q35" s="13">
        <v>31.5</v>
      </c>
      <c r="R35" s="59">
        <v>0.03</v>
      </c>
      <c r="S35" s="31"/>
      <c r="T35" s="13">
        <v>0.95</v>
      </c>
      <c r="U35" s="29" t="s">
        <v>71</v>
      </c>
    </row>
    <row r="36" spans="1:21" ht="22.5" x14ac:dyDescent="0.2">
      <c r="A36" s="1" t="s">
        <v>154</v>
      </c>
      <c r="B36" s="1" t="s">
        <v>65</v>
      </c>
      <c r="C36" s="57">
        <v>441894645</v>
      </c>
      <c r="D36" s="31"/>
      <c r="E36" s="31"/>
      <c r="F36" s="1" t="s">
        <v>101</v>
      </c>
      <c r="G36" s="28">
        <v>45017</v>
      </c>
      <c r="H36" s="14"/>
      <c r="I36" s="14" t="s">
        <v>88</v>
      </c>
      <c r="J36" s="52">
        <v>45809</v>
      </c>
      <c r="K36" s="31"/>
      <c r="L36" s="52">
        <v>45839</v>
      </c>
      <c r="M36" s="31"/>
      <c r="N36" s="28">
        <v>45820</v>
      </c>
      <c r="O36" s="29" t="s">
        <v>68</v>
      </c>
      <c r="P36" s="58">
        <v>1</v>
      </c>
      <c r="Q36" s="13">
        <v>70.239999999999995</v>
      </c>
      <c r="R36" s="59">
        <v>0.06</v>
      </c>
      <c r="S36" s="31"/>
      <c r="T36" s="13">
        <v>4.21</v>
      </c>
      <c r="U36" s="29" t="s">
        <v>71</v>
      </c>
    </row>
    <row r="37" spans="1:21" ht="22.5" x14ac:dyDescent="0.2">
      <c r="A37" s="1" t="s">
        <v>154</v>
      </c>
      <c r="B37" s="1" t="s">
        <v>65</v>
      </c>
      <c r="C37" s="57">
        <v>442098436</v>
      </c>
      <c r="D37" s="31"/>
      <c r="E37" s="31"/>
      <c r="F37" s="1" t="s">
        <v>102</v>
      </c>
      <c r="G37" s="28">
        <v>45227</v>
      </c>
      <c r="H37" s="14"/>
      <c r="I37" s="14" t="s">
        <v>103</v>
      </c>
      <c r="J37" s="52">
        <v>45809</v>
      </c>
      <c r="K37" s="31"/>
      <c r="L37" s="52">
        <v>45839</v>
      </c>
      <c r="M37" s="31"/>
      <c r="N37" s="28">
        <v>45820</v>
      </c>
      <c r="O37" s="29" t="s">
        <v>68</v>
      </c>
      <c r="P37" s="58">
        <v>1</v>
      </c>
      <c r="Q37" s="13">
        <v>13.5</v>
      </c>
      <c r="R37" s="59">
        <v>0.09</v>
      </c>
      <c r="S37" s="31"/>
      <c r="T37" s="13">
        <v>1.22</v>
      </c>
      <c r="U37" s="29" t="s">
        <v>71</v>
      </c>
    </row>
    <row r="38" spans="1:21" ht="22.5" x14ac:dyDescent="0.2">
      <c r="A38" s="1" t="s">
        <v>154</v>
      </c>
      <c r="B38" s="1" t="s">
        <v>65</v>
      </c>
      <c r="C38" s="57">
        <v>442098439</v>
      </c>
      <c r="D38" s="31"/>
      <c r="E38" s="31"/>
      <c r="F38" s="1" t="s">
        <v>102</v>
      </c>
      <c r="G38" s="28">
        <v>45227</v>
      </c>
      <c r="H38" s="14"/>
      <c r="I38" s="14" t="s">
        <v>104</v>
      </c>
      <c r="J38" s="52">
        <v>45809</v>
      </c>
      <c r="K38" s="31"/>
      <c r="L38" s="52">
        <v>45839</v>
      </c>
      <c r="M38" s="31"/>
      <c r="N38" s="28">
        <v>45820</v>
      </c>
      <c r="O38" s="29" t="s">
        <v>68</v>
      </c>
      <c r="P38" s="58">
        <v>1</v>
      </c>
      <c r="Q38" s="13">
        <v>33.92</v>
      </c>
      <c r="R38" s="59">
        <v>0.18</v>
      </c>
      <c r="S38" s="31"/>
      <c r="T38" s="13">
        <v>6.11</v>
      </c>
      <c r="U38" s="29" t="s">
        <v>71</v>
      </c>
    </row>
    <row r="39" spans="1:21" ht="33.75" x14ac:dyDescent="0.2">
      <c r="A39" s="1" t="s">
        <v>154</v>
      </c>
      <c r="B39" s="1" t="s">
        <v>65</v>
      </c>
      <c r="C39" s="57">
        <v>442502397</v>
      </c>
      <c r="D39" s="31"/>
      <c r="E39" s="31"/>
      <c r="F39" s="1" t="s">
        <v>105</v>
      </c>
      <c r="G39" s="28">
        <v>45343</v>
      </c>
      <c r="H39" s="14"/>
      <c r="I39" s="14" t="s">
        <v>86</v>
      </c>
      <c r="J39" s="52">
        <v>45809</v>
      </c>
      <c r="K39" s="31"/>
      <c r="L39" s="52">
        <v>45839</v>
      </c>
      <c r="M39" s="31"/>
      <c r="N39" s="28">
        <v>45819</v>
      </c>
      <c r="O39" s="29" t="s">
        <v>68</v>
      </c>
      <c r="P39" s="58">
        <v>1</v>
      </c>
      <c r="Q39" s="13">
        <v>38.71</v>
      </c>
      <c r="R39" s="59">
        <v>4.4999999999999998E-2</v>
      </c>
      <c r="S39" s="31"/>
      <c r="T39" s="13">
        <v>1.74</v>
      </c>
      <c r="U39" s="29" t="s">
        <v>71</v>
      </c>
    </row>
    <row r="40" spans="1:21" ht="33.75" x14ac:dyDescent="0.2">
      <c r="A40" s="1" t="s">
        <v>154</v>
      </c>
      <c r="B40" s="1" t="s">
        <v>65</v>
      </c>
      <c r="C40" s="57">
        <v>442502398</v>
      </c>
      <c r="D40" s="31"/>
      <c r="E40" s="31"/>
      <c r="F40" s="1" t="s">
        <v>105</v>
      </c>
      <c r="G40" s="28">
        <v>45343</v>
      </c>
      <c r="H40" s="14"/>
      <c r="I40" s="14" t="s">
        <v>88</v>
      </c>
      <c r="J40" s="52">
        <v>45809</v>
      </c>
      <c r="K40" s="31"/>
      <c r="L40" s="52">
        <v>45839</v>
      </c>
      <c r="M40" s="31"/>
      <c r="N40" s="28">
        <v>45819</v>
      </c>
      <c r="O40" s="29" t="s">
        <v>68</v>
      </c>
      <c r="P40" s="58">
        <v>1</v>
      </c>
      <c r="Q40" s="13">
        <v>23.37</v>
      </c>
      <c r="R40" s="59">
        <v>0.09</v>
      </c>
      <c r="S40" s="31"/>
      <c r="T40" s="13">
        <v>2.1</v>
      </c>
      <c r="U40" s="29" t="s">
        <v>71</v>
      </c>
    </row>
    <row r="41" spans="1:21" x14ac:dyDescent="0.2">
      <c r="A41" s="36" t="s">
        <v>106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1"/>
      <c r="Q41" s="1"/>
      <c r="R41" s="30"/>
      <c r="S41" s="31"/>
      <c r="T41" s="1"/>
      <c r="U41" s="1"/>
    </row>
    <row r="42" spans="1:21" ht="22.5" x14ac:dyDescent="0.2">
      <c r="A42" s="1" t="s">
        <v>155</v>
      </c>
      <c r="B42" s="1" t="s">
        <v>65</v>
      </c>
      <c r="C42" s="57">
        <v>442289683</v>
      </c>
      <c r="D42" s="31"/>
      <c r="E42" s="31"/>
      <c r="F42" s="1" t="s">
        <v>107</v>
      </c>
      <c r="G42" s="28">
        <v>45247</v>
      </c>
      <c r="H42" s="14"/>
      <c r="I42" s="14" t="s">
        <v>86</v>
      </c>
      <c r="J42" s="52">
        <v>45809</v>
      </c>
      <c r="K42" s="31"/>
      <c r="L42" s="52">
        <v>45839</v>
      </c>
      <c r="M42" s="31"/>
      <c r="N42" s="28">
        <v>45818</v>
      </c>
      <c r="O42" s="29" t="s">
        <v>68</v>
      </c>
      <c r="P42" s="58">
        <v>1</v>
      </c>
      <c r="Q42" s="13">
        <v>26.69</v>
      </c>
      <c r="R42" s="59">
        <v>4.4999999999999998E-2</v>
      </c>
      <c r="S42" s="31"/>
      <c r="T42" s="13">
        <v>1.2</v>
      </c>
      <c r="U42" s="29" t="s">
        <v>71</v>
      </c>
    </row>
    <row r="43" spans="1:21" x14ac:dyDescent="0.2">
      <c r="A43" s="36" t="s">
        <v>108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1"/>
      <c r="Q43" s="1"/>
      <c r="R43" s="30"/>
      <c r="S43" s="31"/>
      <c r="T43" s="1"/>
      <c r="U43" s="1"/>
    </row>
    <row r="44" spans="1:21" ht="22.5" x14ac:dyDescent="0.2">
      <c r="A44" s="1" t="s">
        <v>156</v>
      </c>
      <c r="B44" s="1" t="s">
        <v>65</v>
      </c>
      <c r="C44" s="57">
        <v>442446643</v>
      </c>
      <c r="D44" s="31"/>
      <c r="E44" s="31"/>
      <c r="F44" s="1" t="s">
        <v>109</v>
      </c>
      <c r="G44" s="28">
        <v>45309</v>
      </c>
      <c r="H44" s="14"/>
      <c r="I44" s="14" t="s">
        <v>110</v>
      </c>
      <c r="J44" s="52">
        <v>45809</v>
      </c>
      <c r="K44" s="31"/>
      <c r="L44" s="52">
        <v>45839</v>
      </c>
      <c r="M44" s="31"/>
      <c r="N44" s="28">
        <v>45818</v>
      </c>
      <c r="O44" s="29" t="s">
        <v>68</v>
      </c>
      <c r="P44" s="58">
        <v>1</v>
      </c>
      <c r="Q44" s="13">
        <v>31.5</v>
      </c>
      <c r="R44" s="59">
        <v>0.09</v>
      </c>
      <c r="S44" s="31"/>
      <c r="T44" s="13">
        <v>2.84</v>
      </c>
      <c r="U44" s="29" t="s">
        <v>71</v>
      </c>
    </row>
    <row r="45" spans="1:21" ht="22.5" x14ac:dyDescent="0.2">
      <c r="A45" s="1" t="s">
        <v>156</v>
      </c>
      <c r="B45" s="1" t="s">
        <v>65</v>
      </c>
      <c r="C45" s="57">
        <v>442446644</v>
      </c>
      <c r="D45" s="31"/>
      <c r="E45" s="31"/>
      <c r="F45" s="1" t="s">
        <v>109</v>
      </c>
      <c r="G45" s="28">
        <v>45309</v>
      </c>
      <c r="H45" s="14"/>
      <c r="I45" s="14" t="s">
        <v>111</v>
      </c>
      <c r="J45" s="52">
        <v>45809</v>
      </c>
      <c r="K45" s="31"/>
      <c r="L45" s="52">
        <v>45839</v>
      </c>
      <c r="M45" s="31"/>
      <c r="N45" s="28">
        <v>45818</v>
      </c>
      <c r="O45" s="29" t="s">
        <v>68</v>
      </c>
      <c r="P45" s="58">
        <v>1</v>
      </c>
      <c r="Q45" s="13">
        <v>37.799999999999997</v>
      </c>
      <c r="R45" s="59">
        <v>0.09</v>
      </c>
      <c r="S45" s="31"/>
      <c r="T45" s="13">
        <v>3.4</v>
      </c>
      <c r="U45" s="29" t="s">
        <v>71</v>
      </c>
    </row>
    <row r="46" spans="1:21" ht="22.5" x14ac:dyDescent="0.2">
      <c r="A46" s="1" t="s">
        <v>156</v>
      </c>
      <c r="B46" s="1" t="s">
        <v>65</v>
      </c>
      <c r="C46" s="57">
        <v>442294068</v>
      </c>
      <c r="D46" s="31"/>
      <c r="E46" s="31"/>
      <c r="F46" s="1" t="s">
        <v>112</v>
      </c>
      <c r="G46" s="28">
        <v>45250</v>
      </c>
      <c r="H46" s="14"/>
      <c r="I46" s="14" t="s">
        <v>113</v>
      </c>
      <c r="J46" s="52">
        <v>45809</v>
      </c>
      <c r="K46" s="31"/>
      <c r="L46" s="52">
        <v>45839</v>
      </c>
      <c r="M46" s="31"/>
      <c r="N46" s="28">
        <v>45819</v>
      </c>
      <c r="O46" s="29" t="s">
        <v>68</v>
      </c>
      <c r="P46" s="58">
        <v>1</v>
      </c>
      <c r="Q46" s="13">
        <v>12</v>
      </c>
      <c r="R46" s="59">
        <v>0.09</v>
      </c>
      <c r="S46" s="31"/>
      <c r="T46" s="13">
        <v>1.08</v>
      </c>
      <c r="U46" s="29" t="s">
        <v>71</v>
      </c>
    </row>
    <row r="47" spans="1:21" ht="22.5" x14ac:dyDescent="0.2">
      <c r="A47" s="1" t="s">
        <v>156</v>
      </c>
      <c r="B47" s="1" t="s">
        <v>65</v>
      </c>
      <c r="C47" s="57">
        <v>442294069</v>
      </c>
      <c r="D47" s="31"/>
      <c r="E47" s="31"/>
      <c r="F47" s="1" t="s">
        <v>112</v>
      </c>
      <c r="G47" s="28">
        <v>45250</v>
      </c>
      <c r="H47" s="14"/>
      <c r="I47" s="14" t="s">
        <v>114</v>
      </c>
      <c r="J47" s="52">
        <v>45809</v>
      </c>
      <c r="K47" s="31"/>
      <c r="L47" s="52">
        <v>45839</v>
      </c>
      <c r="M47" s="31"/>
      <c r="N47" s="28">
        <v>45819</v>
      </c>
      <c r="O47" s="29" t="s">
        <v>68</v>
      </c>
      <c r="P47" s="58">
        <v>1</v>
      </c>
      <c r="Q47" s="13">
        <v>13.2</v>
      </c>
      <c r="R47" s="59">
        <v>0.09</v>
      </c>
      <c r="S47" s="31"/>
      <c r="T47" s="13">
        <v>1.19</v>
      </c>
      <c r="U47" s="29" t="s">
        <v>71</v>
      </c>
    </row>
    <row r="48" spans="1:21" ht="33.75" x14ac:dyDescent="0.2">
      <c r="A48" s="1" t="s">
        <v>156</v>
      </c>
      <c r="B48" s="1" t="s">
        <v>65</v>
      </c>
      <c r="C48" s="57">
        <v>442292229</v>
      </c>
      <c r="D48" s="31"/>
      <c r="E48" s="31"/>
      <c r="F48" s="1" t="s">
        <v>115</v>
      </c>
      <c r="G48" s="28">
        <v>45250</v>
      </c>
      <c r="H48" s="14"/>
      <c r="I48" s="14" t="s">
        <v>86</v>
      </c>
      <c r="J48" s="52">
        <v>45809</v>
      </c>
      <c r="K48" s="31"/>
      <c r="L48" s="52">
        <v>45839</v>
      </c>
      <c r="M48" s="31"/>
      <c r="N48" s="28">
        <v>45819</v>
      </c>
      <c r="O48" s="29" t="s">
        <v>68</v>
      </c>
      <c r="P48" s="58">
        <v>1</v>
      </c>
      <c r="Q48" s="13">
        <v>30.03</v>
      </c>
      <c r="R48" s="59">
        <v>4.4999999999999998E-2</v>
      </c>
      <c r="S48" s="31"/>
      <c r="T48" s="13">
        <v>1.35</v>
      </c>
      <c r="U48" s="29" t="s">
        <v>71</v>
      </c>
    </row>
    <row r="49" spans="1:21" ht="22.5" x14ac:dyDescent="0.2">
      <c r="A49" s="1" t="s">
        <v>156</v>
      </c>
      <c r="B49" s="1" t="s">
        <v>65</v>
      </c>
      <c r="C49" s="57">
        <v>442425089</v>
      </c>
      <c r="D49" s="31"/>
      <c r="E49" s="31"/>
      <c r="F49" s="1" t="s">
        <v>116</v>
      </c>
      <c r="G49" s="28">
        <v>45301</v>
      </c>
      <c r="H49" s="14"/>
      <c r="I49" s="14" t="s">
        <v>117</v>
      </c>
      <c r="J49" s="52">
        <v>45809</v>
      </c>
      <c r="K49" s="31"/>
      <c r="L49" s="52">
        <v>45839</v>
      </c>
      <c r="M49" s="31"/>
      <c r="N49" s="28">
        <v>45820</v>
      </c>
      <c r="O49" s="29" t="s">
        <v>68</v>
      </c>
      <c r="P49" s="58">
        <v>1</v>
      </c>
      <c r="Q49" s="13">
        <v>20.399999999999999</v>
      </c>
      <c r="R49" s="59">
        <v>0.09</v>
      </c>
      <c r="S49" s="31"/>
      <c r="T49" s="13">
        <v>1.84</v>
      </c>
      <c r="U49" s="29" t="s">
        <v>71</v>
      </c>
    </row>
    <row r="50" spans="1:21" ht="22.5" x14ac:dyDescent="0.2">
      <c r="A50" s="1" t="s">
        <v>156</v>
      </c>
      <c r="B50" s="1" t="s">
        <v>65</v>
      </c>
      <c r="C50" s="57">
        <v>442425090</v>
      </c>
      <c r="D50" s="31"/>
      <c r="E50" s="31"/>
      <c r="F50" s="1" t="s">
        <v>116</v>
      </c>
      <c r="G50" s="28">
        <v>45301</v>
      </c>
      <c r="H50" s="14"/>
      <c r="I50" s="14" t="s">
        <v>118</v>
      </c>
      <c r="J50" s="52">
        <v>45809</v>
      </c>
      <c r="K50" s="31"/>
      <c r="L50" s="52">
        <v>45839</v>
      </c>
      <c r="M50" s="31"/>
      <c r="N50" s="28">
        <v>45820</v>
      </c>
      <c r="O50" s="29" t="s">
        <v>68</v>
      </c>
      <c r="P50" s="58">
        <v>1</v>
      </c>
      <c r="Q50" s="13">
        <v>24</v>
      </c>
      <c r="R50" s="59">
        <v>0.09</v>
      </c>
      <c r="S50" s="31"/>
      <c r="T50" s="13">
        <v>2.16</v>
      </c>
      <c r="U50" s="29" t="s">
        <v>71</v>
      </c>
    </row>
    <row r="51" spans="1:21" ht="22.5" x14ac:dyDescent="0.2">
      <c r="A51" s="1" t="s">
        <v>156</v>
      </c>
      <c r="B51" s="1" t="s">
        <v>65</v>
      </c>
      <c r="C51" s="57">
        <v>442301963</v>
      </c>
      <c r="D51" s="31"/>
      <c r="E51" s="31"/>
      <c r="F51" s="1" t="s">
        <v>119</v>
      </c>
      <c r="G51" s="28">
        <v>45254</v>
      </c>
      <c r="H51" s="14"/>
      <c r="I51" s="14" t="s">
        <v>120</v>
      </c>
      <c r="J51" s="52">
        <v>45809</v>
      </c>
      <c r="K51" s="31"/>
      <c r="L51" s="52">
        <v>45839</v>
      </c>
      <c r="M51" s="31"/>
      <c r="N51" s="28">
        <v>45819</v>
      </c>
      <c r="O51" s="29" t="s">
        <v>68</v>
      </c>
      <c r="P51" s="58">
        <v>1</v>
      </c>
      <c r="Q51" s="13">
        <v>53</v>
      </c>
      <c r="R51" s="59">
        <v>0.09</v>
      </c>
      <c r="S51" s="31"/>
      <c r="T51" s="13">
        <v>4.7699999999999996</v>
      </c>
      <c r="U51" s="29" t="s">
        <v>71</v>
      </c>
    </row>
    <row r="52" spans="1:21" ht="22.5" x14ac:dyDescent="0.2">
      <c r="A52" s="1" t="s">
        <v>156</v>
      </c>
      <c r="B52" s="1" t="s">
        <v>65</v>
      </c>
      <c r="C52" s="57">
        <v>442301964</v>
      </c>
      <c r="D52" s="31"/>
      <c r="E52" s="31"/>
      <c r="F52" s="1" t="s">
        <v>119</v>
      </c>
      <c r="G52" s="28">
        <v>45254</v>
      </c>
      <c r="H52" s="14"/>
      <c r="I52" s="14" t="s">
        <v>121</v>
      </c>
      <c r="J52" s="52">
        <v>45809</v>
      </c>
      <c r="K52" s="31"/>
      <c r="L52" s="52">
        <v>45839</v>
      </c>
      <c r="M52" s="31"/>
      <c r="N52" s="28">
        <v>45819</v>
      </c>
      <c r="O52" s="29" t="s">
        <v>68</v>
      </c>
      <c r="P52" s="58">
        <v>1</v>
      </c>
      <c r="Q52" s="13">
        <v>47.6</v>
      </c>
      <c r="R52" s="59">
        <v>0.09</v>
      </c>
      <c r="S52" s="31"/>
      <c r="T52" s="13">
        <v>4.28</v>
      </c>
      <c r="U52" s="29" t="s">
        <v>71</v>
      </c>
    </row>
    <row r="53" spans="1:21" x14ac:dyDescent="0.2">
      <c r="A53" s="36" t="s">
        <v>122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1"/>
      <c r="Q53" s="1"/>
      <c r="R53" s="30"/>
      <c r="S53" s="31"/>
      <c r="T53" s="1"/>
      <c r="U53" s="1"/>
    </row>
    <row r="54" spans="1:21" ht="22.5" x14ac:dyDescent="0.2">
      <c r="A54" s="1" t="s">
        <v>157</v>
      </c>
      <c r="B54" s="1" t="s">
        <v>65</v>
      </c>
      <c r="C54" s="57">
        <v>441680518</v>
      </c>
      <c r="D54" s="31"/>
      <c r="E54" s="31"/>
      <c r="F54" s="1" t="s">
        <v>123</v>
      </c>
      <c r="G54" s="28">
        <v>44902</v>
      </c>
      <c r="H54" s="14"/>
      <c r="I54" s="14" t="s">
        <v>124</v>
      </c>
      <c r="J54" s="52">
        <v>45809</v>
      </c>
      <c r="K54" s="31"/>
      <c r="L54" s="52">
        <v>45839</v>
      </c>
      <c r="M54" s="31"/>
      <c r="N54" s="28">
        <v>45819</v>
      </c>
      <c r="O54" s="29" t="s">
        <v>68</v>
      </c>
      <c r="P54" s="58">
        <v>1</v>
      </c>
      <c r="Q54" s="13">
        <v>111.5</v>
      </c>
      <c r="R54" s="59">
        <v>0.09</v>
      </c>
      <c r="S54" s="31"/>
      <c r="T54" s="13">
        <v>10.039999999999999</v>
      </c>
      <c r="U54" s="29" t="s">
        <v>71</v>
      </c>
    </row>
    <row r="55" spans="1:21" ht="33.75" x14ac:dyDescent="0.2">
      <c r="A55" s="1" t="s">
        <v>157</v>
      </c>
      <c r="B55" s="1" t="s">
        <v>65</v>
      </c>
      <c r="C55" s="57">
        <v>441577763</v>
      </c>
      <c r="D55" s="31"/>
      <c r="E55" s="31"/>
      <c r="F55" s="1" t="s">
        <v>125</v>
      </c>
      <c r="G55" s="28">
        <v>44858</v>
      </c>
      <c r="H55" s="14"/>
      <c r="I55" s="14" t="s">
        <v>126</v>
      </c>
      <c r="J55" s="52">
        <v>45809</v>
      </c>
      <c r="K55" s="31"/>
      <c r="L55" s="52">
        <v>45839</v>
      </c>
      <c r="M55" s="31"/>
      <c r="N55" s="28">
        <v>45819</v>
      </c>
      <c r="O55" s="29" t="s">
        <v>68</v>
      </c>
      <c r="P55" s="58">
        <v>1</v>
      </c>
      <c r="Q55" s="13">
        <v>64.430000000000007</v>
      </c>
      <c r="R55" s="59">
        <v>0.09</v>
      </c>
      <c r="S55" s="31"/>
      <c r="T55" s="13">
        <v>5.8</v>
      </c>
      <c r="U55" s="29" t="s">
        <v>71</v>
      </c>
    </row>
    <row r="56" spans="1:21" x14ac:dyDescent="0.2">
      <c r="A56" s="36" t="s">
        <v>127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1"/>
      <c r="Q56" s="1"/>
      <c r="R56" s="30"/>
      <c r="S56" s="31"/>
      <c r="T56" s="1"/>
      <c r="U56" s="1"/>
    </row>
    <row r="57" spans="1:21" ht="22.5" x14ac:dyDescent="0.2">
      <c r="A57" s="1" t="s">
        <v>158</v>
      </c>
      <c r="B57" s="1" t="s">
        <v>65</v>
      </c>
      <c r="C57" s="57">
        <v>441582942</v>
      </c>
      <c r="D57" s="31"/>
      <c r="E57" s="31"/>
      <c r="F57" s="1" t="s">
        <v>128</v>
      </c>
      <c r="G57" s="28">
        <v>44860</v>
      </c>
      <c r="H57" s="14"/>
      <c r="I57" s="14" t="s">
        <v>129</v>
      </c>
      <c r="J57" s="52">
        <v>45809</v>
      </c>
      <c r="K57" s="31"/>
      <c r="L57" s="52">
        <v>45839</v>
      </c>
      <c r="M57" s="31"/>
      <c r="N57" s="28">
        <v>45819</v>
      </c>
      <c r="O57" s="29" t="s">
        <v>68</v>
      </c>
      <c r="P57" s="58">
        <v>1</v>
      </c>
      <c r="Q57" s="13">
        <v>9.1999999999999993</v>
      </c>
      <c r="R57" s="59">
        <v>0.09</v>
      </c>
      <c r="S57" s="31"/>
      <c r="T57" s="13">
        <v>0.83</v>
      </c>
      <c r="U57" s="29" t="s">
        <v>71</v>
      </c>
    </row>
    <row r="58" spans="1:21" ht="22.5" x14ac:dyDescent="0.2">
      <c r="A58" s="1" t="s">
        <v>158</v>
      </c>
      <c r="B58" s="1" t="s">
        <v>65</v>
      </c>
      <c r="C58" s="57">
        <v>441761638</v>
      </c>
      <c r="D58" s="31"/>
      <c r="E58" s="31"/>
      <c r="F58" s="1" t="s">
        <v>130</v>
      </c>
      <c r="G58" s="28">
        <v>44936</v>
      </c>
      <c r="H58" s="14"/>
      <c r="I58" s="14" t="s">
        <v>131</v>
      </c>
      <c r="J58" s="52">
        <v>45809</v>
      </c>
      <c r="K58" s="31"/>
      <c r="L58" s="52">
        <v>45839</v>
      </c>
      <c r="M58" s="31"/>
      <c r="N58" s="28">
        <v>45820</v>
      </c>
      <c r="O58" s="29" t="s">
        <v>68</v>
      </c>
      <c r="P58" s="58">
        <v>1</v>
      </c>
      <c r="Q58" s="13">
        <v>42.64</v>
      </c>
      <c r="R58" s="59">
        <v>0.09</v>
      </c>
      <c r="S58" s="31"/>
      <c r="T58" s="13">
        <v>3.84</v>
      </c>
      <c r="U58" s="29" t="s">
        <v>71</v>
      </c>
    </row>
    <row r="59" spans="1:21" ht="22.5" x14ac:dyDescent="0.2">
      <c r="A59" s="1" t="s">
        <v>158</v>
      </c>
      <c r="B59" s="1" t="s">
        <v>65</v>
      </c>
      <c r="C59" s="57">
        <v>441761639</v>
      </c>
      <c r="D59" s="31"/>
      <c r="E59" s="31"/>
      <c r="F59" s="1" t="s">
        <v>130</v>
      </c>
      <c r="G59" s="28">
        <v>44936</v>
      </c>
      <c r="H59" s="14"/>
      <c r="I59" s="14" t="s">
        <v>132</v>
      </c>
      <c r="J59" s="52">
        <v>45809</v>
      </c>
      <c r="K59" s="31"/>
      <c r="L59" s="52">
        <v>45839</v>
      </c>
      <c r="M59" s="31"/>
      <c r="N59" s="28">
        <v>45820</v>
      </c>
      <c r="O59" s="29" t="s">
        <v>68</v>
      </c>
      <c r="P59" s="58">
        <v>1</v>
      </c>
      <c r="Q59" s="13">
        <v>10</v>
      </c>
      <c r="R59" s="59">
        <v>0.09</v>
      </c>
      <c r="S59" s="31"/>
      <c r="T59" s="13">
        <v>0.9</v>
      </c>
      <c r="U59" s="29" t="s">
        <v>71</v>
      </c>
    </row>
    <row r="60" spans="1:21" ht="22.5" x14ac:dyDescent="0.2">
      <c r="A60" s="1" t="s">
        <v>158</v>
      </c>
      <c r="B60" s="1" t="s">
        <v>65</v>
      </c>
      <c r="C60" s="57">
        <v>441679321</v>
      </c>
      <c r="D60" s="31"/>
      <c r="E60" s="31"/>
      <c r="F60" s="1" t="s">
        <v>133</v>
      </c>
      <c r="G60" s="28">
        <v>44902</v>
      </c>
      <c r="H60" s="14"/>
      <c r="I60" s="14" t="s">
        <v>82</v>
      </c>
      <c r="J60" s="52">
        <v>45809</v>
      </c>
      <c r="K60" s="31"/>
      <c r="L60" s="52">
        <v>45839</v>
      </c>
      <c r="M60" s="31"/>
      <c r="N60" s="28">
        <v>45819</v>
      </c>
      <c r="O60" s="29" t="s">
        <v>68</v>
      </c>
      <c r="P60" s="58">
        <v>1</v>
      </c>
      <c r="Q60" s="13">
        <v>129</v>
      </c>
      <c r="R60" s="59">
        <v>0.09</v>
      </c>
      <c r="S60" s="31"/>
      <c r="T60" s="13">
        <v>11.61</v>
      </c>
      <c r="U60" s="29" t="s">
        <v>71</v>
      </c>
    </row>
    <row r="61" spans="1:21" ht="22.5" x14ac:dyDescent="0.2">
      <c r="A61" s="1" t="s">
        <v>158</v>
      </c>
      <c r="B61" s="1" t="s">
        <v>65</v>
      </c>
      <c r="C61" s="57">
        <v>441677437</v>
      </c>
      <c r="D61" s="31"/>
      <c r="E61" s="31"/>
      <c r="F61" s="1" t="s">
        <v>134</v>
      </c>
      <c r="G61" s="28">
        <v>44901</v>
      </c>
      <c r="H61" s="14"/>
      <c r="I61" s="14" t="s">
        <v>75</v>
      </c>
      <c r="J61" s="52">
        <v>45809</v>
      </c>
      <c r="K61" s="31"/>
      <c r="L61" s="52">
        <v>45839</v>
      </c>
      <c r="M61" s="31"/>
      <c r="N61" s="28">
        <v>45818</v>
      </c>
      <c r="O61" s="29" t="s">
        <v>68</v>
      </c>
      <c r="P61" s="58">
        <v>1</v>
      </c>
      <c r="Q61" s="13">
        <v>42.64</v>
      </c>
      <c r="R61" s="59">
        <v>0.09</v>
      </c>
      <c r="S61" s="31"/>
      <c r="T61" s="13">
        <v>3.84</v>
      </c>
      <c r="U61" s="29" t="s">
        <v>71</v>
      </c>
    </row>
    <row r="62" spans="1:21" ht="22.5" x14ac:dyDescent="0.2">
      <c r="A62" s="1" t="s">
        <v>158</v>
      </c>
      <c r="B62" s="1" t="s">
        <v>65</v>
      </c>
      <c r="C62" s="57">
        <v>441677438</v>
      </c>
      <c r="D62" s="31"/>
      <c r="E62" s="31"/>
      <c r="F62" s="1" t="s">
        <v>134</v>
      </c>
      <c r="G62" s="28">
        <v>44901</v>
      </c>
      <c r="H62" s="14"/>
      <c r="I62" s="14" t="s">
        <v>135</v>
      </c>
      <c r="J62" s="52">
        <v>45809</v>
      </c>
      <c r="K62" s="31"/>
      <c r="L62" s="52">
        <v>45839</v>
      </c>
      <c r="M62" s="31"/>
      <c r="N62" s="28">
        <v>45818</v>
      </c>
      <c r="O62" s="29" t="s">
        <v>68</v>
      </c>
      <c r="P62" s="58">
        <v>1</v>
      </c>
      <c r="Q62" s="13">
        <v>9</v>
      </c>
      <c r="R62" s="59">
        <v>0.09</v>
      </c>
      <c r="S62" s="31"/>
      <c r="T62" s="13">
        <v>0.81</v>
      </c>
      <c r="U62" s="29" t="s">
        <v>71</v>
      </c>
    </row>
    <row r="63" spans="1:21" ht="22.5" x14ac:dyDescent="0.2">
      <c r="A63" s="1" t="s">
        <v>158</v>
      </c>
      <c r="B63" s="1" t="s">
        <v>65</v>
      </c>
      <c r="C63" s="57">
        <v>441677439</v>
      </c>
      <c r="D63" s="31"/>
      <c r="E63" s="31"/>
      <c r="F63" s="1" t="s">
        <v>134</v>
      </c>
      <c r="G63" s="28">
        <v>44901</v>
      </c>
      <c r="H63" s="14"/>
      <c r="I63" s="14" t="s">
        <v>136</v>
      </c>
      <c r="J63" s="52">
        <v>45809</v>
      </c>
      <c r="K63" s="31"/>
      <c r="L63" s="52">
        <v>45839</v>
      </c>
      <c r="M63" s="31"/>
      <c r="N63" s="28">
        <v>45818</v>
      </c>
      <c r="O63" s="29" t="s">
        <v>68</v>
      </c>
      <c r="P63" s="58">
        <v>1</v>
      </c>
      <c r="Q63" s="13">
        <v>137.19999999999999</v>
      </c>
      <c r="R63" s="59">
        <v>0.09</v>
      </c>
      <c r="S63" s="31"/>
      <c r="T63" s="13">
        <v>12.35</v>
      </c>
      <c r="U63" s="29" t="s">
        <v>71</v>
      </c>
    </row>
    <row r="64" spans="1:21" ht="22.5" x14ac:dyDescent="0.2">
      <c r="A64" s="1" t="s">
        <v>158</v>
      </c>
      <c r="B64" s="1" t="s">
        <v>65</v>
      </c>
      <c r="C64" s="57">
        <v>441607364</v>
      </c>
      <c r="D64" s="31"/>
      <c r="E64" s="31"/>
      <c r="F64" s="1" t="s">
        <v>137</v>
      </c>
      <c r="G64" s="28">
        <v>44872</v>
      </c>
      <c r="H64" s="14"/>
      <c r="I64" s="14" t="s">
        <v>135</v>
      </c>
      <c r="J64" s="52">
        <v>45809</v>
      </c>
      <c r="K64" s="31"/>
      <c r="L64" s="52">
        <v>45839</v>
      </c>
      <c r="M64" s="31"/>
      <c r="N64" s="28">
        <v>45819</v>
      </c>
      <c r="O64" s="29" t="s">
        <v>68</v>
      </c>
      <c r="P64" s="58">
        <v>1</v>
      </c>
      <c r="Q64" s="13">
        <v>16</v>
      </c>
      <c r="R64" s="59">
        <v>0.09</v>
      </c>
      <c r="S64" s="31"/>
      <c r="T64" s="13">
        <v>1.44</v>
      </c>
      <c r="U64" s="29" t="s">
        <v>71</v>
      </c>
    </row>
    <row r="65" spans="1:21" ht="22.5" x14ac:dyDescent="0.2">
      <c r="A65" s="1" t="s">
        <v>158</v>
      </c>
      <c r="B65" s="1" t="s">
        <v>65</v>
      </c>
      <c r="C65" s="57">
        <v>441794112</v>
      </c>
      <c r="D65" s="31"/>
      <c r="E65" s="31"/>
      <c r="F65" s="1" t="s">
        <v>138</v>
      </c>
      <c r="G65" s="28">
        <v>44951</v>
      </c>
      <c r="H65" s="14"/>
      <c r="I65" s="14" t="s">
        <v>135</v>
      </c>
      <c r="J65" s="52">
        <v>45809</v>
      </c>
      <c r="K65" s="31"/>
      <c r="L65" s="52">
        <v>45839</v>
      </c>
      <c r="M65" s="31"/>
      <c r="N65" s="28">
        <v>45819</v>
      </c>
      <c r="O65" s="29" t="s">
        <v>68</v>
      </c>
      <c r="P65" s="58">
        <v>1</v>
      </c>
      <c r="Q65" s="13">
        <v>16</v>
      </c>
      <c r="R65" s="59">
        <v>0.09</v>
      </c>
      <c r="S65" s="31"/>
      <c r="T65" s="13">
        <v>1.44</v>
      </c>
      <c r="U65" s="29" t="s">
        <v>71</v>
      </c>
    </row>
    <row r="66" spans="1:21" ht="22.5" x14ac:dyDescent="0.2">
      <c r="A66" s="1" t="s">
        <v>158</v>
      </c>
      <c r="B66" s="1" t="s">
        <v>65</v>
      </c>
      <c r="C66" s="57">
        <v>441635063</v>
      </c>
      <c r="D66" s="31"/>
      <c r="E66" s="31"/>
      <c r="F66" s="1" t="s">
        <v>139</v>
      </c>
      <c r="G66" s="28">
        <v>44882</v>
      </c>
      <c r="H66" s="14"/>
      <c r="I66" s="14" t="s">
        <v>140</v>
      </c>
      <c r="J66" s="52">
        <v>45809</v>
      </c>
      <c r="K66" s="31"/>
      <c r="L66" s="52">
        <v>45839</v>
      </c>
      <c r="M66" s="31"/>
      <c r="N66" s="28">
        <v>45818</v>
      </c>
      <c r="O66" s="29" t="s">
        <v>68</v>
      </c>
      <c r="P66" s="58">
        <v>1</v>
      </c>
      <c r="Q66" s="13">
        <v>154.5</v>
      </c>
      <c r="R66" s="59">
        <v>0.09</v>
      </c>
      <c r="S66" s="31"/>
      <c r="T66" s="13">
        <v>13.91</v>
      </c>
      <c r="U66" s="29" t="s">
        <v>71</v>
      </c>
    </row>
    <row r="67" spans="1:21" ht="22.5" x14ac:dyDescent="0.2">
      <c r="A67" s="1" t="s">
        <v>158</v>
      </c>
      <c r="B67" s="1" t="s">
        <v>65</v>
      </c>
      <c r="C67" s="57">
        <v>441615076</v>
      </c>
      <c r="D67" s="31"/>
      <c r="E67" s="31"/>
      <c r="F67" s="1" t="s">
        <v>141</v>
      </c>
      <c r="G67" s="28">
        <v>44875</v>
      </c>
      <c r="H67" s="14"/>
      <c r="I67" s="14" t="s">
        <v>142</v>
      </c>
      <c r="J67" s="52">
        <v>45809</v>
      </c>
      <c r="K67" s="31"/>
      <c r="L67" s="52">
        <v>45839</v>
      </c>
      <c r="M67" s="31"/>
      <c r="N67" s="28">
        <v>45820</v>
      </c>
      <c r="O67" s="29" t="s">
        <v>68</v>
      </c>
      <c r="P67" s="58">
        <v>1</v>
      </c>
      <c r="Q67" s="13">
        <v>147.29</v>
      </c>
      <c r="R67" s="59">
        <v>0.09</v>
      </c>
      <c r="S67" s="31"/>
      <c r="T67" s="13">
        <v>13.26</v>
      </c>
      <c r="U67" s="29" t="s">
        <v>71</v>
      </c>
    </row>
    <row r="68" spans="1:21" ht="22.5" x14ac:dyDescent="0.2">
      <c r="A68" s="1" t="s">
        <v>158</v>
      </c>
      <c r="B68" s="1" t="s">
        <v>65</v>
      </c>
      <c r="C68" s="57">
        <v>441615079</v>
      </c>
      <c r="D68" s="31"/>
      <c r="E68" s="31"/>
      <c r="F68" s="1" t="s">
        <v>143</v>
      </c>
      <c r="G68" s="28">
        <v>44875</v>
      </c>
      <c r="H68" s="14"/>
      <c r="I68" s="14" t="s">
        <v>136</v>
      </c>
      <c r="J68" s="52">
        <v>45809</v>
      </c>
      <c r="K68" s="31"/>
      <c r="L68" s="52">
        <v>45839</v>
      </c>
      <c r="M68" s="31"/>
      <c r="N68" s="28">
        <v>45820</v>
      </c>
      <c r="O68" s="29" t="s">
        <v>68</v>
      </c>
      <c r="P68" s="58">
        <v>1</v>
      </c>
      <c r="Q68" s="13">
        <v>44.5</v>
      </c>
      <c r="R68" s="59">
        <v>0.09</v>
      </c>
      <c r="S68" s="31"/>
      <c r="T68" s="13">
        <v>4.01</v>
      </c>
      <c r="U68" s="29" t="s">
        <v>71</v>
      </c>
    </row>
    <row r="69" spans="1:21" x14ac:dyDescent="0.2">
      <c r="A69" s="36" t="s">
        <v>144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1"/>
      <c r="Q69" s="1"/>
      <c r="R69" s="30"/>
      <c r="S69" s="31"/>
      <c r="T69" s="1"/>
      <c r="U69" s="1"/>
    </row>
    <row r="70" spans="1:21" ht="22.5" x14ac:dyDescent="0.2">
      <c r="A70" s="1" t="s">
        <v>159</v>
      </c>
      <c r="B70" s="1" t="s">
        <v>65</v>
      </c>
      <c r="C70" s="57">
        <v>442563687</v>
      </c>
      <c r="D70" s="31"/>
      <c r="E70" s="31"/>
      <c r="F70" s="1" t="s">
        <v>145</v>
      </c>
      <c r="G70" s="28">
        <v>45373</v>
      </c>
      <c r="H70" s="14"/>
      <c r="I70" s="14" t="s">
        <v>146</v>
      </c>
      <c r="J70" s="52">
        <v>45809</v>
      </c>
      <c r="K70" s="31"/>
      <c r="L70" s="52">
        <v>45839</v>
      </c>
      <c r="M70" s="31"/>
      <c r="N70" s="28">
        <v>45819</v>
      </c>
      <c r="O70" s="29" t="s">
        <v>68</v>
      </c>
      <c r="P70" s="58">
        <v>1</v>
      </c>
      <c r="Q70" s="13">
        <v>49.7</v>
      </c>
      <c r="R70" s="59">
        <v>0.03</v>
      </c>
      <c r="S70" s="31"/>
      <c r="T70" s="13">
        <v>1.49</v>
      </c>
      <c r="U70" s="29" t="s">
        <v>71</v>
      </c>
    </row>
    <row r="71" spans="1:21" x14ac:dyDescent="0.2">
      <c r="A71" s="36" t="s">
        <v>147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1"/>
      <c r="Q71" s="1"/>
      <c r="R71" s="30"/>
      <c r="S71" s="31"/>
      <c r="T71" s="1"/>
      <c r="U71" s="1"/>
    </row>
    <row r="72" spans="1:21" ht="22.5" x14ac:dyDescent="0.2">
      <c r="A72" s="1" t="s">
        <v>160</v>
      </c>
      <c r="B72" s="1" t="s">
        <v>65</v>
      </c>
      <c r="C72" s="57">
        <v>442459673</v>
      </c>
      <c r="D72" s="31"/>
      <c r="E72" s="31"/>
      <c r="F72" s="1" t="s">
        <v>148</v>
      </c>
      <c r="G72" s="28">
        <v>45317</v>
      </c>
      <c r="H72" s="14"/>
      <c r="I72" s="14" t="s">
        <v>149</v>
      </c>
      <c r="J72" s="52">
        <v>45809</v>
      </c>
      <c r="K72" s="31"/>
      <c r="L72" s="52">
        <v>45839</v>
      </c>
      <c r="M72" s="31"/>
      <c r="N72" s="28">
        <v>45820</v>
      </c>
      <c r="O72" s="29" t="s">
        <v>68</v>
      </c>
      <c r="P72" s="58">
        <v>1</v>
      </c>
      <c r="Q72" s="13">
        <v>85.5</v>
      </c>
      <c r="R72" s="59">
        <v>0.09</v>
      </c>
      <c r="S72" s="31"/>
      <c r="T72" s="13">
        <v>7.7</v>
      </c>
      <c r="U72" s="29" t="s">
        <v>71</v>
      </c>
    </row>
    <row r="73" spans="1:21" x14ac:dyDescent="0.2">
      <c r="A73" s="36" t="s">
        <v>84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1"/>
      <c r="Q73" s="1"/>
      <c r="R73" s="39" t="s">
        <v>150</v>
      </c>
      <c r="S73" s="31"/>
      <c r="T73" s="17">
        <v>250.62</v>
      </c>
      <c r="U73" s="2"/>
    </row>
    <row r="74" spans="1:21" ht="22.5" x14ac:dyDescent="0.2">
      <c r="A74" s="1" t="s">
        <v>154</v>
      </c>
      <c r="B74" s="1" t="s">
        <v>65</v>
      </c>
      <c r="C74" s="57">
        <v>442172316</v>
      </c>
      <c r="D74" s="31"/>
      <c r="E74" s="31"/>
      <c r="F74" s="1" t="s">
        <v>152</v>
      </c>
      <c r="G74" s="28">
        <v>45200</v>
      </c>
      <c r="H74" s="14"/>
      <c r="I74" s="14" t="s">
        <v>86</v>
      </c>
      <c r="J74" s="52">
        <v>45809</v>
      </c>
      <c r="K74" s="31"/>
      <c r="L74" s="52">
        <v>45839</v>
      </c>
      <c r="M74" s="31"/>
      <c r="N74" s="28">
        <v>45821</v>
      </c>
      <c r="O74" s="29" t="s">
        <v>68</v>
      </c>
      <c r="P74" s="58">
        <v>1</v>
      </c>
      <c r="Q74" s="13">
        <v>37.96</v>
      </c>
      <c r="R74" s="59">
        <v>4.4999999999999998E-2</v>
      </c>
      <c r="S74" s="31"/>
      <c r="T74" s="13">
        <v>1.71</v>
      </c>
      <c r="U74" s="29" t="s">
        <v>71</v>
      </c>
    </row>
    <row r="75" spans="1:21" ht="22.5" x14ac:dyDescent="0.2">
      <c r="A75" s="1" t="s">
        <v>154</v>
      </c>
      <c r="B75" s="1" t="s">
        <v>65</v>
      </c>
      <c r="C75" s="57">
        <v>442172320</v>
      </c>
      <c r="D75" s="31"/>
      <c r="E75" s="31"/>
      <c r="F75" s="1" t="s">
        <v>152</v>
      </c>
      <c r="G75" s="28">
        <v>45200</v>
      </c>
      <c r="H75" s="14"/>
      <c r="I75" s="14" t="s">
        <v>151</v>
      </c>
      <c r="J75" s="52">
        <v>45809</v>
      </c>
      <c r="K75" s="31"/>
      <c r="L75" s="52">
        <v>45839</v>
      </c>
      <c r="M75" s="31"/>
      <c r="N75" s="28">
        <v>45821</v>
      </c>
      <c r="O75" s="29" t="s">
        <v>68</v>
      </c>
      <c r="P75" s="15" t="s">
        <v>69</v>
      </c>
      <c r="Q75" s="13">
        <v>165.41</v>
      </c>
      <c r="R75" s="44" t="s">
        <v>70</v>
      </c>
      <c r="S75" s="31"/>
      <c r="T75" s="13">
        <v>14.89</v>
      </c>
      <c r="U75" s="29" t="s">
        <v>71</v>
      </c>
    </row>
    <row r="76" spans="1:21" x14ac:dyDescent="0.2">
      <c r="A76" s="1"/>
      <c r="B76" s="1"/>
      <c r="C76" s="30"/>
      <c r="D76" s="31"/>
      <c r="E76" s="3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30"/>
      <c r="S76" s="31"/>
      <c r="T76" s="1"/>
      <c r="U76" s="1"/>
    </row>
    <row r="77" spans="1:21" ht="1.7" customHeight="1" x14ac:dyDescent="0.2"/>
  </sheetData>
  <mergeCells count="259"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C12:E12"/>
    <mergeCell ref="R12:S12"/>
    <mergeCell ref="A13:O13"/>
    <mergeCell ref="R13:S13"/>
    <mergeCell ref="C14:E14"/>
    <mergeCell ref="J14:K14"/>
    <mergeCell ref="L14:M14"/>
    <mergeCell ref="R14:S14"/>
    <mergeCell ref="B9:F9"/>
    <mergeCell ref="R9:U9"/>
    <mergeCell ref="B10:F10"/>
    <mergeCell ref="R10:S10"/>
    <mergeCell ref="C11:E11"/>
    <mergeCell ref="J11:K11"/>
    <mergeCell ref="L11:M11"/>
    <mergeCell ref="R11:S11"/>
    <mergeCell ref="C17:E17"/>
    <mergeCell ref="J17:K17"/>
    <mergeCell ref="L17:M17"/>
    <mergeCell ref="R17:S17"/>
    <mergeCell ref="C18:E18"/>
    <mergeCell ref="J18:K18"/>
    <mergeCell ref="L18:M18"/>
    <mergeCell ref="R18:S18"/>
    <mergeCell ref="C15:E15"/>
    <mergeCell ref="J15:K15"/>
    <mergeCell ref="L15:M15"/>
    <mergeCell ref="R15:S15"/>
    <mergeCell ref="C16:E16"/>
    <mergeCell ref="J16:K16"/>
    <mergeCell ref="L16:M16"/>
    <mergeCell ref="R16:S16"/>
    <mergeCell ref="C21:E21"/>
    <mergeCell ref="J21:K21"/>
    <mergeCell ref="L21:M21"/>
    <mergeCell ref="R21:S21"/>
    <mergeCell ref="C22:E22"/>
    <mergeCell ref="J22:K22"/>
    <mergeCell ref="L22:M22"/>
    <mergeCell ref="R22:S22"/>
    <mergeCell ref="C19:E19"/>
    <mergeCell ref="J19:K19"/>
    <mergeCell ref="L19:M19"/>
    <mergeCell ref="R19:S19"/>
    <mergeCell ref="A20:O20"/>
    <mergeCell ref="R20:S20"/>
    <mergeCell ref="A25:O25"/>
    <mergeCell ref="R25:S25"/>
    <mergeCell ref="C26:E26"/>
    <mergeCell ref="J26:K26"/>
    <mergeCell ref="L26:M26"/>
    <mergeCell ref="R26:S26"/>
    <mergeCell ref="C23:E23"/>
    <mergeCell ref="J23:K23"/>
    <mergeCell ref="L23:M23"/>
    <mergeCell ref="R23:S23"/>
    <mergeCell ref="C24:E24"/>
    <mergeCell ref="J24:K24"/>
    <mergeCell ref="L24:M24"/>
    <mergeCell ref="R24:S24"/>
    <mergeCell ref="C29:E29"/>
    <mergeCell ref="J29:K29"/>
    <mergeCell ref="L29:M29"/>
    <mergeCell ref="R29:S29"/>
    <mergeCell ref="C30:E30"/>
    <mergeCell ref="J30:K30"/>
    <mergeCell ref="L30:M30"/>
    <mergeCell ref="R30:S30"/>
    <mergeCell ref="C27:E27"/>
    <mergeCell ref="J27:K27"/>
    <mergeCell ref="L27:M27"/>
    <mergeCell ref="R27:S27"/>
    <mergeCell ref="C28:E28"/>
    <mergeCell ref="J28:K28"/>
    <mergeCell ref="L28:M28"/>
    <mergeCell ref="R28:S28"/>
    <mergeCell ref="C33:E33"/>
    <mergeCell ref="J33:K33"/>
    <mergeCell ref="L33:M33"/>
    <mergeCell ref="R33:S33"/>
    <mergeCell ref="C34:E34"/>
    <mergeCell ref="J34:K34"/>
    <mergeCell ref="L34:M34"/>
    <mergeCell ref="R34:S34"/>
    <mergeCell ref="C31:E31"/>
    <mergeCell ref="J31:K31"/>
    <mergeCell ref="L31:M31"/>
    <mergeCell ref="R31:S31"/>
    <mergeCell ref="C32:E32"/>
    <mergeCell ref="J32:K32"/>
    <mergeCell ref="L32:M32"/>
    <mergeCell ref="R32:S32"/>
    <mergeCell ref="C37:E37"/>
    <mergeCell ref="J37:K37"/>
    <mergeCell ref="L37:M37"/>
    <mergeCell ref="R37:S37"/>
    <mergeCell ref="C38:E38"/>
    <mergeCell ref="J38:K38"/>
    <mergeCell ref="L38:M38"/>
    <mergeCell ref="R38:S38"/>
    <mergeCell ref="C35:E35"/>
    <mergeCell ref="J35:K35"/>
    <mergeCell ref="L35:M35"/>
    <mergeCell ref="R35:S35"/>
    <mergeCell ref="C36:E36"/>
    <mergeCell ref="J36:K36"/>
    <mergeCell ref="L36:M36"/>
    <mergeCell ref="R36:S36"/>
    <mergeCell ref="A41:O41"/>
    <mergeCell ref="R41:S41"/>
    <mergeCell ref="C42:E42"/>
    <mergeCell ref="J42:K42"/>
    <mergeCell ref="L42:M42"/>
    <mergeCell ref="R42:S42"/>
    <mergeCell ref="C39:E39"/>
    <mergeCell ref="J39:K39"/>
    <mergeCell ref="L39:M39"/>
    <mergeCell ref="R39:S39"/>
    <mergeCell ref="C40:E40"/>
    <mergeCell ref="J40:K40"/>
    <mergeCell ref="L40:M40"/>
    <mergeCell ref="R40:S40"/>
    <mergeCell ref="C45:E45"/>
    <mergeCell ref="J45:K45"/>
    <mergeCell ref="L45:M45"/>
    <mergeCell ref="R45:S45"/>
    <mergeCell ref="C46:E46"/>
    <mergeCell ref="J46:K46"/>
    <mergeCell ref="L46:M46"/>
    <mergeCell ref="R46:S46"/>
    <mergeCell ref="A43:O43"/>
    <mergeCell ref="R43:S43"/>
    <mergeCell ref="C44:E44"/>
    <mergeCell ref="J44:K44"/>
    <mergeCell ref="L44:M44"/>
    <mergeCell ref="R44:S44"/>
    <mergeCell ref="C49:E49"/>
    <mergeCell ref="J49:K49"/>
    <mergeCell ref="L49:M49"/>
    <mergeCell ref="R49:S49"/>
    <mergeCell ref="C50:E50"/>
    <mergeCell ref="J50:K50"/>
    <mergeCell ref="L50:M50"/>
    <mergeCell ref="R50:S50"/>
    <mergeCell ref="C47:E47"/>
    <mergeCell ref="J47:K47"/>
    <mergeCell ref="L47:M47"/>
    <mergeCell ref="R47:S47"/>
    <mergeCell ref="C48:E48"/>
    <mergeCell ref="J48:K48"/>
    <mergeCell ref="L48:M48"/>
    <mergeCell ref="R48:S48"/>
    <mergeCell ref="A53:O53"/>
    <mergeCell ref="R53:S53"/>
    <mergeCell ref="C54:E54"/>
    <mergeCell ref="J54:K54"/>
    <mergeCell ref="L54:M54"/>
    <mergeCell ref="R54:S54"/>
    <mergeCell ref="C51:E51"/>
    <mergeCell ref="J51:K51"/>
    <mergeCell ref="L51:M51"/>
    <mergeCell ref="R51:S51"/>
    <mergeCell ref="C52:E52"/>
    <mergeCell ref="J52:K52"/>
    <mergeCell ref="L52:M52"/>
    <mergeCell ref="R52:S52"/>
    <mergeCell ref="C57:E57"/>
    <mergeCell ref="J57:K57"/>
    <mergeCell ref="L57:M57"/>
    <mergeCell ref="R57:S57"/>
    <mergeCell ref="C58:E58"/>
    <mergeCell ref="J58:K58"/>
    <mergeCell ref="L58:M58"/>
    <mergeCell ref="R58:S58"/>
    <mergeCell ref="C55:E55"/>
    <mergeCell ref="J55:K55"/>
    <mergeCell ref="L55:M55"/>
    <mergeCell ref="R55:S55"/>
    <mergeCell ref="A56:O56"/>
    <mergeCell ref="R56:S56"/>
    <mergeCell ref="C61:E61"/>
    <mergeCell ref="J61:K61"/>
    <mergeCell ref="L61:M61"/>
    <mergeCell ref="R61:S61"/>
    <mergeCell ref="C62:E62"/>
    <mergeCell ref="J62:K62"/>
    <mergeCell ref="L62:M62"/>
    <mergeCell ref="R62:S62"/>
    <mergeCell ref="C59:E59"/>
    <mergeCell ref="J59:K59"/>
    <mergeCell ref="L59:M59"/>
    <mergeCell ref="R59:S59"/>
    <mergeCell ref="C60:E60"/>
    <mergeCell ref="J60:K60"/>
    <mergeCell ref="L60:M60"/>
    <mergeCell ref="R60:S60"/>
    <mergeCell ref="C65:E65"/>
    <mergeCell ref="J65:K65"/>
    <mergeCell ref="L65:M65"/>
    <mergeCell ref="R65:S65"/>
    <mergeCell ref="C66:E66"/>
    <mergeCell ref="J66:K66"/>
    <mergeCell ref="L66:M66"/>
    <mergeCell ref="R66:S66"/>
    <mergeCell ref="C63:E63"/>
    <mergeCell ref="J63:K63"/>
    <mergeCell ref="L63:M63"/>
    <mergeCell ref="R63:S63"/>
    <mergeCell ref="C64:E64"/>
    <mergeCell ref="J64:K64"/>
    <mergeCell ref="L64:M64"/>
    <mergeCell ref="R64:S64"/>
    <mergeCell ref="A69:O69"/>
    <mergeCell ref="R69:S69"/>
    <mergeCell ref="C70:E70"/>
    <mergeCell ref="J70:K70"/>
    <mergeCell ref="L70:M70"/>
    <mergeCell ref="R70:S70"/>
    <mergeCell ref="C67:E67"/>
    <mergeCell ref="J67:K67"/>
    <mergeCell ref="L67:M67"/>
    <mergeCell ref="R67:S67"/>
    <mergeCell ref="C68:E68"/>
    <mergeCell ref="J68:K68"/>
    <mergeCell ref="L68:M68"/>
    <mergeCell ref="R68:S68"/>
    <mergeCell ref="C76:E76"/>
    <mergeCell ref="R76:S76"/>
    <mergeCell ref="R73:S73"/>
    <mergeCell ref="C74:E74"/>
    <mergeCell ref="R74:S74"/>
    <mergeCell ref="C75:E75"/>
    <mergeCell ref="R75:S75"/>
    <mergeCell ref="A71:O71"/>
    <mergeCell ref="R71:S71"/>
    <mergeCell ref="C72:E72"/>
    <mergeCell ref="J72:K72"/>
    <mergeCell ref="L72:M72"/>
    <mergeCell ref="R72:S72"/>
    <mergeCell ref="J74:K74"/>
    <mergeCell ref="L74:M74"/>
    <mergeCell ref="J75:K75"/>
    <mergeCell ref="L75:M75"/>
    <mergeCell ref="A73:O73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06/18/2025&amp;B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D262-DFF4-4B41-90CB-0818B7629091}">
  <dimension ref="A1:B53"/>
  <sheetViews>
    <sheetView topLeftCell="A12" workbookViewId="0">
      <selection activeCell="B1" sqref="B1:B53"/>
    </sheetView>
  </sheetViews>
  <sheetFormatPr defaultRowHeight="12.75" x14ac:dyDescent="0.2"/>
  <cols>
    <col min="1" max="1" width="10" bestFit="1" customWidth="1"/>
  </cols>
  <sheetData>
    <row r="1" spans="1:2" x14ac:dyDescent="0.2">
      <c r="A1">
        <v>442172320</v>
      </c>
      <c r="B1" t="e" cm="1">
        <f t="array" ref="B1:B53">VLOOKUP(A1:A53,'[1]clean sheet'!$A$1:$A$53,3,FALSE)</f>
        <v>#N/A</v>
      </c>
    </row>
    <row r="2" spans="1:2" x14ac:dyDescent="0.2">
      <c r="A2">
        <v>442172316</v>
      </c>
      <c r="B2" t="e">
        <v>#N/A</v>
      </c>
    </row>
    <row r="3" spans="1:2" x14ac:dyDescent="0.2">
      <c r="A3">
        <v>441677437</v>
      </c>
      <c r="B3" t="e">
        <v>#N/A</v>
      </c>
    </row>
    <row r="4" spans="1:2" x14ac:dyDescent="0.2">
      <c r="A4">
        <v>442034541</v>
      </c>
      <c r="B4" t="e">
        <v>#N/A</v>
      </c>
    </row>
    <row r="5" spans="1:2" x14ac:dyDescent="0.2">
      <c r="A5">
        <v>441818010</v>
      </c>
      <c r="B5" t="e">
        <v>#N/A</v>
      </c>
    </row>
    <row r="6" spans="1:2" x14ac:dyDescent="0.2">
      <c r="A6">
        <v>442267305</v>
      </c>
      <c r="B6" t="e">
        <v>#N/A</v>
      </c>
    </row>
    <row r="7" spans="1:2" x14ac:dyDescent="0.2">
      <c r="A7">
        <v>442267307</v>
      </c>
      <c r="B7" t="e">
        <v>#N/A</v>
      </c>
    </row>
    <row r="8" spans="1:2" x14ac:dyDescent="0.2">
      <c r="A8">
        <v>442292751</v>
      </c>
      <c r="B8" t="e">
        <v>#N/A</v>
      </c>
    </row>
    <row r="9" spans="1:2" x14ac:dyDescent="0.2">
      <c r="A9">
        <v>442301963</v>
      </c>
      <c r="B9" t="e">
        <v>#N/A</v>
      </c>
    </row>
    <row r="10" spans="1:2" x14ac:dyDescent="0.2">
      <c r="A10">
        <v>442459673</v>
      </c>
      <c r="B10" t="e">
        <v>#N/A</v>
      </c>
    </row>
    <row r="11" spans="1:2" x14ac:dyDescent="0.2">
      <c r="A11">
        <v>441761639</v>
      </c>
      <c r="B11" t="e">
        <v>#N/A</v>
      </c>
    </row>
    <row r="12" spans="1:2" x14ac:dyDescent="0.2">
      <c r="A12">
        <v>442289683</v>
      </c>
      <c r="B12" t="e">
        <v>#N/A</v>
      </c>
    </row>
    <row r="13" spans="1:2" x14ac:dyDescent="0.2">
      <c r="A13">
        <v>441577763</v>
      </c>
      <c r="B13" t="e">
        <v>#N/A</v>
      </c>
    </row>
    <row r="14" spans="1:2" x14ac:dyDescent="0.2">
      <c r="A14">
        <v>442256625</v>
      </c>
      <c r="B14" t="e">
        <v>#N/A</v>
      </c>
    </row>
    <row r="15" spans="1:2" x14ac:dyDescent="0.2">
      <c r="A15">
        <v>442098439</v>
      </c>
      <c r="B15" t="e">
        <v>#N/A</v>
      </c>
    </row>
    <row r="16" spans="1:2" x14ac:dyDescent="0.2">
      <c r="A16">
        <v>441765054</v>
      </c>
      <c r="B16" t="e">
        <v>#N/A</v>
      </c>
    </row>
    <row r="17" spans="1:2" x14ac:dyDescent="0.2">
      <c r="A17">
        <v>442292229</v>
      </c>
      <c r="B17" t="e">
        <v>#N/A</v>
      </c>
    </row>
    <row r="18" spans="1:2" x14ac:dyDescent="0.2">
      <c r="A18">
        <v>442502397</v>
      </c>
      <c r="B18" t="e">
        <v>#N/A</v>
      </c>
    </row>
    <row r="19" spans="1:2" x14ac:dyDescent="0.2">
      <c r="A19">
        <v>441782531</v>
      </c>
      <c r="B19" t="e">
        <v>#N/A</v>
      </c>
    </row>
    <row r="20" spans="1:2" x14ac:dyDescent="0.2">
      <c r="A20">
        <v>441615079</v>
      </c>
      <c r="B20" t="e">
        <v>#N/A</v>
      </c>
    </row>
    <row r="21" spans="1:2" x14ac:dyDescent="0.2">
      <c r="A21">
        <v>442294068</v>
      </c>
      <c r="B21" t="e">
        <v>#N/A</v>
      </c>
    </row>
    <row r="22" spans="1:2" x14ac:dyDescent="0.2">
      <c r="A22">
        <v>441677439</v>
      </c>
      <c r="B22" t="e">
        <v>#N/A</v>
      </c>
    </row>
    <row r="23" spans="1:2" x14ac:dyDescent="0.2">
      <c r="A23">
        <v>442023558</v>
      </c>
      <c r="B23" t="e">
        <v>#N/A</v>
      </c>
    </row>
    <row r="24" spans="1:2" x14ac:dyDescent="0.2">
      <c r="A24">
        <v>441607364</v>
      </c>
      <c r="B24" t="e">
        <v>#N/A</v>
      </c>
    </row>
    <row r="25" spans="1:2" x14ac:dyDescent="0.2">
      <c r="A25">
        <v>442098436</v>
      </c>
      <c r="B25" t="e">
        <v>#N/A</v>
      </c>
    </row>
    <row r="26" spans="1:2" x14ac:dyDescent="0.2">
      <c r="A26">
        <v>442446643</v>
      </c>
      <c r="B26" t="e">
        <v>#N/A</v>
      </c>
    </row>
    <row r="27" spans="1:2" x14ac:dyDescent="0.2">
      <c r="A27">
        <v>441615076</v>
      </c>
      <c r="B27" t="e">
        <v>#N/A</v>
      </c>
    </row>
    <row r="28" spans="1:2" x14ac:dyDescent="0.2">
      <c r="A28">
        <v>441894645</v>
      </c>
      <c r="B28" t="e">
        <v>#N/A</v>
      </c>
    </row>
    <row r="29" spans="1:2" x14ac:dyDescent="0.2">
      <c r="A29">
        <v>442502398</v>
      </c>
      <c r="B29" t="e">
        <v>#N/A</v>
      </c>
    </row>
    <row r="30" spans="1:2" x14ac:dyDescent="0.2">
      <c r="A30">
        <v>441582942</v>
      </c>
      <c r="B30" t="e">
        <v>#N/A</v>
      </c>
    </row>
    <row r="31" spans="1:2" x14ac:dyDescent="0.2">
      <c r="A31">
        <v>441680518</v>
      </c>
      <c r="B31" t="e">
        <v>#N/A</v>
      </c>
    </row>
    <row r="32" spans="1:2" x14ac:dyDescent="0.2">
      <c r="A32">
        <v>442399128</v>
      </c>
      <c r="B32" t="e">
        <v>#N/A</v>
      </c>
    </row>
    <row r="33" spans="1:2" x14ac:dyDescent="0.2">
      <c r="A33">
        <v>441884278</v>
      </c>
      <c r="B33" t="e">
        <v>#N/A</v>
      </c>
    </row>
    <row r="34" spans="1:2" x14ac:dyDescent="0.2">
      <c r="A34">
        <v>441794112</v>
      </c>
      <c r="B34" t="e">
        <v>#N/A</v>
      </c>
    </row>
    <row r="35" spans="1:2" x14ac:dyDescent="0.2">
      <c r="A35">
        <v>441684105</v>
      </c>
      <c r="B35" t="e">
        <v>#N/A</v>
      </c>
    </row>
    <row r="36" spans="1:2" x14ac:dyDescent="0.2">
      <c r="A36">
        <v>441789847</v>
      </c>
      <c r="B36" t="e">
        <v>#N/A</v>
      </c>
    </row>
    <row r="37" spans="1:2" x14ac:dyDescent="0.2">
      <c r="A37">
        <v>442294069</v>
      </c>
      <c r="B37" t="e">
        <v>#N/A</v>
      </c>
    </row>
    <row r="38" spans="1:2" x14ac:dyDescent="0.2">
      <c r="A38">
        <v>441761638</v>
      </c>
      <c r="B38" t="e">
        <v>#N/A</v>
      </c>
    </row>
    <row r="39" spans="1:2" x14ac:dyDescent="0.2">
      <c r="A39">
        <v>442563687</v>
      </c>
      <c r="B39" t="e">
        <v>#N/A</v>
      </c>
    </row>
    <row r="40" spans="1:2" x14ac:dyDescent="0.2">
      <c r="A40">
        <v>442446644</v>
      </c>
      <c r="B40" t="e">
        <v>#N/A</v>
      </c>
    </row>
    <row r="41" spans="1:2" x14ac:dyDescent="0.2">
      <c r="A41">
        <v>442034541</v>
      </c>
      <c r="B41" t="e">
        <v>#N/A</v>
      </c>
    </row>
    <row r="42" spans="1:2" x14ac:dyDescent="0.2">
      <c r="A42">
        <v>441635063</v>
      </c>
      <c r="B42" t="e">
        <v>#N/A</v>
      </c>
    </row>
    <row r="43" spans="1:2" x14ac:dyDescent="0.2">
      <c r="A43">
        <v>441847980</v>
      </c>
      <c r="B43" t="e">
        <v>#N/A</v>
      </c>
    </row>
    <row r="44" spans="1:2" x14ac:dyDescent="0.2">
      <c r="A44">
        <v>441839748</v>
      </c>
      <c r="B44" t="e">
        <v>#N/A</v>
      </c>
    </row>
    <row r="45" spans="1:2" x14ac:dyDescent="0.2">
      <c r="A45">
        <v>441677438</v>
      </c>
      <c r="B45" t="e">
        <v>#N/A</v>
      </c>
    </row>
    <row r="46" spans="1:2" x14ac:dyDescent="0.2">
      <c r="A46">
        <v>442381470</v>
      </c>
      <c r="B46" t="e">
        <v>#N/A</v>
      </c>
    </row>
    <row r="47" spans="1:2" x14ac:dyDescent="0.2">
      <c r="A47">
        <v>442425090</v>
      </c>
      <c r="B47" t="e">
        <v>#N/A</v>
      </c>
    </row>
    <row r="48" spans="1:2" x14ac:dyDescent="0.2">
      <c r="A48">
        <v>441955925</v>
      </c>
      <c r="B48" t="e">
        <v>#N/A</v>
      </c>
    </row>
    <row r="49" spans="1:2" x14ac:dyDescent="0.2">
      <c r="A49">
        <v>442023558</v>
      </c>
      <c r="B49" t="e">
        <v>#N/A</v>
      </c>
    </row>
    <row r="50" spans="1:2" x14ac:dyDescent="0.2">
      <c r="A50">
        <v>442301964</v>
      </c>
      <c r="B50" t="e">
        <v>#N/A</v>
      </c>
    </row>
    <row r="51" spans="1:2" x14ac:dyDescent="0.2">
      <c r="A51">
        <v>442425089</v>
      </c>
      <c r="B51" t="e">
        <v>#N/A</v>
      </c>
    </row>
    <row r="52" spans="1:2" x14ac:dyDescent="0.2">
      <c r="A52">
        <v>442296755</v>
      </c>
      <c r="B52" t="e">
        <v>#N/A</v>
      </c>
    </row>
    <row r="53" spans="1:2" x14ac:dyDescent="0.2">
      <c r="A53">
        <v>441679321</v>
      </c>
      <c r="B5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2025-06-18T19:44:33Z</dcterms:created>
  <dcterms:modified xsi:type="dcterms:W3CDTF">2025-06-25T00:53:46Z</dcterms:modified>
</cp:coreProperties>
</file>