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A53798BD-6710-4401-9259-77806BDBEEB1}" xr6:coauthVersionLast="47" xr6:coauthVersionMax="47" xr10:uidLastSave="{00000000-0000-0000-0000-000000000000}"/>
  <bookViews>
    <workbookView xWindow="28680" yWindow="-120" windowWidth="29040" windowHeight="16440" activeTab="2" xr2:uid="{8F233DC4-599A-40BF-B49F-7EA850A5F637}"/>
  </bookViews>
  <sheets>
    <sheet name="Sheet1" sheetId="1" r:id="rId1"/>
    <sheet name="Sheet2" sheetId="2" r:id="rId2"/>
    <sheet name="Sheet3" sheetId="3" r:id="rId3"/>
  </sheets>
  <calcPr calcId="181029"/>
  <fileRecoveryPr autoRecover="0"/>
</workbook>
</file>

<file path=xl/calcChain.xml><?xml version="1.0" encoding="utf-8"?>
<calcChain xmlns="http://schemas.openxmlformats.org/spreadsheetml/2006/main">
  <c r="S3" i="3" l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" i="3"/>
</calcChain>
</file>

<file path=xl/sharedStrings.xml><?xml version="1.0" encoding="utf-8"?>
<sst xmlns="http://schemas.openxmlformats.org/spreadsheetml/2006/main" count="4147" uniqueCount="577">
  <si>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</si>
  <si>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</si>
  <si>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</si>
  <si>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</si>
  <si>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</si>
  <si>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</si>
  <si>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</si>
  <si>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10/28/2025</t>
  </si>
  <si>
    <t>Attn:  Commission Accounting</t>
  </si>
  <si>
    <t>Payee:</t>
  </si>
  <si>
    <t>Main Line Benefits LLC 15791498</t>
  </si>
  <si>
    <t>Statement To Date: 10/31/2025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</si>
  <si>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</si>
  <si>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</si>
  <si>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</si>
  <si>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</si>
  <si>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</si>
  <si>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</si>
  <si>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</si>
  <si>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</si>
  <si>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</si>
  <si>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</si>
  <si>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</si>
  <si>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</si>
  <si>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</si>
  <si>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</si>
  <si>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</si>
  <si>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</si>
  <si>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</si>
  <si>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</si>
  <si>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</si>
  <si>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</si>
  <si>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</si>
  <si>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</si>
  <si>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</si>
  <si>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$0.00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</si>
  <si>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</si>
  <si>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</si>
  <si>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</si>
  <si>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</si>
  <si>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</si>
  <si>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</si>
  <si>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</si>
  <si>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</si>
  <si>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</si>
  <si>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</si>
  <si>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</si>
  <si>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</si>
  <si>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</si>
  <si>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</si>
  <si>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</si>
  <si>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</si>
  <si>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</si>
  <si>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</si>
  <si>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</si>
  <si>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</si>
  <si>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</si>
  <si>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</si>
  <si>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</si>
  <si>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</si>
  <si>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</si>
  <si>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</si>
  <si>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</si>
  <si>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</si>
  <si>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Carol  Foley 17425766</t>
  </si>
  <si>
    <t>CH</t>
  </si>
  <si>
    <t>442378984</t>
  </si>
  <si>
    <t>STEPHANIE  SCOTT</t>
  </si>
  <si>
    <t>SPH00092</t>
  </si>
  <si>
    <t>R</t>
  </si>
  <si>
    <t>1</t>
  </si>
  <si>
    <t>4.50%</t>
  </si>
  <si>
    <t>OVR</t>
  </si>
  <si>
    <t>442378985</t>
  </si>
  <si>
    <t>SHW00161</t>
  </si>
  <si>
    <t>18.00%</t>
  </si>
  <si>
    <t>442378988</t>
  </si>
  <si>
    <t>SPHV0091</t>
  </si>
  <si>
    <t>7.00%</t>
  </si>
  <si>
    <t>Total</t>
  </si>
  <si>
    <t>Statement From Date: 11/04/2025</t>
  </si>
  <si>
    <t>Statement To Date: 11/10/2025</t>
  </si>
  <si>
    <t>Anne Marie  Kozacheck 19278370</t>
  </si>
  <si>
    <t>442023558</t>
  </si>
  <si>
    <t>JANET  PLASTINO</t>
  </si>
  <si>
    <t>SPV00008</t>
  </si>
  <si>
    <t>9.00%</t>
  </si>
  <si>
    <t>442296456</t>
  </si>
  <si>
    <t>JULIE  HOLMES</t>
  </si>
  <si>
    <t>SHW10165</t>
  </si>
  <si>
    <t>442296457</t>
  </si>
  <si>
    <t>SCP10003</t>
  </si>
  <si>
    <t>441651020</t>
  </si>
  <si>
    <t>LAURA  JAMES</t>
  </si>
  <si>
    <t>442027310</t>
  </si>
  <si>
    <t>LAUREN  MIRTO</t>
  </si>
  <si>
    <t>SPV10008</t>
  </si>
  <si>
    <t>442244798</t>
  </si>
  <si>
    <t>MATTHEW  PHILLIPS</t>
  </si>
  <si>
    <t>441619259</t>
  </si>
  <si>
    <t>PAUL  SEVILLE</t>
  </si>
  <si>
    <t>SWTL1100</t>
  </si>
  <si>
    <t>442556364</t>
  </si>
  <si>
    <t>ROBERT  HOLMES</t>
  </si>
  <si>
    <t>442057912</t>
  </si>
  <si>
    <t>SUSAN  PATTON</t>
  </si>
  <si>
    <t>442274499</t>
  </si>
  <si>
    <t>WANDA  GARRISON</t>
  </si>
  <si>
    <t>442274500</t>
  </si>
  <si>
    <t>SHW10161</t>
  </si>
  <si>
    <t>Ashley Elizabeth Teipel 20436925</t>
  </si>
  <si>
    <t>441617850</t>
  </si>
  <si>
    <t>Anita  Ginnever</t>
  </si>
  <si>
    <t>SWTL1093</t>
  </si>
  <si>
    <t>441726277</t>
  </si>
  <si>
    <t>BERNIE  WATTS</t>
  </si>
  <si>
    <t>SWTL1073</t>
  </si>
  <si>
    <t>441598923</t>
  </si>
  <si>
    <t>DELIA  FLACK</t>
  </si>
  <si>
    <t>SHW10170</t>
  </si>
  <si>
    <t>441539049</t>
  </si>
  <si>
    <t>EUNICE  CRAWFORD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</si>
  <si>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</si>
  <si>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</si>
  <si>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</si>
  <si>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</si>
  <si>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</si>
  <si>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</si>
  <si>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</si>
  <si>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</si>
  <si>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</si>
  <si>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t>441604514</t>
  </si>
  <si>
    <t>JULIE  WEBBER</t>
  </si>
  <si>
    <t>441543447</t>
  </si>
  <si>
    <t>KATHLEEN  LEEDS</t>
  </si>
  <si>
    <t>SWTL1006</t>
  </si>
  <si>
    <t>441750607</t>
  </si>
  <si>
    <t>KELSEY  SNODGRASS</t>
  </si>
  <si>
    <t>441640049</t>
  </si>
  <si>
    <t>LAURA  HOLMES</t>
  </si>
  <si>
    <t>441803058</t>
  </si>
  <si>
    <t>LEIGHANNE  SHERER</t>
  </si>
  <si>
    <t>SCP00008</t>
  </si>
  <si>
    <t>441803059</t>
  </si>
  <si>
    <t>MICHAEL  SHERER</t>
  </si>
  <si>
    <t>SWTL1033</t>
  </si>
  <si>
    <t>441693322</t>
  </si>
  <si>
    <t>NATUSHICA  SMITH</t>
  </si>
  <si>
    <t>441807731</t>
  </si>
  <si>
    <t>PATSY  THOMAS</t>
  </si>
  <si>
    <t>441624181</t>
  </si>
  <si>
    <t>RANDAL  HAKL</t>
  </si>
  <si>
    <t>441625087</t>
  </si>
  <si>
    <t>RECHIE  HAKL</t>
  </si>
  <si>
    <t>441675885</t>
  </si>
  <si>
    <t>SAMANTHA  FARRIS</t>
  </si>
  <si>
    <t>441748283</t>
  </si>
  <si>
    <t>SCOTT  PHILLIPS</t>
  </si>
  <si>
    <t>SWTL1053</t>
  </si>
  <si>
    <t>441747603</t>
  </si>
  <si>
    <t>TRACEY  GLOVER</t>
  </si>
  <si>
    <t>442573385</t>
  </si>
  <si>
    <t>ALAN  FORAN</t>
  </si>
  <si>
    <t>SPHV0104</t>
  </si>
  <si>
    <t>442573386</t>
  </si>
  <si>
    <t>442088086</t>
  </si>
  <si>
    <t>ALEXANDER  SHELTON</t>
  </si>
  <si>
    <t>SPH00096</t>
  </si>
  <si>
    <t>442088087</t>
  </si>
  <si>
    <t>442214836</t>
  </si>
  <si>
    <t>ALLAN  PURYEAR</t>
  </si>
  <si>
    <t>SCP10002</t>
  </si>
  <si>
    <t>442214841</t>
  </si>
  <si>
    <t>SHW10026</t>
  </si>
  <si>
    <t>442089124</t>
  </si>
  <si>
    <t>AMANDA  RELICK</t>
  </si>
  <si>
    <t>442089129</t>
  </si>
  <si>
    <t>441883102</t>
  </si>
  <si>
    <t>ANA  FELL</t>
  </si>
  <si>
    <t>6.00%</t>
  </si>
  <si>
    <t>442187057</t>
  </si>
  <si>
    <t>ANA MARIA  BADEA</t>
  </si>
  <si>
    <t>SPH00094</t>
  </si>
  <si>
    <t>442187065</t>
  </si>
  <si>
    <t>442579305</t>
  </si>
  <si>
    <t>BERNARDO  JOAQUIM DE CARVALHO</t>
  </si>
  <si>
    <t>442233186</t>
  </si>
  <si>
    <t>CAROL  GUIRE</t>
  </si>
  <si>
    <t>442233192</t>
  </si>
  <si>
    <t>SHW10185</t>
  </si>
  <si>
    <t>442300659</t>
  </si>
  <si>
    <t>CATHERINE  MURRAY</t>
  </si>
  <si>
    <t>442448275</t>
  </si>
  <si>
    <t>CATHERINE  SLOAT</t>
  </si>
  <si>
    <t>442448276</t>
  </si>
  <si>
    <t>442574109</t>
  </si>
  <si>
    <t>CECELIA  PRENTISS</t>
  </si>
  <si>
    <t>SHW00001</t>
  </si>
  <si>
    <t>441638999</t>
  </si>
  <si>
    <t>CRISTA  CUGINI</t>
  </si>
  <si>
    <t>442578440</t>
  </si>
  <si>
    <t>DANELLE  LEES</t>
  </si>
  <si>
    <t>SPD00001</t>
  </si>
  <si>
    <t>442578441</t>
  </si>
  <si>
    <t>SPV00001</t>
  </si>
  <si>
    <t>441602827</t>
  </si>
  <si>
    <t>DANIEL  SIGG</t>
  </si>
  <si>
    <t>SHW00020</t>
  </si>
  <si>
    <t>442254656</t>
  </si>
  <si>
    <t>442567854</t>
  </si>
  <si>
    <t>ELIZABETH  SPROAT</t>
  </si>
  <si>
    <t>441925405</t>
  </si>
  <si>
    <t>HANNAH  FRANKLIN</t>
  </si>
  <si>
    <t>SHW00180</t>
  </si>
  <si>
    <t>3.00%</t>
  </si>
  <si>
    <t>441913487</t>
  </si>
  <si>
    <t>HOWARD  MAISENHELDER</t>
  </si>
  <si>
    <t>SPD10002</t>
  </si>
  <si>
    <t>442172316</t>
  </si>
  <si>
    <t>JAMES  DUNHAM</t>
  </si>
  <si>
    <t>442172320</t>
  </si>
  <si>
    <t>442131578</t>
  </si>
  <si>
    <t>JAMES  MCDERMOTT</t>
  </si>
  <si>
    <t>442131583</t>
  </si>
  <si>
    <t>SHW10187</t>
  </si>
  <si>
    <t>441686777</t>
  </si>
  <si>
    <t>JAMIE  ORRIS</t>
  </si>
  <si>
    <t>SPH00002</t>
  </si>
  <si>
    <t>441686789</t>
  </si>
  <si>
    <t>442557345</t>
  </si>
  <si>
    <t>JARED  VANETT</t>
  </si>
  <si>
    <t>SCP00003</t>
  </si>
  <si>
    <t>442557346</t>
  </si>
  <si>
    <t>SHW00185</t>
  </si>
  <si>
    <t>442578306</t>
  </si>
  <si>
    <t>JASON  RICHARD</t>
  </si>
  <si>
    <t>442578307</t>
  </si>
  <si>
    <t>442095367</t>
  </si>
  <si>
    <t>JOANNE  PANELLA</t>
  </si>
  <si>
    <t>442381470</t>
  </si>
  <si>
    <t>JOSEPH  BIEBEL</t>
  </si>
  <si>
    <t>SPHV0106</t>
  </si>
  <si>
    <t>442350484</t>
  </si>
  <si>
    <t>JULIA  POETA</t>
  </si>
  <si>
    <t>442017602</t>
  </si>
  <si>
    <t>KATHLEEN  KING</t>
  </si>
  <si>
    <t>442017603</t>
  </si>
  <si>
    <t>442247856</t>
  </si>
  <si>
    <t>KATHLEEN  ROGALSKI</t>
  </si>
  <si>
    <t>442247857</t>
  </si>
  <si>
    <t>442269923</t>
  </si>
  <si>
    <t>KELLIANNE  KARLTON</t>
  </si>
  <si>
    <t>441698084</t>
  </si>
  <si>
    <t>KEVIN  NENSTIEL</t>
  </si>
  <si>
    <t>SPD00005</t>
  </si>
  <si>
    <t>441698089</t>
  </si>
  <si>
    <t>SPV00003</t>
  </si>
  <si>
    <t>441698092</t>
  </si>
  <si>
    <t>442324830</t>
  </si>
  <si>
    <t>KORMASAH  JALLAH</t>
  </si>
  <si>
    <t>442324831</t>
  </si>
  <si>
    <t>441884974</t>
  </si>
  <si>
    <t>KRISTINA  FLYNN</t>
  </si>
  <si>
    <t>SPH00001</t>
  </si>
  <si>
    <t>441884980</t>
  </si>
  <si>
    <t>441710405</t>
  </si>
  <si>
    <t>KYLEE  BRAZELTON</t>
  </si>
  <si>
    <t>SPD00006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</si>
  <si>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</si>
  <si>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</si>
  <si>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</si>
  <si>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</si>
  <si>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</si>
  <si>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</si>
  <si>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</si>
  <si>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</si>
  <si>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</si>
  <si>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</si>
  <si>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</si>
  <si>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</si>
  <si>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441705578</t>
  </si>
  <si>
    <t>MARC  TREANOR</t>
  </si>
  <si>
    <t>SHW00010</t>
  </si>
  <si>
    <t>442355390</t>
  </si>
  <si>
    <t>441772281</t>
  </si>
  <si>
    <t>MARCELLA  STERLING</t>
  </si>
  <si>
    <t>SPD00002</t>
  </si>
  <si>
    <t>441772286</t>
  </si>
  <si>
    <t>442027611</t>
  </si>
  <si>
    <t>MARISSA  GEORGIOU</t>
  </si>
  <si>
    <t>442548317</t>
  </si>
  <si>
    <t>MARSHA  MCCANNEY</t>
  </si>
  <si>
    <t>SPHV0108</t>
  </si>
  <si>
    <t>442520332</t>
  </si>
  <si>
    <t>NANCY  SZCZUROWSKI</t>
  </si>
  <si>
    <t>441882731</t>
  </si>
  <si>
    <t>NICOLE  DELUCA</t>
  </si>
  <si>
    <t>441882733</t>
  </si>
  <si>
    <t>441658342</t>
  </si>
  <si>
    <t>PATRICIA  ROTONDI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</si>
  <si>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</si>
  <si>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</si>
  <si>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</si>
  <si>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</si>
  <si>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</si>
  <si>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</si>
  <si>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</si>
  <si>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</si>
  <si>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</si>
  <si>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</si>
  <si>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</si>
  <si>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</si>
  <si>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442525756</t>
  </si>
  <si>
    <t>ROBERT  HOLT</t>
  </si>
  <si>
    <t>442271427</t>
  </si>
  <si>
    <t>ROBERT  STEINBERG</t>
  </si>
  <si>
    <t>441908688</t>
  </si>
  <si>
    <t>ROBYN  RAPP</t>
  </si>
  <si>
    <t>SPH00023</t>
  </si>
  <si>
    <t>442374060</t>
  </si>
  <si>
    <t>SARAH  YILJEP</t>
  </si>
  <si>
    <t>442146746</t>
  </si>
  <si>
    <t>SIDNEY  KIRSCH</t>
  </si>
  <si>
    <t>442146755</t>
  </si>
  <si>
    <t>442474033</t>
  </si>
  <si>
    <t>STACY  SHAFFER</t>
  </si>
  <si>
    <t>441763086</t>
  </si>
  <si>
    <t>STEPHEN  MASSIMINI</t>
  </si>
  <si>
    <t>SPV10001</t>
  </si>
  <si>
    <t>441763087</t>
  </si>
  <si>
    <t>SPD10010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</si>
  <si>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</si>
  <si>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</si>
  <si>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</si>
  <si>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</si>
  <si>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</si>
  <si>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</si>
  <si>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</si>
  <si>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</si>
  <si>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</si>
  <si>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</si>
  <si>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</si>
  <si>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</si>
  <si>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</si>
  <si>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</si>
  <si>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</si>
  <si>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</si>
  <si>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</si>
  <si>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</si>
  <si>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</si>
  <si>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</si>
  <si>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</si>
  <si>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441733220</t>
  </si>
  <si>
    <t>WILL  STEWART</t>
  </si>
  <si>
    <t>441733224</t>
  </si>
  <si>
    <t>Colleen J Finnigan 17437820</t>
  </si>
  <si>
    <t>442289683</t>
  </si>
  <si>
    <t>CHARLES  GILLEY</t>
  </si>
  <si>
    <t>442635616</t>
  </si>
  <si>
    <t>DOUG  SHIELDS</t>
  </si>
  <si>
    <t>442367538</t>
  </si>
  <si>
    <t>GABE  PACK</t>
  </si>
  <si>
    <t>442367539</t>
  </si>
  <si>
    <t>SCP00018</t>
  </si>
  <si>
    <t>442260890</t>
  </si>
  <si>
    <t>NICOLE  THREATS</t>
  </si>
  <si>
    <t>442260892</t>
  </si>
  <si>
    <t>SCP00010</t>
  </si>
  <si>
    <t>442264554</t>
  </si>
  <si>
    <t>SABRINA  VOLPE</t>
  </si>
  <si>
    <t>Deborah Lee Inskipt 17528908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</si>
  <si>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</si>
  <si>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</si>
  <si>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</si>
  <si>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</si>
  <si>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</si>
  <si>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</si>
  <si>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</si>
  <si>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</si>
  <si>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</si>
  <si>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442602562</t>
  </si>
  <si>
    <t>HOWARD  BELLAIRE</t>
  </si>
  <si>
    <t>SCP00004</t>
  </si>
  <si>
    <t>442602563</t>
  </si>
  <si>
    <t>SH000004</t>
  </si>
  <si>
    <t>442446643</t>
  </si>
  <si>
    <t>JAMES  KOWALSKI</t>
  </si>
  <si>
    <t>SCP00007</t>
  </si>
  <si>
    <t>442446644</t>
  </si>
  <si>
    <t>SH000007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</si>
  <si>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</si>
  <si>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</si>
  <si>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</si>
  <si>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</si>
  <si>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</si>
  <si>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</si>
  <si>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</si>
  <si>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</si>
  <si>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</si>
  <si>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</si>
  <si>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</si>
  <si>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442490167</t>
  </si>
  <si>
    <t>REBECCA  MAYHEW</t>
  </si>
  <si>
    <t>442323300</t>
  </si>
  <si>
    <t>REBECCA  STAHL</t>
  </si>
  <si>
    <t>Jason R Hoffmann 15278437</t>
  </si>
  <si>
    <t>441854229</t>
  </si>
  <si>
    <t>BROOKE  BUCHAKJIAN</t>
  </si>
  <si>
    <t>441854230</t>
  </si>
  <si>
    <t>CARLY  BUCHAKJIAN</t>
  </si>
  <si>
    <t>441662401</t>
  </si>
  <si>
    <t>DANIEL  FERNANDEZ</t>
  </si>
  <si>
    <t>441662402</t>
  </si>
  <si>
    <t>441662404</t>
  </si>
  <si>
    <t>441652254</t>
  </si>
  <si>
    <t>Emily  Detwiler</t>
  </si>
  <si>
    <t>441652256</t>
  </si>
  <si>
    <t>441652262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</si>
  <si>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</si>
  <si>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</si>
  <si>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</si>
  <si>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</si>
  <si>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</si>
  <si>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</si>
  <si>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</si>
  <si>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</si>
  <si>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</si>
  <si>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</si>
  <si>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</si>
  <si>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</si>
  <si>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</si>
  <si>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</si>
  <si>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441724483</t>
  </si>
  <si>
    <t>ROGER  HENDRICKS</t>
  </si>
  <si>
    <t>441724484</t>
  </si>
  <si>
    <t>441724486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</si>
  <si>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</si>
  <si>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</si>
  <si>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</si>
  <si>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</si>
  <si>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</si>
  <si>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</si>
  <si>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</si>
  <si>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441673836</t>
  </si>
  <si>
    <t>TINA  FREY</t>
  </si>
  <si>
    <t>441673839</t>
  </si>
  <si>
    <t>Katelenn  Caltagirone 20436896</t>
  </si>
  <si>
    <t>441659598</t>
  </si>
  <si>
    <t>GINGER  MILLER</t>
  </si>
  <si>
    <t>SA000004</t>
  </si>
  <si>
    <t>441659600</t>
  </si>
  <si>
    <t>441830922</t>
  </si>
  <si>
    <t>SANTOS  RIVERA</t>
  </si>
  <si>
    <t>SCP10006</t>
  </si>
  <si>
    <t>Kimberly Anne Dickerson 16243811</t>
  </si>
  <si>
    <t>441739608</t>
  </si>
  <si>
    <t>ALBERTO  FONSECA</t>
  </si>
  <si>
    <t>441739609</t>
  </si>
  <si>
    <t>SAC00003</t>
  </si>
  <si>
    <t>441739610</t>
  </si>
  <si>
    <t>441739611</t>
  </si>
  <si>
    <t>SB000004</t>
  </si>
  <si>
    <t>441739612</t>
  </si>
  <si>
    <t>441730187</t>
  </si>
  <si>
    <t>ANNA  TIJERINA</t>
  </si>
  <si>
    <t>SPV00006</t>
  </si>
  <si>
    <t>441744881</t>
  </si>
  <si>
    <t>ASHAQ  WANI</t>
  </si>
  <si>
    <t>SWTL2202</t>
  </si>
  <si>
    <t>441647685</t>
  </si>
  <si>
    <t>BERTHA  MATHAWS</t>
  </si>
  <si>
    <t>441647687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</si>
  <si>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</si>
  <si>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</si>
  <si>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</si>
  <si>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</si>
  <si>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</si>
  <si>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</si>
  <si>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</si>
  <si>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</si>
  <si>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</si>
  <si>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SWTL2221</t>
  </si>
  <si>
    <t>441581802</t>
  </si>
  <si>
    <t>DAVID  KENNEDY</t>
  </si>
  <si>
    <t>441581805</t>
  </si>
  <si>
    <t>441581809</t>
  </si>
  <si>
    <t>441542541</t>
  </si>
  <si>
    <t>DEBRA  JETT</t>
  </si>
  <si>
    <t>SPD20002</t>
  </si>
  <si>
    <t>441603753</t>
  </si>
  <si>
    <t>DONALD  SEYFFERTH</t>
  </si>
  <si>
    <t>441671088</t>
  </si>
  <si>
    <t>Gabriel  Ferandes</t>
  </si>
  <si>
    <t>441672109</t>
  </si>
  <si>
    <t>441809541</t>
  </si>
  <si>
    <t>GHASSEM  SHAHROOZ</t>
  </si>
  <si>
    <t>441740317</t>
  </si>
  <si>
    <t>JACK  MANCHESTER</t>
  </si>
  <si>
    <t>441647531</t>
  </si>
  <si>
    <t>JAMES  COANE</t>
  </si>
  <si>
    <t>SAD10030</t>
  </si>
  <si>
    <t>441699461</t>
  </si>
  <si>
    <t>JOHN  MILLER</t>
  </si>
  <si>
    <t>441699462</t>
  </si>
  <si>
    <t>441699464</t>
  </si>
  <si>
    <t>441699465</t>
  </si>
  <si>
    <t>441601154</t>
  </si>
  <si>
    <t>KATHLEEN  LEVITON</t>
  </si>
  <si>
    <t>441601155</t>
  </si>
  <si>
    <t>441668237</t>
  </si>
  <si>
    <t>KERRY  DEBORD</t>
  </si>
  <si>
    <t>441568845</t>
  </si>
  <si>
    <t>KRISTOFFER  SANDIN</t>
  </si>
  <si>
    <t>441568846</t>
  </si>
  <si>
    <t>441568847</t>
  </si>
  <si>
    <t>441568848</t>
  </si>
  <si>
    <t>441707181</t>
  </si>
  <si>
    <t>MELISSA  BARCLAY</t>
  </si>
  <si>
    <t>441793953</t>
  </si>
  <si>
    <t>MICHAEL  TROISE</t>
  </si>
  <si>
    <t>441793954</t>
  </si>
  <si>
    <t>441793955</t>
  </si>
  <si>
    <t>441793956</t>
  </si>
  <si>
    <t>441793957</t>
  </si>
  <si>
    <t>441793958</t>
  </si>
  <si>
    <t>441697647</t>
  </si>
  <si>
    <t>MONICA  JONES</t>
  </si>
  <si>
    <t>441697650</t>
  </si>
  <si>
    <t>441809281</t>
  </si>
  <si>
    <t>441573319</t>
  </si>
  <si>
    <t>NADIA  BRANNON</t>
  </si>
  <si>
    <t>441573320</t>
  </si>
  <si>
    <t>441573321</t>
  </si>
  <si>
    <t>441573323</t>
  </si>
  <si>
    <t>SPF00002</t>
  </si>
  <si>
    <t>441713408</t>
  </si>
  <si>
    <t>NAYAN  PATEL</t>
  </si>
  <si>
    <t>SA000002</t>
  </si>
  <si>
    <t>441713409</t>
  </si>
  <si>
    <t>441674279</t>
  </si>
  <si>
    <t>REGINA  MEEHAN</t>
  </si>
  <si>
    <t>441674280</t>
  </si>
  <si>
    <t>441635063</t>
  </si>
  <si>
    <t>RHONDA  MEETZE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</si>
  <si>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</si>
  <si>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</si>
  <si>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</si>
  <si>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</si>
  <si>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</si>
  <si>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</si>
  <si>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</si>
  <si>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</si>
  <si>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</si>
  <si>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441805487</t>
  </si>
  <si>
    <t>TINA  WYNEGAR</t>
  </si>
  <si>
    <t>441805488</t>
  </si>
  <si>
    <t>441713414</t>
  </si>
  <si>
    <t>VANESSA  PATEL</t>
  </si>
  <si>
    <t>SPD00008</t>
  </si>
  <si>
    <t>441774712</t>
  </si>
  <si>
    <t>WARREN  HARRIS</t>
  </si>
  <si>
    <t>Ashley</t>
  </si>
  <si>
    <t>Teipel</t>
  </si>
  <si>
    <t>Kimberly</t>
  </si>
  <si>
    <t>Anne</t>
  </si>
  <si>
    <t>Dickerson</t>
  </si>
  <si>
    <t>Carol</t>
  </si>
  <si>
    <t>Foley</t>
  </si>
  <si>
    <t>Jason</t>
  </si>
  <si>
    <t>Hoffmann</t>
  </si>
  <si>
    <t>Kozacheck</t>
  </si>
  <si>
    <t>Katelenn</t>
  </si>
  <si>
    <t>Caltagirone</t>
  </si>
  <si>
    <t>Deborah</t>
  </si>
  <si>
    <t>Inskipt</t>
  </si>
  <si>
    <t>Colleen</t>
  </si>
  <si>
    <t>Finnigan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</si>
</sst>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3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65" fontId="1" fillId="0" borderId="0" xfId="0" applyNumberFormat="1" applyFont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1" fillId="0" borderId="0" xfId="0" applyNumberFormat="1" applyFont="1" applyAlignment="1" applyProtection="1">
      <alignment vertical="top" wrapText="1" readingOrder="1"/>
      <protection locked="0"/>
    </xf>
    <xf numFmtId="0" fontId="1" fillId="0" borderId="0" xfId="0" applyNumberFormat="1" applyFont="1" applyAlignment="1" applyProtection="1">
      <alignment horizontal="right" vertical="top" wrapText="1" readingOrder="1"/>
      <protection locked="0"/>
    </xf>
    <xf numFmtId="10" fontId="1" fillId="0" borderId="0" xfId="0" applyNumberFormat="1" applyFont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C7FE-D90E-4CDE-8F3E-CB73B9C1232B}">
  <dimension ref="A1:R66"/>
  <sheetViews>
    <sheetView showGridLines="0" topLeftCell="A16" workbookViewId="0">
      <selection activeCell="O26" sqref="O2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5" t="s">
        <v>4</v>
      </c>
      <c r="C2" s="31"/>
      <c r="D2" s="31"/>
      <c r="E2" s="43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5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43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5" t="s">
        <v>8</v>
      </c>
      <c r="Q4" s="31"/>
      <c r="R4" s="31"/>
    </row>
    <row r="5" spans="1:18" x14ac:dyDescent="0.2">
      <c r="A5" s="2" t="s">
        <v>9</v>
      </c>
      <c r="B5" s="35" t="s">
        <v>10</v>
      </c>
      <c r="C5" s="31"/>
      <c r="D5" s="31"/>
      <c r="E5" s="43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5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5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5" t="s">
        <v>16</v>
      </c>
      <c r="C10" s="31"/>
      <c r="D10" s="31"/>
      <c r="E10" s="31"/>
      <c r="F10" s="2"/>
      <c r="G10" s="35"/>
      <c r="H10" s="31"/>
      <c r="I10" s="10"/>
      <c r="J10" s="2"/>
      <c r="K10" s="35" t="s">
        <v>17</v>
      </c>
      <c r="L10" s="31"/>
      <c r="M10" s="31"/>
      <c r="N10" s="31"/>
      <c r="O10" s="31"/>
      <c r="P10" s="42"/>
      <c r="Q10" s="31"/>
      <c r="R10" s="11"/>
    </row>
    <row r="11" spans="1:18" ht="15" x14ac:dyDescent="0.2">
      <c r="A11" s="2"/>
      <c r="B11" s="33" t="s">
        <v>18</v>
      </c>
      <c r="C11" s="31"/>
      <c r="D11" s="31"/>
      <c r="E11" s="12"/>
      <c r="F11" s="2"/>
      <c r="G11" s="34">
        <v>0</v>
      </c>
      <c r="H11" s="31"/>
      <c r="I11" s="10"/>
      <c r="J11" s="2"/>
      <c r="K11" s="35" t="s">
        <v>19</v>
      </c>
      <c r="L11" s="31"/>
      <c r="M11" s="31"/>
      <c r="N11" s="31"/>
      <c r="O11" s="31"/>
      <c r="P11" s="34">
        <v>0</v>
      </c>
      <c r="Q11" s="31"/>
      <c r="R11" s="11"/>
    </row>
    <row r="12" spans="1:18" ht="15" x14ac:dyDescent="0.2">
      <c r="A12" s="2"/>
      <c r="B12" s="12"/>
      <c r="C12" s="30" t="s">
        <v>20</v>
      </c>
      <c r="D12" s="31"/>
      <c r="E12" s="31"/>
      <c r="F12" s="31"/>
      <c r="G12" s="34">
        <v>0</v>
      </c>
      <c r="H12" s="31"/>
      <c r="I12" s="10"/>
      <c r="J12" s="2"/>
      <c r="K12" s="11"/>
      <c r="L12" s="32" t="s">
        <v>21</v>
      </c>
      <c r="M12" s="31"/>
      <c r="N12" s="14"/>
      <c r="O12" s="14"/>
      <c r="P12" s="34">
        <v>0</v>
      </c>
      <c r="Q12" s="31"/>
      <c r="R12" s="11"/>
    </row>
    <row r="13" spans="1:18" ht="15" x14ac:dyDescent="0.2">
      <c r="A13" s="2"/>
      <c r="B13" s="12"/>
      <c r="C13" s="30" t="s">
        <v>22</v>
      </c>
      <c r="D13" s="31"/>
      <c r="E13" s="12"/>
      <c r="F13" s="15"/>
      <c r="G13" s="34">
        <v>0</v>
      </c>
      <c r="H13" s="31"/>
      <c r="I13" s="10"/>
      <c r="J13" s="2"/>
      <c r="K13" s="11"/>
      <c r="L13" s="32" t="s">
        <v>23</v>
      </c>
      <c r="M13" s="31"/>
      <c r="N13" s="31"/>
      <c r="O13" s="31"/>
      <c r="P13" s="40" t="s">
        <v>1</v>
      </c>
      <c r="Q13" s="31"/>
      <c r="R13" s="11"/>
    </row>
    <row r="14" spans="1:18" ht="15" x14ac:dyDescent="0.2">
      <c r="A14" s="2"/>
      <c r="B14" s="16"/>
      <c r="C14" s="30" t="s">
        <v>24</v>
      </c>
      <c r="D14" s="31"/>
      <c r="E14" s="1"/>
      <c r="F14" s="15"/>
      <c r="G14" s="34">
        <v>25.52</v>
      </c>
      <c r="H14" s="31"/>
      <c r="I14" s="10"/>
      <c r="J14" s="2"/>
      <c r="K14" s="11"/>
      <c r="L14" s="32" t="s">
        <v>25</v>
      </c>
      <c r="M14" s="31"/>
      <c r="N14" s="31"/>
      <c r="O14" s="31"/>
      <c r="P14" s="34">
        <v>0</v>
      </c>
      <c r="Q14" s="31"/>
      <c r="R14" s="11"/>
    </row>
    <row r="15" spans="1:18" x14ac:dyDescent="0.2">
      <c r="A15" s="2"/>
      <c r="B15" s="2"/>
      <c r="C15" s="30" t="s">
        <v>26</v>
      </c>
      <c r="D15" s="31"/>
      <c r="E15" s="31"/>
      <c r="F15" s="15"/>
      <c r="G15" s="34">
        <v>0</v>
      </c>
      <c r="H15" s="31"/>
      <c r="I15" s="10"/>
      <c r="J15" s="2"/>
      <c r="K15" s="11"/>
      <c r="L15" s="32" t="s">
        <v>26</v>
      </c>
      <c r="M15" s="31"/>
      <c r="N15" s="31"/>
      <c r="O15" s="31"/>
      <c r="P15" s="34">
        <v>0</v>
      </c>
      <c r="Q15" s="31"/>
      <c r="R15" s="11"/>
    </row>
    <row r="16" spans="1:18" x14ac:dyDescent="0.2">
      <c r="A16" s="2"/>
      <c r="B16" s="5"/>
      <c r="C16" s="30" t="s">
        <v>27</v>
      </c>
      <c r="D16" s="31"/>
      <c r="E16" s="2"/>
      <c r="F16" s="15"/>
      <c r="G16" s="34">
        <v>0</v>
      </c>
      <c r="H16" s="31"/>
      <c r="I16" s="10"/>
      <c r="J16" s="2"/>
      <c r="K16" s="2"/>
      <c r="L16" s="32" t="s">
        <v>28</v>
      </c>
      <c r="M16" s="31"/>
      <c r="N16" s="31"/>
      <c r="O16" s="31"/>
      <c r="P16" s="41">
        <v>0</v>
      </c>
      <c r="Q16" s="31"/>
      <c r="R16" s="11"/>
    </row>
    <row r="17" spans="1:18" ht="15" x14ac:dyDescent="0.2">
      <c r="A17" s="2"/>
      <c r="B17" s="33" t="s">
        <v>29</v>
      </c>
      <c r="C17" s="31"/>
      <c r="D17" s="31"/>
      <c r="E17" s="12"/>
      <c r="F17" s="11"/>
      <c r="G17" s="36">
        <v>25.52</v>
      </c>
      <c r="H17" s="31"/>
      <c r="I17" s="10"/>
      <c r="J17" s="2"/>
      <c r="K17" s="35" t="s">
        <v>30</v>
      </c>
      <c r="L17" s="31"/>
      <c r="M17" s="31"/>
      <c r="N17" s="6"/>
      <c r="O17" s="6"/>
      <c r="P17" s="36">
        <v>0</v>
      </c>
      <c r="Q17" s="31"/>
      <c r="R17" s="11"/>
    </row>
    <row r="18" spans="1:18" ht="15" x14ac:dyDescent="0.2">
      <c r="A18" s="2"/>
      <c r="B18" s="33"/>
      <c r="C18" s="31"/>
      <c r="D18" s="31"/>
      <c r="E18" s="16"/>
      <c r="F18" s="16"/>
      <c r="G18" s="39"/>
      <c r="H18" s="31"/>
      <c r="I18" s="10"/>
      <c r="J18" s="2"/>
      <c r="K18" s="35"/>
      <c r="L18" s="31"/>
      <c r="M18" s="31"/>
      <c r="N18" s="31"/>
      <c r="O18" s="31"/>
      <c r="P18" s="40"/>
      <c r="Q18" s="31"/>
      <c r="R18" s="11"/>
    </row>
    <row r="19" spans="1:18" ht="15" x14ac:dyDescent="0.2">
      <c r="A19" s="2"/>
      <c r="B19" s="33" t="s">
        <v>31</v>
      </c>
      <c r="C19" s="31"/>
      <c r="D19" s="31"/>
      <c r="E19" s="12"/>
      <c r="F19" s="18"/>
      <c r="G19" s="37"/>
      <c r="H19" s="31"/>
      <c r="I19" s="18"/>
      <c r="J19" s="18"/>
      <c r="K19" s="35" t="s">
        <v>32</v>
      </c>
      <c r="L19" s="31"/>
      <c r="M19" s="31"/>
      <c r="N19" s="6"/>
      <c r="O19" s="6"/>
      <c r="P19" s="38"/>
      <c r="Q19" s="31"/>
      <c r="R19" s="11"/>
    </row>
    <row r="20" spans="1:18" ht="15" x14ac:dyDescent="0.2">
      <c r="A20" s="2"/>
      <c r="B20" s="12"/>
      <c r="C20" s="30" t="s">
        <v>29</v>
      </c>
      <c r="D20" s="31"/>
      <c r="E20" s="12"/>
      <c r="F20" s="15"/>
      <c r="G20" s="34">
        <v>25.52</v>
      </c>
      <c r="H20" s="31"/>
      <c r="I20" s="18"/>
      <c r="J20" s="18"/>
      <c r="K20" s="18"/>
      <c r="L20" s="32" t="s">
        <v>21</v>
      </c>
      <c r="M20" s="31"/>
      <c r="N20" s="6"/>
      <c r="O20" s="6"/>
      <c r="P20" s="34">
        <v>0</v>
      </c>
      <c r="Q20" s="31"/>
      <c r="R20" s="11"/>
    </row>
    <row r="21" spans="1:18" ht="15" x14ac:dyDescent="0.2">
      <c r="A21" s="2"/>
      <c r="B21" s="12"/>
      <c r="C21" s="30" t="s">
        <v>33</v>
      </c>
      <c r="D21" s="31"/>
      <c r="E21" s="12"/>
      <c r="F21" s="15"/>
      <c r="G21" s="34">
        <v>0</v>
      </c>
      <c r="H21" s="31"/>
      <c r="I21" s="18"/>
      <c r="J21" s="18"/>
      <c r="K21" s="18"/>
      <c r="L21" s="32" t="s">
        <v>23</v>
      </c>
      <c r="M21" s="31"/>
      <c r="N21" s="6"/>
      <c r="O21" s="6"/>
      <c r="P21" s="34">
        <v>0</v>
      </c>
      <c r="Q21" s="31"/>
      <c r="R21" s="11"/>
    </row>
    <row r="22" spans="1:18" ht="15" x14ac:dyDescent="0.2">
      <c r="A22" s="2"/>
      <c r="B22" s="35" t="s">
        <v>34</v>
      </c>
      <c r="C22" s="31"/>
      <c r="D22" s="31"/>
      <c r="E22" s="12"/>
      <c r="F22" s="15"/>
      <c r="G22" s="44" t="s">
        <v>35</v>
      </c>
      <c r="H22" s="31"/>
      <c r="I22" s="18"/>
      <c r="J22" s="18"/>
      <c r="K22" s="18"/>
      <c r="L22" s="33" t="s">
        <v>36</v>
      </c>
      <c r="M22" s="31"/>
      <c r="N22" s="6"/>
      <c r="O22" s="6"/>
      <c r="P22" s="36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3" t="s">
        <v>37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3" t="s">
        <v>38</v>
      </c>
      <c r="N27" s="31"/>
      <c r="O27" s="31"/>
      <c r="P27" s="31"/>
      <c r="Q27" s="1"/>
      <c r="R27" s="1"/>
    </row>
    <row r="28" spans="1:18" x14ac:dyDescent="0.2">
      <c r="A28" s="1"/>
      <c r="B28" s="30" t="s">
        <v>39</v>
      </c>
      <c r="C28" s="31"/>
      <c r="D28" s="31"/>
      <c r="E28" s="32" t="s">
        <v>40</v>
      </c>
      <c r="F28" s="31"/>
      <c r="G28" s="31"/>
      <c r="H28" s="31"/>
      <c r="I28" s="31"/>
      <c r="J28" s="31"/>
      <c r="K28" s="31"/>
      <c r="L28" s="1"/>
      <c r="M28" s="1"/>
      <c r="N28" s="1"/>
      <c r="O28" s="30" t="s">
        <v>41</v>
      </c>
      <c r="P28" s="31"/>
      <c r="Q28" s="31"/>
      <c r="R28" s="1"/>
    </row>
    <row r="29" spans="1:18" x14ac:dyDescent="0.2">
      <c r="A29" s="1"/>
      <c r="B29" s="30" t="s">
        <v>42</v>
      </c>
      <c r="C29" s="31"/>
      <c r="D29" s="31"/>
      <c r="E29" s="32" t="s">
        <v>43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0" t="s">
        <v>44</v>
      </c>
      <c r="C30" s="31"/>
      <c r="D30" s="31"/>
      <c r="E30" s="32" t="s">
        <v>45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0" t="s">
        <v>46</v>
      </c>
      <c r="C31" s="31"/>
      <c r="D31" s="31"/>
      <c r="E31" s="32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0" t="s">
        <v>47</v>
      </c>
      <c r="C32" s="31"/>
      <c r="D32" s="31"/>
      <c r="E32" s="30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spans="1:18" ht="12.75" hidden="1" customHeight="1" x14ac:dyDescent="0.2"/>
    <row r="36" spans="1:18" x14ac:dyDescent="0.2">
      <c r="A36" s="2" t="s">
        <v>3</v>
      </c>
      <c r="B36" s="35" t="s">
        <v>4</v>
      </c>
      <c r="C36" s="31"/>
      <c r="D36" s="31"/>
      <c r="E36" s="43" t="s">
        <v>0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1"/>
      <c r="Q36" s="1"/>
      <c r="R36" s="1"/>
    </row>
    <row r="37" spans="1:18" x14ac:dyDescent="0.2">
      <c r="A37" s="35" t="s">
        <v>5</v>
      </c>
      <c r="B37" s="31"/>
      <c r="C37" s="31"/>
      <c r="D37" s="31"/>
      <c r="E37" s="31"/>
      <c r="F37" s="31"/>
      <c r="G37" s="31"/>
      <c r="H37" s="31"/>
      <c r="I37" s="3"/>
      <c r="J37" s="3"/>
      <c r="K37" s="3"/>
      <c r="L37" s="3"/>
      <c r="M37" s="3"/>
      <c r="N37" s="4"/>
      <c r="O37" s="4"/>
      <c r="P37" s="33" t="s">
        <v>6</v>
      </c>
      <c r="Q37" s="31"/>
      <c r="R37" s="31"/>
    </row>
    <row r="38" spans="1:18" x14ac:dyDescent="0.2">
      <c r="A38" s="2"/>
      <c r="B38" s="2"/>
      <c r="C38" s="2"/>
      <c r="D38" s="2"/>
      <c r="E38" s="43" t="s">
        <v>80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5" t="s">
        <v>8</v>
      </c>
      <c r="Q38" s="31"/>
      <c r="R38" s="31"/>
    </row>
    <row r="39" spans="1:18" x14ac:dyDescent="0.2">
      <c r="A39" s="2" t="s">
        <v>9</v>
      </c>
      <c r="B39" s="35" t="s">
        <v>10</v>
      </c>
      <c r="C39" s="31"/>
      <c r="D39" s="31"/>
      <c r="E39" s="43" t="s">
        <v>81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3" t="s">
        <v>12</v>
      </c>
      <c r="Q39" s="31"/>
      <c r="R39" s="31"/>
    </row>
    <row r="40" spans="1:18" x14ac:dyDescent="0.2">
      <c r="A40" s="2"/>
      <c r="B40" s="35" t="s">
        <v>13</v>
      </c>
      <c r="C40" s="31"/>
      <c r="D40" s="3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33" t="s">
        <v>14</v>
      </c>
      <c r="Q40" s="31"/>
      <c r="R40" s="31"/>
    </row>
    <row r="41" spans="1:18" x14ac:dyDescent="0.2">
      <c r="A41" s="6"/>
      <c r="B41" s="35" t="s">
        <v>15</v>
      </c>
      <c r="C41" s="31"/>
      <c r="D41" s="3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3.5" thickBot="1" x14ac:dyDescent="0.25">
      <c r="A42" s="7"/>
      <c r="B42" s="7"/>
      <c r="C42" s="7"/>
      <c r="D42" s="8"/>
      <c r="E42" s="7"/>
      <c r="F42" s="7"/>
      <c r="G42" s="7"/>
      <c r="H42" s="7"/>
      <c r="I42" s="7"/>
      <c r="J42" s="7"/>
      <c r="K42" s="7"/>
      <c r="L42" s="9"/>
      <c r="M42" s="9"/>
      <c r="N42" s="9"/>
      <c r="O42" s="9"/>
      <c r="P42" s="9"/>
      <c r="Q42" s="9"/>
      <c r="R42" s="9"/>
    </row>
    <row r="43" spans="1:18" x14ac:dyDescent="0.2">
      <c r="A43" s="2"/>
      <c r="B43" s="2"/>
      <c r="C43" s="2"/>
      <c r="D43" s="2"/>
      <c r="E43" s="10"/>
      <c r="F43" s="2"/>
      <c r="G43" s="2"/>
      <c r="H43" s="10"/>
      <c r="I43" s="10"/>
      <c r="J43" s="2"/>
      <c r="K43" s="11"/>
      <c r="L43" s="11"/>
      <c r="M43" s="11"/>
      <c r="N43" s="11"/>
      <c r="O43" s="11"/>
      <c r="P43" s="11"/>
      <c r="Q43" s="11"/>
      <c r="R43" s="11"/>
    </row>
    <row r="44" spans="1:18" x14ac:dyDescent="0.2">
      <c r="A44" s="2"/>
      <c r="B44" s="35" t="s">
        <v>16</v>
      </c>
      <c r="C44" s="31"/>
      <c r="D44" s="31"/>
      <c r="E44" s="31"/>
      <c r="F44" s="2"/>
      <c r="G44" s="35"/>
      <c r="H44" s="31"/>
      <c r="I44" s="10"/>
      <c r="J44" s="2"/>
      <c r="K44" s="35" t="s">
        <v>17</v>
      </c>
      <c r="L44" s="31"/>
      <c r="M44" s="31"/>
      <c r="N44" s="31"/>
      <c r="O44" s="31"/>
      <c r="P44" s="42"/>
      <c r="Q44" s="31"/>
      <c r="R44" s="11"/>
    </row>
    <row r="45" spans="1:18" ht="15" x14ac:dyDescent="0.2">
      <c r="A45" s="2"/>
      <c r="B45" s="33" t="s">
        <v>18</v>
      </c>
      <c r="C45" s="31"/>
      <c r="D45" s="31"/>
      <c r="E45" s="12"/>
      <c r="F45" s="2"/>
      <c r="G45" s="34">
        <v>25.52</v>
      </c>
      <c r="H45" s="31"/>
      <c r="I45" s="10"/>
      <c r="J45" s="2"/>
      <c r="K45" s="35" t="s">
        <v>19</v>
      </c>
      <c r="L45" s="31"/>
      <c r="M45" s="31"/>
      <c r="N45" s="31"/>
      <c r="O45" s="31"/>
      <c r="P45" s="34">
        <v>0</v>
      </c>
      <c r="Q45" s="31"/>
      <c r="R45" s="11"/>
    </row>
    <row r="46" spans="1:18" ht="15" x14ac:dyDescent="0.2">
      <c r="A46" s="2"/>
      <c r="B46" s="12"/>
      <c r="C46" s="30" t="s">
        <v>20</v>
      </c>
      <c r="D46" s="31"/>
      <c r="E46" s="31"/>
      <c r="F46" s="31"/>
      <c r="G46" s="34">
        <v>0</v>
      </c>
      <c r="H46" s="31"/>
      <c r="I46" s="10"/>
      <c r="J46" s="2"/>
      <c r="K46" s="11"/>
      <c r="L46" s="32" t="s">
        <v>21</v>
      </c>
      <c r="M46" s="31"/>
      <c r="N46" s="14"/>
      <c r="O46" s="14"/>
      <c r="P46" s="34">
        <v>0</v>
      </c>
      <c r="Q46" s="31"/>
      <c r="R46" s="11"/>
    </row>
    <row r="47" spans="1:18" ht="15" x14ac:dyDescent="0.2">
      <c r="A47" s="2"/>
      <c r="B47" s="12"/>
      <c r="C47" s="30" t="s">
        <v>22</v>
      </c>
      <c r="D47" s="31"/>
      <c r="E47" s="12"/>
      <c r="F47" s="15"/>
      <c r="G47" s="34">
        <v>0</v>
      </c>
      <c r="H47" s="31"/>
      <c r="I47" s="10"/>
      <c r="J47" s="2"/>
      <c r="K47" s="11"/>
      <c r="L47" s="32" t="s">
        <v>23</v>
      </c>
      <c r="M47" s="31"/>
      <c r="N47" s="31"/>
      <c r="O47" s="31"/>
      <c r="P47" s="40" t="s">
        <v>1</v>
      </c>
      <c r="Q47" s="31"/>
      <c r="R47" s="11"/>
    </row>
    <row r="48" spans="1:18" ht="15" x14ac:dyDescent="0.2">
      <c r="A48" s="2"/>
      <c r="B48" s="16"/>
      <c r="C48" s="30" t="s">
        <v>24</v>
      </c>
      <c r="D48" s="31"/>
      <c r="E48" s="1"/>
      <c r="F48" s="15"/>
      <c r="G48" s="34">
        <v>1176.28</v>
      </c>
      <c r="H48" s="31"/>
      <c r="I48" s="10"/>
      <c r="J48" s="2"/>
      <c r="K48" s="11"/>
      <c r="L48" s="32" t="s">
        <v>25</v>
      </c>
      <c r="M48" s="31"/>
      <c r="N48" s="31"/>
      <c r="O48" s="31"/>
      <c r="P48" s="34">
        <v>0</v>
      </c>
      <c r="Q48" s="31"/>
      <c r="R48" s="11"/>
    </row>
    <row r="49" spans="1:18" x14ac:dyDescent="0.2">
      <c r="A49" s="2"/>
      <c r="B49" s="2"/>
      <c r="C49" s="30" t="s">
        <v>26</v>
      </c>
      <c r="D49" s="31"/>
      <c r="E49" s="31"/>
      <c r="F49" s="15"/>
      <c r="G49" s="34">
        <v>0</v>
      </c>
      <c r="H49" s="31"/>
      <c r="I49" s="10"/>
      <c r="J49" s="2"/>
      <c r="K49" s="11"/>
      <c r="L49" s="32" t="s">
        <v>26</v>
      </c>
      <c r="M49" s="31"/>
      <c r="N49" s="31"/>
      <c r="O49" s="31"/>
      <c r="P49" s="34">
        <v>0</v>
      </c>
      <c r="Q49" s="31"/>
      <c r="R49" s="11"/>
    </row>
    <row r="50" spans="1:18" x14ac:dyDescent="0.2">
      <c r="A50" s="2"/>
      <c r="B50" s="5"/>
      <c r="C50" s="30" t="s">
        <v>27</v>
      </c>
      <c r="D50" s="31"/>
      <c r="E50" s="2"/>
      <c r="F50" s="15"/>
      <c r="G50" s="34">
        <v>0</v>
      </c>
      <c r="H50" s="31"/>
      <c r="I50" s="10"/>
      <c r="J50" s="2"/>
      <c r="K50" s="2"/>
      <c r="L50" s="32" t="s">
        <v>28</v>
      </c>
      <c r="M50" s="31"/>
      <c r="N50" s="31"/>
      <c r="O50" s="31"/>
      <c r="P50" s="41">
        <v>0</v>
      </c>
      <c r="Q50" s="31"/>
      <c r="R50" s="11"/>
    </row>
    <row r="51" spans="1:18" ht="15" x14ac:dyDescent="0.2">
      <c r="A51" s="2"/>
      <c r="B51" s="33" t="s">
        <v>29</v>
      </c>
      <c r="C51" s="31"/>
      <c r="D51" s="31"/>
      <c r="E51" s="12"/>
      <c r="F51" s="11"/>
      <c r="G51" s="36">
        <v>1201.8</v>
      </c>
      <c r="H51" s="31"/>
      <c r="I51" s="10"/>
      <c r="J51" s="2"/>
      <c r="K51" s="35" t="s">
        <v>30</v>
      </c>
      <c r="L51" s="31"/>
      <c r="M51" s="31"/>
      <c r="N51" s="6"/>
      <c r="O51" s="6"/>
      <c r="P51" s="36">
        <v>0</v>
      </c>
      <c r="Q51" s="31"/>
      <c r="R51" s="11"/>
    </row>
    <row r="52" spans="1:18" ht="15" x14ac:dyDescent="0.2">
      <c r="A52" s="2"/>
      <c r="B52" s="33"/>
      <c r="C52" s="31"/>
      <c r="D52" s="31"/>
      <c r="E52" s="16"/>
      <c r="F52" s="16"/>
      <c r="G52" s="39"/>
      <c r="H52" s="31"/>
      <c r="I52" s="10"/>
      <c r="J52" s="2"/>
      <c r="K52" s="35"/>
      <c r="L52" s="31"/>
      <c r="M52" s="31"/>
      <c r="N52" s="31"/>
      <c r="O52" s="31"/>
      <c r="P52" s="40"/>
      <c r="Q52" s="31"/>
      <c r="R52" s="11"/>
    </row>
    <row r="53" spans="1:18" ht="15" x14ac:dyDescent="0.2">
      <c r="A53" s="2"/>
      <c r="B53" s="33" t="s">
        <v>31</v>
      </c>
      <c r="C53" s="31"/>
      <c r="D53" s="31"/>
      <c r="E53" s="12"/>
      <c r="F53" s="18"/>
      <c r="G53" s="37"/>
      <c r="H53" s="31"/>
      <c r="I53" s="18"/>
      <c r="J53" s="18"/>
      <c r="K53" s="35" t="s">
        <v>32</v>
      </c>
      <c r="L53" s="31"/>
      <c r="M53" s="31"/>
      <c r="N53" s="6"/>
      <c r="O53" s="6"/>
      <c r="P53" s="38"/>
      <c r="Q53" s="31"/>
      <c r="R53" s="11"/>
    </row>
    <row r="54" spans="1:18" ht="15" x14ac:dyDescent="0.2">
      <c r="A54" s="2"/>
      <c r="B54" s="12"/>
      <c r="C54" s="30" t="s">
        <v>29</v>
      </c>
      <c r="D54" s="31"/>
      <c r="E54" s="12"/>
      <c r="F54" s="15"/>
      <c r="G54" s="34">
        <v>1201.8</v>
      </c>
      <c r="H54" s="31"/>
      <c r="I54" s="18"/>
      <c r="J54" s="18"/>
      <c r="K54" s="18"/>
      <c r="L54" s="32" t="s">
        <v>21</v>
      </c>
      <c r="M54" s="31"/>
      <c r="N54" s="6"/>
      <c r="O54" s="6"/>
      <c r="P54" s="34">
        <v>0</v>
      </c>
      <c r="Q54" s="31"/>
      <c r="R54" s="11"/>
    </row>
    <row r="55" spans="1:18" ht="15" x14ac:dyDescent="0.2">
      <c r="A55" s="2"/>
      <c r="B55" s="12"/>
      <c r="C55" s="30" t="s">
        <v>33</v>
      </c>
      <c r="D55" s="31"/>
      <c r="E55" s="12"/>
      <c r="F55" s="15"/>
      <c r="G55" s="34">
        <v>0</v>
      </c>
      <c r="H55" s="31"/>
      <c r="I55" s="18"/>
      <c r="J55" s="18"/>
      <c r="K55" s="18"/>
      <c r="L55" s="32" t="s">
        <v>23</v>
      </c>
      <c r="M55" s="31"/>
      <c r="N55" s="6"/>
      <c r="O55" s="6"/>
      <c r="P55" s="34">
        <v>0</v>
      </c>
      <c r="Q55" s="31"/>
      <c r="R55" s="11"/>
    </row>
    <row r="56" spans="1:18" ht="15" x14ac:dyDescent="0.2">
      <c r="A56" s="2"/>
      <c r="B56" s="35" t="s">
        <v>34</v>
      </c>
      <c r="C56" s="31"/>
      <c r="D56" s="31"/>
      <c r="E56" s="12"/>
      <c r="F56" s="15"/>
      <c r="G56" s="36">
        <v>1201.8</v>
      </c>
      <c r="H56" s="31"/>
      <c r="I56" s="18"/>
      <c r="J56" s="18"/>
      <c r="K56" s="18"/>
      <c r="L56" s="33" t="s">
        <v>36</v>
      </c>
      <c r="M56" s="31"/>
      <c r="N56" s="6"/>
      <c r="O56" s="6"/>
      <c r="P56" s="36">
        <v>0</v>
      </c>
      <c r="Q56" s="31"/>
      <c r="R56" s="11"/>
    </row>
    <row r="57" spans="1:18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">
      <c r="A58" s="5"/>
      <c r="B58" s="5"/>
      <c r="C58" s="5"/>
      <c r="D58" s="1"/>
      <c r="E58" s="15"/>
      <c r="F58" s="15"/>
      <c r="G58" s="15"/>
      <c r="H58" s="1"/>
      <c r="I58" s="1"/>
      <c r="J58" s="15"/>
      <c r="K58" s="15"/>
      <c r="L58" s="11"/>
      <c r="M58" s="11"/>
      <c r="N58" s="19"/>
      <c r="O58" s="19"/>
      <c r="P58" s="19"/>
      <c r="Q58" s="11"/>
      <c r="R58" s="11"/>
    </row>
    <row r="59" spans="1:18" x14ac:dyDescent="0.2">
      <c r="A59" s="5"/>
      <c r="B59" s="5"/>
      <c r="C59" s="5"/>
      <c r="D59" s="1"/>
      <c r="E59" s="15"/>
      <c r="F59" s="15"/>
      <c r="G59" s="15"/>
      <c r="H59" s="1"/>
      <c r="I59" s="1"/>
      <c r="J59" s="15"/>
      <c r="K59" s="15"/>
      <c r="L59" s="11"/>
      <c r="M59" s="11"/>
      <c r="N59" s="11"/>
      <c r="O59" s="11"/>
      <c r="P59" s="19"/>
      <c r="Q59" s="11"/>
      <c r="R59" s="11"/>
    </row>
    <row r="60" spans="1:18" ht="13.5" thickBot="1" x14ac:dyDescent="0.25">
      <c r="A60" s="20"/>
      <c r="B60" s="20"/>
      <c r="C60" s="20"/>
      <c r="D60" s="21"/>
      <c r="E60" s="22"/>
      <c r="F60" s="22"/>
      <c r="G60" s="22"/>
      <c r="H60" s="21"/>
      <c r="I60" s="21"/>
      <c r="J60" s="22"/>
      <c r="K60" s="22"/>
      <c r="L60" s="23"/>
      <c r="M60" s="23"/>
      <c r="N60" s="24"/>
      <c r="O60" s="24"/>
      <c r="P60" s="24"/>
      <c r="Q60" s="23"/>
      <c r="R60" s="23"/>
    </row>
    <row r="61" spans="1:18" x14ac:dyDescent="0.2">
      <c r="A61" s="33" t="s">
        <v>37</v>
      </c>
      <c r="B61" s="31"/>
      <c r="C61" s="31"/>
      <c r="D61" s="31"/>
      <c r="E61" s="1"/>
      <c r="F61" s="1"/>
      <c r="G61" s="1"/>
      <c r="H61" s="1"/>
      <c r="I61" s="1"/>
      <c r="J61" s="1"/>
      <c r="K61" s="1"/>
      <c r="L61" s="1"/>
      <c r="M61" s="33" t="s">
        <v>38</v>
      </c>
      <c r="N61" s="31"/>
      <c r="O61" s="31"/>
      <c r="P61" s="31"/>
      <c r="Q61" s="1"/>
      <c r="R61" s="1"/>
    </row>
    <row r="62" spans="1:18" x14ac:dyDescent="0.2">
      <c r="A62" s="1"/>
      <c r="B62" s="30" t="s">
        <v>39</v>
      </c>
      <c r="C62" s="31"/>
      <c r="D62" s="31"/>
      <c r="E62" s="32" t="s">
        <v>40</v>
      </c>
      <c r="F62" s="31"/>
      <c r="G62" s="31"/>
      <c r="H62" s="31"/>
      <c r="I62" s="31"/>
      <c r="J62" s="31"/>
      <c r="K62" s="31"/>
      <c r="L62" s="1"/>
      <c r="M62" s="1"/>
      <c r="N62" s="1"/>
      <c r="O62" s="30" t="s">
        <v>41</v>
      </c>
      <c r="P62" s="31"/>
      <c r="Q62" s="31"/>
      <c r="R62" s="1"/>
    </row>
    <row r="63" spans="1:18" x14ac:dyDescent="0.2">
      <c r="A63" s="1"/>
      <c r="B63" s="30" t="s">
        <v>42</v>
      </c>
      <c r="C63" s="31"/>
      <c r="D63" s="31"/>
      <c r="E63" s="32" t="s">
        <v>43</v>
      </c>
      <c r="F63" s="31"/>
      <c r="G63" s="31"/>
      <c r="H63" s="31"/>
      <c r="I63" s="31"/>
      <c r="J63" s="31"/>
      <c r="K63" s="31"/>
      <c r="L63" s="1"/>
      <c r="M63" s="1"/>
      <c r="N63" s="1"/>
      <c r="O63" s="1"/>
      <c r="P63" s="1"/>
      <c r="Q63" s="1"/>
      <c r="R63" s="1"/>
    </row>
    <row r="64" spans="1:18" x14ac:dyDescent="0.2">
      <c r="A64" s="1"/>
      <c r="B64" s="30" t="s">
        <v>44</v>
      </c>
      <c r="C64" s="31"/>
      <c r="D64" s="31"/>
      <c r="E64" s="32" t="s">
        <v>45</v>
      </c>
      <c r="F64" s="31"/>
      <c r="G64" s="31"/>
      <c r="H64" s="31"/>
      <c r="I64" s="31"/>
      <c r="J64" s="31"/>
      <c r="K64" s="31"/>
      <c r="L64" s="1"/>
      <c r="M64" s="1"/>
      <c r="N64" s="1"/>
      <c r="O64" s="1"/>
      <c r="P64" s="1"/>
      <c r="Q64" s="1"/>
      <c r="R64" s="1"/>
    </row>
    <row r="65" spans="1:18" x14ac:dyDescent="0.2">
      <c r="A65" s="1"/>
      <c r="B65" s="30" t="s">
        <v>46</v>
      </c>
      <c r="C65" s="31"/>
      <c r="D65" s="31"/>
      <c r="E65" s="32"/>
      <c r="F65" s="31"/>
      <c r="G65" s="31"/>
      <c r="H65" s="31"/>
      <c r="I65" s="31"/>
      <c r="J65" s="31"/>
      <c r="K65" s="31"/>
      <c r="L65" s="1"/>
      <c r="M65" s="1"/>
      <c r="N65" s="1"/>
      <c r="O65" s="1"/>
      <c r="P65" s="1"/>
      <c r="Q65" s="1"/>
      <c r="R65" s="1"/>
    </row>
    <row r="66" spans="1:18" x14ac:dyDescent="0.2">
      <c r="A66" s="1"/>
      <c r="B66" s="30" t="s">
        <v>47</v>
      </c>
      <c r="C66" s="31"/>
      <c r="D66" s="31"/>
      <c r="E66" s="30"/>
      <c r="F66" s="31"/>
      <c r="G66" s="31"/>
      <c r="H66" s="31"/>
      <c r="I66" s="31"/>
      <c r="J66" s="31"/>
      <c r="K66" s="31"/>
      <c r="L66" s="1"/>
      <c r="M66" s="1"/>
      <c r="N66" s="1"/>
      <c r="O66" s="1"/>
      <c r="P66" s="1"/>
      <c r="Q66" s="1"/>
      <c r="R66" s="1"/>
    </row>
  </sheetData>
  <mergeCells count="154">
    <mergeCell ref="B2:D2"/>
    <mergeCell ref="E2:O2"/>
    <mergeCell ref="A3:H3"/>
    <mergeCell ref="P3:R3"/>
    <mergeCell ref="E4:O4"/>
    <mergeCell ref="P4:R4"/>
    <mergeCell ref="B10:E10"/>
    <mergeCell ref="G10:H10"/>
    <mergeCell ref="K10:O10"/>
    <mergeCell ref="P10:Q10"/>
    <mergeCell ref="B11:D11"/>
    <mergeCell ref="G11:H11"/>
    <mergeCell ref="K11:O11"/>
    <mergeCell ref="P11:Q11"/>
    <mergeCell ref="B5:D5"/>
    <mergeCell ref="E5:O5"/>
    <mergeCell ref="P5:R5"/>
    <mergeCell ref="B6:D6"/>
    <mergeCell ref="P6:R6"/>
    <mergeCell ref="B7:D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31:D31"/>
    <mergeCell ref="E31:K31"/>
    <mergeCell ref="B32:D32"/>
    <mergeCell ref="E32:K32"/>
    <mergeCell ref="B36:D36"/>
    <mergeCell ref="E36:O36"/>
    <mergeCell ref="B28:D28"/>
    <mergeCell ref="E28:K28"/>
    <mergeCell ref="O28:Q28"/>
    <mergeCell ref="B29:D29"/>
    <mergeCell ref="E29:K29"/>
    <mergeCell ref="B30:D30"/>
    <mergeCell ref="E30:K30"/>
    <mergeCell ref="B40:D40"/>
    <mergeCell ref="P40:R40"/>
    <mergeCell ref="B41:D41"/>
    <mergeCell ref="B44:E44"/>
    <mergeCell ref="G44:H44"/>
    <mergeCell ref="K44:O44"/>
    <mergeCell ref="P44:Q44"/>
    <mergeCell ref="A37:H37"/>
    <mergeCell ref="P37:R37"/>
    <mergeCell ref="E38:O38"/>
    <mergeCell ref="P38:R38"/>
    <mergeCell ref="B39:D39"/>
    <mergeCell ref="E39:O39"/>
    <mergeCell ref="P39:R39"/>
    <mergeCell ref="C47:D47"/>
    <mergeCell ref="G47:H47"/>
    <mergeCell ref="L47:O47"/>
    <mergeCell ref="P47:Q47"/>
    <mergeCell ref="C48:D48"/>
    <mergeCell ref="G48:H48"/>
    <mergeCell ref="L48:O48"/>
    <mergeCell ref="P48:Q48"/>
    <mergeCell ref="B45:D45"/>
    <mergeCell ref="G45:H45"/>
    <mergeCell ref="K45:O45"/>
    <mergeCell ref="P45:Q45"/>
    <mergeCell ref="C46:F46"/>
    <mergeCell ref="G46:H46"/>
    <mergeCell ref="L46:M46"/>
    <mergeCell ref="P46:Q46"/>
    <mergeCell ref="B51:D51"/>
    <mergeCell ref="G51:H51"/>
    <mergeCell ref="K51:M51"/>
    <mergeCell ref="P51:Q51"/>
    <mergeCell ref="B52:D52"/>
    <mergeCell ref="G52:H52"/>
    <mergeCell ref="K52:O52"/>
    <mergeCell ref="P52:Q52"/>
    <mergeCell ref="C49:E49"/>
    <mergeCell ref="G49:H49"/>
    <mergeCell ref="L49:O49"/>
    <mergeCell ref="P49:Q49"/>
    <mergeCell ref="C50:D50"/>
    <mergeCell ref="G50:H50"/>
    <mergeCell ref="L50:O50"/>
    <mergeCell ref="P50:Q50"/>
    <mergeCell ref="C55:D55"/>
    <mergeCell ref="G55:H55"/>
    <mergeCell ref="L55:M55"/>
    <mergeCell ref="P55:Q55"/>
    <mergeCell ref="B56:D56"/>
    <mergeCell ref="G56:H56"/>
    <mergeCell ref="L56:M56"/>
    <mergeCell ref="P56:Q56"/>
    <mergeCell ref="B53:D53"/>
    <mergeCell ref="G53:H53"/>
    <mergeCell ref="K53:M53"/>
    <mergeCell ref="P53:Q53"/>
    <mergeCell ref="C54:D54"/>
    <mergeCell ref="G54:H54"/>
    <mergeCell ref="L54:M54"/>
    <mergeCell ref="P54:Q54"/>
    <mergeCell ref="B64:D64"/>
    <mergeCell ref="E64:K64"/>
    <mergeCell ref="B65:D65"/>
    <mergeCell ref="E65:K65"/>
    <mergeCell ref="B66:D66"/>
    <mergeCell ref="E66:K66"/>
    <mergeCell ref="A61:D61"/>
    <mergeCell ref="M61:P61"/>
    <mergeCell ref="B62:D62"/>
    <mergeCell ref="E62:K62"/>
    <mergeCell ref="O62:Q62"/>
    <mergeCell ref="B63:D63"/>
    <mergeCell ref="E63:K63"/>
  </mergeCells>
  <phoneticPr fontId="0" type="noConversion"/>
  <pageMargins left="0.15000000000000002" right="0.15000000000000002" top="0.79542007874015752" bottom="0.40500000000000008" header="0.08" footer="0.08"/>
  <pageSetup orientation="landscape" r:id="rId1"/>
  <headerFooter alignWithMargins="0">
    <oddHeader>&amp;L&amp;C&amp;"Arial"&amp;16&amp;BCompensation Statement&amp;B &amp;R</oddHeader>
    <oddFooter xml:space="preserve">&amp;L&amp;"Arial"&amp;9&amp;BDate: 11/13/2025&amp;B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E33C-E19A-43DF-AA22-E86ECC4CBC56}">
  <dimension ref="A1:R297"/>
  <sheetViews>
    <sheetView showGridLines="0" workbookViewId="0">
      <selection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5" t="s">
        <v>4</v>
      </c>
      <c r="C2" s="31"/>
      <c r="D2" s="31"/>
      <c r="E2" s="43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5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43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5" t="s">
        <v>8</v>
      </c>
      <c r="Q4" s="31"/>
      <c r="R4" s="31"/>
    </row>
    <row r="5" spans="1:18" x14ac:dyDescent="0.2">
      <c r="A5" s="2" t="s">
        <v>9</v>
      </c>
      <c r="B5" s="35" t="s">
        <v>10</v>
      </c>
      <c r="C5" s="31"/>
      <c r="D5" s="31"/>
      <c r="E5" s="43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5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5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48</v>
      </c>
      <c r="B8" s="25" t="s">
        <v>49</v>
      </c>
      <c r="C8" s="25" t="s">
        <v>50</v>
      </c>
      <c r="D8" s="25" t="s">
        <v>51</v>
      </c>
      <c r="E8" s="26" t="s">
        <v>52</v>
      </c>
      <c r="F8" s="25" t="s">
        <v>53</v>
      </c>
      <c r="G8" s="25" t="s">
        <v>54</v>
      </c>
      <c r="H8" s="47" t="s">
        <v>55</v>
      </c>
      <c r="I8" s="48"/>
      <c r="J8" s="47" t="s">
        <v>56</v>
      </c>
      <c r="K8" s="48"/>
      <c r="L8" s="26" t="s">
        <v>57</v>
      </c>
      <c r="M8" s="26" t="s">
        <v>58</v>
      </c>
      <c r="N8" s="26" t="s">
        <v>59</v>
      </c>
      <c r="O8" s="27" t="s">
        <v>60</v>
      </c>
      <c r="P8" s="27" t="s">
        <v>61</v>
      </c>
      <c r="Q8" s="27" t="s">
        <v>62</v>
      </c>
      <c r="R8" s="26" t="s">
        <v>63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3" t="s">
        <v>64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65</v>
      </c>
      <c r="C11" s="1" t="s">
        <v>66</v>
      </c>
      <c r="D11" s="1" t="s">
        <v>67</v>
      </c>
      <c r="E11" s="28">
        <v>45292</v>
      </c>
      <c r="F11" s="14"/>
      <c r="G11" s="14" t="s">
        <v>68</v>
      </c>
      <c r="H11" s="45">
        <v>45901</v>
      </c>
      <c r="I11" s="31"/>
      <c r="J11" s="45">
        <v>45931</v>
      </c>
      <c r="K11" s="31"/>
      <c r="L11" s="28">
        <v>45958</v>
      </c>
      <c r="M11" s="29" t="s">
        <v>69</v>
      </c>
      <c r="N11" s="15" t="s">
        <v>70</v>
      </c>
      <c r="O11" s="13">
        <v>21.64</v>
      </c>
      <c r="P11" s="15" t="s">
        <v>71</v>
      </c>
      <c r="Q11" s="13">
        <v>0.97</v>
      </c>
      <c r="R11" s="29" t="s">
        <v>72</v>
      </c>
    </row>
    <row r="12" spans="1:18" ht="22.5" x14ac:dyDescent="0.2">
      <c r="A12" s="1"/>
      <c r="B12" s="1" t="s">
        <v>65</v>
      </c>
      <c r="C12" s="1" t="s">
        <v>66</v>
      </c>
      <c r="D12" s="1" t="s">
        <v>67</v>
      </c>
      <c r="E12" s="28">
        <v>45292</v>
      </c>
      <c r="F12" s="14"/>
      <c r="G12" s="14" t="s">
        <v>68</v>
      </c>
      <c r="H12" s="45">
        <v>45931</v>
      </c>
      <c r="I12" s="31"/>
      <c r="J12" s="45">
        <v>45962</v>
      </c>
      <c r="K12" s="31"/>
      <c r="L12" s="28">
        <v>45958</v>
      </c>
      <c r="M12" s="29" t="s">
        <v>69</v>
      </c>
      <c r="N12" s="15" t="s">
        <v>70</v>
      </c>
      <c r="O12" s="13">
        <v>21.64</v>
      </c>
      <c r="P12" s="15" t="s">
        <v>71</v>
      </c>
      <c r="Q12" s="13">
        <v>0.97</v>
      </c>
      <c r="R12" s="29" t="s">
        <v>72</v>
      </c>
    </row>
    <row r="13" spans="1:18" ht="22.5" x14ac:dyDescent="0.2">
      <c r="A13" s="1"/>
      <c r="B13" s="1" t="s">
        <v>65</v>
      </c>
      <c r="C13" s="1" t="s">
        <v>73</v>
      </c>
      <c r="D13" s="1" t="s">
        <v>67</v>
      </c>
      <c r="E13" s="28">
        <v>45292</v>
      </c>
      <c r="F13" s="14"/>
      <c r="G13" s="14" t="s">
        <v>74</v>
      </c>
      <c r="H13" s="45">
        <v>45901</v>
      </c>
      <c r="I13" s="31"/>
      <c r="J13" s="45">
        <v>45931</v>
      </c>
      <c r="K13" s="31"/>
      <c r="L13" s="28">
        <v>45958</v>
      </c>
      <c r="M13" s="29" t="s">
        <v>69</v>
      </c>
      <c r="N13" s="15" t="s">
        <v>70</v>
      </c>
      <c r="O13" s="13">
        <v>60.35</v>
      </c>
      <c r="P13" s="15" t="s">
        <v>75</v>
      </c>
      <c r="Q13" s="13">
        <v>10.86</v>
      </c>
      <c r="R13" s="29" t="s">
        <v>72</v>
      </c>
    </row>
    <row r="14" spans="1:18" ht="22.5" x14ac:dyDescent="0.2">
      <c r="A14" s="1"/>
      <c r="B14" s="1" t="s">
        <v>65</v>
      </c>
      <c r="C14" s="1" t="s">
        <v>73</v>
      </c>
      <c r="D14" s="1" t="s">
        <v>67</v>
      </c>
      <c r="E14" s="28">
        <v>45292</v>
      </c>
      <c r="F14" s="14"/>
      <c r="G14" s="14" t="s">
        <v>74</v>
      </c>
      <c r="H14" s="45">
        <v>45931</v>
      </c>
      <c r="I14" s="31"/>
      <c r="J14" s="45">
        <v>45962</v>
      </c>
      <c r="K14" s="31"/>
      <c r="L14" s="28">
        <v>45958</v>
      </c>
      <c r="M14" s="29" t="s">
        <v>69</v>
      </c>
      <c r="N14" s="15" t="s">
        <v>70</v>
      </c>
      <c r="O14" s="13">
        <v>60.35</v>
      </c>
      <c r="P14" s="15" t="s">
        <v>75</v>
      </c>
      <c r="Q14" s="13">
        <v>10.86</v>
      </c>
      <c r="R14" s="29" t="s">
        <v>72</v>
      </c>
    </row>
    <row r="15" spans="1:18" ht="22.5" x14ac:dyDescent="0.2">
      <c r="A15" s="1"/>
      <c r="B15" s="1" t="s">
        <v>65</v>
      </c>
      <c r="C15" s="1" t="s">
        <v>76</v>
      </c>
      <c r="D15" s="1" t="s">
        <v>67</v>
      </c>
      <c r="E15" s="28">
        <v>45292</v>
      </c>
      <c r="F15" s="14"/>
      <c r="G15" s="14" t="s">
        <v>77</v>
      </c>
      <c r="H15" s="45">
        <v>45901</v>
      </c>
      <c r="I15" s="31"/>
      <c r="J15" s="45">
        <v>45931</v>
      </c>
      <c r="K15" s="31"/>
      <c r="L15" s="28">
        <v>45958</v>
      </c>
      <c r="M15" s="29" t="s">
        <v>69</v>
      </c>
      <c r="N15" s="15" t="s">
        <v>70</v>
      </c>
      <c r="O15" s="13">
        <v>13.28</v>
      </c>
      <c r="P15" s="15" t="s">
        <v>78</v>
      </c>
      <c r="Q15" s="13">
        <v>0.93</v>
      </c>
      <c r="R15" s="29" t="s">
        <v>72</v>
      </c>
    </row>
    <row r="16" spans="1:18" ht="22.5" x14ac:dyDescent="0.2">
      <c r="A16" s="1"/>
      <c r="B16" s="1" t="s">
        <v>65</v>
      </c>
      <c r="C16" s="1" t="s">
        <v>76</v>
      </c>
      <c r="D16" s="1" t="s">
        <v>67</v>
      </c>
      <c r="E16" s="28">
        <v>45292</v>
      </c>
      <c r="F16" s="14"/>
      <c r="G16" s="14" t="s">
        <v>77</v>
      </c>
      <c r="H16" s="45">
        <v>45931</v>
      </c>
      <c r="I16" s="31"/>
      <c r="J16" s="45">
        <v>45962</v>
      </c>
      <c r="K16" s="31"/>
      <c r="L16" s="28">
        <v>45958</v>
      </c>
      <c r="M16" s="29" t="s">
        <v>69</v>
      </c>
      <c r="N16" s="15" t="s">
        <v>70</v>
      </c>
      <c r="O16" s="13">
        <v>13.28</v>
      </c>
      <c r="P16" s="15" t="s">
        <v>78</v>
      </c>
      <c r="Q16" s="13">
        <v>0.93</v>
      </c>
      <c r="R16" s="29" t="s">
        <v>72</v>
      </c>
    </row>
    <row r="17" spans="1:18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" t="s">
        <v>79</v>
      </c>
      <c r="Q17" s="17">
        <v>25.52</v>
      </c>
      <c r="R17" s="2"/>
    </row>
    <row r="18" spans="1:18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">
      <c r="A19" s="5"/>
      <c r="B19" s="5"/>
      <c r="C19" s="5"/>
      <c r="D19" s="1"/>
      <c r="E19" s="15"/>
      <c r="F19" s="15"/>
      <c r="G19" s="15"/>
      <c r="H19" s="1"/>
      <c r="I19" s="1"/>
      <c r="J19" s="15"/>
      <c r="K19" s="15"/>
      <c r="L19" s="11"/>
      <c r="M19" s="11"/>
      <c r="N19" s="11"/>
      <c r="O19" s="11"/>
      <c r="P19" s="19"/>
      <c r="Q19" s="11"/>
      <c r="R19" s="11"/>
    </row>
    <row r="20" spans="1:18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.7" customHeight="1" x14ac:dyDescent="0.2"/>
    <row r="23" spans="1:18" ht="12.75" customHeight="1" x14ac:dyDescent="0.2">
      <c r="A23" s="2" t="s">
        <v>3</v>
      </c>
      <c r="B23" s="35" t="s">
        <v>4</v>
      </c>
      <c r="C23" s="35"/>
      <c r="D23" s="35"/>
      <c r="E23" s="43" t="s">
        <v>2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1"/>
      <c r="Q23" s="1"/>
      <c r="R23" s="1"/>
    </row>
    <row r="24" spans="1:18" ht="12.75" customHeight="1" x14ac:dyDescent="0.2">
      <c r="A24" s="35" t="s">
        <v>5</v>
      </c>
      <c r="B24" s="35"/>
      <c r="C24" s="35"/>
      <c r="D24" s="35"/>
      <c r="E24" s="35"/>
      <c r="F24" s="35"/>
      <c r="G24" s="35"/>
      <c r="H24" s="35"/>
      <c r="I24" s="3"/>
      <c r="J24" s="3"/>
      <c r="K24" s="3"/>
      <c r="L24" s="3"/>
      <c r="M24" s="3"/>
      <c r="N24" s="4"/>
      <c r="O24" s="4"/>
      <c r="P24" s="33" t="s">
        <v>6</v>
      </c>
      <c r="Q24" s="33"/>
      <c r="R24" s="33"/>
    </row>
    <row r="25" spans="1:18" ht="12.75" customHeight="1" x14ac:dyDescent="0.2">
      <c r="A25" s="2"/>
      <c r="B25" s="2"/>
      <c r="C25" s="2"/>
      <c r="D25" s="2"/>
      <c r="E25" s="43" t="s">
        <v>80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35" t="s">
        <v>8</v>
      </c>
      <c r="Q25" s="35"/>
      <c r="R25" s="35"/>
    </row>
    <row r="26" spans="1:18" ht="12.75" customHeight="1" x14ac:dyDescent="0.2">
      <c r="A26" s="2" t="s">
        <v>9</v>
      </c>
      <c r="B26" s="35" t="s">
        <v>10</v>
      </c>
      <c r="C26" s="35"/>
      <c r="D26" s="35"/>
      <c r="E26" s="43" t="s">
        <v>81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33" t="s">
        <v>12</v>
      </c>
      <c r="Q26" s="33"/>
      <c r="R26" s="33"/>
    </row>
    <row r="27" spans="1:18" ht="12.75" customHeight="1" x14ac:dyDescent="0.2">
      <c r="A27" s="2"/>
      <c r="B27" s="35" t="s">
        <v>13</v>
      </c>
      <c r="C27" s="35"/>
      <c r="D27" s="3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33" t="s">
        <v>14</v>
      </c>
      <c r="Q27" s="33"/>
      <c r="R27" s="33"/>
    </row>
    <row r="28" spans="1:18" ht="12.75" customHeight="1" x14ac:dyDescent="0.2">
      <c r="A28" s="6"/>
      <c r="B28" s="46" t="s">
        <v>15</v>
      </c>
      <c r="C28" s="46"/>
      <c r="D28" s="4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22.5" customHeight="1" thickBot="1" x14ac:dyDescent="0.25">
      <c r="A29" s="25" t="s">
        <v>48</v>
      </c>
      <c r="B29" s="25" t="s">
        <v>49</v>
      </c>
      <c r="C29" s="25" t="s">
        <v>50</v>
      </c>
      <c r="D29" s="25" t="s">
        <v>51</v>
      </c>
      <c r="E29" s="26" t="s">
        <v>52</v>
      </c>
      <c r="F29" s="25" t="s">
        <v>53</v>
      </c>
      <c r="G29" s="25" t="s">
        <v>54</v>
      </c>
      <c r="H29" s="47" t="s">
        <v>55</v>
      </c>
      <c r="I29" s="47"/>
      <c r="J29" s="47" t="s">
        <v>56</v>
      </c>
      <c r="K29" s="47"/>
      <c r="L29" s="26" t="s">
        <v>57</v>
      </c>
      <c r="M29" s="26" t="s">
        <v>58</v>
      </c>
      <c r="N29" s="26" t="s">
        <v>59</v>
      </c>
      <c r="O29" s="27" t="s">
        <v>60</v>
      </c>
      <c r="P29" s="27" t="s">
        <v>61</v>
      </c>
      <c r="Q29" s="27" t="s">
        <v>62</v>
      </c>
      <c r="R29" s="26" t="s">
        <v>63</v>
      </c>
    </row>
    <row r="30" spans="1:18" ht="12.75" customHeight="1" x14ac:dyDescent="0.2">
      <c r="A30" s="2"/>
      <c r="B30" s="2"/>
      <c r="C30" s="2"/>
      <c r="D30" s="2"/>
      <c r="E30" s="10"/>
      <c r="F30" s="2"/>
      <c r="G30" s="2"/>
      <c r="H30" s="10"/>
      <c r="I30" s="10"/>
      <c r="J30" s="2"/>
      <c r="K30" s="11"/>
      <c r="L30" s="11"/>
      <c r="M30" s="11"/>
      <c r="N30" s="11"/>
      <c r="O30" s="11"/>
      <c r="P30" s="11"/>
      <c r="Q30" s="11"/>
      <c r="R30" s="11"/>
    </row>
    <row r="31" spans="1:18" ht="12.75" customHeight="1" x14ac:dyDescent="0.2">
      <c r="A31" s="33" t="s">
        <v>82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1"/>
      <c r="O31" s="1"/>
      <c r="P31" s="1"/>
      <c r="Q31" s="1"/>
      <c r="R31" s="1"/>
    </row>
    <row r="32" spans="1:18" ht="22.5" x14ac:dyDescent="0.2">
      <c r="A32" s="1"/>
      <c r="B32" s="1" t="s">
        <v>65</v>
      </c>
      <c r="C32" s="1" t="s">
        <v>83</v>
      </c>
      <c r="D32" s="1" t="s">
        <v>84</v>
      </c>
      <c r="E32" s="28">
        <v>45093</v>
      </c>
      <c r="F32" s="14"/>
      <c r="G32" s="14" t="s">
        <v>85</v>
      </c>
      <c r="H32" s="45">
        <v>45962</v>
      </c>
      <c r="I32" s="45"/>
      <c r="J32" s="45">
        <v>45992</v>
      </c>
      <c r="K32" s="45"/>
      <c r="L32" s="28">
        <v>45969</v>
      </c>
      <c r="M32" s="29" t="s">
        <v>69</v>
      </c>
      <c r="N32" s="15" t="s">
        <v>70</v>
      </c>
      <c r="O32" s="13">
        <v>25</v>
      </c>
      <c r="P32" s="15" t="s">
        <v>86</v>
      </c>
      <c r="Q32" s="13">
        <v>2.25</v>
      </c>
      <c r="R32" s="29" t="s">
        <v>72</v>
      </c>
    </row>
    <row r="33" spans="1:18" ht="22.5" x14ac:dyDescent="0.2">
      <c r="A33" s="1"/>
      <c r="B33" s="1" t="s">
        <v>65</v>
      </c>
      <c r="C33" s="1" t="s">
        <v>87</v>
      </c>
      <c r="D33" s="1" t="s">
        <v>88</v>
      </c>
      <c r="E33" s="28">
        <v>45292</v>
      </c>
      <c r="F33" s="14"/>
      <c r="G33" s="14" t="s">
        <v>89</v>
      </c>
      <c r="H33" s="45">
        <v>45962</v>
      </c>
      <c r="I33" s="45"/>
      <c r="J33" s="45">
        <v>45992</v>
      </c>
      <c r="K33" s="45"/>
      <c r="L33" s="28">
        <v>45966</v>
      </c>
      <c r="M33" s="29" t="s">
        <v>69</v>
      </c>
      <c r="N33" s="15" t="s">
        <v>70</v>
      </c>
      <c r="O33" s="13">
        <v>24.54</v>
      </c>
      <c r="P33" s="15" t="s">
        <v>75</v>
      </c>
      <c r="Q33" s="13">
        <v>4.42</v>
      </c>
      <c r="R33" s="29" t="s">
        <v>72</v>
      </c>
    </row>
    <row r="34" spans="1:18" ht="22.5" x14ac:dyDescent="0.2">
      <c r="A34" s="1"/>
      <c r="B34" s="1" t="s">
        <v>65</v>
      </c>
      <c r="C34" s="1" t="s">
        <v>90</v>
      </c>
      <c r="D34" s="1" t="s">
        <v>88</v>
      </c>
      <c r="E34" s="28">
        <v>45292</v>
      </c>
      <c r="F34" s="14"/>
      <c r="G34" s="14" t="s">
        <v>91</v>
      </c>
      <c r="H34" s="45">
        <v>45962</v>
      </c>
      <c r="I34" s="45"/>
      <c r="J34" s="45">
        <v>45992</v>
      </c>
      <c r="K34" s="45"/>
      <c r="L34" s="28">
        <v>45966</v>
      </c>
      <c r="M34" s="29" t="s">
        <v>69</v>
      </c>
      <c r="N34" s="15" t="s">
        <v>70</v>
      </c>
      <c r="O34" s="13">
        <v>15.45</v>
      </c>
      <c r="P34" s="15" t="s">
        <v>86</v>
      </c>
      <c r="Q34" s="13">
        <v>1.39</v>
      </c>
      <c r="R34" s="29" t="s">
        <v>72</v>
      </c>
    </row>
    <row r="35" spans="1:18" ht="22.5" x14ac:dyDescent="0.2">
      <c r="A35" s="1"/>
      <c r="B35" s="1" t="s">
        <v>65</v>
      </c>
      <c r="C35" s="1" t="s">
        <v>92</v>
      </c>
      <c r="D35" s="1" t="s">
        <v>93</v>
      </c>
      <c r="E35" s="28">
        <v>44927</v>
      </c>
      <c r="F35" s="14"/>
      <c r="G35" s="14" t="s">
        <v>85</v>
      </c>
      <c r="H35" s="45">
        <v>45962</v>
      </c>
      <c r="I35" s="45"/>
      <c r="J35" s="45">
        <v>45992</v>
      </c>
      <c r="K35" s="45"/>
      <c r="L35" s="28">
        <v>45966</v>
      </c>
      <c r="M35" s="29" t="s">
        <v>69</v>
      </c>
      <c r="N35" s="15" t="s">
        <v>70</v>
      </c>
      <c r="O35" s="13">
        <v>9</v>
      </c>
      <c r="P35" s="15" t="s">
        <v>86</v>
      </c>
      <c r="Q35" s="13">
        <v>0.81</v>
      </c>
      <c r="R35" s="29" t="s">
        <v>72</v>
      </c>
    </row>
    <row r="36" spans="1:18" ht="22.5" x14ac:dyDescent="0.2">
      <c r="A36" s="1"/>
      <c r="B36" s="1" t="s">
        <v>65</v>
      </c>
      <c r="C36" s="1" t="s">
        <v>94</v>
      </c>
      <c r="D36" s="1" t="s">
        <v>95</v>
      </c>
      <c r="E36" s="28">
        <v>45108</v>
      </c>
      <c r="F36" s="14"/>
      <c r="G36" s="14" t="s">
        <v>96</v>
      </c>
      <c r="H36" s="45">
        <v>45962</v>
      </c>
      <c r="I36" s="45"/>
      <c r="J36" s="45">
        <v>45992</v>
      </c>
      <c r="K36" s="45"/>
      <c r="L36" s="28">
        <v>45966</v>
      </c>
      <c r="M36" s="29" t="s">
        <v>69</v>
      </c>
      <c r="N36" s="15" t="s">
        <v>70</v>
      </c>
      <c r="O36" s="13">
        <v>10</v>
      </c>
      <c r="P36" s="15" t="s">
        <v>86</v>
      </c>
      <c r="Q36" s="13">
        <v>0.9</v>
      </c>
      <c r="R36" s="29" t="s">
        <v>72</v>
      </c>
    </row>
    <row r="37" spans="1:18" ht="22.5" x14ac:dyDescent="0.2">
      <c r="A37" s="1"/>
      <c r="B37" s="1" t="s">
        <v>65</v>
      </c>
      <c r="C37" s="1" t="s">
        <v>97</v>
      </c>
      <c r="D37" s="1" t="s">
        <v>98</v>
      </c>
      <c r="E37" s="28">
        <v>45292</v>
      </c>
      <c r="F37" s="14"/>
      <c r="G37" s="14" t="s">
        <v>91</v>
      </c>
      <c r="H37" s="45">
        <v>45962</v>
      </c>
      <c r="I37" s="45"/>
      <c r="J37" s="45">
        <v>45992</v>
      </c>
      <c r="K37" s="45"/>
      <c r="L37" s="28">
        <v>45966</v>
      </c>
      <c r="M37" s="29" t="s">
        <v>69</v>
      </c>
      <c r="N37" s="15" t="s">
        <v>70</v>
      </c>
      <c r="O37" s="13">
        <v>20.399999999999999</v>
      </c>
      <c r="P37" s="15" t="s">
        <v>86</v>
      </c>
      <c r="Q37" s="13">
        <v>1.84</v>
      </c>
      <c r="R37" s="29" t="s">
        <v>72</v>
      </c>
    </row>
    <row r="38" spans="1:18" ht="22.5" x14ac:dyDescent="0.2">
      <c r="A38" s="1"/>
      <c r="B38" s="1" t="s">
        <v>65</v>
      </c>
      <c r="C38" s="1" t="s">
        <v>99</v>
      </c>
      <c r="D38" s="1" t="s">
        <v>100</v>
      </c>
      <c r="E38" s="28">
        <v>44876</v>
      </c>
      <c r="F38" s="14"/>
      <c r="G38" s="14" t="s">
        <v>101</v>
      </c>
      <c r="H38" s="45">
        <v>45973</v>
      </c>
      <c r="I38" s="45"/>
      <c r="J38" s="45">
        <v>45992</v>
      </c>
      <c r="K38" s="45"/>
      <c r="L38" s="28">
        <v>45967</v>
      </c>
      <c r="M38" s="29" t="s">
        <v>69</v>
      </c>
      <c r="N38" s="15" t="s">
        <v>70</v>
      </c>
      <c r="O38" s="13">
        <v>27.67</v>
      </c>
      <c r="P38" s="15" t="s">
        <v>86</v>
      </c>
      <c r="Q38" s="13">
        <v>2.4900000000000002</v>
      </c>
      <c r="R38" s="29" t="s">
        <v>72</v>
      </c>
    </row>
    <row r="39" spans="1:18" ht="22.5" x14ac:dyDescent="0.2">
      <c r="A39" s="1"/>
      <c r="B39" s="1" t="s">
        <v>65</v>
      </c>
      <c r="C39" s="1" t="s">
        <v>99</v>
      </c>
      <c r="D39" s="1" t="s">
        <v>100</v>
      </c>
      <c r="E39" s="28">
        <v>44876</v>
      </c>
      <c r="F39" s="14"/>
      <c r="G39" s="14" t="s">
        <v>101</v>
      </c>
      <c r="H39" s="45">
        <v>45962</v>
      </c>
      <c r="I39" s="45"/>
      <c r="J39" s="45">
        <v>45972</v>
      </c>
      <c r="K39" s="45"/>
      <c r="L39" s="28">
        <v>45967</v>
      </c>
      <c r="M39" s="29" t="s">
        <v>69</v>
      </c>
      <c r="N39" s="15" t="s">
        <v>70</v>
      </c>
      <c r="O39" s="13">
        <v>13.83</v>
      </c>
      <c r="P39" s="15" t="s">
        <v>86</v>
      </c>
      <c r="Q39" s="13">
        <v>1.24</v>
      </c>
      <c r="R39" s="29" t="s">
        <v>72</v>
      </c>
    </row>
    <row r="40" spans="1:18" ht="22.5" x14ac:dyDescent="0.2">
      <c r="A40" s="1"/>
      <c r="B40" s="1" t="s">
        <v>65</v>
      </c>
      <c r="C40" s="1" t="s">
        <v>102</v>
      </c>
      <c r="D40" s="1" t="s">
        <v>103</v>
      </c>
      <c r="E40" s="28">
        <v>45413</v>
      </c>
      <c r="F40" s="14"/>
      <c r="G40" s="14" t="s">
        <v>89</v>
      </c>
      <c r="H40" s="45">
        <v>45962</v>
      </c>
      <c r="I40" s="31"/>
      <c r="J40" s="45">
        <v>45992</v>
      </c>
      <c r="K40" s="31"/>
      <c r="L40" s="28">
        <v>45966</v>
      </c>
      <c r="M40" s="29" t="s">
        <v>69</v>
      </c>
      <c r="N40" s="15" t="s">
        <v>70</v>
      </c>
      <c r="O40" s="13">
        <v>23.59</v>
      </c>
      <c r="P40" s="15" t="s">
        <v>75</v>
      </c>
      <c r="Q40" s="13">
        <v>4.25</v>
      </c>
      <c r="R40" s="29" t="s">
        <v>72</v>
      </c>
    </row>
    <row r="41" spans="1:18" ht="22.5" x14ac:dyDescent="0.2">
      <c r="A41" s="1"/>
      <c r="B41" s="1" t="s">
        <v>65</v>
      </c>
      <c r="C41" s="1" t="s">
        <v>104</v>
      </c>
      <c r="D41" s="1" t="s">
        <v>105</v>
      </c>
      <c r="E41" s="28">
        <v>45170</v>
      </c>
      <c r="F41" s="14"/>
      <c r="G41" s="14" t="s">
        <v>77</v>
      </c>
      <c r="H41" s="45">
        <v>45962</v>
      </c>
      <c r="I41" s="31"/>
      <c r="J41" s="45">
        <v>45992</v>
      </c>
      <c r="K41" s="31"/>
      <c r="L41" s="28">
        <v>45966</v>
      </c>
      <c r="M41" s="29" t="s">
        <v>69</v>
      </c>
      <c r="N41" s="15" t="s">
        <v>70</v>
      </c>
      <c r="O41" s="13">
        <v>13.28</v>
      </c>
      <c r="P41" s="15" t="s">
        <v>78</v>
      </c>
      <c r="Q41" s="13">
        <v>0.93</v>
      </c>
      <c r="R41" s="29" t="s">
        <v>72</v>
      </c>
    </row>
    <row r="42" spans="1:18" ht="22.5" x14ac:dyDescent="0.2">
      <c r="A42" s="1"/>
      <c r="B42" s="1" t="s">
        <v>65</v>
      </c>
      <c r="C42" s="1" t="s">
        <v>106</v>
      </c>
      <c r="D42" s="1" t="s">
        <v>107</v>
      </c>
      <c r="E42" s="28">
        <v>45261</v>
      </c>
      <c r="F42" s="14"/>
      <c r="G42" s="14" t="s">
        <v>91</v>
      </c>
      <c r="H42" s="45">
        <v>45962</v>
      </c>
      <c r="I42" s="31"/>
      <c r="J42" s="45">
        <v>45992</v>
      </c>
      <c r="K42" s="31"/>
      <c r="L42" s="28">
        <v>45966</v>
      </c>
      <c r="M42" s="29" t="s">
        <v>69</v>
      </c>
      <c r="N42" s="15" t="s">
        <v>70</v>
      </c>
      <c r="O42" s="13">
        <v>15.45</v>
      </c>
      <c r="P42" s="15" t="s">
        <v>86</v>
      </c>
      <c r="Q42" s="13">
        <v>1.39</v>
      </c>
      <c r="R42" s="29" t="s">
        <v>72</v>
      </c>
    </row>
    <row r="43" spans="1:18" ht="22.5" x14ac:dyDescent="0.2">
      <c r="A43" s="1"/>
      <c r="B43" s="1" t="s">
        <v>65</v>
      </c>
      <c r="C43" s="1" t="s">
        <v>108</v>
      </c>
      <c r="D43" s="1" t="s">
        <v>107</v>
      </c>
      <c r="E43" s="28">
        <v>45261</v>
      </c>
      <c r="F43" s="14"/>
      <c r="G43" s="14" t="s">
        <v>109</v>
      </c>
      <c r="H43" s="45">
        <v>45962</v>
      </c>
      <c r="I43" s="31"/>
      <c r="J43" s="45">
        <v>45992</v>
      </c>
      <c r="K43" s="31"/>
      <c r="L43" s="28">
        <v>45966</v>
      </c>
      <c r="M43" s="29" t="s">
        <v>69</v>
      </c>
      <c r="N43" s="15" t="s">
        <v>70</v>
      </c>
      <c r="O43" s="13">
        <v>16.47</v>
      </c>
      <c r="P43" s="15" t="s">
        <v>75</v>
      </c>
      <c r="Q43" s="13">
        <v>2.96</v>
      </c>
      <c r="R43" s="29" t="s">
        <v>72</v>
      </c>
    </row>
    <row r="44" spans="1:18" x14ac:dyDescent="0.2">
      <c r="A44" s="33" t="s">
        <v>110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1"/>
      <c r="O44" s="1"/>
      <c r="P44" s="1"/>
      <c r="Q44" s="1"/>
      <c r="R44" s="1"/>
    </row>
    <row r="45" spans="1:18" ht="22.5" x14ac:dyDescent="0.2">
      <c r="A45" s="1"/>
      <c r="B45" s="1" t="s">
        <v>65</v>
      </c>
      <c r="C45" s="1" t="s">
        <v>111</v>
      </c>
      <c r="D45" s="1" t="s">
        <v>112</v>
      </c>
      <c r="E45" s="28">
        <v>44896</v>
      </c>
      <c r="F45" s="14"/>
      <c r="G45" s="14" t="s">
        <v>113</v>
      </c>
      <c r="H45" s="45">
        <v>45962</v>
      </c>
      <c r="I45" s="31"/>
      <c r="J45" s="45">
        <v>45992</v>
      </c>
      <c r="K45" s="31"/>
      <c r="L45" s="28">
        <v>45966</v>
      </c>
      <c r="M45" s="29" t="s">
        <v>69</v>
      </c>
      <c r="N45" s="15" t="s">
        <v>70</v>
      </c>
      <c r="O45" s="13">
        <v>205.8</v>
      </c>
      <c r="P45" s="15" t="s">
        <v>86</v>
      </c>
      <c r="Q45" s="13">
        <v>18.52</v>
      </c>
      <c r="R45" s="29" t="s">
        <v>72</v>
      </c>
    </row>
    <row r="46" spans="1:18" ht="22.5" x14ac:dyDescent="0.2">
      <c r="A46" s="1"/>
      <c r="B46" s="1" t="s">
        <v>65</v>
      </c>
      <c r="C46" s="1" t="s">
        <v>114</v>
      </c>
      <c r="D46" s="1" t="s">
        <v>115</v>
      </c>
      <c r="E46" s="28">
        <v>44927</v>
      </c>
      <c r="F46" s="14"/>
      <c r="G46" s="14" t="s">
        <v>116</v>
      </c>
      <c r="H46" s="45">
        <v>45962</v>
      </c>
      <c r="I46" s="31"/>
      <c r="J46" s="45">
        <v>45992</v>
      </c>
      <c r="K46" s="31"/>
      <c r="L46" s="28">
        <v>45966</v>
      </c>
      <c r="M46" s="29" t="s">
        <v>69</v>
      </c>
      <c r="N46" s="15" t="s">
        <v>70</v>
      </c>
      <c r="O46" s="13">
        <v>78.2</v>
      </c>
      <c r="P46" s="15" t="s">
        <v>86</v>
      </c>
      <c r="Q46" s="13">
        <v>7.04</v>
      </c>
      <c r="R46" s="29" t="s">
        <v>72</v>
      </c>
    </row>
    <row r="47" spans="1:18" ht="22.5" x14ac:dyDescent="0.2">
      <c r="A47" s="1"/>
      <c r="B47" s="1" t="s">
        <v>65</v>
      </c>
      <c r="C47" s="1" t="s">
        <v>117</v>
      </c>
      <c r="D47" s="1" t="s">
        <v>118</v>
      </c>
      <c r="E47" s="28">
        <v>44896</v>
      </c>
      <c r="F47" s="14"/>
      <c r="G47" s="14" t="s">
        <v>119</v>
      </c>
      <c r="H47" s="45">
        <v>45962</v>
      </c>
      <c r="I47" s="31"/>
      <c r="J47" s="45">
        <v>45992</v>
      </c>
      <c r="K47" s="31"/>
      <c r="L47" s="28">
        <v>45966</v>
      </c>
      <c r="M47" s="29" t="s">
        <v>69</v>
      </c>
      <c r="N47" s="15" t="s">
        <v>70</v>
      </c>
      <c r="O47" s="13">
        <v>212.94</v>
      </c>
      <c r="P47" s="15" t="s">
        <v>75</v>
      </c>
      <c r="Q47" s="13">
        <v>38.33</v>
      </c>
      <c r="R47" s="29" t="s">
        <v>72</v>
      </c>
    </row>
    <row r="48" spans="1:18" ht="22.5" x14ac:dyDescent="0.2">
      <c r="A48" s="1"/>
      <c r="B48" s="1" t="s">
        <v>65</v>
      </c>
      <c r="C48" s="1" t="s">
        <v>120</v>
      </c>
      <c r="D48" s="1" t="s">
        <v>121</v>
      </c>
      <c r="E48" s="28">
        <v>44835</v>
      </c>
      <c r="F48" s="14"/>
      <c r="G48" s="14" t="s">
        <v>122</v>
      </c>
      <c r="H48" s="45">
        <v>45962</v>
      </c>
      <c r="I48" s="31"/>
      <c r="J48" s="45">
        <v>45992</v>
      </c>
      <c r="K48" s="31"/>
      <c r="L48" s="28">
        <v>45966</v>
      </c>
      <c r="M48" s="29" t="s">
        <v>69</v>
      </c>
      <c r="N48" s="15" t="s">
        <v>70</v>
      </c>
      <c r="O48" s="13">
        <v>113.5</v>
      </c>
      <c r="P48" s="15" t="s">
        <v>86</v>
      </c>
      <c r="Q48" s="13">
        <v>10.220000000000001</v>
      </c>
      <c r="R48" s="29" t="s">
        <v>72</v>
      </c>
    </row>
    <row r="49" spans="1:18" ht="22.5" x14ac:dyDescent="0.2">
      <c r="A49" s="1"/>
      <c r="B49" s="1" t="s">
        <v>65</v>
      </c>
      <c r="C49" s="1" t="s">
        <v>123</v>
      </c>
      <c r="D49" s="1" t="s">
        <v>124</v>
      </c>
      <c r="E49" s="28">
        <v>44896</v>
      </c>
      <c r="F49" s="14"/>
      <c r="G49" s="14" t="s">
        <v>125</v>
      </c>
      <c r="H49" s="45">
        <v>45962</v>
      </c>
      <c r="I49" s="31"/>
      <c r="J49" s="45">
        <v>45992</v>
      </c>
      <c r="K49" s="31"/>
      <c r="L49" s="28">
        <v>45966</v>
      </c>
      <c r="M49" s="29" t="s">
        <v>69</v>
      </c>
      <c r="N49" s="15" t="s">
        <v>70</v>
      </c>
      <c r="O49" s="13">
        <v>407.69</v>
      </c>
      <c r="P49" s="15" t="s">
        <v>86</v>
      </c>
      <c r="Q49" s="13">
        <v>36.69</v>
      </c>
      <c r="R49" s="29" t="s">
        <v>72</v>
      </c>
    </row>
    <row r="50" spans="1:18" ht="22.5" x14ac:dyDescent="0.2">
      <c r="A50" s="1"/>
      <c r="B50" s="1" t="s">
        <v>65</v>
      </c>
      <c r="C50" s="1" t="s">
        <v>126</v>
      </c>
      <c r="D50" s="1" t="s">
        <v>127</v>
      </c>
      <c r="E50" s="28">
        <v>44896</v>
      </c>
      <c r="F50" s="14"/>
      <c r="G50" s="14" t="s">
        <v>85</v>
      </c>
      <c r="H50" s="45">
        <v>45962</v>
      </c>
      <c r="I50" s="31"/>
      <c r="J50" s="45">
        <v>45992</v>
      </c>
      <c r="K50" s="31"/>
      <c r="L50" s="28">
        <v>45966</v>
      </c>
      <c r="M50" s="29" t="s">
        <v>69</v>
      </c>
      <c r="N50" s="15" t="s">
        <v>70</v>
      </c>
      <c r="O50" s="13">
        <v>16</v>
      </c>
      <c r="P50" s="15" t="s">
        <v>86</v>
      </c>
      <c r="Q50" s="13">
        <v>1.44</v>
      </c>
      <c r="R50" s="29" t="s">
        <v>72</v>
      </c>
    </row>
    <row r="51" spans="1:18" ht="22.5" x14ac:dyDescent="0.2">
      <c r="A51" s="1"/>
      <c r="B51" s="1" t="s">
        <v>65</v>
      </c>
      <c r="C51" s="1" t="s">
        <v>128</v>
      </c>
      <c r="D51" s="1" t="s">
        <v>129</v>
      </c>
      <c r="E51" s="28">
        <v>44927</v>
      </c>
      <c r="F51" s="14"/>
      <c r="G51" s="14" t="s">
        <v>130</v>
      </c>
      <c r="H51" s="45">
        <v>45962</v>
      </c>
      <c r="I51" s="31"/>
      <c r="J51" s="45">
        <v>45992</v>
      </c>
      <c r="K51" s="31"/>
      <c r="L51" s="28">
        <v>45966</v>
      </c>
      <c r="M51" s="29" t="s">
        <v>69</v>
      </c>
      <c r="N51" s="15" t="s">
        <v>70</v>
      </c>
      <c r="O51" s="13">
        <v>67.03</v>
      </c>
      <c r="P51" s="15" t="s">
        <v>86</v>
      </c>
      <c r="Q51" s="13">
        <v>6.03</v>
      </c>
      <c r="R51" s="29" t="s">
        <v>72</v>
      </c>
    </row>
    <row r="52" spans="1:18" ht="22.5" x14ac:dyDescent="0.2">
      <c r="A52" s="1"/>
      <c r="B52" s="1" t="s">
        <v>65</v>
      </c>
      <c r="C52" s="1" t="s">
        <v>131</v>
      </c>
      <c r="D52" s="1" t="s">
        <v>132</v>
      </c>
      <c r="E52" s="28">
        <v>44927</v>
      </c>
      <c r="F52" s="14"/>
      <c r="G52" s="14" t="s">
        <v>122</v>
      </c>
      <c r="H52" s="45">
        <v>45962</v>
      </c>
      <c r="I52" s="31"/>
      <c r="J52" s="45">
        <v>45992</v>
      </c>
      <c r="K52" s="31"/>
      <c r="L52" s="28">
        <v>45966</v>
      </c>
      <c r="M52" s="29" t="s">
        <v>69</v>
      </c>
      <c r="N52" s="15" t="s">
        <v>70</v>
      </c>
      <c r="O52" s="13">
        <v>165.5</v>
      </c>
      <c r="P52" s="15" t="s">
        <v>86</v>
      </c>
      <c r="Q52" s="13">
        <v>14.9</v>
      </c>
      <c r="R52" s="29" t="s">
        <v>72</v>
      </c>
    </row>
    <row r="53" spans="1:18" ht="22.5" x14ac:dyDescent="0.2">
      <c r="A53" s="1"/>
      <c r="B53" s="1" t="s">
        <v>65</v>
      </c>
      <c r="C53" s="1" t="s">
        <v>133</v>
      </c>
      <c r="D53" s="1" t="s">
        <v>134</v>
      </c>
      <c r="E53" s="28">
        <v>44835</v>
      </c>
      <c r="F53" s="14"/>
      <c r="G53" s="14" t="s">
        <v>135</v>
      </c>
      <c r="H53" s="45">
        <v>45962</v>
      </c>
      <c r="I53" s="31"/>
      <c r="J53" s="45">
        <v>45992</v>
      </c>
      <c r="K53" s="31"/>
      <c r="L53" s="28">
        <v>45966</v>
      </c>
      <c r="M53" s="29" t="s">
        <v>69</v>
      </c>
      <c r="N53" s="15" t="s">
        <v>70</v>
      </c>
      <c r="O53" s="13">
        <v>77.8</v>
      </c>
      <c r="P53" s="15" t="s">
        <v>86</v>
      </c>
      <c r="Q53" s="13">
        <v>7</v>
      </c>
      <c r="R53" s="29" t="s">
        <v>72</v>
      </c>
    </row>
    <row r="54" spans="1:18" ht="33.75" x14ac:dyDescent="0.2">
      <c r="A54" s="1"/>
      <c r="B54" s="1" t="s">
        <v>65</v>
      </c>
      <c r="C54" s="1" t="s">
        <v>136</v>
      </c>
      <c r="D54" s="1" t="s">
        <v>137</v>
      </c>
      <c r="E54" s="28">
        <v>44930</v>
      </c>
      <c r="F54" s="14"/>
      <c r="G54" s="14" t="s">
        <v>85</v>
      </c>
      <c r="H54" s="45">
        <v>45962</v>
      </c>
      <c r="I54" s="31"/>
      <c r="J54" s="45">
        <v>45992</v>
      </c>
      <c r="K54" s="31"/>
      <c r="L54" s="28">
        <v>45967</v>
      </c>
      <c r="M54" s="29" t="s">
        <v>69</v>
      </c>
      <c r="N54" s="15" t="s">
        <v>70</v>
      </c>
      <c r="O54" s="13">
        <v>9</v>
      </c>
      <c r="P54" s="15" t="s">
        <v>86</v>
      </c>
      <c r="Q54" s="13">
        <v>0.81</v>
      </c>
      <c r="R54" s="29" t="s">
        <v>72</v>
      </c>
    </row>
    <row r="55" spans="1:18" ht="22.5" x14ac:dyDescent="0.2">
      <c r="A55" s="1"/>
      <c r="B55" s="1" t="s">
        <v>65</v>
      </c>
      <c r="C55" s="1" t="s">
        <v>138</v>
      </c>
      <c r="D55" s="1" t="s">
        <v>139</v>
      </c>
      <c r="E55" s="28">
        <v>44927</v>
      </c>
      <c r="F55" s="14"/>
      <c r="G55" s="14" t="s">
        <v>135</v>
      </c>
      <c r="H55" s="45">
        <v>45962</v>
      </c>
      <c r="I55" s="31"/>
      <c r="J55" s="45">
        <v>45992</v>
      </c>
      <c r="K55" s="31"/>
      <c r="L55" s="28">
        <v>45966</v>
      </c>
      <c r="M55" s="29" t="s">
        <v>69</v>
      </c>
      <c r="N55" s="15" t="s">
        <v>70</v>
      </c>
      <c r="O55" s="13">
        <v>90.85</v>
      </c>
      <c r="P55" s="15" t="s">
        <v>86</v>
      </c>
      <c r="Q55" s="13">
        <v>8.18</v>
      </c>
      <c r="R55" s="29" t="s">
        <v>72</v>
      </c>
    </row>
    <row r="56" spans="1:18" ht="22.5" x14ac:dyDescent="0.2">
      <c r="A56" s="1"/>
      <c r="B56" s="1" t="s">
        <v>65</v>
      </c>
      <c r="C56" s="1" t="s">
        <v>140</v>
      </c>
      <c r="D56" s="1" t="s">
        <v>141</v>
      </c>
      <c r="E56" s="28">
        <v>44958</v>
      </c>
      <c r="F56" s="14"/>
      <c r="G56" s="14" t="s">
        <v>142</v>
      </c>
      <c r="H56" s="45">
        <v>45962</v>
      </c>
      <c r="I56" s="31"/>
      <c r="J56" s="45">
        <v>45992</v>
      </c>
      <c r="K56" s="31"/>
      <c r="L56" s="28">
        <v>45966</v>
      </c>
      <c r="M56" s="29" t="s">
        <v>69</v>
      </c>
      <c r="N56" s="15" t="s">
        <v>70</v>
      </c>
      <c r="O56" s="13">
        <v>44</v>
      </c>
      <c r="P56" s="15" t="s">
        <v>86</v>
      </c>
      <c r="Q56" s="13">
        <v>3.96</v>
      </c>
      <c r="R56" s="29" t="s">
        <v>72</v>
      </c>
    </row>
    <row r="57" spans="1:18" ht="22.5" x14ac:dyDescent="0.2">
      <c r="A57" s="1"/>
      <c r="B57" s="1" t="s">
        <v>65</v>
      </c>
      <c r="C57" s="1" t="s">
        <v>143</v>
      </c>
      <c r="D57" s="1" t="s">
        <v>144</v>
      </c>
      <c r="E57" s="28">
        <v>44958</v>
      </c>
      <c r="F57" s="14"/>
      <c r="G57" s="14" t="s">
        <v>145</v>
      </c>
      <c r="H57" s="45">
        <v>45962</v>
      </c>
      <c r="I57" s="31"/>
      <c r="J57" s="45">
        <v>45992</v>
      </c>
      <c r="K57" s="31"/>
      <c r="L57" s="28">
        <v>45966</v>
      </c>
      <c r="M57" s="29" t="s">
        <v>69</v>
      </c>
      <c r="N57" s="15" t="s">
        <v>70</v>
      </c>
      <c r="O57" s="13">
        <v>97.06</v>
      </c>
      <c r="P57" s="15" t="s">
        <v>86</v>
      </c>
      <c r="Q57" s="13">
        <v>8.74</v>
      </c>
      <c r="R57" s="29" t="s">
        <v>72</v>
      </c>
    </row>
    <row r="58" spans="1:18" ht="22.5" x14ac:dyDescent="0.2">
      <c r="A58" s="1"/>
      <c r="B58" s="1" t="s">
        <v>65</v>
      </c>
      <c r="C58" s="1" t="s">
        <v>146</v>
      </c>
      <c r="D58" s="1" t="s">
        <v>147</v>
      </c>
      <c r="E58" s="28">
        <v>44927</v>
      </c>
      <c r="F58" s="14"/>
      <c r="G58" s="14" t="s">
        <v>145</v>
      </c>
      <c r="H58" s="45">
        <v>45962</v>
      </c>
      <c r="I58" s="31"/>
      <c r="J58" s="45">
        <v>45992</v>
      </c>
      <c r="K58" s="31"/>
      <c r="L58" s="28">
        <v>45966</v>
      </c>
      <c r="M58" s="29" t="s">
        <v>69</v>
      </c>
      <c r="N58" s="15" t="s">
        <v>70</v>
      </c>
      <c r="O58" s="13">
        <v>50</v>
      </c>
      <c r="P58" s="15" t="s">
        <v>86</v>
      </c>
      <c r="Q58" s="13">
        <v>4.5</v>
      </c>
      <c r="R58" s="29" t="s">
        <v>72</v>
      </c>
    </row>
    <row r="59" spans="1:18" ht="22.5" x14ac:dyDescent="0.2">
      <c r="A59" s="1"/>
      <c r="B59" s="1" t="s">
        <v>65</v>
      </c>
      <c r="C59" s="1" t="s">
        <v>148</v>
      </c>
      <c r="D59" s="1" t="s">
        <v>149</v>
      </c>
      <c r="E59" s="28">
        <v>44986</v>
      </c>
      <c r="F59" s="14"/>
      <c r="G59" s="14" t="s">
        <v>135</v>
      </c>
      <c r="H59" s="45">
        <v>45962</v>
      </c>
      <c r="I59" s="31"/>
      <c r="J59" s="45">
        <v>45992</v>
      </c>
      <c r="K59" s="31"/>
      <c r="L59" s="28">
        <v>45966</v>
      </c>
      <c r="M59" s="29" t="s">
        <v>69</v>
      </c>
      <c r="N59" s="15" t="s">
        <v>70</v>
      </c>
      <c r="O59" s="13">
        <v>52.3</v>
      </c>
      <c r="P59" s="15" t="s">
        <v>86</v>
      </c>
      <c r="Q59" s="13">
        <v>4.71</v>
      </c>
      <c r="R59" s="29" t="s">
        <v>72</v>
      </c>
    </row>
    <row r="60" spans="1:18" ht="22.5" x14ac:dyDescent="0.2">
      <c r="A60" s="1"/>
      <c r="B60" s="1" t="s">
        <v>65</v>
      </c>
      <c r="C60" s="1" t="s">
        <v>150</v>
      </c>
      <c r="D60" s="1" t="s">
        <v>151</v>
      </c>
      <c r="E60" s="28">
        <v>44879</v>
      </c>
      <c r="F60" s="14"/>
      <c r="G60" s="14" t="s">
        <v>145</v>
      </c>
      <c r="H60" s="45">
        <v>45976</v>
      </c>
      <c r="I60" s="31"/>
      <c r="J60" s="45">
        <v>45992</v>
      </c>
      <c r="K60" s="31"/>
      <c r="L60" s="28">
        <v>45968</v>
      </c>
      <c r="M60" s="29" t="s">
        <v>69</v>
      </c>
      <c r="N60" s="15" t="s">
        <v>70</v>
      </c>
      <c r="O60" s="13">
        <v>94.06</v>
      </c>
      <c r="P60" s="15" t="s">
        <v>86</v>
      </c>
      <c r="Q60" s="13">
        <v>8.4700000000000006</v>
      </c>
      <c r="R60" s="29" t="s">
        <v>72</v>
      </c>
    </row>
    <row r="61" spans="1:18" ht="22.5" x14ac:dyDescent="0.2">
      <c r="A61" s="1"/>
      <c r="B61" s="1" t="s">
        <v>65</v>
      </c>
      <c r="C61" s="1" t="s">
        <v>150</v>
      </c>
      <c r="D61" s="1" t="s">
        <v>151</v>
      </c>
      <c r="E61" s="28">
        <v>44879</v>
      </c>
      <c r="F61" s="14"/>
      <c r="G61" s="14" t="s">
        <v>145</v>
      </c>
      <c r="H61" s="45">
        <v>45962</v>
      </c>
      <c r="I61" s="31"/>
      <c r="J61" s="45">
        <v>45975</v>
      </c>
      <c r="K61" s="31"/>
      <c r="L61" s="28">
        <v>45968</v>
      </c>
      <c r="M61" s="29" t="s">
        <v>69</v>
      </c>
      <c r="N61" s="15" t="s">
        <v>70</v>
      </c>
      <c r="O61" s="13">
        <v>71.930000000000007</v>
      </c>
      <c r="P61" s="15" t="s">
        <v>86</v>
      </c>
      <c r="Q61" s="13">
        <v>6.47</v>
      </c>
      <c r="R61" s="29" t="s">
        <v>72</v>
      </c>
    </row>
    <row r="62" spans="1:18" ht="22.5" x14ac:dyDescent="0.2">
      <c r="A62" s="1"/>
      <c r="B62" s="1" t="s">
        <v>65</v>
      </c>
      <c r="C62" s="1" t="s">
        <v>152</v>
      </c>
      <c r="D62" s="1" t="s">
        <v>153</v>
      </c>
      <c r="E62" s="28">
        <v>44880</v>
      </c>
      <c r="F62" s="14"/>
      <c r="G62" s="14" t="s">
        <v>113</v>
      </c>
      <c r="H62" s="45">
        <v>45962</v>
      </c>
      <c r="I62" s="31"/>
      <c r="J62" s="45">
        <v>45976</v>
      </c>
      <c r="K62" s="31"/>
      <c r="L62" s="28">
        <v>45968</v>
      </c>
      <c r="M62" s="29" t="s">
        <v>69</v>
      </c>
      <c r="N62" s="15" t="s">
        <v>70</v>
      </c>
      <c r="O62" s="13">
        <v>29.17</v>
      </c>
      <c r="P62" s="15" t="s">
        <v>86</v>
      </c>
      <c r="Q62" s="13">
        <v>2.63</v>
      </c>
      <c r="R62" s="29" t="s">
        <v>72</v>
      </c>
    </row>
    <row r="63" spans="1:18" ht="22.5" x14ac:dyDescent="0.2">
      <c r="A63" s="1"/>
      <c r="B63" s="1" t="s">
        <v>65</v>
      </c>
      <c r="C63" s="1" t="s">
        <v>152</v>
      </c>
      <c r="D63" s="1" t="s">
        <v>153</v>
      </c>
      <c r="E63" s="28">
        <v>44880</v>
      </c>
      <c r="F63" s="14"/>
      <c r="G63" s="14" t="s">
        <v>113</v>
      </c>
      <c r="H63" s="45">
        <v>45977</v>
      </c>
      <c r="I63" s="31"/>
      <c r="J63" s="45">
        <v>45992</v>
      </c>
      <c r="K63" s="31"/>
      <c r="L63" s="28">
        <v>45968</v>
      </c>
      <c r="M63" s="29" t="s">
        <v>69</v>
      </c>
      <c r="N63" s="15" t="s">
        <v>70</v>
      </c>
      <c r="O63" s="13">
        <v>33.33</v>
      </c>
      <c r="P63" s="15" t="s">
        <v>86</v>
      </c>
      <c r="Q63" s="13">
        <v>3</v>
      </c>
      <c r="R63" s="29" t="s">
        <v>72</v>
      </c>
    </row>
    <row r="64" spans="1:18" ht="22.5" x14ac:dyDescent="0.2">
      <c r="A64" s="1"/>
      <c r="B64" s="1" t="s">
        <v>65</v>
      </c>
      <c r="C64" s="1" t="s">
        <v>154</v>
      </c>
      <c r="D64" s="1" t="s">
        <v>155</v>
      </c>
      <c r="E64" s="28">
        <v>44927</v>
      </c>
      <c r="F64" s="14"/>
      <c r="G64" s="14" t="s">
        <v>113</v>
      </c>
      <c r="H64" s="45">
        <v>45962</v>
      </c>
      <c r="I64" s="31"/>
      <c r="J64" s="45">
        <v>45992</v>
      </c>
      <c r="K64" s="31"/>
      <c r="L64" s="28">
        <v>45966</v>
      </c>
      <c r="M64" s="29" t="s">
        <v>69</v>
      </c>
      <c r="N64" s="15" t="s">
        <v>70</v>
      </c>
      <c r="O64" s="13">
        <v>125.5</v>
      </c>
      <c r="P64" s="15" t="s">
        <v>86</v>
      </c>
      <c r="Q64" s="13">
        <v>11.3</v>
      </c>
      <c r="R64" s="29" t="s">
        <v>72</v>
      </c>
    </row>
    <row r="65" spans="1:18" ht="22.5" x14ac:dyDescent="0.2">
      <c r="A65" s="1"/>
      <c r="B65" s="1" t="s">
        <v>65</v>
      </c>
      <c r="C65" s="1" t="s">
        <v>156</v>
      </c>
      <c r="D65" s="1" t="s">
        <v>157</v>
      </c>
      <c r="E65" s="28">
        <v>44958</v>
      </c>
      <c r="F65" s="14"/>
      <c r="G65" s="14" t="s">
        <v>158</v>
      </c>
      <c r="H65" s="45">
        <v>45962</v>
      </c>
      <c r="I65" s="31"/>
      <c r="J65" s="45">
        <v>45992</v>
      </c>
      <c r="K65" s="31"/>
      <c r="L65" s="28">
        <v>45966</v>
      </c>
      <c r="M65" s="29" t="s">
        <v>69</v>
      </c>
      <c r="N65" s="15" t="s">
        <v>70</v>
      </c>
      <c r="O65" s="13">
        <v>221</v>
      </c>
      <c r="P65" s="15" t="s">
        <v>86</v>
      </c>
      <c r="Q65" s="13">
        <v>19.89</v>
      </c>
      <c r="R65" s="29" t="s">
        <v>72</v>
      </c>
    </row>
    <row r="66" spans="1:18" ht="22.5" x14ac:dyDescent="0.2">
      <c r="A66" s="1"/>
      <c r="B66" s="1" t="s">
        <v>65</v>
      </c>
      <c r="C66" s="1" t="s">
        <v>159</v>
      </c>
      <c r="D66" s="1" t="s">
        <v>160</v>
      </c>
      <c r="E66" s="28">
        <v>44958</v>
      </c>
      <c r="F66" s="14"/>
      <c r="G66" s="14" t="s">
        <v>135</v>
      </c>
      <c r="H66" s="45">
        <v>45962</v>
      </c>
      <c r="I66" s="31"/>
      <c r="J66" s="45">
        <v>45992</v>
      </c>
      <c r="K66" s="31"/>
      <c r="L66" s="28">
        <v>45966</v>
      </c>
      <c r="M66" s="29" t="s">
        <v>69</v>
      </c>
      <c r="N66" s="15" t="s">
        <v>70</v>
      </c>
      <c r="O66" s="13">
        <v>72.150000000000006</v>
      </c>
      <c r="P66" s="15" t="s">
        <v>86</v>
      </c>
      <c r="Q66" s="13">
        <v>6.49</v>
      </c>
      <c r="R66" s="29" t="s">
        <v>72</v>
      </c>
    </row>
    <row r="67" spans="1:18" x14ac:dyDescent="0.2">
      <c r="A67" s="33" t="s">
        <v>64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1"/>
      <c r="O67" s="1"/>
      <c r="P67" s="1"/>
      <c r="Q67" s="1"/>
      <c r="R67" s="1"/>
    </row>
    <row r="68" spans="1:18" ht="22.5" x14ac:dyDescent="0.2">
      <c r="A68" s="1"/>
      <c r="B68" s="1" t="s">
        <v>65</v>
      </c>
      <c r="C68" s="1" t="s">
        <v>161</v>
      </c>
      <c r="D68" s="1" t="s">
        <v>162</v>
      </c>
      <c r="E68" s="28">
        <v>45383</v>
      </c>
      <c r="F68" s="14"/>
      <c r="G68" s="14" t="s">
        <v>163</v>
      </c>
      <c r="H68" s="45">
        <v>45962</v>
      </c>
      <c r="I68" s="31"/>
      <c r="J68" s="45">
        <v>45992</v>
      </c>
      <c r="K68" s="31"/>
      <c r="L68" s="28">
        <v>45966</v>
      </c>
      <c r="M68" s="29" t="s">
        <v>69</v>
      </c>
      <c r="N68" s="15" t="s">
        <v>70</v>
      </c>
      <c r="O68" s="13">
        <v>39.06</v>
      </c>
      <c r="P68" s="15" t="s">
        <v>78</v>
      </c>
      <c r="Q68" s="13">
        <v>2.73</v>
      </c>
      <c r="R68" s="29" t="s">
        <v>72</v>
      </c>
    </row>
    <row r="69" spans="1:18" ht="22.5" x14ac:dyDescent="0.2">
      <c r="A69" s="1"/>
      <c r="B69" s="1" t="s">
        <v>65</v>
      </c>
      <c r="C69" s="1" t="s">
        <v>164</v>
      </c>
      <c r="D69" s="1" t="s">
        <v>162</v>
      </c>
      <c r="E69" s="28">
        <v>45383</v>
      </c>
      <c r="F69" s="14"/>
      <c r="G69" s="14" t="s">
        <v>74</v>
      </c>
      <c r="H69" s="45">
        <v>45962</v>
      </c>
      <c r="I69" s="31"/>
      <c r="J69" s="45">
        <v>45992</v>
      </c>
      <c r="K69" s="31"/>
      <c r="L69" s="28">
        <v>45966</v>
      </c>
      <c r="M69" s="29" t="s">
        <v>69</v>
      </c>
      <c r="N69" s="15" t="s">
        <v>70</v>
      </c>
      <c r="O69" s="13">
        <v>28.37</v>
      </c>
      <c r="P69" s="15" t="s">
        <v>75</v>
      </c>
      <c r="Q69" s="13">
        <v>5.1100000000000003</v>
      </c>
      <c r="R69" s="29" t="s">
        <v>72</v>
      </c>
    </row>
    <row r="70" spans="1:18" ht="22.5" x14ac:dyDescent="0.2">
      <c r="A70" s="1"/>
      <c r="B70" s="1" t="s">
        <v>65</v>
      </c>
      <c r="C70" s="1" t="s">
        <v>165</v>
      </c>
      <c r="D70" s="1" t="s">
        <v>166</v>
      </c>
      <c r="E70" s="28">
        <v>45170</v>
      </c>
      <c r="F70" s="14"/>
      <c r="G70" s="14" t="s">
        <v>167</v>
      </c>
      <c r="H70" s="45">
        <v>45962</v>
      </c>
      <c r="I70" s="31"/>
      <c r="J70" s="45">
        <v>45992</v>
      </c>
      <c r="K70" s="31"/>
      <c r="L70" s="28">
        <v>45966</v>
      </c>
      <c r="M70" s="29" t="s">
        <v>69</v>
      </c>
      <c r="N70" s="15" t="s">
        <v>70</v>
      </c>
      <c r="O70" s="13">
        <v>37.15</v>
      </c>
      <c r="P70" s="15" t="s">
        <v>71</v>
      </c>
      <c r="Q70" s="13">
        <v>1.67</v>
      </c>
      <c r="R70" s="29" t="s">
        <v>72</v>
      </c>
    </row>
    <row r="71" spans="1:18" ht="22.5" x14ac:dyDescent="0.2">
      <c r="A71" s="1"/>
      <c r="B71" s="1" t="s">
        <v>65</v>
      </c>
      <c r="C71" s="1" t="s">
        <v>168</v>
      </c>
      <c r="D71" s="1" t="s">
        <v>166</v>
      </c>
      <c r="E71" s="28">
        <v>45170</v>
      </c>
      <c r="F71" s="14"/>
      <c r="G71" s="14" t="s">
        <v>74</v>
      </c>
      <c r="H71" s="45">
        <v>45962</v>
      </c>
      <c r="I71" s="31"/>
      <c r="J71" s="45">
        <v>45992</v>
      </c>
      <c r="K71" s="31"/>
      <c r="L71" s="28">
        <v>45966</v>
      </c>
      <c r="M71" s="29" t="s">
        <v>69</v>
      </c>
      <c r="N71" s="15" t="s">
        <v>70</v>
      </c>
      <c r="O71" s="13">
        <v>42.1</v>
      </c>
      <c r="P71" s="15" t="s">
        <v>75</v>
      </c>
      <c r="Q71" s="13">
        <v>7.58</v>
      </c>
      <c r="R71" s="29" t="s">
        <v>72</v>
      </c>
    </row>
    <row r="72" spans="1:18" ht="22.5" x14ac:dyDescent="0.2">
      <c r="A72" s="1"/>
      <c r="B72" s="1" t="s">
        <v>65</v>
      </c>
      <c r="C72" s="1" t="s">
        <v>169</v>
      </c>
      <c r="D72" s="1" t="s">
        <v>170</v>
      </c>
      <c r="E72" s="28">
        <v>45292</v>
      </c>
      <c r="F72" s="14"/>
      <c r="G72" s="14" t="s">
        <v>171</v>
      </c>
      <c r="H72" s="45">
        <v>45962</v>
      </c>
      <c r="I72" s="31"/>
      <c r="J72" s="45">
        <v>45992</v>
      </c>
      <c r="K72" s="31"/>
      <c r="L72" s="28">
        <v>45966</v>
      </c>
      <c r="M72" s="29" t="s">
        <v>69</v>
      </c>
      <c r="N72" s="15" t="s">
        <v>70</v>
      </c>
      <c r="O72" s="13">
        <v>15</v>
      </c>
      <c r="P72" s="15" t="s">
        <v>86</v>
      </c>
      <c r="Q72" s="13">
        <v>1.35</v>
      </c>
      <c r="R72" s="29" t="s">
        <v>72</v>
      </c>
    </row>
    <row r="73" spans="1:18" ht="22.5" x14ac:dyDescent="0.2">
      <c r="A73" s="1"/>
      <c r="B73" s="1" t="s">
        <v>65</v>
      </c>
      <c r="C73" s="1" t="s">
        <v>172</v>
      </c>
      <c r="D73" s="1" t="s">
        <v>170</v>
      </c>
      <c r="E73" s="28">
        <v>45292</v>
      </c>
      <c r="F73" s="14"/>
      <c r="G73" s="14" t="s">
        <v>173</v>
      </c>
      <c r="H73" s="45">
        <v>45962</v>
      </c>
      <c r="I73" s="31"/>
      <c r="J73" s="45">
        <v>45992</v>
      </c>
      <c r="K73" s="31"/>
      <c r="L73" s="28">
        <v>45966</v>
      </c>
      <c r="M73" s="29" t="s">
        <v>69</v>
      </c>
      <c r="N73" s="15" t="s">
        <v>70</v>
      </c>
      <c r="O73" s="13">
        <v>52.29</v>
      </c>
      <c r="P73" s="15" t="s">
        <v>75</v>
      </c>
      <c r="Q73" s="13">
        <v>9.41</v>
      </c>
      <c r="R73" s="29" t="s">
        <v>72</v>
      </c>
    </row>
    <row r="74" spans="1:18" ht="22.5" x14ac:dyDescent="0.2">
      <c r="A74" s="1"/>
      <c r="B74" s="1" t="s">
        <v>65</v>
      </c>
      <c r="C74" s="1" t="s">
        <v>174</v>
      </c>
      <c r="D74" s="1" t="s">
        <v>175</v>
      </c>
      <c r="E74" s="28">
        <v>45139</v>
      </c>
      <c r="F74" s="14"/>
      <c r="G74" s="14" t="s">
        <v>163</v>
      </c>
      <c r="H74" s="45">
        <v>45962</v>
      </c>
      <c r="I74" s="31"/>
      <c r="J74" s="45">
        <v>45992</v>
      </c>
      <c r="K74" s="31"/>
      <c r="L74" s="28">
        <v>45966</v>
      </c>
      <c r="M74" s="29" t="s">
        <v>69</v>
      </c>
      <c r="N74" s="15" t="s">
        <v>70</v>
      </c>
      <c r="O74" s="13">
        <v>39.06</v>
      </c>
      <c r="P74" s="15" t="s">
        <v>78</v>
      </c>
      <c r="Q74" s="13">
        <v>2.73</v>
      </c>
      <c r="R74" s="29" t="s">
        <v>72</v>
      </c>
    </row>
    <row r="75" spans="1:18" ht="22.5" x14ac:dyDescent="0.2">
      <c r="A75" s="1"/>
      <c r="B75" s="1" t="s">
        <v>65</v>
      </c>
      <c r="C75" s="1" t="s">
        <v>176</v>
      </c>
      <c r="D75" s="1" t="s">
        <v>175</v>
      </c>
      <c r="E75" s="28">
        <v>45139</v>
      </c>
      <c r="F75" s="14"/>
      <c r="G75" s="14" t="s">
        <v>74</v>
      </c>
      <c r="H75" s="45">
        <v>45962</v>
      </c>
      <c r="I75" s="31"/>
      <c r="J75" s="45">
        <v>45992</v>
      </c>
      <c r="K75" s="31"/>
      <c r="L75" s="28">
        <v>45966</v>
      </c>
      <c r="M75" s="29" t="s">
        <v>69</v>
      </c>
      <c r="N75" s="15" t="s">
        <v>70</v>
      </c>
      <c r="O75" s="13">
        <v>48.9</v>
      </c>
      <c r="P75" s="15" t="s">
        <v>75</v>
      </c>
      <c r="Q75" s="13">
        <v>8.8000000000000007</v>
      </c>
      <c r="R75" s="29" t="s">
        <v>72</v>
      </c>
    </row>
    <row r="76" spans="1:18" ht="22.5" x14ac:dyDescent="0.2">
      <c r="A76" s="1"/>
      <c r="B76" s="1" t="s">
        <v>65</v>
      </c>
      <c r="C76" s="1" t="s">
        <v>177</v>
      </c>
      <c r="D76" s="1" t="s">
        <v>178</v>
      </c>
      <c r="E76" s="28">
        <v>45017</v>
      </c>
      <c r="F76" s="14"/>
      <c r="G76" s="14" t="s">
        <v>74</v>
      </c>
      <c r="H76" s="45">
        <v>45962</v>
      </c>
      <c r="I76" s="31"/>
      <c r="J76" s="45">
        <v>45992</v>
      </c>
      <c r="K76" s="31"/>
      <c r="L76" s="28">
        <v>45966</v>
      </c>
      <c r="M76" s="29" t="s">
        <v>69</v>
      </c>
      <c r="N76" s="15" t="s">
        <v>70</v>
      </c>
      <c r="O76" s="13">
        <v>106.93</v>
      </c>
      <c r="P76" s="15" t="s">
        <v>179</v>
      </c>
      <c r="Q76" s="13">
        <v>6.42</v>
      </c>
      <c r="R76" s="29" t="s">
        <v>72</v>
      </c>
    </row>
    <row r="77" spans="1:18" ht="22.5" x14ac:dyDescent="0.2">
      <c r="A77" s="1"/>
      <c r="B77" s="1" t="s">
        <v>65</v>
      </c>
      <c r="C77" s="1" t="s">
        <v>180</v>
      </c>
      <c r="D77" s="1" t="s">
        <v>181</v>
      </c>
      <c r="E77" s="28">
        <v>45200</v>
      </c>
      <c r="F77" s="14"/>
      <c r="G77" s="14" t="s">
        <v>182</v>
      </c>
      <c r="H77" s="45">
        <v>45962</v>
      </c>
      <c r="I77" s="31"/>
      <c r="J77" s="45">
        <v>45992</v>
      </c>
      <c r="K77" s="31"/>
      <c r="L77" s="28">
        <v>45966</v>
      </c>
      <c r="M77" s="29" t="s">
        <v>69</v>
      </c>
      <c r="N77" s="15" t="s">
        <v>70</v>
      </c>
      <c r="O77" s="13">
        <v>37.96</v>
      </c>
      <c r="P77" s="15" t="s">
        <v>71</v>
      </c>
      <c r="Q77" s="13">
        <v>1.71</v>
      </c>
      <c r="R77" s="29" t="s">
        <v>72</v>
      </c>
    </row>
    <row r="78" spans="1:18" ht="22.5" x14ac:dyDescent="0.2">
      <c r="A78" s="1"/>
      <c r="B78" s="1" t="s">
        <v>65</v>
      </c>
      <c r="C78" s="1" t="s">
        <v>183</v>
      </c>
      <c r="D78" s="1" t="s">
        <v>181</v>
      </c>
      <c r="E78" s="28">
        <v>45200</v>
      </c>
      <c r="F78" s="14"/>
      <c r="G78" s="14" t="s">
        <v>74</v>
      </c>
      <c r="H78" s="45">
        <v>45962</v>
      </c>
      <c r="I78" s="31"/>
      <c r="J78" s="45">
        <v>45992</v>
      </c>
      <c r="K78" s="31"/>
      <c r="L78" s="28">
        <v>45966</v>
      </c>
      <c r="M78" s="29" t="s">
        <v>69</v>
      </c>
      <c r="N78" s="15" t="s">
        <v>70</v>
      </c>
      <c r="O78" s="13">
        <v>31.04</v>
      </c>
      <c r="P78" s="15" t="s">
        <v>86</v>
      </c>
      <c r="Q78" s="13">
        <v>2.79</v>
      </c>
      <c r="R78" s="29" t="s">
        <v>72</v>
      </c>
    </row>
    <row r="79" spans="1:18" ht="33.75" x14ac:dyDescent="0.2">
      <c r="A79" s="1"/>
      <c r="B79" s="1" t="s">
        <v>65</v>
      </c>
      <c r="C79" s="1" t="s">
        <v>184</v>
      </c>
      <c r="D79" s="1" t="s">
        <v>185</v>
      </c>
      <c r="E79" s="28">
        <v>45383</v>
      </c>
      <c r="F79" s="14"/>
      <c r="G79" s="14" t="s">
        <v>77</v>
      </c>
      <c r="H79" s="45">
        <v>45962</v>
      </c>
      <c r="I79" s="31"/>
      <c r="J79" s="45">
        <v>45992</v>
      </c>
      <c r="K79" s="31"/>
      <c r="L79" s="28">
        <v>45966</v>
      </c>
      <c r="M79" s="29" t="s">
        <v>69</v>
      </c>
      <c r="N79" s="15" t="s">
        <v>70</v>
      </c>
      <c r="O79" s="13">
        <v>26.56</v>
      </c>
      <c r="P79" s="15" t="s">
        <v>78</v>
      </c>
      <c r="Q79" s="13">
        <v>1.86</v>
      </c>
      <c r="R79" s="29" t="s">
        <v>72</v>
      </c>
    </row>
    <row r="80" spans="1:18" ht="22.5" x14ac:dyDescent="0.2">
      <c r="A80" s="1"/>
      <c r="B80" s="1" t="s">
        <v>65</v>
      </c>
      <c r="C80" s="1" t="s">
        <v>186</v>
      </c>
      <c r="D80" s="1" t="s">
        <v>187</v>
      </c>
      <c r="E80" s="28">
        <v>45292</v>
      </c>
      <c r="F80" s="14"/>
      <c r="G80" s="14" t="s">
        <v>171</v>
      </c>
      <c r="H80" s="45">
        <v>45962</v>
      </c>
      <c r="I80" s="31"/>
      <c r="J80" s="45">
        <v>45992</v>
      </c>
      <c r="K80" s="31"/>
      <c r="L80" s="28">
        <v>45966</v>
      </c>
      <c r="M80" s="29" t="s">
        <v>69</v>
      </c>
      <c r="N80" s="15" t="s">
        <v>70</v>
      </c>
      <c r="O80" s="13">
        <v>10.8</v>
      </c>
      <c r="P80" s="15" t="s">
        <v>86</v>
      </c>
      <c r="Q80" s="13">
        <v>0.97</v>
      </c>
      <c r="R80" s="29" t="s">
        <v>72</v>
      </c>
    </row>
    <row r="81" spans="1:18" ht="22.5" x14ac:dyDescent="0.2">
      <c r="A81" s="1"/>
      <c r="B81" s="1" t="s">
        <v>65</v>
      </c>
      <c r="C81" s="1" t="s">
        <v>188</v>
      </c>
      <c r="D81" s="1" t="s">
        <v>187</v>
      </c>
      <c r="E81" s="28">
        <v>45292</v>
      </c>
      <c r="F81" s="14"/>
      <c r="G81" s="14" t="s">
        <v>189</v>
      </c>
      <c r="H81" s="45">
        <v>45962</v>
      </c>
      <c r="I81" s="31"/>
      <c r="J81" s="45">
        <v>45992</v>
      </c>
      <c r="K81" s="31"/>
      <c r="L81" s="28">
        <v>45966</v>
      </c>
      <c r="M81" s="29" t="s">
        <v>69</v>
      </c>
      <c r="N81" s="15" t="s">
        <v>70</v>
      </c>
      <c r="O81" s="13">
        <v>41.69</v>
      </c>
      <c r="P81" s="15" t="s">
        <v>75</v>
      </c>
      <c r="Q81" s="13">
        <v>7.5</v>
      </c>
      <c r="R81" s="29" t="s">
        <v>72</v>
      </c>
    </row>
    <row r="82" spans="1:18" ht="22.5" x14ac:dyDescent="0.2">
      <c r="A82" s="1"/>
      <c r="B82" s="1" t="s">
        <v>65</v>
      </c>
      <c r="C82" s="1" t="s">
        <v>190</v>
      </c>
      <c r="D82" s="1" t="s">
        <v>191</v>
      </c>
      <c r="E82" s="28">
        <v>45261</v>
      </c>
      <c r="F82" s="14"/>
      <c r="G82" s="14" t="s">
        <v>74</v>
      </c>
      <c r="H82" s="45">
        <v>45962</v>
      </c>
      <c r="I82" s="31"/>
      <c r="J82" s="45">
        <v>45992</v>
      </c>
      <c r="K82" s="31"/>
      <c r="L82" s="28">
        <v>45966</v>
      </c>
      <c r="M82" s="29" t="s">
        <v>69</v>
      </c>
      <c r="N82" s="15" t="s">
        <v>70</v>
      </c>
      <c r="O82" s="13">
        <v>98.2</v>
      </c>
      <c r="P82" s="15" t="s">
        <v>75</v>
      </c>
      <c r="Q82" s="13">
        <v>17.68</v>
      </c>
      <c r="R82" s="29" t="s">
        <v>72</v>
      </c>
    </row>
    <row r="83" spans="1:18" ht="22.5" x14ac:dyDescent="0.2">
      <c r="A83" s="1"/>
      <c r="B83" s="1" t="s">
        <v>65</v>
      </c>
      <c r="C83" s="1" t="s">
        <v>192</v>
      </c>
      <c r="D83" s="1" t="s">
        <v>193</v>
      </c>
      <c r="E83" s="28">
        <v>45323</v>
      </c>
      <c r="F83" s="14"/>
      <c r="G83" s="14" t="s">
        <v>182</v>
      </c>
      <c r="H83" s="45">
        <v>45962</v>
      </c>
      <c r="I83" s="31"/>
      <c r="J83" s="45">
        <v>45992</v>
      </c>
      <c r="K83" s="31"/>
      <c r="L83" s="28">
        <v>45966</v>
      </c>
      <c r="M83" s="29" t="s">
        <v>69</v>
      </c>
      <c r="N83" s="15" t="s">
        <v>70</v>
      </c>
      <c r="O83" s="13">
        <v>30.03</v>
      </c>
      <c r="P83" s="15" t="s">
        <v>71</v>
      </c>
      <c r="Q83" s="13">
        <v>1.35</v>
      </c>
      <c r="R83" s="29" t="s">
        <v>72</v>
      </c>
    </row>
    <row r="84" spans="1:18" ht="22.5" x14ac:dyDescent="0.2">
      <c r="A84" s="1"/>
      <c r="B84" s="1" t="s">
        <v>65</v>
      </c>
      <c r="C84" s="1" t="s">
        <v>194</v>
      </c>
      <c r="D84" s="1" t="s">
        <v>193</v>
      </c>
      <c r="E84" s="28">
        <v>45323</v>
      </c>
      <c r="F84" s="14"/>
      <c r="G84" s="14" t="s">
        <v>74</v>
      </c>
      <c r="H84" s="45">
        <v>45962</v>
      </c>
      <c r="I84" s="31"/>
      <c r="J84" s="45">
        <v>45992</v>
      </c>
      <c r="K84" s="31"/>
      <c r="L84" s="28">
        <v>45966</v>
      </c>
      <c r="M84" s="29" t="s">
        <v>69</v>
      </c>
      <c r="N84" s="15" t="s">
        <v>70</v>
      </c>
      <c r="O84" s="13">
        <v>26.51</v>
      </c>
      <c r="P84" s="15" t="s">
        <v>75</v>
      </c>
      <c r="Q84" s="13">
        <v>4.7699999999999996</v>
      </c>
      <c r="R84" s="29" t="s">
        <v>72</v>
      </c>
    </row>
    <row r="85" spans="1:18" ht="22.5" x14ac:dyDescent="0.2">
      <c r="A85" s="1"/>
      <c r="B85" s="1" t="s">
        <v>65</v>
      </c>
      <c r="C85" s="1" t="s">
        <v>195</v>
      </c>
      <c r="D85" s="1" t="s">
        <v>196</v>
      </c>
      <c r="E85" s="28">
        <v>45383</v>
      </c>
      <c r="F85" s="14"/>
      <c r="G85" s="14" t="s">
        <v>197</v>
      </c>
      <c r="H85" s="45">
        <v>45962</v>
      </c>
      <c r="I85" s="31"/>
      <c r="J85" s="45">
        <v>45992</v>
      </c>
      <c r="K85" s="31"/>
      <c r="L85" s="28">
        <v>45966</v>
      </c>
      <c r="M85" s="29" t="s">
        <v>69</v>
      </c>
      <c r="N85" s="15" t="s">
        <v>70</v>
      </c>
      <c r="O85" s="13">
        <v>48.82</v>
      </c>
      <c r="P85" s="15" t="s">
        <v>75</v>
      </c>
      <c r="Q85" s="13">
        <v>8.7899999999999991</v>
      </c>
      <c r="R85" s="29" t="s">
        <v>72</v>
      </c>
    </row>
    <row r="86" spans="1:18" ht="22.5" x14ac:dyDescent="0.2">
      <c r="A86" s="1"/>
      <c r="B86" s="1" t="s">
        <v>65</v>
      </c>
      <c r="C86" s="1" t="s">
        <v>198</v>
      </c>
      <c r="D86" s="1" t="s">
        <v>199</v>
      </c>
      <c r="E86" s="28">
        <v>44896</v>
      </c>
      <c r="F86" s="14"/>
      <c r="G86" s="14" t="s">
        <v>74</v>
      </c>
      <c r="H86" s="45">
        <v>45962</v>
      </c>
      <c r="I86" s="31"/>
      <c r="J86" s="45">
        <v>45992</v>
      </c>
      <c r="K86" s="31"/>
      <c r="L86" s="28">
        <v>45966</v>
      </c>
      <c r="M86" s="29" t="s">
        <v>69</v>
      </c>
      <c r="N86" s="15" t="s">
        <v>70</v>
      </c>
      <c r="O86" s="13">
        <v>44.13</v>
      </c>
      <c r="P86" s="15" t="s">
        <v>179</v>
      </c>
      <c r="Q86" s="13">
        <v>2.65</v>
      </c>
      <c r="R86" s="29" t="s">
        <v>72</v>
      </c>
    </row>
    <row r="87" spans="1:18" ht="22.5" x14ac:dyDescent="0.2">
      <c r="A87" s="1"/>
      <c r="B87" s="1" t="s">
        <v>65</v>
      </c>
      <c r="C87" s="1" t="s">
        <v>200</v>
      </c>
      <c r="D87" s="1" t="s">
        <v>201</v>
      </c>
      <c r="E87" s="28">
        <v>45383</v>
      </c>
      <c r="F87" s="14"/>
      <c r="G87" s="14" t="s">
        <v>202</v>
      </c>
      <c r="H87" s="45">
        <v>45962</v>
      </c>
      <c r="I87" s="31"/>
      <c r="J87" s="45">
        <v>45992</v>
      </c>
      <c r="K87" s="31"/>
      <c r="L87" s="28">
        <v>45966</v>
      </c>
      <c r="M87" s="29" t="s">
        <v>69</v>
      </c>
      <c r="N87" s="15" t="s">
        <v>70</v>
      </c>
      <c r="O87" s="13">
        <v>36.4</v>
      </c>
      <c r="P87" s="15" t="s">
        <v>86</v>
      </c>
      <c r="Q87" s="13">
        <v>3.28</v>
      </c>
      <c r="R87" s="29" t="s">
        <v>72</v>
      </c>
    </row>
    <row r="88" spans="1:18" ht="22.5" x14ac:dyDescent="0.2">
      <c r="A88" s="1"/>
      <c r="B88" s="1" t="s">
        <v>65</v>
      </c>
      <c r="C88" s="1" t="s">
        <v>203</v>
      </c>
      <c r="D88" s="1" t="s">
        <v>201</v>
      </c>
      <c r="E88" s="28">
        <v>45383</v>
      </c>
      <c r="F88" s="14"/>
      <c r="G88" s="14" t="s">
        <v>204</v>
      </c>
      <c r="H88" s="45">
        <v>45962</v>
      </c>
      <c r="I88" s="31"/>
      <c r="J88" s="45">
        <v>45992</v>
      </c>
      <c r="K88" s="31"/>
      <c r="L88" s="28">
        <v>45966</v>
      </c>
      <c r="M88" s="29" t="s">
        <v>69</v>
      </c>
      <c r="N88" s="15" t="s">
        <v>70</v>
      </c>
      <c r="O88" s="13">
        <v>16</v>
      </c>
      <c r="P88" s="15" t="s">
        <v>86</v>
      </c>
      <c r="Q88" s="13">
        <v>1.44</v>
      </c>
      <c r="R88" s="29" t="s">
        <v>72</v>
      </c>
    </row>
    <row r="89" spans="1:18" ht="22.5" x14ac:dyDescent="0.2">
      <c r="A89" s="1"/>
      <c r="B89" s="1" t="s">
        <v>65</v>
      </c>
      <c r="C89" s="1" t="s">
        <v>205</v>
      </c>
      <c r="D89" s="1" t="s">
        <v>206</v>
      </c>
      <c r="E89" s="28">
        <v>44870</v>
      </c>
      <c r="F89" s="14"/>
      <c r="G89" s="14" t="s">
        <v>207</v>
      </c>
      <c r="H89" s="45">
        <v>45967</v>
      </c>
      <c r="I89" s="31"/>
      <c r="J89" s="45">
        <v>45992</v>
      </c>
      <c r="K89" s="31"/>
      <c r="L89" s="28">
        <v>45968</v>
      </c>
      <c r="M89" s="29" t="s">
        <v>69</v>
      </c>
      <c r="N89" s="15" t="s">
        <v>70</v>
      </c>
      <c r="O89" s="13">
        <v>61.56</v>
      </c>
      <c r="P89" s="15" t="s">
        <v>179</v>
      </c>
      <c r="Q89" s="13">
        <v>3.69</v>
      </c>
      <c r="R89" s="29" t="s">
        <v>72</v>
      </c>
    </row>
    <row r="90" spans="1:18" ht="22.5" x14ac:dyDescent="0.2">
      <c r="A90" s="1"/>
      <c r="B90" s="1" t="s">
        <v>65</v>
      </c>
      <c r="C90" s="1" t="s">
        <v>205</v>
      </c>
      <c r="D90" s="1" t="s">
        <v>206</v>
      </c>
      <c r="E90" s="28">
        <v>44870</v>
      </c>
      <c r="F90" s="14"/>
      <c r="G90" s="14" t="s">
        <v>207</v>
      </c>
      <c r="H90" s="45">
        <v>45962</v>
      </c>
      <c r="I90" s="31"/>
      <c r="J90" s="45">
        <v>45966</v>
      </c>
      <c r="K90" s="31"/>
      <c r="L90" s="28">
        <v>45968</v>
      </c>
      <c r="M90" s="29" t="s">
        <v>69</v>
      </c>
      <c r="N90" s="15" t="s">
        <v>70</v>
      </c>
      <c r="O90" s="13">
        <v>9.4700000000000006</v>
      </c>
      <c r="P90" s="15" t="s">
        <v>179</v>
      </c>
      <c r="Q90" s="13">
        <v>0.56999999999999995</v>
      </c>
      <c r="R90" s="29" t="s">
        <v>72</v>
      </c>
    </row>
    <row r="91" spans="1:18" ht="22.5" x14ac:dyDescent="0.2">
      <c r="A91" s="1"/>
      <c r="B91" s="1" t="s">
        <v>65</v>
      </c>
      <c r="C91" s="1" t="s">
        <v>208</v>
      </c>
      <c r="D91" s="1" t="s">
        <v>206</v>
      </c>
      <c r="E91" s="28">
        <v>45235</v>
      </c>
      <c r="F91" s="14"/>
      <c r="G91" s="14" t="s">
        <v>68</v>
      </c>
      <c r="H91" s="45">
        <v>45962</v>
      </c>
      <c r="I91" s="31"/>
      <c r="J91" s="45">
        <v>45966</v>
      </c>
      <c r="K91" s="31"/>
      <c r="L91" s="28">
        <v>45968</v>
      </c>
      <c r="M91" s="29" t="s">
        <v>69</v>
      </c>
      <c r="N91" s="15" t="s">
        <v>70</v>
      </c>
      <c r="O91" s="13">
        <v>2.46</v>
      </c>
      <c r="P91" s="15" t="s">
        <v>71</v>
      </c>
      <c r="Q91" s="13">
        <v>0.11</v>
      </c>
      <c r="R91" s="29" t="s">
        <v>72</v>
      </c>
    </row>
    <row r="92" spans="1:18" ht="22.5" x14ac:dyDescent="0.2">
      <c r="A92" s="1"/>
      <c r="B92" s="1" t="s">
        <v>65</v>
      </c>
      <c r="C92" s="1" t="s">
        <v>208</v>
      </c>
      <c r="D92" s="1" t="s">
        <v>206</v>
      </c>
      <c r="E92" s="28">
        <v>45235</v>
      </c>
      <c r="F92" s="14"/>
      <c r="G92" s="14" t="s">
        <v>68</v>
      </c>
      <c r="H92" s="45">
        <v>45967</v>
      </c>
      <c r="I92" s="31"/>
      <c r="J92" s="45">
        <v>45992</v>
      </c>
      <c r="K92" s="31"/>
      <c r="L92" s="28">
        <v>45968</v>
      </c>
      <c r="M92" s="29" t="s">
        <v>69</v>
      </c>
      <c r="N92" s="15" t="s">
        <v>70</v>
      </c>
      <c r="O92" s="13">
        <v>16.02</v>
      </c>
      <c r="P92" s="15" t="s">
        <v>71</v>
      </c>
      <c r="Q92" s="13">
        <v>0.72</v>
      </c>
      <c r="R92" s="29" t="s">
        <v>72</v>
      </c>
    </row>
    <row r="93" spans="1:18" ht="22.5" x14ac:dyDescent="0.2">
      <c r="A93" s="1"/>
      <c r="B93" s="1" t="s">
        <v>65</v>
      </c>
      <c r="C93" s="1" t="s">
        <v>209</v>
      </c>
      <c r="D93" s="1" t="s">
        <v>210</v>
      </c>
      <c r="E93" s="28">
        <v>45383</v>
      </c>
      <c r="F93" s="14"/>
      <c r="G93" s="14" t="s">
        <v>74</v>
      </c>
      <c r="H93" s="45">
        <v>45962</v>
      </c>
      <c r="I93" s="31"/>
      <c r="J93" s="45">
        <v>45992</v>
      </c>
      <c r="K93" s="31"/>
      <c r="L93" s="28">
        <v>45966</v>
      </c>
      <c r="M93" s="29" t="s">
        <v>69</v>
      </c>
      <c r="N93" s="15" t="s">
        <v>70</v>
      </c>
      <c r="O93" s="13">
        <v>134.78</v>
      </c>
      <c r="P93" s="15" t="s">
        <v>75</v>
      </c>
      <c r="Q93" s="13">
        <v>24.26</v>
      </c>
      <c r="R93" s="29" t="s">
        <v>72</v>
      </c>
    </row>
    <row r="94" spans="1:18" ht="22.5" x14ac:dyDescent="0.2">
      <c r="A94" s="1"/>
      <c r="B94" s="1" t="s">
        <v>65</v>
      </c>
      <c r="C94" s="1" t="s">
        <v>211</v>
      </c>
      <c r="D94" s="1" t="s">
        <v>212</v>
      </c>
      <c r="E94" s="28">
        <v>45047</v>
      </c>
      <c r="F94" s="14"/>
      <c r="G94" s="14" t="s">
        <v>213</v>
      </c>
      <c r="H94" s="45">
        <v>45962</v>
      </c>
      <c r="I94" s="31"/>
      <c r="J94" s="45">
        <v>45992</v>
      </c>
      <c r="K94" s="31"/>
      <c r="L94" s="28">
        <v>45966</v>
      </c>
      <c r="M94" s="29" t="s">
        <v>69</v>
      </c>
      <c r="N94" s="15" t="s">
        <v>70</v>
      </c>
      <c r="O94" s="13">
        <v>40.94</v>
      </c>
      <c r="P94" s="15" t="s">
        <v>214</v>
      </c>
      <c r="Q94" s="13">
        <v>1.23</v>
      </c>
      <c r="R94" s="29" t="s">
        <v>72</v>
      </c>
    </row>
    <row r="95" spans="1:18" ht="33.75" x14ac:dyDescent="0.2">
      <c r="A95" s="1"/>
      <c r="B95" s="1" t="s">
        <v>65</v>
      </c>
      <c r="C95" s="1" t="s">
        <v>215</v>
      </c>
      <c r="D95" s="1" t="s">
        <v>216</v>
      </c>
      <c r="E95" s="28">
        <v>45078</v>
      </c>
      <c r="F95" s="14"/>
      <c r="G95" s="14" t="s">
        <v>217</v>
      </c>
      <c r="H95" s="45">
        <v>45962</v>
      </c>
      <c r="I95" s="31"/>
      <c r="J95" s="45">
        <v>45992</v>
      </c>
      <c r="K95" s="31"/>
      <c r="L95" s="28">
        <v>45966</v>
      </c>
      <c r="M95" s="29" t="s">
        <v>69</v>
      </c>
      <c r="N95" s="15" t="s">
        <v>70</v>
      </c>
      <c r="O95" s="13">
        <v>43</v>
      </c>
      <c r="P95" s="15" t="s">
        <v>214</v>
      </c>
      <c r="Q95" s="13">
        <v>1.29</v>
      </c>
      <c r="R95" s="29" t="s">
        <v>72</v>
      </c>
    </row>
    <row r="96" spans="1:18" ht="22.5" x14ac:dyDescent="0.2">
      <c r="A96" s="1"/>
      <c r="B96" s="1" t="s">
        <v>65</v>
      </c>
      <c r="C96" s="1" t="s">
        <v>218</v>
      </c>
      <c r="D96" s="1" t="s">
        <v>219</v>
      </c>
      <c r="E96" s="28">
        <v>45200</v>
      </c>
      <c r="F96" s="14"/>
      <c r="G96" s="14" t="s">
        <v>182</v>
      </c>
      <c r="H96" s="45">
        <v>45962</v>
      </c>
      <c r="I96" s="31"/>
      <c r="J96" s="45">
        <v>45992</v>
      </c>
      <c r="K96" s="31"/>
      <c r="L96" s="28">
        <v>45966</v>
      </c>
      <c r="M96" s="29" t="s">
        <v>69</v>
      </c>
      <c r="N96" s="15" t="s">
        <v>70</v>
      </c>
      <c r="O96" s="13">
        <v>37.96</v>
      </c>
      <c r="P96" s="15" t="s">
        <v>71</v>
      </c>
      <c r="Q96" s="13">
        <v>1.71</v>
      </c>
      <c r="R96" s="29" t="s">
        <v>72</v>
      </c>
    </row>
    <row r="97" spans="1:18" ht="22.5" x14ac:dyDescent="0.2">
      <c r="A97" s="1"/>
      <c r="B97" s="1" t="s">
        <v>65</v>
      </c>
      <c r="C97" s="1" t="s">
        <v>220</v>
      </c>
      <c r="D97" s="1" t="s">
        <v>219</v>
      </c>
      <c r="E97" s="28">
        <v>45200</v>
      </c>
      <c r="F97" s="14"/>
      <c r="G97" s="14" t="s">
        <v>213</v>
      </c>
      <c r="H97" s="45">
        <v>45962</v>
      </c>
      <c r="I97" s="31"/>
      <c r="J97" s="45">
        <v>45992</v>
      </c>
      <c r="K97" s="31"/>
      <c r="L97" s="28">
        <v>45966</v>
      </c>
      <c r="M97" s="29" t="s">
        <v>69</v>
      </c>
      <c r="N97" s="15" t="s">
        <v>70</v>
      </c>
      <c r="O97" s="13">
        <v>165.41</v>
      </c>
      <c r="P97" s="15" t="s">
        <v>86</v>
      </c>
      <c r="Q97" s="13">
        <v>14.89</v>
      </c>
      <c r="R97" s="29" t="s">
        <v>72</v>
      </c>
    </row>
    <row r="98" spans="1:18" ht="22.5" x14ac:dyDescent="0.2">
      <c r="A98" s="1"/>
      <c r="B98" s="1" t="s">
        <v>65</v>
      </c>
      <c r="C98" s="1" t="s">
        <v>221</v>
      </c>
      <c r="D98" s="1" t="s">
        <v>222</v>
      </c>
      <c r="E98" s="28">
        <v>45170</v>
      </c>
      <c r="F98" s="14"/>
      <c r="G98" s="14" t="s">
        <v>171</v>
      </c>
      <c r="H98" s="45">
        <v>45962</v>
      </c>
      <c r="I98" s="31"/>
      <c r="J98" s="45">
        <v>45992</v>
      </c>
      <c r="K98" s="31"/>
      <c r="L98" s="28">
        <v>45966</v>
      </c>
      <c r="M98" s="29" t="s">
        <v>69</v>
      </c>
      <c r="N98" s="15" t="s">
        <v>70</v>
      </c>
      <c r="O98" s="13">
        <v>13.6</v>
      </c>
      <c r="P98" s="15" t="s">
        <v>86</v>
      </c>
      <c r="Q98" s="13">
        <v>1.22</v>
      </c>
      <c r="R98" s="29" t="s">
        <v>72</v>
      </c>
    </row>
    <row r="99" spans="1:18" ht="22.5" x14ac:dyDescent="0.2">
      <c r="A99" s="1"/>
      <c r="B99" s="1" t="s">
        <v>65</v>
      </c>
      <c r="C99" s="1" t="s">
        <v>223</v>
      </c>
      <c r="D99" s="1" t="s">
        <v>222</v>
      </c>
      <c r="E99" s="28">
        <v>45170</v>
      </c>
      <c r="F99" s="14"/>
      <c r="G99" s="14" t="s">
        <v>224</v>
      </c>
      <c r="H99" s="45">
        <v>45962</v>
      </c>
      <c r="I99" s="31"/>
      <c r="J99" s="45">
        <v>45992</v>
      </c>
      <c r="K99" s="31"/>
      <c r="L99" s="28">
        <v>45966</v>
      </c>
      <c r="M99" s="29" t="s">
        <v>69</v>
      </c>
      <c r="N99" s="15" t="s">
        <v>70</v>
      </c>
      <c r="O99" s="13">
        <v>51.81</v>
      </c>
      <c r="P99" s="15" t="s">
        <v>75</v>
      </c>
      <c r="Q99" s="13">
        <v>9.33</v>
      </c>
      <c r="R99" s="29" t="s">
        <v>72</v>
      </c>
    </row>
    <row r="100" spans="1:18" ht="22.5" x14ac:dyDescent="0.2">
      <c r="A100" s="1"/>
      <c r="B100" s="1" t="s">
        <v>65</v>
      </c>
      <c r="C100" s="1" t="s">
        <v>225</v>
      </c>
      <c r="D100" s="1" t="s">
        <v>226</v>
      </c>
      <c r="E100" s="28">
        <v>44927</v>
      </c>
      <c r="F100" s="14"/>
      <c r="G100" s="14" t="s">
        <v>227</v>
      </c>
      <c r="H100" s="45">
        <v>45962</v>
      </c>
      <c r="I100" s="31"/>
      <c r="J100" s="45">
        <v>45992</v>
      </c>
      <c r="K100" s="31"/>
      <c r="L100" s="28">
        <v>45966</v>
      </c>
      <c r="M100" s="29" t="s">
        <v>69</v>
      </c>
      <c r="N100" s="15" t="s">
        <v>70</v>
      </c>
      <c r="O100" s="13">
        <v>47.13</v>
      </c>
      <c r="P100" s="15" t="s">
        <v>214</v>
      </c>
      <c r="Q100" s="13">
        <v>1.41</v>
      </c>
      <c r="R100" s="29" t="s">
        <v>72</v>
      </c>
    </row>
    <row r="101" spans="1:18" ht="22.5" x14ac:dyDescent="0.2">
      <c r="A101" s="1"/>
      <c r="B101" s="1" t="s">
        <v>65</v>
      </c>
      <c r="C101" s="1" t="s">
        <v>228</v>
      </c>
      <c r="D101" s="1" t="s">
        <v>226</v>
      </c>
      <c r="E101" s="28">
        <v>44927</v>
      </c>
      <c r="F101" s="14"/>
      <c r="G101" s="14" t="s">
        <v>74</v>
      </c>
      <c r="H101" s="45">
        <v>45962</v>
      </c>
      <c r="I101" s="31"/>
      <c r="J101" s="45">
        <v>45992</v>
      </c>
      <c r="K101" s="31"/>
      <c r="L101" s="28">
        <v>45966</v>
      </c>
      <c r="M101" s="29" t="s">
        <v>69</v>
      </c>
      <c r="N101" s="15" t="s">
        <v>70</v>
      </c>
      <c r="O101" s="13">
        <v>109.62</v>
      </c>
      <c r="P101" s="15" t="s">
        <v>179</v>
      </c>
      <c r="Q101" s="13">
        <v>6.58</v>
      </c>
      <c r="R101" s="29" t="s">
        <v>72</v>
      </c>
    </row>
    <row r="102" spans="1:18" ht="22.5" x14ac:dyDescent="0.2">
      <c r="A102" s="1"/>
      <c r="B102" s="1" t="s">
        <v>65</v>
      </c>
      <c r="C102" s="1" t="s">
        <v>229</v>
      </c>
      <c r="D102" s="1" t="s">
        <v>230</v>
      </c>
      <c r="E102" s="28">
        <v>45383</v>
      </c>
      <c r="F102" s="14"/>
      <c r="G102" s="14" t="s">
        <v>231</v>
      </c>
      <c r="H102" s="45">
        <v>45962</v>
      </c>
      <c r="I102" s="31"/>
      <c r="J102" s="45">
        <v>45992</v>
      </c>
      <c r="K102" s="31"/>
      <c r="L102" s="28">
        <v>45966</v>
      </c>
      <c r="M102" s="29" t="s">
        <v>69</v>
      </c>
      <c r="N102" s="15" t="s">
        <v>70</v>
      </c>
      <c r="O102" s="13">
        <v>6.3</v>
      </c>
      <c r="P102" s="15" t="s">
        <v>86</v>
      </c>
      <c r="Q102" s="13">
        <v>0.56999999999999995</v>
      </c>
      <c r="R102" s="29" t="s">
        <v>72</v>
      </c>
    </row>
    <row r="103" spans="1:18" ht="22.5" x14ac:dyDescent="0.2">
      <c r="A103" s="1"/>
      <c r="B103" s="1" t="s">
        <v>65</v>
      </c>
      <c r="C103" s="1" t="s">
        <v>232</v>
      </c>
      <c r="D103" s="1" t="s">
        <v>230</v>
      </c>
      <c r="E103" s="28">
        <v>45383</v>
      </c>
      <c r="F103" s="14"/>
      <c r="G103" s="14" t="s">
        <v>233</v>
      </c>
      <c r="H103" s="45">
        <v>45962</v>
      </c>
      <c r="I103" s="31"/>
      <c r="J103" s="45">
        <v>45992</v>
      </c>
      <c r="K103" s="31"/>
      <c r="L103" s="28">
        <v>45966</v>
      </c>
      <c r="M103" s="29" t="s">
        <v>69</v>
      </c>
      <c r="N103" s="15" t="s">
        <v>70</v>
      </c>
      <c r="O103" s="13">
        <v>18.73</v>
      </c>
      <c r="P103" s="15" t="s">
        <v>75</v>
      </c>
      <c r="Q103" s="13">
        <v>3.37</v>
      </c>
      <c r="R103" s="29" t="s">
        <v>72</v>
      </c>
    </row>
    <row r="104" spans="1:18" ht="22.5" x14ac:dyDescent="0.2">
      <c r="A104" s="1"/>
      <c r="B104" s="1" t="s">
        <v>65</v>
      </c>
      <c r="C104" s="1" t="s">
        <v>234</v>
      </c>
      <c r="D104" s="1" t="s">
        <v>235</v>
      </c>
      <c r="E104" s="28">
        <v>45383</v>
      </c>
      <c r="F104" s="14"/>
      <c r="G104" s="14" t="s">
        <v>202</v>
      </c>
      <c r="H104" s="45">
        <v>45962</v>
      </c>
      <c r="I104" s="31"/>
      <c r="J104" s="45">
        <v>45992</v>
      </c>
      <c r="K104" s="31"/>
      <c r="L104" s="28">
        <v>45966</v>
      </c>
      <c r="M104" s="29" t="s">
        <v>69</v>
      </c>
      <c r="N104" s="15" t="s">
        <v>70</v>
      </c>
      <c r="O104" s="13">
        <v>19.760000000000002</v>
      </c>
      <c r="P104" s="15" t="s">
        <v>86</v>
      </c>
      <c r="Q104" s="13">
        <v>1.78</v>
      </c>
      <c r="R104" s="29" t="s">
        <v>72</v>
      </c>
    </row>
    <row r="105" spans="1:18" ht="22.5" x14ac:dyDescent="0.2">
      <c r="A105" s="1"/>
      <c r="B105" s="1" t="s">
        <v>65</v>
      </c>
      <c r="C105" s="1" t="s">
        <v>236</v>
      </c>
      <c r="D105" s="1" t="s">
        <v>235</v>
      </c>
      <c r="E105" s="28">
        <v>45383</v>
      </c>
      <c r="F105" s="14"/>
      <c r="G105" s="14" t="s">
        <v>204</v>
      </c>
      <c r="H105" s="45">
        <v>45962</v>
      </c>
      <c r="I105" s="31"/>
      <c r="J105" s="45">
        <v>45992</v>
      </c>
      <c r="K105" s="31"/>
      <c r="L105" s="28">
        <v>45966</v>
      </c>
      <c r="M105" s="29" t="s">
        <v>69</v>
      </c>
      <c r="N105" s="15" t="s">
        <v>70</v>
      </c>
      <c r="O105" s="13">
        <v>9</v>
      </c>
      <c r="P105" s="15" t="s">
        <v>86</v>
      </c>
      <c r="Q105" s="13">
        <v>0.81</v>
      </c>
      <c r="R105" s="29" t="s">
        <v>72</v>
      </c>
    </row>
    <row r="106" spans="1:18" ht="22.5" x14ac:dyDescent="0.2">
      <c r="A106" s="1"/>
      <c r="B106" s="1" t="s">
        <v>65</v>
      </c>
      <c r="C106" s="1" t="s">
        <v>237</v>
      </c>
      <c r="D106" s="1" t="s">
        <v>238</v>
      </c>
      <c r="E106" s="28">
        <v>45139</v>
      </c>
      <c r="F106" s="14"/>
      <c r="G106" s="14" t="s">
        <v>182</v>
      </c>
      <c r="H106" s="45">
        <v>45962</v>
      </c>
      <c r="I106" s="31"/>
      <c r="J106" s="45">
        <v>45992</v>
      </c>
      <c r="K106" s="31"/>
      <c r="L106" s="28">
        <v>45966</v>
      </c>
      <c r="M106" s="29" t="s">
        <v>69</v>
      </c>
      <c r="N106" s="15" t="s">
        <v>70</v>
      </c>
      <c r="O106" s="13">
        <v>39.409999999999997</v>
      </c>
      <c r="P106" s="15" t="s">
        <v>86</v>
      </c>
      <c r="Q106" s="13">
        <v>3.55</v>
      </c>
      <c r="R106" s="29" t="s">
        <v>72</v>
      </c>
    </row>
    <row r="107" spans="1:18" ht="22.5" x14ac:dyDescent="0.2">
      <c r="A107" s="1"/>
      <c r="B107" s="1" t="s">
        <v>65</v>
      </c>
      <c r="C107" s="1" t="s">
        <v>239</v>
      </c>
      <c r="D107" s="1" t="s">
        <v>240</v>
      </c>
      <c r="E107" s="28">
        <v>45278</v>
      </c>
      <c r="F107" s="14"/>
      <c r="G107" s="14" t="s">
        <v>241</v>
      </c>
      <c r="H107" s="45">
        <v>45962</v>
      </c>
      <c r="I107" s="31"/>
      <c r="J107" s="45">
        <v>45992</v>
      </c>
      <c r="K107" s="31"/>
      <c r="L107" s="28">
        <v>45969</v>
      </c>
      <c r="M107" s="29" t="s">
        <v>69</v>
      </c>
      <c r="N107" s="15" t="s">
        <v>70</v>
      </c>
      <c r="O107" s="13">
        <v>119.05</v>
      </c>
      <c r="P107" s="15" t="s">
        <v>86</v>
      </c>
      <c r="Q107" s="13">
        <v>10.71</v>
      </c>
      <c r="R107" s="29" t="s">
        <v>72</v>
      </c>
    </row>
    <row r="108" spans="1:18" ht="22.5" x14ac:dyDescent="0.2">
      <c r="A108" s="1"/>
      <c r="B108" s="1" t="s">
        <v>65</v>
      </c>
      <c r="C108" s="1" t="s">
        <v>242</v>
      </c>
      <c r="D108" s="1" t="s">
        <v>243</v>
      </c>
      <c r="E108" s="28">
        <v>45292</v>
      </c>
      <c r="F108" s="14"/>
      <c r="G108" s="14" t="s">
        <v>74</v>
      </c>
      <c r="H108" s="45">
        <v>45962</v>
      </c>
      <c r="I108" s="31"/>
      <c r="J108" s="45">
        <v>45992</v>
      </c>
      <c r="K108" s="31"/>
      <c r="L108" s="28">
        <v>45966</v>
      </c>
      <c r="M108" s="29" t="s">
        <v>69</v>
      </c>
      <c r="N108" s="15" t="s">
        <v>70</v>
      </c>
      <c r="O108" s="13">
        <v>34.049999999999997</v>
      </c>
      <c r="P108" s="15" t="s">
        <v>75</v>
      </c>
      <c r="Q108" s="13">
        <v>6.13</v>
      </c>
      <c r="R108" s="29" t="s">
        <v>72</v>
      </c>
    </row>
    <row r="109" spans="1:18" ht="22.5" x14ac:dyDescent="0.2">
      <c r="A109" s="1"/>
      <c r="B109" s="1" t="s">
        <v>65</v>
      </c>
      <c r="C109" s="1" t="s">
        <v>244</v>
      </c>
      <c r="D109" s="1" t="s">
        <v>245</v>
      </c>
      <c r="E109" s="28">
        <v>45139</v>
      </c>
      <c r="F109" s="14"/>
      <c r="G109" s="14" t="s">
        <v>217</v>
      </c>
      <c r="H109" s="45">
        <v>45962</v>
      </c>
      <c r="I109" s="31"/>
      <c r="J109" s="45">
        <v>45992</v>
      </c>
      <c r="K109" s="31"/>
      <c r="L109" s="28">
        <v>45966</v>
      </c>
      <c r="M109" s="29" t="s">
        <v>69</v>
      </c>
      <c r="N109" s="15" t="s">
        <v>70</v>
      </c>
      <c r="O109" s="13">
        <v>43</v>
      </c>
      <c r="P109" s="15" t="s">
        <v>214</v>
      </c>
      <c r="Q109" s="13">
        <v>1.29</v>
      </c>
      <c r="R109" s="29" t="s">
        <v>72</v>
      </c>
    </row>
    <row r="110" spans="1:18" ht="22.5" x14ac:dyDescent="0.2">
      <c r="A110" s="1"/>
      <c r="B110" s="1" t="s">
        <v>65</v>
      </c>
      <c r="C110" s="1" t="s">
        <v>246</v>
      </c>
      <c r="D110" s="1" t="s">
        <v>245</v>
      </c>
      <c r="E110" s="28">
        <v>45139</v>
      </c>
      <c r="F110" s="14"/>
      <c r="G110" s="14" t="s">
        <v>96</v>
      </c>
      <c r="H110" s="45">
        <v>45962</v>
      </c>
      <c r="I110" s="31"/>
      <c r="J110" s="45">
        <v>45992</v>
      </c>
      <c r="K110" s="31"/>
      <c r="L110" s="28">
        <v>45966</v>
      </c>
      <c r="M110" s="29" t="s">
        <v>69</v>
      </c>
      <c r="N110" s="15" t="s">
        <v>70</v>
      </c>
      <c r="O110" s="13">
        <v>10</v>
      </c>
      <c r="P110" s="15" t="s">
        <v>214</v>
      </c>
      <c r="Q110" s="13">
        <v>0.3</v>
      </c>
      <c r="R110" s="29" t="s">
        <v>72</v>
      </c>
    </row>
    <row r="111" spans="1:18" ht="22.5" x14ac:dyDescent="0.2">
      <c r="A111" s="1"/>
      <c r="B111" s="1" t="s">
        <v>65</v>
      </c>
      <c r="C111" s="1" t="s">
        <v>247</v>
      </c>
      <c r="D111" s="1" t="s">
        <v>248</v>
      </c>
      <c r="E111" s="28">
        <v>45292</v>
      </c>
      <c r="F111" s="14"/>
      <c r="G111" s="14" t="s">
        <v>171</v>
      </c>
      <c r="H111" s="45">
        <v>45962</v>
      </c>
      <c r="I111" s="31"/>
      <c r="J111" s="45">
        <v>45992</v>
      </c>
      <c r="K111" s="31"/>
      <c r="L111" s="28">
        <v>45966</v>
      </c>
      <c r="M111" s="29" t="s">
        <v>69</v>
      </c>
      <c r="N111" s="15" t="s">
        <v>70</v>
      </c>
      <c r="O111" s="13">
        <v>10.8</v>
      </c>
      <c r="P111" s="15" t="s">
        <v>86</v>
      </c>
      <c r="Q111" s="13">
        <v>0.97</v>
      </c>
      <c r="R111" s="29" t="s">
        <v>72</v>
      </c>
    </row>
    <row r="112" spans="1:18" ht="22.5" x14ac:dyDescent="0.2">
      <c r="A112" s="1"/>
      <c r="B112" s="1" t="s">
        <v>65</v>
      </c>
      <c r="C112" s="1" t="s">
        <v>249</v>
      </c>
      <c r="D112" s="1" t="s">
        <v>248</v>
      </c>
      <c r="E112" s="28">
        <v>45292</v>
      </c>
      <c r="F112" s="14"/>
      <c r="G112" s="14" t="s">
        <v>189</v>
      </c>
      <c r="H112" s="45">
        <v>45962</v>
      </c>
      <c r="I112" s="31"/>
      <c r="J112" s="45">
        <v>45992</v>
      </c>
      <c r="K112" s="31"/>
      <c r="L112" s="28">
        <v>45966</v>
      </c>
      <c r="M112" s="29" t="s">
        <v>69</v>
      </c>
      <c r="N112" s="15" t="s">
        <v>70</v>
      </c>
      <c r="O112" s="13">
        <v>52.07</v>
      </c>
      <c r="P112" s="15" t="s">
        <v>75</v>
      </c>
      <c r="Q112" s="13">
        <v>9.3699999999999992</v>
      </c>
      <c r="R112" s="29" t="s">
        <v>72</v>
      </c>
    </row>
    <row r="113" spans="1:18" ht="22.5" x14ac:dyDescent="0.2">
      <c r="A113" s="1"/>
      <c r="B113" s="1" t="s">
        <v>65</v>
      </c>
      <c r="C113" s="1" t="s">
        <v>250</v>
      </c>
      <c r="D113" s="1" t="s">
        <v>251</v>
      </c>
      <c r="E113" s="28">
        <v>45261</v>
      </c>
      <c r="F113" s="14"/>
      <c r="G113" s="14" t="s">
        <v>163</v>
      </c>
      <c r="H113" s="45">
        <v>45962</v>
      </c>
      <c r="I113" s="31"/>
      <c r="J113" s="45">
        <v>45992</v>
      </c>
      <c r="K113" s="31"/>
      <c r="L113" s="28">
        <v>45966</v>
      </c>
      <c r="M113" s="29" t="s">
        <v>69</v>
      </c>
      <c r="N113" s="15" t="s">
        <v>70</v>
      </c>
      <c r="O113" s="13">
        <v>39.06</v>
      </c>
      <c r="P113" s="15" t="s">
        <v>78</v>
      </c>
      <c r="Q113" s="13">
        <v>2.73</v>
      </c>
      <c r="R113" s="29" t="s">
        <v>72</v>
      </c>
    </row>
    <row r="114" spans="1:18" ht="22.5" x14ac:dyDescent="0.2">
      <c r="A114" s="1"/>
      <c r="B114" s="1" t="s">
        <v>65</v>
      </c>
      <c r="C114" s="1" t="s">
        <v>252</v>
      </c>
      <c r="D114" s="1" t="s">
        <v>253</v>
      </c>
      <c r="E114" s="28">
        <v>44927</v>
      </c>
      <c r="F114" s="14"/>
      <c r="G114" s="14" t="s">
        <v>254</v>
      </c>
      <c r="H114" s="45">
        <v>45962</v>
      </c>
      <c r="I114" s="31"/>
      <c r="J114" s="45">
        <v>45992</v>
      </c>
      <c r="K114" s="31"/>
      <c r="L114" s="28">
        <v>45966</v>
      </c>
      <c r="M114" s="29" t="s">
        <v>69</v>
      </c>
      <c r="N114" s="15" t="s">
        <v>70</v>
      </c>
      <c r="O114" s="13">
        <v>114.4</v>
      </c>
      <c r="P114" s="15" t="s">
        <v>214</v>
      </c>
      <c r="Q114" s="13">
        <v>3.43</v>
      </c>
      <c r="R114" s="29" t="s">
        <v>72</v>
      </c>
    </row>
    <row r="115" spans="1:18" ht="22.5" x14ac:dyDescent="0.2">
      <c r="A115" s="1"/>
      <c r="B115" s="1" t="s">
        <v>65</v>
      </c>
      <c r="C115" s="1" t="s">
        <v>255</v>
      </c>
      <c r="D115" s="1" t="s">
        <v>253</v>
      </c>
      <c r="E115" s="28">
        <v>44927</v>
      </c>
      <c r="F115" s="14"/>
      <c r="G115" s="14" t="s">
        <v>256</v>
      </c>
      <c r="H115" s="45">
        <v>45962</v>
      </c>
      <c r="I115" s="31"/>
      <c r="J115" s="45">
        <v>45992</v>
      </c>
      <c r="K115" s="31"/>
      <c r="L115" s="28">
        <v>45966</v>
      </c>
      <c r="M115" s="29" t="s">
        <v>69</v>
      </c>
      <c r="N115" s="15" t="s">
        <v>70</v>
      </c>
      <c r="O115" s="13">
        <v>22.5</v>
      </c>
      <c r="P115" s="15" t="s">
        <v>214</v>
      </c>
      <c r="Q115" s="13">
        <v>0.68</v>
      </c>
      <c r="R115" s="29" t="s">
        <v>72</v>
      </c>
    </row>
    <row r="116" spans="1:18" ht="22.5" x14ac:dyDescent="0.2">
      <c r="A116" s="1"/>
      <c r="B116" s="1" t="s">
        <v>65</v>
      </c>
      <c r="C116" s="1" t="s">
        <v>257</v>
      </c>
      <c r="D116" s="1" t="s">
        <v>253</v>
      </c>
      <c r="E116" s="28">
        <v>44927</v>
      </c>
      <c r="F116" s="14"/>
      <c r="G116" s="14" t="s">
        <v>213</v>
      </c>
      <c r="H116" s="45">
        <v>45962</v>
      </c>
      <c r="I116" s="31"/>
      <c r="J116" s="45">
        <v>45992</v>
      </c>
      <c r="K116" s="31"/>
      <c r="L116" s="28">
        <v>45966</v>
      </c>
      <c r="M116" s="29" t="s">
        <v>69</v>
      </c>
      <c r="N116" s="15" t="s">
        <v>70</v>
      </c>
      <c r="O116" s="13">
        <v>237.79</v>
      </c>
      <c r="P116" s="15" t="s">
        <v>214</v>
      </c>
      <c r="Q116" s="13">
        <v>7.13</v>
      </c>
      <c r="R116" s="29" t="s">
        <v>72</v>
      </c>
    </row>
    <row r="117" spans="1:18" ht="22.5" x14ac:dyDescent="0.2">
      <c r="A117" s="1"/>
      <c r="B117" s="1" t="s">
        <v>65</v>
      </c>
      <c r="C117" s="1" t="s">
        <v>258</v>
      </c>
      <c r="D117" s="1" t="s">
        <v>259</v>
      </c>
      <c r="E117" s="28">
        <v>45263</v>
      </c>
      <c r="F117" s="14"/>
      <c r="G117" s="14" t="s">
        <v>182</v>
      </c>
      <c r="H117" s="45">
        <v>45962</v>
      </c>
      <c r="I117" s="31"/>
      <c r="J117" s="45">
        <v>45992</v>
      </c>
      <c r="K117" s="31"/>
      <c r="L117" s="28">
        <v>45966</v>
      </c>
      <c r="M117" s="29" t="s">
        <v>69</v>
      </c>
      <c r="N117" s="15" t="s">
        <v>70</v>
      </c>
      <c r="O117" s="13">
        <v>30.03</v>
      </c>
      <c r="P117" s="15" t="s">
        <v>71</v>
      </c>
      <c r="Q117" s="13">
        <v>1.35</v>
      </c>
      <c r="R117" s="29" t="s">
        <v>72</v>
      </c>
    </row>
    <row r="118" spans="1:18" ht="22.5" x14ac:dyDescent="0.2">
      <c r="A118" s="1"/>
      <c r="B118" s="1" t="s">
        <v>65</v>
      </c>
      <c r="C118" s="1" t="s">
        <v>260</v>
      </c>
      <c r="D118" s="1" t="s">
        <v>259</v>
      </c>
      <c r="E118" s="28">
        <v>45263</v>
      </c>
      <c r="F118" s="14"/>
      <c r="G118" s="14" t="s">
        <v>74</v>
      </c>
      <c r="H118" s="45">
        <v>45962</v>
      </c>
      <c r="I118" s="31"/>
      <c r="J118" s="45">
        <v>45992</v>
      </c>
      <c r="K118" s="31"/>
      <c r="L118" s="28">
        <v>45966</v>
      </c>
      <c r="M118" s="29" t="s">
        <v>69</v>
      </c>
      <c r="N118" s="15" t="s">
        <v>70</v>
      </c>
      <c r="O118" s="13">
        <v>68.44</v>
      </c>
      <c r="P118" s="15" t="s">
        <v>75</v>
      </c>
      <c r="Q118" s="13">
        <v>12.32</v>
      </c>
      <c r="R118" s="29" t="s">
        <v>72</v>
      </c>
    </row>
    <row r="119" spans="1:18" ht="22.5" x14ac:dyDescent="0.2">
      <c r="A119" s="1"/>
      <c r="B119" s="1" t="s">
        <v>65</v>
      </c>
      <c r="C119" s="1" t="s">
        <v>261</v>
      </c>
      <c r="D119" s="1" t="s">
        <v>262</v>
      </c>
      <c r="E119" s="28">
        <v>45017</v>
      </c>
      <c r="F119" s="14"/>
      <c r="G119" s="14" t="s">
        <v>263</v>
      </c>
      <c r="H119" s="45">
        <v>45962</v>
      </c>
      <c r="I119" s="31"/>
      <c r="J119" s="45">
        <v>45992</v>
      </c>
      <c r="K119" s="31"/>
      <c r="L119" s="28">
        <v>45966</v>
      </c>
      <c r="M119" s="29" t="s">
        <v>69</v>
      </c>
      <c r="N119" s="15" t="s">
        <v>70</v>
      </c>
      <c r="O119" s="13">
        <v>37.49</v>
      </c>
      <c r="P119" s="15" t="s">
        <v>214</v>
      </c>
      <c r="Q119" s="13">
        <v>1.1200000000000001</v>
      </c>
      <c r="R119" s="29" t="s">
        <v>72</v>
      </c>
    </row>
    <row r="120" spans="1:18" ht="22.5" x14ac:dyDescent="0.2">
      <c r="A120" s="1"/>
      <c r="B120" s="1" t="s">
        <v>65</v>
      </c>
      <c r="C120" s="1" t="s">
        <v>264</v>
      </c>
      <c r="D120" s="1" t="s">
        <v>262</v>
      </c>
      <c r="E120" s="28">
        <v>45017</v>
      </c>
      <c r="F120" s="14"/>
      <c r="G120" s="14" t="s">
        <v>74</v>
      </c>
      <c r="H120" s="45">
        <v>45962</v>
      </c>
      <c r="I120" s="31"/>
      <c r="J120" s="45">
        <v>45992</v>
      </c>
      <c r="K120" s="31"/>
      <c r="L120" s="28">
        <v>45966</v>
      </c>
      <c r="M120" s="29" t="s">
        <v>69</v>
      </c>
      <c r="N120" s="15" t="s">
        <v>70</v>
      </c>
      <c r="O120" s="13">
        <v>98.99</v>
      </c>
      <c r="P120" s="15" t="s">
        <v>179</v>
      </c>
      <c r="Q120" s="13">
        <v>5.94</v>
      </c>
      <c r="R120" s="29" t="s">
        <v>72</v>
      </c>
    </row>
    <row r="121" spans="1:18" ht="22.5" x14ac:dyDescent="0.2">
      <c r="A121" s="1"/>
      <c r="B121" s="1" t="s">
        <v>65</v>
      </c>
      <c r="C121" s="1" t="s">
        <v>265</v>
      </c>
      <c r="D121" s="1" t="s">
        <v>266</v>
      </c>
      <c r="E121" s="28">
        <v>44927</v>
      </c>
      <c r="F121" s="14"/>
      <c r="G121" s="14" t="s">
        <v>267</v>
      </c>
      <c r="H121" s="45">
        <v>45962</v>
      </c>
      <c r="I121" s="31"/>
      <c r="J121" s="45">
        <v>45992</v>
      </c>
      <c r="K121" s="31"/>
      <c r="L121" s="28">
        <v>45966</v>
      </c>
      <c r="M121" s="29" t="s">
        <v>69</v>
      </c>
      <c r="N121" s="15" t="s">
        <v>70</v>
      </c>
      <c r="O121" s="13">
        <v>14.04</v>
      </c>
      <c r="P121" s="15" t="s">
        <v>214</v>
      </c>
      <c r="Q121" s="13">
        <v>0.42</v>
      </c>
      <c r="R121" s="29" t="s">
        <v>72</v>
      </c>
    </row>
    <row r="122" spans="1:18" ht="33.75" x14ac:dyDescent="0.2">
      <c r="A122" s="1"/>
      <c r="B122" s="1" t="s">
        <v>65</v>
      </c>
      <c r="C122" s="1" t="s">
        <v>268</v>
      </c>
      <c r="D122" s="1" t="s">
        <v>269</v>
      </c>
      <c r="E122" s="28">
        <v>45200</v>
      </c>
      <c r="F122" s="14"/>
      <c r="G122" s="14" t="s">
        <v>182</v>
      </c>
      <c r="H122" s="45">
        <v>45962</v>
      </c>
      <c r="I122" s="31"/>
      <c r="J122" s="45">
        <v>45992</v>
      </c>
      <c r="K122" s="31"/>
      <c r="L122" s="28">
        <v>45966</v>
      </c>
      <c r="M122" s="29" t="s">
        <v>69</v>
      </c>
      <c r="N122" s="15" t="s">
        <v>70</v>
      </c>
      <c r="O122" s="13">
        <v>30.09</v>
      </c>
      <c r="P122" s="15" t="s">
        <v>71</v>
      </c>
      <c r="Q122" s="13">
        <v>1.35</v>
      </c>
      <c r="R122" s="29" t="s">
        <v>72</v>
      </c>
    </row>
    <row r="123" spans="1:18" ht="33.75" x14ac:dyDescent="0.2">
      <c r="A123" s="1"/>
      <c r="B123" s="1" t="s">
        <v>65</v>
      </c>
      <c r="C123" s="1" t="s">
        <v>270</v>
      </c>
      <c r="D123" s="1" t="s">
        <v>269</v>
      </c>
      <c r="E123" s="28">
        <v>45200</v>
      </c>
      <c r="F123" s="14"/>
      <c r="G123" s="14" t="s">
        <v>197</v>
      </c>
      <c r="H123" s="45">
        <v>45962</v>
      </c>
      <c r="I123" s="31"/>
      <c r="J123" s="45">
        <v>45992</v>
      </c>
      <c r="K123" s="31"/>
      <c r="L123" s="28">
        <v>45966</v>
      </c>
      <c r="M123" s="29" t="s">
        <v>69</v>
      </c>
      <c r="N123" s="15" t="s">
        <v>70</v>
      </c>
      <c r="O123" s="13">
        <v>40.86</v>
      </c>
      <c r="P123" s="15" t="s">
        <v>75</v>
      </c>
      <c r="Q123" s="13">
        <v>7.35</v>
      </c>
      <c r="R123" s="29" t="s">
        <v>72</v>
      </c>
    </row>
    <row r="124" spans="1:18" x14ac:dyDescent="0.2">
      <c r="A124" s="1"/>
      <c r="B124" s="1" t="s">
        <v>65</v>
      </c>
      <c r="C124" s="1" t="s">
        <v>271</v>
      </c>
      <c r="D124" s="1" t="s">
        <v>272</v>
      </c>
      <c r="E124" s="28">
        <v>44927</v>
      </c>
      <c r="F124" s="14"/>
      <c r="G124" s="14" t="s">
        <v>273</v>
      </c>
      <c r="H124" s="45">
        <v>45962</v>
      </c>
      <c r="I124" s="31"/>
      <c r="J124" s="45">
        <v>45992</v>
      </c>
      <c r="K124" s="31"/>
      <c r="L124" s="28">
        <v>45966</v>
      </c>
      <c r="M124" s="29" t="s">
        <v>69</v>
      </c>
      <c r="N124" s="15" t="s">
        <v>70</v>
      </c>
      <c r="O124" s="13">
        <v>23</v>
      </c>
      <c r="P124" s="15" t="s">
        <v>214</v>
      </c>
      <c r="Q124" s="13">
        <v>0.69</v>
      </c>
      <c r="R124" s="29" t="s">
        <v>72</v>
      </c>
    </row>
    <row r="125" spans="1:18" ht="22.5" x14ac:dyDescent="0.2">
      <c r="A125" s="1"/>
      <c r="B125" s="1" t="s">
        <v>65</v>
      </c>
      <c r="C125" s="1" t="s">
        <v>274</v>
      </c>
      <c r="D125" s="1" t="s">
        <v>275</v>
      </c>
      <c r="E125" s="28">
        <v>45170</v>
      </c>
      <c r="F125" s="14"/>
      <c r="G125" s="14" t="s">
        <v>163</v>
      </c>
      <c r="H125" s="45">
        <v>45962</v>
      </c>
      <c r="I125" s="31"/>
      <c r="J125" s="45">
        <v>45992</v>
      </c>
      <c r="K125" s="31"/>
      <c r="L125" s="28">
        <v>45966</v>
      </c>
      <c r="M125" s="29" t="s">
        <v>69</v>
      </c>
      <c r="N125" s="15" t="s">
        <v>70</v>
      </c>
      <c r="O125" s="13">
        <v>39.06</v>
      </c>
      <c r="P125" s="15" t="s">
        <v>78</v>
      </c>
      <c r="Q125" s="13">
        <v>2.73</v>
      </c>
      <c r="R125" s="29" t="s">
        <v>72</v>
      </c>
    </row>
    <row r="126" spans="1:18" ht="22.5" x14ac:dyDescent="0.2">
      <c r="A126" s="1"/>
      <c r="B126" s="1" t="s">
        <v>65</v>
      </c>
      <c r="C126" s="1" t="s">
        <v>276</v>
      </c>
      <c r="D126" s="1" t="s">
        <v>275</v>
      </c>
      <c r="E126" s="28">
        <v>45170</v>
      </c>
      <c r="F126" s="14"/>
      <c r="G126" s="14" t="s">
        <v>109</v>
      </c>
      <c r="H126" s="45">
        <v>45962</v>
      </c>
      <c r="I126" s="31"/>
      <c r="J126" s="45">
        <v>45992</v>
      </c>
      <c r="K126" s="31"/>
      <c r="L126" s="28">
        <v>45966</v>
      </c>
      <c r="M126" s="29" t="s">
        <v>69</v>
      </c>
      <c r="N126" s="15" t="s">
        <v>70</v>
      </c>
      <c r="O126" s="13">
        <v>82.14</v>
      </c>
      <c r="P126" s="15" t="s">
        <v>75</v>
      </c>
      <c r="Q126" s="13">
        <v>14.79</v>
      </c>
      <c r="R126" s="29" t="s">
        <v>72</v>
      </c>
    </row>
    <row r="127" spans="1:18" ht="22.5" x14ac:dyDescent="0.2">
      <c r="A127" s="1"/>
      <c r="B127" s="1" t="s">
        <v>65</v>
      </c>
      <c r="C127" s="1" t="s">
        <v>277</v>
      </c>
      <c r="D127" s="1" t="s">
        <v>278</v>
      </c>
      <c r="E127" s="28">
        <v>44927</v>
      </c>
      <c r="F127" s="14"/>
      <c r="G127" s="14" t="s">
        <v>171</v>
      </c>
      <c r="H127" s="45">
        <v>45962</v>
      </c>
      <c r="I127" s="31"/>
      <c r="J127" s="45">
        <v>45992</v>
      </c>
      <c r="K127" s="31"/>
      <c r="L127" s="28">
        <v>45966</v>
      </c>
      <c r="M127" s="29" t="s">
        <v>69</v>
      </c>
      <c r="N127" s="15" t="s">
        <v>70</v>
      </c>
      <c r="O127" s="13">
        <v>13.6</v>
      </c>
      <c r="P127" s="15" t="s">
        <v>214</v>
      </c>
      <c r="Q127" s="13">
        <v>0.41</v>
      </c>
      <c r="R127" s="29" t="s">
        <v>72</v>
      </c>
    </row>
    <row r="128" spans="1:18" ht="22.5" x14ac:dyDescent="0.2">
      <c r="A128" s="1"/>
      <c r="B128" s="1" t="s">
        <v>65</v>
      </c>
      <c r="C128" s="1" t="s">
        <v>279</v>
      </c>
      <c r="D128" s="1" t="s">
        <v>278</v>
      </c>
      <c r="E128" s="28">
        <v>44927</v>
      </c>
      <c r="F128" s="14"/>
      <c r="G128" s="14" t="s">
        <v>189</v>
      </c>
      <c r="H128" s="45">
        <v>45962</v>
      </c>
      <c r="I128" s="31"/>
      <c r="J128" s="45">
        <v>45992</v>
      </c>
      <c r="K128" s="31"/>
      <c r="L128" s="28">
        <v>45966</v>
      </c>
      <c r="M128" s="29" t="s">
        <v>69</v>
      </c>
      <c r="N128" s="15" t="s">
        <v>70</v>
      </c>
      <c r="O128" s="13">
        <v>56.38</v>
      </c>
      <c r="P128" s="15" t="s">
        <v>179</v>
      </c>
      <c r="Q128" s="13">
        <v>3.38</v>
      </c>
      <c r="R128" s="29" t="s">
        <v>72</v>
      </c>
    </row>
    <row r="129" spans="1:18" ht="22.5" x14ac:dyDescent="0.2">
      <c r="A129" s="1"/>
      <c r="B129" s="1" t="s">
        <v>65</v>
      </c>
      <c r="C129" s="1" t="s">
        <v>280</v>
      </c>
      <c r="D129" s="1" t="s">
        <v>281</v>
      </c>
      <c r="E129" s="28">
        <v>44910</v>
      </c>
      <c r="F129" s="14"/>
      <c r="G129" s="14" t="s">
        <v>282</v>
      </c>
      <c r="H129" s="45">
        <v>45962</v>
      </c>
      <c r="I129" s="31"/>
      <c r="J129" s="45">
        <v>45992</v>
      </c>
      <c r="K129" s="31"/>
      <c r="L129" s="28">
        <v>45968</v>
      </c>
      <c r="M129" s="29" t="s">
        <v>69</v>
      </c>
      <c r="N129" s="15" t="s">
        <v>70</v>
      </c>
      <c r="O129" s="13">
        <v>196.66</v>
      </c>
      <c r="P129" s="15" t="s">
        <v>179</v>
      </c>
      <c r="Q129" s="13">
        <v>11.8</v>
      </c>
      <c r="R129" s="29" t="s">
        <v>72</v>
      </c>
    </row>
    <row r="130" spans="1:18" ht="22.5" x14ac:dyDescent="0.2">
      <c r="A130" s="1"/>
      <c r="B130" s="1" t="s">
        <v>65</v>
      </c>
      <c r="C130" s="1" t="s">
        <v>283</v>
      </c>
      <c r="D130" s="1" t="s">
        <v>281</v>
      </c>
      <c r="E130" s="28">
        <v>45272</v>
      </c>
      <c r="F130" s="14"/>
      <c r="G130" s="14" t="s">
        <v>77</v>
      </c>
      <c r="H130" s="45">
        <v>45962</v>
      </c>
      <c r="I130" s="31"/>
      <c r="J130" s="45">
        <v>45992</v>
      </c>
      <c r="K130" s="31"/>
      <c r="L130" s="28">
        <v>45967</v>
      </c>
      <c r="M130" s="29" t="s">
        <v>69</v>
      </c>
      <c r="N130" s="15" t="s">
        <v>70</v>
      </c>
      <c r="O130" s="13">
        <v>26.56</v>
      </c>
      <c r="P130" s="15" t="s">
        <v>78</v>
      </c>
      <c r="Q130" s="13">
        <v>1.86</v>
      </c>
      <c r="R130" s="29" t="s">
        <v>72</v>
      </c>
    </row>
    <row r="131" spans="1:18" ht="22.5" x14ac:dyDescent="0.2">
      <c r="A131" s="1"/>
      <c r="B131" s="1" t="s">
        <v>65</v>
      </c>
      <c r="C131" s="1" t="s">
        <v>284</v>
      </c>
      <c r="D131" s="1" t="s">
        <v>285</v>
      </c>
      <c r="E131" s="28">
        <v>44958</v>
      </c>
      <c r="F131" s="14"/>
      <c r="G131" s="14" t="s">
        <v>286</v>
      </c>
      <c r="H131" s="45">
        <v>45962</v>
      </c>
      <c r="I131" s="31"/>
      <c r="J131" s="45">
        <v>45992</v>
      </c>
      <c r="K131" s="31"/>
      <c r="L131" s="28">
        <v>45966</v>
      </c>
      <c r="M131" s="29" t="s">
        <v>69</v>
      </c>
      <c r="N131" s="15" t="s">
        <v>70</v>
      </c>
      <c r="O131" s="13">
        <v>39</v>
      </c>
      <c r="P131" s="15" t="s">
        <v>214</v>
      </c>
      <c r="Q131" s="13">
        <v>1.17</v>
      </c>
      <c r="R131" s="29" t="s">
        <v>72</v>
      </c>
    </row>
    <row r="132" spans="1:18" ht="22.5" x14ac:dyDescent="0.2">
      <c r="A132" s="1"/>
      <c r="B132" s="1" t="s">
        <v>65</v>
      </c>
      <c r="C132" s="1" t="s">
        <v>287</v>
      </c>
      <c r="D132" s="1" t="s">
        <v>285</v>
      </c>
      <c r="E132" s="28">
        <v>44958</v>
      </c>
      <c r="F132" s="14"/>
      <c r="G132" s="14" t="s">
        <v>74</v>
      </c>
      <c r="H132" s="45">
        <v>45962</v>
      </c>
      <c r="I132" s="31"/>
      <c r="J132" s="45">
        <v>45992</v>
      </c>
      <c r="K132" s="31"/>
      <c r="L132" s="28">
        <v>45966</v>
      </c>
      <c r="M132" s="29" t="s">
        <v>69</v>
      </c>
      <c r="N132" s="15" t="s">
        <v>70</v>
      </c>
      <c r="O132" s="13">
        <v>102.79</v>
      </c>
      <c r="P132" s="15" t="s">
        <v>179</v>
      </c>
      <c r="Q132" s="13">
        <v>6.17</v>
      </c>
      <c r="R132" s="29" t="s">
        <v>72</v>
      </c>
    </row>
    <row r="133" spans="1:18" ht="22.5" x14ac:dyDescent="0.2">
      <c r="A133" s="1"/>
      <c r="B133" s="1" t="s">
        <v>65</v>
      </c>
      <c r="C133" s="1" t="s">
        <v>288</v>
      </c>
      <c r="D133" s="1" t="s">
        <v>289</v>
      </c>
      <c r="E133" s="28">
        <v>45170</v>
      </c>
      <c r="F133" s="14"/>
      <c r="G133" s="14" t="s">
        <v>213</v>
      </c>
      <c r="H133" s="45">
        <v>45962</v>
      </c>
      <c r="I133" s="31"/>
      <c r="J133" s="45">
        <v>45992</v>
      </c>
      <c r="K133" s="31"/>
      <c r="L133" s="28">
        <v>45966</v>
      </c>
      <c r="M133" s="29" t="s">
        <v>69</v>
      </c>
      <c r="N133" s="15" t="s">
        <v>70</v>
      </c>
      <c r="O133" s="13">
        <v>103.59</v>
      </c>
      <c r="P133" s="15" t="s">
        <v>179</v>
      </c>
      <c r="Q133" s="13">
        <v>6.22</v>
      </c>
      <c r="R133" s="29" t="s">
        <v>72</v>
      </c>
    </row>
    <row r="134" spans="1:18" ht="22.5" x14ac:dyDescent="0.2">
      <c r="A134" s="1"/>
      <c r="B134" s="1" t="s">
        <v>65</v>
      </c>
      <c r="C134" s="1" t="s">
        <v>290</v>
      </c>
      <c r="D134" s="1" t="s">
        <v>291</v>
      </c>
      <c r="E134" s="28">
        <v>45366</v>
      </c>
      <c r="F134" s="14"/>
      <c r="G134" s="14" t="s">
        <v>292</v>
      </c>
      <c r="H134" s="45">
        <v>45962</v>
      </c>
      <c r="I134" s="31"/>
      <c r="J134" s="45">
        <v>45992</v>
      </c>
      <c r="K134" s="31"/>
      <c r="L134" s="28">
        <v>45968</v>
      </c>
      <c r="M134" s="29" t="s">
        <v>69</v>
      </c>
      <c r="N134" s="15" t="s">
        <v>70</v>
      </c>
      <c r="O134" s="13">
        <v>49.7</v>
      </c>
      <c r="P134" s="15" t="s">
        <v>78</v>
      </c>
      <c r="Q134" s="13">
        <v>3.48</v>
      </c>
      <c r="R134" s="29" t="s">
        <v>72</v>
      </c>
    </row>
    <row r="135" spans="1:18" ht="33.75" x14ac:dyDescent="0.2">
      <c r="A135" s="1"/>
      <c r="B135" s="1" t="s">
        <v>65</v>
      </c>
      <c r="C135" s="1" t="s">
        <v>293</v>
      </c>
      <c r="D135" s="1" t="s">
        <v>294</v>
      </c>
      <c r="E135" s="28">
        <v>45352</v>
      </c>
      <c r="F135" s="14"/>
      <c r="G135" s="14" t="s">
        <v>292</v>
      </c>
      <c r="H135" s="45">
        <v>45962</v>
      </c>
      <c r="I135" s="31"/>
      <c r="J135" s="45">
        <v>45992</v>
      </c>
      <c r="K135" s="31"/>
      <c r="L135" s="28">
        <v>45966</v>
      </c>
      <c r="M135" s="29" t="s">
        <v>69</v>
      </c>
      <c r="N135" s="15" t="s">
        <v>70</v>
      </c>
      <c r="O135" s="13">
        <v>64.48</v>
      </c>
      <c r="P135" s="15" t="s">
        <v>86</v>
      </c>
      <c r="Q135" s="13">
        <v>5.8</v>
      </c>
      <c r="R135" s="29" t="s">
        <v>72</v>
      </c>
    </row>
    <row r="136" spans="1:18" ht="22.5" x14ac:dyDescent="0.2">
      <c r="A136" s="1"/>
      <c r="B136" s="1" t="s">
        <v>65</v>
      </c>
      <c r="C136" s="1" t="s">
        <v>295</v>
      </c>
      <c r="D136" s="1" t="s">
        <v>296</v>
      </c>
      <c r="E136" s="28">
        <v>45017</v>
      </c>
      <c r="F136" s="14"/>
      <c r="G136" s="14" t="s">
        <v>263</v>
      </c>
      <c r="H136" s="45">
        <v>45962</v>
      </c>
      <c r="I136" s="31"/>
      <c r="J136" s="45">
        <v>45992</v>
      </c>
      <c r="K136" s="31"/>
      <c r="L136" s="28">
        <v>45966</v>
      </c>
      <c r="M136" s="29" t="s">
        <v>69</v>
      </c>
      <c r="N136" s="15" t="s">
        <v>70</v>
      </c>
      <c r="O136" s="13">
        <v>32.130000000000003</v>
      </c>
      <c r="P136" s="15" t="s">
        <v>214</v>
      </c>
      <c r="Q136" s="13">
        <v>0.96</v>
      </c>
      <c r="R136" s="29" t="s">
        <v>72</v>
      </c>
    </row>
    <row r="137" spans="1:18" ht="22.5" x14ac:dyDescent="0.2">
      <c r="A137" s="1"/>
      <c r="B137" s="1" t="s">
        <v>65</v>
      </c>
      <c r="C137" s="1" t="s">
        <v>297</v>
      </c>
      <c r="D137" s="1" t="s">
        <v>296</v>
      </c>
      <c r="E137" s="28">
        <v>45017</v>
      </c>
      <c r="F137" s="14"/>
      <c r="G137" s="14" t="s">
        <v>213</v>
      </c>
      <c r="H137" s="45">
        <v>45962</v>
      </c>
      <c r="I137" s="31"/>
      <c r="J137" s="45">
        <v>45992</v>
      </c>
      <c r="K137" s="31"/>
      <c r="L137" s="28">
        <v>45966</v>
      </c>
      <c r="M137" s="29" t="s">
        <v>69</v>
      </c>
      <c r="N137" s="15" t="s">
        <v>70</v>
      </c>
      <c r="O137" s="13">
        <v>72.73</v>
      </c>
      <c r="P137" s="15" t="s">
        <v>179</v>
      </c>
      <c r="Q137" s="13">
        <v>4.3600000000000003</v>
      </c>
      <c r="R137" s="29" t="s">
        <v>72</v>
      </c>
    </row>
    <row r="138" spans="1:18" ht="22.5" x14ac:dyDescent="0.2">
      <c r="A138" s="1"/>
      <c r="B138" s="1" t="s">
        <v>65</v>
      </c>
      <c r="C138" s="1" t="s">
        <v>298</v>
      </c>
      <c r="D138" s="1" t="s">
        <v>299</v>
      </c>
      <c r="E138" s="28">
        <v>44896</v>
      </c>
      <c r="F138" s="14"/>
      <c r="G138" s="14" t="s">
        <v>171</v>
      </c>
      <c r="H138" s="45">
        <v>45962</v>
      </c>
      <c r="I138" s="31"/>
      <c r="J138" s="45">
        <v>45992</v>
      </c>
      <c r="K138" s="31"/>
      <c r="L138" s="28">
        <v>45966</v>
      </c>
      <c r="M138" s="29" t="s">
        <v>69</v>
      </c>
      <c r="N138" s="15" t="s">
        <v>70</v>
      </c>
      <c r="O138" s="13">
        <v>10.6</v>
      </c>
      <c r="P138" s="15" t="s">
        <v>214</v>
      </c>
      <c r="Q138" s="13">
        <v>0.32</v>
      </c>
      <c r="R138" s="29" t="s">
        <v>72</v>
      </c>
    </row>
    <row r="139" spans="1:18" ht="22.5" x14ac:dyDescent="0.2">
      <c r="A139" s="1"/>
      <c r="B139" s="1" t="s">
        <v>65</v>
      </c>
      <c r="C139" s="1" t="s">
        <v>300</v>
      </c>
      <c r="D139" s="1" t="s">
        <v>301</v>
      </c>
      <c r="E139" s="28">
        <v>44959</v>
      </c>
      <c r="F139" s="14"/>
      <c r="G139" s="14" t="s">
        <v>85</v>
      </c>
      <c r="H139" s="45">
        <v>45962</v>
      </c>
      <c r="I139" s="31"/>
      <c r="J139" s="45">
        <v>45992</v>
      </c>
      <c r="K139" s="31"/>
      <c r="L139" s="28">
        <v>45966</v>
      </c>
      <c r="M139" s="29" t="s">
        <v>69</v>
      </c>
      <c r="N139" s="15" t="s">
        <v>70</v>
      </c>
      <c r="O139" s="13">
        <v>9</v>
      </c>
      <c r="P139" s="15" t="s">
        <v>214</v>
      </c>
      <c r="Q139" s="13">
        <v>0.27</v>
      </c>
      <c r="R139" s="29" t="s">
        <v>72</v>
      </c>
    </row>
    <row r="140" spans="1:18" ht="22.5" x14ac:dyDescent="0.2">
      <c r="A140" s="1"/>
      <c r="B140" s="1" t="s">
        <v>65</v>
      </c>
      <c r="C140" s="1" t="s">
        <v>302</v>
      </c>
      <c r="D140" s="1" t="s">
        <v>301</v>
      </c>
      <c r="E140" s="28">
        <v>44959</v>
      </c>
      <c r="F140" s="14"/>
      <c r="G140" s="14" t="s">
        <v>286</v>
      </c>
      <c r="H140" s="45">
        <v>45962</v>
      </c>
      <c r="I140" s="31"/>
      <c r="J140" s="45">
        <v>45992</v>
      </c>
      <c r="K140" s="31"/>
      <c r="L140" s="28">
        <v>45966</v>
      </c>
      <c r="M140" s="29" t="s">
        <v>69</v>
      </c>
      <c r="N140" s="15" t="s">
        <v>70</v>
      </c>
      <c r="O140" s="13">
        <v>39</v>
      </c>
      <c r="P140" s="15" t="s">
        <v>214</v>
      </c>
      <c r="Q140" s="13">
        <v>1.17</v>
      </c>
      <c r="R140" s="29" t="s">
        <v>72</v>
      </c>
    </row>
    <row r="141" spans="1:18" ht="22.5" x14ac:dyDescent="0.2">
      <c r="A141" s="1"/>
      <c r="B141" s="1" t="s">
        <v>65</v>
      </c>
      <c r="C141" s="1" t="s">
        <v>303</v>
      </c>
      <c r="D141" s="1" t="s">
        <v>301</v>
      </c>
      <c r="E141" s="28">
        <v>44959</v>
      </c>
      <c r="F141" s="14"/>
      <c r="G141" s="14" t="s">
        <v>213</v>
      </c>
      <c r="H141" s="45">
        <v>45962</v>
      </c>
      <c r="I141" s="31"/>
      <c r="J141" s="45">
        <v>45992</v>
      </c>
      <c r="K141" s="31"/>
      <c r="L141" s="28">
        <v>45966</v>
      </c>
      <c r="M141" s="29" t="s">
        <v>69</v>
      </c>
      <c r="N141" s="15" t="s">
        <v>70</v>
      </c>
      <c r="O141" s="13">
        <v>72.73</v>
      </c>
      <c r="P141" s="15" t="s">
        <v>179</v>
      </c>
      <c r="Q141" s="13">
        <v>4.3600000000000003</v>
      </c>
      <c r="R141" s="29" t="s">
        <v>72</v>
      </c>
    </row>
    <row r="142" spans="1:18" ht="22.5" x14ac:dyDescent="0.2">
      <c r="A142" s="1"/>
      <c r="B142" s="1" t="s">
        <v>65</v>
      </c>
      <c r="C142" s="1" t="s">
        <v>304</v>
      </c>
      <c r="D142" s="1" t="s">
        <v>305</v>
      </c>
      <c r="E142" s="28">
        <v>44927</v>
      </c>
      <c r="F142" s="14"/>
      <c r="G142" s="14" t="s">
        <v>254</v>
      </c>
      <c r="H142" s="45">
        <v>45962</v>
      </c>
      <c r="I142" s="31"/>
      <c r="J142" s="45">
        <v>45992</v>
      </c>
      <c r="K142" s="31"/>
      <c r="L142" s="28">
        <v>45966</v>
      </c>
      <c r="M142" s="29" t="s">
        <v>69</v>
      </c>
      <c r="N142" s="15" t="s">
        <v>70</v>
      </c>
      <c r="O142" s="13">
        <v>32.76</v>
      </c>
      <c r="P142" s="15" t="s">
        <v>214</v>
      </c>
      <c r="Q142" s="13">
        <v>0.98</v>
      </c>
      <c r="R142" s="29" t="s">
        <v>72</v>
      </c>
    </row>
    <row r="143" spans="1:18" ht="22.5" x14ac:dyDescent="0.2">
      <c r="A143" s="1"/>
      <c r="B143" s="1" t="s">
        <v>65</v>
      </c>
      <c r="C143" s="1" t="s">
        <v>306</v>
      </c>
      <c r="D143" s="1" t="s">
        <v>305</v>
      </c>
      <c r="E143" s="28">
        <v>44927</v>
      </c>
      <c r="F143" s="14"/>
      <c r="G143" s="14" t="s">
        <v>213</v>
      </c>
      <c r="H143" s="45">
        <v>45962</v>
      </c>
      <c r="I143" s="31"/>
      <c r="J143" s="45">
        <v>45992</v>
      </c>
      <c r="K143" s="31"/>
      <c r="L143" s="28">
        <v>45966</v>
      </c>
      <c r="M143" s="29" t="s">
        <v>69</v>
      </c>
      <c r="N143" s="15" t="s">
        <v>70</v>
      </c>
      <c r="O143" s="13">
        <v>106.23</v>
      </c>
      <c r="P143" s="15" t="s">
        <v>214</v>
      </c>
      <c r="Q143" s="13">
        <v>3.19</v>
      </c>
      <c r="R143" s="29" t="s">
        <v>72</v>
      </c>
    </row>
    <row r="144" spans="1:18" ht="22.5" x14ac:dyDescent="0.2">
      <c r="A144" s="1"/>
      <c r="B144" s="1" t="s">
        <v>65</v>
      </c>
      <c r="C144" s="1" t="s">
        <v>307</v>
      </c>
      <c r="D144" s="1" t="s">
        <v>308</v>
      </c>
      <c r="E144" s="28">
        <v>45292</v>
      </c>
      <c r="F144" s="14"/>
      <c r="G144" s="14" t="s">
        <v>182</v>
      </c>
      <c r="H144" s="45">
        <v>45962</v>
      </c>
      <c r="I144" s="31"/>
      <c r="J144" s="45">
        <v>45992</v>
      </c>
      <c r="K144" s="31"/>
      <c r="L144" s="28">
        <v>45966</v>
      </c>
      <c r="M144" s="29" t="s">
        <v>69</v>
      </c>
      <c r="N144" s="15" t="s">
        <v>70</v>
      </c>
      <c r="O144" s="13">
        <v>30.03</v>
      </c>
      <c r="P144" s="15" t="s">
        <v>71</v>
      </c>
      <c r="Q144" s="13">
        <v>1.35</v>
      </c>
      <c r="R144" s="29" t="s">
        <v>72</v>
      </c>
    </row>
    <row r="145" spans="1:18" ht="22.5" x14ac:dyDescent="0.2">
      <c r="A145" s="1"/>
      <c r="B145" s="1" t="s">
        <v>65</v>
      </c>
      <c r="C145" s="1" t="s">
        <v>309</v>
      </c>
      <c r="D145" s="1" t="s">
        <v>308</v>
      </c>
      <c r="E145" s="28">
        <v>45292</v>
      </c>
      <c r="F145" s="14"/>
      <c r="G145" s="14" t="s">
        <v>74</v>
      </c>
      <c r="H145" s="45">
        <v>45962</v>
      </c>
      <c r="I145" s="31"/>
      <c r="J145" s="45">
        <v>45992</v>
      </c>
      <c r="K145" s="31"/>
      <c r="L145" s="28">
        <v>45966</v>
      </c>
      <c r="M145" s="29" t="s">
        <v>69</v>
      </c>
      <c r="N145" s="15" t="s">
        <v>70</v>
      </c>
      <c r="O145" s="13">
        <v>58.7</v>
      </c>
      <c r="P145" s="15" t="s">
        <v>75</v>
      </c>
      <c r="Q145" s="13">
        <v>10.57</v>
      </c>
      <c r="R145" s="29" t="s">
        <v>72</v>
      </c>
    </row>
    <row r="146" spans="1:18" ht="22.5" x14ac:dyDescent="0.2">
      <c r="A146" s="1"/>
      <c r="B146" s="1" t="s">
        <v>65</v>
      </c>
      <c r="C146" s="1" t="s">
        <v>310</v>
      </c>
      <c r="D146" s="1" t="s">
        <v>311</v>
      </c>
      <c r="E146" s="28">
        <v>45413</v>
      </c>
      <c r="F146" s="14"/>
      <c r="G146" s="14" t="s">
        <v>163</v>
      </c>
      <c r="H146" s="45">
        <v>45962</v>
      </c>
      <c r="I146" s="31"/>
      <c r="J146" s="45">
        <v>45992</v>
      </c>
      <c r="K146" s="31"/>
      <c r="L146" s="28">
        <v>45966</v>
      </c>
      <c r="M146" s="29" t="s">
        <v>69</v>
      </c>
      <c r="N146" s="15" t="s">
        <v>70</v>
      </c>
      <c r="O146" s="13">
        <v>46.98</v>
      </c>
      <c r="P146" s="15" t="s">
        <v>71</v>
      </c>
      <c r="Q146" s="13">
        <v>2.11</v>
      </c>
      <c r="R146" s="29" t="s">
        <v>72</v>
      </c>
    </row>
    <row r="147" spans="1:18" ht="22.5" x14ac:dyDescent="0.2">
      <c r="A147" s="1"/>
      <c r="B147" s="1" t="s">
        <v>65</v>
      </c>
      <c r="C147" s="1" t="s">
        <v>312</v>
      </c>
      <c r="D147" s="1" t="s">
        <v>313</v>
      </c>
      <c r="E147" s="28">
        <v>45352</v>
      </c>
      <c r="F147" s="14"/>
      <c r="G147" s="14" t="s">
        <v>292</v>
      </c>
      <c r="H147" s="45">
        <v>45962</v>
      </c>
      <c r="I147" s="31"/>
      <c r="J147" s="45">
        <v>45992</v>
      </c>
      <c r="K147" s="31"/>
      <c r="L147" s="28">
        <v>45966</v>
      </c>
      <c r="M147" s="29" t="s">
        <v>69</v>
      </c>
      <c r="N147" s="15" t="s">
        <v>70</v>
      </c>
      <c r="O147" s="13">
        <v>49.7</v>
      </c>
      <c r="P147" s="15" t="s">
        <v>78</v>
      </c>
      <c r="Q147" s="13">
        <v>3.48</v>
      </c>
      <c r="R147" s="29" t="s">
        <v>72</v>
      </c>
    </row>
    <row r="148" spans="1:18" ht="22.5" x14ac:dyDescent="0.2">
      <c r="A148" s="1"/>
      <c r="B148" s="1" t="s">
        <v>65</v>
      </c>
      <c r="C148" s="1" t="s">
        <v>314</v>
      </c>
      <c r="D148" s="1" t="s">
        <v>315</v>
      </c>
      <c r="E148" s="28">
        <v>45292</v>
      </c>
      <c r="F148" s="14"/>
      <c r="G148" s="14" t="s">
        <v>77</v>
      </c>
      <c r="H148" s="45">
        <v>45962</v>
      </c>
      <c r="I148" s="31"/>
      <c r="J148" s="45">
        <v>45992</v>
      </c>
      <c r="K148" s="31"/>
      <c r="L148" s="28">
        <v>45966</v>
      </c>
      <c r="M148" s="29" t="s">
        <v>69</v>
      </c>
      <c r="N148" s="15" t="s">
        <v>70</v>
      </c>
      <c r="O148" s="13">
        <v>26.56</v>
      </c>
      <c r="P148" s="15" t="s">
        <v>78</v>
      </c>
      <c r="Q148" s="13">
        <v>1.86</v>
      </c>
      <c r="R148" s="29" t="s">
        <v>72</v>
      </c>
    </row>
    <row r="149" spans="1:18" ht="22.5" x14ac:dyDescent="0.2">
      <c r="A149" s="1"/>
      <c r="B149" s="1" t="s">
        <v>65</v>
      </c>
      <c r="C149" s="1" t="s">
        <v>316</v>
      </c>
      <c r="D149" s="1" t="s">
        <v>317</v>
      </c>
      <c r="E149" s="28">
        <v>45020</v>
      </c>
      <c r="F149" s="14"/>
      <c r="G149" s="14" t="s">
        <v>318</v>
      </c>
      <c r="H149" s="45">
        <v>45962</v>
      </c>
      <c r="I149" s="31"/>
      <c r="J149" s="45">
        <v>45992</v>
      </c>
      <c r="K149" s="31"/>
      <c r="L149" s="28">
        <v>45967</v>
      </c>
      <c r="M149" s="29" t="s">
        <v>69</v>
      </c>
      <c r="N149" s="15" t="s">
        <v>70</v>
      </c>
      <c r="O149" s="13">
        <v>61.05</v>
      </c>
      <c r="P149" s="15" t="s">
        <v>214</v>
      </c>
      <c r="Q149" s="13">
        <v>1.83</v>
      </c>
      <c r="R149" s="29" t="s">
        <v>72</v>
      </c>
    </row>
    <row r="150" spans="1:18" ht="22.5" x14ac:dyDescent="0.2">
      <c r="A150" s="1"/>
      <c r="B150" s="1" t="s">
        <v>65</v>
      </c>
      <c r="C150" s="1" t="s">
        <v>319</v>
      </c>
      <c r="D150" s="1" t="s">
        <v>320</v>
      </c>
      <c r="E150" s="28">
        <v>45293</v>
      </c>
      <c r="F150" s="14"/>
      <c r="G150" s="14" t="s">
        <v>182</v>
      </c>
      <c r="H150" s="45">
        <v>45962</v>
      </c>
      <c r="I150" s="31"/>
      <c r="J150" s="45">
        <v>45992</v>
      </c>
      <c r="K150" s="31"/>
      <c r="L150" s="28">
        <v>45966</v>
      </c>
      <c r="M150" s="29" t="s">
        <v>69</v>
      </c>
      <c r="N150" s="15" t="s">
        <v>70</v>
      </c>
      <c r="O150" s="13">
        <v>30.03</v>
      </c>
      <c r="P150" s="15" t="s">
        <v>71</v>
      </c>
      <c r="Q150" s="13">
        <v>1.35</v>
      </c>
      <c r="R150" s="29" t="s">
        <v>72</v>
      </c>
    </row>
    <row r="151" spans="1:18" ht="22.5" x14ac:dyDescent="0.2">
      <c r="A151" s="1"/>
      <c r="B151" s="1" t="s">
        <v>65</v>
      </c>
      <c r="C151" s="1" t="s">
        <v>321</v>
      </c>
      <c r="D151" s="1" t="s">
        <v>322</v>
      </c>
      <c r="E151" s="28">
        <v>45170</v>
      </c>
      <c r="F151" s="14"/>
      <c r="G151" s="14" t="s">
        <v>167</v>
      </c>
      <c r="H151" s="45">
        <v>45962</v>
      </c>
      <c r="I151" s="31"/>
      <c r="J151" s="45">
        <v>45992</v>
      </c>
      <c r="K151" s="31"/>
      <c r="L151" s="28">
        <v>45966</v>
      </c>
      <c r="M151" s="29" t="s">
        <v>69</v>
      </c>
      <c r="N151" s="15" t="s">
        <v>70</v>
      </c>
      <c r="O151" s="13">
        <v>37.15</v>
      </c>
      <c r="P151" s="15" t="s">
        <v>71</v>
      </c>
      <c r="Q151" s="13">
        <v>1.67</v>
      </c>
      <c r="R151" s="29" t="s">
        <v>72</v>
      </c>
    </row>
    <row r="152" spans="1:18" ht="22.5" x14ac:dyDescent="0.2">
      <c r="A152" s="1"/>
      <c r="B152" s="1" t="s">
        <v>65</v>
      </c>
      <c r="C152" s="1" t="s">
        <v>323</v>
      </c>
      <c r="D152" s="1" t="s">
        <v>322</v>
      </c>
      <c r="E152" s="28">
        <v>45170</v>
      </c>
      <c r="F152" s="14"/>
      <c r="G152" s="14" t="s">
        <v>213</v>
      </c>
      <c r="H152" s="45">
        <v>45962</v>
      </c>
      <c r="I152" s="31"/>
      <c r="J152" s="45">
        <v>45992</v>
      </c>
      <c r="K152" s="31"/>
      <c r="L152" s="28">
        <v>45966</v>
      </c>
      <c r="M152" s="29" t="s">
        <v>69</v>
      </c>
      <c r="N152" s="15" t="s">
        <v>70</v>
      </c>
      <c r="O152" s="13">
        <v>72.73</v>
      </c>
      <c r="P152" s="15" t="s">
        <v>75</v>
      </c>
      <c r="Q152" s="13">
        <v>13.09</v>
      </c>
      <c r="R152" s="29" t="s">
        <v>72</v>
      </c>
    </row>
    <row r="153" spans="1:18" ht="22.5" x14ac:dyDescent="0.2">
      <c r="A153" s="1"/>
      <c r="B153" s="1" t="s">
        <v>65</v>
      </c>
      <c r="C153" s="1" t="s">
        <v>324</v>
      </c>
      <c r="D153" s="1" t="s">
        <v>325</v>
      </c>
      <c r="E153" s="28">
        <v>45327</v>
      </c>
      <c r="F153" s="14"/>
      <c r="G153" s="14" t="s">
        <v>167</v>
      </c>
      <c r="H153" s="45">
        <v>45962</v>
      </c>
      <c r="I153" s="31"/>
      <c r="J153" s="45">
        <v>45992</v>
      </c>
      <c r="K153" s="31"/>
      <c r="L153" s="28">
        <v>45968</v>
      </c>
      <c r="M153" s="29" t="s">
        <v>69</v>
      </c>
      <c r="N153" s="15" t="s">
        <v>70</v>
      </c>
      <c r="O153" s="13">
        <v>47.94</v>
      </c>
      <c r="P153" s="15" t="s">
        <v>71</v>
      </c>
      <c r="Q153" s="13">
        <v>2.16</v>
      </c>
      <c r="R153" s="29" t="s">
        <v>72</v>
      </c>
    </row>
    <row r="154" spans="1:18" ht="22.5" x14ac:dyDescent="0.2">
      <c r="A154" s="1"/>
      <c r="B154" s="1" t="s">
        <v>65</v>
      </c>
      <c r="C154" s="1" t="s">
        <v>66</v>
      </c>
      <c r="D154" s="1" t="s">
        <v>67</v>
      </c>
      <c r="E154" s="28">
        <v>45292</v>
      </c>
      <c r="F154" s="14"/>
      <c r="G154" s="14" t="s">
        <v>68</v>
      </c>
      <c r="H154" s="45">
        <v>45962</v>
      </c>
      <c r="I154" s="31"/>
      <c r="J154" s="45">
        <v>45992</v>
      </c>
      <c r="K154" s="31"/>
      <c r="L154" s="28">
        <v>45966</v>
      </c>
      <c r="M154" s="29" t="s">
        <v>69</v>
      </c>
      <c r="N154" s="15" t="s">
        <v>70</v>
      </c>
      <c r="O154" s="13">
        <v>21.64</v>
      </c>
      <c r="P154" s="15" t="s">
        <v>71</v>
      </c>
      <c r="Q154" s="13">
        <v>0.97</v>
      </c>
      <c r="R154" s="29" t="s">
        <v>72</v>
      </c>
    </row>
    <row r="155" spans="1:18" ht="22.5" x14ac:dyDescent="0.2">
      <c r="A155" s="1"/>
      <c r="B155" s="1" t="s">
        <v>65</v>
      </c>
      <c r="C155" s="1" t="s">
        <v>73</v>
      </c>
      <c r="D155" s="1" t="s">
        <v>67</v>
      </c>
      <c r="E155" s="28">
        <v>45292</v>
      </c>
      <c r="F155" s="14"/>
      <c r="G155" s="14" t="s">
        <v>74</v>
      </c>
      <c r="H155" s="45">
        <v>45962</v>
      </c>
      <c r="I155" s="31"/>
      <c r="J155" s="45">
        <v>45992</v>
      </c>
      <c r="K155" s="31"/>
      <c r="L155" s="28">
        <v>45966</v>
      </c>
      <c r="M155" s="29" t="s">
        <v>69</v>
      </c>
      <c r="N155" s="15" t="s">
        <v>70</v>
      </c>
      <c r="O155" s="13">
        <v>60.35</v>
      </c>
      <c r="P155" s="15" t="s">
        <v>75</v>
      </c>
      <c r="Q155" s="13">
        <v>10.86</v>
      </c>
      <c r="R155" s="29" t="s">
        <v>72</v>
      </c>
    </row>
    <row r="156" spans="1:18" ht="22.5" x14ac:dyDescent="0.2">
      <c r="A156" s="1"/>
      <c r="B156" s="1" t="s">
        <v>65</v>
      </c>
      <c r="C156" s="1" t="s">
        <v>76</v>
      </c>
      <c r="D156" s="1" t="s">
        <v>67</v>
      </c>
      <c r="E156" s="28">
        <v>45292</v>
      </c>
      <c r="F156" s="14"/>
      <c r="G156" s="14" t="s">
        <v>77</v>
      </c>
      <c r="H156" s="45">
        <v>45962</v>
      </c>
      <c r="I156" s="31"/>
      <c r="J156" s="45">
        <v>45992</v>
      </c>
      <c r="K156" s="31"/>
      <c r="L156" s="28">
        <v>45966</v>
      </c>
      <c r="M156" s="29" t="s">
        <v>69</v>
      </c>
      <c r="N156" s="15" t="s">
        <v>70</v>
      </c>
      <c r="O156" s="13">
        <v>13.28</v>
      </c>
      <c r="P156" s="15" t="s">
        <v>78</v>
      </c>
      <c r="Q156" s="13">
        <v>0.93</v>
      </c>
      <c r="R156" s="29" t="s">
        <v>72</v>
      </c>
    </row>
    <row r="157" spans="1:18" ht="22.5" x14ac:dyDescent="0.2">
      <c r="A157" s="1"/>
      <c r="B157" s="1" t="s">
        <v>65</v>
      </c>
      <c r="C157" s="1" t="s">
        <v>326</v>
      </c>
      <c r="D157" s="1" t="s">
        <v>327</v>
      </c>
      <c r="E157" s="28">
        <v>44937</v>
      </c>
      <c r="F157" s="14"/>
      <c r="G157" s="14" t="s">
        <v>328</v>
      </c>
      <c r="H157" s="45">
        <v>45962</v>
      </c>
      <c r="I157" s="31"/>
      <c r="J157" s="45">
        <v>45992</v>
      </c>
      <c r="K157" s="31"/>
      <c r="L157" s="28">
        <v>45967</v>
      </c>
      <c r="M157" s="29" t="s">
        <v>69</v>
      </c>
      <c r="N157" s="15" t="s">
        <v>70</v>
      </c>
      <c r="O157" s="13">
        <v>18</v>
      </c>
      <c r="P157" s="15" t="s">
        <v>214</v>
      </c>
      <c r="Q157" s="13">
        <v>0.54</v>
      </c>
      <c r="R157" s="29" t="s">
        <v>72</v>
      </c>
    </row>
    <row r="158" spans="1:18" ht="22.5" x14ac:dyDescent="0.2">
      <c r="A158" s="1"/>
      <c r="B158" s="1" t="s">
        <v>65</v>
      </c>
      <c r="C158" s="1" t="s">
        <v>329</v>
      </c>
      <c r="D158" s="1" t="s">
        <v>327</v>
      </c>
      <c r="E158" s="28">
        <v>44937</v>
      </c>
      <c r="F158" s="14"/>
      <c r="G158" s="14" t="s">
        <v>330</v>
      </c>
      <c r="H158" s="45">
        <v>45962</v>
      </c>
      <c r="I158" s="31"/>
      <c r="J158" s="45">
        <v>45992</v>
      </c>
      <c r="K158" s="31"/>
      <c r="L158" s="28">
        <v>45967</v>
      </c>
      <c r="M158" s="29" t="s">
        <v>69</v>
      </c>
      <c r="N158" s="15" t="s">
        <v>70</v>
      </c>
      <c r="O158" s="13">
        <v>41.6</v>
      </c>
      <c r="P158" s="15" t="s">
        <v>214</v>
      </c>
      <c r="Q158" s="13">
        <v>1.25</v>
      </c>
      <c r="R158" s="29" t="s">
        <v>72</v>
      </c>
    </row>
    <row r="159" spans="1:18" ht="22.5" x14ac:dyDescent="0.2">
      <c r="A159" s="1"/>
      <c r="B159" s="1" t="s">
        <v>65</v>
      </c>
      <c r="C159" s="1" t="s">
        <v>331</v>
      </c>
      <c r="D159" s="1" t="s">
        <v>332</v>
      </c>
      <c r="E159" s="28">
        <v>45292</v>
      </c>
      <c r="F159" s="14"/>
      <c r="G159" s="14" t="s">
        <v>182</v>
      </c>
      <c r="H159" s="45">
        <v>45962</v>
      </c>
      <c r="I159" s="31"/>
      <c r="J159" s="45">
        <v>45992</v>
      </c>
      <c r="K159" s="31"/>
      <c r="L159" s="28">
        <v>45966</v>
      </c>
      <c r="M159" s="29" t="s">
        <v>69</v>
      </c>
      <c r="N159" s="15" t="s">
        <v>70</v>
      </c>
      <c r="O159" s="13">
        <v>30.03</v>
      </c>
      <c r="P159" s="15" t="s">
        <v>71</v>
      </c>
      <c r="Q159" s="13">
        <v>1.35</v>
      </c>
      <c r="R159" s="29" t="s">
        <v>72</v>
      </c>
    </row>
    <row r="160" spans="1:18" ht="22.5" x14ac:dyDescent="0.2">
      <c r="A160" s="1"/>
      <c r="B160" s="1" t="s">
        <v>65</v>
      </c>
      <c r="C160" s="1" t="s">
        <v>333</v>
      </c>
      <c r="D160" s="1" t="s">
        <v>334</v>
      </c>
      <c r="E160" s="28">
        <v>45352</v>
      </c>
      <c r="F160" s="14"/>
      <c r="G160" s="14" t="s">
        <v>171</v>
      </c>
      <c r="H160" s="45">
        <v>45962</v>
      </c>
      <c r="I160" s="31"/>
      <c r="J160" s="45">
        <v>45992</v>
      </c>
      <c r="K160" s="31"/>
      <c r="L160" s="28">
        <v>45966</v>
      </c>
      <c r="M160" s="29" t="s">
        <v>69</v>
      </c>
      <c r="N160" s="15" t="s">
        <v>70</v>
      </c>
      <c r="O160" s="13">
        <v>9.4</v>
      </c>
      <c r="P160" s="15" t="s">
        <v>86</v>
      </c>
      <c r="Q160" s="13">
        <v>0.85</v>
      </c>
      <c r="R160" s="29" t="s">
        <v>72</v>
      </c>
    </row>
    <row r="161" spans="1:18" ht="22.5" x14ac:dyDescent="0.2">
      <c r="A161" s="1"/>
      <c r="B161" s="1" t="s">
        <v>65</v>
      </c>
      <c r="C161" s="1" t="s">
        <v>333</v>
      </c>
      <c r="D161" s="1" t="s">
        <v>334</v>
      </c>
      <c r="E161" s="28">
        <v>45352</v>
      </c>
      <c r="F161" s="14"/>
      <c r="G161" s="14" t="s">
        <v>171</v>
      </c>
      <c r="H161" s="45">
        <v>45962</v>
      </c>
      <c r="I161" s="31"/>
      <c r="J161" s="45">
        <v>45962</v>
      </c>
      <c r="K161" s="31"/>
      <c r="L161" s="28">
        <v>45969</v>
      </c>
      <c r="M161" s="29" t="s">
        <v>69</v>
      </c>
      <c r="N161" s="15" t="s">
        <v>70</v>
      </c>
      <c r="O161" s="13">
        <v>-9.4</v>
      </c>
      <c r="P161" s="15" t="s">
        <v>86</v>
      </c>
      <c r="Q161" s="13">
        <v>-0.85</v>
      </c>
      <c r="R161" s="29" t="s">
        <v>72</v>
      </c>
    </row>
    <row r="162" spans="1:18" ht="22.5" x14ac:dyDescent="0.2">
      <c r="A162" s="1"/>
      <c r="B162" s="1" t="s">
        <v>65</v>
      </c>
      <c r="C162" s="1" t="s">
        <v>335</v>
      </c>
      <c r="D162" s="1" t="s">
        <v>334</v>
      </c>
      <c r="E162" s="28">
        <v>45352</v>
      </c>
      <c r="F162" s="14"/>
      <c r="G162" s="14" t="s">
        <v>336</v>
      </c>
      <c r="H162" s="45">
        <v>45962</v>
      </c>
      <c r="I162" s="31"/>
      <c r="J162" s="45">
        <v>45992</v>
      </c>
      <c r="K162" s="31"/>
      <c r="L162" s="28">
        <v>45966</v>
      </c>
      <c r="M162" s="29" t="s">
        <v>69</v>
      </c>
      <c r="N162" s="15" t="s">
        <v>70</v>
      </c>
      <c r="O162" s="13">
        <v>49.13</v>
      </c>
      <c r="P162" s="15" t="s">
        <v>75</v>
      </c>
      <c r="Q162" s="13">
        <v>8.84</v>
      </c>
      <c r="R162" s="29" t="s">
        <v>72</v>
      </c>
    </row>
    <row r="163" spans="1:18" ht="22.5" x14ac:dyDescent="0.2">
      <c r="A163" s="1"/>
      <c r="B163" s="1" t="s">
        <v>65</v>
      </c>
      <c r="C163" s="1" t="s">
        <v>335</v>
      </c>
      <c r="D163" s="1" t="s">
        <v>334</v>
      </c>
      <c r="E163" s="28">
        <v>45352</v>
      </c>
      <c r="F163" s="14"/>
      <c r="G163" s="14" t="s">
        <v>336</v>
      </c>
      <c r="H163" s="45">
        <v>45962</v>
      </c>
      <c r="I163" s="31"/>
      <c r="J163" s="45">
        <v>45962</v>
      </c>
      <c r="K163" s="31"/>
      <c r="L163" s="28">
        <v>45969</v>
      </c>
      <c r="M163" s="29" t="s">
        <v>69</v>
      </c>
      <c r="N163" s="15" t="s">
        <v>70</v>
      </c>
      <c r="O163" s="13">
        <v>-49.13</v>
      </c>
      <c r="P163" s="15" t="s">
        <v>75</v>
      </c>
      <c r="Q163" s="13">
        <v>-8.84</v>
      </c>
      <c r="R163" s="29" t="s">
        <v>72</v>
      </c>
    </row>
    <row r="164" spans="1:18" ht="22.5" x14ac:dyDescent="0.2">
      <c r="A164" s="1"/>
      <c r="B164" s="1" t="s">
        <v>65</v>
      </c>
      <c r="C164" s="1" t="s">
        <v>337</v>
      </c>
      <c r="D164" s="1" t="s">
        <v>338</v>
      </c>
      <c r="E164" s="28">
        <v>45170</v>
      </c>
      <c r="F164" s="14"/>
      <c r="G164" s="14" t="s">
        <v>171</v>
      </c>
      <c r="H164" s="45">
        <v>45962</v>
      </c>
      <c r="I164" s="31"/>
      <c r="J164" s="45">
        <v>45992</v>
      </c>
      <c r="K164" s="31"/>
      <c r="L164" s="28">
        <v>45966</v>
      </c>
      <c r="M164" s="29" t="s">
        <v>69</v>
      </c>
      <c r="N164" s="15" t="s">
        <v>70</v>
      </c>
      <c r="O164" s="13">
        <v>11.6</v>
      </c>
      <c r="P164" s="15" t="s">
        <v>86</v>
      </c>
      <c r="Q164" s="13">
        <v>1.04</v>
      </c>
      <c r="R164" s="29" t="s">
        <v>72</v>
      </c>
    </row>
    <row r="165" spans="1:18" ht="22.5" x14ac:dyDescent="0.2">
      <c r="A165" s="1"/>
      <c r="B165" s="1" t="s">
        <v>65</v>
      </c>
      <c r="C165" s="1" t="s">
        <v>339</v>
      </c>
      <c r="D165" s="1" t="s">
        <v>338</v>
      </c>
      <c r="E165" s="28">
        <v>45170</v>
      </c>
      <c r="F165" s="14"/>
      <c r="G165" s="14" t="s">
        <v>189</v>
      </c>
      <c r="H165" s="45">
        <v>45962</v>
      </c>
      <c r="I165" s="31"/>
      <c r="J165" s="45">
        <v>45992</v>
      </c>
      <c r="K165" s="31"/>
      <c r="L165" s="28">
        <v>45966</v>
      </c>
      <c r="M165" s="29" t="s">
        <v>69</v>
      </c>
      <c r="N165" s="15" t="s">
        <v>70</v>
      </c>
      <c r="O165" s="13">
        <v>49.32</v>
      </c>
      <c r="P165" s="15" t="s">
        <v>75</v>
      </c>
      <c r="Q165" s="13">
        <v>8.8800000000000008</v>
      </c>
      <c r="R165" s="29" t="s">
        <v>72</v>
      </c>
    </row>
    <row r="166" spans="1:18" ht="22.5" x14ac:dyDescent="0.2">
      <c r="A166" s="1"/>
      <c r="B166" s="1" t="s">
        <v>65</v>
      </c>
      <c r="C166" s="1" t="s">
        <v>340</v>
      </c>
      <c r="D166" s="1" t="s">
        <v>341</v>
      </c>
      <c r="E166" s="28">
        <v>45292</v>
      </c>
      <c r="F166" s="14"/>
      <c r="G166" s="14" t="s">
        <v>182</v>
      </c>
      <c r="H166" s="45">
        <v>45962</v>
      </c>
      <c r="I166" s="31"/>
      <c r="J166" s="45">
        <v>45992</v>
      </c>
      <c r="K166" s="31"/>
      <c r="L166" s="28">
        <v>45966</v>
      </c>
      <c r="M166" s="29" t="s">
        <v>69</v>
      </c>
      <c r="N166" s="15" t="s">
        <v>70</v>
      </c>
      <c r="O166" s="13">
        <v>29.36</v>
      </c>
      <c r="P166" s="15" t="s">
        <v>71</v>
      </c>
      <c r="Q166" s="13">
        <v>1.32</v>
      </c>
      <c r="R166" s="29" t="s">
        <v>72</v>
      </c>
    </row>
    <row r="167" spans="1:18" ht="22.5" x14ac:dyDescent="0.2">
      <c r="A167" s="1"/>
      <c r="B167" s="1" t="s">
        <v>65</v>
      </c>
      <c r="C167" s="1" t="s">
        <v>342</v>
      </c>
      <c r="D167" s="1" t="s">
        <v>341</v>
      </c>
      <c r="E167" s="28">
        <v>45292</v>
      </c>
      <c r="F167" s="14"/>
      <c r="G167" s="14" t="s">
        <v>74</v>
      </c>
      <c r="H167" s="45">
        <v>45962</v>
      </c>
      <c r="I167" s="31"/>
      <c r="J167" s="45">
        <v>45992</v>
      </c>
      <c r="K167" s="31"/>
      <c r="L167" s="28">
        <v>45966</v>
      </c>
      <c r="M167" s="29" t="s">
        <v>69</v>
      </c>
      <c r="N167" s="15" t="s">
        <v>70</v>
      </c>
      <c r="O167" s="13">
        <v>29.05</v>
      </c>
      <c r="P167" s="15" t="s">
        <v>86</v>
      </c>
      <c r="Q167" s="13">
        <v>2.61</v>
      </c>
      <c r="R167" s="29" t="s">
        <v>72</v>
      </c>
    </row>
    <row r="168" spans="1:18" ht="22.5" x14ac:dyDescent="0.2">
      <c r="A168" s="1"/>
      <c r="B168" s="1" t="s">
        <v>65</v>
      </c>
      <c r="C168" s="1" t="s">
        <v>343</v>
      </c>
      <c r="D168" s="1" t="s">
        <v>341</v>
      </c>
      <c r="E168" s="28">
        <v>45292</v>
      </c>
      <c r="F168" s="14"/>
      <c r="G168" s="14" t="s">
        <v>77</v>
      </c>
      <c r="H168" s="45">
        <v>45962</v>
      </c>
      <c r="I168" s="31"/>
      <c r="J168" s="45">
        <v>45992</v>
      </c>
      <c r="K168" s="31"/>
      <c r="L168" s="28">
        <v>45966</v>
      </c>
      <c r="M168" s="29" t="s">
        <v>69</v>
      </c>
      <c r="N168" s="15" t="s">
        <v>70</v>
      </c>
      <c r="O168" s="13">
        <v>13.28</v>
      </c>
      <c r="P168" s="15" t="s">
        <v>78</v>
      </c>
      <c r="Q168" s="13">
        <v>0.93</v>
      </c>
      <c r="R168" s="29" t="s">
        <v>72</v>
      </c>
    </row>
    <row r="169" spans="1:18" ht="22.5" x14ac:dyDescent="0.2">
      <c r="A169" s="1"/>
      <c r="B169" s="1" t="s">
        <v>65</v>
      </c>
      <c r="C169" s="1" t="s">
        <v>344</v>
      </c>
      <c r="D169" s="1" t="s">
        <v>345</v>
      </c>
      <c r="E169" s="28">
        <v>44958</v>
      </c>
      <c r="F169" s="14"/>
      <c r="G169" s="14" t="s">
        <v>74</v>
      </c>
      <c r="H169" s="45">
        <v>45962</v>
      </c>
      <c r="I169" s="31"/>
      <c r="J169" s="45">
        <v>45992</v>
      </c>
      <c r="K169" s="31"/>
      <c r="L169" s="28">
        <v>45966</v>
      </c>
      <c r="M169" s="29" t="s">
        <v>69</v>
      </c>
      <c r="N169" s="15" t="s">
        <v>70</v>
      </c>
      <c r="O169" s="13">
        <v>88.24</v>
      </c>
      <c r="P169" s="15" t="s">
        <v>179</v>
      </c>
      <c r="Q169" s="13">
        <v>5.29</v>
      </c>
      <c r="R169" s="29" t="s">
        <v>72</v>
      </c>
    </row>
    <row r="170" spans="1:18" ht="22.5" x14ac:dyDescent="0.2">
      <c r="A170" s="1"/>
      <c r="B170" s="1" t="s">
        <v>65</v>
      </c>
      <c r="C170" s="1" t="s">
        <v>346</v>
      </c>
      <c r="D170" s="1" t="s">
        <v>347</v>
      </c>
      <c r="E170" s="28">
        <v>44866</v>
      </c>
      <c r="F170" s="14"/>
      <c r="G170" s="14" t="s">
        <v>348</v>
      </c>
      <c r="H170" s="45">
        <v>45962</v>
      </c>
      <c r="I170" s="31"/>
      <c r="J170" s="45">
        <v>45992</v>
      </c>
      <c r="K170" s="31"/>
      <c r="L170" s="28">
        <v>45966</v>
      </c>
      <c r="M170" s="29" t="s">
        <v>69</v>
      </c>
      <c r="N170" s="15" t="s">
        <v>70</v>
      </c>
      <c r="O170" s="13">
        <v>59.98</v>
      </c>
      <c r="P170" s="15" t="s">
        <v>214</v>
      </c>
      <c r="Q170" s="13">
        <v>1.8</v>
      </c>
      <c r="R170" s="29" t="s">
        <v>72</v>
      </c>
    </row>
    <row r="171" spans="1:18" ht="22.5" x14ac:dyDescent="0.2">
      <c r="A171" s="1"/>
      <c r="B171" s="1" t="s">
        <v>65</v>
      </c>
      <c r="C171" s="1" t="s">
        <v>349</v>
      </c>
      <c r="D171" s="1" t="s">
        <v>350</v>
      </c>
      <c r="E171" s="28">
        <v>45017</v>
      </c>
      <c r="F171" s="14"/>
      <c r="G171" s="14" t="s">
        <v>263</v>
      </c>
      <c r="H171" s="45">
        <v>45962</v>
      </c>
      <c r="I171" s="31"/>
      <c r="J171" s="45">
        <v>45992</v>
      </c>
      <c r="K171" s="31"/>
      <c r="L171" s="28">
        <v>45966</v>
      </c>
      <c r="M171" s="29" t="s">
        <v>69</v>
      </c>
      <c r="N171" s="15" t="s">
        <v>70</v>
      </c>
      <c r="O171" s="13">
        <v>37.49</v>
      </c>
      <c r="P171" s="15" t="s">
        <v>214</v>
      </c>
      <c r="Q171" s="13">
        <v>1.1200000000000001</v>
      </c>
      <c r="R171" s="29" t="s">
        <v>72</v>
      </c>
    </row>
    <row r="172" spans="1:18" ht="22.5" x14ac:dyDescent="0.2">
      <c r="A172" s="1"/>
      <c r="B172" s="1" t="s">
        <v>65</v>
      </c>
      <c r="C172" s="1" t="s">
        <v>351</v>
      </c>
      <c r="D172" s="1" t="s">
        <v>350</v>
      </c>
      <c r="E172" s="28">
        <v>45017</v>
      </c>
      <c r="F172" s="14"/>
      <c r="G172" s="14" t="s">
        <v>74</v>
      </c>
      <c r="H172" s="45">
        <v>45962</v>
      </c>
      <c r="I172" s="31"/>
      <c r="J172" s="45">
        <v>45992</v>
      </c>
      <c r="K172" s="31"/>
      <c r="L172" s="28">
        <v>45966</v>
      </c>
      <c r="M172" s="29" t="s">
        <v>69</v>
      </c>
      <c r="N172" s="15" t="s">
        <v>70</v>
      </c>
      <c r="O172" s="13">
        <v>109.86</v>
      </c>
      <c r="P172" s="15" t="s">
        <v>179</v>
      </c>
      <c r="Q172" s="13">
        <v>6.59</v>
      </c>
      <c r="R172" s="29" t="s">
        <v>72</v>
      </c>
    </row>
    <row r="173" spans="1:18" ht="22.5" x14ac:dyDescent="0.2">
      <c r="A173" s="1"/>
      <c r="B173" s="1" t="s">
        <v>65</v>
      </c>
      <c r="C173" s="1" t="s">
        <v>352</v>
      </c>
      <c r="D173" s="1" t="s">
        <v>353</v>
      </c>
      <c r="E173" s="28">
        <v>44927</v>
      </c>
      <c r="F173" s="14"/>
      <c r="G173" s="14" t="s">
        <v>263</v>
      </c>
      <c r="H173" s="45">
        <v>45962</v>
      </c>
      <c r="I173" s="31"/>
      <c r="J173" s="45">
        <v>45992</v>
      </c>
      <c r="K173" s="31"/>
      <c r="L173" s="28">
        <v>45966</v>
      </c>
      <c r="M173" s="29" t="s">
        <v>69</v>
      </c>
      <c r="N173" s="15" t="s">
        <v>70</v>
      </c>
      <c r="O173" s="13">
        <v>32.130000000000003</v>
      </c>
      <c r="P173" s="15" t="s">
        <v>214</v>
      </c>
      <c r="Q173" s="13">
        <v>0.96</v>
      </c>
      <c r="R173" s="29" t="s">
        <v>72</v>
      </c>
    </row>
    <row r="174" spans="1:18" ht="22.5" x14ac:dyDescent="0.2">
      <c r="A174" s="1"/>
      <c r="B174" s="1" t="s">
        <v>65</v>
      </c>
      <c r="C174" s="1" t="s">
        <v>354</v>
      </c>
      <c r="D174" s="1" t="s">
        <v>353</v>
      </c>
      <c r="E174" s="28">
        <v>44927</v>
      </c>
      <c r="F174" s="14"/>
      <c r="G174" s="14" t="s">
        <v>213</v>
      </c>
      <c r="H174" s="45">
        <v>45962</v>
      </c>
      <c r="I174" s="31"/>
      <c r="J174" s="45">
        <v>45992</v>
      </c>
      <c r="K174" s="31"/>
      <c r="L174" s="28">
        <v>45966</v>
      </c>
      <c r="M174" s="29" t="s">
        <v>69</v>
      </c>
      <c r="N174" s="15" t="s">
        <v>70</v>
      </c>
      <c r="O174" s="13">
        <v>76.66</v>
      </c>
      <c r="P174" s="15" t="s">
        <v>179</v>
      </c>
      <c r="Q174" s="13">
        <v>4.5999999999999996</v>
      </c>
      <c r="R174" s="29" t="s">
        <v>72</v>
      </c>
    </row>
    <row r="175" spans="1:18" x14ac:dyDescent="0.2">
      <c r="A175" s="33" t="s">
        <v>355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1"/>
      <c r="O175" s="1"/>
      <c r="P175" s="1"/>
      <c r="Q175" s="1"/>
      <c r="R175" s="1"/>
    </row>
    <row r="176" spans="1:18" ht="22.5" x14ac:dyDescent="0.2">
      <c r="A176" s="1"/>
      <c r="B176" s="1" t="s">
        <v>65</v>
      </c>
      <c r="C176" s="1" t="s">
        <v>356</v>
      </c>
      <c r="D176" s="1" t="s">
        <v>357</v>
      </c>
      <c r="E176" s="28">
        <v>45247</v>
      </c>
      <c r="F176" s="14"/>
      <c r="G176" s="14" t="s">
        <v>182</v>
      </c>
      <c r="H176" s="45">
        <v>45979</v>
      </c>
      <c r="I176" s="31"/>
      <c r="J176" s="45">
        <v>45992</v>
      </c>
      <c r="K176" s="31"/>
      <c r="L176" s="28">
        <v>45969</v>
      </c>
      <c r="M176" s="29" t="s">
        <v>69</v>
      </c>
      <c r="N176" s="15" t="s">
        <v>70</v>
      </c>
      <c r="O176" s="13">
        <v>12.46</v>
      </c>
      <c r="P176" s="15" t="s">
        <v>71</v>
      </c>
      <c r="Q176" s="13">
        <v>0.56000000000000005</v>
      </c>
      <c r="R176" s="29" t="s">
        <v>72</v>
      </c>
    </row>
    <row r="177" spans="1:18" ht="22.5" x14ac:dyDescent="0.2">
      <c r="A177" s="1"/>
      <c r="B177" s="1" t="s">
        <v>65</v>
      </c>
      <c r="C177" s="1" t="s">
        <v>356</v>
      </c>
      <c r="D177" s="1" t="s">
        <v>357</v>
      </c>
      <c r="E177" s="28">
        <v>45247</v>
      </c>
      <c r="F177" s="14"/>
      <c r="G177" s="14" t="s">
        <v>182</v>
      </c>
      <c r="H177" s="45">
        <v>45962</v>
      </c>
      <c r="I177" s="31"/>
      <c r="J177" s="45">
        <v>45978</v>
      </c>
      <c r="K177" s="31"/>
      <c r="L177" s="28">
        <v>45969</v>
      </c>
      <c r="M177" s="29" t="s">
        <v>69</v>
      </c>
      <c r="N177" s="15" t="s">
        <v>70</v>
      </c>
      <c r="O177" s="13">
        <v>14.23</v>
      </c>
      <c r="P177" s="15" t="s">
        <v>71</v>
      </c>
      <c r="Q177" s="13">
        <v>0.64</v>
      </c>
      <c r="R177" s="29" t="s">
        <v>72</v>
      </c>
    </row>
    <row r="178" spans="1:18" ht="22.5" x14ac:dyDescent="0.2">
      <c r="A178" s="1"/>
      <c r="B178" s="1" t="s">
        <v>65</v>
      </c>
      <c r="C178" s="1" t="s">
        <v>358</v>
      </c>
      <c r="D178" s="1" t="s">
        <v>359</v>
      </c>
      <c r="E178" s="28">
        <v>45413</v>
      </c>
      <c r="F178" s="14"/>
      <c r="G178" s="14" t="s">
        <v>167</v>
      </c>
      <c r="H178" s="45">
        <v>45962</v>
      </c>
      <c r="I178" s="31"/>
      <c r="J178" s="45">
        <v>45992</v>
      </c>
      <c r="K178" s="31"/>
      <c r="L178" s="28">
        <v>45966</v>
      </c>
      <c r="M178" s="29" t="s">
        <v>69</v>
      </c>
      <c r="N178" s="15" t="s">
        <v>70</v>
      </c>
      <c r="O178" s="13">
        <v>89.79</v>
      </c>
      <c r="P178" s="15" t="s">
        <v>86</v>
      </c>
      <c r="Q178" s="13">
        <v>8.08</v>
      </c>
      <c r="R178" s="29" t="s">
        <v>72</v>
      </c>
    </row>
    <row r="179" spans="1:18" x14ac:dyDescent="0.2">
      <c r="A179" s="1"/>
      <c r="B179" s="1" t="s">
        <v>65</v>
      </c>
      <c r="C179" s="1" t="s">
        <v>360</v>
      </c>
      <c r="D179" s="1" t="s">
        <v>361</v>
      </c>
      <c r="E179" s="28">
        <v>45292</v>
      </c>
      <c r="F179" s="14"/>
      <c r="G179" s="14" t="s">
        <v>167</v>
      </c>
      <c r="H179" s="45">
        <v>45962</v>
      </c>
      <c r="I179" s="31"/>
      <c r="J179" s="45">
        <v>45992</v>
      </c>
      <c r="K179" s="31"/>
      <c r="L179" s="28">
        <v>45966</v>
      </c>
      <c r="M179" s="29" t="s">
        <v>69</v>
      </c>
      <c r="N179" s="15" t="s">
        <v>70</v>
      </c>
      <c r="O179" s="13">
        <v>131.63999999999999</v>
      </c>
      <c r="P179" s="15" t="s">
        <v>71</v>
      </c>
      <c r="Q179" s="13">
        <v>5.92</v>
      </c>
      <c r="R179" s="29" t="s">
        <v>72</v>
      </c>
    </row>
    <row r="180" spans="1:18" x14ac:dyDescent="0.2">
      <c r="A180" s="1"/>
      <c r="B180" s="1" t="s">
        <v>65</v>
      </c>
      <c r="C180" s="1" t="s">
        <v>362</v>
      </c>
      <c r="D180" s="1" t="s">
        <v>361</v>
      </c>
      <c r="E180" s="28">
        <v>45292</v>
      </c>
      <c r="F180" s="14"/>
      <c r="G180" s="14" t="s">
        <v>363</v>
      </c>
      <c r="H180" s="45">
        <v>45962</v>
      </c>
      <c r="I180" s="31"/>
      <c r="J180" s="45">
        <v>45992</v>
      </c>
      <c r="K180" s="31"/>
      <c r="L180" s="28">
        <v>45966</v>
      </c>
      <c r="M180" s="29" t="s">
        <v>69</v>
      </c>
      <c r="N180" s="15" t="s">
        <v>70</v>
      </c>
      <c r="O180" s="13">
        <v>104.79</v>
      </c>
      <c r="P180" s="15" t="s">
        <v>86</v>
      </c>
      <c r="Q180" s="13">
        <v>9.43</v>
      </c>
      <c r="R180" s="29" t="s">
        <v>72</v>
      </c>
    </row>
    <row r="181" spans="1:18" ht="22.5" x14ac:dyDescent="0.2">
      <c r="A181" s="1"/>
      <c r="B181" s="1" t="s">
        <v>65</v>
      </c>
      <c r="C181" s="1" t="s">
        <v>364</v>
      </c>
      <c r="D181" s="1" t="s">
        <v>365</v>
      </c>
      <c r="E181" s="28">
        <v>45292</v>
      </c>
      <c r="F181" s="14"/>
      <c r="G181" s="14" t="s">
        <v>77</v>
      </c>
      <c r="H181" s="45">
        <v>45962</v>
      </c>
      <c r="I181" s="31"/>
      <c r="J181" s="45">
        <v>45992</v>
      </c>
      <c r="K181" s="31"/>
      <c r="L181" s="28">
        <v>45966</v>
      </c>
      <c r="M181" s="29" t="s">
        <v>69</v>
      </c>
      <c r="N181" s="15" t="s">
        <v>70</v>
      </c>
      <c r="O181" s="13">
        <v>13.28</v>
      </c>
      <c r="P181" s="15" t="s">
        <v>78</v>
      </c>
      <c r="Q181" s="13">
        <v>0.93</v>
      </c>
      <c r="R181" s="29" t="s">
        <v>72</v>
      </c>
    </row>
    <row r="182" spans="1:18" ht="22.5" x14ac:dyDescent="0.2">
      <c r="A182" s="1"/>
      <c r="B182" s="1" t="s">
        <v>65</v>
      </c>
      <c r="C182" s="1" t="s">
        <v>366</v>
      </c>
      <c r="D182" s="1" t="s">
        <v>365</v>
      </c>
      <c r="E182" s="28">
        <v>45292</v>
      </c>
      <c r="F182" s="14"/>
      <c r="G182" s="14" t="s">
        <v>367</v>
      </c>
      <c r="H182" s="45">
        <v>45962</v>
      </c>
      <c r="I182" s="31"/>
      <c r="J182" s="45">
        <v>45992</v>
      </c>
      <c r="K182" s="31"/>
      <c r="L182" s="28">
        <v>45966</v>
      </c>
      <c r="M182" s="29" t="s">
        <v>69</v>
      </c>
      <c r="N182" s="15" t="s">
        <v>70</v>
      </c>
      <c r="O182" s="13">
        <v>74</v>
      </c>
      <c r="P182" s="15" t="s">
        <v>86</v>
      </c>
      <c r="Q182" s="13">
        <v>6.66</v>
      </c>
      <c r="R182" s="29" t="s">
        <v>72</v>
      </c>
    </row>
    <row r="183" spans="1:18" ht="22.5" x14ac:dyDescent="0.2">
      <c r="A183" s="1"/>
      <c r="B183" s="1" t="s">
        <v>65</v>
      </c>
      <c r="C183" s="1" t="s">
        <v>368</v>
      </c>
      <c r="D183" s="1" t="s">
        <v>369</v>
      </c>
      <c r="E183" s="28">
        <v>45261</v>
      </c>
      <c r="F183" s="14"/>
      <c r="G183" s="14" t="s">
        <v>167</v>
      </c>
      <c r="H183" s="45">
        <v>45962</v>
      </c>
      <c r="I183" s="31"/>
      <c r="J183" s="45">
        <v>45992</v>
      </c>
      <c r="K183" s="31"/>
      <c r="L183" s="28">
        <v>45966</v>
      </c>
      <c r="M183" s="29" t="s">
        <v>69</v>
      </c>
      <c r="N183" s="15" t="s">
        <v>70</v>
      </c>
      <c r="O183" s="13">
        <v>75.739999999999995</v>
      </c>
      <c r="P183" s="15" t="s">
        <v>71</v>
      </c>
      <c r="Q183" s="13">
        <v>3.41</v>
      </c>
      <c r="R183" s="29" t="s">
        <v>72</v>
      </c>
    </row>
    <row r="184" spans="1:18" x14ac:dyDescent="0.2">
      <c r="A184" s="33" t="s">
        <v>370</v>
      </c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1"/>
      <c r="O184" s="1"/>
      <c r="P184" s="1"/>
      <c r="Q184" s="1"/>
      <c r="R184" s="1"/>
    </row>
    <row r="185" spans="1:18" ht="22.5" x14ac:dyDescent="0.2">
      <c r="A185" s="1"/>
      <c r="B185" s="1" t="s">
        <v>65</v>
      </c>
      <c r="C185" s="1" t="s">
        <v>371</v>
      </c>
      <c r="D185" s="1" t="s">
        <v>372</v>
      </c>
      <c r="E185" s="28">
        <v>45383</v>
      </c>
      <c r="F185" s="14"/>
      <c r="G185" s="14" t="s">
        <v>373</v>
      </c>
      <c r="H185" s="45">
        <v>45962</v>
      </c>
      <c r="I185" s="31"/>
      <c r="J185" s="45">
        <v>45992</v>
      </c>
      <c r="K185" s="31"/>
      <c r="L185" s="28">
        <v>45966</v>
      </c>
      <c r="M185" s="29" t="s">
        <v>69</v>
      </c>
      <c r="N185" s="15" t="s">
        <v>70</v>
      </c>
      <c r="O185" s="13">
        <v>19.8</v>
      </c>
      <c r="P185" s="15" t="s">
        <v>86</v>
      </c>
      <c r="Q185" s="13">
        <v>1.78</v>
      </c>
      <c r="R185" s="29" t="s">
        <v>72</v>
      </c>
    </row>
    <row r="186" spans="1:18" ht="22.5" x14ac:dyDescent="0.2">
      <c r="A186" s="1"/>
      <c r="B186" s="1" t="s">
        <v>65</v>
      </c>
      <c r="C186" s="1" t="s">
        <v>374</v>
      </c>
      <c r="D186" s="1" t="s">
        <v>375</v>
      </c>
      <c r="E186" s="28">
        <v>45383</v>
      </c>
      <c r="F186" s="14"/>
      <c r="G186" s="14" t="s">
        <v>376</v>
      </c>
      <c r="H186" s="45">
        <v>45962</v>
      </c>
      <c r="I186" s="31"/>
      <c r="J186" s="45">
        <v>45992</v>
      </c>
      <c r="K186" s="31"/>
      <c r="L186" s="28">
        <v>45966</v>
      </c>
      <c r="M186" s="29" t="s">
        <v>69</v>
      </c>
      <c r="N186" s="15" t="s">
        <v>70</v>
      </c>
      <c r="O186" s="13">
        <v>36.75</v>
      </c>
      <c r="P186" s="15" t="s">
        <v>86</v>
      </c>
      <c r="Q186" s="13">
        <v>3.31</v>
      </c>
      <c r="R186" s="29" t="s">
        <v>72</v>
      </c>
    </row>
    <row r="187" spans="1:18" ht="22.5" x14ac:dyDescent="0.2">
      <c r="A187" s="1"/>
      <c r="B187" s="1" t="s">
        <v>65</v>
      </c>
      <c r="C187" s="1" t="s">
        <v>377</v>
      </c>
      <c r="D187" s="1" t="s">
        <v>378</v>
      </c>
      <c r="E187" s="28">
        <v>45444</v>
      </c>
      <c r="F187" s="14"/>
      <c r="G187" s="14" t="s">
        <v>379</v>
      </c>
      <c r="H187" s="45">
        <v>45962</v>
      </c>
      <c r="I187" s="31"/>
      <c r="J187" s="45">
        <v>45992</v>
      </c>
      <c r="K187" s="31"/>
      <c r="L187" s="28">
        <v>45966</v>
      </c>
      <c r="M187" s="29" t="s">
        <v>69</v>
      </c>
      <c r="N187" s="15" t="s">
        <v>70</v>
      </c>
      <c r="O187" s="13">
        <v>28.25</v>
      </c>
      <c r="P187" s="15" t="s">
        <v>86</v>
      </c>
      <c r="Q187" s="13">
        <v>2.54</v>
      </c>
      <c r="R187" s="29" t="s">
        <v>72</v>
      </c>
    </row>
    <row r="188" spans="1:18" ht="22.5" x14ac:dyDescent="0.2">
      <c r="A188" s="1"/>
      <c r="B188" s="1" t="s">
        <v>65</v>
      </c>
      <c r="C188" s="1" t="s">
        <v>380</v>
      </c>
      <c r="D188" s="1" t="s">
        <v>381</v>
      </c>
      <c r="E188" s="28">
        <v>45413</v>
      </c>
      <c r="F188" s="14"/>
      <c r="G188" s="14" t="s">
        <v>382</v>
      </c>
      <c r="H188" s="45">
        <v>45962</v>
      </c>
      <c r="I188" s="31"/>
      <c r="J188" s="45">
        <v>45992</v>
      </c>
      <c r="K188" s="31"/>
      <c r="L188" s="28">
        <v>45966</v>
      </c>
      <c r="M188" s="29" t="s">
        <v>69</v>
      </c>
      <c r="N188" s="15" t="s">
        <v>70</v>
      </c>
      <c r="O188" s="13">
        <v>26.4</v>
      </c>
      <c r="P188" s="15" t="s">
        <v>86</v>
      </c>
      <c r="Q188" s="13">
        <v>2.38</v>
      </c>
      <c r="R188" s="29" t="s">
        <v>72</v>
      </c>
    </row>
    <row r="189" spans="1:18" ht="22.5" x14ac:dyDescent="0.2">
      <c r="A189" s="1"/>
      <c r="B189" s="1" t="s">
        <v>65</v>
      </c>
      <c r="C189" s="1" t="s">
        <v>383</v>
      </c>
      <c r="D189" s="1" t="s">
        <v>381</v>
      </c>
      <c r="E189" s="28">
        <v>45413</v>
      </c>
      <c r="F189" s="14"/>
      <c r="G189" s="14" t="s">
        <v>384</v>
      </c>
      <c r="H189" s="45">
        <v>45962</v>
      </c>
      <c r="I189" s="31"/>
      <c r="J189" s="45">
        <v>45992</v>
      </c>
      <c r="K189" s="31"/>
      <c r="L189" s="28">
        <v>45966</v>
      </c>
      <c r="M189" s="29" t="s">
        <v>69</v>
      </c>
      <c r="N189" s="15" t="s">
        <v>70</v>
      </c>
      <c r="O189" s="13">
        <v>30.8</v>
      </c>
      <c r="P189" s="15" t="s">
        <v>86</v>
      </c>
      <c r="Q189" s="13">
        <v>2.77</v>
      </c>
      <c r="R189" s="29" t="s">
        <v>72</v>
      </c>
    </row>
    <row r="190" spans="1:18" ht="22.5" x14ac:dyDescent="0.2">
      <c r="A190" s="1"/>
      <c r="B190" s="1" t="s">
        <v>65</v>
      </c>
      <c r="C190" s="1" t="s">
        <v>385</v>
      </c>
      <c r="D190" s="1" t="s">
        <v>386</v>
      </c>
      <c r="E190" s="28">
        <v>45309</v>
      </c>
      <c r="F190" s="14"/>
      <c r="G190" s="14" t="s">
        <v>387</v>
      </c>
      <c r="H190" s="45">
        <v>45962</v>
      </c>
      <c r="I190" s="31"/>
      <c r="J190" s="45">
        <v>45992</v>
      </c>
      <c r="K190" s="31"/>
      <c r="L190" s="28">
        <v>45969</v>
      </c>
      <c r="M190" s="29" t="s">
        <v>69</v>
      </c>
      <c r="N190" s="15" t="s">
        <v>70</v>
      </c>
      <c r="O190" s="13">
        <v>31.5</v>
      </c>
      <c r="P190" s="15" t="s">
        <v>86</v>
      </c>
      <c r="Q190" s="13">
        <v>2.84</v>
      </c>
      <c r="R190" s="29" t="s">
        <v>72</v>
      </c>
    </row>
    <row r="191" spans="1:18" ht="22.5" x14ac:dyDescent="0.2">
      <c r="A191" s="1"/>
      <c r="B191" s="1" t="s">
        <v>65</v>
      </c>
      <c r="C191" s="1" t="s">
        <v>388</v>
      </c>
      <c r="D191" s="1" t="s">
        <v>386</v>
      </c>
      <c r="E191" s="28">
        <v>45309</v>
      </c>
      <c r="F191" s="14"/>
      <c r="G191" s="14" t="s">
        <v>389</v>
      </c>
      <c r="H191" s="45">
        <v>45962</v>
      </c>
      <c r="I191" s="31"/>
      <c r="J191" s="45">
        <v>45992</v>
      </c>
      <c r="K191" s="31"/>
      <c r="L191" s="28">
        <v>45969</v>
      </c>
      <c r="M191" s="29" t="s">
        <v>69</v>
      </c>
      <c r="N191" s="15" t="s">
        <v>70</v>
      </c>
      <c r="O191" s="13">
        <v>37.799999999999997</v>
      </c>
      <c r="P191" s="15" t="s">
        <v>86</v>
      </c>
      <c r="Q191" s="13">
        <v>3.4</v>
      </c>
      <c r="R191" s="29" t="s">
        <v>72</v>
      </c>
    </row>
    <row r="192" spans="1:18" ht="22.5" x14ac:dyDescent="0.2">
      <c r="A192" s="1"/>
      <c r="B192" s="1" t="s">
        <v>65</v>
      </c>
      <c r="C192" s="1" t="s">
        <v>390</v>
      </c>
      <c r="D192" s="1" t="s">
        <v>391</v>
      </c>
      <c r="E192" s="28">
        <v>45261</v>
      </c>
      <c r="F192" s="14"/>
      <c r="G192" s="14" t="s">
        <v>213</v>
      </c>
      <c r="H192" s="45">
        <v>45962</v>
      </c>
      <c r="I192" s="31"/>
      <c r="J192" s="45">
        <v>45992</v>
      </c>
      <c r="K192" s="31"/>
      <c r="L192" s="28">
        <v>45966</v>
      </c>
      <c r="M192" s="29" t="s">
        <v>69</v>
      </c>
      <c r="N192" s="15" t="s">
        <v>70</v>
      </c>
      <c r="O192" s="13">
        <v>40.630000000000003</v>
      </c>
      <c r="P192" s="15" t="s">
        <v>75</v>
      </c>
      <c r="Q192" s="13">
        <v>7.31</v>
      </c>
      <c r="R192" s="29" t="s">
        <v>72</v>
      </c>
    </row>
    <row r="193" spans="1:18" ht="22.5" x14ac:dyDescent="0.2">
      <c r="A193" s="1"/>
      <c r="B193" s="1" t="s">
        <v>65</v>
      </c>
      <c r="C193" s="1" t="s">
        <v>392</v>
      </c>
      <c r="D193" s="1" t="s">
        <v>393</v>
      </c>
      <c r="E193" s="28">
        <v>45383</v>
      </c>
      <c r="F193" s="14"/>
      <c r="G193" s="14" t="s">
        <v>382</v>
      </c>
      <c r="H193" s="45">
        <v>45962</v>
      </c>
      <c r="I193" s="31"/>
      <c r="J193" s="45">
        <v>45992</v>
      </c>
      <c r="K193" s="31"/>
      <c r="L193" s="28">
        <v>45966</v>
      </c>
      <c r="M193" s="29" t="s">
        <v>69</v>
      </c>
      <c r="N193" s="15" t="s">
        <v>70</v>
      </c>
      <c r="O193" s="13">
        <v>26.4</v>
      </c>
      <c r="P193" s="15" t="s">
        <v>86</v>
      </c>
      <c r="Q193" s="13">
        <v>2.38</v>
      </c>
      <c r="R193" s="29" t="s">
        <v>72</v>
      </c>
    </row>
    <row r="194" spans="1:18" x14ac:dyDescent="0.2">
      <c r="A194" s="1"/>
      <c r="B194" s="1" t="s">
        <v>65</v>
      </c>
      <c r="C194" s="1" t="s">
        <v>394</v>
      </c>
      <c r="D194" s="1" t="s">
        <v>395</v>
      </c>
      <c r="E194" s="28">
        <v>45352</v>
      </c>
      <c r="F194" s="14"/>
      <c r="G194" s="14" t="s">
        <v>379</v>
      </c>
      <c r="H194" s="45">
        <v>45962</v>
      </c>
      <c r="I194" s="31"/>
      <c r="J194" s="45">
        <v>45992</v>
      </c>
      <c r="K194" s="31"/>
      <c r="L194" s="28">
        <v>45966</v>
      </c>
      <c r="M194" s="29" t="s">
        <v>69</v>
      </c>
      <c r="N194" s="15" t="s">
        <v>70</v>
      </c>
      <c r="O194" s="13">
        <v>24.5</v>
      </c>
      <c r="P194" s="15" t="s">
        <v>86</v>
      </c>
      <c r="Q194" s="13">
        <v>2.21</v>
      </c>
      <c r="R194" s="29" t="s">
        <v>72</v>
      </c>
    </row>
    <row r="195" spans="1:18" x14ac:dyDescent="0.2">
      <c r="A195" s="1"/>
      <c r="B195" s="1" t="s">
        <v>65</v>
      </c>
      <c r="C195" s="1" t="s">
        <v>396</v>
      </c>
      <c r="D195" s="1" t="s">
        <v>395</v>
      </c>
      <c r="E195" s="28">
        <v>45352</v>
      </c>
      <c r="F195" s="14"/>
      <c r="G195" s="14" t="s">
        <v>397</v>
      </c>
      <c r="H195" s="45">
        <v>45962</v>
      </c>
      <c r="I195" s="31"/>
      <c r="J195" s="45">
        <v>45992</v>
      </c>
      <c r="K195" s="31"/>
      <c r="L195" s="28">
        <v>45966</v>
      </c>
      <c r="M195" s="29" t="s">
        <v>69</v>
      </c>
      <c r="N195" s="15" t="s">
        <v>70</v>
      </c>
      <c r="O195" s="13">
        <v>31</v>
      </c>
      <c r="P195" s="15" t="s">
        <v>86</v>
      </c>
      <c r="Q195" s="13">
        <v>2.79</v>
      </c>
      <c r="R195" s="29" t="s">
        <v>72</v>
      </c>
    </row>
    <row r="196" spans="1:18" ht="22.5" x14ac:dyDescent="0.2">
      <c r="A196" s="1"/>
      <c r="B196" s="1" t="s">
        <v>65</v>
      </c>
      <c r="C196" s="1" t="s">
        <v>398</v>
      </c>
      <c r="D196" s="1" t="s">
        <v>399</v>
      </c>
      <c r="E196" s="28">
        <v>45292</v>
      </c>
      <c r="F196" s="14"/>
      <c r="G196" s="14" t="s">
        <v>400</v>
      </c>
      <c r="H196" s="45">
        <v>45962</v>
      </c>
      <c r="I196" s="31"/>
      <c r="J196" s="45">
        <v>45992</v>
      </c>
      <c r="K196" s="31"/>
      <c r="L196" s="28">
        <v>45966</v>
      </c>
      <c r="M196" s="29" t="s">
        <v>69</v>
      </c>
      <c r="N196" s="15" t="s">
        <v>70</v>
      </c>
      <c r="O196" s="13">
        <v>51.75</v>
      </c>
      <c r="P196" s="15" t="s">
        <v>86</v>
      </c>
      <c r="Q196" s="13">
        <v>4.66</v>
      </c>
      <c r="R196" s="29" t="s">
        <v>72</v>
      </c>
    </row>
    <row r="197" spans="1:18" ht="22.5" x14ac:dyDescent="0.2">
      <c r="A197" s="1"/>
      <c r="B197" s="1" t="s">
        <v>65</v>
      </c>
      <c r="C197" s="1" t="s">
        <v>401</v>
      </c>
      <c r="D197" s="1" t="s">
        <v>402</v>
      </c>
      <c r="E197" s="28">
        <v>45334</v>
      </c>
      <c r="F197" s="14"/>
      <c r="G197" s="14" t="s">
        <v>376</v>
      </c>
      <c r="H197" s="45">
        <v>45962</v>
      </c>
      <c r="I197" s="31"/>
      <c r="J197" s="45">
        <v>45992</v>
      </c>
      <c r="K197" s="31"/>
      <c r="L197" s="28">
        <v>45967</v>
      </c>
      <c r="M197" s="29" t="s">
        <v>69</v>
      </c>
      <c r="N197" s="15" t="s">
        <v>70</v>
      </c>
      <c r="O197" s="13">
        <v>16.95</v>
      </c>
      <c r="P197" s="15" t="s">
        <v>86</v>
      </c>
      <c r="Q197" s="13">
        <v>1.53</v>
      </c>
      <c r="R197" s="29" t="s">
        <v>72</v>
      </c>
    </row>
    <row r="198" spans="1:18" ht="22.5" x14ac:dyDescent="0.2">
      <c r="A198" s="1"/>
      <c r="B198" s="1" t="s">
        <v>65</v>
      </c>
      <c r="C198" s="1" t="s">
        <v>403</v>
      </c>
      <c r="D198" s="1" t="s">
        <v>404</v>
      </c>
      <c r="E198" s="28">
        <v>45263</v>
      </c>
      <c r="F198" s="14"/>
      <c r="G198" s="14" t="s">
        <v>292</v>
      </c>
      <c r="H198" s="45">
        <v>45962</v>
      </c>
      <c r="I198" s="31"/>
      <c r="J198" s="45">
        <v>45992</v>
      </c>
      <c r="K198" s="31"/>
      <c r="L198" s="28">
        <v>45966</v>
      </c>
      <c r="M198" s="29" t="s">
        <v>69</v>
      </c>
      <c r="N198" s="15" t="s">
        <v>70</v>
      </c>
      <c r="O198" s="13">
        <v>64.48</v>
      </c>
      <c r="P198" s="15" t="s">
        <v>86</v>
      </c>
      <c r="Q198" s="13">
        <v>5.8</v>
      </c>
      <c r="R198" s="29" t="s">
        <v>72</v>
      </c>
    </row>
    <row r="199" spans="1:18" x14ac:dyDescent="0.2">
      <c r="A199" s="33" t="s">
        <v>405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1"/>
      <c r="O199" s="1"/>
      <c r="P199" s="1"/>
      <c r="Q199" s="1"/>
      <c r="R199" s="1"/>
    </row>
    <row r="200" spans="1:18" ht="22.5" x14ac:dyDescent="0.2">
      <c r="A200" s="1"/>
      <c r="B200" s="1" t="s">
        <v>65</v>
      </c>
      <c r="C200" s="1" t="s">
        <v>406</v>
      </c>
      <c r="D200" s="1" t="s">
        <v>407</v>
      </c>
      <c r="E200" s="28">
        <v>44987</v>
      </c>
      <c r="F200" s="14"/>
      <c r="G200" s="14" t="s">
        <v>74</v>
      </c>
      <c r="H200" s="45">
        <v>45962</v>
      </c>
      <c r="I200" s="31"/>
      <c r="J200" s="45">
        <v>45992</v>
      </c>
      <c r="K200" s="31"/>
      <c r="L200" s="28">
        <v>45966</v>
      </c>
      <c r="M200" s="29" t="s">
        <v>69</v>
      </c>
      <c r="N200" s="15" t="s">
        <v>70</v>
      </c>
      <c r="O200" s="13">
        <v>25.42</v>
      </c>
      <c r="P200" s="15" t="s">
        <v>75</v>
      </c>
      <c r="Q200" s="13">
        <v>4.58</v>
      </c>
      <c r="R200" s="29" t="s">
        <v>72</v>
      </c>
    </row>
    <row r="201" spans="1:18" ht="22.5" x14ac:dyDescent="0.2">
      <c r="A201" s="1"/>
      <c r="B201" s="1" t="s">
        <v>65</v>
      </c>
      <c r="C201" s="1" t="s">
        <v>408</v>
      </c>
      <c r="D201" s="1" t="s">
        <v>409</v>
      </c>
      <c r="E201" s="28">
        <v>44987</v>
      </c>
      <c r="F201" s="14"/>
      <c r="G201" s="14" t="s">
        <v>74</v>
      </c>
      <c r="H201" s="45">
        <v>45962</v>
      </c>
      <c r="I201" s="31"/>
      <c r="J201" s="45">
        <v>45992</v>
      </c>
      <c r="K201" s="31"/>
      <c r="L201" s="28">
        <v>45966</v>
      </c>
      <c r="M201" s="29" t="s">
        <v>69</v>
      </c>
      <c r="N201" s="15" t="s">
        <v>70</v>
      </c>
      <c r="O201" s="13">
        <v>25.42</v>
      </c>
      <c r="P201" s="15" t="s">
        <v>75</v>
      </c>
      <c r="Q201" s="13">
        <v>4.58</v>
      </c>
      <c r="R201" s="29" t="s">
        <v>72</v>
      </c>
    </row>
    <row r="202" spans="1:18" ht="22.5" x14ac:dyDescent="0.2">
      <c r="A202" s="1"/>
      <c r="B202" s="1" t="s">
        <v>65</v>
      </c>
      <c r="C202" s="1" t="s">
        <v>410</v>
      </c>
      <c r="D202" s="1" t="s">
        <v>411</v>
      </c>
      <c r="E202" s="28">
        <v>44896</v>
      </c>
      <c r="F202" s="14"/>
      <c r="G202" s="14" t="s">
        <v>85</v>
      </c>
      <c r="H202" s="45">
        <v>45962</v>
      </c>
      <c r="I202" s="31"/>
      <c r="J202" s="45">
        <v>45992</v>
      </c>
      <c r="K202" s="31"/>
      <c r="L202" s="28">
        <v>45966</v>
      </c>
      <c r="M202" s="29" t="s">
        <v>69</v>
      </c>
      <c r="N202" s="15" t="s">
        <v>70</v>
      </c>
      <c r="O202" s="13">
        <v>25</v>
      </c>
      <c r="P202" s="15" t="s">
        <v>86</v>
      </c>
      <c r="Q202" s="13">
        <v>2.25</v>
      </c>
      <c r="R202" s="29" t="s">
        <v>72</v>
      </c>
    </row>
    <row r="203" spans="1:18" ht="22.5" x14ac:dyDescent="0.2">
      <c r="A203" s="1"/>
      <c r="B203" s="1" t="s">
        <v>65</v>
      </c>
      <c r="C203" s="1" t="s">
        <v>412</v>
      </c>
      <c r="D203" s="1" t="s">
        <v>411</v>
      </c>
      <c r="E203" s="28">
        <v>44896</v>
      </c>
      <c r="F203" s="14"/>
      <c r="G203" s="14" t="s">
        <v>202</v>
      </c>
      <c r="H203" s="45">
        <v>45962</v>
      </c>
      <c r="I203" s="31"/>
      <c r="J203" s="45">
        <v>45992</v>
      </c>
      <c r="K203" s="31"/>
      <c r="L203" s="28">
        <v>45966</v>
      </c>
      <c r="M203" s="29" t="s">
        <v>69</v>
      </c>
      <c r="N203" s="15" t="s">
        <v>70</v>
      </c>
      <c r="O203" s="13">
        <v>54</v>
      </c>
      <c r="P203" s="15" t="s">
        <v>86</v>
      </c>
      <c r="Q203" s="13">
        <v>4.8600000000000003</v>
      </c>
      <c r="R203" s="29" t="s">
        <v>72</v>
      </c>
    </row>
    <row r="204" spans="1:18" ht="22.5" x14ac:dyDescent="0.2">
      <c r="A204" s="1"/>
      <c r="B204" s="1" t="s">
        <v>65</v>
      </c>
      <c r="C204" s="1" t="s">
        <v>413</v>
      </c>
      <c r="D204" s="1" t="s">
        <v>411</v>
      </c>
      <c r="E204" s="28">
        <v>44896</v>
      </c>
      <c r="F204" s="14"/>
      <c r="G204" s="14" t="s">
        <v>74</v>
      </c>
      <c r="H204" s="45">
        <v>45962</v>
      </c>
      <c r="I204" s="31"/>
      <c r="J204" s="45">
        <v>45992</v>
      </c>
      <c r="K204" s="31"/>
      <c r="L204" s="28">
        <v>45966</v>
      </c>
      <c r="M204" s="29" t="s">
        <v>69</v>
      </c>
      <c r="N204" s="15" t="s">
        <v>70</v>
      </c>
      <c r="O204" s="13">
        <v>146.41999999999999</v>
      </c>
      <c r="P204" s="15" t="s">
        <v>75</v>
      </c>
      <c r="Q204" s="13">
        <v>26.36</v>
      </c>
      <c r="R204" s="29" t="s">
        <v>72</v>
      </c>
    </row>
    <row r="205" spans="1:18" ht="22.5" x14ac:dyDescent="0.2">
      <c r="A205" s="1"/>
      <c r="B205" s="1" t="s">
        <v>65</v>
      </c>
      <c r="C205" s="1" t="s">
        <v>414</v>
      </c>
      <c r="D205" s="1" t="s">
        <v>415</v>
      </c>
      <c r="E205" s="28">
        <v>44927</v>
      </c>
      <c r="F205" s="14"/>
      <c r="G205" s="14" t="s">
        <v>227</v>
      </c>
      <c r="H205" s="45">
        <v>45962</v>
      </c>
      <c r="I205" s="31"/>
      <c r="J205" s="45">
        <v>45992</v>
      </c>
      <c r="K205" s="31"/>
      <c r="L205" s="28">
        <v>45966</v>
      </c>
      <c r="M205" s="29" t="s">
        <v>69</v>
      </c>
      <c r="N205" s="15" t="s">
        <v>70</v>
      </c>
      <c r="O205" s="13">
        <v>35.99</v>
      </c>
      <c r="P205" s="15" t="s">
        <v>78</v>
      </c>
      <c r="Q205" s="13">
        <v>2.52</v>
      </c>
      <c r="R205" s="29" t="s">
        <v>72</v>
      </c>
    </row>
    <row r="206" spans="1:18" ht="22.5" x14ac:dyDescent="0.2">
      <c r="A206" s="1"/>
      <c r="B206" s="1" t="s">
        <v>65</v>
      </c>
      <c r="C206" s="1" t="s">
        <v>416</v>
      </c>
      <c r="D206" s="1" t="s">
        <v>415</v>
      </c>
      <c r="E206" s="28">
        <v>44927</v>
      </c>
      <c r="F206" s="14"/>
      <c r="G206" s="14" t="s">
        <v>74</v>
      </c>
      <c r="H206" s="45">
        <v>45962</v>
      </c>
      <c r="I206" s="31"/>
      <c r="J206" s="45">
        <v>45992</v>
      </c>
      <c r="K206" s="31"/>
      <c r="L206" s="28">
        <v>45966</v>
      </c>
      <c r="M206" s="29" t="s">
        <v>69</v>
      </c>
      <c r="N206" s="15" t="s">
        <v>70</v>
      </c>
      <c r="O206" s="13">
        <v>15.62</v>
      </c>
      <c r="P206" s="15" t="s">
        <v>86</v>
      </c>
      <c r="Q206" s="13">
        <v>1.41</v>
      </c>
      <c r="R206" s="29" t="s">
        <v>72</v>
      </c>
    </row>
    <row r="207" spans="1:18" ht="22.5" x14ac:dyDescent="0.2">
      <c r="A207" s="1"/>
      <c r="B207" s="1" t="s">
        <v>65</v>
      </c>
      <c r="C207" s="1" t="s">
        <v>417</v>
      </c>
      <c r="D207" s="1" t="s">
        <v>415</v>
      </c>
      <c r="E207" s="28">
        <v>44927</v>
      </c>
      <c r="F207" s="14"/>
      <c r="G207" s="14" t="s">
        <v>142</v>
      </c>
      <c r="H207" s="45">
        <v>45962</v>
      </c>
      <c r="I207" s="31"/>
      <c r="J207" s="45">
        <v>45992</v>
      </c>
      <c r="K207" s="31"/>
      <c r="L207" s="28">
        <v>45966</v>
      </c>
      <c r="M207" s="29" t="s">
        <v>69</v>
      </c>
      <c r="N207" s="15" t="s">
        <v>70</v>
      </c>
      <c r="O207" s="13">
        <v>10.45</v>
      </c>
      <c r="P207" s="15" t="s">
        <v>86</v>
      </c>
      <c r="Q207" s="13">
        <v>0.94</v>
      </c>
      <c r="R207" s="29" t="s">
        <v>72</v>
      </c>
    </row>
    <row r="208" spans="1:18" ht="33.75" x14ac:dyDescent="0.2">
      <c r="A208" s="1"/>
      <c r="B208" s="1" t="s">
        <v>65</v>
      </c>
      <c r="C208" s="1" t="s">
        <v>418</v>
      </c>
      <c r="D208" s="1" t="s">
        <v>419</v>
      </c>
      <c r="E208" s="28">
        <v>44927</v>
      </c>
      <c r="F208" s="14"/>
      <c r="G208" s="14" t="s">
        <v>85</v>
      </c>
      <c r="H208" s="45">
        <v>45962</v>
      </c>
      <c r="I208" s="31"/>
      <c r="J208" s="45">
        <v>45992</v>
      </c>
      <c r="K208" s="31"/>
      <c r="L208" s="28">
        <v>45966</v>
      </c>
      <c r="M208" s="29" t="s">
        <v>69</v>
      </c>
      <c r="N208" s="15" t="s">
        <v>70</v>
      </c>
      <c r="O208" s="13">
        <v>25</v>
      </c>
      <c r="P208" s="15" t="s">
        <v>86</v>
      </c>
      <c r="Q208" s="13">
        <v>2.25</v>
      </c>
      <c r="R208" s="29" t="s">
        <v>72</v>
      </c>
    </row>
    <row r="209" spans="1:18" x14ac:dyDescent="0.2">
      <c r="A209" s="1"/>
      <c r="B209" s="1" t="s">
        <v>65</v>
      </c>
      <c r="C209" s="1" t="s">
        <v>420</v>
      </c>
      <c r="D209" s="1" t="s">
        <v>421</v>
      </c>
      <c r="E209" s="28">
        <v>44927</v>
      </c>
      <c r="F209" s="14"/>
      <c r="G209" s="14" t="s">
        <v>286</v>
      </c>
      <c r="H209" s="45">
        <v>45962</v>
      </c>
      <c r="I209" s="31"/>
      <c r="J209" s="45">
        <v>45992</v>
      </c>
      <c r="K209" s="31"/>
      <c r="L209" s="28">
        <v>45966</v>
      </c>
      <c r="M209" s="29" t="s">
        <v>69</v>
      </c>
      <c r="N209" s="15" t="s">
        <v>70</v>
      </c>
      <c r="O209" s="13">
        <v>39</v>
      </c>
      <c r="P209" s="15" t="s">
        <v>86</v>
      </c>
      <c r="Q209" s="13">
        <v>3.51</v>
      </c>
      <c r="R209" s="29" t="s">
        <v>72</v>
      </c>
    </row>
    <row r="210" spans="1:18" ht="22.5" x14ac:dyDescent="0.2">
      <c r="A210" s="1"/>
      <c r="B210" s="1" t="s">
        <v>65</v>
      </c>
      <c r="C210" s="1" t="s">
        <v>422</v>
      </c>
      <c r="D210" s="1" t="s">
        <v>421</v>
      </c>
      <c r="E210" s="28">
        <v>44927</v>
      </c>
      <c r="F210" s="14"/>
      <c r="G210" s="14" t="s">
        <v>213</v>
      </c>
      <c r="H210" s="45">
        <v>45962</v>
      </c>
      <c r="I210" s="31"/>
      <c r="J210" s="45">
        <v>45992</v>
      </c>
      <c r="K210" s="31"/>
      <c r="L210" s="28">
        <v>45966</v>
      </c>
      <c r="M210" s="29" t="s">
        <v>69</v>
      </c>
      <c r="N210" s="15" t="s">
        <v>70</v>
      </c>
      <c r="O210" s="13">
        <v>91.23</v>
      </c>
      <c r="P210" s="15" t="s">
        <v>75</v>
      </c>
      <c r="Q210" s="13">
        <v>16.420000000000002</v>
      </c>
      <c r="R210" s="29" t="s">
        <v>72</v>
      </c>
    </row>
    <row r="211" spans="1:18" ht="22.5" x14ac:dyDescent="0.2">
      <c r="A211" s="1"/>
      <c r="B211" s="1" t="s">
        <v>65</v>
      </c>
      <c r="C211" s="1" t="s">
        <v>423</v>
      </c>
      <c r="D211" s="1" t="s">
        <v>424</v>
      </c>
      <c r="E211" s="28">
        <v>44927</v>
      </c>
      <c r="F211" s="14"/>
      <c r="G211" s="14" t="s">
        <v>425</v>
      </c>
      <c r="H211" s="45">
        <v>45962</v>
      </c>
      <c r="I211" s="31"/>
      <c r="J211" s="45">
        <v>45992</v>
      </c>
      <c r="K211" s="31"/>
      <c r="L211" s="28">
        <v>45966</v>
      </c>
      <c r="M211" s="29" t="s">
        <v>69</v>
      </c>
      <c r="N211" s="15" t="s">
        <v>70</v>
      </c>
      <c r="O211" s="13">
        <v>34.14</v>
      </c>
      <c r="P211" s="15" t="s">
        <v>75</v>
      </c>
      <c r="Q211" s="13">
        <v>6.15</v>
      </c>
      <c r="R211" s="29" t="s">
        <v>72</v>
      </c>
    </row>
    <row r="212" spans="1:18" ht="22.5" x14ac:dyDescent="0.2">
      <c r="A212" s="1"/>
      <c r="B212" s="1" t="s">
        <v>65</v>
      </c>
      <c r="C212" s="1" t="s">
        <v>426</v>
      </c>
      <c r="D212" s="1" t="s">
        <v>424</v>
      </c>
      <c r="E212" s="28">
        <v>44927</v>
      </c>
      <c r="F212" s="14"/>
      <c r="G212" s="14" t="s">
        <v>171</v>
      </c>
      <c r="H212" s="45">
        <v>45962</v>
      </c>
      <c r="I212" s="31"/>
      <c r="J212" s="45">
        <v>45992</v>
      </c>
      <c r="K212" s="31"/>
      <c r="L212" s="28">
        <v>45966</v>
      </c>
      <c r="M212" s="29" t="s">
        <v>69</v>
      </c>
      <c r="N212" s="15" t="s">
        <v>70</v>
      </c>
      <c r="O212" s="13">
        <v>11.3</v>
      </c>
      <c r="P212" s="15" t="s">
        <v>86</v>
      </c>
      <c r="Q212" s="13">
        <v>1.02</v>
      </c>
      <c r="R212" s="29" t="s">
        <v>72</v>
      </c>
    </row>
    <row r="213" spans="1:18" ht="22.5" x14ac:dyDescent="0.2">
      <c r="A213" s="1"/>
      <c r="B213" s="1" t="s">
        <v>65</v>
      </c>
      <c r="C213" s="1" t="s">
        <v>427</v>
      </c>
      <c r="D213" s="1" t="s">
        <v>428</v>
      </c>
      <c r="E213" s="28">
        <v>45323</v>
      </c>
      <c r="F213" s="14"/>
      <c r="G213" s="14" t="s">
        <v>74</v>
      </c>
      <c r="H213" s="45">
        <v>45962</v>
      </c>
      <c r="I213" s="31"/>
      <c r="J213" s="45">
        <v>45992</v>
      </c>
      <c r="K213" s="31"/>
      <c r="L213" s="28">
        <v>45966</v>
      </c>
      <c r="M213" s="29" t="s">
        <v>69</v>
      </c>
      <c r="N213" s="15" t="s">
        <v>70</v>
      </c>
      <c r="O213" s="13">
        <v>62.81</v>
      </c>
      <c r="P213" s="15" t="s">
        <v>75</v>
      </c>
      <c r="Q213" s="13">
        <v>11.31</v>
      </c>
      <c r="R213" s="29" t="s">
        <v>72</v>
      </c>
    </row>
    <row r="214" spans="1:18" ht="22.5" x14ac:dyDescent="0.2">
      <c r="A214" s="1"/>
      <c r="B214" s="1" t="s">
        <v>65</v>
      </c>
      <c r="C214" s="1" t="s">
        <v>429</v>
      </c>
      <c r="D214" s="1" t="s">
        <v>430</v>
      </c>
      <c r="E214" s="28">
        <v>44927</v>
      </c>
      <c r="F214" s="14"/>
      <c r="G214" s="14" t="s">
        <v>189</v>
      </c>
      <c r="H214" s="45">
        <v>45962</v>
      </c>
      <c r="I214" s="31"/>
      <c r="J214" s="45">
        <v>45992</v>
      </c>
      <c r="K214" s="31"/>
      <c r="L214" s="28">
        <v>45966</v>
      </c>
      <c r="M214" s="29" t="s">
        <v>69</v>
      </c>
      <c r="N214" s="15" t="s">
        <v>70</v>
      </c>
      <c r="O214" s="13">
        <v>84.91</v>
      </c>
      <c r="P214" s="15" t="s">
        <v>75</v>
      </c>
      <c r="Q214" s="13">
        <v>15.28</v>
      </c>
      <c r="R214" s="29" t="s">
        <v>72</v>
      </c>
    </row>
    <row r="215" spans="1:18" ht="22.5" x14ac:dyDescent="0.2">
      <c r="A215" s="1"/>
      <c r="B215" s="1" t="s">
        <v>65</v>
      </c>
      <c r="C215" s="1" t="s">
        <v>431</v>
      </c>
      <c r="D215" s="1" t="s">
        <v>430</v>
      </c>
      <c r="E215" s="28">
        <v>44927</v>
      </c>
      <c r="F215" s="14"/>
      <c r="G215" s="14" t="s">
        <v>171</v>
      </c>
      <c r="H215" s="45">
        <v>45962</v>
      </c>
      <c r="I215" s="31"/>
      <c r="J215" s="45">
        <v>45992</v>
      </c>
      <c r="K215" s="31"/>
      <c r="L215" s="28">
        <v>45966</v>
      </c>
      <c r="M215" s="29" t="s">
        <v>69</v>
      </c>
      <c r="N215" s="15" t="s">
        <v>70</v>
      </c>
      <c r="O215" s="13">
        <v>30.4</v>
      </c>
      <c r="P215" s="15" t="s">
        <v>86</v>
      </c>
      <c r="Q215" s="13">
        <v>2.74</v>
      </c>
      <c r="R215" s="29" t="s">
        <v>72</v>
      </c>
    </row>
    <row r="216" spans="1:18" ht="22.5" x14ac:dyDescent="0.2">
      <c r="A216" s="1"/>
      <c r="B216" s="1" t="s">
        <v>65</v>
      </c>
      <c r="C216" s="1" t="s">
        <v>432</v>
      </c>
      <c r="D216" s="1" t="s">
        <v>433</v>
      </c>
      <c r="E216" s="28">
        <v>44927</v>
      </c>
      <c r="F216" s="14"/>
      <c r="G216" s="14" t="s">
        <v>85</v>
      </c>
      <c r="H216" s="45">
        <v>45962</v>
      </c>
      <c r="I216" s="31"/>
      <c r="J216" s="45">
        <v>45992</v>
      </c>
      <c r="K216" s="31"/>
      <c r="L216" s="28">
        <v>45966</v>
      </c>
      <c r="M216" s="29" t="s">
        <v>69</v>
      </c>
      <c r="N216" s="15" t="s">
        <v>70</v>
      </c>
      <c r="O216" s="13">
        <v>16</v>
      </c>
      <c r="P216" s="15" t="s">
        <v>86</v>
      </c>
      <c r="Q216" s="13">
        <v>1.44</v>
      </c>
      <c r="R216" s="29" t="s">
        <v>72</v>
      </c>
    </row>
    <row r="217" spans="1:18" ht="22.5" x14ac:dyDescent="0.2">
      <c r="A217" s="1"/>
      <c r="B217" s="1" t="s">
        <v>65</v>
      </c>
      <c r="C217" s="1" t="s">
        <v>434</v>
      </c>
      <c r="D217" s="1" t="s">
        <v>433</v>
      </c>
      <c r="E217" s="28">
        <v>44927</v>
      </c>
      <c r="F217" s="14"/>
      <c r="G217" s="14" t="s">
        <v>202</v>
      </c>
      <c r="H217" s="45">
        <v>45962</v>
      </c>
      <c r="I217" s="31"/>
      <c r="J217" s="45">
        <v>45992</v>
      </c>
      <c r="K217" s="31"/>
      <c r="L217" s="28">
        <v>45966</v>
      </c>
      <c r="M217" s="29" t="s">
        <v>69</v>
      </c>
      <c r="N217" s="15" t="s">
        <v>70</v>
      </c>
      <c r="O217" s="13">
        <v>38</v>
      </c>
      <c r="P217" s="15" t="s">
        <v>86</v>
      </c>
      <c r="Q217" s="13">
        <v>3.42</v>
      </c>
      <c r="R217" s="29" t="s">
        <v>72</v>
      </c>
    </row>
    <row r="218" spans="1:18" ht="22.5" x14ac:dyDescent="0.2">
      <c r="A218" s="1"/>
      <c r="B218" s="1" t="s">
        <v>65</v>
      </c>
      <c r="C218" s="1" t="s">
        <v>435</v>
      </c>
      <c r="D218" s="1" t="s">
        <v>433</v>
      </c>
      <c r="E218" s="28">
        <v>44927</v>
      </c>
      <c r="F218" s="14"/>
      <c r="G218" s="14" t="s">
        <v>74</v>
      </c>
      <c r="H218" s="45">
        <v>45962</v>
      </c>
      <c r="I218" s="31"/>
      <c r="J218" s="45">
        <v>45992</v>
      </c>
      <c r="K218" s="31"/>
      <c r="L218" s="28">
        <v>45966</v>
      </c>
      <c r="M218" s="29" t="s">
        <v>69</v>
      </c>
      <c r="N218" s="15" t="s">
        <v>70</v>
      </c>
      <c r="O218" s="13">
        <v>136.96</v>
      </c>
      <c r="P218" s="15" t="s">
        <v>75</v>
      </c>
      <c r="Q218" s="13">
        <v>24.65</v>
      </c>
      <c r="R218" s="29" t="s">
        <v>72</v>
      </c>
    </row>
    <row r="219" spans="1:18" ht="22.5" x14ac:dyDescent="0.2">
      <c r="A219" s="1"/>
      <c r="B219" s="1" t="s">
        <v>65</v>
      </c>
      <c r="C219" s="1" t="s">
        <v>436</v>
      </c>
      <c r="D219" s="1" t="s">
        <v>437</v>
      </c>
      <c r="E219" s="28">
        <v>44927</v>
      </c>
      <c r="F219" s="14"/>
      <c r="G219" s="14" t="s">
        <v>85</v>
      </c>
      <c r="H219" s="45">
        <v>45962</v>
      </c>
      <c r="I219" s="31"/>
      <c r="J219" s="45">
        <v>45992</v>
      </c>
      <c r="K219" s="31"/>
      <c r="L219" s="28">
        <v>45966</v>
      </c>
      <c r="M219" s="29" t="s">
        <v>69</v>
      </c>
      <c r="N219" s="15" t="s">
        <v>70</v>
      </c>
      <c r="O219" s="13">
        <v>16</v>
      </c>
      <c r="P219" s="15" t="s">
        <v>86</v>
      </c>
      <c r="Q219" s="13">
        <v>1.44</v>
      </c>
      <c r="R219" s="29" t="s">
        <v>72</v>
      </c>
    </row>
    <row r="220" spans="1:18" ht="22.5" x14ac:dyDescent="0.2">
      <c r="A220" s="1"/>
      <c r="B220" s="1" t="s">
        <v>65</v>
      </c>
      <c r="C220" s="1" t="s">
        <v>438</v>
      </c>
      <c r="D220" s="1" t="s">
        <v>439</v>
      </c>
      <c r="E220" s="28">
        <v>45292</v>
      </c>
      <c r="F220" s="14"/>
      <c r="G220" s="14" t="s">
        <v>440</v>
      </c>
      <c r="H220" s="45">
        <v>45962</v>
      </c>
      <c r="I220" s="31"/>
      <c r="J220" s="45">
        <v>45992</v>
      </c>
      <c r="K220" s="31"/>
      <c r="L220" s="28">
        <v>45966</v>
      </c>
      <c r="M220" s="29" t="s">
        <v>69</v>
      </c>
      <c r="N220" s="15" t="s">
        <v>70</v>
      </c>
      <c r="O220" s="13">
        <v>78.7</v>
      </c>
      <c r="P220" s="15" t="s">
        <v>86</v>
      </c>
      <c r="Q220" s="13">
        <v>7.08</v>
      </c>
      <c r="R220" s="29" t="s">
        <v>72</v>
      </c>
    </row>
    <row r="221" spans="1:18" ht="22.5" x14ac:dyDescent="0.2">
      <c r="A221" s="1"/>
      <c r="B221" s="1" t="s">
        <v>65</v>
      </c>
      <c r="C221" s="1" t="s">
        <v>441</v>
      </c>
      <c r="D221" s="1" t="s">
        <v>442</v>
      </c>
      <c r="E221" s="28">
        <v>44959</v>
      </c>
      <c r="F221" s="14"/>
      <c r="G221" s="14" t="s">
        <v>85</v>
      </c>
      <c r="H221" s="45">
        <v>45962</v>
      </c>
      <c r="I221" s="31"/>
      <c r="J221" s="45">
        <v>45992</v>
      </c>
      <c r="K221" s="31"/>
      <c r="L221" s="28">
        <v>45966</v>
      </c>
      <c r="M221" s="29" t="s">
        <v>69</v>
      </c>
      <c r="N221" s="15" t="s">
        <v>70</v>
      </c>
      <c r="O221" s="13">
        <v>9</v>
      </c>
      <c r="P221" s="15" t="s">
        <v>86</v>
      </c>
      <c r="Q221" s="13">
        <v>0.81</v>
      </c>
      <c r="R221" s="29" t="s">
        <v>72</v>
      </c>
    </row>
    <row r="222" spans="1:18" x14ac:dyDescent="0.2">
      <c r="A222" s="1"/>
      <c r="B222" s="1" t="s">
        <v>65</v>
      </c>
      <c r="C222" s="1" t="s">
        <v>443</v>
      </c>
      <c r="D222" s="1" t="s">
        <v>444</v>
      </c>
      <c r="E222" s="28">
        <v>44927</v>
      </c>
      <c r="F222" s="14"/>
      <c r="G222" s="14" t="s">
        <v>227</v>
      </c>
      <c r="H222" s="45">
        <v>45962</v>
      </c>
      <c r="I222" s="31"/>
      <c r="J222" s="45">
        <v>45992</v>
      </c>
      <c r="K222" s="31"/>
      <c r="L222" s="28">
        <v>45966</v>
      </c>
      <c r="M222" s="29" t="s">
        <v>69</v>
      </c>
      <c r="N222" s="15" t="s">
        <v>70</v>
      </c>
      <c r="O222" s="13">
        <v>47.13</v>
      </c>
      <c r="P222" s="15" t="s">
        <v>86</v>
      </c>
      <c r="Q222" s="13">
        <v>4.24</v>
      </c>
      <c r="R222" s="29" t="s">
        <v>72</v>
      </c>
    </row>
    <row r="223" spans="1:18" ht="22.5" x14ac:dyDescent="0.2">
      <c r="A223" s="1"/>
      <c r="B223" s="1" t="s">
        <v>65</v>
      </c>
      <c r="C223" s="1" t="s">
        <v>445</v>
      </c>
      <c r="D223" s="1" t="s">
        <v>444</v>
      </c>
      <c r="E223" s="28">
        <v>44927</v>
      </c>
      <c r="F223" s="14"/>
      <c r="G223" s="14" t="s">
        <v>74</v>
      </c>
      <c r="H223" s="45">
        <v>45962</v>
      </c>
      <c r="I223" s="31"/>
      <c r="J223" s="45">
        <v>45992</v>
      </c>
      <c r="K223" s="31"/>
      <c r="L223" s="28">
        <v>45966</v>
      </c>
      <c r="M223" s="29" t="s">
        <v>69</v>
      </c>
      <c r="N223" s="15" t="s">
        <v>70</v>
      </c>
      <c r="O223" s="13">
        <v>68.03</v>
      </c>
      <c r="P223" s="15" t="s">
        <v>75</v>
      </c>
      <c r="Q223" s="13">
        <v>12.25</v>
      </c>
      <c r="R223" s="29" t="s">
        <v>72</v>
      </c>
    </row>
    <row r="224" spans="1:18" x14ac:dyDescent="0.2">
      <c r="A224" s="33" t="s">
        <v>446</v>
      </c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1"/>
      <c r="O224" s="1"/>
      <c r="P224" s="1"/>
      <c r="Q224" s="1"/>
      <c r="R224" s="1"/>
    </row>
    <row r="225" spans="1:18" ht="22.5" x14ac:dyDescent="0.2">
      <c r="A225" s="1"/>
      <c r="B225" s="1" t="s">
        <v>65</v>
      </c>
      <c r="C225" s="1" t="s">
        <v>447</v>
      </c>
      <c r="D225" s="1" t="s">
        <v>448</v>
      </c>
      <c r="E225" s="28">
        <v>44927</v>
      </c>
      <c r="F225" s="14"/>
      <c r="G225" s="14" t="s">
        <v>449</v>
      </c>
      <c r="H225" s="45">
        <v>45962</v>
      </c>
      <c r="I225" s="31"/>
      <c r="J225" s="45">
        <v>45992</v>
      </c>
      <c r="K225" s="31"/>
      <c r="L225" s="28">
        <v>45966</v>
      </c>
      <c r="M225" s="29" t="s">
        <v>69</v>
      </c>
      <c r="N225" s="15" t="s">
        <v>70</v>
      </c>
      <c r="O225" s="13">
        <v>3.36</v>
      </c>
      <c r="P225" s="15" t="s">
        <v>86</v>
      </c>
      <c r="Q225" s="13">
        <v>0.3</v>
      </c>
      <c r="R225" s="29" t="s">
        <v>72</v>
      </c>
    </row>
    <row r="226" spans="1:18" ht="22.5" x14ac:dyDescent="0.2">
      <c r="A226" s="1"/>
      <c r="B226" s="1" t="s">
        <v>65</v>
      </c>
      <c r="C226" s="1" t="s">
        <v>450</v>
      </c>
      <c r="D226" s="1" t="s">
        <v>448</v>
      </c>
      <c r="E226" s="28">
        <v>44927</v>
      </c>
      <c r="F226" s="14"/>
      <c r="G226" s="14" t="s">
        <v>122</v>
      </c>
      <c r="H226" s="45">
        <v>45962</v>
      </c>
      <c r="I226" s="31"/>
      <c r="J226" s="45">
        <v>45992</v>
      </c>
      <c r="K226" s="31"/>
      <c r="L226" s="28">
        <v>45966</v>
      </c>
      <c r="M226" s="29" t="s">
        <v>69</v>
      </c>
      <c r="N226" s="15" t="s">
        <v>70</v>
      </c>
      <c r="O226" s="13">
        <v>141.5</v>
      </c>
      <c r="P226" s="15" t="s">
        <v>86</v>
      </c>
      <c r="Q226" s="13">
        <v>12.74</v>
      </c>
      <c r="R226" s="29" t="s">
        <v>72</v>
      </c>
    </row>
    <row r="227" spans="1:18" ht="22.5" x14ac:dyDescent="0.2">
      <c r="A227" s="1"/>
      <c r="B227" s="1" t="s">
        <v>65</v>
      </c>
      <c r="C227" s="1" t="s">
        <v>451</v>
      </c>
      <c r="D227" s="1" t="s">
        <v>452</v>
      </c>
      <c r="E227" s="28">
        <v>44986</v>
      </c>
      <c r="F227" s="14"/>
      <c r="G227" s="14" t="s">
        <v>453</v>
      </c>
      <c r="H227" s="45">
        <v>45962</v>
      </c>
      <c r="I227" s="31"/>
      <c r="J227" s="45">
        <v>45992</v>
      </c>
      <c r="K227" s="31"/>
      <c r="L227" s="28">
        <v>45966</v>
      </c>
      <c r="M227" s="29" t="s">
        <v>69</v>
      </c>
      <c r="N227" s="15" t="s">
        <v>70</v>
      </c>
      <c r="O227" s="13">
        <v>110.7</v>
      </c>
      <c r="P227" s="15" t="s">
        <v>86</v>
      </c>
      <c r="Q227" s="13">
        <v>9.9600000000000009</v>
      </c>
      <c r="R227" s="29" t="s">
        <v>72</v>
      </c>
    </row>
    <row r="228" spans="1:18" x14ac:dyDescent="0.2">
      <c r="A228" s="33" t="s">
        <v>454</v>
      </c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1"/>
      <c r="O228" s="1"/>
      <c r="P228" s="1"/>
      <c r="Q228" s="1"/>
      <c r="R228" s="1"/>
    </row>
    <row r="229" spans="1:18" ht="22.5" x14ac:dyDescent="0.2">
      <c r="A229" s="1"/>
      <c r="B229" s="1" t="s">
        <v>65</v>
      </c>
      <c r="C229" s="1" t="s">
        <v>455</v>
      </c>
      <c r="D229" s="1" t="s">
        <v>456</v>
      </c>
      <c r="E229" s="28">
        <v>44927</v>
      </c>
      <c r="F229" s="14"/>
      <c r="G229" s="14" t="s">
        <v>449</v>
      </c>
      <c r="H229" s="45">
        <v>45962</v>
      </c>
      <c r="I229" s="31"/>
      <c r="J229" s="45">
        <v>45992</v>
      </c>
      <c r="K229" s="31"/>
      <c r="L229" s="28">
        <v>45966</v>
      </c>
      <c r="M229" s="29" t="s">
        <v>69</v>
      </c>
      <c r="N229" s="15" t="s">
        <v>70</v>
      </c>
      <c r="O229" s="13">
        <v>6.3</v>
      </c>
      <c r="P229" s="15" t="s">
        <v>86</v>
      </c>
      <c r="Q229" s="13">
        <v>0.56999999999999995</v>
      </c>
      <c r="R229" s="29" t="s">
        <v>72</v>
      </c>
    </row>
    <row r="230" spans="1:18" ht="22.5" x14ac:dyDescent="0.2">
      <c r="A230" s="1"/>
      <c r="B230" s="1" t="s">
        <v>65</v>
      </c>
      <c r="C230" s="1" t="s">
        <v>457</v>
      </c>
      <c r="D230" s="1" t="s">
        <v>456</v>
      </c>
      <c r="E230" s="28">
        <v>44927</v>
      </c>
      <c r="F230" s="14"/>
      <c r="G230" s="14" t="s">
        <v>458</v>
      </c>
      <c r="H230" s="45">
        <v>45962</v>
      </c>
      <c r="I230" s="31"/>
      <c r="J230" s="45">
        <v>45992</v>
      </c>
      <c r="K230" s="31"/>
      <c r="L230" s="28">
        <v>45966</v>
      </c>
      <c r="M230" s="29" t="s">
        <v>69</v>
      </c>
      <c r="N230" s="15" t="s">
        <v>70</v>
      </c>
      <c r="O230" s="13">
        <v>21.5</v>
      </c>
      <c r="P230" s="15" t="s">
        <v>86</v>
      </c>
      <c r="Q230" s="13">
        <v>1.94</v>
      </c>
      <c r="R230" s="29" t="s">
        <v>72</v>
      </c>
    </row>
    <row r="231" spans="1:18" ht="22.5" x14ac:dyDescent="0.2">
      <c r="A231" s="1"/>
      <c r="B231" s="1" t="s">
        <v>65</v>
      </c>
      <c r="C231" s="1" t="s">
        <v>459</v>
      </c>
      <c r="D231" s="1" t="s">
        <v>456</v>
      </c>
      <c r="E231" s="28">
        <v>44927</v>
      </c>
      <c r="F231" s="14"/>
      <c r="G231" s="14" t="s">
        <v>286</v>
      </c>
      <c r="H231" s="45">
        <v>45962</v>
      </c>
      <c r="I231" s="31"/>
      <c r="J231" s="45">
        <v>45992</v>
      </c>
      <c r="K231" s="31"/>
      <c r="L231" s="28">
        <v>45966</v>
      </c>
      <c r="M231" s="29" t="s">
        <v>69</v>
      </c>
      <c r="N231" s="15" t="s">
        <v>70</v>
      </c>
      <c r="O231" s="13">
        <v>42.64</v>
      </c>
      <c r="P231" s="15" t="s">
        <v>86</v>
      </c>
      <c r="Q231" s="13">
        <v>3.84</v>
      </c>
      <c r="R231" s="29" t="s">
        <v>72</v>
      </c>
    </row>
    <row r="232" spans="1:18" ht="22.5" x14ac:dyDescent="0.2">
      <c r="A232" s="1"/>
      <c r="B232" s="1" t="s">
        <v>65</v>
      </c>
      <c r="C232" s="1" t="s">
        <v>460</v>
      </c>
      <c r="D232" s="1" t="s">
        <v>456</v>
      </c>
      <c r="E232" s="28">
        <v>44927</v>
      </c>
      <c r="F232" s="14"/>
      <c r="G232" s="14" t="s">
        <v>461</v>
      </c>
      <c r="H232" s="45">
        <v>45962</v>
      </c>
      <c r="I232" s="31"/>
      <c r="J232" s="45">
        <v>45992</v>
      </c>
      <c r="K232" s="31"/>
      <c r="L232" s="28">
        <v>45966</v>
      </c>
      <c r="M232" s="29" t="s">
        <v>69</v>
      </c>
      <c r="N232" s="15" t="s">
        <v>70</v>
      </c>
      <c r="O232" s="13">
        <v>7.5</v>
      </c>
      <c r="P232" s="15" t="s">
        <v>86</v>
      </c>
      <c r="Q232" s="13">
        <v>0.68</v>
      </c>
      <c r="R232" s="29" t="s">
        <v>72</v>
      </c>
    </row>
    <row r="233" spans="1:18" ht="22.5" x14ac:dyDescent="0.2">
      <c r="A233" s="1"/>
      <c r="B233" s="1" t="s">
        <v>65</v>
      </c>
      <c r="C233" s="1" t="s">
        <v>462</v>
      </c>
      <c r="D233" s="1" t="s">
        <v>456</v>
      </c>
      <c r="E233" s="28">
        <v>44927</v>
      </c>
      <c r="F233" s="14"/>
      <c r="G233" s="14" t="s">
        <v>197</v>
      </c>
      <c r="H233" s="45">
        <v>45962</v>
      </c>
      <c r="I233" s="31"/>
      <c r="J233" s="45">
        <v>45992</v>
      </c>
      <c r="K233" s="31"/>
      <c r="L233" s="28">
        <v>45966</v>
      </c>
      <c r="M233" s="29" t="s">
        <v>69</v>
      </c>
      <c r="N233" s="15" t="s">
        <v>70</v>
      </c>
      <c r="O233" s="13">
        <v>74.83</v>
      </c>
      <c r="P233" s="15" t="s">
        <v>75</v>
      </c>
      <c r="Q233" s="13">
        <v>13.47</v>
      </c>
      <c r="R233" s="29" t="s">
        <v>72</v>
      </c>
    </row>
    <row r="234" spans="1:18" ht="22.5" x14ac:dyDescent="0.2">
      <c r="A234" s="1"/>
      <c r="B234" s="1" t="s">
        <v>65</v>
      </c>
      <c r="C234" s="1" t="s">
        <v>463</v>
      </c>
      <c r="D234" s="1" t="s">
        <v>464</v>
      </c>
      <c r="E234" s="28">
        <v>44927</v>
      </c>
      <c r="F234" s="14"/>
      <c r="G234" s="14" t="s">
        <v>465</v>
      </c>
      <c r="H234" s="45">
        <v>45962</v>
      </c>
      <c r="I234" s="31"/>
      <c r="J234" s="45">
        <v>45992</v>
      </c>
      <c r="K234" s="31"/>
      <c r="L234" s="28">
        <v>45966</v>
      </c>
      <c r="M234" s="29" t="s">
        <v>69</v>
      </c>
      <c r="N234" s="15" t="s">
        <v>70</v>
      </c>
      <c r="O234" s="13">
        <v>9</v>
      </c>
      <c r="P234" s="15" t="s">
        <v>86</v>
      </c>
      <c r="Q234" s="13">
        <v>0.81</v>
      </c>
      <c r="R234" s="29" t="s">
        <v>72</v>
      </c>
    </row>
    <row r="235" spans="1:18" ht="22.5" x14ac:dyDescent="0.2">
      <c r="A235" s="1"/>
      <c r="B235" s="1" t="s">
        <v>65</v>
      </c>
      <c r="C235" s="1" t="s">
        <v>466</v>
      </c>
      <c r="D235" s="1" t="s">
        <v>467</v>
      </c>
      <c r="E235" s="28">
        <v>44928</v>
      </c>
      <c r="F235" s="14"/>
      <c r="G235" s="14" t="s">
        <v>468</v>
      </c>
      <c r="H235" s="45">
        <v>45962</v>
      </c>
      <c r="I235" s="31"/>
      <c r="J235" s="45">
        <v>45992</v>
      </c>
      <c r="K235" s="31"/>
      <c r="L235" s="28">
        <v>45966</v>
      </c>
      <c r="M235" s="29" t="s">
        <v>69</v>
      </c>
      <c r="N235" s="15" t="s">
        <v>70</v>
      </c>
      <c r="O235" s="13">
        <v>54.5</v>
      </c>
      <c r="P235" s="15" t="s">
        <v>86</v>
      </c>
      <c r="Q235" s="13">
        <v>4.91</v>
      </c>
      <c r="R235" s="29" t="s">
        <v>72</v>
      </c>
    </row>
    <row r="236" spans="1:18" ht="22.5" x14ac:dyDescent="0.2">
      <c r="A236" s="1"/>
      <c r="B236" s="1" t="s">
        <v>65</v>
      </c>
      <c r="C236" s="1" t="s">
        <v>469</v>
      </c>
      <c r="D236" s="1" t="s">
        <v>470</v>
      </c>
      <c r="E236" s="28">
        <v>44896</v>
      </c>
      <c r="F236" s="14"/>
      <c r="G236" s="14" t="s">
        <v>465</v>
      </c>
      <c r="H236" s="45">
        <v>45962</v>
      </c>
      <c r="I236" s="31"/>
      <c r="J236" s="45">
        <v>45992</v>
      </c>
      <c r="K236" s="31"/>
      <c r="L236" s="28">
        <v>45966</v>
      </c>
      <c r="M236" s="29" t="s">
        <v>69</v>
      </c>
      <c r="N236" s="15" t="s">
        <v>70</v>
      </c>
      <c r="O236" s="13">
        <v>9</v>
      </c>
      <c r="P236" s="15" t="s">
        <v>86</v>
      </c>
      <c r="Q236" s="13">
        <v>0.81</v>
      </c>
      <c r="R236" s="29" t="s">
        <v>72</v>
      </c>
    </row>
    <row r="237" spans="1:18" ht="22.5" x14ac:dyDescent="0.2">
      <c r="A237" s="1"/>
      <c r="B237" s="1" t="s">
        <v>65</v>
      </c>
      <c r="C237" s="1" t="s">
        <v>471</v>
      </c>
      <c r="D237" s="1" t="s">
        <v>470</v>
      </c>
      <c r="E237" s="28">
        <v>44896</v>
      </c>
      <c r="F237" s="14"/>
      <c r="G237" s="14" t="s">
        <v>286</v>
      </c>
      <c r="H237" s="45">
        <v>45962</v>
      </c>
      <c r="I237" s="31"/>
      <c r="J237" s="45">
        <v>45992</v>
      </c>
      <c r="K237" s="31"/>
      <c r="L237" s="28">
        <v>45966</v>
      </c>
      <c r="M237" s="29" t="s">
        <v>69</v>
      </c>
      <c r="N237" s="15" t="s">
        <v>70</v>
      </c>
      <c r="O237" s="13">
        <v>42.64</v>
      </c>
      <c r="P237" s="15" t="s">
        <v>86</v>
      </c>
      <c r="Q237" s="13">
        <v>3.84</v>
      </c>
      <c r="R237" s="29" t="s">
        <v>72</v>
      </c>
    </row>
    <row r="238" spans="1:18" ht="22.5" x14ac:dyDescent="0.2">
      <c r="A238" s="1"/>
      <c r="B238" s="1" t="s">
        <v>65</v>
      </c>
      <c r="C238" s="1" t="s">
        <v>472</v>
      </c>
      <c r="D238" s="1" t="s">
        <v>473</v>
      </c>
      <c r="E238" s="28">
        <v>44927</v>
      </c>
      <c r="F238" s="14"/>
      <c r="G238" s="14" t="s">
        <v>474</v>
      </c>
      <c r="H238" s="45">
        <v>45962</v>
      </c>
      <c r="I238" s="31"/>
      <c r="J238" s="45">
        <v>45992</v>
      </c>
      <c r="K238" s="31"/>
      <c r="L238" s="28">
        <v>45966</v>
      </c>
      <c r="M238" s="29" t="s">
        <v>69</v>
      </c>
      <c r="N238" s="15" t="s">
        <v>70</v>
      </c>
      <c r="O238" s="13">
        <v>28</v>
      </c>
      <c r="P238" s="15" t="s">
        <v>86</v>
      </c>
      <c r="Q238" s="13">
        <v>2.52</v>
      </c>
      <c r="R238" s="29" t="s">
        <v>72</v>
      </c>
    </row>
    <row r="239" spans="1:18" ht="22.5" x14ac:dyDescent="0.2">
      <c r="A239" s="1"/>
      <c r="B239" s="1" t="s">
        <v>65</v>
      </c>
      <c r="C239" s="1" t="s">
        <v>475</v>
      </c>
      <c r="D239" s="1" t="s">
        <v>473</v>
      </c>
      <c r="E239" s="28">
        <v>44927</v>
      </c>
      <c r="F239" s="14"/>
      <c r="G239" s="14" t="s">
        <v>286</v>
      </c>
      <c r="H239" s="45">
        <v>45962</v>
      </c>
      <c r="I239" s="31"/>
      <c r="J239" s="45">
        <v>45992</v>
      </c>
      <c r="K239" s="31"/>
      <c r="L239" s="28">
        <v>45966</v>
      </c>
      <c r="M239" s="29" t="s">
        <v>69</v>
      </c>
      <c r="N239" s="15" t="s">
        <v>70</v>
      </c>
      <c r="O239" s="13">
        <v>42.64</v>
      </c>
      <c r="P239" s="15" t="s">
        <v>86</v>
      </c>
      <c r="Q239" s="13">
        <v>3.84</v>
      </c>
      <c r="R239" s="29" t="s">
        <v>72</v>
      </c>
    </row>
    <row r="240" spans="1:18" ht="22.5" x14ac:dyDescent="0.2">
      <c r="A240" s="1"/>
      <c r="B240" s="1" t="s">
        <v>65</v>
      </c>
      <c r="C240" s="1" t="s">
        <v>476</v>
      </c>
      <c r="D240" s="1" t="s">
        <v>473</v>
      </c>
      <c r="E240" s="28">
        <v>44927</v>
      </c>
      <c r="F240" s="14"/>
      <c r="G240" s="14" t="s">
        <v>477</v>
      </c>
      <c r="H240" s="45">
        <v>45962</v>
      </c>
      <c r="I240" s="31"/>
      <c r="J240" s="45">
        <v>45992</v>
      </c>
      <c r="K240" s="31"/>
      <c r="L240" s="28">
        <v>45966</v>
      </c>
      <c r="M240" s="29" t="s">
        <v>69</v>
      </c>
      <c r="N240" s="15" t="s">
        <v>70</v>
      </c>
      <c r="O240" s="13">
        <v>15</v>
      </c>
      <c r="P240" s="15" t="s">
        <v>86</v>
      </c>
      <c r="Q240" s="13">
        <v>1.35</v>
      </c>
      <c r="R240" s="29" t="s">
        <v>72</v>
      </c>
    </row>
    <row r="241" spans="1:18" ht="22.5" x14ac:dyDescent="0.2">
      <c r="A241" s="1"/>
      <c r="B241" s="1" t="s">
        <v>65</v>
      </c>
      <c r="C241" s="1" t="s">
        <v>478</v>
      </c>
      <c r="D241" s="1" t="s">
        <v>473</v>
      </c>
      <c r="E241" s="28">
        <v>44927</v>
      </c>
      <c r="F241" s="14"/>
      <c r="G241" s="14" t="s">
        <v>367</v>
      </c>
      <c r="H241" s="45">
        <v>45962</v>
      </c>
      <c r="I241" s="31"/>
      <c r="J241" s="45">
        <v>45992</v>
      </c>
      <c r="K241" s="31"/>
      <c r="L241" s="28">
        <v>45966</v>
      </c>
      <c r="M241" s="29" t="s">
        <v>69</v>
      </c>
      <c r="N241" s="15" t="s">
        <v>70</v>
      </c>
      <c r="O241" s="13">
        <v>24.98</v>
      </c>
      <c r="P241" s="15" t="s">
        <v>86</v>
      </c>
      <c r="Q241" s="13">
        <v>2.25</v>
      </c>
      <c r="R241" s="29" t="s">
        <v>72</v>
      </c>
    </row>
    <row r="242" spans="1:18" ht="22.5" x14ac:dyDescent="0.2">
      <c r="A242" s="1"/>
      <c r="B242" s="1" t="s">
        <v>65</v>
      </c>
      <c r="C242" s="1" t="s">
        <v>479</v>
      </c>
      <c r="D242" s="1" t="s">
        <v>480</v>
      </c>
      <c r="E242" s="28">
        <v>44896</v>
      </c>
      <c r="F242" s="14"/>
      <c r="G242" s="14" t="s">
        <v>481</v>
      </c>
      <c r="H242" s="45">
        <v>45962</v>
      </c>
      <c r="I242" s="31"/>
      <c r="J242" s="45">
        <v>45992</v>
      </c>
      <c r="K242" s="31"/>
      <c r="L242" s="28">
        <v>45966</v>
      </c>
      <c r="M242" s="29" t="s">
        <v>69</v>
      </c>
      <c r="N242" s="15" t="s">
        <v>70</v>
      </c>
      <c r="O242" s="13">
        <v>25</v>
      </c>
      <c r="P242" s="15" t="s">
        <v>86</v>
      </c>
      <c r="Q242" s="13">
        <v>2.25</v>
      </c>
      <c r="R242" s="29" t="s">
        <v>72</v>
      </c>
    </row>
    <row r="243" spans="1:18" ht="22.5" x14ac:dyDescent="0.2">
      <c r="A243" s="1"/>
      <c r="B243" s="1" t="s">
        <v>65</v>
      </c>
      <c r="C243" s="1" t="s">
        <v>482</v>
      </c>
      <c r="D243" s="1" t="s">
        <v>483</v>
      </c>
      <c r="E243" s="28">
        <v>44866</v>
      </c>
      <c r="F243" s="14"/>
      <c r="G243" s="14" t="s">
        <v>85</v>
      </c>
      <c r="H243" s="45">
        <v>45962</v>
      </c>
      <c r="I243" s="31"/>
      <c r="J243" s="45">
        <v>45992</v>
      </c>
      <c r="K243" s="31"/>
      <c r="L243" s="28">
        <v>45966</v>
      </c>
      <c r="M243" s="29" t="s">
        <v>69</v>
      </c>
      <c r="N243" s="15" t="s">
        <v>70</v>
      </c>
      <c r="O243" s="13">
        <v>9</v>
      </c>
      <c r="P243" s="15" t="s">
        <v>86</v>
      </c>
      <c r="Q243" s="13">
        <v>0.81</v>
      </c>
      <c r="R243" s="29" t="s">
        <v>72</v>
      </c>
    </row>
    <row r="244" spans="1:18" ht="22.5" x14ac:dyDescent="0.2">
      <c r="A244" s="1"/>
      <c r="B244" s="1" t="s">
        <v>65</v>
      </c>
      <c r="C244" s="1" t="s">
        <v>484</v>
      </c>
      <c r="D244" s="1" t="s">
        <v>483</v>
      </c>
      <c r="E244" s="28">
        <v>44866</v>
      </c>
      <c r="F244" s="14"/>
      <c r="G244" s="14" t="s">
        <v>286</v>
      </c>
      <c r="H244" s="45">
        <v>45962</v>
      </c>
      <c r="I244" s="31"/>
      <c r="J244" s="45">
        <v>45992</v>
      </c>
      <c r="K244" s="31"/>
      <c r="L244" s="28">
        <v>45966</v>
      </c>
      <c r="M244" s="29" t="s">
        <v>69</v>
      </c>
      <c r="N244" s="15" t="s">
        <v>70</v>
      </c>
      <c r="O244" s="13">
        <v>39</v>
      </c>
      <c r="P244" s="15" t="s">
        <v>86</v>
      </c>
      <c r="Q244" s="13">
        <v>3.51</v>
      </c>
      <c r="R244" s="29" t="s">
        <v>72</v>
      </c>
    </row>
    <row r="245" spans="1:18" ht="22.5" x14ac:dyDescent="0.2">
      <c r="A245" s="1"/>
      <c r="B245" s="1" t="s">
        <v>65</v>
      </c>
      <c r="C245" s="1" t="s">
        <v>485</v>
      </c>
      <c r="D245" s="1" t="s">
        <v>483</v>
      </c>
      <c r="E245" s="28">
        <v>44866</v>
      </c>
      <c r="F245" s="14"/>
      <c r="G245" s="14" t="s">
        <v>74</v>
      </c>
      <c r="H245" s="45">
        <v>45962</v>
      </c>
      <c r="I245" s="31"/>
      <c r="J245" s="45">
        <v>45992</v>
      </c>
      <c r="K245" s="31"/>
      <c r="L245" s="28">
        <v>45966</v>
      </c>
      <c r="M245" s="29" t="s">
        <v>69</v>
      </c>
      <c r="N245" s="15" t="s">
        <v>70</v>
      </c>
      <c r="O245" s="13">
        <v>82.14</v>
      </c>
      <c r="P245" s="15" t="s">
        <v>75</v>
      </c>
      <c r="Q245" s="13">
        <v>14.79</v>
      </c>
      <c r="R245" s="29" t="s">
        <v>72</v>
      </c>
    </row>
    <row r="246" spans="1:18" x14ac:dyDescent="0.2">
      <c r="A246" s="1"/>
      <c r="B246" s="1" t="s">
        <v>65</v>
      </c>
      <c r="C246" s="1" t="s">
        <v>486</v>
      </c>
      <c r="D246" s="1" t="s">
        <v>487</v>
      </c>
      <c r="E246" s="28">
        <v>44835</v>
      </c>
      <c r="F246" s="14"/>
      <c r="G246" s="14" t="s">
        <v>488</v>
      </c>
      <c r="H246" s="45">
        <v>45962</v>
      </c>
      <c r="I246" s="31"/>
      <c r="J246" s="45">
        <v>45992</v>
      </c>
      <c r="K246" s="31"/>
      <c r="L246" s="28">
        <v>45966</v>
      </c>
      <c r="M246" s="29" t="s">
        <v>69</v>
      </c>
      <c r="N246" s="15" t="s">
        <v>70</v>
      </c>
      <c r="O246" s="13">
        <v>47.01</v>
      </c>
      <c r="P246" s="15" t="s">
        <v>86</v>
      </c>
      <c r="Q246" s="13">
        <v>4.2300000000000004</v>
      </c>
      <c r="R246" s="29" t="s">
        <v>72</v>
      </c>
    </row>
    <row r="247" spans="1:18" ht="22.5" x14ac:dyDescent="0.2">
      <c r="A247" s="1"/>
      <c r="B247" s="1" t="s">
        <v>65</v>
      </c>
      <c r="C247" s="1" t="s">
        <v>489</v>
      </c>
      <c r="D247" s="1" t="s">
        <v>490</v>
      </c>
      <c r="E247" s="28">
        <v>44870</v>
      </c>
      <c r="F247" s="14"/>
      <c r="G247" s="14" t="s">
        <v>91</v>
      </c>
      <c r="H247" s="45">
        <v>45967</v>
      </c>
      <c r="I247" s="31"/>
      <c r="J247" s="45">
        <v>45992</v>
      </c>
      <c r="K247" s="31"/>
      <c r="L247" s="28">
        <v>45968</v>
      </c>
      <c r="M247" s="29" t="s">
        <v>69</v>
      </c>
      <c r="N247" s="15" t="s">
        <v>70</v>
      </c>
      <c r="O247" s="13">
        <v>38.19</v>
      </c>
      <c r="P247" s="15" t="s">
        <v>86</v>
      </c>
      <c r="Q247" s="13">
        <v>3.44</v>
      </c>
      <c r="R247" s="29" t="s">
        <v>72</v>
      </c>
    </row>
    <row r="248" spans="1:18" ht="22.5" x14ac:dyDescent="0.2">
      <c r="A248" s="1"/>
      <c r="B248" s="1" t="s">
        <v>65</v>
      </c>
      <c r="C248" s="1" t="s">
        <v>489</v>
      </c>
      <c r="D248" s="1" t="s">
        <v>490</v>
      </c>
      <c r="E248" s="28">
        <v>44870</v>
      </c>
      <c r="F248" s="14"/>
      <c r="G248" s="14" t="s">
        <v>91</v>
      </c>
      <c r="H248" s="45">
        <v>45962</v>
      </c>
      <c r="I248" s="31"/>
      <c r="J248" s="45">
        <v>45966</v>
      </c>
      <c r="K248" s="31"/>
      <c r="L248" s="28">
        <v>45968</v>
      </c>
      <c r="M248" s="29" t="s">
        <v>69</v>
      </c>
      <c r="N248" s="15" t="s">
        <v>70</v>
      </c>
      <c r="O248" s="13">
        <v>5.87</v>
      </c>
      <c r="P248" s="15" t="s">
        <v>86</v>
      </c>
      <c r="Q248" s="13">
        <v>0.53</v>
      </c>
      <c r="R248" s="29" t="s">
        <v>72</v>
      </c>
    </row>
    <row r="249" spans="1:18" ht="22.5" x14ac:dyDescent="0.2">
      <c r="A249" s="1"/>
      <c r="B249" s="1" t="s">
        <v>65</v>
      </c>
      <c r="C249" s="1" t="s">
        <v>491</v>
      </c>
      <c r="D249" s="1" t="s">
        <v>492</v>
      </c>
      <c r="E249" s="28">
        <v>44896</v>
      </c>
      <c r="F249" s="14"/>
      <c r="G249" s="14" t="s">
        <v>286</v>
      </c>
      <c r="H249" s="45">
        <v>45962</v>
      </c>
      <c r="I249" s="31"/>
      <c r="J249" s="45">
        <v>45992</v>
      </c>
      <c r="K249" s="31"/>
      <c r="L249" s="28">
        <v>45966</v>
      </c>
      <c r="M249" s="29" t="s">
        <v>69</v>
      </c>
      <c r="N249" s="15" t="s">
        <v>70</v>
      </c>
      <c r="O249" s="13">
        <v>42.64</v>
      </c>
      <c r="P249" s="15" t="s">
        <v>86</v>
      </c>
      <c r="Q249" s="13">
        <v>3.84</v>
      </c>
      <c r="R249" s="29" t="s">
        <v>72</v>
      </c>
    </row>
    <row r="250" spans="1:18" ht="22.5" x14ac:dyDescent="0.2">
      <c r="A250" s="1"/>
      <c r="B250" s="1" t="s">
        <v>65</v>
      </c>
      <c r="C250" s="1" t="s">
        <v>493</v>
      </c>
      <c r="D250" s="1" t="s">
        <v>492</v>
      </c>
      <c r="E250" s="28">
        <v>44896</v>
      </c>
      <c r="F250" s="14"/>
      <c r="G250" s="14" t="s">
        <v>465</v>
      </c>
      <c r="H250" s="45">
        <v>45962</v>
      </c>
      <c r="I250" s="31"/>
      <c r="J250" s="45">
        <v>45992</v>
      </c>
      <c r="K250" s="31"/>
      <c r="L250" s="28">
        <v>45966</v>
      </c>
      <c r="M250" s="29" t="s">
        <v>69</v>
      </c>
      <c r="N250" s="15" t="s">
        <v>70</v>
      </c>
      <c r="O250" s="13">
        <v>9</v>
      </c>
      <c r="P250" s="15" t="s">
        <v>86</v>
      </c>
      <c r="Q250" s="13">
        <v>0.81</v>
      </c>
      <c r="R250" s="29" t="s">
        <v>72</v>
      </c>
    </row>
    <row r="251" spans="1:18" ht="22.5" x14ac:dyDescent="0.2">
      <c r="A251" s="1"/>
      <c r="B251" s="1" t="s">
        <v>65</v>
      </c>
      <c r="C251" s="1" t="s">
        <v>494</v>
      </c>
      <c r="D251" s="1" t="s">
        <v>495</v>
      </c>
      <c r="E251" s="28">
        <v>44959</v>
      </c>
      <c r="F251" s="14"/>
      <c r="G251" s="14" t="s">
        <v>282</v>
      </c>
      <c r="H251" s="45">
        <v>45962</v>
      </c>
      <c r="I251" s="31"/>
      <c r="J251" s="45">
        <v>45992</v>
      </c>
      <c r="K251" s="31"/>
      <c r="L251" s="28">
        <v>45966</v>
      </c>
      <c r="M251" s="29" t="s">
        <v>69</v>
      </c>
      <c r="N251" s="15" t="s">
        <v>70</v>
      </c>
      <c r="O251" s="13">
        <v>181.51</v>
      </c>
      <c r="P251" s="15" t="s">
        <v>75</v>
      </c>
      <c r="Q251" s="13">
        <v>32.67</v>
      </c>
      <c r="R251" s="29" t="s">
        <v>72</v>
      </c>
    </row>
    <row r="252" spans="1:18" ht="33.75" x14ac:dyDescent="0.2">
      <c r="A252" s="1"/>
      <c r="B252" s="1" t="s">
        <v>65</v>
      </c>
      <c r="C252" s="1" t="s">
        <v>496</v>
      </c>
      <c r="D252" s="1" t="s">
        <v>497</v>
      </c>
      <c r="E252" s="28">
        <v>44927</v>
      </c>
      <c r="F252" s="14"/>
      <c r="G252" s="14" t="s">
        <v>465</v>
      </c>
      <c r="H252" s="45">
        <v>45962</v>
      </c>
      <c r="I252" s="31"/>
      <c r="J252" s="45">
        <v>45992</v>
      </c>
      <c r="K252" s="31"/>
      <c r="L252" s="28">
        <v>45966</v>
      </c>
      <c r="M252" s="29" t="s">
        <v>69</v>
      </c>
      <c r="N252" s="15" t="s">
        <v>70</v>
      </c>
      <c r="O252" s="13">
        <v>16</v>
      </c>
      <c r="P252" s="15" t="s">
        <v>86</v>
      </c>
      <c r="Q252" s="13">
        <v>1.44</v>
      </c>
      <c r="R252" s="29" t="s">
        <v>72</v>
      </c>
    </row>
    <row r="253" spans="1:18" ht="22.5" x14ac:dyDescent="0.2">
      <c r="A253" s="1"/>
      <c r="B253" s="1" t="s">
        <v>65</v>
      </c>
      <c r="C253" s="1" t="s">
        <v>498</v>
      </c>
      <c r="D253" s="1" t="s">
        <v>499</v>
      </c>
      <c r="E253" s="28">
        <v>44896</v>
      </c>
      <c r="F253" s="14"/>
      <c r="G253" s="14" t="s">
        <v>500</v>
      </c>
      <c r="H253" s="45">
        <v>45962</v>
      </c>
      <c r="I253" s="31"/>
      <c r="J253" s="45">
        <v>45992</v>
      </c>
      <c r="K253" s="31"/>
      <c r="L253" s="28">
        <v>45966</v>
      </c>
      <c r="M253" s="29" t="s">
        <v>69</v>
      </c>
      <c r="N253" s="15" t="s">
        <v>70</v>
      </c>
      <c r="O253" s="13">
        <v>80.48</v>
      </c>
      <c r="P253" s="15" t="s">
        <v>86</v>
      </c>
      <c r="Q253" s="13">
        <v>7.24</v>
      </c>
      <c r="R253" s="29" t="s">
        <v>72</v>
      </c>
    </row>
    <row r="254" spans="1:18" ht="22.5" x14ac:dyDescent="0.2">
      <c r="A254" s="1"/>
      <c r="B254" s="1" t="s">
        <v>65</v>
      </c>
      <c r="C254" s="1" t="s">
        <v>501</v>
      </c>
      <c r="D254" s="1" t="s">
        <v>502</v>
      </c>
      <c r="E254" s="28">
        <v>44908</v>
      </c>
      <c r="F254" s="14"/>
      <c r="G254" s="14" t="s">
        <v>477</v>
      </c>
      <c r="H254" s="45">
        <v>45962</v>
      </c>
      <c r="I254" s="31"/>
      <c r="J254" s="45">
        <v>45992</v>
      </c>
      <c r="K254" s="31"/>
      <c r="L254" s="28">
        <v>45967</v>
      </c>
      <c r="M254" s="29" t="s">
        <v>69</v>
      </c>
      <c r="N254" s="15" t="s">
        <v>70</v>
      </c>
      <c r="O254" s="13">
        <v>15</v>
      </c>
      <c r="P254" s="15" t="s">
        <v>86</v>
      </c>
      <c r="Q254" s="13">
        <v>1.35</v>
      </c>
      <c r="R254" s="29" t="s">
        <v>72</v>
      </c>
    </row>
    <row r="255" spans="1:18" ht="22.5" x14ac:dyDescent="0.2">
      <c r="A255" s="1"/>
      <c r="B255" s="1" t="s">
        <v>65</v>
      </c>
      <c r="C255" s="1" t="s">
        <v>503</v>
      </c>
      <c r="D255" s="1" t="s">
        <v>502</v>
      </c>
      <c r="E255" s="28">
        <v>44908</v>
      </c>
      <c r="F255" s="14"/>
      <c r="G255" s="14" t="s">
        <v>449</v>
      </c>
      <c r="H255" s="45">
        <v>45962</v>
      </c>
      <c r="I255" s="31"/>
      <c r="J255" s="45">
        <v>45992</v>
      </c>
      <c r="K255" s="31"/>
      <c r="L255" s="28">
        <v>45967</v>
      </c>
      <c r="M255" s="29" t="s">
        <v>69</v>
      </c>
      <c r="N255" s="15" t="s">
        <v>70</v>
      </c>
      <c r="O255" s="13">
        <v>6.3</v>
      </c>
      <c r="P255" s="15" t="s">
        <v>86</v>
      </c>
      <c r="Q255" s="13">
        <v>0.56999999999999995</v>
      </c>
      <c r="R255" s="29" t="s">
        <v>72</v>
      </c>
    </row>
    <row r="256" spans="1:18" ht="22.5" x14ac:dyDescent="0.2">
      <c r="A256" s="1"/>
      <c r="B256" s="1" t="s">
        <v>65</v>
      </c>
      <c r="C256" s="1" t="s">
        <v>504</v>
      </c>
      <c r="D256" s="1" t="s">
        <v>502</v>
      </c>
      <c r="E256" s="28">
        <v>44908</v>
      </c>
      <c r="F256" s="14"/>
      <c r="G256" s="14" t="s">
        <v>474</v>
      </c>
      <c r="H256" s="45">
        <v>45962</v>
      </c>
      <c r="I256" s="31"/>
      <c r="J256" s="45">
        <v>45992</v>
      </c>
      <c r="K256" s="31"/>
      <c r="L256" s="28">
        <v>45967</v>
      </c>
      <c r="M256" s="29" t="s">
        <v>69</v>
      </c>
      <c r="N256" s="15" t="s">
        <v>70</v>
      </c>
      <c r="O256" s="13">
        <v>28</v>
      </c>
      <c r="P256" s="15" t="s">
        <v>86</v>
      </c>
      <c r="Q256" s="13">
        <v>2.52</v>
      </c>
      <c r="R256" s="29" t="s">
        <v>72</v>
      </c>
    </row>
    <row r="257" spans="1:18" ht="22.5" x14ac:dyDescent="0.2">
      <c r="A257" s="1"/>
      <c r="B257" s="1" t="s">
        <v>65</v>
      </c>
      <c r="C257" s="1" t="s">
        <v>505</v>
      </c>
      <c r="D257" s="1" t="s">
        <v>502</v>
      </c>
      <c r="E257" s="28">
        <v>44908</v>
      </c>
      <c r="F257" s="14"/>
      <c r="G257" s="14" t="s">
        <v>273</v>
      </c>
      <c r="H257" s="45">
        <v>45962</v>
      </c>
      <c r="I257" s="31"/>
      <c r="J257" s="45">
        <v>45992</v>
      </c>
      <c r="K257" s="31"/>
      <c r="L257" s="28">
        <v>45967</v>
      </c>
      <c r="M257" s="29" t="s">
        <v>69</v>
      </c>
      <c r="N257" s="15" t="s">
        <v>70</v>
      </c>
      <c r="O257" s="13">
        <v>23</v>
      </c>
      <c r="P257" s="15" t="s">
        <v>86</v>
      </c>
      <c r="Q257" s="13">
        <v>2.0699999999999998</v>
      </c>
      <c r="R257" s="29" t="s">
        <v>72</v>
      </c>
    </row>
    <row r="258" spans="1:18" ht="22.5" x14ac:dyDescent="0.2">
      <c r="A258" s="1"/>
      <c r="B258" s="1" t="s">
        <v>65</v>
      </c>
      <c r="C258" s="1" t="s">
        <v>506</v>
      </c>
      <c r="D258" s="1" t="s">
        <v>507</v>
      </c>
      <c r="E258" s="28">
        <v>44869</v>
      </c>
      <c r="F258" s="14"/>
      <c r="G258" s="14" t="s">
        <v>465</v>
      </c>
      <c r="H258" s="45">
        <v>45966</v>
      </c>
      <c r="I258" s="31"/>
      <c r="J258" s="45">
        <v>45992</v>
      </c>
      <c r="K258" s="31"/>
      <c r="L258" s="28">
        <v>45967</v>
      </c>
      <c r="M258" s="29" t="s">
        <v>69</v>
      </c>
      <c r="N258" s="15" t="s">
        <v>70</v>
      </c>
      <c r="O258" s="13">
        <v>8.1</v>
      </c>
      <c r="P258" s="15" t="s">
        <v>86</v>
      </c>
      <c r="Q258" s="13">
        <v>0.73</v>
      </c>
      <c r="R258" s="29" t="s">
        <v>72</v>
      </c>
    </row>
    <row r="259" spans="1:18" ht="22.5" x14ac:dyDescent="0.2">
      <c r="A259" s="1"/>
      <c r="B259" s="1" t="s">
        <v>65</v>
      </c>
      <c r="C259" s="1" t="s">
        <v>506</v>
      </c>
      <c r="D259" s="1" t="s">
        <v>507</v>
      </c>
      <c r="E259" s="28">
        <v>44869</v>
      </c>
      <c r="F259" s="14"/>
      <c r="G259" s="14" t="s">
        <v>465</v>
      </c>
      <c r="H259" s="45">
        <v>45962</v>
      </c>
      <c r="I259" s="31"/>
      <c r="J259" s="45">
        <v>45965</v>
      </c>
      <c r="K259" s="31"/>
      <c r="L259" s="28">
        <v>45967</v>
      </c>
      <c r="M259" s="29" t="s">
        <v>69</v>
      </c>
      <c r="N259" s="15" t="s">
        <v>70</v>
      </c>
      <c r="O259" s="13">
        <v>0.9</v>
      </c>
      <c r="P259" s="15" t="s">
        <v>86</v>
      </c>
      <c r="Q259" s="13">
        <v>0.08</v>
      </c>
      <c r="R259" s="29" t="s">
        <v>72</v>
      </c>
    </row>
    <row r="260" spans="1:18" ht="22.5" x14ac:dyDescent="0.2">
      <c r="A260" s="1"/>
      <c r="B260" s="1" t="s">
        <v>65</v>
      </c>
      <c r="C260" s="1" t="s">
        <v>508</v>
      </c>
      <c r="D260" s="1" t="s">
        <v>507</v>
      </c>
      <c r="E260" s="28">
        <v>44869</v>
      </c>
      <c r="F260" s="14"/>
      <c r="G260" s="14" t="s">
        <v>286</v>
      </c>
      <c r="H260" s="45">
        <v>45966</v>
      </c>
      <c r="I260" s="31"/>
      <c r="J260" s="45">
        <v>45992</v>
      </c>
      <c r="K260" s="31"/>
      <c r="L260" s="28">
        <v>45967</v>
      </c>
      <c r="M260" s="29" t="s">
        <v>69</v>
      </c>
      <c r="N260" s="15" t="s">
        <v>70</v>
      </c>
      <c r="O260" s="13">
        <v>38.380000000000003</v>
      </c>
      <c r="P260" s="15" t="s">
        <v>86</v>
      </c>
      <c r="Q260" s="13">
        <v>3.45</v>
      </c>
      <c r="R260" s="29" t="s">
        <v>72</v>
      </c>
    </row>
    <row r="261" spans="1:18" ht="22.5" x14ac:dyDescent="0.2">
      <c r="A261" s="1"/>
      <c r="B261" s="1" t="s">
        <v>65</v>
      </c>
      <c r="C261" s="1" t="s">
        <v>508</v>
      </c>
      <c r="D261" s="1" t="s">
        <v>507</v>
      </c>
      <c r="E261" s="28">
        <v>44869</v>
      </c>
      <c r="F261" s="14"/>
      <c r="G261" s="14" t="s">
        <v>286</v>
      </c>
      <c r="H261" s="45">
        <v>45962</v>
      </c>
      <c r="I261" s="31"/>
      <c r="J261" s="45">
        <v>45965</v>
      </c>
      <c r="K261" s="31"/>
      <c r="L261" s="28">
        <v>45967</v>
      </c>
      <c r="M261" s="29" t="s">
        <v>69</v>
      </c>
      <c r="N261" s="15" t="s">
        <v>70</v>
      </c>
      <c r="O261" s="13">
        <v>4.26</v>
      </c>
      <c r="P261" s="15" t="s">
        <v>86</v>
      </c>
      <c r="Q261" s="13">
        <v>0.38</v>
      </c>
      <c r="R261" s="29" t="s">
        <v>72</v>
      </c>
    </row>
    <row r="262" spans="1:18" ht="22.5" x14ac:dyDescent="0.2">
      <c r="A262" s="1"/>
      <c r="B262" s="1" t="s">
        <v>65</v>
      </c>
      <c r="C262" s="1" t="s">
        <v>509</v>
      </c>
      <c r="D262" s="1" t="s">
        <v>510</v>
      </c>
      <c r="E262" s="28">
        <v>44897</v>
      </c>
      <c r="F262" s="14"/>
      <c r="G262" s="14" t="s">
        <v>171</v>
      </c>
      <c r="H262" s="45">
        <v>45962</v>
      </c>
      <c r="I262" s="31"/>
      <c r="J262" s="45">
        <v>45992</v>
      </c>
      <c r="K262" s="31"/>
      <c r="L262" s="28">
        <v>45966</v>
      </c>
      <c r="M262" s="29" t="s">
        <v>69</v>
      </c>
      <c r="N262" s="15" t="s">
        <v>70</v>
      </c>
      <c r="O262" s="13">
        <v>38.700000000000003</v>
      </c>
      <c r="P262" s="15" t="s">
        <v>86</v>
      </c>
      <c r="Q262" s="13">
        <v>3.48</v>
      </c>
      <c r="R262" s="29" t="s">
        <v>72</v>
      </c>
    </row>
    <row r="263" spans="1:18" ht="22.5" x14ac:dyDescent="0.2">
      <c r="A263" s="1"/>
      <c r="B263" s="1" t="s">
        <v>65</v>
      </c>
      <c r="C263" s="1" t="s">
        <v>511</v>
      </c>
      <c r="D263" s="1" t="s">
        <v>512</v>
      </c>
      <c r="E263" s="28">
        <v>44866</v>
      </c>
      <c r="F263" s="14"/>
      <c r="G263" s="14" t="s">
        <v>449</v>
      </c>
      <c r="H263" s="45">
        <v>45962</v>
      </c>
      <c r="I263" s="31"/>
      <c r="J263" s="45">
        <v>45992</v>
      </c>
      <c r="K263" s="31"/>
      <c r="L263" s="28">
        <v>45966</v>
      </c>
      <c r="M263" s="29" t="s">
        <v>69</v>
      </c>
      <c r="N263" s="15" t="s">
        <v>70</v>
      </c>
      <c r="O263" s="13">
        <v>6.3</v>
      </c>
      <c r="P263" s="15" t="s">
        <v>86</v>
      </c>
      <c r="Q263" s="13">
        <v>0.56999999999999995</v>
      </c>
      <c r="R263" s="29" t="s">
        <v>72</v>
      </c>
    </row>
    <row r="264" spans="1:18" ht="22.5" x14ac:dyDescent="0.2">
      <c r="A264" s="1"/>
      <c r="B264" s="1" t="s">
        <v>65</v>
      </c>
      <c r="C264" s="1" t="s">
        <v>513</v>
      </c>
      <c r="D264" s="1" t="s">
        <v>512</v>
      </c>
      <c r="E264" s="28">
        <v>44866</v>
      </c>
      <c r="F264" s="14"/>
      <c r="G264" s="14" t="s">
        <v>474</v>
      </c>
      <c r="H264" s="45">
        <v>45962</v>
      </c>
      <c r="I264" s="31"/>
      <c r="J264" s="45">
        <v>45992</v>
      </c>
      <c r="K264" s="31"/>
      <c r="L264" s="28">
        <v>45966</v>
      </c>
      <c r="M264" s="29" t="s">
        <v>69</v>
      </c>
      <c r="N264" s="15" t="s">
        <v>70</v>
      </c>
      <c r="O264" s="13">
        <v>28</v>
      </c>
      <c r="P264" s="15" t="s">
        <v>86</v>
      </c>
      <c r="Q264" s="13">
        <v>2.52</v>
      </c>
      <c r="R264" s="29" t="s">
        <v>72</v>
      </c>
    </row>
    <row r="265" spans="1:18" ht="22.5" x14ac:dyDescent="0.2">
      <c r="A265" s="1"/>
      <c r="B265" s="1" t="s">
        <v>65</v>
      </c>
      <c r="C265" s="1" t="s">
        <v>514</v>
      </c>
      <c r="D265" s="1" t="s">
        <v>512</v>
      </c>
      <c r="E265" s="28">
        <v>44866</v>
      </c>
      <c r="F265" s="14"/>
      <c r="G265" s="14" t="s">
        <v>477</v>
      </c>
      <c r="H265" s="45">
        <v>45962</v>
      </c>
      <c r="I265" s="31"/>
      <c r="J265" s="45">
        <v>45992</v>
      </c>
      <c r="K265" s="31"/>
      <c r="L265" s="28">
        <v>45966</v>
      </c>
      <c r="M265" s="29" t="s">
        <v>69</v>
      </c>
      <c r="N265" s="15" t="s">
        <v>70</v>
      </c>
      <c r="O265" s="13">
        <v>15</v>
      </c>
      <c r="P265" s="15" t="s">
        <v>86</v>
      </c>
      <c r="Q265" s="13">
        <v>1.35</v>
      </c>
      <c r="R265" s="29" t="s">
        <v>72</v>
      </c>
    </row>
    <row r="266" spans="1:18" ht="22.5" x14ac:dyDescent="0.2">
      <c r="A266" s="1"/>
      <c r="B266" s="1" t="s">
        <v>65</v>
      </c>
      <c r="C266" s="1" t="s">
        <v>515</v>
      </c>
      <c r="D266" s="1" t="s">
        <v>512</v>
      </c>
      <c r="E266" s="28">
        <v>44866</v>
      </c>
      <c r="F266" s="14"/>
      <c r="G266" s="14" t="s">
        <v>273</v>
      </c>
      <c r="H266" s="45">
        <v>45962</v>
      </c>
      <c r="I266" s="31"/>
      <c r="J266" s="45">
        <v>45992</v>
      </c>
      <c r="K266" s="31"/>
      <c r="L266" s="28">
        <v>45966</v>
      </c>
      <c r="M266" s="29" t="s">
        <v>69</v>
      </c>
      <c r="N266" s="15" t="s">
        <v>70</v>
      </c>
      <c r="O266" s="13">
        <v>23</v>
      </c>
      <c r="P266" s="15" t="s">
        <v>86</v>
      </c>
      <c r="Q266" s="13">
        <v>2.0699999999999998</v>
      </c>
      <c r="R266" s="29" t="s">
        <v>72</v>
      </c>
    </row>
    <row r="267" spans="1:18" ht="22.5" x14ac:dyDescent="0.2">
      <c r="A267" s="1"/>
      <c r="B267" s="1" t="s">
        <v>65</v>
      </c>
      <c r="C267" s="1" t="s">
        <v>516</v>
      </c>
      <c r="D267" s="1" t="s">
        <v>517</v>
      </c>
      <c r="E267" s="28">
        <v>44909</v>
      </c>
      <c r="F267" s="14"/>
      <c r="G267" s="14" t="s">
        <v>122</v>
      </c>
      <c r="H267" s="45">
        <v>45962</v>
      </c>
      <c r="I267" s="31"/>
      <c r="J267" s="45">
        <v>45992</v>
      </c>
      <c r="K267" s="31"/>
      <c r="L267" s="28">
        <v>45968</v>
      </c>
      <c r="M267" s="29" t="s">
        <v>69</v>
      </c>
      <c r="N267" s="15" t="s">
        <v>70</v>
      </c>
      <c r="O267" s="13">
        <v>41.7</v>
      </c>
      <c r="P267" s="15" t="s">
        <v>86</v>
      </c>
      <c r="Q267" s="13">
        <v>3.75</v>
      </c>
      <c r="R267" s="29" t="s">
        <v>72</v>
      </c>
    </row>
    <row r="268" spans="1:18" ht="22.5" x14ac:dyDescent="0.2">
      <c r="A268" s="1"/>
      <c r="B268" s="1" t="s">
        <v>65</v>
      </c>
      <c r="C268" s="1" t="s">
        <v>518</v>
      </c>
      <c r="D268" s="1" t="s">
        <v>519</v>
      </c>
      <c r="E268" s="28">
        <v>44958</v>
      </c>
      <c r="F268" s="14"/>
      <c r="G268" s="14" t="s">
        <v>273</v>
      </c>
      <c r="H268" s="45">
        <v>45962</v>
      </c>
      <c r="I268" s="31"/>
      <c r="J268" s="45">
        <v>45992</v>
      </c>
      <c r="K268" s="31"/>
      <c r="L268" s="28">
        <v>45966</v>
      </c>
      <c r="M268" s="29" t="s">
        <v>69</v>
      </c>
      <c r="N268" s="15" t="s">
        <v>70</v>
      </c>
      <c r="O268" s="13">
        <v>23</v>
      </c>
      <c r="P268" s="15" t="s">
        <v>86</v>
      </c>
      <c r="Q268" s="13">
        <v>2.0699999999999998</v>
      </c>
      <c r="R268" s="29" t="s">
        <v>72</v>
      </c>
    </row>
    <row r="269" spans="1:18" ht="22.5" x14ac:dyDescent="0.2">
      <c r="A269" s="1"/>
      <c r="B269" s="1" t="s">
        <v>65</v>
      </c>
      <c r="C269" s="1" t="s">
        <v>520</v>
      </c>
      <c r="D269" s="1" t="s">
        <v>519</v>
      </c>
      <c r="E269" s="28">
        <v>44958</v>
      </c>
      <c r="F269" s="14"/>
      <c r="G269" s="14" t="s">
        <v>477</v>
      </c>
      <c r="H269" s="45">
        <v>45962</v>
      </c>
      <c r="I269" s="31"/>
      <c r="J269" s="45">
        <v>45992</v>
      </c>
      <c r="K269" s="31"/>
      <c r="L269" s="28">
        <v>45966</v>
      </c>
      <c r="M269" s="29" t="s">
        <v>69</v>
      </c>
      <c r="N269" s="15" t="s">
        <v>70</v>
      </c>
      <c r="O269" s="13">
        <v>15</v>
      </c>
      <c r="P269" s="15" t="s">
        <v>86</v>
      </c>
      <c r="Q269" s="13">
        <v>1.35</v>
      </c>
      <c r="R269" s="29" t="s">
        <v>72</v>
      </c>
    </row>
    <row r="270" spans="1:18" ht="22.5" x14ac:dyDescent="0.2">
      <c r="A270" s="1"/>
      <c r="B270" s="1" t="s">
        <v>65</v>
      </c>
      <c r="C270" s="1" t="s">
        <v>521</v>
      </c>
      <c r="D270" s="1" t="s">
        <v>519</v>
      </c>
      <c r="E270" s="28">
        <v>44958</v>
      </c>
      <c r="F270" s="14"/>
      <c r="G270" s="14" t="s">
        <v>286</v>
      </c>
      <c r="H270" s="45">
        <v>45962</v>
      </c>
      <c r="I270" s="31"/>
      <c r="J270" s="45">
        <v>45992</v>
      </c>
      <c r="K270" s="31"/>
      <c r="L270" s="28">
        <v>45966</v>
      </c>
      <c r="M270" s="29" t="s">
        <v>69</v>
      </c>
      <c r="N270" s="15" t="s">
        <v>70</v>
      </c>
      <c r="O270" s="13">
        <v>42.64</v>
      </c>
      <c r="P270" s="15" t="s">
        <v>86</v>
      </c>
      <c r="Q270" s="13">
        <v>3.84</v>
      </c>
      <c r="R270" s="29" t="s">
        <v>72</v>
      </c>
    </row>
    <row r="271" spans="1:18" ht="22.5" x14ac:dyDescent="0.2">
      <c r="A271" s="1"/>
      <c r="B271" s="1" t="s">
        <v>65</v>
      </c>
      <c r="C271" s="1" t="s">
        <v>522</v>
      </c>
      <c r="D271" s="1" t="s">
        <v>519</v>
      </c>
      <c r="E271" s="28">
        <v>44958</v>
      </c>
      <c r="F271" s="14"/>
      <c r="G271" s="14" t="s">
        <v>449</v>
      </c>
      <c r="H271" s="45">
        <v>45962</v>
      </c>
      <c r="I271" s="31"/>
      <c r="J271" s="45">
        <v>45992</v>
      </c>
      <c r="K271" s="31"/>
      <c r="L271" s="28">
        <v>45966</v>
      </c>
      <c r="M271" s="29" t="s">
        <v>69</v>
      </c>
      <c r="N271" s="15" t="s">
        <v>70</v>
      </c>
      <c r="O271" s="13">
        <v>6.3</v>
      </c>
      <c r="P271" s="15" t="s">
        <v>86</v>
      </c>
      <c r="Q271" s="13">
        <v>0.56999999999999995</v>
      </c>
      <c r="R271" s="29" t="s">
        <v>72</v>
      </c>
    </row>
    <row r="272" spans="1:18" ht="22.5" x14ac:dyDescent="0.2">
      <c r="A272" s="1"/>
      <c r="B272" s="1" t="s">
        <v>65</v>
      </c>
      <c r="C272" s="1" t="s">
        <v>523</v>
      </c>
      <c r="D272" s="1" t="s">
        <v>519</v>
      </c>
      <c r="E272" s="28">
        <v>44958</v>
      </c>
      <c r="F272" s="14"/>
      <c r="G272" s="14" t="s">
        <v>465</v>
      </c>
      <c r="H272" s="45">
        <v>45962</v>
      </c>
      <c r="I272" s="31"/>
      <c r="J272" s="45">
        <v>45992</v>
      </c>
      <c r="K272" s="31"/>
      <c r="L272" s="28">
        <v>45966</v>
      </c>
      <c r="M272" s="29" t="s">
        <v>69</v>
      </c>
      <c r="N272" s="15" t="s">
        <v>70</v>
      </c>
      <c r="O272" s="13">
        <v>9</v>
      </c>
      <c r="P272" s="15" t="s">
        <v>86</v>
      </c>
      <c r="Q272" s="13">
        <v>0.81</v>
      </c>
      <c r="R272" s="29" t="s">
        <v>72</v>
      </c>
    </row>
    <row r="273" spans="1:18" ht="22.5" x14ac:dyDescent="0.2">
      <c r="A273" s="1"/>
      <c r="B273" s="1" t="s">
        <v>65</v>
      </c>
      <c r="C273" s="1" t="s">
        <v>524</v>
      </c>
      <c r="D273" s="1" t="s">
        <v>519</v>
      </c>
      <c r="E273" s="28">
        <v>44958</v>
      </c>
      <c r="F273" s="14"/>
      <c r="G273" s="14" t="s">
        <v>474</v>
      </c>
      <c r="H273" s="45">
        <v>45962</v>
      </c>
      <c r="I273" s="31"/>
      <c r="J273" s="45">
        <v>45992</v>
      </c>
      <c r="K273" s="31"/>
      <c r="L273" s="28">
        <v>45966</v>
      </c>
      <c r="M273" s="29" t="s">
        <v>69</v>
      </c>
      <c r="N273" s="15" t="s">
        <v>70</v>
      </c>
      <c r="O273" s="13">
        <v>28</v>
      </c>
      <c r="P273" s="15" t="s">
        <v>86</v>
      </c>
      <c r="Q273" s="13">
        <v>2.52</v>
      </c>
      <c r="R273" s="29" t="s">
        <v>72</v>
      </c>
    </row>
    <row r="274" spans="1:18" ht="22.5" x14ac:dyDescent="0.2">
      <c r="A274" s="1"/>
      <c r="B274" s="1" t="s">
        <v>65</v>
      </c>
      <c r="C274" s="1" t="s">
        <v>525</v>
      </c>
      <c r="D274" s="1" t="s">
        <v>526</v>
      </c>
      <c r="E274" s="28">
        <v>44908</v>
      </c>
      <c r="F274" s="14"/>
      <c r="G274" s="14" t="s">
        <v>122</v>
      </c>
      <c r="H274" s="45">
        <v>45962</v>
      </c>
      <c r="I274" s="31"/>
      <c r="J274" s="45">
        <v>45992</v>
      </c>
      <c r="K274" s="31"/>
      <c r="L274" s="28">
        <v>45967</v>
      </c>
      <c r="M274" s="29" t="s">
        <v>69</v>
      </c>
      <c r="N274" s="15" t="s">
        <v>70</v>
      </c>
      <c r="O274" s="13">
        <v>56.5</v>
      </c>
      <c r="P274" s="15" t="s">
        <v>86</v>
      </c>
      <c r="Q274" s="13">
        <v>5.09</v>
      </c>
      <c r="R274" s="29" t="s">
        <v>72</v>
      </c>
    </row>
    <row r="275" spans="1:18" ht="22.5" x14ac:dyDescent="0.2">
      <c r="A275" s="1"/>
      <c r="B275" s="1" t="s">
        <v>65</v>
      </c>
      <c r="C275" s="1" t="s">
        <v>527</v>
      </c>
      <c r="D275" s="1" t="s">
        <v>526</v>
      </c>
      <c r="E275" s="28">
        <v>44908</v>
      </c>
      <c r="F275" s="14"/>
      <c r="G275" s="14" t="s">
        <v>204</v>
      </c>
      <c r="H275" s="45">
        <v>45962</v>
      </c>
      <c r="I275" s="31"/>
      <c r="J275" s="45">
        <v>45992</v>
      </c>
      <c r="K275" s="31"/>
      <c r="L275" s="28">
        <v>45967</v>
      </c>
      <c r="M275" s="29" t="s">
        <v>69</v>
      </c>
      <c r="N275" s="15" t="s">
        <v>70</v>
      </c>
      <c r="O275" s="13">
        <v>16</v>
      </c>
      <c r="P275" s="15" t="s">
        <v>86</v>
      </c>
      <c r="Q275" s="13">
        <v>1.44</v>
      </c>
      <c r="R275" s="29" t="s">
        <v>72</v>
      </c>
    </row>
    <row r="276" spans="1:18" ht="22.5" x14ac:dyDescent="0.2">
      <c r="A276" s="1"/>
      <c r="B276" s="1" t="s">
        <v>65</v>
      </c>
      <c r="C276" s="1" t="s">
        <v>528</v>
      </c>
      <c r="D276" s="1" t="s">
        <v>526</v>
      </c>
      <c r="E276" s="28">
        <v>44959</v>
      </c>
      <c r="F276" s="14"/>
      <c r="G276" s="14" t="s">
        <v>122</v>
      </c>
      <c r="H276" s="45">
        <v>45962</v>
      </c>
      <c r="I276" s="31"/>
      <c r="J276" s="45">
        <v>45992</v>
      </c>
      <c r="K276" s="31"/>
      <c r="L276" s="28">
        <v>45966</v>
      </c>
      <c r="M276" s="29" t="s">
        <v>69</v>
      </c>
      <c r="N276" s="15" t="s">
        <v>70</v>
      </c>
      <c r="O276" s="13">
        <v>28.5</v>
      </c>
      <c r="P276" s="15" t="s">
        <v>86</v>
      </c>
      <c r="Q276" s="13">
        <v>2.57</v>
      </c>
      <c r="R276" s="29" t="s">
        <v>72</v>
      </c>
    </row>
    <row r="277" spans="1:18" ht="22.5" x14ac:dyDescent="0.2">
      <c r="A277" s="1"/>
      <c r="B277" s="1" t="s">
        <v>65</v>
      </c>
      <c r="C277" s="1" t="s">
        <v>529</v>
      </c>
      <c r="D277" s="1" t="s">
        <v>530</v>
      </c>
      <c r="E277" s="28">
        <v>44866</v>
      </c>
      <c r="F277" s="14"/>
      <c r="G277" s="14" t="s">
        <v>458</v>
      </c>
      <c r="H277" s="45">
        <v>45962</v>
      </c>
      <c r="I277" s="31"/>
      <c r="J277" s="45">
        <v>45992</v>
      </c>
      <c r="K277" s="31"/>
      <c r="L277" s="28">
        <v>45966</v>
      </c>
      <c r="M277" s="29" t="s">
        <v>69</v>
      </c>
      <c r="N277" s="15" t="s">
        <v>70</v>
      </c>
      <c r="O277" s="13">
        <v>21.5</v>
      </c>
      <c r="P277" s="15" t="s">
        <v>86</v>
      </c>
      <c r="Q277" s="13">
        <v>1.94</v>
      </c>
      <c r="R277" s="29" t="s">
        <v>72</v>
      </c>
    </row>
    <row r="278" spans="1:18" ht="22.5" x14ac:dyDescent="0.2">
      <c r="A278" s="1"/>
      <c r="B278" s="1" t="s">
        <v>65</v>
      </c>
      <c r="C278" s="1" t="s">
        <v>531</v>
      </c>
      <c r="D278" s="1" t="s">
        <v>530</v>
      </c>
      <c r="E278" s="28">
        <v>44866</v>
      </c>
      <c r="F278" s="14"/>
      <c r="G278" s="14" t="s">
        <v>477</v>
      </c>
      <c r="H278" s="45">
        <v>45962</v>
      </c>
      <c r="I278" s="31"/>
      <c r="J278" s="45">
        <v>45992</v>
      </c>
      <c r="K278" s="31"/>
      <c r="L278" s="28">
        <v>45966</v>
      </c>
      <c r="M278" s="29" t="s">
        <v>69</v>
      </c>
      <c r="N278" s="15" t="s">
        <v>70</v>
      </c>
      <c r="O278" s="13">
        <v>9</v>
      </c>
      <c r="P278" s="15" t="s">
        <v>86</v>
      </c>
      <c r="Q278" s="13">
        <v>0.81</v>
      </c>
      <c r="R278" s="29" t="s">
        <v>72</v>
      </c>
    </row>
    <row r="279" spans="1:18" ht="22.5" x14ac:dyDescent="0.2">
      <c r="A279" s="1"/>
      <c r="B279" s="1" t="s">
        <v>65</v>
      </c>
      <c r="C279" s="1" t="s">
        <v>532</v>
      </c>
      <c r="D279" s="1" t="s">
        <v>530</v>
      </c>
      <c r="E279" s="28">
        <v>44866</v>
      </c>
      <c r="F279" s="14"/>
      <c r="G279" s="14" t="s">
        <v>449</v>
      </c>
      <c r="H279" s="45">
        <v>45962</v>
      </c>
      <c r="I279" s="31"/>
      <c r="J279" s="45">
        <v>45992</v>
      </c>
      <c r="K279" s="31"/>
      <c r="L279" s="28">
        <v>45966</v>
      </c>
      <c r="M279" s="29" t="s">
        <v>69</v>
      </c>
      <c r="N279" s="15" t="s">
        <v>70</v>
      </c>
      <c r="O279" s="13">
        <v>4.8</v>
      </c>
      <c r="P279" s="15" t="s">
        <v>86</v>
      </c>
      <c r="Q279" s="13">
        <v>0.43</v>
      </c>
      <c r="R279" s="29" t="s">
        <v>72</v>
      </c>
    </row>
    <row r="280" spans="1:18" ht="22.5" x14ac:dyDescent="0.2">
      <c r="A280" s="1"/>
      <c r="B280" s="1" t="s">
        <v>65</v>
      </c>
      <c r="C280" s="1" t="s">
        <v>533</v>
      </c>
      <c r="D280" s="1" t="s">
        <v>530</v>
      </c>
      <c r="E280" s="28">
        <v>44866</v>
      </c>
      <c r="F280" s="14"/>
      <c r="G280" s="14" t="s">
        <v>534</v>
      </c>
      <c r="H280" s="45">
        <v>45962</v>
      </c>
      <c r="I280" s="31"/>
      <c r="J280" s="45">
        <v>45992</v>
      </c>
      <c r="K280" s="31"/>
      <c r="L280" s="28">
        <v>45966</v>
      </c>
      <c r="M280" s="29" t="s">
        <v>69</v>
      </c>
      <c r="N280" s="15" t="s">
        <v>70</v>
      </c>
      <c r="O280" s="13">
        <v>11</v>
      </c>
      <c r="P280" s="15" t="s">
        <v>86</v>
      </c>
      <c r="Q280" s="13">
        <v>0.99</v>
      </c>
      <c r="R280" s="29" t="s">
        <v>72</v>
      </c>
    </row>
    <row r="281" spans="1:18" ht="22.5" x14ac:dyDescent="0.2">
      <c r="A281" s="1"/>
      <c r="B281" s="1" t="s">
        <v>65</v>
      </c>
      <c r="C281" s="1" t="s">
        <v>535</v>
      </c>
      <c r="D281" s="1" t="s">
        <v>536</v>
      </c>
      <c r="E281" s="28">
        <v>44910</v>
      </c>
      <c r="F281" s="14"/>
      <c r="G281" s="14" t="s">
        <v>537</v>
      </c>
      <c r="H281" s="45">
        <v>45962</v>
      </c>
      <c r="I281" s="31"/>
      <c r="J281" s="45">
        <v>45992</v>
      </c>
      <c r="K281" s="31"/>
      <c r="L281" s="28">
        <v>45968</v>
      </c>
      <c r="M281" s="29" t="s">
        <v>69</v>
      </c>
      <c r="N281" s="15" t="s">
        <v>70</v>
      </c>
      <c r="O281" s="13">
        <v>6.66</v>
      </c>
      <c r="P281" s="15" t="s">
        <v>86</v>
      </c>
      <c r="Q281" s="13">
        <v>0.6</v>
      </c>
      <c r="R281" s="29" t="s">
        <v>72</v>
      </c>
    </row>
    <row r="282" spans="1:18" ht="22.5" x14ac:dyDescent="0.2">
      <c r="A282" s="1"/>
      <c r="B282" s="1" t="s">
        <v>65</v>
      </c>
      <c r="C282" s="1" t="s">
        <v>538</v>
      </c>
      <c r="D282" s="1" t="s">
        <v>536</v>
      </c>
      <c r="E282" s="28">
        <v>44910</v>
      </c>
      <c r="F282" s="14"/>
      <c r="G282" s="14" t="s">
        <v>85</v>
      </c>
      <c r="H282" s="45">
        <v>45962</v>
      </c>
      <c r="I282" s="31"/>
      <c r="J282" s="45">
        <v>45992</v>
      </c>
      <c r="K282" s="31"/>
      <c r="L282" s="28">
        <v>45968</v>
      </c>
      <c r="M282" s="29" t="s">
        <v>69</v>
      </c>
      <c r="N282" s="15" t="s">
        <v>70</v>
      </c>
      <c r="O282" s="13">
        <v>16</v>
      </c>
      <c r="P282" s="15" t="s">
        <v>86</v>
      </c>
      <c r="Q282" s="13">
        <v>1.44</v>
      </c>
      <c r="R282" s="29" t="s">
        <v>72</v>
      </c>
    </row>
    <row r="283" spans="1:18" ht="22.5" x14ac:dyDescent="0.2">
      <c r="A283" s="1"/>
      <c r="B283" s="1" t="s">
        <v>65</v>
      </c>
      <c r="C283" s="1" t="s">
        <v>539</v>
      </c>
      <c r="D283" s="1" t="s">
        <v>540</v>
      </c>
      <c r="E283" s="28">
        <v>44900</v>
      </c>
      <c r="F283" s="14"/>
      <c r="G283" s="14" t="s">
        <v>286</v>
      </c>
      <c r="H283" s="45">
        <v>45962</v>
      </c>
      <c r="I283" s="31"/>
      <c r="J283" s="45">
        <v>45992</v>
      </c>
      <c r="K283" s="31"/>
      <c r="L283" s="28">
        <v>45968</v>
      </c>
      <c r="M283" s="29" t="s">
        <v>69</v>
      </c>
      <c r="N283" s="15" t="s">
        <v>70</v>
      </c>
      <c r="O283" s="13">
        <v>85.28</v>
      </c>
      <c r="P283" s="15" t="s">
        <v>86</v>
      </c>
      <c r="Q283" s="13">
        <v>7.68</v>
      </c>
      <c r="R283" s="29" t="s">
        <v>72</v>
      </c>
    </row>
    <row r="284" spans="1:18" ht="22.5" x14ac:dyDescent="0.2">
      <c r="A284" s="1"/>
      <c r="B284" s="1" t="s">
        <v>65</v>
      </c>
      <c r="C284" s="1" t="s">
        <v>541</v>
      </c>
      <c r="D284" s="1" t="s">
        <v>540</v>
      </c>
      <c r="E284" s="28">
        <v>44900</v>
      </c>
      <c r="F284" s="14"/>
      <c r="G284" s="14" t="s">
        <v>465</v>
      </c>
      <c r="H284" s="45">
        <v>45962</v>
      </c>
      <c r="I284" s="31"/>
      <c r="J284" s="45">
        <v>45992</v>
      </c>
      <c r="K284" s="31"/>
      <c r="L284" s="28">
        <v>45968</v>
      </c>
      <c r="M284" s="29" t="s">
        <v>69</v>
      </c>
      <c r="N284" s="15" t="s">
        <v>70</v>
      </c>
      <c r="O284" s="13">
        <v>16</v>
      </c>
      <c r="P284" s="15" t="s">
        <v>86</v>
      </c>
      <c r="Q284" s="13">
        <v>1.44</v>
      </c>
      <c r="R284" s="29" t="s">
        <v>72</v>
      </c>
    </row>
    <row r="285" spans="1:18" ht="22.5" x14ac:dyDescent="0.2">
      <c r="A285" s="1"/>
      <c r="B285" s="1" t="s">
        <v>65</v>
      </c>
      <c r="C285" s="1" t="s">
        <v>542</v>
      </c>
      <c r="D285" s="1" t="s">
        <v>543</v>
      </c>
      <c r="E285" s="28">
        <v>44882</v>
      </c>
      <c r="F285" s="14"/>
      <c r="G285" s="14" t="s">
        <v>116</v>
      </c>
      <c r="H285" s="45">
        <v>45962</v>
      </c>
      <c r="I285" s="31"/>
      <c r="J285" s="45">
        <v>45978</v>
      </c>
      <c r="K285" s="31"/>
      <c r="L285" s="28">
        <v>45969</v>
      </c>
      <c r="M285" s="29" t="s">
        <v>69</v>
      </c>
      <c r="N285" s="15" t="s">
        <v>70</v>
      </c>
      <c r="O285" s="13">
        <v>82.4</v>
      </c>
      <c r="P285" s="15" t="s">
        <v>86</v>
      </c>
      <c r="Q285" s="13">
        <v>7.42</v>
      </c>
      <c r="R285" s="29" t="s">
        <v>72</v>
      </c>
    </row>
    <row r="286" spans="1:18" ht="22.5" x14ac:dyDescent="0.2">
      <c r="A286" s="1"/>
      <c r="B286" s="1" t="s">
        <v>65</v>
      </c>
      <c r="C286" s="1" t="s">
        <v>542</v>
      </c>
      <c r="D286" s="1" t="s">
        <v>543</v>
      </c>
      <c r="E286" s="28">
        <v>44882</v>
      </c>
      <c r="F286" s="14"/>
      <c r="G286" s="14" t="s">
        <v>116</v>
      </c>
      <c r="H286" s="45">
        <v>45979</v>
      </c>
      <c r="I286" s="31"/>
      <c r="J286" s="45">
        <v>45992</v>
      </c>
      <c r="K286" s="31"/>
      <c r="L286" s="28">
        <v>45969</v>
      </c>
      <c r="M286" s="29" t="s">
        <v>69</v>
      </c>
      <c r="N286" s="15" t="s">
        <v>70</v>
      </c>
      <c r="O286" s="13">
        <v>72.099999999999994</v>
      </c>
      <c r="P286" s="15" t="s">
        <v>86</v>
      </c>
      <c r="Q286" s="13">
        <v>6.49</v>
      </c>
      <c r="R286" s="29" t="s">
        <v>72</v>
      </c>
    </row>
    <row r="287" spans="1:18" ht="33.75" x14ac:dyDescent="0.2">
      <c r="A287" s="1"/>
      <c r="B287" s="1" t="s">
        <v>65</v>
      </c>
      <c r="C287" s="1" t="s">
        <v>544</v>
      </c>
      <c r="D287" s="1" t="s">
        <v>545</v>
      </c>
      <c r="E287" s="28">
        <v>44958</v>
      </c>
      <c r="F287" s="14"/>
      <c r="G287" s="14" t="s">
        <v>465</v>
      </c>
      <c r="H287" s="45">
        <v>45962</v>
      </c>
      <c r="I287" s="31"/>
      <c r="J287" s="45">
        <v>45992</v>
      </c>
      <c r="K287" s="31"/>
      <c r="L287" s="28">
        <v>45966</v>
      </c>
      <c r="M287" s="29" t="s">
        <v>69</v>
      </c>
      <c r="N287" s="15" t="s">
        <v>70</v>
      </c>
      <c r="O287" s="13">
        <v>9</v>
      </c>
      <c r="P287" s="15" t="s">
        <v>86</v>
      </c>
      <c r="Q287" s="13">
        <v>0.81</v>
      </c>
      <c r="R287" s="29" t="s">
        <v>72</v>
      </c>
    </row>
    <row r="288" spans="1:18" ht="33.75" x14ac:dyDescent="0.2">
      <c r="A288" s="1"/>
      <c r="B288" s="1" t="s">
        <v>65</v>
      </c>
      <c r="C288" s="1" t="s">
        <v>546</v>
      </c>
      <c r="D288" s="1" t="s">
        <v>545</v>
      </c>
      <c r="E288" s="28">
        <v>44958</v>
      </c>
      <c r="F288" s="14"/>
      <c r="G288" s="14" t="s">
        <v>547</v>
      </c>
      <c r="H288" s="45">
        <v>45962</v>
      </c>
      <c r="I288" s="31"/>
      <c r="J288" s="45">
        <v>45992</v>
      </c>
      <c r="K288" s="31"/>
      <c r="L288" s="28">
        <v>45966</v>
      </c>
      <c r="M288" s="29" t="s">
        <v>69</v>
      </c>
      <c r="N288" s="15" t="s">
        <v>70</v>
      </c>
      <c r="O288" s="13">
        <v>153.79</v>
      </c>
      <c r="P288" s="15" t="s">
        <v>75</v>
      </c>
      <c r="Q288" s="13">
        <v>27.68</v>
      </c>
      <c r="R288" s="29" t="s">
        <v>72</v>
      </c>
    </row>
    <row r="289" spans="1:18" ht="22.5" x14ac:dyDescent="0.2">
      <c r="A289" s="1"/>
      <c r="B289" s="1" t="s">
        <v>65</v>
      </c>
      <c r="C289" s="1" t="s">
        <v>548</v>
      </c>
      <c r="D289" s="1" t="s">
        <v>549</v>
      </c>
      <c r="E289" s="28">
        <v>44927</v>
      </c>
      <c r="F289" s="14"/>
      <c r="G289" s="14" t="s">
        <v>500</v>
      </c>
      <c r="H289" s="45">
        <v>45962</v>
      </c>
      <c r="I289" s="31"/>
      <c r="J289" s="45">
        <v>45992</v>
      </c>
      <c r="K289" s="31"/>
      <c r="L289" s="28">
        <v>45966</v>
      </c>
      <c r="M289" s="29" t="s">
        <v>69</v>
      </c>
      <c r="N289" s="15" t="s">
        <v>70</v>
      </c>
      <c r="O289" s="13">
        <v>38.630000000000003</v>
      </c>
      <c r="P289" s="15" t="s">
        <v>86</v>
      </c>
      <c r="Q289" s="13">
        <v>3.48</v>
      </c>
      <c r="R289" s="29" t="s">
        <v>72</v>
      </c>
    </row>
    <row r="290" spans="1:18" ht="22.5" x14ac:dyDescent="0.2">
      <c r="A290" s="1"/>
      <c r="B290" s="1" t="s">
        <v>65</v>
      </c>
      <c r="C290" s="1" t="s">
        <v>550</v>
      </c>
      <c r="D290" s="1" t="s">
        <v>549</v>
      </c>
      <c r="E290" s="28">
        <v>44927</v>
      </c>
      <c r="F290" s="14"/>
      <c r="G290" s="14" t="s">
        <v>465</v>
      </c>
      <c r="H290" s="45">
        <v>45962</v>
      </c>
      <c r="I290" s="31"/>
      <c r="J290" s="45">
        <v>45992</v>
      </c>
      <c r="K290" s="31"/>
      <c r="L290" s="28">
        <v>45966</v>
      </c>
      <c r="M290" s="29" t="s">
        <v>69</v>
      </c>
      <c r="N290" s="15" t="s">
        <v>70</v>
      </c>
      <c r="O290" s="13">
        <v>9</v>
      </c>
      <c r="P290" s="15" t="s">
        <v>86</v>
      </c>
      <c r="Q290" s="13">
        <v>0.81</v>
      </c>
      <c r="R290" s="29" t="s">
        <v>72</v>
      </c>
    </row>
    <row r="291" spans="1:18" ht="22.5" x14ac:dyDescent="0.2">
      <c r="A291" s="1"/>
      <c r="B291" s="1" t="s">
        <v>65</v>
      </c>
      <c r="C291" s="1" t="s">
        <v>551</v>
      </c>
      <c r="D291" s="1" t="s">
        <v>549</v>
      </c>
      <c r="E291" s="28">
        <v>44927</v>
      </c>
      <c r="F291" s="14"/>
      <c r="G291" s="14" t="s">
        <v>286</v>
      </c>
      <c r="H291" s="45">
        <v>45962</v>
      </c>
      <c r="I291" s="31"/>
      <c r="J291" s="45">
        <v>45992</v>
      </c>
      <c r="K291" s="31"/>
      <c r="L291" s="28">
        <v>45966</v>
      </c>
      <c r="M291" s="29" t="s">
        <v>69</v>
      </c>
      <c r="N291" s="15" t="s">
        <v>70</v>
      </c>
      <c r="O291" s="13">
        <v>42.64</v>
      </c>
      <c r="P291" s="15" t="s">
        <v>86</v>
      </c>
      <c r="Q291" s="13">
        <v>3.84</v>
      </c>
      <c r="R291" s="29" t="s">
        <v>72</v>
      </c>
    </row>
    <row r="292" spans="1:18" ht="22.5" x14ac:dyDescent="0.2">
      <c r="A292" s="1"/>
      <c r="B292" s="1" t="s">
        <v>65</v>
      </c>
      <c r="C292" s="1" t="s">
        <v>552</v>
      </c>
      <c r="D292" s="1" t="s">
        <v>549</v>
      </c>
      <c r="E292" s="28">
        <v>44927</v>
      </c>
      <c r="F292" s="14"/>
      <c r="G292" s="14" t="s">
        <v>231</v>
      </c>
      <c r="H292" s="45">
        <v>45962</v>
      </c>
      <c r="I292" s="31"/>
      <c r="J292" s="45">
        <v>45992</v>
      </c>
      <c r="K292" s="31"/>
      <c r="L292" s="28">
        <v>45966</v>
      </c>
      <c r="M292" s="29" t="s">
        <v>69</v>
      </c>
      <c r="N292" s="15" t="s">
        <v>70</v>
      </c>
      <c r="O292" s="13">
        <v>41.01</v>
      </c>
      <c r="P292" s="15" t="s">
        <v>86</v>
      </c>
      <c r="Q292" s="13">
        <v>3.69</v>
      </c>
      <c r="R292" s="29" t="s">
        <v>72</v>
      </c>
    </row>
    <row r="293" spans="1:18" ht="22.5" x14ac:dyDescent="0.2">
      <c r="A293" s="1"/>
      <c r="B293" s="1" t="s">
        <v>65</v>
      </c>
      <c r="C293" s="1" t="s">
        <v>553</v>
      </c>
      <c r="D293" s="1" t="s">
        <v>554</v>
      </c>
      <c r="E293" s="28">
        <v>44958</v>
      </c>
      <c r="F293" s="14"/>
      <c r="G293" s="14" t="s">
        <v>465</v>
      </c>
      <c r="H293" s="45">
        <v>45962</v>
      </c>
      <c r="I293" s="31"/>
      <c r="J293" s="45">
        <v>45992</v>
      </c>
      <c r="K293" s="31"/>
      <c r="L293" s="28">
        <v>45966</v>
      </c>
      <c r="M293" s="29" t="s">
        <v>69</v>
      </c>
      <c r="N293" s="15" t="s">
        <v>70</v>
      </c>
      <c r="O293" s="13">
        <v>9</v>
      </c>
      <c r="P293" s="15" t="s">
        <v>86</v>
      </c>
      <c r="Q293" s="13">
        <v>0.81</v>
      </c>
      <c r="R293" s="29" t="s">
        <v>72</v>
      </c>
    </row>
    <row r="294" spans="1:18" ht="22.5" x14ac:dyDescent="0.2">
      <c r="A294" s="1"/>
      <c r="B294" s="1" t="s">
        <v>65</v>
      </c>
      <c r="C294" s="1" t="s">
        <v>555</v>
      </c>
      <c r="D294" s="1" t="s">
        <v>554</v>
      </c>
      <c r="E294" s="28">
        <v>44958</v>
      </c>
      <c r="F294" s="14"/>
      <c r="G294" s="14" t="s">
        <v>286</v>
      </c>
      <c r="H294" s="45">
        <v>45962</v>
      </c>
      <c r="I294" s="31"/>
      <c r="J294" s="45">
        <v>45992</v>
      </c>
      <c r="K294" s="31"/>
      <c r="L294" s="28">
        <v>45966</v>
      </c>
      <c r="M294" s="29" t="s">
        <v>69</v>
      </c>
      <c r="N294" s="15" t="s">
        <v>70</v>
      </c>
      <c r="O294" s="13">
        <v>42.64</v>
      </c>
      <c r="P294" s="15" t="s">
        <v>86</v>
      </c>
      <c r="Q294" s="13">
        <v>3.84</v>
      </c>
      <c r="R294" s="29" t="s">
        <v>72</v>
      </c>
    </row>
    <row r="295" spans="1:18" ht="22.5" x14ac:dyDescent="0.2">
      <c r="A295" s="1"/>
      <c r="B295" s="1" t="s">
        <v>65</v>
      </c>
      <c r="C295" s="1" t="s">
        <v>556</v>
      </c>
      <c r="D295" s="1" t="s">
        <v>557</v>
      </c>
      <c r="E295" s="28">
        <v>44910</v>
      </c>
      <c r="F295" s="14"/>
      <c r="G295" s="14" t="s">
        <v>558</v>
      </c>
      <c r="H295" s="45">
        <v>45962</v>
      </c>
      <c r="I295" s="31"/>
      <c r="J295" s="45">
        <v>45992</v>
      </c>
      <c r="K295" s="31"/>
      <c r="L295" s="28">
        <v>45968</v>
      </c>
      <c r="M295" s="29" t="s">
        <v>69</v>
      </c>
      <c r="N295" s="15" t="s">
        <v>70</v>
      </c>
      <c r="O295" s="13">
        <v>19.760000000000002</v>
      </c>
      <c r="P295" s="15" t="s">
        <v>86</v>
      </c>
      <c r="Q295" s="13">
        <v>1.78</v>
      </c>
      <c r="R295" s="29" t="s">
        <v>72</v>
      </c>
    </row>
    <row r="296" spans="1:18" ht="22.5" x14ac:dyDescent="0.2">
      <c r="A296" s="1"/>
      <c r="B296" s="1" t="s">
        <v>65</v>
      </c>
      <c r="C296" s="1" t="s">
        <v>559</v>
      </c>
      <c r="D296" s="1" t="s">
        <v>560</v>
      </c>
      <c r="E296" s="28">
        <v>44940</v>
      </c>
      <c r="F296" s="14"/>
      <c r="G296" s="14" t="s">
        <v>286</v>
      </c>
      <c r="H296" s="45">
        <v>45962</v>
      </c>
      <c r="I296" s="31"/>
      <c r="J296" s="45">
        <v>45992</v>
      </c>
      <c r="K296" s="31"/>
      <c r="L296" s="28">
        <v>45968</v>
      </c>
      <c r="M296" s="29" t="s">
        <v>69</v>
      </c>
      <c r="N296" s="15" t="s">
        <v>70</v>
      </c>
      <c r="O296" s="13">
        <v>42.64</v>
      </c>
      <c r="P296" s="15" t="s">
        <v>86</v>
      </c>
      <c r="Q296" s="13">
        <v>3.84</v>
      </c>
      <c r="R296" s="29" t="s">
        <v>72</v>
      </c>
    </row>
    <row r="297" spans="1:18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2" t="s">
        <v>79</v>
      </c>
      <c r="Q297" s="17">
        <v>1176.28</v>
      </c>
      <c r="R297" s="2"/>
    </row>
  </sheetData>
  <mergeCells count="565"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H16:I16"/>
    <mergeCell ref="J16:K16"/>
    <mergeCell ref="B23:D23"/>
    <mergeCell ref="E23:O23"/>
    <mergeCell ref="A24:H24"/>
    <mergeCell ref="P24:R24"/>
    <mergeCell ref="H13:I13"/>
    <mergeCell ref="J13:K13"/>
    <mergeCell ref="H14:I14"/>
    <mergeCell ref="J14:K14"/>
    <mergeCell ref="H15:I15"/>
    <mergeCell ref="J15:K15"/>
    <mergeCell ref="B28:D28"/>
    <mergeCell ref="H29:I29"/>
    <mergeCell ref="J29:K29"/>
    <mergeCell ref="A31:M31"/>
    <mergeCell ref="H32:I32"/>
    <mergeCell ref="J32:K32"/>
    <mergeCell ref="E25:O25"/>
    <mergeCell ref="P25:R25"/>
    <mergeCell ref="B26:D26"/>
    <mergeCell ref="E26:O26"/>
    <mergeCell ref="P26:R26"/>
    <mergeCell ref="B27:D27"/>
    <mergeCell ref="P27:R27"/>
    <mergeCell ref="H36:I36"/>
    <mergeCell ref="J36:K36"/>
    <mergeCell ref="H37:I37"/>
    <mergeCell ref="J37:K37"/>
    <mergeCell ref="H38:I38"/>
    <mergeCell ref="J38:K38"/>
    <mergeCell ref="H33:I33"/>
    <mergeCell ref="J33:K33"/>
    <mergeCell ref="H34:I34"/>
    <mergeCell ref="J34:K34"/>
    <mergeCell ref="H35:I35"/>
    <mergeCell ref="J35:K35"/>
    <mergeCell ref="H42:I42"/>
    <mergeCell ref="J42:K42"/>
    <mergeCell ref="H43:I43"/>
    <mergeCell ref="J43:K43"/>
    <mergeCell ref="A44:M44"/>
    <mergeCell ref="H45:I45"/>
    <mergeCell ref="J45:K45"/>
    <mergeCell ref="H39:I39"/>
    <mergeCell ref="J39:K39"/>
    <mergeCell ref="H40:I40"/>
    <mergeCell ref="J40:K40"/>
    <mergeCell ref="H41:I41"/>
    <mergeCell ref="J41:K41"/>
    <mergeCell ref="H49:I49"/>
    <mergeCell ref="J49:K49"/>
    <mergeCell ref="H50:I50"/>
    <mergeCell ref="J50:K50"/>
    <mergeCell ref="H51:I51"/>
    <mergeCell ref="J51:K51"/>
    <mergeCell ref="H46:I46"/>
    <mergeCell ref="J46:K46"/>
    <mergeCell ref="H47:I47"/>
    <mergeCell ref="J47:K47"/>
    <mergeCell ref="H48:I48"/>
    <mergeCell ref="J48:K48"/>
    <mergeCell ref="H55:I55"/>
    <mergeCell ref="J55:K55"/>
    <mergeCell ref="H56:I56"/>
    <mergeCell ref="J56:K56"/>
    <mergeCell ref="H57:I57"/>
    <mergeCell ref="J57:K57"/>
    <mergeCell ref="H52:I52"/>
    <mergeCell ref="J52:K52"/>
    <mergeCell ref="H53:I53"/>
    <mergeCell ref="J53:K53"/>
    <mergeCell ref="H54:I54"/>
    <mergeCell ref="J54:K54"/>
    <mergeCell ref="H61:I61"/>
    <mergeCell ref="J61:K61"/>
    <mergeCell ref="H62:I62"/>
    <mergeCell ref="J62:K62"/>
    <mergeCell ref="H63:I63"/>
    <mergeCell ref="J63:K63"/>
    <mergeCell ref="H58:I58"/>
    <mergeCell ref="J58:K58"/>
    <mergeCell ref="H59:I59"/>
    <mergeCell ref="J59:K59"/>
    <mergeCell ref="H60:I60"/>
    <mergeCell ref="J60:K60"/>
    <mergeCell ref="A67:M67"/>
    <mergeCell ref="H68:I68"/>
    <mergeCell ref="J68:K68"/>
    <mergeCell ref="H69:I69"/>
    <mergeCell ref="J69:K69"/>
    <mergeCell ref="H70:I70"/>
    <mergeCell ref="J70:K70"/>
    <mergeCell ref="H64:I64"/>
    <mergeCell ref="J64:K64"/>
    <mergeCell ref="H65:I65"/>
    <mergeCell ref="J65:K65"/>
    <mergeCell ref="H66:I66"/>
    <mergeCell ref="J66:K66"/>
    <mergeCell ref="H74:I74"/>
    <mergeCell ref="J74:K74"/>
    <mergeCell ref="H75:I75"/>
    <mergeCell ref="J75:K75"/>
    <mergeCell ref="H76:I76"/>
    <mergeCell ref="J76:K76"/>
    <mergeCell ref="H71:I71"/>
    <mergeCell ref="J71:K71"/>
    <mergeCell ref="H72:I72"/>
    <mergeCell ref="J72:K72"/>
    <mergeCell ref="H73:I73"/>
    <mergeCell ref="J73:K73"/>
    <mergeCell ref="H80:I80"/>
    <mergeCell ref="J80:K80"/>
    <mergeCell ref="H81:I81"/>
    <mergeCell ref="J81:K81"/>
    <mergeCell ref="H82:I82"/>
    <mergeCell ref="J82:K82"/>
    <mergeCell ref="H77:I77"/>
    <mergeCell ref="J77:K77"/>
    <mergeCell ref="H78:I78"/>
    <mergeCell ref="J78:K78"/>
    <mergeCell ref="H79:I79"/>
    <mergeCell ref="J79:K79"/>
    <mergeCell ref="H86:I86"/>
    <mergeCell ref="J86:K86"/>
    <mergeCell ref="H87:I87"/>
    <mergeCell ref="J87:K87"/>
    <mergeCell ref="H88:I88"/>
    <mergeCell ref="J88:K88"/>
    <mergeCell ref="H83:I83"/>
    <mergeCell ref="J83:K83"/>
    <mergeCell ref="H84:I84"/>
    <mergeCell ref="J84:K84"/>
    <mergeCell ref="H85:I85"/>
    <mergeCell ref="J85:K85"/>
    <mergeCell ref="H92:I92"/>
    <mergeCell ref="J92:K92"/>
    <mergeCell ref="H93:I93"/>
    <mergeCell ref="J93:K93"/>
    <mergeCell ref="H94:I94"/>
    <mergeCell ref="J94:K94"/>
    <mergeCell ref="H89:I89"/>
    <mergeCell ref="J89:K89"/>
    <mergeCell ref="H90:I90"/>
    <mergeCell ref="J90:K90"/>
    <mergeCell ref="H91:I91"/>
    <mergeCell ref="J91:K91"/>
    <mergeCell ref="H98:I98"/>
    <mergeCell ref="J98:K98"/>
    <mergeCell ref="H99:I99"/>
    <mergeCell ref="J99:K99"/>
    <mergeCell ref="H100:I100"/>
    <mergeCell ref="J100:K100"/>
    <mergeCell ref="H95:I95"/>
    <mergeCell ref="J95:K95"/>
    <mergeCell ref="H96:I96"/>
    <mergeCell ref="J96:K96"/>
    <mergeCell ref="H97:I97"/>
    <mergeCell ref="J97:K97"/>
    <mergeCell ref="H104:I104"/>
    <mergeCell ref="J104:K104"/>
    <mergeCell ref="H105:I105"/>
    <mergeCell ref="J105:K105"/>
    <mergeCell ref="H106:I106"/>
    <mergeCell ref="J106:K106"/>
    <mergeCell ref="H101:I101"/>
    <mergeCell ref="J101:K101"/>
    <mergeCell ref="H102:I102"/>
    <mergeCell ref="J102:K102"/>
    <mergeCell ref="H103:I103"/>
    <mergeCell ref="J103:K103"/>
    <mergeCell ref="H110:I110"/>
    <mergeCell ref="J110:K110"/>
    <mergeCell ref="H111:I111"/>
    <mergeCell ref="J111:K111"/>
    <mergeCell ref="H112:I112"/>
    <mergeCell ref="J112:K112"/>
    <mergeCell ref="H107:I107"/>
    <mergeCell ref="J107:K107"/>
    <mergeCell ref="H108:I108"/>
    <mergeCell ref="J108:K108"/>
    <mergeCell ref="H109:I109"/>
    <mergeCell ref="J109:K109"/>
    <mergeCell ref="H116:I116"/>
    <mergeCell ref="J116:K116"/>
    <mergeCell ref="H117:I117"/>
    <mergeCell ref="J117:K117"/>
    <mergeCell ref="H118:I118"/>
    <mergeCell ref="J118:K118"/>
    <mergeCell ref="H113:I113"/>
    <mergeCell ref="J113:K113"/>
    <mergeCell ref="H114:I114"/>
    <mergeCell ref="J114:K114"/>
    <mergeCell ref="H115:I115"/>
    <mergeCell ref="J115:K115"/>
    <mergeCell ref="H122:I122"/>
    <mergeCell ref="J122:K122"/>
    <mergeCell ref="H123:I123"/>
    <mergeCell ref="J123:K123"/>
    <mergeCell ref="H124:I124"/>
    <mergeCell ref="J124:K124"/>
    <mergeCell ref="H119:I119"/>
    <mergeCell ref="J119:K119"/>
    <mergeCell ref="H120:I120"/>
    <mergeCell ref="J120:K120"/>
    <mergeCell ref="H121:I121"/>
    <mergeCell ref="J121:K121"/>
    <mergeCell ref="H128:I128"/>
    <mergeCell ref="J128:K128"/>
    <mergeCell ref="H129:I129"/>
    <mergeCell ref="J129:K129"/>
    <mergeCell ref="H130:I130"/>
    <mergeCell ref="J130:K130"/>
    <mergeCell ref="H125:I125"/>
    <mergeCell ref="J125:K125"/>
    <mergeCell ref="H126:I126"/>
    <mergeCell ref="J126:K126"/>
    <mergeCell ref="H127:I127"/>
    <mergeCell ref="J127:K127"/>
    <mergeCell ref="H134:I134"/>
    <mergeCell ref="J134:K134"/>
    <mergeCell ref="H135:I135"/>
    <mergeCell ref="J135:K135"/>
    <mergeCell ref="H136:I136"/>
    <mergeCell ref="J136:K136"/>
    <mergeCell ref="H131:I131"/>
    <mergeCell ref="J131:K131"/>
    <mergeCell ref="H132:I132"/>
    <mergeCell ref="J132:K132"/>
    <mergeCell ref="H133:I133"/>
    <mergeCell ref="J133:K133"/>
    <mergeCell ref="H140:I140"/>
    <mergeCell ref="J140:K140"/>
    <mergeCell ref="H141:I141"/>
    <mergeCell ref="J141:K141"/>
    <mergeCell ref="H142:I142"/>
    <mergeCell ref="J142:K142"/>
    <mergeCell ref="H137:I137"/>
    <mergeCell ref="J137:K137"/>
    <mergeCell ref="H138:I138"/>
    <mergeCell ref="J138:K138"/>
    <mergeCell ref="H139:I139"/>
    <mergeCell ref="J139:K139"/>
    <mergeCell ref="H146:I146"/>
    <mergeCell ref="J146:K146"/>
    <mergeCell ref="H147:I147"/>
    <mergeCell ref="J147:K147"/>
    <mergeCell ref="H148:I148"/>
    <mergeCell ref="J148:K148"/>
    <mergeCell ref="H143:I143"/>
    <mergeCell ref="J143:K143"/>
    <mergeCell ref="H144:I144"/>
    <mergeCell ref="J144:K144"/>
    <mergeCell ref="H145:I145"/>
    <mergeCell ref="J145:K145"/>
    <mergeCell ref="H152:I152"/>
    <mergeCell ref="J152:K152"/>
    <mergeCell ref="H153:I153"/>
    <mergeCell ref="J153:K153"/>
    <mergeCell ref="H154:I154"/>
    <mergeCell ref="J154:K154"/>
    <mergeCell ref="H149:I149"/>
    <mergeCell ref="J149:K149"/>
    <mergeCell ref="H150:I150"/>
    <mergeCell ref="J150:K150"/>
    <mergeCell ref="H151:I151"/>
    <mergeCell ref="J151:K151"/>
    <mergeCell ref="H158:I158"/>
    <mergeCell ref="J158:K158"/>
    <mergeCell ref="H159:I159"/>
    <mergeCell ref="J159:K159"/>
    <mergeCell ref="H160:I160"/>
    <mergeCell ref="J160:K160"/>
    <mergeCell ref="H155:I155"/>
    <mergeCell ref="J155:K155"/>
    <mergeCell ref="H156:I156"/>
    <mergeCell ref="J156:K156"/>
    <mergeCell ref="H157:I157"/>
    <mergeCell ref="J157:K157"/>
    <mergeCell ref="H164:I164"/>
    <mergeCell ref="J164:K164"/>
    <mergeCell ref="H165:I165"/>
    <mergeCell ref="J165:K165"/>
    <mergeCell ref="H166:I166"/>
    <mergeCell ref="J166:K166"/>
    <mergeCell ref="H161:I161"/>
    <mergeCell ref="J161:K161"/>
    <mergeCell ref="H162:I162"/>
    <mergeCell ref="J162:K162"/>
    <mergeCell ref="H163:I163"/>
    <mergeCell ref="J163:K163"/>
    <mergeCell ref="H170:I170"/>
    <mergeCell ref="J170:K170"/>
    <mergeCell ref="H171:I171"/>
    <mergeCell ref="J171:K171"/>
    <mergeCell ref="H172:I172"/>
    <mergeCell ref="J172:K172"/>
    <mergeCell ref="H167:I167"/>
    <mergeCell ref="J167:K167"/>
    <mergeCell ref="H168:I168"/>
    <mergeCell ref="J168:K168"/>
    <mergeCell ref="H169:I169"/>
    <mergeCell ref="J169:K169"/>
    <mergeCell ref="H177:I177"/>
    <mergeCell ref="J177:K177"/>
    <mergeCell ref="H178:I178"/>
    <mergeCell ref="J178:K178"/>
    <mergeCell ref="H179:I179"/>
    <mergeCell ref="J179:K179"/>
    <mergeCell ref="H173:I173"/>
    <mergeCell ref="J173:K173"/>
    <mergeCell ref="H174:I174"/>
    <mergeCell ref="J174:K174"/>
    <mergeCell ref="A175:M175"/>
    <mergeCell ref="H176:I176"/>
    <mergeCell ref="J176:K176"/>
    <mergeCell ref="H183:I183"/>
    <mergeCell ref="J183:K183"/>
    <mergeCell ref="A184:M184"/>
    <mergeCell ref="H185:I185"/>
    <mergeCell ref="J185:K185"/>
    <mergeCell ref="H186:I186"/>
    <mergeCell ref="J186:K186"/>
    <mergeCell ref="H180:I180"/>
    <mergeCell ref="J180:K180"/>
    <mergeCell ref="H181:I181"/>
    <mergeCell ref="J181:K181"/>
    <mergeCell ref="H182:I182"/>
    <mergeCell ref="J182:K182"/>
    <mergeCell ref="H190:I190"/>
    <mergeCell ref="J190:K190"/>
    <mergeCell ref="H191:I191"/>
    <mergeCell ref="J191:K191"/>
    <mergeCell ref="H192:I192"/>
    <mergeCell ref="J192:K192"/>
    <mergeCell ref="H187:I187"/>
    <mergeCell ref="J187:K187"/>
    <mergeCell ref="H188:I188"/>
    <mergeCell ref="J188:K188"/>
    <mergeCell ref="H189:I189"/>
    <mergeCell ref="J189:K189"/>
    <mergeCell ref="H196:I196"/>
    <mergeCell ref="J196:K196"/>
    <mergeCell ref="H197:I197"/>
    <mergeCell ref="J197:K197"/>
    <mergeCell ref="H198:I198"/>
    <mergeCell ref="J198:K198"/>
    <mergeCell ref="H193:I193"/>
    <mergeCell ref="J193:K193"/>
    <mergeCell ref="H194:I194"/>
    <mergeCell ref="J194:K194"/>
    <mergeCell ref="H195:I195"/>
    <mergeCell ref="J195:K195"/>
    <mergeCell ref="H203:I203"/>
    <mergeCell ref="J203:K203"/>
    <mergeCell ref="H204:I204"/>
    <mergeCell ref="J204:K204"/>
    <mergeCell ref="H205:I205"/>
    <mergeCell ref="J205:K205"/>
    <mergeCell ref="A199:M199"/>
    <mergeCell ref="H200:I200"/>
    <mergeCell ref="J200:K200"/>
    <mergeCell ref="H201:I201"/>
    <mergeCell ref="J201:K201"/>
    <mergeCell ref="H202:I202"/>
    <mergeCell ref="J202:K202"/>
    <mergeCell ref="H209:I209"/>
    <mergeCell ref="J209:K209"/>
    <mergeCell ref="H210:I210"/>
    <mergeCell ref="J210:K210"/>
    <mergeCell ref="H211:I211"/>
    <mergeCell ref="J211:K211"/>
    <mergeCell ref="H206:I206"/>
    <mergeCell ref="J206:K206"/>
    <mergeCell ref="H207:I207"/>
    <mergeCell ref="J207:K207"/>
    <mergeCell ref="H208:I208"/>
    <mergeCell ref="J208:K208"/>
    <mergeCell ref="H215:I215"/>
    <mergeCell ref="J215:K215"/>
    <mergeCell ref="H216:I216"/>
    <mergeCell ref="J216:K216"/>
    <mergeCell ref="H217:I217"/>
    <mergeCell ref="J217:K217"/>
    <mergeCell ref="H212:I212"/>
    <mergeCell ref="J212:K212"/>
    <mergeCell ref="H213:I213"/>
    <mergeCell ref="J213:K213"/>
    <mergeCell ref="H214:I214"/>
    <mergeCell ref="J214:K214"/>
    <mergeCell ref="H221:I221"/>
    <mergeCell ref="J221:K221"/>
    <mergeCell ref="H222:I222"/>
    <mergeCell ref="J222:K222"/>
    <mergeCell ref="H223:I223"/>
    <mergeCell ref="J223:K223"/>
    <mergeCell ref="H218:I218"/>
    <mergeCell ref="J218:K218"/>
    <mergeCell ref="H219:I219"/>
    <mergeCell ref="J219:K219"/>
    <mergeCell ref="H220:I220"/>
    <mergeCell ref="J220:K220"/>
    <mergeCell ref="A228:M228"/>
    <mergeCell ref="H229:I229"/>
    <mergeCell ref="J229:K229"/>
    <mergeCell ref="H230:I230"/>
    <mergeCell ref="J230:K230"/>
    <mergeCell ref="H231:I231"/>
    <mergeCell ref="J231:K231"/>
    <mergeCell ref="A224:M224"/>
    <mergeCell ref="H225:I225"/>
    <mergeCell ref="J225:K225"/>
    <mergeCell ref="H226:I226"/>
    <mergeCell ref="J226:K226"/>
    <mergeCell ref="H227:I227"/>
    <mergeCell ref="J227:K227"/>
    <mergeCell ref="H235:I235"/>
    <mergeCell ref="J235:K235"/>
    <mergeCell ref="H236:I236"/>
    <mergeCell ref="J236:K236"/>
    <mergeCell ref="H237:I237"/>
    <mergeCell ref="J237:K237"/>
    <mergeCell ref="H232:I232"/>
    <mergeCell ref="J232:K232"/>
    <mergeCell ref="H233:I233"/>
    <mergeCell ref="J233:K233"/>
    <mergeCell ref="H234:I234"/>
    <mergeCell ref="J234:K234"/>
    <mergeCell ref="H241:I241"/>
    <mergeCell ref="J241:K241"/>
    <mergeCell ref="H242:I242"/>
    <mergeCell ref="J242:K242"/>
    <mergeCell ref="H243:I243"/>
    <mergeCell ref="J243:K243"/>
    <mergeCell ref="H238:I238"/>
    <mergeCell ref="J238:K238"/>
    <mergeCell ref="H239:I239"/>
    <mergeCell ref="J239:K239"/>
    <mergeCell ref="H240:I240"/>
    <mergeCell ref="J240:K240"/>
    <mergeCell ref="H247:I247"/>
    <mergeCell ref="J247:K247"/>
    <mergeCell ref="H248:I248"/>
    <mergeCell ref="J248:K248"/>
    <mergeCell ref="H249:I249"/>
    <mergeCell ref="J249:K249"/>
    <mergeCell ref="H244:I244"/>
    <mergeCell ref="J244:K244"/>
    <mergeCell ref="H245:I245"/>
    <mergeCell ref="J245:K245"/>
    <mergeCell ref="H246:I246"/>
    <mergeCell ref="J246:K246"/>
    <mergeCell ref="H253:I253"/>
    <mergeCell ref="J253:K253"/>
    <mergeCell ref="H254:I254"/>
    <mergeCell ref="J254:K254"/>
    <mergeCell ref="H255:I255"/>
    <mergeCell ref="J255:K255"/>
    <mergeCell ref="H250:I250"/>
    <mergeCell ref="J250:K250"/>
    <mergeCell ref="H251:I251"/>
    <mergeCell ref="J251:K251"/>
    <mergeCell ref="H252:I252"/>
    <mergeCell ref="J252:K252"/>
    <mergeCell ref="H259:I259"/>
    <mergeCell ref="J259:K259"/>
    <mergeCell ref="H260:I260"/>
    <mergeCell ref="J260:K260"/>
    <mergeCell ref="H261:I261"/>
    <mergeCell ref="J261:K261"/>
    <mergeCell ref="H256:I256"/>
    <mergeCell ref="J256:K256"/>
    <mergeCell ref="H257:I257"/>
    <mergeCell ref="J257:K257"/>
    <mergeCell ref="H258:I258"/>
    <mergeCell ref="J258:K258"/>
    <mergeCell ref="H265:I265"/>
    <mergeCell ref="J265:K265"/>
    <mergeCell ref="H266:I266"/>
    <mergeCell ref="J266:K266"/>
    <mergeCell ref="H267:I267"/>
    <mergeCell ref="J267:K267"/>
    <mergeCell ref="H262:I262"/>
    <mergeCell ref="J262:K262"/>
    <mergeCell ref="H263:I263"/>
    <mergeCell ref="J263:K263"/>
    <mergeCell ref="H264:I264"/>
    <mergeCell ref="J264:K264"/>
    <mergeCell ref="H271:I271"/>
    <mergeCell ref="J271:K271"/>
    <mergeCell ref="H272:I272"/>
    <mergeCell ref="J272:K272"/>
    <mergeCell ref="H273:I273"/>
    <mergeCell ref="J273:K273"/>
    <mergeCell ref="H268:I268"/>
    <mergeCell ref="J268:K268"/>
    <mergeCell ref="H269:I269"/>
    <mergeCell ref="J269:K269"/>
    <mergeCell ref="H270:I270"/>
    <mergeCell ref="J270:K270"/>
    <mergeCell ref="H277:I277"/>
    <mergeCell ref="J277:K277"/>
    <mergeCell ref="H278:I278"/>
    <mergeCell ref="J278:K278"/>
    <mergeCell ref="H279:I279"/>
    <mergeCell ref="J279:K279"/>
    <mergeCell ref="H274:I274"/>
    <mergeCell ref="J274:K274"/>
    <mergeCell ref="H275:I275"/>
    <mergeCell ref="J275:K275"/>
    <mergeCell ref="H276:I276"/>
    <mergeCell ref="J276:K276"/>
    <mergeCell ref="H283:I283"/>
    <mergeCell ref="J283:K283"/>
    <mergeCell ref="H284:I284"/>
    <mergeCell ref="J284:K284"/>
    <mergeCell ref="H285:I285"/>
    <mergeCell ref="J285:K285"/>
    <mergeCell ref="H280:I280"/>
    <mergeCell ref="J280:K280"/>
    <mergeCell ref="H281:I281"/>
    <mergeCell ref="J281:K281"/>
    <mergeCell ref="H282:I282"/>
    <mergeCell ref="J282:K282"/>
    <mergeCell ref="H289:I289"/>
    <mergeCell ref="J289:K289"/>
    <mergeCell ref="H290:I290"/>
    <mergeCell ref="J290:K290"/>
    <mergeCell ref="H291:I291"/>
    <mergeCell ref="J291:K291"/>
    <mergeCell ref="H286:I286"/>
    <mergeCell ref="J286:K286"/>
    <mergeCell ref="H287:I287"/>
    <mergeCell ref="J287:K287"/>
    <mergeCell ref="H288:I288"/>
    <mergeCell ref="J288:K288"/>
    <mergeCell ref="H295:I295"/>
    <mergeCell ref="J295:K295"/>
    <mergeCell ref="H296:I296"/>
    <mergeCell ref="J296:K296"/>
    <mergeCell ref="H292:I292"/>
    <mergeCell ref="J292:K292"/>
    <mergeCell ref="H293:I293"/>
    <mergeCell ref="J293:K293"/>
    <mergeCell ref="H294:I294"/>
    <mergeCell ref="J294:K294"/>
  </mergeCells>
  <phoneticPr fontId="0" type="noConversion"/>
  <pageMargins left="0.15000000000000002" right="0.15000000000000002" top="0.79542007874015752" bottom="0.40500000000000008" header="0.08" footer="0.08"/>
  <pageSetup orientation="landscape" r:id="rId1"/>
  <headerFooter alignWithMargins="0">
    <oddHeader>&amp;L&amp;C&amp;"Arial"&amp;16&amp;BCompensation Statement&amp;B &amp;R</oddHeader>
    <oddFooter xml:space="preserve">&amp;L&amp;"Arial"&amp;9&amp;BDate: 11/13/2025&amp;B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BC4F-C9EC-42D7-A938-10FFEE79FDE3}">
  <dimension ref="A1:T265"/>
  <sheetViews>
    <sheetView tabSelected="1" zoomScaleNormal="100" workbookViewId="0">
      <selection activeCell="T27" sqref="T27"/>
    </sheetView>
  </sheetViews>
  <sheetFormatPr defaultRowHeight="12.75" x14ac:dyDescent="0.2"/>
  <cols>
    <col min="1" max="1" width="4.5703125" customWidth="1"/>
    <col min="2" max="2" width="10.140625" customWidth="1"/>
    <col min="3" max="3" width="28.28515625" bestFit="1" customWidth="1"/>
    <col min="4" max="4" width="8.7109375" bestFit="1" customWidth="1"/>
    <col min="5" max="5" width="8" customWidth="1"/>
    <col min="6" max="6" width="8.5703125" customWidth="1"/>
    <col min="7" max="7" width="15.7109375" customWidth="1"/>
    <col min="8" max="8" width="8.7109375" bestFit="1" customWidth="1"/>
    <col min="9" max="9" width="10.42578125" customWidth="1"/>
    <col min="10" max="10" width="7.85546875" customWidth="1"/>
    <col min="11" max="11" width="8.42578125" customWidth="1"/>
    <col min="12" max="12" width="9.5703125" customWidth="1"/>
    <col min="13" max="13" width="10.42578125" customWidth="1"/>
    <col min="14" max="14" width="11.140625" customWidth="1"/>
    <col min="16" max="16" width="0" hidden="1" customWidth="1"/>
    <col min="17" max="17" width="11.42578125" customWidth="1"/>
    <col min="18" max="18" width="11.85546875" customWidth="1"/>
    <col min="19" max="19" width="14.5703125" customWidth="1"/>
  </cols>
  <sheetData>
    <row r="1" spans="1:20" ht="23.25" customHeight="1" thickBot="1" x14ac:dyDescent="0.25">
      <c r="A1" s="25" t="s">
        <v>49</v>
      </c>
      <c r="B1" s="25" t="s">
        <v>50</v>
      </c>
      <c r="C1" s="25" t="s">
        <v>51</v>
      </c>
      <c r="D1" s="26" t="s">
        <v>52</v>
      </c>
      <c r="E1" s="25" t="s">
        <v>53</v>
      </c>
      <c r="F1" s="25" t="s">
        <v>54</v>
      </c>
      <c r="G1" s="50" t="s">
        <v>55</v>
      </c>
      <c r="H1" s="50" t="s">
        <v>56</v>
      </c>
      <c r="I1" s="26" t="s">
        <v>57</v>
      </c>
      <c r="J1" s="26" t="s">
        <v>58</v>
      </c>
      <c r="K1" s="26" t="s">
        <v>59</v>
      </c>
      <c r="L1" s="27" t="s">
        <v>60</v>
      </c>
      <c r="M1" s="27" t="s">
        <v>61</v>
      </c>
      <c r="N1" s="27" t="s">
        <v>62</v>
      </c>
      <c r="O1" s="26" t="s">
        <v>63</v>
      </c>
    </row>
    <row r="2" spans="1:20" ht="15" customHeight="1" x14ac:dyDescent="0.2">
      <c r="A2" s="1" t="s">
        <v>65</v>
      </c>
      <c r="B2" s="51">
        <v>441539049</v>
      </c>
      <c r="C2" s="1" t="s">
        <v>121</v>
      </c>
      <c r="D2" s="28">
        <v>44835</v>
      </c>
      <c r="E2" s="14"/>
      <c r="F2" s="14" t="s">
        <v>122</v>
      </c>
      <c r="G2" s="49">
        <v>45962</v>
      </c>
      <c r="H2" s="49">
        <v>45992</v>
      </c>
      <c r="I2" s="28">
        <v>45966</v>
      </c>
      <c r="J2" s="29" t="s">
        <v>69</v>
      </c>
      <c r="K2" s="52">
        <v>1</v>
      </c>
      <c r="L2" s="13">
        <v>113.5</v>
      </c>
      <c r="M2" s="53">
        <v>0.09</v>
      </c>
      <c r="N2" s="13">
        <v>10.220000000000001</v>
      </c>
      <c r="O2" s="29" t="s">
        <v>72</v>
      </c>
      <c r="Q2" s="5" t="s">
        <v>561</v>
      </c>
      <c r="R2" t="s">
        <v>562</v>
      </c>
      <c r="S2" t="str">
        <f>CONCATENATE(Q2, " ",R2)</f>
        <v>Ashley Teipel</v>
      </c>
      <c r="T2">
        <v>20436925</v>
      </c>
    </row>
    <row r="3" spans="1:20" ht="15" customHeight="1" x14ac:dyDescent="0.2">
      <c r="A3" s="1" t="s">
        <v>65</v>
      </c>
      <c r="B3" s="51">
        <v>441542541</v>
      </c>
      <c r="C3" s="1" t="s">
        <v>487</v>
      </c>
      <c r="D3" s="28">
        <v>44835</v>
      </c>
      <c r="E3" s="14"/>
      <c r="F3" s="14" t="s">
        <v>488</v>
      </c>
      <c r="G3" s="49">
        <v>45962</v>
      </c>
      <c r="H3" s="49">
        <v>45992</v>
      </c>
      <c r="I3" s="28">
        <v>45966</v>
      </c>
      <c r="J3" s="29" t="s">
        <v>69</v>
      </c>
      <c r="K3" s="52">
        <v>1</v>
      </c>
      <c r="L3" s="13">
        <v>47.01</v>
      </c>
      <c r="M3" s="53">
        <v>0.09</v>
      </c>
      <c r="N3" s="13">
        <v>4.2300000000000004</v>
      </c>
      <c r="O3" s="29" t="s">
        <v>72</v>
      </c>
      <c r="Q3" s="5" t="s">
        <v>563</v>
      </c>
      <c r="R3" t="s">
        <v>565</v>
      </c>
      <c r="S3" t="str">
        <f t="shared" ref="S3:S66" si="0">CONCATENATE(Q3, " ",R3)</f>
        <v>Kimberly Dickerson</v>
      </c>
      <c r="T3">
        <v>16243811</v>
      </c>
    </row>
    <row r="4" spans="1:20" ht="15" customHeight="1" x14ac:dyDescent="0.2">
      <c r="A4" s="1" t="s">
        <v>65</v>
      </c>
      <c r="B4" s="51">
        <v>441543447</v>
      </c>
      <c r="C4" s="1" t="s">
        <v>134</v>
      </c>
      <c r="D4" s="28">
        <v>44835</v>
      </c>
      <c r="E4" s="14"/>
      <c r="F4" s="14" t="s">
        <v>135</v>
      </c>
      <c r="G4" s="49">
        <v>45962</v>
      </c>
      <c r="H4" s="49">
        <v>45992</v>
      </c>
      <c r="I4" s="28">
        <v>45966</v>
      </c>
      <c r="J4" s="29" t="s">
        <v>69</v>
      </c>
      <c r="K4" s="52">
        <v>1</v>
      </c>
      <c r="L4" s="13">
        <v>77.8</v>
      </c>
      <c r="M4" s="53">
        <v>0.09</v>
      </c>
      <c r="N4" s="13">
        <v>7</v>
      </c>
      <c r="O4" s="29" t="s">
        <v>72</v>
      </c>
      <c r="Q4" s="5" t="s">
        <v>561</v>
      </c>
      <c r="R4" t="s">
        <v>562</v>
      </c>
      <c r="S4" t="str">
        <f t="shared" si="0"/>
        <v>Ashley Teipel</v>
      </c>
      <c r="T4">
        <v>20436925</v>
      </c>
    </row>
    <row r="5" spans="1:20" ht="15" customHeight="1" x14ac:dyDescent="0.2">
      <c r="A5" s="1" t="s">
        <v>65</v>
      </c>
      <c r="B5" s="51">
        <v>441568845</v>
      </c>
      <c r="C5" s="1" t="s">
        <v>512</v>
      </c>
      <c r="D5" s="28">
        <v>44866</v>
      </c>
      <c r="E5" s="14"/>
      <c r="F5" s="14" t="s">
        <v>449</v>
      </c>
      <c r="G5" s="49">
        <v>45962</v>
      </c>
      <c r="H5" s="49">
        <v>45992</v>
      </c>
      <c r="I5" s="28">
        <v>45966</v>
      </c>
      <c r="J5" s="29" t="s">
        <v>69</v>
      </c>
      <c r="K5" s="52">
        <v>1</v>
      </c>
      <c r="L5" s="13">
        <v>6.3</v>
      </c>
      <c r="M5" s="53">
        <v>0.09</v>
      </c>
      <c r="N5" s="13">
        <v>0.56999999999999995</v>
      </c>
      <c r="O5" s="29" t="s">
        <v>72</v>
      </c>
      <c r="Q5" s="5" t="s">
        <v>563</v>
      </c>
      <c r="R5" t="s">
        <v>565</v>
      </c>
      <c r="S5" t="str">
        <f t="shared" si="0"/>
        <v>Kimberly Dickerson</v>
      </c>
      <c r="T5">
        <v>16243811</v>
      </c>
    </row>
    <row r="6" spans="1:20" ht="15" customHeight="1" x14ac:dyDescent="0.2">
      <c r="A6" s="1" t="s">
        <v>65</v>
      </c>
      <c r="B6" s="51">
        <v>441568846</v>
      </c>
      <c r="C6" s="1" t="s">
        <v>512</v>
      </c>
      <c r="D6" s="28">
        <v>44866</v>
      </c>
      <c r="E6" s="14"/>
      <c r="F6" s="14" t="s">
        <v>474</v>
      </c>
      <c r="G6" s="49">
        <v>45962</v>
      </c>
      <c r="H6" s="49">
        <v>45992</v>
      </c>
      <c r="I6" s="28">
        <v>45966</v>
      </c>
      <c r="J6" s="29" t="s">
        <v>69</v>
      </c>
      <c r="K6" s="52">
        <v>1</v>
      </c>
      <c r="L6" s="13">
        <v>28</v>
      </c>
      <c r="M6" s="53">
        <v>0.09</v>
      </c>
      <c r="N6" s="13">
        <v>2.52</v>
      </c>
      <c r="O6" s="29" t="s">
        <v>72</v>
      </c>
      <c r="Q6" s="5" t="s">
        <v>563</v>
      </c>
      <c r="R6" t="s">
        <v>565</v>
      </c>
      <c r="S6" t="str">
        <f t="shared" si="0"/>
        <v>Kimberly Dickerson</v>
      </c>
      <c r="T6">
        <v>16243811</v>
      </c>
    </row>
    <row r="7" spans="1:20" ht="15" customHeight="1" x14ac:dyDescent="0.2">
      <c r="A7" s="1" t="s">
        <v>65</v>
      </c>
      <c r="B7" s="51">
        <v>441568847</v>
      </c>
      <c r="C7" s="1" t="s">
        <v>512</v>
      </c>
      <c r="D7" s="28">
        <v>44866</v>
      </c>
      <c r="E7" s="14"/>
      <c r="F7" s="14" t="s">
        <v>477</v>
      </c>
      <c r="G7" s="49">
        <v>45962</v>
      </c>
      <c r="H7" s="49">
        <v>45992</v>
      </c>
      <c r="I7" s="28">
        <v>45966</v>
      </c>
      <c r="J7" s="29" t="s">
        <v>69</v>
      </c>
      <c r="K7" s="52">
        <v>1</v>
      </c>
      <c r="L7" s="13">
        <v>15</v>
      </c>
      <c r="M7" s="53">
        <v>0.09</v>
      </c>
      <c r="N7" s="13">
        <v>1.35</v>
      </c>
      <c r="O7" s="29" t="s">
        <v>72</v>
      </c>
      <c r="Q7" s="5" t="s">
        <v>563</v>
      </c>
      <c r="R7" t="s">
        <v>565</v>
      </c>
      <c r="S7" t="str">
        <f t="shared" si="0"/>
        <v>Kimberly Dickerson</v>
      </c>
      <c r="T7">
        <v>16243811</v>
      </c>
    </row>
    <row r="8" spans="1:20" ht="15" customHeight="1" x14ac:dyDescent="0.2">
      <c r="A8" s="1" t="s">
        <v>65</v>
      </c>
      <c r="B8" s="51">
        <v>441568848</v>
      </c>
      <c r="C8" s="1" t="s">
        <v>512</v>
      </c>
      <c r="D8" s="28">
        <v>44866</v>
      </c>
      <c r="E8" s="14"/>
      <c r="F8" s="14" t="s">
        <v>273</v>
      </c>
      <c r="G8" s="49">
        <v>45962</v>
      </c>
      <c r="H8" s="49">
        <v>45992</v>
      </c>
      <c r="I8" s="28">
        <v>45966</v>
      </c>
      <c r="J8" s="29" t="s">
        <v>69</v>
      </c>
      <c r="K8" s="52">
        <v>1</v>
      </c>
      <c r="L8" s="13">
        <v>23</v>
      </c>
      <c r="M8" s="53">
        <v>0.09</v>
      </c>
      <c r="N8" s="13">
        <v>2.0699999999999998</v>
      </c>
      <c r="O8" s="29" t="s">
        <v>72</v>
      </c>
      <c r="Q8" s="5" t="s">
        <v>563</v>
      </c>
      <c r="R8" t="s">
        <v>565</v>
      </c>
      <c r="S8" t="str">
        <f t="shared" si="0"/>
        <v>Kimberly Dickerson</v>
      </c>
      <c r="T8">
        <v>16243811</v>
      </c>
    </row>
    <row r="9" spans="1:20" ht="15" customHeight="1" x14ac:dyDescent="0.2">
      <c r="A9" s="1" t="s">
        <v>65</v>
      </c>
      <c r="B9" s="51">
        <v>441573319</v>
      </c>
      <c r="C9" s="1" t="s">
        <v>530</v>
      </c>
      <c r="D9" s="28">
        <v>44866</v>
      </c>
      <c r="E9" s="14"/>
      <c r="F9" s="14" t="s">
        <v>458</v>
      </c>
      <c r="G9" s="49">
        <v>45962</v>
      </c>
      <c r="H9" s="49">
        <v>45992</v>
      </c>
      <c r="I9" s="28">
        <v>45966</v>
      </c>
      <c r="J9" s="29" t="s">
        <v>69</v>
      </c>
      <c r="K9" s="52">
        <v>1</v>
      </c>
      <c r="L9" s="13">
        <v>21.5</v>
      </c>
      <c r="M9" s="53">
        <v>0.09</v>
      </c>
      <c r="N9" s="13">
        <v>1.94</v>
      </c>
      <c r="O9" s="29" t="s">
        <v>72</v>
      </c>
      <c r="Q9" s="5" t="s">
        <v>563</v>
      </c>
      <c r="R9" t="s">
        <v>565</v>
      </c>
      <c r="S9" t="str">
        <f t="shared" si="0"/>
        <v>Kimberly Dickerson</v>
      </c>
      <c r="T9">
        <v>16243811</v>
      </c>
    </row>
    <row r="10" spans="1:20" ht="15" customHeight="1" x14ac:dyDescent="0.2">
      <c r="A10" s="1" t="s">
        <v>65</v>
      </c>
      <c r="B10" s="51">
        <v>441573320</v>
      </c>
      <c r="C10" s="1" t="s">
        <v>530</v>
      </c>
      <c r="D10" s="28">
        <v>44866</v>
      </c>
      <c r="E10" s="14"/>
      <c r="F10" s="14" t="s">
        <v>477</v>
      </c>
      <c r="G10" s="49">
        <v>45962</v>
      </c>
      <c r="H10" s="49">
        <v>45992</v>
      </c>
      <c r="I10" s="28">
        <v>45966</v>
      </c>
      <c r="J10" s="29" t="s">
        <v>69</v>
      </c>
      <c r="K10" s="52">
        <v>1</v>
      </c>
      <c r="L10" s="13">
        <v>9</v>
      </c>
      <c r="M10" s="53">
        <v>0.09</v>
      </c>
      <c r="N10" s="13">
        <v>0.81</v>
      </c>
      <c r="O10" s="29" t="s">
        <v>72</v>
      </c>
      <c r="Q10" s="5" t="s">
        <v>563</v>
      </c>
      <c r="R10" t="s">
        <v>565</v>
      </c>
      <c r="S10" t="str">
        <f t="shared" si="0"/>
        <v>Kimberly Dickerson</v>
      </c>
      <c r="T10">
        <v>16243811</v>
      </c>
    </row>
    <row r="11" spans="1:20" ht="15" customHeight="1" x14ac:dyDescent="0.2">
      <c r="A11" s="1" t="s">
        <v>65</v>
      </c>
      <c r="B11" s="51">
        <v>441573321</v>
      </c>
      <c r="C11" s="1" t="s">
        <v>530</v>
      </c>
      <c r="D11" s="28">
        <v>44866</v>
      </c>
      <c r="E11" s="14"/>
      <c r="F11" s="14" t="s">
        <v>449</v>
      </c>
      <c r="G11" s="49">
        <v>45962</v>
      </c>
      <c r="H11" s="49">
        <v>45992</v>
      </c>
      <c r="I11" s="28">
        <v>45966</v>
      </c>
      <c r="J11" s="29" t="s">
        <v>69</v>
      </c>
      <c r="K11" s="52">
        <v>1</v>
      </c>
      <c r="L11" s="13">
        <v>4.8</v>
      </c>
      <c r="M11" s="53">
        <v>0.09</v>
      </c>
      <c r="N11" s="13">
        <v>0.43</v>
      </c>
      <c r="O11" s="29" t="s">
        <v>72</v>
      </c>
      <c r="Q11" s="5" t="s">
        <v>563</v>
      </c>
      <c r="R11" t="s">
        <v>565</v>
      </c>
      <c r="S11" t="str">
        <f t="shared" si="0"/>
        <v>Kimberly Dickerson</v>
      </c>
      <c r="T11">
        <v>16243811</v>
      </c>
    </row>
    <row r="12" spans="1:20" ht="15" customHeight="1" x14ac:dyDescent="0.2">
      <c r="A12" s="1" t="s">
        <v>65</v>
      </c>
      <c r="B12" s="51">
        <v>441573323</v>
      </c>
      <c r="C12" s="1" t="s">
        <v>530</v>
      </c>
      <c r="D12" s="28">
        <v>44866</v>
      </c>
      <c r="E12" s="14"/>
      <c r="F12" s="14" t="s">
        <v>534</v>
      </c>
      <c r="G12" s="49">
        <v>45962</v>
      </c>
      <c r="H12" s="49">
        <v>45992</v>
      </c>
      <c r="I12" s="28">
        <v>45966</v>
      </c>
      <c r="J12" s="29" t="s">
        <v>69</v>
      </c>
      <c r="K12" s="52">
        <v>1</v>
      </c>
      <c r="L12" s="13">
        <v>11</v>
      </c>
      <c r="M12" s="53">
        <v>0.09</v>
      </c>
      <c r="N12" s="13">
        <v>0.99</v>
      </c>
      <c r="O12" s="29" t="s">
        <v>72</v>
      </c>
      <c r="Q12" s="5" t="s">
        <v>563</v>
      </c>
      <c r="R12" t="s">
        <v>565</v>
      </c>
      <c r="S12" t="str">
        <f t="shared" si="0"/>
        <v>Kimberly Dickerson</v>
      </c>
      <c r="T12">
        <v>16243811</v>
      </c>
    </row>
    <row r="13" spans="1:20" ht="15" customHeight="1" x14ac:dyDescent="0.2">
      <c r="A13" s="1" t="s">
        <v>65</v>
      </c>
      <c r="B13" s="51">
        <v>441579586</v>
      </c>
      <c r="C13" s="1" t="s">
        <v>347</v>
      </c>
      <c r="D13" s="28">
        <v>44866</v>
      </c>
      <c r="E13" s="14"/>
      <c r="F13" s="14" t="s">
        <v>348</v>
      </c>
      <c r="G13" s="49">
        <v>45962</v>
      </c>
      <c r="H13" s="49">
        <v>45992</v>
      </c>
      <c r="I13" s="28">
        <v>45966</v>
      </c>
      <c r="J13" s="29" t="s">
        <v>69</v>
      </c>
      <c r="K13" s="52">
        <v>1</v>
      </c>
      <c r="L13" s="13">
        <v>59.98</v>
      </c>
      <c r="M13" s="53">
        <v>0.03</v>
      </c>
      <c r="N13" s="13">
        <v>1.8</v>
      </c>
      <c r="O13" s="29" t="s">
        <v>72</v>
      </c>
      <c r="Q13" s="5" t="s">
        <v>566</v>
      </c>
      <c r="R13" t="s">
        <v>567</v>
      </c>
      <c r="S13" t="str">
        <f t="shared" si="0"/>
        <v>Carol Foley</v>
      </c>
      <c r="T13">
        <v>17425766</v>
      </c>
    </row>
    <row r="14" spans="1:20" ht="15" customHeight="1" x14ac:dyDescent="0.2">
      <c r="A14" s="1" t="s">
        <v>65</v>
      </c>
      <c r="B14" s="51">
        <v>441581802</v>
      </c>
      <c r="C14" s="1" t="s">
        <v>483</v>
      </c>
      <c r="D14" s="28">
        <v>44866</v>
      </c>
      <c r="E14" s="14"/>
      <c r="F14" s="14" t="s">
        <v>85</v>
      </c>
      <c r="G14" s="49">
        <v>45962</v>
      </c>
      <c r="H14" s="49">
        <v>45992</v>
      </c>
      <c r="I14" s="28">
        <v>45966</v>
      </c>
      <c r="J14" s="29" t="s">
        <v>69</v>
      </c>
      <c r="K14" s="52">
        <v>1</v>
      </c>
      <c r="L14" s="13">
        <v>9</v>
      </c>
      <c r="M14" s="53">
        <v>0.09</v>
      </c>
      <c r="N14" s="13">
        <v>0.81</v>
      </c>
      <c r="O14" s="29" t="s">
        <v>72</v>
      </c>
      <c r="Q14" s="5" t="s">
        <v>563</v>
      </c>
      <c r="R14" t="s">
        <v>565</v>
      </c>
      <c r="S14" t="str">
        <f t="shared" si="0"/>
        <v>Kimberly Dickerson</v>
      </c>
      <c r="T14">
        <v>16243811</v>
      </c>
    </row>
    <row r="15" spans="1:20" ht="15" customHeight="1" x14ac:dyDescent="0.2">
      <c r="A15" s="1" t="s">
        <v>65</v>
      </c>
      <c r="B15" s="51">
        <v>441581805</v>
      </c>
      <c r="C15" s="1" t="s">
        <v>483</v>
      </c>
      <c r="D15" s="28">
        <v>44866</v>
      </c>
      <c r="E15" s="14"/>
      <c r="F15" s="14" t="s">
        <v>286</v>
      </c>
      <c r="G15" s="49">
        <v>45962</v>
      </c>
      <c r="H15" s="49">
        <v>45992</v>
      </c>
      <c r="I15" s="28">
        <v>45966</v>
      </c>
      <c r="J15" s="29" t="s">
        <v>69</v>
      </c>
      <c r="K15" s="52">
        <v>1</v>
      </c>
      <c r="L15" s="13">
        <v>39</v>
      </c>
      <c r="M15" s="53">
        <v>0.09</v>
      </c>
      <c r="N15" s="13">
        <v>3.51</v>
      </c>
      <c r="O15" s="29" t="s">
        <v>72</v>
      </c>
      <c r="Q15" s="5" t="s">
        <v>563</v>
      </c>
      <c r="R15" t="s">
        <v>565</v>
      </c>
      <c r="S15" t="str">
        <f t="shared" si="0"/>
        <v>Kimberly Dickerson</v>
      </c>
      <c r="T15">
        <v>16243811</v>
      </c>
    </row>
    <row r="16" spans="1:20" ht="15" customHeight="1" x14ac:dyDescent="0.2">
      <c r="A16" s="1" t="s">
        <v>65</v>
      </c>
      <c r="B16" s="51">
        <v>441581809</v>
      </c>
      <c r="C16" s="1" t="s">
        <v>483</v>
      </c>
      <c r="D16" s="28">
        <v>44866</v>
      </c>
      <c r="E16" s="14"/>
      <c r="F16" s="14" t="s">
        <v>74</v>
      </c>
      <c r="G16" s="49">
        <v>45962</v>
      </c>
      <c r="H16" s="49">
        <v>45992</v>
      </c>
      <c r="I16" s="28">
        <v>45966</v>
      </c>
      <c r="J16" s="29" t="s">
        <v>69</v>
      </c>
      <c r="K16" s="52">
        <v>1</v>
      </c>
      <c r="L16" s="13">
        <v>82.14</v>
      </c>
      <c r="M16" s="53">
        <v>0.18</v>
      </c>
      <c r="N16" s="13">
        <v>14.79</v>
      </c>
      <c r="O16" s="29" t="s">
        <v>72</v>
      </c>
      <c r="Q16" s="5" t="s">
        <v>563</v>
      </c>
      <c r="R16" t="s">
        <v>565</v>
      </c>
      <c r="S16" t="str">
        <f t="shared" si="0"/>
        <v>Kimberly Dickerson</v>
      </c>
      <c r="T16">
        <v>16243811</v>
      </c>
    </row>
    <row r="17" spans="1:20" ht="15" customHeight="1" x14ac:dyDescent="0.2">
      <c r="A17" s="1" t="s">
        <v>65</v>
      </c>
      <c r="B17" s="51">
        <v>441584139</v>
      </c>
      <c r="C17" s="1" t="s">
        <v>424</v>
      </c>
      <c r="D17" s="28">
        <v>44927</v>
      </c>
      <c r="E17" s="14"/>
      <c r="F17" s="14" t="s">
        <v>425</v>
      </c>
      <c r="G17" s="49">
        <v>45962</v>
      </c>
      <c r="H17" s="49">
        <v>45992</v>
      </c>
      <c r="I17" s="28">
        <v>45966</v>
      </c>
      <c r="J17" s="29" t="s">
        <v>69</v>
      </c>
      <c r="K17" s="52">
        <v>1</v>
      </c>
      <c r="L17" s="13">
        <v>34.14</v>
      </c>
      <c r="M17" s="53">
        <v>0.18</v>
      </c>
      <c r="N17" s="13">
        <v>6.15</v>
      </c>
      <c r="O17" s="29" t="s">
        <v>72</v>
      </c>
      <c r="Q17" s="5" t="s">
        <v>568</v>
      </c>
      <c r="R17" t="s">
        <v>569</v>
      </c>
      <c r="S17" t="str">
        <f t="shared" si="0"/>
        <v>Jason Hoffmann</v>
      </c>
      <c r="T17">
        <v>15278437</v>
      </c>
    </row>
    <row r="18" spans="1:20" ht="15" customHeight="1" x14ac:dyDescent="0.2">
      <c r="A18" s="1" t="s">
        <v>65</v>
      </c>
      <c r="B18" s="51">
        <v>441584140</v>
      </c>
      <c r="C18" s="1" t="s">
        <v>424</v>
      </c>
      <c r="D18" s="28">
        <v>44927</v>
      </c>
      <c r="E18" s="14"/>
      <c r="F18" s="14" t="s">
        <v>171</v>
      </c>
      <c r="G18" s="49">
        <v>45962</v>
      </c>
      <c r="H18" s="49">
        <v>45992</v>
      </c>
      <c r="I18" s="28">
        <v>45966</v>
      </c>
      <c r="J18" s="29" t="s">
        <v>69</v>
      </c>
      <c r="K18" s="52">
        <v>1</v>
      </c>
      <c r="L18" s="13">
        <v>11.3</v>
      </c>
      <c r="M18" s="53">
        <v>0.09</v>
      </c>
      <c r="N18" s="13">
        <v>1.02</v>
      </c>
      <c r="O18" s="29" t="s">
        <v>72</v>
      </c>
      <c r="Q18" s="5" t="s">
        <v>568</v>
      </c>
      <c r="R18" t="s">
        <v>569</v>
      </c>
      <c r="S18" t="str">
        <f t="shared" si="0"/>
        <v>Jason Hoffmann</v>
      </c>
      <c r="T18">
        <v>15278437</v>
      </c>
    </row>
    <row r="19" spans="1:20" ht="15" customHeight="1" x14ac:dyDescent="0.2">
      <c r="A19" s="1" t="s">
        <v>65</v>
      </c>
      <c r="B19" s="51">
        <v>441598923</v>
      </c>
      <c r="C19" s="1" t="s">
        <v>118</v>
      </c>
      <c r="D19" s="28">
        <v>44896</v>
      </c>
      <c r="E19" s="14"/>
      <c r="F19" s="14" t="s">
        <v>119</v>
      </c>
      <c r="G19" s="49">
        <v>45962</v>
      </c>
      <c r="H19" s="49">
        <v>45992</v>
      </c>
      <c r="I19" s="28">
        <v>45966</v>
      </c>
      <c r="J19" s="29" t="s">
        <v>69</v>
      </c>
      <c r="K19" s="52">
        <v>1</v>
      </c>
      <c r="L19" s="13">
        <v>212.94</v>
      </c>
      <c r="M19" s="53">
        <v>0.18</v>
      </c>
      <c r="N19" s="13">
        <v>38.33</v>
      </c>
      <c r="O19" s="29" t="s">
        <v>72</v>
      </c>
      <c r="Q19" s="5" t="s">
        <v>561</v>
      </c>
      <c r="R19" t="s">
        <v>562</v>
      </c>
      <c r="S19" t="str">
        <f t="shared" si="0"/>
        <v>Ashley Teipel</v>
      </c>
      <c r="T19">
        <v>20436925</v>
      </c>
    </row>
    <row r="20" spans="1:20" ht="15" customHeight="1" x14ac:dyDescent="0.2">
      <c r="A20" s="1" t="s">
        <v>65</v>
      </c>
      <c r="B20" s="51">
        <v>441601154</v>
      </c>
      <c r="C20" s="1" t="s">
        <v>507</v>
      </c>
      <c r="D20" s="28">
        <v>44869</v>
      </c>
      <c r="E20" s="14"/>
      <c r="F20" s="14" t="s">
        <v>465</v>
      </c>
      <c r="G20" s="49">
        <v>45966</v>
      </c>
      <c r="H20" s="49">
        <v>45992</v>
      </c>
      <c r="I20" s="28">
        <v>45967</v>
      </c>
      <c r="J20" s="29" t="s">
        <v>69</v>
      </c>
      <c r="K20" s="52">
        <v>1</v>
      </c>
      <c r="L20" s="13">
        <v>8.1</v>
      </c>
      <c r="M20" s="53">
        <v>0.09</v>
      </c>
      <c r="N20" s="13">
        <v>0.73</v>
      </c>
      <c r="O20" s="29" t="s">
        <v>72</v>
      </c>
      <c r="Q20" s="5" t="s">
        <v>563</v>
      </c>
      <c r="R20" t="s">
        <v>565</v>
      </c>
      <c r="S20" t="str">
        <f t="shared" si="0"/>
        <v>Kimberly Dickerson</v>
      </c>
      <c r="T20">
        <v>16243811</v>
      </c>
    </row>
    <row r="21" spans="1:20" ht="15" customHeight="1" x14ac:dyDescent="0.2">
      <c r="A21" s="1" t="s">
        <v>65</v>
      </c>
      <c r="B21" s="51">
        <v>441601154</v>
      </c>
      <c r="C21" s="1" t="s">
        <v>507</v>
      </c>
      <c r="D21" s="28">
        <v>44869</v>
      </c>
      <c r="E21" s="14"/>
      <c r="F21" s="14" t="s">
        <v>465</v>
      </c>
      <c r="G21" s="49">
        <v>45962</v>
      </c>
      <c r="H21" s="49">
        <v>45965</v>
      </c>
      <c r="I21" s="28">
        <v>45967</v>
      </c>
      <c r="J21" s="29" t="s">
        <v>69</v>
      </c>
      <c r="K21" s="52">
        <v>1</v>
      </c>
      <c r="L21" s="13">
        <v>0.9</v>
      </c>
      <c r="M21" s="53">
        <v>0.09</v>
      </c>
      <c r="N21" s="13">
        <v>0.08</v>
      </c>
      <c r="O21" s="29" t="s">
        <v>72</v>
      </c>
      <c r="Q21" s="5" t="s">
        <v>563</v>
      </c>
      <c r="R21" t="s">
        <v>565</v>
      </c>
      <c r="S21" t="str">
        <f t="shared" si="0"/>
        <v>Kimberly Dickerson</v>
      </c>
      <c r="T21">
        <v>16243811</v>
      </c>
    </row>
    <row r="22" spans="1:20" ht="15" customHeight="1" x14ac:dyDescent="0.2">
      <c r="A22" s="1" t="s">
        <v>65</v>
      </c>
      <c r="B22" s="51">
        <v>441601155</v>
      </c>
      <c r="C22" s="1" t="s">
        <v>507</v>
      </c>
      <c r="D22" s="28">
        <v>44869</v>
      </c>
      <c r="E22" s="14"/>
      <c r="F22" s="14" t="s">
        <v>286</v>
      </c>
      <c r="G22" s="49">
        <v>45966</v>
      </c>
      <c r="H22" s="49">
        <v>45992</v>
      </c>
      <c r="I22" s="28">
        <v>45967</v>
      </c>
      <c r="J22" s="29" t="s">
        <v>69</v>
      </c>
      <c r="K22" s="52">
        <v>1</v>
      </c>
      <c r="L22" s="13">
        <v>38.380000000000003</v>
      </c>
      <c r="M22" s="53">
        <v>0.09</v>
      </c>
      <c r="N22" s="13">
        <v>3.45</v>
      </c>
      <c r="O22" s="29" t="s">
        <v>72</v>
      </c>
      <c r="Q22" s="5" t="s">
        <v>563</v>
      </c>
      <c r="R22" t="s">
        <v>565</v>
      </c>
      <c r="S22" t="str">
        <f t="shared" si="0"/>
        <v>Kimberly Dickerson</v>
      </c>
      <c r="T22">
        <v>16243811</v>
      </c>
    </row>
    <row r="23" spans="1:20" ht="15" customHeight="1" x14ac:dyDescent="0.2">
      <c r="A23" s="1" t="s">
        <v>65</v>
      </c>
      <c r="B23" s="51">
        <v>441601155</v>
      </c>
      <c r="C23" s="1" t="s">
        <v>507</v>
      </c>
      <c r="D23" s="28">
        <v>44869</v>
      </c>
      <c r="E23" s="14"/>
      <c r="F23" s="14" t="s">
        <v>286</v>
      </c>
      <c r="G23" s="49">
        <v>45962</v>
      </c>
      <c r="H23" s="49">
        <v>45965</v>
      </c>
      <c r="I23" s="28">
        <v>45967</v>
      </c>
      <c r="J23" s="29" t="s">
        <v>69</v>
      </c>
      <c r="K23" s="52">
        <v>1</v>
      </c>
      <c r="L23" s="13">
        <v>4.26</v>
      </c>
      <c r="M23" s="53">
        <v>0.09</v>
      </c>
      <c r="N23" s="13">
        <v>0.38</v>
      </c>
      <c r="O23" s="29" t="s">
        <v>72</v>
      </c>
      <c r="Q23" s="5" t="s">
        <v>563</v>
      </c>
      <c r="R23" t="s">
        <v>565</v>
      </c>
      <c r="S23" t="str">
        <f t="shared" si="0"/>
        <v>Kimberly Dickerson</v>
      </c>
      <c r="T23">
        <v>16243811</v>
      </c>
    </row>
    <row r="24" spans="1:20" ht="15" customHeight="1" x14ac:dyDescent="0.2">
      <c r="A24" s="1" t="s">
        <v>65</v>
      </c>
      <c r="B24" s="51">
        <v>441602827</v>
      </c>
      <c r="C24" s="1" t="s">
        <v>206</v>
      </c>
      <c r="D24" s="28">
        <v>44870</v>
      </c>
      <c r="E24" s="14"/>
      <c r="F24" s="14" t="s">
        <v>207</v>
      </c>
      <c r="G24" s="49">
        <v>45967</v>
      </c>
      <c r="H24" s="49">
        <v>45992</v>
      </c>
      <c r="I24" s="28">
        <v>45968</v>
      </c>
      <c r="J24" s="29" t="s">
        <v>69</v>
      </c>
      <c r="K24" s="52">
        <v>1</v>
      </c>
      <c r="L24" s="13">
        <v>61.56</v>
      </c>
      <c r="M24" s="53">
        <v>0.06</v>
      </c>
      <c r="N24" s="13">
        <v>3.69</v>
      </c>
      <c r="O24" s="29" t="s">
        <v>72</v>
      </c>
      <c r="Q24" s="5" t="s">
        <v>566</v>
      </c>
      <c r="R24" t="s">
        <v>567</v>
      </c>
      <c r="S24" t="str">
        <f t="shared" si="0"/>
        <v>Carol Foley</v>
      </c>
      <c r="T24">
        <v>17425766</v>
      </c>
    </row>
    <row r="25" spans="1:20" ht="15" customHeight="1" x14ac:dyDescent="0.2">
      <c r="A25" s="1" t="s">
        <v>65</v>
      </c>
      <c r="B25" s="51">
        <v>441602827</v>
      </c>
      <c r="C25" s="1" t="s">
        <v>206</v>
      </c>
      <c r="D25" s="28">
        <v>44870</v>
      </c>
      <c r="E25" s="14"/>
      <c r="F25" s="14" t="s">
        <v>207</v>
      </c>
      <c r="G25" s="49">
        <v>45962</v>
      </c>
      <c r="H25" s="49">
        <v>45966</v>
      </c>
      <c r="I25" s="28">
        <v>45968</v>
      </c>
      <c r="J25" s="29" t="s">
        <v>69</v>
      </c>
      <c r="K25" s="52">
        <v>1</v>
      </c>
      <c r="L25" s="13">
        <v>9.4700000000000006</v>
      </c>
      <c r="M25" s="53">
        <v>0.06</v>
      </c>
      <c r="N25" s="13">
        <v>0.56999999999999995</v>
      </c>
      <c r="O25" s="29" t="s">
        <v>72</v>
      </c>
      <c r="Q25" s="5" t="s">
        <v>566</v>
      </c>
      <c r="R25" t="s">
        <v>567</v>
      </c>
      <c r="S25" t="str">
        <f t="shared" si="0"/>
        <v>Carol Foley</v>
      </c>
      <c r="T25">
        <v>17425766</v>
      </c>
    </row>
    <row r="26" spans="1:20" ht="15" customHeight="1" x14ac:dyDescent="0.2">
      <c r="A26" s="1" t="s">
        <v>65</v>
      </c>
      <c r="B26" s="51">
        <v>441603753</v>
      </c>
      <c r="C26" s="1" t="s">
        <v>490</v>
      </c>
      <c r="D26" s="28">
        <v>44870</v>
      </c>
      <c r="E26" s="14"/>
      <c r="F26" s="14" t="s">
        <v>91</v>
      </c>
      <c r="G26" s="49">
        <v>45967</v>
      </c>
      <c r="H26" s="49">
        <v>45992</v>
      </c>
      <c r="I26" s="28">
        <v>45968</v>
      </c>
      <c r="J26" s="29" t="s">
        <v>69</v>
      </c>
      <c r="K26" s="52">
        <v>1</v>
      </c>
      <c r="L26" s="13">
        <v>38.19</v>
      </c>
      <c r="M26" s="53">
        <v>0.09</v>
      </c>
      <c r="N26" s="13">
        <v>3.44</v>
      </c>
      <c r="O26" s="29" t="s">
        <v>72</v>
      </c>
      <c r="Q26" s="5" t="s">
        <v>563</v>
      </c>
      <c r="R26" t="s">
        <v>565</v>
      </c>
      <c r="S26" t="str">
        <f t="shared" si="0"/>
        <v>Kimberly Dickerson</v>
      </c>
      <c r="T26">
        <v>16243811</v>
      </c>
    </row>
    <row r="27" spans="1:20" ht="15" customHeight="1" x14ac:dyDescent="0.2">
      <c r="A27" s="1" t="s">
        <v>65</v>
      </c>
      <c r="B27" s="51">
        <v>441603753</v>
      </c>
      <c r="C27" s="1" t="s">
        <v>490</v>
      </c>
      <c r="D27" s="28">
        <v>44870</v>
      </c>
      <c r="E27" s="14"/>
      <c r="F27" s="14" t="s">
        <v>91</v>
      </c>
      <c r="G27" s="49">
        <v>45962</v>
      </c>
      <c r="H27" s="49">
        <v>45966</v>
      </c>
      <c r="I27" s="28">
        <v>45968</v>
      </c>
      <c r="J27" s="29" t="s">
        <v>69</v>
      </c>
      <c r="K27" s="52">
        <v>1</v>
      </c>
      <c r="L27" s="13">
        <v>5.87</v>
      </c>
      <c r="M27" s="53">
        <v>0.09</v>
      </c>
      <c r="N27" s="13">
        <v>0.53</v>
      </c>
      <c r="O27" s="29" t="s">
        <v>72</v>
      </c>
      <c r="Q27" s="5" t="s">
        <v>563</v>
      </c>
      <c r="R27" t="s">
        <v>565</v>
      </c>
      <c r="S27" t="str">
        <f t="shared" si="0"/>
        <v>Kimberly Dickerson</v>
      </c>
      <c r="T27">
        <v>16243811</v>
      </c>
    </row>
    <row r="28" spans="1:20" ht="15" customHeight="1" x14ac:dyDescent="0.2">
      <c r="A28" s="1" t="s">
        <v>65</v>
      </c>
      <c r="B28" s="51">
        <v>441604514</v>
      </c>
      <c r="C28" s="1" t="s">
        <v>132</v>
      </c>
      <c r="D28" s="28">
        <v>44927</v>
      </c>
      <c r="E28" s="14"/>
      <c r="F28" s="14" t="s">
        <v>122</v>
      </c>
      <c r="G28" s="49">
        <v>45962</v>
      </c>
      <c r="H28" s="49">
        <v>45992</v>
      </c>
      <c r="I28" s="28">
        <v>45966</v>
      </c>
      <c r="J28" s="29" t="s">
        <v>69</v>
      </c>
      <c r="K28" s="52">
        <v>1</v>
      </c>
      <c r="L28" s="13">
        <v>165.5</v>
      </c>
      <c r="M28" s="53">
        <v>0.09</v>
      </c>
      <c r="N28" s="13">
        <v>14.9</v>
      </c>
      <c r="O28" s="29" t="s">
        <v>72</v>
      </c>
      <c r="Q28" s="5" t="s">
        <v>561</v>
      </c>
      <c r="R28" t="s">
        <v>562</v>
      </c>
      <c r="S28" t="str">
        <f t="shared" si="0"/>
        <v>Ashley Teipel</v>
      </c>
      <c r="T28">
        <v>20436925</v>
      </c>
    </row>
    <row r="29" spans="1:20" ht="15" customHeight="1" x14ac:dyDescent="0.2">
      <c r="A29" s="1" t="s">
        <v>65</v>
      </c>
      <c r="B29" s="51">
        <v>441612334</v>
      </c>
      <c r="C29" s="1" t="s">
        <v>127</v>
      </c>
      <c r="D29" s="28">
        <v>44896</v>
      </c>
      <c r="E29" s="14"/>
      <c r="F29" s="14" t="s">
        <v>85</v>
      </c>
      <c r="G29" s="49">
        <v>45962</v>
      </c>
      <c r="H29" s="49">
        <v>45992</v>
      </c>
      <c r="I29" s="28">
        <v>45966</v>
      </c>
      <c r="J29" s="29" t="s">
        <v>69</v>
      </c>
      <c r="K29" s="52">
        <v>1</v>
      </c>
      <c r="L29" s="13">
        <v>16</v>
      </c>
      <c r="M29" s="53">
        <v>0.09</v>
      </c>
      <c r="N29" s="13">
        <v>1.44</v>
      </c>
      <c r="O29" s="29" t="s">
        <v>72</v>
      </c>
      <c r="Q29" s="5" t="s">
        <v>561</v>
      </c>
      <c r="R29" t="s">
        <v>562</v>
      </c>
      <c r="S29" t="str">
        <f t="shared" si="0"/>
        <v>Ashley Teipel</v>
      </c>
      <c r="T29">
        <v>20436925</v>
      </c>
    </row>
    <row r="30" spans="1:20" ht="15" customHeight="1" x14ac:dyDescent="0.2">
      <c r="A30" s="1" t="s">
        <v>65</v>
      </c>
      <c r="B30" s="51">
        <v>441612373</v>
      </c>
      <c r="C30" s="1" t="s">
        <v>419</v>
      </c>
      <c r="D30" s="28">
        <v>44927</v>
      </c>
      <c r="E30" s="14"/>
      <c r="F30" s="14" t="s">
        <v>85</v>
      </c>
      <c r="G30" s="49">
        <v>45962</v>
      </c>
      <c r="H30" s="49">
        <v>45992</v>
      </c>
      <c r="I30" s="28">
        <v>45966</v>
      </c>
      <c r="J30" s="29" t="s">
        <v>69</v>
      </c>
      <c r="K30" s="52">
        <v>1</v>
      </c>
      <c r="L30" s="13">
        <v>25</v>
      </c>
      <c r="M30" s="53">
        <v>0.09</v>
      </c>
      <c r="N30" s="13">
        <v>2.25</v>
      </c>
      <c r="O30" s="29" t="s">
        <v>72</v>
      </c>
      <c r="Q30" s="5" t="s">
        <v>568</v>
      </c>
      <c r="R30" t="s">
        <v>569</v>
      </c>
      <c r="S30" t="str">
        <f t="shared" si="0"/>
        <v>Jason Hoffmann</v>
      </c>
      <c r="T30">
        <v>15278437</v>
      </c>
    </row>
    <row r="31" spans="1:20" ht="15" customHeight="1" x14ac:dyDescent="0.2">
      <c r="A31" s="1" t="s">
        <v>65</v>
      </c>
      <c r="B31" s="51">
        <v>441617850</v>
      </c>
      <c r="C31" s="1" t="s">
        <v>112</v>
      </c>
      <c r="D31" s="28">
        <v>44896</v>
      </c>
      <c r="E31" s="14"/>
      <c r="F31" s="14" t="s">
        <v>113</v>
      </c>
      <c r="G31" s="49">
        <v>45962</v>
      </c>
      <c r="H31" s="49">
        <v>45992</v>
      </c>
      <c r="I31" s="28">
        <v>45966</v>
      </c>
      <c r="J31" s="29" t="s">
        <v>69</v>
      </c>
      <c r="K31" s="52">
        <v>1</v>
      </c>
      <c r="L31" s="13">
        <v>205.8</v>
      </c>
      <c r="M31" s="53">
        <v>0.09</v>
      </c>
      <c r="N31" s="13">
        <v>18.52</v>
      </c>
      <c r="O31" s="29" t="s">
        <v>72</v>
      </c>
      <c r="Q31" s="5" t="s">
        <v>561</v>
      </c>
      <c r="R31" t="s">
        <v>562</v>
      </c>
      <c r="S31" t="str">
        <f t="shared" si="0"/>
        <v>Ashley Teipel</v>
      </c>
      <c r="T31">
        <v>20436925</v>
      </c>
    </row>
    <row r="32" spans="1:20" ht="15" customHeight="1" x14ac:dyDescent="0.2">
      <c r="A32" s="1" t="s">
        <v>65</v>
      </c>
      <c r="B32" s="51">
        <v>441619259</v>
      </c>
      <c r="C32" s="1" t="s">
        <v>100</v>
      </c>
      <c r="D32" s="28">
        <v>44876</v>
      </c>
      <c r="E32" s="14"/>
      <c r="F32" s="14" t="s">
        <v>101</v>
      </c>
      <c r="G32" s="49">
        <v>45973</v>
      </c>
      <c r="H32" s="49">
        <v>45992</v>
      </c>
      <c r="I32" s="28">
        <v>45967</v>
      </c>
      <c r="J32" s="29" t="s">
        <v>69</v>
      </c>
      <c r="K32" s="52">
        <v>1</v>
      </c>
      <c r="L32" s="13">
        <v>27.67</v>
      </c>
      <c r="M32" s="53">
        <v>0.09</v>
      </c>
      <c r="N32" s="13">
        <v>2.4900000000000002</v>
      </c>
      <c r="O32" s="29" t="s">
        <v>72</v>
      </c>
      <c r="Q32" s="5" t="s">
        <v>564</v>
      </c>
      <c r="R32" t="s">
        <v>570</v>
      </c>
      <c r="S32" t="str">
        <f t="shared" si="0"/>
        <v>Anne Kozacheck</v>
      </c>
      <c r="T32">
        <v>19278370</v>
      </c>
    </row>
    <row r="33" spans="1:20" ht="15" customHeight="1" x14ac:dyDescent="0.2">
      <c r="A33" s="1" t="s">
        <v>65</v>
      </c>
      <c r="B33" s="51">
        <v>441619259</v>
      </c>
      <c r="C33" s="1" t="s">
        <v>100</v>
      </c>
      <c r="D33" s="28">
        <v>44876</v>
      </c>
      <c r="E33" s="14"/>
      <c r="F33" s="14" t="s">
        <v>101</v>
      </c>
      <c r="G33" s="49">
        <v>45962</v>
      </c>
      <c r="H33" s="49">
        <v>45972</v>
      </c>
      <c r="I33" s="28">
        <v>45967</v>
      </c>
      <c r="J33" s="29" t="s">
        <v>69</v>
      </c>
      <c r="K33" s="52">
        <v>1</v>
      </c>
      <c r="L33" s="13">
        <v>13.83</v>
      </c>
      <c r="M33" s="53">
        <v>0.09</v>
      </c>
      <c r="N33" s="13">
        <v>1.24</v>
      </c>
      <c r="O33" s="29" t="s">
        <v>72</v>
      </c>
      <c r="Q33" s="5" t="s">
        <v>564</v>
      </c>
      <c r="R33" t="s">
        <v>570</v>
      </c>
      <c r="S33" t="str">
        <f t="shared" si="0"/>
        <v>Anne Kozacheck</v>
      </c>
      <c r="T33">
        <v>19278370</v>
      </c>
    </row>
    <row r="34" spans="1:20" ht="15" customHeight="1" x14ac:dyDescent="0.2">
      <c r="A34" s="1" t="s">
        <v>65</v>
      </c>
      <c r="B34" s="51">
        <v>441624181</v>
      </c>
      <c r="C34" s="1" t="s">
        <v>151</v>
      </c>
      <c r="D34" s="28">
        <v>44879</v>
      </c>
      <c r="E34" s="14"/>
      <c r="F34" s="14" t="s">
        <v>145</v>
      </c>
      <c r="G34" s="49">
        <v>45976</v>
      </c>
      <c r="H34" s="49">
        <v>45992</v>
      </c>
      <c r="I34" s="28">
        <v>45968</v>
      </c>
      <c r="J34" s="29" t="s">
        <v>69</v>
      </c>
      <c r="K34" s="52">
        <v>1</v>
      </c>
      <c r="L34" s="13">
        <v>94.06</v>
      </c>
      <c r="M34" s="53">
        <v>0.09</v>
      </c>
      <c r="N34" s="13">
        <v>8.4700000000000006</v>
      </c>
      <c r="O34" s="29" t="s">
        <v>72</v>
      </c>
      <c r="Q34" s="5" t="s">
        <v>561</v>
      </c>
      <c r="R34" t="s">
        <v>562</v>
      </c>
      <c r="S34" t="str">
        <f t="shared" si="0"/>
        <v>Ashley Teipel</v>
      </c>
      <c r="T34">
        <v>20436925</v>
      </c>
    </row>
    <row r="35" spans="1:20" ht="15" customHeight="1" x14ac:dyDescent="0.2">
      <c r="A35" s="1" t="s">
        <v>65</v>
      </c>
      <c r="B35" s="51">
        <v>441624181</v>
      </c>
      <c r="C35" s="1" t="s">
        <v>151</v>
      </c>
      <c r="D35" s="28">
        <v>44879</v>
      </c>
      <c r="E35" s="14"/>
      <c r="F35" s="14" t="s">
        <v>145</v>
      </c>
      <c r="G35" s="49">
        <v>45962</v>
      </c>
      <c r="H35" s="49">
        <v>45975</v>
      </c>
      <c r="I35" s="28">
        <v>45968</v>
      </c>
      <c r="J35" s="29" t="s">
        <v>69</v>
      </c>
      <c r="K35" s="52">
        <v>1</v>
      </c>
      <c r="L35" s="13">
        <v>71.930000000000007</v>
      </c>
      <c r="M35" s="53">
        <v>0.09</v>
      </c>
      <c r="N35" s="13">
        <v>6.47</v>
      </c>
      <c r="O35" s="29" t="s">
        <v>72</v>
      </c>
      <c r="Q35" s="5" t="s">
        <v>561</v>
      </c>
      <c r="R35" t="s">
        <v>562</v>
      </c>
      <c r="S35" t="str">
        <f t="shared" si="0"/>
        <v>Ashley Teipel</v>
      </c>
      <c r="T35">
        <v>20436925</v>
      </c>
    </row>
    <row r="36" spans="1:20" ht="15" customHeight="1" x14ac:dyDescent="0.2">
      <c r="A36" s="1" t="s">
        <v>65</v>
      </c>
      <c r="B36" s="51">
        <v>441625087</v>
      </c>
      <c r="C36" s="1" t="s">
        <v>153</v>
      </c>
      <c r="D36" s="28">
        <v>44880</v>
      </c>
      <c r="E36" s="14"/>
      <c r="F36" s="14" t="s">
        <v>113</v>
      </c>
      <c r="G36" s="49">
        <v>45962</v>
      </c>
      <c r="H36" s="49">
        <v>45976</v>
      </c>
      <c r="I36" s="28">
        <v>45968</v>
      </c>
      <c r="J36" s="29" t="s">
        <v>69</v>
      </c>
      <c r="K36" s="52">
        <v>1</v>
      </c>
      <c r="L36" s="13">
        <v>29.17</v>
      </c>
      <c r="M36" s="53">
        <v>0.09</v>
      </c>
      <c r="N36" s="13">
        <v>2.63</v>
      </c>
      <c r="O36" s="29" t="s">
        <v>72</v>
      </c>
      <c r="Q36" s="5" t="s">
        <v>561</v>
      </c>
      <c r="R36" t="s">
        <v>562</v>
      </c>
      <c r="S36" t="str">
        <f t="shared" si="0"/>
        <v>Ashley Teipel</v>
      </c>
      <c r="T36">
        <v>20436925</v>
      </c>
    </row>
    <row r="37" spans="1:20" ht="15" customHeight="1" x14ac:dyDescent="0.2">
      <c r="A37" s="1" t="s">
        <v>65</v>
      </c>
      <c r="B37" s="51">
        <v>441625087</v>
      </c>
      <c r="C37" s="1" t="s">
        <v>153</v>
      </c>
      <c r="D37" s="28">
        <v>44880</v>
      </c>
      <c r="E37" s="14"/>
      <c r="F37" s="14" t="s">
        <v>113</v>
      </c>
      <c r="G37" s="49">
        <v>45977</v>
      </c>
      <c r="H37" s="49">
        <v>45992</v>
      </c>
      <c r="I37" s="28">
        <v>45968</v>
      </c>
      <c r="J37" s="29" t="s">
        <v>69</v>
      </c>
      <c r="K37" s="52">
        <v>1</v>
      </c>
      <c r="L37" s="13">
        <v>33.33</v>
      </c>
      <c r="M37" s="53">
        <v>0.09</v>
      </c>
      <c r="N37" s="13">
        <v>3</v>
      </c>
      <c r="O37" s="29" t="s">
        <v>72</v>
      </c>
      <c r="Q37" s="5" t="s">
        <v>561</v>
      </c>
      <c r="R37" t="s">
        <v>562</v>
      </c>
      <c r="S37" t="str">
        <f t="shared" si="0"/>
        <v>Ashley Teipel</v>
      </c>
      <c r="T37">
        <v>20436925</v>
      </c>
    </row>
    <row r="38" spans="1:20" ht="15" customHeight="1" x14ac:dyDescent="0.2">
      <c r="A38" s="1" t="s">
        <v>65</v>
      </c>
      <c r="B38" s="51">
        <v>441635063</v>
      </c>
      <c r="C38" s="1" t="s">
        <v>543</v>
      </c>
      <c r="D38" s="28">
        <v>44882</v>
      </c>
      <c r="E38" s="14"/>
      <c r="F38" s="14" t="s">
        <v>116</v>
      </c>
      <c r="G38" s="49">
        <v>45962</v>
      </c>
      <c r="H38" s="49">
        <v>45978</v>
      </c>
      <c r="I38" s="28">
        <v>45969</v>
      </c>
      <c r="J38" s="29" t="s">
        <v>69</v>
      </c>
      <c r="K38" s="52">
        <v>1</v>
      </c>
      <c r="L38" s="13">
        <v>82.4</v>
      </c>
      <c r="M38" s="53">
        <v>0.09</v>
      </c>
      <c r="N38" s="13">
        <v>7.42</v>
      </c>
      <c r="O38" s="29" t="s">
        <v>72</v>
      </c>
      <c r="Q38" s="5" t="s">
        <v>563</v>
      </c>
      <c r="R38" t="s">
        <v>565</v>
      </c>
      <c r="S38" t="str">
        <f t="shared" si="0"/>
        <v>Kimberly Dickerson</v>
      </c>
      <c r="T38">
        <v>16243811</v>
      </c>
    </row>
    <row r="39" spans="1:20" ht="15" customHeight="1" x14ac:dyDescent="0.2">
      <c r="A39" s="1" t="s">
        <v>65</v>
      </c>
      <c r="B39" s="51">
        <v>441635063</v>
      </c>
      <c r="C39" s="1" t="s">
        <v>543</v>
      </c>
      <c r="D39" s="28">
        <v>44882</v>
      </c>
      <c r="E39" s="14"/>
      <c r="F39" s="14" t="s">
        <v>116</v>
      </c>
      <c r="G39" s="49">
        <v>45979</v>
      </c>
      <c r="H39" s="49">
        <v>45992</v>
      </c>
      <c r="I39" s="28">
        <v>45969</v>
      </c>
      <c r="J39" s="29" t="s">
        <v>69</v>
      </c>
      <c r="K39" s="52">
        <v>1</v>
      </c>
      <c r="L39" s="13">
        <v>72.099999999999994</v>
      </c>
      <c r="M39" s="53">
        <v>0.09</v>
      </c>
      <c r="N39" s="13">
        <v>6.49</v>
      </c>
      <c r="O39" s="29" t="s">
        <v>72</v>
      </c>
      <c r="Q39" s="5" t="s">
        <v>563</v>
      </c>
      <c r="R39" t="s">
        <v>565</v>
      </c>
      <c r="S39" t="str">
        <f t="shared" si="0"/>
        <v>Kimberly Dickerson</v>
      </c>
      <c r="T39">
        <v>16243811</v>
      </c>
    </row>
    <row r="40" spans="1:20" ht="15" customHeight="1" x14ac:dyDescent="0.2">
      <c r="A40" s="1" t="s">
        <v>65</v>
      </c>
      <c r="B40" s="51">
        <v>441638999</v>
      </c>
      <c r="C40" s="1" t="s">
        <v>199</v>
      </c>
      <c r="D40" s="28">
        <v>44896</v>
      </c>
      <c r="E40" s="14"/>
      <c r="F40" s="14" t="s">
        <v>74</v>
      </c>
      <c r="G40" s="49">
        <v>45962</v>
      </c>
      <c r="H40" s="49">
        <v>45992</v>
      </c>
      <c r="I40" s="28">
        <v>45966</v>
      </c>
      <c r="J40" s="29" t="s">
        <v>69</v>
      </c>
      <c r="K40" s="52">
        <v>1</v>
      </c>
      <c r="L40" s="13">
        <v>44.13</v>
      </c>
      <c r="M40" s="53">
        <v>0.06</v>
      </c>
      <c r="N40" s="13">
        <v>2.65</v>
      </c>
      <c r="O40" s="29" t="s">
        <v>72</v>
      </c>
      <c r="Q40" s="5" t="s">
        <v>566</v>
      </c>
      <c r="R40" t="s">
        <v>567</v>
      </c>
      <c r="S40" t="str">
        <f t="shared" si="0"/>
        <v>Carol Foley</v>
      </c>
      <c r="T40">
        <v>17425766</v>
      </c>
    </row>
    <row r="41" spans="1:20" ht="15" customHeight="1" x14ac:dyDescent="0.2">
      <c r="A41" s="1" t="s">
        <v>65</v>
      </c>
      <c r="B41" s="51">
        <v>441640049</v>
      </c>
      <c r="C41" s="1" t="s">
        <v>139</v>
      </c>
      <c r="D41" s="28">
        <v>44927</v>
      </c>
      <c r="E41" s="14"/>
      <c r="F41" s="14" t="s">
        <v>135</v>
      </c>
      <c r="G41" s="49">
        <v>45962</v>
      </c>
      <c r="H41" s="49">
        <v>45992</v>
      </c>
      <c r="I41" s="28">
        <v>45966</v>
      </c>
      <c r="J41" s="29" t="s">
        <v>69</v>
      </c>
      <c r="K41" s="52">
        <v>1</v>
      </c>
      <c r="L41" s="13">
        <v>90.85</v>
      </c>
      <c r="M41" s="53">
        <v>0.09</v>
      </c>
      <c r="N41" s="13">
        <v>8.18</v>
      </c>
      <c r="O41" s="29" t="s">
        <v>72</v>
      </c>
      <c r="Q41" s="5" t="s">
        <v>561</v>
      </c>
      <c r="R41" t="s">
        <v>562</v>
      </c>
      <c r="S41" t="str">
        <f t="shared" si="0"/>
        <v>Ashley Teipel</v>
      </c>
      <c r="T41">
        <v>20436925</v>
      </c>
    </row>
    <row r="42" spans="1:20" ht="15" customHeight="1" x14ac:dyDescent="0.2">
      <c r="A42" s="1" t="s">
        <v>65</v>
      </c>
      <c r="B42" s="51">
        <v>441647531</v>
      </c>
      <c r="C42" s="1" t="s">
        <v>499</v>
      </c>
      <c r="D42" s="28">
        <v>44896</v>
      </c>
      <c r="E42" s="14"/>
      <c r="F42" s="14" t="s">
        <v>500</v>
      </c>
      <c r="G42" s="49">
        <v>45962</v>
      </c>
      <c r="H42" s="49">
        <v>45992</v>
      </c>
      <c r="I42" s="28">
        <v>45966</v>
      </c>
      <c r="J42" s="29" t="s">
        <v>69</v>
      </c>
      <c r="K42" s="52">
        <v>1</v>
      </c>
      <c r="L42" s="13">
        <v>80.48</v>
      </c>
      <c r="M42" s="53">
        <v>0.09</v>
      </c>
      <c r="N42" s="13">
        <v>7.24</v>
      </c>
      <c r="O42" s="29" t="s">
        <v>72</v>
      </c>
      <c r="Q42" s="5" t="s">
        <v>563</v>
      </c>
      <c r="R42" t="s">
        <v>565</v>
      </c>
      <c r="S42" t="str">
        <f t="shared" si="0"/>
        <v>Kimberly Dickerson</v>
      </c>
      <c r="T42">
        <v>16243811</v>
      </c>
    </row>
    <row r="43" spans="1:20" ht="15" customHeight="1" x14ac:dyDescent="0.2">
      <c r="A43" s="1" t="s">
        <v>65</v>
      </c>
      <c r="B43" s="51">
        <v>441647685</v>
      </c>
      <c r="C43" s="1" t="s">
        <v>470</v>
      </c>
      <c r="D43" s="28">
        <v>44896</v>
      </c>
      <c r="E43" s="14"/>
      <c r="F43" s="14" t="s">
        <v>465</v>
      </c>
      <c r="G43" s="49">
        <v>45962</v>
      </c>
      <c r="H43" s="49">
        <v>45992</v>
      </c>
      <c r="I43" s="28">
        <v>45966</v>
      </c>
      <c r="J43" s="29" t="s">
        <v>69</v>
      </c>
      <c r="K43" s="52">
        <v>1</v>
      </c>
      <c r="L43" s="13">
        <v>9</v>
      </c>
      <c r="M43" s="53">
        <v>0.09</v>
      </c>
      <c r="N43" s="13">
        <v>0.81</v>
      </c>
      <c r="O43" s="29" t="s">
        <v>72</v>
      </c>
      <c r="Q43" s="5" t="s">
        <v>563</v>
      </c>
      <c r="R43" t="s">
        <v>565</v>
      </c>
      <c r="S43" t="str">
        <f t="shared" si="0"/>
        <v>Kimberly Dickerson</v>
      </c>
      <c r="T43">
        <v>16243811</v>
      </c>
    </row>
    <row r="44" spans="1:20" ht="15" customHeight="1" x14ac:dyDescent="0.2">
      <c r="A44" s="1" t="s">
        <v>65</v>
      </c>
      <c r="B44" s="51">
        <v>441647687</v>
      </c>
      <c r="C44" s="1" t="s">
        <v>470</v>
      </c>
      <c r="D44" s="28">
        <v>44896</v>
      </c>
      <c r="E44" s="14"/>
      <c r="F44" s="14" t="s">
        <v>286</v>
      </c>
      <c r="G44" s="49">
        <v>45962</v>
      </c>
      <c r="H44" s="49">
        <v>45992</v>
      </c>
      <c r="I44" s="28">
        <v>45966</v>
      </c>
      <c r="J44" s="29" t="s">
        <v>69</v>
      </c>
      <c r="K44" s="52">
        <v>1</v>
      </c>
      <c r="L44" s="13">
        <v>42.64</v>
      </c>
      <c r="M44" s="53">
        <v>0.09</v>
      </c>
      <c r="N44" s="13">
        <v>3.84</v>
      </c>
      <c r="O44" s="29" t="s">
        <v>72</v>
      </c>
      <c r="Q44" s="5" t="s">
        <v>563</v>
      </c>
      <c r="R44" t="s">
        <v>565</v>
      </c>
      <c r="S44" t="str">
        <f t="shared" si="0"/>
        <v>Kimberly Dickerson</v>
      </c>
      <c r="T44">
        <v>16243811</v>
      </c>
    </row>
    <row r="45" spans="1:20" ht="15" customHeight="1" x14ac:dyDescent="0.2">
      <c r="A45" s="1" t="s">
        <v>65</v>
      </c>
      <c r="B45" s="51">
        <v>441651020</v>
      </c>
      <c r="C45" s="1" t="s">
        <v>93</v>
      </c>
      <c r="D45" s="28">
        <v>44927</v>
      </c>
      <c r="E45" s="14"/>
      <c r="F45" s="14" t="s">
        <v>85</v>
      </c>
      <c r="G45" s="49">
        <v>45962</v>
      </c>
      <c r="H45" s="49">
        <v>45992</v>
      </c>
      <c r="I45" s="28">
        <v>45966</v>
      </c>
      <c r="J45" s="29" t="s">
        <v>69</v>
      </c>
      <c r="K45" s="52">
        <v>1</v>
      </c>
      <c r="L45" s="13">
        <v>9</v>
      </c>
      <c r="M45" s="53">
        <v>0.09</v>
      </c>
      <c r="N45" s="13">
        <v>0.81</v>
      </c>
      <c r="O45" s="29" t="s">
        <v>72</v>
      </c>
      <c r="Q45" s="5" t="s">
        <v>564</v>
      </c>
      <c r="R45" t="s">
        <v>570</v>
      </c>
      <c r="S45" t="str">
        <f t="shared" si="0"/>
        <v>Anne Kozacheck</v>
      </c>
      <c r="T45">
        <v>19278370</v>
      </c>
    </row>
    <row r="46" spans="1:20" ht="15" customHeight="1" x14ac:dyDescent="0.2">
      <c r="A46" s="1" t="s">
        <v>65</v>
      </c>
      <c r="B46" s="51">
        <v>441652254</v>
      </c>
      <c r="C46" s="1" t="s">
        <v>415</v>
      </c>
      <c r="D46" s="28">
        <v>44927</v>
      </c>
      <c r="E46" s="14"/>
      <c r="F46" s="14" t="s">
        <v>227</v>
      </c>
      <c r="G46" s="49">
        <v>45962</v>
      </c>
      <c r="H46" s="49">
        <v>45992</v>
      </c>
      <c r="I46" s="28">
        <v>45966</v>
      </c>
      <c r="J46" s="29" t="s">
        <v>69</v>
      </c>
      <c r="K46" s="52">
        <v>1</v>
      </c>
      <c r="L46" s="13">
        <v>35.99</v>
      </c>
      <c r="M46" s="53">
        <v>7.0000000000000007E-2</v>
      </c>
      <c r="N46" s="13">
        <v>2.52</v>
      </c>
      <c r="O46" s="29" t="s">
        <v>72</v>
      </c>
      <c r="Q46" s="5" t="s">
        <v>568</v>
      </c>
      <c r="R46" t="s">
        <v>569</v>
      </c>
      <c r="S46" t="str">
        <f t="shared" si="0"/>
        <v>Jason Hoffmann</v>
      </c>
      <c r="T46">
        <v>15278437</v>
      </c>
    </row>
    <row r="47" spans="1:20" ht="15" customHeight="1" x14ac:dyDescent="0.2">
      <c r="A47" s="1" t="s">
        <v>65</v>
      </c>
      <c r="B47" s="51">
        <v>441652256</v>
      </c>
      <c r="C47" s="1" t="s">
        <v>415</v>
      </c>
      <c r="D47" s="28">
        <v>44927</v>
      </c>
      <c r="E47" s="14"/>
      <c r="F47" s="14" t="s">
        <v>74</v>
      </c>
      <c r="G47" s="49">
        <v>45962</v>
      </c>
      <c r="H47" s="49">
        <v>45992</v>
      </c>
      <c r="I47" s="28">
        <v>45966</v>
      </c>
      <c r="J47" s="29" t="s">
        <v>69</v>
      </c>
      <c r="K47" s="52">
        <v>1</v>
      </c>
      <c r="L47" s="13">
        <v>15.62</v>
      </c>
      <c r="M47" s="53">
        <v>0.09</v>
      </c>
      <c r="N47" s="13">
        <v>1.41</v>
      </c>
      <c r="O47" s="29" t="s">
        <v>72</v>
      </c>
      <c r="Q47" s="5" t="s">
        <v>568</v>
      </c>
      <c r="R47" t="s">
        <v>569</v>
      </c>
      <c r="S47" t="str">
        <f t="shared" si="0"/>
        <v>Jason Hoffmann</v>
      </c>
      <c r="T47">
        <v>15278437</v>
      </c>
    </row>
    <row r="48" spans="1:20" ht="15" customHeight="1" x14ac:dyDescent="0.2">
      <c r="A48" s="1" t="s">
        <v>65</v>
      </c>
      <c r="B48" s="51">
        <v>441652262</v>
      </c>
      <c r="C48" s="1" t="s">
        <v>415</v>
      </c>
      <c r="D48" s="28">
        <v>44927</v>
      </c>
      <c r="E48" s="14"/>
      <c r="F48" s="14" t="s">
        <v>142</v>
      </c>
      <c r="G48" s="49">
        <v>45962</v>
      </c>
      <c r="H48" s="49">
        <v>45992</v>
      </c>
      <c r="I48" s="28">
        <v>45966</v>
      </c>
      <c r="J48" s="29" t="s">
        <v>69</v>
      </c>
      <c r="K48" s="52">
        <v>1</v>
      </c>
      <c r="L48" s="13">
        <v>10.45</v>
      </c>
      <c r="M48" s="53">
        <v>0.09</v>
      </c>
      <c r="N48" s="13">
        <v>0.94</v>
      </c>
      <c r="O48" s="29" t="s">
        <v>72</v>
      </c>
      <c r="Q48" s="5" t="s">
        <v>568</v>
      </c>
      <c r="R48" t="s">
        <v>569</v>
      </c>
      <c r="S48" t="str">
        <f t="shared" si="0"/>
        <v>Jason Hoffmann</v>
      </c>
      <c r="T48">
        <v>15278437</v>
      </c>
    </row>
    <row r="49" spans="1:20" ht="15" customHeight="1" x14ac:dyDescent="0.2">
      <c r="A49" s="1" t="s">
        <v>65</v>
      </c>
      <c r="B49" s="51">
        <v>441657234</v>
      </c>
      <c r="C49" s="1" t="s">
        <v>480</v>
      </c>
      <c r="D49" s="28">
        <v>44896</v>
      </c>
      <c r="E49" s="14"/>
      <c r="F49" s="14" t="s">
        <v>481</v>
      </c>
      <c r="G49" s="49">
        <v>45962</v>
      </c>
      <c r="H49" s="49">
        <v>45992</v>
      </c>
      <c r="I49" s="28">
        <v>45966</v>
      </c>
      <c r="J49" s="29" t="s">
        <v>69</v>
      </c>
      <c r="K49" s="52">
        <v>1</v>
      </c>
      <c r="L49" s="13">
        <v>25</v>
      </c>
      <c r="M49" s="53">
        <v>0.09</v>
      </c>
      <c r="N49" s="13">
        <v>2.25</v>
      </c>
      <c r="O49" s="29" t="s">
        <v>72</v>
      </c>
      <c r="Q49" s="5" t="s">
        <v>563</v>
      </c>
      <c r="R49" t="s">
        <v>565</v>
      </c>
      <c r="S49" t="str">
        <f t="shared" si="0"/>
        <v>Kimberly Dickerson</v>
      </c>
      <c r="T49">
        <v>16243811</v>
      </c>
    </row>
    <row r="50" spans="1:20" ht="15" customHeight="1" x14ac:dyDescent="0.2">
      <c r="A50" s="1" t="s">
        <v>65</v>
      </c>
      <c r="B50" s="51">
        <v>441658342</v>
      </c>
      <c r="C50" s="1" t="s">
        <v>299</v>
      </c>
      <c r="D50" s="28">
        <v>44896</v>
      </c>
      <c r="E50" s="14"/>
      <c r="F50" s="14" t="s">
        <v>171</v>
      </c>
      <c r="G50" s="49">
        <v>45962</v>
      </c>
      <c r="H50" s="49">
        <v>45992</v>
      </c>
      <c r="I50" s="28">
        <v>45966</v>
      </c>
      <c r="J50" s="29" t="s">
        <v>69</v>
      </c>
      <c r="K50" s="52">
        <v>1</v>
      </c>
      <c r="L50" s="13">
        <v>10.6</v>
      </c>
      <c r="M50" s="53">
        <v>0.03</v>
      </c>
      <c r="N50" s="13">
        <v>0.32</v>
      </c>
      <c r="O50" s="29" t="s">
        <v>72</v>
      </c>
      <c r="Q50" s="5" t="s">
        <v>566</v>
      </c>
      <c r="R50" t="s">
        <v>567</v>
      </c>
      <c r="S50" t="str">
        <f t="shared" si="0"/>
        <v>Carol Foley</v>
      </c>
      <c r="T50">
        <v>17425766</v>
      </c>
    </row>
    <row r="51" spans="1:20" ht="15" customHeight="1" x14ac:dyDescent="0.2">
      <c r="A51" s="1" t="s">
        <v>65</v>
      </c>
      <c r="B51" s="51">
        <v>441659598</v>
      </c>
      <c r="C51" s="1" t="s">
        <v>448</v>
      </c>
      <c r="D51" s="28">
        <v>44927</v>
      </c>
      <c r="E51" s="14"/>
      <c r="F51" s="14" t="s">
        <v>449</v>
      </c>
      <c r="G51" s="49">
        <v>45962</v>
      </c>
      <c r="H51" s="49">
        <v>45992</v>
      </c>
      <c r="I51" s="28">
        <v>45966</v>
      </c>
      <c r="J51" s="29" t="s">
        <v>69</v>
      </c>
      <c r="K51" s="52">
        <v>1</v>
      </c>
      <c r="L51" s="13">
        <v>3.36</v>
      </c>
      <c r="M51" s="53">
        <v>0.09</v>
      </c>
      <c r="N51" s="13">
        <v>0.3</v>
      </c>
      <c r="O51" s="29" t="s">
        <v>72</v>
      </c>
      <c r="Q51" s="5" t="s">
        <v>571</v>
      </c>
      <c r="R51" t="s">
        <v>572</v>
      </c>
      <c r="S51" t="str">
        <f t="shared" si="0"/>
        <v>Katelenn Caltagirone</v>
      </c>
      <c r="T51">
        <v>20436896</v>
      </c>
    </row>
    <row r="52" spans="1:20" ht="15" customHeight="1" x14ac:dyDescent="0.2">
      <c r="A52" s="1" t="s">
        <v>65</v>
      </c>
      <c r="B52" s="51">
        <v>441659600</v>
      </c>
      <c r="C52" s="1" t="s">
        <v>448</v>
      </c>
      <c r="D52" s="28">
        <v>44927</v>
      </c>
      <c r="E52" s="14"/>
      <c r="F52" s="14" t="s">
        <v>122</v>
      </c>
      <c r="G52" s="49">
        <v>45962</v>
      </c>
      <c r="H52" s="49">
        <v>45992</v>
      </c>
      <c r="I52" s="28">
        <v>45966</v>
      </c>
      <c r="J52" s="29" t="s">
        <v>69</v>
      </c>
      <c r="K52" s="52">
        <v>1</v>
      </c>
      <c r="L52" s="13">
        <v>141.5</v>
      </c>
      <c r="M52" s="53">
        <v>0.09</v>
      </c>
      <c r="N52" s="13">
        <v>12.74</v>
      </c>
      <c r="O52" s="29" t="s">
        <v>72</v>
      </c>
      <c r="Q52" s="5" t="s">
        <v>571</v>
      </c>
      <c r="R52" t="s">
        <v>572</v>
      </c>
      <c r="S52" t="str">
        <f t="shared" si="0"/>
        <v>Katelenn Caltagirone</v>
      </c>
      <c r="T52">
        <v>20436896</v>
      </c>
    </row>
    <row r="53" spans="1:20" ht="15" customHeight="1" x14ac:dyDescent="0.2">
      <c r="A53" s="1" t="s">
        <v>65</v>
      </c>
      <c r="B53" s="51">
        <v>441659627</v>
      </c>
      <c r="C53" s="1" t="s">
        <v>124</v>
      </c>
      <c r="D53" s="28">
        <v>44896</v>
      </c>
      <c r="E53" s="14"/>
      <c r="F53" s="14" t="s">
        <v>125</v>
      </c>
      <c r="G53" s="49">
        <v>45962</v>
      </c>
      <c r="H53" s="49">
        <v>45992</v>
      </c>
      <c r="I53" s="28">
        <v>45966</v>
      </c>
      <c r="J53" s="29" t="s">
        <v>69</v>
      </c>
      <c r="K53" s="52">
        <v>1</v>
      </c>
      <c r="L53" s="13">
        <v>407.69</v>
      </c>
      <c r="M53" s="53">
        <v>0.09</v>
      </c>
      <c r="N53" s="13">
        <v>36.69</v>
      </c>
      <c r="O53" s="29" t="s">
        <v>72</v>
      </c>
      <c r="Q53" s="5" t="s">
        <v>561</v>
      </c>
      <c r="R53" t="s">
        <v>562</v>
      </c>
      <c r="S53" t="str">
        <f t="shared" si="0"/>
        <v>Ashley Teipel</v>
      </c>
      <c r="T53">
        <v>20436925</v>
      </c>
    </row>
    <row r="54" spans="1:20" ht="15" customHeight="1" x14ac:dyDescent="0.2">
      <c r="A54" s="1" t="s">
        <v>65</v>
      </c>
      <c r="B54" s="51">
        <v>441659717</v>
      </c>
      <c r="C54" s="1" t="s">
        <v>437</v>
      </c>
      <c r="D54" s="28">
        <v>44927</v>
      </c>
      <c r="E54" s="14"/>
      <c r="F54" s="14" t="s">
        <v>85</v>
      </c>
      <c r="G54" s="49">
        <v>45962</v>
      </c>
      <c r="H54" s="49">
        <v>45992</v>
      </c>
      <c r="I54" s="28">
        <v>45966</v>
      </c>
      <c r="J54" s="29" t="s">
        <v>69</v>
      </c>
      <c r="K54" s="52">
        <v>1</v>
      </c>
      <c r="L54" s="13">
        <v>16</v>
      </c>
      <c r="M54" s="53">
        <v>0.09</v>
      </c>
      <c r="N54" s="13">
        <v>1.44</v>
      </c>
      <c r="O54" s="29" t="s">
        <v>72</v>
      </c>
      <c r="Q54" s="5" t="s">
        <v>568</v>
      </c>
      <c r="R54" t="s">
        <v>569</v>
      </c>
      <c r="S54" t="str">
        <f t="shared" si="0"/>
        <v>Jason Hoffmann</v>
      </c>
      <c r="T54">
        <v>15278437</v>
      </c>
    </row>
    <row r="55" spans="1:20" ht="15" customHeight="1" x14ac:dyDescent="0.2">
      <c r="A55" s="1" t="s">
        <v>65</v>
      </c>
      <c r="B55" s="51">
        <v>441662401</v>
      </c>
      <c r="C55" s="1" t="s">
        <v>411</v>
      </c>
      <c r="D55" s="28">
        <v>44896</v>
      </c>
      <c r="E55" s="14"/>
      <c r="F55" s="14" t="s">
        <v>85</v>
      </c>
      <c r="G55" s="49">
        <v>45962</v>
      </c>
      <c r="H55" s="49">
        <v>45992</v>
      </c>
      <c r="I55" s="28">
        <v>45966</v>
      </c>
      <c r="J55" s="29" t="s">
        <v>69</v>
      </c>
      <c r="K55" s="52">
        <v>1</v>
      </c>
      <c r="L55" s="13">
        <v>25</v>
      </c>
      <c r="M55" s="53">
        <v>0.09</v>
      </c>
      <c r="N55" s="13">
        <v>2.25</v>
      </c>
      <c r="O55" s="29" t="s">
        <v>72</v>
      </c>
      <c r="Q55" s="5" t="s">
        <v>568</v>
      </c>
      <c r="R55" t="s">
        <v>569</v>
      </c>
      <c r="S55" t="str">
        <f t="shared" si="0"/>
        <v>Jason Hoffmann</v>
      </c>
      <c r="T55">
        <v>15278437</v>
      </c>
    </row>
    <row r="56" spans="1:20" ht="15" customHeight="1" x14ac:dyDescent="0.2">
      <c r="A56" s="1" t="s">
        <v>65</v>
      </c>
      <c r="B56" s="51">
        <v>441662402</v>
      </c>
      <c r="C56" s="1" t="s">
        <v>411</v>
      </c>
      <c r="D56" s="28">
        <v>44896</v>
      </c>
      <c r="E56" s="14"/>
      <c r="F56" s="14" t="s">
        <v>202</v>
      </c>
      <c r="G56" s="49">
        <v>45962</v>
      </c>
      <c r="H56" s="49">
        <v>45992</v>
      </c>
      <c r="I56" s="28">
        <v>45966</v>
      </c>
      <c r="J56" s="29" t="s">
        <v>69</v>
      </c>
      <c r="K56" s="52">
        <v>1</v>
      </c>
      <c r="L56" s="13">
        <v>54</v>
      </c>
      <c r="M56" s="53">
        <v>0.09</v>
      </c>
      <c r="N56" s="13">
        <v>4.8600000000000003</v>
      </c>
      <c r="O56" s="29" t="s">
        <v>72</v>
      </c>
      <c r="Q56" s="5" t="s">
        <v>568</v>
      </c>
      <c r="R56" t="s">
        <v>569</v>
      </c>
      <c r="S56" t="str">
        <f t="shared" si="0"/>
        <v>Jason Hoffmann</v>
      </c>
      <c r="T56">
        <v>15278437</v>
      </c>
    </row>
    <row r="57" spans="1:20" ht="15" customHeight="1" x14ac:dyDescent="0.2">
      <c r="A57" s="1" t="s">
        <v>65</v>
      </c>
      <c r="B57" s="51">
        <v>441662404</v>
      </c>
      <c r="C57" s="1" t="s">
        <v>411</v>
      </c>
      <c r="D57" s="28">
        <v>44896</v>
      </c>
      <c r="E57" s="14"/>
      <c r="F57" s="14" t="s">
        <v>74</v>
      </c>
      <c r="G57" s="49">
        <v>45962</v>
      </c>
      <c r="H57" s="49">
        <v>45992</v>
      </c>
      <c r="I57" s="28">
        <v>45966</v>
      </c>
      <c r="J57" s="29" t="s">
        <v>69</v>
      </c>
      <c r="K57" s="52">
        <v>1</v>
      </c>
      <c r="L57" s="13">
        <v>146.41999999999999</v>
      </c>
      <c r="M57" s="53">
        <v>0.18</v>
      </c>
      <c r="N57" s="13">
        <v>26.36</v>
      </c>
      <c r="O57" s="29" t="s">
        <v>72</v>
      </c>
      <c r="Q57" s="5" t="s">
        <v>568</v>
      </c>
      <c r="R57" t="s">
        <v>569</v>
      </c>
      <c r="S57" t="str">
        <f t="shared" si="0"/>
        <v>Jason Hoffmann</v>
      </c>
      <c r="T57">
        <v>15278437</v>
      </c>
    </row>
    <row r="58" spans="1:20" ht="15" customHeight="1" x14ac:dyDescent="0.2">
      <c r="A58" s="1" t="s">
        <v>65</v>
      </c>
      <c r="B58" s="51">
        <v>441663878</v>
      </c>
      <c r="C58" s="1" t="s">
        <v>430</v>
      </c>
      <c r="D58" s="28">
        <v>44927</v>
      </c>
      <c r="E58" s="14"/>
      <c r="F58" s="14" t="s">
        <v>189</v>
      </c>
      <c r="G58" s="49">
        <v>45962</v>
      </c>
      <c r="H58" s="49">
        <v>45992</v>
      </c>
      <c r="I58" s="28">
        <v>45966</v>
      </c>
      <c r="J58" s="29" t="s">
        <v>69</v>
      </c>
      <c r="K58" s="52">
        <v>1</v>
      </c>
      <c r="L58" s="13">
        <v>84.91</v>
      </c>
      <c r="M58" s="53">
        <v>0.18</v>
      </c>
      <c r="N58" s="13">
        <v>15.28</v>
      </c>
      <c r="O58" s="29" t="s">
        <v>72</v>
      </c>
      <c r="Q58" s="5" t="s">
        <v>568</v>
      </c>
      <c r="R58" t="s">
        <v>569</v>
      </c>
      <c r="S58" t="str">
        <f t="shared" si="0"/>
        <v>Jason Hoffmann</v>
      </c>
      <c r="T58">
        <v>15278437</v>
      </c>
    </row>
    <row r="59" spans="1:20" ht="15" customHeight="1" x14ac:dyDescent="0.2">
      <c r="A59" s="1" t="s">
        <v>65</v>
      </c>
      <c r="B59" s="51">
        <v>441663879</v>
      </c>
      <c r="C59" s="1" t="s">
        <v>430</v>
      </c>
      <c r="D59" s="28">
        <v>44927</v>
      </c>
      <c r="E59" s="14"/>
      <c r="F59" s="14" t="s">
        <v>171</v>
      </c>
      <c r="G59" s="49">
        <v>45962</v>
      </c>
      <c r="H59" s="49">
        <v>45992</v>
      </c>
      <c r="I59" s="28">
        <v>45966</v>
      </c>
      <c r="J59" s="29" t="s">
        <v>69</v>
      </c>
      <c r="K59" s="52">
        <v>1</v>
      </c>
      <c r="L59" s="13">
        <v>30.4</v>
      </c>
      <c r="M59" s="53">
        <v>0.09</v>
      </c>
      <c r="N59" s="13">
        <v>2.74</v>
      </c>
      <c r="O59" s="29" t="s">
        <v>72</v>
      </c>
      <c r="Q59" s="5" t="s">
        <v>568</v>
      </c>
      <c r="R59" t="s">
        <v>569</v>
      </c>
      <c r="S59" t="str">
        <f t="shared" si="0"/>
        <v>Jason Hoffmann</v>
      </c>
      <c r="T59">
        <v>15278437</v>
      </c>
    </row>
    <row r="60" spans="1:20" ht="15" customHeight="1" x14ac:dyDescent="0.2">
      <c r="A60" s="1" t="s">
        <v>65</v>
      </c>
      <c r="B60" s="51">
        <v>441668237</v>
      </c>
      <c r="C60" s="1" t="s">
        <v>510</v>
      </c>
      <c r="D60" s="28">
        <v>44897</v>
      </c>
      <c r="E60" s="14"/>
      <c r="F60" s="14" t="s">
        <v>171</v>
      </c>
      <c r="G60" s="49">
        <v>45962</v>
      </c>
      <c r="H60" s="49">
        <v>45992</v>
      </c>
      <c r="I60" s="28">
        <v>45966</v>
      </c>
      <c r="J60" s="29" t="s">
        <v>69</v>
      </c>
      <c r="K60" s="52">
        <v>1</v>
      </c>
      <c r="L60" s="13">
        <v>38.700000000000003</v>
      </c>
      <c r="M60" s="53">
        <v>0.09</v>
      </c>
      <c r="N60" s="13">
        <v>3.48</v>
      </c>
      <c r="O60" s="29" t="s">
        <v>72</v>
      </c>
      <c r="Q60" s="5" t="s">
        <v>563</v>
      </c>
      <c r="R60" t="s">
        <v>565</v>
      </c>
      <c r="S60" t="str">
        <f t="shared" si="0"/>
        <v>Kimberly Dickerson</v>
      </c>
      <c r="T60">
        <v>16243811</v>
      </c>
    </row>
    <row r="61" spans="1:20" ht="15" customHeight="1" x14ac:dyDescent="0.2">
      <c r="A61" s="1" t="s">
        <v>65</v>
      </c>
      <c r="B61" s="51">
        <v>441671088</v>
      </c>
      <c r="C61" s="1" t="s">
        <v>492</v>
      </c>
      <c r="D61" s="28">
        <v>44896</v>
      </c>
      <c r="E61" s="14"/>
      <c r="F61" s="14" t="s">
        <v>286</v>
      </c>
      <c r="G61" s="49">
        <v>45962</v>
      </c>
      <c r="H61" s="49">
        <v>45992</v>
      </c>
      <c r="I61" s="28">
        <v>45966</v>
      </c>
      <c r="J61" s="29" t="s">
        <v>69</v>
      </c>
      <c r="K61" s="52">
        <v>1</v>
      </c>
      <c r="L61" s="13">
        <v>42.64</v>
      </c>
      <c r="M61" s="53">
        <v>0.09</v>
      </c>
      <c r="N61" s="13">
        <v>3.84</v>
      </c>
      <c r="O61" s="29" t="s">
        <v>72</v>
      </c>
      <c r="Q61" s="5" t="s">
        <v>563</v>
      </c>
      <c r="R61" t="s">
        <v>565</v>
      </c>
      <c r="S61" t="str">
        <f t="shared" si="0"/>
        <v>Kimberly Dickerson</v>
      </c>
      <c r="T61">
        <v>16243811</v>
      </c>
    </row>
    <row r="62" spans="1:20" ht="15" customHeight="1" x14ac:dyDescent="0.2">
      <c r="A62" s="1" t="s">
        <v>65</v>
      </c>
      <c r="B62" s="51">
        <v>441672109</v>
      </c>
      <c r="C62" s="1" t="s">
        <v>492</v>
      </c>
      <c r="D62" s="28">
        <v>44896</v>
      </c>
      <c r="E62" s="14"/>
      <c r="F62" s="14" t="s">
        <v>465</v>
      </c>
      <c r="G62" s="49">
        <v>45962</v>
      </c>
      <c r="H62" s="49">
        <v>45992</v>
      </c>
      <c r="I62" s="28">
        <v>45966</v>
      </c>
      <c r="J62" s="29" t="s">
        <v>69</v>
      </c>
      <c r="K62" s="52">
        <v>1</v>
      </c>
      <c r="L62" s="13">
        <v>9</v>
      </c>
      <c r="M62" s="53">
        <v>0.09</v>
      </c>
      <c r="N62" s="13">
        <v>0.81</v>
      </c>
      <c r="O62" s="29" t="s">
        <v>72</v>
      </c>
      <c r="Q62" s="5" t="s">
        <v>563</v>
      </c>
      <c r="R62" t="s">
        <v>565</v>
      </c>
      <c r="S62" t="str">
        <f t="shared" si="0"/>
        <v>Kimberly Dickerson</v>
      </c>
      <c r="T62">
        <v>16243811</v>
      </c>
    </row>
    <row r="63" spans="1:20" ht="15" customHeight="1" x14ac:dyDescent="0.2">
      <c r="A63" s="1" t="s">
        <v>65</v>
      </c>
      <c r="B63" s="51">
        <v>441673836</v>
      </c>
      <c r="C63" s="1" t="s">
        <v>444</v>
      </c>
      <c r="D63" s="28">
        <v>44927</v>
      </c>
      <c r="E63" s="14"/>
      <c r="F63" s="14" t="s">
        <v>227</v>
      </c>
      <c r="G63" s="49">
        <v>45962</v>
      </c>
      <c r="H63" s="49">
        <v>45992</v>
      </c>
      <c r="I63" s="28">
        <v>45966</v>
      </c>
      <c r="J63" s="29" t="s">
        <v>69</v>
      </c>
      <c r="K63" s="52">
        <v>1</v>
      </c>
      <c r="L63" s="13">
        <v>47.13</v>
      </c>
      <c r="M63" s="53">
        <v>0.09</v>
      </c>
      <c r="N63" s="13">
        <v>4.24</v>
      </c>
      <c r="O63" s="29" t="s">
        <v>72</v>
      </c>
      <c r="Q63" s="5" t="s">
        <v>568</v>
      </c>
      <c r="R63" t="s">
        <v>569</v>
      </c>
      <c r="S63" t="str">
        <f t="shared" si="0"/>
        <v>Jason Hoffmann</v>
      </c>
      <c r="T63">
        <v>15278437</v>
      </c>
    </row>
    <row r="64" spans="1:20" ht="15" customHeight="1" x14ac:dyDescent="0.2">
      <c r="A64" s="1" t="s">
        <v>65</v>
      </c>
      <c r="B64" s="51">
        <v>441673839</v>
      </c>
      <c r="C64" s="1" t="s">
        <v>444</v>
      </c>
      <c r="D64" s="28">
        <v>44927</v>
      </c>
      <c r="E64" s="14"/>
      <c r="F64" s="14" t="s">
        <v>74</v>
      </c>
      <c r="G64" s="49">
        <v>45962</v>
      </c>
      <c r="H64" s="49">
        <v>45992</v>
      </c>
      <c r="I64" s="28">
        <v>45966</v>
      </c>
      <c r="J64" s="29" t="s">
        <v>69</v>
      </c>
      <c r="K64" s="52">
        <v>1</v>
      </c>
      <c r="L64" s="13">
        <v>68.03</v>
      </c>
      <c r="M64" s="53">
        <v>0.18</v>
      </c>
      <c r="N64" s="13">
        <v>12.25</v>
      </c>
      <c r="O64" s="29" t="s">
        <v>72</v>
      </c>
      <c r="Q64" s="5" t="s">
        <v>568</v>
      </c>
      <c r="R64" t="s">
        <v>569</v>
      </c>
      <c r="S64" t="str">
        <f t="shared" si="0"/>
        <v>Jason Hoffmann</v>
      </c>
      <c r="T64">
        <v>15278437</v>
      </c>
    </row>
    <row r="65" spans="1:20" ht="15" customHeight="1" x14ac:dyDescent="0.2">
      <c r="A65" s="1" t="s">
        <v>65</v>
      </c>
      <c r="B65" s="51">
        <v>441674279</v>
      </c>
      <c r="C65" s="1" t="s">
        <v>540</v>
      </c>
      <c r="D65" s="28">
        <v>44900</v>
      </c>
      <c r="E65" s="14"/>
      <c r="F65" s="14" t="s">
        <v>286</v>
      </c>
      <c r="G65" s="49">
        <v>45962</v>
      </c>
      <c r="H65" s="49">
        <v>45992</v>
      </c>
      <c r="I65" s="28">
        <v>45968</v>
      </c>
      <c r="J65" s="29" t="s">
        <v>69</v>
      </c>
      <c r="K65" s="52">
        <v>1</v>
      </c>
      <c r="L65" s="13">
        <v>85.28</v>
      </c>
      <c r="M65" s="53">
        <v>0.09</v>
      </c>
      <c r="N65" s="13">
        <v>7.68</v>
      </c>
      <c r="O65" s="29" t="s">
        <v>72</v>
      </c>
      <c r="Q65" s="5" t="s">
        <v>563</v>
      </c>
      <c r="R65" t="s">
        <v>565</v>
      </c>
      <c r="S65" t="str">
        <f t="shared" si="0"/>
        <v>Kimberly Dickerson</v>
      </c>
      <c r="T65">
        <v>16243811</v>
      </c>
    </row>
    <row r="66" spans="1:20" ht="15" customHeight="1" x14ac:dyDescent="0.2">
      <c r="A66" s="1" t="s">
        <v>65</v>
      </c>
      <c r="B66" s="51">
        <v>441674280</v>
      </c>
      <c r="C66" s="1" t="s">
        <v>540</v>
      </c>
      <c r="D66" s="28">
        <v>44900</v>
      </c>
      <c r="E66" s="14"/>
      <c r="F66" s="14" t="s">
        <v>465</v>
      </c>
      <c r="G66" s="49">
        <v>45962</v>
      </c>
      <c r="H66" s="49">
        <v>45992</v>
      </c>
      <c r="I66" s="28">
        <v>45968</v>
      </c>
      <c r="J66" s="29" t="s">
        <v>69</v>
      </c>
      <c r="K66" s="52">
        <v>1</v>
      </c>
      <c r="L66" s="13">
        <v>16</v>
      </c>
      <c r="M66" s="53">
        <v>0.09</v>
      </c>
      <c r="N66" s="13">
        <v>1.44</v>
      </c>
      <c r="O66" s="29" t="s">
        <v>72</v>
      </c>
      <c r="Q66" s="5" t="s">
        <v>563</v>
      </c>
      <c r="R66" t="s">
        <v>565</v>
      </c>
      <c r="S66" t="str">
        <f t="shared" si="0"/>
        <v>Kimberly Dickerson</v>
      </c>
      <c r="T66">
        <v>16243811</v>
      </c>
    </row>
    <row r="67" spans="1:20" ht="15" customHeight="1" x14ac:dyDescent="0.2">
      <c r="A67" s="1" t="s">
        <v>65</v>
      </c>
      <c r="B67" s="51">
        <v>441675885</v>
      </c>
      <c r="C67" s="1" t="s">
        <v>155</v>
      </c>
      <c r="D67" s="28">
        <v>44927</v>
      </c>
      <c r="E67" s="14"/>
      <c r="F67" s="14" t="s">
        <v>113</v>
      </c>
      <c r="G67" s="49">
        <v>45962</v>
      </c>
      <c r="H67" s="49">
        <v>45992</v>
      </c>
      <c r="I67" s="28">
        <v>45966</v>
      </c>
      <c r="J67" s="29" t="s">
        <v>69</v>
      </c>
      <c r="K67" s="52">
        <v>1</v>
      </c>
      <c r="L67" s="13">
        <v>125.5</v>
      </c>
      <c r="M67" s="53">
        <v>0.09</v>
      </c>
      <c r="N67" s="13">
        <v>11.3</v>
      </c>
      <c r="O67" s="29" t="s">
        <v>72</v>
      </c>
      <c r="Q67" s="5" t="s">
        <v>561</v>
      </c>
      <c r="R67" t="s">
        <v>562</v>
      </c>
      <c r="S67" t="str">
        <f t="shared" ref="S67:S130" si="1">CONCATENATE(Q67, " ",R67)</f>
        <v>Ashley Teipel</v>
      </c>
      <c r="T67">
        <v>20436925</v>
      </c>
    </row>
    <row r="68" spans="1:20" ht="15" customHeight="1" x14ac:dyDescent="0.2">
      <c r="A68" s="1" t="s">
        <v>65</v>
      </c>
      <c r="B68" s="51">
        <v>441686777</v>
      </c>
      <c r="C68" s="1" t="s">
        <v>226</v>
      </c>
      <c r="D68" s="28">
        <v>44927</v>
      </c>
      <c r="E68" s="14"/>
      <c r="F68" s="14" t="s">
        <v>227</v>
      </c>
      <c r="G68" s="49">
        <v>45962</v>
      </c>
      <c r="H68" s="49">
        <v>45992</v>
      </c>
      <c r="I68" s="28">
        <v>45966</v>
      </c>
      <c r="J68" s="29" t="s">
        <v>69</v>
      </c>
      <c r="K68" s="52">
        <v>1</v>
      </c>
      <c r="L68" s="13">
        <v>47.13</v>
      </c>
      <c r="M68" s="53">
        <v>0.03</v>
      </c>
      <c r="N68" s="13">
        <v>1.41</v>
      </c>
      <c r="O68" s="29" t="s">
        <v>72</v>
      </c>
      <c r="Q68" s="5" t="s">
        <v>566</v>
      </c>
      <c r="R68" t="s">
        <v>567</v>
      </c>
      <c r="S68" t="str">
        <f t="shared" si="1"/>
        <v>Carol Foley</v>
      </c>
      <c r="T68">
        <v>17425766</v>
      </c>
    </row>
    <row r="69" spans="1:20" ht="15" customHeight="1" x14ac:dyDescent="0.2">
      <c r="A69" s="1" t="s">
        <v>65</v>
      </c>
      <c r="B69" s="51">
        <v>441686789</v>
      </c>
      <c r="C69" s="1" t="s">
        <v>226</v>
      </c>
      <c r="D69" s="28">
        <v>44927</v>
      </c>
      <c r="E69" s="14"/>
      <c r="F69" s="14" t="s">
        <v>74</v>
      </c>
      <c r="G69" s="49">
        <v>45962</v>
      </c>
      <c r="H69" s="49">
        <v>45992</v>
      </c>
      <c r="I69" s="28">
        <v>45966</v>
      </c>
      <c r="J69" s="29" t="s">
        <v>69</v>
      </c>
      <c r="K69" s="52">
        <v>1</v>
      </c>
      <c r="L69" s="13">
        <v>109.62</v>
      </c>
      <c r="M69" s="53">
        <v>0.06</v>
      </c>
      <c r="N69" s="13">
        <v>6.58</v>
      </c>
      <c r="O69" s="29" t="s">
        <v>72</v>
      </c>
      <c r="Q69" s="5" t="s">
        <v>566</v>
      </c>
      <c r="R69" t="s">
        <v>567</v>
      </c>
      <c r="S69" t="str">
        <f t="shared" si="1"/>
        <v>Carol Foley</v>
      </c>
      <c r="T69">
        <v>17425766</v>
      </c>
    </row>
    <row r="70" spans="1:20" ht="15" customHeight="1" x14ac:dyDescent="0.2">
      <c r="A70" s="1" t="s">
        <v>65</v>
      </c>
      <c r="B70" s="51">
        <v>441693322</v>
      </c>
      <c r="C70" s="1" t="s">
        <v>147</v>
      </c>
      <c r="D70" s="28">
        <v>44927</v>
      </c>
      <c r="E70" s="14"/>
      <c r="F70" s="14" t="s">
        <v>145</v>
      </c>
      <c r="G70" s="49">
        <v>45962</v>
      </c>
      <c r="H70" s="49">
        <v>45992</v>
      </c>
      <c r="I70" s="28">
        <v>45966</v>
      </c>
      <c r="J70" s="29" t="s">
        <v>69</v>
      </c>
      <c r="K70" s="52">
        <v>1</v>
      </c>
      <c r="L70" s="13">
        <v>50</v>
      </c>
      <c r="M70" s="53">
        <v>0.09</v>
      </c>
      <c r="N70" s="13">
        <v>4.5</v>
      </c>
      <c r="O70" s="29" t="s">
        <v>72</v>
      </c>
      <c r="Q70" s="5" t="s">
        <v>561</v>
      </c>
      <c r="R70" t="s">
        <v>562</v>
      </c>
      <c r="S70" t="str">
        <f t="shared" si="1"/>
        <v>Ashley Teipel</v>
      </c>
      <c r="T70">
        <v>20436925</v>
      </c>
    </row>
    <row r="71" spans="1:20" ht="15" customHeight="1" x14ac:dyDescent="0.2">
      <c r="A71" s="1" t="s">
        <v>65</v>
      </c>
      <c r="B71" s="51">
        <v>441697647</v>
      </c>
      <c r="C71" s="1" t="s">
        <v>526</v>
      </c>
      <c r="D71" s="28">
        <v>44908</v>
      </c>
      <c r="E71" s="14"/>
      <c r="F71" s="14" t="s">
        <v>122</v>
      </c>
      <c r="G71" s="49">
        <v>45962</v>
      </c>
      <c r="H71" s="49">
        <v>45992</v>
      </c>
      <c r="I71" s="28">
        <v>45967</v>
      </c>
      <c r="J71" s="29" t="s">
        <v>69</v>
      </c>
      <c r="K71" s="52">
        <v>1</v>
      </c>
      <c r="L71" s="13">
        <v>56.5</v>
      </c>
      <c r="M71" s="53">
        <v>0.09</v>
      </c>
      <c r="N71" s="13">
        <v>5.09</v>
      </c>
      <c r="O71" s="29" t="s">
        <v>72</v>
      </c>
      <c r="Q71" s="5" t="s">
        <v>563</v>
      </c>
      <c r="R71" t="s">
        <v>565</v>
      </c>
      <c r="S71" t="str">
        <f t="shared" si="1"/>
        <v>Kimberly Dickerson</v>
      </c>
      <c r="T71">
        <v>16243811</v>
      </c>
    </row>
    <row r="72" spans="1:20" ht="15" customHeight="1" x14ac:dyDescent="0.2">
      <c r="A72" s="1" t="s">
        <v>65</v>
      </c>
      <c r="B72" s="51">
        <v>441697650</v>
      </c>
      <c r="C72" s="1" t="s">
        <v>526</v>
      </c>
      <c r="D72" s="28">
        <v>44908</v>
      </c>
      <c r="E72" s="14"/>
      <c r="F72" s="14" t="s">
        <v>204</v>
      </c>
      <c r="G72" s="49">
        <v>45962</v>
      </c>
      <c r="H72" s="49">
        <v>45992</v>
      </c>
      <c r="I72" s="28">
        <v>45967</v>
      </c>
      <c r="J72" s="29" t="s">
        <v>69</v>
      </c>
      <c r="K72" s="52">
        <v>1</v>
      </c>
      <c r="L72" s="13">
        <v>16</v>
      </c>
      <c r="M72" s="53">
        <v>0.09</v>
      </c>
      <c r="N72" s="13">
        <v>1.44</v>
      </c>
      <c r="O72" s="29" t="s">
        <v>72</v>
      </c>
      <c r="Q72" s="5" t="s">
        <v>563</v>
      </c>
      <c r="R72" t="s">
        <v>565</v>
      </c>
      <c r="S72" t="str">
        <f t="shared" si="1"/>
        <v>Kimberly Dickerson</v>
      </c>
      <c r="T72">
        <v>16243811</v>
      </c>
    </row>
    <row r="73" spans="1:20" ht="15" customHeight="1" x14ac:dyDescent="0.2">
      <c r="A73" s="1" t="s">
        <v>65</v>
      </c>
      <c r="B73" s="51">
        <v>441698084</v>
      </c>
      <c r="C73" s="1" t="s">
        <v>253</v>
      </c>
      <c r="D73" s="28">
        <v>44927</v>
      </c>
      <c r="E73" s="14"/>
      <c r="F73" s="14" t="s">
        <v>254</v>
      </c>
      <c r="G73" s="49">
        <v>45962</v>
      </c>
      <c r="H73" s="49">
        <v>45992</v>
      </c>
      <c r="I73" s="28">
        <v>45966</v>
      </c>
      <c r="J73" s="29" t="s">
        <v>69</v>
      </c>
      <c r="K73" s="52">
        <v>1</v>
      </c>
      <c r="L73" s="13">
        <v>114.4</v>
      </c>
      <c r="M73" s="53">
        <v>0.03</v>
      </c>
      <c r="N73" s="13">
        <v>3.43</v>
      </c>
      <c r="O73" s="29" t="s">
        <v>72</v>
      </c>
      <c r="Q73" s="5" t="s">
        <v>566</v>
      </c>
      <c r="R73" t="s">
        <v>567</v>
      </c>
      <c r="S73" t="str">
        <f t="shared" si="1"/>
        <v>Carol Foley</v>
      </c>
      <c r="T73">
        <v>17425766</v>
      </c>
    </row>
    <row r="74" spans="1:20" ht="15" customHeight="1" x14ac:dyDescent="0.2">
      <c r="A74" s="1" t="s">
        <v>65</v>
      </c>
      <c r="B74" s="51">
        <v>441698089</v>
      </c>
      <c r="C74" s="1" t="s">
        <v>253</v>
      </c>
      <c r="D74" s="28">
        <v>44927</v>
      </c>
      <c r="E74" s="14"/>
      <c r="F74" s="14" t="s">
        <v>256</v>
      </c>
      <c r="G74" s="49">
        <v>45962</v>
      </c>
      <c r="H74" s="49">
        <v>45992</v>
      </c>
      <c r="I74" s="28">
        <v>45966</v>
      </c>
      <c r="J74" s="29" t="s">
        <v>69</v>
      </c>
      <c r="K74" s="52">
        <v>1</v>
      </c>
      <c r="L74" s="13">
        <v>22.5</v>
      </c>
      <c r="M74" s="53">
        <v>0.03</v>
      </c>
      <c r="N74" s="13">
        <v>0.68</v>
      </c>
      <c r="O74" s="29" t="s">
        <v>72</v>
      </c>
      <c r="Q74" s="5" t="s">
        <v>566</v>
      </c>
      <c r="R74" t="s">
        <v>567</v>
      </c>
      <c r="S74" t="str">
        <f t="shared" si="1"/>
        <v>Carol Foley</v>
      </c>
      <c r="T74">
        <v>17425766</v>
      </c>
    </row>
    <row r="75" spans="1:20" ht="15" customHeight="1" x14ac:dyDescent="0.2">
      <c r="A75" s="1" t="s">
        <v>65</v>
      </c>
      <c r="B75" s="51">
        <v>441698092</v>
      </c>
      <c r="C75" s="1" t="s">
        <v>253</v>
      </c>
      <c r="D75" s="28">
        <v>44927</v>
      </c>
      <c r="E75" s="14"/>
      <c r="F75" s="14" t="s">
        <v>213</v>
      </c>
      <c r="G75" s="49">
        <v>45962</v>
      </c>
      <c r="H75" s="49">
        <v>45992</v>
      </c>
      <c r="I75" s="28">
        <v>45966</v>
      </c>
      <c r="J75" s="29" t="s">
        <v>69</v>
      </c>
      <c r="K75" s="52">
        <v>1</v>
      </c>
      <c r="L75" s="13">
        <v>237.79</v>
      </c>
      <c r="M75" s="53">
        <v>0.03</v>
      </c>
      <c r="N75" s="13">
        <v>7.13</v>
      </c>
      <c r="O75" s="29" t="s">
        <v>72</v>
      </c>
      <c r="Q75" s="5" t="s">
        <v>566</v>
      </c>
      <c r="R75" t="s">
        <v>567</v>
      </c>
      <c r="S75" t="str">
        <f t="shared" si="1"/>
        <v>Carol Foley</v>
      </c>
      <c r="T75">
        <v>17425766</v>
      </c>
    </row>
    <row r="76" spans="1:20" ht="15" customHeight="1" x14ac:dyDescent="0.2">
      <c r="A76" s="1" t="s">
        <v>65</v>
      </c>
      <c r="B76" s="51">
        <v>441698343</v>
      </c>
      <c r="C76" s="1" t="s">
        <v>305</v>
      </c>
      <c r="D76" s="28">
        <v>44927</v>
      </c>
      <c r="E76" s="14"/>
      <c r="F76" s="14" t="s">
        <v>254</v>
      </c>
      <c r="G76" s="49">
        <v>45962</v>
      </c>
      <c r="H76" s="49">
        <v>45992</v>
      </c>
      <c r="I76" s="28">
        <v>45966</v>
      </c>
      <c r="J76" s="29" t="s">
        <v>69</v>
      </c>
      <c r="K76" s="52">
        <v>1</v>
      </c>
      <c r="L76" s="13">
        <v>32.76</v>
      </c>
      <c r="M76" s="53">
        <v>0.03</v>
      </c>
      <c r="N76" s="13">
        <v>0.98</v>
      </c>
      <c r="O76" s="29" t="s">
        <v>72</v>
      </c>
      <c r="Q76" s="5" t="s">
        <v>566</v>
      </c>
      <c r="R76" t="s">
        <v>567</v>
      </c>
      <c r="S76" t="str">
        <f t="shared" si="1"/>
        <v>Carol Foley</v>
      </c>
      <c r="T76">
        <v>17425766</v>
      </c>
    </row>
    <row r="77" spans="1:20" ht="15" customHeight="1" x14ac:dyDescent="0.2">
      <c r="A77" s="1" t="s">
        <v>65</v>
      </c>
      <c r="B77" s="51">
        <v>441698348</v>
      </c>
      <c r="C77" s="1" t="s">
        <v>305</v>
      </c>
      <c r="D77" s="28">
        <v>44927</v>
      </c>
      <c r="E77" s="14"/>
      <c r="F77" s="14" t="s">
        <v>213</v>
      </c>
      <c r="G77" s="49">
        <v>45962</v>
      </c>
      <c r="H77" s="49">
        <v>45992</v>
      </c>
      <c r="I77" s="28">
        <v>45966</v>
      </c>
      <c r="J77" s="29" t="s">
        <v>69</v>
      </c>
      <c r="K77" s="52">
        <v>1</v>
      </c>
      <c r="L77" s="13">
        <v>106.23</v>
      </c>
      <c r="M77" s="53">
        <v>0.03</v>
      </c>
      <c r="N77" s="13">
        <v>3.19</v>
      </c>
      <c r="O77" s="29" t="s">
        <v>72</v>
      </c>
      <c r="Q77" s="5" t="s">
        <v>566</v>
      </c>
      <c r="R77" t="s">
        <v>567</v>
      </c>
      <c r="S77" t="str">
        <f t="shared" si="1"/>
        <v>Carol Foley</v>
      </c>
      <c r="T77">
        <v>17425766</v>
      </c>
    </row>
    <row r="78" spans="1:20" ht="15" customHeight="1" x14ac:dyDescent="0.2">
      <c r="A78" s="1" t="s">
        <v>65</v>
      </c>
      <c r="B78" s="51">
        <v>441699461</v>
      </c>
      <c r="C78" s="1" t="s">
        <v>502</v>
      </c>
      <c r="D78" s="28">
        <v>44908</v>
      </c>
      <c r="E78" s="14"/>
      <c r="F78" s="14" t="s">
        <v>477</v>
      </c>
      <c r="G78" s="49">
        <v>45962</v>
      </c>
      <c r="H78" s="49">
        <v>45992</v>
      </c>
      <c r="I78" s="28">
        <v>45967</v>
      </c>
      <c r="J78" s="29" t="s">
        <v>69</v>
      </c>
      <c r="K78" s="52">
        <v>1</v>
      </c>
      <c r="L78" s="13">
        <v>15</v>
      </c>
      <c r="M78" s="53">
        <v>0.09</v>
      </c>
      <c r="N78" s="13">
        <v>1.35</v>
      </c>
      <c r="O78" s="29" t="s">
        <v>72</v>
      </c>
      <c r="Q78" s="5" t="s">
        <v>563</v>
      </c>
      <c r="R78" t="s">
        <v>565</v>
      </c>
      <c r="S78" t="str">
        <f t="shared" si="1"/>
        <v>Kimberly Dickerson</v>
      </c>
      <c r="T78">
        <v>16243811</v>
      </c>
    </row>
    <row r="79" spans="1:20" ht="15" customHeight="1" x14ac:dyDescent="0.2">
      <c r="A79" s="1" t="s">
        <v>65</v>
      </c>
      <c r="B79" s="51">
        <v>441699462</v>
      </c>
      <c r="C79" s="1" t="s">
        <v>502</v>
      </c>
      <c r="D79" s="28">
        <v>44908</v>
      </c>
      <c r="E79" s="14"/>
      <c r="F79" s="14" t="s">
        <v>449</v>
      </c>
      <c r="G79" s="49">
        <v>45962</v>
      </c>
      <c r="H79" s="49">
        <v>45992</v>
      </c>
      <c r="I79" s="28">
        <v>45967</v>
      </c>
      <c r="J79" s="29" t="s">
        <v>69</v>
      </c>
      <c r="K79" s="52">
        <v>1</v>
      </c>
      <c r="L79" s="13">
        <v>6.3</v>
      </c>
      <c r="M79" s="53">
        <v>0.09</v>
      </c>
      <c r="N79" s="13">
        <v>0.56999999999999995</v>
      </c>
      <c r="O79" s="29" t="s">
        <v>72</v>
      </c>
      <c r="Q79" s="5" t="s">
        <v>563</v>
      </c>
      <c r="R79" t="s">
        <v>565</v>
      </c>
      <c r="S79" t="str">
        <f t="shared" si="1"/>
        <v>Kimberly Dickerson</v>
      </c>
      <c r="T79">
        <v>16243811</v>
      </c>
    </row>
    <row r="80" spans="1:20" ht="15" customHeight="1" x14ac:dyDescent="0.2">
      <c r="A80" s="1" t="s">
        <v>65</v>
      </c>
      <c r="B80" s="51">
        <v>441699464</v>
      </c>
      <c r="C80" s="1" t="s">
        <v>502</v>
      </c>
      <c r="D80" s="28">
        <v>44908</v>
      </c>
      <c r="E80" s="14"/>
      <c r="F80" s="14" t="s">
        <v>474</v>
      </c>
      <c r="G80" s="49">
        <v>45962</v>
      </c>
      <c r="H80" s="49">
        <v>45992</v>
      </c>
      <c r="I80" s="28">
        <v>45967</v>
      </c>
      <c r="J80" s="29" t="s">
        <v>69</v>
      </c>
      <c r="K80" s="52">
        <v>1</v>
      </c>
      <c r="L80" s="13">
        <v>28</v>
      </c>
      <c r="M80" s="53">
        <v>0.09</v>
      </c>
      <c r="N80" s="13">
        <v>2.52</v>
      </c>
      <c r="O80" s="29" t="s">
        <v>72</v>
      </c>
      <c r="Q80" s="5" t="s">
        <v>563</v>
      </c>
      <c r="R80" t="s">
        <v>565</v>
      </c>
      <c r="S80" t="str">
        <f t="shared" si="1"/>
        <v>Kimberly Dickerson</v>
      </c>
      <c r="T80">
        <v>16243811</v>
      </c>
    </row>
    <row r="81" spans="1:20" ht="15" customHeight="1" x14ac:dyDescent="0.2">
      <c r="A81" s="1" t="s">
        <v>65</v>
      </c>
      <c r="B81" s="51">
        <v>441699465</v>
      </c>
      <c r="C81" s="1" t="s">
        <v>502</v>
      </c>
      <c r="D81" s="28">
        <v>44908</v>
      </c>
      <c r="E81" s="14"/>
      <c r="F81" s="14" t="s">
        <v>273</v>
      </c>
      <c r="G81" s="49">
        <v>45962</v>
      </c>
      <c r="H81" s="49">
        <v>45992</v>
      </c>
      <c r="I81" s="28">
        <v>45967</v>
      </c>
      <c r="J81" s="29" t="s">
        <v>69</v>
      </c>
      <c r="K81" s="52">
        <v>1</v>
      </c>
      <c r="L81" s="13">
        <v>23</v>
      </c>
      <c r="M81" s="53">
        <v>0.09</v>
      </c>
      <c r="N81" s="13">
        <v>2.0699999999999998</v>
      </c>
      <c r="O81" s="29" t="s">
        <v>72</v>
      </c>
      <c r="Q81" s="5" t="s">
        <v>563</v>
      </c>
      <c r="R81" t="s">
        <v>565</v>
      </c>
      <c r="S81" t="str">
        <f t="shared" si="1"/>
        <v>Kimberly Dickerson</v>
      </c>
      <c r="T81">
        <v>16243811</v>
      </c>
    </row>
    <row r="82" spans="1:20" ht="15" customHeight="1" x14ac:dyDescent="0.2">
      <c r="A82" s="1" t="s">
        <v>65</v>
      </c>
      <c r="B82" s="51">
        <v>441705578</v>
      </c>
      <c r="C82" s="1" t="s">
        <v>281</v>
      </c>
      <c r="D82" s="28">
        <v>44910</v>
      </c>
      <c r="E82" s="14"/>
      <c r="F82" s="14" t="s">
        <v>282</v>
      </c>
      <c r="G82" s="49">
        <v>45962</v>
      </c>
      <c r="H82" s="49">
        <v>45992</v>
      </c>
      <c r="I82" s="28">
        <v>45968</v>
      </c>
      <c r="J82" s="29" t="s">
        <v>69</v>
      </c>
      <c r="K82" s="52">
        <v>1</v>
      </c>
      <c r="L82" s="13">
        <v>196.66</v>
      </c>
      <c r="M82" s="53">
        <v>0.06</v>
      </c>
      <c r="N82" s="13">
        <v>11.8</v>
      </c>
      <c r="O82" s="29" t="s">
        <v>72</v>
      </c>
      <c r="Q82" s="5" t="s">
        <v>566</v>
      </c>
      <c r="R82" t="s">
        <v>567</v>
      </c>
      <c r="S82" t="str">
        <f t="shared" si="1"/>
        <v>Carol Foley</v>
      </c>
      <c r="T82">
        <v>17425766</v>
      </c>
    </row>
    <row r="83" spans="1:20" ht="15" customHeight="1" x14ac:dyDescent="0.2">
      <c r="A83" s="1" t="s">
        <v>65</v>
      </c>
      <c r="B83" s="51">
        <v>441707181</v>
      </c>
      <c r="C83" s="1" t="s">
        <v>517</v>
      </c>
      <c r="D83" s="28">
        <v>44909</v>
      </c>
      <c r="E83" s="14"/>
      <c r="F83" s="14" t="s">
        <v>122</v>
      </c>
      <c r="G83" s="49">
        <v>45962</v>
      </c>
      <c r="H83" s="49">
        <v>45992</v>
      </c>
      <c r="I83" s="28">
        <v>45968</v>
      </c>
      <c r="J83" s="29" t="s">
        <v>69</v>
      </c>
      <c r="K83" s="52">
        <v>1</v>
      </c>
      <c r="L83" s="13">
        <v>41.7</v>
      </c>
      <c r="M83" s="53">
        <v>0.09</v>
      </c>
      <c r="N83" s="13">
        <v>3.75</v>
      </c>
      <c r="O83" s="29" t="s">
        <v>72</v>
      </c>
      <c r="Q83" s="5" t="s">
        <v>563</v>
      </c>
      <c r="R83" t="s">
        <v>565</v>
      </c>
      <c r="S83" t="str">
        <f t="shared" si="1"/>
        <v>Kimberly Dickerson</v>
      </c>
      <c r="T83">
        <v>16243811</v>
      </c>
    </row>
    <row r="84" spans="1:20" ht="15" customHeight="1" x14ac:dyDescent="0.2">
      <c r="A84" s="1" t="s">
        <v>65</v>
      </c>
      <c r="B84" s="51">
        <v>441709754</v>
      </c>
      <c r="C84" s="1" t="s">
        <v>272</v>
      </c>
      <c r="D84" s="28">
        <v>44927</v>
      </c>
      <c r="E84" s="14"/>
      <c r="F84" s="14" t="s">
        <v>273</v>
      </c>
      <c r="G84" s="49">
        <v>45962</v>
      </c>
      <c r="H84" s="49">
        <v>45992</v>
      </c>
      <c r="I84" s="28">
        <v>45966</v>
      </c>
      <c r="J84" s="29" t="s">
        <v>69</v>
      </c>
      <c r="K84" s="52">
        <v>1</v>
      </c>
      <c r="L84" s="13">
        <v>23</v>
      </c>
      <c r="M84" s="53">
        <v>0.03</v>
      </c>
      <c r="N84" s="13">
        <v>0.69</v>
      </c>
      <c r="O84" s="29" t="s">
        <v>72</v>
      </c>
      <c r="Q84" s="5" t="s">
        <v>566</v>
      </c>
      <c r="R84" t="s">
        <v>567</v>
      </c>
      <c r="S84" t="str">
        <f t="shared" si="1"/>
        <v>Carol Foley</v>
      </c>
      <c r="T84">
        <v>17425766</v>
      </c>
    </row>
    <row r="85" spans="1:20" ht="15" customHeight="1" x14ac:dyDescent="0.2">
      <c r="A85" s="1" t="s">
        <v>65</v>
      </c>
      <c r="B85" s="51">
        <v>441710405</v>
      </c>
      <c r="C85" s="1" t="s">
        <v>266</v>
      </c>
      <c r="D85" s="28">
        <v>44927</v>
      </c>
      <c r="E85" s="14"/>
      <c r="F85" s="14" t="s">
        <v>267</v>
      </c>
      <c r="G85" s="49">
        <v>45962</v>
      </c>
      <c r="H85" s="49">
        <v>45992</v>
      </c>
      <c r="I85" s="28">
        <v>45966</v>
      </c>
      <c r="J85" s="29" t="s">
        <v>69</v>
      </c>
      <c r="K85" s="52">
        <v>1</v>
      </c>
      <c r="L85" s="13">
        <v>14.04</v>
      </c>
      <c r="M85" s="53">
        <v>0.03</v>
      </c>
      <c r="N85" s="13">
        <v>0.42</v>
      </c>
      <c r="O85" s="29" t="s">
        <v>72</v>
      </c>
      <c r="Q85" s="5" t="s">
        <v>566</v>
      </c>
      <c r="R85" t="s">
        <v>567</v>
      </c>
      <c r="S85" t="str">
        <f t="shared" si="1"/>
        <v>Carol Foley</v>
      </c>
      <c r="T85">
        <v>17425766</v>
      </c>
    </row>
    <row r="86" spans="1:20" ht="15" customHeight="1" x14ac:dyDescent="0.2">
      <c r="A86" s="1" t="s">
        <v>65</v>
      </c>
      <c r="B86" s="51">
        <v>441713408</v>
      </c>
      <c r="C86" s="1" t="s">
        <v>536</v>
      </c>
      <c r="D86" s="28">
        <v>44910</v>
      </c>
      <c r="E86" s="14"/>
      <c r="F86" s="14" t="s">
        <v>537</v>
      </c>
      <c r="G86" s="49">
        <v>45962</v>
      </c>
      <c r="H86" s="49">
        <v>45992</v>
      </c>
      <c r="I86" s="28">
        <v>45968</v>
      </c>
      <c r="J86" s="29" t="s">
        <v>69</v>
      </c>
      <c r="K86" s="52">
        <v>1</v>
      </c>
      <c r="L86" s="13">
        <v>6.66</v>
      </c>
      <c r="M86" s="53">
        <v>0.09</v>
      </c>
      <c r="N86" s="13">
        <v>0.6</v>
      </c>
      <c r="O86" s="29" t="s">
        <v>72</v>
      </c>
      <c r="Q86" s="5" t="s">
        <v>563</v>
      </c>
      <c r="R86" t="s">
        <v>565</v>
      </c>
      <c r="S86" t="str">
        <f t="shared" si="1"/>
        <v>Kimberly Dickerson</v>
      </c>
      <c r="T86">
        <v>16243811</v>
      </c>
    </row>
    <row r="87" spans="1:20" ht="15" customHeight="1" x14ac:dyDescent="0.2">
      <c r="A87" s="1" t="s">
        <v>65</v>
      </c>
      <c r="B87" s="51">
        <v>441713409</v>
      </c>
      <c r="C87" s="1" t="s">
        <v>536</v>
      </c>
      <c r="D87" s="28">
        <v>44910</v>
      </c>
      <c r="E87" s="14"/>
      <c r="F87" s="14" t="s">
        <v>85</v>
      </c>
      <c r="G87" s="49">
        <v>45962</v>
      </c>
      <c r="H87" s="49">
        <v>45992</v>
      </c>
      <c r="I87" s="28">
        <v>45968</v>
      </c>
      <c r="J87" s="29" t="s">
        <v>69</v>
      </c>
      <c r="K87" s="52">
        <v>1</v>
      </c>
      <c r="L87" s="13">
        <v>16</v>
      </c>
      <c r="M87" s="53">
        <v>0.09</v>
      </c>
      <c r="N87" s="13">
        <v>1.44</v>
      </c>
      <c r="O87" s="29" t="s">
        <v>72</v>
      </c>
      <c r="Q87" s="5" t="s">
        <v>563</v>
      </c>
      <c r="R87" t="s">
        <v>565</v>
      </c>
      <c r="S87" t="str">
        <f t="shared" si="1"/>
        <v>Kimberly Dickerson</v>
      </c>
      <c r="T87">
        <v>16243811</v>
      </c>
    </row>
    <row r="88" spans="1:20" ht="15" customHeight="1" x14ac:dyDescent="0.2">
      <c r="A88" s="1" t="s">
        <v>65</v>
      </c>
      <c r="B88" s="51">
        <v>441713414</v>
      </c>
      <c r="C88" s="1" t="s">
        <v>557</v>
      </c>
      <c r="D88" s="28">
        <v>44910</v>
      </c>
      <c r="E88" s="14"/>
      <c r="F88" s="14" t="s">
        <v>558</v>
      </c>
      <c r="G88" s="49">
        <v>45962</v>
      </c>
      <c r="H88" s="49">
        <v>45992</v>
      </c>
      <c r="I88" s="28">
        <v>45968</v>
      </c>
      <c r="J88" s="29" t="s">
        <v>69</v>
      </c>
      <c r="K88" s="52">
        <v>1</v>
      </c>
      <c r="L88" s="13">
        <v>19.760000000000002</v>
      </c>
      <c r="M88" s="53">
        <v>0.09</v>
      </c>
      <c r="N88" s="13">
        <v>1.78</v>
      </c>
      <c r="O88" s="29" t="s">
        <v>72</v>
      </c>
      <c r="Q88" s="5" t="s">
        <v>563</v>
      </c>
      <c r="R88" t="s">
        <v>565</v>
      </c>
      <c r="S88" t="str">
        <f t="shared" si="1"/>
        <v>Kimberly Dickerson</v>
      </c>
      <c r="T88">
        <v>16243811</v>
      </c>
    </row>
    <row r="89" spans="1:20" ht="15" customHeight="1" x14ac:dyDescent="0.2">
      <c r="A89" s="1" t="s">
        <v>65</v>
      </c>
      <c r="B89" s="51">
        <v>441715464</v>
      </c>
      <c r="C89" s="1" t="s">
        <v>473</v>
      </c>
      <c r="D89" s="28">
        <v>44927</v>
      </c>
      <c r="E89" s="14"/>
      <c r="F89" s="14" t="s">
        <v>474</v>
      </c>
      <c r="G89" s="49">
        <v>45962</v>
      </c>
      <c r="H89" s="49">
        <v>45992</v>
      </c>
      <c r="I89" s="28">
        <v>45966</v>
      </c>
      <c r="J89" s="29" t="s">
        <v>69</v>
      </c>
      <c r="K89" s="52">
        <v>1</v>
      </c>
      <c r="L89" s="13">
        <v>28</v>
      </c>
      <c r="M89" s="53">
        <v>0.09</v>
      </c>
      <c r="N89" s="13">
        <v>2.52</v>
      </c>
      <c r="O89" s="29" t="s">
        <v>72</v>
      </c>
      <c r="Q89" s="5" t="s">
        <v>563</v>
      </c>
      <c r="R89" t="s">
        <v>565</v>
      </c>
      <c r="S89" t="str">
        <f t="shared" si="1"/>
        <v>Kimberly Dickerson</v>
      </c>
      <c r="T89">
        <v>16243811</v>
      </c>
    </row>
    <row r="90" spans="1:20" ht="15" customHeight="1" x14ac:dyDescent="0.2">
      <c r="A90" s="1" t="s">
        <v>65</v>
      </c>
      <c r="B90" s="51">
        <v>441715465</v>
      </c>
      <c r="C90" s="1" t="s">
        <v>473</v>
      </c>
      <c r="D90" s="28">
        <v>44927</v>
      </c>
      <c r="E90" s="14"/>
      <c r="F90" s="14" t="s">
        <v>286</v>
      </c>
      <c r="G90" s="49">
        <v>45962</v>
      </c>
      <c r="H90" s="49">
        <v>45992</v>
      </c>
      <c r="I90" s="28">
        <v>45966</v>
      </c>
      <c r="J90" s="29" t="s">
        <v>69</v>
      </c>
      <c r="K90" s="52">
        <v>1</v>
      </c>
      <c r="L90" s="13">
        <v>42.64</v>
      </c>
      <c r="M90" s="53">
        <v>0.09</v>
      </c>
      <c r="N90" s="13">
        <v>3.84</v>
      </c>
      <c r="O90" s="29" t="s">
        <v>72</v>
      </c>
      <c r="Q90" s="5" t="s">
        <v>563</v>
      </c>
      <c r="R90" t="s">
        <v>565</v>
      </c>
      <c r="S90" t="str">
        <f t="shared" si="1"/>
        <v>Kimberly Dickerson</v>
      </c>
      <c r="T90">
        <v>16243811</v>
      </c>
    </row>
    <row r="91" spans="1:20" ht="15" customHeight="1" x14ac:dyDescent="0.2">
      <c r="A91" s="1" t="s">
        <v>65</v>
      </c>
      <c r="B91" s="51">
        <v>441715466</v>
      </c>
      <c r="C91" s="1" t="s">
        <v>473</v>
      </c>
      <c r="D91" s="28">
        <v>44927</v>
      </c>
      <c r="E91" s="14"/>
      <c r="F91" s="14" t="s">
        <v>477</v>
      </c>
      <c r="G91" s="49">
        <v>45962</v>
      </c>
      <c r="H91" s="49">
        <v>45992</v>
      </c>
      <c r="I91" s="28">
        <v>45966</v>
      </c>
      <c r="J91" s="29" t="s">
        <v>69</v>
      </c>
      <c r="K91" s="52">
        <v>1</v>
      </c>
      <c r="L91" s="13">
        <v>15</v>
      </c>
      <c r="M91" s="53">
        <v>0.09</v>
      </c>
      <c r="N91" s="13">
        <v>1.35</v>
      </c>
      <c r="O91" s="29" t="s">
        <v>72</v>
      </c>
      <c r="Q91" s="5" t="s">
        <v>563</v>
      </c>
      <c r="R91" t="s">
        <v>565</v>
      </c>
      <c r="S91" t="str">
        <f t="shared" si="1"/>
        <v>Kimberly Dickerson</v>
      </c>
      <c r="T91">
        <v>16243811</v>
      </c>
    </row>
    <row r="92" spans="1:20" ht="15" customHeight="1" x14ac:dyDescent="0.2">
      <c r="A92" s="1" t="s">
        <v>65</v>
      </c>
      <c r="B92" s="51">
        <v>441715478</v>
      </c>
      <c r="C92" s="1" t="s">
        <v>473</v>
      </c>
      <c r="D92" s="28">
        <v>44927</v>
      </c>
      <c r="E92" s="14"/>
      <c r="F92" s="14" t="s">
        <v>367</v>
      </c>
      <c r="G92" s="49">
        <v>45962</v>
      </c>
      <c r="H92" s="49">
        <v>45992</v>
      </c>
      <c r="I92" s="28">
        <v>45966</v>
      </c>
      <c r="J92" s="29" t="s">
        <v>69</v>
      </c>
      <c r="K92" s="52">
        <v>1</v>
      </c>
      <c r="L92" s="13">
        <v>24.98</v>
      </c>
      <c r="M92" s="53">
        <v>0.09</v>
      </c>
      <c r="N92" s="13">
        <v>2.25</v>
      </c>
      <c r="O92" s="29" t="s">
        <v>72</v>
      </c>
      <c r="Q92" s="5" t="s">
        <v>563</v>
      </c>
      <c r="R92" t="s">
        <v>565</v>
      </c>
      <c r="S92" t="str">
        <f t="shared" si="1"/>
        <v>Kimberly Dickerson</v>
      </c>
      <c r="T92">
        <v>16243811</v>
      </c>
    </row>
    <row r="93" spans="1:20" ht="15" customHeight="1" x14ac:dyDescent="0.2">
      <c r="A93" s="1" t="s">
        <v>65</v>
      </c>
      <c r="B93" s="51">
        <v>441722441</v>
      </c>
      <c r="C93" s="1" t="s">
        <v>129</v>
      </c>
      <c r="D93" s="28">
        <v>44927</v>
      </c>
      <c r="E93" s="14"/>
      <c r="F93" s="14" t="s">
        <v>130</v>
      </c>
      <c r="G93" s="49">
        <v>45962</v>
      </c>
      <c r="H93" s="49">
        <v>45992</v>
      </c>
      <c r="I93" s="28">
        <v>45966</v>
      </c>
      <c r="J93" s="29" t="s">
        <v>69</v>
      </c>
      <c r="K93" s="52">
        <v>1</v>
      </c>
      <c r="L93" s="13">
        <v>67.03</v>
      </c>
      <c r="M93" s="53">
        <v>0.09</v>
      </c>
      <c r="N93" s="13">
        <v>6.03</v>
      </c>
      <c r="O93" s="29" t="s">
        <v>72</v>
      </c>
      <c r="Q93" s="5" t="s">
        <v>561</v>
      </c>
      <c r="R93" t="s">
        <v>562</v>
      </c>
      <c r="S93" t="str">
        <f t="shared" si="1"/>
        <v>Ashley Teipel</v>
      </c>
      <c r="T93">
        <v>20436925</v>
      </c>
    </row>
    <row r="94" spans="1:20" ht="15" customHeight="1" x14ac:dyDescent="0.2">
      <c r="A94" s="1" t="s">
        <v>65</v>
      </c>
      <c r="B94" s="51">
        <v>441724483</v>
      </c>
      <c r="C94" s="1" t="s">
        <v>433</v>
      </c>
      <c r="D94" s="28">
        <v>44927</v>
      </c>
      <c r="E94" s="14"/>
      <c r="F94" s="14" t="s">
        <v>85</v>
      </c>
      <c r="G94" s="49">
        <v>45962</v>
      </c>
      <c r="H94" s="49">
        <v>45992</v>
      </c>
      <c r="I94" s="28">
        <v>45966</v>
      </c>
      <c r="J94" s="29" t="s">
        <v>69</v>
      </c>
      <c r="K94" s="52">
        <v>1</v>
      </c>
      <c r="L94" s="13">
        <v>16</v>
      </c>
      <c r="M94" s="53">
        <v>0.09</v>
      </c>
      <c r="N94" s="13">
        <v>1.44</v>
      </c>
      <c r="O94" s="29" t="s">
        <v>72</v>
      </c>
      <c r="Q94" s="5" t="s">
        <v>568</v>
      </c>
      <c r="R94" t="s">
        <v>569</v>
      </c>
      <c r="S94" t="str">
        <f t="shared" si="1"/>
        <v>Jason Hoffmann</v>
      </c>
      <c r="T94">
        <v>15278437</v>
      </c>
    </row>
    <row r="95" spans="1:20" ht="15" customHeight="1" x14ac:dyDescent="0.2">
      <c r="A95" s="1" t="s">
        <v>65</v>
      </c>
      <c r="B95" s="51">
        <v>441724484</v>
      </c>
      <c r="C95" s="1" t="s">
        <v>433</v>
      </c>
      <c r="D95" s="28">
        <v>44927</v>
      </c>
      <c r="E95" s="14"/>
      <c r="F95" s="14" t="s">
        <v>202</v>
      </c>
      <c r="G95" s="49">
        <v>45962</v>
      </c>
      <c r="H95" s="49">
        <v>45992</v>
      </c>
      <c r="I95" s="28">
        <v>45966</v>
      </c>
      <c r="J95" s="29" t="s">
        <v>69</v>
      </c>
      <c r="K95" s="52">
        <v>1</v>
      </c>
      <c r="L95" s="13">
        <v>38</v>
      </c>
      <c r="M95" s="53">
        <v>0.09</v>
      </c>
      <c r="N95" s="13">
        <v>3.42</v>
      </c>
      <c r="O95" s="29" t="s">
        <v>72</v>
      </c>
      <c r="Q95" s="5" t="s">
        <v>568</v>
      </c>
      <c r="R95" t="s">
        <v>569</v>
      </c>
      <c r="S95" t="str">
        <f t="shared" si="1"/>
        <v>Jason Hoffmann</v>
      </c>
      <c r="T95">
        <v>15278437</v>
      </c>
    </row>
    <row r="96" spans="1:20" ht="15" customHeight="1" x14ac:dyDescent="0.2">
      <c r="A96" s="1" t="s">
        <v>65</v>
      </c>
      <c r="B96" s="51">
        <v>441724486</v>
      </c>
      <c r="C96" s="1" t="s">
        <v>433</v>
      </c>
      <c r="D96" s="28">
        <v>44927</v>
      </c>
      <c r="E96" s="14"/>
      <c r="F96" s="14" t="s">
        <v>74</v>
      </c>
      <c r="G96" s="49">
        <v>45962</v>
      </c>
      <c r="H96" s="49">
        <v>45992</v>
      </c>
      <c r="I96" s="28">
        <v>45966</v>
      </c>
      <c r="J96" s="29" t="s">
        <v>69</v>
      </c>
      <c r="K96" s="52">
        <v>1</v>
      </c>
      <c r="L96" s="13">
        <v>136.96</v>
      </c>
      <c r="M96" s="53">
        <v>0.18</v>
      </c>
      <c r="N96" s="13">
        <v>24.65</v>
      </c>
      <c r="O96" s="29" t="s">
        <v>72</v>
      </c>
      <c r="Q96" s="5" t="s">
        <v>568</v>
      </c>
      <c r="R96" t="s">
        <v>569</v>
      </c>
      <c r="S96" t="str">
        <f t="shared" si="1"/>
        <v>Jason Hoffmann</v>
      </c>
      <c r="T96">
        <v>15278437</v>
      </c>
    </row>
    <row r="97" spans="1:20" ht="15" customHeight="1" x14ac:dyDescent="0.2">
      <c r="A97" s="1" t="s">
        <v>65</v>
      </c>
      <c r="B97" s="51">
        <v>441726277</v>
      </c>
      <c r="C97" s="1" t="s">
        <v>115</v>
      </c>
      <c r="D97" s="28">
        <v>44927</v>
      </c>
      <c r="E97" s="14"/>
      <c r="F97" s="14" t="s">
        <v>116</v>
      </c>
      <c r="G97" s="49">
        <v>45962</v>
      </c>
      <c r="H97" s="49">
        <v>45992</v>
      </c>
      <c r="I97" s="28">
        <v>45966</v>
      </c>
      <c r="J97" s="29" t="s">
        <v>69</v>
      </c>
      <c r="K97" s="52">
        <v>1</v>
      </c>
      <c r="L97" s="13">
        <v>78.2</v>
      </c>
      <c r="M97" s="53">
        <v>0.09</v>
      </c>
      <c r="N97" s="13">
        <v>7.04</v>
      </c>
      <c r="O97" s="29" t="s">
        <v>72</v>
      </c>
      <c r="Q97" s="5" t="s">
        <v>561</v>
      </c>
      <c r="R97" t="s">
        <v>562</v>
      </c>
      <c r="S97" t="str">
        <f t="shared" si="1"/>
        <v>Ashley Teipel</v>
      </c>
      <c r="T97">
        <v>20436925</v>
      </c>
    </row>
    <row r="98" spans="1:20" ht="15" customHeight="1" x14ac:dyDescent="0.2">
      <c r="A98" s="1" t="s">
        <v>65</v>
      </c>
      <c r="B98" s="51">
        <v>441727097</v>
      </c>
      <c r="C98" s="1" t="s">
        <v>278</v>
      </c>
      <c r="D98" s="28">
        <v>44927</v>
      </c>
      <c r="E98" s="14"/>
      <c r="F98" s="14" t="s">
        <v>171</v>
      </c>
      <c r="G98" s="49">
        <v>45962</v>
      </c>
      <c r="H98" s="49">
        <v>45992</v>
      </c>
      <c r="I98" s="28">
        <v>45966</v>
      </c>
      <c r="J98" s="29" t="s">
        <v>69</v>
      </c>
      <c r="K98" s="52">
        <v>1</v>
      </c>
      <c r="L98" s="13">
        <v>13.6</v>
      </c>
      <c r="M98" s="53">
        <v>0.03</v>
      </c>
      <c r="N98" s="13">
        <v>0.41</v>
      </c>
      <c r="O98" s="29" t="s">
        <v>72</v>
      </c>
      <c r="Q98" s="5" t="s">
        <v>566</v>
      </c>
      <c r="R98" t="s">
        <v>567</v>
      </c>
      <c r="S98" t="str">
        <f t="shared" si="1"/>
        <v>Carol Foley</v>
      </c>
      <c r="T98">
        <v>17425766</v>
      </c>
    </row>
    <row r="99" spans="1:20" ht="15" customHeight="1" x14ac:dyDescent="0.2">
      <c r="A99" s="1" t="s">
        <v>65</v>
      </c>
      <c r="B99" s="51">
        <v>441727099</v>
      </c>
      <c r="C99" s="1" t="s">
        <v>278</v>
      </c>
      <c r="D99" s="28">
        <v>44927</v>
      </c>
      <c r="E99" s="14"/>
      <c r="F99" s="14" t="s">
        <v>189</v>
      </c>
      <c r="G99" s="49">
        <v>45962</v>
      </c>
      <c r="H99" s="49">
        <v>45992</v>
      </c>
      <c r="I99" s="28">
        <v>45966</v>
      </c>
      <c r="J99" s="29" t="s">
        <v>69</v>
      </c>
      <c r="K99" s="52">
        <v>1</v>
      </c>
      <c r="L99" s="13">
        <v>56.38</v>
      </c>
      <c r="M99" s="53">
        <v>0.06</v>
      </c>
      <c r="N99" s="13">
        <v>3.38</v>
      </c>
      <c r="O99" s="29" t="s">
        <v>72</v>
      </c>
      <c r="Q99" s="5" t="s">
        <v>566</v>
      </c>
      <c r="R99" t="s">
        <v>567</v>
      </c>
      <c r="S99" t="str">
        <f t="shared" si="1"/>
        <v>Carol Foley</v>
      </c>
      <c r="T99">
        <v>17425766</v>
      </c>
    </row>
    <row r="100" spans="1:20" ht="15" customHeight="1" x14ac:dyDescent="0.2">
      <c r="A100" s="1" t="s">
        <v>65</v>
      </c>
      <c r="B100" s="51">
        <v>441730187</v>
      </c>
      <c r="C100" s="1" t="s">
        <v>464</v>
      </c>
      <c r="D100" s="28">
        <v>44927</v>
      </c>
      <c r="E100" s="14"/>
      <c r="F100" s="14" t="s">
        <v>465</v>
      </c>
      <c r="G100" s="49">
        <v>45962</v>
      </c>
      <c r="H100" s="49">
        <v>45992</v>
      </c>
      <c r="I100" s="28">
        <v>45966</v>
      </c>
      <c r="J100" s="29" t="s">
        <v>69</v>
      </c>
      <c r="K100" s="52">
        <v>1</v>
      </c>
      <c r="L100" s="13">
        <v>9</v>
      </c>
      <c r="M100" s="53">
        <v>0.09</v>
      </c>
      <c r="N100" s="13">
        <v>0.81</v>
      </c>
      <c r="O100" s="29" t="s">
        <v>72</v>
      </c>
      <c r="Q100" s="5" t="s">
        <v>563</v>
      </c>
      <c r="R100" t="s">
        <v>565</v>
      </c>
      <c r="S100" t="str">
        <f t="shared" si="1"/>
        <v>Kimberly Dickerson</v>
      </c>
      <c r="T100">
        <v>16243811</v>
      </c>
    </row>
    <row r="101" spans="1:20" ht="15" customHeight="1" x14ac:dyDescent="0.2">
      <c r="A101" s="1" t="s">
        <v>65</v>
      </c>
      <c r="B101" s="51">
        <v>441731239</v>
      </c>
      <c r="C101" s="1" t="s">
        <v>549</v>
      </c>
      <c r="D101" s="28">
        <v>44927</v>
      </c>
      <c r="E101" s="14"/>
      <c r="F101" s="14" t="s">
        <v>500</v>
      </c>
      <c r="G101" s="49">
        <v>45962</v>
      </c>
      <c r="H101" s="49">
        <v>45992</v>
      </c>
      <c r="I101" s="28">
        <v>45966</v>
      </c>
      <c r="J101" s="29" t="s">
        <v>69</v>
      </c>
      <c r="K101" s="52">
        <v>1</v>
      </c>
      <c r="L101" s="13">
        <v>38.630000000000003</v>
      </c>
      <c r="M101" s="53">
        <v>0.09</v>
      </c>
      <c r="N101" s="13">
        <v>3.48</v>
      </c>
      <c r="O101" s="29" t="s">
        <v>72</v>
      </c>
      <c r="Q101" s="5" t="s">
        <v>563</v>
      </c>
      <c r="R101" t="s">
        <v>565</v>
      </c>
      <c r="S101" t="str">
        <f t="shared" si="1"/>
        <v>Kimberly Dickerson</v>
      </c>
      <c r="T101">
        <v>16243811</v>
      </c>
    </row>
    <row r="102" spans="1:20" ht="15" customHeight="1" x14ac:dyDescent="0.2">
      <c r="A102" s="1" t="s">
        <v>65</v>
      </c>
      <c r="B102" s="51">
        <v>441731240</v>
      </c>
      <c r="C102" s="1" t="s">
        <v>549</v>
      </c>
      <c r="D102" s="28">
        <v>44927</v>
      </c>
      <c r="E102" s="14"/>
      <c r="F102" s="14" t="s">
        <v>465</v>
      </c>
      <c r="G102" s="49">
        <v>45962</v>
      </c>
      <c r="H102" s="49">
        <v>45992</v>
      </c>
      <c r="I102" s="28">
        <v>45966</v>
      </c>
      <c r="J102" s="29" t="s">
        <v>69</v>
      </c>
      <c r="K102" s="52">
        <v>1</v>
      </c>
      <c r="L102" s="13">
        <v>9</v>
      </c>
      <c r="M102" s="53">
        <v>0.09</v>
      </c>
      <c r="N102" s="13">
        <v>0.81</v>
      </c>
      <c r="O102" s="29" t="s">
        <v>72</v>
      </c>
      <c r="Q102" s="5" t="s">
        <v>563</v>
      </c>
      <c r="R102" t="s">
        <v>565</v>
      </c>
      <c r="S102" t="str">
        <f t="shared" si="1"/>
        <v>Kimberly Dickerson</v>
      </c>
      <c r="T102">
        <v>16243811</v>
      </c>
    </row>
    <row r="103" spans="1:20" ht="15" customHeight="1" x14ac:dyDescent="0.2">
      <c r="A103" s="1" t="s">
        <v>65</v>
      </c>
      <c r="B103" s="51">
        <v>441731242</v>
      </c>
      <c r="C103" s="1" t="s">
        <v>549</v>
      </c>
      <c r="D103" s="28">
        <v>44927</v>
      </c>
      <c r="E103" s="14"/>
      <c r="F103" s="14" t="s">
        <v>286</v>
      </c>
      <c r="G103" s="49">
        <v>45962</v>
      </c>
      <c r="H103" s="49">
        <v>45992</v>
      </c>
      <c r="I103" s="28">
        <v>45966</v>
      </c>
      <c r="J103" s="29" t="s">
        <v>69</v>
      </c>
      <c r="K103" s="52">
        <v>1</v>
      </c>
      <c r="L103" s="13">
        <v>42.64</v>
      </c>
      <c r="M103" s="53">
        <v>0.09</v>
      </c>
      <c r="N103" s="13">
        <v>3.84</v>
      </c>
      <c r="O103" s="29" t="s">
        <v>72</v>
      </c>
      <c r="Q103" s="5" t="s">
        <v>563</v>
      </c>
      <c r="R103" t="s">
        <v>565</v>
      </c>
      <c r="S103" t="str">
        <f t="shared" si="1"/>
        <v>Kimberly Dickerson</v>
      </c>
      <c r="T103">
        <v>16243811</v>
      </c>
    </row>
    <row r="104" spans="1:20" ht="15" customHeight="1" x14ac:dyDescent="0.2">
      <c r="A104" s="1" t="s">
        <v>65</v>
      </c>
      <c r="B104" s="51">
        <v>441731243</v>
      </c>
      <c r="C104" s="1" t="s">
        <v>549</v>
      </c>
      <c r="D104" s="28">
        <v>44927</v>
      </c>
      <c r="E104" s="14"/>
      <c r="F104" s="14" t="s">
        <v>231</v>
      </c>
      <c r="G104" s="49">
        <v>45962</v>
      </c>
      <c r="H104" s="49">
        <v>45992</v>
      </c>
      <c r="I104" s="28">
        <v>45966</v>
      </c>
      <c r="J104" s="29" t="s">
        <v>69</v>
      </c>
      <c r="K104" s="52">
        <v>1</v>
      </c>
      <c r="L104" s="13">
        <v>41.01</v>
      </c>
      <c r="M104" s="53">
        <v>0.09</v>
      </c>
      <c r="N104" s="13">
        <v>3.69</v>
      </c>
      <c r="O104" s="29" t="s">
        <v>72</v>
      </c>
      <c r="Q104" s="5" t="s">
        <v>563</v>
      </c>
      <c r="R104" t="s">
        <v>565</v>
      </c>
      <c r="S104" t="str">
        <f t="shared" si="1"/>
        <v>Kimberly Dickerson</v>
      </c>
      <c r="T104">
        <v>16243811</v>
      </c>
    </row>
    <row r="105" spans="1:20" ht="15" customHeight="1" x14ac:dyDescent="0.2">
      <c r="A105" s="1" t="s">
        <v>65</v>
      </c>
      <c r="B105" s="51">
        <v>441733220</v>
      </c>
      <c r="C105" s="1" t="s">
        <v>353</v>
      </c>
      <c r="D105" s="28">
        <v>44927</v>
      </c>
      <c r="E105" s="14"/>
      <c r="F105" s="14" t="s">
        <v>263</v>
      </c>
      <c r="G105" s="49">
        <v>45962</v>
      </c>
      <c r="H105" s="49">
        <v>45992</v>
      </c>
      <c r="I105" s="28">
        <v>45966</v>
      </c>
      <c r="J105" s="29" t="s">
        <v>69</v>
      </c>
      <c r="K105" s="52">
        <v>1</v>
      </c>
      <c r="L105" s="13">
        <v>32.130000000000003</v>
      </c>
      <c r="M105" s="53">
        <v>0.03</v>
      </c>
      <c r="N105" s="13">
        <v>0.96</v>
      </c>
      <c r="O105" s="29" t="s">
        <v>72</v>
      </c>
      <c r="Q105" s="5" t="s">
        <v>566</v>
      </c>
      <c r="R105" t="s">
        <v>567</v>
      </c>
      <c r="S105" t="str">
        <f t="shared" si="1"/>
        <v>Carol Foley</v>
      </c>
      <c r="T105">
        <v>17425766</v>
      </c>
    </row>
    <row r="106" spans="1:20" ht="15" customHeight="1" x14ac:dyDescent="0.2">
      <c r="A106" s="1" t="s">
        <v>65</v>
      </c>
      <c r="B106" s="51">
        <v>441733224</v>
      </c>
      <c r="C106" s="1" t="s">
        <v>353</v>
      </c>
      <c r="D106" s="28">
        <v>44927</v>
      </c>
      <c r="E106" s="14"/>
      <c r="F106" s="14" t="s">
        <v>213</v>
      </c>
      <c r="G106" s="49">
        <v>45962</v>
      </c>
      <c r="H106" s="49">
        <v>45992</v>
      </c>
      <c r="I106" s="28">
        <v>45966</v>
      </c>
      <c r="J106" s="29" t="s">
        <v>69</v>
      </c>
      <c r="K106" s="52">
        <v>1</v>
      </c>
      <c r="L106" s="13">
        <v>76.66</v>
      </c>
      <c r="M106" s="53">
        <v>0.06</v>
      </c>
      <c r="N106" s="13">
        <v>4.5999999999999996</v>
      </c>
      <c r="O106" s="29" t="s">
        <v>72</v>
      </c>
      <c r="Q106" s="5" t="s">
        <v>566</v>
      </c>
      <c r="R106" t="s">
        <v>567</v>
      </c>
      <c r="S106" t="str">
        <f t="shared" si="1"/>
        <v>Carol Foley</v>
      </c>
      <c r="T106">
        <v>17425766</v>
      </c>
    </row>
    <row r="107" spans="1:20" ht="15" customHeight="1" x14ac:dyDescent="0.2">
      <c r="A107" s="1" t="s">
        <v>65</v>
      </c>
      <c r="B107" s="51">
        <v>441739608</v>
      </c>
      <c r="C107" s="1" t="s">
        <v>456</v>
      </c>
      <c r="D107" s="28">
        <v>44927</v>
      </c>
      <c r="E107" s="14"/>
      <c r="F107" s="14" t="s">
        <v>449</v>
      </c>
      <c r="G107" s="49">
        <v>45962</v>
      </c>
      <c r="H107" s="49">
        <v>45992</v>
      </c>
      <c r="I107" s="28">
        <v>45966</v>
      </c>
      <c r="J107" s="29" t="s">
        <v>69</v>
      </c>
      <c r="K107" s="52">
        <v>1</v>
      </c>
      <c r="L107" s="13">
        <v>6.3</v>
      </c>
      <c r="M107" s="53">
        <v>0.09</v>
      </c>
      <c r="N107" s="13">
        <v>0.56999999999999995</v>
      </c>
      <c r="O107" s="29" t="s">
        <v>72</v>
      </c>
      <c r="Q107" s="5" t="s">
        <v>563</v>
      </c>
      <c r="R107" t="s">
        <v>565</v>
      </c>
      <c r="S107" t="str">
        <f t="shared" si="1"/>
        <v>Kimberly Dickerson</v>
      </c>
      <c r="T107">
        <v>16243811</v>
      </c>
    </row>
    <row r="108" spans="1:20" ht="15" customHeight="1" x14ac:dyDescent="0.2">
      <c r="A108" s="1" t="s">
        <v>65</v>
      </c>
      <c r="B108" s="51">
        <v>441739609</v>
      </c>
      <c r="C108" s="1" t="s">
        <v>456</v>
      </c>
      <c r="D108" s="28">
        <v>44927</v>
      </c>
      <c r="E108" s="14"/>
      <c r="F108" s="14" t="s">
        <v>458</v>
      </c>
      <c r="G108" s="49">
        <v>45962</v>
      </c>
      <c r="H108" s="49">
        <v>45992</v>
      </c>
      <c r="I108" s="28">
        <v>45966</v>
      </c>
      <c r="J108" s="29" t="s">
        <v>69</v>
      </c>
      <c r="K108" s="52">
        <v>1</v>
      </c>
      <c r="L108" s="13">
        <v>21.5</v>
      </c>
      <c r="M108" s="53">
        <v>0.09</v>
      </c>
      <c r="N108" s="13">
        <v>1.94</v>
      </c>
      <c r="O108" s="29" t="s">
        <v>72</v>
      </c>
      <c r="Q108" s="5" t="s">
        <v>563</v>
      </c>
      <c r="R108" t="s">
        <v>565</v>
      </c>
      <c r="S108" t="str">
        <f t="shared" si="1"/>
        <v>Kimberly Dickerson</v>
      </c>
      <c r="T108">
        <v>16243811</v>
      </c>
    </row>
    <row r="109" spans="1:20" ht="15" customHeight="1" x14ac:dyDescent="0.2">
      <c r="A109" s="1" t="s">
        <v>65</v>
      </c>
      <c r="B109" s="51">
        <v>441739610</v>
      </c>
      <c r="C109" s="1" t="s">
        <v>456</v>
      </c>
      <c r="D109" s="28">
        <v>44927</v>
      </c>
      <c r="E109" s="14"/>
      <c r="F109" s="14" t="s">
        <v>286</v>
      </c>
      <c r="G109" s="49">
        <v>45962</v>
      </c>
      <c r="H109" s="49">
        <v>45992</v>
      </c>
      <c r="I109" s="28">
        <v>45966</v>
      </c>
      <c r="J109" s="29" t="s">
        <v>69</v>
      </c>
      <c r="K109" s="52">
        <v>1</v>
      </c>
      <c r="L109" s="13">
        <v>42.64</v>
      </c>
      <c r="M109" s="53">
        <v>0.09</v>
      </c>
      <c r="N109" s="13">
        <v>3.84</v>
      </c>
      <c r="O109" s="29" t="s">
        <v>72</v>
      </c>
      <c r="Q109" s="5" t="s">
        <v>563</v>
      </c>
      <c r="R109" t="s">
        <v>565</v>
      </c>
      <c r="S109" t="str">
        <f t="shared" si="1"/>
        <v>Kimberly Dickerson</v>
      </c>
      <c r="T109">
        <v>16243811</v>
      </c>
    </row>
    <row r="110" spans="1:20" ht="15" customHeight="1" x14ac:dyDescent="0.2">
      <c r="A110" s="1" t="s">
        <v>65</v>
      </c>
      <c r="B110" s="51">
        <v>441739611</v>
      </c>
      <c r="C110" s="1" t="s">
        <v>456</v>
      </c>
      <c r="D110" s="28">
        <v>44927</v>
      </c>
      <c r="E110" s="14"/>
      <c r="F110" s="14" t="s">
        <v>461</v>
      </c>
      <c r="G110" s="49">
        <v>45962</v>
      </c>
      <c r="H110" s="49">
        <v>45992</v>
      </c>
      <c r="I110" s="28">
        <v>45966</v>
      </c>
      <c r="J110" s="29" t="s">
        <v>69</v>
      </c>
      <c r="K110" s="52">
        <v>1</v>
      </c>
      <c r="L110" s="13">
        <v>7.5</v>
      </c>
      <c r="M110" s="53">
        <v>0.09</v>
      </c>
      <c r="N110" s="13">
        <v>0.68</v>
      </c>
      <c r="O110" s="29" t="s">
        <v>72</v>
      </c>
      <c r="Q110" s="5" t="s">
        <v>563</v>
      </c>
      <c r="R110" t="s">
        <v>565</v>
      </c>
      <c r="S110" t="str">
        <f t="shared" si="1"/>
        <v>Kimberly Dickerson</v>
      </c>
      <c r="T110">
        <v>16243811</v>
      </c>
    </row>
    <row r="111" spans="1:20" ht="15" customHeight="1" x14ac:dyDescent="0.2">
      <c r="A111" s="1" t="s">
        <v>65</v>
      </c>
      <c r="B111" s="51">
        <v>441739612</v>
      </c>
      <c r="C111" s="1" t="s">
        <v>456</v>
      </c>
      <c r="D111" s="28">
        <v>44927</v>
      </c>
      <c r="E111" s="14"/>
      <c r="F111" s="14" t="s">
        <v>197</v>
      </c>
      <c r="G111" s="49">
        <v>45962</v>
      </c>
      <c r="H111" s="49">
        <v>45992</v>
      </c>
      <c r="I111" s="28">
        <v>45966</v>
      </c>
      <c r="J111" s="29" t="s">
        <v>69</v>
      </c>
      <c r="K111" s="52">
        <v>1</v>
      </c>
      <c r="L111" s="13">
        <v>74.83</v>
      </c>
      <c r="M111" s="53">
        <v>0.18</v>
      </c>
      <c r="N111" s="13">
        <v>13.47</v>
      </c>
      <c r="O111" s="29" t="s">
        <v>72</v>
      </c>
      <c r="Q111" s="5" t="s">
        <v>563</v>
      </c>
      <c r="R111" t="s">
        <v>565</v>
      </c>
      <c r="S111" t="str">
        <f t="shared" si="1"/>
        <v>Kimberly Dickerson</v>
      </c>
      <c r="T111">
        <v>16243811</v>
      </c>
    </row>
    <row r="112" spans="1:20" ht="15" customHeight="1" x14ac:dyDescent="0.2">
      <c r="A112" s="1" t="s">
        <v>65</v>
      </c>
      <c r="B112" s="51">
        <v>441740317</v>
      </c>
      <c r="C112" s="1" t="s">
        <v>497</v>
      </c>
      <c r="D112" s="28">
        <v>44927</v>
      </c>
      <c r="E112" s="14"/>
      <c r="F112" s="14" t="s">
        <v>465</v>
      </c>
      <c r="G112" s="49">
        <v>45962</v>
      </c>
      <c r="H112" s="49">
        <v>45992</v>
      </c>
      <c r="I112" s="28">
        <v>45966</v>
      </c>
      <c r="J112" s="29" t="s">
        <v>69</v>
      </c>
      <c r="K112" s="52">
        <v>1</v>
      </c>
      <c r="L112" s="13">
        <v>16</v>
      </c>
      <c r="M112" s="53">
        <v>0.09</v>
      </c>
      <c r="N112" s="13">
        <v>1.44</v>
      </c>
      <c r="O112" s="29" t="s">
        <v>72</v>
      </c>
      <c r="Q112" s="5" t="s">
        <v>563</v>
      </c>
      <c r="R112" t="s">
        <v>565</v>
      </c>
      <c r="S112" t="str">
        <f t="shared" si="1"/>
        <v>Kimberly Dickerson</v>
      </c>
      <c r="T112">
        <v>16243811</v>
      </c>
    </row>
    <row r="113" spans="1:20" ht="15" customHeight="1" x14ac:dyDescent="0.2">
      <c r="A113" s="1" t="s">
        <v>65</v>
      </c>
      <c r="B113" s="51">
        <v>441742016</v>
      </c>
      <c r="C113" s="1" t="s">
        <v>421</v>
      </c>
      <c r="D113" s="28">
        <v>44927</v>
      </c>
      <c r="E113" s="14"/>
      <c r="F113" s="14" t="s">
        <v>286</v>
      </c>
      <c r="G113" s="49">
        <v>45962</v>
      </c>
      <c r="H113" s="49">
        <v>45992</v>
      </c>
      <c r="I113" s="28">
        <v>45966</v>
      </c>
      <c r="J113" s="29" t="s">
        <v>69</v>
      </c>
      <c r="K113" s="52">
        <v>1</v>
      </c>
      <c r="L113" s="13">
        <v>39</v>
      </c>
      <c r="M113" s="53">
        <v>0.09</v>
      </c>
      <c r="N113" s="13">
        <v>3.51</v>
      </c>
      <c r="O113" s="29" t="s">
        <v>72</v>
      </c>
      <c r="Q113" s="5" t="s">
        <v>568</v>
      </c>
      <c r="R113" t="s">
        <v>569</v>
      </c>
      <c r="S113" t="str">
        <f t="shared" si="1"/>
        <v>Jason Hoffmann</v>
      </c>
      <c r="T113">
        <v>15278437</v>
      </c>
    </row>
    <row r="114" spans="1:20" ht="15" customHeight="1" x14ac:dyDescent="0.2">
      <c r="A114" s="1" t="s">
        <v>65</v>
      </c>
      <c r="B114" s="51">
        <v>441742020</v>
      </c>
      <c r="C114" s="1" t="s">
        <v>421</v>
      </c>
      <c r="D114" s="28">
        <v>44927</v>
      </c>
      <c r="E114" s="14"/>
      <c r="F114" s="14" t="s">
        <v>213</v>
      </c>
      <c r="G114" s="49">
        <v>45962</v>
      </c>
      <c r="H114" s="49">
        <v>45992</v>
      </c>
      <c r="I114" s="28">
        <v>45966</v>
      </c>
      <c r="J114" s="29" t="s">
        <v>69</v>
      </c>
      <c r="K114" s="52">
        <v>1</v>
      </c>
      <c r="L114" s="13">
        <v>91.23</v>
      </c>
      <c r="M114" s="53">
        <v>0.18</v>
      </c>
      <c r="N114" s="13">
        <v>16.420000000000002</v>
      </c>
      <c r="O114" s="29" t="s">
        <v>72</v>
      </c>
      <c r="Q114" s="5" t="s">
        <v>568</v>
      </c>
      <c r="R114" t="s">
        <v>569</v>
      </c>
      <c r="S114" t="str">
        <f t="shared" si="1"/>
        <v>Jason Hoffmann</v>
      </c>
      <c r="T114">
        <v>15278437</v>
      </c>
    </row>
    <row r="115" spans="1:20" ht="15" customHeight="1" x14ac:dyDescent="0.2">
      <c r="A115" s="1" t="s">
        <v>65</v>
      </c>
      <c r="B115" s="51">
        <v>441744881</v>
      </c>
      <c r="C115" s="1" t="s">
        <v>467</v>
      </c>
      <c r="D115" s="28">
        <v>44928</v>
      </c>
      <c r="E115" s="14"/>
      <c r="F115" s="14" t="s">
        <v>468</v>
      </c>
      <c r="G115" s="49">
        <v>45962</v>
      </c>
      <c r="H115" s="49">
        <v>45992</v>
      </c>
      <c r="I115" s="28">
        <v>45966</v>
      </c>
      <c r="J115" s="29" t="s">
        <v>69</v>
      </c>
      <c r="K115" s="52">
        <v>1</v>
      </c>
      <c r="L115" s="13">
        <v>54.5</v>
      </c>
      <c r="M115" s="53">
        <v>0.09</v>
      </c>
      <c r="N115" s="13">
        <v>4.91</v>
      </c>
      <c r="O115" s="29" t="s">
        <v>72</v>
      </c>
      <c r="Q115" s="5" t="s">
        <v>563</v>
      </c>
      <c r="R115" t="s">
        <v>565</v>
      </c>
      <c r="S115" t="str">
        <f t="shared" si="1"/>
        <v>Kimberly Dickerson</v>
      </c>
      <c r="T115">
        <v>16243811</v>
      </c>
    </row>
    <row r="116" spans="1:20" ht="15" customHeight="1" x14ac:dyDescent="0.2">
      <c r="A116" s="1" t="s">
        <v>65</v>
      </c>
      <c r="B116" s="51">
        <v>441747603</v>
      </c>
      <c r="C116" s="1" t="s">
        <v>160</v>
      </c>
      <c r="D116" s="28">
        <v>44958</v>
      </c>
      <c r="E116" s="14"/>
      <c r="F116" s="14" t="s">
        <v>135</v>
      </c>
      <c r="G116" s="49">
        <v>45962</v>
      </c>
      <c r="H116" s="49">
        <v>45992</v>
      </c>
      <c r="I116" s="28">
        <v>45966</v>
      </c>
      <c r="J116" s="29" t="s">
        <v>69</v>
      </c>
      <c r="K116" s="52">
        <v>1</v>
      </c>
      <c r="L116" s="13">
        <v>72.150000000000006</v>
      </c>
      <c r="M116" s="53">
        <v>0.09</v>
      </c>
      <c r="N116" s="13">
        <v>6.49</v>
      </c>
      <c r="O116" s="29" t="s">
        <v>72</v>
      </c>
      <c r="Q116" s="5" t="s">
        <v>561</v>
      </c>
      <c r="R116" t="s">
        <v>562</v>
      </c>
      <c r="S116" t="str">
        <f t="shared" si="1"/>
        <v>Ashley Teipel</v>
      </c>
      <c r="T116">
        <v>20436925</v>
      </c>
    </row>
    <row r="117" spans="1:20" ht="15" customHeight="1" x14ac:dyDescent="0.2">
      <c r="A117" s="1" t="s">
        <v>65</v>
      </c>
      <c r="B117" s="51">
        <v>441748283</v>
      </c>
      <c r="C117" s="1" t="s">
        <v>157</v>
      </c>
      <c r="D117" s="28">
        <v>44958</v>
      </c>
      <c r="E117" s="14"/>
      <c r="F117" s="14" t="s">
        <v>158</v>
      </c>
      <c r="G117" s="49">
        <v>45962</v>
      </c>
      <c r="H117" s="49">
        <v>45992</v>
      </c>
      <c r="I117" s="28">
        <v>45966</v>
      </c>
      <c r="J117" s="29" t="s">
        <v>69</v>
      </c>
      <c r="K117" s="52">
        <v>1</v>
      </c>
      <c r="L117" s="13">
        <v>221</v>
      </c>
      <c r="M117" s="53">
        <v>0.09</v>
      </c>
      <c r="N117" s="13">
        <v>19.89</v>
      </c>
      <c r="O117" s="29" t="s">
        <v>72</v>
      </c>
      <c r="Q117" s="5" t="s">
        <v>561</v>
      </c>
      <c r="R117" t="s">
        <v>562</v>
      </c>
      <c r="S117" t="str">
        <f t="shared" si="1"/>
        <v>Ashley Teipel</v>
      </c>
      <c r="T117">
        <v>20436925</v>
      </c>
    </row>
    <row r="118" spans="1:20" ht="15" customHeight="1" x14ac:dyDescent="0.2">
      <c r="A118" s="1" t="s">
        <v>65</v>
      </c>
      <c r="B118" s="51">
        <v>441750607</v>
      </c>
      <c r="C118" s="1" t="s">
        <v>137</v>
      </c>
      <c r="D118" s="28">
        <v>44930</v>
      </c>
      <c r="E118" s="14"/>
      <c r="F118" s="14" t="s">
        <v>85</v>
      </c>
      <c r="G118" s="49">
        <v>45962</v>
      </c>
      <c r="H118" s="49">
        <v>45992</v>
      </c>
      <c r="I118" s="28">
        <v>45967</v>
      </c>
      <c r="J118" s="29" t="s">
        <v>69</v>
      </c>
      <c r="K118" s="52">
        <v>1</v>
      </c>
      <c r="L118" s="13">
        <v>9</v>
      </c>
      <c r="M118" s="53">
        <v>0.09</v>
      </c>
      <c r="N118" s="13">
        <v>0.81</v>
      </c>
      <c r="O118" s="29" t="s">
        <v>72</v>
      </c>
      <c r="Q118" s="5" t="s">
        <v>561</v>
      </c>
      <c r="R118" t="s">
        <v>562</v>
      </c>
      <c r="S118" t="str">
        <f t="shared" si="1"/>
        <v>Ashley Teipel</v>
      </c>
      <c r="T118">
        <v>20436925</v>
      </c>
    </row>
    <row r="119" spans="1:20" ht="15" customHeight="1" x14ac:dyDescent="0.2">
      <c r="A119" s="1" t="s">
        <v>65</v>
      </c>
      <c r="B119" s="51">
        <v>441757662</v>
      </c>
      <c r="C119" s="1" t="s">
        <v>301</v>
      </c>
      <c r="D119" s="28">
        <v>44959</v>
      </c>
      <c r="E119" s="14"/>
      <c r="F119" s="14" t="s">
        <v>85</v>
      </c>
      <c r="G119" s="49">
        <v>45962</v>
      </c>
      <c r="H119" s="49">
        <v>45992</v>
      </c>
      <c r="I119" s="28">
        <v>45966</v>
      </c>
      <c r="J119" s="29" t="s">
        <v>69</v>
      </c>
      <c r="K119" s="52">
        <v>1</v>
      </c>
      <c r="L119" s="13">
        <v>9</v>
      </c>
      <c r="M119" s="53">
        <v>0.03</v>
      </c>
      <c r="N119" s="13">
        <v>0.27</v>
      </c>
      <c r="O119" s="29" t="s">
        <v>72</v>
      </c>
      <c r="Q119" s="5" t="s">
        <v>566</v>
      </c>
      <c r="R119" t="s">
        <v>567</v>
      </c>
      <c r="S119" t="str">
        <f t="shared" si="1"/>
        <v>Carol Foley</v>
      </c>
      <c r="T119">
        <v>17425766</v>
      </c>
    </row>
    <row r="120" spans="1:20" ht="15" customHeight="1" x14ac:dyDescent="0.2">
      <c r="A120" s="1" t="s">
        <v>65</v>
      </c>
      <c r="B120" s="51">
        <v>441757663</v>
      </c>
      <c r="C120" s="1" t="s">
        <v>301</v>
      </c>
      <c r="D120" s="28">
        <v>44959</v>
      </c>
      <c r="E120" s="14"/>
      <c r="F120" s="14" t="s">
        <v>286</v>
      </c>
      <c r="G120" s="49">
        <v>45962</v>
      </c>
      <c r="H120" s="49">
        <v>45992</v>
      </c>
      <c r="I120" s="28">
        <v>45966</v>
      </c>
      <c r="J120" s="29" t="s">
        <v>69</v>
      </c>
      <c r="K120" s="52">
        <v>1</v>
      </c>
      <c r="L120" s="13">
        <v>39</v>
      </c>
      <c r="M120" s="53">
        <v>0.03</v>
      </c>
      <c r="N120" s="13">
        <v>1.17</v>
      </c>
      <c r="O120" s="29" t="s">
        <v>72</v>
      </c>
      <c r="Q120" s="5" t="s">
        <v>566</v>
      </c>
      <c r="R120" t="s">
        <v>567</v>
      </c>
      <c r="S120" t="str">
        <f t="shared" si="1"/>
        <v>Carol Foley</v>
      </c>
      <c r="T120">
        <v>17425766</v>
      </c>
    </row>
    <row r="121" spans="1:20" ht="15" customHeight="1" x14ac:dyDescent="0.2">
      <c r="A121" s="1" t="s">
        <v>65</v>
      </c>
      <c r="B121" s="51">
        <v>441757668</v>
      </c>
      <c r="C121" s="1" t="s">
        <v>301</v>
      </c>
      <c r="D121" s="28">
        <v>44959</v>
      </c>
      <c r="E121" s="14"/>
      <c r="F121" s="14" t="s">
        <v>213</v>
      </c>
      <c r="G121" s="49">
        <v>45962</v>
      </c>
      <c r="H121" s="49">
        <v>45992</v>
      </c>
      <c r="I121" s="28">
        <v>45966</v>
      </c>
      <c r="J121" s="29" t="s">
        <v>69</v>
      </c>
      <c r="K121" s="52">
        <v>1</v>
      </c>
      <c r="L121" s="13">
        <v>72.73</v>
      </c>
      <c r="M121" s="53">
        <v>0.06</v>
      </c>
      <c r="N121" s="13">
        <v>4.3600000000000003</v>
      </c>
      <c r="O121" s="29" t="s">
        <v>72</v>
      </c>
      <c r="Q121" s="5" t="s">
        <v>566</v>
      </c>
      <c r="R121" t="s">
        <v>567</v>
      </c>
      <c r="S121" t="str">
        <f t="shared" si="1"/>
        <v>Carol Foley</v>
      </c>
      <c r="T121">
        <v>17425766</v>
      </c>
    </row>
    <row r="122" spans="1:20" ht="15" customHeight="1" x14ac:dyDescent="0.2">
      <c r="A122" s="1" t="s">
        <v>65</v>
      </c>
      <c r="B122" s="51">
        <v>441763086</v>
      </c>
      <c r="C122" s="1" t="s">
        <v>327</v>
      </c>
      <c r="D122" s="28">
        <v>44937</v>
      </c>
      <c r="E122" s="14"/>
      <c r="F122" s="14" t="s">
        <v>328</v>
      </c>
      <c r="G122" s="49">
        <v>45962</v>
      </c>
      <c r="H122" s="49">
        <v>45992</v>
      </c>
      <c r="I122" s="28">
        <v>45967</v>
      </c>
      <c r="J122" s="29" t="s">
        <v>69</v>
      </c>
      <c r="K122" s="52">
        <v>1</v>
      </c>
      <c r="L122" s="13">
        <v>18</v>
      </c>
      <c r="M122" s="53">
        <v>0.03</v>
      </c>
      <c r="N122" s="13">
        <v>0.54</v>
      </c>
      <c r="O122" s="29" t="s">
        <v>72</v>
      </c>
      <c r="Q122" s="5" t="s">
        <v>566</v>
      </c>
      <c r="R122" t="s">
        <v>567</v>
      </c>
      <c r="S122" t="str">
        <f t="shared" si="1"/>
        <v>Carol Foley</v>
      </c>
      <c r="T122">
        <v>17425766</v>
      </c>
    </row>
    <row r="123" spans="1:20" ht="15" customHeight="1" x14ac:dyDescent="0.2">
      <c r="A123" s="1" t="s">
        <v>65</v>
      </c>
      <c r="B123" s="51">
        <v>441763087</v>
      </c>
      <c r="C123" s="1" t="s">
        <v>327</v>
      </c>
      <c r="D123" s="28">
        <v>44937</v>
      </c>
      <c r="E123" s="14"/>
      <c r="F123" s="14" t="s">
        <v>330</v>
      </c>
      <c r="G123" s="49">
        <v>45962</v>
      </c>
      <c r="H123" s="49">
        <v>45992</v>
      </c>
      <c r="I123" s="28">
        <v>45967</v>
      </c>
      <c r="J123" s="29" t="s">
        <v>69</v>
      </c>
      <c r="K123" s="52">
        <v>1</v>
      </c>
      <c r="L123" s="13">
        <v>41.6</v>
      </c>
      <c r="M123" s="53">
        <v>0.03</v>
      </c>
      <c r="N123" s="13">
        <v>1.25</v>
      </c>
      <c r="O123" s="29" t="s">
        <v>72</v>
      </c>
      <c r="Q123" s="5" t="s">
        <v>566</v>
      </c>
      <c r="R123" t="s">
        <v>567</v>
      </c>
      <c r="S123" t="str">
        <f t="shared" si="1"/>
        <v>Carol Foley</v>
      </c>
      <c r="T123">
        <v>17425766</v>
      </c>
    </row>
    <row r="124" spans="1:20" ht="15" customHeight="1" x14ac:dyDescent="0.2">
      <c r="A124" s="1" t="s">
        <v>65</v>
      </c>
      <c r="B124" s="51">
        <v>441771914</v>
      </c>
      <c r="C124" s="1" t="s">
        <v>345</v>
      </c>
      <c r="D124" s="28">
        <v>44958</v>
      </c>
      <c r="E124" s="14"/>
      <c r="F124" s="14" t="s">
        <v>74</v>
      </c>
      <c r="G124" s="49">
        <v>45962</v>
      </c>
      <c r="H124" s="49">
        <v>45992</v>
      </c>
      <c r="I124" s="28">
        <v>45966</v>
      </c>
      <c r="J124" s="29" t="s">
        <v>69</v>
      </c>
      <c r="K124" s="52">
        <v>1</v>
      </c>
      <c r="L124" s="13">
        <v>88.24</v>
      </c>
      <c r="M124" s="53">
        <v>0.06</v>
      </c>
      <c r="N124" s="13">
        <v>5.29</v>
      </c>
      <c r="O124" s="29" t="s">
        <v>72</v>
      </c>
      <c r="Q124" s="5" t="s">
        <v>566</v>
      </c>
      <c r="R124" t="s">
        <v>567</v>
      </c>
      <c r="S124" t="str">
        <f t="shared" si="1"/>
        <v>Carol Foley</v>
      </c>
      <c r="T124">
        <v>17425766</v>
      </c>
    </row>
    <row r="125" spans="1:20" ht="15" customHeight="1" x14ac:dyDescent="0.2">
      <c r="A125" s="1" t="s">
        <v>65</v>
      </c>
      <c r="B125" s="51">
        <v>441772281</v>
      </c>
      <c r="C125" s="1" t="s">
        <v>285</v>
      </c>
      <c r="D125" s="28">
        <v>44958</v>
      </c>
      <c r="E125" s="14"/>
      <c r="F125" s="14" t="s">
        <v>286</v>
      </c>
      <c r="G125" s="49">
        <v>45962</v>
      </c>
      <c r="H125" s="49">
        <v>45992</v>
      </c>
      <c r="I125" s="28">
        <v>45966</v>
      </c>
      <c r="J125" s="29" t="s">
        <v>69</v>
      </c>
      <c r="K125" s="52">
        <v>1</v>
      </c>
      <c r="L125" s="13">
        <v>39</v>
      </c>
      <c r="M125" s="53">
        <v>0.03</v>
      </c>
      <c r="N125" s="13">
        <v>1.17</v>
      </c>
      <c r="O125" s="29" t="s">
        <v>72</v>
      </c>
      <c r="Q125" s="5" t="s">
        <v>566</v>
      </c>
      <c r="R125" t="s">
        <v>567</v>
      </c>
      <c r="S125" t="str">
        <f t="shared" si="1"/>
        <v>Carol Foley</v>
      </c>
      <c r="T125">
        <v>17425766</v>
      </c>
    </row>
    <row r="126" spans="1:20" ht="15" customHeight="1" x14ac:dyDescent="0.2">
      <c r="A126" s="1" t="s">
        <v>65</v>
      </c>
      <c r="B126" s="51">
        <v>441772286</v>
      </c>
      <c r="C126" s="1" t="s">
        <v>285</v>
      </c>
      <c r="D126" s="28">
        <v>44958</v>
      </c>
      <c r="E126" s="14"/>
      <c r="F126" s="14" t="s">
        <v>74</v>
      </c>
      <c r="G126" s="49">
        <v>45962</v>
      </c>
      <c r="H126" s="49">
        <v>45992</v>
      </c>
      <c r="I126" s="28">
        <v>45966</v>
      </c>
      <c r="J126" s="29" t="s">
        <v>69</v>
      </c>
      <c r="K126" s="52">
        <v>1</v>
      </c>
      <c r="L126" s="13">
        <v>102.79</v>
      </c>
      <c r="M126" s="53">
        <v>0.06</v>
      </c>
      <c r="N126" s="13">
        <v>6.17</v>
      </c>
      <c r="O126" s="29" t="s">
        <v>72</v>
      </c>
      <c r="Q126" s="5" t="s">
        <v>566</v>
      </c>
      <c r="R126" t="s">
        <v>567</v>
      </c>
      <c r="S126" t="str">
        <f t="shared" si="1"/>
        <v>Carol Foley</v>
      </c>
      <c r="T126">
        <v>17425766</v>
      </c>
    </row>
    <row r="127" spans="1:20" ht="15" customHeight="1" x14ac:dyDescent="0.2">
      <c r="A127" s="1" t="s">
        <v>65</v>
      </c>
      <c r="B127" s="51">
        <v>441774712</v>
      </c>
      <c r="C127" s="1" t="s">
        <v>560</v>
      </c>
      <c r="D127" s="28">
        <v>44940</v>
      </c>
      <c r="E127" s="14"/>
      <c r="F127" s="14" t="s">
        <v>286</v>
      </c>
      <c r="G127" s="49">
        <v>45962</v>
      </c>
      <c r="H127" s="49">
        <v>45992</v>
      </c>
      <c r="I127" s="28">
        <v>45968</v>
      </c>
      <c r="J127" s="29" t="s">
        <v>69</v>
      </c>
      <c r="K127" s="52">
        <v>1</v>
      </c>
      <c r="L127" s="13">
        <v>42.64</v>
      </c>
      <c r="M127" s="53">
        <v>0.09</v>
      </c>
      <c r="N127" s="13">
        <v>3.84</v>
      </c>
      <c r="O127" s="29" t="s">
        <v>72</v>
      </c>
      <c r="Q127" s="5" t="s">
        <v>563</v>
      </c>
      <c r="R127" t="s">
        <v>565</v>
      </c>
      <c r="S127" t="str">
        <f t="shared" si="1"/>
        <v>Kimberly Dickerson</v>
      </c>
      <c r="T127">
        <v>16243811</v>
      </c>
    </row>
    <row r="128" spans="1:20" ht="15" customHeight="1" x14ac:dyDescent="0.2">
      <c r="A128" s="1" t="s">
        <v>65</v>
      </c>
      <c r="B128" s="51">
        <v>441793953</v>
      </c>
      <c r="C128" s="1" t="s">
        <v>519</v>
      </c>
      <c r="D128" s="28">
        <v>44958</v>
      </c>
      <c r="E128" s="14"/>
      <c r="F128" s="14" t="s">
        <v>273</v>
      </c>
      <c r="G128" s="49">
        <v>45962</v>
      </c>
      <c r="H128" s="49">
        <v>45992</v>
      </c>
      <c r="I128" s="28">
        <v>45966</v>
      </c>
      <c r="J128" s="29" t="s">
        <v>69</v>
      </c>
      <c r="K128" s="52">
        <v>1</v>
      </c>
      <c r="L128" s="13">
        <v>23</v>
      </c>
      <c r="M128" s="53">
        <v>0.09</v>
      </c>
      <c r="N128" s="13">
        <v>2.0699999999999998</v>
      </c>
      <c r="O128" s="29" t="s">
        <v>72</v>
      </c>
      <c r="Q128" s="5" t="s">
        <v>563</v>
      </c>
      <c r="R128" t="s">
        <v>565</v>
      </c>
      <c r="S128" t="str">
        <f t="shared" si="1"/>
        <v>Kimberly Dickerson</v>
      </c>
      <c r="T128">
        <v>16243811</v>
      </c>
    </row>
    <row r="129" spans="1:20" ht="15" customHeight="1" x14ac:dyDescent="0.2">
      <c r="A129" s="1" t="s">
        <v>65</v>
      </c>
      <c r="B129" s="51">
        <v>441793954</v>
      </c>
      <c r="C129" s="1" t="s">
        <v>519</v>
      </c>
      <c r="D129" s="28">
        <v>44958</v>
      </c>
      <c r="E129" s="14"/>
      <c r="F129" s="14" t="s">
        <v>477</v>
      </c>
      <c r="G129" s="49">
        <v>45962</v>
      </c>
      <c r="H129" s="49">
        <v>45992</v>
      </c>
      <c r="I129" s="28">
        <v>45966</v>
      </c>
      <c r="J129" s="29" t="s">
        <v>69</v>
      </c>
      <c r="K129" s="52">
        <v>1</v>
      </c>
      <c r="L129" s="13">
        <v>15</v>
      </c>
      <c r="M129" s="53">
        <v>0.09</v>
      </c>
      <c r="N129" s="13">
        <v>1.35</v>
      </c>
      <c r="O129" s="29" t="s">
        <v>72</v>
      </c>
      <c r="Q129" s="5" t="s">
        <v>563</v>
      </c>
      <c r="R129" t="s">
        <v>565</v>
      </c>
      <c r="S129" t="str">
        <f t="shared" si="1"/>
        <v>Kimberly Dickerson</v>
      </c>
      <c r="T129">
        <v>16243811</v>
      </c>
    </row>
    <row r="130" spans="1:20" ht="15" customHeight="1" x14ac:dyDescent="0.2">
      <c r="A130" s="1" t="s">
        <v>65</v>
      </c>
      <c r="B130" s="51">
        <v>441793955</v>
      </c>
      <c r="C130" s="1" t="s">
        <v>519</v>
      </c>
      <c r="D130" s="28">
        <v>44958</v>
      </c>
      <c r="E130" s="14"/>
      <c r="F130" s="14" t="s">
        <v>286</v>
      </c>
      <c r="G130" s="49">
        <v>45962</v>
      </c>
      <c r="H130" s="49">
        <v>45992</v>
      </c>
      <c r="I130" s="28">
        <v>45966</v>
      </c>
      <c r="J130" s="29" t="s">
        <v>69</v>
      </c>
      <c r="K130" s="52">
        <v>1</v>
      </c>
      <c r="L130" s="13">
        <v>42.64</v>
      </c>
      <c r="M130" s="53">
        <v>0.09</v>
      </c>
      <c r="N130" s="13">
        <v>3.84</v>
      </c>
      <c r="O130" s="29" t="s">
        <v>72</v>
      </c>
      <c r="Q130" s="5" t="s">
        <v>563</v>
      </c>
      <c r="R130" t="s">
        <v>565</v>
      </c>
      <c r="S130" t="str">
        <f t="shared" si="1"/>
        <v>Kimberly Dickerson</v>
      </c>
      <c r="T130">
        <v>16243811</v>
      </c>
    </row>
    <row r="131" spans="1:20" ht="15" customHeight="1" x14ac:dyDescent="0.2">
      <c r="A131" s="1" t="s">
        <v>65</v>
      </c>
      <c r="B131" s="51">
        <v>441793956</v>
      </c>
      <c r="C131" s="1" t="s">
        <v>519</v>
      </c>
      <c r="D131" s="28">
        <v>44958</v>
      </c>
      <c r="E131" s="14"/>
      <c r="F131" s="14" t="s">
        <v>449</v>
      </c>
      <c r="G131" s="49">
        <v>45962</v>
      </c>
      <c r="H131" s="49">
        <v>45992</v>
      </c>
      <c r="I131" s="28">
        <v>45966</v>
      </c>
      <c r="J131" s="29" t="s">
        <v>69</v>
      </c>
      <c r="K131" s="52">
        <v>1</v>
      </c>
      <c r="L131" s="13">
        <v>6.3</v>
      </c>
      <c r="M131" s="53">
        <v>0.09</v>
      </c>
      <c r="N131" s="13">
        <v>0.56999999999999995</v>
      </c>
      <c r="O131" s="29" t="s">
        <v>72</v>
      </c>
      <c r="Q131" s="5" t="s">
        <v>563</v>
      </c>
      <c r="R131" t="s">
        <v>565</v>
      </c>
      <c r="S131" t="str">
        <f t="shared" ref="S131:S194" si="2">CONCATENATE(Q131, " ",R131)</f>
        <v>Kimberly Dickerson</v>
      </c>
      <c r="T131">
        <v>16243811</v>
      </c>
    </row>
    <row r="132" spans="1:20" ht="15" customHeight="1" x14ac:dyDescent="0.2">
      <c r="A132" s="1" t="s">
        <v>65</v>
      </c>
      <c r="B132" s="51">
        <v>441793957</v>
      </c>
      <c r="C132" s="1" t="s">
        <v>519</v>
      </c>
      <c r="D132" s="28">
        <v>44958</v>
      </c>
      <c r="E132" s="14"/>
      <c r="F132" s="14" t="s">
        <v>465</v>
      </c>
      <c r="G132" s="49">
        <v>45962</v>
      </c>
      <c r="H132" s="49">
        <v>45992</v>
      </c>
      <c r="I132" s="28">
        <v>45966</v>
      </c>
      <c r="J132" s="29" t="s">
        <v>69</v>
      </c>
      <c r="K132" s="52">
        <v>1</v>
      </c>
      <c r="L132" s="13">
        <v>9</v>
      </c>
      <c r="M132" s="53">
        <v>0.09</v>
      </c>
      <c r="N132" s="13">
        <v>0.81</v>
      </c>
      <c r="O132" s="29" t="s">
        <v>72</v>
      </c>
      <c r="Q132" s="5" t="s">
        <v>563</v>
      </c>
      <c r="R132" t="s">
        <v>565</v>
      </c>
      <c r="S132" t="str">
        <f t="shared" si="2"/>
        <v>Kimberly Dickerson</v>
      </c>
      <c r="T132">
        <v>16243811</v>
      </c>
    </row>
    <row r="133" spans="1:20" ht="15" customHeight="1" x14ac:dyDescent="0.2">
      <c r="A133" s="1" t="s">
        <v>65</v>
      </c>
      <c r="B133" s="51">
        <v>441793958</v>
      </c>
      <c r="C133" s="1" t="s">
        <v>519</v>
      </c>
      <c r="D133" s="28">
        <v>44958</v>
      </c>
      <c r="E133" s="14"/>
      <c r="F133" s="14" t="s">
        <v>474</v>
      </c>
      <c r="G133" s="49">
        <v>45962</v>
      </c>
      <c r="H133" s="49">
        <v>45992</v>
      </c>
      <c r="I133" s="28">
        <v>45966</v>
      </c>
      <c r="J133" s="29" t="s">
        <v>69</v>
      </c>
      <c r="K133" s="52">
        <v>1</v>
      </c>
      <c r="L133" s="13">
        <v>28</v>
      </c>
      <c r="M133" s="53">
        <v>0.09</v>
      </c>
      <c r="N133" s="13">
        <v>2.52</v>
      </c>
      <c r="O133" s="29" t="s">
        <v>72</v>
      </c>
      <c r="Q133" s="5" t="s">
        <v>563</v>
      </c>
      <c r="R133" t="s">
        <v>565</v>
      </c>
      <c r="S133" t="str">
        <f t="shared" si="2"/>
        <v>Kimberly Dickerson</v>
      </c>
      <c r="T133">
        <v>16243811</v>
      </c>
    </row>
    <row r="134" spans="1:20" ht="15" customHeight="1" x14ac:dyDescent="0.2">
      <c r="A134" s="1" t="s">
        <v>65</v>
      </c>
      <c r="B134" s="51">
        <v>441803058</v>
      </c>
      <c r="C134" s="1" t="s">
        <v>141</v>
      </c>
      <c r="D134" s="28">
        <v>44958</v>
      </c>
      <c r="E134" s="14"/>
      <c r="F134" s="14" t="s">
        <v>142</v>
      </c>
      <c r="G134" s="49">
        <v>45962</v>
      </c>
      <c r="H134" s="49">
        <v>45992</v>
      </c>
      <c r="I134" s="28">
        <v>45966</v>
      </c>
      <c r="J134" s="29" t="s">
        <v>69</v>
      </c>
      <c r="K134" s="52">
        <v>1</v>
      </c>
      <c r="L134" s="13">
        <v>44</v>
      </c>
      <c r="M134" s="53">
        <v>0.09</v>
      </c>
      <c r="N134" s="13">
        <v>3.96</v>
      </c>
      <c r="O134" s="29" t="s">
        <v>72</v>
      </c>
      <c r="Q134" s="5" t="s">
        <v>561</v>
      </c>
      <c r="R134" t="s">
        <v>562</v>
      </c>
      <c r="S134" t="str">
        <f t="shared" si="2"/>
        <v>Ashley Teipel</v>
      </c>
      <c r="T134">
        <v>20436925</v>
      </c>
    </row>
    <row r="135" spans="1:20" ht="15" customHeight="1" x14ac:dyDescent="0.2">
      <c r="A135" s="1" t="s">
        <v>65</v>
      </c>
      <c r="B135" s="51">
        <v>441803059</v>
      </c>
      <c r="C135" s="1" t="s">
        <v>144</v>
      </c>
      <c r="D135" s="28">
        <v>44958</v>
      </c>
      <c r="E135" s="14"/>
      <c r="F135" s="14" t="s">
        <v>145</v>
      </c>
      <c r="G135" s="49">
        <v>45962</v>
      </c>
      <c r="H135" s="49">
        <v>45992</v>
      </c>
      <c r="I135" s="28">
        <v>45966</v>
      </c>
      <c r="J135" s="29" t="s">
        <v>69</v>
      </c>
      <c r="K135" s="52">
        <v>1</v>
      </c>
      <c r="L135" s="13">
        <v>97.06</v>
      </c>
      <c r="M135" s="53">
        <v>0.09</v>
      </c>
      <c r="N135" s="13">
        <v>8.74</v>
      </c>
      <c r="O135" s="29" t="s">
        <v>72</v>
      </c>
      <c r="Q135" s="5" t="s">
        <v>561</v>
      </c>
      <c r="R135" t="s">
        <v>562</v>
      </c>
      <c r="S135" t="str">
        <f t="shared" si="2"/>
        <v>Ashley Teipel</v>
      </c>
      <c r="T135">
        <v>20436925</v>
      </c>
    </row>
    <row r="136" spans="1:20" ht="15" customHeight="1" x14ac:dyDescent="0.2">
      <c r="A136" s="1" t="s">
        <v>65</v>
      </c>
      <c r="B136" s="51">
        <v>441805487</v>
      </c>
      <c r="C136" s="1" t="s">
        <v>554</v>
      </c>
      <c r="D136" s="28">
        <v>44958</v>
      </c>
      <c r="E136" s="14"/>
      <c r="F136" s="14" t="s">
        <v>465</v>
      </c>
      <c r="G136" s="49">
        <v>45962</v>
      </c>
      <c r="H136" s="49">
        <v>45992</v>
      </c>
      <c r="I136" s="28">
        <v>45966</v>
      </c>
      <c r="J136" s="29" t="s">
        <v>69</v>
      </c>
      <c r="K136" s="52">
        <v>1</v>
      </c>
      <c r="L136" s="13">
        <v>9</v>
      </c>
      <c r="M136" s="53">
        <v>0.09</v>
      </c>
      <c r="N136" s="13">
        <v>0.81</v>
      </c>
      <c r="O136" s="29" t="s">
        <v>72</v>
      </c>
      <c r="Q136" s="5" t="s">
        <v>563</v>
      </c>
      <c r="R136" t="s">
        <v>565</v>
      </c>
      <c r="S136" t="str">
        <f t="shared" si="2"/>
        <v>Kimberly Dickerson</v>
      </c>
      <c r="T136">
        <v>16243811</v>
      </c>
    </row>
    <row r="137" spans="1:20" ht="15" customHeight="1" x14ac:dyDescent="0.2">
      <c r="A137" s="1" t="s">
        <v>65</v>
      </c>
      <c r="B137" s="51">
        <v>441805488</v>
      </c>
      <c r="C137" s="1" t="s">
        <v>554</v>
      </c>
      <c r="D137" s="28">
        <v>44958</v>
      </c>
      <c r="E137" s="14"/>
      <c r="F137" s="14" t="s">
        <v>286</v>
      </c>
      <c r="G137" s="49">
        <v>45962</v>
      </c>
      <c r="H137" s="49">
        <v>45992</v>
      </c>
      <c r="I137" s="28">
        <v>45966</v>
      </c>
      <c r="J137" s="29" t="s">
        <v>69</v>
      </c>
      <c r="K137" s="52">
        <v>1</v>
      </c>
      <c r="L137" s="13">
        <v>42.64</v>
      </c>
      <c r="M137" s="53">
        <v>0.09</v>
      </c>
      <c r="N137" s="13">
        <v>3.84</v>
      </c>
      <c r="O137" s="29" t="s">
        <v>72</v>
      </c>
      <c r="Q137" s="5" t="s">
        <v>563</v>
      </c>
      <c r="R137" t="s">
        <v>565</v>
      </c>
      <c r="S137" t="str">
        <f t="shared" si="2"/>
        <v>Kimberly Dickerson</v>
      </c>
      <c r="T137">
        <v>16243811</v>
      </c>
    </row>
    <row r="138" spans="1:20" ht="15" customHeight="1" x14ac:dyDescent="0.2">
      <c r="A138" s="1" t="s">
        <v>65</v>
      </c>
      <c r="B138" s="51">
        <v>441805672</v>
      </c>
      <c r="C138" s="1" t="s">
        <v>545</v>
      </c>
      <c r="D138" s="28">
        <v>44958</v>
      </c>
      <c r="E138" s="14"/>
      <c r="F138" s="14" t="s">
        <v>465</v>
      </c>
      <c r="G138" s="49">
        <v>45962</v>
      </c>
      <c r="H138" s="49">
        <v>45992</v>
      </c>
      <c r="I138" s="28">
        <v>45966</v>
      </c>
      <c r="J138" s="29" t="s">
        <v>69</v>
      </c>
      <c r="K138" s="52">
        <v>1</v>
      </c>
      <c r="L138" s="13">
        <v>9</v>
      </c>
      <c r="M138" s="53">
        <v>0.09</v>
      </c>
      <c r="N138" s="13">
        <v>0.81</v>
      </c>
      <c r="O138" s="29" t="s">
        <v>72</v>
      </c>
      <c r="Q138" s="5" t="s">
        <v>563</v>
      </c>
      <c r="R138" t="s">
        <v>565</v>
      </c>
      <c r="S138" t="str">
        <f t="shared" si="2"/>
        <v>Kimberly Dickerson</v>
      </c>
      <c r="T138">
        <v>16243811</v>
      </c>
    </row>
    <row r="139" spans="1:20" ht="15" customHeight="1" x14ac:dyDescent="0.2">
      <c r="A139" s="1" t="s">
        <v>65</v>
      </c>
      <c r="B139" s="51">
        <v>441805675</v>
      </c>
      <c r="C139" s="1" t="s">
        <v>545</v>
      </c>
      <c r="D139" s="28">
        <v>44958</v>
      </c>
      <c r="E139" s="14"/>
      <c r="F139" s="14" t="s">
        <v>547</v>
      </c>
      <c r="G139" s="49">
        <v>45962</v>
      </c>
      <c r="H139" s="49">
        <v>45992</v>
      </c>
      <c r="I139" s="28">
        <v>45966</v>
      </c>
      <c r="J139" s="29" t="s">
        <v>69</v>
      </c>
      <c r="K139" s="52">
        <v>1</v>
      </c>
      <c r="L139" s="13">
        <v>153.79</v>
      </c>
      <c r="M139" s="53">
        <v>0.18</v>
      </c>
      <c r="N139" s="13">
        <v>27.68</v>
      </c>
      <c r="O139" s="29" t="s">
        <v>72</v>
      </c>
      <c r="Q139" s="5" t="s">
        <v>563</v>
      </c>
      <c r="R139" t="s">
        <v>565</v>
      </c>
      <c r="S139" t="str">
        <f t="shared" si="2"/>
        <v>Kimberly Dickerson</v>
      </c>
      <c r="T139">
        <v>16243811</v>
      </c>
    </row>
    <row r="140" spans="1:20" ht="15" customHeight="1" x14ac:dyDescent="0.2">
      <c r="A140" s="1" t="s">
        <v>65</v>
      </c>
      <c r="B140" s="51">
        <v>441807731</v>
      </c>
      <c r="C140" s="1" t="s">
        <v>149</v>
      </c>
      <c r="D140" s="28">
        <v>44986</v>
      </c>
      <c r="E140" s="14"/>
      <c r="F140" s="14" t="s">
        <v>135</v>
      </c>
      <c r="G140" s="49">
        <v>45962</v>
      </c>
      <c r="H140" s="49">
        <v>45992</v>
      </c>
      <c r="I140" s="28">
        <v>45966</v>
      </c>
      <c r="J140" s="29" t="s">
        <v>69</v>
      </c>
      <c r="K140" s="52">
        <v>1</v>
      </c>
      <c r="L140" s="13">
        <v>52.3</v>
      </c>
      <c r="M140" s="53">
        <v>0.09</v>
      </c>
      <c r="N140" s="13">
        <v>4.71</v>
      </c>
      <c r="O140" s="29" t="s">
        <v>72</v>
      </c>
      <c r="Q140" s="5" t="s">
        <v>561</v>
      </c>
      <c r="R140" t="s">
        <v>562</v>
      </c>
      <c r="S140" t="str">
        <f t="shared" si="2"/>
        <v>Ashley Teipel</v>
      </c>
      <c r="T140">
        <v>20436925</v>
      </c>
    </row>
    <row r="141" spans="1:20" ht="15" customHeight="1" x14ac:dyDescent="0.2">
      <c r="A141" s="1" t="s">
        <v>65</v>
      </c>
      <c r="B141" s="51">
        <v>441808040</v>
      </c>
      <c r="C141" s="1" t="s">
        <v>442</v>
      </c>
      <c r="D141" s="28">
        <v>44959</v>
      </c>
      <c r="E141" s="14"/>
      <c r="F141" s="14" t="s">
        <v>85</v>
      </c>
      <c r="G141" s="49">
        <v>45962</v>
      </c>
      <c r="H141" s="49">
        <v>45992</v>
      </c>
      <c r="I141" s="28">
        <v>45966</v>
      </c>
      <c r="J141" s="29" t="s">
        <v>69</v>
      </c>
      <c r="K141" s="52">
        <v>1</v>
      </c>
      <c r="L141" s="13">
        <v>9</v>
      </c>
      <c r="M141" s="53">
        <v>0.09</v>
      </c>
      <c r="N141" s="13">
        <v>0.81</v>
      </c>
      <c r="O141" s="29" t="s">
        <v>72</v>
      </c>
      <c r="Q141" s="5" t="s">
        <v>568</v>
      </c>
      <c r="R141" t="s">
        <v>569</v>
      </c>
      <c r="S141" t="str">
        <f t="shared" si="2"/>
        <v>Jason Hoffmann</v>
      </c>
      <c r="T141">
        <v>15278437</v>
      </c>
    </row>
    <row r="142" spans="1:20" ht="15" customHeight="1" x14ac:dyDescent="0.2">
      <c r="A142" s="1" t="s">
        <v>65</v>
      </c>
      <c r="B142" s="51">
        <v>441809281</v>
      </c>
      <c r="C142" s="1" t="s">
        <v>526</v>
      </c>
      <c r="D142" s="28">
        <v>44959</v>
      </c>
      <c r="E142" s="14"/>
      <c r="F142" s="14" t="s">
        <v>122</v>
      </c>
      <c r="G142" s="49">
        <v>45962</v>
      </c>
      <c r="H142" s="49">
        <v>45992</v>
      </c>
      <c r="I142" s="28">
        <v>45966</v>
      </c>
      <c r="J142" s="29" t="s">
        <v>69</v>
      </c>
      <c r="K142" s="52">
        <v>1</v>
      </c>
      <c r="L142" s="13">
        <v>28.5</v>
      </c>
      <c r="M142" s="53">
        <v>0.09</v>
      </c>
      <c r="N142" s="13">
        <v>2.57</v>
      </c>
      <c r="O142" s="29" t="s">
        <v>72</v>
      </c>
      <c r="Q142" s="5" t="s">
        <v>563</v>
      </c>
      <c r="R142" t="s">
        <v>565</v>
      </c>
      <c r="S142" t="str">
        <f t="shared" si="2"/>
        <v>Kimberly Dickerson</v>
      </c>
      <c r="T142">
        <v>16243811</v>
      </c>
    </row>
    <row r="143" spans="1:20" ht="15" customHeight="1" x14ac:dyDescent="0.2">
      <c r="A143" s="1" t="s">
        <v>65</v>
      </c>
      <c r="B143" s="51">
        <v>441809541</v>
      </c>
      <c r="C143" s="1" t="s">
        <v>495</v>
      </c>
      <c r="D143" s="28">
        <v>44959</v>
      </c>
      <c r="E143" s="14"/>
      <c r="F143" s="14" t="s">
        <v>282</v>
      </c>
      <c r="G143" s="49">
        <v>45962</v>
      </c>
      <c r="H143" s="49">
        <v>45992</v>
      </c>
      <c r="I143" s="28">
        <v>45966</v>
      </c>
      <c r="J143" s="29" t="s">
        <v>69</v>
      </c>
      <c r="K143" s="52">
        <v>1</v>
      </c>
      <c r="L143" s="13">
        <v>181.51</v>
      </c>
      <c r="M143" s="53">
        <v>0.18</v>
      </c>
      <c r="N143" s="13">
        <v>32.67</v>
      </c>
      <c r="O143" s="29" t="s">
        <v>72</v>
      </c>
      <c r="Q143" s="5" t="s">
        <v>563</v>
      </c>
      <c r="R143" t="s">
        <v>565</v>
      </c>
      <c r="S143" t="str">
        <f t="shared" si="2"/>
        <v>Kimberly Dickerson</v>
      </c>
      <c r="T143">
        <v>16243811</v>
      </c>
    </row>
    <row r="144" spans="1:20" ht="15" customHeight="1" x14ac:dyDescent="0.2">
      <c r="A144" s="1" t="s">
        <v>65</v>
      </c>
      <c r="B144" s="51">
        <v>441830922</v>
      </c>
      <c r="C144" s="1" t="s">
        <v>452</v>
      </c>
      <c r="D144" s="28">
        <v>44986</v>
      </c>
      <c r="E144" s="14"/>
      <c r="F144" s="14" t="s">
        <v>453</v>
      </c>
      <c r="G144" s="49">
        <v>45962</v>
      </c>
      <c r="H144" s="49">
        <v>45992</v>
      </c>
      <c r="I144" s="28">
        <v>45966</v>
      </c>
      <c r="J144" s="29" t="s">
        <v>69</v>
      </c>
      <c r="K144" s="52">
        <v>1</v>
      </c>
      <c r="L144" s="13">
        <v>110.7</v>
      </c>
      <c r="M144" s="53">
        <v>0.09</v>
      </c>
      <c r="N144" s="13">
        <v>9.9600000000000009</v>
      </c>
      <c r="O144" s="29" t="s">
        <v>72</v>
      </c>
      <c r="Q144" s="5" t="s">
        <v>571</v>
      </c>
      <c r="R144" t="s">
        <v>572</v>
      </c>
      <c r="S144" t="str">
        <f t="shared" si="2"/>
        <v>Katelenn Caltagirone</v>
      </c>
      <c r="T144">
        <v>20436896</v>
      </c>
    </row>
    <row r="145" spans="1:20" ht="15" customHeight="1" x14ac:dyDescent="0.2">
      <c r="A145" s="1" t="s">
        <v>65</v>
      </c>
      <c r="B145" s="51">
        <v>441854229</v>
      </c>
      <c r="C145" s="1" t="s">
        <v>407</v>
      </c>
      <c r="D145" s="28">
        <v>44987</v>
      </c>
      <c r="E145" s="14"/>
      <c r="F145" s="14" t="s">
        <v>74</v>
      </c>
      <c r="G145" s="49">
        <v>45962</v>
      </c>
      <c r="H145" s="49">
        <v>45992</v>
      </c>
      <c r="I145" s="28">
        <v>45966</v>
      </c>
      <c r="J145" s="29" t="s">
        <v>69</v>
      </c>
      <c r="K145" s="52">
        <v>1</v>
      </c>
      <c r="L145" s="13">
        <v>25.42</v>
      </c>
      <c r="M145" s="53">
        <v>0.18</v>
      </c>
      <c r="N145" s="13">
        <v>4.58</v>
      </c>
      <c r="O145" s="29" t="s">
        <v>72</v>
      </c>
      <c r="Q145" s="5" t="s">
        <v>568</v>
      </c>
      <c r="R145" t="s">
        <v>569</v>
      </c>
      <c r="S145" t="str">
        <f t="shared" si="2"/>
        <v>Jason Hoffmann</v>
      </c>
      <c r="T145">
        <v>15278437</v>
      </c>
    </row>
    <row r="146" spans="1:20" ht="15" customHeight="1" x14ac:dyDescent="0.2">
      <c r="A146" s="1" t="s">
        <v>65</v>
      </c>
      <c r="B146" s="51">
        <v>441854230</v>
      </c>
      <c r="C146" s="1" t="s">
        <v>409</v>
      </c>
      <c r="D146" s="28">
        <v>44987</v>
      </c>
      <c r="E146" s="14"/>
      <c r="F146" s="14" t="s">
        <v>74</v>
      </c>
      <c r="G146" s="49">
        <v>45962</v>
      </c>
      <c r="H146" s="49">
        <v>45992</v>
      </c>
      <c r="I146" s="28">
        <v>45966</v>
      </c>
      <c r="J146" s="29" t="s">
        <v>69</v>
      </c>
      <c r="K146" s="52">
        <v>1</v>
      </c>
      <c r="L146" s="13">
        <v>25.42</v>
      </c>
      <c r="M146" s="53">
        <v>0.18</v>
      </c>
      <c r="N146" s="13">
        <v>4.58</v>
      </c>
      <c r="O146" s="29" t="s">
        <v>72</v>
      </c>
      <c r="Q146" s="5" t="s">
        <v>568</v>
      </c>
      <c r="R146" t="s">
        <v>569</v>
      </c>
      <c r="S146" t="str">
        <f t="shared" si="2"/>
        <v>Jason Hoffmann</v>
      </c>
      <c r="T146">
        <v>15278437</v>
      </c>
    </row>
    <row r="147" spans="1:20" ht="15" customHeight="1" x14ac:dyDescent="0.2">
      <c r="A147" s="1" t="s">
        <v>65</v>
      </c>
      <c r="B147" s="51">
        <v>441882731</v>
      </c>
      <c r="C147" s="1" t="s">
        <v>296</v>
      </c>
      <c r="D147" s="28">
        <v>45017</v>
      </c>
      <c r="E147" s="14"/>
      <c r="F147" s="14" t="s">
        <v>263</v>
      </c>
      <c r="G147" s="49">
        <v>45962</v>
      </c>
      <c r="H147" s="49">
        <v>45992</v>
      </c>
      <c r="I147" s="28">
        <v>45966</v>
      </c>
      <c r="J147" s="29" t="s">
        <v>69</v>
      </c>
      <c r="K147" s="52">
        <v>1</v>
      </c>
      <c r="L147" s="13">
        <v>32.130000000000003</v>
      </c>
      <c r="M147" s="53">
        <v>0.03</v>
      </c>
      <c r="N147" s="13">
        <v>0.96</v>
      </c>
      <c r="O147" s="29" t="s">
        <v>72</v>
      </c>
      <c r="Q147" s="5" t="s">
        <v>566</v>
      </c>
      <c r="R147" t="s">
        <v>567</v>
      </c>
      <c r="S147" t="str">
        <f t="shared" si="2"/>
        <v>Carol Foley</v>
      </c>
      <c r="T147">
        <v>17425766</v>
      </c>
    </row>
    <row r="148" spans="1:20" ht="15" customHeight="1" x14ac:dyDescent="0.2">
      <c r="A148" s="1" t="s">
        <v>65</v>
      </c>
      <c r="B148" s="51">
        <v>441882733</v>
      </c>
      <c r="C148" s="1" t="s">
        <v>296</v>
      </c>
      <c r="D148" s="28">
        <v>45017</v>
      </c>
      <c r="E148" s="14"/>
      <c r="F148" s="14" t="s">
        <v>213</v>
      </c>
      <c r="G148" s="49">
        <v>45962</v>
      </c>
      <c r="H148" s="49">
        <v>45992</v>
      </c>
      <c r="I148" s="28">
        <v>45966</v>
      </c>
      <c r="J148" s="29" t="s">
        <v>69</v>
      </c>
      <c r="K148" s="52">
        <v>1</v>
      </c>
      <c r="L148" s="13">
        <v>72.73</v>
      </c>
      <c r="M148" s="53">
        <v>0.06</v>
      </c>
      <c r="N148" s="13">
        <v>4.3600000000000003</v>
      </c>
      <c r="O148" s="29" t="s">
        <v>72</v>
      </c>
      <c r="Q148" s="5" t="s">
        <v>566</v>
      </c>
      <c r="R148" t="s">
        <v>567</v>
      </c>
      <c r="S148" t="str">
        <f t="shared" si="2"/>
        <v>Carol Foley</v>
      </c>
      <c r="T148">
        <v>17425766</v>
      </c>
    </row>
    <row r="149" spans="1:20" ht="15" customHeight="1" x14ac:dyDescent="0.2">
      <c r="A149" s="1" t="s">
        <v>65</v>
      </c>
      <c r="B149" s="51">
        <v>441883102</v>
      </c>
      <c r="C149" s="1" t="s">
        <v>178</v>
      </c>
      <c r="D149" s="28">
        <v>45017</v>
      </c>
      <c r="E149" s="14"/>
      <c r="F149" s="14" t="s">
        <v>74</v>
      </c>
      <c r="G149" s="49">
        <v>45962</v>
      </c>
      <c r="H149" s="49">
        <v>45992</v>
      </c>
      <c r="I149" s="28">
        <v>45966</v>
      </c>
      <c r="J149" s="29" t="s">
        <v>69</v>
      </c>
      <c r="K149" s="52">
        <v>1</v>
      </c>
      <c r="L149" s="13">
        <v>106.93</v>
      </c>
      <c r="M149" s="53">
        <v>0.06</v>
      </c>
      <c r="N149" s="13">
        <v>6.42</v>
      </c>
      <c r="O149" s="29" t="s">
        <v>72</v>
      </c>
      <c r="Q149" s="5" t="s">
        <v>566</v>
      </c>
      <c r="R149" t="s">
        <v>567</v>
      </c>
      <c r="S149" t="str">
        <f t="shared" si="2"/>
        <v>Carol Foley</v>
      </c>
      <c r="T149">
        <v>17425766</v>
      </c>
    </row>
    <row r="150" spans="1:20" ht="15" customHeight="1" x14ac:dyDescent="0.2">
      <c r="A150" s="1" t="s">
        <v>65</v>
      </c>
      <c r="B150" s="51">
        <v>441884974</v>
      </c>
      <c r="C150" s="1" t="s">
        <v>262</v>
      </c>
      <c r="D150" s="28">
        <v>45017</v>
      </c>
      <c r="E150" s="14"/>
      <c r="F150" s="14" t="s">
        <v>263</v>
      </c>
      <c r="G150" s="49">
        <v>45962</v>
      </c>
      <c r="H150" s="49">
        <v>45992</v>
      </c>
      <c r="I150" s="28">
        <v>45966</v>
      </c>
      <c r="J150" s="29" t="s">
        <v>69</v>
      </c>
      <c r="K150" s="52">
        <v>1</v>
      </c>
      <c r="L150" s="13">
        <v>37.49</v>
      </c>
      <c r="M150" s="53">
        <v>0.03</v>
      </c>
      <c r="N150" s="13">
        <v>1.1200000000000001</v>
      </c>
      <c r="O150" s="29" t="s">
        <v>72</v>
      </c>
      <c r="Q150" s="5" t="s">
        <v>566</v>
      </c>
      <c r="R150" t="s">
        <v>567</v>
      </c>
      <c r="S150" t="str">
        <f t="shared" si="2"/>
        <v>Carol Foley</v>
      </c>
      <c r="T150">
        <v>17425766</v>
      </c>
    </row>
    <row r="151" spans="1:20" ht="15" customHeight="1" x14ac:dyDescent="0.2">
      <c r="A151" s="1" t="s">
        <v>65</v>
      </c>
      <c r="B151" s="51">
        <v>441884980</v>
      </c>
      <c r="C151" s="1" t="s">
        <v>262</v>
      </c>
      <c r="D151" s="28">
        <v>45017</v>
      </c>
      <c r="E151" s="14"/>
      <c r="F151" s="14" t="s">
        <v>74</v>
      </c>
      <c r="G151" s="49">
        <v>45962</v>
      </c>
      <c r="H151" s="49">
        <v>45992</v>
      </c>
      <c r="I151" s="28">
        <v>45966</v>
      </c>
      <c r="J151" s="29" t="s">
        <v>69</v>
      </c>
      <c r="K151" s="52">
        <v>1</v>
      </c>
      <c r="L151" s="13">
        <v>98.99</v>
      </c>
      <c r="M151" s="53">
        <v>0.06</v>
      </c>
      <c r="N151" s="13">
        <v>5.94</v>
      </c>
      <c r="O151" s="29" t="s">
        <v>72</v>
      </c>
      <c r="Q151" s="5" t="s">
        <v>566</v>
      </c>
      <c r="R151" t="s">
        <v>567</v>
      </c>
      <c r="S151" t="str">
        <f t="shared" si="2"/>
        <v>Carol Foley</v>
      </c>
      <c r="T151">
        <v>17425766</v>
      </c>
    </row>
    <row r="152" spans="1:20" ht="15" customHeight="1" x14ac:dyDescent="0.2">
      <c r="A152" s="1" t="s">
        <v>65</v>
      </c>
      <c r="B152" s="51">
        <v>441885201</v>
      </c>
      <c r="C152" s="1" t="s">
        <v>350</v>
      </c>
      <c r="D152" s="28">
        <v>45017</v>
      </c>
      <c r="E152" s="14"/>
      <c r="F152" s="14" t="s">
        <v>263</v>
      </c>
      <c r="G152" s="49">
        <v>45962</v>
      </c>
      <c r="H152" s="49">
        <v>45992</v>
      </c>
      <c r="I152" s="28">
        <v>45966</v>
      </c>
      <c r="J152" s="29" t="s">
        <v>69</v>
      </c>
      <c r="K152" s="52">
        <v>1</v>
      </c>
      <c r="L152" s="13">
        <v>37.49</v>
      </c>
      <c r="M152" s="53">
        <v>0.03</v>
      </c>
      <c r="N152" s="13">
        <v>1.1200000000000001</v>
      </c>
      <c r="O152" s="29" t="s">
        <v>72</v>
      </c>
      <c r="Q152" s="5" t="s">
        <v>566</v>
      </c>
      <c r="R152" t="s">
        <v>567</v>
      </c>
      <c r="S152" t="str">
        <f t="shared" si="2"/>
        <v>Carol Foley</v>
      </c>
      <c r="T152">
        <v>17425766</v>
      </c>
    </row>
    <row r="153" spans="1:20" ht="15" customHeight="1" x14ac:dyDescent="0.2">
      <c r="A153" s="1" t="s">
        <v>65</v>
      </c>
      <c r="B153" s="51">
        <v>441885213</v>
      </c>
      <c r="C153" s="1" t="s">
        <v>350</v>
      </c>
      <c r="D153" s="28">
        <v>45017</v>
      </c>
      <c r="E153" s="14"/>
      <c r="F153" s="14" t="s">
        <v>74</v>
      </c>
      <c r="G153" s="49">
        <v>45962</v>
      </c>
      <c r="H153" s="49">
        <v>45992</v>
      </c>
      <c r="I153" s="28">
        <v>45966</v>
      </c>
      <c r="J153" s="29" t="s">
        <v>69</v>
      </c>
      <c r="K153" s="52">
        <v>1</v>
      </c>
      <c r="L153" s="13">
        <v>109.86</v>
      </c>
      <c r="M153" s="53">
        <v>0.06</v>
      </c>
      <c r="N153" s="13">
        <v>6.59</v>
      </c>
      <c r="O153" s="29" t="s">
        <v>72</v>
      </c>
      <c r="Q153" s="5" t="s">
        <v>566</v>
      </c>
      <c r="R153" t="s">
        <v>567</v>
      </c>
      <c r="S153" t="str">
        <f t="shared" si="2"/>
        <v>Carol Foley</v>
      </c>
      <c r="T153">
        <v>17425766</v>
      </c>
    </row>
    <row r="154" spans="1:20" ht="15" customHeight="1" x14ac:dyDescent="0.2">
      <c r="A154" s="1" t="s">
        <v>65</v>
      </c>
      <c r="B154" s="51">
        <v>441908688</v>
      </c>
      <c r="C154" s="1" t="s">
        <v>317</v>
      </c>
      <c r="D154" s="28">
        <v>45020</v>
      </c>
      <c r="E154" s="14"/>
      <c r="F154" s="14" t="s">
        <v>318</v>
      </c>
      <c r="G154" s="49">
        <v>45962</v>
      </c>
      <c r="H154" s="49">
        <v>45992</v>
      </c>
      <c r="I154" s="28">
        <v>45967</v>
      </c>
      <c r="J154" s="29" t="s">
        <v>69</v>
      </c>
      <c r="K154" s="52">
        <v>1</v>
      </c>
      <c r="L154" s="13">
        <v>61.05</v>
      </c>
      <c r="M154" s="53">
        <v>0.03</v>
      </c>
      <c r="N154" s="13">
        <v>1.83</v>
      </c>
      <c r="O154" s="29" t="s">
        <v>72</v>
      </c>
      <c r="Q154" s="5" t="s">
        <v>566</v>
      </c>
      <c r="R154" t="s">
        <v>567</v>
      </c>
      <c r="S154" t="str">
        <f t="shared" si="2"/>
        <v>Carol Foley</v>
      </c>
      <c r="T154">
        <v>17425766</v>
      </c>
    </row>
    <row r="155" spans="1:20" ht="15" customHeight="1" x14ac:dyDescent="0.2">
      <c r="A155" s="1" t="s">
        <v>65</v>
      </c>
      <c r="B155" s="51">
        <v>441913487</v>
      </c>
      <c r="C155" s="1" t="s">
        <v>216</v>
      </c>
      <c r="D155" s="28">
        <v>45078</v>
      </c>
      <c r="E155" s="14"/>
      <c r="F155" s="14" t="s">
        <v>217</v>
      </c>
      <c r="G155" s="49">
        <v>45962</v>
      </c>
      <c r="H155" s="49">
        <v>45992</v>
      </c>
      <c r="I155" s="28">
        <v>45966</v>
      </c>
      <c r="J155" s="29" t="s">
        <v>69</v>
      </c>
      <c r="K155" s="52">
        <v>1</v>
      </c>
      <c r="L155" s="13">
        <v>43</v>
      </c>
      <c r="M155" s="53">
        <v>0.03</v>
      </c>
      <c r="N155" s="13">
        <v>1.29</v>
      </c>
      <c r="O155" s="29" t="s">
        <v>72</v>
      </c>
      <c r="Q155" s="5" t="s">
        <v>566</v>
      </c>
      <c r="R155" t="s">
        <v>567</v>
      </c>
      <c r="S155" t="str">
        <f t="shared" si="2"/>
        <v>Carol Foley</v>
      </c>
      <c r="T155">
        <v>17425766</v>
      </c>
    </row>
    <row r="156" spans="1:20" ht="15" customHeight="1" x14ac:dyDescent="0.2">
      <c r="A156" s="1" t="s">
        <v>65</v>
      </c>
      <c r="B156" s="51">
        <v>441925405</v>
      </c>
      <c r="C156" s="1" t="s">
        <v>212</v>
      </c>
      <c r="D156" s="28">
        <v>45047</v>
      </c>
      <c r="E156" s="14"/>
      <c r="F156" s="14" t="s">
        <v>213</v>
      </c>
      <c r="G156" s="49">
        <v>45962</v>
      </c>
      <c r="H156" s="49">
        <v>45992</v>
      </c>
      <c r="I156" s="28">
        <v>45966</v>
      </c>
      <c r="J156" s="29" t="s">
        <v>69</v>
      </c>
      <c r="K156" s="52">
        <v>1</v>
      </c>
      <c r="L156" s="13">
        <v>40.94</v>
      </c>
      <c r="M156" s="53">
        <v>0.03</v>
      </c>
      <c r="N156" s="13">
        <v>1.23</v>
      </c>
      <c r="O156" s="29" t="s">
        <v>72</v>
      </c>
      <c r="Q156" s="5" t="s">
        <v>566</v>
      </c>
      <c r="R156" t="s">
        <v>567</v>
      </c>
      <c r="S156" t="str">
        <f t="shared" si="2"/>
        <v>Carol Foley</v>
      </c>
      <c r="T156">
        <v>17425766</v>
      </c>
    </row>
    <row r="157" spans="1:20" ht="15" customHeight="1" x14ac:dyDescent="0.2">
      <c r="A157" s="1" t="s">
        <v>65</v>
      </c>
      <c r="B157" s="51">
        <v>442017602</v>
      </c>
      <c r="C157" s="1" t="s">
        <v>245</v>
      </c>
      <c r="D157" s="28">
        <v>45139</v>
      </c>
      <c r="E157" s="14"/>
      <c r="F157" s="14" t="s">
        <v>217</v>
      </c>
      <c r="G157" s="49">
        <v>45962</v>
      </c>
      <c r="H157" s="49">
        <v>45992</v>
      </c>
      <c r="I157" s="28">
        <v>45966</v>
      </c>
      <c r="J157" s="29" t="s">
        <v>69</v>
      </c>
      <c r="K157" s="52">
        <v>1</v>
      </c>
      <c r="L157" s="13">
        <v>43</v>
      </c>
      <c r="M157" s="53">
        <v>0.03</v>
      </c>
      <c r="N157" s="13">
        <v>1.29</v>
      </c>
      <c r="O157" s="29" t="s">
        <v>72</v>
      </c>
      <c r="Q157" s="5" t="s">
        <v>566</v>
      </c>
      <c r="R157" t="s">
        <v>567</v>
      </c>
      <c r="S157" t="str">
        <f t="shared" si="2"/>
        <v>Carol Foley</v>
      </c>
      <c r="T157">
        <v>17425766</v>
      </c>
    </row>
    <row r="158" spans="1:20" ht="15" customHeight="1" x14ac:dyDescent="0.2">
      <c r="A158" s="1" t="s">
        <v>65</v>
      </c>
      <c r="B158" s="51">
        <v>442017603</v>
      </c>
      <c r="C158" s="1" t="s">
        <v>245</v>
      </c>
      <c r="D158" s="28">
        <v>45139</v>
      </c>
      <c r="E158" s="14"/>
      <c r="F158" s="14" t="s">
        <v>96</v>
      </c>
      <c r="G158" s="49">
        <v>45962</v>
      </c>
      <c r="H158" s="49">
        <v>45992</v>
      </c>
      <c r="I158" s="28">
        <v>45966</v>
      </c>
      <c r="J158" s="29" t="s">
        <v>69</v>
      </c>
      <c r="K158" s="52">
        <v>1</v>
      </c>
      <c r="L158" s="13">
        <v>10</v>
      </c>
      <c r="M158" s="53">
        <v>0.03</v>
      </c>
      <c r="N158" s="13">
        <v>0.3</v>
      </c>
      <c r="O158" s="29" t="s">
        <v>72</v>
      </c>
      <c r="Q158" s="5" t="s">
        <v>566</v>
      </c>
      <c r="R158" t="s">
        <v>567</v>
      </c>
      <c r="S158" t="str">
        <f t="shared" si="2"/>
        <v>Carol Foley</v>
      </c>
      <c r="T158">
        <v>17425766</v>
      </c>
    </row>
    <row r="159" spans="1:20" ht="15" customHeight="1" x14ac:dyDescent="0.2">
      <c r="A159" s="1" t="s">
        <v>65</v>
      </c>
      <c r="B159" s="51">
        <v>442023558</v>
      </c>
      <c r="C159" s="1" t="s">
        <v>84</v>
      </c>
      <c r="D159" s="28">
        <v>45093</v>
      </c>
      <c r="E159" s="14"/>
      <c r="F159" s="14" t="s">
        <v>85</v>
      </c>
      <c r="G159" s="49">
        <v>45962</v>
      </c>
      <c r="H159" s="49">
        <v>45992</v>
      </c>
      <c r="I159" s="28">
        <v>45969</v>
      </c>
      <c r="J159" s="29" t="s">
        <v>69</v>
      </c>
      <c r="K159" s="52">
        <v>1</v>
      </c>
      <c r="L159" s="13">
        <v>25</v>
      </c>
      <c r="M159" s="53">
        <v>0.09</v>
      </c>
      <c r="N159" s="13">
        <v>2.25</v>
      </c>
      <c r="O159" s="29" t="s">
        <v>72</v>
      </c>
      <c r="Q159" s="5" t="s">
        <v>564</v>
      </c>
      <c r="R159" t="s">
        <v>570</v>
      </c>
      <c r="S159" t="str">
        <f t="shared" si="2"/>
        <v>Anne Kozacheck</v>
      </c>
      <c r="T159">
        <v>19278370</v>
      </c>
    </row>
    <row r="160" spans="1:20" ht="15" customHeight="1" x14ac:dyDescent="0.2">
      <c r="A160" s="1" t="s">
        <v>65</v>
      </c>
      <c r="B160" s="51">
        <v>442027310</v>
      </c>
      <c r="C160" s="1" t="s">
        <v>95</v>
      </c>
      <c r="D160" s="28">
        <v>45108</v>
      </c>
      <c r="E160" s="14"/>
      <c r="F160" s="14" t="s">
        <v>96</v>
      </c>
      <c r="G160" s="49">
        <v>45962</v>
      </c>
      <c r="H160" s="49">
        <v>45992</v>
      </c>
      <c r="I160" s="28">
        <v>45966</v>
      </c>
      <c r="J160" s="29" t="s">
        <v>69</v>
      </c>
      <c r="K160" s="52">
        <v>1</v>
      </c>
      <c r="L160" s="13">
        <v>10</v>
      </c>
      <c r="M160" s="53">
        <v>0.09</v>
      </c>
      <c r="N160" s="13">
        <v>0.9</v>
      </c>
      <c r="O160" s="29" t="s">
        <v>72</v>
      </c>
      <c r="Q160" s="5" t="s">
        <v>564</v>
      </c>
      <c r="R160" t="s">
        <v>570</v>
      </c>
      <c r="S160" t="str">
        <f t="shared" si="2"/>
        <v>Anne Kozacheck</v>
      </c>
      <c r="T160">
        <v>19278370</v>
      </c>
    </row>
    <row r="161" spans="1:20" ht="15" customHeight="1" x14ac:dyDescent="0.2">
      <c r="A161" s="1" t="s">
        <v>65</v>
      </c>
      <c r="B161" s="51">
        <v>442027611</v>
      </c>
      <c r="C161" s="1" t="s">
        <v>289</v>
      </c>
      <c r="D161" s="28">
        <v>45170</v>
      </c>
      <c r="E161" s="14"/>
      <c r="F161" s="14" t="s">
        <v>213</v>
      </c>
      <c r="G161" s="49">
        <v>45962</v>
      </c>
      <c r="H161" s="49">
        <v>45992</v>
      </c>
      <c r="I161" s="28">
        <v>45966</v>
      </c>
      <c r="J161" s="29" t="s">
        <v>69</v>
      </c>
      <c r="K161" s="52">
        <v>1</v>
      </c>
      <c r="L161" s="13">
        <v>103.59</v>
      </c>
      <c r="M161" s="53">
        <v>0.06</v>
      </c>
      <c r="N161" s="13">
        <v>6.22</v>
      </c>
      <c r="O161" s="29" t="s">
        <v>72</v>
      </c>
      <c r="Q161" s="5" t="s">
        <v>566</v>
      </c>
      <c r="R161" t="s">
        <v>567</v>
      </c>
      <c r="S161" t="str">
        <f t="shared" si="2"/>
        <v>Carol Foley</v>
      </c>
      <c r="T161">
        <v>17425766</v>
      </c>
    </row>
    <row r="162" spans="1:20" ht="15" customHeight="1" x14ac:dyDescent="0.2">
      <c r="A162" s="1" t="s">
        <v>65</v>
      </c>
      <c r="B162" s="51">
        <v>442057912</v>
      </c>
      <c r="C162" s="1" t="s">
        <v>105</v>
      </c>
      <c r="D162" s="28">
        <v>45170</v>
      </c>
      <c r="E162" s="14"/>
      <c r="F162" s="14" t="s">
        <v>77</v>
      </c>
      <c r="G162" s="49">
        <v>45962</v>
      </c>
      <c r="H162" s="49">
        <v>45992</v>
      </c>
      <c r="I162" s="28">
        <v>45966</v>
      </c>
      <c r="J162" s="29" t="s">
        <v>69</v>
      </c>
      <c r="K162" s="52">
        <v>1</v>
      </c>
      <c r="L162" s="13">
        <v>13.28</v>
      </c>
      <c r="M162" s="53">
        <v>7.0000000000000007E-2</v>
      </c>
      <c r="N162" s="13">
        <v>0.93</v>
      </c>
      <c r="O162" s="29" t="s">
        <v>72</v>
      </c>
      <c r="Q162" s="5" t="s">
        <v>564</v>
      </c>
      <c r="R162" t="s">
        <v>570</v>
      </c>
      <c r="S162" t="str">
        <f t="shared" si="2"/>
        <v>Anne Kozacheck</v>
      </c>
      <c r="T162">
        <v>19278370</v>
      </c>
    </row>
    <row r="163" spans="1:20" ht="15" customHeight="1" x14ac:dyDescent="0.2">
      <c r="A163" s="1" t="s">
        <v>65</v>
      </c>
      <c r="B163" s="51">
        <v>442087913</v>
      </c>
      <c r="C163" s="1" t="s">
        <v>275</v>
      </c>
      <c r="D163" s="28">
        <v>45170</v>
      </c>
      <c r="E163" s="14"/>
      <c r="F163" s="14" t="s">
        <v>163</v>
      </c>
      <c r="G163" s="49">
        <v>45962</v>
      </c>
      <c r="H163" s="49">
        <v>45992</v>
      </c>
      <c r="I163" s="28">
        <v>45966</v>
      </c>
      <c r="J163" s="29" t="s">
        <v>69</v>
      </c>
      <c r="K163" s="52">
        <v>1</v>
      </c>
      <c r="L163" s="13">
        <v>39.06</v>
      </c>
      <c r="M163" s="53">
        <v>7.0000000000000007E-2</v>
      </c>
      <c r="N163" s="13">
        <v>2.73</v>
      </c>
      <c r="O163" s="29" t="s">
        <v>72</v>
      </c>
      <c r="Q163" s="5" t="s">
        <v>566</v>
      </c>
      <c r="R163" t="s">
        <v>567</v>
      </c>
      <c r="S163" t="str">
        <f t="shared" si="2"/>
        <v>Carol Foley</v>
      </c>
      <c r="T163">
        <v>17425766</v>
      </c>
    </row>
    <row r="164" spans="1:20" ht="15" customHeight="1" x14ac:dyDescent="0.2">
      <c r="A164" s="1" t="s">
        <v>65</v>
      </c>
      <c r="B164" s="51">
        <v>442087916</v>
      </c>
      <c r="C164" s="1" t="s">
        <v>275</v>
      </c>
      <c r="D164" s="28">
        <v>45170</v>
      </c>
      <c r="E164" s="14"/>
      <c r="F164" s="14" t="s">
        <v>109</v>
      </c>
      <c r="G164" s="49">
        <v>45962</v>
      </c>
      <c r="H164" s="49">
        <v>45992</v>
      </c>
      <c r="I164" s="28">
        <v>45966</v>
      </c>
      <c r="J164" s="29" t="s">
        <v>69</v>
      </c>
      <c r="K164" s="52">
        <v>1</v>
      </c>
      <c r="L164" s="13">
        <v>82.14</v>
      </c>
      <c r="M164" s="53">
        <v>0.18</v>
      </c>
      <c r="N164" s="13">
        <v>14.79</v>
      </c>
      <c r="O164" s="29" t="s">
        <v>72</v>
      </c>
      <c r="Q164" s="5" t="s">
        <v>566</v>
      </c>
      <c r="R164" t="s">
        <v>567</v>
      </c>
      <c r="S164" t="str">
        <f t="shared" si="2"/>
        <v>Carol Foley</v>
      </c>
      <c r="T164">
        <v>17425766</v>
      </c>
    </row>
    <row r="165" spans="1:20" ht="15" customHeight="1" x14ac:dyDescent="0.2">
      <c r="A165" s="1" t="s">
        <v>65</v>
      </c>
      <c r="B165" s="51">
        <v>442088086</v>
      </c>
      <c r="C165" s="1" t="s">
        <v>166</v>
      </c>
      <c r="D165" s="28">
        <v>45170</v>
      </c>
      <c r="E165" s="14"/>
      <c r="F165" s="14" t="s">
        <v>167</v>
      </c>
      <c r="G165" s="49">
        <v>45962</v>
      </c>
      <c r="H165" s="49">
        <v>45992</v>
      </c>
      <c r="I165" s="28">
        <v>45966</v>
      </c>
      <c r="J165" s="29" t="s">
        <v>69</v>
      </c>
      <c r="K165" s="52">
        <v>1</v>
      </c>
      <c r="L165" s="13">
        <v>37.15</v>
      </c>
      <c r="M165" s="53">
        <v>4.4999999999999998E-2</v>
      </c>
      <c r="N165" s="13">
        <v>1.67</v>
      </c>
      <c r="O165" s="29" t="s">
        <v>72</v>
      </c>
      <c r="Q165" s="5" t="s">
        <v>566</v>
      </c>
      <c r="R165" t="s">
        <v>567</v>
      </c>
      <c r="S165" t="str">
        <f t="shared" si="2"/>
        <v>Carol Foley</v>
      </c>
      <c r="T165">
        <v>17425766</v>
      </c>
    </row>
    <row r="166" spans="1:20" ht="15" customHeight="1" x14ac:dyDescent="0.2">
      <c r="A166" s="1" t="s">
        <v>65</v>
      </c>
      <c r="B166" s="51">
        <v>442088087</v>
      </c>
      <c r="C166" s="1" t="s">
        <v>166</v>
      </c>
      <c r="D166" s="28">
        <v>45170</v>
      </c>
      <c r="E166" s="14"/>
      <c r="F166" s="14" t="s">
        <v>74</v>
      </c>
      <c r="G166" s="49">
        <v>45962</v>
      </c>
      <c r="H166" s="49">
        <v>45992</v>
      </c>
      <c r="I166" s="28">
        <v>45966</v>
      </c>
      <c r="J166" s="29" t="s">
        <v>69</v>
      </c>
      <c r="K166" s="52">
        <v>1</v>
      </c>
      <c r="L166" s="13">
        <v>42.1</v>
      </c>
      <c r="M166" s="53">
        <v>0.18</v>
      </c>
      <c r="N166" s="13">
        <v>7.58</v>
      </c>
      <c r="O166" s="29" t="s">
        <v>72</v>
      </c>
      <c r="Q166" s="5" t="s">
        <v>566</v>
      </c>
      <c r="R166" t="s">
        <v>567</v>
      </c>
      <c r="S166" t="str">
        <f t="shared" si="2"/>
        <v>Carol Foley</v>
      </c>
      <c r="T166">
        <v>17425766</v>
      </c>
    </row>
    <row r="167" spans="1:20" ht="15" customHeight="1" x14ac:dyDescent="0.2">
      <c r="A167" s="1" t="s">
        <v>65</v>
      </c>
      <c r="B167" s="51">
        <v>442089124</v>
      </c>
      <c r="C167" s="1" t="s">
        <v>175</v>
      </c>
      <c r="D167" s="28">
        <v>45139</v>
      </c>
      <c r="E167" s="14"/>
      <c r="F167" s="14" t="s">
        <v>163</v>
      </c>
      <c r="G167" s="49">
        <v>45962</v>
      </c>
      <c r="H167" s="49">
        <v>45992</v>
      </c>
      <c r="I167" s="28">
        <v>45966</v>
      </c>
      <c r="J167" s="29" t="s">
        <v>69</v>
      </c>
      <c r="K167" s="52">
        <v>1</v>
      </c>
      <c r="L167" s="13">
        <v>39.06</v>
      </c>
      <c r="M167" s="53">
        <v>7.0000000000000007E-2</v>
      </c>
      <c r="N167" s="13">
        <v>2.73</v>
      </c>
      <c r="O167" s="29" t="s">
        <v>72</v>
      </c>
      <c r="Q167" s="5" t="s">
        <v>566</v>
      </c>
      <c r="R167" t="s">
        <v>567</v>
      </c>
      <c r="S167" t="str">
        <f t="shared" si="2"/>
        <v>Carol Foley</v>
      </c>
      <c r="T167">
        <v>17425766</v>
      </c>
    </row>
    <row r="168" spans="1:20" ht="15" customHeight="1" x14ac:dyDescent="0.2">
      <c r="A168" s="1" t="s">
        <v>65</v>
      </c>
      <c r="B168" s="51">
        <v>442089129</v>
      </c>
      <c r="C168" s="1" t="s">
        <v>175</v>
      </c>
      <c r="D168" s="28">
        <v>45139</v>
      </c>
      <c r="E168" s="14"/>
      <c r="F168" s="14" t="s">
        <v>74</v>
      </c>
      <c r="G168" s="49">
        <v>45962</v>
      </c>
      <c r="H168" s="49">
        <v>45992</v>
      </c>
      <c r="I168" s="28">
        <v>45966</v>
      </c>
      <c r="J168" s="29" t="s">
        <v>69</v>
      </c>
      <c r="K168" s="52">
        <v>1</v>
      </c>
      <c r="L168" s="13">
        <v>48.9</v>
      </c>
      <c r="M168" s="53">
        <v>0.18</v>
      </c>
      <c r="N168" s="13">
        <v>8.8000000000000007</v>
      </c>
      <c r="O168" s="29" t="s">
        <v>72</v>
      </c>
      <c r="Q168" s="5" t="s">
        <v>566</v>
      </c>
      <c r="R168" t="s">
        <v>567</v>
      </c>
      <c r="S168" t="str">
        <f t="shared" si="2"/>
        <v>Carol Foley</v>
      </c>
      <c r="T168">
        <v>17425766</v>
      </c>
    </row>
    <row r="169" spans="1:20" ht="15" customHeight="1" x14ac:dyDescent="0.2">
      <c r="A169" s="1" t="s">
        <v>65</v>
      </c>
      <c r="B169" s="51">
        <v>442095367</v>
      </c>
      <c r="C169" s="1" t="s">
        <v>238</v>
      </c>
      <c r="D169" s="28">
        <v>45139</v>
      </c>
      <c r="E169" s="14"/>
      <c r="F169" s="14" t="s">
        <v>182</v>
      </c>
      <c r="G169" s="49">
        <v>45962</v>
      </c>
      <c r="H169" s="49">
        <v>45992</v>
      </c>
      <c r="I169" s="28">
        <v>45966</v>
      </c>
      <c r="J169" s="29" t="s">
        <v>69</v>
      </c>
      <c r="K169" s="52">
        <v>1</v>
      </c>
      <c r="L169" s="13">
        <v>39.409999999999997</v>
      </c>
      <c r="M169" s="53">
        <v>0.09</v>
      </c>
      <c r="N169" s="13">
        <v>3.55</v>
      </c>
      <c r="O169" s="29" t="s">
        <v>72</v>
      </c>
      <c r="Q169" s="5" t="s">
        <v>566</v>
      </c>
      <c r="R169" t="s">
        <v>567</v>
      </c>
      <c r="S169" t="str">
        <f t="shared" si="2"/>
        <v>Carol Foley</v>
      </c>
      <c r="T169">
        <v>17425766</v>
      </c>
    </row>
    <row r="170" spans="1:20" ht="15" customHeight="1" x14ac:dyDescent="0.2">
      <c r="A170" s="1" t="s">
        <v>65</v>
      </c>
      <c r="B170" s="51">
        <v>442126147</v>
      </c>
      <c r="C170" s="1" t="s">
        <v>338</v>
      </c>
      <c r="D170" s="28">
        <v>45170</v>
      </c>
      <c r="E170" s="14"/>
      <c r="F170" s="14" t="s">
        <v>171</v>
      </c>
      <c r="G170" s="49">
        <v>45962</v>
      </c>
      <c r="H170" s="49">
        <v>45992</v>
      </c>
      <c r="I170" s="28">
        <v>45966</v>
      </c>
      <c r="J170" s="29" t="s">
        <v>69</v>
      </c>
      <c r="K170" s="52">
        <v>1</v>
      </c>
      <c r="L170" s="13">
        <v>11.6</v>
      </c>
      <c r="M170" s="53">
        <v>0.09</v>
      </c>
      <c r="N170" s="13">
        <v>1.04</v>
      </c>
      <c r="O170" s="29" t="s">
        <v>72</v>
      </c>
      <c r="Q170" s="5" t="s">
        <v>566</v>
      </c>
      <c r="R170" t="s">
        <v>567</v>
      </c>
      <c r="S170" t="str">
        <f t="shared" si="2"/>
        <v>Carol Foley</v>
      </c>
      <c r="T170">
        <v>17425766</v>
      </c>
    </row>
    <row r="171" spans="1:20" ht="15" customHeight="1" x14ac:dyDescent="0.2">
      <c r="A171" s="1" t="s">
        <v>65</v>
      </c>
      <c r="B171" s="51">
        <v>442126148</v>
      </c>
      <c r="C171" s="1" t="s">
        <v>338</v>
      </c>
      <c r="D171" s="28">
        <v>45170</v>
      </c>
      <c r="E171" s="14"/>
      <c r="F171" s="14" t="s">
        <v>189</v>
      </c>
      <c r="G171" s="49">
        <v>45962</v>
      </c>
      <c r="H171" s="49">
        <v>45992</v>
      </c>
      <c r="I171" s="28">
        <v>45966</v>
      </c>
      <c r="J171" s="29" t="s">
        <v>69</v>
      </c>
      <c r="K171" s="52">
        <v>1</v>
      </c>
      <c r="L171" s="13">
        <v>49.32</v>
      </c>
      <c r="M171" s="53">
        <v>0.18</v>
      </c>
      <c r="N171" s="13">
        <v>8.8800000000000008</v>
      </c>
      <c r="O171" s="29" t="s">
        <v>72</v>
      </c>
      <c r="Q171" s="5" t="s">
        <v>566</v>
      </c>
      <c r="R171" t="s">
        <v>567</v>
      </c>
      <c r="S171" t="str">
        <f t="shared" si="2"/>
        <v>Carol Foley</v>
      </c>
      <c r="T171">
        <v>17425766</v>
      </c>
    </row>
    <row r="172" spans="1:20" ht="15" customHeight="1" x14ac:dyDescent="0.2">
      <c r="A172" s="1" t="s">
        <v>65</v>
      </c>
      <c r="B172" s="51">
        <v>442131578</v>
      </c>
      <c r="C172" s="1" t="s">
        <v>222</v>
      </c>
      <c r="D172" s="28">
        <v>45170</v>
      </c>
      <c r="E172" s="14"/>
      <c r="F172" s="14" t="s">
        <v>171</v>
      </c>
      <c r="G172" s="49">
        <v>45962</v>
      </c>
      <c r="H172" s="49">
        <v>45992</v>
      </c>
      <c r="I172" s="28">
        <v>45966</v>
      </c>
      <c r="J172" s="29" t="s">
        <v>69</v>
      </c>
      <c r="K172" s="52">
        <v>1</v>
      </c>
      <c r="L172" s="13">
        <v>13.6</v>
      </c>
      <c r="M172" s="53">
        <v>0.09</v>
      </c>
      <c r="N172" s="13">
        <v>1.22</v>
      </c>
      <c r="O172" s="29" t="s">
        <v>72</v>
      </c>
      <c r="Q172" s="5" t="s">
        <v>566</v>
      </c>
      <c r="R172" t="s">
        <v>567</v>
      </c>
      <c r="S172" t="str">
        <f t="shared" si="2"/>
        <v>Carol Foley</v>
      </c>
      <c r="T172">
        <v>17425766</v>
      </c>
    </row>
    <row r="173" spans="1:20" ht="15" customHeight="1" x14ac:dyDescent="0.2">
      <c r="A173" s="1" t="s">
        <v>65</v>
      </c>
      <c r="B173" s="51">
        <v>442131583</v>
      </c>
      <c r="C173" s="1" t="s">
        <v>222</v>
      </c>
      <c r="D173" s="28">
        <v>45170</v>
      </c>
      <c r="E173" s="14"/>
      <c r="F173" s="14" t="s">
        <v>224</v>
      </c>
      <c r="G173" s="49">
        <v>45962</v>
      </c>
      <c r="H173" s="49">
        <v>45992</v>
      </c>
      <c r="I173" s="28">
        <v>45966</v>
      </c>
      <c r="J173" s="29" t="s">
        <v>69</v>
      </c>
      <c r="K173" s="52">
        <v>1</v>
      </c>
      <c r="L173" s="13">
        <v>51.81</v>
      </c>
      <c r="M173" s="53">
        <v>0.18</v>
      </c>
      <c r="N173" s="13">
        <v>9.33</v>
      </c>
      <c r="O173" s="29" t="s">
        <v>72</v>
      </c>
      <c r="Q173" s="5" t="s">
        <v>566</v>
      </c>
      <c r="R173" t="s">
        <v>567</v>
      </c>
      <c r="S173" t="str">
        <f t="shared" si="2"/>
        <v>Carol Foley</v>
      </c>
      <c r="T173">
        <v>17425766</v>
      </c>
    </row>
    <row r="174" spans="1:20" ht="15" customHeight="1" x14ac:dyDescent="0.2">
      <c r="A174" s="1" t="s">
        <v>65</v>
      </c>
      <c r="B174" s="51">
        <v>442146746</v>
      </c>
      <c r="C174" s="1" t="s">
        <v>322</v>
      </c>
      <c r="D174" s="28">
        <v>45170</v>
      </c>
      <c r="E174" s="14"/>
      <c r="F174" s="14" t="s">
        <v>167</v>
      </c>
      <c r="G174" s="49">
        <v>45962</v>
      </c>
      <c r="H174" s="49">
        <v>45992</v>
      </c>
      <c r="I174" s="28">
        <v>45966</v>
      </c>
      <c r="J174" s="29" t="s">
        <v>69</v>
      </c>
      <c r="K174" s="52">
        <v>1</v>
      </c>
      <c r="L174" s="13">
        <v>37.15</v>
      </c>
      <c r="M174" s="53">
        <v>4.4999999999999998E-2</v>
      </c>
      <c r="N174" s="13">
        <v>1.67</v>
      </c>
      <c r="O174" s="29" t="s">
        <v>72</v>
      </c>
      <c r="Q174" s="5" t="s">
        <v>566</v>
      </c>
      <c r="R174" t="s">
        <v>567</v>
      </c>
      <c r="S174" t="str">
        <f t="shared" si="2"/>
        <v>Carol Foley</v>
      </c>
      <c r="T174">
        <v>17425766</v>
      </c>
    </row>
    <row r="175" spans="1:20" ht="15" customHeight="1" x14ac:dyDescent="0.2">
      <c r="A175" s="1" t="s">
        <v>65</v>
      </c>
      <c r="B175" s="51">
        <v>442146755</v>
      </c>
      <c r="C175" s="1" t="s">
        <v>322</v>
      </c>
      <c r="D175" s="28">
        <v>45170</v>
      </c>
      <c r="E175" s="14"/>
      <c r="F175" s="14" t="s">
        <v>213</v>
      </c>
      <c r="G175" s="49">
        <v>45962</v>
      </c>
      <c r="H175" s="49">
        <v>45992</v>
      </c>
      <c r="I175" s="28">
        <v>45966</v>
      </c>
      <c r="J175" s="29" t="s">
        <v>69</v>
      </c>
      <c r="K175" s="52">
        <v>1</v>
      </c>
      <c r="L175" s="13">
        <v>72.73</v>
      </c>
      <c r="M175" s="53">
        <v>0.18</v>
      </c>
      <c r="N175" s="13">
        <v>13.09</v>
      </c>
      <c r="O175" s="29" t="s">
        <v>72</v>
      </c>
      <c r="Q175" s="5" t="s">
        <v>566</v>
      </c>
      <c r="R175" t="s">
        <v>567</v>
      </c>
      <c r="S175" t="str">
        <f t="shared" si="2"/>
        <v>Carol Foley</v>
      </c>
      <c r="T175">
        <v>17425766</v>
      </c>
    </row>
    <row r="176" spans="1:20" ht="15" customHeight="1" x14ac:dyDescent="0.2">
      <c r="A176" s="1" t="s">
        <v>65</v>
      </c>
      <c r="B176" s="51">
        <v>442172316</v>
      </c>
      <c r="C176" s="1" t="s">
        <v>219</v>
      </c>
      <c r="D176" s="28">
        <v>45200</v>
      </c>
      <c r="E176" s="14"/>
      <c r="F176" s="14" t="s">
        <v>182</v>
      </c>
      <c r="G176" s="49">
        <v>45962</v>
      </c>
      <c r="H176" s="49">
        <v>45992</v>
      </c>
      <c r="I176" s="28">
        <v>45966</v>
      </c>
      <c r="J176" s="29" t="s">
        <v>69</v>
      </c>
      <c r="K176" s="52">
        <v>1</v>
      </c>
      <c r="L176" s="13">
        <v>37.96</v>
      </c>
      <c r="M176" s="53">
        <v>4.4999999999999998E-2</v>
      </c>
      <c r="N176" s="13">
        <v>1.71</v>
      </c>
      <c r="O176" s="29" t="s">
        <v>72</v>
      </c>
      <c r="Q176" s="5" t="s">
        <v>566</v>
      </c>
      <c r="R176" t="s">
        <v>567</v>
      </c>
      <c r="S176" t="str">
        <f t="shared" si="2"/>
        <v>Carol Foley</v>
      </c>
      <c r="T176">
        <v>17425766</v>
      </c>
    </row>
    <row r="177" spans="1:20" ht="15" customHeight="1" x14ac:dyDescent="0.2">
      <c r="A177" s="1" t="s">
        <v>65</v>
      </c>
      <c r="B177" s="51">
        <v>442172320</v>
      </c>
      <c r="C177" s="1" t="s">
        <v>219</v>
      </c>
      <c r="D177" s="28">
        <v>45200</v>
      </c>
      <c r="E177" s="14"/>
      <c r="F177" s="14" t="s">
        <v>213</v>
      </c>
      <c r="G177" s="49">
        <v>45962</v>
      </c>
      <c r="H177" s="49">
        <v>45992</v>
      </c>
      <c r="I177" s="28">
        <v>45966</v>
      </c>
      <c r="J177" s="29" t="s">
        <v>69</v>
      </c>
      <c r="K177" s="52">
        <v>1</v>
      </c>
      <c r="L177" s="13">
        <v>165.41</v>
      </c>
      <c r="M177" s="53">
        <v>0.09</v>
      </c>
      <c r="N177" s="13">
        <v>14.89</v>
      </c>
      <c r="O177" s="29" t="s">
        <v>72</v>
      </c>
      <c r="Q177" s="5" t="s">
        <v>566</v>
      </c>
      <c r="R177" t="s">
        <v>567</v>
      </c>
      <c r="S177" t="str">
        <f t="shared" si="2"/>
        <v>Carol Foley</v>
      </c>
      <c r="T177">
        <v>17425766</v>
      </c>
    </row>
    <row r="178" spans="1:20" ht="15" customHeight="1" x14ac:dyDescent="0.2">
      <c r="A178" s="1" t="s">
        <v>65</v>
      </c>
      <c r="B178" s="51">
        <v>442187057</v>
      </c>
      <c r="C178" s="1" t="s">
        <v>181</v>
      </c>
      <c r="D178" s="28">
        <v>45200</v>
      </c>
      <c r="E178" s="14"/>
      <c r="F178" s="14" t="s">
        <v>182</v>
      </c>
      <c r="G178" s="49">
        <v>45962</v>
      </c>
      <c r="H178" s="49">
        <v>45992</v>
      </c>
      <c r="I178" s="28">
        <v>45966</v>
      </c>
      <c r="J178" s="29" t="s">
        <v>69</v>
      </c>
      <c r="K178" s="52">
        <v>1</v>
      </c>
      <c r="L178" s="13">
        <v>37.96</v>
      </c>
      <c r="M178" s="53">
        <v>4.4999999999999998E-2</v>
      </c>
      <c r="N178" s="13">
        <v>1.71</v>
      </c>
      <c r="O178" s="29" t="s">
        <v>72</v>
      </c>
      <c r="Q178" s="5" t="s">
        <v>566</v>
      </c>
      <c r="R178" t="s">
        <v>567</v>
      </c>
      <c r="S178" t="str">
        <f t="shared" si="2"/>
        <v>Carol Foley</v>
      </c>
      <c r="T178">
        <v>17425766</v>
      </c>
    </row>
    <row r="179" spans="1:20" ht="15" customHeight="1" x14ac:dyDescent="0.2">
      <c r="A179" s="1" t="s">
        <v>65</v>
      </c>
      <c r="B179" s="51">
        <v>442187065</v>
      </c>
      <c r="C179" s="1" t="s">
        <v>181</v>
      </c>
      <c r="D179" s="28">
        <v>45200</v>
      </c>
      <c r="E179" s="14"/>
      <c r="F179" s="14" t="s">
        <v>74</v>
      </c>
      <c r="G179" s="49">
        <v>45962</v>
      </c>
      <c r="H179" s="49">
        <v>45992</v>
      </c>
      <c r="I179" s="28">
        <v>45966</v>
      </c>
      <c r="J179" s="29" t="s">
        <v>69</v>
      </c>
      <c r="K179" s="52">
        <v>1</v>
      </c>
      <c r="L179" s="13">
        <v>31.04</v>
      </c>
      <c r="M179" s="53">
        <v>0.09</v>
      </c>
      <c r="N179" s="13">
        <v>2.79</v>
      </c>
      <c r="O179" s="29" t="s">
        <v>72</v>
      </c>
      <c r="Q179" s="5" t="s">
        <v>566</v>
      </c>
      <c r="R179" t="s">
        <v>567</v>
      </c>
      <c r="S179" t="str">
        <f t="shared" si="2"/>
        <v>Carol Foley</v>
      </c>
      <c r="T179">
        <v>17425766</v>
      </c>
    </row>
    <row r="180" spans="1:20" ht="15" customHeight="1" x14ac:dyDescent="0.2">
      <c r="A180" s="1" t="s">
        <v>65</v>
      </c>
      <c r="B180" s="51">
        <v>442191721</v>
      </c>
      <c r="C180" s="1" t="s">
        <v>269</v>
      </c>
      <c r="D180" s="28">
        <v>45200</v>
      </c>
      <c r="E180" s="14"/>
      <c r="F180" s="14" t="s">
        <v>182</v>
      </c>
      <c r="G180" s="49">
        <v>45962</v>
      </c>
      <c r="H180" s="49">
        <v>45992</v>
      </c>
      <c r="I180" s="28">
        <v>45966</v>
      </c>
      <c r="J180" s="29" t="s">
        <v>69</v>
      </c>
      <c r="K180" s="52">
        <v>1</v>
      </c>
      <c r="L180" s="13">
        <v>30.09</v>
      </c>
      <c r="M180" s="53">
        <v>4.4999999999999998E-2</v>
      </c>
      <c r="N180" s="13">
        <v>1.35</v>
      </c>
      <c r="O180" s="29" t="s">
        <v>72</v>
      </c>
      <c r="Q180" s="5" t="s">
        <v>566</v>
      </c>
      <c r="R180" t="s">
        <v>567</v>
      </c>
      <c r="S180" t="str">
        <f t="shared" si="2"/>
        <v>Carol Foley</v>
      </c>
      <c r="T180">
        <v>17425766</v>
      </c>
    </row>
    <row r="181" spans="1:20" ht="15" customHeight="1" x14ac:dyDescent="0.2">
      <c r="A181" s="1" t="s">
        <v>65</v>
      </c>
      <c r="B181" s="51">
        <v>442191726</v>
      </c>
      <c r="C181" s="1" t="s">
        <v>269</v>
      </c>
      <c r="D181" s="28">
        <v>45200</v>
      </c>
      <c r="E181" s="14"/>
      <c r="F181" s="14" t="s">
        <v>197</v>
      </c>
      <c r="G181" s="49">
        <v>45962</v>
      </c>
      <c r="H181" s="49">
        <v>45992</v>
      </c>
      <c r="I181" s="28">
        <v>45966</v>
      </c>
      <c r="J181" s="29" t="s">
        <v>69</v>
      </c>
      <c r="K181" s="52">
        <v>1</v>
      </c>
      <c r="L181" s="13">
        <v>40.86</v>
      </c>
      <c r="M181" s="53">
        <v>0.18</v>
      </c>
      <c r="N181" s="13">
        <v>7.35</v>
      </c>
      <c r="O181" s="29" t="s">
        <v>72</v>
      </c>
      <c r="Q181" s="5" t="s">
        <v>566</v>
      </c>
      <c r="R181" t="s">
        <v>567</v>
      </c>
      <c r="S181" t="str">
        <f t="shared" si="2"/>
        <v>Carol Foley</v>
      </c>
      <c r="T181">
        <v>17425766</v>
      </c>
    </row>
    <row r="182" spans="1:20" ht="15" customHeight="1" x14ac:dyDescent="0.2">
      <c r="A182" s="1" t="s">
        <v>65</v>
      </c>
      <c r="B182" s="51">
        <v>442214836</v>
      </c>
      <c r="C182" s="1" t="s">
        <v>170</v>
      </c>
      <c r="D182" s="28">
        <v>45292</v>
      </c>
      <c r="E182" s="14"/>
      <c r="F182" s="14" t="s">
        <v>171</v>
      </c>
      <c r="G182" s="49">
        <v>45962</v>
      </c>
      <c r="H182" s="49">
        <v>45992</v>
      </c>
      <c r="I182" s="28">
        <v>45966</v>
      </c>
      <c r="J182" s="29" t="s">
        <v>69</v>
      </c>
      <c r="K182" s="52">
        <v>1</v>
      </c>
      <c r="L182" s="13">
        <v>15</v>
      </c>
      <c r="M182" s="53">
        <v>0.09</v>
      </c>
      <c r="N182" s="13">
        <v>1.35</v>
      </c>
      <c r="O182" s="29" t="s">
        <v>72</v>
      </c>
      <c r="Q182" s="5" t="s">
        <v>566</v>
      </c>
      <c r="R182" t="s">
        <v>567</v>
      </c>
      <c r="S182" t="str">
        <f t="shared" si="2"/>
        <v>Carol Foley</v>
      </c>
      <c r="T182">
        <v>17425766</v>
      </c>
    </row>
    <row r="183" spans="1:20" ht="15" customHeight="1" x14ac:dyDescent="0.2">
      <c r="A183" s="1" t="s">
        <v>65</v>
      </c>
      <c r="B183" s="51">
        <v>442214841</v>
      </c>
      <c r="C183" s="1" t="s">
        <v>170</v>
      </c>
      <c r="D183" s="28">
        <v>45292</v>
      </c>
      <c r="E183" s="14"/>
      <c r="F183" s="14" t="s">
        <v>173</v>
      </c>
      <c r="G183" s="49">
        <v>45962</v>
      </c>
      <c r="H183" s="49">
        <v>45992</v>
      </c>
      <c r="I183" s="28">
        <v>45966</v>
      </c>
      <c r="J183" s="29" t="s">
        <v>69</v>
      </c>
      <c r="K183" s="52">
        <v>1</v>
      </c>
      <c r="L183" s="13">
        <v>52.29</v>
      </c>
      <c r="M183" s="53">
        <v>0.18</v>
      </c>
      <c r="N183" s="13">
        <v>9.41</v>
      </c>
      <c r="O183" s="29" t="s">
        <v>72</v>
      </c>
      <c r="Q183" s="5" t="s">
        <v>566</v>
      </c>
      <c r="R183" t="s">
        <v>567</v>
      </c>
      <c r="S183" t="str">
        <f t="shared" si="2"/>
        <v>Carol Foley</v>
      </c>
      <c r="T183">
        <v>17425766</v>
      </c>
    </row>
    <row r="184" spans="1:20" ht="15" customHeight="1" x14ac:dyDescent="0.2">
      <c r="A184" s="1" t="s">
        <v>65</v>
      </c>
      <c r="B184" s="51">
        <v>442233186</v>
      </c>
      <c r="C184" s="1" t="s">
        <v>187</v>
      </c>
      <c r="D184" s="28">
        <v>45292</v>
      </c>
      <c r="E184" s="14"/>
      <c r="F184" s="14" t="s">
        <v>171</v>
      </c>
      <c r="G184" s="49">
        <v>45962</v>
      </c>
      <c r="H184" s="49">
        <v>45992</v>
      </c>
      <c r="I184" s="28">
        <v>45966</v>
      </c>
      <c r="J184" s="29" t="s">
        <v>69</v>
      </c>
      <c r="K184" s="52">
        <v>1</v>
      </c>
      <c r="L184" s="13">
        <v>10.8</v>
      </c>
      <c r="M184" s="53">
        <v>0.09</v>
      </c>
      <c r="N184" s="13">
        <v>0.97</v>
      </c>
      <c r="O184" s="29" t="s">
        <v>72</v>
      </c>
      <c r="Q184" s="5" t="s">
        <v>566</v>
      </c>
      <c r="R184" t="s">
        <v>567</v>
      </c>
      <c r="S184" t="str">
        <f t="shared" si="2"/>
        <v>Carol Foley</v>
      </c>
      <c r="T184">
        <v>17425766</v>
      </c>
    </row>
    <row r="185" spans="1:20" ht="15" customHeight="1" x14ac:dyDescent="0.2">
      <c r="A185" s="1" t="s">
        <v>65</v>
      </c>
      <c r="B185" s="51">
        <v>442233192</v>
      </c>
      <c r="C185" s="1" t="s">
        <v>187</v>
      </c>
      <c r="D185" s="28">
        <v>45292</v>
      </c>
      <c r="E185" s="14"/>
      <c r="F185" s="14" t="s">
        <v>189</v>
      </c>
      <c r="G185" s="49">
        <v>45962</v>
      </c>
      <c r="H185" s="49">
        <v>45992</v>
      </c>
      <c r="I185" s="28">
        <v>45966</v>
      </c>
      <c r="J185" s="29" t="s">
        <v>69</v>
      </c>
      <c r="K185" s="52">
        <v>1</v>
      </c>
      <c r="L185" s="13">
        <v>41.69</v>
      </c>
      <c r="M185" s="53">
        <v>0.18</v>
      </c>
      <c r="N185" s="13">
        <v>7.5</v>
      </c>
      <c r="O185" s="29" t="s">
        <v>72</v>
      </c>
      <c r="Q185" s="5" t="s">
        <v>566</v>
      </c>
      <c r="R185" t="s">
        <v>567</v>
      </c>
      <c r="S185" t="str">
        <f t="shared" si="2"/>
        <v>Carol Foley</v>
      </c>
      <c r="T185">
        <v>17425766</v>
      </c>
    </row>
    <row r="186" spans="1:20" ht="15" customHeight="1" x14ac:dyDescent="0.2">
      <c r="A186" s="1" t="s">
        <v>65</v>
      </c>
      <c r="B186" s="51">
        <v>442244798</v>
      </c>
      <c r="C186" s="1" t="s">
        <v>98</v>
      </c>
      <c r="D186" s="28">
        <v>45292</v>
      </c>
      <c r="E186" s="14"/>
      <c r="F186" s="14" t="s">
        <v>91</v>
      </c>
      <c r="G186" s="49">
        <v>45962</v>
      </c>
      <c r="H186" s="49">
        <v>45992</v>
      </c>
      <c r="I186" s="28">
        <v>45966</v>
      </c>
      <c r="J186" s="29" t="s">
        <v>69</v>
      </c>
      <c r="K186" s="52">
        <v>1</v>
      </c>
      <c r="L186" s="13">
        <v>20.399999999999999</v>
      </c>
      <c r="M186" s="53">
        <v>0.09</v>
      </c>
      <c r="N186" s="13">
        <v>1.84</v>
      </c>
      <c r="O186" s="29" t="s">
        <v>72</v>
      </c>
      <c r="Q186" s="5" t="s">
        <v>564</v>
      </c>
      <c r="R186" t="s">
        <v>570</v>
      </c>
      <c r="S186" t="str">
        <f t="shared" si="2"/>
        <v>Anne Kozacheck</v>
      </c>
      <c r="T186">
        <v>19278370</v>
      </c>
    </row>
    <row r="187" spans="1:20" ht="15" customHeight="1" x14ac:dyDescent="0.2">
      <c r="A187" s="1" t="s">
        <v>65</v>
      </c>
      <c r="B187" s="51">
        <v>442247856</v>
      </c>
      <c r="C187" s="1" t="s">
        <v>248</v>
      </c>
      <c r="D187" s="28">
        <v>45292</v>
      </c>
      <c r="E187" s="14"/>
      <c r="F187" s="14" t="s">
        <v>171</v>
      </c>
      <c r="G187" s="49">
        <v>45962</v>
      </c>
      <c r="H187" s="49">
        <v>45992</v>
      </c>
      <c r="I187" s="28">
        <v>45966</v>
      </c>
      <c r="J187" s="29" t="s">
        <v>69</v>
      </c>
      <c r="K187" s="52">
        <v>1</v>
      </c>
      <c r="L187" s="13">
        <v>10.8</v>
      </c>
      <c r="M187" s="53">
        <v>0.09</v>
      </c>
      <c r="N187" s="13">
        <v>0.97</v>
      </c>
      <c r="O187" s="29" t="s">
        <v>72</v>
      </c>
      <c r="Q187" s="5" t="s">
        <v>566</v>
      </c>
      <c r="R187" t="s">
        <v>567</v>
      </c>
      <c r="S187" t="str">
        <f t="shared" si="2"/>
        <v>Carol Foley</v>
      </c>
      <c r="T187">
        <v>17425766</v>
      </c>
    </row>
    <row r="188" spans="1:20" ht="15" customHeight="1" x14ac:dyDescent="0.2">
      <c r="A188" s="1" t="s">
        <v>65</v>
      </c>
      <c r="B188" s="51">
        <v>442247857</v>
      </c>
      <c r="C188" s="1" t="s">
        <v>248</v>
      </c>
      <c r="D188" s="28">
        <v>45292</v>
      </c>
      <c r="E188" s="14"/>
      <c r="F188" s="14" t="s">
        <v>189</v>
      </c>
      <c r="G188" s="49">
        <v>45962</v>
      </c>
      <c r="H188" s="49">
        <v>45992</v>
      </c>
      <c r="I188" s="28">
        <v>45966</v>
      </c>
      <c r="J188" s="29" t="s">
        <v>69</v>
      </c>
      <c r="K188" s="52">
        <v>1</v>
      </c>
      <c r="L188" s="13">
        <v>52.07</v>
      </c>
      <c r="M188" s="53">
        <v>0.18</v>
      </c>
      <c r="N188" s="13">
        <v>9.3699999999999992</v>
      </c>
      <c r="O188" s="29" t="s">
        <v>72</v>
      </c>
      <c r="Q188" s="5" t="s">
        <v>566</v>
      </c>
      <c r="R188" t="s">
        <v>567</v>
      </c>
      <c r="S188" t="str">
        <f t="shared" si="2"/>
        <v>Carol Foley</v>
      </c>
      <c r="T188">
        <v>17425766</v>
      </c>
    </row>
    <row r="189" spans="1:20" ht="15" customHeight="1" x14ac:dyDescent="0.2">
      <c r="A189" s="1" t="s">
        <v>65</v>
      </c>
      <c r="B189" s="51">
        <v>442254656</v>
      </c>
      <c r="C189" s="1" t="s">
        <v>206</v>
      </c>
      <c r="D189" s="28">
        <v>45235</v>
      </c>
      <c r="E189" s="14"/>
      <c r="F189" s="14" t="s">
        <v>68</v>
      </c>
      <c r="G189" s="49">
        <v>45962</v>
      </c>
      <c r="H189" s="49">
        <v>45966</v>
      </c>
      <c r="I189" s="28">
        <v>45968</v>
      </c>
      <c r="J189" s="29" t="s">
        <v>69</v>
      </c>
      <c r="K189" s="52">
        <v>1</v>
      </c>
      <c r="L189" s="13">
        <v>2.46</v>
      </c>
      <c r="M189" s="53">
        <v>4.4999999999999998E-2</v>
      </c>
      <c r="N189" s="13">
        <v>0.11</v>
      </c>
      <c r="O189" s="29" t="s">
        <v>72</v>
      </c>
      <c r="Q189" s="5" t="s">
        <v>566</v>
      </c>
      <c r="R189" t="s">
        <v>567</v>
      </c>
      <c r="S189" t="str">
        <f t="shared" si="2"/>
        <v>Carol Foley</v>
      </c>
      <c r="T189">
        <v>17425766</v>
      </c>
    </row>
    <row r="190" spans="1:20" ht="15" customHeight="1" x14ac:dyDescent="0.2">
      <c r="A190" s="1" t="s">
        <v>65</v>
      </c>
      <c r="B190" s="51">
        <v>442254656</v>
      </c>
      <c r="C190" s="1" t="s">
        <v>206</v>
      </c>
      <c r="D190" s="28">
        <v>45235</v>
      </c>
      <c r="E190" s="14"/>
      <c r="F190" s="14" t="s">
        <v>68</v>
      </c>
      <c r="G190" s="49">
        <v>45967</v>
      </c>
      <c r="H190" s="49">
        <v>45992</v>
      </c>
      <c r="I190" s="28">
        <v>45968</v>
      </c>
      <c r="J190" s="29" t="s">
        <v>69</v>
      </c>
      <c r="K190" s="52">
        <v>1</v>
      </c>
      <c r="L190" s="13">
        <v>16.02</v>
      </c>
      <c r="M190" s="53">
        <v>4.4999999999999998E-2</v>
      </c>
      <c r="N190" s="13">
        <v>0.72</v>
      </c>
      <c r="O190" s="29" t="s">
        <v>72</v>
      </c>
      <c r="Q190" s="5" t="s">
        <v>566</v>
      </c>
      <c r="R190" t="s">
        <v>567</v>
      </c>
      <c r="S190" t="str">
        <f t="shared" si="2"/>
        <v>Carol Foley</v>
      </c>
      <c r="T190">
        <v>17425766</v>
      </c>
    </row>
    <row r="191" spans="1:20" ht="15" customHeight="1" x14ac:dyDescent="0.2">
      <c r="A191" s="1" t="s">
        <v>65</v>
      </c>
      <c r="B191" s="51">
        <v>442259767</v>
      </c>
      <c r="C191" s="1" t="s">
        <v>391</v>
      </c>
      <c r="D191" s="28">
        <v>45261</v>
      </c>
      <c r="E191" s="14"/>
      <c r="F191" s="14" t="s">
        <v>213</v>
      </c>
      <c r="G191" s="49">
        <v>45962</v>
      </c>
      <c r="H191" s="49">
        <v>45992</v>
      </c>
      <c r="I191" s="28">
        <v>45966</v>
      </c>
      <c r="J191" s="29" t="s">
        <v>69</v>
      </c>
      <c r="K191" s="52">
        <v>1</v>
      </c>
      <c r="L191" s="13">
        <v>40.630000000000003</v>
      </c>
      <c r="M191" s="53">
        <v>0.18</v>
      </c>
      <c r="N191" s="13">
        <v>7.31</v>
      </c>
      <c r="O191" s="29" t="s">
        <v>72</v>
      </c>
      <c r="Q191" s="5" t="s">
        <v>573</v>
      </c>
      <c r="R191" t="s">
        <v>574</v>
      </c>
      <c r="S191" t="str">
        <f t="shared" si="2"/>
        <v>Deborah Inskipt</v>
      </c>
      <c r="T191">
        <v>17528908</v>
      </c>
    </row>
    <row r="192" spans="1:20" ht="15" customHeight="1" x14ac:dyDescent="0.2">
      <c r="A192" s="1" t="s">
        <v>65</v>
      </c>
      <c r="B192" s="51">
        <v>442260890</v>
      </c>
      <c r="C192" s="1" t="s">
        <v>365</v>
      </c>
      <c r="D192" s="28">
        <v>45292</v>
      </c>
      <c r="E192" s="14"/>
      <c r="F192" s="14" t="s">
        <v>77</v>
      </c>
      <c r="G192" s="49">
        <v>45962</v>
      </c>
      <c r="H192" s="49">
        <v>45992</v>
      </c>
      <c r="I192" s="28">
        <v>45966</v>
      </c>
      <c r="J192" s="29" t="s">
        <v>69</v>
      </c>
      <c r="K192" s="52">
        <v>1</v>
      </c>
      <c r="L192" s="13">
        <v>13.28</v>
      </c>
      <c r="M192" s="53">
        <v>7.0000000000000007E-2</v>
      </c>
      <c r="N192" s="13">
        <v>0.93</v>
      </c>
      <c r="O192" s="29" t="s">
        <v>72</v>
      </c>
      <c r="Q192" s="5" t="s">
        <v>575</v>
      </c>
      <c r="R192" t="s">
        <v>576</v>
      </c>
      <c r="S192" t="str">
        <f t="shared" si="2"/>
        <v>Colleen Finnigan</v>
      </c>
      <c r="T192">
        <v>17437820</v>
      </c>
    </row>
    <row r="193" spans="1:20" ht="15" customHeight="1" x14ac:dyDescent="0.2">
      <c r="A193" s="1" t="s">
        <v>65</v>
      </c>
      <c r="B193" s="51">
        <v>442260892</v>
      </c>
      <c r="C193" s="1" t="s">
        <v>365</v>
      </c>
      <c r="D193" s="28">
        <v>45292</v>
      </c>
      <c r="E193" s="14"/>
      <c r="F193" s="14" t="s">
        <v>367</v>
      </c>
      <c r="G193" s="49">
        <v>45962</v>
      </c>
      <c r="H193" s="49">
        <v>45992</v>
      </c>
      <c r="I193" s="28">
        <v>45966</v>
      </c>
      <c r="J193" s="29" t="s">
        <v>69</v>
      </c>
      <c r="K193" s="52">
        <v>1</v>
      </c>
      <c r="L193" s="13">
        <v>74</v>
      </c>
      <c r="M193" s="53">
        <v>0.09</v>
      </c>
      <c r="N193" s="13">
        <v>6.66</v>
      </c>
      <c r="O193" s="29" t="s">
        <v>72</v>
      </c>
      <c r="Q193" s="5" t="s">
        <v>575</v>
      </c>
      <c r="R193" t="s">
        <v>576</v>
      </c>
      <c r="S193" t="str">
        <f t="shared" si="2"/>
        <v>Colleen Finnigan</v>
      </c>
      <c r="T193">
        <v>17437820</v>
      </c>
    </row>
    <row r="194" spans="1:20" ht="15" customHeight="1" x14ac:dyDescent="0.2">
      <c r="A194" s="1" t="s">
        <v>65</v>
      </c>
      <c r="B194" s="51">
        <v>442264554</v>
      </c>
      <c r="C194" s="1" t="s">
        <v>369</v>
      </c>
      <c r="D194" s="28">
        <v>45261</v>
      </c>
      <c r="E194" s="14"/>
      <c r="F194" s="14" t="s">
        <v>167</v>
      </c>
      <c r="G194" s="49">
        <v>45962</v>
      </c>
      <c r="H194" s="49">
        <v>45992</v>
      </c>
      <c r="I194" s="28">
        <v>45966</v>
      </c>
      <c r="J194" s="29" t="s">
        <v>69</v>
      </c>
      <c r="K194" s="52">
        <v>1</v>
      </c>
      <c r="L194" s="13">
        <v>75.739999999999995</v>
      </c>
      <c r="M194" s="53">
        <v>4.4999999999999998E-2</v>
      </c>
      <c r="N194" s="13">
        <v>3.41</v>
      </c>
      <c r="O194" s="29" t="s">
        <v>72</v>
      </c>
      <c r="Q194" s="5" t="s">
        <v>575</v>
      </c>
      <c r="R194" t="s">
        <v>576</v>
      </c>
      <c r="S194" t="str">
        <f t="shared" si="2"/>
        <v>Colleen Finnigan</v>
      </c>
      <c r="T194">
        <v>17437820</v>
      </c>
    </row>
    <row r="195" spans="1:20" ht="15" customHeight="1" x14ac:dyDescent="0.2">
      <c r="A195" s="1" t="s">
        <v>65</v>
      </c>
      <c r="B195" s="51">
        <v>442269923</v>
      </c>
      <c r="C195" s="1" t="s">
        <v>251</v>
      </c>
      <c r="D195" s="28">
        <v>45261</v>
      </c>
      <c r="E195" s="14"/>
      <c r="F195" s="14" t="s">
        <v>163</v>
      </c>
      <c r="G195" s="49">
        <v>45962</v>
      </c>
      <c r="H195" s="49">
        <v>45992</v>
      </c>
      <c r="I195" s="28">
        <v>45966</v>
      </c>
      <c r="J195" s="29" t="s">
        <v>69</v>
      </c>
      <c r="K195" s="52">
        <v>1</v>
      </c>
      <c r="L195" s="13">
        <v>39.06</v>
      </c>
      <c r="M195" s="53">
        <v>7.0000000000000007E-2</v>
      </c>
      <c r="N195" s="13">
        <v>2.73</v>
      </c>
      <c r="O195" s="29" t="s">
        <v>72</v>
      </c>
      <c r="Q195" s="5" t="s">
        <v>566</v>
      </c>
      <c r="R195" t="s">
        <v>567</v>
      </c>
      <c r="S195" t="str">
        <f t="shared" ref="S195:S258" si="3">CONCATENATE(Q195, " ",R195)</f>
        <v>Carol Foley</v>
      </c>
      <c r="T195">
        <v>17425766</v>
      </c>
    </row>
    <row r="196" spans="1:20" ht="15" customHeight="1" x14ac:dyDescent="0.2">
      <c r="A196" s="1" t="s">
        <v>65</v>
      </c>
      <c r="B196" s="51">
        <v>442271427</v>
      </c>
      <c r="C196" s="1" t="s">
        <v>315</v>
      </c>
      <c r="D196" s="28">
        <v>45292</v>
      </c>
      <c r="E196" s="14"/>
      <c r="F196" s="14" t="s">
        <v>77</v>
      </c>
      <c r="G196" s="49">
        <v>45962</v>
      </c>
      <c r="H196" s="49">
        <v>45992</v>
      </c>
      <c r="I196" s="28">
        <v>45966</v>
      </c>
      <c r="J196" s="29" t="s">
        <v>69</v>
      </c>
      <c r="K196" s="52">
        <v>1</v>
      </c>
      <c r="L196" s="13">
        <v>26.56</v>
      </c>
      <c r="M196" s="53">
        <v>7.0000000000000007E-2</v>
      </c>
      <c r="N196" s="13">
        <v>1.86</v>
      </c>
      <c r="O196" s="29" t="s">
        <v>72</v>
      </c>
      <c r="Q196" s="5" t="s">
        <v>566</v>
      </c>
      <c r="R196" t="s">
        <v>567</v>
      </c>
      <c r="S196" t="str">
        <f t="shared" si="3"/>
        <v>Carol Foley</v>
      </c>
      <c r="T196">
        <v>17425766</v>
      </c>
    </row>
    <row r="197" spans="1:20" ht="15" customHeight="1" x14ac:dyDescent="0.2">
      <c r="A197" s="1" t="s">
        <v>65</v>
      </c>
      <c r="B197" s="51">
        <v>442274499</v>
      </c>
      <c r="C197" s="1" t="s">
        <v>107</v>
      </c>
      <c r="D197" s="28">
        <v>45261</v>
      </c>
      <c r="E197" s="14"/>
      <c r="F197" s="14" t="s">
        <v>91</v>
      </c>
      <c r="G197" s="49">
        <v>45962</v>
      </c>
      <c r="H197" s="49">
        <v>45992</v>
      </c>
      <c r="I197" s="28">
        <v>45966</v>
      </c>
      <c r="J197" s="29" t="s">
        <v>69</v>
      </c>
      <c r="K197" s="52">
        <v>1</v>
      </c>
      <c r="L197" s="13">
        <v>15.45</v>
      </c>
      <c r="M197" s="53">
        <v>0.09</v>
      </c>
      <c r="N197" s="13">
        <v>1.39</v>
      </c>
      <c r="O197" s="29" t="s">
        <v>72</v>
      </c>
      <c r="Q197" s="5" t="s">
        <v>564</v>
      </c>
      <c r="R197" t="s">
        <v>570</v>
      </c>
      <c r="S197" t="str">
        <f t="shared" si="3"/>
        <v>Anne Kozacheck</v>
      </c>
      <c r="T197">
        <v>19278370</v>
      </c>
    </row>
    <row r="198" spans="1:20" ht="15" customHeight="1" x14ac:dyDescent="0.2">
      <c r="A198" s="1" t="s">
        <v>65</v>
      </c>
      <c r="B198" s="51">
        <v>442274500</v>
      </c>
      <c r="C198" s="1" t="s">
        <v>107</v>
      </c>
      <c r="D198" s="28">
        <v>45261</v>
      </c>
      <c r="E198" s="14"/>
      <c r="F198" s="14" t="s">
        <v>109</v>
      </c>
      <c r="G198" s="49">
        <v>45962</v>
      </c>
      <c r="H198" s="49">
        <v>45992</v>
      </c>
      <c r="I198" s="28">
        <v>45966</v>
      </c>
      <c r="J198" s="29" t="s">
        <v>69</v>
      </c>
      <c r="K198" s="52">
        <v>1</v>
      </c>
      <c r="L198" s="13">
        <v>16.47</v>
      </c>
      <c r="M198" s="53">
        <v>0.18</v>
      </c>
      <c r="N198" s="13">
        <v>2.96</v>
      </c>
      <c r="O198" s="29" t="s">
        <v>72</v>
      </c>
      <c r="Q198" s="5" t="s">
        <v>564</v>
      </c>
      <c r="R198" t="s">
        <v>570</v>
      </c>
      <c r="S198" t="str">
        <f t="shared" si="3"/>
        <v>Anne Kozacheck</v>
      </c>
      <c r="T198">
        <v>19278370</v>
      </c>
    </row>
    <row r="199" spans="1:20" ht="15" customHeight="1" x14ac:dyDescent="0.2">
      <c r="A199" s="1" t="s">
        <v>65</v>
      </c>
      <c r="B199" s="51">
        <v>442282230</v>
      </c>
      <c r="C199" s="1" t="s">
        <v>439</v>
      </c>
      <c r="D199" s="28">
        <v>45292</v>
      </c>
      <c r="E199" s="14"/>
      <c r="F199" s="14" t="s">
        <v>440</v>
      </c>
      <c r="G199" s="49">
        <v>45962</v>
      </c>
      <c r="H199" s="49">
        <v>45992</v>
      </c>
      <c r="I199" s="28">
        <v>45966</v>
      </c>
      <c r="J199" s="29" t="s">
        <v>69</v>
      </c>
      <c r="K199" s="52">
        <v>1</v>
      </c>
      <c r="L199" s="13">
        <v>78.7</v>
      </c>
      <c r="M199" s="53">
        <v>0.09</v>
      </c>
      <c r="N199" s="13">
        <v>7.08</v>
      </c>
      <c r="O199" s="29" t="s">
        <v>72</v>
      </c>
      <c r="Q199" s="5" t="s">
        <v>568</v>
      </c>
      <c r="R199" t="s">
        <v>569</v>
      </c>
      <c r="S199" t="str">
        <f t="shared" si="3"/>
        <v>Jason Hoffmann</v>
      </c>
      <c r="T199">
        <v>15278437</v>
      </c>
    </row>
    <row r="200" spans="1:20" ht="15" customHeight="1" x14ac:dyDescent="0.2">
      <c r="A200" s="1" t="s">
        <v>65</v>
      </c>
      <c r="B200" s="51">
        <v>442289683</v>
      </c>
      <c r="C200" s="1" t="s">
        <v>357</v>
      </c>
      <c r="D200" s="28">
        <v>45247</v>
      </c>
      <c r="E200" s="14"/>
      <c r="F200" s="14" t="s">
        <v>182</v>
      </c>
      <c r="G200" s="49">
        <v>45979</v>
      </c>
      <c r="H200" s="49">
        <v>45992</v>
      </c>
      <c r="I200" s="28">
        <v>45969</v>
      </c>
      <c r="J200" s="29" t="s">
        <v>69</v>
      </c>
      <c r="K200" s="52">
        <v>1</v>
      </c>
      <c r="L200" s="13">
        <v>12.46</v>
      </c>
      <c r="M200" s="53">
        <v>4.4999999999999998E-2</v>
      </c>
      <c r="N200" s="13">
        <v>0.56000000000000005</v>
      </c>
      <c r="O200" s="29" t="s">
        <v>72</v>
      </c>
      <c r="Q200" s="5" t="s">
        <v>575</v>
      </c>
      <c r="R200" t="s">
        <v>576</v>
      </c>
      <c r="S200" t="str">
        <f t="shared" si="3"/>
        <v>Colleen Finnigan</v>
      </c>
      <c r="T200">
        <v>17437820</v>
      </c>
    </row>
    <row r="201" spans="1:20" ht="15" customHeight="1" x14ac:dyDescent="0.2">
      <c r="A201" s="1" t="s">
        <v>65</v>
      </c>
      <c r="B201" s="51">
        <v>442289683</v>
      </c>
      <c r="C201" s="1" t="s">
        <v>357</v>
      </c>
      <c r="D201" s="28">
        <v>45247</v>
      </c>
      <c r="E201" s="14"/>
      <c r="F201" s="14" t="s">
        <v>182</v>
      </c>
      <c r="G201" s="49">
        <v>45962</v>
      </c>
      <c r="H201" s="49">
        <v>45978</v>
      </c>
      <c r="I201" s="28">
        <v>45969</v>
      </c>
      <c r="J201" s="29" t="s">
        <v>69</v>
      </c>
      <c r="K201" s="52">
        <v>1</v>
      </c>
      <c r="L201" s="13">
        <v>14.23</v>
      </c>
      <c r="M201" s="53">
        <v>4.4999999999999998E-2</v>
      </c>
      <c r="N201" s="13">
        <v>0.64</v>
      </c>
      <c r="O201" s="29" t="s">
        <v>72</v>
      </c>
      <c r="Q201" s="5" t="s">
        <v>575</v>
      </c>
      <c r="R201" t="s">
        <v>576</v>
      </c>
      <c r="S201" t="str">
        <f t="shared" si="3"/>
        <v>Colleen Finnigan</v>
      </c>
      <c r="T201">
        <v>17437820</v>
      </c>
    </row>
    <row r="202" spans="1:20" ht="15" customHeight="1" x14ac:dyDescent="0.2">
      <c r="A202" s="1" t="s">
        <v>65</v>
      </c>
      <c r="B202" s="51">
        <v>442296456</v>
      </c>
      <c r="C202" s="1" t="s">
        <v>88</v>
      </c>
      <c r="D202" s="28">
        <v>45292</v>
      </c>
      <c r="E202" s="14"/>
      <c r="F202" s="14" t="s">
        <v>89</v>
      </c>
      <c r="G202" s="49">
        <v>45962</v>
      </c>
      <c r="H202" s="49">
        <v>45992</v>
      </c>
      <c r="I202" s="28">
        <v>45966</v>
      </c>
      <c r="J202" s="29" t="s">
        <v>69</v>
      </c>
      <c r="K202" s="52">
        <v>1</v>
      </c>
      <c r="L202" s="13">
        <v>24.54</v>
      </c>
      <c r="M202" s="53">
        <v>0.18</v>
      </c>
      <c r="N202" s="13">
        <v>4.42</v>
      </c>
      <c r="O202" s="29" t="s">
        <v>72</v>
      </c>
      <c r="Q202" s="5" t="s">
        <v>564</v>
      </c>
      <c r="R202" t="s">
        <v>570</v>
      </c>
      <c r="S202" t="str">
        <f t="shared" si="3"/>
        <v>Anne Kozacheck</v>
      </c>
      <c r="T202">
        <v>19278370</v>
      </c>
    </row>
    <row r="203" spans="1:20" ht="15" customHeight="1" x14ac:dyDescent="0.2">
      <c r="A203" s="1" t="s">
        <v>65</v>
      </c>
      <c r="B203" s="51">
        <v>442296457</v>
      </c>
      <c r="C203" s="1" t="s">
        <v>88</v>
      </c>
      <c r="D203" s="28">
        <v>45292</v>
      </c>
      <c r="E203" s="14"/>
      <c r="F203" s="14" t="s">
        <v>91</v>
      </c>
      <c r="G203" s="49">
        <v>45962</v>
      </c>
      <c r="H203" s="49">
        <v>45992</v>
      </c>
      <c r="I203" s="28">
        <v>45966</v>
      </c>
      <c r="J203" s="29" t="s">
        <v>69</v>
      </c>
      <c r="K203" s="52">
        <v>1</v>
      </c>
      <c r="L203" s="13">
        <v>15.45</v>
      </c>
      <c r="M203" s="53">
        <v>0.09</v>
      </c>
      <c r="N203" s="13">
        <v>1.39</v>
      </c>
      <c r="O203" s="29" t="s">
        <v>72</v>
      </c>
      <c r="Q203" s="5" t="s">
        <v>564</v>
      </c>
      <c r="R203" t="s">
        <v>570</v>
      </c>
      <c r="S203" t="str">
        <f t="shared" si="3"/>
        <v>Anne Kozacheck</v>
      </c>
      <c r="T203">
        <v>19278370</v>
      </c>
    </row>
    <row r="204" spans="1:20" ht="15" customHeight="1" x14ac:dyDescent="0.2">
      <c r="A204" s="1" t="s">
        <v>65</v>
      </c>
      <c r="B204" s="51">
        <v>442300659</v>
      </c>
      <c r="C204" s="1" t="s">
        <v>191</v>
      </c>
      <c r="D204" s="28">
        <v>45261</v>
      </c>
      <c r="E204" s="14"/>
      <c r="F204" s="14" t="s">
        <v>74</v>
      </c>
      <c r="G204" s="49">
        <v>45962</v>
      </c>
      <c r="H204" s="49">
        <v>45992</v>
      </c>
      <c r="I204" s="28">
        <v>45966</v>
      </c>
      <c r="J204" s="29" t="s">
        <v>69</v>
      </c>
      <c r="K204" s="52">
        <v>1</v>
      </c>
      <c r="L204" s="13">
        <v>98.2</v>
      </c>
      <c r="M204" s="53">
        <v>0.18</v>
      </c>
      <c r="N204" s="13">
        <v>17.68</v>
      </c>
      <c r="O204" s="29" t="s">
        <v>72</v>
      </c>
      <c r="Q204" s="5" t="s">
        <v>566</v>
      </c>
      <c r="R204" t="s">
        <v>567</v>
      </c>
      <c r="S204" t="str">
        <f t="shared" si="3"/>
        <v>Carol Foley</v>
      </c>
      <c r="T204">
        <v>17425766</v>
      </c>
    </row>
    <row r="205" spans="1:20" ht="15" customHeight="1" x14ac:dyDescent="0.2">
      <c r="A205" s="1" t="s">
        <v>65</v>
      </c>
      <c r="B205" s="51">
        <v>442323300</v>
      </c>
      <c r="C205" s="1" t="s">
        <v>404</v>
      </c>
      <c r="D205" s="28">
        <v>45263</v>
      </c>
      <c r="E205" s="14"/>
      <c r="F205" s="14" t="s">
        <v>292</v>
      </c>
      <c r="G205" s="49">
        <v>45962</v>
      </c>
      <c r="H205" s="49">
        <v>45992</v>
      </c>
      <c r="I205" s="28">
        <v>45966</v>
      </c>
      <c r="J205" s="29" t="s">
        <v>69</v>
      </c>
      <c r="K205" s="52">
        <v>1</v>
      </c>
      <c r="L205" s="13">
        <v>64.48</v>
      </c>
      <c r="M205" s="53">
        <v>0.09</v>
      </c>
      <c r="N205" s="13">
        <v>5.8</v>
      </c>
      <c r="O205" s="29" t="s">
        <v>72</v>
      </c>
      <c r="Q205" s="5" t="s">
        <v>573</v>
      </c>
      <c r="R205" t="s">
        <v>574</v>
      </c>
      <c r="S205" t="str">
        <f t="shared" si="3"/>
        <v>Deborah Inskipt</v>
      </c>
      <c r="T205">
        <v>17528908</v>
      </c>
    </row>
    <row r="206" spans="1:20" ht="15" customHeight="1" x14ac:dyDescent="0.2">
      <c r="A206" s="1" t="s">
        <v>65</v>
      </c>
      <c r="B206" s="51">
        <v>442324830</v>
      </c>
      <c r="C206" s="1" t="s">
        <v>259</v>
      </c>
      <c r="D206" s="28">
        <v>45263</v>
      </c>
      <c r="E206" s="14"/>
      <c r="F206" s="14" t="s">
        <v>182</v>
      </c>
      <c r="G206" s="49">
        <v>45962</v>
      </c>
      <c r="H206" s="49">
        <v>45992</v>
      </c>
      <c r="I206" s="28">
        <v>45966</v>
      </c>
      <c r="J206" s="29" t="s">
        <v>69</v>
      </c>
      <c r="K206" s="52">
        <v>1</v>
      </c>
      <c r="L206" s="13">
        <v>30.03</v>
      </c>
      <c r="M206" s="53">
        <v>4.4999999999999998E-2</v>
      </c>
      <c r="N206" s="13">
        <v>1.35</v>
      </c>
      <c r="O206" s="29" t="s">
        <v>72</v>
      </c>
      <c r="Q206" s="5" t="s">
        <v>566</v>
      </c>
      <c r="R206" t="s">
        <v>567</v>
      </c>
      <c r="S206" t="str">
        <f t="shared" si="3"/>
        <v>Carol Foley</v>
      </c>
      <c r="T206">
        <v>17425766</v>
      </c>
    </row>
    <row r="207" spans="1:20" ht="15" customHeight="1" x14ac:dyDescent="0.2">
      <c r="A207" s="1" t="s">
        <v>65</v>
      </c>
      <c r="B207" s="51">
        <v>442324831</v>
      </c>
      <c r="C207" s="1" t="s">
        <v>259</v>
      </c>
      <c r="D207" s="28">
        <v>45263</v>
      </c>
      <c r="E207" s="14"/>
      <c r="F207" s="14" t="s">
        <v>74</v>
      </c>
      <c r="G207" s="49">
        <v>45962</v>
      </c>
      <c r="H207" s="49">
        <v>45992</v>
      </c>
      <c r="I207" s="28">
        <v>45966</v>
      </c>
      <c r="J207" s="29" t="s">
        <v>69</v>
      </c>
      <c r="K207" s="52">
        <v>1</v>
      </c>
      <c r="L207" s="13">
        <v>68.44</v>
      </c>
      <c r="M207" s="53">
        <v>0.18</v>
      </c>
      <c r="N207" s="13">
        <v>12.32</v>
      </c>
      <c r="O207" s="29" t="s">
        <v>72</v>
      </c>
      <c r="Q207" s="5" t="s">
        <v>566</v>
      </c>
      <c r="R207" t="s">
        <v>567</v>
      </c>
      <c r="S207" t="str">
        <f t="shared" si="3"/>
        <v>Carol Foley</v>
      </c>
      <c r="T207">
        <v>17425766</v>
      </c>
    </row>
    <row r="208" spans="1:20" ht="15" customHeight="1" x14ac:dyDescent="0.2">
      <c r="A208" s="1" t="s">
        <v>65</v>
      </c>
      <c r="B208" s="51">
        <v>442350484</v>
      </c>
      <c r="C208" s="1" t="s">
        <v>243</v>
      </c>
      <c r="D208" s="28">
        <v>45292</v>
      </c>
      <c r="E208" s="14"/>
      <c r="F208" s="14" t="s">
        <v>74</v>
      </c>
      <c r="G208" s="49">
        <v>45962</v>
      </c>
      <c r="H208" s="49">
        <v>45992</v>
      </c>
      <c r="I208" s="28">
        <v>45966</v>
      </c>
      <c r="J208" s="29" t="s">
        <v>69</v>
      </c>
      <c r="K208" s="52">
        <v>1</v>
      </c>
      <c r="L208" s="13">
        <v>34.049999999999997</v>
      </c>
      <c r="M208" s="53">
        <v>0.18</v>
      </c>
      <c r="N208" s="13">
        <v>6.13</v>
      </c>
      <c r="O208" s="29" t="s">
        <v>72</v>
      </c>
      <c r="Q208" s="5" t="s">
        <v>566</v>
      </c>
      <c r="R208" t="s">
        <v>567</v>
      </c>
      <c r="S208" t="str">
        <f t="shared" si="3"/>
        <v>Carol Foley</v>
      </c>
      <c r="T208">
        <v>17425766</v>
      </c>
    </row>
    <row r="209" spans="1:20" ht="15" customHeight="1" x14ac:dyDescent="0.2">
      <c r="A209" s="1" t="s">
        <v>65</v>
      </c>
      <c r="B209" s="51">
        <v>442355390</v>
      </c>
      <c r="C209" s="1" t="s">
        <v>281</v>
      </c>
      <c r="D209" s="28">
        <v>45272</v>
      </c>
      <c r="E209" s="14"/>
      <c r="F209" s="14" t="s">
        <v>77</v>
      </c>
      <c r="G209" s="49">
        <v>45962</v>
      </c>
      <c r="H209" s="49">
        <v>45992</v>
      </c>
      <c r="I209" s="28">
        <v>45967</v>
      </c>
      <c r="J209" s="29" t="s">
        <v>69</v>
      </c>
      <c r="K209" s="52">
        <v>1</v>
      </c>
      <c r="L209" s="13">
        <v>26.56</v>
      </c>
      <c r="M209" s="53">
        <v>7.0000000000000007E-2</v>
      </c>
      <c r="N209" s="13">
        <v>1.86</v>
      </c>
      <c r="O209" s="29" t="s">
        <v>72</v>
      </c>
      <c r="Q209" s="5" t="s">
        <v>566</v>
      </c>
      <c r="R209" t="s">
        <v>567</v>
      </c>
      <c r="S209" t="str">
        <f t="shared" si="3"/>
        <v>Carol Foley</v>
      </c>
      <c r="T209">
        <v>17425766</v>
      </c>
    </row>
    <row r="210" spans="1:20" ht="15" customHeight="1" x14ac:dyDescent="0.2">
      <c r="A210" s="1" t="s">
        <v>65</v>
      </c>
      <c r="B210" s="51">
        <v>442359010</v>
      </c>
      <c r="C210" s="1" t="s">
        <v>399</v>
      </c>
      <c r="D210" s="28">
        <v>45292</v>
      </c>
      <c r="E210" s="14"/>
      <c r="F210" s="14" t="s">
        <v>400</v>
      </c>
      <c r="G210" s="49">
        <v>45962</v>
      </c>
      <c r="H210" s="49">
        <v>45992</v>
      </c>
      <c r="I210" s="28">
        <v>45966</v>
      </c>
      <c r="J210" s="29" t="s">
        <v>69</v>
      </c>
      <c r="K210" s="52">
        <v>1</v>
      </c>
      <c r="L210" s="13">
        <v>51.75</v>
      </c>
      <c r="M210" s="53">
        <v>0.09</v>
      </c>
      <c r="N210" s="13">
        <v>4.66</v>
      </c>
      <c r="O210" s="29" t="s">
        <v>72</v>
      </c>
      <c r="Q210" s="5" t="s">
        <v>573</v>
      </c>
      <c r="R210" t="s">
        <v>574</v>
      </c>
      <c r="S210" t="str">
        <f t="shared" si="3"/>
        <v>Deborah Inskipt</v>
      </c>
      <c r="T210">
        <v>17528908</v>
      </c>
    </row>
    <row r="211" spans="1:20" ht="15" customHeight="1" x14ac:dyDescent="0.2">
      <c r="A211" s="1" t="s">
        <v>65</v>
      </c>
      <c r="B211" s="51">
        <v>442363974</v>
      </c>
      <c r="C211" s="1" t="s">
        <v>332</v>
      </c>
      <c r="D211" s="28">
        <v>45292</v>
      </c>
      <c r="E211" s="14"/>
      <c r="F211" s="14" t="s">
        <v>182</v>
      </c>
      <c r="G211" s="49">
        <v>45962</v>
      </c>
      <c r="H211" s="49">
        <v>45992</v>
      </c>
      <c r="I211" s="28">
        <v>45966</v>
      </c>
      <c r="J211" s="29" t="s">
        <v>69</v>
      </c>
      <c r="K211" s="52">
        <v>1</v>
      </c>
      <c r="L211" s="13">
        <v>30.03</v>
      </c>
      <c r="M211" s="53">
        <v>4.4999999999999998E-2</v>
      </c>
      <c r="N211" s="13">
        <v>1.35</v>
      </c>
      <c r="O211" s="29" t="s">
        <v>72</v>
      </c>
      <c r="Q211" s="5" t="s">
        <v>566</v>
      </c>
      <c r="R211" t="s">
        <v>567</v>
      </c>
      <c r="S211" t="str">
        <f t="shared" si="3"/>
        <v>Carol Foley</v>
      </c>
      <c r="T211">
        <v>17425766</v>
      </c>
    </row>
    <row r="212" spans="1:20" ht="15" customHeight="1" x14ac:dyDescent="0.2">
      <c r="A212" s="1" t="s">
        <v>65</v>
      </c>
      <c r="B212" s="51">
        <v>442367538</v>
      </c>
      <c r="C212" s="1" t="s">
        <v>361</v>
      </c>
      <c r="D212" s="28">
        <v>45292</v>
      </c>
      <c r="E212" s="14"/>
      <c r="F212" s="14" t="s">
        <v>167</v>
      </c>
      <c r="G212" s="49">
        <v>45962</v>
      </c>
      <c r="H212" s="49">
        <v>45992</v>
      </c>
      <c r="I212" s="28">
        <v>45966</v>
      </c>
      <c r="J212" s="29" t="s">
        <v>69</v>
      </c>
      <c r="K212" s="52">
        <v>1</v>
      </c>
      <c r="L212" s="13">
        <v>131.63999999999999</v>
      </c>
      <c r="M212" s="53">
        <v>4.4999999999999998E-2</v>
      </c>
      <c r="N212" s="13">
        <v>5.92</v>
      </c>
      <c r="O212" s="29" t="s">
        <v>72</v>
      </c>
      <c r="Q212" s="5" t="s">
        <v>575</v>
      </c>
      <c r="R212" t="s">
        <v>576</v>
      </c>
      <c r="S212" t="str">
        <f t="shared" si="3"/>
        <v>Colleen Finnigan</v>
      </c>
      <c r="T212">
        <v>17437820</v>
      </c>
    </row>
    <row r="213" spans="1:20" ht="15" customHeight="1" x14ac:dyDescent="0.2">
      <c r="A213" s="1" t="s">
        <v>65</v>
      </c>
      <c r="B213" s="51">
        <v>442367539</v>
      </c>
      <c r="C213" s="1" t="s">
        <v>361</v>
      </c>
      <c r="D213" s="28">
        <v>45292</v>
      </c>
      <c r="E213" s="14"/>
      <c r="F213" s="14" t="s">
        <v>363</v>
      </c>
      <c r="G213" s="49">
        <v>45962</v>
      </c>
      <c r="H213" s="49">
        <v>45992</v>
      </c>
      <c r="I213" s="28">
        <v>45966</v>
      </c>
      <c r="J213" s="29" t="s">
        <v>69</v>
      </c>
      <c r="K213" s="52">
        <v>1</v>
      </c>
      <c r="L213" s="13">
        <v>104.79</v>
      </c>
      <c r="M213" s="53">
        <v>0.09</v>
      </c>
      <c r="N213" s="13">
        <v>9.43</v>
      </c>
      <c r="O213" s="29" t="s">
        <v>72</v>
      </c>
      <c r="Q213" s="5" t="s">
        <v>575</v>
      </c>
      <c r="R213" t="s">
        <v>576</v>
      </c>
      <c r="S213" t="str">
        <f t="shared" si="3"/>
        <v>Colleen Finnigan</v>
      </c>
      <c r="T213">
        <v>17437820</v>
      </c>
    </row>
    <row r="214" spans="1:20" ht="15" customHeight="1" x14ac:dyDescent="0.2">
      <c r="A214" s="1" t="s">
        <v>65</v>
      </c>
      <c r="B214" s="51">
        <v>442368785</v>
      </c>
      <c r="C214" s="1" t="s">
        <v>308</v>
      </c>
      <c r="D214" s="28">
        <v>45292</v>
      </c>
      <c r="E214" s="14"/>
      <c r="F214" s="14" t="s">
        <v>182</v>
      </c>
      <c r="G214" s="49">
        <v>45962</v>
      </c>
      <c r="H214" s="49">
        <v>45992</v>
      </c>
      <c r="I214" s="28">
        <v>45966</v>
      </c>
      <c r="J214" s="29" t="s">
        <v>69</v>
      </c>
      <c r="K214" s="52">
        <v>1</v>
      </c>
      <c r="L214" s="13">
        <v>30.03</v>
      </c>
      <c r="M214" s="53">
        <v>4.4999999999999998E-2</v>
      </c>
      <c r="N214" s="13">
        <v>1.35</v>
      </c>
      <c r="O214" s="29" t="s">
        <v>72</v>
      </c>
      <c r="Q214" s="5" t="s">
        <v>566</v>
      </c>
      <c r="R214" t="s">
        <v>567</v>
      </c>
      <c r="S214" t="str">
        <f t="shared" si="3"/>
        <v>Carol Foley</v>
      </c>
      <c r="T214">
        <v>17425766</v>
      </c>
    </row>
    <row r="215" spans="1:20" ht="15" customHeight="1" x14ac:dyDescent="0.2">
      <c r="A215" s="1" t="s">
        <v>65</v>
      </c>
      <c r="B215" s="51">
        <v>442368786</v>
      </c>
      <c r="C215" s="1" t="s">
        <v>308</v>
      </c>
      <c r="D215" s="28">
        <v>45292</v>
      </c>
      <c r="E215" s="14"/>
      <c r="F215" s="14" t="s">
        <v>74</v>
      </c>
      <c r="G215" s="49">
        <v>45962</v>
      </c>
      <c r="H215" s="49">
        <v>45992</v>
      </c>
      <c r="I215" s="28">
        <v>45966</v>
      </c>
      <c r="J215" s="29" t="s">
        <v>69</v>
      </c>
      <c r="K215" s="52">
        <v>1</v>
      </c>
      <c r="L215" s="13">
        <v>58.7</v>
      </c>
      <c r="M215" s="53">
        <v>0.18</v>
      </c>
      <c r="N215" s="13">
        <v>10.57</v>
      </c>
      <c r="O215" s="29" t="s">
        <v>72</v>
      </c>
      <c r="Q215" s="5" t="s">
        <v>566</v>
      </c>
      <c r="R215" t="s">
        <v>567</v>
      </c>
      <c r="S215" t="str">
        <f t="shared" si="3"/>
        <v>Carol Foley</v>
      </c>
      <c r="T215">
        <v>17425766</v>
      </c>
    </row>
    <row r="216" spans="1:20" ht="15" customHeight="1" x14ac:dyDescent="0.2">
      <c r="A216" s="1" t="s">
        <v>65</v>
      </c>
      <c r="B216" s="51">
        <v>442371645</v>
      </c>
      <c r="C216" s="1" t="s">
        <v>341</v>
      </c>
      <c r="D216" s="28">
        <v>45292</v>
      </c>
      <c r="E216" s="14"/>
      <c r="F216" s="14" t="s">
        <v>182</v>
      </c>
      <c r="G216" s="49">
        <v>45962</v>
      </c>
      <c r="H216" s="49">
        <v>45992</v>
      </c>
      <c r="I216" s="28">
        <v>45966</v>
      </c>
      <c r="J216" s="29" t="s">
        <v>69</v>
      </c>
      <c r="K216" s="52">
        <v>1</v>
      </c>
      <c r="L216" s="13">
        <v>29.36</v>
      </c>
      <c r="M216" s="53">
        <v>4.4999999999999998E-2</v>
      </c>
      <c r="N216" s="13">
        <v>1.32</v>
      </c>
      <c r="O216" s="29" t="s">
        <v>72</v>
      </c>
      <c r="Q216" s="5" t="s">
        <v>566</v>
      </c>
      <c r="R216" t="s">
        <v>567</v>
      </c>
      <c r="S216" t="str">
        <f t="shared" si="3"/>
        <v>Carol Foley</v>
      </c>
      <c r="T216">
        <v>17425766</v>
      </c>
    </row>
    <row r="217" spans="1:20" ht="15" customHeight="1" x14ac:dyDescent="0.2">
      <c r="A217" s="1" t="s">
        <v>65</v>
      </c>
      <c r="B217" s="51">
        <v>442371646</v>
      </c>
      <c r="C217" s="1" t="s">
        <v>341</v>
      </c>
      <c r="D217" s="28">
        <v>45292</v>
      </c>
      <c r="E217" s="14"/>
      <c r="F217" s="14" t="s">
        <v>74</v>
      </c>
      <c r="G217" s="49">
        <v>45962</v>
      </c>
      <c r="H217" s="49">
        <v>45992</v>
      </c>
      <c r="I217" s="28">
        <v>45966</v>
      </c>
      <c r="J217" s="29" t="s">
        <v>69</v>
      </c>
      <c r="K217" s="52">
        <v>1</v>
      </c>
      <c r="L217" s="13">
        <v>29.05</v>
      </c>
      <c r="M217" s="53">
        <v>0.09</v>
      </c>
      <c r="N217" s="13">
        <v>2.61</v>
      </c>
      <c r="O217" s="29" t="s">
        <v>72</v>
      </c>
      <c r="Q217" s="5" t="s">
        <v>566</v>
      </c>
      <c r="R217" t="s">
        <v>567</v>
      </c>
      <c r="S217" t="str">
        <f t="shared" si="3"/>
        <v>Carol Foley</v>
      </c>
      <c r="T217">
        <v>17425766</v>
      </c>
    </row>
    <row r="218" spans="1:20" ht="15" customHeight="1" x14ac:dyDescent="0.2">
      <c r="A218" s="1" t="s">
        <v>65</v>
      </c>
      <c r="B218" s="51">
        <v>442371651</v>
      </c>
      <c r="C218" s="1" t="s">
        <v>341</v>
      </c>
      <c r="D218" s="28">
        <v>45292</v>
      </c>
      <c r="E218" s="14"/>
      <c r="F218" s="14" t="s">
        <v>77</v>
      </c>
      <c r="G218" s="49">
        <v>45962</v>
      </c>
      <c r="H218" s="49">
        <v>45992</v>
      </c>
      <c r="I218" s="28">
        <v>45966</v>
      </c>
      <c r="J218" s="29" t="s">
        <v>69</v>
      </c>
      <c r="K218" s="52">
        <v>1</v>
      </c>
      <c r="L218" s="13">
        <v>13.28</v>
      </c>
      <c r="M218" s="53">
        <v>7.0000000000000007E-2</v>
      </c>
      <c r="N218" s="13">
        <v>0.93</v>
      </c>
      <c r="O218" s="29" t="s">
        <v>72</v>
      </c>
      <c r="Q218" s="5" t="s">
        <v>566</v>
      </c>
      <c r="R218" t="s">
        <v>567</v>
      </c>
      <c r="S218" t="str">
        <f t="shared" si="3"/>
        <v>Carol Foley</v>
      </c>
      <c r="T218">
        <v>17425766</v>
      </c>
    </row>
    <row r="219" spans="1:20" ht="15" customHeight="1" x14ac:dyDescent="0.2">
      <c r="A219" s="1" t="s">
        <v>65</v>
      </c>
      <c r="B219" s="51">
        <v>442374060</v>
      </c>
      <c r="C219" s="1" t="s">
        <v>320</v>
      </c>
      <c r="D219" s="28">
        <v>45293</v>
      </c>
      <c r="E219" s="14"/>
      <c r="F219" s="14" t="s">
        <v>182</v>
      </c>
      <c r="G219" s="49">
        <v>45962</v>
      </c>
      <c r="H219" s="49">
        <v>45992</v>
      </c>
      <c r="I219" s="28">
        <v>45966</v>
      </c>
      <c r="J219" s="29" t="s">
        <v>69</v>
      </c>
      <c r="K219" s="52">
        <v>1</v>
      </c>
      <c r="L219" s="13">
        <v>30.03</v>
      </c>
      <c r="M219" s="53">
        <v>4.4999999999999998E-2</v>
      </c>
      <c r="N219" s="13">
        <v>1.35</v>
      </c>
      <c r="O219" s="29" t="s">
        <v>72</v>
      </c>
      <c r="Q219" s="5" t="s">
        <v>566</v>
      </c>
      <c r="R219" t="s">
        <v>567</v>
      </c>
      <c r="S219" t="str">
        <f t="shared" si="3"/>
        <v>Carol Foley</v>
      </c>
      <c r="T219">
        <v>17425766</v>
      </c>
    </row>
    <row r="220" spans="1:20" ht="15" customHeight="1" x14ac:dyDescent="0.2">
      <c r="A220" s="1" t="s">
        <v>65</v>
      </c>
      <c r="B220" s="51">
        <v>442378984</v>
      </c>
      <c r="C220" s="1" t="s">
        <v>67</v>
      </c>
      <c r="D220" s="28">
        <v>45292</v>
      </c>
      <c r="E220" s="14"/>
      <c r="F220" s="14" t="s">
        <v>68</v>
      </c>
      <c r="G220" s="49">
        <v>45901</v>
      </c>
      <c r="H220" s="49">
        <v>45931</v>
      </c>
      <c r="I220" s="28">
        <v>45958</v>
      </c>
      <c r="J220" s="29" t="s">
        <v>69</v>
      </c>
      <c r="K220" s="52">
        <v>1</v>
      </c>
      <c r="L220" s="13">
        <v>21.64</v>
      </c>
      <c r="M220" s="53">
        <v>4.4999999999999998E-2</v>
      </c>
      <c r="N220" s="13">
        <v>0.97</v>
      </c>
      <c r="O220" s="29" t="s">
        <v>72</v>
      </c>
      <c r="Q220" s="5" t="s">
        <v>566</v>
      </c>
      <c r="R220" t="s">
        <v>567</v>
      </c>
      <c r="S220" t="str">
        <f t="shared" si="3"/>
        <v>Carol Foley</v>
      </c>
      <c r="T220">
        <v>17425766</v>
      </c>
    </row>
    <row r="221" spans="1:20" ht="15" customHeight="1" x14ac:dyDescent="0.2">
      <c r="A221" s="1" t="s">
        <v>65</v>
      </c>
      <c r="B221" s="51">
        <v>442378984</v>
      </c>
      <c r="C221" s="1" t="s">
        <v>67</v>
      </c>
      <c r="D221" s="28">
        <v>45292</v>
      </c>
      <c r="E221" s="14"/>
      <c r="F221" s="14" t="s">
        <v>68</v>
      </c>
      <c r="G221" s="49">
        <v>45931</v>
      </c>
      <c r="H221" s="49">
        <v>45962</v>
      </c>
      <c r="I221" s="28">
        <v>45958</v>
      </c>
      <c r="J221" s="29" t="s">
        <v>69</v>
      </c>
      <c r="K221" s="52">
        <v>1</v>
      </c>
      <c r="L221" s="13">
        <v>21.64</v>
      </c>
      <c r="M221" s="53">
        <v>4.4999999999999998E-2</v>
      </c>
      <c r="N221" s="13">
        <v>0.97</v>
      </c>
      <c r="O221" s="29" t="s">
        <v>72</v>
      </c>
      <c r="Q221" s="5" t="s">
        <v>566</v>
      </c>
      <c r="R221" t="s">
        <v>567</v>
      </c>
      <c r="S221" t="str">
        <f t="shared" si="3"/>
        <v>Carol Foley</v>
      </c>
      <c r="T221">
        <v>17425766</v>
      </c>
    </row>
    <row r="222" spans="1:20" ht="15" customHeight="1" x14ac:dyDescent="0.2">
      <c r="A222" s="1" t="s">
        <v>65</v>
      </c>
      <c r="B222" s="51">
        <v>442378984</v>
      </c>
      <c r="C222" s="1" t="s">
        <v>67</v>
      </c>
      <c r="D222" s="28">
        <v>45292</v>
      </c>
      <c r="E222" s="14"/>
      <c r="F222" s="14" t="s">
        <v>68</v>
      </c>
      <c r="G222" s="49">
        <v>45962</v>
      </c>
      <c r="H222" s="49">
        <v>45992</v>
      </c>
      <c r="I222" s="28">
        <v>45966</v>
      </c>
      <c r="J222" s="29" t="s">
        <v>69</v>
      </c>
      <c r="K222" s="52">
        <v>1</v>
      </c>
      <c r="L222" s="13">
        <v>21.64</v>
      </c>
      <c r="M222" s="53">
        <v>4.4999999999999998E-2</v>
      </c>
      <c r="N222" s="13">
        <v>0.97</v>
      </c>
      <c r="O222" s="29" t="s">
        <v>72</v>
      </c>
      <c r="Q222" s="5" t="s">
        <v>566</v>
      </c>
      <c r="R222" t="s">
        <v>567</v>
      </c>
      <c r="S222" t="str">
        <f t="shared" si="3"/>
        <v>Carol Foley</v>
      </c>
      <c r="T222">
        <v>17425766</v>
      </c>
    </row>
    <row r="223" spans="1:20" ht="15" customHeight="1" x14ac:dyDescent="0.2">
      <c r="A223" s="1" t="s">
        <v>65</v>
      </c>
      <c r="B223" s="51">
        <v>442378985</v>
      </c>
      <c r="C223" s="1" t="s">
        <v>67</v>
      </c>
      <c r="D223" s="28">
        <v>45292</v>
      </c>
      <c r="E223" s="14"/>
      <c r="F223" s="14" t="s">
        <v>74</v>
      </c>
      <c r="G223" s="49">
        <v>45901</v>
      </c>
      <c r="H223" s="49">
        <v>45931</v>
      </c>
      <c r="I223" s="28">
        <v>45958</v>
      </c>
      <c r="J223" s="29" t="s">
        <v>69</v>
      </c>
      <c r="K223" s="52">
        <v>1</v>
      </c>
      <c r="L223" s="13">
        <v>60.35</v>
      </c>
      <c r="M223" s="53">
        <v>0.18</v>
      </c>
      <c r="N223" s="13">
        <v>10.86</v>
      </c>
      <c r="O223" s="29" t="s">
        <v>72</v>
      </c>
      <c r="Q223" s="5" t="s">
        <v>566</v>
      </c>
      <c r="R223" t="s">
        <v>567</v>
      </c>
      <c r="S223" t="str">
        <f t="shared" si="3"/>
        <v>Carol Foley</v>
      </c>
      <c r="T223">
        <v>17425766</v>
      </c>
    </row>
    <row r="224" spans="1:20" ht="15" customHeight="1" x14ac:dyDescent="0.2">
      <c r="A224" s="1" t="s">
        <v>65</v>
      </c>
      <c r="B224" s="51">
        <v>442378985</v>
      </c>
      <c r="C224" s="1" t="s">
        <v>67</v>
      </c>
      <c r="D224" s="28">
        <v>45292</v>
      </c>
      <c r="E224" s="14"/>
      <c r="F224" s="14" t="s">
        <v>74</v>
      </c>
      <c r="G224" s="49">
        <v>45931</v>
      </c>
      <c r="H224" s="49">
        <v>45962</v>
      </c>
      <c r="I224" s="28">
        <v>45958</v>
      </c>
      <c r="J224" s="29" t="s">
        <v>69</v>
      </c>
      <c r="K224" s="52">
        <v>1</v>
      </c>
      <c r="L224" s="13">
        <v>60.35</v>
      </c>
      <c r="M224" s="53">
        <v>0.18</v>
      </c>
      <c r="N224" s="13">
        <v>10.86</v>
      </c>
      <c r="O224" s="29" t="s">
        <v>72</v>
      </c>
      <c r="Q224" s="5" t="s">
        <v>566</v>
      </c>
      <c r="R224" t="s">
        <v>567</v>
      </c>
      <c r="S224" t="str">
        <f t="shared" si="3"/>
        <v>Carol Foley</v>
      </c>
      <c r="T224">
        <v>17425766</v>
      </c>
    </row>
    <row r="225" spans="1:20" ht="15" customHeight="1" x14ac:dyDescent="0.2">
      <c r="A225" s="1" t="s">
        <v>65</v>
      </c>
      <c r="B225" s="51">
        <v>442378985</v>
      </c>
      <c r="C225" s="1" t="s">
        <v>67</v>
      </c>
      <c r="D225" s="28">
        <v>45292</v>
      </c>
      <c r="E225" s="14"/>
      <c r="F225" s="14" t="s">
        <v>74</v>
      </c>
      <c r="G225" s="49">
        <v>45962</v>
      </c>
      <c r="H225" s="49">
        <v>45992</v>
      </c>
      <c r="I225" s="28">
        <v>45966</v>
      </c>
      <c r="J225" s="29" t="s">
        <v>69</v>
      </c>
      <c r="K225" s="52">
        <v>1</v>
      </c>
      <c r="L225" s="13">
        <v>60.35</v>
      </c>
      <c r="M225" s="53">
        <v>0.18</v>
      </c>
      <c r="N225" s="13">
        <v>10.86</v>
      </c>
      <c r="O225" s="29" t="s">
        <v>72</v>
      </c>
      <c r="Q225" s="5" t="s">
        <v>566</v>
      </c>
      <c r="R225" t="s">
        <v>567</v>
      </c>
      <c r="S225" t="str">
        <f t="shared" si="3"/>
        <v>Carol Foley</v>
      </c>
      <c r="T225">
        <v>17425766</v>
      </c>
    </row>
    <row r="226" spans="1:20" ht="15" customHeight="1" x14ac:dyDescent="0.2">
      <c r="A226" s="1" t="s">
        <v>65</v>
      </c>
      <c r="B226" s="51">
        <v>442378988</v>
      </c>
      <c r="C226" s="1" t="s">
        <v>67</v>
      </c>
      <c r="D226" s="28">
        <v>45292</v>
      </c>
      <c r="E226" s="14"/>
      <c r="F226" s="14" t="s">
        <v>77</v>
      </c>
      <c r="G226" s="49">
        <v>45901</v>
      </c>
      <c r="H226" s="49">
        <v>45931</v>
      </c>
      <c r="I226" s="28">
        <v>45958</v>
      </c>
      <c r="J226" s="29" t="s">
        <v>69</v>
      </c>
      <c r="K226" s="52">
        <v>1</v>
      </c>
      <c r="L226" s="13">
        <v>13.28</v>
      </c>
      <c r="M226" s="53">
        <v>7.0000000000000007E-2</v>
      </c>
      <c r="N226" s="13">
        <v>0.93</v>
      </c>
      <c r="O226" s="29" t="s">
        <v>72</v>
      </c>
      <c r="Q226" s="5" t="s">
        <v>566</v>
      </c>
      <c r="R226" t="s">
        <v>567</v>
      </c>
      <c r="S226" t="str">
        <f t="shared" si="3"/>
        <v>Carol Foley</v>
      </c>
      <c r="T226">
        <v>17425766</v>
      </c>
    </row>
    <row r="227" spans="1:20" ht="15" customHeight="1" x14ac:dyDescent="0.2">
      <c r="A227" s="1" t="s">
        <v>65</v>
      </c>
      <c r="B227" s="51">
        <v>442378988</v>
      </c>
      <c r="C227" s="1" t="s">
        <v>67</v>
      </c>
      <c r="D227" s="28">
        <v>45292</v>
      </c>
      <c r="E227" s="14"/>
      <c r="F227" s="14" t="s">
        <v>77</v>
      </c>
      <c r="G227" s="49">
        <v>45931</v>
      </c>
      <c r="H227" s="49">
        <v>45962</v>
      </c>
      <c r="I227" s="28">
        <v>45958</v>
      </c>
      <c r="J227" s="29" t="s">
        <v>69</v>
      </c>
      <c r="K227" s="52">
        <v>1</v>
      </c>
      <c r="L227" s="13">
        <v>13.28</v>
      </c>
      <c r="M227" s="53">
        <v>7.0000000000000007E-2</v>
      </c>
      <c r="N227" s="13">
        <v>0.93</v>
      </c>
      <c r="O227" s="29" t="s">
        <v>72</v>
      </c>
      <c r="Q227" s="5" t="s">
        <v>566</v>
      </c>
      <c r="R227" t="s">
        <v>567</v>
      </c>
      <c r="S227" t="str">
        <f t="shared" si="3"/>
        <v>Carol Foley</v>
      </c>
      <c r="T227">
        <v>17425766</v>
      </c>
    </row>
    <row r="228" spans="1:20" ht="15" customHeight="1" x14ac:dyDescent="0.2">
      <c r="A228" s="1" t="s">
        <v>65</v>
      </c>
      <c r="B228" s="51">
        <v>442378988</v>
      </c>
      <c r="C228" s="1" t="s">
        <v>67</v>
      </c>
      <c r="D228" s="28">
        <v>45292</v>
      </c>
      <c r="E228" s="14"/>
      <c r="F228" s="14" t="s">
        <v>77</v>
      </c>
      <c r="G228" s="49">
        <v>45962</v>
      </c>
      <c r="H228" s="49">
        <v>45992</v>
      </c>
      <c r="I228" s="28">
        <v>45966</v>
      </c>
      <c r="J228" s="29" t="s">
        <v>69</v>
      </c>
      <c r="K228" s="52">
        <v>1</v>
      </c>
      <c r="L228" s="13">
        <v>13.28</v>
      </c>
      <c r="M228" s="53">
        <v>7.0000000000000007E-2</v>
      </c>
      <c r="N228" s="13">
        <v>0.93</v>
      </c>
      <c r="O228" s="29" t="s">
        <v>72</v>
      </c>
      <c r="Q228" s="5" t="s">
        <v>566</v>
      </c>
      <c r="R228" t="s">
        <v>567</v>
      </c>
      <c r="S228" t="str">
        <f t="shared" si="3"/>
        <v>Carol Foley</v>
      </c>
      <c r="T228">
        <v>17425766</v>
      </c>
    </row>
    <row r="229" spans="1:20" ht="15" customHeight="1" x14ac:dyDescent="0.2">
      <c r="A229" s="1" t="s">
        <v>65</v>
      </c>
      <c r="B229" s="51">
        <v>442381470</v>
      </c>
      <c r="C229" s="1" t="s">
        <v>240</v>
      </c>
      <c r="D229" s="28">
        <v>45278</v>
      </c>
      <c r="E229" s="14"/>
      <c r="F229" s="14" t="s">
        <v>241</v>
      </c>
      <c r="G229" s="49">
        <v>45962</v>
      </c>
      <c r="H229" s="49">
        <v>45992</v>
      </c>
      <c r="I229" s="28">
        <v>45969</v>
      </c>
      <c r="J229" s="29" t="s">
        <v>69</v>
      </c>
      <c r="K229" s="52">
        <v>1</v>
      </c>
      <c r="L229" s="13">
        <v>119.05</v>
      </c>
      <c r="M229" s="53">
        <v>0.09</v>
      </c>
      <c r="N229" s="13">
        <v>10.71</v>
      </c>
      <c r="O229" s="29" t="s">
        <v>72</v>
      </c>
      <c r="Q229" s="5" t="s">
        <v>566</v>
      </c>
      <c r="R229" t="s">
        <v>567</v>
      </c>
      <c r="S229" t="str">
        <f t="shared" si="3"/>
        <v>Carol Foley</v>
      </c>
      <c r="T229">
        <v>17425766</v>
      </c>
    </row>
    <row r="230" spans="1:20" ht="15" customHeight="1" x14ac:dyDescent="0.2">
      <c r="A230" s="1" t="s">
        <v>65</v>
      </c>
      <c r="B230" s="51">
        <v>442446643</v>
      </c>
      <c r="C230" s="1" t="s">
        <v>386</v>
      </c>
      <c r="D230" s="28">
        <v>45309</v>
      </c>
      <c r="E230" s="14"/>
      <c r="F230" s="14" t="s">
        <v>387</v>
      </c>
      <c r="G230" s="49">
        <v>45962</v>
      </c>
      <c r="H230" s="49">
        <v>45992</v>
      </c>
      <c r="I230" s="28">
        <v>45969</v>
      </c>
      <c r="J230" s="29" t="s">
        <v>69</v>
      </c>
      <c r="K230" s="52">
        <v>1</v>
      </c>
      <c r="L230" s="13">
        <v>31.5</v>
      </c>
      <c r="M230" s="53">
        <v>0.09</v>
      </c>
      <c r="N230" s="13">
        <v>2.84</v>
      </c>
      <c r="O230" s="29" t="s">
        <v>72</v>
      </c>
      <c r="Q230" s="5" t="s">
        <v>573</v>
      </c>
      <c r="R230" t="s">
        <v>574</v>
      </c>
      <c r="S230" t="str">
        <f t="shared" si="3"/>
        <v>Deborah Inskipt</v>
      </c>
      <c r="T230">
        <v>17528908</v>
      </c>
    </row>
    <row r="231" spans="1:20" ht="15" customHeight="1" x14ac:dyDescent="0.2">
      <c r="A231" s="1" t="s">
        <v>65</v>
      </c>
      <c r="B231" s="51">
        <v>442446644</v>
      </c>
      <c r="C231" s="1" t="s">
        <v>386</v>
      </c>
      <c r="D231" s="28">
        <v>45309</v>
      </c>
      <c r="E231" s="14"/>
      <c r="F231" s="14" t="s">
        <v>389</v>
      </c>
      <c r="G231" s="49">
        <v>45962</v>
      </c>
      <c r="H231" s="49">
        <v>45992</v>
      </c>
      <c r="I231" s="28">
        <v>45969</v>
      </c>
      <c r="J231" s="29" t="s">
        <v>69</v>
      </c>
      <c r="K231" s="52">
        <v>1</v>
      </c>
      <c r="L231" s="13">
        <v>37.799999999999997</v>
      </c>
      <c r="M231" s="53">
        <v>0.09</v>
      </c>
      <c r="N231" s="13">
        <v>3.4</v>
      </c>
      <c r="O231" s="29" t="s">
        <v>72</v>
      </c>
      <c r="Q231" s="5" t="s">
        <v>573</v>
      </c>
      <c r="R231" t="s">
        <v>574</v>
      </c>
      <c r="S231" t="str">
        <f t="shared" si="3"/>
        <v>Deborah Inskipt</v>
      </c>
      <c r="T231">
        <v>17528908</v>
      </c>
    </row>
    <row r="232" spans="1:20" ht="15" customHeight="1" x14ac:dyDescent="0.2">
      <c r="A232" s="1" t="s">
        <v>65</v>
      </c>
      <c r="B232" s="51">
        <v>442448275</v>
      </c>
      <c r="C232" s="1" t="s">
        <v>193</v>
      </c>
      <c r="D232" s="28">
        <v>45323</v>
      </c>
      <c r="E232" s="14"/>
      <c r="F232" s="14" t="s">
        <v>182</v>
      </c>
      <c r="G232" s="49">
        <v>45962</v>
      </c>
      <c r="H232" s="49">
        <v>45992</v>
      </c>
      <c r="I232" s="28">
        <v>45966</v>
      </c>
      <c r="J232" s="29" t="s">
        <v>69</v>
      </c>
      <c r="K232" s="52">
        <v>1</v>
      </c>
      <c r="L232" s="13">
        <v>30.03</v>
      </c>
      <c r="M232" s="53">
        <v>4.4999999999999998E-2</v>
      </c>
      <c r="N232" s="13">
        <v>1.35</v>
      </c>
      <c r="O232" s="29" t="s">
        <v>72</v>
      </c>
      <c r="Q232" s="5" t="s">
        <v>566</v>
      </c>
      <c r="R232" t="s">
        <v>567</v>
      </c>
      <c r="S232" t="str">
        <f t="shared" si="3"/>
        <v>Carol Foley</v>
      </c>
      <c r="T232">
        <v>17425766</v>
      </c>
    </row>
    <row r="233" spans="1:20" ht="15" customHeight="1" x14ac:dyDescent="0.2">
      <c r="A233" s="1" t="s">
        <v>65</v>
      </c>
      <c r="B233" s="51">
        <v>442448276</v>
      </c>
      <c r="C233" s="1" t="s">
        <v>193</v>
      </c>
      <c r="D233" s="28">
        <v>45323</v>
      </c>
      <c r="E233" s="14"/>
      <c r="F233" s="14" t="s">
        <v>74</v>
      </c>
      <c r="G233" s="49">
        <v>45962</v>
      </c>
      <c r="H233" s="49">
        <v>45992</v>
      </c>
      <c r="I233" s="28">
        <v>45966</v>
      </c>
      <c r="J233" s="29" t="s">
        <v>69</v>
      </c>
      <c r="K233" s="52">
        <v>1</v>
      </c>
      <c r="L233" s="13">
        <v>26.51</v>
      </c>
      <c r="M233" s="53">
        <v>0.18</v>
      </c>
      <c r="N233" s="13">
        <v>4.7699999999999996</v>
      </c>
      <c r="O233" s="29" t="s">
        <v>72</v>
      </c>
      <c r="Q233" s="5" t="s">
        <v>566</v>
      </c>
      <c r="R233" t="s">
        <v>567</v>
      </c>
      <c r="S233" t="str">
        <f t="shared" si="3"/>
        <v>Carol Foley</v>
      </c>
      <c r="T233">
        <v>17425766</v>
      </c>
    </row>
    <row r="234" spans="1:20" ht="15" customHeight="1" x14ac:dyDescent="0.2">
      <c r="A234" s="1" t="s">
        <v>65</v>
      </c>
      <c r="B234" s="51">
        <v>442450565</v>
      </c>
      <c r="C234" s="1" t="s">
        <v>428</v>
      </c>
      <c r="D234" s="28">
        <v>45323</v>
      </c>
      <c r="E234" s="14"/>
      <c r="F234" s="14" t="s">
        <v>74</v>
      </c>
      <c r="G234" s="49">
        <v>45962</v>
      </c>
      <c r="H234" s="49">
        <v>45992</v>
      </c>
      <c r="I234" s="28">
        <v>45966</v>
      </c>
      <c r="J234" s="29" t="s">
        <v>69</v>
      </c>
      <c r="K234" s="52">
        <v>1</v>
      </c>
      <c r="L234" s="13">
        <v>62.81</v>
      </c>
      <c r="M234" s="53">
        <v>0.18</v>
      </c>
      <c r="N234" s="13">
        <v>11.31</v>
      </c>
      <c r="O234" s="29" t="s">
        <v>72</v>
      </c>
      <c r="Q234" s="5" t="s">
        <v>568</v>
      </c>
      <c r="R234" t="s">
        <v>569</v>
      </c>
      <c r="S234" t="str">
        <f t="shared" si="3"/>
        <v>Jason Hoffmann</v>
      </c>
      <c r="T234">
        <v>15278437</v>
      </c>
    </row>
    <row r="235" spans="1:20" ht="15" customHeight="1" x14ac:dyDescent="0.2">
      <c r="A235" s="1" t="s">
        <v>65</v>
      </c>
      <c r="B235" s="51">
        <v>442474033</v>
      </c>
      <c r="C235" s="1" t="s">
        <v>325</v>
      </c>
      <c r="D235" s="28">
        <v>45327</v>
      </c>
      <c r="E235" s="14"/>
      <c r="F235" s="14" t="s">
        <v>167</v>
      </c>
      <c r="G235" s="49">
        <v>45962</v>
      </c>
      <c r="H235" s="49">
        <v>45992</v>
      </c>
      <c r="I235" s="28">
        <v>45968</v>
      </c>
      <c r="J235" s="29" t="s">
        <v>69</v>
      </c>
      <c r="K235" s="52">
        <v>1</v>
      </c>
      <c r="L235" s="13">
        <v>47.94</v>
      </c>
      <c r="M235" s="53">
        <v>4.4999999999999998E-2</v>
      </c>
      <c r="N235" s="13">
        <v>2.16</v>
      </c>
      <c r="O235" s="29" t="s">
        <v>72</v>
      </c>
      <c r="Q235" s="5" t="s">
        <v>566</v>
      </c>
      <c r="R235" t="s">
        <v>567</v>
      </c>
      <c r="S235" t="str">
        <f t="shared" si="3"/>
        <v>Carol Foley</v>
      </c>
      <c r="T235">
        <v>17425766</v>
      </c>
    </row>
    <row r="236" spans="1:20" ht="15" customHeight="1" x14ac:dyDescent="0.2">
      <c r="A236" s="1" t="s">
        <v>65</v>
      </c>
      <c r="B236" s="51">
        <v>442479343</v>
      </c>
      <c r="C236" s="1" t="s">
        <v>395</v>
      </c>
      <c r="D236" s="28">
        <v>45352</v>
      </c>
      <c r="E236" s="14"/>
      <c r="F236" s="14" t="s">
        <v>379</v>
      </c>
      <c r="G236" s="49">
        <v>45962</v>
      </c>
      <c r="H236" s="49">
        <v>45992</v>
      </c>
      <c r="I236" s="28">
        <v>45966</v>
      </c>
      <c r="J236" s="29" t="s">
        <v>69</v>
      </c>
      <c r="K236" s="52">
        <v>1</v>
      </c>
      <c r="L236" s="13">
        <v>24.5</v>
      </c>
      <c r="M236" s="53">
        <v>0.09</v>
      </c>
      <c r="N236" s="13">
        <v>2.21</v>
      </c>
      <c r="O236" s="29" t="s">
        <v>72</v>
      </c>
      <c r="Q236" s="5" t="s">
        <v>573</v>
      </c>
      <c r="R236" t="s">
        <v>574</v>
      </c>
      <c r="S236" t="str">
        <f t="shared" si="3"/>
        <v>Deborah Inskipt</v>
      </c>
      <c r="T236">
        <v>17528908</v>
      </c>
    </row>
    <row r="237" spans="1:20" ht="15" customHeight="1" x14ac:dyDescent="0.2">
      <c r="A237" s="1" t="s">
        <v>65</v>
      </c>
      <c r="B237" s="51">
        <v>442479344</v>
      </c>
      <c r="C237" s="1" t="s">
        <v>395</v>
      </c>
      <c r="D237" s="28">
        <v>45352</v>
      </c>
      <c r="E237" s="14"/>
      <c r="F237" s="14" t="s">
        <v>397</v>
      </c>
      <c r="G237" s="49">
        <v>45962</v>
      </c>
      <c r="H237" s="49">
        <v>45992</v>
      </c>
      <c r="I237" s="28">
        <v>45966</v>
      </c>
      <c r="J237" s="29" t="s">
        <v>69</v>
      </c>
      <c r="K237" s="52">
        <v>1</v>
      </c>
      <c r="L237" s="13">
        <v>31</v>
      </c>
      <c r="M237" s="53">
        <v>0.09</v>
      </c>
      <c r="N237" s="13">
        <v>2.79</v>
      </c>
      <c r="O237" s="29" t="s">
        <v>72</v>
      </c>
      <c r="Q237" s="5" t="s">
        <v>573</v>
      </c>
      <c r="R237" t="s">
        <v>574</v>
      </c>
      <c r="S237" t="str">
        <f t="shared" si="3"/>
        <v>Deborah Inskipt</v>
      </c>
      <c r="T237">
        <v>17528908</v>
      </c>
    </row>
    <row r="238" spans="1:20" ht="15" customHeight="1" x14ac:dyDescent="0.2">
      <c r="A238" s="1" t="s">
        <v>65</v>
      </c>
      <c r="B238" s="51">
        <v>442481571</v>
      </c>
      <c r="C238" s="1" t="s">
        <v>393</v>
      </c>
      <c r="D238" s="28">
        <v>45383</v>
      </c>
      <c r="E238" s="14"/>
      <c r="F238" s="14" t="s">
        <v>382</v>
      </c>
      <c r="G238" s="49">
        <v>45962</v>
      </c>
      <c r="H238" s="49">
        <v>45992</v>
      </c>
      <c r="I238" s="28">
        <v>45966</v>
      </c>
      <c r="J238" s="29" t="s">
        <v>69</v>
      </c>
      <c r="K238" s="52">
        <v>1</v>
      </c>
      <c r="L238" s="13">
        <v>26.4</v>
      </c>
      <c r="M238" s="53">
        <v>0.09</v>
      </c>
      <c r="N238" s="13">
        <v>2.38</v>
      </c>
      <c r="O238" s="29" t="s">
        <v>72</v>
      </c>
      <c r="Q238" s="5" t="s">
        <v>573</v>
      </c>
      <c r="R238" t="s">
        <v>574</v>
      </c>
      <c r="S238" t="str">
        <f t="shared" si="3"/>
        <v>Deborah Inskipt</v>
      </c>
      <c r="T238">
        <v>17528908</v>
      </c>
    </row>
    <row r="239" spans="1:20" ht="15" customHeight="1" x14ac:dyDescent="0.2">
      <c r="A239" s="1" t="s">
        <v>65</v>
      </c>
      <c r="B239" s="51">
        <v>442490167</v>
      </c>
      <c r="C239" s="1" t="s">
        <v>402</v>
      </c>
      <c r="D239" s="28">
        <v>45334</v>
      </c>
      <c r="E239" s="14"/>
      <c r="F239" s="14" t="s">
        <v>376</v>
      </c>
      <c r="G239" s="49">
        <v>45962</v>
      </c>
      <c r="H239" s="49">
        <v>45992</v>
      </c>
      <c r="I239" s="28">
        <v>45967</v>
      </c>
      <c r="J239" s="29" t="s">
        <v>69</v>
      </c>
      <c r="K239" s="52">
        <v>1</v>
      </c>
      <c r="L239" s="13">
        <v>16.95</v>
      </c>
      <c r="M239" s="53">
        <v>0.09</v>
      </c>
      <c r="N239" s="13">
        <v>1.53</v>
      </c>
      <c r="O239" s="29" t="s">
        <v>72</v>
      </c>
      <c r="Q239" s="5" t="s">
        <v>573</v>
      </c>
      <c r="R239" t="s">
        <v>574</v>
      </c>
      <c r="S239" t="str">
        <f t="shared" si="3"/>
        <v>Deborah Inskipt</v>
      </c>
      <c r="T239">
        <v>17528908</v>
      </c>
    </row>
    <row r="240" spans="1:20" ht="15" customHeight="1" x14ac:dyDescent="0.2">
      <c r="A240" s="1" t="s">
        <v>65</v>
      </c>
      <c r="B240" s="51">
        <v>442520332</v>
      </c>
      <c r="C240" s="1" t="s">
        <v>294</v>
      </c>
      <c r="D240" s="28">
        <v>45352</v>
      </c>
      <c r="E240" s="14"/>
      <c r="F240" s="14" t="s">
        <v>292</v>
      </c>
      <c r="G240" s="49">
        <v>45962</v>
      </c>
      <c r="H240" s="49">
        <v>45992</v>
      </c>
      <c r="I240" s="28">
        <v>45966</v>
      </c>
      <c r="J240" s="29" t="s">
        <v>69</v>
      </c>
      <c r="K240" s="52">
        <v>1</v>
      </c>
      <c r="L240" s="13">
        <v>64.48</v>
      </c>
      <c r="M240" s="53">
        <v>0.09</v>
      </c>
      <c r="N240" s="13">
        <v>5.8</v>
      </c>
      <c r="O240" s="29" t="s">
        <v>72</v>
      </c>
      <c r="Q240" s="5" t="s">
        <v>566</v>
      </c>
      <c r="R240" t="s">
        <v>567</v>
      </c>
      <c r="S240" t="str">
        <f t="shared" si="3"/>
        <v>Carol Foley</v>
      </c>
      <c r="T240">
        <v>17425766</v>
      </c>
    </row>
    <row r="241" spans="1:20" ht="15" customHeight="1" x14ac:dyDescent="0.2">
      <c r="A241" s="1" t="s">
        <v>65</v>
      </c>
      <c r="B241" s="51">
        <v>442522920</v>
      </c>
      <c r="C241" s="1" t="s">
        <v>334</v>
      </c>
      <c r="D241" s="28">
        <v>45352</v>
      </c>
      <c r="E241" s="14"/>
      <c r="F241" s="14" t="s">
        <v>171</v>
      </c>
      <c r="G241" s="49">
        <v>45962</v>
      </c>
      <c r="H241" s="49">
        <v>45992</v>
      </c>
      <c r="I241" s="28">
        <v>45966</v>
      </c>
      <c r="J241" s="29" t="s">
        <v>69</v>
      </c>
      <c r="K241" s="52">
        <v>1</v>
      </c>
      <c r="L241" s="13">
        <v>9.4</v>
      </c>
      <c r="M241" s="53">
        <v>0.09</v>
      </c>
      <c r="N241" s="13">
        <v>0.85</v>
      </c>
      <c r="O241" s="29" t="s">
        <v>72</v>
      </c>
      <c r="Q241" s="5" t="s">
        <v>566</v>
      </c>
      <c r="R241" t="s">
        <v>567</v>
      </c>
      <c r="S241" t="str">
        <f t="shared" si="3"/>
        <v>Carol Foley</v>
      </c>
      <c r="T241">
        <v>17425766</v>
      </c>
    </row>
    <row r="242" spans="1:20" ht="15" customHeight="1" x14ac:dyDescent="0.2">
      <c r="A242" s="1" t="s">
        <v>65</v>
      </c>
      <c r="B242" s="51">
        <v>442522920</v>
      </c>
      <c r="C242" s="1" t="s">
        <v>334</v>
      </c>
      <c r="D242" s="28">
        <v>45352</v>
      </c>
      <c r="E242" s="14"/>
      <c r="F242" s="14" t="s">
        <v>171</v>
      </c>
      <c r="G242" s="49">
        <v>45962</v>
      </c>
      <c r="H242" s="49">
        <v>45962</v>
      </c>
      <c r="I242" s="28">
        <v>45969</v>
      </c>
      <c r="J242" s="29" t="s">
        <v>69</v>
      </c>
      <c r="K242" s="52">
        <v>1</v>
      </c>
      <c r="L242" s="13">
        <v>-9.4</v>
      </c>
      <c r="M242" s="53">
        <v>0.09</v>
      </c>
      <c r="N242" s="13">
        <v>-0.85</v>
      </c>
      <c r="O242" s="29" t="s">
        <v>72</v>
      </c>
      <c r="Q242" s="5" t="s">
        <v>566</v>
      </c>
      <c r="R242" t="s">
        <v>567</v>
      </c>
      <c r="S242" t="str">
        <f t="shared" si="3"/>
        <v>Carol Foley</v>
      </c>
      <c r="T242">
        <v>17425766</v>
      </c>
    </row>
    <row r="243" spans="1:20" ht="15" customHeight="1" x14ac:dyDescent="0.2">
      <c r="A243" s="1" t="s">
        <v>65</v>
      </c>
      <c r="B243" s="51">
        <v>442522921</v>
      </c>
      <c r="C243" s="1" t="s">
        <v>334</v>
      </c>
      <c r="D243" s="28">
        <v>45352</v>
      </c>
      <c r="E243" s="14"/>
      <c r="F243" s="14" t="s">
        <v>336</v>
      </c>
      <c r="G243" s="49">
        <v>45962</v>
      </c>
      <c r="H243" s="49">
        <v>45992</v>
      </c>
      <c r="I243" s="28">
        <v>45966</v>
      </c>
      <c r="J243" s="29" t="s">
        <v>69</v>
      </c>
      <c r="K243" s="52">
        <v>1</v>
      </c>
      <c r="L243" s="13">
        <v>49.13</v>
      </c>
      <c r="M243" s="53">
        <v>0.18</v>
      </c>
      <c r="N243" s="13">
        <v>8.84</v>
      </c>
      <c r="O243" s="29" t="s">
        <v>72</v>
      </c>
      <c r="Q243" s="5" t="s">
        <v>566</v>
      </c>
      <c r="R243" t="s">
        <v>567</v>
      </c>
      <c r="S243" t="str">
        <f t="shared" si="3"/>
        <v>Carol Foley</v>
      </c>
      <c r="T243">
        <v>17425766</v>
      </c>
    </row>
    <row r="244" spans="1:20" ht="15" customHeight="1" x14ac:dyDescent="0.2">
      <c r="A244" s="1" t="s">
        <v>65</v>
      </c>
      <c r="B244" s="51">
        <v>442522921</v>
      </c>
      <c r="C244" s="1" t="s">
        <v>334</v>
      </c>
      <c r="D244" s="28">
        <v>45352</v>
      </c>
      <c r="E244" s="14"/>
      <c r="F244" s="14" t="s">
        <v>336</v>
      </c>
      <c r="G244" s="49">
        <v>45962</v>
      </c>
      <c r="H244" s="49">
        <v>45962</v>
      </c>
      <c r="I244" s="28">
        <v>45969</v>
      </c>
      <c r="J244" s="29" t="s">
        <v>69</v>
      </c>
      <c r="K244" s="52">
        <v>1</v>
      </c>
      <c r="L244" s="13">
        <v>-49.13</v>
      </c>
      <c r="M244" s="53">
        <v>0.18</v>
      </c>
      <c r="N244" s="13">
        <v>-8.84</v>
      </c>
      <c r="O244" s="29" t="s">
        <v>72</v>
      </c>
      <c r="Q244" s="5" t="s">
        <v>566</v>
      </c>
      <c r="R244" t="s">
        <v>567</v>
      </c>
      <c r="S244" t="str">
        <f t="shared" si="3"/>
        <v>Carol Foley</v>
      </c>
      <c r="T244">
        <v>17425766</v>
      </c>
    </row>
    <row r="245" spans="1:20" ht="15" customHeight="1" x14ac:dyDescent="0.2">
      <c r="A245" s="1" t="s">
        <v>65</v>
      </c>
      <c r="B245" s="51">
        <v>442525756</v>
      </c>
      <c r="C245" s="1" t="s">
        <v>313</v>
      </c>
      <c r="D245" s="28">
        <v>45352</v>
      </c>
      <c r="E245" s="14"/>
      <c r="F245" s="14" t="s">
        <v>292</v>
      </c>
      <c r="G245" s="49">
        <v>45962</v>
      </c>
      <c r="H245" s="49">
        <v>45992</v>
      </c>
      <c r="I245" s="28">
        <v>45966</v>
      </c>
      <c r="J245" s="29" t="s">
        <v>69</v>
      </c>
      <c r="K245" s="52">
        <v>1</v>
      </c>
      <c r="L245" s="13">
        <v>49.7</v>
      </c>
      <c r="M245" s="53">
        <v>7.0000000000000007E-2</v>
      </c>
      <c r="N245" s="13">
        <v>3.48</v>
      </c>
      <c r="O245" s="29" t="s">
        <v>72</v>
      </c>
      <c r="Q245" s="5" t="s">
        <v>566</v>
      </c>
      <c r="R245" t="s">
        <v>567</v>
      </c>
      <c r="S245" t="str">
        <f t="shared" si="3"/>
        <v>Carol Foley</v>
      </c>
      <c r="T245">
        <v>17425766</v>
      </c>
    </row>
    <row r="246" spans="1:20" ht="15" customHeight="1" x14ac:dyDescent="0.2">
      <c r="A246" s="1" t="s">
        <v>65</v>
      </c>
      <c r="B246" s="51">
        <v>442534725</v>
      </c>
      <c r="C246" s="1" t="s">
        <v>372</v>
      </c>
      <c r="D246" s="28">
        <v>45383</v>
      </c>
      <c r="E246" s="14"/>
      <c r="F246" s="14" t="s">
        <v>373</v>
      </c>
      <c r="G246" s="49">
        <v>45962</v>
      </c>
      <c r="H246" s="49">
        <v>45992</v>
      </c>
      <c r="I246" s="28">
        <v>45966</v>
      </c>
      <c r="J246" s="29" t="s">
        <v>69</v>
      </c>
      <c r="K246" s="52">
        <v>1</v>
      </c>
      <c r="L246" s="13">
        <v>19.8</v>
      </c>
      <c r="M246" s="53">
        <v>0.09</v>
      </c>
      <c r="N246" s="13">
        <v>1.78</v>
      </c>
      <c r="O246" s="29" t="s">
        <v>72</v>
      </c>
      <c r="Q246" s="5" t="s">
        <v>573</v>
      </c>
      <c r="R246" t="s">
        <v>574</v>
      </c>
      <c r="S246" t="str">
        <f t="shared" si="3"/>
        <v>Deborah Inskipt</v>
      </c>
      <c r="T246">
        <v>17528908</v>
      </c>
    </row>
    <row r="247" spans="1:20" ht="15" customHeight="1" x14ac:dyDescent="0.2">
      <c r="A247" s="1" t="s">
        <v>65</v>
      </c>
      <c r="B247" s="51">
        <v>442534726</v>
      </c>
      <c r="C247" s="1" t="s">
        <v>375</v>
      </c>
      <c r="D247" s="28">
        <v>45383</v>
      </c>
      <c r="E247" s="14"/>
      <c r="F247" s="14" t="s">
        <v>376</v>
      </c>
      <c r="G247" s="49">
        <v>45962</v>
      </c>
      <c r="H247" s="49">
        <v>45992</v>
      </c>
      <c r="I247" s="28">
        <v>45966</v>
      </c>
      <c r="J247" s="29" t="s">
        <v>69</v>
      </c>
      <c r="K247" s="52">
        <v>1</v>
      </c>
      <c r="L247" s="13">
        <v>36.75</v>
      </c>
      <c r="M247" s="53">
        <v>0.09</v>
      </c>
      <c r="N247" s="13">
        <v>3.31</v>
      </c>
      <c r="O247" s="29" t="s">
        <v>72</v>
      </c>
      <c r="Q247" s="5" t="s">
        <v>573</v>
      </c>
      <c r="R247" t="s">
        <v>574</v>
      </c>
      <c r="S247" t="str">
        <f t="shared" si="3"/>
        <v>Deborah Inskipt</v>
      </c>
      <c r="T247">
        <v>17528908</v>
      </c>
    </row>
    <row r="248" spans="1:20" ht="15" customHeight="1" x14ac:dyDescent="0.2">
      <c r="A248" s="1" t="s">
        <v>65</v>
      </c>
      <c r="B248" s="51">
        <v>442548317</v>
      </c>
      <c r="C248" s="1" t="s">
        <v>291</v>
      </c>
      <c r="D248" s="28">
        <v>45366</v>
      </c>
      <c r="E248" s="14"/>
      <c r="F248" s="14" t="s">
        <v>292</v>
      </c>
      <c r="G248" s="49">
        <v>45962</v>
      </c>
      <c r="H248" s="49">
        <v>45992</v>
      </c>
      <c r="I248" s="28">
        <v>45968</v>
      </c>
      <c r="J248" s="29" t="s">
        <v>69</v>
      </c>
      <c r="K248" s="52">
        <v>1</v>
      </c>
      <c r="L248" s="13">
        <v>49.7</v>
      </c>
      <c r="M248" s="53">
        <v>7.0000000000000007E-2</v>
      </c>
      <c r="N248" s="13">
        <v>3.48</v>
      </c>
      <c r="O248" s="29" t="s">
        <v>72</v>
      </c>
      <c r="Q248" s="5" t="s">
        <v>566</v>
      </c>
      <c r="R248" t="s">
        <v>567</v>
      </c>
      <c r="S248" t="str">
        <f t="shared" si="3"/>
        <v>Carol Foley</v>
      </c>
      <c r="T248">
        <v>17425766</v>
      </c>
    </row>
    <row r="249" spans="1:20" ht="15" customHeight="1" x14ac:dyDescent="0.2">
      <c r="A249" s="1" t="s">
        <v>65</v>
      </c>
      <c r="B249" s="51">
        <v>442556364</v>
      </c>
      <c r="C249" s="1" t="s">
        <v>103</v>
      </c>
      <c r="D249" s="28">
        <v>45413</v>
      </c>
      <c r="E249" s="14"/>
      <c r="F249" s="14" t="s">
        <v>89</v>
      </c>
      <c r="G249" s="49">
        <v>45962</v>
      </c>
      <c r="H249" s="49">
        <v>45992</v>
      </c>
      <c r="I249" s="28">
        <v>45966</v>
      </c>
      <c r="J249" s="29" t="s">
        <v>69</v>
      </c>
      <c r="K249" s="52">
        <v>1</v>
      </c>
      <c r="L249" s="13">
        <v>23.59</v>
      </c>
      <c r="M249" s="53">
        <v>0.18</v>
      </c>
      <c r="N249" s="13">
        <v>4.25</v>
      </c>
      <c r="O249" s="29" t="s">
        <v>72</v>
      </c>
      <c r="Q249" s="5" t="s">
        <v>564</v>
      </c>
      <c r="R249" t="s">
        <v>570</v>
      </c>
      <c r="S249" t="str">
        <f t="shared" si="3"/>
        <v>Anne Kozacheck</v>
      </c>
      <c r="T249">
        <v>19278370</v>
      </c>
    </row>
    <row r="250" spans="1:20" ht="15" customHeight="1" x14ac:dyDescent="0.2">
      <c r="A250" s="1" t="s">
        <v>65</v>
      </c>
      <c r="B250" s="51">
        <v>442557345</v>
      </c>
      <c r="C250" s="1" t="s">
        <v>230</v>
      </c>
      <c r="D250" s="28">
        <v>45383</v>
      </c>
      <c r="E250" s="14"/>
      <c r="F250" s="14" t="s">
        <v>231</v>
      </c>
      <c r="G250" s="49">
        <v>45962</v>
      </c>
      <c r="H250" s="49">
        <v>45992</v>
      </c>
      <c r="I250" s="28">
        <v>45966</v>
      </c>
      <c r="J250" s="29" t="s">
        <v>69</v>
      </c>
      <c r="K250" s="52">
        <v>1</v>
      </c>
      <c r="L250" s="13">
        <v>6.3</v>
      </c>
      <c r="M250" s="53">
        <v>0.09</v>
      </c>
      <c r="N250" s="13">
        <v>0.56999999999999995</v>
      </c>
      <c r="O250" s="29" t="s">
        <v>72</v>
      </c>
      <c r="Q250" s="5" t="s">
        <v>566</v>
      </c>
      <c r="R250" t="s">
        <v>567</v>
      </c>
      <c r="S250" t="str">
        <f t="shared" si="3"/>
        <v>Carol Foley</v>
      </c>
      <c r="T250">
        <v>17425766</v>
      </c>
    </row>
    <row r="251" spans="1:20" ht="15" customHeight="1" x14ac:dyDescent="0.2">
      <c r="A251" s="1" t="s">
        <v>65</v>
      </c>
      <c r="B251" s="51">
        <v>442557346</v>
      </c>
      <c r="C251" s="1" t="s">
        <v>230</v>
      </c>
      <c r="D251" s="28">
        <v>45383</v>
      </c>
      <c r="E251" s="14"/>
      <c r="F251" s="14" t="s">
        <v>233</v>
      </c>
      <c r="G251" s="49">
        <v>45962</v>
      </c>
      <c r="H251" s="49">
        <v>45992</v>
      </c>
      <c r="I251" s="28">
        <v>45966</v>
      </c>
      <c r="J251" s="29" t="s">
        <v>69</v>
      </c>
      <c r="K251" s="52">
        <v>1</v>
      </c>
      <c r="L251" s="13">
        <v>18.73</v>
      </c>
      <c r="M251" s="53">
        <v>0.18</v>
      </c>
      <c r="N251" s="13">
        <v>3.37</v>
      </c>
      <c r="O251" s="29" t="s">
        <v>72</v>
      </c>
      <c r="Q251" s="5" t="s">
        <v>566</v>
      </c>
      <c r="R251" t="s">
        <v>567</v>
      </c>
      <c r="S251" t="str">
        <f t="shared" si="3"/>
        <v>Carol Foley</v>
      </c>
      <c r="T251">
        <v>17425766</v>
      </c>
    </row>
    <row r="252" spans="1:20" ht="15" customHeight="1" x14ac:dyDescent="0.2">
      <c r="A252" s="1" t="s">
        <v>65</v>
      </c>
      <c r="B252" s="51">
        <v>442567854</v>
      </c>
      <c r="C252" s="1" t="s">
        <v>210</v>
      </c>
      <c r="D252" s="28">
        <v>45383</v>
      </c>
      <c r="E252" s="14"/>
      <c r="F252" s="14" t="s">
        <v>74</v>
      </c>
      <c r="G252" s="49">
        <v>45962</v>
      </c>
      <c r="H252" s="49">
        <v>45992</v>
      </c>
      <c r="I252" s="28">
        <v>45966</v>
      </c>
      <c r="J252" s="29" t="s">
        <v>69</v>
      </c>
      <c r="K252" s="52">
        <v>1</v>
      </c>
      <c r="L252" s="13">
        <v>134.78</v>
      </c>
      <c r="M252" s="53">
        <v>0.18</v>
      </c>
      <c r="N252" s="13">
        <v>24.26</v>
      </c>
      <c r="O252" s="29" t="s">
        <v>72</v>
      </c>
      <c r="Q252" s="5" t="s">
        <v>566</v>
      </c>
      <c r="R252" t="s">
        <v>567</v>
      </c>
      <c r="S252" t="str">
        <f t="shared" si="3"/>
        <v>Carol Foley</v>
      </c>
      <c r="T252">
        <v>17425766</v>
      </c>
    </row>
    <row r="253" spans="1:20" ht="15" customHeight="1" x14ac:dyDescent="0.2">
      <c r="A253" s="1" t="s">
        <v>65</v>
      </c>
      <c r="B253" s="51">
        <v>442567895</v>
      </c>
      <c r="C253" s="1" t="s">
        <v>311</v>
      </c>
      <c r="D253" s="28">
        <v>45413</v>
      </c>
      <c r="E253" s="14"/>
      <c r="F253" s="14" t="s">
        <v>163</v>
      </c>
      <c r="G253" s="49">
        <v>45962</v>
      </c>
      <c r="H253" s="49">
        <v>45992</v>
      </c>
      <c r="I253" s="28">
        <v>45966</v>
      </c>
      <c r="J253" s="29" t="s">
        <v>69</v>
      </c>
      <c r="K253" s="52">
        <v>1</v>
      </c>
      <c r="L253" s="13">
        <v>46.98</v>
      </c>
      <c r="M253" s="53">
        <v>4.4999999999999998E-2</v>
      </c>
      <c r="N253" s="13">
        <v>2.11</v>
      </c>
      <c r="O253" s="29" t="s">
        <v>72</v>
      </c>
      <c r="Q253" s="5" t="s">
        <v>566</v>
      </c>
      <c r="R253" t="s">
        <v>567</v>
      </c>
      <c r="S253" t="str">
        <f t="shared" si="3"/>
        <v>Carol Foley</v>
      </c>
      <c r="T253">
        <v>17425766</v>
      </c>
    </row>
    <row r="254" spans="1:20" ht="15" customHeight="1" x14ac:dyDescent="0.2">
      <c r="A254" s="1" t="s">
        <v>65</v>
      </c>
      <c r="B254" s="51">
        <v>442573385</v>
      </c>
      <c r="C254" s="1" t="s">
        <v>162</v>
      </c>
      <c r="D254" s="28">
        <v>45383</v>
      </c>
      <c r="E254" s="14"/>
      <c r="F254" s="14" t="s">
        <v>163</v>
      </c>
      <c r="G254" s="49">
        <v>45962</v>
      </c>
      <c r="H254" s="49">
        <v>45992</v>
      </c>
      <c r="I254" s="28">
        <v>45966</v>
      </c>
      <c r="J254" s="29" t="s">
        <v>69</v>
      </c>
      <c r="K254" s="52">
        <v>1</v>
      </c>
      <c r="L254" s="13">
        <v>39.06</v>
      </c>
      <c r="M254" s="53">
        <v>7.0000000000000007E-2</v>
      </c>
      <c r="N254" s="13">
        <v>2.73</v>
      </c>
      <c r="O254" s="29" t="s">
        <v>72</v>
      </c>
      <c r="Q254" s="5" t="s">
        <v>566</v>
      </c>
      <c r="R254" t="s">
        <v>567</v>
      </c>
      <c r="S254" t="str">
        <f t="shared" si="3"/>
        <v>Carol Foley</v>
      </c>
      <c r="T254">
        <v>17425766</v>
      </c>
    </row>
    <row r="255" spans="1:20" ht="15" customHeight="1" x14ac:dyDescent="0.2">
      <c r="A255" s="1" t="s">
        <v>65</v>
      </c>
      <c r="B255" s="51">
        <v>442573386</v>
      </c>
      <c r="C255" s="1" t="s">
        <v>162</v>
      </c>
      <c r="D255" s="28">
        <v>45383</v>
      </c>
      <c r="E255" s="14"/>
      <c r="F255" s="14" t="s">
        <v>74</v>
      </c>
      <c r="G255" s="49">
        <v>45962</v>
      </c>
      <c r="H255" s="49">
        <v>45992</v>
      </c>
      <c r="I255" s="28">
        <v>45966</v>
      </c>
      <c r="J255" s="29" t="s">
        <v>69</v>
      </c>
      <c r="K255" s="52">
        <v>1</v>
      </c>
      <c r="L255" s="13">
        <v>28.37</v>
      </c>
      <c r="M255" s="53">
        <v>0.18</v>
      </c>
      <c r="N255" s="13">
        <v>5.1100000000000003</v>
      </c>
      <c r="O255" s="29" t="s">
        <v>72</v>
      </c>
      <c r="Q255" s="5" t="s">
        <v>566</v>
      </c>
      <c r="R255" t="s">
        <v>567</v>
      </c>
      <c r="S255" t="str">
        <f t="shared" si="3"/>
        <v>Carol Foley</v>
      </c>
      <c r="T255">
        <v>17425766</v>
      </c>
    </row>
    <row r="256" spans="1:20" ht="15" customHeight="1" x14ac:dyDescent="0.2">
      <c r="A256" s="1" t="s">
        <v>65</v>
      </c>
      <c r="B256" s="51">
        <v>442574109</v>
      </c>
      <c r="C256" s="1" t="s">
        <v>196</v>
      </c>
      <c r="D256" s="28">
        <v>45383</v>
      </c>
      <c r="E256" s="14"/>
      <c r="F256" s="14" t="s">
        <v>197</v>
      </c>
      <c r="G256" s="49">
        <v>45962</v>
      </c>
      <c r="H256" s="49">
        <v>45992</v>
      </c>
      <c r="I256" s="28">
        <v>45966</v>
      </c>
      <c r="J256" s="29" t="s">
        <v>69</v>
      </c>
      <c r="K256" s="52">
        <v>1</v>
      </c>
      <c r="L256" s="13">
        <v>48.82</v>
      </c>
      <c r="M256" s="53">
        <v>0.18</v>
      </c>
      <c r="N256" s="13">
        <v>8.7899999999999991</v>
      </c>
      <c r="O256" s="29" t="s">
        <v>72</v>
      </c>
      <c r="Q256" s="5" t="s">
        <v>566</v>
      </c>
      <c r="R256" t="s">
        <v>567</v>
      </c>
      <c r="S256" t="str">
        <f t="shared" si="3"/>
        <v>Carol Foley</v>
      </c>
      <c r="T256">
        <v>17425766</v>
      </c>
    </row>
    <row r="257" spans="1:20" ht="15" customHeight="1" x14ac:dyDescent="0.2">
      <c r="A257" s="1" t="s">
        <v>65</v>
      </c>
      <c r="B257" s="51">
        <v>442578306</v>
      </c>
      <c r="C257" s="1" t="s">
        <v>235</v>
      </c>
      <c r="D257" s="28">
        <v>45383</v>
      </c>
      <c r="E257" s="14"/>
      <c r="F257" s="14" t="s">
        <v>202</v>
      </c>
      <c r="G257" s="49">
        <v>45962</v>
      </c>
      <c r="H257" s="49">
        <v>45992</v>
      </c>
      <c r="I257" s="28">
        <v>45966</v>
      </c>
      <c r="J257" s="29" t="s">
        <v>69</v>
      </c>
      <c r="K257" s="52">
        <v>1</v>
      </c>
      <c r="L257" s="13">
        <v>19.760000000000002</v>
      </c>
      <c r="M257" s="53">
        <v>0.09</v>
      </c>
      <c r="N257" s="13">
        <v>1.78</v>
      </c>
      <c r="O257" s="29" t="s">
        <v>72</v>
      </c>
      <c r="Q257" s="5" t="s">
        <v>566</v>
      </c>
      <c r="R257" t="s">
        <v>567</v>
      </c>
      <c r="S257" t="str">
        <f t="shared" si="3"/>
        <v>Carol Foley</v>
      </c>
      <c r="T257">
        <v>17425766</v>
      </c>
    </row>
    <row r="258" spans="1:20" ht="15" customHeight="1" x14ac:dyDescent="0.2">
      <c r="A258" s="1" t="s">
        <v>65</v>
      </c>
      <c r="B258" s="51">
        <v>442578307</v>
      </c>
      <c r="C258" s="1" t="s">
        <v>235</v>
      </c>
      <c r="D258" s="28">
        <v>45383</v>
      </c>
      <c r="E258" s="14"/>
      <c r="F258" s="14" t="s">
        <v>204</v>
      </c>
      <c r="G258" s="49">
        <v>45962</v>
      </c>
      <c r="H258" s="49">
        <v>45992</v>
      </c>
      <c r="I258" s="28">
        <v>45966</v>
      </c>
      <c r="J258" s="29" t="s">
        <v>69</v>
      </c>
      <c r="K258" s="52">
        <v>1</v>
      </c>
      <c r="L258" s="13">
        <v>9</v>
      </c>
      <c r="M258" s="53">
        <v>0.09</v>
      </c>
      <c r="N258" s="13">
        <v>0.81</v>
      </c>
      <c r="O258" s="29" t="s">
        <v>72</v>
      </c>
      <c r="Q258" s="5" t="s">
        <v>566</v>
      </c>
      <c r="R258" t="s">
        <v>567</v>
      </c>
      <c r="S258" t="str">
        <f t="shared" si="3"/>
        <v>Carol Foley</v>
      </c>
      <c r="T258">
        <v>17425766</v>
      </c>
    </row>
    <row r="259" spans="1:20" ht="15" customHeight="1" x14ac:dyDescent="0.2">
      <c r="A259" s="1" t="s">
        <v>65</v>
      </c>
      <c r="B259" s="51">
        <v>442578440</v>
      </c>
      <c r="C259" s="1" t="s">
        <v>201</v>
      </c>
      <c r="D259" s="28">
        <v>45383</v>
      </c>
      <c r="E259" s="14"/>
      <c r="F259" s="14" t="s">
        <v>202</v>
      </c>
      <c r="G259" s="49">
        <v>45962</v>
      </c>
      <c r="H259" s="49">
        <v>45992</v>
      </c>
      <c r="I259" s="28">
        <v>45966</v>
      </c>
      <c r="J259" s="29" t="s">
        <v>69</v>
      </c>
      <c r="K259" s="52">
        <v>1</v>
      </c>
      <c r="L259" s="13">
        <v>36.4</v>
      </c>
      <c r="M259" s="53">
        <v>0.09</v>
      </c>
      <c r="N259" s="13">
        <v>3.28</v>
      </c>
      <c r="O259" s="29" t="s">
        <v>72</v>
      </c>
      <c r="Q259" s="5" t="s">
        <v>566</v>
      </c>
      <c r="R259" t="s">
        <v>567</v>
      </c>
      <c r="S259" t="str">
        <f t="shared" ref="S259:S265" si="4">CONCATENATE(Q259, " ",R259)</f>
        <v>Carol Foley</v>
      </c>
      <c r="T259">
        <v>17425766</v>
      </c>
    </row>
    <row r="260" spans="1:20" ht="15" customHeight="1" x14ac:dyDescent="0.2">
      <c r="A260" s="1" t="s">
        <v>65</v>
      </c>
      <c r="B260" s="51">
        <v>442578441</v>
      </c>
      <c r="C260" s="1" t="s">
        <v>201</v>
      </c>
      <c r="D260" s="28">
        <v>45383</v>
      </c>
      <c r="E260" s="14"/>
      <c r="F260" s="14" t="s">
        <v>204</v>
      </c>
      <c r="G260" s="49">
        <v>45962</v>
      </c>
      <c r="H260" s="49">
        <v>45992</v>
      </c>
      <c r="I260" s="28">
        <v>45966</v>
      </c>
      <c r="J260" s="29" t="s">
        <v>69</v>
      </c>
      <c r="K260" s="52">
        <v>1</v>
      </c>
      <c r="L260" s="13">
        <v>16</v>
      </c>
      <c r="M260" s="53">
        <v>0.09</v>
      </c>
      <c r="N260" s="13">
        <v>1.44</v>
      </c>
      <c r="O260" s="29" t="s">
        <v>72</v>
      </c>
      <c r="Q260" s="5" t="s">
        <v>566</v>
      </c>
      <c r="R260" t="s">
        <v>567</v>
      </c>
      <c r="S260" t="str">
        <f t="shared" si="4"/>
        <v>Carol Foley</v>
      </c>
      <c r="T260">
        <v>17425766</v>
      </c>
    </row>
    <row r="261" spans="1:20" ht="15" customHeight="1" x14ac:dyDescent="0.2">
      <c r="A261" s="1" t="s">
        <v>65</v>
      </c>
      <c r="B261" s="51">
        <v>442579305</v>
      </c>
      <c r="C261" s="1" t="s">
        <v>185</v>
      </c>
      <c r="D261" s="28">
        <v>45383</v>
      </c>
      <c r="E261" s="14"/>
      <c r="F261" s="14" t="s">
        <v>77</v>
      </c>
      <c r="G261" s="49">
        <v>45962</v>
      </c>
      <c r="H261" s="49">
        <v>45992</v>
      </c>
      <c r="I261" s="28">
        <v>45966</v>
      </c>
      <c r="J261" s="29" t="s">
        <v>69</v>
      </c>
      <c r="K261" s="52">
        <v>1</v>
      </c>
      <c r="L261" s="13">
        <v>26.56</v>
      </c>
      <c r="M261" s="53">
        <v>7.0000000000000007E-2</v>
      </c>
      <c r="N261" s="13">
        <v>1.86</v>
      </c>
      <c r="O261" s="29" t="s">
        <v>72</v>
      </c>
      <c r="Q261" s="5" t="s">
        <v>566</v>
      </c>
      <c r="R261" t="s">
        <v>567</v>
      </c>
      <c r="S261" t="str">
        <f t="shared" si="4"/>
        <v>Carol Foley</v>
      </c>
      <c r="T261">
        <v>17425766</v>
      </c>
    </row>
    <row r="262" spans="1:20" ht="15" customHeight="1" x14ac:dyDescent="0.2">
      <c r="A262" s="1" t="s">
        <v>65</v>
      </c>
      <c r="B262" s="51">
        <v>442602562</v>
      </c>
      <c r="C262" s="1" t="s">
        <v>381</v>
      </c>
      <c r="D262" s="28">
        <v>45413</v>
      </c>
      <c r="E262" s="14"/>
      <c r="F262" s="14" t="s">
        <v>382</v>
      </c>
      <c r="G262" s="49">
        <v>45962</v>
      </c>
      <c r="H262" s="49">
        <v>45992</v>
      </c>
      <c r="I262" s="28">
        <v>45966</v>
      </c>
      <c r="J262" s="29" t="s">
        <v>69</v>
      </c>
      <c r="K262" s="52">
        <v>1</v>
      </c>
      <c r="L262" s="13">
        <v>26.4</v>
      </c>
      <c r="M262" s="53">
        <v>0.09</v>
      </c>
      <c r="N262" s="13">
        <v>2.38</v>
      </c>
      <c r="O262" s="29" t="s">
        <v>72</v>
      </c>
      <c r="Q262" s="5" t="s">
        <v>573</v>
      </c>
      <c r="R262" t="s">
        <v>574</v>
      </c>
      <c r="S262" t="str">
        <f t="shared" si="4"/>
        <v>Deborah Inskipt</v>
      </c>
      <c r="T262">
        <v>17528908</v>
      </c>
    </row>
    <row r="263" spans="1:20" ht="15" customHeight="1" x14ac:dyDescent="0.2">
      <c r="A263" s="1" t="s">
        <v>65</v>
      </c>
      <c r="B263" s="51">
        <v>442602563</v>
      </c>
      <c r="C263" s="1" t="s">
        <v>381</v>
      </c>
      <c r="D263" s="28">
        <v>45413</v>
      </c>
      <c r="E263" s="14"/>
      <c r="F263" s="14" t="s">
        <v>384</v>
      </c>
      <c r="G263" s="49">
        <v>45962</v>
      </c>
      <c r="H263" s="49">
        <v>45992</v>
      </c>
      <c r="I263" s="28">
        <v>45966</v>
      </c>
      <c r="J263" s="29" t="s">
        <v>69</v>
      </c>
      <c r="K263" s="52">
        <v>1</v>
      </c>
      <c r="L263" s="13">
        <v>30.8</v>
      </c>
      <c r="M263" s="53">
        <v>0.09</v>
      </c>
      <c r="N263" s="13">
        <v>2.77</v>
      </c>
      <c r="O263" s="29" t="s">
        <v>72</v>
      </c>
      <c r="Q263" s="5" t="s">
        <v>573</v>
      </c>
      <c r="R263" t="s">
        <v>574</v>
      </c>
      <c r="S263" t="str">
        <f t="shared" si="4"/>
        <v>Deborah Inskipt</v>
      </c>
      <c r="T263">
        <v>17528908</v>
      </c>
    </row>
    <row r="264" spans="1:20" ht="15" customHeight="1" x14ac:dyDescent="0.2">
      <c r="A264" s="1" t="s">
        <v>65</v>
      </c>
      <c r="B264" s="51">
        <v>442609512</v>
      </c>
      <c r="C264" s="1" t="s">
        <v>378</v>
      </c>
      <c r="D264" s="28">
        <v>45444</v>
      </c>
      <c r="E264" s="14"/>
      <c r="F264" s="14" t="s">
        <v>379</v>
      </c>
      <c r="G264" s="49">
        <v>45962</v>
      </c>
      <c r="H264" s="49">
        <v>45992</v>
      </c>
      <c r="I264" s="28">
        <v>45966</v>
      </c>
      <c r="J264" s="29" t="s">
        <v>69</v>
      </c>
      <c r="K264" s="52">
        <v>1</v>
      </c>
      <c r="L264" s="13">
        <v>28.25</v>
      </c>
      <c r="M264" s="53">
        <v>0.09</v>
      </c>
      <c r="N264" s="13">
        <v>2.54</v>
      </c>
      <c r="O264" s="29" t="s">
        <v>72</v>
      </c>
      <c r="Q264" s="5" t="s">
        <v>573</v>
      </c>
      <c r="R264" t="s">
        <v>574</v>
      </c>
      <c r="S264" t="str">
        <f t="shared" si="4"/>
        <v>Deborah Inskipt</v>
      </c>
      <c r="T264">
        <v>17528908</v>
      </c>
    </row>
    <row r="265" spans="1:20" ht="15" customHeight="1" x14ac:dyDescent="0.2">
      <c r="A265" s="1" t="s">
        <v>65</v>
      </c>
      <c r="B265" s="51">
        <v>442635616</v>
      </c>
      <c r="C265" s="1" t="s">
        <v>359</v>
      </c>
      <c r="D265" s="28">
        <v>45413</v>
      </c>
      <c r="E265" s="14"/>
      <c r="F265" s="14" t="s">
        <v>167</v>
      </c>
      <c r="G265" s="49">
        <v>45962</v>
      </c>
      <c r="H265" s="49">
        <v>45992</v>
      </c>
      <c r="I265" s="28">
        <v>45966</v>
      </c>
      <c r="J265" s="29" t="s">
        <v>69</v>
      </c>
      <c r="K265" s="52">
        <v>1</v>
      </c>
      <c r="L265" s="13">
        <v>89.79</v>
      </c>
      <c r="M265" s="53">
        <v>0.09</v>
      </c>
      <c r="N265" s="13">
        <v>8.08</v>
      </c>
      <c r="O265" s="29" t="s">
        <v>72</v>
      </c>
      <c r="Q265" s="5" t="s">
        <v>575</v>
      </c>
      <c r="R265" t="s">
        <v>576</v>
      </c>
      <c r="S265" t="str">
        <f t="shared" si="4"/>
        <v>Colleen Finnigan</v>
      </c>
      <c r="T265">
        <v>17437820</v>
      </c>
    </row>
  </sheetData>
  <sortState xmlns:xlrd2="http://schemas.microsoft.com/office/spreadsheetml/2017/richdata2" ref="A2:S265">
    <sortCondition ref="B2:B2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2025-11-13T13:38:20Z</dcterms:created>
  <dcterms:modified xsi:type="dcterms:W3CDTF">2025-11-19T19:21:52Z</dcterms:modified>
</cp:coreProperties>
</file>