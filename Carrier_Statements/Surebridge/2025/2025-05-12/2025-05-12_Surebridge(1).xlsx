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66925"/>
  <xr:revisionPtr revIDLastSave="0" documentId="13_ncr:1_{0E61DCC4-269C-4CD6-874F-6FE167300C41}" xr6:coauthVersionLast="47" xr6:coauthVersionMax="47" xr10:uidLastSave="{00000000-0000-0000-0000-000000000000}"/>
  <bookViews>
    <workbookView xWindow="-120" yWindow="-120" windowWidth="29040" windowHeight="16440" firstSheet="2" activeTab="2" xr2:uid="{887D1F48-6EC2-4095-A469-0E26AA683162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  <definedName name="_xlnm.Print_Titles" localSheetId="1">Sheet2!$1:$3</definedName>
  </definedNames>
  <calcPr calcId="181029"/>
  <fileRecoveryPr autoRecover="0"/>
</workbook>
</file>

<file path=xl/calcChain.xml><?xml version="1.0" encoding="utf-8"?>
<calcChain xmlns="http://schemas.openxmlformats.org/spreadsheetml/2006/main">
  <c r="Q7" i="3" l="1"/>
  <c r="Q15" i="3"/>
  <c r="Q16" i="3"/>
  <c r="Q13" i="3"/>
  <c r="Q14" i="3"/>
  <c r="Q10" i="3"/>
  <c r="Q11" i="3"/>
  <c r="Q12" i="3"/>
  <c r="Q17" i="3"/>
  <c r="Q18" i="3"/>
  <c r="Q2" i="3"/>
  <c r="Q5" i="3"/>
  <c r="Q6" i="3"/>
  <c r="Q8" i="3"/>
  <c r="Q3" i="3"/>
  <c r="Q4" i="3"/>
  <c r="Q19" i="3"/>
  <c r="Q9" i="3"/>
</calcChain>
</file>

<file path=xl/sharedStrings.xml><?xml version="1.0" encoding="utf-8"?>
<sst xmlns="http://schemas.openxmlformats.org/spreadsheetml/2006/main" count="346" uniqueCount="143">
  <si>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</si>
  <si>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</si>
  <si>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</si>
  <si>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</si>
  <si>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</si>
  <si>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</si>
  <si>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</si>
  <si>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</si>
  <si>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05/13/2025</t>
  </si>
  <si>
    <t>Attn:  Commission Accounting</t>
  </si>
  <si>
    <t>Payee:</t>
  </si>
  <si>
    <t>Main Line Benefits LLC 15791498</t>
  </si>
  <si>
    <t>Statement To Date: 05/15/2025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</si>
  <si>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</si>
  <si>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</si>
  <si>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</si>
  <si>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</si>
  <si>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</si>
  <si>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</si>
  <si>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</si>
  <si>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</si>
  <si>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</si>
  <si>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</si>
  <si>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</si>
  <si>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</si>
  <si>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</si>
  <si>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</si>
  <si>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</si>
  <si>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</si>
  <si>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</si>
  <si>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</si>
  <si>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</si>
  <si>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</si>
  <si>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</si>
  <si>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</si>
  <si>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</si>
  <si>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</si>
  <si>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</si>
  <si>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</si>
  <si>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</si>
  <si>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</si>
  <si>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</si>
  <si>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</si>
  <si>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</si>
  <si>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</si>
  <si>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</si>
  <si>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</si>
  <si>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</si>
  <si>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</si>
  <si>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</si>
  <si>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</si>
  <si>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</si>
  <si>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</si>
  <si>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</si>
  <si>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</si>
  <si>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</si>
  <si>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</si>
  <si>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</si>
  <si>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</si>
  <si>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</si>
  <si>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</si>
  <si>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</si>
  <si>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</si>
  <si>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</si>
  <si>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</si>
  <si>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</si>
  <si>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441847980</t>
  </si>
  <si>
    <t>JOCELYN  BATACAN</t>
  </si>
  <si>
    <t>SWTL2187</t>
  </si>
  <si>
    <t>R</t>
  </si>
  <si>
    <t>1</t>
  </si>
  <si>
    <t>9.00%</t>
  </si>
  <si>
    <t>OVR</t>
  </si>
  <si>
    <t>Ashley Elizabeth Teipel 20436925</t>
  </si>
  <si>
    <t>441765054</t>
  </si>
  <si>
    <t>VANESSA  BROWN</t>
  </si>
  <si>
    <t>SWTL1014</t>
  </si>
  <si>
    <t>Carol  Foley 17425766</t>
  </si>
  <si>
    <t>442292751</t>
  </si>
  <si>
    <t>JOHN  MOSS</t>
  </si>
  <si>
    <t>SHW10166</t>
  </si>
  <si>
    <t>18.00%</t>
  </si>
  <si>
    <t>442399128</t>
  </si>
  <si>
    <t>LAURA  STANDRING</t>
  </si>
  <si>
    <t>SHW00161</t>
  </si>
  <si>
    <t>442267305</t>
  </si>
  <si>
    <t>MICHAEL  SMALL</t>
  </si>
  <si>
    <t>SPH00094</t>
  </si>
  <si>
    <t>4.50%</t>
  </si>
  <si>
    <t>442267307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</si>
  <si>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</si>
  <si>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</si>
  <si>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</si>
  <si>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</si>
  <si>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</si>
  <si>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</si>
  <si>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</si>
  <si>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</si>
  <si>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Deborah Lee Inskipt 17528908</t>
  </si>
  <si>
    <t>442425089</t>
  </si>
  <si>
    <t>TAMMY  HEIRENDT</t>
  </si>
  <si>
    <t>SH000006</t>
  </si>
  <si>
    <t>442425090</t>
  </si>
  <si>
    <t>SCP00006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</si>
  <si>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</si>
  <si>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</si>
  <si>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</si>
  <si>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</si>
  <si>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</si>
  <si>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</si>
  <si>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</si>
  <si>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</si>
  <si>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</si>
  <si>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441794112</t>
  </si>
  <si>
    <t>KIMBERLY  MCCLUSKEY</t>
  </si>
  <si>
    <t>SPV00006</t>
  </si>
  <si>
    <t>441615076</t>
  </si>
  <si>
    <t>SAVA  KELIDIS</t>
  </si>
  <si>
    <t>SWTL2241</t>
  </si>
  <si>
    <t>441615079</t>
  </si>
  <si>
    <t>TRACY  KELIDIS</t>
  </si>
  <si>
    <t>SWTL2221</t>
  </si>
  <si>
    <t>Scott Christopher Aguglia 8971826</t>
  </si>
  <si>
    <t>442459673</t>
  </si>
  <si>
    <t>ANNETTE  PHILLIPS</t>
  </si>
  <si>
    <t>SWTL2147</t>
  </si>
  <si>
    <t>Total</t>
  </si>
  <si>
    <t>Anne</t>
  </si>
  <si>
    <t>Marie</t>
  </si>
  <si>
    <t>Kozacheck</t>
  </si>
  <si>
    <t>Ashley</t>
  </si>
  <si>
    <t>Elizabeth</t>
  </si>
  <si>
    <t>Teipel</t>
  </si>
  <si>
    <t>Carol</t>
  </si>
  <si>
    <t>Foley</t>
  </si>
  <si>
    <t>Deborah</t>
  </si>
  <si>
    <t>Lee</t>
  </si>
  <si>
    <t>Inskipt</t>
  </si>
  <si>
    <t>Kimberly</t>
  </si>
  <si>
    <t>Dickerson</t>
  </si>
  <si>
    <t>Scott</t>
  </si>
  <si>
    <t>Christopher</t>
  </si>
  <si>
    <t>Aguglia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</si>
</sst>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0" fillId="0" borderId="0" xfId="0" applyAlignment="1">
      <alignment horizontal="left"/>
    </xf>
    <xf numFmtId="165" fontId="2" fillId="0" borderId="0" xfId="0" applyNumberFormat="1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NumberFormat="1" applyFont="1" applyAlignment="1" applyProtection="1">
      <alignment horizontal="left" vertical="top" wrapText="1" readingOrder="1"/>
      <protection locked="0"/>
    </xf>
    <xf numFmtId="10" fontId="2" fillId="0" borderId="0" xfId="0" applyNumberFormat="1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D2561E7B-053A-D7A5-4FB9-51FED912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30734701-86DB-254D-3261-FB50A01E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1C90-2A51-4E1F-A909-6D908D6BC040}">
  <dimension ref="A1:U36"/>
  <sheetViews>
    <sheetView showGridLines="0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x14ac:dyDescent="0.2">
      <c r="A11" s="7"/>
      <c r="B11" s="7"/>
      <c r="C11" s="48"/>
      <c r="D11" s="34"/>
      <c r="E11" s="34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49"/>
      <c r="S11" s="34"/>
      <c r="T11" s="9"/>
      <c r="U11" s="9"/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2"/>
      <c r="B13" s="39" t="s">
        <v>17</v>
      </c>
      <c r="C13" s="31"/>
      <c r="D13" s="31"/>
      <c r="E13" s="31"/>
      <c r="F13" s="31"/>
      <c r="G13" s="31"/>
      <c r="H13" s="2"/>
      <c r="I13" s="39"/>
      <c r="J13" s="31"/>
      <c r="K13" s="10"/>
      <c r="L13" s="2"/>
      <c r="M13" s="39" t="s">
        <v>18</v>
      </c>
      <c r="N13" s="31"/>
      <c r="O13" s="31"/>
      <c r="P13" s="31"/>
      <c r="Q13" s="31"/>
      <c r="R13" s="47"/>
      <c r="S13" s="31"/>
      <c r="T13" s="31"/>
      <c r="U13" s="11"/>
    </row>
    <row r="14" spans="1:21" ht="15" x14ac:dyDescent="0.2">
      <c r="A14" s="2"/>
      <c r="B14" s="36" t="s">
        <v>19</v>
      </c>
      <c r="C14" s="31"/>
      <c r="D14" s="31"/>
      <c r="E14" s="31"/>
      <c r="F14" s="31"/>
      <c r="G14" s="12"/>
      <c r="H14" s="2"/>
      <c r="I14" s="38">
        <v>0</v>
      </c>
      <c r="J14" s="31"/>
      <c r="K14" s="10"/>
      <c r="L14" s="2"/>
      <c r="M14" s="39" t="s">
        <v>20</v>
      </c>
      <c r="N14" s="31"/>
      <c r="O14" s="31"/>
      <c r="P14" s="31"/>
      <c r="Q14" s="31"/>
      <c r="R14" s="38">
        <v>0</v>
      </c>
      <c r="S14" s="31"/>
      <c r="T14" s="31"/>
      <c r="U14" s="11"/>
    </row>
    <row r="15" spans="1:21" ht="15" x14ac:dyDescent="0.2">
      <c r="A15" s="2"/>
      <c r="B15" s="12"/>
      <c r="C15" s="30" t="s">
        <v>21</v>
      </c>
      <c r="D15" s="31"/>
      <c r="E15" s="31"/>
      <c r="F15" s="31"/>
      <c r="G15" s="31"/>
      <c r="H15" s="31"/>
      <c r="I15" s="38">
        <v>0</v>
      </c>
      <c r="J15" s="31"/>
      <c r="K15" s="10"/>
      <c r="L15" s="2"/>
      <c r="M15" s="11"/>
      <c r="N15" s="32" t="s">
        <v>22</v>
      </c>
      <c r="O15" s="31"/>
      <c r="P15" s="14"/>
      <c r="Q15" s="14"/>
      <c r="R15" s="38">
        <v>0</v>
      </c>
      <c r="S15" s="31"/>
      <c r="T15" s="31"/>
      <c r="U15" s="11"/>
    </row>
    <row r="16" spans="1:21" ht="15" x14ac:dyDescent="0.2">
      <c r="A16" s="2"/>
      <c r="B16" s="12"/>
      <c r="C16" s="30" t="s">
        <v>23</v>
      </c>
      <c r="D16" s="31"/>
      <c r="E16" s="31"/>
      <c r="F16" s="31"/>
      <c r="G16" s="12"/>
      <c r="H16" s="15"/>
      <c r="I16" s="38">
        <v>0</v>
      </c>
      <c r="J16" s="31"/>
      <c r="K16" s="10"/>
      <c r="L16" s="2"/>
      <c r="M16" s="11"/>
      <c r="N16" s="32" t="s">
        <v>24</v>
      </c>
      <c r="O16" s="31"/>
      <c r="P16" s="31"/>
      <c r="Q16" s="31"/>
      <c r="R16" s="44" t="s">
        <v>1</v>
      </c>
      <c r="S16" s="31"/>
      <c r="T16" s="31"/>
      <c r="U16" s="11"/>
    </row>
    <row r="17" spans="1:21" ht="15" x14ac:dyDescent="0.2">
      <c r="A17" s="2"/>
      <c r="B17" s="16"/>
      <c r="C17" s="30" t="s">
        <v>25</v>
      </c>
      <c r="D17" s="31"/>
      <c r="E17" s="31"/>
      <c r="F17" s="31"/>
      <c r="G17" s="1"/>
      <c r="H17" s="15"/>
      <c r="I17" s="38">
        <v>104.84</v>
      </c>
      <c r="J17" s="31"/>
      <c r="K17" s="10"/>
      <c r="L17" s="2"/>
      <c r="M17" s="11"/>
      <c r="N17" s="32" t="s">
        <v>26</v>
      </c>
      <c r="O17" s="31"/>
      <c r="P17" s="31"/>
      <c r="Q17" s="31"/>
      <c r="R17" s="38">
        <v>0</v>
      </c>
      <c r="S17" s="31"/>
      <c r="T17" s="31"/>
      <c r="U17" s="11"/>
    </row>
    <row r="18" spans="1:21" x14ac:dyDescent="0.2">
      <c r="A18" s="2"/>
      <c r="B18" s="2"/>
      <c r="C18" s="30" t="s">
        <v>27</v>
      </c>
      <c r="D18" s="31"/>
      <c r="E18" s="31"/>
      <c r="F18" s="31"/>
      <c r="G18" s="31"/>
      <c r="H18" s="15"/>
      <c r="I18" s="38">
        <v>0</v>
      </c>
      <c r="J18" s="31"/>
      <c r="K18" s="10"/>
      <c r="L18" s="2"/>
      <c r="M18" s="11"/>
      <c r="N18" s="32" t="s">
        <v>27</v>
      </c>
      <c r="O18" s="31"/>
      <c r="P18" s="31"/>
      <c r="Q18" s="31"/>
      <c r="R18" s="38">
        <v>0</v>
      </c>
      <c r="S18" s="31"/>
      <c r="T18" s="31"/>
      <c r="U18" s="11"/>
    </row>
    <row r="19" spans="1:21" x14ac:dyDescent="0.2">
      <c r="A19" s="2"/>
      <c r="B19" s="5"/>
      <c r="C19" s="30" t="s">
        <v>28</v>
      </c>
      <c r="D19" s="31"/>
      <c r="E19" s="31"/>
      <c r="F19" s="31"/>
      <c r="G19" s="2"/>
      <c r="H19" s="15"/>
      <c r="I19" s="38">
        <v>0</v>
      </c>
      <c r="J19" s="31"/>
      <c r="K19" s="10"/>
      <c r="L19" s="2"/>
      <c r="M19" s="2"/>
      <c r="N19" s="32" t="s">
        <v>29</v>
      </c>
      <c r="O19" s="31"/>
      <c r="P19" s="31"/>
      <c r="Q19" s="31"/>
      <c r="R19" s="45">
        <v>0</v>
      </c>
      <c r="S19" s="31"/>
      <c r="T19" s="31"/>
      <c r="U19" s="11"/>
    </row>
    <row r="20" spans="1:21" ht="15" x14ac:dyDescent="0.2">
      <c r="A20" s="2"/>
      <c r="B20" s="36" t="s">
        <v>30</v>
      </c>
      <c r="C20" s="31"/>
      <c r="D20" s="31"/>
      <c r="E20" s="31"/>
      <c r="F20" s="31"/>
      <c r="G20" s="12"/>
      <c r="H20" s="11"/>
      <c r="I20" s="40">
        <v>104.84</v>
      </c>
      <c r="J20" s="31"/>
      <c r="K20" s="10"/>
      <c r="L20" s="2"/>
      <c r="M20" s="39" t="s">
        <v>31</v>
      </c>
      <c r="N20" s="31"/>
      <c r="O20" s="31"/>
      <c r="P20" s="6"/>
      <c r="Q20" s="6"/>
      <c r="R20" s="40">
        <v>0</v>
      </c>
      <c r="S20" s="31"/>
      <c r="T20" s="31"/>
      <c r="U20" s="11"/>
    </row>
    <row r="21" spans="1:21" ht="15" x14ac:dyDescent="0.2">
      <c r="A21" s="2"/>
      <c r="B21" s="36"/>
      <c r="C21" s="31"/>
      <c r="D21" s="31"/>
      <c r="E21" s="31"/>
      <c r="F21" s="31"/>
      <c r="G21" s="16"/>
      <c r="H21" s="16"/>
      <c r="I21" s="43"/>
      <c r="J21" s="31"/>
      <c r="K21" s="10"/>
      <c r="L21" s="2"/>
      <c r="M21" s="39"/>
      <c r="N21" s="31"/>
      <c r="O21" s="31"/>
      <c r="P21" s="31"/>
      <c r="Q21" s="31"/>
      <c r="R21" s="44"/>
      <c r="S21" s="31"/>
      <c r="T21" s="31"/>
      <c r="U21" s="11"/>
    </row>
    <row r="22" spans="1:21" ht="15" x14ac:dyDescent="0.2">
      <c r="A22" s="2"/>
      <c r="B22" s="36" t="s">
        <v>32</v>
      </c>
      <c r="C22" s="31"/>
      <c r="D22" s="31"/>
      <c r="E22" s="31"/>
      <c r="F22" s="31"/>
      <c r="G22" s="12"/>
      <c r="H22" s="18"/>
      <c r="I22" s="41"/>
      <c r="J22" s="31"/>
      <c r="K22" s="18"/>
      <c r="L22" s="18"/>
      <c r="M22" s="39" t="s">
        <v>33</v>
      </c>
      <c r="N22" s="31"/>
      <c r="O22" s="31"/>
      <c r="P22" s="6"/>
      <c r="Q22" s="6"/>
      <c r="R22" s="42"/>
      <c r="S22" s="31"/>
      <c r="T22" s="31"/>
      <c r="U22" s="11"/>
    </row>
    <row r="23" spans="1:21" ht="15" x14ac:dyDescent="0.2">
      <c r="A23" s="2"/>
      <c r="B23" s="12"/>
      <c r="C23" s="30" t="s">
        <v>30</v>
      </c>
      <c r="D23" s="31"/>
      <c r="E23" s="31"/>
      <c r="F23" s="31"/>
      <c r="G23" s="12"/>
      <c r="H23" s="15"/>
      <c r="I23" s="38">
        <v>104.84</v>
      </c>
      <c r="J23" s="31"/>
      <c r="K23" s="18"/>
      <c r="L23" s="18"/>
      <c r="M23" s="18"/>
      <c r="N23" s="32" t="s">
        <v>22</v>
      </c>
      <c r="O23" s="31"/>
      <c r="P23" s="6"/>
      <c r="Q23" s="6"/>
      <c r="R23" s="38">
        <v>0</v>
      </c>
      <c r="S23" s="31"/>
      <c r="T23" s="31"/>
      <c r="U23" s="11"/>
    </row>
    <row r="24" spans="1:21" ht="15" x14ac:dyDescent="0.2">
      <c r="A24" s="2"/>
      <c r="B24" s="12"/>
      <c r="C24" s="30" t="s">
        <v>34</v>
      </c>
      <c r="D24" s="31"/>
      <c r="E24" s="31"/>
      <c r="F24" s="31"/>
      <c r="G24" s="12"/>
      <c r="H24" s="15"/>
      <c r="I24" s="38">
        <v>0</v>
      </c>
      <c r="J24" s="31"/>
      <c r="K24" s="18"/>
      <c r="L24" s="18"/>
      <c r="M24" s="18"/>
      <c r="N24" s="32" t="s">
        <v>24</v>
      </c>
      <c r="O24" s="31"/>
      <c r="P24" s="6"/>
      <c r="Q24" s="6"/>
      <c r="R24" s="38">
        <v>0</v>
      </c>
      <c r="S24" s="31"/>
      <c r="T24" s="31"/>
      <c r="U24" s="11"/>
    </row>
    <row r="25" spans="1:21" ht="15" x14ac:dyDescent="0.2">
      <c r="A25" s="2"/>
      <c r="B25" s="39" t="s">
        <v>35</v>
      </c>
      <c r="C25" s="31"/>
      <c r="D25" s="31"/>
      <c r="E25" s="31"/>
      <c r="F25" s="31"/>
      <c r="G25" s="12"/>
      <c r="H25" s="15"/>
      <c r="I25" s="40">
        <v>104.84</v>
      </c>
      <c r="J25" s="31"/>
      <c r="K25" s="18"/>
      <c r="L25" s="18"/>
      <c r="M25" s="18"/>
      <c r="N25" s="36" t="s">
        <v>36</v>
      </c>
      <c r="O25" s="31"/>
      <c r="P25" s="6"/>
      <c r="Q25" s="6"/>
      <c r="R25" s="40">
        <v>0</v>
      </c>
      <c r="S25" s="31"/>
      <c r="T25" s="31"/>
      <c r="U25" s="11"/>
    </row>
    <row r="26" spans="1:21" x14ac:dyDescent="0.2">
      <c r="A26" s="1"/>
      <c r="B26" s="1"/>
      <c r="C26" s="30"/>
      <c r="D26" s="31"/>
      <c r="E26" s="3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0"/>
      <c r="S26" s="31"/>
      <c r="T26" s="1"/>
      <c r="U26" s="1"/>
    </row>
    <row r="27" spans="1:21" x14ac:dyDescent="0.2">
      <c r="A27" s="5"/>
      <c r="B27" s="5"/>
      <c r="C27" s="36"/>
      <c r="D27" s="31"/>
      <c r="E27" s="31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37"/>
      <c r="S27" s="31"/>
      <c r="T27" s="11"/>
      <c r="U27" s="11"/>
    </row>
    <row r="28" spans="1:21" x14ac:dyDescent="0.2">
      <c r="A28" s="5"/>
      <c r="B28" s="5"/>
      <c r="C28" s="36"/>
      <c r="D28" s="31"/>
      <c r="E28" s="31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37"/>
      <c r="S28" s="31"/>
      <c r="T28" s="11"/>
      <c r="U28" s="11"/>
    </row>
    <row r="29" spans="1:21" x14ac:dyDescent="0.2">
      <c r="A29" s="20"/>
      <c r="B29" s="20"/>
      <c r="C29" s="33"/>
      <c r="D29" s="34"/>
      <c r="E29" s="34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35"/>
      <c r="S29" s="34"/>
      <c r="T29" s="23"/>
      <c r="U29" s="23"/>
    </row>
    <row r="30" spans="1:21" x14ac:dyDescent="0.2">
      <c r="A30" s="36" t="s">
        <v>37</v>
      </c>
      <c r="B30" s="31"/>
      <c r="C30" s="31"/>
      <c r="D30" s="31"/>
      <c r="E30" s="31"/>
      <c r="F30" s="31"/>
      <c r="G30" s="1"/>
      <c r="H30" s="1"/>
      <c r="I30" s="1"/>
      <c r="J30" s="1"/>
      <c r="K30" s="1"/>
      <c r="L30" s="1"/>
      <c r="M30" s="1"/>
      <c r="N30" s="1"/>
      <c r="O30" s="36" t="s">
        <v>38</v>
      </c>
      <c r="P30" s="31"/>
      <c r="Q30" s="31"/>
      <c r="R30" s="31"/>
      <c r="S30" s="31"/>
      <c r="T30" s="1"/>
      <c r="U30" s="1"/>
    </row>
    <row r="31" spans="1:21" x14ac:dyDescent="0.2">
      <c r="A31" s="1"/>
      <c r="B31" s="30" t="s">
        <v>39</v>
      </c>
      <c r="C31" s="31"/>
      <c r="D31" s="31"/>
      <c r="E31" s="31"/>
      <c r="F31" s="31"/>
      <c r="G31" s="32" t="s">
        <v>40</v>
      </c>
      <c r="H31" s="31"/>
      <c r="I31" s="31"/>
      <c r="J31" s="31"/>
      <c r="K31" s="31"/>
      <c r="L31" s="31"/>
      <c r="M31" s="31"/>
      <c r="N31" s="1"/>
      <c r="O31" s="1"/>
      <c r="P31" s="1"/>
      <c r="Q31" s="30" t="s">
        <v>41</v>
      </c>
      <c r="R31" s="31"/>
      <c r="S31" s="31"/>
      <c r="T31" s="31"/>
      <c r="U31" s="1"/>
    </row>
    <row r="32" spans="1:21" x14ac:dyDescent="0.2">
      <c r="A32" s="1"/>
      <c r="B32" s="30" t="s">
        <v>42</v>
      </c>
      <c r="C32" s="31"/>
      <c r="D32" s="31"/>
      <c r="E32" s="31"/>
      <c r="F32" s="31"/>
      <c r="G32" s="32" t="s">
        <v>43</v>
      </c>
      <c r="H32" s="31"/>
      <c r="I32" s="31"/>
      <c r="J32" s="31"/>
      <c r="K32" s="31"/>
      <c r="L32" s="31"/>
      <c r="M32" s="31"/>
      <c r="N32" s="1"/>
      <c r="O32" s="1"/>
      <c r="P32" s="1"/>
      <c r="Q32" s="1"/>
      <c r="R32" s="30"/>
      <c r="S32" s="31"/>
      <c r="T32" s="1"/>
      <c r="U32" s="1"/>
    </row>
    <row r="33" spans="1:21" x14ac:dyDescent="0.2">
      <c r="A33" s="1"/>
      <c r="B33" s="30" t="s">
        <v>44</v>
      </c>
      <c r="C33" s="31"/>
      <c r="D33" s="31"/>
      <c r="E33" s="31"/>
      <c r="F33" s="31"/>
      <c r="G33" s="32" t="s">
        <v>45</v>
      </c>
      <c r="H33" s="31"/>
      <c r="I33" s="31"/>
      <c r="J33" s="31"/>
      <c r="K33" s="31"/>
      <c r="L33" s="31"/>
      <c r="M33" s="31"/>
      <c r="N33" s="1"/>
      <c r="O33" s="1"/>
      <c r="P33" s="1"/>
      <c r="Q33" s="1"/>
      <c r="R33" s="30"/>
      <c r="S33" s="31"/>
      <c r="T33" s="1"/>
      <c r="U33" s="1"/>
    </row>
    <row r="34" spans="1:21" x14ac:dyDescent="0.2">
      <c r="A34" s="1"/>
      <c r="B34" s="30" t="s">
        <v>46</v>
      </c>
      <c r="C34" s="31"/>
      <c r="D34" s="31"/>
      <c r="E34" s="31"/>
      <c r="F34" s="31"/>
      <c r="G34" s="32"/>
      <c r="H34" s="31"/>
      <c r="I34" s="31"/>
      <c r="J34" s="31"/>
      <c r="K34" s="31"/>
      <c r="L34" s="31"/>
      <c r="M34" s="31"/>
      <c r="N34" s="1"/>
      <c r="O34" s="1"/>
      <c r="P34" s="1"/>
      <c r="Q34" s="1"/>
      <c r="R34" s="30"/>
      <c r="S34" s="31"/>
      <c r="T34" s="1"/>
      <c r="U34" s="1"/>
    </row>
    <row r="35" spans="1:21" x14ac:dyDescent="0.2">
      <c r="A35" s="1"/>
      <c r="B35" s="30" t="s">
        <v>47</v>
      </c>
      <c r="C35" s="31"/>
      <c r="D35" s="31"/>
      <c r="E35" s="31"/>
      <c r="F35" s="31"/>
      <c r="G35" s="30"/>
      <c r="H35" s="31"/>
      <c r="I35" s="31"/>
      <c r="J35" s="31"/>
      <c r="K35" s="31"/>
      <c r="L35" s="31"/>
      <c r="M35" s="31"/>
      <c r="N35" s="1"/>
      <c r="O35" s="1"/>
      <c r="P35" s="1"/>
      <c r="Q35" s="1"/>
      <c r="R35" s="30"/>
      <c r="S35" s="31"/>
      <c r="T35" s="1"/>
      <c r="U35" s="1"/>
    </row>
    <row r="36" spans="1:21" ht="12.75" hidden="1" customHeight="1" x14ac:dyDescent="0.2"/>
  </sheetData>
  <mergeCells count="100"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  <mergeCell ref="B9:F9"/>
    <mergeCell ref="R9:U9"/>
    <mergeCell ref="B10:F10"/>
    <mergeCell ref="R10:S10"/>
    <mergeCell ref="C11:E11"/>
    <mergeCell ref="R11:S11"/>
    <mergeCell ref="C12:E12"/>
    <mergeCell ref="R12:S12"/>
    <mergeCell ref="B13:G13"/>
    <mergeCell ref="I13:J13"/>
    <mergeCell ref="M13:Q13"/>
    <mergeCell ref="R13:T13"/>
    <mergeCell ref="B14:F14"/>
    <mergeCell ref="I14:J14"/>
    <mergeCell ref="M14:Q14"/>
    <mergeCell ref="R14:T14"/>
    <mergeCell ref="C15:H15"/>
    <mergeCell ref="I15:J15"/>
    <mergeCell ref="N15:O15"/>
    <mergeCell ref="R15:T15"/>
    <mergeCell ref="C16:F16"/>
    <mergeCell ref="I16:J16"/>
    <mergeCell ref="N16:Q16"/>
    <mergeCell ref="R16:T16"/>
    <mergeCell ref="C17:F17"/>
    <mergeCell ref="I17:J17"/>
    <mergeCell ref="N17:Q17"/>
    <mergeCell ref="R17:T17"/>
    <mergeCell ref="C18:G18"/>
    <mergeCell ref="I18:J18"/>
    <mergeCell ref="N18:Q18"/>
    <mergeCell ref="R18:T18"/>
    <mergeCell ref="C19:F19"/>
    <mergeCell ref="I19:J19"/>
    <mergeCell ref="N19:Q19"/>
    <mergeCell ref="R19:T19"/>
    <mergeCell ref="B20:F20"/>
    <mergeCell ref="I20:J20"/>
    <mergeCell ref="M20:O20"/>
    <mergeCell ref="R20:T20"/>
    <mergeCell ref="B21:F21"/>
    <mergeCell ref="I21:J21"/>
    <mergeCell ref="M21:Q21"/>
    <mergeCell ref="R21:T21"/>
    <mergeCell ref="B22:F22"/>
    <mergeCell ref="I22:J22"/>
    <mergeCell ref="M22:O22"/>
    <mergeCell ref="R22:T22"/>
    <mergeCell ref="C23:F23"/>
    <mergeCell ref="I23:J23"/>
    <mergeCell ref="N23:O23"/>
    <mergeCell ref="R23:T23"/>
    <mergeCell ref="C24:F24"/>
    <mergeCell ref="I24:J24"/>
    <mergeCell ref="N24:O24"/>
    <mergeCell ref="R24:T24"/>
    <mergeCell ref="B25:F25"/>
    <mergeCell ref="I25:J25"/>
    <mergeCell ref="N25:O25"/>
    <mergeCell ref="R25:T25"/>
    <mergeCell ref="C26:E26"/>
    <mergeCell ref="R26:S26"/>
    <mergeCell ref="C27:E27"/>
    <mergeCell ref="R27:S27"/>
    <mergeCell ref="C28:E28"/>
    <mergeCell ref="R28:S28"/>
    <mergeCell ref="C29:E29"/>
    <mergeCell ref="R29:S29"/>
    <mergeCell ref="A30:F30"/>
    <mergeCell ref="O30:S30"/>
    <mergeCell ref="B31:F31"/>
    <mergeCell ref="G31:M31"/>
    <mergeCell ref="Q31:T31"/>
    <mergeCell ref="B32:F32"/>
    <mergeCell ref="G32:M32"/>
    <mergeCell ref="R32:S32"/>
    <mergeCell ref="B33:F33"/>
    <mergeCell ref="G33:M33"/>
    <mergeCell ref="R33:S33"/>
    <mergeCell ref="B34:F34"/>
    <mergeCell ref="G34:M34"/>
    <mergeCell ref="R34:S34"/>
    <mergeCell ref="B35:F35"/>
    <mergeCell ref="G35:M35"/>
    <mergeCell ref="R35:S3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05/23/2025&amp;B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D94C-1C9B-43C6-81A9-10A920997803}">
  <dimension ref="A1:U41"/>
  <sheetViews>
    <sheetView showGridLines="0" workbookViewId="0">
      <pane ySplit="3" topLeftCell="A4" activePane="bottomLeft" state="frozenSplit"/>
      <selection pane="bottomLeft"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2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ht="22.5" x14ac:dyDescent="0.2">
      <c r="A11" s="25" t="s">
        <v>48</v>
      </c>
      <c r="B11" s="25" t="s">
        <v>49</v>
      </c>
      <c r="C11" s="53" t="s">
        <v>50</v>
      </c>
      <c r="D11" s="54"/>
      <c r="E11" s="54"/>
      <c r="F11" s="25" t="s">
        <v>51</v>
      </c>
      <c r="G11" s="26" t="s">
        <v>52</v>
      </c>
      <c r="H11" s="25" t="s">
        <v>53</v>
      </c>
      <c r="I11" s="25" t="s">
        <v>54</v>
      </c>
      <c r="J11" s="55" t="s">
        <v>55</v>
      </c>
      <c r="K11" s="54"/>
      <c r="L11" s="55" t="s">
        <v>56</v>
      </c>
      <c r="M11" s="54"/>
      <c r="N11" s="26" t="s">
        <v>57</v>
      </c>
      <c r="O11" s="26" t="s">
        <v>58</v>
      </c>
      <c r="P11" s="26" t="s">
        <v>59</v>
      </c>
      <c r="Q11" s="27" t="s">
        <v>60</v>
      </c>
      <c r="R11" s="56" t="s">
        <v>61</v>
      </c>
      <c r="S11" s="54"/>
      <c r="T11" s="27" t="s">
        <v>62</v>
      </c>
      <c r="U11" s="26" t="s">
        <v>63</v>
      </c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36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1"/>
      <c r="Q13" s="1"/>
      <c r="R13" s="30"/>
      <c r="S13" s="31"/>
      <c r="T13" s="1"/>
      <c r="U13" s="1"/>
    </row>
    <row r="14" spans="1:21" ht="22.5" x14ac:dyDescent="0.2">
      <c r="A14" s="1"/>
      <c r="B14" s="1" t="s">
        <v>65</v>
      </c>
      <c r="C14" s="30" t="s">
        <v>66</v>
      </c>
      <c r="D14" s="31"/>
      <c r="E14" s="31"/>
      <c r="F14" s="1" t="s">
        <v>67</v>
      </c>
      <c r="G14" s="28">
        <v>44985</v>
      </c>
      <c r="H14" s="14"/>
      <c r="I14" s="14" t="s">
        <v>68</v>
      </c>
      <c r="J14" s="52">
        <v>45778</v>
      </c>
      <c r="K14" s="31"/>
      <c r="L14" s="52">
        <v>45809</v>
      </c>
      <c r="M14" s="31"/>
      <c r="N14" s="28">
        <v>45791</v>
      </c>
      <c r="O14" s="29" t="s">
        <v>69</v>
      </c>
      <c r="P14" s="15" t="s">
        <v>70</v>
      </c>
      <c r="Q14" s="13">
        <v>154.99</v>
      </c>
      <c r="R14" s="44" t="s">
        <v>71</v>
      </c>
      <c r="S14" s="31"/>
      <c r="T14" s="13">
        <v>13.95</v>
      </c>
      <c r="U14" s="29" t="s">
        <v>72</v>
      </c>
    </row>
    <row r="15" spans="1:21" x14ac:dyDescent="0.2">
      <c r="A15" s="36" t="s">
        <v>73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1"/>
      <c r="Q15" s="1"/>
      <c r="R15" s="30"/>
      <c r="S15" s="31"/>
      <c r="T15" s="1"/>
      <c r="U15" s="1"/>
    </row>
    <row r="16" spans="1:21" ht="22.5" x14ac:dyDescent="0.2">
      <c r="A16" s="1"/>
      <c r="B16" s="1" t="s">
        <v>65</v>
      </c>
      <c r="C16" s="30" t="s">
        <v>74</v>
      </c>
      <c r="D16" s="31"/>
      <c r="E16" s="31"/>
      <c r="F16" s="1" t="s">
        <v>75</v>
      </c>
      <c r="G16" s="28">
        <v>44941</v>
      </c>
      <c r="H16" s="14"/>
      <c r="I16" s="14" t="s">
        <v>76</v>
      </c>
      <c r="J16" s="52">
        <v>45778</v>
      </c>
      <c r="K16" s="31"/>
      <c r="L16" s="52">
        <v>45809</v>
      </c>
      <c r="M16" s="31"/>
      <c r="N16" s="28">
        <v>45791</v>
      </c>
      <c r="O16" s="29" t="s">
        <v>69</v>
      </c>
      <c r="P16" s="15" t="s">
        <v>70</v>
      </c>
      <c r="Q16" s="13">
        <v>123.1</v>
      </c>
      <c r="R16" s="44" t="s">
        <v>71</v>
      </c>
      <c r="S16" s="31"/>
      <c r="T16" s="13">
        <v>11.08</v>
      </c>
      <c r="U16" s="29" t="s">
        <v>72</v>
      </c>
    </row>
    <row r="17" spans="1:21" x14ac:dyDescent="0.2">
      <c r="A17" s="36" t="s">
        <v>77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1"/>
      <c r="Q17" s="1"/>
      <c r="R17" s="30"/>
      <c r="S17" s="31"/>
      <c r="T17" s="1"/>
      <c r="U17" s="1"/>
    </row>
    <row r="18" spans="1:21" ht="22.5" x14ac:dyDescent="0.2">
      <c r="A18" s="1"/>
      <c r="B18" s="1" t="s">
        <v>65</v>
      </c>
      <c r="C18" s="30" t="s">
        <v>78</v>
      </c>
      <c r="D18" s="31"/>
      <c r="E18" s="31"/>
      <c r="F18" s="1" t="s">
        <v>79</v>
      </c>
      <c r="G18" s="28">
        <v>45250</v>
      </c>
      <c r="H18" s="14"/>
      <c r="I18" s="14" t="s">
        <v>80</v>
      </c>
      <c r="J18" s="52">
        <v>45778</v>
      </c>
      <c r="K18" s="31"/>
      <c r="L18" s="52">
        <v>45809</v>
      </c>
      <c r="M18" s="31"/>
      <c r="N18" s="28">
        <v>45791</v>
      </c>
      <c r="O18" s="29" t="s">
        <v>69</v>
      </c>
      <c r="P18" s="15" t="s">
        <v>70</v>
      </c>
      <c r="Q18" s="13">
        <v>45.26</v>
      </c>
      <c r="R18" s="44" t="s">
        <v>81</v>
      </c>
      <c r="S18" s="31"/>
      <c r="T18" s="13">
        <v>8.15</v>
      </c>
      <c r="U18" s="29" t="s">
        <v>72</v>
      </c>
    </row>
    <row r="19" spans="1:21" ht="22.5" x14ac:dyDescent="0.2">
      <c r="A19" s="1"/>
      <c r="B19" s="1" t="s">
        <v>65</v>
      </c>
      <c r="C19" s="30" t="s">
        <v>82</v>
      </c>
      <c r="D19" s="31"/>
      <c r="E19" s="31"/>
      <c r="F19" s="1" t="s">
        <v>83</v>
      </c>
      <c r="G19" s="28">
        <v>45288</v>
      </c>
      <c r="H19" s="14"/>
      <c r="I19" s="14" t="s">
        <v>84</v>
      </c>
      <c r="J19" s="52">
        <v>45778</v>
      </c>
      <c r="K19" s="31"/>
      <c r="L19" s="52">
        <v>45809</v>
      </c>
      <c r="M19" s="31"/>
      <c r="N19" s="28">
        <v>45791</v>
      </c>
      <c r="O19" s="29" t="s">
        <v>69</v>
      </c>
      <c r="P19" s="15" t="s">
        <v>70</v>
      </c>
      <c r="Q19" s="13">
        <v>77.099999999999994</v>
      </c>
      <c r="R19" s="44" t="s">
        <v>71</v>
      </c>
      <c r="S19" s="31"/>
      <c r="T19" s="13">
        <v>6.94</v>
      </c>
      <c r="U19" s="29" t="s">
        <v>72</v>
      </c>
    </row>
    <row r="20" spans="1:21" ht="22.5" x14ac:dyDescent="0.2">
      <c r="A20" s="1"/>
      <c r="B20" s="1" t="s">
        <v>65</v>
      </c>
      <c r="C20" s="30" t="s">
        <v>85</v>
      </c>
      <c r="D20" s="31"/>
      <c r="E20" s="31"/>
      <c r="F20" s="1" t="s">
        <v>86</v>
      </c>
      <c r="G20" s="28">
        <v>45261</v>
      </c>
      <c r="H20" s="14"/>
      <c r="I20" s="14" t="s">
        <v>87</v>
      </c>
      <c r="J20" s="52">
        <v>45778</v>
      </c>
      <c r="K20" s="31"/>
      <c r="L20" s="52">
        <v>45809</v>
      </c>
      <c r="M20" s="31"/>
      <c r="N20" s="28">
        <v>45791</v>
      </c>
      <c r="O20" s="29" t="s">
        <v>69</v>
      </c>
      <c r="P20" s="15" t="s">
        <v>70</v>
      </c>
      <c r="Q20" s="13">
        <v>30.03</v>
      </c>
      <c r="R20" s="44" t="s">
        <v>88</v>
      </c>
      <c r="S20" s="31"/>
      <c r="T20" s="13">
        <v>1.35</v>
      </c>
      <c r="U20" s="29" t="s">
        <v>72</v>
      </c>
    </row>
    <row r="21" spans="1:21" ht="22.5" x14ac:dyDescent="0.2">
      <c r="A21" s="1"/>
      <c r="B21" s="1" t="s">
        <v>65</v>
      </c>
      <c r="C21" s="30" t="s">
        <v>89</v>
      </c>
      <c r="D21" s="31"/>
      <c r="E21" s="31"/>
      <c r="F21" s="1" t="s">
        <v>86</v>
      </c>
      <c r="G21" s="28">
        <v>45261</v>
      </c>
      <c r="H21" s="14"/>
      <c r="I21" s="14" t="s">
        <v>84</v>
      </c>
      <c r="J21" s="52">
        <v>45778</v>
      </c>
      <c r="K21" s="31"/>
      <c r="L21" s="52">
        <v>45809</v>
      </c>
      <c r="M21" s="31"/>
      <c r="N21" s="28">
        <v>45791</v>
      </c>
      <c r="O21" s="29" t="s">
        <v>69</v>
      </c>
      <c r="P21" s="15" t="s">
        <v>70</v>
      </c>
      <c r="Q21" s="13">
        <v>88.04</v>
      </c>
      <c r="R21" s="44" t="s">
        <v>81</v>
      </c>
      <c r="S21" s="31"/>
      <c r="T21" s="13">
        <v>15.85</v>
      </c>
      <c r="U21" s="29" t="s">
        <v>72</v>
      </c>
    </row>
    <row r="22" spans="1:21" ht="22.5" x14ac:dyDescent="0.2">
      <c r="A22" s="1"/>
      <c r="B22" s="1" t="s">
        <v>65</v>
      </c>
      <c r="C22" s="30" t="s">
        <v>90</v>
      </c>
      <c r="D22" s="31"/>
      <c r="E22" s="31"/>
      <c r="F22" s="1" t="s">
        <v>91</v>
      </c>
      <c r="G22" s="28">
        <v>45017</v>
      </c>
      <c r="H22" s="14"/>
      <c r="I22" s="14" t="s">
        <v>84</v>
      </c>
      <c r="J22" s="52">
        <v>45778</v>
      </c>
      <c r="K22" s="31"/>
      <c r="L22" s="52">
        <v>45809</v>
      </c>
      <c r="M22" s="31"/>
      <c r="N22" s="28">
        <v>45791</v>
      </c>
      <c r="O22" s="29" t="s">
        <v>69</v>
      </c>
      <c r="P22" s="15" t="s">
        <v>70</v>
      </c>
      <c r="Q22" s="13">
        <v>70.239999999999995</v>
      </c>
      <c r="R22" s="44" t="s">
        <v>92</v>
      </c>
      <c r="S22" s="31"/>
      <c r="T22" s="13">
        <v>4.21</v>
      </c>
      <c r="U22" s="29" t="s">
        <v>72</v>
      </c>
    </row>
    <row r="23" spans="1:21" ht="22.5" x14ac:dyDescent="0.2">
      <c r="A23" s="1"/>
      <c r="B23" s="1" t="s">
        <v>65</v>
      </c>
      <c r="C23" s="30" t="s">
        <v>93</v>
      </c>
      <c r="D23" s="31"/>
      <c r="E23" s="31"/>
      <c r="F23" s="1" t="s">
        <v>94</v>
      </c>
      <c r="G23" s="28">
        <v>45227</v>
      </c>
      <c r="H23" s="14"/>
      <c r="I23" s="14" t="s">
        <v>95</v>
      </c>
      <c r="J23" s="52">
        <v>45778</v>
      </c>
      <c r="K23" s="31"/>
      <c r="L23" s="52">
        <v>45809</v>
      </c>
      <c r="M23" s="31"/>
      <c r="N23" s="28">
        <v>45791</v>
      </c>
      <c r="O23" s="29" t="s">
        <v>69</v>
      </c>
      <c r="P23" s="15" t="s">
        <v>70</v>
      </c>
      <c r="Q23" s="13">
        <v>13.5</v>
      </c>
      <c r="R23" s="44" t="s">
        <v>71</v>
      </c>
      <c r="S23" s="31"/>
      <c r="T23" s="13">
        <v>1.22</v>
      </c>
      <c r="U23" s="29" t="s">
        <v>72</v>
      </c>
    </row>
    <row r="24" spans="1:21" ht="22.5" x14ac:dyDescent="0.2">
      <c r="A24" s="1"/>
      <c r="B24" s="1" t="s">
        <v>65</v>
      </c>
      <c r="C24" s="30" t="s">
        <v>96</v>
      </c>
      <c r="D24" s="31"/>
      <c r="E24" s="31"/>
      <c r="F24" s="1" t="s">
        <v>94</v>
      </c>
      <c r="G24" s="28">
        <v>45227</v>
      </c>
      <c r="H24" s="14"/>
      <c r="I24" s="14" t="s">
        <v>97</v>
      </c>
      <c r="J24" s="52">
        <v>45778</v>
      </c>
      <c r="K24" s="31"/>
      <c r="L24" s="52">
        <v>45809</v>
      </c>
      <c r="M24" s="31"/>
      <c r="N24" s="28">
        <v>45791</v>
      </c>
      <c r="O24" s="29" t="s">
        <v>69</v>
      </c>
      <c r="P24" s="15" t="s">
        <v>70</v>
      </c>
      <c r="Q24" s="13">
        <v>33.92</v>
      </c>
      <c r="R24" s="44" t="s">
        <v>81</v>
      </c>
      <c r="S24" s="31"/>
      <c r="T24" s="13">
        <v>6.11</v>
      </c>
      <c r="U24" s="29" t="s">
        <v>72</v>
      </c>
    </row>
    <row r="25" spans="1:21" x14ac:dyDescent="0.2">
      <c r="A25" s="36" t="s">
        <v>98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1"/>
      <c r="Q25" s="1"/>
      <c r="R25" s="30"/>
      <c r="S25" s="31"/>
      <c r="T25" s="1"/>
      <c r="U25" s="1"/>
    </row>
    <row r="26" spans="1:21" ht="22.5" x14ac:dyDescent="0.2">
      <c r="A26" s="1"/>
      <c r="B26" s="1" t="s">
        <v>65</v>
      </c>
      <c r="C26" s="30" t="s">
        <v>99</v>
      </c>
      <c r="D26" s="31"/>
      <c r="E26" s="31"/>
      <c r="F26" s="1" t="s">
        <v>100</v>
      </c>
      <c r="G26" s="28">
        <v>45301</v>
      </c>
      <c r="H26" s="14"/>
      <c r="I26" s="14" t="s">
        <v>101</v>
      </c>
      <c r="J26" s="52">
        <v>45778</v>
      </c>
      <c r="K26" s="31"/>
      <c r="L26" s="52">
        <v>45809</v>
      </c>
      <c r="M26" s="31"/>
      <c r="N26" s="28">
        <v>45791</v>
      </c>
      <c r="O26" s="29" t="s">
        <v>69</v>
      </c>
      <c r="P26" s="15" t="s">
        <v>70</v>
      </c>
      <c r="Q26" s="13">
        <v>20.399999999999999</v>
      </c>
      <c r="R26" s="44" t="s">
        <v>71</v>
      </c>
      <c r="S26" s="31"/>
      <c r="T26" s="13">
        <v>1.84</v>
      </c>
      <c r="U26" s="29" t="s">
        <v>72</v>
      </c>
    </row>
    <row r="27" spans="1:21" ht="22.5" x14ac:dyDescent="0.2">
      <c r="A27" s="1"/>
      <c r="B27" s="1" t="s">
        <v>65</v>
      </c>
      <c r="C27" s="30" t="s">
        <v>102</v>
      </c>
      <c r="D27" s="31"/>
      <c r="E27" s="31"/>
      <c r="F27" s="1" t="s">
        <v>100</v>
      </c>
      <c r="G27" s="28">
        <v>45301</v>
      </c>
      <c r="H27" s="14"/>
      <c r="I27" s="14" t="s">
        <v>103</v>
      </c>
      <c r="J27" s="52">
        <v>45778</v>
      </c>
      <c r="K27" s="31"/>
      <c r="L27" s="52">
        <v>45809</v>
      </c>
      <c r="M27" s="31"/>
      <c r="N27" s="28">
        <v>45791</v>
      </c>
      <c r="O27" s="29" t="s">
        <v>69</v>
      </c>
      <c r="P27" s="15" t="s">
        <v>70</v>
      </c>
      <c r="Q27" s="13">
        <v>24</v>
      </c>
      <c r="R27" s="44" t="s">
        <v>71</v>
      </c>
      <c r="S27" s="31"/>
      <c r="T27" s="13">
        <v>2.16</v>
      </c>
      <c r="U27" s="29" t="s">
        <v>72</v>
      </c>
    </row>
    <row r="28" spans="1:21" x14ac:dyDescent="0.2">
      <c r="A28" s="36" t="s">
        <v>104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1"/>
      <c r="Q28" s="1"/>
      <c r="R28" s="30"/>
      <c r="S28" s="31"/>
      <c r="T28" s="1"/>
      <c r="U28" s="1"/>
    </row>
    <row r="29" spans="1:21" ht="22.5" x14ac:dyDescent="0.2">
      <c r="A29" s="1"/>
      <c r="B29" s="1" t="s">
        <v>65</v>
      </c>
      <c r="C29" s="30" t="s">
        <v>105</v>
      </c>
      <c r="D29" s="31"/>
      <c r="E29" s="31"/>
      <c r="F29" s="1" t="s">
        <v>106</v>
      </c>
      <c r="G29" s="28">
        <v>44860</v>
      </c>
      <c r="H29" s="14"/>
      <c r="I29" s="14" t="s">
        <v>107</v>
      </c>
      <c r="J29" s="52">
        <v>45778</v>
      </c>
      <c r="K29" s="31"/>
      <c r="L29" s="52">
        <v>45809</v>
      </c>
      <c r="M29" s="31"/>
      <c r="N29" s="28">
        <v>45790</v>
      </c>
      <c r="O29" s="29" t="s">
        <v>69</v>
      </c>
      <c r="P29" s="15" t="s">
        <v>70</v>
      </c>
      <c r="Q29" s="13">
        <v>9.1999999999999993</v>
      </c>
      <c r="R29" s="44" t="s">
        <v>71</v>
      </c>
      <c r="S29" s="31"/>
      <c r="T29" s="13">
        <v>0.83</v>
      </c>
      <c r="U29" s="29" t="s">
        <v>72</v>
      </c>
    </row>
    <row r="30" spans="1:21" ht="22.5" x14ac:dyDescent="0.2">
      <c r="A30" s="1"/>
      <c r="B30" s="1" t="s">
        <v>65</v>
      </c>
      <c r="C30" s="30" t="s">
        <v>108</v>
      </c>
      <c r="D30" s="31"/>
      <c r="E30" s="31"/>
      <c r="F30" s="1" t="s">
        <v>109</v>
      </c>
      <c r="G30" s="28">
        <v>44936</v>
      </c>
      <c r="H30" s="14"/>
      <c r="I30" s="14" t="s">
        <v>110</v>
      </c>
      <c r="J30" s="52">
        <v>45778</v>
      </c>
      <c r="K30" s="31"/>
      <c r="L30" s="52">
        <v>45809</v>
      </c>
      <c r="M30" s="31"/>
      <c r="N30" s="28">
        <v>45791</v>
      </c>
      <c r="O30" s="29" t="s">
        <v>69</v>
      </c>
      <c r="P30" s="15" t="s">
        <v>70</v>
      </c>
      <c r="Q30" s="13">
        <v>42.64</v>
      </c>
      <c r="R30" s="44" t="s">
        <v>71</v>
      </c>
      <c r="S30" s="31"/>
      <c r="T30" s="13">
        <v>3.84</v>
      </c>
      <c r="U30" s="29" t="s">
        <v>72</v>
      </c>
    </row>
    <row r="31" spans="1:21" ht="22.5" x14ac:dyDescent="0.2">
      <c r="A31" s="1"/>
      <c r="B31" s="1" t="s">
        <v>65</v>
      </c>
      <c r="C31" s="30" t="s">
        <v>111</v>
      </c>
      <c r="D31" s="31"/>
      <c r="E31" s="31"/>
      <c r="F31" s="1" t="s">
        <v>109</v>
      </c>
      <c r="G31" s="28">
        <v>44936</v>
      </c>
      <c r="H31" s="14"/>
      <c r="I31" s="14" t="s">
        <v>112</v>
      </c>
      <c r="J31" s="52">
        <v>45778</v>
      </c>
      <c r="K31" s="31"/>
      <c r="L31" s="52">
        <v>45809</v>
      </c>
      <c r="M31" s="31"/>
      <c r="N31" s="28">
        <v>45791</v>
      </c>
      <c r="O31" s="29" t="s">
        <v>69</v>
      </c>
      <c r="P31" s="15" t="s">
        <v>70</v>
      </c>
      <c r="Q31" s="13">
        <v>10</v>
      </c>
      <c r="R31" s="44" t="s">
        <v>71</v>
      </c>
      <c r="S31" s="31"/>
      <c r="T31" s="13">
        <v>0.9</v>
      </c>
      <c r="U31" s="29" t="s">
        <v>72</v>
      </c>
    </row>
    <row r="32" spans="1:21" ht="22.5" x14ac:dyDescent="0.2">
      <c r="A32" s="1"/>
      <c r="B32" s="1" t="s">
        <v>65</v>
      </c>
      <c r="C32" s="30" t="s">
        <v>113</v>
      </c>
      <c r="D32" s="31"/>
      <c r="E32" s="31"/>
      <c r="F32" s="1" t="s">
        <v>114</v>
      </c>
      <c r="G32" s="28">
        <v>44951</v>
      </c>
      <c r="H32" s="14"/>
      <c r="I32" s="14" t="s">
        <v>115</v>
      </c>
      <c r="J32" s="52">
        <v>45778</v>
      </c>
      <c r="K32" s="31"/>
      <c r="L32" s="52">
        <v>45809</v>
      </c>
      <c r="M32" s="31"/>
      <c r="N32" s="28">
        <v>45790</v>
      </c>
      <c r="O32" s="29" t="s">
        <v>69</v>
      </c>
      <c r="P32" s="15" t="s">
        <v>70</v>
      </c>
      <c r="Q32" s="13">
        <v>16</v>
      </c>
      <c r="R32" s="44" t="s">
        <v>71</v>
      </c>
      <c r="S32" s="31"/>
      <c r="T32" s="13">
        <v>1.44</v>
      </c>
      <c r="U32" s="29" t="s">
        <v>72</v>
      </c>
    </row>
    <row r="33" spans="1:21" ht="22.5" x14ac:dyDescent="0.2">
      <c r="A33" s="1"/>
      <c r="B33" s="1" t="s">
        <v>65</v>
      </c>
      <c r="C33" s="30" t="s">
        <v>116</v>
      </c>
      <c r="D33" s="31"/>
      <c r="E33" s="31"/>
      <c r="F33" s="1" t="s">
        <v>117</v>
      </c>
      <c r="G33" s="28">
        <v>44875</v>
      </c>
      <c r="H33" s="14"/>
      <c r="I33" s="14" t="s">
        <v>118</v>
      </c>
      <c r="J33" s="52">
        <v>45778</v>
      </c>
      <c r="K33" s="31"/>
      <c r="L33" s="52">
        <v>45809</v>
      </c>
      <c r="M33" s="31"/>
      <c r="N33" s="28">
        <v>45791</v>
      </c>
      <c r="O33" s="29" t="s">
        <v>69</v>
      </c>
      <c r="P33" s="15" t="s">
        <v>70</v>
      </c>
      <c r="Q33" s="13">
        <v>147.29</v>
      </c>
      <c r="R33" s="44" t="s">
        <v>71</v>
      </c>
      <c r="S33" s="31"/>
      <c r="T33" s="13">
        <v>13.26</v>
      </c>
      <c r="U33" s="29" t="s">
        <v>72</v>
      </c>
    </row>
    <row r="34" spans="1:21" ht="22.5" x14ac:dyDescent="0.2">
      <c r="A34" s="1"/>
      <c r="B34" s="1" t="s">
        <v>65</v>
      </c>
      <c r="C34" s="30" t="s">
        <v>119</v>
      </c>
      <c r="D34" s="31"/>
      <c r="E34" s="31"/>
      <c r="F34" s="1" t="s">
        <v>120</v>
      </c>
      <c r="G34" s="28">
        <v>44875</v>
      </c>
      <c r="H34" s="14"/>
      <c r="I34" s="14" t="s">
        <v>121</v>
      </c>
      <c r="J34" s="52">
        <v>45778</v>
      </c>
      <c r="K34" s="31"/>
      <c r="L34" s="52">
        <v>45809</v>
      </c>
      <c r="M34" s="31"/>
      <c r="N34" s="28">
        <v>45791</v>
      </c>
      <c r="O34" s="29" t="s">
        <v>69</v>
      </c>
      <c r="P34" s="15" t="s">
        <v>70</v>
      </c>
      <c r="Q34" s="13">
        <v>44.5</v>
      </c>
      <c r="R34" s="44" t="s">
        <v>71</v>
      </c>
      <c r="S34" s="31"/>
      <c r="T34" s="13">
        <v>4.01</v>
      </c>
      <c r="U34" s="29" t="s">
        <v>72</v>
      </c>
    </row>
    <row r="35" spans="1:21" x14ac:dyDescent="0.2">
      <c r="A35" s="36" t="s">
        <v>122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1"/>
      <c r="Q35" s="1"/>
      <c r="R35" s="30"/>
      <c r="S35" s="31"/>
      <c r="T35" s="1"/>
      <c r="U35" s="1"/>
    </row>
    <row r="36" spans="1:21" ht="22.5" x14ac:dyDescent="0.2">
      <c r="A36" s="1"/>
      <c r="B36" s="1" t="s">
        <v>65</v>
      </c>
      <c r="C36" s="30" t="s">
        <v>123</v>
      </c>
      <c r="D36" s="31"/>
      <c r="E36" s="31"/>
      <c r="F36" s="1" t="s">
        <v>124</v>
      </c>
      <c r="G36" s="28">
        <v>45317</v>
      </c>
      <c r="H36" s="14"/>
      <c r="I36" s="14" t="s">
        <v>125</v>
      </c>
      <c r="J36" s="52">
        <v>45778</v>
      </c>
      <c r="K36" s="31"/>
      <c r="L36" s="52">
        <v>45809</v>
      </c>
      <c r="M36" s="31"/>
      <c r="N36" s="28">
        <v>45790</v>
      </c>
      <c r="O36" s="29" t="s">
        <v>69</v>
      </c>
      <c r="P36" s="15" t="s">
        <v>70</v>
      </c>
      <c r="Q36" s="13">
        <v>85.5</v>
      </c>
      <c r="R36" s="44" t="s">
        <v>71</v>
      </c>
      <c r="S36" s="31"/>
      <c r="T36" s="13">
        <v>7.7</v>
      </c>
      <c r="U36" s="29" t="s">
        <v>72</v>
      </c>
    </row>
    <row r="37" spans="1:21" x14ac:dyDescent="0.2">
      <c r="A37" s="1"/>
      <c r="B37" s="1"/>
      <c r="C37" s="30"/>
      <c r="D37" s="31"/>
      <c r="E37" s="3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39" t="s">
        <v>126</v>
      </c>
      <c r="S37" s="31"/>
      <c r="T37" s="17">
        <v>104.84</v>
      </c>
      <c r="U37" s="2"/>
    </row>
    <row r="38" spans="1:21" x14ac:dyDescent="0.2">
      <c r="A38" s="1"/>
      <c r="B38" s="1"/>
      <c r="C38" s="30"/>
      <c r="D38" s="31"/>
      <c r="E38" s="3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30"/>
      <c r="S38" s="31"/>
      <c r="T38" s="1"/>
      <c r="U38" s="1"/>
    </row>
    <row r="39" spans="1:21" x14ac:dyDescent="0.2">
      <c r="A39" s="5"/>
      <c r="B39" s="5"/>
      <c r="C39" s="36"/>
      <c r="D39" s="31"/>
      <c r="E39" s="31"/>
      <c r="F39" s="1"/>
      <c r="G39" s="15"/>
      <c r="H39" s="15"/>
      <c r="I39" s="15"/>
      <c r="J39" s="1"/>
      <c r="K39" s="1"/>
      <c r="L39" s="15"/>
      <c r="M39" s="15"/>
      <c r="N39" s="11"/>
      <c r="O39" s="11"/>
      <c r="P39" s="11"/>
      <c r="Q39" s="11"/>
      <c r="R39" s="37"/>
      <c r="S39" s="31"/>
      <c r="T39" s="11"/>
      <c r="U39" s="11"/>
    </row>
    <row r="40" spans="1:21" x14ac:dyDescent="0.2">
      <c r="A40" s="1"/>
      <c r="B40" s="1"/>
      <c r="C40" s="30"/>
      <c r="D40" s="31"/>
      <c r="E40" s="3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30"/>
      <c r="S40" s="31"/>
      <c r="T40" s="1"/>
      <c r="U40" s="1"/>
    </row>
    <row r="41" spans="1:21" ht="1.7" customHeight="1" x14ac:dyDescent="0.2"/>
  </sheetData>
  <mergeCells count="117"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C12:E12"/>
    <mergeCell ref="R12:S12"/>
    <mergeCell ref="A13:O13"/>
    <mergeCell ref="R13:S13"/>
    <mergeCell ref="C14:E14"/>
    <mergeCell ref="J14:K14"/>
    <mergeCell ref="L14:M14"/>
    <mergeCell ref="R14:S14"/>
    <mergeCell ref="B9:F9"/>
    <mergeCell ref="R9:U9"/>
    <mergeCell ref="B10:F10"/>
    <mergeCell ref="R10:S10"/>
    <mergeCell ref="C11:E11"/>
    <mergeCell ref="J11:K11"/>
    <mergeCell ref="L11:M11"/>
    <mergeCell ref="R11:S11"/>
    <mergeCell ref="A17:O17"/>
    <mergeCell ref="R17:S17"/>
    <mergeCell ref="C18:E18"/>
    <mergeCell ref="J18:K18"/>
    <mergeCell ref="L18:M18"/>
    <mergeCell ref="R18:S18"/>
    <mergeCell ref="A15:O15"/>
    <mergeCell ref="R15:S15"/>
    <mergeCell ref="C16:E16"/>
    <mergeCell ref="J16:K16"/>
    <mergeCell ref="L16:M16"/>
    <mergeCell ref="R16:S16"/>
    <mergeCell ref="C21:E21"/>
    <mergeCell ref="J21:K21"/>
    <mergeCell ref="L21:M21"/>
    <mergeCell ref="R21:S21"/>
    <mergeCell ref="C22:E22"/>
    <mergeCell ref="J22:K22"/>
    <mergeCell ref="L22:M22"/>
    <mergeCell ref="R22:S22"/>
    <mergeCell ref="C19:E19"/>
    <mergeCell ref="J19:K19"/>
    <mergeCell ref="L19:M19"/>
    <mergeCell ref="R19:S19"/>
    <mergeCell ref="C20:E20"/>
    <mergeCell ref="J20:K20"/>
    <mergeCell ref="L20:M20"/>
    <mergeCell ref="R20:S20"/>
    <mergeCell ref="A25:O25"/>
    <mergeCell ref="R25:S25"/>
    <mergeCell ref="C26:E26"/>
    <mergeCell ref="J26:K26"/>
    <mergeCell ref="L26:M26"/>
    <mergeCell ref="R26:S26"/>
    <mergeCell ref="C23:E23"/>
    <mergeCell ref="J23:K23"/>
    <mergeCell ref="L23:M23"/>
    <mergeCell ref="R23:S23"/>
    <mergeCell ref="C24:E24"/>
    <mergeCell ref="J24:K24"/>
    <mergeCell ref="L24:M24"/>
    <mergeCell ref="R24:S24"/>
    <mergeCell ref="C29:E29"/>
    <mergeCell ref="J29:K29"/>
    <mergeCell ref="L29:M29"/>
    <mergeCell ref="R29:S29"/>
    <mergeCell ref="C30:E30"/>
    <mergeCell ref="J30:K30"/>
    <mergeCell ref="L30:M30"/>
    <mergeCell ref="R30:S30"/>
    <mergeCell ref="C27:E27"/>
    <mergeCell ref="J27:K27"/>
    <mergeCell ref="L27:M27"/>
    <mergeCell ref="R27:S27"/>
    <mergeCell ref="A28:O28"/>
    <mergeCell ref="R28:S28"/>
    <mergeCell ref="C33:E33"/>
    <mergeCell ref="J33:K33"/>
    <mergeCell ref="L33:M33"/>
    <mergeCell ref="R33:S33"/>
    <mergeCell ref="C34:E34"/>
    <mergeCell ref="J34:K34"/>
    <mergeCell ref="L34:M34"/>
    <mergeCell ref="R34:S34"/>
    <mergeCell ref="C31:E31"/>
    <mergeCell ref="J31:K31"/>
    <mergeCell ref="L31:M31"/>
    <mergeCell ref="R31:S31"/>
    <mergeCell ref="C32:E32"/>
    <mergeCell ref="J32:K32"/>
    <mergeCell ref="L32:M32"/>
    <mergeCell ref="R32:S32"/>
    <mergeCell ref="C40:E40"/>
    <mergeCell ref="R40:S40"/>
    <mergeCell ref="C37:E37"/>
    <mergeCell ref="R37:S37"/>
    <mergeCell ref="C38:E38"/>
    <mergeCell ref="R38:S38"/>
    <mergeCell ref="C39:E39"/>
    <mergeCell ref="R39:S39"/>
    <mergeCell ref="A35:O35"/>
    <mergeCell ref="R35:S35"/>
    <mergeCell ref="C36:E36"/>
    <mergeCell ref="J36:K36"/>
    <mergeCell ref="L36:M36"/>
    <mergeCell ref="R36:S36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05/23/2025&amp;B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8B43-F7F2-46F3-8935-1A3D470CDEFA}">
  <dimension ref="A1:R33"/>
  <sheetViews>
    <sheetView tabSelected="1" workbookViewId="0">
      <selection activeCell="T23" sqref="T23"/>
    </sheetView>
  </sheetViews>
  <sheetFormatPr defaultRowHeight="12.75" x14ac:dyDescent="0.2"/>
  <cols>
    <col min="1" max="1" width="8.42578125" style="57" customWidth="1"/>
    <col min="2" max="2" width="13" style="57" customWidth="1"/>
    <col min="3" max="4" width="15.5703125" style="57" customWidth="1"/>
    <col min="5" max="5" width="8.5703125" style="57" customWidth="1"/>
    <col min="6" max="7" width="8.7109375" style="57" bestFit="1" customWidth="1"/>
    <col min="8" max="8" width="10.42578125" style="57" customWidth="1"/>
    <col min="9" max="9" width="8.42578125" style="57" customWidth="1"/>
    <col min="10" max="10" width="9.5703125" style="57" customWidth="1"/>
    <col min="11" max="11" width="8.85546875" style="57" customWidth="1"/>
    <col min="12" max="12" width="11.140625" style="57" customWidth="1"/>
    <col min="13" max="13" width="0" style="57" hidden="1" customWidth="1"/>
    <col min="14" max="14" width="23.5703125" style="57" customWidth="1"/>
    <col min="15" max="16" width="9.140625" style="57"/>
    <col min="17" max="17" width="20.5703125" style="57" bestFit="1" customWidth="1"/>
    <col min="18" max="16384" width="9.140625" style="57"/>
  </cols>
  <sheetData>
    <row r="1" spans="1:18" ht="23.25" customHeight="1" thickBot="1" x14ac:dyDescent="0.25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54</v>
      </c>
      <c r="F1" s="25" t="s">
        <v>55</v>
      </c>
      <c r="G1" s="25" t="s">
        <v>56</v>
      </c>
      <c r="H1" s="25" t="s">
        <v>57</v>
      </c>
      <c r="I1" s="25" t="s">
        <v>59</v>
      </c>
      <c r="J1" s="25" t="s">
        <v>60</v>
      </c>
      <c r="K1" s="25" t="s">
        <v>61</v>
      </c>
      <c r="L1" s="25" t="s">
        <v>62</v>
      </c>
    </row>
    <row r="2" spans="1:18" ht="15" customHeight="1" x14ac:dyDescent="0.2">
      <c r="A2" s="14" t="s">
        <v>65</v>
      </c>
      <c r="B2" s="61">
        <v>441582942</v>
      </c>
      <c r="C2" s="14" t="s">
        <v>106</v>
      </c>
      <c r="D2" s="58">
        <v>44860</v>
      </c>
      <c r="E2" s="14" t="s">
        <v>107</v>
      </c>
      <c r="F2" s="58">
        <v>45778</v>
      </c>
      <c r="G2" s="58">
        <v>45809</v>
      </c>
      <c r="H2" s="58">
        <v>45790</v>
      </c>
      <c r="I2" s="61">
        <v>1</v>
      </c>
      <c r="J2" s="59">
        <v>9.1999999999999993</v>
      </c>
      <c r="K2" s="62">
        <v>0.09</v>
      </c>
      <c r="L2" s="59">
        <v>0.83</v>
      </c>
      <c r="N2" s="2" t="s">
        <v>138</v>
      </c>
      <c r="O2" s="57" t="s">
        <v>127</v>
      </c>
      <c r="P2" s="57" t="s">
        <v>139</v>
      </c>
      <c r="Q2" s="57" t="str">
        <f>CONCATENATE(N2, " ",O2, " ",P2)</f>
        <v>Kimberly Anne Dickerson</v>
      </c>
      <c r="R2" s="57">
        <v>16243811</v>
      </c>
    </row>
    <row r="3" spans="1:18" ht="15" customHeight="1" x14ac:dyDescent="0.2">
      <c r="A3" s="14" t="s">
        <v>65</v>
      </c>
      <c r="B3" s="61">
        <v>441615076</v>
      </c>
      <c r="C3" s="14" t="s">
        <v>117</v>
      </c>
      <c r="D3" s="58">
        <v>44875</v>
      </c>
      <c r="E3" s="14" t="s">
        <v>118</v>
      </c>
      <c r="F3" s="58">
        <v>45778</v>
      </c>
      <c r="G3" s="58">
        <v>45809</v>
      </c>
      <c r="H3" s="58">
        <v>45791</v>
      </c>
      <c r="I3" s="61">
        <v>1</v>
      </c>
      <c r="J3" s="59">
        <v>147.29</v>
      </c>
      <c r="K3" s="62">
        <v>0.09</v>
      </c>
      <c r="L3" s="59">
        <v>13.26</v>
      </c>
      <c r="N3" s="2" t="s">
        <v>138</v>
      </c>
      <c r="O3" s="57" t="s">
        <v>127</v>
      </c>
      <c r="P3" s="57" t="s">
        <v>139</v>
      </c>
      <c r="Q3" s="57" t="str">
        <f>CONCATENATE(N3, " ",O3, " ",P3)</f>
        <v>Kimberly Anne Dickerson</v>
      </c>
      <c r="R3" s="57">
        <v>16243811</v>
      </c>
    </row>
    <row r="4" spans="1:18" ht="15" customHeight="1" x14ac:dyDescent="0.2">
      <c r="A4" s="14" t="s">
        <v>65</v>
      </c>
      <c r="B4" s="61">
        <v>441615079</v>
      </c>
      <c r="C4" s="14" t="s">
        <v>120</v>
      </c>
      <c r="D4" s="58">
        <v>44875</v>
      </c>
      <c r="E4" s="14" t="s">
        <v>121</v>
      </c>
      <c r="F4" s="58">
        <v>45778</v>
      </c>
      <c r="G4" s="58">
        <v>45809</v>
      </c>
      <c r="H4" s="58">
        <v>45791</v>
      </c>
      <c r="I4" s="61">
        <v>1</v>
      </c>
      <c r="J4" s="59">
        <v>44.5</v>
      </c>
      <c r="K4" s="62">
        <v>0.09</v>
      </c>
      <c r="L4" s="59">
        <v>4.01</v>
      </c>
      <c r="N4" s="2" t="s">
        <v>138</v>
      </c>
      <c r="O4" s="57" t="s">
        <v>127</v>
      </c>
      <c r="P4" s="57" t="s">
        <v>139</v>
      </c>
      <c r="Q4" s="57" t="str">
        <f>CONCATENATE(N4, " ",O4, " ",P4)</f>
        <v>Kimberly Anne Dickerson</v>
      </c>
      <c r="R4" s="57">
        <v>16243811</v>
      </c>
    </row>
    <row r="5" spans="1:18" ht="15" customHeight="1" x14ac:dyDescent="0.2">
      <c r="A5" s="14" t="s">
        <v>65</v>
      </c>
      <c r="B5" s="61">
        <v>441761638</v>
      </c>
      <c r="C5" s="14" t="s">
        <v>109</v>
      </c>
      <c r="D5" s="58">
        <v>44936</v>
      </c>
      <c r="E5" s="14" t="s">
        <v>110</v>
      </c>
      <c r="F5" s="58">
        <v>45778</v>
      </c>
      <c r="G5" s="58">
        <v>45809</v>
      </c>
      <c r="H5" s="58">
        <v>45791</v>
      </c>
      <c r="I5" s="61">
        <v>1</v>
      </c>
      <c r="J5" s="59">
        <v>42.64</v>
      </c>
      <c r="K5" s="62">
        <v>0.09</v>
      </c>
      <c r="L5" s="59">
        <v>3.84</v>
      </c>
      <c r="N5" s="2" t="s">
        <v>138</v>
      </c>
      <c r="O5" s="57" t="s">
        <v>127</v>
      </c>
      <c r="P5" s="57" t="s">
        <v>139</v>
      </c>
      <c r="Q5" s="57" t="str">
        <f>CONCATENATE(N5, " ",O5, " ",P5)</f>
        <v>Kimberly Anne Dickerson</v>
      </c>
      <c r="R5" s="57">
        <v>16243811</v>
      </c>
    </row>
    <row r="6" spans="1:18" ht="15" customHeight="1" x14ac:dyDescent="0.2">
      <c r="A6" s="14" t="s">
        <v>65</v>
      </c>
      <c r="B6" s="61">
        <v>441761639</v>
      </c>
      <c r="C6" s="14" t="s">
        <v>109</v>
      </c>
      <c r="D6" s="58">
        <v>44936</v>
      </c>
      <c r="E6" s="14" t="s">
        <v>112</v>
      </c>
      <c r="F6" s="58">
        <v>45778</v>
      </c>
      <c r="G6" s="58">
        <v>45809</v>
      </c>
      <c r="H6" s="58">
        <v>45791</v>
      </c>
      <c r="I6" s="61">
        <v>1</v>
      </c>
      <c r="J6" s="59">
        <v>10</v>
      </c>
      <c r="K6" s="62">
        <v>0.09</v>
      </c>
      <c r="L6" s="59">
        <v>0.9</v>
      </c>
      <c r="N6" s="2" t="s">
        <v>138</v>
      </c>
      <c r="O6" s="57" t="s">
        <v>127</v>
      </c>
      <c r="P6" s="57" t="s">
        <v>139</v>
      </c>
      <c r="Q6" s="57" t="str">
        <f>CONCATENATE(N6, " ",O6, " ",P6)</f>
        <v>Kimberly Anne Dickerson</v>
      </c>
      <c r="R6" s="57">
        <v>16243811</v>
      </c>
    </row>
    <row r="7" spans="1:18" ht="15" customHeight="1" x14ac:dyDescent="0.2">
      <c r="A7" s="14" t="s">
        <v>65</v>
      </c>
      <c r="B7" s="61">
        <v>441765054</v>
      </c>
      <c r="C7" s="14" t="s">
        <v>75</v>
      </c>
      <c r="D7" s="58">
        <v>44941</v>
      </c>
      <c r="E7" s="14" t="s">
        <v>76</v>
      </c>
      <c r="F7" s="58">
        <v>45778</v>
      </c>
      <c r="G7" s="58">
        <v>45809</v>
      </c>
      <c r="H7" s="58">
        <v>45791</v>
      </c>
      <c r="I7" s="61">
        <v>1</v>
      </c>
      <c r="J7" s="59">
        <v>123.1</v>
      </c>
      <c r="K7" s="62">
        <v>0.09</v>
      </c>
      <c r="L7" s="59">
        <v>11.08</v>
      </c>
      <c r="N7" s="2" t="s">
        <v>130</v>
      </c>
      <c r="O7" s="57" t="s">
        <v>131</v>
      </c>
      <c r="P7" s="57" t="s">
        <v>132</v>
      </c>
      <c r="Q7" s="57" t="str">
        <f>CONCATENATE(N7, " ",O7, " ",P7)</f>
        <v>Ashley Elizabeth Teipel</v>
      </c>
      <c r="R7" s="57">
        <v>20436925</v>
      </c>
    </row>
    <row r="8" spans="1:18" ht="15" customHeight="1" x14ac:dyDescent="0.2">
      <c r="A8" s="14" t="s">
        <v>65</v>
      </c>
      <c r="B8" s="61">
        <v>441794112</v>
      </c>
      <c r="C8" s="14" t="s">
        <v>114</v>
      </c>
      <c r="D8" s="58">
        <v>44951</v>
      </c>
      <c r="E8" s="14" t="s">
        <v>115</v>
      </c>
      <c r="F8" s="58">
        <v>45778</v>
      </c>
      <c r="G8" s="58">
        <v>45809</v>
      </c>
      <c r="H8" s="58">
        <v>45790</v>
      </c>
      <c r="I8" s="61">
        <v>1</v>
      </c>
      <c r="J8" s="59">
        <v>16</v>
      </c>
      <c r="K8" s="62">
        <v>0.09</v>
      </c>
      <c r="L8" s="59">
        <v>1.44</v>
      </c>
      <c r="N8" s="2" t="s">
        <v>138</v>
      </c>
      <c r="O8" s="57" t="s">
        <v>127</v>
      </c>
      <c r="P8" s="57" t="s">
        <v>139</v>
      </c>
      <c r="Q8" s="57" t="str">
        <f>CONCATENATE(N8, " ",O8, " ",P8)</f>
        <v>Kimberly Anne Dickerson</v>
      </c>
      <c r="R8" s="57">
        <v>16243811</v>
      </c>
    </row>
    <row r="9" spans="1:18" ht="15" customHeight="1" x14ac:dyDescent="0.2">
      <c r="A9" s="14" t="s">
        <v>65</v>
      </c>
      <c r="B9" s="61">
        <v>441847980</v>
      </c>
      <c r="C9" s="14" t="s">
        <v>67</v>
      </c>
      <c r="D9" s="58">
        <v>44985</v>
      </c>
      <c r="E9" s="14" t="s">
        <v>68</v>
      </c>
      <c r="F9" s="58">
        <v>45778</v>
      </c>
      <c r="G9" s="58">
        <v>45809</v>
      </c>
      <c r="H9" s="58">
        <v>45791</v>
      </c>
      <c r="I9" s="61">
        <v>1</v>
      </c>
      <c r="J9" s="59">
        <v>154.99</v>
      </c>
      <c r="K9" s="62">
        <v>0.09</v>
      </c>
      <c r="L9" s="59">
        <v>13.95</v>
      </c>
      <c r="N9" s="2" t="s">
        <v>127</v>
      </c>
      <c r="O9" s="57" t="s">
        <v>128</v>
      </c>
      <c r="P9" s="57" t="s">
        <v>129</v>
      </c>
      <c r="Q9" s="57" t="str">
        <f>CONCATENATE(N9, " ",O9, " ",P9)</f>
        <v>Anne Marie Kozacheck</v>
      </c>
      <c r="R9" s="57">
        <v>19278370</v>
      </c>
    </row>
    <row r="10" spans="1:18" ht="15" customHeight="1" x14ac:dyDescent="0.2">
      <c r="A10" s="14" t="s">
        <v>65</v>
      </c>
      <c r="B10" s="61">
        <v>441894645</v>
      </c>
      <c r="C10" s="14" t="s">
        <v>91</v>
      </c>
      <c r="D10" s="58">
        <v>45017</v>
      </c>
      <c r="E10" s="14" t="s">
        <v>84</v>
      </c>
      <c r="F10" s="58">
        <v>45778</v>
      </c>
      <c r="G10" s="58">
        <v>45809</v>
      </c>
      <c r="H10" s="58">
        <v>45791</v>
      </c>
      <c r="I10" s="61">
        <v>1</v>
      </c>
      <c r="J10" s="59">
        <v>70.239999999999995</v>
      </c>
      <c r="K10" s="62">
        <v>0.06</v>
      </c>
      <c r="L10" s="59">
        <v>4.21</v>
      </c>
      <c r="N10" s="2" t="s">
        <v>133</v>
      </c>
      <c r="O10" s="57" t="s">
        <v>134</v>
      </c>
      <c r="Q10" s="57" t="str">
        <f>CONCATENATE(N10, " ",O10, " ",P10)</f>
        <v xml:space="preserve">Carol Foley </v>
      </c>
      <c r="R10" s="57">
        <v>17425766</v>
      </c>
    </row>
    <row r="11" spans="1:18" ht="15" customHeight="1" x14ac:dyDescent="0.2">
      <c r="A11" s="14" t="s">
        <v>65</v>
      </c>
      <c r="B11" s="61">
        <v>442098436</v>
      </c>
      <c r="C11" s="14" t="s">
        <v>94</v>
      </c>
      <c r="D11" s="58">
        <v>45227</v>
      </c>
      <c r="E11" s="14" t="s">
        <v>95</v>
      </c>
      <c r="F11" s="58">
        <v>45778</v>
      </c>
      <c r="G11" s="58">
        <v>45809</v>
      </c>
      <c r="H11" s="58">
        <v>45791</v>
      </c>
      <c r="I11" s="61">
        <v>1</v>
      </c>
      <c r="J11" s="59">
        <v>13.5</v>
      </c>
      <c r="K11" s="62">
        <v>0.09</v>
      </c>
      <c r="L11" s="59">
        <v>1.22</v>
      </c>
      <c r="N11" s="2" t="s">
        <v>133</v>
      </c>
      <c r="O11" s="57" t="s">
        <v>134</v>
      </c>
      <c r="Q11" s="57" t="str">
        <f>CONCATENATE(N11, " ",O11, " ",P11)</f>
        <v xml:space="preserve">Carol Foley </v>
      </c>
      <c r="R11" s="57">
        <v>17425766</v>
      </c>
    </row>
    <row r="12" spans="1:18" ht="15" customHeight="1" x14ac:dyDescent="0.2">
      <c r="A12" s="14" t="s">
        <v>65</v>
      </c>
      <c r="B12" s="61">
        <v>442098439</v>
      </c>
      <c r="C12" s="14" t="s">
        <v>94</v>
      </c>
      <c r="D12" s="58">
        <v>45227</v>
      </c>
      <c r="E12" s="14" t="s">
        <v>97</v>
      </c>
      <c r="F12" s="58">
        <v>45778</v>
      </c>
      <c r="G12" s="58">
        <v>45809</v>
      </c>
      <c r="H12" s="58">
        <v>45791</v>
      </c>
      <c r="I12" s="61">
        <v>1</v>
      </c>
      <c r="J12" s="59">
        <v>33.92</v>
      </c>
      <c r="K12" s="62">
        <v>0.18</v>
      </c>
      <c r="L12" s="59">
        <v>6.11</v>
      </c>
      <c r="N12" s="2" t="s">
        <v>133</v>
      </c>
      <c r="O12" s="57" t="s">
        <v>134</v>
      </c>
      <c r="Q12" s="57" t="str">
        <f>CONCATENATE(N12, " ",O12, " ",P12)</f>
        <v xml:space="preserve">Carol Foley </v>
      </c>
      <c r="R12" s="57">
        <v>17425766</v>
      </c>
    </row>
    <row r="13" spans="1:18" ht="15" customHeight="1" x14ac:dyDescent="0.2">
      <c r="A13" s="14" t="s">
        <v>65</v>
      </c>
      <c r="B13" s="61">
        <v>442267305</v>
      </c>
      <c r="C13" s="14" t="s">
        <v>86</v>
      </c>
      <c r="D13" s="58">
        <v>45261</v>
      </c>
      <c r="E13" s="14" t="s">
        <v>87</v>
      </c>
      <c r="F13" s="58">
        <v>45778</v>
      </c>
      <c r="G13" s="58">
        <v>45809</v>
      </c>
      <c r="H13" s="58">
        <v>45791</v>
      </c>
      <c r="I13" s="61">
        <v>1</v>
      </c>
      <c r="J13" s="59">
        <v>30.03</v>
      </c>
      <c r="K13" s="62">
        <v>4.4999999999999998E-2</v>
      </c>
      <c r="L13" s="59">
        <v>1.35</v>
      </c>
      <c r="N13" s="2" t="s">
        <v>133</v>
      </c>
      <c r="O13" s="57" t="s">
        <v>134</v>
      </c>
      <c r="Q13" s="57" t="str">
        <f>CONCATENATE(N13, " ",O13, " ",P13)</f>
        <v xml:space="preserve">Carol Foley </v>
      </c>
      <c r="R13" s="57">
        <v>17425766</v>
      </c>
    </row>
    <row r="14" spans="1:18" ht="15" customHeight="1" x14ac:dyDescent="0.2">
      <c r="A14" s="14" t="s">
        <v>65</v>
      </c>
      <c r="B14" s="61">
        <v>442267307</v>
      </c>
      <c r="C14" s="14" t="s">
        <v>86</v>
      </c>
      <c r="D14" s="58">
        <v>45261</v>
      </c>
      <c r="E14" s="14" t="s">
        <v>84</v>
      </c>
      <c r="F14" s="58">
        <v>45778</v>
      </c>
      <c r="G14" s="58">
        <v>45809</v>
      </c>
      <c r="H14" s="58">
        <v>45791</v>
      </c>
      <c r="I14" s="61">
        <v>1</v>
      </c>
      <c r="J14" s="59">
        <v>88.04</v>
      </c>
      <c r="K14" s="62">
        <v>0.18</v>
      </c>
      <c r="L14" s="59">
        <v>15.85</v>
      </c>
      <c r="N14" s="2" t="s">
        <v>133</v>
      </c>
      <c r="O14" s="57" t="s">
        <v>134</v>
      </c>
      <c r="Q14" s="57" t="str">
        <f>CONCATENATE(N14, " ",O14, " ",P14)</f>
        <v xml:space="preserve">Carol Foley </v>
      </c>
      <c r="R14" s="57">
        <v>17425766</v>
      </c>
    </row>
    <row r="15" spans="1:18" ht="15" customHeight="1" x14ac:dyDescent="0.2">
      <c r="A15" s="14" t="s">
        <v>65</v>
      </c>
      <c r="B15" s="61">
        <v>442292751</v>
      </c>
      <c r="C15" s="14" t="s">
        <v>79</v>
      </c>
      <c r="D15" s="58">
        <v>45250</v>
      </c>
      <c r="E15" s="14" t="s">
        <v>80</v>
      </c>
      <c r="F15" s="58">
        <v>45778</v>
      </c>
      <c r="G15" s="58">
        <v>45809</v>
      </c>
      <c r="H15" s="58">
        <v>45791</v>
      </c>
      <c r="I15" s="61">
        <v>1</v>
      </c>
      <c r="J15" s="59">
        <v>45.26</v>
      </c>
      <c r="K15" s="62">
        <v>0.18</v>
      </c>
      <c r="L15" s="59">
        <v>8.15</v>
      </c>
      <c r="N15" s="2" t="s">
        <v>133</v>
      </c>
      <c r="O15" s="57" t="s">
        <v>134</v>
      </c>
      <c r="Q15" s="57" t="str">
        <f>CONCATENATE(N15, " ",O15, " ",P15)</f>
        <v xml:space="preserve">Carol Foley </v>
      </c>
      <c r="R15" s="57">
        <v>17425766</v>
      </c>
    </row>
    <row r="16" spans="1:18" ht="15" customHeight="1" x14ac:dyDescent="0.2">
      <c r="A16" s="14" t="s">
        <v>65</v>
      </c>
      <c r="B16" s="61">
        <v>442399128</v>
      </c>
      <c r="C16" s="14" t="s">
        <v>83</v>
      </c>
      <c r="D16" s="58">
        <v>45288</v>
      </c>
      <c r="E16" s="14" t="s">
        <v>84</v>
      </c>
      <c r="F16" s="58">
        <v>45778</v>
      </c>
      <c r="G16" s="58">
        <v>45809</v>
      </c>
      <c r="H16" s="58">
        <v>45791</v>
      </c>
      <c r="I16" s="61">
        <v>1</v>
      </c>
      <c r="J16" s="59">
        <v>77.099999999999994</v>
      </c>
      <c r="K16" s="62">
        <v>0.09</v>
      </c>
      <c r="L16" s="59">
        <v>6.94</v>
      </c>
      <c r="N16" s="2" t="s">
        <v>133</v>
      </c>
      <c r="O16" s="57" t="s">
        <v>134</v>
      </c>
      <c r="Q16" s="57" t="str">
        <f>CONCATENATE(N16, " ",O16, " ",P16)</f>
        <v xml:space="preserve">Carol Foley </v>
      </c>
      <c r="R16" s="57">
        <v>17425766</v>
      </c>
    </row>
    <row r="17" spans="1:18" ht="15" customHeight="1" x14ac:dyDescent="0.2">
      <c r="A17" s="14" t="s">
        <v>65</v>
      </c>
      <c r="B17" s="61">
        <v>442425089</v>
      </c>
      <c r="C17" s="14" t="s">
        <v>100</v>
      </c>
      <c r="D17" s="58">
        <v>45301</v>
      </c>
      <c r="E17" s="14" t="s">
        <v>101</v>
      </c>
      <c r="F17" s="58">
        <v>45778</v>
      </c>
      <c r="G17" s="58">
        <v>45809</v>
      </c>
      <c r="H17" s="58">
        <v>45791</v>
      </c>
      <c r="I17" s="61">
        <v>1</v>
      </c>
      <c r="J17" s="59">
        <v>20.399999999999999</v>
      </c>
      <c r="K17" s="62">
        <v>0.09</v>
      </c>
      <c r="L17" s="59">
        <v>1.84</v>
      </c>
      <c r="N17" s="2" t="s">
        <v>135</v>
      </c>
      <c r="O17" s="57" t="s">
        <v>136</v>
      </c>
      <c r="P17" s="57" t="s">
        <v>137</v>
      </c>
      <c r="Q17" s="57" t="str">
        <f>CONCATENATE(N17, " ",O17, " ",P17)</f>
        <v>Deborah Lee Inskipt</v>
      </c>
      <c r="R17" s="57">
        <v>17528908</v>
      </c>
    </row>
    <row r="18" spans="1:18" ht="15" customHeight="1" x14ac:dyDescent="0.2">
      <c r="A18" s="14" t="s">
        <v>65</v>
      </c>
      <c r="B18" s="61">
        <v>442425090</v>
      </c>
      <c r="C18" s="14" t="s">
        <v>100</v>
      </c>
      <c r="D18" s="58">
        <v>45301</v>
      </c>
      <c r="E18" s="14" t="s">
        <v>103</v>
      </c>
      <c r="F18" s="58">
        <v>45778</v>
      </c>
      <c r="G18" s="58">
        <v>45809</v>
      </c>
      <c r="H18" s="58">
        <v>45791</v>
      </c>
      <c r="I18" s="61">
        <v>1</v>
      </c>
      <c r="J18" s="59">
        <v>24</v>
      </c>
      <c r="K18" s="62">
        <v>0.09</v>
      </c>
      <c r="L18" s="59">
        <v>2.16</v>
      </c>
      <c r="N18" s="2" t="s">
        <v>135</v>
      </c>
      <c r="O18" s="57" t="s">
        <v>136</v>
      </c>
      <c r="P18" s="57" t="s">
        <v>137</v>
      </c>
      <c r="Q18" s="57" t="str">
        <f>CONCATENATE(N18, " ",O18, " ",P18)</f>
        <v>Deborah Lee Inskipt</v>
      </c>
      <c r="R18" s="57">
        <v>17528908</v>
      </c>
    </row>
    <row r="19" spans="1:18" ht="15" customHeight="1" x14ac:dyDescent="0.2">
      <c r="A19" s="14" t="s">
        <v>65</v>
      </c>
      <c r="B19" s="61">
        <v>442459673</v>
      </c>
      <c r="C19" s="14" t="s">
        <v>124</v>
      </c>
      <c r="D19" s="58">
        <v>45317</v>
      </c>
      <c r="E19" s="14" t="s">
        <v>125</v>
      </c>
      <c r="F19" s="58">
        <v>45778</v>
      </c>
      <c r="G19" s="58">
        <v>45809</v>
      </c>
      <c r="H19" s="58">
        <v>45790</v>
      </c>
      <c r="I19" s="61">
        <v>1</v>
      </c>
      <c r="J19" s="59">
        <v>85.5</v>
      </c>
      <c r="K19" s="62">
        <v>0.09</v>
      </c>
      <c r="L19" s="59">
        <v>7.7</v>
      </c>
      <c r="N19" s="2" t="s">
        <v>140</v>
      </c>
      <c r="O19" s="57" t="s">
        <v>141</v>
      </c>
      <c r="P19" s="57" t="s">
        <v>142</v>
      </c>
      <c r="Q19" s="57" t="str">
        <f>CONCATENATE(N19, " ",O19, " ",P19)</f>
        <v>Scott Christopher Aguglia</v>
      </c>
      <c r="R19" s="57">
        <v>8971826</v>
      </c>
    </row>
    <row r="20" spans="1:18" ht="1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8" ht="15" customHeight="1" x14ac:dyDescent="0.2">
      <c r="A21" s="2"/>
      <c r="B21" s="2"/>
      <c r="C21" s="14"/>
      <c r="D21" s="14"/>
      <c r="E21" s="14"/>
      <c r="F21" s="14"/>
      <c r="G21" s="14"/>
      <c r="H21" s="2"/>
      <c r="I21" s="2"/>
      <c r="J21" s="2"/>
      <c r="K21" s="60"/>
      <c r="L21" s="2"/>
    </row>
    <row r="22" spans="1:18" ht="1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8" ht="15" customHeight="1" x14ac:dyDescent="0.2"/>
    <row r="24" spans="1:18" ht="15" customHeight="1" x14ac:dyDescent="0.2"/>
    <row r="25" spans="1:18" ht="15" customHeight="1" x14ac:dyDescent="0.2"/>
    <row r="26" spans="1:18" ht="15" customHeight="1" x14ac:dyDescent="0.2"/>
    <row r="27" spans="1:18" ht="15" customHeight="1" x14ac:dyDescent="0.2"/>
    <row r="28" spans="1:18" ht="15" customHeight="1" x14ac:dyDescent="0.2"/>
    <row r="29" spans="1:18" ht="15" customHeight="1" x14ac:dyDescent="0.2"/>
    <row r="30" spans="1:18" ht="15" customHeight="1" x14ac:dyDescent="0.2"/>
    <row r="31" spans="1:18" ht="15" customHeight="1" x14ac:dyDescent="0.2"/>
    <row r="32" spans="1:18" ht="15" customHeight="1" x14ac:dyDescent="0.2"/>
    <row r="33" ht="15" customHeight="1" x14ac:dyDescent="0.2"/>
  </sheetData>
  <sortState xmlns:xlrd2="http://schemas.microsoft.com/office/spreadsheetml/2017/richdata2" ref="A2:X19"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2025-05-23T14:52:17Z</dcterms:created>
  <dcterms:modified xsi:type="dcterms:W3CDTF">2025-05-28T15:48:08Z</dcterms:modified>
</cp:coreProperties>
</file>