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defaultThemeVersion="166925"/>
  <xr:revisionPtr revIDLastSave="0" documentId="13_ncr:1_{C7D88103-2AD5-40FC-9147-3D0A0B26A956}" xr6:coauthVersionLast="47" xr6:coauthVersionMax="47" xr10:uidLastSave="{00000000-0000-0000-0000-000000000000}"/>
  <bookViews>
    <workbookView xWindow="28680" yWindow="-120" windowWidth="29040" windowHeight="16440" activeTab="2" xr2:uid="{A874D663-46C8-4241-8C6E-F8C58DEF7194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Sheet1!$1:$3</definedName>
    <definedName name="_xlnm.Print_Titles" localSheetId="1">Sheet2!$1:$3</definedName>
  </definedNames>
  <calcPr calcId="181029"/>
  <fileRecoveryPr autoRecover="0"/>
</workbook>
</file>

<file path=xl/calcChain.xml><?xml version="1.0" encoding="utf-8"?>
<calcChain xmlns="http://schemas.openxmlformats.org/spreadsheetml/2006/main">
  <c r="R10" i="3" l="1"/>
  <c r="R6" i="3"/>
  <c r="R8" i="3"/>
  <c r="R9" i="3"/>
  <c r="R19" i="3"/>
  <c r="R15" i="3"/>
  <c r="R7" i="3"/>
  <c r="R11" i="3"/>
  <c r="R12" i="3"/>
  <c r="R13" i="3"/>
  <c r="R22" i="3"/>
  <c r="R23" i="3"/>
  <c r="R24" i="3"/>
  <c r="R25" i="3"/>
  <c r="R26" i="3"/>
  <c r="R17" i="3"/>
  <c r="R18" i="3"/>
  <c r="R16" i="3"/>
  <c r="R20" i="3"/>
  <c r="R21" i="3"/>
  <c r="R5" i="3"/>
  <c r="R2" i="3"/>
  <c r="R4" i="3"/>
  <c r="R3" i="3"/>
  <c r="R27" i="3"/>
  <c r="R14" i="3"/>
</calcChain>
</file>

<file path=xl/sharedStrings.xml><?xml version="1.0" encoding="utf-8"?>
<sst xmlns="http://schemas.openxmlformats.org/spreadsheetml/2006/main" count="505" uniqueCount="161">
  <si>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</si>
  <si>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</si>
  <si>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</si>
  <si>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Compensation Statement</t>
  </si>
  <si>
    <t>Agency:</t>
  </si>
  <si>
    <t>Core Benefits Group Inc 15791498</t>
  </si>
  <si>
    <t>Contract Date: 08/24/2022</t>
  </si>
  <si>
    <t>The Chesapeake Life Insurance Co</t>
  </si>
  <si>
    <t>Statement From Date: 05/09/2025</t>
  </si>
  <si>
    <t>Attn:  Commission Accounting</t>
  </si>
  <si>
    <t>Payee:</t>
  </si>
  <si>
    <t>Main Line Benefits LLC 15791498</t>
  </si>
  <si>
    <t>Statement To Date: 05/12/2025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</si>
  <si>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</si>
  <si>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</si>
  <si>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</si>
  <si>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</si>
  <si>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</si>
  <si>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</si>
  <si>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</si>
  <si>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</si>
  <si>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</si>
  <si>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</si>
  <si>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</si>
  <si>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</si>
  <si>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</si>
  <si>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</si>
  <si>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</si>
  <si>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</si>
  <si>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</si>
  <si>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</si>
  <si>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</si>
  <si>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</si>
  <si>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</si>
  <si>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</si>
  <si>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</si>
  <si>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</si>
  <si>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</si>
  <si>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</si>
  <si>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</si>
  <si>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</si>
  <si>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</si>
  <si>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</si>
  <si>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</si>
  <si>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</si>
  <si>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</si>
  <si>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</si>
  <si>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</si>
  <si>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</si>
  <si>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</si>
  <si>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</si>
  <si>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</si>
  <si>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</si>
  <si>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</si>
  <si>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</si>
  <si>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</si>
  <si>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</si>
  <si>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</si>
  <si>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</si>
  <si>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</si>
  <si>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</si>
  <si>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</si>
  <si>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</si>
  <si>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</si>
  <si>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</si>
  <si>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</si>
  <si>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442034541</t>
  </si>
  <si>
    <t>RICHARD  THORNTON</t>
  </si>
  <si>
    <t>SPD00002</t>
  </si>
  <si>
    <t>R</t>
  </si>
  <si>
    <t>1</t>
  </si>
  <si>
    <t>9.00%</t>
  </si>
  <si>
    <t>OVR</t>
  </si>
  <si>
    <t>441839748</t>
  </si>
  <si>
    <t>YUANYUAN  ZHANG</t>
  </si>
  <si>
    <t>SPV00008</t>
  </si>
  <si>
    <t>Ashley Elizabeth Teipel 20436925</t>
  </si>
  <si>
    <t>441684105</t>
  </si>
  <si>
    <t>BARBARA  COLSON</t>
  </si>
  <si>
    <t>SWTL1006</t>
  </si>
  <si>
    <t>441789847</t>
  </si>
  <si>
    <t>EUGENE  MONAHAN</t>
  </si>
  <si>
    <t>441818010</t>
  </si>
  <si>
    <t>LESA  THOMAS</t>
  </si>
  <si>
    <t>SWTL1014</t>
  </si>
  <si>
    <t>Carol  Foley 17425766</t>
  </si>
  <si>
    <t>442296755</t>
  </si>
  <si>
    <t>CHERYL  LAUMAKIS</t>
  </si>
  <si>
    <t>SPH00094</t>
  </si>
  <si>
    <t>4.50%</t>
  </si>
  <si>
    <t>442256625</t>
  </si>
  <si>
    <t>JAMES  PAETZ</t>
  </si>
  <si>
    <t>SHW00161</t>
  </si>
  <si>
    <t>18.00%</t>
  </si>
  <si>
    <t>441782531</t>
  </si>
  <si>
    <t>KEDILEY  PERALTA</t>
  </si>
  <si>
    <t>SPD00001</t>
  </si>
  <si>
    <t>3.00%</t>
  </si>
  <si>
    <t>441884278</t>
  </si>
  <si>
    <t>PATRICIA  COBEN</t>
  </si>
  <si>
    <t>SPH00003</t>
  </si>
  <si>
    <t>441955925</t>
  </si>
  <si>
    <t>ROSE  CINEUS</t>
  </si>
  <si>
    <t>SPD00005</t>
  </si>
  <si>
    <t>442371645</t>
  </si>
  <si>
    <t>TAQERA  MING</t>
  </si>
  <si>
    <t>442371646</t>
  </si>
  <si>
    <t>442371651</t>
  </si>
  <si>
    <t>SPHV0091</t>
  </si>
  <si>
    <t>7.00%</t>
  </si>
  <si>
    <t>442502397</t>
  </si>
  <si>
    <t>YOSEF  WASSERMANN</t>
  </si>
  <si>
    <t>442502398</t>
  </si>
  <si>
    <t>Deborah Lee Inskipt 17528908</t>
  </si>
  <si>
    <t>442294068</t>
  </si>
  <si>
    <t>MARCY  MEEHAN</t>
  </si>
  <si>
    <t>SH000002</t>
  </si>
  <si>
    <t>442294069</t>
  </si>
  <si>
    <t>SCP00002</t>
  </si>
  <si>
    <t>442292229</t>
  </si>
  <si>
    <t>SOFIA  ALBANOWSKI</t>
  </si>
  <si>
    <t>442301963</t>
  </si>
  <si>
    <t>WILLIAM  WORMS</t>
  </si>
  <si>
    <t>SH010004</t>
  </si>
  <si>
    <t>442301964</t>
  </si>
  <si>
    <t>SCP10004</t>
  </si>
  <si>
    <t>Katelenn  Caltagirone 20436896</t>
  </si>
  <si>
    <t>441680518</t>
  </si>
  <si>
    <t>HERMINIO  ROSALES</t>
  </si>
  <si>
    <t>SWTL2093</t>
  </si>
  <si>
    <t>441577763</t>
  </si>
  <si>
    <t>RYAN  CALTAGIRONE</t>
  </si>
  <si>
    <t>SCP00020</t>
  </si>
  <si>
    <t>Kimberly Anne Dickerson 16243811</t>
  </si>
  <si>
    <t>441679321</t>
  </si>
  <si>
    <t>DEBRA  BLOMME</t>
  </si>
  <si>
    <t>441607364</t>
  </si>
  <si>
    <t>JOHN  WORTMAN</t>
  </si>
  <si>
    <t>SPV00006</t>
  </si>
  <si>
    <t>Margaret Finnegan 19861194</t>
  </si>
  <si>
    <t>442563687</t>
  </si>
  <si>
    <t>ASHLEY  PENCE</t>
  </si>
  <si>
    <t>SPHV0108</t>
  </si>
  <si>
    <t>Total</t>
  </si>
  <si>
    <t>Anne</t>
  </si>
  <si>
    <t>Marie</t>
  </si>
  <si>
    <t>Kozacheck</t>
  </si>
  <si>
    <t>Ashley</t>
  </si>
  <si>
    <t>Elizabeth</t>
  </si>
  <si>
    <t>Teipel</t>
  </si>
  <si>
    <t>Carol</t>
  </si>
  <si>
    <t>Foley</t>
  </si>
  <si>
    <t>Deborah</t>
  </si>
  <si>
    <t>Lee</t>
  </si>
  <si>
    <t>Inskipt</t>
  </si>
  <si>
    <t>Katelenn</t>
  </si>
  <si>
    <t>Caltagirone</t>
  </si>
  <si>
    <t>Kimberly</t>
  </si>
  <si>
    <t>Dickerson</t>
  </si>
  <si>
    <t>Margaret</t>
  </si>
  <si>
    <t>Finnegan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</si>
</sst>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10" x14ac:knownFonts="1">
    <font>
      <sz val="10"/>
      <name val="Arial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center"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horizontal="right" vertical="top" wrapText="1" readingOrder="1"/>
      <protection locked="0"/>
    </xf>
    <xf numFmtId="0" fontId="4" fillId="0" borderId="1" xfId="0" applyFont="1" applyBorder="1" applyAlignment="1" applyProtection="1">
      <alignment horizontal="left" vertical="top" wrapText="1" readingOrder="1"/>
      <protection locked="0"/>
    </xf>
    <xf numFmtId="0" fontId="4" fillId="0" borderId="1" xfId="0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horizontal="lef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  <xf numFmtId="164" fontId="3" fillId="0" borderId="0" xfId="0" applyNumberFormat="1" applyFont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0" fontId="9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9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2" xfId="0" applyFont="1" applyBorder="1" applyAlignment="1" applyProtection="1">
      <alignment horizontal="left" vertical="top" wrapText="1" readingOrder="1"/>
      <protection locked="0"/>
    </xf>
    <xf numFmtId="0" fontId="3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165" fontId="2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9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9" fillId="0" borderId="0" xfId="0" applyFont="1" applyAlignment="1" applyProtection="1">
      <alignment horizontal="righ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164" fontId="3" fillId="0" borderId="0" xfId="0" applyNumberFormat="1" applyFont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right" vertical="top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164" fontId="2" fillId="0" borderId="0" xfId="0" applyNumberFormat="1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vertical="top" wrapText="1" readingOrder="1"/>
      <protection locked="0"/>
    </xf>
    <xf numFmtId="0" fontId="4" fillId="0" borderId="1" xfId="0" applyFont="1" applyBorder="1" applyAlignment="1" applyProtection="1">
      <alignment horizontal="left" vertical="top" wrapText="1" readingOrder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165" fontId="2" fillId="0" borderId="0" xfId="0" applyNumberFormat="1" applyFont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left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3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0" fontId="3" fillId="0" borderId="0" xfId="0" applyFont="1" applyBorder="1" applyAlignment="1" applyProtection="1">
      <alignment horizontal="left" wrapText="1" readingOrder="1"/>
      <protection locked="0"/>
    </xf>
    <xf numFmtId="0" fontId="0" fillId="0" borderId="0" xfId="0" applyBorder="1" applyAlignment="1">
      <alignment horizontal="left"/>
    </xf>
    <xf numFmtId="0" fontId="2" fillId="0" borderId="0" xfId="0" applyFont="1" applyBorder="1" applyAlignment="1" applyProtection="1">
      <alignment horizontal="left" wrapText="1" readingOrder="1"/>
      <protection locked="0"/>
    </xf>
    <xf numFmtId="0" fontId="2" fillId="0" borderId="0" xfId="0" applyNumberFormat="1" applyFont="1" applyBorder="1" applyAlignment="1" applyProtection="1">
      <alignment horizontal="left" wrapText="1" readingOrder="1"/>
      <protection locked="0"/>
    </xf>
    <xf numFmtId="165" fontId="2" fillId="0" borderId="0" xfId="0" applyNumberFormat="1" applyFont="1" applyBorder="1" applyAlignment="1" applyProtection="1">
      <alignment horizontal="left" wrapText="1" readingOrder="1"/>
      <protection locked="0"/>
    </xf>
    <xf numFmtId="164" fontId="2" fillId="0" borderId="0" xfId="0" applyNumberFormat="1" applyFont="1" applyBorder="1" applyAlignment="1" applyProtection="1">
      <alignment horizontal="left" wrapText="1" readingOrder="1"/>
      <protection locked="0"/>
    </xf>
    <xf numFmtId="10" fontId="2" fillId="0" borderId="0" xfId="0" applyNumberFormat="1" applyFont="1" applyBorder="1" applyAlignment="1" applyProtection="1">
      <alignment horizontal="left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504825</xdr:colOff>
      <xdr:row>1</xdr:row>
      <xdr:rowOff>161925</xdr:rowOff>
    </xdr:to>
    <xdr:pic>
      <xdr:nvPicPr>
        <xdr:cNvPr id="1024" name="Picture 0">
          <a:extLst>
            <a:ext uri="{FF2B5EF4-FFF2-40B4-BE49-F238E27FC236}">
              <a16:creationId xmlns:a16="http://schemas.microsoft.com/office/drawing/2014/main" id="{6A21B86C-D5E5-012F-5497-160FCCFD7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5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504825</xdr:colOff>
      <xdr:row>1</xdr:row>
      <xdr:rowOff>161925</xdr:rowOff>
    </xdr:to>
    <xdr:pic>
      <xdr:nvPicPr>
        <xdr:cNvPr id="2048" name="Picture 0">
          <a:extLst>
            <a:ext uri="{FF2B5EF4-FFF2-40B4-BE49-F238E27FC236}">
              <a16:creationId xmlns:a16="http://schemas.microsoft.com/office/drawing/2014/main" id="{92BC7AAF-43B1-43DB-7C04-52E54453D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5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DFB35-9DF3-4A0A-982D-CE1F88C234D4}">
  <dimension ref="A1:U36"/>
  <sheetViews>
    <sheetView showGridLines="0" workbookViewId="0">
      <pane ySplit="3" topLeftCell="A4" activePane="bottomLeft" state="frozenSplit"/>
      <selection pane="bottomLeft" sqref="A1:C2"/>
    </sheetView>
  </sheetViews>
  <sheetFormatPr defaultRowHeight="12.75" x14ac:dyDescent="0.2"/>
  <cols>
    <col min="1" max="1" width="8.140625" customWidth="1"/>
    <col min="2" max="2" width="4.5703125" customWidth="1"/>
    <col min="3" max="3" width="7.5703125" customWidth="1"/>
    <col min="4" max="4" width="0.7109375" customWidth="1"/>
    <col min="5" max="5" width="1.85546875" customWidth="1"/>
    <col min="6" max="6" width="10.28515625" customWidth="1"/>
    <col min="7" max="7" width="7.42578125" customWidth="1"/>
    <col min="8" max="8" width="8" customWidth="1"/>
    <col min="9" max="9" width="8.5703125" customWidth="1"/>
    <col min="10" max="10" width="8.140625" customWidth="1"/>
    <col min="11" max="11" width="0.42578125" customWidth="1"/>
    <col min="12" max="12" width="8.140625" customWidth="1"/>
    <col min="13" max="13" width="2.5703125" customWidth="1"/>
    <col min="14" max="14" width="10.42578125" customWidth="1"/>
    <col min="15" max="15" width="7.85546875" customWidth="1"/>
    <col min="16" max="16" width="8.42578125" customWidth="1"/>
    <col min="17" max="17" width="9.5703125" customWidth="1"/>
    <col min="18" max="18" width="8.85546875" customWidth="1"/>
    <col min="19" max="19" width="1.5703125" customWidth="1"/>
    <col min="20" max="20" width="11.140625" customWidth="1"/>
    <col min="22" max="22" width="0" hidden="1" customWidth="1"/>
    <col min="23" max="23" width="2" customWidth="1"/>
  </cols>
  <sheetData>
    <row r="1" spans="1:21" ht="23.25" customHeight="1" x14ac:dyDescent="0.2">
      <c r="A1" s="31"/>
      <c r="B1" s="31"/>
      <c r="C1" s="31"/>
      <c r="E1" s="51" t="s">
        <v>3</v>
      </c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21" ht="12.75" customHeight="1" x14ac:dyDescent="0.2">
      <c r="A2" s="31"/>
      <c r="B2" s="31"/>
      <c r="C2" s="31"/>
    </row>
    <row r="3" spans="1:21" ht="15.6" customHeight="1" x14ac:dyDescent="0.2"/>
    <row r="4" spans="1:21" x14ac:dyDescent="0.2">
      <c r="A4" s="1"/>
      <c r="B4" s="1"/>
      <c r="C4" s="30"/>
      <c r="D4" s="31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0"/>
      <c r="S4" s="31"/>
      <c r="T4" s="1"/>
      <c r="U4" s="1"/>
    </row>
    <row r="5" spans="1:21" x14ac:dyDescent="0.2">
      <c r="A5" s="2" t="s">
        <v>4</v>
      </c>
      <c r="B5" s="39" t="s">
        <v>5</v>
      </c>
      <c r="C5" s="31"/>
      <c r="D5" s="31"/>
      <c r="E5" s="31"/>
      <c r="F5" s="31"/>
      <c r="G5" s="50" t="s">
        <v>0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0"/>
      <c r="S5" s="31"/>
      <c r="T5" s="1"/>
      <c r="U5" s="1"/>
    </row>
    <row r="6" spans="1:21" x14ac:dyDescent="0.2">
      <c r="A6" s="39" t="s">
        <v>6</v>
      </c>
      <c r="B6" s="31"/>
      <c r="C6" s="31"/>
      <c r="D6" s="31"/>
      <c r="E6" s="31"/>
      <c r="F6" s="31"/>
      <c r="G6" s="31"/>
      <c r="H6" s="31"/>
      <c r="I6" s="31"/>
      <c r="J6" s="31"/>
      <c r="K6" s="3"/>
      <c r="L6" s="3"/>
      <c r="M6" s="3"/>
      <c r="N6" s="3"/>
      <c r="O6" s="3"/>
      <c r="P6" s="4"/>
      <c r="Q6" s="4"/>
      <c r="R6" s="36" t="s">
        <v>7</v>
      </c>
      <c r="S6" s="31"/>
      <c r="T6" s="31"/>
      <c r="U6" s="31"/>
    </row>
    <row r="7" spans="1:21" x14ac:dyDescent="0.2">
      <c r="A7" s="2"/>
      <c r="B7" s="2"/>
      <c r="C7" s="39"/>
      <c r="D7" s="31"/>
      <c r="E7" s="31"/>
      <c r="F7" s="2"/>
      <c r="G7" s="50" t="s">
        <v>8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9" t="s">
        <v>9</v>
      </c>
      <c r="S7" s="31"/>
      <c r="T7" s="31"/>
      <c r="U7" s="31"/>
    </row>
    <row r="8" spans="1:21" x14ac:dyDescent="0.2">
      <c r="A8" s="2" t="s">
        <v>10</v>
      </c>
      <c r="B8" s="39" t="s">
        <v>11</v>
      </c>
      <c r="C8" s="31"/>
      <c r="D8" s="31"/>
      <c r="E8" s="31"/>
      <c r="F8" s="31"/>
      <c r="G8" s="50" t="s">
        <v>12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6" t="s">
        <v>13</v>
      </c>
      <c r="S8" s="31"/>
      <c r="T8" s="31"/>
      <c r="U8" s="31"/>
    </row>
    <row r="9" spans="1:21" x14ac:dyDescent="0.2">
      <c r="A9" s="2"/>
      <c r="B9" s="39" t="s">
        <v>14</v>
      </c>
      <c r="C9" s="31"/>
      <c r="D9" s="31"/>
      <c r="E9" s="31"/>
      <c r="F9" s="3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36" t="s">
        <v>15</v>
      </c>
      <c r="S9" s="31"/>
      <c r="T9" s="31"/>
      <c r="U9" s="31"/>
    </row>
    <row r="10" spans="1:21" x14ac:dyDescent="0.2">
      <c r="A10" s="6"/>
      <c r="B10" s="39" t="s">
        <v>16</v>
      </c>
      <c r="C10" s="31"/>
      <c r="D10" s="31"/>
      <c r="E10" s="31"/>
      <c r="F10" s="3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30"/>
      <c r="S10" s="31"/>
      <c r="T10" s="1"/>
      <c r="U10" s="1"/>
    </row>
    <row r="11" spans="1:21" x14ac:dyDescent="0.2">
      <c r="A11" s="7"/>
      <c r="B11" s="7"/>
      <c r="C11" s="48"/>
      <c r="D11" s="34"/>
      <c r="E11" s="34"/>
      <c r="F11" s="8"/>
      <c r="G11" s="7"/>
      <c r="H11" s="7"/>
      <c r="I11" s="7"/>
      <c r="J11" s="7"/>
      <c r="K11" s="7"/>
      <c r="L11" s="7"/>
      <c r="M11" s="7"/>
      <c r="N11" s="9"/>
      <c r="O11" s="9"/>
      <c r="P11" s="9"/>
      <c r="Q11" s="9"/>
      <c r="R11" s="49"/>
      <c r="S11" s="34"/>
      <c r="T11" s="9"/>
      <c r="U11" s="9"/>
    </row>
    <row r="12" spans="1:21" x14ac:dyDescent="0.2">
      <c r="A12" s="2"/>
      <c r="B12" s="2"/>
      <c r="C12" s="39"/>
      <c r="D12" s="31"/>
      <c r="E12" s="31"/>
      <c r="F12" s="2"/>
      <c r="G12" s="10"/>
      <c r="H12" s="2"/>
      <c r="I12" s="2"/>
      <c r="J12" s="10"/>
      <c r="K12" s="10"/>
      <c r="L12" s="2"/>
      <c r="M12" s="11"/>
      <c r="N12" s="11"/>
      <c r="O12" s="11"/>
      <c r="P12" s="11"/>
      <c r="Q12" s="11"/>
      <c r="R12" s="46"/>
      <c r="S12" s="31"/>
      <c r="T12" s="11"/>
      <c r="U12" s="11"/>
    </row>
    <row r="13" spans="1:21" x14ac:dyDescent="0.2">
      <c r="A13" s="2"/>
      <c r="B13" s="39" t="s">
        <v>17</v>
      </c>
      <c r="C13" s="31"/>
      <c r="D13" s="31"/>
      <c r="E13" s="31"/>
      <c r="F13" s="31"/>
      <c r="G13" s="31"/>
      <c r="H13" s="2"/>
      <c r="I13" s="39"/>
      <c r="J13" s="31"/>
      <c r="K13" s="10"/>
      <c r="L13" s="2"/>
      <c r="M13" s="39" t="s">
        <v>18</v>
      </c>
      <c r="N13" s="31"/>
      <c r="O13" s="31"/>
      <c r="P13" s="31"/>
      <c r="Q13" s="31"/>
      <c r="R13" s="47"/>
      <c r="S13" s="31"/>
      <c r="T13" s="31"/>
      <c r="U13" s="11"/>
    </row>
    <row r="14" spans="1:21" ht="15" x14ac:dyDescent="0.2">
      <c r="A14" s="2"/>
      <c r="B14" s="36" t="s">
        <v>19</v>
      </c>
      <c r="C14" s="31"/>
      <c r="D14" s="31"/>
      <c r="E14" s="31"/>
      <c r="F14" s="31"/>
      <c r="G14" s="12"/>
      <c r="H14" s="2"/>
      <c r="I14" s="38">
        <v>0</v>
      </c>
      <c r="J14" s="31"/>
      <c r="K14" s="10"/>
      <c r="L14" s="2"/>
      <c r="M14" s="39" t="s">
        <v>20</v>
      </c>
      <c r="N14" s="31"/>
      <c r="O14" s="31"/>
      <c r="P14" s="31"/>
      <c r="Q14" s="31"/>
      <c r="R14" s="38">
        <v>0</v>
      </c>
      <c r="S14" s="31"/>
      <c r="T14" s="31"/>
      <c r="U14" s="11"/>
    </row>
    <row r="15" spans="1:21" ht="15" x14ac:dyDescent="0.2">
      <c r="A15" s="2"/>
      <c r="B15" s="12"/>
      <c r="C15" s="30" t="s">
        <v>21</v>
      </c>
      <c r="D15" s="31"/>
      <c r="E15" s="31"/>
      <c r="F15" s="31"/>
      <c r="G15" s="31"/>
      <c r="H15" s="31"/>
      <c r="I15" s="38">
        <v>0</v>
      </c>
      <c r="J15" s="31"/>
      <c r="K15" s="10"/>
      <c r="L15" s="2"/>
      <c r="M15" s="11"/>
      <c r="N15" s="32" t="s">
        <v>22</v>
      </c>
      <c r="O15" s="31"/>
      <c r="P15" s="14"/>
      <c r="Q15" s="14"/>
      <c r="R15" s="38">
        <v>0</v>
      </c>
      <c r="S15" s="31"/>
      <c r="T15" s="31"/>
      <c r="U15" s="11"/>
    </row>
    <row r="16" spans="1:21" ht="15" x14ac:dyDescent="0.2">
      <c r="A16" s="2"/>
      <c r="B16" s="12"/>
      <c r="C16" s="30" t="s">
        <v>23</v>
      </c>
      <c r="D16" s="31"/>
      <c r="E16" s="31"/>
      <c r="F16" s="31"/>
      <c r="G16" s="12"/>
      <c r="H16" s="15"/>
      <c r="I16" s="38">
        <v>0</v>
      </c>
      <c r="J16" s="31"/>
      <c r="K16" s="10"/>
      <c r="L16" s="2"/>
      <c r="M16" s="11"/>
      <c r="N16" s="32" t="s">
        <v>24</v>
      </c>
      <c r="O16" s="31"/>
      <c r="P16" s="31"/>
      <c r="Q16" s="31"/>
      <c r="R16" s="44" t="s">
        <v>1</v>
      </c>
      <c r="S16" s="31"/>
      <c r="T16" s="31"/>
      <c r="U16" s="11"/>
    </row>
    <row r="17" spans="1:21" ht="15" x14ac:dyDescent="0.2">
      <c r="A17" s="2"/>
      <c r="B17" s="16"/>
      <c r="C17" s="30" t="s">
        <v>25</v>
      </c>
      <c r="D17" s="31"/>
      <c r="E17" s="31"/>
      <c r="F17" s="31"/>
      <c r="G17" s="1"/>
      <c r="H17" s="15"/>
      <c r="I17" s="38">
        <v>89.55</v>
      </c>
      <c r="J17" s="31"/>
      <c r="K17" s="10"/>
      <c r="L17" s="2"/>
      <c r="M17" s="11"/>
      <c r="N17" s="32" t="s">
        <v>26</v>
      </c>
      <c r="O17" s="31"/>
      <c r="P17" s="31"/>
      <c r="Q17" s="31"/>
      <c r="R17" s="38">
        <v>0</v>
      </c>
      <c r="S17" s="31"/>
      <c r="T17" s="31"/>
      <c r="U17" s="11"/>
    </row>
    <row r="18" spans="1:21" x14ac:dyDescent="0.2">
      <c r="A18" s="2"/>
      <c r="B18" s="2"/>
      <c r="C18" s="30" t="s">
        <v>27</v>
      </c>
      <c r="D18" s="31"/>
      <c r="E18" s="31"/>
      <c r="F18" s="31"/>
      <c r="G18" s="31"/>
      <c r="H18" s="15"/>
      <c r="I18" s="38">
        <v>0</v>
      </c>
      <c r="J18" s="31"/>
      <c r="K18" s="10"/>
      <c r="L18" s="2"/>
      <c r="M18" s="11"/>
      <c r="N18" s="32" t="s">
        <v>27</v>
      </c>
      <c r="O18" s="31"/>
      <c r="P18" s="31"/>
      <c r="Q18" s="31"/>
      <c r="R18" s="38">
        <v>0</v>
      </c>
      <c r="S18" s="31"/>
      <c r="T18" s="31"/>
      <c r="U18" s="11"/>
    </row>
    <row r="19" spans="1:21" x14ac:dyDescent="0.2">
      <c r="A19" s="2"/>
      <c r="B19" s="5"/>
      <c r="C19" s="30" t="s">
        <v>28</v>
      </c>
      <c r="D19" s="31"/>
      <c r="E19" s="31"/>
      <c r="F19" s="31"/>
      <c r="G19" s="2"/>
      <c r="H19" s="15"/>
      <c r="I19" s="38">
        <v>0</v>
      </c>
      <c r="J19" s="31"/>
      <c r="K19" s="10"/>
      <c r="L19" s="2"/>
      <c r="M19" s="2"/>
      <c r="N19" s="32" t="s">
        <v>29</v>
      </c>
      <c r="O19" s="31"/>
      <c r="P19" s="31"/>
      <c r="Q19" s="31"/>
      <c r="R19" s="45">
        <v>0</v>
      </c>
      <c r="S19" s="31"/>
      <c r="T19" s="31"/>
      <c r="U19" s="11"/>
    </row>
    <row r="20" spans="1:21" ht="15" x14ac:dyDescent="0.2">
      <c r="A20" s="2"/>
      <c r="B20" s="36" t="s">
        <v>30</v>
      </c>
      <c r="C20" s="31"/>
      <c r="D20" s="31"/>
      <c r="E20" s="31"/>
      <c r="F20" s="31"/>
      <c r="G20" s="12"/>
      <c r="H20" s="11"/>
      <c r="I20" s="40">
        <v>89.55</v>
      </c>
      <c r="J20" s="31"/>
      <c r="K20" s="10"/>
      <c r="L20" s="2"/>
      <c r="M20" s="39" t="s">
        <v>31</v>
      </c>
      <c r="N20" s="31"/>
      <c r="O20" s="31"/>
      <c r="P20" s="6"/>
      <c r="Q20" s="6"/>
      <c r="R20" s="40">
        <v>0</v>
      </c>
      <c r="S20" s="31"/>
      <c r="T20" s="31"/>
      <c r="U20" s="11"/>
    </row>
    <row r="21" spans="1:21" ht="15" x14ac:dyDescent="0.2">
      <c r="A21" s="2"/>
      <c r="B21" s="36"/>
      <c r="C21" s="31"/>
      <c r="D21" s="31"/>
      <c r="E21" s="31"/>
      <c r="F21" s="31"/>
      <c r="G21" s="16"/>
      <c r="H21" s="16"/>
      <c r="I21" s="43"/>
      <c r="J21" s="31"/>
      <c r="K21" s="10"/>
      <c r="L21" s="2"/>
      <c r="M21" s="39"/>
      <c r="N21" s="31"/>
      <c r="O21" s="31"/>
      <c r="P21" s="31"/>
      <c r="Q21" s="31"/>
      <c r="R21" s="44"/>
      <c r="S21" s="31"/>
      <c r="T21" s="31"/>
      <c r="U21" s="11"/>
    </row>
    <row r="22" spans="1:21" ht="15" x14ac:dyDescent="0.2">
      <c r="A22" s="2"/>
      <c r="B22" s="36" t="s">
        <v>32</v>
      </c>
      <c r="C22" s="31"/>
      <c r="D22" s="31"/>
      <c r="E22" s="31"/>
      <c r="F22" s="31"/>
      <c r="G22" s="12"/>
      <c r="H22" s="18"/>
      <c r="I22" s="41"/>
      <c r="J22" s="31"/>
      <c r="K22" s="18"/>
      <c r="L22" s="18"/>
      <c r="M22" s="39" t="s">
        <v>33</v>
      </c>
      <c r="N22" s="31"/>
      <c r="O22" s="31"/>
      <c r="P22" s="6"/>
      <c r="Q22" s="6"/>
      <c r="R22" s="42"/>
      <c r="S22" s="31"/>
      <c r="T22" s="31"/>
      <c r="U22" s="11"/>
    </row>
    <row r="23" spans="1:21" ht="15" x14ac:dyDescent="0.2">
      <c r="A23" s="2"/>
      <c r="B23" s="12"/>
      <c r="C23" s="30" t="s">
        <v>30</v>
      </c>
      <c r="D23" s="31"/>
      <c r="E23" s="31"/>
      <c r="F23" s="31"/>
      <c r="G23" s="12"/>
      <c r="H23" s="15"/>
      <c r="I23" s="38">
        <v>89.55</v>
      </c>
      <c r="J23" s="31"/>
      <c r="K23" s="18"/>
      <c r="L23" s="18"/>
      <c r="M23" s="18"/>
      <c r="N23" s="32" t="s">
        <v>22</v>
      </c>
      <c r="O23" s="31"/>
      <c r="P23" s="6"/>
      <c r="Q23" s="6"/>
      <c r="R23" s="38">
        <v>0</v>
      </c>
      <c r="S23" s="31"/>
      <c r="T23" s="31"/>
      <c r="U23" s="11"/>
    </row>
    <row r="24" spans="1:21" ht="15" x14ac:dyDescent="0.2">
      <c r="A24" s="2"/>
      <c r="B24" s="12"/>
      <c r="C24" s="30" t="s">
        <v>34</v>
      </c>
      <c r="D24" s="31"/>
      <c r="E24" s="31"/>
      <c r="F24" s="31"/>
      <c r="G24" s="12"/>
      <c r="H24" s="15"/>
      <c r="I24" s="38">
        <v>0</v>
      </c>
      <c r="J24" s="31"/>
      <c r="K24" s="18"/>
      <c r="L24" s="18"/>
      <c r="M24" s="18"/>
      <c r="N24" s="32" t="s">
        <v>24</v>
      </c>
      <c r="O24" s="31"/>
      <c r="P24" s="6"/>
      <c r="Q24" s="6"/>
      <c r="R24" s="38">
        <v>0</v>
      </c>
      <c r="S24" s="31"/>
      <c r="T24" s="31"/>
      <c r="U24" s="11"/>
    </row>
    <row r="25" spans="1:21" ht="15" x14ac:dyDescent="0.2">
      <c r="A25" s="2"/>
      <c r="B25" s="39" t="s">
        <v>35</v>
      </c>
      <c r="C25" s="31"/>
      <c r="D25" s="31"/>
      <c r="E25" s="31"/>
      <c r="F25" s="31"/>
      <c r="G25" s="12"/>
      <c r="H25" s="15"/>
      <c r="I25" s="40">
        <v>89.55</v>
      </c>
      <c r="J25" s="31"/>
      <c r="K25" s="18"/>
      <c r="L25" s="18"/>
      <c r="M25" s="18"/>
      <c r="N25" s="36" t="s">
        <v>36</v>
      </c>
      <c r="O25" s="31"/>
      <c r="P25" s="6"/>
      <c r="Q25" s="6"/>
      <c r="R25" s="40">
        <v>0</v>
      </c>
      <c r="S25" s="31"/>
      <c r="T25" s="31"/>
      <c r="U25" s="11"/>
    </row>
    <row r="26" spans="1:21" x14ac:dyDescent="0.2">
      <c r="A26" s="1"/>
      <c r="B26" s="1"/>
      <c r="C26" s="30"/>
      <c r="D26" s="31"/>
      <c r="E26" s="3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30"/>
      <c r="S26" s="31"/>
      <c r="T26" s="1"/>
      <c r="U26" s="1"/>
    </row>
    <row r="27" spans="1:21" x14ac:dyDescent="0.2">
      <c r="A27" s="5"/>
      <c r="B27" s="5"/>
      <c r="C27" s="36"/>
      <c r="D27" s="31"/>
      <c r="E27" s="31"/>
      <c r="F27" s="1"/>
      <c r="G27" s="15"/>
      <c r="H27" s="15"/>
      <c r="I27" s="15"/>
      <c r="J27" s="1"/>
      <c r="K27" s="1"/>
      <c r="L27" s="15"/>
      <c r="M27" s="15"/>
      <c r="N27" s="11"/>
      <c r="O27" s="11"/>
      <c r="P27" s="19"/>
      <c r="Q27" s="19"/>
      <c r="R27" s="37"/>
      <c r="S27" s="31"/>
      <c r="T27" s="11"/>
      <c r="U27" s="11"/>
    </row>
    <row r="28" spans="1:21" x14ac:dyDescent="0.2">
      <c r="A28" s="5"/>
      <c r="B28" s="5"/>
      <c r="C28" s="36"/>
      <c r="D28" s="31"/>
      <c r="E28" s="31"/>
      <c r="F28" s="1"/>
      <c r="G28" s="15"/>
      <c r="H28" s="15"/>
      <c r="I28" s="15"/>
      <c r="J28" s="1"/>
      <c r="K28" s="1"/>
      <c r="L28" s="15"/>
      <c r="M28" s="15"/>
      <c r="N28" s="11"/>
      <c r="O28" s="11"/>
      <c r="P28" s="11"/>
      <c r="Q28" s="11"/>
      <c r="R28" s="37"/>
      <c r="S28" s="31"/>
      <c r="T28" s="11"/>
      <c r="U28" s="11"/>
    </row>
    <row r="29" spans="1:21" x14ac:dyDescent="0.2">
      <c r="A29" s="20"/>
      <c r="B29" s="20"/>
      <c r="C29" s="33"/>
      <c r="D29" s="34"/>
      <c r="E29" s="34"/>
      <c r="F29" s="21"/>
      <c r="G29" s="22"/>
      <c r="H29" s="22"/>
      <c r="I29" s="22"/>
      <c r="J29" s="21"/>
      <c r="K29" s="21"/>
      <c r="L29" s="22"/>
      <c r="M29" s="22"/>
      <c r="N29" s="23"/>
      <c r="O29" s="23"/>
      <c r="P29" s="24"/>
      <c r="Q29" s="24"/>
      <c r="R29" s="35"/>
      <c r="S29" s="34"/>
      <c r="T29" s="23"/>
      <c r="U29" s="23"/>
    </row>
    <row r="30" spans="1:21" x14ac:dyDescent="0.2">
      <c r="A30" s="36" t="s">
        <v>37</v>
      </c>
      <c r="B30" s="31"/>
      <c r="C30" s="31"/>
      <c r="D30" s="31"/>
      <c r="E30" s="31"/>
      <c r="F30" s="31"/>
      <c r="G30" s="1"/>
      <c r="H30" s="1"/>
      <c r="I30" s="1"/>
      <c r="J30" s="1"/>
      <c r="K30" s="1"/>
      <c r="L30" s="1"/>
      <c r="M30" s="1"/>
      <c r="N30" s="1"/>
      <c r="O30" s="36" t="s">
        <v>38</v>
      </c>
      <c r="P30" s="31"/>
      <c r="Q30" s="31"/>
      <c r="R30" s="31"/>
      <c r="S30" s="31"/>
      <c r="T30" s="1"/>
      <c r="U30" s="1"/>
    </row>
    <row r="31" spans="1:21" x14ac:dyDescent="0.2">
      <c r="A31" s="1"/>
      <c r="B31" s="30" t="s">
        <v>39</v>
      </c>
      <c r="C31" s="31"/>
      <c r="D31" s="31"/>
      <c r="E31" s="31"/>
      <c r="F31" s="31"/>
      <c r="G31" s="32" t="s">
        <v>40</v>
      </c>
      <c r="H31" s="31"/>
      <c r="I31" s="31"/>
      <c r="J31" s="31"/>
      <c r="K31" s="31"/>
      <c r="L31" s="31"/>
      <c r="M31" s="31"/>
      <c r="N31" s="1"/>
      <c r="O31" s="1"/>
      <c r="P31" s="1"/>
      <c r="Q31" s="30" t="s">
        <v>41</v>
      </c>
      <c r="R31" s="31"/>
      <c r="S31" s="31"/>
      <c r="T31" s="31"/>
      <c r="U31" s="1"/>
    </row>
    <row r="32" spans="1:21" x14ac:dyDescent="0.2">
      <c r="A32" s="1"/>
      <c r="B32" s="30" t="s">
        <v>42</v>
      </c>
      <c r="C32" s="31"/>
      <c r="D32" s="31"/>
      <c r="E32" s="31"/>
      <c r="F32" s="31"/>
      <c r="G32" s="32" t="s">
        <v>43</v>
      </c>
      <c r="H32" s="31"/>
      <c r="I32" s="31"/>
      <c r="J32" s="31"/>
      <c r="K32" s="31"/>
      <c r="L32" s="31"/>
      <c r="M32" s="31"/>
      <c r="N32" s="1"/>
      <c r="O32" s="1"/>
      <c r="P32" s="1"/>
      <c r="Q32" s="1"/>
      <c r="R32" s="30"/>
      <c r="S32" s="31"/>
      <c r="T32" s="1"/>
      <c r="U32" s="1"/>
    </row>
    <row r="33" spans="1:21" x14ac:dyDescent="0.2">
      <c r="A33" s="1"/>
      <c r="B33" s="30" t="s">
        <v>44</v>
      </c>
      <c r="C33" s="31"/>
      <c r="D33" s="31"/>
      <c r="E33" s="31"/>
      <c r="F33" s="31"/>
      <c r="G33" s="32" t="s">
        <v>45</v>
      </c>
      <c r="H33" s="31"/>
      <c r="I33" s="31"/>
      <c r="J33" s="31"/>
      <c r="K33" s="31"/>
      <c r="L33" s="31"/>
      <c r="M33" s="31"/>
      <c r="N33" s="1"/>
      <c r="O33" s="1"/>
      <c r="P33" s="1"/>
      <c r="Q33" s="1"/>
      <c r="R33" s="30"/>
      <c r="S33" s="31"/>
      <c r="T33" s="1"/>
      <c r="U33" s="1"/>
    </row>
    <row r="34" spans="1:21" x14ac:dyDescent="0.2">
      <c r="A34" s="1"/>
      <c r="B34" s="30" t="s">
        <v>46</v>
      </c>
      <c r="C34" s="31"/>
      <c r="D34" s="31"/>
      <c r="E34" s="31"/>
      <c r="F34" s="31"/>
      <c r="G34" s="32"/>
      <c r="H34" s="31"/>
      <c r="I34" s="31"/>
      <c r="J34" s="31"/>
      <c r="K34" s="31"/>
      <c r="L34" s="31"/>
      <c r="M34" s="31"/>
      <c r="N34" s="1"/>
      <c r="O34" s="1"/>
      <c r="P34" s="1"/>
      <c r="Q34" s="1"/>
      <c r="R34" s="30"/>
      <c r="S34" s="31"/>
      <c r="T34" s="1"/>
      <c r="U34" s="1"/>
    </row>
    <row r="35" spans="1:21" x14ac:dyDescent="0.2">
      <c r="A35" s="1"/>
      <c r="B35" s="30" t="s">
        <v>47</v>
      </c>
      <c r="C35" s="31"/>
      <c r="D35" s="31"/>
      <c r="E35" s="31"/>
      <c r="F35" s="31"/>
      <c r="G35" s="30"/>
      <c r="H35" s="31"/>
      <c r="I35" s="31"/>
      <c r="J35" s="31"/>
      <c r="K35" s="31"/>
      <c r="L35" s="31"/>
      <c r="M35" s="31"/>
      <c r="N35" s="1"/>
      <c r="O35" s="1"/>
      <c r="P35" s="1"/>
      <c r="Q35" s="1"/>
      <c r="R35" s="30"/>
      <c r="S35" s="31"/>
      <c r="T35" s="1"/>
      <c r="U35" s="1"/>
    </row>
    <row r="36" spans="1:21" ht="12.75" hidden="1" customHeight="1" x14ac:dyDescent="0.2"/>
  </sheetData>
  <mergeCells count="100">
    <mergeCell ref="B8:F8"/>
    <mergeCell ref="G8:Q8"/>
    <mergeCell ref="R8:U8"/>
    <mergeCell ref="A1:C2"/>
    <mergeCell ref="E1:R1"/>
    <mergeCell ref="C4:E4"/>
    <mergeCell ref="R4:S4"/>
    <mergeCell ref="B5:F5"/>
    <mergeCell ref="G5:Q5"/>
    <mergeCell ref="R5:S5"/>
    <mergeCell ref="A6:J6"/>
    <mergeCell ref="R6:U6"/>
    <mergeCell ref="C7:E7"/>
    <mergeCell ref="G7:Q7"/>
    <mergeCell ref="R7:U7"/>
    <mergeCell ref="B9:F9"/>
    <mergeCell ref="R9:U9"/>
    <mergeCell ref="B10:F10"/>
    <mergeCell ref="R10:S10"/>
    <mergeCell ref="C11:E11"/>
    <mergeCell ref="R11:S11"/>
    <mergeCell ref="C12:E12"/>
    <mergeCell ref="R12:S12"/>
    <mergeCell ref="B13:G13"/>
    <mergeCell ref="I13:J13"/>
    <mergeCell ref="M13:Q13"/>
    <mergeCell ref="R13:T13"/>
    <mergeCell ref="B14:F14"/>
    <mergeCell ref="I14:J14"/>
    <mergeCell ref="M14:Q14"/>
    <mergeCell ref="R14:T14"/>
    <mergeCell ref="C15:H15"/>
    <mergeCell ref="I15:J15"/>
    <mergeCell ref="N15:O15"/>
    <mergeCell ref="R15:T15"/>
    <mergeCell ref="C16:F16"/>
    <mergeCell ref="I16:J16"/>
    <mergeCell ref="N16:Q16"/>
    <mergeCell ref="R16:T16"/>
    <mergeCell ref="C17:F17"/>
    <mergeCell ref="I17:J17"/>
    <mergeCell ref="N17:Q17"/>
    <mergeCell ref="R17:T17"/>
    <mergeCell ref="C18:G18"/>
    <mergeCell ref="I18:J18"/>
    <mergeCell ref="N18:Q18"/>
    <mergeCell ref="R18:T18"/>
    <mergeCell ref="C19:F19"/>
    <mergeCell ref="I19:J19"/>
    <mergeCell ref="N19:Q19"/>
    <mergeCell ref="R19:T19"/>
    <mergeCell ref="B20:F20"/>
    <mergeCell ref="I20:J20"/>
    <mergeCell ref="M20:O20"/>
    <mergeCell ref="R20:T20"/>
    <mergeCell ref="B21:F21"/>
    <mergeCell ref="I21:J21"/>
    <mergeCell ref="M21:Q21"/>
    <mergeCell ref="R21:T21"/>
    <mergeCell ref="B22:F22"/>
    <mergeCell ref="I22:J22"/>
    <mergeCell ref="M22:O22"/>
    <mergeCell ref="R22:T22"/>
    <mergeCell ref="C23:F23"/>
    <mergeCell ref="I23:J23"/>
    <mergeCell ref="N23:O23"/>
    <mergeCell ref="R23:T23"/>
    <mergeCell ref="C24:F24"/>
    <mergeCell ref="I24:J24"/>
    <mergeCell ref="N24:O24"/>
    <mergeCell ref="R24:T24"/>
    <mergeCell ref="B25:F25"/>
    <mergeCell ref="I25:J25"/>
    <mergeCell ref="N25:O25"/>
    <mergeCell ref="R25:T25"/>
    <mergeCell ref="C26:E26"/>
    <mergeCell ref="R26:S26"/>
    <mergeCell ref="C27:E27"/>
    <mergeCell ref="R27:S27"/>
    <mergeCell ref="C28:E28"/>
    <mergeCell ref="R28:S28"/>
    <mergeCell ref="C29:E29"/>
    <mergeCell ref="R29:S29"/>
    <mergeCell ref="A30:F30"/>
    <mergeCell ref="O30:S30"/>
    <mergeCell ref="B31:F31"/>
    <mergeCell ref="G31:M31"/>
    <mergeCell ref="Q31:T31"/>
    <mergeCell ref="B32:F32"/>
    <mergeCell ref="G32:M32"/>
    <mergeCell ref="R32:S32"/>
    <mergeCell ref="B33:F33"/>
    <mergeCell ref="G33:M33"/>
    <mergeCell ref="R33:S33"/>
    <mergeCell ref="B34:F34"/>
    <mergeCell ref="G34:M34"/>
    <mergeCell ref="R34:S34"/>
    <mergeCell ref="B35:F35"/>
    <mergeCell ref="G35:M35"/>
    <mergeCell ref="R35:S35"/>
  </mergeCells>
  <phoneticPr fontId="0" type="noConversion"/>
  <pageMargins left="0.15000000000000002" right="0.15000000000000002" top="0.08" bottom="0.40500000000000008" header="0.08" footer="0.08"/>
  <pageSetup orientation="landscape" horizontalDpi="0" verticalDpi="0"/>
  <headerFooter alignWithMargins="0">
    <oddFooter xml:space="preserve">&amp;L&amp;"Arial"&amp;9&amp;BDate: 05/23/2025&amp;B &amp;C&amp;R&amp;"Arial"&amp;9&amp;BPage No: &amp;P of &amp;N&amp;B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AA2-31E9-4326-9773-77C60F91EBC3}">
  <dimension ref="A1:U50"/>
  <sheetViews>
    <sheetView showGridLines="0" workbookViewId="0">
      <pane ySplit="3" topLeftCell="A4" activePane="bottomLeft" state="frozenSplit"/>
      <selection pane="bottomLeft" sqref="A1:XFD1048576"/>
    </sheetView>
  </sheetViews>
  <sheetFormatPr defaultRowHeight="12.75" x14ac:dyDescent="0.2"/>
  <cols>
    <col min="1" max="1" width="8.140625" customWidth="1"/>
    <col min="2" max="2" width="4.5703125" customWidth="1"/>
    <col min="3" max="3" width="7.5703125" customWidth="1"/>
    <col min="4" max="4" width="0.7109375" customWidth="1"/>
    <col min="5" max="5" width="1.85546875" customWidth="1"/>
    <col min="6" max="6" width="10.28515625" customWidth="1"/>
    <col min="7" max="7" width="7.42578125" customWidth="1"/>
    <col min="8" max="8" width="8" customWidth="1"/>
    <col min="9" max="9" width="8.5703125" customWidth="1"/>
    <col min="10" max="10" width="8.140625" customWidth="1"/>
    <col min="11" max="11" width="0.42578125" customWidth="1"/>
    <col min="12" max="12" width="8.140625" customWidth="1"/>
    <col min="13" max="13" width="2.5703125" customWidth="1"/>
    <col min="14" max="14" width="10.42578125" customWidth="1"/>
    <col min="15" max="15" width="7.85546875" customWidth="1"/>
    <col min="16" max="16" width="8.42578125" customWidth="1"/>
    <col min="17" max="17" width="9.5703125" customWidth="1"/>
    <col min="18" max="18" width="8.85546875" customWidth="1"/>
    <col min="19" max="19" width="1.5703125" customWidth="1"/>
    <col min="20" max="20" width="11.140625" customWidth="1"/>
    <col min="22" max="22" width="0" hidden="1" customWidth="1"/>
    <col min="23" max="23" width="2" customWidth="1"/>
  </cols>
  <sheetData>
    <row r="1" spans="1:21" ht="23.25" customHeight="1" x14ac:dyDescent="0.2">
      <c r="A1" s="31"/>
      <c r="B1" s="31"/>
      <c r="C1" s="31"/>
      <c r="E1" s="51" t="s">
        <v>3</v>
      </c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21" ht="12.75" customHeight="1" x14ac:dyDescent="0.2">
      <c r="A2" s="31"/>
      <c r="B2" s="31"/>
      <c r="C2" s="31"/>
    </row>
    <row r="3" spans="1:21" ht="15.6" customHeight="1" x14ac:dyDescent="0.2"/>
    <row r="4" spans="1:21" x14ac:dyDescent="0.2">
      <c r="A4" s="1"/>
      <c r="B4" s="1"/>
      <c r="C4" s="30"/>
      <c r="D4" s="31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0"/>
      <c r="S4" s="31"/>
      <c r="T4" s="1"/>
      <c r="U4" s="1"/>
    </row>
    <row r="5" spans="1:21" x14ac:dyDescent="0.2">
      <c r="A5" s="2" t="s">
        <v>4</v>
      </c>
      <c r="B5" s="39" t="s">
        <v>5</v>
      </c>
      <c r="C5" s="31"/>
      <c r="D5" s="31"/>
      <c r="E5" s="31"/>
      <c r="F5" s="31"/>
      <c r="G5" s="50" t="s">
        <v>2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0"/>
      <c r="S5" s="31"/>
      <c r="T5" s="1"/>
      <c r="U5" s="1"/>
    </row>
    <row r="6" spans="1:21" x14ac:dyDescent="0.2">
      <c r="A6" s="39" t="s">
        <v>6</v>
      </c>
      <c r="B6" s="31"/>
      <c r="C6" s="31"/>
      <c r="D6" s="31"/>
      <c r="E6" s="31"/>
      <c r="F6" s="31"/>
      <c r="G6" s="31"/>
      <c r="H6" s="31"/>
      <c r="I6" s="31"/>
      <c r="J6" s="31"/>
      <c r="K6" s="3"/>
      <c r="L6" s="3"/>
      <c r="M6" s="3"/>
      <c r="N6" s="3"/>
      <c r="O6" s="3"/>
      <c r="P6" s="4"/>
      <c r="Q6" s="4"/>
      <c r="R6" s="36" t="s">
        <v>7</v>
      </c>
      <c r="S6" s="31"/>
      <c r="T6" s="31"/>
      <c r="U6" s="31"/>
    </row>
    <row r="7" spans="1:21" x14ac:dyDescent="0.2">
      <c r="A7" s="2"/>
      <c r="B7" s="2"/>
      <c r="C7" s="39"/>
      <c r="D7" s="31"/>
      <c r="E7" s="31"/>
      <c r="F7" s="2"/>
      <c r="G7" s="50" t="s">
        <v>8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9" t="s">
        <v>9</v>
      </c>
      <c r="S7" s="31"/>
      <c r="T7" s="31"/>
      <c r="U7" s="31"/>
    </row>
    <row r="8" spans="1:21" x14ac:dyDescent="0.2">
      <c r="A8" s="2" t="s">
        <v>10</v>
      </c>
      <c r="B8" s="39" t="s">
        <v>11</v>
      </c>
      <c r="C8" s="31"/>
      <c r="D8" s="31"/>
      <c r="E8" s="31"/>
      <c r="F8" s="31"/>
      <c r="G8" s="50" t="s">
        <v>12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6" t="s">
        <v>13</v>
      </c>
      <c r="S8" s="31"/>
      <c r="T8" s="31"/>
      <c r="U8" s="31"/>
    </row>
    <row r="9" spans="1:21" x14ac:dyDescent="0.2">
      <c r="A9" s="2"/>
      <c r="B9" s="39" t="s">
        <v>14</v>
      </c>
      <c r="C9" s="31"/>
      <c r="D9" s="31"/>
      <c r="E9" s="31"/>
      <c r="F9" s="3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36" t="s">
        <v>15</v>
      </c>
      <c r="S9" s="31"/>
      <c r="T9" s="31"/>
      <c r="U9" s="31"/>
    </row>
    <row r="10" spans="1:21" x14ac:dyDescent="0.2">
      <c r="A10" s="6"/>
      <c r="B10" s="39" t="s">
        <v>16</v>
      </c>
      <c r="C10" s="31"/>
      <c r="D10" s="31"/>
      <c r="E10" s="31"/>
      <c r="F10" s="3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30"/>
      <c r="S10" s="31"/>
      <c r="T10" s="1"/>
      <c r="U10" s="1"/>
    </row>
    <row r="11" spans="1:21" ht="22.5" x14ac:dyDescent="0.2">
      <c r="A11" s="25" t="s">
        <v>48</v>
      </c>
      <c r="B11" s="25" t="s">
        <v>49</v>
      </c>
      <c r="C11" s="53" t="s">
        <v>50</v>
      </c>
      <c r="D11" s="54"/>
      <c r="E11" s="54"/>
      <c r="F11" s="25" t="s">
        <v>51</v>
      </c>
      <c r="G11" s="26" t="s">
        <v>52</v>
      </c>
      <c r="H11" s="25" t="s">
        <v>53</v>
      </c>
      <c r="I11" s="25" t="s">
        <v>54</v>
      </c>
      <c r="J11" s="55" t="s">
        <v>55</v>
      </c>
      <c r="K11" s="54"/>
      <c r="L11" s="55" t="s">
        <v>56</v>
      </c>
      <c r="M11" s="54"/>
      <c r="N11" s="26" t="s">
        <v>57</v>
      </c>
      <c r="O11" s="26" t="s">
        <v>58</v>
      </c>
      <c r="P11" s="26" t="s">
        <v>59</v>
      </c>
      <c r="Q11" s="27" t="s">
        <v>60</v>
      </c>
      <c r="R11" s="56" t="s">
        <v>61</v>
      </c>
      <c r="S11" s="54"/>
      <c r="T11" s="27" t="s">
        <v>62</v>
      </c>
      <c r="U11" s="26" t="s">
        <v>63</v>
      </c>
    </row>
    <row r="12" spans="1:21" x14ac:dyDescent="0.2">
      <c r="A12" s="2"/>
      <c r="B12" s="2"/>
      <c r="C12" s="39"/>
      <c r="D12" s="31"/>
      <c r="E12" s="31"/>
      <c r="F12" s="2"/>
      <c r="G12" s="10"/>
      <c r="H12" s="2"/>
      <c r="I12" s="2"/>
      <c r="J12" s="10"/>
      <c r="K12" s="10"/>
      <c r="L12" s="2"/>
      <c r="M12" s="11"/>
      <c r="N12" s="11"/>
      <c r="O12" s="11"/>
      <c r="P12" s="11"/>
      <c r="Q12" s="11"/>
      <c r="R12" s="46"/>
      <c r="S12" s="31"/>
      <c r="T12" s="11"/>
      <c r="U12" s="11"/>
    </row>
    <row r="13" spans="1:21" x14ac:dyDescent="0.2">
      <c r="A13" s="36" t="s">
        <v>64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1"/>
      <c r="Q13" s="1"/>
      <c r="R13" s="30"/>
      <c r="S13" s="31"/>
      <c r="T13" s="1"/>
      <c r="U13" s="1"/>
    </row>
    <row r="14" spans="1:21" ht="22.5" x14ac:dyDescent="0.2">
      <c r="A14" s="1"/>
      <c r="B14" s="1" t="s">
        <v>65</v>
      </c>
      <c r="C14" s="30" t="s">
        <v>66</v>
      </c>
      <c r="D14" s="31"/>
      <c r="E14" s="31"/>
      <c r="F14" s="1" t="s">
        <v>67</v>
      </c>
      <c r="G14" s="28">
        <v>45100</v>
      </c>
      <c r="H14" s="14"/>
      <c r="I14" s="14" t="s">
        <v>68</v>
      </c>
      <c r="J14" s="52">
        <v>45778</v>
      </c>
      <c r="K14" s="31"/>
      <c r="L14" s="52">
        <v>45809</v>
      </c>
      <c r="M14" s="31"/>
      <c r="N14" s="28">
        <v>45787</v>
      </c>
      <c r="O14" s="29" t="s">
        <v>69</v>
      </c>
      <c r="P14" s="15" t="s">
        <v>70</v>
      </c>
      <c r="Q14" s="13">
        <v>67</v>
      </c>
      <c r="R14" s="44" t="s">
        <v>71</v>
      </c>
      <c r="S14" s="31"/>
      <c r="T14" s="13">
        <v>6.03</v>
      </c>
      <c r="U14" s="29" t="s">
        <v>72</v>
      </c>
    </row>
    <row r="15" spans="1:21" ht="22.5" x14ac:dyDescent="0.2">
      <c r="A15" s="1"/>
      <c r="B15" s="1" t="s">
        <v>65</v>
      </c>
      <c r="C15" s="30" t="s">
        <v>73</v>
      </c>
      <c r="D15" s="31"/>
      <c r="E15" s="31"/>
      <c r="F15" s="1" t="s">
        <v>74</v>
      </c>
      <c r="G15" s="28">
        <v>44979</v>
      </c>
      <c r="H15" s="14"/>
      <c r="I15" s="14" t="s">
        <v>75</v>
      </c>
      <c r="J15" s="52">
        <v>45778</v>
      </c>
      <c r="K15" s="31"/>
      <c r="L15" s="52">
        <v>45809</v>
      </c>
      <c r="M15" s="31"/>
      <c r="N15" s="28">
        <v>45787</v>
      </c>
      <c r="O15" s="29" t="s">
        <v>69</v>
      </c>
      <c r="P15" s="15" t="s">
        <v>70</v>
      </c>
      <c r="Q15" s="13">
        <v>9</v>
      </c>
      <c r="R15" s="44" t="s">
        <v>71</v>
      </c>
      <c r="S15" s="31"/>
      <c r="T15" s="13">
        <v>0.81</v>
      </c>
      <c r="U15" s="29" t="s">
        <v>72</v>
      </c>
    </row>
    <row r="16" spans="1:21" x14ac:dyDescent="0.2">
      <c r="A16" s="36" t="s">
        <v>76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1"/>
      <c r="Q16" s="1"/>
      <c r="R16" s="30"/>
      <c r="S16" s="31"/>
      <c r="T16" s="1"/>
      <c r="U16" s="1"/>
    </row>
    <row r="17" spans="1:21" ht="22.5" x14ac:dyDescent="0.2">
      <c r="A17" s="1"/>
      <c r="B17" s="1" t="s">
        <v>65</v>
      </c>
      <c r="C17" s="30" t="s">
        <v>77</v>
      </c>
      <c r="D17" s="31"/>
      <c r="E17" s="31"/>
      <c r="F17" s="1" t="s">
        <v>78</v>
      </c>
      <c r="G17" s="28">
        <v>44903</v>
      </c>
      <c r="H17" s="14"/>
      <c r="I17" s="14" t="s">
        <v>79</v>
      </c>
      <c r="J17" s="52">
        <v>45778</v>
      </c>
      <c r="K17" s="31"/>
      <c r="L17" s="52">
        <v>45809</v>
      </c>
      <c r="M17" s="31"/>
      <c r="N17" s="28">
        <v>45787</v>
      </c>
      <c r="O17" s="29" t="s">
        <v>69</v>
      </c>
      <c r="P17" s="15" t="s">
        <v>70</v>
      </c>
      <c r="Q17" s="13">
        <v>60.5</v>
      </c>
      <c r="R17" s="44" t="s">
        <v>71</v>
      </c>
      <c r="S17" s="31"/>
      <c r="T17" s="13">
        <v>5.45</v>
      </c>
      <c r="U17" s="29" t="s">
        <v>72</v>
      </c>
    </row>
    <row r="18" spans="1:21" ht="22.5" x14ac:dyDescent="0.2">
      <c r="A18" s="1"/>
      <c r="B18" s="1" t="s">
        <v>65</v>
      </c>
      <c r="C18" s="30" t="s">
        <v>80</v>
      </c>
      <c r="D18" s="31"/>
      <c r="E18" s="31"/>
      <c r="F18" s="1" t="s">
        <v>81</v>
      </c>
      <c r="G18" s="28">
        <v>44947</v>
      </c>
      <c r="H18" s="14"/>
      <c r="I18" s="14" t="s">
        <v>75</v>
      </c>
      <c r="J18" s="52">
        <v>45778</v>
      </c>
      <c r="K18" s="31"/>
      <c r="L18" s="52">
        <v>45809</v>
      </c>
      <c r="M18" s="31"/>
      <c r="N18" s="28">
        <v>45786</v>
      </c>
      <c r="O18" s="29" t="s">
        <v>69</v>
      </c>
      <c r="P18" s="15" t="s">
        <v>70</v>
      </c>
      <c r="Q18" s="13">
        <v>16</v>
      </c>
      <c r="R18" s="44" t="s">
        <v>71</v>
      </c>
      <c r="S18" s="31"/>
      <c r="T18" s="13">
        <v>1.44</v>
      </c>
      <c r="U18" s="29" t="s">
        <v>72</v>
      </c>
    </row>
    <row r="19" spans="1:21" ht="22.5" x14ac:dyDescent="0.2">
      <c r="A19" s="1"/>
      <c r="B19" s="1" t="s">
        <v>65</v>
      </c>
      <c r="C19" s="30" t="s">
        <v>82</v>
      </c>
      <c r="D19" s="31"/>
      <c r="E19" s="31"/>
      <c r="F19" s="1" t="s">
        <v>83</v>
      </c>
      <c r="G19" s="28">
        <v>44979</v>
      </c>
      <c r="H19" s="14"/>
      <c r="I19" s="14" t="s">
        <v>84</v>
      </c>
      <c r="J19" s="52">
        <v>45778</v>
      </c>
      <c r="K19" s="31"/>
      <c r="L19" s="52">
        <v>45809</v>
      </c>
      <c r="M19" s="31"/>
      <c r="N19" s="28">
        <v>45787</v>
      </c>
      <c r="O19" s="29" t="s">
        <v>69</v>
      </c>
      <c r="P19" s="15" t="s">
        <v>70</v>
      </c>
      <c r="Q19" s="13">
        <v>98.66</v>
      </c>
      <c r="R19" s="44" t="s">
        <v>71</v>
      </c>
      <c r="S19" s="31"/>
      <c r="T19" s="13">
        <v>8.8800000000000008</v>
      </c>
      <c r="U19" s="29" t="s">
        <v>72</v>
      </c>
    </row>
    <row r="20" spans="1:21" x14ac:dyDescent="0.2">
      <c r="A20" s="36" t="s">
        <v>85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1"/>
      <c r="Q20" s="1"/>
      <c r="R20" s="30"/>
      <c r="S20" s="31"/>
      <c r="T20" s="1"/>
      <c r="U20" s="1"/>
    </row>
    <row r="21" spans="1:21" ht="22.5" x14ac:dyDescent="0.2">
      <c r="A21" s="1"/>
      <c r="B21" s="1" t="s">
        <v>65</v>
      </c>
      <c r="C21" s="30" t="s">
        <v>86</v>
      </c>
      <c r="D21" s="31"/>
      <c r="E21" s="31"/>
      <c r="F21" s="1" t="s">
        <v>87</v>
      </c>
      <c r="G21" s="28">
        <v>45253</v>
      </c>
      <c r="H21" s="14"/>
      <c r="I21" s="14" t="s">
        <v>88</v>
      </c>
      <c r="J21" s="52">
        <v>45778</v>
      </c>
      <c r="K21" s="31"/>
      <c r="L21" s="52">
        <v>45809</v>
      </c>
      <c r="M21" s="31"/>
      <c r="N21" s="28">
        <v>45787</v>
      </c>
      <c r="O21" s="29" t="s">
        <v>69</v>
      </c>
      <c r="P21" s="15" t="s">
        <v>70</v>
      </c>
      <c r="Q21" s="13">
        <v>30.03</v>
      </c>
      <c r="R21" s="44" t="s">
        <v>89</v>
      </c>
      <c r="S21" s="31"/>
      <c r="T21" s="13">
        <v>1.35</v>
      </c>
      <c r="U21" s="29" t="s">
        <v>72</v>
      </c>
    </row>
    <row r="22" spans="1:21" ht="22.5" x14ac:dyDescent="0.2">
      <c r="A22" s="1"/>
      <c r="B22" s="1" t="s">
        <v>65</v>
      </c>
      <c r="C22" s="30" t="s">
        <v>90</v>
      </c>
      <c r="D22" s="31"/>
      <c r="E22" s="31"/>
      <c r="F22" s="1" t="s">
        <v>91</v>
      </c>
      <c r="G22" s="28">
        <v>45237</v>
      </c>
      <c r="H22" s="14"/>
      <c r="I22" s="14" t="s">
        <v>92</v>
      </c>
      <c r="J22" s="52">
        <v>45778</v>
      </c>
      <c r="K22" s="31"/>
      <c r="L22" s="52">
        <v>45809</v>
      </c>
      <c r="M22" s="31"/>
      <c r="N22" s="28">
        <v>45786</v>
      </c>
      <c r="O22" s="29" t="s">
        <v>69</v>
      </c>
      <c r="P22" s="15" t="s">
        <v>70</v>
      </c>
      <c r="Q22" s="13">
        <v>112.72</v>
      </c>
      <c r="R22" s="44" t="s">
        <v>93</v>
      </c>
      <c r="S22" s="31"/>
      <c r="T22" s="13">
        <v>20.29</v>
      </c>
      <c r="U22" s="29" t="s">
        <v>72</v>
      </c>
    </row>
    <row r="23" spans="1:21" ht="22.5" x14ac:dyDescent="0.2">
      <c r="A23" s="1"/>
      <c r="B23" s="1" t="s">
        <v>65</v>
      </c>
      <c r="C23" s="30" t="s">
        <v>94</v>
      </c>
      <c r="D23" s="31"/>
      <c r="E23" s="31"/>
      <c r="F23" s="1" t="s">
        <v>95</v>
      </c>
      <c r="G23" s="28">
        <v>44945</v>
      </c>
      <c r="H23" s="14"/>
      <c r="I23" s="14" t="s">
        <v>96</v>
      </c>
      <c r="J23" s="52">
        <v>45778</v>
      </c>
      <c r="K23" s="31"/>
      <c r="L23" s="52">
        <v>45809</v>
      </c>
      <c r="M23" s="31"/>
      <c r="N23" s="28">
        <v>45786</v>
      </c>
      <c r="O23" s="29" t="s">
        <v>69</v>
      </c>
      <c r="P23" s="15" t="s">
        <v>70</v>
      </c>
      <c r="Q23" s="13">
        <v>19</v>
      </c>
      <c r="R23" s="44" t="s">
        <v>97</v>
      </c>
      <c r="S23" s="31"/>
      <c r="T23" s="13">
        <v>0.56999999999999995</v>
      </c>
      <c r="U23" s="29" t="s">
        <v>72</v>
      </c>
    </row>
    <row r="24" spans="1:21" ht="22.5" x14ac:dyDescent="0.2">
      <c r="A24" s="1"/>
      <c r="B24" s="1" t="s">
        <v>65</v>
      </c>
      <c r="C24" s="30" t="s">
        <v>98</v>
      </c>
      <c r="D24" s="31"/>
      <c r="E24" s="31"/>
      <c r="F24" s="1" t="s">
        <v>99</v>
      </c>
      <c r="G24" s="28">
        <v>45007</v>
      </c>
      <c r="H24" s="14"/>
      <c r="I24" s="14" t="s">
        <v>100</v>
      </c>
      <c r="J24" s="52">
        <v>45778</v>
      </c>
      <c r="K24" s="31"/>
      <c r="L24" s="52">
        <v>45809</v>
      </c>
      <c r="M24" s="31"/>
      <c r="N24" s="28">
        <v>45787</v>
      </c>
      <c r="O24" s="29" t="s">
        <v>69</v>
      </c>
      <c r="P24" s="15" t="s">
        <v>70</v>
      </c>
      <c r="Q24" s="13">
        <v>58.63</v>
      </c>
      <c r="R24" s="44" t="s">
        <v>97</v>
      </c>
      <c r="S24" s="31"/>
      <c r="T24" s="13">
        <v>1.76</v>
      </c>
      <c r="U24" s="29" t="s">
        <v>72</v>
      </c>
    </row>
    <row r="25" spans="1:21" ht="22.5" x14ac:dyDescent="0.2">
      <c r="A25" s="1"/>
      <c r="B25" s="1" t="s">
        <v>65</v>
      </c>
      <c r="C25" s="30" t="s">
        <v>101</v>
      </c>
      <c r="D25" s="31"/>
      <c r="E25" s="31"/>
      <c r="F25" s="1" t="s">
        <v>102</v>
      </c>
      <c r="G25" s="28">
        <v>45050</v>
      </c>
      <c r="H25" s="14"/>
      <c r="I25" s="14" t="s">
        <v>103</v>
      </c>
      <c r="J25" s="52">
        <v>45782</v>
      </c>
      <c r="K25" s="31"/>
      <c r="L25" s="52">
        <v>45809</v>
      </c>
      <c r="M25" s="31"/>
      <c r="N25" s="28">
        <v>45787</v>
      </c>
      <c r="O25" s="29" t="s">
        <v>69</v>
      </c>
      <c r="P25" s="15" t="s">
        <v>70</v>
      </c>
      <c r="Q25" s="13">
        <v>28.45</v>
      </c>
      <c r="R25" s="44" t="s">
        <v>97</v>
      </c>
      <c r="S25" s="31"/>
      <c r="T25" s="13">
        <v>0.85</v>
      </c>
      <c r="U25" s="29" t="s">
        <v>72</v>
      </c>
    </row>
    <row r="26" spans="1:21" ht="22.5" x14ac:dyDescent="0.2">
      <c r="A26" s="1"/>
      <c r="B26" s="1" t="s">
        <v>65</v>
      </c>
      <c r="C26" s="30" t="s">
        <v>101</v>
      </c>
      <c r="D26" s="31"/>
      <c r="E26" s="31"/>
      <c r="F26" s="1" t="s">
        <v>102</v>
      </c>
      <c r="G26" s="28">
        <v>45050</v>
      </c>
      <c r="H26" s="14"/>
      <c r="I26" s="14" t="s">
        <v>103</v>
      </c>
      <c r="J26" s="52">
        <v>45778</v>
      </c>
      <c r="K26" s="31"/>
      <c r="L26" s="52">
        <v>45781</v>
      </c>
      <c r="M26" s="31"/>
      <c r="N26" s="28">
        <v>45787</v>
      </c>
      <c r="O26" s="29" t="s">
        <v>69</v>
      </c>
      <c r="P26" s="15" t="s">
        <v>70</v>
      </c>
      <c r="Q26" s="13">
        <v>3.05</v>
      </c>
      <c r="R26" s="44" t="s">
        <v>97</v>
      </c>
      <c r="S26" s="31"/>
      <c r="T26" s="13">
        <v>0.09</v>
      </c>
      <c r="U26" s="29" t="s">
        <v>72</v>
      </c>
    </row>
    <row r="27" spans="1:21" ht="22.5" x14ac:dyDescent="0.2">
      <c r="A27" s="1"/>
      <c r="B27" s="1" t="s">
        <v>65</v>
      </c>
      <c r="C27" s="30" t="s">
        <v>104</v>
      </c>
      <c r="D27" s="31"/>
      <c r="E27" s="31"/>
      <c r="F27" s="1" t="s">
        <v>105</v>
      </c>
      <c r="G27" s="28">
        <v>45292</v>
      </c>
      <c r="H27" s="14"/>
      <c r="I27" s="14" t="s">
        <v>88</v>
      </c>
      <c r="J27" s="52">
        <v>45778</v>
      </c>
      <c r="K27" s="31"/>
      <c r="L27" s="52">
        <v>45778</v>
      </c>
      <c r="M27" s="31"/>
      <c r="N27" s="28">
        <v>45786</v>
      </c>
      <c r="O27" s="29" t="s">
        <v>69</v>
      </c>
      <c r="P27" s="15" t="s">
        <v>70</v>
      </c>
      <c r="Q27" s="13">
        <v>-29.36</v>
      </c>
      <c r="R27" s="44" t="s">
        <v>89</v>
      </c>
      <c r="S27" s="31"/>
      <c r="T27" s="13">
        <v>-1.32</v>
      </c>
      <c r="U27" s="29" t="s">
        <v>72</v>
      </c>
    </row>
    <row r="28" spans="1:21" ht="22.5" x14ac:dyDescent="0.2">
      <c r="A28" s="1"/>
      <c r="B28" s="1" t="s">
        <v>65</v>
      </c>
      <c r="C28" s="30" t="s">
        <v>106</v>
      </c>
      <c r="D28" s="31"/>
      <c r="E28" s="31"/>
      <c r="F28" s="1" t="s">
        <v>105</v>
      </c>
      <c r="G28" s="28">
        <v>45292</v>
      </c>
      <c r="H28" s="14"/>
      <c r="I28" s="14" t="s">
        <v>92</v>
      </c>
      <c r="J28" s="52">
        <v>45778</v>
      </c>
      <c r="K28" s="31"/>
      <c r="L28" s="52">
        <v>45778</v>
      </c>
      <c r="M28" s="31"/>
      <c r="N28" s="28">
        <v>45786</v>
      </c>
      <c r="O28" s="29" t="s">
        <v>69</v>
      </c>
      <c r="P28" s="15" t="s">
        <v>70</v>
      </c>
      <c r="Q28" s="13">
        <v>-29.05</v>
      </c>
      <c r="R28" s="44" t="s">
        <v>71</v>
      </c>
      <c r="S28" s="31"/>
      <c r="T28" s="13">
        <v>-2.61</v>
      </c>
      <c r="U28" s="29" t="s">
        <v>72</v>
      </c>
    </row>
    <row r="29" spans="1:21" ht="22.5" x14ac:dyDescent="0.2">
      <c r="A29" s="1"/>
      <c r="B29" s="1" t="s">
        <v>65</v>
      </c>
      <c r="C29" s="30" t="s">
        <v>107</v>
      </c>
      <c r="D29" s="31"/>
      <c r="E29" s="31"/>
      <c r="F29" s="1" t="s">
        <v>105</v>
      </c>
      <c r="G29" s="28">
        <v>45292</v>
      </c>
      <c r="H29" s="14"/>
      <c r="I29" s="14" t="s">
        <v>108</v>
      </c>
      <c r="J29" s="52">
        <v>45778</v>
      </c>
      <c r="K29" s="31"/>
      <c r="L29" s="52">
        <v>45778</v>
      </c>
      <c r="M29" s="31"/>
      <c r="N29" s="28">
        <v>45786</v>
      </c>
      <c r="O29" s="29" t="s">
        <v>69</v>
      </c>
      <c r="P29" s="15" t="s">
        <v>70</v>
      </c>
      <c r="Q29" s="13">
        <v>-13.28</v>
      </c>
      <c r="R29" s="44" t="s">
        <v>109</v>
      </c>
      <c r="S29" s="31"/>
      <c r="T29" s="13">
        <v>-0.93</v>
      </c>
      <c r="U29" s="29" t="s">
        <v>72</v>
      </c>
    </row>
    <row r="30" spans="1:21" ht="33.75" x14ac:dyDescent="0.2">
      <c r="A30" s="1"/>
      <c r="B30" s="1" t="s">
        <v>65</v>
      </c>
      <c r="C30" s="30" t="s">
        <v>110</v>
      </c>
      <c r="D30" s="31"/>
      <c r="E30" s="31"/>
      <c r="F30" s="1" t="s">
        <v>111</v>
      </c>
      <c r="G30" s="28">
        <v>45343</v>
      </c>
      <c r="H30" s="14"/>
      <c r="I30" s="14" t="s">
        <v>88</v>
      </c>
      <c r="J30" s="52">
        <v>45778</v>
      </c>
      <c r="K30" s="31"/>
      <c r="L30" s="52">
        <v>45809</v>
      </c>
      <c r="M30" s="31"/>
      <c r="N30" s="28">
        <v>45786</v>
      </c>
      <c r="O30" s="29" t="s">
        <v>69</v>
      </c>
      <c r="P30" s="15" t="s">
        <v>70</v>
      </c>
      <c r="Q30" s="13">
        <v>38.71</v>
      </c>
      <c r="R30" s="44" t="s">
        <v>89</v>
      </c>
      <c r="S30" s="31"/>
      <c r="T30" s="13">
        <v>1.74</v>
      </c>
      <c r="U30" s="29" t="s">
        <v>72</v>
      </c>
    </row>
    <row r="31" spans="1:21" ht="33.75" x14ac:dyDescent="0.2">
      <c r="A31" s="1"/>
      <c r="B31" s="1" t="s">
        <v>65</v>
      </c>
      <c r="C31" s="30" t="s">
        <v>112</v>
      </c>
      <c r="D31" s="31"/>
      <c r="E31" s="31"/>
      <c r="F31" s="1" t="s">
        <v>111</v>
      </c>
      <c r="G31" s="28">
        <v>45343</v>
      </c>
      <c r="H31" s="14"/>
      <c r="I31" s="14" t="s">
        <v>92</v>
      </c>
      <c r="J31" s="52">
        <v>45778</v>
      </c>
      <c r="K31" s="31"/>
      <c r="L31" s="52">
        <v>45809</v>
      </c>
      <c r="M31" s="31"/>
      <c r="N31" s="28">
        <v>45786</v>
      </c>
      <c r="O31" s="29" t="s">
        <v>69</v>
      </c>
      <c r="P31" s="15" t="s">
        <v>70</v>
      </c>
      <c r="Q31" s="13">
        <v>23.37</v>
      </c>
      <c r="R31" s="44" t="s">
        <v>71</v>
      </c>
      <c r="S31" s="31"/>
      <c r="T31" s="13">
        <v>2.1</v>
      </c>
      <c r="U31" s="29" t="s">
        <v>72</v>
      </c>
    </row>
    <row r="32" spans="1:21" x14ac:dyDescent="0.2">
      <c r="A32" s="36" t="s">
        <v>113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1"/>
      <c r="Q32" s="1"/>
      <c r="R32" s="30"/>
      <c r="S32" s="31"/>
      <c r="T32" s="1"/>
      <c r="U32" s="1"/>
    </row>
    <row r="33" spans="1:21" ht="22.5" x14ac:dyDescent="0.2">
      <c r="A33" s="1"/>
      <c r="B33" s="1" t="s">
        <v>65</v>
      </c>
      <c r="C33" s="30" t="s">
        <v>114</v>
      </c>
      <c r="D33" s="31"/>
      <c r="E33" s="31"/>
      <c r="F33" s="1" t="s">
        <v>115</v>
      </c>
      <c r="G33" s="28">
        <v>45250</v>
      </c>
      <c r="H33" s="14"/>
      <c r="I33" s="14" t="s">
        <v>116</v>
      </c>
      <c r="J33" s="52">
        <v>45778</v>
      </c>
      <c r="K33" s="31"/>
      <c r="L33" s="52">
        <v>45809</v>
      </c>
      <c r="M33" s="31"/>
      <c r="N33" s="28">
        <v>45786</v>
      </c>
      <c r="O33" s="29" t="s">
        <v>69</v>
      </c>
      <c r="P33" s="15" t="s">
        <v>70</v>
      </c>
      <c r="Q33" s="13">
        <v>12</v>
      </c>
      <c r="R33" s="44" t="s">
        <v>71</v>
      </c>
      <c r="S33" s="31"/>
      <c r="T33" s="13">
        <v>1.08</v>
      </c>
      <c r="U33" s="29" t="s">
        <v>72</v>
      </c>
    </row>
    <row r="34" spans="1:21" ht="22.5" x14ac:dyDescent="0.2">
      <c r="A34" s="1"/>
      <c r="B34" s="1" t="s">
        <v>65</v>
      </c>
      <c r="C34" s="30" t="s">
        <v>117</v>
      </c>
      <c r="D34" s="31"/>
      <c r="E34" s="31"/>
      <c r="F34" s="1" t="s">
        <v>115</v>
      </c>
      <c r="G34" s="28">
        <v>45250</v>
      </c>
      <c r="H34" s="14"/>
      <c r="I34" s="14" t="s">
        <v>118</v>
      </c>
      <c r="J34" s="52">
        <v>45778</v>
      </c>
      <c r="K34" s="31"/>
      <c r="L34" s="52">
        <v>45809</v>
      </c>
      <c r="M34" s="31"/>
      <c r="N34" s="28">
        <v>45786</v>
      </c>
      <c r="O34" s="29" t="s">
        <v>69</v>
      </c>
      <c r="P34" s="15" t="s">
        <v>70</v>
      </c>
      <c r="Q34" s="13">
        <v>13.2</v>
      </c>
      <c r="R34" s="44" t="s">
        <v>71</v>
      </c>
      <c r="S34" s="31"/>
      <c r="T34" s="13">
        <v>1.19</v>
      </c>
      <c r="U34" s="29" t="s">
        <v>72</v>
      </c>
    </row>
    <row r="35" spans="1:21" ht="33.75" x14ac:dyDescent="0.2">
      <c r="A35" s="1"/>
      <c r="B35" s="1" t="s">
        <v>65</v>
      </c>
      <c r="C35" s="30" t="s">
        <v>119</v>
      </c>
      <c r="D35" s="31"/>
      <c r="E35" s="31"/>
      <c r="F35" s="1" t="s">
        <v>120</v>
      </c>
      <c r="G35" s="28">
        <v>45250</v>
      </c>
      <c r="H35" s="14"/>
      <c r="I35" s="14" t="s">
        <v>88</v>
      </c>
      <c r="J35" s="52">
        <v>45778</v>
      </c>
      <c r="K35" s="31"/>
      <c r="L35" s="52">
        <v>45809</v>
      </c>
      <c r="M35" s="31"/>
      <c r="N35" s="28">
        <v>45786</v>
      </c>
      <c r="O35" s="29" t="s">
        <v>69</v>
      </c>
      <c r="P35" s="15" t="s">
        <v>70</v>
      </c>
      <c r="Q35" s="13">
        <v>30.03</v>
      </c>
      <c r="R35" s="44" t="s">
        <v>89</v>
      </c>
      <c r="S35" s="31"/>
      <c r="T35" s="13">
        <v>1.35</v>
      </c>
      <c r="U35" s="29" t="s">
        <v>72</v>
      </c>
    </row>
    <row r="36" spans="1:21" ht="22.5" x14ac:dyDescent="0.2">
      <c r="A36" s="1"/>
      <c r="B36" s="1" t="s">
        <v>65</v>
      </c>
      <c r="C36" s="30" t="s">
        <v>121</v>
      </c>
      <c r="D36" s="31"/>
      <c r="E36" s="31"/>
      <c r="F36" s="1" t="s">
        <v>122</v>
      </c>
      <c r="G36" s="28">
        <v>45254</v>
      </c>
      <c r="H36" s="14"/>
      <c r="I36" s="14" t="s">
        <v>123</v>
      </c>
      <c r="J36" s="52">
        <v>45778</v>
      </c>
      <c r="K36" s="31"/>
      <c r="L36" s="52">
        <v>45809</v>
      </c>
      <c r="M36" s="31"/>
      <c r="N36" s="28">
        <v>45787</v>
      </c>
      <c r="O36" s="29" t="s">
        <v>69</v>
      </c>
      <c r="P36" s="15" t="s">
        <v>70</v>
      </c>
      <c r="Q36" s="13">
        <v>53</v>
      </c>
      <c r="R36" s="44" t="s">
        <v>71</v>
      </c>
      <c r="S36" s="31"/>
      <c r="T36" s="13">
        <v>4.7699999999999996</v>
      </c>
      <c r="U36" s="29" t="s">
        <v>72</v>
      </c>
    </row>
    <row r="37" spans="1:21" ht="22.5" x14ac:dyDescent="0.2">
      <c r="A37" s="1"/>
      <c r="B37" s="1" t="s">
        <v>65</v>
      </c>
      <c r="C37" s="30" t="s">
        <v>124</v>
      </c>
      <c r="D37" s="31"/>
      <c r="E37" s="31"/>
      <c r="F37" s="1" t="s">
        <v>122</v>
      </c>
      <c r="G37" s="28">
        <v>45254</v>
      </c>
      <c r="H37" s="14"/>
      <c r="I37" s="14" t="s">
        <v>125</v>
      </c>
      <c r="J37" s="52">
        <v>45778</v>
      </c>
      <c r="K37" s="31"/>
      <c r="L37" s="52">
        <v>45809</v>
      </c>
      <c r="M37" s="31"/>
      <c r="N37" s="28">
        <v>45787</v>
      </c>
      <c r="O37" s="29" t="s">
        <v>69</v>
      </c>
      <c r="P37" s="15" t="s">
        <v>70</v>
      </c>
      <c r="Q37" s="13">
        <v>47.6</v>
      </c>
      <c r="R37" s="44" t="s">
        <v>71</v>
      </c>
      <c r="S37" s="31"/>
      <c r="T37" s="13">
        <v>4.28</v>
      </c>
      <c r="U37" s="29" t="s">
        <v>72</v>
      </c>
    </row>
    <row r="38" spans="1:21" x14ac:dyDescent="0.2">
      <c r="A38" s="36" t="s">
        <v>126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1"/>
      <c r="Q38" s="1"/>
      <c r="R38" s="30"/>
      <c r="S38" s="31"/>
      <c r="T38" s="1"/>
      <c r="U38" s="1"/>
    </row>
    <row r="39" spans="1:21" ht="22.5" x14ac:dyDescent="0.2">
      <c r="A39" s="1"/>
      <c r="B39" s="1" t="s">
        <v>65</v>
      </c>
      <c r="C39" s="30" t="s">
        <v>127</v>
      </c>
      <c r="D39" s="31"/>
      <c r="E39" s="31"/>
      <c r="F39" s="1" t="s">
        <v>128</v>
      </c>
      <c r="G39" s="28">
        <v>44902</v>
      </c>
      <c r="H39" s="14"/>
      <c r="I39" s="14" t="s">
        <v>129</v>
      </c>
      <c r="J39" s="52">
        <v>45778</v>
      </c>
      <c r="K39" s="31"/>
      <c r="L39" s="52">
        <v>45809</v>
      </c>
      <c r="M39" s="31"/>
      <c r="N39" s="28">
        <v>45786</v>
      </c>
      <c r="O39" s="29" t="s">
        <v>69</v>
      </c>
      <c r="P39" s="15" t="s">
        <v>70</v>
      </c>
      <c r="Q39" s="13">
        <v>111.5</v>
      </c>
      <c r="R39" s="44" t="s">
        <v>71</v>
      </c>
      <c r="S39" s="31"/>
      <c r="T39" s="13">
        <v>10.039999999999999</v>
      </c>
      <c r="U39" s="29" t="s">
        <v>72</v>
      </c>
    </row>
    <row r="40" spans="1:21" ht="33.75" x14ac:dyDescent="0.2">
      <c r="A40" s="1"/>
      <c r="B40" s="1" t="s">
        <v>65</v>
      </c>
      <c r="C40" s="30" t="s">
        <v>130</v>
      </c>
      <c r="D40" s="31"/>
      <c r="E40" s="31"/>
      <c r="F40" s="1" t="s">
        <v>131</v>
      </c>
      <c r="G40" s="28">
        <v>44858</v>
      </c>
      <c r="H40" s="14"/>
      <c r="I40" s="14" t="s">
        <v>132</v>
      </c>
      <c r="J40" s="52">
        <v>45778</v>
      </c>
      <c r="K40" s="31"/>
      <c r="L40" s="52">
        <v>45809</v>
      </c>
      <c r="M40" s="31"/>
      <c r="N40" s="28">
        <v>45787</v>
      </c>
      <c r="O40" s="29" t="s">
        <v>69</v>
      </c>
      <c r="P40" s="15" t="s">
        <v>70</v>
      </c>
      <c r="Q40" s="13">
        <v>64.430000000000007</v>
      </c>
      <c r="R40" s="44" t="s">
        <v>71</v>
      </c>
      <c r="S40" s="31"/>
      <c r="T40" s="13">
        <v>5.8</v>
      </c>
      <c r="U40" s="29" t="s">
        <v>72</v>
      </c>
    </row>
    <row r="41" spans="1:21" x14ac:dyDescent="0.2">
      <c r="A41" s="36" t="s">
        <v>133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1"/>
      <c r="Q41" s="1"/>
      <c r="R41" s="30"/>
      <c r="S41" s="31"/>
      <c r="T41" s="1"/>
      <c r="U41" s="1"/>
    </row>
    <row r="42" spans="1:21" ht="22.5" x14ac:dyDescent="0.2">
      <c r="A42" s="1"/>
      <c r="B42" s="1" t="s">
        <v>65</v>
      </c>
      <c r="C42" s="30" t="s">
        <v>134</v>
      </c>
      <c r="D42" s="31"/>
      <c r="E42" s="31"/>
      <c r="F42" s="1" t="s">
        <v>135</v>
      </c>
      <c r="G42" s="28">
        <v>44902</v>
      </c>
      <c r="H42" s="14"/>
      <c r="I42" s="14" t="s">
        <v>84</v>
      </c>
      <c r="J42" s="52">
        <v>45778</v>
      </c>
      <c r="K42" s="31"/>
      <c r="L42" s="52">
        <v>45809</v>
      </c>
      <c r="M42" s="31"/>
      <c r="N42" s="28">
        <v>45786</v>
      </c>
      <c r="O42" s="29" t="s">
        <v>69</v>
      </c>
      <c r="P42" s="15" t="s">
        <v>70</v>
      </c>
      <c r="Q42" s="13">
        <v>129</v>
      </c>
      <c r="R42" s="44" t="s">
        <v>71</v>
      </c>
      <c r="S42" s="31"/>
      <c r="T42" s="13">
        <v>11.61</v>
      </c>
      <c r="U42" s="29" t="s">
        <v>72</v>
      </c>
    </row>
    <row r="43" spans="1:21" ht="22.5" x14ac:dyDescent="0.2">
      <c r="A43" s="1"/>
      <c r="B43" s="1" t="s">
        <v>65</v>
      </c>
      <c r="C43" s="30" t="s">
        <v>136</v>
      </c>
      <c r="D43" s="31"/>
      <c r="E43" s="31"/>
      <c r="F43" s="1" t="s">
        <v>137</v>
      </c>
      <c r="G43" s="28">
        <v>44872</v>
      </c>
      <c r="H43" s="14"/>
      <c r="I43" s="14" t="s">
        <v>138</v>
      </c>
      <c r="J43" s="52">
        <v>45778</v>
      </c>
      <c r="K43" s="31"/>
      <c r="L43" s="52">
        <v>45809</v>
      </c>
      <c r="M43" s="31"/>
      <c r="N43" s="28">
        <v>45786</v>
      </c>
      <c r="O43" s="29" t="s">
        <v>69</v>
      </c>
      <c r="P43" s="15" t="s">
        <v>70</v>
      </c>
      <c r="Q43" s="13">
        <v>16</v>
      </c>
      <c r="R43" s="44" t="s">
        <v>71</v>
      </c>
      <c r="S43" s="31"/>
      <c r="T43" s="13">
        <v>1.44</v>
      </c>
      <c r="U43" s="29" t="s">
        <v>72</v>
      </c>
    </row>
    <row r="44" spans="1:21" x14ac:dyDescent="0.2">
      <c r="A44" s="36" t="s">
        <v>139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1"/>
      <c r="Q44" s="1"/>
      <c r="R44" s="30"/>
      <c r="S44" s="31"/>
      <c r="T44" s="1"/>
      <c r="U44" s="1"/>
    </row>
    <row r="45" spans="1:21" ht="22.5" x14ac:dyDescent="0.2">
      <c r="A45" s="1"/>
      <c r="B45" s="1" t="s">
        <v>65</v>
      </c>
      <c r="C45" s="30" t="s">
        <v>140</v>
      </c>
      <c r="D45" s="31"/>
      <c r="E45" s="31"/>
      <c r="F45" s="1" t="s">
        <v>141</v>
      </c>
      <c r="G45" s="28">
        <v>45373</v>
      </c>
      <c r="H45" s="14"/>
      <c r="I45" s="14" t="s">
        <v>142</v>
      </c>
      <c r="J45" s="52">
        <v>45778</v>
      </c>
      <c r="K45" s="31"/>
      <c r="L45" s="52">
        <v>45809</v>
      </c>
      <c r="M45" s="31"/>
      <c r="N45" s="28">
        <v>45787</v>
      </c>
      <c r="O45" s="29" t="s">
        <v>69</v>
      </c>
      <c r="P45" s="15" t="s">
        <v>70</v>
      </c>
      <c r="Q45" s="13">
        <v>49.7</v>
      </c>
      <c r="R45" s="44" t="s">
        <v>97</v>
      </c>
      <c r="S45" s="31"/>
      <c r="T45" s="13">
        <v>1.49</v>
      </c>
      <c r="U45" s="29" t="s">
        <v>72</v>
      </c>
    </row>
    <row r="46" spans="1:21" x14ac:dyDescent="0.2">
      <c r="A46" s="1"/>
      <c r="B46" s="1"/>
      <c r="C46" s="30"/>
      <c r="D46" s="31"/>
      <c r="E46" s="3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39" t="s">
        <v>143</v>
      </c>
      <c r="S46" s="31"/>
      <c r="T46" s="17">
        <v>89.55</v>
      </c>
      <c r="U46" s="2"/>
    </row>
    <row r="47" spans="1:21" x14ac:dyDescent="0.2">
      <c r="A47" s="1"/>
      <c r="B47" s="1"/>
      <c r="C47" s="30"/>
      <c r="D47" s="31"/>
      <c r="E47" s="3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30"/>
      <c r="S47" s="31"/>
      <c r="T47" s="1"/>
      <c r="U47" s="1"/>
    </row>
    <row r="48" spans="1:21" x14ac:dyDescent="0.2">
      <c r="A48" s="5"/>
      <c r="B48" s="5"/>
      <c r="C48" s="36"/>
      <c r="D48" s="31"/>
      <c r="E48" s="31"/>
      <c r="F48" s="1"/>
      <c r="G48" s="15"/>
      <c r="H48" s="15"/>
      <c r="I48" s="15"/>
      <c r="J48" s="1"/>
      <c r="K48" s="1"/>
      <c r="L48" s="15"/>
      <c r="M48" s="15"/>
      <c r="N48" s="11"/>
      <c r="O48" s="11"/>
      <c r="P48" s="11"/>
      <c r="Q48" s="11"/>
      <c r="R48" s="37"/>
      <c r="S48" s="31"/>
      <c r="T48" s="11"/>
      <c r="U48" s="11"/>
    </row>
    <row r="49" spans="1:21" x14ac:dyDescent="0.2">
      <c r="A49" s="1"/>
      <c r="B49" s="1"/>
      <c r="C49" s="30"/>
      <c r="D49" s="31"/>
      <c r="E49" s="3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30"/>
      <c r="S49" s="31"/>
      <c r="T49" s="1"/>
      <c r="U49" s="1"/>
    </row>
    <row r="50" spans="1:21" ht="1.7" customHeight="1" x14ac:dyDescent="0.2"/>
  </sheetData>
  <mergeCells count="151">
    <mergeCell ref="A1:C2"/>
    <mergeCell ref="E1:R1"/>
    <mergeCell ref="C4:E4"/>
    <mergeCell ref="R4:S4"/>
    <mergeCell ref="B5:F5"/>
    <mergeCell ref="G5:Q5"/>
    <mergeCell ref="R5:S5"/>
    <mergeCell ref="B9:F9"/>
    <mergeCell ref="R9:U9"/>
    <mergeCell ref="B10:F10"/>
    <mergeCell ref="R10:S10"/>
    <mergeCell ref="C11:E11"/>
    <mergeCell ref="J11:K11"/>
    <mergeCell ref="L11:M11"/>
    <mergeCell ref="R11:S11"/>
    <mergeCell ref="A6:J6"/>
    <mergeCell ref="R6:U6"/>
    <mergeCell ref="C7:E7"/>
    <mergeCell ref="G7:Q7"/>
    <mergeCell ref="R7:U7"/>
    <mergeCell ref="B8:F8"/>
    <mergeCell ref="G8:Q8"/>
    <mergeCell ref="R8:U8"/>
    <mergeCell ref="C15:E15"/>
    <mergeCell ref="J15:K15"/>
    <mergeCell ref="L15:M15"/>
    <mergeCell ref="R15:S15"/>
    <mergeCell ref="A16:O16"/>
    <mergeCell ref="R16:S16"/>
    <mergeCell ref="C12:E12"/>
    <mergeCell ref="R12:S12"/>
    <mergeCell ref="A13:O13"/>
    <mergeCell ref="R13:S13"/>
    <mergeCell ref="C14:E14"/>
    <mergeCell ref="J14:K14"/>
    <mergeCell ref="L14:M14"/>
    <mergeCell ref="R14:S14"/>
    <mergeCell ref="C19:E19"/>
    <mergeCell ref="J19:K19"/>
    <mergeCell ref="L19:M19"/>
    <mergeCell ref="R19:S19"/>
    <mergeCell ref="A20:O20"/>
    <mergeCell ref="R20:S20"/>
    <mergeCell ref="C17:E17"/>
    <mergeCell ref="J17:K17"/>
    <mergeCell ref="L17:M17"/>
    <mergeCell ref="R17:S17"/>
    <mergeCell ref="C18:E18"/>
    <mergeCell ref="J18:K18"/>
    <mergeCell ref="L18:M18"/>
    <mergeCell ref="R18:S18"/>
    <mergeCell ref="C23:E23"/>
    <mergeCell ref="J23:K23"/>
    <mergeCell ref="L23:M23"/>
    <mergeCell ref="R23:S23"/>
    <mergeCell ref="C24:E24"/>
    <mergeCell ref="J24:K24"/>
    <mergeCell ref="L24:M24"/>
    <mergeCell ref="R24:S24"/>
    <mergeCell ref="C21:E21"/>
    <mergeCell ref="J21:K21"/>
    <mergeCell ref="L21:M21"/>
    <mergeCell ref="R21:S21"/>
    <mergeCell ref="C22:E22"/>
    <mergeCell ref="J22:K22"/>
    <mergeCell ref="L22:M22"/>
    <mergeCell ref="R22:S22"/>
    <mergeCell ref="C27:E27"/>
    <mergeCell ref="J27:K27"/>
    <mergeCell ref="L27:M27"/>
    <mergeCell ref="R27:S27"/>
    <mergeCell ref="C28:E28"/>
    <mergeCell ref="J28:K28"/>
    <mergeCell ref="L28:M28"/>
    <mergeCell ref="R28:S28"/>
    <mergeCell ref="C25:E25"/>
    <mergeCell ref="J25:K25"/>
    <mergeCell ref="L25:M25"/>
    <mergeCell ref="R25:S25"/>
    <mergeCell ref="C26:E26"/>
    <mergeCell ref="J26:K26"/>
    <mergeCell ref="L26:M26"/>
    <mergeCell ref="R26:S26"/>
    <mergeCell ref="C31:E31"/>
    <mergeCell ref="J31:K31"/>
    <mergeCell ref="L31:M31"/>
    <mergeCell ref="R31:S31"/>
    <mergeCell ref="A32:O32"/>
    <mergeCell ref="R32:S32"/>
    <mergeCell ref="C29:E29"/>
    <mergeCell ref="J29:K29"/>
    <mergeCell ref="L29:M29"/>
    <mergeCell ref="R29:S29"/>
    <mergeCell ref="C30:E30"/>
    <mergeCell ref="J30:K30"/>
    <mergeCell ref="L30:M30"/>
    <mergeCell ref="R30:S30"/>
    <mergeCell ref="C35:E35"/>
    <mergeCell ref="J35:K35"/>
    <mergeCell ref="L35:M35"/>
    <mergeCell ref="R35:S35"/>
    <mergeCell ref="C36:E36"/>
    <mergeCell ref="J36:K36"/>
    <mergeCell ref="L36:M36"/>
    <mergeCell ref="R36:S36"/>
    <mergeCell ref="C33:E33"/>
    <mergeCell ref="J33:K33"/>
    <mergeCell ref="L33:M33"/>
    <mergeCell ref="R33:S33"/>
    <mergeCell ref="C34:E34"/>
    <mergeCell ref="J34:K34"/>
    <mergeCell ref="L34:M34"/>
    <mergeCell ref="R34:S34"/>
    <mergeCell ref="C39:E39"/>
    <mergeCell ref="J39:K39"/>
    <mergeCell ref="L39:M39"/>
    <mergeCell ref="R39:S39"/>
    <mergeCell ref="C40:E40"/>
    <mergeCell ref="J40:K40"/>
    <mergeCell ref="L40:M40"/>
    <mergeCell ref="R40:S40"/>
    <mergeCell ref="C37:E37"/>
    <mergeCell ref="J37:K37"/>
    <mergeCell ref="L37:M37"/>
    <mergeCell ref="R37:S37"/>
    <mergeCell ref="A38:O38"/>
    <mergeCell ref="R38:S38"/>
    <mergeCell ref="C43:E43"/>
    <mergeCell ref="J43:K43"/>
    <mergeCell ref="L43:M43"/>
    <mergeCell ref="R43:S43"/>
    <mergeCell ref="A44:O44"/>
    <mergeCell ref="R44:S44"/>
    <mergeCell ref="A41:O41"/>
    <mergeCell ref="R41:S41"/>
    <mergeCell ref="C42:E42"/>
    <mergeCell ref="J42:K42"/>
    <mergeCell ref="L42:M42"/>
    <mergeCell ref="R42:S42"/>
    <mergeCell ref="C47:E47"/>
    <mergeCell ref="R47:S47"/>
    <mergeCell ref="C48:E48"/>
    <mergeCell ref="R48:S48"/>
    <mergeCell ref="C49:E49"/>
    <mergeCell ref="R49:S49"/>
    <mergeCell ref="C45:E45"/>
    <mergeCell ref="J45:K45"/>
    <mergeCell ref="L45:M45"/>
    <mergeCell ref="R45:S45"/>
    <mergeCell ref="C46:E46"/>
    <mergeCell ref="R46:S46"/>
  </mergeCells>
  <phoneticPr fontId="0" type="noConversion"/>
  <pageMargins left="0.15000000000000002" right="0.15000000000000002" top="0.08" bottom="0.40500000000000008" header="0.08" footer="0.08"/>
  <pageSetup orientation="landscape" horizontalDpi="0" verticalDpi="0"/>
  <headerFooter alignWithMargins="0">
    <oddFooter xml:space="preserve">&amp;L&amp;"Arial"&amp;9&amp;BDate: 05/23/2025&amp;B &amp;C&amp;R&amp;"Arial"&amp;9&amp;BPage No: &amp;P of &amp;N&amp;B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009C-8788-46AE-AD29-61164C86EA10}">
  <dimension ref="A1:S27"/>
  <sheetViews>
    <sheetView tabSelected="1" workbookViewId="0">
      <selection activeCell="H1" sqref="H1"/>
    </sheetView>
  </sheetViews>
  <sheetFormatPr defaultColWidth="11.5703125" defaultRowHeight="15" customHeight="1" x14ac:dyDescent="0.2"/>
  <cols>
    <col min="1" max="1" width="9.85546875" style="58" customWidth="1"/>
    <col min="2" max="2" width="11.5703125" style="58"/>
    <col min="3" max="3" width="17.85546875" style="58" bestFit="1" customWidth="1"/>
    <col min="4" max="17" width="11.5703125" style="58"/>
    <col min="18" max="18" width="14" style="58" customWidth="1"/>
    <col min="19" max="16384" width="11.5703125" style="58"/>
  </cols>
  <sheetData>
    <row r="1" spans="1:19" ht="15" customHeight="1" x14ac:dyDescent="0.2">
      <c r="A1" s="57"/>
      <c r="B1" s="57" t="s">
        <v>50</v>
      </c>
      <c r="C1" s="57" t="s">
        <v>51</v>
      </c>
      <c r="D1" s="57" t="s">
        <v>52</v>
      </c>
      <c r="E1" s="57" t="s">
        <v>54</v>
      </c>
      <c r="F1" s="57" t="s">
        <v>55</v>
      </c>
      <c r="G1" s="57" t="s">
        <v>56</v>
      </c>
      <c r="H1" s="57" t="s">
        <v>57</v>
      </c>
      <c r="I1" s="57" t="s">
        <v>58</v>
      </c>
      <c r="J1" s="57" t="s">
        <v>59</v>
      </c>
      <c r="K1" s="57" t="s">
        <v>60</v>
      </c>
      <c r="L1" s="57" t="s">
        <v>61</v>
      </c>
      <c r="M1" s="57" t="s">
        <v>62</v>
      </c>
      <c r="N1" s="57" t="s">
        <v>63</v>
      </c>
    </row>
    <row r="2" spans="1:19" ht="15" customHeight="1" x14ac:dyDescent="0.2">
      <c r="A2" s="59" t="s">
        <v>65</v>
      </c>
      <c r="B2" s="60">
        <v>441577763</v>
      </c>
      <c r="C2" s="59" t="s">
        <v>131</v>
      </c>
      <c r="D2" s="61">
        <v>44858</v>
      </c>
      <c r="E2" s="59" t="s">
        <v>132</v>
      </c>
      <c r="F2" s="61">
        <v>45778</v>
      </c>
      <c r="G2" s="61">
        <v>45809</v>
      </c>
      <c r="H2" s="61">
        <v>45787</v>
      </c>
      <c r="I2" s="59" t="s">
        <v>69</v>
      </c>
      <c r="J2" s="60">
        <v>1</v>
      </c>
      <c r="K2" s="62">
        <v>64.430000000000007</v>
      </c>
      <c r="L2" s="63">
        <v>0.09</v>
      </c>
      <c r="M2" s="62">
        <v>5.8</v>
      </c>
      <c r="N2" s="59" t="s">
        <v>72</v>
      </c>
      <c r="O2" s="57" t="s">
        <v>155</v>
      </c>
      <c r="P2" s="58" t="s">
        <v>156</v>
      </c>
      <c r="R2" s="58" t="str">
        <f>CONCATENATE(O2, " ", P2, " ",Q2)</f>
        <v xml:space="preserve">Katelenn Caltagirone </v>
      </c>
      <c r="S2" s="58">
        <v>20436896</v>
      </c>
    </row>
    <row r="3" spans="1:19" ht="15" customHeight="1" x14ac:dyDescent="0.2">
      <c r="A3" s="59" t="s">
        <v>65</v>
      </c>
      <c r="B3" s="60">
        <v>441607364</v>
      </c>
      <c r="C3" s="59" t="s">
        <v>137</v>
      </c>
      <c r="D3" s="61">
        <v>44872</v>
      </c>
      <c r="E3" s="59" t="s">
        <v>138</v>
      </c>
      <c r="F3" s="61">
        <v>45778</v>
      </c>
      <c r="G3" s="61">
        <v>45809</v>
      </c>
      <c r="H3" s="61">
        <v>45786</v>
      </c>
      <c r="I3" s="59" t="s">
        <v>69</v>
      </c>
      <c r="J3" s="60">
        <v>1</v>
      </c>
      <c r="K3" s="62">
        <v>16</v>
      </c>
      <c r="L3" s="63">
        <v>0.09</v>
      </c>
      <c r="M3" s="62">
        <v>1.44</v>
      </c>
      <c r="N3" s="59" t="s">
        <v>72</v>
      </c>
      <c r="O3" s="57" t="s">
        <v>157</v>
      </c>
      <c r="P3" s="58" t="s">
        <v>144</v>
      </c>
      <c r="Q3" s="58" t="s">
        <v>158</v>
      </c>
      <c r="R3" s="58" t="str">
        <f>CONCATENATE(O3, " ", P3, " ",Q3)</f>
        <v>Kimberly Anne Dickerson</v>
      </c>
      <c r="S3" s="58">
        <v>16243811</v>
      </c>
    </row>
    <row r="4" spans="1:19" ht="15" customHeight="1" x14ac:dyDescent="0.2">
      <c r="A4" s="59" t="s">
        <v>65</v>
      </c>
      <c r="B4" s="60">
        <v>441679321</v>
      </c>
      <c r="C4" s="59" t="s">
        <v>135</v>
      </c>
      <c r="D4" s="61">
        <v>44902</v>
      </c>
      <c r="E4" s="59" t="s">
        <v>84</v>
      </c>
      <c r="F4" s="61">
        <v>45778</v>
      </c>
      <c r="G4" s="61">
        <v>45809</v>
      </c>
      <c r="H4" s="61">
        <v>45786</v>
      </c>
      <c r="I4" s="59" t="s">
        <v>69</v>
      </c>
      <c r="J4" s="60">
        <v>1</v>
      </c>
      <c r="K4" s="62">
        <v>129</v>
      </c>
      <c r="L4" s="63">
        <v>0.09</v>
      </c>
      <c r="M4" s="62">
        <v>11.61</v>
      </c>
      <c r="N4" s="59" t="s">
        <v>72</v>
      </c>
      <c r="O4" s="57" t="s">
        <v>157</v>
      </c>
      <c r="P4" s="58" t="s">
        <v>144</v>
      </c>
      <c r="Q4" s="58" t="s">
        <v>158</v>
      </c>
      <c r="R4" s="58" t="str">
        <f>CONCATENATE(O4, " ", P4, " ",Q4)</f>
        <v>Kimberly Anne Dickerson</v>
      </c>
      <c r="S4" s="58">
        <v>16243811</v>
      </c>
    </row>
    <row r="5" spans="1:19" ht="15" customHeight="1" x14ac:dyDescent="0.2">
      <c r="A5" s="59" t="s">
        <v>65</v>
      </c>
      <c r="B5" s="60">
        <v>441680518</v>
      </c>
      <c r="C5" s="59" t="s">
        <v>128</v>
      </c>
      <c r="D5" s="61">
        <v>44902</v>
      </c>
      <c r="E5" s="59" t="s">
        <v>129</v>
      </c>
      <c r="F5" s="61">
        <v>45778</v>
      </c>
      <c r="G5" s="61">
        <v>45809</v>
      </c>
      <c r="H5" s="61">
        <v>45786</v>
      </c>
      <c r="I5" s="59" t="s">
        <v>69</v>
      </c>
      <c r="J5" s="60">
        <v>1</v>
      </c>
      <c r="K5" s="62">
        <v>111.5</v>
      </c>
      <c r="L5" s="63">
        <v>0.09</v>
      </c>
      <c r="M5" s="62">
        <v>10.039999999999999</v>
      </c>
      <c r="N5" s="59" t="s">
        <v>72</v>
      </c>
      <c r="O5" s="57" t="s">
        <v>155</v>
      </c>
      <c r="P5" s="58" t="s">
        <v>156</v>
      </c>
      <c r="R5" s="58" t="str">
        <f>CONCATENATE(O5, " ", P5, " ",Q5)</f>
        <v xml:space="preserve">Katelenn Caltagirone </v>
      </c>
      <c r="S5" s="58">
        <v>20436896</v>
      </c>
    </row>
    <row r="6" spans="1:19" ht="15" customHeight="1" x14ac:dyDescent="0.2">
      <c r="A6" s="59" t="s">
        <v>65</v>
      </c>
      <c r="B6" s="60">
        <v>441684105</v>
      </c>
      <c r="C6" s="59" t="s">
        <v>78</v>
      </c>
      <c r="D6" s="61">
        <v>44903</v>
      </c>
      <c r="E6" s="59" t="s">
        <v>79</v>
      </c>
      <c r="F6" s="61">
        <v>45778</v>
      </c>
      <c r="G6" s="61">
        <v>45809</v>
      </c>
      <c r="H6" s="61">
        <v>45787</v>
      </c>
      <c r="I6" s="59" t="s">
        <v>69</v>
      </c>
      <c r="J6" s="60">
        <v>1</v>
      </c>
      <c r="K6" s="62">
        <v>60.5</v>
      </c>
      <c r="L6" s="63">
        <v>0.09</v>
      </c>
      <c r="M6" s="62">
        <v>5.45</v>
      </c>
      <c r="N6" s="59" t="s">
        <v>72</v>
      </c>
      <c r="O6" s="57" t="s">
        <v>147</v>
      </c>
      <c r="P6" s="58" t="s">
        <v>148</v>
      </c>
      <c r="Q6" s="58" t="s">
        <v>149</v>
      </c>
      <c r="R6" s="58" t="str">
        <f>CONCATENATE(O6, " ", P6, " ",Q6)</f>
        <v>Ashley Elizabeth Teipel</v>
      </c>
      <c r="S6" s="58">
        <v>20436925</v>
      </c>
    </row>
    <row r="7" spans="1:19" ht="15" customHeight="1" x14ac:dyDescent="0.2">
      <c r="A7" s="59" t="s">
        <v>65</v>
      </c>
      <c r="B7" s="60">
        <v>441782531</v>
      </c>
      <c r="C7" s="59" t="s">
        <v>95</v>
      </c>
      <c r="D7" s="61">
        <v>44945</v>
      </c>
      <c r="E7" s="59" t="s">
        <v>96</v>
      </c>
      <c r="F7" s="61">
        <v>45778</v>
      </c>
      <c r="G7" s="61">
        <v>45809</v>
      </c>
      <c r="H7" s="61">
        <v>45786</v>
      </c>
      <c r="I7" s="59" t="s">
        <v>69</v>
      </c>
      <c r="J7" s="60">
        <v>1</v>
      </c>
      <c r="K7" s="62">
        <v>19</v>
      </c>
      <c r="L7" s="63">
        <v>0.03</v>
      </c>
      <c r="M7" s="62">
        <v>0.56999999999999995</v>
      </c>
      <c r="N7" s="59" t="s">
        <v>72</v>
      </c>
      <c r="O7" s="57" t="s">
        <v>150</v>
      </c>
      <c r="P7" s="58" t="s">
        <v>151</v>
      </c>
      <c r="R7" s="58" t="str">
        <f>CONCATENATE(O7, " ", P7, " ",Q7)</f>
        <v xml:space="preserve">Carol Foley </v>
      </c>
      <c r="S7" s="58">
        <v>17425766</v>
      </c>
    </row>
    <row r="8" spans="1:19" ht="15" customHeight="1" x14ac:dyDescent="0.2">
      <c r="A8" s="59" t="s">
        <v>65</v>
      </c>
      <c r="B8" s="60">
        <v>441789847</v>
      </c>
      <c r="C8" s="59" t="s">
        <v>81</v>
      </c>
      <c r="D8" s="61">
        <v>44947</v>
      </c>
      <c r="E8" s="59" t="s">
        <v>75</v>
      </c>
      <c r="F8" s="61">
        <v>45778</v>
      </c>
      <c r="G8" s="61">
        <v>45809</v>
      </c>
      <c r="H8" s="61">
        <v>45786</v>
      </c>
      <c r="I8" s="59" t="s">
        <v>69</v>
      </c>
      <c r="J8" s="60">
        <v>1</v>
      </c>
      <c r="K8" s="62">
        <v>16</v>
      </c>
      <c r="L8" s="63">
        <v>0.09</v>
      </c>
      <c r="M8" s="62">
        <v>1.44</v>
      </c>
      <c r="N8" s="59" t="s">
        <v>72</v>
      </c>
      <c r="O8" s="57" t="s">
        <v>147</v>
      </c>
      <c r="P8" s="58" t="s">
        <v>148</v>
      </c>
      <c r="Q8" s="58" t="s">
        <v>149</v>
      </c>
      <c r="R8" s="58" t="str">
        <f>CONCATENATE(O8, " ", P8, " ",Q8)</f>
        <v>Ashley Elizabeth Teipel</v>
      </c>
      <c r="S8" s="58">
        <v>20436925</v>
      </c>
    </row>
    <row r="9" spans="1:19" ht="15" customHeight="1" x14ac:dyDescent="0.2">
      <c r="A9" s="59" t="s">
        <v>65</v>
      </c>
      <c r="B9" s="60">
        <v>441818010</v>
      </c>
      <c r="C9" s="59" t="s">
        <v>83</v>
      </c>
      <c r="D9" s="61">
        <v>44979</v>
      </c>
      <c r="E9" s="59" t="s">
        <v>84</v>
      </c>
      <c r="F9" s="61">
        <v>45778</v>
      </c>
      <c r="G9" s="61">
        <v>45809</v>
      </c>
      <c r="H9" s="61">
        <v>45787</v>
      </c>
      <c r="I9" s="59" t="s">
        <v>69</v>
      </c>
      <c r="J9" s="60">
        <v>1</v>
      </c>
      <c r="K9" s="62">
        <v>98.66</v>
      </c>
      <c r="L9" s="63">
        <v>0.09</v>
      </c>
      <c r="M9" s="62">
        <v>8.8800000000000008</v>
      </c>
      <c r="N9" s="59" t="s">
        <v>72</v>
      </c>
      <c r="O9" s="57" t="s">
        <v>147</v>
      </c>
      <c r="P9" s="58" t="s">
        <v>148</v>
      </c>
      <c r="Q9" s="58" t="s">
        <v>149</v>
      </c>
      <c r="R9" s="58" t="str">
        <f>CONCATENATE(O9, " ", P9, " ",Q9)</f>
        <v>Ashley Elizabeth Teipel</v>
      </c>
      <c r="S9" s="58">
        <v>20436925</v>
      </c>
    </row>
    <row r="10" spans="1:19" ht="15" customHeight="1" x14ac:dyDescent="0.2">
      <c r="A10" s="59" t="s">
        <v>65</v>
      </c>
      <c r="B10" s="60">
        <v>441839748</v>
      </c>
      <c r="C10" s="59" t="s">
        <v>74</v>
      </c>
      <c r="D10" s="61">
        <v>44979</v>
      </c>
      <c r="E10" s="59" t="s">
        <v>75</v>
      </c>
      <c r="F10" s="61">
        <v>45778</v>
      </c>
      <c r="G10" s="61">
        <v>45809</v>
      </c>
      <c r="H10" s="61">
        <v>45787</v>
      </c>
      <c r="I10" s="59" t="s">
        <v>69</v>
      </c>
      <c r="J10" s="60">
        <v>1</v>
      </c>
      <c r="K10" s="62">
        <v>9</v>
      </c>
      <c r="L10" s="63">
        <v>0.09</v>
      </c>
      <c r="M10" s="62">
        <v>0.81</v>
      </c>
      <c r="N10" s="59" t="s">
        <v>72</v>
      </c>
      <c r="O10" s="57" t="s">
        <v>144</v>
      </c>
      <c r="P10" s="58" t="s">
        <v>145</v>
      </c>
      <c r="Q10" s="58" t="s">
        <v>146</v>
      </c>
      <c r="R10" s="58" t="str">
        <f>CONCATENATE(O10, " ", P10, " ",Q10)</f>
        <v>Anne Marie Kozacheck</v>
      </c>
      <c r="S10" s="58">
        <v>19278370</v>
      </c>
    </row>
    <row r="11" spans="1:19" ht="15" customHeight="1" x14ac:dyDescent="0.2">
      <c r="A11" s="59" t="s">
        <v>65</v>
      </c>
      <c r="B11" s="60">
        <v>441884278</v>
      </c>
      <c r="C11" s="59" t="s">
        <v>99</v>
      </c>
      <c r="D11" s="61">
        <v>45007</v>
      </c>
      <c r="E11" s="59" t="s">
        <v>100</v>
      </c>
      <c r="F11" s="61">
        <v>45778</v>
      </c>
      <c r="G11" s="61">
        <v>45809</v>
      </c>
      <c r="H11" s="61">
        <v>45787</v>
      </c>
      <c r="I11" s="59" t="s">
        <v>69</v>
      </c>
      <c r="J11" s="60">
        <v>1</v>
      </c>
      <c r="K11" s="62">
        <v>58.63</v>
      </c>
      <c r="L11" s="63">
        <v>0.03</v>
      </c>
      <c r="M11" s="62">
        <v>1.76</v>
      </c>
      <c r="N11" s="59" t="s">
        <v>72</v>
      </c>
      <c r="O11" s="57" t="s">
        <v>150</v>
      </c>
      <c r="P11" s="58" t="s">
        <v>151</v>
      </c>
      <c r="R11" s="58" t="str">
        <f>CONCATENATE(O11, " ", P11, " ",Q11)</f>
        <v xml:space="preserve">Carol Foley </v>
      </c>
      <c r="S11" s="58">
        <v>17425766</v>
      </c>
    </row>
    <row r="12" spans="1:19" ht="15" customHeight="1" x14ac:dyDescent="0.2">
      <c r="A12" s="59" t="s">
        <v>65</v>
      </c>
      <c r="B12" s="60">
        <v>441955925</v>
      </c>
      <c r="C12" s="59" t="s">
        <v>102</v>
      </c>
      <c r="D12" s="61">
        <v>45050</v>
      </c>
      <c r="E12" s="59" t="s">
        <v>103</v>
      </c>
      <c r="F12" s="61">
        <v>45782</v>
      </c>
      <c r="G12" s="61">
        <v>45809</v>
      </c>
      <c r="H12" s="61">
        <v>45787</v>
      </c>
      <c r="I12" s="59" t="s">
        <v>69</v>
      </c>
      <c r="J12" s="60">
        <v>1</v>
      </c>
      <c r="K12" s="62">
        <v>28.45</v>
      </c>
      <c r="L12" s="63">
        <v>0.03</v>
      </c>
      <c r="M12" s="62">
        <v>0.85</v>
      </c>
      <c r="N12" s="59" t="s">
        <v>72</v>
      </c>
      <c r="O12" s="57" t="s">
        <v>150</v>
      </c>
      <c r="P12" s="58" t="s">
        <v>151</v>
      </c>
      <c r="R12" s="58" t="str">
        <f>CONCATENATE(O12, " ", P12, " ",Q12)</f>
        <v xml:space="preserve">Carol Foley </v>
      </c>
      <c r="S12" s="58">
        <v>17425766</v>
      </c>
    </row>
    <row r="13" spans="1:19" ht="15" customHeight="1" x14ac:dyDescent="0.2">
      <c r="A13" s="59" t="s">
        <v>65</v>
      </c>
      <c r="B13" s="60">
        <v>441955925</v>
      </c>
      <c r="C13" s="59" t="s">
        <v>102</v>
      </c>
      <c r="D13" s="61">
        <v>45050</v>
      </c>
      <c r="E13" s="59" t="s">
        <v>103</v>
      </c>
      <c r="F13" s="61">
        <v>45778</v>
      </c>
      <c r="G13" s="61">
        <v>45781</v>
      </c>
      <c r="H13" s="61">
        <v>45787</v>
      </c>
      <c r="I13" s="59" t="s">
        <v>69</v>
      </c>
      <c r="J13" s="60">
        <v>1</v>
      </c>
      <c r="K13" s="62">
        <v>3.05</v>
      </c>
      <c r="L13" s="63">
        <v>0.03</v>
      </c>
      <c r="M13" s="62">
        <v>0.09</v>
      </c>
      <c r="N13" s="59" t="s">
        <v>72</v>
      </c>
      <c r="O13" s="57" t="s">
        <v>150</v>
      </c>
      <c r="P13" s="58" t="s">
        <v>151</v>
      </c>
      <c r="R13" s="58" t="str">
        <f>CONCATENATE(O13, " ", P13, " ",Q13)</f>
        <v xml:space="preserve">Carol Foley </v>
      </c>
      <c r="S13" s="58">
        <v>17425766</v>
      </c>
    </row>
    <row r="14" spans="1:19" ht="15" customHeight="1" x14ac:dyDescent="0.2">
      <c r="A14" s="59" t="s">
        <v>65</v>
      </c>
      <c r="B14" s="60">
        <v>442034541</v>
      </c>
      <c r="C14" s="59" t="s">
        <v>67</v>
      </c>
      <c r="D14" s="61">
        <v>45100</v>
      </c>
      <c r="E14" s="59" t="s">
        <v>68</v>
      </c>
      <c r="F14" s="61">
        <v>45778</v>
      </c>
      <c r="G14" s="61">
        <v>45809</v>
      </c>
      <c r="H14" s="61">
        <v>45787</v>
      </c>
      <c r="I14" s="59" t="s">
        <v>69</v>
      </c>
      <c r="J14" s="60">
        <v>1</v>
      </c>
      <c r="K14" s="62">
        <v>67</v>
      </c>
      <c r="L14" s="63">
        <v>0.09</v>
      </c>
      <c r="M14" s="62">
        <v>6.03</v>
      </c>
      <c r="N14" s="59" t="s">
        <v>72</v>
      </c>
      <c r="O14" s="57" t="s">
        <v>144</v>
      </c>
      <c r="P14" s="58" t="s">
        <v>145</v>
      </c>
      <c r="Q14" s="58" t="s">
        <v>146</v>
      </c>
      <c r="R14" s="58" t="str">
        <f>CONCATENATE(O14, " ", P14, " ",Q14)</f>
        <v>Anne Marie Kozacheck</v>
      </c>
      <c r="S14" s="58">
        <v>19278370</v>
      </c>
    </row>
    <row r="15" spans="1:19" ht="15" customHeight="1" x14ac:dyDescent="0.2">
      <c r="A15" s="59" t="s">
        <v>65</v>
      </c>
      <c r="B15" s="60">
        <v>442256625</v>
      </c>
      <c r="C15" s="59" t="s">
        <v>91</v>
      </c>
      <c r="D15" s="61">
        <v>45237</v>
      </c>
      <c r="E15" s="59" t="s">
        <v>92</v>
      </c>
      <c r="F15" s="61">
        <v>45778</v>
      </c>
      <c r="G15" s="61">
        <v>45809</v>
      </c>
      <c r="H15" s="61">
        <v>45786</v>
      </c>
      <c r="I15" s="59" t="s">
        <v>69</v>
      </c>
      <c r="J15" s="60">
        <v>1</v>
      </c>
      <c r="K15" s="62">
        <v>112.72</v>
      </c>
      <c r="L15" s="63">
        <v>0.18</v>
      </c>
      <c r="M15" s="62">
        <v>20.29</v>
      </c>
      <c r="N15" s="59" t="s">
        <v>72</v>
      </c>
      <c r="O15" s="57" t="s">
        <v>150</v>
      </c>
      <c r="P15" s="58" t="s">
        <v>151</v>
      </c>
      <c r="R15" s="58" t="str">
        <f>CONCATENATE(O15, " ", P15, " ",Q15)</f>
        <v xml:space="preserve">Carol Foley </v>
      </c>
      <c r="S15" s="58">
        <v>17425766</v>
      </c>
    </row>
    <row r="16" spans="1:19" ht="15" customHeight="1" x14ac:dyDescent="0.2">
      <c r="A16" s="59" t="s">
        <v>65</v>
      </c>
      <c r="B16" s="60">
        <v>442292229</v>
      </c>
      <c r="C16" s="59" t="s">
        <v>120</v>
      </c>
      <c r="D16" s="61">
        <v>45250</v>
      </c>
      <c r="E16" s="59" t="s">
        <v>88</v>
      </c>
      <c r="F16" s="61">
        <v>45778</v>
      </c>
      <c r="G16" s="61">
        <v>45809</v>
      </c>
      <c r="H16" s="61">
        <v>45786</v>
      </c>
      <c r="I16" s="59" t="s">
        <v>69</v>
      </c>
      <c r="J16" s="60">
        <v>1</v>
      </c>
      <c r="K16" s="62">
        <v>30.03</v>
      </c>
      <c r="L16" s="63">
        <v>4.4999999999999998E-2</v>
      </c>
      <c r="M16" s="62">
        <v>1.35</v>
      </c>
      <c r="N16" s="59" t="s">
        <v>72</v>
      </c>
      <c r="O16" s="57" t="s">
        <v>152</v>
      </c>
      <c r="P16" s="58" t="s">
        <v>153</v>
      </c>
      <c r="Q16" s="58" t="s">
        <v>154</v>
      </c>
      <c r="R16" s="58" t="str">
        <f>CONCATENATE(O16, " ", P16, " ",Q16)</f>
        <v>Deborah Lee Inskipt</v>
      </c>
      <c r="S16" s="58">
        <v>17528908</v>
      </c>
    </row>
    <row r="17" spans="1:19" ht="15" customHeight="1" x14ac:dyDescent="0.2">
      <c r="A17" s="59" t="s">
        <v>65</v>
      </c>
      <c r="B17" s="60">
        <v>442294068</v>
      </c>
      <c r="C17" s="59" t="s">
        <v>115</v>
      </c>
      <c r="D17" s="61">
        <v>45250</v>
      </c>
      <c r="E17" s="59" t="s">
        <v>116</v>
      </c>
      <c r="F17" s="61">
        <v>45778</v>
      </c>
      <c r="G17" s="61">
        <v>45809</v>
      </c>
      <c r="H17" s="61">
        <v>45786</v>
      </c>
      <c r="I17" s="59" t="s">
        <v>69</v>
      </c>
      <c r="J17" s="60">
        <v>1</v>
      </c>
      <c r="K17" s="62">
        <v>12</v>
      </c>
      <c r="L17" s="63">
        <v>0.09</v>
      </c>
      <c r="M17" s="62">
        <v>1.08</v>
      </c>
      <c r="N17" s="59" t="s">
        <v>72</v>
      </c>
      <c r="O17" s="57" t="s">
        <v>152</v>
      </c>
      <c r="P17" s="58" t="s">
        <v>153</v>
      </c>
      <c r="Q17" s="58" t="s">
        <v>154</v>
      </c>
      <c r="R17" s="58" t="str">
        <f>CONCATENATE(O17, " ", P17, " ",Q17)</f>
        <v>Deborah Lee Inskipt</v>
      </c>
      <c r="S17" s="58">
        <v>17528908</v>
      </c>
    </row>
    <row r="18" spans="1:19" ht="15" customHeight="1" x14ac:dyDescent="0.2">
      <c r="A18" s="59" t="s">
        <v>65</v>
      </c>
      <c r="B18" s="60">
        <v>442294069</v>
      </c>
      <c r="C18" s="59" t="s">
        <v>115</v>
      </c>
      <c r="D18" s="61">
        <v>45250</v>
      </c>
      <c r="E18" s="59" t="s">
        <v>118</v>
      </c>
      <c r="F18" s="61">
        <v>45778</v>
      </c>
      <c r="G18" s="61">
        <v>45809</v>
      </c>
      <c r="H18" s="61">
        <v>45786</v>
      </c>
      <c r="I18" s="59" t="s">
        <v>69</v>
      </c>
      <c r="J18" s="60">
        <v>1</v>
      </c>
      <c r="K18" s="62">
        <v>13.2</v>
      </c>
      <c r="L18" s="63">
        <v>0.09</v>
      </c>
      <c r="M18" s="62">
        <v>1.19</v>
      </c>
      <c r="N18" s="59" t="s">
        <v>72</v>
      </c>
      <c r="O18" s="57" t="s">
        <v>152</v>
      </c>
      <c r="P18" s="58" t="s">
        <v>153</v>
      </c>
      <c r="Q18" s="58" t="s">
        <v>154</v>
      </c>
      <c r="R18" s="58" t="str">
        <f>CONCATENATE(O18, " ", P18, " ",Q18)</f>
        <v>Deborah Lee Inskipt</v>
      </c>
      <c r="S18" s="58">
        <v>17528908</v>
      </c>
    </row>
    <row r="19" spans="1:19" ht="15" customHeight="1" x14ac:dyDescent="0.2">
      <c r="A19" s="59" t="s">
        <v>65</v>
      </c>
      <c r="B19" s="60">
        <v>442296755</v>
      </c>
      <c r="C19" s="59" t="s">
        <v>87</v>
      </c>
      <c r="D19" s="61">
        <v>45253</v>
      </c>
      <c r="E19" s="59" t="s">
        <v>88</v>
      </c>
      <c r="F19" s="61">
        <v>45778</v>
      </c>
      <c r="G19" s="61">
        <v>45809</v>
      </c>
      <c r="H19" s="61">
        <v>45787</v>
      </c>
      <c r="I19" s="59" t="s">
        <v>69</v>
      </c>
      <c r="J19" s="60">
        <v>1</v>
      </c>
      <c r="K19" s="62">
        <v>30.03</v>
      </c>
      <c r="L19" s="63">
        <v>4.4999999999999998E-2</v>
      </c>
      <c r="M19" s="62">
        <v>1.35</v>
      </c>
      <c r="N19" s="59" t="s">
        <v>72</v>
      </c>
      <c r="O19" s="57" t="s">
        <v>150</v>
      </c>
      <c r="P19" s="58" t="s">
        <v>151</v>
      </c>
      <c r="R19" s="58" t="str">
        <f>CONCATENATE(O19, " ", P19, " ",Q19)</f>
        <v xml:space="preserve">Carol Foley </v>
      </c>
      <c r="S19" s="58">
        <v>17425766</v>
      </c>
    </row>
    <row r="20" spans="1:19" ht="15" customHeight="1" x14ac:dyDescent="0.2">
      <c r="A20" s="59" t="s">
        <v>65</v>
      </c>
      <c r="B20" s="60">
        <v>442301963</v>
      </c>
      <c r="C20" s="59" t="s">
        <v>122</v>
      </c>
      <c r="D20" s="61">
        <v>45254</v>
      </c>
      <c r="E20" s="59" t="s">
        <v>123</v>
      </c>
      <c r="F20" s="61">
        <v>45778</v>
      </c>
      <c r="G20" s="61">
        <v>45809</v>
      </c>
      <c r="H20" s="61">
        <v>45787</v>
      </c>
      <c r="I20" s="59" t="s">
        <v>69</v>
      </c>
      <c r="J20" s="60">
        <v>1</v>
      </c>
      <c r="K20" s="62">
        <v>53</v>
      </c>
      <c r="L20" s="63">
        <v>0.09</v>
      </c>
      <c r="M20" s="62">
        <v>4.7699999999999996</v>
      </c>
      <c r="N20" s="59" t="s">
        <v>72</v>
      </c>
      <c r="O20" s="57" t="s">
        <v>152</v>
      </c>
      <c r="P20" s="58" t="s">
        <v>153</v>
      </c>
      <c r="Q20" s="58" t="s">
        <v>154</v>
      </c>
      <c r="R20" s="58" t="str">
        <f>CONCATENATE(O20, " ", P20, " ",Q20)</f>
        <v>Deborah Lee Inskipt</v>
      </c>
      <c r="S20" s="58">
        <v>17528908</v>
      </c>
    </row>
    <row r="21" spans="1:19" ht="15" customHeight="1" x14ac:dyDescent="0.2">
      <c r="A21" s="59" t="s">
        <v>65</v>
      </c>
      <c r="B21" s="60">
        <v>442301964</v>
      </c>
      <c r="C21" s="59" t="s">
        <v>122</v>
      </c>
      <c r="D21" s="61">
        <v>45254</v>
      </c>
      <c r="E21" s="59" t="s">
        <v>125</v>
      </c>
      <c r="F21" s="61">
        <v>45778</v>
      </c>
      <c r="G21" s="61">
        <v>45809</v>
      </c>
      <c r="H21" s="61">
        <v>45787</v>
      </c>
      <c r="I21" s="59" t="s">
        <v>69</v>
      </c>
      <c r="J21" s="60">
        <v>1</v>
      </c>
      <c r="K21" s="62">
        <v>47.6</v>
      </c>
      <c r="L21" s="63">
        <v>0.09</v>
      </c>
      <c r="M21" s="62">
        <v>4.28</v>
      </c>
      <c r="N21" s="59" t="s">
        <v>72</v>
      </c>
      <c r="O21" s="57" t="s">
        <v>152</v>
      </c>
      <c r="P21" s="58" t="s">
        <v>153</v>
      </c>
      <c r="Q21" s="58" t="s">
        <v>154</v>
      </c>
      <c r="R21" s="58" t="str">
        <f>CONCATENATE(O21, " ", P21, " ",Q21)</f>
        <v>Deborah Lee Inskipt</v>
      </c>
      <c r="S21" s="58">
        <v>17528908</v>
      </c>
    </row>
    <row r="22" spans="1:19" ht="15" customHeight="1" x14ac:dyDescent="0.2">
      <c r="A22" s="59" t="s">
        <v>65</v>
      </c>
      <c r="B22" s="60">
        <v>442371645</v>
      </c>
      <c r="C22" s="59" t="s">
        <v>105</v>
      </c>
      <c r="D22" s="61">
        <v>45292</v>
      </c>
      <c r="E22" s="59" t="s">
        <v>88</v>
      </c>
      <c r="F22" s="61">
        <v>45778</v>
      </c>
      <c r="G22" s="61">
        <v>45778</v>
      </c>
      <c r="H22" s="61">
        <v>45786</v>
      </c>
      <c r="I22" s="59" t="s">
        <v>69</v>
      </c>
      <c r="J22" s="60">
        <v>1</v>
      </c>
      <c r="K22" s="62">
        <v>-29.36</v>
      </c>
      <c r="L22" s="63">
        <v>4.4999999999999998E-2</v>
      </c>
      <c r="M22" s="62">
        <v>-1.32</v>
      </c>
      <c r="N22" s="59" t="s">
        <v>72</v>
      </c>
      <c r="O22" s="57" t="s">
        <v>150</v>
      </c>
      <c r="P22" s="58" t="s">
        <v>151</v>
      </c>
      <c r="R22" s="58" t="str">
        <f>CONCATENATE(O22, " ", P22, " ",Q22)</f>
        <v xml:space="preserve">Carol Foley </v>
      </c>
      <c r="S22" s="58">
        <v>17425766</v>
      </c>
    </row>
    <row r="23" spans="1:19" ht="15" customHeight="1" x14ac:dyDescent="0.2">
      <c r="A23" s="59" t="s">
        <v>65</v>
      </c>
      <c r="B23" s="60">
        <v>442371646</v>
      </c>
      <c r="C23" s="59" t="s">
        <v>105</v>
      </c>
      <c r="D23" s="61">
        <v>45292</v>
      </c>
      <c r="E23" s="59" t="s">
        <v>92</v>
      </c>
      <c r="F23" s="61">
        <v>45778</v>
      </c>
      <c r="G23" s="61">
        <v>45778</v>
      </c>
      <c r="H23" s="61">
        <v>45786</v>
      </c>
      <c r="I23" s="59" t="s">
        <v>69</v>
      </c>
      <c r="J23" s="60">
        <v>1</v>
      </c>
      <c r="K23" s="62">
        <v>-29.05</v>
      </c>
      <c r="L23" s="63">
        <v>0.09</v>
      </c>
      <c r="M23" s="62">
        <v>-2.61</v>
      </c>
      <c r="N23" s="59" t="s">
        <v>72</v>
      </c>
      <c r="O23" s="57" t="s">
        <v>150</v>
      </c>
      <c r="P23" s="58" t="s">
        <v>151</v>
      </c>
      <c r="R23" s="58" t="str">
        <f>CONCATENATE(O23, " ", P23, " ",Q23)</f>
        <v xml:space="preserve">Carol Foley </v>
      </c>
      <c r="S23" s="58">
        <v>17425766</v>
      </c>
    </row>
    <row r="24" spans="1:19" ht="15" customHeight="1" x14ac:dyDescent="0.2">
      <c r="A24" s="59" t="s">
        <v>65</v>
      </c>
      <c r="B24" s="60">
        <v>442371651</v>
      </c>
      <c r="C24" s="59" t="s">
        <v>105</v>
      </c>
      <c r="D24" s="61">
        <v>45292</v>
      </c>
      <c r="E24" s="59" t="s">
        <v>108</v>
      </c>
      <c r="F24" s="61">
        <v>45778</v>
      </c>
      <c r="G24" s="61">
        <v>45778</v>
      </c>
      <c r="H24" s="61">
        <v>45786</v>
      </c>
      <c r="I24" s="59" t="s">
        <v>69</v>
      </c>
      <c r="J24" s="60">
        <v>1</v>
      </c>
      <c r="K24" s="62">
        <v>-13.28</v>
      </c>
      <c r="L24" s="63">
        <v>7.0000000000000007E-2</v>
      </c>
      <c r="M24" s="62">
        <v>-0.93</v>
      </c>
      <c r="N24" s="59" t="s">
        <v>72</v>
      </c>
      <c r="O24" s="57" t="s">
        <v>150</v>
      </c>
      <c r="P24" s="58" t="s">
        <v>151</v>
      </c>
      <c r="R24" s="58" t="str">
        <f>CONCATENATE(O24, " ", P24, " ",Q24)</f>
        <v xml:space="preserve">Carol Foley </v>
      </c>
      <c r="S24" s="58">
        <v>17425766</v>
      </c>
    </row>
    <row r="25" spans="1:19" ht="15" customHeight="1" x14ac:dyDescent="0.2">
      <c r="A25" s="59" t="s">
        <v>65</v>
      </c>
      <c r="B25" s="60">
        <v>442502397</v>
      </c>
      <c r="C25" s="59" t="s">
        <v>111</v>
      </c>
      <c r="D25" s="61">
        <v>45343</v>
      </c>
      <c r="E25" s="59" t="s">
        <v>88</v>
      </c>
      <c r="F25" s="61">
        <v>45778</v>
      </c>
      <c r="G25" s="61">
        <v>45809</v>
      </c>
      <c r="H25" s="61">
        <v>45786</v>
      </c>
      <c r="I25" s="59" t="s">
        <v>69</v>
      </c>
      <c r="J25" s="60">
        <v>1</v>
      </c>
      <c r="K25" s="62">
        <v>38.71</v>
      </c>
      <c r="L25" s="63">
        <v>4.4999999999999998E-2</v>
      </c>
      <c r="M25" s="62">
        <v>1.74</v>
      </c>
      <c r="N25" s="59" t="s">
        <v>72</v>
      </c>
      <c r="O25" s="57" t="s">
        <v>150</v>
      </c>
      <c r="P25" s="58" t="s">
        <v>151</v>
      </c>
      <c r="R25" s="58" t="str">
        <f>CONCATENATE(O25, " ", P25, " ",Q25)</f>
        <v xml:space="preserve">Carol Foley </v>
      </c>
      <c r="S25" s="58">
        <v>17425766</v>
      </c>
    </row>
    <row r="26" spans="1:19" ht="15" customHeight="1" x14ac:dyDescent="0.2">
      <c r="A26" s="59" t="s">
        <v>65</v>
      </c>
      <c r="B26" s="60">
        <v>442502398</v>
      </c>
      <c r="C26" s="59" t="s">
        <v>111</v>
      </c>
      <c r="D26" s="61">
        <v>45343</v>
      </c>
      <c r="E26" s="59" t="s">
        <v>92</v>
      </c>
      <c r="F26" s="61">
        <v>45778</v>
      </c>
      <c r="G26" s="61">
        <v>45809</v>
      </c>
      <c r="H26" s="61">
        <v>45786</v>
      </c>
      <c r="I26" s="59" t="s">
        <v>69</v>
      </c>
      <c r="J26" s="60">
        <v>1</v>
      </c>
      <c r="K26" s="62">
        <v>23.37</v>
      </c>
      <c r="L26" s="63">
        <v>0.09</v>
      </c>
      <c r="M26" s="62">
        <v>2.1</v>
      </c>
      <c r="N26" s="59" t="s">
        <v>72</v>
      </c>
      <c r="O26" s="57" t="s">
        <v>150</v>
      </c>
      <c r="P26" s="58" t="s">
        <v>151</v>
      </c>
      <c r="R26" s="58" t="str">
        <f>CONCATENATE(O26, " ", P26, " ",Q26)</f>
        <v xml:space="preserve">Carol Foley </v>
      </c>
      <c r="S26" s="58">
        <v>17425766</v>
      </c>
    </row>
    <row r="27" spans="1:19" ht="15" customHeight="1" x14ac:dyDescent="0.2">
      <c r="A27" s="59" t="s">
        <v>65</v>
      </c>
      <c r="B27" s="60">
        <v>442563687</v>
      </c>
      <c r="C27" s="59" t="s">
        <v>141</v>
      </c>
      <c r="D27" s="61">
        <v>45373</v>
      </c>
      <c r="E27" s="59" t="s">
        <v>142</v>
      </c>
      <c r="F27" s="61">
        <v>45778</v>
      </c>
      <c r="G27" s="61">
        <v>45809</v>
      </c>
      <c r="H27" s="61">
        <v>45787</v>
      </c>
      <c r="I27" s="59" t="s">
        <v>69</v>
      </c>
      <c r="J27" s="60">
        <v>1</v>
      </c>
      <c r="K27" s="62">
        <v>49.7</v>
      </c>
      <c r="L27" s="63">
        <v>0.03</v>
      </c>
      <c r="M27" s="62">
        <v>1.49</v>
      </c>
      <c r="N27" s="59" t="s">
        <v>72</v>
      </c>
      <c r="O27" s="57" t="s">
        <v>159</v>
      </c>
      <c r="P27" s="58" t="s">
        <v>160</v>
      </c>
      <c r="R27" s="58" t="str">
        <f>CONCATENATE(O27, " ", P27, " ",Q27)</f>
        <v xml:space="preserve">Margaret Finnegan </v>
      </c>
      <c r="S27" s="58">
        <v>19861194</v>
      </c>
    </row>
  </sheetData>
  <sortState xmlns:xlrd2="http://schemas.microsoft.com/office/spreadsheetml/2017/richdata2" ref="A2:AK27">
    <sortCondition ref="B2:B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Sheet1!Print_Titles</vt:lpstr>
      <vt:lpstr>Sheet2!Print_Titles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2025-05-23T14:52:48Z</dcterms:created>
  <dcterms:modified xsi:type="dcterms:W3CDTF">2025-05-28T15:47:57Z</dcterms:modified>
</cp:coreProperties>
</file>