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"/>
    </mc:Choice>
  </mc:AlternateContent>
  <xr:revisionPtr revIDLastSave="0" documentId="13_ncr:1_{4B62BBB1-6994-4018-B178-5612CC7DADDB}" xr6:coauthVersionLast="47" xr6:coauthVersionMax="47" xr10:uidLastSave="{00000000-0000-0000-0000-000000000000}"/>
  <bookViews>
    <workbookView xWindow="-57720" yWindow="-120" windowWidth="29040" windowHeight="15720" activeTab="1" xr2:uid="{AE68AC05-4A69-4145-AD38-CFB7CCF0C404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2" i="2"/>
</calcChain>
</file>

<file path=xl/sharedStrings.xml><?xml version="1.0" encoding="utf-8"?>
<sst xmlns="http://schemas.openxmlformats.org/spreadsheetml/2006/main" count="981" uniqueCount="158">
  <si>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</si>
  <si>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</si>
  <si>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</si>
  <si>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</si>
  <si>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</si>
  <si>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</si>
  <si>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</si>
  <si>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</si>
  <si>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</si>
  <si>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</si>
  <si>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</si>
  <si>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</si>
  <si>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</si>
  <si>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</si>
  <si>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</si>
  <si>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</si>
  <si>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</si>
  <si>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</si>
  <si>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</si>
  <si>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</si>
  <si>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</si>
  <si>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</si>
  <si>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</si>
  <si>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</si>
  <si>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</si>
  <si>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</si>
  <si>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</si>
  <si>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</si>
  <si>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</si>
  <si>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</si>
  <si>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</si>
  <si>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</si>
  <si>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</si>
  <si>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</si>
  <si>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</si>
  <si>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</si>
  <si>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</si>
  <si>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</si>
  <si>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</si>
  <si>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</si>
  <si>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</si>
  <si>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</si>
  <si>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MIGUEL KARPEL</t>
  </si>
  <si>
    <t>NA</t>
  </si>
  <si>
    <t>CAROL FOLEY</t>
  </si>
  <si>
    <t>ACTIVE</t>
  </si>
  <si>
    <t>Humana MA 2019+ Level 15- 175/108</t>
  </si>
  <si>
    <t>Monthly</t>
  </si>
  <si>
    <t>AV</t>
  </si>
  <si>
    <t>GERRI WALTHERS</t>
  </si>
  <si>
    <t>ANTHONY HUNSBERGER</t>
  </si>
  <si>
    <t>RUBEN TORRES</t>
  </si>
  <si>
    <t>ESTHER HERRERA-LARSEN</t>
  </si>
  <si>
    <t>RICHARD COSARO</t>
  </si>
  <si>
    <t>ANDREW CHOI</t>
  </si>
  <si>
    <t>Humana MAPD Street payable to upline - 2024 New</t>
  </si>
  <si>
    <t>PERIKLI HAXHI</t>
  </si>
  <si>
    <t>JEFFERY FORSBERG</t>
  </si>
  <si>
    <t>ALEXANDER RANCE</t>
  </si>
  <si>
    <t>STEPHANIE DRAPAC</t>
  </si>
  <si>
    <t>RAYMOND HOCK</t>
  </si>
  <si>
    <t>PATRICIA LONG</t>
  </si>
  <si>
    <t>KAREN ZINDER</t>
  </si>
  <si>
    <t>Humana MA 2019+ Level 15- 150/84</t>
  </si>
  <si>
    <t>PAUL ARNOLD</t>
  </si>
  <si>
    <t>JACOB YALE</t>
  </si>
  <si>
    <t>JOHN STEINER</t>
  </si>
  <si>
    <t>PA</t>
  </si>
  <si>
    <t>TIMOTHY POWERS</t>
  </si>
  <si>
    <t>Aetna MAPD NMO to GMO - 4-1-23+  Replace E-App</t>
  </si>
  <si>
    <t>5/12 PRORATE</t>
  </si>
  <si>
    <t>ROY KIMBROUGH</t>
  </si>
  <si>
    <t>AL</t>
  </si>
  <si>
    <t>MATTHEW DAUGHERTY</t>
  </si>
  <si>
    <t>3/12 PRORATE</t>
  </si>
  <si>
    <t>LINDA MIHALKA</t>
  </si>
  <si>
    <t>IL</t>
  </si>
  <si>
    <t>GREGORY TEIPEL</t>
  </si>
  <si>
    <t>DEBRA PROTZMAN</t>
  </si>
  <si>
    <t>NORINE LISCHY</t>
  </si>
  <si>
    <t>DEBORAH INSKIPT</t>
  </si>
  <si>
    <t>Aetna MAPD NMO to GMO - 4-1-23+  Replace Paper</t>
  </si>
  <si>
    <t>6/12 PRORATE</t>
  </si>
  <si>
    <t>KAREN ZEMBAS</t>
  </si>
  <si>
    <t>MD</t>
  </si>
  <si>
    <t>THOMAS KUCAN</t>
  </si>
  <si>
    <t>LOIS STEPHENS</t>
  </si>
  <si>
    <t>ANNE MARIE KOZACHECK</t>
  </si>
  <si>
    <t>CYNTHIA FEESER</t>
  </si>
  <si>
    <t>TIM ANDERSON</t>
  </si>
  <si>
    <t>FL</t>
  </si>
  <si>
    <t>4/12 PRORATE</t>
  </si>
  <si>
    <t>KATHLEEN PLOCHARSKI</t>
  </si>
  <si>
    <t>RICARDO SANTOS</t>
  </si>
  <si>
    <t>ANITA ADAMS</t>
  </si>
  <si>
    <t>LORI FITZ</t>
  </si>
  <si>
    <t>OH</t>
  </si>
  <si>
    <t>SUSAN BETTENHAUSEN</t>
  </si>
  <si>
    <t>LYNN KUR</t>
  </si>
  <si>
    <t>PETER PRIBILA</t>
  </si>
  <si>
    <t>PATRICK PELLONI</t>
  </si>
  <si>
    <t>MI</t>
  </si>
  <si>
    <t>GARY PORTUGAL</t>
  </si>
  <si>
    <t>UHC MAPD Street payable to upline - 2024 New</t>
  </si>
  <si>
    <t>UHC MA Direct 2024 New Full</t>
  </si>
  <si>
    <t>LENDAYSHA TAYLOR</t>
  </si>
  <si>
    <t>CATHY LEMON</t>
  </si>
  <si>
    <t>KEITH MOORE</t>
  </si>
  <si>
    <t>UHC MAPD Street payable to upline- 2024 Pro New</t>
  </si>
  <si>
    <t>UHC MA Direct 2024 New Prorated</t>
  </si>
  <si>
    <t>MARTIN BRAUN</t>
  </si>
  <si>
    <t>Wellcare 6/2023 SGA PDP - All States</t>
  </si>
  <si>
    <t>WENDY AALBERTS</t>
  </si>
  <si>
    <t>KAREN STEIDINGER</t>
  </si>
  <si>
    <t>MICHAEL DUNAVANT</t>
  </si>
  <si>
    <t>ROBERT MORGAN</t>
  </si>
  <si>
    <t>ADAM RICHTER</t>
  </si>
  <si>
    <t>KRISTIE BERGER</t>
  </si>
  <si>
    <t>CHARLES MILLER</t>
  </si>
  <si>
    <t>CB</t>
  </si>
  <si>
    <t>REBECCA HAYES</t>
  </si>
  <si>
    <t>CHARGEBACK</t>
  </si>
  <si>
    <t>Humana MAPD Street payable to upline- 2024 Replace</t>
  </si>
  <si>
    <t>UHC MAPD Street payable to upline- 2024 Replace</t>
  </si>
  <si>
    <t>UHC MA Direct 2024 New Initial Prorated</t>
  </si>
  <si>
    <t>ALISSA DEMARIA</t>
  </si>
  <si>
    <t>00001823277KOV</t>
  </si>
  <si>
    <t>00010066661KOV</t>
  </si>
  <si>
    <t>00013131759KOV</t>
  </si>
  <si>
    <t>00021895977K</t>
  </si>
  <si>
    <t>00021917176K</t>
  </si>
  <si>
    <t>00021931659K</t>
  </si>
  <si>
    <t>00021937596K</t>
  </si>
  <si>
    <t>00021951591KOV</t>
  </si>
  <si>
    <t>00021953385K</t>
  </si>
  <si>
    <t>00021961080KOV</t>
  </si>
  <si>
    <t>126411736OV</t>
  </si>
  <si>
    <t>130273314OV</t>
  </si>
  <si>
    <t>130524428OV</t>
  </si>
  <si>
    <t>1NK7JY0VK35PDP</t>
  </si>
  <si>
    <t>2E65KX2HM54PDP</t>
  </si>
  <si>
    <t>3MG1T41NE17PDP</t>
  </si>
  <si>
    <t>5M96FA8XK85PDP</t>
  </si>
  <si>
    <t>906051412OV</t>
  </si>
  <si>
    <t>992526524OV</t>
  </si>
  <si>
    <t>00021813544KCB</t>
  </si>
  <si>
    <t>00021813544KOVCB</t>
  </si>
  <si>
    <t>00021895977KCB</t>
  </si>
  <si>
    <t>00021917176KCB</t>
  </si>
  <si>
    <t>00021931659KCB</t>
  </si>
  <si>
    <t>00021937596KCB</t>
  </si>
  <si>
    <t>126411736CB</t>
  </si>
  <si>
    <t>126411736OVCB</t>
  </si>
  <si>
    <t>130273314CB</t>
  </si>
  <si>
    <t>130273314OVCB</t>
  </si>
  <si>
    <t>6KA3YN1PW16PDPCB</t>
  </si>
  <si>
    <t>906051412CB</t>
  </si>
  <si>
    <t>906051412OVCB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</si>
</sst>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FC9A-E382-498A-81DD-6E51C731BF4D}">
  <dimension ref="A1:AL53"/>
  <sheetViews>
    <sheetView topLeftCell="U1" workbookViewId="0">
      <selection activeCell="K13" sqref="A1:AL53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28.85546875" bestFit="1" customWidth="1"/>
    <col min="6" max="6" width="8.140625" bestFit="1" customWidth="1"/>
    <col min="7" max="7" width="6.140625" bestFit="1" customWidth="1"/>
    <col min="8" max="8" width="17.7109375" bestFit="1" customWidth="1"/>
    <col min="9" max="9" width="19.7109375" style="4" bestFit="1" customWidth="1"/>
    <col min="10" max="10" width="21.57031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3.42578125" bestFit="1" customWidth="1"/>
    <col min="17" max="17" width="12.5703125" bestFit="1" customWidth="1"/>
    <col min="18" max="18" width="48.8554687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45518</v>
      </c>
      <c r="B2" s="1">
        <v>45518</v>
      </c>
      <c r="C2" t="s">
        <v>38</v>
      </c>
      <c r="D2" t="s">
        <v>39</v>
      </c>
      <c r="E2" t="s">
        <v>40</v>
      </c>
      <c r="F2">
        <v>43677</v>
      </c>
      <c r="H2" t="s">
        <v>41</v>
      </c>
      <c r="I2" s="4">
        <v>102023366700</v>
      </c>
      <c r="J2" t="s">
        <v>66</v>
      </c>
      <c r="M2" t="s">
        <v>67</v>
      </c>
      <c r="O2">
        <v>43611</v>
      </c>
      <c r="P2" t="s">
        <v>68</v>
      </c>
      <c r="Q2" t="s">
        <v>45</v>
      </c>
      <c r="R2" t="s">
        <v>69</v>
      </c>
      <c r="S2" s="1">
        <v>45505</v>
      </c>
      <c r="U2" t="s">
        <v>47</v>
      </c>
      <c r="X2" t="s">
        <v>48</v>
      </c>
      <c r="Y2" s="2">
        <v>0</v>
      </c>
      <c r="Z2" s="2">
        <v>20.83</v>
      </c>
      <c r="AA2">
        <v>1</v>
      </c>
      <c r="AB2" s="3">
        <v>1</v>
      </c>
      <c r="AC2" s="2">
        <v>20.83</v>
      </c>
      <c r="AD2" s="3">
        <v>0</v>
      </c>
      <c r="AE2" s="2">
        <v>0</v>
      </c>
      <c r="AF2" s="2">
        <v>20.83</v>
      </c>
      <c r="AK2">
        <v>4478536</v>
      </c>
      <c r="AL2" t="s">
        <v>70</v>
      </c>
    </row>
    <row r="3" spans="1:38" x14ac:dyDescent="0.25">
      <c r="A3" s="1">
        <v>45518</v>
      </c>
      <c r="B3" s="1">
        <v>45518</v>
      </c>
      <c r="C3" t="s">
        <v>38</v>
      </c>
      <c r="D3" t="s">
        <v>39</v>
      </c>
      <c r="E3" t="s">
        <v>40</v>
      </c>
      <c r="F3">
        <v>43677</v>
      </c>
      <c r="H3" t="s">
        <v>41</v>
      </c>
      <c r="I3" s="4">
        <v>102035806200</v>
      </c>
      <c r="J3" t="s">
        <v>71</v>
      </c>
      <c r="M3" t="s">
        <v>72</v>
      </c>
      <c r="O3">
        <v>43678</v>
      </c>
      <c r="P3" t="s">
        <v>73</v>
      </c>
      <c r="Q3" t="s">
        <v>45</v>
      </c>
      <c r="R3" t="s">
        <v>69</v>
      </c>
      <c r="S3" s="1">
        <v>45566</v>
      </c>
      <c r="U3" t="s">
        <v>47</v>
      </c>
      <c r="X3" t="s">
        <v>48</v>
      </c>
      <c r="Y3" s="2">
        <v>0</v>
      </c>
      <c r="Z3" s="2">
        <v>12.5</v>
      </c>
      <c r="AA3">
        <v>1</v>
      </c>
      <c r="AB3" s="3">
        <v>1</v>
      </c>
      <c r="AC3" s="2">
        <v>12.5</v>
      </c>
      <c r="AD3" s="3">
        <v>0</v>
      </c>
      <c r="AE3" s="2">
        <v>0</v>
      </c>
      <c r="AF3" s="2">
        <v>12.5</v>
      </c>
      <c r="AK3">
        <v>4478545</v>
      </c>
      <c r="AL3" t="s">
        <v>74</v>
      </c>
    </row>
    <row r="4" spans="1:38" x14ac:dyDescent="0.25">
      <c r="A4" s="1">
        <v>45518</v>
      </c>
      <c r="B4" s="1">
        <v>45518</v>
      </c>
      <c r="C4" t="s">
        <v>38</v>
      </c>
      <c r="D4" t="s">
        <v>39</v>
      </c>
      <c r="E4" t="s">
        <v>40</v>
      </c>
      <c r="F4">
        <v>43677</v>
      </c>
      <c r="H4" t="s">
        <v>41</v>
      </c>
      <c r="I4" s="4">
        <v>102035849400</v>
      </c>
      <c r="J4" t="s">
        <v>75</v>
      </c>
      <c r="M4" t="s">
        <v>76</v>
      </c>
      <c r="O4">
        <v>43682</v>
      </c>
      <c r="P4" t="s">
        <v>77</v>
      </c>
      <c r="Q4" t="s">
        <v>45</v>
      </c>
      <c r="R4" t="s">
        <v>69</v>
      </c>
      <c r="S4" s="1">
        <v>45505</v>
      </c>
      <c r="U4" t="s">
        <v>47</v>
      </c>
      <c r="X4" t="s">
        <v>48</v>
      </c>
      <c r="Y4" s="2">
        <v>0</v>
      </c>
      <c r="Z4" s="2">
        <v>20.83</v>
      </c>
      <c r="AA4">
        <v>1</v>
      </c>
      <c r="AB4" s="3">
        <v>1</v>
      </c>
      <c r="AC4" s="2">
        <v>20.83</v>
      </c>
      <c r="AD4" s="3">
        <v>0</v>
      </c>
      <c r="AE4" s="2">
        <v>0</v>
      </c>
      <c r="AF4" s="2">
        <v>20.83</v>
      </c>
      <c r="AK4">
        <v>4478546</v>
      </c>
      <c r="AL4" t="s">
        <v>70</v>
      </c>
    </row>
    <row r="5" spans="1:38" x14ac:dyDescent="0.25">
      <c r="A5" s="1">
        <v>45518</v>
      </c>
      <c r="B5" s="1">
        <v>45518</v>
      </c>
      <c r="C5" t="s">
        <v>38</v>
      </c>
      <c r="D5" t="s">
        <v>39</v>
      </c>
      <c r="E5" t="s">
        <v>40</v>
      </c>
      <c r="F5">
        <v>43677</v>
      </c>
      <c r="H5" t="s">
        <v>41</v>
      </c>
      <c r="I5" s="4">
        <v>102035916500</v>
      </c>
      <c r="J5" t="s">
        <v>78</v>
      </c>
      <c r="M5" t="s">
        <v>67</v>
      </c>
      <c r="O5">
        <v>43611</v>
      </c>
      <c r="P5" t="s">
        <v>68</v>
      </c>
      <c r="Q5" t="s">
        <v>45</v>
      </c>
      <c r="R5" t="s">
        <v>69</v>
      </c>
      <c r="S5" s="1">
        <v>45505</v>
      </c>
      <c r="U5" t="s">
        <v>47</v>
      </c>
      <c r="X5" t="s">
        <v>48</v>
      </c>
      <c r="Y5" s="2">
        <v>0</v>
      </c>
      <c r="Z5" s="2">
        <v>20.83</v>
      </c>
      <c r="AA5">
        <v>1</v>
      </c>
      <c r="AB5" s="3">
        <v>1</v>
      </c>
      <c r="AC5" s="2">
        <v>20.83</v>
      </c>
      <c r="AD5" s="3">
        <v>0</v>
      </c>
      <c r="AE5" s="2">
        <v>0</v>
      </c>
      <c r="AF5" s="2">
        <v>20.83</v>
      </c>
      <c r="AK5">
        <v>4478552</v>
      </c>
      <c r="AL5" t="s">
        <v>70</v>
      </c>
    </row>
    <row r="6" spans="1:38" x14ac:dyDescent="0.25">
      <c r="A6" s="1">
        <v>45518</v>
      </c>
      <c r="B6" s="1">
        <v>45518</v>
      </c>
      <c r="C6" t="s">
        <v>38</v>
      </c>
      <c r="D6" t="s">
        <v>39</v>
      </c>
      <c r="E6" t="s">
        <v>40</v>
      </c>
      <c r="F6">
        <v>43677</v>
      </c>
      <c r="H6" t="s">
        <v>41</v>
      </c>
      <c r="I6" s="4">
        <v>102036430400</v>
      </c>
      <c r="J6" t="s">
        <v>83</v>
      </c>
      <c r="M6" t="s">
        <v>84</v>
      </c>
      <c r="O6">
        <v>43690</v>
      </c>
      <c r="P6" t="s">
        <v>85</v>
      </c>
      <c r="Q6" t="s">
        <v>45</v>
      </c>
      <c r="R6" t="s">
        <v>69</v>
      </c>
      <c r="S6" s="1">
        <v>45505</v>
      </c>
      <c r="U6" t="s">
        <v>47</v>
      </c>
      <c r="X6" t="s">
        <v>48</v>
      </c>
      <c r="Y6" s="2">
        <v>0</v>
      </c>
      <c r="Z6" s="2">
        <v>20.83</v>
      </c>
      <c r="AA6">
        <v>1</v>
      </c>
      <c r="AB6" s="3">
        <v>1</v>
      </c>
      <c r="AC6" s="2">
        <v>20.83</v>
      </c>
      <c r="AD6" s="3">
        <v>0</v>
      </c>
      <c r="AE6" s="2">
        <v>0</v>
      </c>
      <c r="AF6" s="2">
        <v>20.83</v>
      </c>
      <c r="AK6">
        <v>4478564</v>
      </c>
      <c r="AL6" t="s">
        <v>70</v>
      </c>
    </row>
    <row r="7" spans="1:38" x14ac:dyDescent="0.25">
      <c r="A7" s="1">
        <v>45518</v>
      </c>
      <c r="B7" s="1">
        <v>45518</v>
      </c>
      <c r="C7" t="s">
        <v>38</v>
      </c>
      <c r="D7" t="s">
        <v>39</v>
      </c>
      <c r="E7" t="s">
        <v>40</v>
      </c>
      <c r="F7">
        <v>43677</v>
      </c>
      <c r="H7" t="s">
        <v>41</v>
      </c>
      <c r="I7" s="4">
        <v>102036450000</v>
      </c>
      <c r="J7" t="s">
        <v>86</v>
      </c>
      <c r="M7" t="s">
        <v>67</v>
      </c>
      <c r="O7">
        <v>43689</v>
      </c>
      <c r="P7" t="s">
        <v>87</v>
      </c>
      <c r="Q7" t="s">
        <v>45</v>
      </c>
      <c r="R7" t="s">
        <v>69</v>
      </c>
      <c r="S7" s="1">
        <v>45505</v>
      </c>
      <c r="U7" t="s">
        <v>47</v>
      </c>
      <c r="X7" t="s">
        <v>48</v>
      </c>
      <c r="Y7" s="2">
        <v>0</v>
      </c>
      <c r="Z7" s="2">
        <v>20.83</v>
      </c>
      <c r="AA7">
        <v>1</v>
      </c>
      <c r="AB7" s="3">
        <v>1</v>
      </c>
      <c r="AC7" s="2">
        <v>20.83</v>
      </c>
      <c r="AD7" s="3">
        <v>0</v>
      </c>
      <c r="AE7" s="2">
        <v>0</v>
      </c>
      <c r="AF7" s="2">
        <v>20.83</v>
      </c>
      <c r="AK7">
        <v>4478565</v>
      </c>
      <c r="AL7" t="s">
        <v>70</v>
      </c>
    </row>
    <row r="8" spans="1:38" x14ac:dyDescent="0.25">
      <c r="A8" s="1">
        <v>45518</v>
      </c>
      <c r="B8" s="1">
        <v>45518</v>
      </c>
      <c r="C8" t="s">
        <v>38</v>
      </c>
      <c r="D8" t="s">
        <v>39</v>
      </c>
      <c r="E8" t="s">
        <v>40</v>
      </c>
      <c r="F8">
        <v>43677</v>
      </c>
      <c r="H8" t="s">
        <v>41</v>
      </c>
      <c r="I8" s="4">
        <v>102036471300</v>
      </c>
      <c r="J8" t="s">
        <v>88</v>
      </c>
      <c r="M8" t="s">
        <v>67</v>
      </c>
      <c r="O8">
        <v>43679</v>
      </c>
      <c r="P8" t="s">
        <v>80</v>
      </c>
      <c r="Q8" t="s">
        <v>45</v>
      </c>
      <c r="R8" t="s">
        <v>69</v>
      </c>
      <c r="S8" s="1">
        <v>45505</v>
      </c>
      <c r="U8" t="s">
        <v>47</v>
      </c>
      <c r="X8" t="s">
        <v>48</v>
      </c>
      <c r="Y8" s="2">
        <v>0</v>
      </c>
      <c r="Z8" s="2">
        <v>20.83</v>
      </c>
      <c r="AA8">
        <v>1</v>
      </c>
      <c r="AB8" s="3">
        <v>1</v>
      </c>
      <c r="AC8" s="2">
        <v>20.83</v>
      </c>
      <c r="AD8" s="3">
        <v>0</v>
      </c>
      <c r="AE8" s="2">
        <v>0</v>
      </c>
      <c r="AF8" s="2">
        <v>20.83</v>
      </c>
      <c r="AK8">
        <v>4478570</v>
      </c>
      <c r="AL8" t="s">
        <v>70</v>
      </c>
    </row>
    <row r="9" spans="1:38" x14ac:dyDescent="0.25">
      <c r="A9" s="1">
        <v>45518</v>
      </c>
      <c r="B9" s="1">
        <v>45518</v>
      </c>
      <c r="C9" t="s">
        <v>38</v>
      </c>
      <c r="D9" t="s">
        <v>39</v>
      </c>
      <c r="E9" t="s">
        <v>40</v>
      </c>
      <c r="F9">
        <v>43677</v>
      </c>
      <c r="H9" t="s">
        <v>41</v>
      </c>
      <c r="I9" s="4">
        <v>102036698800</v>
      </c>
      <c r="J9" t="s">
        <v>89</v>
      </c>
      <c r="M9" t="s">
        <v>90</v>
      </c>
      <c r="O9">
        <v>43678</v>
      </c>
      <c r="P9" t="s">
        <v>73</v>
      </c>
      <c r="Q9" t="s">
        <v>45</v>
      </c>
      <c r="R9" t="s">
        <v>69</v>
      </c>
      <c r="S9" s="1">
        <v>45536</v>
      </c>
      <c r="U9" t="s">
        <v>47</v>
      </c>
      <c r="X9" t="s">
        <v>48</v>
      </c>
      <c r="Y9" s="2">
        <v>0</v>
      </c>
      <c r="Z9" s="2">
        <v>16.670000000000002</v>
      </c>
      <c r="AA9">
        <v>1</v>
      </c>
      <c r="AB9" s="3">
        <v>1</v>
      </c>
      <c r="AC9" s="2">
        <v>16.670000000000002</v>
      </c>
      <c r="AD9" s="3">
        <v>0</v>
      </c>
      <c r="AE9" s="2">
        <v>0</v>
      </c>
      <c r="AF9" s="2">
        <v>16.670000000000002</v>
      </c>
      <c r="AK9">
        <v>4478573</v>
      </c>
      <c r="AL9" t="s">
        <v>91</v>
      </c>
    </row>
    <row r="10" spans="1:38" x14ac:dyDescent="0.25">
      <c r="A10" s="1">
        <v>45518</v>
      </c>
      <c r="B10" s="1">
        <v>45518</v>
      </c>
      <c r="C10" t="s">
        <v>38</v>
      </c>
      <c r="D10" t="s">
        <v>39</v>
      </c>
      <c r="E10" t="s">
        <v>40</v>
      </c>
      <c r="F10">
        <v>43677</v>
      </c>
      <c r="H10" t="s">
        <v>41</v>
      </c>
      <c r="I10" s="4">
        <v>102037067200</v>
      </c>
      <c r="J10" t="s">
        <v>92</v>
      </c>
      <c r="M10" t="s">
        <v>76</v>
      </c>
      <c r="O10">
        <v>45613</v>
      </c>
      <c r="P10" t="s">
        <v>93</v>
      </c>
      <c r="Q10" t="s">
        <v>45</v>
      </c>
      <c r="R10" t="s">
        <v>69</v>
      </c>
      <c r="S10" s="1">
        <v>45566</v>
      </c>
      <c r="U10" t="s">
        <v>47</v>
      </c>
      <c r="X10" t="s">
        <v>48</v>
      </c>
      <c r="Y10" s="2">
        <v>0</v>
      </c>
      <c r="Z10" s="2">
        <v>12.5</v>
      </c>
      <c r="AA10">
        <v>1</v>
      </c>
      <c r="AB10" s="3">
        <v>1</v>
      </c>
      <c r="AC10" s="2">
        <v>12.5</v>
      </c>
      <c r="AD10" s="3">
        <v>0</v>
      </c>
      <c r="AE10" s="2">
        <v>0</v>
      </c>
      <c r="AF10" s="2">
        <v>12.5</v>
      </c>
      <c r="AK10">
        <v>4478589</v>
      </c>
      <c r="AL10" t="s">
        <v>74</v>
      </c>
    </row>
    <row r="11" spans="1:38" x14ac:dyDescent="0.25">
      <c r="A11" s="1">
        <v>45518</v>
      </c>
      <c r="B11" s="1">
        <v>45518</v>
      </c>
      <c r="C11" t="s">
        <v>38</v>
      </c>
      <c r="D11" t="s">
        <v>39</v>
      </c>
      <c r="E11" t="s">
        <v>40</v>
      </c>
      <c r="F11">
        <v>43677</v>
      </c>
      <c r="H11" t="s">
        <v>41</v>
      </c>
      <c r="I11" s="4">
        <v>102037178300</v>
      </c>
      <c r="J11" t="s">
        <v>94</v>
      </c>
      <c r="M11" t="s">
        <v>67</v>
      </c>
      <c r="O11">
        <v>43679</v>
      </c>
      <c r="P11" t="s">
        <v>80</v>
      </c>
      <c r="Q11" t="s">
        <v>45</v>
      </c>
      <c r="R11" t="s">
        <v>69</v>
      </c>
      <c r="S11" s="1">
        <v>45505</v>
      </c>
      <c r="U11" t="s">
        <v>47</v>
      </c>
      <c r="X11" t="s">
        <v>48</v>
      </c>
      <c r="Y11" s="2">
        <v>0</v>
      </c>
      <c r="Z11" s="2">
        <v>20.83</v>
      </c>
      <c r="AA11">
        <v>1</v>
      </c>
      <c r="AB11" s="3">
        <v>1</v>
      </c>
      <c r="AC11" s="2">
        <v>20.83</v>
      </c>
      <c r="AD11" s="3">
        <v>0</v>
      </c>
      <c r="AE11" s="2">
        <v>0</v>
      </c>
      <c r="AF11" s="2">
        <v>20.83</v>
      </c>
      <c r="AK11">
        <v>4478596</v>
      </c>
      <c r="AL11" t="s">
        <v>70</v>
      </c>
    </row>
    <row r="12" spans="1:38" x14ac:dyDescent="0.25">
      <c r="A12" s="1">
        <v>45518</v>
      </c>
      <c r="B12" s="1">
        <v>45518</v>
      </c>
      <c r="C12" t="s">
        <v>38</v>
      </c>
      <c r="D12" t="s">
        <v>39</v>
      </c>
      <c r="E12" t="s">
        <v>40</v>
      </c>
      <c r="F12">
        <v>43677</v>
      </c>
      <c r="H12" t="s">
        <v>41</v>
      </c>
      <c r="I12" s="4">
        <v>102037208500</v>
      </c>
      <c r="J12" t="s">
        <v>95</v>
      </c>
      <c r="M12" t="s">
        <v>96</v>
      </c>
      <c r="O12">
        <v>43682</v>
      </c>
      <c r="P12" t="s">
        <v>77</v>
      </c>
      <c r="Q12" t="s">
        <v>45</v>
      </c>
      <c r="R12" t="s">
        <v>69</v>
      </c>
      <c r="S12" s="1">
        <v>45566</v>
      </c>
      <c r="U12" t="s">
        <v>47</v>
      </c>
      <c r="X12" t="s">
        <v>48</v>
      </c>
      <c r="Y12" s="2">
        <v>0</v>
      </c>
      <c r="Z12" s="2">
        <v>12.5</v>
      </c>
      <c r="AA12">
        <v>1</v>
      </c>
      <c r="AB12" s="3">
        <v>1</v>
      </c>
      <c r="AC12" s="2">
        <v>12.5</v>
      </c>
      <c r="AD12" s="3">
        <v>0</v>
      </c>
      <c r="AE12" s="2">
        <v>0</v>
      </c>
      <c r="AF12" s="2">
        <v>12.5</v>
      </c>
      <c r="AK12">
        <v>4478601</v>
      </c>
      <c r="AL12" t="s">
        <v>74</v>
      </c>
    </row>
    <row r="13" spans="1:38" x14ac:dyDescent="0.25">
      <c r="A13" s="1">
        <v>45518</v>
      </c>
      <c r="B13" s="1">
        <v>45518</v>
      </c>
      <c r="C13" t="s">
        <v>38</v>
      </c>
      <c r="D13" t="s">
        <v>39</v>
      </c>
      <c r="E13" t="s">
        <v>40</v>
      </c>
      <c r="F13">
        <v>43677</v>
      </c>
      <c r="H13" t="s">
        <v>41</v>
      </c>
      <c r="I13" s="4">
        <v>102037260600</v>
      </c>
      <c r="J13" t="s">
        <v>97</v>
      </c>
      <c r="M13" t="s">
        <v>76</v>
      </c>
      <c r="O13">
        <v>43682</v>
      </c>
      <c r="P13" t="s">
        <v>77</v>
      </c>
      <c r="Q13" t="s">
        <v>45</v>
      </c>
      <c r="R13" t="s">
        <v>69</v>
      </c>
      <c r="S13" s="1">
        <v>45505</v>
      </c>
      <c r="U13" t="s">
        <v>47</v>
      </c>
      <c r="X13" t="s">
        <v>48</v>
      </c>
      <c r="Y13" s="2">
        <v>0</v>
      </c>
      <c r="Z13" s="2">
        <v>20.83</v>
      </c>
      <c r="AA13">
        <v>1</v>
      </c>
      <c r="AB13" s="3">
        <v>1</v>
      </c>
      <c r="AC13" s="2">
        <v>20.83</v>
      </c>
      <c r="AD13" s="3">
        <v>0</v>
      </c>
      <c r="AE13" s="2">
        <v>0</v>
      </c>
      <c r="AF13" s="2">
        <v>20.83</v>
      </c>
      <c r="AK13">
        <v>4478606</v>
      </c>
      <c r="AL13" t="s">
        <v>70</v>
      </c>
    </row>
    <row r="14" spans="1:38" x14ac:dyDescent="0.25">
      <c r="A14" s="1">
        <v>45518</v>
      </c>
      <c r="B14" s="1">
        <v>45518</v>
      </c>
      <c r="C14" t="s">
        <v>38</v>
      </c>
      <c r="D14" t="s">
        <v>39</v>
      </c>
      <c r="E14" t="s">
        <v>40</v>
      </c>
      <c r="F14">
        <v>43677</v>
      </c>
      <c r="H14" t="s">
        <v>41</v>
      </c>
      <c r="I14" s="4">
        <v>102037266200</v>
      </c>
      <c r="J14" t="s">
        <v>98</v>
      </c>
      <c r="M14" t="s">
        <v>76</v>
      </c>
      <c r="O14">
        <v>43682</v>
      </c>
      <c r="P14" t="s">
        <v>77</v>
      </c>
      <c r="Q14" t="s">
        <v>45</v>
      </c>
      <c r="R14" t="s">
        <v>69</v>
      </c>
      <c r="S14" s="1">
        <v>45536</v>
      </c>
      <c r="U14" t="s">
        <v>47</v>
      </c>
      <c r="X14" t="s">
        <v>48</v>
      </c>
      <c r="Y14" s="2">
        <v>0</v>
      </c>
      <c r="Z14" s="2">
        <v>16.670000000000002</v>
      </c>
      <c r="AA14">
        <v>1</v>
      </c>
      <c r="AB14" s="3">
        <v>1</v>
      </c>
      <c r="AC14" s="2">
        <v>16.670000000000002</v>
      </c>
      <c r="AD14" s="3">
        <v>0</v>
      </c>
      <c r="AE14" s="2">
        <v>0</v>
      </c>
      <c r="AF14" s="2">
        <v>16.670000000000002</v>
      </c>
      <c r="AK14">
        <v>4478607</v>
      </c>
      <c r="AL14" t="s">
        <v>91</v>
      </c>
    </row>
    <row r="15" spans="1:38" x14ac:dyDescent="0.25">
      <c r="A15" s="1">
        <v>45518</v>
      </c>
      <c r="B15" s="1">
        <v>45518</v>
      </c>
      <c r="C15" t="s">
        <v>38</v>
      </c>
      <c r="D15" t="s">
        <v>39</v>
      </c>
      <c r="E15" t="s">
        <v>40</v>
      </c>
      <c r="F15">
        <v>43677</v>
      </c>
      <c r="H15" t="s">
        <v>41</v>
      </c>
      <c r="I15" s="4">
        <v>102037642800</v>
      </c>
      <c r="J15" t="s">
        <v>99</v>
      </c>
      <c r="M15" t="s">
        <v>67</v>
      </c>
      <c r="O15">
        <v>43679</v>
      </c>
      <c r="P15" t="s">
        <v>80</v>
      </c>
      <c r="Q15" t="s">
        <v>45</v>
      </c>
      <c r="R15" t="s">
        <v>69</v>
      </c>
      <c r="S15" s="1">
        <v>45505</v>
      </c>
      <c r="U15" t="s">
        <v>47</v>
      </c>
      <c r="X15" t="s">
        <v>48</v>
      </c>
      <c r="Y15" s="2">
        <v>0</v>
      </c>
      <c r="Z15" s="2">
        <v>20.83</v>
      </c>
      <c r="AA15">
        <v>1</v>
      </c>
      <c r="AB15" s="3">
        <v>1</v>
      </c>
      <c r="AC15" s="2">
        <v>20.83</v>
      </c>
      <c r="AD15" s="3">
        <v>0</v>
      </c>
      <c r="AE15" s="2">
        <v>0</v>
      </c>
      <c r="AF15" s="2">
        <v>20.83</v>
      </c>
      <c r="AK15">
        <v>4478611</v>
      </c>
      <c r="AL15" t="s">
        <v>70</v>
      </c>
    </row>
    <row r="16" spans="1:38" x14ac:dyDescent="0.25">
      <c r="A16" s="1">
        <v>45518</v>
      </c>
      <c r="B16" s="1">
        <v>45518</v>
      </c>
      <c r="C16" t="s">
        <v>38</v>
      </c>
      <c r="D16" t="s">
        <v>39</v>
      </c>
      <c r="E16" t="s">
        <v>40</v>
      </c>
      <c r="F16">
        <v>43677</v>
      </c>
      <c r="H16" t="s">
        <v>41</v>
      </c>
      <c r="I16" s="4">
        <v>102035997700</v>
      </c>
      <c r="J16" t="s">
        <v>79</v>
      </c>
      <c r="M16" t="s">
        <v>67</v>
      </c>
      <c r="O16">
        <v>43679</v>
      </c>
      <c r="P16" t="s">
        <v>80</v>
      </c>
      <c r="Q16" t="s">
        <v>45</v>
      </c>
      <c r="R16" t="s">
        <v>81</v>
      </c>
      <c r="S16" s="1">
        <v>45474</v>
      </c>
      <c r="U16" t="s">
        <v>47</v>
      </c>
      <c r="X16" t="s">
        <v>48</v>
      </c>
      <c r="Y16" s="2">
        <v>0</v>
      </c>
      <c r="Z16" s="2">
        <v>20</v>
      </c>
      <c r="AA16">
        <v>1</v>
      </c>
      <c r="AB16" s="3">
        <v>1</v>
      </c>
      <c r="AC16" s="2">
        <v>20</v>
      </c>
      <c r="AD16" s="3">
        <v>0</v>
      </c>
      <c r="AE16" s="2">
        <v>0</v>
      </c>
      <c r="AF16" s="2">
        <v>20</v>
      </c>
      <c r="AK16">
        <v>4478559</v>
      </c>
      <c r="AL16" t="s">
        <v>82</v>
      </c>
    </row>
    <row r="17" spans="1:37" x14ac:dyDescent="0.25">
      <c r="A17" s="1">
        <v>45518</v>
      </c>
      <c r="B17" s="1">
        <v>45518</v>
      </c>
      <c r="C17" t="s">
        <v>38</v>
      </c>
      <c r="D17" t="s">
        <v>39</v>
      </c>
      <c r="E17" t="s">
        <v>40</v>
      </c>
      <c r="F17">
        <v>43677</v>
      </c>
      <c r="H17" t="s">
        <v>41</v>
      </c>
      <c r="I17" s="4" t="s">
        <v>134</v>
      </c>
      <c r="J17" t="s">
        <v>62</v>
      </c>
      <c r="M17" t="s">
        <v>43</v>
      </c>
      <c r="O17">
        <v>45618</v>
      </c>
      <c r="P17" t="s">
        <v>59</v>
      </c>
      <c r="Q17" t="s">
        <v>45</v>
      </c>
      <c r="R17" t="s">
        <v>63</v>
      </c>
      <c r="S17" s="1">
        <v>45505</v>
      </c>
      <c r="U17" t="s">
        <v>47</v>
      </c>
      <c r="X17" t="s">
        <v>48</v>
      </c>
      <c r="Y17" s="2">
        <v>0</v>
      </c>
      <c r="Z17" s="2">
        <v>150</v>
      </c>
      <c r="AA17">
        <v>1</v>
      </c>
      <c r="AB17" s="3">
        <v>1</v>
      </c>
      <c r="AC17" s="2">
        <v>150</v>
      </c>
      <c r="AD17" s="3">
        <v>0</v>
      </c>
      <c r="AE17" s="2">
        <v>0</v>
      </c>
      <c r="AF17" s="2">
        <v>150</v>
      </c>
      <c r="AK17">
        <v>4478755</v>
      </c>
    </row>
    <row r="18" spans="1:37" x14ac:dyDescent="0.25">
      <c r="A18" s="1">
        <v>45518</v>
      </c>
      <c r="B18" s="1">
        <v>45518</v>
      </c>
      <c r="C18" t="s">
        <v>119</v>
      </c>
      <c r="D18" t="s">
        <v>39</v>
      </c>
      <c r="E18" t="s">
        <v>40</v>
      </c>
      <c r="F18">
        <v>43677</v>
      </c>
      <c r="H18" t="s">
        <v>41</v>
      </c>
      <c r="I18" s="4" t="s">
        <v>150</v>
      </c>
      <c r="J18" t="s">
        <v>58</v>
      </c>
      <c r="M18" t="s">
        <v>43</v>
      </c>
      <c r="O18">
        <v>45618</v>
      </c>
      <c r="P18" t="s">
        <v>59</v>
      </c>
      <c r="Q18" t="s">
        <v>121</v>
      </c>
      <c r="R18" t="s">
        <v>63</v>
      </c>
      <c r="S18" s="1">
        <v>45505</v>
      </c>
      <c r="U18" t="s">
        <v>47</v>
      </c>
      <c r="X18" t="s">
        <v>48</v>
      </c>
      <c r="AF18" s="2">
        <v>150</v>
      </c>
      <c r="AG18" s="2">
        <v>0</v>
      </c>
      <c r="AJ18" s="2">
        <v>150</v>
      </c>
    </row>
    <row r="19" spans="1:37" x14ac:dyDescent="0.25">
      <c r="A19" s="1">
        <v>45518</v>
      </c>
      <c r="B19" s="1">
        <v>45518</v>
      </c>
      <c r="C19" t="s">
        <v>38</v>
      </c>
      <c r="D19" t="s">
        <v>39</v>
      </c>
      <c r="E19" t="s">
        <v>40</v>
      </c>
      <c r="F19">
        <v>43677</v>
      </c>
      <c r="H19" t="s">
        <v>41</v>
      </c>
      <c r="I19" s="4" t="s">
        <v>126</v>
      </c>
      <c r="J19" t="s">
        <v>42</v>
      </c>
      <c r="M19" t="s">
        <v>43</v>
      </c>
      <c r="O19">
        <v>45601</v>
      </c>
      <c r="P19" t="s">
        <v>44</v>
      </c>
      <c r="Q19" t="s">
        <v>45</v>
      </c>
      <c r="R19" t="s">
        <v>46</v>
      </c>
      <c r="S19" s="1">
        <v>45505</v>
      </c>
      <c r="U19" t="s">
        <v>47</v>
      </c>
      <c r="X19" t="s">
        <v>48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4478677</v>
      </c>
    </row>
    <row r="20" spans="1:37" x14ac:dyDescent="0.25">
      <c r="A20" s="1">
        <v>45518</v>
      </c>
      <c r="B20" s="1">
        <v>45518</v>
      </c>
      <c r="C20" t="s">
        <v>38</v>
      </c>
      <c r="D20" t="s">
        <v>39</v>
      </c>
      <c r="E20" t="s">
        <v>40</v>
      </c>
      <c r="F20">
        <v>43677</v>
      </c>
      <c r="H20" t="s">
        <v>41</v>
      </c>
      <c r="I20" s="4" t="s">
        <v>127</v>
      </c>
      <c r="J20" t="s">
        <v>49</v>
      </c>
      <c r="M20" t="s">
        <v>43</v>
      </c>
      <c r="O20">
        <v>45612</v>
      </c>
      <c r="P20" t="s">
        <v>50</v>
      </c>
      <c r="Q20" t="s">
        <v>45</v>
      </c>
      <c r="R20" t="s">
        <v>46</v>
      </c>
      <c r="S20" s="1">
        <v>45505</v>
      </c>
      <c r="U20" t="s">
        <v>47</v>
      </c>
      <c r="X20" t="s">
        <v>48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4478693</v>
      </c>
    </row>
    <row r="21" spans="1:37" x14ac:dyDescent="0.25">
      <c r="A21" s="1">
        <v>45518</v>
      </c>
      <c r="B21" s="1">
        <v>45518</v>
      </c>
      <c r="C21" t="s">
        <v>38</v>
      </c>
      <c r="D21" t="s">
        <v>39</v>
      </c>
      <c r="E21" t="s">
        <v>40</v>
      </c>
      <c r="F21">
        <v>43677</v>
      </c>
      <c r="H21" t="s">
        <v>41</v>
      </c>
      <c r="I21" s="4" t="s">
        <v>128</v>
      </c>
      <c r="J21" t="s">
        <v>51</v>
      </c>
      <c r="M21" t="s">
        <v>43</v>
      </c>
      <c r="O21">
        <v>45709</v>
      </c>
      <c r="P21" t="s">
        <v>52</v>
      </c>
      <c r="Q21" t="s">
        <v>45</v>
      </c>
      <c r="R21" t="s">
        <v>46</v>
      </c>
      <c r="S21" s="1">
        <v>45505</v>
      </c>
      <c r="U21" t="s">
        <v>47</v>
      </c>
      <c r="X21" t="s">
        <v>48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4478702</v>
      </c>
    </row>
    <row r="22" spans="1:37" x14ac:dyDescent="0.25">
      <c r="A22" s="1">
        <v>45518</v>
      </c>
      <c r="B22" s="1">
        <v>45518</v>
      </c>
      <c r="C22" t="s">
        <v>38</v>
      </c>
      <c r="D22" t="s">
        <v>39</v>
      </c>
      <c r="E22" t="s">
        <v>40</v>
      </c>
      <c r="F22">
        <v>43677</v>
      </c>
      <c r="H22" t="s">
        <v>41</v>
      </c>
      <c r="I22" s="4" t="s">
        <v>132</v>
      </c>
      <c r="J22" t="s">
        <v>58</v>
      </c>
      <c r="M22" t="s">
        <v>43</v>
      </c>
      <c r="O22">
        <v>45618</v>
      </c>
      <c r="P22" t="s">
        <v>59</v>
      </c>
      <c r="Q22" t="s">
        <v>45</v>
      </c>
      <c r="R22" t="s">
        <v>46</v>
      </c>
      <c r="S22" s="1">
        <v>45505</v>
      </c>
      <c r="U22" t="s">
        <v>47</v>
      </c>
      <c r="X22" t="s">
        <v>48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4478675</v>
      </c>
    </row>
    <row r="23" spans="1:37" x14ac:dyDescent="0.25">
      <c r="A23" s="1">
        <v>45518</v>
      </c>
      <c r="B23" s="1">
        <v>45518</v>
      </c>
      <c r="C23" t="s">
        <v>38</v>
      </c>
      <c r="D23" t="s">
        <v>39</v>
      </c>
      <c r="E23" t="s">
        <v>40</v>
      </c>
      <c r="F23">
        <v>43677</v>
      </c>
      <c r="H23" t="s">
        <v>41</v>
      </c>
      <c r="I23" s="4" t="s">
        <v>133</v>
      </c>
      <c r="J23" t="s">
        <v>60</v>
      </c>
      <c r="M23" t="s">
        <v>43</v>
      </c>
      <c r="O23">
        <v>45634</v>
      </c>
      <c r="P23" t="s">
        <v>61</v>
      </c>
      <c r="Q23" t="s">
        <v>45</v>
      </c>
      <c r="R23" t="s">
        <v>46</v>
      </c>
      <c r="S23" s="1">
        <v>45536</v>
      </c>
      <c r="U23" t="s">
        <v>47</v>
      </c>
      <c r="X23" t="s">
        <v>48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4478752</v>
      </c>
    </row>
    <row r="24" spans="1:37" x14ac:dyDescent="0.25">
      <c r="A24" s="1">
        <v>45518</v>
      </c>
      <c r="B24" s="1">
        <v>45518</v>
      </c>
      <c r="C24" t="s">
        <v>38</v>
      </c>
      <c r="D24" t="s">
        <v>39</v>
      </c>
      <c r="E24" t="s">
        <v>40</v>
      </c>
      <c r="F24">
        <v>43677</v>
      </c>
      <c r="H24" t="s">
        <v>41</v>
      </c>
      <c r="I24" s="4" t="s">
        <v>135</v>
      </c>
      <c r="J24" t="s">
        <v>64</v>
      </c>
      <c r="M24" t="s">
        <v>43</v>
      </c>
      <c r="O24">
        <v>45622</v>
      </c>
      <c r="P24" t="s">
        <v>65</v>
      </c>
      <c r="Q24" t="s">
        <v>45</v>
      </c>
      <c r="R24" t="s">
        <v>46</v>
      </c>
      <c r="S24" s="1">
        <v>45505</v>
      </c>
      <c r="U24" t="s">
        <v>47</v>
      </c>
      <c r="X24" t="s">
        <v>48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4478804</v>
      </c>
    </row>
    <row r="25" spans="1:37" x14ac:dyDescent="0.25">
      <c r="A25" s="1">
        <v>45518</v>
      </c>
      <c r="B25" s="1">
        <v>45518</v>
      </c>
      <c r="C25" t="s">
        <v>119</v>
      </c>
      <c r="D25" t="s">
        <v>39</v>
      </c>
      <c r="E25" t="s">
        <v>40</v>
      </c>
      <c r="F25">
        <v>43677</v>
      </c>
      <c r="H25" t="s">
        <v>41</v>
      </c>
      <c r="I25" s="4" t="s">
        <v>146</v>
      </c>
      <c r="J25" t="s">
        <v>120</v>
      </c>
      <c r="M25" t="s">
        <v>43</v>
      </c>
      <c r="O25">
        <v>45605</v>
      </c>
      <c r="P25" t="s">
        <v>102</v>
      </c>
      <c r="Q25" t="s">
        <v>121</v>
      </c>
      <c r="R25" t="s">
        <v>46</v>
      </c>
      <c r="S25" s="1">
        <v>45505</v>
      </c>
      <c r="U25" t="s">
        <v>47</v>
      </c>
      <c r="X25" t="s">
        <v>48</v>
      </c>
      <c r="AF25" s="2">
        <v>175</v>
      </c>
      <c r="AG25" s="2">
        <v>0</v>
      </c>
      <c r="AJ25" s="2">
        <v>175</v>
      </c>
    </row>
    <row r="26" spans="1:37" x14ac:dyDescent="0.25">
      <c r="A26" s="1">
        <v>45518</v>
      </c>
      <c r="B26" s="1">
        <v>45518</v>
      </c>
      <c r="C26" t="s">
        <v>38</v>
      </c>
      <c r="D26" t="s">
        <v>39</v>
      </c>
      <c r="E26" t="s">
        <v>40</v>
      </c>
      <c r="F26">
        <v>43677</v>
      </c>
      <c r="H26" t="s">
        <v>41</v>
      </c>
      <c r="I26" s="4" t="s">
        <v>129</v>
      </c>
      <c r="J26" t="s">
        <v>53</v>
      </c>
      <c r="M26" t="s">
        <v>43</v>
      </c>
      <c r="O26">
        <v>45603</v>
      </c>
      <c r="P26" t="s">
        <v>54</v>
      </c>
      <c r="Q26" t="s">
        <v>45</v>
      </c>
      <c r="R26" t="s">
        <v>55</v>
      </c>
      <c r="S26" s="1">
        <v>45505</v>
      </c>
      <c r="U26" t="s">
        <v>47</v>
      </c>
      <c r="X26" t="s">
        <v>48</v>
      </c>
      <c r="Y26" s="2">
        <v>0</v>
      </c>
      <c r="Z26" s="2">
        <v>611</v>
      </c>
      <c r="AA26">
        <v>1</v>
      </c>
      <c r="AB26" s="3">
        <v>1</v>
      </c>
      <c r="AC26" s="2">
        <v>611</v>
      </c>
      <c r="AD26" s="3">
        <v>0</v>
      </c>
      <c r="AE26" s="2">
        <v>0</v>
      </c>
      <c r="AF26" s="2">
        <v>611</v>
      </c>
      <c r="AK26">
        <v>4478747</v>
      </c>
    </row>
    <row r="27" spans="1:37" x14ac:dyDescent="0.25">
      <c r="A27" s="1">
        <v>45518</v>
      </c>
      <c r="B27" s="1">
        <v>45518</v>
      </c>
      <c r="C27" t="s">
        <v>38</v>
      </c>
      <c r="D27" t="s">
        <v>39</v>
      </c>
      <c r="E27" t="s">
        <v>40</v>
      </c>
      <c r="F27">
        <v>43677</v>
      </c>
      <c r="H27" t="s">
        <v>41</v>
      </c>
      <c r="I27" s="4" t="s">
        <v>130</v>
      </c>
      <c r="J27" t="s">
        <v>56</v>
      </c>
      <c r="M27" t="s">
        <v>43</v>
      </c>
      <c r="O27">
        <v>45603</v>
      </c>
      <c r="P27" t="s">
        <v>54</v>
      </c>
      <c r="Q27" t="s">
        <v>45</v>
      </c>
      <c r="R27" t="s">
        <v>55</v>
      </c>
      <c r="S27" s="1">
        <v>45505</v>
      </c>
      <c r="U27" t="s">
        <v>47</v>
      </c>
      <c r="X27" t="s">
        <v>48</v>
      </c>
      <c r="Y27" s="2">
        <v>0</v>
      </c>
      <c r="Z27" s="2">
        <v>611</v>
      </c>
      <c r="AA27">
        <v>1</v>
      </c>
      <c r="AB27" s="3">
        <v>1</v>
      </c>
      <c r="AC27" s="2">
        <v>611</v>
      </c>
      <c r="AD27" s="3">
        <v>0</v>
      </c>
      <c r="AE27" s="2">
        <v>0</v>
      </c>
      <c r="AF27" s="2">
        <v>611</v>
      </c>
      <c r="AK27">
        <v>4478749</v>
      </c>
    </row>
    <row r="28" spans="1:37" x14ac:dyDescent="0.25">
      <c r="A28" s="1">
        <v>45518</v>
      </c>
      <c r="B28" s="1">
        <v>45518</v>
      </c>
      <c r="C28" t="s">
        <v>38</v>
      </c>
      <c r="D28" t="s">
        <v>39</v>
      </c>
      <c r="E28" t="s">
        <v>40</v>
      </c>
      <c r="F28">
        <v>43677</v>
      </c>
      <c r="H28" t="s">
        <v>41</v>
      </c>
      <c r="I28" s="4" t="s">
        <v>131</v>
      </c>
      <c r="J28" t="s">
        <v>57</v>
      </c>
      <c r="M28" t="s">
        <v>43</v>
      </c>
      <c r="O28">
        <v>45603</v>
      </c>
      <c r="P28" t="s">
        <v>54</v>
      </c>
      <c r="Q28" t="s">
        <v>45</v>
      </c>
      <c r="R28" t="s">
        <v>55</v>
      </c>
      <c r="S28" s="1">
        <v>45505</v>
      </c>
      <c r="U28" t="s">
        <v>47</v>
      </c>
      <c r="X28" t="s">
        <v>48</v>
      </c>
      <c r="Y28" s="2">
        <v>0</v>
      </c>
      <c r="Z28" s="2">
        <v>611</v>
      </c>
      <c r="AA28">
        <v>1</v>
      </c>
      <c r="AB28" s="3">
        <v>1</v>
      </c>
      <c r="AC28" s="2">
        <v>611</v>
      </c>
      <c r="AD28" s="3">
        <v>0</v>
      </c>
      <c r="AE28" s="2">
        <v>0</v>
      </c>
      <c r="AF28" s="2">
        <v>611</v>
      </c>
      <c r="AK28">
        <v>4478750</v>
      </c>
    </row>
    <row r="29" spans="1:37" x14ac:dyDescent="0.25">
      <c r="A29" s="1">
        <v>45518</v>
      </c>
      <c r="B29" s="1">
        <v>45518</v>
      </c>
      <c r="C29" t="s">
        <v>119</v>
      </c>
      <c r="D29" t="s">
        <v>39</v>
      </c>
      <c r="E29" t="s">
        <v>40</v>
      </c>
      <c r="F29">
        <v>43677</v>
      </c>
      <c r="H29" t="s">
        <v>41</v>
      </c>
      <c r="I29" s="4" t="s">
        <v>145</v>
      </c>
      <c r="J29" t="s">
        <v>120</v>
      </c>
      <c r="M29" t="s">
        <v>43</v>
      </c>
      <c r="O29">
        <v>45605</v>
      </c>
      <c r="P29" t="s">
        <v>102</v>
      </c>
      <c r="Q29" t="s">
        <v>121</v>
      </c>
      <c r="R29" t="s">
        <v>55</v>
      </c>
      <c r="S29" s="1">
        <v>45505</v>
      </c>
      <c r="U29" t="s">
        <v>47</v>
      </c>
      <c r="X29" t="s">
        <v>48</v>
      </c>
      <c r="AF29" s="2">
        <v>611</v>
      </c>
      <c r="AG29" s="2">
        <v>0</v>
      </c>
      <c r="AJ29" s="2">
        <v>611</v>
      </c>
    </row>
    <row r="30" spans="1:37" x14ac:dyDescent="0.25">
      <c r="A30" s="1">
        <v>45518</v>
      </c>
      <c r="B30" s="1">
        <v>45518</v>
      </c>
      <c r="C30" t="s">
        <v>119</v>
      </c>
      <c r="D30" t="s">
        <v>39</v>
      </c>
      <c r="E30" t="s">
        <v>40</v>
      </c>
      <c r="F30">
        <v>43677</v>
      </c>
      <c r="H30" t="s">
        <v>41</v>
      </c>
      <c r="I30" s="4" t="s">
        <v>147</v>
      </c>
      <c r="J30" t="s">
        <v>53</v>
      </c>
      <c r="M30" t="s">
        <v>43</v>
      </c>
      <c r="O30">
        <v>45603</v>
      </c>
      <c r="P30" t="s">
        <v>54</v>
      </c>
      <c r="Q30" t="s">
        <v>121</v>
      </c>
      <c r="R30" t="s">
        <v>122</v>
      </c>
      <c r="S30" s="1">
        <v>45505</v>
      </c>
      <c r="U30" t="s">
        <v>47</v>
      </c>
      <c r="X30" t="s">
        <v>48</v>
      </c>
      <c r="AF30" s="2">
        <v>127.5</v>
      </c>
      <c r="AG30" s="2">
        <v>0</v>
      </c>
      <c r="AJ30" s="2">
        <v>127.5</v>
      </c>
    </row>
    <row r="31" spans="1:37" x14ac:dyDescent="0.25">
      <c r="A31" s="1">
        <v>45518</v>
      </c>
      <c r="B31" s="1">
        <v>45518</v>
      </c>
      <c r="C31" t="s">
        <v>119</v>
      </c>
      <c r="D31" t="s">
        <v>39</v>
      </c>
      <c r="E31" t="s">
        <v>40</v>
      </c>
      <c r="F31">
        <v>43677</v>
      </c>
      <c r="H31" t="s">
        <v>41</v>
      </c>
      <c r="I31" s="4" t="s">
        <v>148</v>
      </c>
      <c r="J31" t="s">
        <v>56</v>
      </c>
      <c r="M31" t="s">
        <v>43</v>
      </c>
      <c r="O31">
        <v>45603</v>
      </c>
      <c r="P31" t="s">
        <v>54</v>
      </c>
      <c r="Q31" t="s">
        <v>121</v>
      </c>
      <c r="R31" t="s">
        <v>122</v>
      </c>
      <c r="S31" s="1">
        <v>45505</v>
      </c>
      <c r="U31" t="s">
        <v>47</v>
      </c>
      <c r="X31" t="s">
        <v>48</v>
      </c>
      <c r="AF31" s="2">
        <v>127.5</v>
      </c>
      <c r="AG31" s="2">
        <v>0</v>
      </c>
      <c r="AJ31" s="2">
        <v>127.5</v>
      </c>
    </row>
    <row r="32" spans="1:37" x14ac:dyDescent="0.25">
      <c r="A32" s="1">
        <v>45518</v>
      </c>
      <c r="B32" s="1">
        <v>45518</v>
      </c>
      <c r="C32" t="s">
        <v>119</v>
      </c>
      <c r="D32" t="s">
        <v>39</v>
      </c>
      <c r="E32" t="s">
        <v>40</v>
      </c>
      <c r="F32">
        <v>43677</v>
      </c>
      <c r="H32" t="s">
        <v>41</v>
      </c>
      <c r="I32" s="4" t="s">
        <v>149</v>
      </c>
      <c r="J32" t="s">
        <v>57</v>
      </c>
      <c r="M32" t="s">
        <v>43</v>
      </c>
      <c r="O32">
        <v>45603</v>
      </c>
      <c r="P32" t="s">
        <v>54</v>
      </c>
      <c r="Q32" t="s">
        <v>121</v>
      </c>
      <c r="R32" t="s">
        <v>122</v>
      </c>
      <c r="S32" s="1">
        <v>45505</v>
      </c>
      <c r="U32" t="s">
        <v>47</v>
      </c>
      <c r="X32" t="s">
        <v>48</v>
      </c>
      <c r="AF32" s="2">
        <v>127.5</v>
      </c>
      <c r="AG32" s="2">
        <v>0</v>
      </c>
      <c r="AJ32" s="2">
        <v>127.5</v>
      </c>
    </row>
    <row r="33" spans="1:38" x14ac:dyDescent="0.25">
      <c r="A33" s="1">
        <v>45518</v>
      </c>
      <c r="B33" s="1">
        <v>45518</v>
      </c>
      <c r="C33" t="s">
        <v>38</v>
      </c>
      <c r="D33" t="s">
        <v>39</v>
      </c>
      <c r="E33" t="s">
        <v>40</v>
      </c>
      <c r="F33">
        <v>43677</v>
      </c>
      <c r="H33" t="s">
        <v>41</v>
      </c>
      <c r="I33" s="4" t="s">
        <v>136</v>
      </c>
      <c r="J33" t="s">
        <v>100</v>
      </c>
      <c r="M33" t="s">
        <v>101</v>
      </c>
      <c r="O33">
        <v>45605</v>
      </c>
      <c r="P33" t="s">
        <v>102</v>
      </c>
      <c r="Q33" t="s">
        <v>45</v>
      </c>
      <c r="R33" t="s">
        <v>104</v>
      </c>
      <c r="S33" s="1">
        <v>45505</v>
      </c>
      <c r="U33" t="s">
        <v>47</v>
      </c>
      <c r="X33" t="s">
        <v>48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4479030</v>
      </c>
    </row>
    <row r="34" spans="1:38" x14ac:dyDescent="0.25">
      <c r="A34" s="1">
        <v>45518</v>
      </c>
      <c r="B34" s="1">
        <v>45518</v>
      </c>
      <c r="C34" t="s">
        <v>38</v>
      </c>
      <c r="D34" t="s">
        <v>39</v>
      </c>
      <c r="E34" t="s">
        <v>40</v>
      </c>
      <c r="F34">
        <v>43677</v>
      </c>
      <c r="H34" t="s">
        <v>41</v>
      </c>
      <c r="I34" s="4" t="s">
        <v>137</v>
      </c>
      <c r="J34" t="s">
        <v>105</v>
      </c>
      <c r="M34" t="s">
        <v>84</v>
      </c>
      <c r="O34">
        <v>45627</v>
      </c>
      <c r="P34" t="s">
        <v>106</v>
      </c>
      <c r="Q34" t="s">
        <v>45</v>
      </c>
      <c r="R34" t="s">
        <v>104</v>
      </c>
      <c r="S34" s="1">
        <v>45474</v>
      </c>
      <c r="U34" t="s">
        <v>47</v>
      </c>
      <c r="X34" t="s">
        <v>48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4479035</v>
      </c>
    </row>
    <row r="35" spans="1:38" x14ac:dyDescent="0.25">
      <c r="A35" s="1">
        <v>45518</v>
      </c>
      <c r="B35" s="1">
        <v>45518</v>
      </c>
      <c r="C35" t="s">
        <v>38</v>
      </c>
      <c r="D35" t="s">
        <v>39</v>
      </c>
      <c r="E35" t="s">
        <v>40</v>
      </c>
      <c r="F35">
        <v>43677</v>
      </c>
      <c r="H35" t="s">
        <v>41</v>
      </c>
      <c r="I35" s="4" t="s">
        <v>143</v>
      </c>
      <c r="J35" t="s">
        <v>117</v>
      </c>
      <c r="M35" t="s">
        <v>76</v>
      </c>
      <c r="O35">
        <v>45605</v>
      </c>
      <c r="P35" t="s">
        <v>102</v>
      </c>
      <c r="Q35" t="s">
        <v>45</v>
      </c>
      <c r="R35" t="s">
        <v>104</v>
      </c>
      <c r="S35" s="1">
        <v>45566</v>
      </c>
      <c r="U35" t="s">
        <v>47</v>
      </c>
      <c r="X35" t="s">
        <v>48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4479032</v>
      </c>
    </row>
    <row r="36" spans="1:38" x14ac:dyDescent="0.25">
      <c r="A36" s="1">
        <v>45518</v>
      </c>
      <c r="B36" s="1">
        <v>45518</v>
      </c>
      <c r="C36" t="s">
        <v>38</v>
      </c>
      <c r="D36" t="s">
        <v>39</v>
      </c>
      <c r="E36" t="s">
        <v>40</v>
      </c>
      <c r="F36">
        <v>43677</v>
      </c>
      <c r="H36" t="s">
        <v>41</v>
      </c>
      <c r="I36" s="4" t="s">
        <v>144</v>
      </c>
      <c r="J36" t="s">
        <v>118</v>
      </c>
      <c r="M36" t="s">
        <v>76</v>
      </c>
      <c r="O36">
        <v>45605</v>
      </c>
      <c r="P36" t="s">
        <v>102</v>
      </c>
      <c r="Q36" t="s">
        <v>45</v>
      </c>
      <c r="R36" t="s">
        <v>104</v>
      </c>
      <c r="S36" s="1">
        <v>45505</v>
      </c>
      <c r="U36" t="s">
        <v>47</v>
      </c>
      <c r="X36" t="s">
        <v>48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4479070</v>
      </c>
    </row>
    <row r="37" spans="1:38" x14ac:dyDescent="0.25">
      <c r="A37" s="1">
        <v>45518</v>
      </c>
      <c r="B37" s="1">
        <v>45518</v>
      </c>
      <c r="C37" t="s">
        <v>119</v>
      </c>
      <c r="D37" t="s">
        <v>39</v>
      </c>
      <c r="E37" t="s">
        <v>40</v>
      </c>
      <c r="F37">
        <v>43677</v>
      </c>
      <c r="H37" t="s">
        <v>41</v>
      </c>
      <c r="I37" s="4" t="s">
        <v>152</v>
      </c>
      <c r="J37" t="s">
        <v>100</v>
      </c>
      <c r="M37" t="s">
        <v>101</v>
      </c>
      <c r="O37">
        <v>45605</v>
      </c>
      <c r="P37" t="s">
        <v>102</v>
      </c>
      <c r="Q37" t="s">
        <v>121</v>
      </c>
      <c r="R37" t="s">
        <v>124</v>
      </c>
      <c r="S37" s="1">
        <v>45505</v>
      </c>
      <c r="U37" t="s">
        <v>47</v>
      </c>
      <c r="X37" t="s">
        <v>48</v>
      </c>
      <c r="AF37" s="2">
        <v>30</v>
      </c>
      <c r="AG37" s="2">
        <v>0</v>
      </c>
      <c r="AJ37" s="2">
        <v>30</v>
      </c>
    </row>
    <row r="38" spans="1:38" x14ac:dyDescent="0.25">
      <c r="A38" s="1">
        <v>45518</v>
      </c>
      <c r="B38" s="1">
        <v>45518</v>
      </c>
      <c r="C38" t="s">
        <v>38</v>
      </c>
      <c r="D38" t="s">
        <v>39</v>
      </c>
      <c r="E38" t="s">
        <v>40</v>
      </c>
      <c r="F38">
        <v>43677</v>
      </c>
      <c r="H38" t="s">
        <v>41</v>
      </c>
      <c r="I38" s="4" t="s">
        <v>138</v>
      </c>
      <c r="J38" t="s">
        <v>107</v>
      </c>
      <c r="M38" t="s">
        <v>84</v>
      </c>
      <c r="O38">
        <v>45627</v>
      </c>
      <c r="P38" t="s">
        <v>106</v>
      </c>
      <c r="Q38" t="s">
        <v>45</v>
      </c>
      <c r="R38" t="s">
        <v>109</v>
      </c>
      <c r="S38" s="1">
        <v>45505</v>
      </c>
      <c r="U38" t="s">
        <v>47</v>
      </c>
      <c r="X38" t="s">
        <v>48</v>
      </c>
      <c r="Y38" s="2">
        <v>0</v>
      </c>
      <c r="Z38" s="2">
        <v>72.92</v>
      </c>
      <c r="AA38">
        <v>1</v>
      </c>
      <c r="AB38" s="3">
        <v>1</v>
      </c>
      <c r="AC38" s="2">
        <v>72.92</v>
      </c>
      <c r="AD38" s="3">
        <v>0</v>
      </c>
      <c r="AE38" s="2">
        <v>0</v>
      </c>
      <c r="AF38" s="2">
        <v>72.92</v>
      </c>
      <c r="AK38">
        <v>4479059</v>
      </c>
      <c r="AL38" t="s">
        <v>70</v>
      </c>
    </row>
    <row r="39" spans="1:38" x14ac:dyDescent="0.25">
      <c r="A39" s="1">
        <v>45518</v>
      </c>
      <c r="B39" s="1">
        <v>45518</v>
      </c>
      <c r="C39" t="s">
        <v>119</v>
      </c>
      <c r="D39" t="s">
        <v>39</v>
      </c>
      <c r="E39" t="s">
        <v>40</v>
      </c>
      <c r="F39">
        <v>43677</v>
      </c>
      <c r="H39" t="s">
        <v>41</v>
      </c>
      <c r="I39" s="4" t="s">
        <v>154</v>
      </c>
      <c r="J39" t="s">
        <v>105</v>
      </c>
      <c r="M39" t="s">
        <v>84</v>
      </c>
      <c r="O39">
        <v>45627</v>
      </c>
      <c r="P39" t="s">
        <v>106</v>
      </c>
      <c r="Q39" t="s">
        <v>121</v>
      </c>
      <c r="R39" t="s">
        <v>109</v>
      </c>
      <c r="S39" s="1">
        <v>45474</v>
      </c>
      <c r="U39" t="s">
        <v>47</v>
      </c>
      <c r="X39" t="s">
        <v>48</v>
      </c>
      <c r="AF39" s="2">
        <v>87.5</v>
      </c>
      <c r="AG39" s="2">
        <v>0</v>
      </c>
      <c r="AJ39" s="2">
        <v>87.5</v>
      </c>
    </row>
    <row r="40" spans="1:38" x14ac:dyDescent="0.25">
      <c r="A40" s="1">
        <v>45518</v>
      </c>
      <c r="B40" s="1">
        <v>45518</v>
      </c>
      <c r="C40" t="s">
        <v>119</v>
      </c>
      <c r="D40" t="s">
        <v>39</v>
      </c>
      <c r="E40" t="s">
        <v>40</v>
      </c>
      <c r="F40">
        <v>43677</v>
      </c>
      <c r="H40" t="s">
        <v>41</v>
      </c>
      <c r="I40" s="4" t="s">
        <v>157</v>
      </c>
      <c r="J40" t="s">
        <v>117</v>
      </c>
      <c r="M40" t="s">
        <v>76</v>
      </c>
      <c r="O40">
        <v>45605</v>
      </c>
      <c r="P40" t="s">
        <v>102</v>
      </c>
      <c r="Q40" t="s">
        <v>121</v>
      </c>
      <c r="R40" t="s">
        <v>109</v>
      </c>
      <c r="S40" s="1">
        <v>45566</v>
      </c>
      <c r="U40" t="s">
        <v>47</v>
      </c>
      <c r="X40" t="s">
        <v>48</v>
      </c>
      <c r="AF40" s="2">
        <v>43.75</v>
      </c>
      <c r="AG40" s="2">
        <v>0</v>
      </c>
      <c r="AJ40" s="2">
        <v>43.75</v>
      </c>
    </row>
    <row r="41" spans="1:38" x14ac:dyDescent="0.25">
      <c r="A41" s="1">
        <v>45518</v>
      </c>
      <c r="B41" s="1">
        <v>45518</v>
      </c>
      <c r="C41" t="s">
        <v>38</v>
      </c>
      <c r="D41" t="s">
        <v>39</v>
      </c>
      <c r="E41" t="s">
        <v>40</v>
      </c>
      <c r="F41">
        <v>43677</v>
      </c>
      <c r="H41" t="s">
        <v>41</v>
      </c>
      <c r="I41" s="4">
        <v>126411736</v>
      </c>
      <c r="J41" t="s">
        <v>100</v>
      </c>
      <c r="M41" t="s">
        <v>101</v>
      </c>
      <c r="O41">
        <v>45605</v>
      </c>
      <c r="P41" t="s">
        <v>102</v>
      </c>
      <c r="Q41" t="s">
        <v>45</v>
      </c>
      <c r="R41" t="s">
        <v>103</v>
      </c>
      <c r="S41" s="1">
        <v>45505</v>
      </c>
      <c r="U41" t="s">
        <v>47</v>
      </c>
      <c r="X41" t="s">
        <v>48</v>
      </c>
      <c r="Y41" s="2">
        <v>0</v>
      </c>
      <c r="Z41" s="2">
        <v>611</v>
      </c>
      <c r="AA41">
        <v>1</v>
      </c>
      <c r="AB41" s="3">
        <v>1</v>
      </c>
      <c r="AC41" s="2">
        <v>611</v>
      </c>
      <c r="AD41" s="3">
        <v>0</v>
      </c>
      <c r="AE41" s="2">
        <v>0</v>
      </c>
      <c r="AF41" s="2">
        <v>611</v>
      </c>
      <c r="AK41">
        <v>4479029</v>
      </c>
    </row>
    <row r="42" spans="1:38" x14ac:dyDescent="0.25">
      <c r="A42" s="1">
        <v>45518</v>
      </c>
      <c r="B42" s="1">
        <v>45518</v>
      </c>
      <c r="C42" t="s">
        <v>38</v>
      </c>
      <c r="D42" t="s">
        <v>39</v>
      </c>
      <c r="E42" t="s">
        <v>40</v>
      </c>
      <c r="F42">
        <v>43677</v>
      </c>
      <c r="H42" t="s">
        <v>41</v>
      </c>
      <c r="I42" s="4">
        <v>130273314</v>
      </c>
      <c r="J42" t="s">
        <v>105</v>
      </c>
      <c r="M42" t="s">
        <v>84</v>
      </c>
      <c r="O42">
        <v>45627</v>
      </c>
      <c r="P42" t="s">
        <v>106</v>
      </c>
      <c r="Q42" t="s">
        <v>45</v>
      </c>
      <c r="R42" t="s">
        <v>103</v>
      </c>
      <c r="S42" s="1">
        <v>45474</v>
      </c>
      <c r="U42" t="s">
        <v>47</v>
      </c>
      <c r="X42" t="s">
        <v>48</v>
      </c>
      <c r="Y42" s="2">
        <v>0</v>
      </c>
      <c r="Z42" s="2">
        <v>611</v>
      </c>
      <c r="AA42">
        <v>1</v>
      </c>
      <c r="AB42" s="3">
        <v>1</v>
      </c>
      <c r="AC42" s="2">
        <v>611</v>
      </c>
      <c r="AD42" s="3">
        <v>0</v>
      </c>
      <c r="AE42" s="2">
        <v>0</v>
      </c>
      <c r="AF42" s="2">
        <v>611</v>
      </c>
      <c r="AK42">
        <v>4479034</v>
      </c>
    </row>
    <row r="43" spans="1:38" x14ac:dyDescent="0.25">
      <c r="A43" s="1">
        <v>45518</v>
      </c>
      <c r="B43" s="1">
        <v>45518</v>
      </c>
      <c r="C43" t="s">
        <v>38</v>
      </c>
      <c r="D43" t="s">
        <v>39</v>
      </c>
      <c r="E43" t="s">
        <v>40</v>
      </c>
      <c r="F43">
        <v>43677</v>
      </c>
      <c r="H43" t="s">
        <v>41</v>
      </c>
      <c r="I43" s="4">
        <v>906051412</v>
      </c>
      <c r="J43" t="s">
        <v>117</v>
      </c>
      <c r="M43" t="s">
        <v>76</v>
      </c>
      <c r="O43">
        <v>45605</v>
      </c>
      <c r="P43" t="s">
        <v>102</v>
      </c>
      <c r="Q43" t="s">
        <v>45</v>
      </c>
      <c r="R43" t="s">
        <v>103</v>
      </c>
      <c r="S43" s="1">
        <v>45566</v>
      </c>
      <c r="U43" t="s">
        <v>47</v>
      </c>
      <c r="X43" t="s">
        <v>48</v>
      </c>
      <c r="Y43" s="2">
        <v>0</v>
      </c>
      <c r="Z43" s="2">
        <v>611</v>
      </c>
      <c r="AA43">
        <v>1</v>
      </c>
      <c r="AB43" s="3">
        <v>1</v>
      </c>
      <c r="AC43" s="2">
        <v>611</v>
      </c>
      <c r="AD43" s="3">
        <v>0</v>
      </c>
      <c r="AE43" s="2">
        <v>0</v>
      </c>
      <c r="AF43" s="2">
        <v>611</v>
      </c>
      <c r="AK43">
        <v>4479031</v>
      </c>
    </row>
    <row r="44" spans="1:38" x14ac:dyDescent="0.25">
      <c r="A44" s="1">
        <v>45518</v>
      </c>
      <c r="B44" s="1">
        <v>45518</v>
      </c>
      <c r="C44" t="s">
        <v>38</v>
      </c>
      <c r="D44" t="s">
        <v>39</v>
      </c>
      <c r="E44" t="s">
        <v>40</v>
      </c>
      <c r="F44">
        <v>43677</v>
      </c>
      <c r="H44" t="s">
        <v>41</v>
      </c>
      <c r="I44" s="4">
        <v>992526524</v>
      </c>
      <c r="J44" t="s">
        <v>118</v>
      </c>
      <c r="M44" t="s">
        <v>76</v>
      </c>
      <c r="O44">
        <v>45605</v>
      </c>
      <c r="P44" t="s">
        <v>102</v>
      </c>
      <c r="Q44" t="s">
        <v>45</v>
      </c>
      <c r="R44" t="s">
        <v>103</v>
      </c>
      <c r="S44" s="1">
        <v>45505</v>
      </c>
      <c r="U44" t="s">
        <v>47</v>
      </c>
      <c r="X44" t="s">
        <v>48</v>
      </c>
      <c r="Y44" s="2">
        <v>0</v>
      </c>
      <c r="Z44" s="2">
        <v>611</v>
      </c>
      <c r="AA44">
        <v>1</v>
      </c>
      <c r="AB44" s="3">
        <v>1</v>
      </c>
      <c r="AC44" s="2">
        <v>611</v>
      </c>
      <c r="AD44" s="3">
        <v>0</v>
      </c>
      <c r="AE44" s="2">
        <v>0</v>
      </c>
      <c r="AF44" s="2">
        <v>611</v>
      </c>
      <c r="AK44">
        <v>4479069</v>
      </c>
    </row>
    <row r="45" spans="1:38" x14ac:dyDescent="0.25">
      <c r="A45" s="1">
        <v>45518</v>
      </c>
      <c r="B45" s="1">
        <v>45518</v>
      </c>
      <c r="C45" t="s">
        <v>38</v>
      </c>
      <c r="D45" t="s">
        <v>39</v>
      </c>
      <c r="E45" t="s">
        <v>40</v>
      </c>
      <c r="F45">
        <v>43677</v>
      </c>
      <c r="H45" t="s">
        <v>41</v>
      </c>
      <c r="I45" s="4">
        <v>130524428</v>
      </c>
      <c r="J45" t="s">
        <v>107</v>
      </c>
      <c r="M45" t="s">
        <v>84</v>
      </c>
      <c r="O45">
        <v>45627</v>
      </c>
      <c r="P45" t="s">
        <v>106</v>
      </c>
      <c r="Q45" t="s">
        <v>45</v>
      </c>
      <c r="R45" t="s">
        <v>108</v>
      </c>
      <c r="S45" s="1">
        <v>45505</v>
      </c>
      <c r="U45" t="s">
        <v>47</v>
      </c>
      <c r="X45" t="s">
        <v>48</v>
      </c>
      <c r="Y45" s="2">
        <v>0</v>
      </c>
      <c r="Z45" s="2">
        <v>254.58</v>
      </c>
      <c r="AA45">
        <v>1</v>
      </c>
      <c r="AB45" s="3">
        <v>1</v>
      </c>
      <c r="AC45" s="2">
        <v>254.58</v>
      </c>
      <c r="AD45" s="3">
        <v>0</v>
      </c>
      <c r="AE45" s="2">
        <v>0</v>
      </c>
      <c r="AF45" s="2">
        <v>254.58</v>
      </c>
      <c r="AK45">
        <v>4479058</v>
      </c>
      <c r="AL45" t="s">
        <v>70</v>
      </c>
    </row>
    <row r="46" spans="1:38" x14ac:dyDescent="0.25">
      <c r="A46" s="1">
        <v>45518</v>
      </c>
      <c r="B46" s="1">
        <v>45518</v>
      </c>
      <c r="C46" t="s">
        <v>119</v>
      </c>
      <c r="D46" t="s">
        <v>39</v>
      </c>
      <c r="E46" t="s">
        <v>40</v>
      </c>
      <c r="F46">
        <v>43677</v>
      </c>
      <c r="H46" t="s">
        <v>41</v>
      </c>
      <c r="I46" s="4" t="s">
        <v>151</v>
      </c>
      <c r="J46" t="s">
        <v>100</v>
      </c>
      <c r="M46" t="s">
        <v>101</v>
      </c>
      <c r="O46">
        <v>45605</v>
      </c>
      <c r="P46" t="s">
        <v>102</v>
      </c>
      <c r="Q46" t="s">
        <v>121</v>
      </c>
      <c r="R46" t="s">
        <v>123</v>
      </c>
      <c r="S46" s="1">
        <v>45505</v>
      </c>
      <c r="U46" t="s">
        <v>47</v>
      </c>
      <c r="X46" t="s">
        <v>48</v>
      </c>
      <c r="AF46" s="2">
        <v>127.5</v>
      </c>
      <c r="AG46" s="2">
        <v>0</v>
      </c>
      <c r="AJ46" s="2">
        <v>127.5</v>
      </c>
    </row>
    <row r="47" spans="1:38" x14ac:dyDescent="0.25">
      <c r="A47" s="1">
        <v>45518</v>
      </c>
      <c r="B47" s="1">
        <v>45518</v>
      </c>
      <c r="C47" t="s">
        <v>119</v>
      </c>
      <c r="D47" t="s">
        <v>39</v>
      </c>
      <c r="E47" t="s">
        <v>40</v>
      </c>
      <c r="F47">
        <v>43677</v>
      </c>
      <c r="H47" t="s">
        <v>41</v>
      </c>
      <c r="I47" s="4" t="s">
        <v>153</v>
      </c>
      <c r="J47" t="s">
        <v>105</v>
      </c>
      <c r="M47" t="s">
        <v>84</v>
      </c>
      <c r="O47">
        <v>45627</v>
      </c>
      <c r="P47" t="s">
        <v>106</v>
      </c>
      <c r="Q47" t="s">
        <v>121</v>
      </c>
      <c r="R47" t="s">
        <v>123</v>
      </c>
      <c r="S47" s="1">
        <v>45474</v>
      </c>
      <c r="U47" t="s">
        <v>47</v>
      </c>
      <c r="X47" t="s">
        <v>48</v>
      </c>
      <c r="AF47" s="2">
        <v>153</v>
      </c>
      <c r="AG47" s="2">
        <v>0</v>
      </c>
      <c r="AJ47" s="2">
        <v>153</v>
      </c>
    </row>
    <row r="48" spans="1:38" x14ac:dyDescent="0.25">
      <c r="A48" s="1">
        <v>45518</v>
      </c>
      <c r="B48" s="1">
        <v>45518</v>
      </c>
      <c r="C48" t="s">
        <v>119</v>
      </c>
      <c r="D48" t="s">
        <v>39</v>
      </c>
      <c r="E48" t="s">
        <v>40</v>
      </c>
      <c r="F48">
        <v>43677</v>
      </c>
      <c r="H48" t="s">
        <v>41</v>
      </c>
      <c r="I48" s="4" t="s">
        <v>156</v>
      </c>
      <c r="J48" t="s">
        <v>117</v>
      </c>
      <c r="M48" t="s">
        <v>76</v>
      </c>
      <c r="O48">
        <v>45605</v>
      </c>
      <c r="P48" t="s">
        <v>102</v>
      </c>
      <c r="Q48" t="s">
        <v>121</v>
      </c>
      <c r="R48" t="s">
        <v>123</v>
      </c>
      <c r="S48" s="1">
        <v>45566</v>
      </c>
      <c r="U48" t="s">
        <v>47</v>
      </c>
      <c r="X48" t="s">
        <v>48</v>
      </c>
      <c r="AF48" s="2">
        <v>76.5</v>
      </c>
      <c r="AG48" s="2">
        <v>0</v>
      </c>
      <c r="AJ48" s="2">
        <v>76.5</v>
      </c>
    </row>
    <row r="49" spans="1:37" x14ac:dyDescent="0.25">
      <c r="A49" s="1">
        <v>45518</v>
      </c>
      <c r="B49" s="1">
        <v>45518</v>
      </c>
      <c r="C49" t="s">
        <v>38</v>
      </c>
      <c r="D49" t="s">
        <v>39</v>
      </c>
      <c r="E49" t="s">
        <v>40</v>
      </c>
      <c r="F49">
        <v>43677</v>
      </c>
      <c r="H49" t="s">
        <v>41</v>
      </c>
      <c r="I49" s="4" t="s">
        <v>139</v>
      </c>
      <c r="J49" t="s">
        <v>110</v>
      </c>
      <c r="M49" t="s">
        <v>67</v>
      </c>
      <c r="O49">
        <v>43679</v>
      </c>
      <c r="P49" t="s">
        <v>80</v>
      </c>
      <c r="Q49" t="s">
        <v>45</v>
      </c>
      <c r="R49" t="s">
        <v>111</v>
      </c>
      <c r="S49" s="1">
        <v>45505</v>
      </c>
      <c r="U49" t="s">
        <v>47</v>
      </c>
      <c r="X49" t="s">
        <v>48</v>
      </c>
      <c r="Y49" s="2">
        <v>0</v>
      </c>
      <c r="Z49" s="2">
        <v>9</v>
      </c>
      <c r="AA49">
        <v>1</v>
      </c>
      <c r="AB49" s="3">
        <v>1</v>
      </c>
      <c r="AC49" s="2">
        <v>9</v>
      </c>
      <c r="AD49" s="3">
        <v>0</v>
      </c>
      <c r="AE49" s="2">
        <v>0</v>
      </c>
      <c r="AF49" s="2">
        <v>9</v>
      </c>
      <c r="AK49">
        <v>4479106</v>
      </c>
    </row>
    <row r="50" spans="1:37" x14ac:dyDescent="0.25">
      <c r="A50" s="1">
        <v>45518</v>
      </c>
      <c r="B50" s="1">
        <v>45518</v>
      </c>
      <c r="C50" t="s">
        <v>38</v>
      </c>
      <c r="D50" t="s">
        <v>39</v>
      </c>
      <c r="E50" t="s">
        <v>40</v>
      </c>
      <c r="F50">
        <v>43677</v>
      </c>
      <c r="H50" t="s">
        <v>41</v>
      </c>
      <c r="I50" s="4" t="s">
        <v>140</v>
      </c>
      <c r="J50" t="s">
        <v>112</v>
      </c>
      <c r="M50" t="s">
        <v>67</v>
      </c>
      <c r="O50">
        <v>43677</v>
      </c>
      <c r="P50" t="s">
        <v>41</v>
      </c>
      <c r="Q50" t="s">
        <v>45</v>
      </c>
      <c r="R50" t="s">
        <v>111</v>
      </c>
      <c r="S50" s="1">
        <v>45505</v>
      </c>
      <c r="U50" t="s">
        <v>47</v>
      </c>
      <c r="X50" t="s">
        <v>48</v>
      </c>
      <c r="Y50" s="2">
        <v>0</v>
      </c>
      <c r="Z50" s="2">
        <v>9</v>
      </c>
      <c r="AA50">
        <v>1</v>
      </c>
      <c r="AB50" s="3">
        <v>1</v>
      </c>
      <c r="AC50" s="2">
        <v>9</v>
      </c>
      <c r="AD50" s="3">
        <v>0</v>
      </c>
      <c r="AE50" s="2">
        <v>0</v>
      </c>
      <c r="AF50" s="2">
        <v>9</v>
      </c>
      <c r="AK50">
        <v>4479118</v>
      </c>
    </row>
    <row r="51" spans="1:37" x14ac:dyDescent="0.25">
      <c r="A51" s="1">
        <v>45518</v>
      </c>
      <c r="B51" s="1">
        <v>45518</v>
      </c>
      <c r="C51" t="s">
        <v>38</v>
      </c>
      <c r="D51" t="s">
        <v>39</v>
      </c>
      <c r="E51" t="s">
        <v>40</v>
      </c>
      <c r="F51">
        <v>43677</v>
      </c>
      <c r="H51" t="s">
        <v>41</v>
      </c>
      <c r="I51" s="4" t="s">
        <v>141</v>
      </c>
      <c r="J51" t="s">
        <v>113</v>
      </c>
      <c r="M51" t="s">
        <v>76</v>
      </c>
      <c r="O51">
        <v>43705</v>
      </c>
      <c r="P51" t="s">
        <v>114</v>
      </c>
      <c r="Q51" t="s">
        <v>45</v>
      </c>
      <c r="R51" t="s">
        <v>111</v>
      </c>
      <c r="S51" s="1">
        <v>45536</v>
      </c>
      <c r="U51" t="s">
        <v>47</v>
      </c>
      <c r="X51" t="s">
        <v>48</v>
      </c>
      <c r="Y51" s="2">
        <v>0</v>
      </c>
      <c r="Z51" s="2">
        <v>9</v>
      </c>
      <c r="AA51">
        <v>1</v>
      </c>
      <c r="AB51" s="3">
        <v>1</v>
      </c>
      <c r="AC51" s="2">
        <v>9</v>
      </c>
      <c r="AD51" s="3">
        <v>0</v>
      </c>
      <c r="AE51" s="2">
        <v>0</v>
      </c>
      <c r="AF51" s="2">
        <v>9</v>
      </c>
      <c r="AK51">
        <v>4479144</v>
      </c>
    </row>
    <row r="52" spans="1:37" x14ac:dyDescent="0.25">
      <c r="A52" s="1">
        <v>45518</v>
      </c>
      <c r="B52" s="1">
        <v>45518</v>
      </c>
      <c r="C52" t="s">
        <v>38</v>
      </c>
      <c r="D52" t="s">
        <v>39</v>
      </c>
      <c r="E52" t="s">
        <v>40</v>
      </c>
      <c r="F52">
        <v>43677</v>
      </c>
      <c r="H52" t="s">
        <v>41</v>
      </c>
      <c r="I52" s="4" t="s">
        <v>142</v>
      </c>
      <c r="J52" t="s">
        <v>115</v>
      </c>
      <c r="M52" t="s">
        <v>84</v>
      </c>
      <c r="O52">
        <v>43692</v>
      </c>
      <c r="P52" t="s">
        <v>116</v>
      </c>
      <c r="Q52" t="s">
        <v>45</v>
      </c>
      <c r="R52" t="s">
        <v>111</v>
      </c>
      <c r="S52" s="1">
        <v>45505</v>
      </c>
      <c r="U52" t="s">
        <v>47</v>
      </c>
      <c r="X52" t="s">
        <v>48</v>
      </c>
      <c r="Y52" s="2">
        <v>0</v>
      </c>
      <c r="Z52" s="2">
        <v>9</v>
      </c>
      <c r="AA52">
        <v>1</v>
      </c>
      <c r="AB52" s="3">
        <v>1</v>
      </c>
      <c r="AC52" s="2">
        <v>9</v>
      </c>
      <c r="AD52" s="3">
        <v>0</v>
      </c>
      <c r="AE52" s="2">
        <v>0</v>
      </c>
      <c r="AF52" s="2">
        <v>9</v>
      </c>
      <c r="AK52">
        <v>4479177</v>
      </c>
    </row>
    <row r="53" spans="1:37" x14ac:dyDescent="0.25">
      <c r="A53" s="1">
        <v>45518</v>
      </c>
      <c r="B53" s="1">
        <v>45518</v>
      </c>
      <c r="C53" t="s">
        <v>119</v>
      </c>
      <c r="D53" t="s">
        <v>39</v>
      </c>
      <c r="E53" t="s">
        <v>40</v>
      </c>
      <c r="F53">
        <v>43677</v>
      </c>
      <c r="H53" t="s">
        <v>41</v>
      </c>
      <c r="I53" s="4" t="s">
        <v>155</v>
      </c>
      <c r="J53" t="s">
        <v>125</v>
      </c>
      <c r="M53" t="s">
        <v>90</v>
      </c>
      <c r="O53">
        <v>45601</v>
      </c>
      <c r="P53" t="s">
        <v>44</v>
      </c>
      <c r="Q53" t="s">
        <v>121</v>
      </c>
      <c r="R53" t="s">
        <v>111</v>
      </c>
      <c r="S53" s="1">
        <v>45474</v>
      </c>
      <c r="U53" t="s">
        <v>47</v>
      </c>
      <c r="X53" t="s">
        <v>48</v>
      </c>
      <c r="AF53" s="2">
        <v>9</v>
      </c>
      <c r="AG53" s="2">
        <v>0</v>
      </c>
      <c r="AJ53" s="2">
        <v>9</v>
      </c>
    </row>
  </sheetData>
  <sortState xmlns:xlrd2="http://schemas.microsoft.com/office/spreadsheetml/2017/richdata2" ref="A2:AL53">
    <sortCondition ref="R2:R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AAA3-04DF-43BE-B5B3-E430797799AA}">
  <dimension ref="A1:N170"/>
  <sheetViews>
    <sheetView tabSelected="1" workbookViewId="0">
      <selection activeCell="C31" sqref="C31"/>
    </sheetView>
  </sheetViews>
  <sheetFormatPr defaultRowHeight="15" x14ac:dyDescent="0.25"/>
  <cols>
    <col min="1" max="1" width="9.42578125" bestFit="1" customWidth="1"/>
    <col min="2" max="2" width="19.7109375" style="5" bestFit="1" customWidth="1"/>
    <col min="3" max="3" width="19.7109375" style="5" customWidth="1"/>
    <col min="4" max="4" width="21.5703125" style="5" bestFit="1" customWidth="1"/>
    <col min="5" max="5" width="3.85546875" bestFit="1" customWidth="1"/>
    <col min="6" max="6" width="5.28515625" bestFit="1" customWidth="1"/>
    <col min="7" max="7" width="6" bestFit="1" customWidth="1"/>
    <col min="8" max="8" width="23.42578125" bestFit="1" customWidth="1"/>
    <col min="9" max="9" width="12.5703125" bestFit="1" customWidth="1"/>
    <col min="10" max="10" width="48.85546875" bestFit="1" customWidth="1"/>
    <col min="11" max="11" width="9.42578125" bestFit="1" customWidth="1"/>
    <col min="12" max="12" width="10.140625" style="1" bestFit="1" customWidth="1"/>
    <col min="13" max="13" width="7" style="7" bestFit="1" customWidth="1"/>
    <col min="14" max="14" width="13.28515625" bestFit="1" customWidth="1"/>
    <col min="15" max="15" width="14" bestFit="1" customWidth="1"/>
    <col min="16" max="16" width="16.28515625" bestFit="1" customWidth="1"/>
  </cols>
  <sheetData>
    <row r="1" spans="1:14" x14ac:dyDescent="0.25">
      <c r="A1" t="s">
        <v>0</v>
      </c>
      <c r="B1" s="4" t="s">
        <v>8</v>
      </c>
      <c r="C1" s="4"/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s="7" t="s">
        <v>28</v>
      </c>
      <c r="N1" t="s">
        <v>37</v>
      </c>
    </row>
    <row r="2" spans="1:14" x14ac:dyDescent="0.25">
      <c r="A2" s="1">
        <v>45518</v>
      </c>
      <c r="B2" s="4">
        <v>102023366700</v>
      </c>
      <c r="C2" s="4" t="str">
        <f>CONCATENATE(B2,9)</f>
        <v>1020233667009</v>
      </c>
      <c r="D2" t="s">
        <v>66</v>
      </c>
      <c r="E2" t="s">
        <v>67</v>
      </c>
      <c r="G2">
        <v>43611</v>
      </c>
      <c r="H2" t="s">
        <v>68</v>
      </c>
      <c r="I2" t="s">
        <v>45</v>
      </c>
      <c r="J2" t="s">
        <v>69</v>
      </c>
      <c r="K2" s="1">
        <v>45505</v>
      </c>
      <c r="L2" s="1">
        <f>DATE(YEAR(K2), MONTH(K2) +1, DAY(K2))</f>
        <v>45536</v>
      </c>
      <c r="M2" s="7">
        <v>20.83</v>
      </c>
      <c r="N2" t="s">
        <v>70</v>
      </c>
    </row>
    <row r="3" spans="1:14" x14ac:dyDescent="0.25">
      <c r="A3" s="1">
        <v>45518</v>
      </c>
      <c r="B3" s="4">
        <v>102035806200</v>
      </c>
      <c r="C3" s="4" t="str">
        <f t="shared" ref="C3:C53" si="0">CONCATENATE(B3,9)</f>
        <v>1020358062009</v>
      </c>
      <c r="D3" t="s">
        <v>71</v>
      </c>
      <c r="E3" t="s">
        <v>72</v>
      </c>
      <c r="G3">
        <v>43678</v>
      </c>
      <c r="H3" t="s">
        <v>73</v>
      </c>
      <c r="I3" t="s">
        <v>45</v>
      </c>
      <c r="J3" t="s">
        <v>69</v>
      </c>
      <c r="K3" s="1">
        <v>45566</v>
      </c>
      <c r="L3" s="1">
        <f t="shared" ref="L3:L53" si="1">DATE(YEAR(K3), MONTH(K3) +1, DAY(K3))</f>
        <v>45597</v>
      </c>
      <c r="M3" s="7">
        <v>12.5</v>
      </c>
      <c r="N3" t="s">
        <v>74</v>
      </c>
    </row>
    <row r="4" spans="1:14" x14ac:dyDescent="0.25">
      <c r="A4" s="1">
        <v>45518</v>
      </c>
      <c r="B4" s="4">
        <v>102035849400</v>
      </c>
      <c r="C4" s="4" t="str">
        <f t="shared" si="0"/>
        <v>1020358494009</v>
      </c>
      <c r="D4" t="s">
        <v>75</v>
      </c>
      <c r="E4" t="s">
        <v>76</v>
      </c>
      <c r="G4">
        <v>43682</v>
      </c>
      <c r="H4" t="s">
        <v>77</v>
      </c>
      <c r="I4" t="s">
        <v>45</v>
      </c>
      <c r="J4" t="s">
        <v>69</v>
      </c>
      <c r="K4" s="1">
        <v>45505</v>
      </c>
      <c r="L4" s="1">
        <f t="shared" si="1"/>
        <v>45536</v>
      </c>
      <c r="M4" s="7">
        <v>20.83</v>
      </c>
      <c r="N4" t="s">
        <v>70</v>
      </c>
    </row>
    <row r="5" spans="1:14" x14ac:dyDescent="0.25">
      <c r="A5" s="1">
        <v>45518</v>
      </c>
      <c r="B5" s="4">
        <v>102035916500</v>
      </c>
      <c r="C5" s="4" t="str">
        <f t="shared" si="0"/>
        <v>1020359165009</v>
      </c>
      <c r="D5" t="s">
        <v>78</v>
      </c>
      <c r="E5" t="s">
        <v>67</v>
      </c>
      <c r="G5">
        <v>43611</v>
      </c>
      <c r="H5" t="s">
        <v>68</v>
      </c>
      <c r="I5" t="s">
        <v>45</v>
      </c>
      <c r="J5" t="s">
        <v>69</v>
      </c>
      <c r="K5" s="1">
        <v>45505</v>
      </c>
      <c r="L5" s="1">
        <f t="shared" si="1"/>
        <v>45536</v>
      </c>
      <c r="M5" s="7">
        <v>20.83</v>
      </c>
      <c r="N5" t="s">
        <v>70</v>
      </c>
    </row>
    <row r="6" spans="1:14" x14ac:dyDescent="0.25">
      <c r="A6" s="1">
        <v>45518</v>
      </c>
      <c r="B6" s="4">
        <v>102036430400</v>
      </c>
      <c r="C6" s="4" t="str">
        <f t="shared" si="0"/>
        <v>1020364304009</v>
      </c>
      <c r="D6" t="s">
        <v>83</v>
      </c>
      <c r="E6" t="s">
        <v>84</v>
      </c>
      <c r="G6">
        <v>43690</v>
      </c>
      <c r="H6" t="s">
        <v>85</v>
      </c>
      <c r="I6" t="s">
        <v>45</v>
      </c>
      <c r="J6" t="s">
        <v>69</v>
      </c>
      <c r="K6" s="1">
        <v>45505</v>
      </c>
      <c r="L6" s="1">
        <f t="shared" si="1"/>
        <v>45536</v>
      </c>
      <c r="M6" s="7">
        <v>20.83</v>
      </c>
      <c r="N6" t="s">
        <v>70</v>
      </c>
    </row>
    <row r="7" spans="1:14" x14ac:dyDescent="0.25">
      <c r="A7" s="1">
        <v>45518</v>
      </c>
      <c r="B7" s="4">
        <v>102036450000</v>
      </c>
      <c r="C7" s="4" t="str">
        <f t="shared" si="0"/>
        <v>1020364500009</v>
      </c>
      <c r="D7" t="s">
        <v>86</v>
      </c>
      <c r="E7" t="s">
        <v>67</v>
      </c>
      <c r="G7">
        <v>43689</v>
      </c>
      <c r="H7" t="s">
        <v>87</v>
      </c>
      <c r="I7" t="s">
        <v>45</v>
      </c>
      <c r="J7" t="s">
        <v>69</v>
      </c>
      <c r="K7" s="1">
        <v>45505</v>
      </c>
      <c r="L7" s="1">
        <f t="shared" si="1"/>
        <v>45536</v>
      </c>
      <c r="M7" s="7">
        <v>20.83</v>
      </c>
      <c r="N7" t="s">
        <v>70</v>
      </c>
    </row>
    <row r="8" spans="1:14" x14ac:dyDescent="0.25">
      <c r="A8" s="1">
        <v>45518</v>
      </c>
      <c r="B8" s="4">
        <v>102036471300</v>
      </c>
      <c r="C8" s="4" t="str">
        <f t="shared" si="0"/>
        <v>1020364713009</v>
      </c>
      <c r="D8" t="s">
        <v>88</v>
      </c>
      <c r="E8" t="s">
        <v>67</v>
      </c>
      <c r="G8">
        <v>43679</v>
      </c>
      <c r="H8" t="s">
        <v>80</v>
      </c>
      <c r="I8" t="s">
        <v>45</v>
      </c>
      <c r="J8" t="s">
        <v>69</v>
      </c>
      <c r="K8" s="1">
        <v>45505</v>
      </c>
      <c r="L8" s="1">
        <f t="shared" si="1"/>
        <v>45536</v>
      </c>
      <c r="M8" s="7">
        <v>20.83</v>
      </c>
      <c r="N8" t="s">
        <v>70</v>
      </c>
    </row>
    <row r="9" spans="1:14" x14ac:dyDescent="0.25">
      <c r="A9" s="1">
        <v>45518</v>
      </c>
      <c r="B9" s="4">
        <v>102036698800</v>
      </c>
      <c r="C9" s="4" t="str">
        <f t="shared" si="0"/>
        <v>1020366988009</v>
      </c>
      <c r="D9" t="s">
        <v>89</v>
      </c>
      <c r="E9" t="s">
        <v>90</v>
      </c>
      <c r="G9">
        <v>43678</v>
      </c>
      <c r="H9" t="s">
        <v>73</v>
      </c>
      <c r="I9" t="s">
        <v>45</v>
      </c>
      <c r="J9" t="s">
        <v>69</v>
      </c>
      <c r="K9" s="1">
        <v>45536</v>
      </c>
      <c r="L9" s="1">
        <f t="shared" si="1"/>
        <v>45566</v>
      </c>
      <c r="M9" s="7">
        <v>16.670000000000002</v>
      </c>
      <c r="N9" t="s">
        <v>91</v>
      </c>
    </row>
    <row r="10" spans="1:14" x14ac:dyDescent="0.25">
      <c r="A10" s="1">
        <v>45518</v>
      </c>
      <c r="B10" s="4">
        <v>102037067200</v>
      </c>
      <c r="C10" s="4" t="str">
        <f t="shared" si="0"/>
        <v>1020370672009</v>
      </c>
      <c r="D10" t="s">
        <v>92</v>
      </c>
      <c r="E10" t="s">
        <v>76</v>
      </c>
      <c r="G10">
        <v>45613</v>
      </c>
      <c r="H10" t="s">
        <v>93</v>
      </c>
      <c r="I10" t="s">
        <v>45</v>
      </c>
      <c r="J10" t="s">
        <v>69</v>
      </c>
      <c r="K10" s="1">
        <v>45566</v>
      </c>
      <c r="L10" s="1">
        <f t="shared" si="1"/>
        <v>45597</v>
      </c>
      <c r="M10" s="7">
        <v>12.5</v>
      </c>
      <c r="N10" t="s">
        <v>74</v>
      </c>
    </row>
    <row r="11" spans="1:14" x14ac:dyDescent="0.25">
      <c r="A11" s="1">
        <v>45518</v>
      </c>
      <c r="B11" s="4">
        <v>102037178300</v>
      </c>
      <c r="C11" s="4" t="str">
        <f t="shared" si="0"/>
        <v>1020371783009</v>
      </c>
      <c r="D11" t="s">
        <v>94</v>
      </c>
      <c r="E11" t="s">
        <v>67</v>
      </c>
      <c r="G11">
        <v>43679</v>
      </c>
      <c r="H11" t="s">
        <v>80</v>
      </c>
      <c r="I11" t="s">
        <v>45</v>
      </c>
      <c r="J11" t="s">
        <v>69</v>
      </c>
      <c r="K11" s="1">
        <v>45505</v>
      </c>
      <c r="L11" s="1">
        <f t="shared" si="1"/>
        <v>45536</v>
      </c>
      <c r="M11" s="7">
        <v>20.83</v>
      </c>
      <c r="N11" t="s">
        <v>70</v>
      </c>
    </row>
    <row r="12" spans="1:14" x14ac:dyDescent="0.25">
      <c r="A12" s="1">
        <v>45518</v>
      </c>
      <c r="B12" s="4">
        <v>102037208500</v>
      </c>
      <c r="C12" s="4" t="str">
        <f t="shared" si="0"/>
        <v>1020372085009</v>
      </c>
      <c r="D12" t="s">
        <v>95</v>
      </c>
      <c r="E12" t="s">
        <v>96</v>
      </c>
      <c r="G12">
        <v>43682</v>
      </c>
      <c r="H12" t="s">
        <v>77</v>
      </c>
      <c r="I12" t="s">
        <v>45</v>
      </c>
      <c r="J12" t="s">
        <v>69</v>
      </c>
      <c r="K12" s="1">
        <v>45566</v>
      </c>
      <c r="L12" s="1">
        <f t="shared" si="1"/>
        <v>45597</v>
      </c>
      <c r="M12" s="7">
        <v>12.5</v>
      </c>
      <c r="N12" t="s">
        <v>74</v>
      </c>
    </row>
    <row r="13" spans="1:14" x14ac:dyDescent="0.25">
      <c r="A13" s="1">
        <v>45518</v>
      </c>
      <c r="B13" s="4">
        <v>102037260600</v>
      </c>
      <c r="C13" s="4" t="str">
        <f t="shared" si="0"/>
        <v>1020372606009</v>
      </c>
      <c r="D13" t="s">
        <v>97</v>
      </c>
      <c r="E13" t="s">
        <v>76</v>
      </c>
      <c r="G13">
        <v>43682</v>
      </c>
      <c r="H13" t="s">
        <v>77</v>
      </c>
      <c r="I13" t="s">
        <v>45</v>
      </c>
      <c r="J13" t="s">
        <v>69</v>
      </c>
      <c r="K13" s="1">
        <v>45505</v>
      </c>
      <c r="L13" s="1">
        <f t="shared" si="1"/>
        <v>45536</v>
      </c>
      <c r="M13" s="7">
        <v>20.83</v>
      </c>
      <c r="N13" t="s">
        <v>70</v>
      </c>
    </row>
    <row r="14" spans="1:14" x14ac:dyDescent="0.25">
      <c r="A14" s="1">
        <v>45518</v>
      </c>
      <c r="B14" s="4">
        <v>102037266200</v>
      </c>
      <c r="C14" s="4" t="str">
        <f t="shared" si="0"/>
        <v>1020372662009</v>
      </c>
      <c r="D14" t="s">
        <v>98</v>
      </c>
      <c r="E14" t="s">
        <v>76</v>
      </c>
      <c r="G14">
        <v>43682</v>
      </c>
      <c r="H14" t="s">
        <v>77</v>
      </c>
      <c r="I14" t="s">
        <v>45</v>
      </c>
      <c r="J14" t="s">
        <v>69</v>
      </c>
      <c r="K14" s="1">
        <v>45536</v>
      </c>
      <c r="L14" s="1">
        <f t="shared" si="1"/>
        <v>45566</v>
      </c>
      <c r="M14" s="7">
        <v>16.670000000000002</v>
      </c>
      <c r="N14" t="s">
        <v>91</v>
      </c>
    </row>
    <row r="15" spans="1:14" x14ac:dyDescent="0.25">
      <c r="A15" s="1">
        <v>45518</v>
      </c>
      <c r="B15" s="4">
        <v>102037642800</v>
      </c>
      <c r="C15" s="4" t="str">
        <f t="shared" si="0"/>
        <v>1020376428009</v>
      </c>
      <c r="D15" t="s">
        <v>99</v>
      </c>
      <c r="E15" t="s">
        <v>67</v>
      </c>
      <c r="G15">
        <v>43679</v>
      </c>
      <c r="H15" t="s">
        <v>80</v>
      </c>
      <c r="I15" t="s">
        <v>45</v>
      </c>
      <c r="J15" t="s">
        <v>69</v>
      </c>
      <c r="K15" s="1">
        <v>45505</v>
      </c>
      <c r="L15" s="1">
        <f t="shared" si="1"/>
        <v>45536</v>
      </c>
      <c r="M15" s="7">
        <v>20.83</v>
      </c>
      <c r="N15" t="s">
        <v>70</v>
      </c>
    </row>
    <row r="16" spans="1:14" x14ac:dyDescent="0.25">
      <c r="A16" s="1">
        <v>45518</v>
      </c>
      <c r="B16" s="4">
        <v>102035997700</v>
      </c>
      <c r="C16" s="4" t="str">
        <f t="shared" si="0"/>
        <v>1020359977009</v>
      </c>
      <c r="D16" t="s">
        <v>79</v>
      </c>
      <c r="E16" t="s">
        <v>67</v>
      </c>
      <c r="G16">
        <v>43679</v>
      </c>
      <c r="H16" t="s">
        <v>80</v>
      </c>
      <c r="I16" t="s">
        <v>45</v>
      </c>
      <c r="J16" t="s">
        <v>81</v>
      </c>
      <c r="K16" s="1">
        <v>45474</v>
      </c>
      <c r="L16" s="1">
        <f t="shared" si="1"/>
        <v>45505</v>
      </c>
      <c r="M16" s="7">
        <v>20</v>
      </c>
      <c r="N16" t="s">
        <v>82</v>
      </c>
    </row>
    <row r="17" spans="1:13" x14ac:dyDescent="0.25">
      <c r="A17" s="1">
        <v>45518</v>
      </c>
      <c r="B17" s="4" t="s">
        <v>134</v>
      </c>
      <c r="C17" s="4" t="str">
        <f t="shared" si="0"/>
        <v>00021953385K9</v>
      </c>
      <c r="D17" t="s">
        <v>62</v>
      </c>
      <c r="E17" t="s">
        <v>43</v>
      </c>
      <c r="G17">
        <v>45618</v>
      </c>
      <c r="H17" t="s">
        <v>59</v>
      </c>
      <c r="I17" t="s">
        <v>45</v>
      </c>
      <c r="J17" t="s">
        <v>63</v>
      </c>
      <c r="K17" s="1">
        <v>45505</v>
      </c>
      <c r="L17" s="1">
        <f t="shared" si="1"/>
        <v>45536</v>
      </c>
      <c r="M17" s="7">
        <v>150</v>
      </c>
    </row>
    <row r="18" spans="1:13" x14ac:dyDescent="0.25">
      <c r="A18" s="1">
        <v>45518</v>
      </c>
      <c r="B18" s="4" t="s">
        <v>150</v>
      </c>
      <c r="C18" s="4" t="str">
        <f t="shared" si="0"/>
        <v>00021937596KCB9</v>
      </c>
      <c r="D18" t="s">
        <v>58</v>
      </c>
      <c r="E18" t="s">
        <v>43</v>
      </c>
      <c r="G18">
        <v>45618</v>
      </c>
      <c r="H18" t="s">
        <v>59</v>
      </c>
      <c r="I18" t="s">
        <v>121</v>
      </c>
      <c r="J18" t="s">
        <v>63</v>
      </c>
      <c r="K18" s="1">
        <v>45505</v>
      </c>
      <c r="L18" s="1">
        <f t="shared" si="1"/>
        <v>45536</v>
      </c>
      <c r="M18" s="7">
        <v>-150</v>
      </c>
    </row>
    <row r="19" spans="1:13" x14ac:dyDescent="0.25">
      <c r="A19" s="1">
        <v>45518</v>
      </c>
      <c r="B19" s="4" t="s">
        <v>126</v>
      </c>
      <c r="C19" s="4" t="str">
        <f t="shared" si="0"/>
        <v>00001823277KOV9</v>
      </c>
      <c r="D19" t="s">
        <v>42</v>
      </c>
      <c r="E19" t="s">
        <v>43</v>
      </c>
      <c r="G19">
        <v>45601</v>
      </c>
      <c r="H19" t="s">
        <v>44</v>
      </c>
      <c r="I19" t="s">
        <v>45</v>
      </c>
      <c r="J19" t="s">
        <v>46</v>
      </c>
      <c r="K19" s="1">
        <v>45505</v>
      </c>
      <c r="L19" s="1">
        <f t="shared" si="1"/>
        <v>45536</v>
      </c>
      <c r="M19" s="7">
        <v>175</v>
      </c>
    </row>
    <row r="20" spans="1:13" x14ac:dyDescent="0.25">
      <c r="A20" s="1">
        <v>45518</v>
      </c>
      <c r="B20" s="4" t="s">
        <v>127</v>
      </c>
      <c r="C20" s="4" t="str">
        <f t="shared" si="0"/>
        <v>00010066661KOV9</v>
      </c>
      <c r="D20" t="s">
        <v>49</v>
      </c>
      <c r="E20" t="s">
        <v>43</v>
      </c>
      <c r="G20">
        <v>45612</v>
      </c>
      <c r="H20" t="s">
        <v>50</v>
      </c>
      <c r="I20" t="s">
        <v>45</v>
      </c>
      <c r="J20" t="s">
        <v>46</v>
      </c>
      <c r="K20" s="1">
        <v>45505</v>
      </c>
      <c r="L20" s="1">
        <f t="shared" si="1"/>
        <v>45536</v>
      </c>
      <c r="M20" s="7">
        <v>175</v>
      </c>
    </row>
    <row r="21" spans="1:13" x14ac:dyDescent="0.25">
      <c r="A21" s="1">
        <v>45518</v>
      </c>
      <c r="B21" s="4" t="s">
        <v>128</v>
      </c>
      <c r="C21" s="4" t="str">
        <f t="shared" si="0"/>
        <v>00013131759KOV9</v>
      </c>
      <c r="D21" t="s">
        <v>51</v>
      </c>
      <c r="E21" t="s">
        <v>43</v>
      </c>
      <c r="G21">
        <v>45709</v>
      </c>
      <c r="H21" t="s">
        <v>52</v>
      </c>
      <c r="I21" t="s">
        <v>45</v>
      </c>
      <c r="J21" t="s">
        <v>46</v>
      </c>
      <c r="K21" s="1">
        <v>45505</v>
      </c>
      <c r="L21" s="1">
        <f t="shared" si="1"/>
        <v>45536</v>
      </c>
      <c r="M21" s="7">
        <v>175</v>
      </c>
    </row>
    <row r="22" spans="1:13" x14ac:dyDescent="0.25">
      <c r="A22" s="1">
        <v>45518</v>
      </c>
      <c r="B22" s="4" t="s">
        <v>132</v>
      </c>
      <c r="C22" s="4" t="str">
        <f t="shared" si="0"/>
        <v>00021937596K9</v>
      </c>
      <c r="D22" t="s">
        <v>58</v>
      </c>
      <c r="E22" t="s">
        <v>43</v>
      </c>
      <c r="G22">
        <v>45618</v>
      </c>
      <c r="H22" t="s">
        <v>59</v>
      </c>
      <c r="I22" t="s">
        <v>45</v>
      </c>
      <c r="J22" t="s">
        <v>46</v>
      </c>
      <c r="K22" s="1">
        <v>45505</v>
      </c>
      <c r="L22" s="1">
        <f t="shared" si="1"/>
        <v>45536</v>
      </c>
      <c r="M22" s="7">
        <v>175</v>
      </c>
    </row>
    <row r="23" spans="1:13" x14ac:dyDescent="0.25">
      <c r="A23" s="1">
        <v>45518</v>
      </c>
      <c r="B23" s="4" t="s">
        <v>133</v>
      </c>
      <c r="C23" s="4" t="str">
        <f t="shared" si="0"/>
        <v>00021951591KOV9</v>
      </c>
      <c r="D23" t="s">
        <v>60</v>
      </c>
      <c r="E23" t="s">
        <v>43</v>
      </c>
      <c r="G23">
        <v>45634</v>
      </c>
      <c r="H23" t="s">
        <v>61</v>
      </c>
      <c r="I23" t="s">
        <v>45</v>
      </c>
      <c r="J23" t="s">
        <v>46</v>
      </c>
      <c r="K23" s="1">
        <v>45536</v>
      </c>
      <c r="L23" s="1">
        <f t="shared" si="1"/>
        <v>45566</v>
      </c>
      <c r="M23" s="7">
        <v>175</v>
      </c>
    </row>
    <row r="24" spans="1:13" x14ac:dyDescent="0.25">
      <c r="A24" s="1">
        <v>45518</v>
      </c>
      <c r="B24" s="4" t="s">
        <v>135</v>
      </c>
      <c r="C24" s="4" t="str">
        <f t="shared" si="0"/>
        <v>00021961080KOV9</v>
      </c>
      <c r="D24" t="s">
        <v>64</v>
      </c>
      <c r="E24" t="s">
        <v>43</v>
      </c>
      <c r="G24">
        <v>45622</v>
      </c>
      <c r="H24" t="s">
        <v>65</v>
      </c>
      <c r="I24" t="s">
        <v>45</v>
      </c>
      <c r="J24" t="s">
        <v>46</v>
      </c>
      <c r="K24" s="1">
        <v>45505</v>
      </c>
      <c r="L24" s="1">
        <f t="shared" si="1"/>
        <v>45536</v>
      </c>
      <c r="M24" s="7">
        <v>175</v>
      </c>
    </row>
    <row r="25" spans="1:13" x14ac:dyDescent="0.25">
      <c r="A25" s="1">
        <v>45518</v>
      </c>
      <c r="B25" s="4" t="s">
        <v>146</v>
      </c>
      <c r="C25" s="4" t="str">
        <f t="shared" si="0"/>
        <v>00021813544KOVCB9</v>
      </c>
      <c r="D25" t="s">
        <v>120</v>
      </c>
      <c r="E25" t="s">
        <v>43</v>
      </c>
      <c r="G25">
        <v>45605</v>
      </c>
      <c r="H25" t="s">
        <v>102</v>
      </c>
      <c r="I25" t="s">
        <v>121</v>
      </c>
      <c r="J25" t="s">
        <v>46</v>
      </c>
      <c r="K25" s="1">
        <v>45505</v>
      </c>
      <c r="L25" s="1">
        <f t="shared" si="1"/>
        <v>45536</v>
      </c>
      <c r="M25" s="7">
        <v>-175</v>
      </c>
    </row>
    <row r="26" spans="1:13" x14ac:dyDescent="0.25">
      <c r="A26" s="1">
        <v>45518</v>
      </c>
      <c r="B26" s="4" t="s">
        <v>129</v>
      </c>
      <c r="C26" s="4" t="str">
        <f t="shared" si="0"/>
        <v>00021895977K9</v>
      </c>
      <c r="D26" t="s">
        <v>53</v>
      </c>
      <c r="E26" t="s">
        <v>43</v>
      </c>
      <c r="G26">
        <v>45603</v>
      </c>
      <c r="H26" t="s">
        <v>54</v>
      </c>
      <c r="I26" t="s">
        <v>45</v>
      </c>
      <c r="J26" t="s">
        <v>55</v>
      </c>
      <c r="K26" s="1">
        <v>45505</v>
      </c>
      <c r="L26" s="1">
        <f t="shared" si="1"/>
        <v>45536</v>
      </c>
      <c r="M26" s="7">
        <v>611</v>
      </c>
    </row>
    <row r="27" spans="1:13" x14ac:dyDescent="0.25">
      <c r="A27" s="1">
        <v>45518</v>
      </c>
      <c r="B27" s="4" t="s">
        <v>130</v>
      </c>
      <c r="C27" s="4" t="str">
        <f t="shared" si="0"/>
        <v>00021917176K9</v>
      </c>
      <c r="D27" t="s">
        <v>56</v>
      </c>
      <c r="E27" t="s">
        <v>43</v>
      </c>
      <c r="G27">
        <v>45603</v>
      </c>
      <c r="H27" t="s">
        <v>54</v>
      </c>
      <c r="I27" t="s">
        <v>45</v>
      </c>
      <c r="J27" t="s">
        <v>55</v>
      </c>
      <c r="K27" s="1">
        <v>45505</v>
      </c>
      <c r="L27" s="1">
        <f t="shared" si="1"/>
        <v>45536</v>
      </c>
      <c r="M27" s="7">
        <v>611</v>
      </c>
    </row>
    <row r="28" spans="1:13" x14ac:dyDescent="0.25">
      <c r="A28" s="1">
        <v>45518</v>
      </c>
      <c r="B28" s="4" t="s">
        <v>131</v>
      </c>
      <c r="C28" s="4" t="str">
        <f t="shared" si="0"/>
        <v>00021931659K9</v>
      </c>
      <c r="D28" t="s">
        <v>57</v>
      </c>
      <c r="E28" t="s">
        <v>43</v>
      </c>
      <c r="G28">
        <v>45603</v>
      </c>
      <c r="H28" t="s">
        <v>54</v>
      </c>
      <c r="I28" t="s">
        <v>45</v>
      </c>
      <c r="J28" t="s">
        <v>55</v>
      </c>
      <c r="K28" s="1">
        <v>45505</v>
      </c>
      <c r="L28" s="1">
        <f t="shared" si="1"/>
        <v>45536</v>
      </c>
      <c r="M28" s="7">
        <v>611</v>
      </c>
    </row>
    <row r="29" spans="1:13" x14ac:dyDescent="0.25">
      <c r="A29" s="1">
        <v>45518</v>
      </c>
      <c r="B29" s="4" t="s">
        <v>145</v>
      </c>
      <c r="C29" s="4" t="str">
        <f t="shared" si="0"/>
        <v>00021813544KCB9</v>
      </c>
      <c r="D29" t="s">
        <v>120</v>
      </c>
      <c r="E29" t="s">
        <v>43</v>
      </c>
      <c r="G29">
        <v>45605</v>
      </c>
      <c r="H29" t="s">
        <v>102</v>
      </c>
      <c r="I29" t="s">
        <v>121</v>
      </c>
      <c r="J29" t="s">
        <v>55</v>
      </c>
      <c r="K29" s="1">
        <v>45505</v>
      </c>
      <c r="L29" s="1">
        <f t="shared" si="1"/>
        <v>45536</v>
      </c>
      <c r="M29" s="7">
        <v>-611</v>
      </c>
    </row>
    <row r="30" spans="1:13" x14ac:dyDescent="0.25">
      <c r="A30" s="1">
        <v>45518</v>
      </c>
      <c r="B30" s="4" t="s">
        <v>147</v>
      </c>
      <c r="C30" s="4" t="str">
        <f t="shared" si="0"/>
        <v>00021895977KCB9</v>
      </c>
      <c r="D30" t="s">
        <v>53</v>
      </c>
      <c r="E30" t="s">
        <v>43</v>
      </c>
      <c r="G30">
        <v>45603</v>
      </c>
      <c r="H30" t="s">
        <v>54</v>
      </c>
      <c r="I30" t="s">
        <v>121</v>
      </c>
      <c r="J30" t="s">
        <v>122</v>
      </c>
      <c r="K30" s="1">
        <v>45505</v>
      </c>
      <c r="L30" s="1">
        <f t="shared" si="1"/>
        <v>45536</v>
      </c>
      <c r="M30" s="7">
        <v>-127.5</v>
      </c>
    </row>
    <row r="31" spans="1:13" x14ac:dyDescent="0.25">
      <c r="A31" s="1">
        <v>45518</v>
      </c>
      <c r="B31" s="4" t="s">
        <v>148</v>
      </c>
      <c r="C31" s="4" t="str">
        <f t="shared" si="0"/>
        <v>00021917176KCB9</v>
      </c>
      <c r="D31" t="s">
        <v>56</v>
      </c>
      <c r="E31" t="s">
        <v>43</v>
      </c>
      <c r="G31">
        <v>45603</v>
      </c>
      <c r="H31" t="s">
        <v>54</v>
      </c>
      <c r="I31" t="s">
        <v>121</v>
      </c>
      <c r="J31" t="s">
        <v>122</v>
      </c>
      <c r="K31" s="1">
        <v>45505</v>
      </c>
      <c r="L31" s="1">
        <f t="shared" si="1"/>
        <v>45536</v>
      </c>
      <c r="M31" s="7">
        <v>-127.5</v>
      </c>
    </row>
    <row r="32" spans="1:13" x14ac:dyDescent="0.25">
      <c r="A32" s="1">
        <v>45518</v>
      </c>
      <c r="B32" s="4" t="s">
        <v>149</v>
      </c>
      <c r="C32" s="4" t="str">
        <f t="shared" si="0"/>
        <v>00021931659KCB9</v>
      </c>
      <c r="D32" t="s">
        <v>57</v>
      </c>
      <c r="E32" t="s">
        <v>43</v>
      </c>
      <c r="G32">
        <v>45603</v>
      </c>
      <c r="H32" t="s">
        <v>54</v>
      </c>
      <c r="I32" t="s">
        <v>121</v>
      </c>
      <c r="J32" t="s">
        <v>122</v>
      </c>
      <c r="K32" s="1">
        <v>45505</v>
      </c>
      <c r="L32" s="1">
        <f t="shared" si="1"/>
        <v>45536</v>
      </c>
      <c r="M32" s="7">
        <v>-127.5</v>
      </c>
    </row>
    <row r="33" spans="1:14" x14ac:dyDescent="0.25">
      <c r="A33" s="1">
        <v>45518</v>
      </c>
      <c r="B33" s="4" t="s">
        <v>136</v>
      </c>
      <c r="C33" s="4" t="str">
        <f t="shared" si="0"/>
        <v>126411736OV9</v>
      </c>
      <c r="D33" t="s">
        <v>100</v>
      </c>
      <c r="E33" t="s">
        <v>101</v>
      </c>
      <c r="G33">
        <v>45605</v>
      </c>
      <c r="H33" t="s">
        <v>102</v>
      </c>
      <c r="I33" t="s">
        <v>45</v>
      </c>
      <c r="J33" t="s">
        <v>104</v>
      </c>
      <c r="K33" s="1">
        <v>45505</v>
      </c>
      <c r="L33" s="1">
        <f t="shared" si="1"/>
        <v>45536</v>
      </c>
      <c r="M33" s="7">
        <v>175</v>
      </c>
    </row>
    <row r="34" spans="1:14" x14ac:dyDescent="0.25">
      <c r="A34" s="1">
        <v>45518</v>
      </c>
      <c r="B34" s="4" t="s">
        <v>137</v>
      </c>
      <c r="C34" s="4" t="str">
        <f t="shared" si="0"/>
        <v>130273314OV9</v>
      </c>
      <c r="D34" t="s">
        <v>105</v>
      </c>
      <c r="E34" t="s">
        <v>84</v>
      </c>
      <c r="G34">
        <v>45627</v>
      </c>
      <c r="H34" t="s">
        <v>106</v>
      </c>
      <c r="I34" t="s">
        <v>45</v>
      </c>
      <c r="J34" t="s">
        <v>104</v>
      </c>
      <c r="K34" s="1">
        <v>45474</v>
      </c>
      <c r="L34" s="1">
        <f t="shared" si="1"/>
        <v>45505</v>
      </c>
      <c r="M34" s="7">
        <v>175</v>
      </c>
    </row>
    <row r="35" spans="1:14" x14ac:dyDescent="0.25">
      <c r="A35" s="1">
        <v>45518</v>
      </c>
      <c r="B35" s="4" t="s">
        <v>143</v>
      </c>
      <c r="C35" s="4" t="str">
        <f t="shared" si="0"/>
        <v>906051412OV9</v>
      </c>
      <c r="D35" t="s">
        <v>117</v>
      </c>
      <c r="E35" t="s">
        <v>76</v>
      </c>
      <c r="G35">
        <v>45605</v>
      </c>
      <c r="H35" t="s">
        <v>102</v>
      </c>
      <c r="I35" t="s">
        <v>45</v>
      </c>
      <c r="J35" t="s">
        <v>104</v>
      </c>
      <c r="K35" s="1">
        <v>45566</v>
      </c>
      <c r="L35" s="1">
        <f t="shared" si="1"/>
        <v>45597</v>
      </c>
      <c r="M35" s="7">
        <v>175</v>
      </c>
    </row>
    <row r="36" spans="1:14" x14ac:dyDescent="0.25">
      <c r="A36" s="1">
        <v>45518</v>
      </c>
      <c r="B36" s="4" t="s">
        <v>144</v>
      </c>
      <c r="C36" s="4" t="str">
        <f t="shared" si="0"/>
        <v>992526524OV9</v>
      </c>
      <c r="D36" t="s">
        <v>118</v>
      </c>
      <c r="E36" t="s">
        <v>76</v>
      </c>
      <c r="G36">
        <v>45605</v>
      </c>
      <c r="H36" t="s">
        <v>102</v>
      </c>
      <c r="I36" t="s">
        <v>45</v>
      </c>
      <c r="J36" t="s">
        <v>104</v>
      </c>
      <c r="K36" s="1">
        <v>45505</v>
      </c>
      <c r="L36" s="1">
        <f t="shared" si="1"/>
        <v>45536</v>
      </c>
      <c r="M36" s="7">
        <v>175</v>
      </c>
    </row>
    <row r="37" spans="1:14" x14ac:dyDescent="0.25">
      <c r="A37" s="1">
        <v>45518</v>
      </c>
      <c r="B37" s="4" t="s">
        <v>152</v>
      </c>
      <c r="C37" s="4" t="str">
        <f t="shared" si="0"/>
        <v>126411736OVCB9</v>
      </c>
      <c r="D37" t="s">
        <v>100</v>
      </c>
      <c r="E37" t="s">
        <v>101</v>
      </c>
      <c r="G37">
        <v>45605</v>
      </c>
      <c r="H37" t="s">
        <v>102</v>
      </c>
      <c r="I37" t="s">
        <v>121</v>
      </c>
      <c r="J37" t="s">
        <v>124</v>
      </c>
      <c r="K37" s="1">
        <v>45505</v>
      </c>
      <c r="L37" s="1">
        <f t="shared" si="1"/>
        <v>45536</v>
      </c>
      <c r="M37" s="7">
        <v>-30</v>
      </c>
    </row>
    <row r="38" spans="1:14" x14ac:dyDescent="0.25">
      <c r="A38" s="1">
        <v>45518</v>
      </c>
      <c r="B38" s="4" t="s">
        <v>138</v>
      </c>
      <c r="C38" s="4" t="str">
        <f t="shared" si="0"/>
        <v>130524428OV9</v>
      </c>
      <c r="D38" t="s">
        <v>107</v>
      </c>
      <c r="E38" t="s">
        <v>84</v>
      </c>
      <c r="G38">
        <v>45627</v>
      </c>
      <c r="H38" t="s">
        <v>106</v>
      </c>
      <c r="I38" t="s">
        <v>45</v>
      </c>
      <c r="J38" t="s">
        <v>109</v>
      </c>
      <c r="K38" s="1">
        <v>45505</v>
      </c>
      <c r="L38" s="1">
        <f t="shared" si="1"/>
        <v>45536</v>
      </c>
      <c r="M38" s="7">
        <v>72.92</v>
      </c>
      <c r="N38" t="s">
        <v>70</v>
      </c>
    </row>
    <row r="39" spans="1:14" x14ac:dyDescent="0.25">
      <c r="A39" s="1">
        <v>45518</v>
      </c>
      <c r="B39" s="4" t="s">
        <v>154</v>
      </c>
      <c r="C39" s="4" t="str">
        <f t="shared" si="0"/>
        <v>130273314OVCB9</v>
      </c>
      <c r="D39" t="s">
        <v>105</v>
      </c>
      <c r="E39" t="s">
        <v>84</v>
      </c>
      <c r="G39">
        <v>45627</v>
      </c>
      <c r="H39" t="s">
        <v>106</v>
      </c>
      <c r="I39" t="s">
        <v>121</v>
      </c>
      <c r="J39" t="s">
        <v>109</v>
      </c>
      <c r="K39" s="1">
        <v>45474</v>
      </c>
      <c r="L39" s="1">
        <f t="shared" si="1"/>
        <v>45505</v>
      </c>
      <c r="M39" s="7">
        <v>-87.5</v>
      </c>
    </row>
    <row r="40" spans="1:14" x14ac:dyDescent="0.25">
      <c r="A40" s="1">
        <v>45518</v>
      </c>
      <c r="B40" s="4" t="s">
        <v>157</v>
      </c>
      <c r="C40" s="4" t="str">
        <f t="shared" si="0"/>
        <v>906051412OVCB9</v>
      </c>
      <c r="D40" t="s">
        <v>117</v>
      </c>
      <c r="E40" t="s">
        <v>76</v>
      </c>
      <c r="G40">
        <v>45605</v>
      </c>
      <c r="H40" t="s">
        <v>102</v>
      </c>
      <c r="I40" t="s">
        <v>121</v>
      </c>
      <c r="J40" t="s">
        <v>109</v>
      </c>
      <c r="K40" s="1">
        <v>45566</v>
      </c>
      <c r="L40" s="1">
        <f t="shared" si="1"/>
        <v>45597</v>
      </c>
      <c r="M40" s="7">
        <v>-43.75</v>
      </c>
    </row>
    <row r="41" spans="1:14" x14ac:dyDescent="0.25">
      <c r="A41" s="1">
        <v>45518</v>
      </c>
      <c r="B41" s="4">
        <v>126411736</v>
      </c>
      <c r="C41" s="4" t="str">
        <f t="shared" si="0"/>
        <v>1264117369</v>
      </c>
      <c r="D41" t="s">
        <v>100</v>
      </c>
      <c r="E41" t="s">
        <v>101</v>
      </c>
      <c r="G41">
        <v>45605</v>
      </c>
      <c r="H41" t="s">
        <v>102</v>
      </c>
      <c r="I41" t="s">
        <v>45</v>
      </c>
      <c r="J41" t="s">
        <v>103</v>
      </c>
      <c r="K41" s="1">
        <v>45505</v>
      </c>
      <c r="L41" s="1">
        <f t="shared" si="1"/>
        <v>45536</v>
      </c>
      <c r="M41" s="7">
        <v>611</v>
      </c>
    </row>
    <row r="42" spans="1:14" x14ac:dyDescent="0.25">
      <c r="A42" s="1">
        <v>45518</v>
      </c>
      <c r="B42" s="4">
        <v>130273314</v>
      </c>
      <c r="C42" s="4" t="str">
        <f t="shared" si="0"/>
        <v>1302733149</v>
      </c>
      <c r="D42" t="s">
        <v>105</v>
      </c>
      <c r="E42" t="s">
        <v>84</v>
      </c>
      <c r="G42">
        <v>45627</v>
      </c>
      <c r="H42" t="s">
        <v>106</v>
      </c>
      <c r="I42" t="s">
        <v>45</v>
      </c>
      <c r="J42" t="s">
        <v>103</v>
      </c>
      <c r="K42" s="1">
        <v>45474</v>
      </c>
      <c r="L42" s="1">
        <f t="shared" si="1"/>
        <v>45505</v>
      </c>
      <c r="M42" s="7">
        <v>611</v>
      </c>
    </row>
    <row r="43" spans="1:14" x14ac:dyDescent="0.25">
      <c r="A43" s="1">
        <v>45518</v>
      </c>
      <c r="B43" s="4">
        <v>906051412</v>
      </c>
      <c r="C43" s="4" t="str">
        <f t="shared" si="0"/>
        <v>9060514129</v>
      </c>
      <c r="D43" t="s">
        <v>117</v>
      </c>
      <c r="E43" t="s">
        <v>76</v>
      </c>
      <c r="G43">
        <v>45605</v>
      </c>
      <c r="H43" t="s">
        <v>102</v>
      </c>
      <c r="I43" t="s">
        <v>45</v>
      </c>
      <c r="J43" t="s">
        <v>103</v>
      </c>
      <c r="K43" s="1">
        <v>45566</v>
      </c>
      <c r="L43" s="1">
        <f t="shared" si="1"/>
        <v>45597</v>
      </c>
      <c r="M43" s="7">
        <v>611</v>
      </c>
    </row>
    <row r="44" spans="1:14" x14ac:dyDescent="0.25">
      <c r="A44" s="1">
        <v>45518</v>
      </c>
      <c r="B44" s="4">
        <v>992526524</v>
      </c>
      <c r="C44" s="4" t="str">
        <f t="shared" si="0"/>
        <v>9925265249</v>
      </c>
      <c r="D44" t="s">
        <v>118</v>
      </c>
      <c r="E44" t="s">
        <v>76</v>
      </c>
      <c r="G44">
        <v>45605</v>
      </c>
      <c r="H44" t="s">
        <v>102</v>
      </c>
      <c r="I44" t="s">
        <v>45</v>
      </c>
      <c r="J44" t="s">
        <v>103</v>
      </c>
      <c r="K44" s="1">
        <v>45505</v>
      </c>
      <c r="L44" s="1">
        <f t="shared" si="1"/>
        <v>45536</v>
      </c>
      <c r="M44" s="7">
        <v>611</v>
      </c>
    </row>
    <row r="45" spans="1:14" x14ac:dyDescent="0.25">
      <c r="A45" s="1">
        <v>45518</v>
      </c>
      <c r="B45" s="4">
        <v>130524428</v>
      </c>
      <c r="C45" s="4" t="str">
        <f t="shared" si="0"/>
        <v>1305244289</v>
      </c>
      <c r="D45" t="s">
        <v>107</v>
      </c>
      <c r="E45" t="s">
        <v>84</v>
      </c>
      <c r="G45">
        <v>45627</v>
      </c>
      <c r="H45" t="s">
        <v>106</v>
      </c>
      <c r="I45" t="s">
        <v>45</v>
      </c>
      <c r="J45" t="s">
        <v>108</v>
      </c>
      <c r="K45" s="1">
        <v>45505</v>
      </c>
      <c r="L45" s="1">
        <f t="shared" si="1"/>
        <v>45536</v>
      </c>
      <c r="M45" s="7">
        <v>254.58</v>
      </c>
      <c r="N45" t="s">
        <v>70</v>
      </c>
    </row>
    <row r="46" spans="1:14" x14ac:dyDescent="0.25">
      <c r="A46" s="1">
        <v>45518</v>
      </c>
      <c r="B46" s="4" t="s">
        <v>151</v>
      </c>
      <c r="C46" s="4" t="str">
        <f t="shared" si="0"/>
        <v>126411736CB9</v>
      </c>
      <c r="D46" t="s">
        <v>100</v>
      </c>
      <c r="E46" t="s">
        <v>101</v>
      </c>
      <c r="G46">
        <v>45605</v>
      </c>
      <c r="H46" t="s">
        <v>102</v>
      </c>
      <c r="I46" t="s">
        <v>121</v>
      </c>
      <c r="J46" t="s">
        <v>123</v>
      </c>
      <c r="K46" s="1">
        <v>45505</v>
      </c>
      <c r="L46" s="1">
        <f t="shared" si="1"/>
        <v>45536</v>
      </c>
      <c r="M46" s="7">
        <v>-127.5</v>
      </c>
    </row>
    <row r="47" spans="1:14" x14ac:dyDescent="0.25">
      <c r="A47" s="1">
        <v>45518</v>
      </c>
      <c r="B47" s="4" t="s">
        <v>153</v>
      </c>
      <c r="C47" s="4" t="str">
        <f t="shared" si="0"/>
        <v>130273314CB9</v>
      </c>
      <c r="D47" t="s">
        <v>105</v>
      </c>
      <c r="E47" t="s">
        <v>84</v>
      </c>
      <c r="G47">
        <v>45627</v>
      </c>
      <c r="H47" t="s">
        <v>106</v>
      </c>
      <c r="I47" t="s">
        <v>121</v>
      </c>
      <c r="J47" t="s">
        <v>123</v>
      </c>
      <c r="K47" s="1">
        <v>45474</v>
      </c>
      <c r="L47" s="1">
        <f t="shared" si="1"/>
        <v>45505</v>
      </c>
      <c r="M47" s="7">
        <v>-153</v>
      </c>
    </row>
    <row r="48" spans="1:14" x14ac:dyDescent="0.25">
      <c r="A48" s="1">
        <v>45518</v>
      </c>
      <c r="B48" s="4" t="s">
        <v>156</v>
      </c>
      <c r="C48" s="4" t="str">
        <f t="shared" si="0"/>
        <v>906051412CB9</v>
      </c>
      <c r="D48" t="s">
        <v>117</v>
      </c>
      <c r="E48" t="s">
        <v>76</v>
      </c>
      <c r="G48">
        <v>45605</v>
      </c>
      <c r="H48" t="s">
        <v>102</v>
      </c>
      <c r="I48" t="s">
        <v>121</v>
      </c>
      <c r="J48" t="s">
        <v>123</v>
      </c>
      <c r="K48" s="1">
        <v>45566</v>
      </c>
      <c r="L48" s="1">
        <f t="shared" si="1"/>
        <v>45597</v>
      </c>
      <c r="M48" s="7">
        <v>-76.5</v>
      </c>
    </row>
    <row r="49" spans="1:14" x14ac:dyDescent="0.25">
      <c r="A49" s="1">
        <v>45518</v>
      </c>
      <c r="B49" s="4" t="s">
        <v>139</v>
      </c>
      <c r="C49" s="4" t="str">
        <f t="shared" si="0"/>
        <v>1NK7JY0VK35PDP9</v>
      </c>
      <c r="D49" t="s">
        <v>110</v>
      </c>
      <c r="E49" t="s">
        <v>67</v>
      </c>
      <c r="G49">
        <v>43679</v>
      </c>
      <c r="H49" t="s">
        <v>80</v>
      </c>
      <c r="I49" t="s">
        <v>45</v>
      </c>
      <c r="J49" t="s">
        <v>111</v>
      </c>
      <c r="K49" s="1">
        <v>45505</v>
      </c>
      <c r="L49" s="1">
        <f t="shared" si="1"/>
        <v>45536</v>
      </c>
      <c r="M49" s="7">
        <v>9</v>
      </c>
    </row>
    <row r="50" spans="1:14" x14ac:dyDescent="0.25">
      <c r="A50" s="1">
        <v>45518</v>
      </c>
      <c r="B50" s="4" t="s">
        <v>140</v>
      </c>
      <c r="C50" s="4" t="str">
        <f t="shared" si="0"/>
        <v>2E65KX2HM54PDP9</v>
      </c>
      <c r="D50" t="s">
        <v>112</v>
      </c>
      <c r="E50" t="s">
        <v>67</v>
      </c>
      <c r="G50">
        <v>43677</v>
      </c>
      <c r="H50" t="s">
        <v>41</v>
      </c>
      <c r="I50" t="s">
        <v>45</v>
      </c>
      <c r="J50" t="s">
        <v>111</v>
      </c>
      <c r="K50" s="1">
        <v>45505</v>
      </c>
      <c r="L50" s="1">
        <f t="shared" si="1"/>
        <v>45536</v>
      </c>
      <c r="M50" s="7">
        <v>9</v>
      </c>
    </row>
    <row r="51" spans="1:14" x14ac:dyDescent="0.25">
      <c r="A51" s="1">
        <v>45518</v>
      </c>
      <c r="B51" s="4" t="s">
        <v>141</v>
      </c>
      <c r="C51" s="4" t="str">
        <f t="shared" si="0"/>
        <v>3MG1T41NE17PDP9</v>
      </c>
      <c r="D51" t="s">
        <v>113</v>
      </c>
      <c r="E51" t="s">
        <v>76</v>
      </c>
      <c r="G51">
        <v>43705</v>
      </c>
      <c r="H51" t="s">
        <v>114</v>
      </c>
      <c r="I51" t="s">
        <v>45</v>
      </c>
      <c r="J51" t="s">
        <v>111</v>
      </c>
      <c r="K51" s="1">
        <v>45536</v>
      </c>
      <c r="L51" s="1">
        <f t="shared" si="1"/>
        <v>45566</v>
      </c>
      <c r="M51" s="7">
        <v>9</v>
      </c>
    </row>
    <row r="52" spans="1:14" x14ac:dyDescent="0.25">
      <c r="A52" s="1">
        <v>45518</v>
      </c>
      <c r="B52" s="4" t="s">
        <v>142</v>
      </c>
      <c r="C52" s="4" t="str">
        <f t="shared" si="0"/>
        <v>5M96FA8XK85PDP9</v>
      </c>
      <c r="D52" t="s">
        <v>115</v>
      </c>
      <c r="E52" t="s">
        <v>84</v>
      </c>
      <c r="G52">
        <v>43692</v>
      </c>
      <c r="H52" t="s">
        <v>116</v>
      </c>
      <c r="I52" t="s">
        <v>45</v>
      </c>
      <c r="J52" t="s">
        <v>111</v>
      </c>
      <c r="K52" s="1">
        <v>45505</v>
      </c>
      <c r="L52" s="1">
        <f t="shared" si="1"/>
        <v>45536</v>
      </c>
      <c r="M52" s="7">
        <v>9</v>
      </c>
    </row>
    <row r="53" spans="1:14" x14ac:dyDescent="0.25">
      <c r="A53" s="1">
        <v>45518</v>
      </c>
      <c r="B53" s="4" t="s">
        <v>155</v>
      </c>
      <c r="C53" s="4" t="str">
        <f t="shared" si="0"/>
        <v>6KA3YN1PW16PDPCB9</v>
      </c>
      <c r="D53" t="s">
        <v>125</v>
      </c>
      <c r="E53" t="s">
        <v>90</v>
      </c>
      <c r="G53">
        <v>45601</v>
      </c>
      <c r="H53" t="s">
        <v>44</v>
      </c>
      <c r="I53" t="s">
        <v>121</v>
      </c>
      <c r="J53" t="s">
        <v>111</v>
      </c>
      <c r="K53" s="1">
        <v>45474</v>
      </c>
      <c r="L53" s="1">
        <f t="shared" si="1"/>
        <v>45505</v>
      </c>
      <c r="M53" s="7">
        <v>-9</v>
      </c>
    </row>
    <row r="54" spans="1:14" x14ac:dyDescent="0.25">
      <c r="N54" s="6"/>
    </row>
    <row r="55" spans="1:14" x14ac:dyDescent="0.25">
      <c r="N55" s="6"/>
    </row>
    <row r="56" spans="1:14" x14ac:dyDescent="0.25">
      <c r="N56" s="6"/>
    </row>
    <row r="57" spans="1:14" x14ac:dyDescent="0.25">
      <c r="N57" s="6"/>
    </row>
    <row r="58" spans="1:14" x14ac:dyDescent="0.25">
      <c r="N58" s="6"/>
    </row>
    <row r="59" spans="1:14" x14ac:dyDescent="0.25">
      <c r="N59" s="6"/>
    </row>
    <row r="60" spans="1:14" x14ac:dyDescent="0.25">
      <c r="N60" s="6"/>
    </row>
    <row r="61" spans="1:14" x14ac:dyDescent="0.25">
      <c r="N61" s="6"/>
    </row>
    <row r="62" spans="1:14" x14ac:dyDescent="0.25">
      <c r="N62" s="6"/>
    </row>
    <row r="63" spans="1:14" x14ac:dyDescent="0.25">
      <c r="N63" s="6"/>
    </row>
    <row r="64" spans="1:14" x14ac:dyDescent="0.25">
      <c r="N64" s="6"/>
    </row>
    <row r="65" spans="14:14" x14ac:dyDescent="0.25">
      <c r="N65" s="6"/>
    </row>
    <row r="66" spans="14:14" x14ac:dyDescent="0.25">
      <c r="N66" s="6"/>
    </row>
    <row r="67" spans="14:14" x14ac:dyDescent="0.25">
      <c r="N67" s="6"/>
    </row>
    <row r="68" spans="14:14" x14ac:dyDescent="0.25">
      <c r="N68" s="6"/>
    </row>
    <row r="69" spans="14:14" x14ac:dyDescent="0.25">
      <c r="N69" s="6"/>
    </row>
    <row r="70" spans="14:14" x14ac:dyDescent="0.25">
      <c r="N70" s="6"/>
    </row>
    <row r="71" spans="14:14" x14ac:dyDescent="0.25">
      <c r="N71" s="6"/>
    </row>
    <row r="72" spans="14:14" x14ac:dyDescent="0.25">
      <c r="N72" s="6"/>
    </row>
    <row r="73" spans="14:14" x14ac:dyDescent="0.25">
      <c r="N73" s="6"/>
    </row>
    <row r="74" spans="14:14" x14ac:dyDescent="0.25">
      <c r="N74" s="6"/>
    </row>
    <row r="75" spans="14:14" x14ac:dyDescent="0.25">
      <c r="N75" s="6"/>
    </row>
    <row r="76" spans="14:14" x14ac:dyDescent="0.25">
      <c r="N76" s="6"/>
    </row>
    <row r="77" spans="14:14" x14ac:dyDescent="0.25">
      <c r="N77" s="6"/>
    </row>
    <row r="78" spans="14:14" x14ac:dyDescent="0.25">
      <c r="N78" s="6"/>
    </row>
    <row r="79" spans="14:14" x14ac:dyDescent="0.25">
      <c r="N79" s="6"/>
    </row>
    <row r="80" spans="14:14" x14ac:dyDescent="0.25">
      <c r="N80" s="6"/>
    </row>
    <row r="81" spans="14:14" x14ac:dyDescent="0.25">
      <c r="N81" s="6"/>
    </row>
    <row r="82" spans="14:14" x14ac:dyDescent="0.25">
      <c r="N82" s="6"/>
    </row>
    <row r="83" spans="14:14" x14ac:dyDescent="0.25">
      <c r="N83" s="6"/>
    </row>
    <row r="84" spans="14:14" x14ac:dyDescent="0.25">
      <c r="N84" s="6"/>
    </row>
    <row r="85" spans="14:14" x14ac:dyDescent="0.25">
      <c r="N85" s="6"/>
    </row>
    <row r="86" spans="14:14" x14ac:dyDescent="0.25">
      <c r="N86" s="6"/>
    </row>
    <row r="87" spans="14:14" x14ac:dyDescent="0.25">
      <c r="N87" s="6"/>
    </row>
    <row r="88" spans="14:14" x14ac:dyDescent="0.25">
      <c r="N88" s="6"/>
    </row>
    <row r="89" spans="14:14" x14ac:dyDescent="0.25">
      <c r="N89" s="6"/>
    </row>
    <row r="90" spans="14:14" x14ac:dyDescent="0.25">
      <c r="N90" s="6"/>
    </row>
    <row r="91" spans="14:14" x14ac:dyDescent="0.25">
      <c r="N91" s="6"/>
    </row>
    <row r="92" spans="14:14" x14ac:dyDescent="0.25">
      <c r="N92" s="6"/>
    </row>
    <row r="93" spans="14:14" x14ac:dyDescent="0.25">
      <c r="N93" s="6"/>
    </row>
    <row r="94" spans="14:14" x14ac:dyDescent="0.25">
      <c r="N94" s="6"/>
    </row>
    <row r="95" spans="14:14" x14ac:dyDescent="0.25">
      <c r="N95" s="6"/>
    </row>
    <row r="96" spans="14:14" x14ac:dyDescent="0.25">
      <c r="N96" s="6"/>
    </row>
    <row r="97" spans="14:14" x14ac:dyDescent="0.25">
      <c r="N97" s="6"/>
    </row>
    <row r="98" spans="14:14" x14ac:dyDescent="0.25">
      <c r="N98" s="6"/>
    </row>
    <row r="99" spans="14:14" x14ac:dyDescent="0.25">
      <c r="N99" s="6"/>
    </row>
    <row r="100" spans="14:14" x14ac:dyDescent="0.25">
      <c r="N100" s="6"/>
    </row>
    <row r="101" spans="14:14" x14ac:dyDescent="0.25">
      <c r="N101" s="6"/>
    </row>
    <row r="102" spans="14:14" x14ac:dyDescent="0.25">
      <c r="N102" s="6"/>
    </row>
    <row r="103" spans="14:14" x14ac:dyDescent="0.25">
      <c r="N103" s="6"/>
    </row>
    <row r="104" spans="14:14" x14ac:dyDescent="0.25">
      <c r="N104" s="6"/>
    </row>
    <row r="105" spans="14:14" x14ac:dyDescent="0.25">
      <c r="N105" s="6"/>
    </row>
    <row r="106" spans="14:14" x14ac:dyDescent="0.25">
      <c r="N106" s="6"/>
    </row>
    <row r="107" spans="14:14" x14ac:dyDescent="0.25">
      <c r="N107" s="6"/>
    </row>
    <row r="108" spans="14:14" x14ac:dyDescent="0.25">
      <c r="N108" s="6"/>
    </row>
    <row r="109" spans="14:14" x14ac:dyDescent="0.25">
      <c r="N109" s="6"/>
    </row>
    <row r="110" spans="14:14" x14ac:dyDescent="0.25">
      <c r="N110" s="6"/>
    </row>
    <row r="111" spans="14:14" x14ac:dyDescent="0.25">
      <c r="N111" s="6"/>
    </row>
    <row r="112" spans="14:14" x14ac:dyDescent="0.25">
      <c r="N112" s="6"/>
    </row>
    <row r="113" spans="14:14" x14ac:dyDescent="0.25">
      <c r="N113" s="6"/>
    </row>
    <row r="114" spans="14:14" x14ac:dyDescent="0.25">
      <c r="N114" s="6"/>
    </row>
    <row r="115" spans="14:14" x14ac:dyDescent="0.25">
      <c r="N115" s="6"/>
    </row>
    <row r="116" spans="14:14" x14ac:dyDescent="0.25">
      <c r="N116" s="6"/>
    </row>
    <row r="117" spans="14:14" x14ac:dyDescent="0.25">
      <c r="N117" s="6"/>
    </row>
    <row r="118" spans="14:14" x14ac:dyDescent="0.25">
      <c r="N118" s="6"/>
    </row>
    <row r="119" spans="14:14" x14ac:dyDescent="0.25">
      <c r="N119" s="6"/>
    </row>
    <row r="120" spans="14:14" x14ac:dyDescent="0.25">
      <c r="N120" s="6"/>
    </row>
    <row r="121" spans="14:14" x14ac:dyDescent="0.25">
      <c r="N121" s="6"/>
    </row>
    <row r="122" spans="14:14" x14ac:dyDescent="0.25">
      <c r="N122" s="6"/>
    </row>
    <row r="123" spans="14:14" x14ac:dyDescent="0.25">
      <c r="N123" s="6"/>
    </row>
    <row r="124" spans="14:14" x14ac:dyDescent="0.25">
      <c r="N124" s="6"/>
    </row>
    <row r="125" spans="14:14" x14ac:dyDescent="0.25">
      <c r="N125" s="6"/>
    </row>
    <row r="126" spans="14:14" x14ac:dyDescent="0.25">
      <c r="N126" s="6"/>
    </row>
    <row r="127" spans="14:14" x14ac:dyDescent="0.25">
      <c r="N127" s="6"/>
    </row>
    <row r="128" spans="14:14" x14ac:dyDescent="0.25">
      <c r="N128" s="6"/>
    </row>
    <row r="129" spans="14:14" x14ac:dyDescent="0.25">
      <c r="N129" s="6"/>
    </row>
    <row r="130" spans="14:14" x14ac:dyDescent="0.25">
      <c r="N130" s="6"/>
    </row>
    <row r="131" spans="14:14" x14ac:dyDescent="0.25">
      <c r="N131" s="6"/>
    </row>
    <row r="132" spans="14:14" x14ac:dyDescent="0.25">
      <c r="N132" s="6"/>
    </row>
    <row r="133" spans="14:14" x14ac:dyDescent="0.25">
      <c r="N133" s="6"/>
    </row>
    <row r="134" spans="14:14" x14ac:dyDescent="0.25">
      <c r="N134" s="6"/>
    </row>
    <row r="135" spans="14:14" x14ac:dyDescent="0.25">
      <c r="N135" s="6"/>
    </row>
    <row r="136" spans="14:14" x14ac:dyDescent="0.25">
      <c r="N136" s="6"/>
    </row>
    <row r="137" spans="14:14" x14ac:dyDescent="0.25">
      <c r="N137" s="6"/>
    </row>
    <row r="138" spans="14:14" x14ac:dyDescent="0.25">
      <c r="N138" s="6"/>
    </row>
    <row r="139" spans="14:14" x14ac:dyDescent="0.25">
      <c r="N139" s="6"/>
    </row>
    <row r="140" spans="14:14" x14ac:dyDescent="0.25">
      <c r="N140" s="6"/>
    </row>
    <row r="141" spans="14:14" x14ac:dyDescent="0.25">
      <c r="N141" s="6"/>
    </row>
    <row r="142" spans="14:14" x14ac:dyDescent="0.25">
      <c r="N142" s="6"/>
    </row>
    <row r="143" spans="14:14" x14ac:dyDescent="0.25">
      <c r="N143" s="6"/>
    </row>
    <row r="144" spans="14:14" x14ac:dyDescent="0.25">
      <c r="N144" s="6"/>
    </row>
    <row r="145" spans="14:14" x14ac:dyDescent="0.25">
      <c r="N145" s="6"/>
    </row>
    <row r="146" spans="14:14" x14ac:dyDescent="0.25">
      <c r="N146" s="6"/>
    </row>
    <row r="147" spans="14:14" x14ac:dyDescent="0.25">
      <c r="N147" s="6"/>
    </row>
    <row r="148" spans="14:14" x14ac:dyDescent="0.25">
      <c r="N148" s="6"/>
    </row>
    <row r="149" spans="14:14" x14ac:dyDescent="0.25">
      <c r="N149" s="6"/>
    </row>
    <row r="150" spans="14:14" x14ac:dyDescent="0.25">
      <c r="N150" s="6"/>
    </row>
    <row r="151" spans="14:14" x14ac:dyDescent="0.25">
      <c r="N151" s="6"/>
    </row>
    <row r="152" spans="14:14" x14ac:dyDescent="0.25">
      <c r="N152" s="6"/>
    </row>
    <row r="153" spans="14:14" x14ac:dyDescent="0.25">
      <c r="N153" s="6"/>
    </row>
    <row r="154" spans="14:14" x14ac:dyDescent="0.25">
      <c r="N154" s="6"/>
    </row>
    <row r="155" spans="14:14" x14ac:dyDescent="0.25">
      <c r="N155" s="6"/>
    </row>
    <row r="156" spans="14:14" x14ac:dyDescent="0.25">
      <c r="N156" s="6"/>
    </row>
    <row r="157" spans="14:14" x14ac:dyDescent="0.25">
      <c r="N157" s="6"/>
    </row>
    <row r="158" spans="14:14" x14ac:dyDescent="0.25">
      <c r="N158" s="6"/>
    </row>
    <row r="159" spans="14:14" x14ac:dyDescent="0.25">
      <c r="N159" s="6"/>
    </row>
    <row r="160" spans="14:14" x14ac:dyDescent="0.25">
      <c r="N160" s="6"/>
    </row>
    <row r="161" spans="14:14" x14ac:dyDescent="0.25">
      <c r="N161" s="6"/>
    </row>
    <row r="162" spans="14:14" x14ac:dyDescent="0.25">
      <c r="N162" s="6"/>
    </row>
    <row r="163" spans="14:14" x14ac:dyDescent="0.25">
      <c r="N163" s="6"/>
    </row>
    <row r="164" spans="14:14" x14ac:dyDescent="0.25">
      <c r="N164" s="6"/>
    </row>
    <row r="165" spans="14:14" x14ac:dyDescent="0.25">
      <c r="N165" s="6"/>
    </row>
    <row r="166" spans="14:14" x14ac:dyDescent="0.25">
      <c r="N166" s="6"/>
    </row>
    <row r="167" spans="14:14" x14ac:dyDescent="0.25">
      <c r="N167" s="6"/>
    </row>
    <row r="168" spans="14:14" x14ac:dyDescent="0.25">
      <c r="N168" s="6"/>
    </row>
    <row r="169" spans="14:14" x14ac:dyDescent="0.25">
      <c r="N169" s="6"/>
    </row>
    <row r="170" spans="14:14" x14ac:dyDescent="0.25">
      <c r="N170" s="6"/>
    </row>
  </sheetData>
  <sortState xmlns:xlrd2="http://schemas.microsoft.com/office/spreadsheetml/2017/richdata2" ref="A2:Q53">
    <sortCondition ref="J2:J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2024-08-15T14:00:05Z</dcterms:created>
  <dcterms:modified xsi:type="dcterms:W3CDTF">2024-11-14T18:00:09Z</dcterms:modified>
</cp:coreProperties>
</file>