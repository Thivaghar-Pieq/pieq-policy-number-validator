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12-11-24\"/>
    </mc:Choice>
  </mc:AlternateContent>
  <xr:revisionPtr revIDLastSave="0" documentId="13_ncr:1_{EA98E503-318F-4524-9CC7-EE692C3380C6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1" i="3"/>
  <c r="P51" i="2" l="1"/>
  <c r="L6" i="2"/>
  <c r="P6" i="2" s="1"/>
  <c r="L11" i="2"/>
  <c r="P11" i="2" s="1"/>
  <c r="L51" i="2"/>
  <c r="L61" i="2"/>
  <c r="P61" i="2" s="1"/>
  <c r="L5" i="2"/>
  <c r="P5" i="2" s="1"/>
  <c r="P4" i="2"/>
  <c r="P43" i="2"/>
  <c r="P42" i="2"/>
  <c r="P46" i="2"/>
  <c r="P50" i="2"/>
  <c r="P49" i="2"/>
  <c r="P48" i="2"/>
  <c r="P47" i="2"/>
  <c r="P45" i="2"/>
  <c r="P10" i="2"/>
  <c r="P9" i="2"/>
  <c r="P57" i="2"/>
  <c r="P56" i="2"/>
  <c r="P55" i="2"/>
  <c r="P54" i="2"/>
  <c r="P52" i="2"/>
  <c r="P53" i="2"/>
  <c r="P8" i="2"/>
  <c r="P58" i="2"/>
  <c r="P44" i="2"/>
  <c r="P41" i="2"/>
  <c r="P31" i="2"/>
  <c r="P24" i="2"/>
  <c r="P40" i="2"/>
  <c r="P39" i="2"/>
  <c r="P38" i="2"/>
  <c r="P14" i="2"/>
  <c r="P30" i="2"/>
  <c r="P37" i="2"/>
  <c r="P36" i="2"/>
  <c r="P35" i="2"/>
  <c r="P23" i="2"/>
  <c r="P29" i="2"/>
  <c r="P16" i="2"/>
  <c r="P12" i="2"/>
  <c r="P15" i="2"/>
  <c r="P28" i="2"/>
  <c r="P34" i="2"/>
  <c r="P27" i="2"/>
  <c r="P26" i="2"/>
  <c r="P25" i="2"/>
  <c r="P22" i="2"/>
  <c r="P33" i="2"/>
  <c r="P32" i="2"/>
  <c r="P21" i="2"/>
  <c r="P20" i="2"/>
  <c r="P19" i="2"/>
  <c r="P18" i="2"/>
  <c r="P17" i="2"/>
  <c r="P13" i="2"/>
  <c r="P60" i="2"/>
  <c r="P59" i="2"/>
  <c r="P3" i="2"/>
  <c r="P2" i="2"/>
  <c r="P63" i="2"/>
  <c r="P62" i="2"/>
  <c r="P7" i="2"/>
</calcChain>
</file>

<file path=xl/sharedStrings.xml><?xml version="1.0" encoding="utf-8"?>
<sst xmlns="http://schemas.openxmlformats.org/spreadsheetml/2006/main" count="1043" uniqueCount="207">
  <si>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</si>
  <si>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</si>
  <si>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</si>
  <si>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</si>
  <si>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</si>
  <si>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</si>
  <si>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</si>
  <si>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</si>
  <si>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</si>
  <si>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</si>
  <si>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</si>
  <si>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</si>
  <si>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</si>
  <si>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</si>
  <si>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</si>
  <si>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</si>
  <si>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</si>
  <si>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</si>
  <si>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</si>
  <si>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</si>
  <si>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</si>
  <si>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</si>
  <si>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</si>
  <si>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</si>
  <si>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</si>
  <si>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</si>
  <si>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</si>
  <si>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</si>
  <si>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</si>
  <si>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</si>
  <si>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</si>
  <si>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</si>
  <si>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</si>
  <si>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</si>
  <si>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</si>
  <si>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</si>
  <si>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</si>
  <si>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</si>
  <si>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</si>
  <si>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</si>
  <si>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</si>
  <si>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</si>
  <si>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A04169115</t>
  </si>
  <si>
    <t>CYNTHIA VANSLAMBROUCK</t>
  </si>
  <si>
    <t>CO</t>
  </si>
  <si>
    <t>HEATHER GESKE</t>
  </si>
  <si>
    <t>ACTIVE</t>
  </si>
  <si>
    <t>UHC AARP Med Supp CO all plans</t>
  </si>
  <si>
    <t>Monthly</t>
  </si>
  <si>
    <t>AV</t>
  </si>
  <si>
    <t>A04136148</t>
  </si>
  <si>
    <t>ANDREA BLUMBERG</t>
  </si>
  <si>
    <t>FL</t>
  </si>
  <si>
    <t>CAROL FOLEY</t>
  </si>
  <si>
    <t>UHC AARP Med Supp FL Area 1- Plan  B C F G</t>
  </si>
  <si>
    <t>A04163727</t>
  </si>
  <si>
    <t>MIRIAM LUCENTE</t>
  </si>
  <si>
    <t>A04167296</t>
  </si>
  <si>
    <t>CHRISTOPHER ROLAND</t>
  </si>
  <si>
    <t>STACEY PORTUGAL</t>
  </si>
  <si>
    <t>UHC AARP Med Supp FL Area 4 - High Ded Plan G</t>
  </si>
  <si>
    <t>A04167351</t>
  </si>
  <si>
    <t>HELEN ROLAND</t>
  </si>
  <si>
    <t>A04082949</t>
  </si>
  <si>
    <t>LISA FARQUHAR</t>
  </si>
  <si>
    <t>UHC AARP Med Supp FL Area 4- Plan  B C F G</t>
  </si>
  <si>
    <t>A04127325</t>
  </si>
  <si>
    <t>KIMBERLY HOLLERAN</t>
  </si>
  <si>
    <t>A04115541</t>
  </si>
  <si>
    <t>REBECCA NICHOLSON</t>
  </si>
  <si>
    <t>IL</t>
  </si>
  <si>
    <t>DALE WALENGA</t>
  </si>
  <si>
    <t>UHC AARP Med Supp IL Area 1- Plan  B C F G</t>
  </si>
  <si>
    <t>A04127140</t>
  </si>
  <si>
    <t>WILLIAM SMIALEK</t>
  </si>
  <si>
    <t>A04127176</t>
  </si>
  <si>
    <t>TERESA SMIALEK</t>
  </si>
  <si>
    <t>A04137015</t>
  </si>
  <si>
    <t>SANDRA MONDEK</t>
  </si>
  <si>
    <t>A04137342</t>
  </si>
  <si>
    <t>RAYMOND OCHROMOWICZ</t>
  </si>
  <si>
    <t>A04137828</t>
  </si>
  <si>
    <t>MATTHEW MONDEK</t>
  </si>
  <si>
    <t>A04150482</t>
  </si>
  <si>
    <t>ALLISON WEBER</t>
  </si>
  <si>
    <t>A04150490</t>
  </si>
  <si>
    <t>PETER WEBER</t>
  </si>
  <si>
    <t>A04150520</t>
  </si>
  <si>
    <t>ELIZABETH RICE</t>
  </si>
  <si>
    <t>A04160389</t>
  </si>
  <si>
    <t>BARRY LEDERER</t>
  </si>
  <si>
    <t>A04164064</t>
  </si>
  <si>
    <t>DOUGLAS RENKOSIK</t>
  </si>
  <si>
    <t>A04164556</t>
  </si>
  <si>
    <t>KATHLEEN RENKOSIK</t>
  </si>
  <si>
    <t>A04167519</t>
  </si>
  <si>
    <t>JOHN GUTKNECHT</t>
  </si>
  <si>
    <t>A04168420</t>
  </si>
  <si>
    <t>KENT SMITH</t>
  </si>
  <si>
    <t>A04107151</t>
  </si>
  <si>
    <t>MARK ADLER</t>
  </si>
  <si>
    <t>FRANK LISKOVEC</t>
  </si>
  <si>
    <t>A04089206</t>
  </si>
  <si>
    <t>GARY SCHOENEMAN</t>
  </si>
  <si>
    <t>GARY PORTUGAL</t>
  </si>
  <si>
    <t>A04110970</t>
  </si>
  <si>
    <t>ANDREW SORRENTINO</t>
  </si>
  <si>
    <t>A04134476</t>
  </si>
  <si>
    <t>JAMES KARR</t>
  </si>
  <si>
    <t>A04135901</t>
  </si>
  <si>
    <t>CHRISTINE TILTZ</t>
  </si>
  <si>
    <t>A04145915</t>
  </si>
  <si>
    <t>A04152855</t>
  </si>
  <si>
    <t>NINA GAINES</t>
  </si>
  <si>
    <t>A04155252</t>
  </si>
  <si>
    <t>MARK GAINES</t>
  </si>
  <si>
    <t>A04159973</t>
  </si>
  <si>
    <t>RACHEL WILLIAMS</t>
  </si>
  <si>
    <t>A04116009</t>
  </si>
  <si>
    <t>CORAL YOUKER</t>
  </si>
  <si>
    <t>JACOB YALE</t>
  </si>
  <si>
    <t>A04130550</t>
  </si>
  <si>
    <t>JOSEPH MCMASTER</t>
  </si>
  <si>
    <t>A04136338</t>
  </si>
  <si>
    <t>GARY MARTIN</t>
  </si>
  <si>
    <t>A04137009</t>
  </si>
  <si>
    <t>NANCY MARTIN</t>
  </si>
  <si>
    <t>A04120363</t>
  </si>
  <si>
    <t>ROBERT KURASZ</t>
  </si>
  <si>
    <t>RICARDO SANTOS</t>
  </si>
  <si>
    <t>A04149761</t>
  </si>
  <si>
    <t>SGARCIA VELAZQUEZ</t>
  </si>
  <si>
    <t>A04108152</t>
  </si>
  <si>
    <t>DANIEL WAHL</t>
  </si>
  <si>
    <t>KY</t>
  </si>
  <si>
    <t>UHC AARP Med Supp KY - Plan  B C D F G</t>
  </si>
  <si>
    <t>A04102810</t>
  </si>
  <si>
    <t>DROR ROM</t>
  </si>
  <si>
    <t>MD</t>
  </si>
  <si>
    <t>ANNE MARIE KOZACHECK</t>
  </si>
  <si>
    <t>UHC AARP Med Supp MD - Plan  B C D F G</t>
  </si>
  <si>
    <t>A04139611</t>
  </si>
  <si>
    <t>CINDI CLIFFORD</t>
  </si>
  <si>
    <t>NJ</t>
  </si>
  <si>
    <t>MURRAY STERNER</t>
  </si>
  <si>
    <t>UHC AARP Med Supp NJ - Plan  B C D F G</t>
  </si>
  <si>
    <t>A04081413</t>
  </si>
  <si>
    <t>CHRISTOPHER KRYGER</t>
  </si>
  <si>
    <t>OR</t>
  </si>
  <si>
    <t>UHC AARP Med Supp OR - Plan  N</t>
  </si>
  <si>
    <t>A02873507</t>
  </si>
  <si>
    <t>LUJEAN BERNSTEIN</t>
  </si>
  <si>
    <t>PA</t>
  </si>
  <si>
    <t>UHC AARP Med Supp PA Area 1 2024- Plan  B F G</t>
  </si>
  <si>
    <t>A04074909</t>
  </si>
  <si>
    <t>JOYCE DOUGHERTY</t>
  </si>
  <si>
    <t>A04111252</t>
  </si>
  <si>
    <t>GERALD O NEILL</t>
  </si>
  <si>
    <t>A04111744</t>
  </si>
  <si>
    <t>LINDA O NEILL</t>
  </si>
  <si>
    <t>A04125735</t>
  </si>
  <si>
    <t>JENNIFER EWING</t>
  </si>
  <si>
    <t>A04142465</t>
  </si>
  <si>
    <t>TRACY COSTANTINO</t>
  </si>
  <si>
    <t>A04086593</t>
  </si>
  <si>
    <t>PATRICK HALLINAN</t>
  </si>
  <si>
    <t>UHC AARP Med Supp PA Area 1 2024- Plan  N</t>
  </si>
  <si>
    <t>A04156119</t>
  </si>
  <si>
    <t>KAREN SMITHCHURCHVILLE</t>
  </si>
  <si>
    <t>A04112278</t>
  </si>
  <si>
    <t>DEBRA STOCK</t>
  </si>
  <si>
    <t>UHC AARP Med Supp PA Area 1- Plan  B C F G</t>
  </si>
  <si>
    <t>A04141002</t>
  </si>
  <si>
    <t>THERESE MONGAN</t>
  </si>
  <si>
    <t>A04141096</t>
  </si>
  <si>
    <t>WILLIAM MONGAN</t>
  </si>
  <si>
    <t>A04161751</t>
  </si>
  <si>
    <t>MATTHEW PHILLIPS</t>
  </si>
  <si>
    <t>A04148386</t>
  </si>
  <si>
    <t>JANICE KERESTLY</t>
  </si>
  <si>
    <t>DEBORAH INSKIPT</t>
  </si>
  <si>
    <t>A04092389</t>
  </si>
  <si>
    <t>RICHARD GELINAS</t>
  </si>
  <si>
    <t>PETER RICHTER</t>
  </si>
  <si>
    <t>A04162708</t>
  </si>
  <si>
    <t>RAYMOND KNOBBS</t>
  </si>
  <si>
    <t>UHC AARP Med Supp PA Area 2- Plan  B C F G</t>
  </si>
  <si>
    <t>A04162844</t>
  </si>
  <si>
    <t>LAUREN KNOBBS</t>
  </si>
  <si>
    <t>A04113627</t>
  </si>
  <si>
    <t>DANIEL PICARD</t>
  </si>
  <si>
    <t>MICHELLE MCCORKLE</t>
  </si>
  <si>
    <t>UHC AARP Med Supp PA Area 2- Plan  N</t>
  </si>
  <si>
    <t>total agency rate</t>
  </si>
  <si>
    <t>A04176860</t>
  </si>
  <si>
    <t>LANE REIDER</t>
  </si>
  <si>
    <t>A04176992</t>
  </si>
  <si>
    <t>GINA REIDER</t>
  </si>
  <si>
    <t>A04172708</t>
  </si>
  <si>
    <t>NANCY RICCHIO</t>
  </si>
  <si>
    <t>A04182320</t>
  </si>
  <si>
    <t>KEVIN MCCOLE</t>
  </si>
  <si>
    <t>A04185404</t>
  </si>
  <si>
    <t>MARYANNE NICKEL</t>
  </si>
  <si>
    <t>UHC AARP Med Supp PA Area 3 2024- Plan  BC F G</t>
  </si>
  <si>
    <t>UHC AARP Med Supp IN all plans</t>
  </si>
  <si>
    <t>UHC AARP Med Supp FL Area 2 2024- Plan  BC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</si>
</sst>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4" fontId="3" fillId="0" borderId="0" xfId="0" applyNumberFormat="1" applyFont="1"/>
    <xf numFmtId="8" fontId="3" fillId="0" borderId="0" xfId="0" applyNumberFormat="1" applyFont="1"/>
    <xf numFmtId="10" fontId="3" fillId="0" borderId="0" xfId="0" applyNumberFormat="1" applyFont="1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0" fillId="0" borderId="0" xfId="0" applyFill="1"/>
    <xf numFmtId="0" fontId="1" fillId="0" borderId="0" xfId="0" applyFont="1" applyFill="1"/>
    <xf numFmtId="14" fontId="3" fillId="0" borderId="0" xfId="0" applyNumberFormat="1" applyFont="1" applyFill="1"/>
    <xf numFmtId="44" fontId="3" fillId="0" borderId="0" xfId="1" applyFont="1" applyFill="1"/>
    <xf numFmtId="10" fontId="3" fillId="0" borderId="0" xfId="0" applyNumberFormat="1" applyFont="1" applyFill="1"/>
    <xf numFmtId="2" fontId="3" fillId="0" borderId="0" xfId="0" applyNumberFormat="1" applyFont="1" applyFill="1"/>
    <xf numFmtId="44" fontId="2" fillId="0" borderId="0" xfId="1" applyFont="1" applyFill="1"/>
    <xf numFmtId="1" fontId="0" fillId="0" borderId="0" xfId="0" applyNumberFormat="1" applyFill="1" applyAlignment="1">
      <alignment horizontal="left"/>
    </xf>
    <xf numFmtId="14" fontId="0" fillId="0" borderId="0" xfId="0" applyNumberFormat="1" applyFill="1"/>
    <xf numFmtId="44" fontId="0" fillId="0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opLeftCell="I1" workbookViewId="0">
      <selection activeCell="I5" sqref="I5"/>
    </sheetView>
  </sheetViews>
  <sheetFormatPr defaultColWidth="12.5703125" defaultRowHeight="15" customHeight="1" x14ac:dyDescent="0.25"/>
  <cols>
    <col min="1" max="1" width="10.42578125" customWidth="1"/>
    <col min="2" max="2" width="16" customWidth="1"/>
    <col min="3" max="3" width="14.28515625" customWidth="1"/>
    <col min="4" max="4" width="11.5703125" customWidth="1"/>
    <col min="5" max="5" width="28.85546875" customWidth="1"/>
    <col min="6" max="6" width="8.140625" customWidth="1"/>
    <col min="7" max="7" width="6.140625" customWidth="1"/>
    <col min="8" max="8" width="17.7109375" customWidth="1"/>
    <col min="9" max="9" width="14" customWidth="1"/>
    <col min="10" max="10" width="25" customWidth="1"/>
    <col min="11" max="11" width="8.140625" customWidth="1"/>
    <col min="12" max="12" width="4.140625" customWidth="1"/>
    <col min="13" max="13" width="5.28515625" customWidth="1"/>
    <col min="14" max="14" width="8.5703125" customWidth="1"/>
    <col min="15" max="15" width="15" customWidth="1"/>
    <col min="16" max="16" width="23.140625" customWidth="1"/>
    <col min="17" max="17" width="12.140625" customWidth="1"/>
    <col min="18" max="18" width="43.5703125" customWidth="1"/>
    <col min="19" max="19" width="10.140625" customWidth="1"/>
    <col min="20" max="20" width="12.28515625" customWidth="1"/>
    <col min="21" max="21" width="14" customWidth="1"/>
    <col min="22" max="22" width="12" customWidth="1"/>
    <col min="23" max="23" width="16.140625" customWidth="1"/>
    <col min="24" max="24" width="9" customWidth="1"/>
    <col min="25" max="25" width="17.85546875" customWidth="1"/>
    <col min="26" max="26" width="16.140625" customWidth="1"/>
    <col min="27" max="27" width="16.7109375" customWidth="1"/>
    <col min="28" max="28" width="16.5703125" customWidth="1"/>
    <col min="29" max="29" width="18" customWidth="1"/>
    <col min="30" max="30" width="11.5703125" customWidth="1"/>
    <col min="31" max="31" width="14.7109375" customWidth="1"/>
    <col min="32" max="32" width="9.5703125" customWidth="1"/>
    <col min="33" max="33" width="12.7109375" customWidth="1"/>
    <col min="34" max="34" width="19" customWidth="1"/>
    <col min="35" max="35" width="18" customWidth="1"/>
    <col min="36" max="36" width="11.42578125" customWidth="1"/>
    <col min="37" max="37" width="14" customWidth="1"/>
    <col min="38" max="38" width="16.285156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45637</v>
      </c>
      <c r="B2" s="2">
        <v>45637</v>
      </c>
      <c r="C2" s="1" t="s">
        <v>38</v>
      </c>
      <c r="D2" s="1" t="s">
        <v>39</v>
      </c>
      <c r="E2" s="1" t="s">
        <v>40</v>
      </c>
      <c r="F2" s="1">
        <v>43677</v>
      </c>
      <c r="H2" s="1" t="s">
        <v>41</v>
      </c>
      <c r="I2" s="1" t="s">
        <v>42</v>
      </c>
      <c r="J2" s="1" t="s">
        <v>43</v>
      </c>
      <c r="M2" s="1" t="s">
        <v>44</v>
      </c>
      <c r="O2" s="1">
        <v>16865615</v>
      </c>
      <c r="P2" s="1" t="s">
        <v>45</v>
      </c>
      <c r="Q2" s="1" t="s">
        <v>46</v>
      </c>
      <c r="R2" s="1" t="s">
        <v>47</v>
      </c>
      <c r="S2" s="2">
        <v>45627</v>
      </c>
      <c r="U2" s="1" t="s">
        <v>48</v>
      </c>
      <c r="X2" s="1" t="s">
        <v>49</v>
      </c>
      <c r="Y2" s="3">
        <v>0</v>
      </c>
      <c r="Z2" s="3">
        <v>28.46</v>
      </c>
      <c r="AA2" s="1">
        <v>9</v>
      </c>
      <c r="AB2" s="4">
        <v>1</v>
      </c>
      <c r="AC2" s="3">
        <v>256.14</v>
      </c>
      <c r="AD2" s="4">
        <v>0</v>
      </c>
      <c r="AE2" s="3">
        <v>0</v>
      </c>
      <c r="AF2" s="3">
        <v>256.14</v>
      </c>
      <c r="AK2" s="1">
        <v>4788209</v>
      </c>
    </row>
    <row r="3" spans="1:38" x14ac:dyDescent="0.25">
      <c r="A3" s="2">
        <v>45637</v>
      </c>
      <c r="B3" s="2">
        <v>45637</v>
      </c>
      <c r="C3" s="1" t="s">
        <v>38</v>
      </c>
      <c r="D3" s="1" t="s">
        <v>39</v>
      </c>
      <c r="E3" s="1" t="s">
        <v>40</v>
      </c>
      <c r="F3" s="1">
        <v>43677</v>
      </c>
      <c r="H3" s="1" t="s">
        <v>41</v>
      </c>
      <c r="I3" s="1" t="s">
        <v>50</v>
      </c>
      <c r="J3" s="1" t="s">
        <v>51</v>
      </c>
      <c r="M3" s="1" t="s">
        <v>52</v>
      </c>
      <c r="O3" s="1">
        <v>17425766</v>
      </c>
      <c r="P3" s="1" t="s">
        <v>53</v>
      </c>
      <c r="Q3" s="1" t="s">
        <v>46</v>
      </c>
      <c r="R3" s="1" t="s">
        <v>54</v>
      </c>
      <c r="S3" s="2">
        <v>45658</v>
      </c>
      <c r="U3" s="1" t="s">
        <v>48</v>
      </c>
      <c r="X3" s="1" t="s">
        <v>49</v>
      </c>
      <c r="Y3" s="3">
        <v>0</v>
      </c>
      <c r="Z3" s="3">
        <v>58.19</v>
      </c>
      <c r="AA3" s="1">
        <v>9</v>
      </c>
      <c r="AB3" s="4">
        <v>1</v>
      </c>
      <c r="AC3" s="3">
        <v>523.71</v>
      </c>
      <c r="AD3" s="4">
        <v>0</v>
      </c>
      <c r="AE3" s="3">
        <v>0</v>
      </c>
      <c r="AF3" s="3">
        <v>523.71</v>
      </c>
      <c r="AK3" s="1">
        <v>4788178</v>
      </c>
    </row>
    <row r="4" spans="1:38" x14ac:dyDescent="0.25">
      <c r="A4" s="2">
        <v>45637</v>
      </c>
      <c r="B4" s="2">
        <v>45637</v>
      </c>
      <c r="C4" s="1" t="s">
        <v>38</v>
      </c>
      <c r="D4" s="1" t="s">
        <v>39</v>
      </c>
      <c r="E4" s="1" t="s">
        <v>40</v>
      </c>
      <c r="F4" s="1">
        <v>43677</v>
      </c>
      <c r="H4" s="1" t="s">
        <v>41</v>
      </c>
      <c r="I4" s="1" t="s">
        <v>55</v>
      </c>
      <c r="J4" s="1" t="s">
        <v>56</v>
      </c>
      <c r="M4" s="1" t="s">
        <v>52</v>
      </c>
      <c r="O4" s="1">
        <v>17425766</v>
      </c>
      <c r="P4" s="1" t="s">
        <v>53</v>
      </c>
      <c r="Q4" s="1" t="s">
        <v>46</v>
      </c>
      <c r="R4" s="1" t="s">
        <v>54</v>
      </c>
      <c r="S4" s="2">
        <v>45658</v>
      </c>
      <c r="U4" s="1" t="s">
        <v>48</v>
      </c>
      <c r="X4" s="1" t="s">
        <v>49</v>
      </c>
      <c r="Y4" s="3">
        <v>0</v>
      </c>
      <c r="Z4" s="3">
        <v>58.19</v>
      </c>
      <c r="AA4" s="1">
        <v>9</v>
      </c>
      <c r="AB4" s="4">
        <v>1</v>
      </c>
      <c r="AC4" s="3">
        <v>523.71</v>
      </c>
      <c r="AD4" s="4">
        <v>0</v>
      </c>
      <c r="AE4" s="3">
        <v>0</v>
      </c>
      <c r="AF4" s="3">
        <v>523.71</v>
      </c>
      <c r="AK4" s="1">
        <v>4788202</v>
      </c>
    </row>
    <row r="5" spans="1:38" x14ac:dyDescent="0.25">
      <c r="A5" s="2">
        <v>45637</v>
      </c>
      <c r="B5" s="2">
        <v>45637</v>
      </c>
      <c r="C5" s="1" t="s">
        <v>38</v>
      </c>
      <c r="D5" s="1" t="s">
        <v>39</v>
      </c>
      <c r="E5" s="1" t="s">
        <v>40</v>
      </c>
      <c r="F5" s="1">
        <v>43677</v>
      </c>
      <c r="H5" s="1" t="s">
        <v>41</v>
      </c>
      <c r="I5" s="1" t="s">
        <v>57</v>
      </c>
      <c r="J5" s="1" t="s">
        <v>58</v>
      </c>
      <c r="M5" s="1" t="s">
        <v>52</v>
      </c>
      <c r="O5" s="1">
        <v>19645587</v>
      </c>
      <c r="P5" s="1" t="s">
        <v>59</v>
      </c>
      <c r="Q5" s="1" t="s">
        <v>46</v>
      </c>
      <c r="R5" s="1" t="s">
        <v>60</v>
      </c>
      <c r="S5" s="2">
        <v>45658</v>
      </c>
      <c r="U5" s="1" t="s">
        <v>48</v>
      </c>
      <c r="X5" s="1" t="s">
        <v>49</v>
      </c>
      <c r="Y5" s="3">
        <v>0</v>
      </c>
      <c r="Z5" s="3">
        <v>10.38</v>
      </c>
      <c r="AA5" s="1">
        <v>9</v>
      </c>
      <c r="AB5" s="4">
        <v>1</v>
      </c>
      <c r="AC5" s="3">
        <v>93.42</v>
      </c>
      <c r="AD5" s="4">
        <v>0</v>
      </c>
      <c r="AE5" s="3">
        <v>0</v>
      </c>
      <c r="AF5" s="3">
        <v>93.42</v>
      </c>
      <c r="AK5" s="1">
        <v>4788205</v>
      </c>
    </row>
    <row r="6" spans="1:38" x14ac:dyDescent="0.25">
      <c r="A6" s="2">
        <v>45637</v>
      </c>
      <c r="B6" s="2">
        <v>45637</v>
      </c>
      <c r="C6" s="1" t="s">
        <v>38</v>
      </c>
      <c r="D6" s="1" t="s">
        <v>39</v>
      </c>
      <c r="E6" s="1" t="s">
        <v>40</v>
      </c>
      <c r="F6" s="1">
        <v>43677</v>
      </c>
      <c r="H6" s="1" t="s">
        <v>41</v>
      </c>
      <c r="I6" s="1" t="s">
        <v>61</v>
      </c>
      <c r="J6" s="1" t="s">
        <v>62</v>
      </c>
      <c r="M6" s="1" t="s">
        <v>52</v>
      </c>
      <c r="O6" s="1">
        <v>19645587</v>
      </c>
      <c r="P6" s="1" t="s">
        <v>59</v>
      </c>
      <c r="Q6" s="1" t="s">
        <v>46</v>
      </c>
      <c r="R6" s="1" t="s">
        <v>60</v>
      </c>
      <c r="S6" s="2">
        <v>45658</v>
      </c>
      <c r="U6" s="1" t="s">
        <v>48</v>
      </c>
      <c r="X6" s="1" t="s">
        <v>49</v>
      </c>
      <c r="Y6" s="3">
        <v>0</v>
      </c>
      <c r="Z6" s="3">
        <v>10.38</v>
      </c>
      <c r="AA6" s="1">
        <v>9</v>
      </c>
      <c r="AB6" s="4">
        <v>1</v>
      </c>
      <c r="AC6" s="3">
        <v>93.42</v>
      </c>
      <c r="AD6" s="4">
        <v>0</v>
      </c>
      <c r="AE6" s="3">
        <v>0</v>
      </c>
      <c r="AF6" s="3">
        <v>93.42</v>
      </c>
      <c r="AK6" s="1">
        <v>4788206</v>
      </c>
    </row>
    <row r="7" spans="1:38" x14ac:dyDescent="0.25">
      <c r="A7" s="2">
        <v>45637</v>
      </c>
      <c r="B7" s="2">
        <v>45637</v>
      </c>
      <c r="C7" s="1" t="s">
        <v>38</v>
      </c>
      <c r="D7" s="1" t="s">
        <v>39</v>
      </c>
      <c r="E7" s="1" t="s">
        <v>40</v>
      </c>
      <c r="F7" s="1">
        <v>43677</v>
      </c>
      <c r="H7" s="1" t="s">
        <v>41</v>
      </c>
      <c r="I7" s="1" t="s">
        <v>63</v>
      </c>
      <c r="J7" s="1" t="s">
        <v>64</v>
      </c>
      <c r="M7" s="1" t="s">
        <v>52</v>
      </c>
      <c r="O7" s="1">
        <v>17425766</v>
      </c>
      <c r="P7" s="1" t="s">
        <v>53</v>
      </c>
      <c r="Q7" s="1" t="s">
        <v>46</v>
      </c>
      <c r="R7" s="1" t="s">
        <v>65</v>
      </c>
      <c r="S7" s="2">
        <v>45536</v>
      </c>
      <c r="U7" s="1" t="s">
        <v>48</v>
      </c>
      <c r="X7" s="1" t="s">
        <v>49</v>
      </c>
      <c r="Y7" s="3">
        <v>0</v>
      </c>
      <c r="Z7" s="3">
        <v>44.31</v>
      </c>
      <c r="AA7" s="1">
        <v>9</v>
      </c>
      <c r="AB7" s="4">
        <v>1</v>
      </c>
      <c r="AC7" s="3">
        <v>398.79</v>
      </c>
      <c r="AD7" s="4">
        <v>0</v>
      </c>
      <c r="AE7" s="3">
        <v>0</v>
      </c>
      <c r="AF7" s="3">
        <v>398.79</v>
      </c>
      <c r="AK7" s="1">
        <v>4788156</v>
      </c>
    </row>
    <row r="8" spans="1:38" x14ac:dyDescent="0.25">
      <c r="A8" s="2">
        <v>45637</v>
      </c>
      <c r="B8" s="2">
        <v>45637</v>
      </c>
      <c r="C8" s="1" t="s">
        <v>38</v>
      </c>
      <c r="D8" s="1" t="s">
        <v>39</v>
      </c>
      <c r="E8" s="1" t="s">
        <v>40</v>
      </c>
      <c r="F8" s="1">
        <v>43677</v>
      </c>
      <c r="H8" s="1" t="s">
        <v>41</v>
      </c>
      <c r="I8" s="1" t="s">
        <v>66</v>
      </c>
      <c r="J8" s="1" t="s">
        <v>67</v>
      </c>
      <c r="M8" s="1" t="s">
        <v>52</v>
      </c>
      <c r="O8" s="1">
        <v>17425766</v>
      </c>
      <c r="P8" s="1" t="s">
        <v>53</v>
      </c>
      <c r="Q8" s="1" t="s">
        <v>46</v>
      </c>
      <c r="R8" s="1" t="s">
        <v>65</v>
      </c>
      <c r="S8" s="2">
        <v>45566</v>
      </c>
      <c r="U8" s="1" t="s">
        <v>48</v>
      </c>
      <c r="X8" s="1" t="s">
        <v>49</v>
      </c>
      <c r="Y8" s="3">
        <v>0</v>
      </c>
      <c r="Z8" s="3">
        <v>44.31</v>
      </c>
      <c r="AA8" s="1">
        <v>9</v>
      </c>
      <c r="AB8" s="4">
        <v>1</v>
      </c>
      <c r="AC8" s="3">
        <v>398.79</v>
      </c>
      <c r="AD8" s="4">
        <v>0</v>
      </c>
      <c r="AE8" s="3">
        <v>0</v>
      </c>
      <c r="AF8" s="3">
        <v>398.79</v>
      </c>
      <c r="AK8" s="1">
        <v>4788174</v>
      </c>
    </row>
    <row r="9" spans="1:38" x14ac:dyDescent="0.25">
      <c r="A9" s="2">
        <v>45637</v>
      </c>
      <c r="B9" s="2">
        <v>45637</v>
      </c>
      <c r="C9" s="1" t="s">
        <v>38</v>
      </c>
      <c r="D9" s="1" t="s">
        <v>39</v>
      </c>
      <c r="E9" s="1" t="s">
        <v>40</v>
      </c>
      <c r="F9" s="1">
        <v>43677</v>
      </c>
      <c r="H9" s="1" t="s">
        <v>41</v>
      </c>
      <c r="I9" s="1" t="s">
        <v>68</v>
      </c>
      <c r="J9" s="1" t="s">
        <v>69</v>
      </c>
      <c r="M9" s="1" t="s">
        <v>70</v>
      </c>
      <c r="O9" s="1">
        <v>8325282</v>
      </c>
      <c r="P9" s="1" t="s">
        <v>71</v>
      </c>
      <c r="Q9" s="1" t="s">
        <v>46</v>
      </c>
      <c r="R9" s="1" t="s">
        <v>72</v>
      </c>
      <c r="S9" s="2">
        <v>45536</v>
      </c>
      <c r="U9" s="1" t="s">
        <v>48</v>
      </c>
      <c r="X9" s="1" t="s">
        <v>49</v>
      </c>
      <c r="Y9" s="3">
        <v>0</v>
      </c>
      <c r="Z9" s="3">
        <v>31.98</v>
      </c>
      <c r="AA9" s="1">
        <v>9</v>
      </c>
      <c r="AB9" s="4">
        <v>1</v>
      </c>
      <c r="AC9" s="3">
        <v>287.82</v>
      </c>
      <c r="AD9" s="4">
        <v>0</v>
      </c>
      <c r="AE9" s="3">
        <v>0</v>
      </c>
      <c r="AF9" s="3">
        <v>287.82</v>
      </c>
      <c r="AK9" s="1">
        <v>4788168</v>
      </c>
    </row>
    <row r="10" spans="1:38" x14ac:dyDescent="0.25">
      <c r="A10" s="2">
        <v>45637</v>
      </c>
      <c r="B10" s="2">
        <v>45637</v>
      </c>
      <c r="C10" s="1" t="s">
        <v>38</v>
      </c>
      <c r="D10" s="1" t="s">
        <v>39</v>
      </c>
      <c r="E10" s="1" t="s">
        <v>40</v>
      </c>
      <c r="F10" s="1">
        <v>43677</v>
      </c>
      <c r="H10" s="1" t="s">
        <v>41</v>
      </c>
      <c r="I10" s="1" t="s">
        <v>73</v>
      </c>
      <c r="J10" s="1" t="s">
        <v>74</v>
      </c>
      <c r="M10" s="1" t="s">
        <v>70</v>
      </c>
      <c r="O10" s="1">
        <v>8325282</v>
      </c>
      <c r="P10" s="1" t="s">
        <v>71</v>
      </c>
      <c r="Q10" s="1" t="s">
        <v>46</v>
      </c>
      <c r="R10" s="1" t="s">
        <v>72</v>
      </c>
      <c r="S10" s="2">
        <v>45597</v>
      </c>
      <c r="U10" s="1" t="s">
        <v>48</v>
      </c>
      <c r="X10" s="1" t="s">
        <v>49</v>
      </c>
      <c r="Y10" s="3">
        <v>0</v>
      </c>
      <c r="Z10" s="3">
        <v>31.98</v>
      </c>
      <c r="AA10" s="1">
        <v>9</v>
      </c>
      <c r="AB10" s="4">
        <v>1</v>
      </c>
      <c r="AC10" s="3">
        <v>287.82</v>
      </c>
      <c r="AD10" s="4">
        <v>0</v>
      </c>
      <c r="AE10" s="3">
        <v>0</v>
      </c>
      <c r="AF10" s="3">
        <v>287.82</v>
      </c>
      <c r="AK10" s="1">
        <v>4788172</v>
      </c>
    </row>
    <row r="11" spans="1:38" x14ac:dyDescent="0.25">
      <c r="A11" s="2">
        <v>45637</v>
      </c>
      <c r="B11" s="2">
        <v>45637</v>
      </c>
      <c r="C11" s="1" t="s">
        <v>38</v>
      </c>
      <c r="D11" s="1" t="s">
        <v>39</v>
      </c>
      <c r="E11" s="1" t="s">
        <v>40</v>
      </c>
      <c r="F11" s="1">
        <v>43677</v>
      </c>
      <c r="H11" s="1" t="s">
        <v>41</v>
      </c>
      <c r="I11" s="1" t="s">
        <v>75</v>
      </c>
      <c r="J11" s="1" t="s">
        <v>76</v>
      </c>
      <c r="M11" s="1" t="s">
        <v>70</v>
      </c>
      <c r="O11" s="1">
        <v>8325282</v>
      </c>
      <c r="P11" s="1" t="s">
        <v>71</v>
      </c>
      <c r="Q11" s="1" t="s">
        <v>46</v>
      </c>
      <c r="R11" s="1" t="s">
        <v>72</v>
      </c>
      <c r="S11" s="2">
        <v>45597</v>
      </c>
      <c r="U11" s="1" t="s">
        <v>48</v>
      </c>
      <c r="X11" s="1" t="s">
        <v>49</v>
      </c>
      <c r="Y11" s="3">
        <v>0</v>
      </c>
      <c r="Z11" s="3">
        <v>31.98</v>
      </c>
      <c r="AA11" s="1">
        <v>9</v>
      </c>
      <c r="AB11" s="4">
        <v>1</v>
      </c>
      <c r="AC11" s="3">
        <v>287.82</v>
      </c>
      <c r="AD11" s="4">
        <v>0</v>
      </c>
      <c r="AE11" s="3">
        <v>0</v>
      </c>
      <c r="AF11" s="3">
        <v>287.82</v>
      </c>
      <c r="AK11" s="1">
        <v>4788173</v>
      </c>
    </row>
    <row r="12" spans="1:38" x14ac:dyDescent="0.25">
      <c r="A12" s="2">
        <v>45637</v>
      </c>
      <c r="B12" s="2">
        <v>45637</v>
      </c>
      <c r="C12" s="1" t="s">
        <v>38</v>
      </c>
      <c r="D12" s="1" t="s">
        <v>39</v>
      </c>
      <c r="E12" s="1" t="s">
        <v>40</v>
      </c>
      <c r="F12" s="1">
        <v>43677</v>
      </c>
      <c r="H12" s="1" t="s">
        <v>41</v>
      </c>
      <c r="I12" s="1" t="s">
        <v>77</v>
      </c>
      <c r="J12" s="1" t="s">
        <v>78</v>
      </c>
      <c r="M12" s="1" t="s">
        <v>70</v>
      </c>
      <c r="O12" s="1">
        <v>8325282</v>
      </c>
      <c r="P12" s="1" t="s">
        <v>71</v>
      </c>
      <c r="Q12" s="1" t="s">
        <v>46</v>
      </c>
      <c r="R12" s="1" t="s">
        <v>72</v>
      </c>
      <c r="S12" s="2">
        <v>45597</v>
      </c>
      <c r="U12" s="1" t="s">
        <v>48</v>
      </c>
      <c r="X12" s="1" t="s">
        <v>49</v>
      </c>
      <c r="Y12" s="3">
        <v>0</v>
      </c>
      <c r="Z12" s="3">
        <v>31.98</v>
      </c>
      <c r="AA12" s="1">
        <v>9</v>
      </c>
      <c r="AB12" s="4">
        <v>1</v>
      </c>
      <c r="AC12" s="3">
        <v>287.82</v>
      </c>
      <c r="AD12" s="4">
        <v>0</v>
      </c>
      <c r="AE12" s="3">
        <v>0</v>
      </c>
      <c r="AF12" s="3">
        <v>287.82</v>
      </c>
      <c r="AK12" s="1">
        <v>4788181</v>
      </c>
    </row>
    <row r="13" spans="1:38" x14ac:dyDescent="0.25">
      <c r="A13" s="2">
        <v>45637</v>
      </c>
      <c r="B13" s="2">
        <v>45637</v>
      </c>
      <c r="C13" s="1" t="s">
        <v>38</v>
      </c>
      <c r="D13" s="1" t="s">
        <v>39</v>
      </c>
      <c r="E13" s="1" t="s">
        <v>40</v>
      </c>
      <c r="F13" s="1">
        <v>43677</v>
      </c>
      <c r="H13" s="1" t="s">
        <v>41</v>
      </c>
      <c r="I13" s="1" t="s">
        <v>79</v>
      </c>
      <c r="J13" s="1" t="s">
        <v>80</v>
      </c>
      <c r="M13" s="1" t="s">
        <v>70</v>
      </c>
      <c r="O13" s="1">
        <v>8325282</v>
      </c>
      <c r="P13" s="1" t="s">
        <v>71</v>
      </c>
      <c r="Q13" s="1" t="s">
        <v>46</v>
      </c>
      <c r="R13" s="1" t="s">
        <v>72</v>
      </c>
      <c r="S13" s="2">
        <v>45597</v>
      </c>
      <c r="U13" s="1" t="s">
        <v>48</v>
      </c>
      <c r="X13" s="1" t="s">
        <v>49</v>
      </c>
      <c r="Y13" s="3">
        <v>0</v>
      </c>
      <c r="Z13" s="3">
        <v>31.98</v>
      </c>
      <c r="AA13" s="1">
        <v>9</v>
      </c>
      <c r="AB13" s="4">
        <v>1</v>
      </c>
      <c r="AC13" s="3">
        <v>287.82</v>
      </c>
      <c r="AD13" s="4">
        <v>0</v>
      </c>
      <c r="AE13" s="3">
        <v>0</v>
      </c>
      <c r="AF13" s="3">
        <v>287.82</v>
      </c>
      <c r="AK13" s="1">
        <v>4788182</v>
      </c>
    </row>
    <row r="14" spans="1:38" x14ac:dyDescent="0.25">
      <c r="A14" s="2">
        <v>45637</v>
      </c>
      <c r="B14" s="2">
        <v>45637</v>
      </c>
      <c r="C14" s="1" t="s">
        <v>38</v>
      </c>
      <c r="D14" s="1" t="s">
        <v>39</v>
      </c>
      <c r="E14" s="1" t="s">
        <v>40</v>
      </c>
      <c r="F14" s="1">
        <v>43677</v>
      </c>
      <c r="H14" s="1" t="s">
        <v>41</v>
      </c>
      <c r="I14" s="1" t="s">
        <v>81</v>
      </c>
      <c r="J14" s="1" t="s">
        <v>82</v>
      </c>
      <c r="M14" s="1" t="s">
        <v>70</v>
      </c>
      <c r="O14" s="1">
        <v>8325282</v>
      </c>
      <c r="P14" s="1" t="s">
        <v>71</v>
      </c>
      <c r="Q14" s="1" t="s">
        <v>46</v>
      </c>
      <c r="R14" s="1" t="s">
        <v>72</v>
      </c>
      <c r="S14" s="2">
        <v>45597</v>
      </c>
      <c r="U14" s="1" t="s">
        <v>48</v>
      </c>
      <c r="X14" s="1" t="s">
        <v>49</v>
      </c>
      <c r="Y14" s="3">
        <v>0</v>
      </c>
      <c r="Z14" s="3">
        <v>31.98</v>
      </c>
      <c r="AA14" s="1">
        <v>9</v>
      </c>
      <c r="AB14" s="4">
        <v>1</v>
      </c>
      <c r="AC14" s="3">
        <v>287.82</v>
      </c>
      <c r="AD14" s="4">
        <v>0</v>
      </c>
      <c r="AE14" s="3">
        <v>0</v>
      </c>
      <c r="AF14" s="3">
        <v>287.82</v>
      </c>
      <c r="AK14" s="1">
        <v>4788183</v>
      </c>
    </row>
    <row r="15" spans="1:38" x14ac:dyDescent="0.25">
      <c r="A15" s="2">
        <v>45637</v>
      </c>
      <c r="B15" s="2">
        <v>45637</v>
      </c>
      <c r="C15" s="1" t="s">
        <v>38</v>
      </c>
      <c r="D15" s="1" t="s">
        <v>39</v>
      </c>
      <c r="E15" s="1" t="s">
        <v>40</v>
      </c>
      <c r="F15" s="1">
        <v>43677</v>
      </c>
      <c r="H15" s="1" t="s">
        <v>41</v>
      </c>
      <c r="I15" s="1" t="s">
        <v>83</v>
      </c>
      <c r="J15" s="1" t="s">
        <v>84</v>
      </c>
      <c r="M15" s="1" t="s">
        <v>70</v>
      </c>
      <c r="O15" s="1">
        <v>8325282</v>
      </c>
      <c r="P15" s="1" t="s">
        <v>71</v>
      </c>
      <c r="Q15" s="1" t="s">
        <v>46</v>
      </c>
      <c r="R15" s="1" t="s">
        <v>72</v>
      </c>
      <c r="S15" s="2">
        <v>45658</v>
      </c>
      <c r="U15" s="1" t="s">
        <v>48</v>
      </c>
      <c r="X15" s="1" t="s">
        <v>49</v>
      </c>
      <c r="Y15" s="3">
        <v>0</v>
      </c>
      <c r="Z15" s="3">
        <v>31.98</v>
      </c>
      <c r="AA15" s="1">
        <v>9</v>
      </c>
      <c r="AB15" s="4">
        <v>1</v>
      </c>
      <c r="AC15" s="3">
        <v>287.82</v>
      </c>
      <c r="AD15" s="4">
        <v>0</v>
      </c>
      <c r="AE15" s="3">
        <v>0</v>
      </c>
      <c r="AF15" s="3">
        <v>287.82</v>
      </c>
      <c r="AK15" s="1">
        <v>4788191</v>
      </c>
    </row>
    <row r="16" spans="1:38" x14ac:dyDescent="0.25">
      <c r="A16" s="2">
        <v>45637</v>
      </c>
      <c r="B16" s="2">
        <v>45637</v>
      </c>
      <c r="C16" s="1" t="s">
        <v>38</v>
      </c>
      <c r="D16" s="1" t="s">
        <v>39</v>
      </c>
      <c r="E16" s="1" t="s">
        <v>40</v>
      </c>
      <c r="F16" s="1">
        <v>43677</v>
      </c>
      <c r="H16" s="1" t="s">
        <v>41</v>
      </c>
      <c r="I16" s="1" t="s">
        <v>85</v>
      </c>
      <c r="J16" s="1" t="s">
        <v>86</v>
      </c>
      <c r="M16" s="1" t="s">
        <v>70</v>
      </c>
      <c r="O16" s="1">
        <v>8325282</v>
      </c>
      <c r="P16" s="1" t="s">
        <v>71</v>
      </c>
      <c r="Q16" s="1" t="s">
        <v>46</v>
      </c>
      <c r="R16" s="1" t="s">
        <v>72</v>
      </c>
      <c r="S16" s="2">
        <v>45658</v>
      </c>
      <c r="U16" s="1" t="s">
        <v>48</v>
      </c>
      <c r="X16" s="1" t="s">
        <v>49</v>
      </c>
      <c r="Y16" s="3">
        <v>0</v>
      </c>
      <c r="Z16" s="3">
        <v>31.98</v>
      </c>
      <c r="AA16" s="1">
        <v>9</v>
      </c>
      <c r="AB16" s="4">
        <v>1</v>
      </c>
      <c r="AC16" s="3">
        <v>287.82</v>
      </c>
      <c r="AD16" s="4">
        <v>0</v>
      </c>
      <c r="AE16" s="3">
        <v>0</v>
      </c>
      <c r="AF16" s="3">
        <v>287.82</v>
      </c>
      <c r="AK16" s="1">
        <v>4788192</v>
      </c>
    </row>
    <row r="17" spans="1:37" x14ac:dyDescent="0.25">
      <c r="A17" s="2">
        <v>45637</v>
      </c>
      <c r="B17" s="2">
        <v>45637</v>
      </c>
      <c r="C17" s="1" t="s">
        <v>38</v>
      </c>
      <c r="D17" s="1" t="s">
        <v>39</v>
      </c>
      <c r="E17" s="1" t="s">
        <v>40</v>
      </c>
      <c r="F17" s="1">
        <v>43677</v>
      </c>
      <c r="H17" s="1" t="s">
        <v>41</v>
      </c>
      <c r="I17" s="1" t="s">
        <v>87</v>
      </c>
      <c r="J17" s="1" t="s">
        <v>88</v>
      </c>
      <c r="M17" s="1" t="s">
        <v>70</v>
      </c>
      <c r="O17" s="1">
        <v>8325282</v>
      </c>
      <c r="P17" s="1" t="s">
        <v>71</v>
      </c>
      <c r="Q17" s="1" t="s">
        <v>46</v>
      </c>
      <c r="R17" s="1" t="s">
        <v>72</v>
      </c>
      <c r="S17" s="2">
        <v>45597</v>
      </c>
      <c r="U17" s="1" t="s">
        <v>48</v>
      </c>
      <c r="X17" s="1" t="s">
        <v>49</v>
      </c>
      <c r="Y17" s="3">
        <v>0</v>
      </c>
      <c r="Z17" s="3">
        <v>31.98</v>
      </c>
      <c r="AA17" s="1">
        <v>9</v>
      </c>
      <c r="AB17" s="4">
        <v>1</v>
      </c>
      <c r="AC17" s="3">
        <v>287.82</v>
      </c>
      <c r="AD17" s="4">
        <v>0</v>
      </c>
      <c r="AE17" s="3">
        <v>0</v>
      </c>
      <c r="AF17" s="3">
        <v>287.82</v>
      </c>
      <c r="AK17" s="1">
        <v>4788193</v>
      </c>
    </row>
    <row r="18" spans="1:37" x14ac:dyDescent="0.25">
      <c r="A18" s="2">
        <v>45637</v>
      </c>
      <c r="B18" s="2">
        <v>45637</v>
      </c>
      <c r="C18" s="1" t="s">
        <v>38</v>
      </c>
      <c r="D18" s="1" t="s">
        <v>39</v>
      </c>
      <c r="E18" s="1" t="s">
        <v>40</v>
      </c>
      <c r="F18" s="1">
        <v>43677</v>
      </c>
      <c r="H18" s="1" t="s">
        <v>41</v>
      </c>
      <c r="I18" s="1" t="s">
        <v>89</v>
      </c>
      <c r="J18" s="1" t="s">
        <v>90</v>
      </c>
      <c r="M18" s="1" t="s">
        <v>70</v>
      </c>
      <c r="O18" s="1">
        <v>8325282</v>
      </c>
      <c r="P18" s="1" t="s">
        <v>71</v>
      </c>
      <c r="Q18" s="1" t="s">
        <v>46</v>
      </c>
      <c r="R18" s="1" t="s">
        <v>72</v>
      </c>
      <c r="S18" s="2">
        <v>45627</v>
      </c>
      <c r="U18" s="1" t="s">
        <v>48</v>
      </c>
      <c r="X18" s="1" t="s">
        <v>49</v>
      </c>
      <c r="Y18" s="3">
        <v>0</v>
      </c>
      <c r="Z18" s="3">
        <v>31.98</v>
      </c>
      <c r="AA18" s="1">
        <v>9</v>
      </c>
      <c r="AB18" s="4">
        <v>1</v>
      </c>
      <c r="AC18" s="3">
        <v>287.82</v>
      </c>
      <c r="AD18" s="4">
        <v>0</v>
      </c>
      <c r="AE18" s="3">
        <v>0</v>
      </c>
      <c r="AF18" s="3">
        <v>287.82</v>
      </c>
      <c r="AK18" s="1">
        <v>4788198</v>
      </c>
    </row>
    <row r="19" spans="1:37" x14ac:dyDescent="0.25">
      <c r="A19" s="2">
        <v>45637</v>
      </c>
      <c r="B19" s="2">
        <v>45637</v>
      </c>
      <c r="C19" s="1" t="s">
        <v>38</v>
      </c>
      <c r="D19" s="1" t="s">
        <v>39</v>
      </c>
      <c r="E19" s="1" t="s">
        <v>40</v>
      </c>
      <c r="F19" s="1">
        <v>43677</v>
      </c>
      <c r="H19" s="1" t="s">
        <v>41</v>
      </c>
      <c r="I19" s="1" t="s">
        <v>91</v>
      </c>
      <c r="J19" s="1" t="s">
        <v>92</v>
      </c>
      <c r="M19" s="1" t="s">
        <v>70</v>
      </c>
      <c r="O19" s="1">
        <v>8325282</v>
      </c>
      <c r="P19" s="1" t="s">
        <v>71</v>
      </c>
      <c r="Q19" s="1" t="s">
        <v>46</v>
      </c>
      <c r="R19" s="1" t="s">
        <v>72</v>
      </c>
      <c r="S19" s="2">
        <v>45627</v>
      </c>
      <c r="U19" s="1" t="s">
        <v>48</v>
      </c>
      <c r="X19" s="1" t="s">
        <v>49</v>
      </c>
      <c r="Y19" s="3">
        <v>0</v>
      </c>
      <c r="Z19" s="3">
        <v>31.98</v>
      </c>
      <c r="AA19" s="1">
        <v>9</v>
      </c>
      <c r="AB19" s="4">
        <v>1</v>
      </c>
      <c r="AC19" s="3">
        <v>287.82</v>
      </c>
      <c r="AD19" s="4">
        <v>0</v>
      </c>
      <c r="AE19" s="3">
        <v>0</v>
      </c>
      <c r="AF19" s="3">
        <v>287.82</v>
      </c>
      <c r="AK19" s="1">
        <v>4788203</v>
      </c>
    </row>
    <row r="20" spans="1:37" x14ac:dyDescent="0.25">
      <c r="A20" s="2">
        <v>45637</v>
      </c>
      <c r="B20" s="2">
        <v>45637</v>
      </c>
      <c r="C20" s="1" t="s">
        <v>38</v>
      </c>
      <c r="D20" s="1" t="s">
        <v>39</v>
      </c>
      <c r="E20" s="1" t="s">
        <v>40</v>
      </c>
      <c r="F20" s="1">
        <v>43677</v>
      </c>
      <c r="H20" s="1" t="s">
        <v>41</v>
      </c>
      <c r="I20" s="1" t="s">
        <v>93</v>
      </c>
      <c r="J20" s="1" t="s">
        <v>94</v>
      </c>
      <c r="M20" s="1" t="s">
        <v>70</v>
      </c>
      <c r="O20" s="1">
        <v>8325282</v>
      </c>
      <c r="P20" s="1" t="s">
        <v>71</v>
      </c>
      <c r="Q20" s="1" t="s">
        <v>46</v>
      </c>
      <c r="R20" s="1" t="s">
        <v>72</v>
      </c>
      <c r="S20" s="2">
        <v>45627</v>
      </c>
      <c r="U20" s="1" t="s">
        <v>48</v>
      </c>
      <c r="X20" s="1" t="s">
        <v>49</v>
      </c>
      <c r="Y20" s="3">
        <v>0</v>
      </c>
      <c r="Z20" s="3">
        <v>31.98</v>
      </c>
      <c r="AA20" s="1">
        <v>9</v>
      </c>
      <c r="AB20" s="4">
        <v>1</v>
      </c>
      <c r="AC20" s="3">
        <v>287.82</v>
      </c>
      <c r="AD20" s="4">
        <v>0</v>
      </c>
      <c r="AE20" s="3">
        <v>0</v>
      </c>
      <c r="AF20" s="3">
        <v>287.82</v>
      </c>
      <c r="AK20" s="1">
        <v>4788204</v>
      </c>
    </row>
    <row r="21" spans="1:37" ht="15.75" customHeight="1" x14ac:dyDescent="0.25">
      <c r="A21" s="2">
        <v>45637</v>
      </c>
      <c r="B21" s="2">
        <v>45637</v>
      </c>
      <c r="C21" s="1" t="s">
        <v>38</v>
      </c>
      <c r="D21" s="1" t="s">
        <v>39</v>
      </c>
      <c r="E21" s="1" t="s">
        <v>40</v>
      </c>
      <c r="F21" s="1">
        <v>43677</v>
      </c>
      <c r="H21" s="1" t="s">
        <v>41</v>
      </c>
      <c r="I21" s="1" t="s">
        <v>95</v>
      </c>
      <c r="J21" s="1" t="s">
        <v>96</v>
      </c>
      <c r="M21" s="1" t="s">
        <v>70</v>
      </c>
      <c r="O21" s="1">
        <v>8325282</v>
      </c>
      <c r="P21" s="1" t="s">
        <v>71</v>
      </c>
      <c r="Q21" s="1" t="s">
        <v>46</v>
      </c>
      <c r="R21" s="1" t="s">
        <v>72</v>
      </c>
      <c r="S21" s="2">
        <v>45658</v>
      </c>
      <c r="U21" s="1" t="s">
        <v>48</v>
      </c>
      <c r="X21" s="1" t="s">
        <v>49</v>
      </c>
      <c r="Y21" s="3">
        <v>0</v>
      </c>
      <c r="Z21" s="3">
        <v>31.98</v>
      </c>
      <c r="AA21" s="1">
        <v>9</v>
      </c>
      <c r="AB21" s="4">
        <v>1</v>
      </c>
      <c r="AC21" s="3">
        <v>287.82</v>
      </c>
      <c r="AD21" s="4">
        <v>0</v>
      </c>
      <c r="AE21" s="3">
        <v>0</v>
      </c>
      <c r="AF21" s="3">
        <v>287.82</v>
      </c>
      <c r="AK21" s="1">
        <v>4788207</v>
      </c>
    </row>
    <row r="22" spans="1:37" ht="15.75" customHeight="1" x14ac:dyDescent="0.25">
      <c r="A22" s="2">
        <v>45637</v>
      </c>
      <c r="B22" s="2">
        <v>45637</v>
      </c>
      <c r="C22" s="1" t="s">
        <v>38</v>
      </c>
      <c r="D22" s="1" t="s">
        <v>39</v>
      </c>
      <c r="E22" s="1" t="s">
        <v>40</v>
      </c>
      <c r="F22" s="1">
        <v>43677</v>
      </c>
      <c r="H22" s="1" t="s">
        <v>41</v>
      </c>
      <c r="I22" s="1" t="s">
        <v>97</v>
      </c>
      <c r="J22" s="1" t="s">
        <v>98</v>
      </c>
      <c r="M22" s="1" t="s">
        <v>70</v>
      </c>
      <c r="O22" s="1">
        <v>8325282</v>
      </c>
      <c r="P22" s="1" t="s">
        <v>71</v>
      </c>
      <c r="Q22" s="1" t="s">
        <v>46</v>
      </c>
      <c r="R22" s="1" t="s">
        <v>72</v>
      </c>
      <c r="S22" s="2">
        <v>45627</v>
      </c>
      <c r="U22" s="1" t="s">
        <v>48</v>
      </c>
      <c r="X22" s="1" t="s">
        <v>49</v>
      </c>
      <c r="Y22" s="3">
        <v>0</v>
      </c>
      <c r="Z22" s="3">
        <v>31.98</v>
      </c>
      <c r="AA22" s="1">
        <v>9</v>
      </c>
      <c r="AB22" s="4">
        <v>1</v>
      </c>
      <c r="AC22" s="3">
        <v>287.82</v>
      </c>
      <c r="AD22" s="4">
        <v>0</v>
      </c>
      <c r="AE22" s="3">
        <v>0</v>
      </c>
      <c r="AF22" s="3">
        <v>287.82</v>
      </c>
      <c r="AK22" s="1">
        <v>4788208</v>
      </c>
    </row>
    <row r="23" spans="1:37" ht="15.75" customHeight="1" x14ac:dyDescent="0.25">
      <c r="A23" s="2">
        <v>45637</v>
      </c>
      <c r="B23" s="2">
        <v>45637</v>
      </c>
      <c r="C23" s="1" t="s">
        <v>38</v>
      </c>
      <c r="D23" s="1" t="s">
        <v>39</v>
      </c>
      <c r="E23" s="1" t="s">
        <v>40</v>
      </c>
      <c r="F23" s="1">
        <v>43677</v>
      </c>
      <c r="H23" s="1" t="s">
        <v>41</v>
      </c>
      <c r="I23" s="1" t="s">
        <v>99</v>
      </c>
      <c r="J23" s="1" t="s">
        <v>100</v>
      </c>
      <c r="M23" s="1" t="s">
        <v>70</v>
      </c>
      <c r="O23" s="1">
        <v>8814784</v>
      </c>
      <c r="P23" s="1" t="s">
        <v>101</v>
      </c>
      <c r="Q23" s="1" t="s">
        <v>46</v>
      </c>
      <c r="R23" s="1" t="s">
        <v>72</v>
      </c>
      <c r="S23" s="2">
        <v>45566</v>
      </c>
      <c r="U23" s="1" t="s">
        <v>48</v>
      </c>
      <c r="X23" s="1" t="s">
        <v>49</v>
      </c>
      <c r="Y23" s="3">
        <v>0</v>
      </c>
      <c r="Z23" s="3">
        <v>31.98</v>
      </c>
      <c r="AA23" s="1">
        <v>9</v>
      </c>
      <c r="AB23" s="4">
        <v>1</v>
      </c>
      <c r="AC23" s="3">
        <v>287.82</v>
      </c>
      <c r="AD23" s="4">
        <v>0</v>
      </c>
      <c r="AE23" s="3">
        <v>0</v>
      </c>
      <c r="AF23" s="3">
        <v>287.82</v>
      </c>
      <c r="AK23" s="1">
        <v>4788161</v>
      </c>
    </row>
    <row r="24" spans="1:37" ht="15.75" customHeight="1" x14ac:dyDescent="0.25">
      <c r="A24" s="2">
        <v>45637</v>
      </c>
      <c r="B24" s="2">
        <v>45637</v>
      </c>
      <c r="C24" s="1" t="s">
        <v>38</v>
      </c>
      <c r="D24" s="1" t="s">
        <v>39</v>
      </c>
      <c r="E24" s="1" t="s">
        <v>40</v>
      </c>
      <c r="F24" s="1">
        <v>43677</v>
      </c>
      <c r="H24" s="1" t="s">
        <v>41</v>
      </c>
      <c r="I24" s="1" t="s">
        <v>102</v>
      </c>
      <c r="J24" s="1" t="s">
        <v>103</v>
      </c>
      <c r="M24" s="1" t="s">
        <v>70</v>
      </c>
      <c r="O24" s="1">
        <v>9213293</v>
      </c>
      <c r="P24" s="1" t="s">
        <v>104</v>
      </c>
      <c r="Q24" s="1" t="s">
        <v>46</v>
      </c>
      <c r="R24" s="1" t="s">
        <v>72</v>
      </c>
      <c r="S24" s="2">
        <v>45505</v>
      </c>
      <c r="U24" s="1" t="s">
        <v>48</v>
      </c>
      <c r="X24" s="1" t="s">
        <v>49</v>
      </c>
      <c r="Y24" s="3">
        <v>0</v>
      </c>
      <c r="Z24" s="3">
        <v>31.98</v>
      </c>
      <c r="AA24" s="1">
        <v>9</v>
      </c>
      <c r="AB24" s="4">
        <v>1</v>
      </c>
      <c r="AC24" s="3">
        <v>287.82</v>
      </c>
      <c r="AD24" s="4">
        <v>0</v>
      </c>
      <c r="AE24" s="3">
        <v>0</v>
      </c>
      <c r="AF24" s="3">
        <v>287.82</v>
      </c>
      <c r="AK24" s="1">
        <v>4788158</v>
      </c>
    </row>
    <row r="25" spans="1:37" ht="15.75" customHeight="1" x14ac:dyDescent="0.25">
      <c r="A25" s="2">
        <v>45637</v>
      </c>
      <c r="B25" s="2">
        <v>45637</v>
      </c>
      <c r="C25" s="1" t="s">
        <v>38</v>
      </c>
      <c r="D25" s="1" t="s">
        <v>39</v>
      </c>
      <c r="E25" s="1" t="s">
        <v>40</v>
      </c>
      <c r="F25" s="1">
        <v>43677</v>
      </c>
      <c r="H25" s="1" t="s">
        <v>41</v>
      </c>
      <c r="I25" s="1" t="s">
        <v>105</v>
      </c>
      <c r="J25" s="1" t="s">
        <v>106</v>
      </c>
      <c r="M25" s="1" t="s">
        <v>70</v>
      </c>
      <c r="O25" s="1">
        <v>9213293</v>
      </c>
      <c r="P25" s="1" t="s">
        <v>104</v>
      </c>
      <c r="Q25" s="1" t="s">
        <v>46</v>
      </c>
      <c r="R25" s="1" t="s">
        <v>72</v>
      </c>
      <c r="S25" s="2">
        <v>45566</v>
      </c>
      <c r="U25" s="1" t="s">
        <v>48</v>
      </c>
      <c r="X25" s="1" t="s">
        <v>49</v>
      </c>
      <c r="Y25" s="3">
        <v>0</v>
      </c>
      <c r="Z25" s="3">
        <v>31.98</v>
      </c>
      <c r="AA25" s="1">
        <v>9</v>
      </c>
      <c r="AB25" s="4">
        <v>1</v>
      </c>
      <c r="AC25" s="3">
        <v>287.82</v>
      </c>
      <c r="AD25" s="4">
        <v>0</v>
      </c>
      <c r="AE25" s="3">
        <v>0</v>
      </c>
      <c r="AF25" s="3">
        <v>287.82</v>
      </c>
      <c r="AK25" s="1">
        <v>4788163</v>
      </c>
    </row>
    <row r="26" spans="1:37" ht="15.75" customHeight="1" x14ac:dyDescent="0.25">
      <c r="A26" s="2">
        <v>45637</v>
      </c>
      <c r="B26" s="2">
        <v>45637</v>
      </c>
      <c r="C26" s="1" t="s">
        <v>38</v>
      </c>
      <c r="D26" s="1" t="s">
        <v>39</v>
      </c>
      <c r="E26" s="1" t="s">
        <v>40</v>
      </c>
      <c r="F26" s="1">
        <v>43677</v>
      </c>
      <c r="H26" s="1" t="s">
        <v>41</v>
      </c>
      <c r="I26" s="1" t="s">
        <v>107</v>
      </c>
      <c r="J26" s="1" t="s">
        <v>108</v>
      </c>
      <c r="M26" s="1" t="s">
        <v>70</v>
      </c>
      <c r="O26" s="1">
        <v>9213293</v>
      </c>
      <c r="P26" s="1" t="s">
        <v>104</v>
      </c>
      <c r="Q26" s="1" t="s">
        <v>46</v>
      </c>
      <c r="R26" s="1" t="s">
        <v>72</v>
      </c>
      <c r="S26" s="2">
        <v>45627</v>
      </c>
      <c r="U26" s="1" t="s">
        <v>48</v>
      </c>
      <c r="X26" s="1" t="s">
        <v>49</v>
      </c>
      <c r="Y26" s="3">
        <v>0</v>
      </c>
      <c r="Z26" s="3">
        <v>31.98</v>
      </c>
      <c r="AA26" s="1">
        <v>9</v>
      </c>
      <c r="AB26" s="4">
        <v>1</v>
      </c>
      <c r="AC26" s="3">
        <v>287.82</v>
      </c>
      <c r="AD26" s="4">
        <v>0</v>
      </c>
      <c r="AE26" s="3">
        <v>0</v>
      </c>
      <c r="AF26" s="3">
        <v>287.82</v>
      </c>
      <c r="AK26" s="1">
        <v>4788176</v>
      </c>
    </row>
    <row r="27" spans="1:37" ht="15.75" customHeight="1" x14ac:dyDescent="0.25">
      <c r="A27" s="2">
        <v>45637</v>
      </c>
      <c r="B27" s="2">
        <v>45637</v>
      </c>
      <c r="C27" s="1" t="s">
        <v>38</v>
      </c>
      <c r="D27" s="1" t="s">
        <v>39</v>
      </c>
      <c r="E27" s="1" t="s">
        <v>40</v>
      </c>
      <c r="F27" s="1">
        <v>43677</v>
      </c>
      <c r="H27" s="1" t="s">
        <v>41</v>
      </c>
      <c r="I27" s="1" t="s">
        <v>109</v>
      </c>
      <c r="J27" s="1" t="s">
        <v>110</v>
      </c>
      <c r="M27" s="1" t="s">
        <v>70</v>
      </c>
      <c r="O27" s="1">
        <v>9213293</v>
      </c>
      <c r="P27" s="1" t="s">
        <v>104</v>
      </c>
      <c r="Q27" s="1" t="s">
        <v>46</v>
      </c>
      <c r="R27" s="1" t="s">
        <v>72</v>
      </c>
      <c r="S27" s="2">
        <v>45597</v>
      </c>
      <c r="U27" s="1" t="s">
        <v>48</v>
      </c>
      <c r="X27" s="1" t="s">
        <v>49</v>
      </c>
      <c r="Y27" s="3">
        <v>0</v>
      </c>
      <c r="Z27" s="3">
        <v>31.98</v>
      </c>
      <c r="AA27" s="1">
        <v>9</v>
      </c>
      <c r="AB27" s="4">
        <v>1</v>
      </c>
      <c r="AC27" s="3">
        <v>287.82</v>
      </c>
      <c r="AD27" s="4">
        <v>0</v>
      </c>
      <c r="AE27" s="3">
        <v>0</v>
      </c>
      <c r="AF27" s="3">
        <v>287.82</v>
      </c>
      <c r="AK27" s="1">
        <v>4788177</v>
      </c>
    </row>
    <row r="28" spans="1:37" ht="15.75" customHeight="1" x14ac:dyDescent="0.25">
      <c r="A28" s="2">
        <v>45637</v>
      </c>
      <c r="B28" s="2">
        <v>45637</v>
      </c>
      <c r="C28" s="1" t="s">
        <v>38</v>
      </c>
      <c r="D28" s="1" t="s">
        <v>39</v>
      </c>
      <c r="E28" s="1" t="s">
        <v>40</v>
      </c>
      <c r="F28" s="1">
        <v>43677</v>
      </c>
      <c r="H28" s="1" t="s">
        <v>41</v>
      </c>
      <c r="I28" s="1" t="s">
        <v>111</v>
      </c>
      <c r="J28" s="1" t="s">
        <v>104</v>
      </c>
      <c r="M28" s="1" t="s">
        <v>70</v>
      </c>
      <c r="O28" s="1">
        <v>9213293</v>
      </c>
      <c r="P28" s="1" t="s">
        <v>104</v>
      </c>
      <c r="Q28" s="1" t="s">
        <v>46</v>
      </c>
      <c r="R28" s="1" t="s">
        <v>72</v>
      </c>
      <c r="S28" s="2">
        <v>45658</v>
      </c>
      <c r="U28" s="1" t="s">
        <v>48</v>
      </c>
      <c r="X28" s="1" t="s">
        <v>49</v>
      </c>
      <c r="Y28" s="3">
        <v>0</v>
      </c>
      <c r="Z28" s="3">
        <v>31.98</v>
      </c>
      <c r="AA28" s="1">
        <v>9</v>
      </c>
      <c r="AB28" s="4">
        <v>1</v>
      </c>
      <c r="AC28" s="3">
        <v>287.82</v>
      </c>
      <c r="AD28" s="4">
        <v>0</v>
      </c>
      <c r="AE28" s="3">
        <v>0</v>
      </c>
      <c r="AF28" s="3">
        <v>287.82</v>
      </c>
      <c r="AK28" s="1">
        <v>4788188</v>
      </c>
    </row>
    <row r="29" spans="1:37" ht="15.75" customHeight="1" x14ac:dyDescent="0.25">
      <c r="A29" s="2">
        <v>45637</v>
      </c>
      <c r="B29" s="2">
        <v>45637</v>
      </c>
      <c r="C29" s="1" t="s">
        <v>38</v>
      </c>
      <c r="D29" s="1" t="s">
        <v>39</v>
      </c>
      <c r="E29" s="1" t="s">
        <v>40</v>
      </c>
      <c r="F29" s="1">
        <v>43677</v>
      </c>
      <c r="H29" s="1" t="s">
        <v>41</v>
      </c>
      <c r="I29" s="1" t="s">
        <v>112</v>
      </c>
      <c r="J29" s="1" t="s">
        <v>113</v>
      </c>
      <c r="M29" s="1" t="s">
        <v>70</v>
      </c>
      <c r="O29" s="1">
        <v>9213293</v>
      </c>
      <c r="P29" s="1" t="s">
        <v>104</v>
      </c>
      <c r="Q29" s="1" t="s">
        <v>46</v>
      </c>
      <c r="R29" s="1" t="s">
        <v>72</v>
      </c>
      <c r="S29" s="2">
        <v>45658</v>
      </c>
      <c r="U29" s="1" t="s">
        <v>48</v>
      </c>
      <c r="X29" s="1" t="s">
        <v>49</v>
      </c>
      <c r="Y29" s="3">
        <v>0</v>
      </c>
      <c r="Z29" s="3">
        <v>31.98</v>
      </c>
      <c r="AA29" s="1">
        <v>9</v>
      </c>
      <c r="AB29" s="4">
        <v>1</v>
      </c>
      <c r="AC29" s="3">
        <v>287.82</v>
      </c>
      <c r="AD29" s="4">
        <v>0</v>
      </c>
      <c r="AE29" s="3">
        <v>0</v>
      </c>
      <c r="AF29" s="3">
        <v>287.82</v>
      </c>
      <c r="AK29" s="1">
        <v>4788194</v>
      </c>
    </row>
    <row r="30" spans="1:37" ht="15.75" customHeight="1" x14ac:dyDescent="0.25">
      <c r="A30" s="2">
        <v>45637</v>
      </c>
      <c r="B30" s="2">
        <v>45637</v>
      </c>
      <c r="C30" s="1" t="s">
        <v>38</v>
      </c>
      <c r="D30" s="1" t="s">
        <v>39</v>
      </c>
      <c r="E30" s="1" t="s">
        <v>40</v>
      </c>
      <c r="F30" s="1">
        <v>43677</v>
      </c>
      <c r="H30" s="1" t="s">
        <v>41</v>
      </c>
      <c r="I30" s="1" t="s">
        <v>114</v>
      </c>
      <c r="J30" s="1" t="s">
        <v>115</v>
      </c>
      <c r="M30" s="1" t="s">
        <v>70</v>
      </c>
      <c r="O30" s="1">
        <v>9213293</v>
      </c>
      <c r="P30" s="1" t="s">
        <v>104</v>
      </c>
      <c r="Q30" s="1" t="s">
        <v>46</v>
      </c>
      <c r="R30" s="1" t="s">
        <v>72</v>
      </c>
      <c r="S30" s="2">
        <v>45658</v>
      </c>
      <c r="U30" s="1" t="s">
        <v>48</v>
      </c>
      <c r="X30" s="1" t="s">
        <v>49</v>
      </c>
      <c r="Y30" s="3">
        <v>0</v>
      </c>
      <c r="Z30" s="3">
        <v>31.98</v>
      </c>
      <c r="AA30" s="1">
        <v>9</v>
      </c>
      <c r="AB30" s="4">
        <v>1</v>
      </c>
      <c r="AC30" s="3">
        <v>287.82</v>
      </c>
      <c r="AD30" s="4">
        <v>0</v>
      </c>
      <c r="AE30" s="3">
        <v>0</v>
      </c>
      <c r="AF30" s="3">
        <v>287.82</v>
      </c>
      <c r="AK30" s="1">
        <v>4788195</v>
      </c>
    </row>
    <row r="31" spans="1:37" ht="15.75" customHeight="1" x14ac:dyDescent="0.25">
      <c r="A31" s="2">
        <v>45637</v>
      </c>
      <c r="B31" s="2">
        <v>45637</v>
      </c>
      <c r="C31" s="1" t="s">
        <v>38</v>
      </c>
      <c r="D31" s="1" t="s">
        <v>39</v>
      </c>
      <c r="E31" s="1" t="s">
        <v>40</v>
      </c>
      <c r="F31" s="1">
        <v>43677</v>
      </c>
      <c r="H31" s="1" t="s">
        <v>41</v>
      </c>
      <c r="I31" s="1" t="s">
        <v>116</v>
      </c>
      <c r="J31" s="1" t="s">
        <v>117</v>
      </c>
      <c r="M31" s="1" t="s">
        <v>70</v>
      </c>
      <c r="O31" s="1">
        <v>9213293</v>
      </c>
      <c r="P31" s="1" t="s">
        <v>104</v>
      </c>
      <c r="Q31" s="1" t="s">
        <v>46</v>
      </c>
      <c r="R31" s="1" t="s">
        <v>72</v>
      </c>
      <c r="S31" s="2">
        <v>45627</v>
      </c>
      <c r="U31" s="1" t="s">
        <v>48</v>
      </c>
      <c r="X31" s="1" t="s">
        <v>49</v>
      </c>
      <c r="Y31" s="3">
        <v>0</v>
      </c>
      <c r="Z31" s="3">
        <v>31.98</v>
      </c>
      <c r="AA31" s="1">
        <v>9</v>
      </c>
      <c r="AB31" s="4">
        <v>1</v>
      </c>
      <c r="AC31" s="3">
        <v>287.82</v>
      </c>
      <c r="AD31" s="4">
        <v>0</v>
      </c>
      <c r="AE31" s="3">
        <v>0</v>
      </c>
      <c r="AF31" s="3">
        <v>287.82</v>
      </c>
      <c r="AK31" s="1">
        <v>4788197</v>
      </c>
    </row>
    <row r="32" spans="1:37" ht="15.75" customHeight="1" x14ac:dyDescent="0.25">
      <c r="A32" s="2">
        <v>45637</v>
      </c>
      <c r="B32" s="2">
        <v>45637</v>
      </c>
      <c r="C32" s="1" t="s">
        <v>38</v>
      </c>
      <c r="D32" s="1" t="s">
        <v>39</v>
      </c>
      <c r="E32" s="1" t="s">
        <v>40</v>
      </c>
      <c r="F32" s="1">
        <v>43677</v>
      </c>
      <c r="H32" s="1" t="s">
        <v>41</v>
      </c>
      <c r="I32" s="1" t="s">
        <v>118</v>
      </c>
      <c r="J32" s="1" t="s">
        <v>119</v>
      </c>
      <c r="M32" s="1" t="s">
        <v>70</v>
      </c>
      <c r="O32" s="1">
        <v>18754354</v>
      </c>
      <c r="P32" s="1" t="s">
        <v>120</v>
      </c>
      <c r="Q32" s="1" t="s">
        <v>46</v>
      </c>
      <c r="R32" s="1" t="s">
        <v>72</v>
      </c>
      <c r="S32" s="2">
        <v>45536</v>
      </c>
      <c r="U32" s="1" t="s">
        <v>48</v>
      </c>
      <c r="X32" s="1" t="s">
        <v>49</v>
      </c>
      <c r="Y32" s="3">
        <v>0</v>
      </c>
      <c r="Z32" s="3">
        <v>31.98</v>
      </c>
      <c r="AA32" s="1">
        <v>9</v>
      </c>
      <c r="AB32" s="4">
        <v>1</v>
      </c>
      <c r="AC32" s="3">
        <v>287.82</v>
      </c>
      <c r="AD32" s="4">
        <v>0</v>
      </c>
      <c r="AE32" s="3">
        <v>0</v>
      </c>
      <c r="AF32" s="3">
        <v>287.82</v>
      </c>
      <c r="AK32" s="1">
        <v>4788169</v>
      </c>
    </row>
    <row r="33" spans="1:37" ht="15.75" customHeight="1" x14ac:dyDescent="0.25">
      <c r="A33" s="2">
        <v>45637</v>
      </c>
      <c r="B33" s="2">
        <v>45637</v>
      </c>
      <c r="C33" s="1" t="s">
        <v>38</v>
      </c>
      <c r="D33" s="1" t="s">
        <v>39</v>
      </c>
      <c r="E33" s="1" t="s">
        <v>40</v>
      </c>
      <c r="F33" s="1">
        <v>43677</v>
      </c>
      <c r="H33" s="1" t="s">
        <v>41</v>
      </c>
      <c r="I33" s="1" t="s">
        <v>121</v>
      </c>
      <c r="J33" s="1" t="s">
        <v>122</v>
      </c>
      <c r="M33" s="1" t="s">
        <v>70</v>
      </c>
      <c r="O33" s="1">
        <v>18754354</v>
      </c>
      <c r="P33" s="1" t="s">
        <v>120</v>
      </c>
      <c r="Q33" s="1" t="s">
        <v>46</v>
      </c>
      <c r="R33" s="1" t="s">
        <v>72</v>
      </c>
      <c r="S33" s="2">
        <v>45658</v>
      </c>
      <c r="U33" s="1" t="s">
        <v>48</v>
      </c>
      <c r="X33" s="1" t="s">
        <v>49</v>
      </c>
      <c r="Y33" s="3">
        <v>0</v>
      </c>
      <c r="Z33" s="3">
        <v>31.98</v>
      </c>
      <c r="AA33" s="1">
        <v>9</v>
      </c>
      <c r="AB33" s="4">
        <v>1</v>
      </c>
      <c r="AC33" s="3">
        <v>287.82</v>
      </c>
      <c r="AD33" s="4">
        <v>0</v>
      </c>
      <c r="AE33" s="3">
        <v>0</v>
      </c>
      <c r="AF33" s="3">
        <v>287.82</v>
      </c>
      <c r="AK33" s="1">
        <v>4788175</v>
      </c>
    </row>
    <row r="34" spans="1:37" ht="15.75" customHeight="1" x14ac:dyDescent="0.25">
      <c r="A34" s="2">
        <v>45637</v>
      </c>
      <c r="B34" s="2">
        <v>45637</v>
      </c>
      <c r="C34" s="1" t="s">
        <v>38</v>
      </c>
      <c r="D34" s="1" t="s">
        <v>39</v>
      </c>
      <c r="E34" s="1" t="s">
        <v>40</v>
      </c>
      <c r="F34" s="1">
        <v>43677</v>
      </c>
      <c r="H34" s="1" t="s">
        <v>41</v>
      </c>
      <c r="I34" s="1" t="s">
        <v>123</v>
      </c>
      <c r="J34" s="1" t="s">
        <v>124</v>
      </c>
      <c r="M34" s="1" t="s">
        <v>70</v>
      </c>
      <c r="O34" s="1">
        <v>18754354</v>
      </c>
      <c r="P34" s="1" t="s">
        <v>120</v>
      </c>
      <c r="Q34" s="1" t="s">
        <v>46</v>
      </c>
      <c r="R34" s="1" t="s">
        <v>72</v>
      </c>
      <c r="S34" s="2">
        <v>45658</v>
      </c>
      <c r="U34" s="1" t="s">
        <v>48</v>
      </c>
      <c r="X34" s="1" t="s">
        <v>49</v>
      </c>
      <c r="Y34" s="3">
        <v>0</v>
      </c>
      <c r="Z34" s="3">
        <v>31.98</v>
      </c>
      <c r="AA34" s="1">
        <v>9</v>
      </c>
      <c r="AB34" s="4">
        <v>1</v>
      </c>
      <c r="AC34" s="3">
        <v>287.82</v>
      </c>
      <c r="AD34" s="4">
        <v>0</v>
      </c>
      <c r="AE34" s="3">
        <v>0</v>
      </c>
      <c r="AF34" s="3">
        <v>287.82</v>
      </c>
      <c r="AK34" s="1">
        <v>4788179</v>
      </c>
    </row>
    <row r="35" spans="1:37" ht="15.75" customHeight="1" x14ac:dyDescent="0.25">
      <c r="A35" s="2">
        <v>45637</v>
      </c>
      <c r="B35" s="2">
        <v>45637</v>
      </c>
      <c r="C35" s="1" t="s">
        <v>38</v>
      </c>
      <c r="D35" s="1" t="s">
        <v>39</v>
      </c>
      <c r="E35" s="1" t="s">
        <v>40</v>
      </c>
      <c r="F35" s="1">
        <v>43677</v>
      </c>
      <c r="H35" s="1" t="s">
        <v>41</v>
      </c>
      <c r="I35" s="1" t="s">
        <v>125</v>
      </c>
      <c r="J35" s="1" t="s">
        <v>126</v>
      </c>
      <c r="M35" s="1" t="s">
        <v>70</v>
      </c>
      <c r="O35" s="1">
        <v>18754354</v>
      </c>
      <c r="P35" s="1" t="s">
        <v>120</v>
      </c>
      <c r="Q35" s="1" t="s">
        <v>46</v>
      </c>
      <c r="R35" s="1" t="s">
        <v>72</v>
      </c>
      <c r="S35" s="2">
        <v>45658</v>
      </c>
      <c r="U35" s="1" t="s">
        <v>48</v>
      </c>
      <c r="X35" s="1" t="s">
        <v>49</v>
      </c>
      <c r="Y35" s="3">
        <v>0</v>
      </c>
      <c r="Z35" s="3">
        <v>31.98</v>
      </c>
      <c r="AA35" s="1">
        <v>9</v>
      </c>
      <c r="AB35" s="4">
        <v>1</v>
      </c>
      <c r="AC35" s="3">
        <v>287.82</v>
      </c>
      <c r="AD35" s="4">
        <v>0</v>
      </c>
      <c r="AE35" s="3">
        <v>0</v>
      </c>
      <c r="AF35" s="3">
        <v>287.82</v>
      </c>
      <c r="AK35" s="1">
        <v>4788180</v>
      </c>
    </row>
    <row r="36" spans="1:37" ht="15.75" customHeight="1" x14ac:dyDescent="0.25">
      <c r="A36" s="2">
        <v>45637</v>
      </c>
      <c r="B36" s="2">
        <v>45637</v>
      </c>
      <c r="C36" s="1" t="s">
        <v>38</v>
      </c>
      <c r="D36" s="1" t="s">
        <v>39</v>
      </c>
      <c r="E36" s="1" t="s">
        <v>40</v>
      </c>
      <c r="F36" s="1">
        <v>43677</v>
      </c>
      <c r="H36" s="1" t="s">
        <v>41</v>
      </c>
      <c r="I36" s="1" t="s">
        <v>127</v>
      </c>
      <c r="J36" s="1" t="s">
        <v>128</v>
      </c>
      <c r="M36" s="1" t="s">
        <v>70</v>
      </c>
      <c r="O36" s="1">
        <v>19200754</v>
      </c>
      <c r="P36" s="1" t="s">
        <v>129</v>
      </c>
      <c r="Q36" s="1" t="s">
        <v>46</v>
      </c>
      <c r="R36" s="1" t="s">
        <v>72</v>
      </c>
      <c r="S36" s="2">
        <v>45597</v>
      </c>
      <c r="U36" s="1" t="s">
        <v>48</v>
      </c>
      <c r="X36" s="1" t="s">
        <v>49</v>
      </c>
      <c r="Y36" s="3">
        <v>0</v>
      </c>
      <c r="Z36" s="3">
        <v>31.98</v>
      </c>
      <c r="AA36" s="1">
        <v>9</v>
      </c>
      <c r="AB36" s="4">
        <v>1</v>
      </c>
      <c r="AC36" s="3">
        <v>287.82</v>
      </c>
      <c r="AD36" s="4">
        <v>0</v>
      </c>
      <c r="AE36" s="3">
        <v>0</v>
      </c>
      <c r="AF36" s="3">
        <v>287.82</v>
      </c>
      <c r="AK36" s="1">
        <v>4788170</v>
      </c>
    </row>
    <row r="37" spans="1:37" ht="15.75" customHeight="1" x14ac:dyDescent="0.25">
      <c r="A37" s="2">
        <v>45637</v>
      </c>
      <c r="B37" s="2">
        <v>45637</v>
      </c>
      <c r="C37" s="1" t="s">
        <v>38</v>
      </c>
      <c r="D37" s="1" t="s">
        <v>39</v>
      </c>
      <c r="E37" s="1" t="s">
        <v>40</v>
      </c>
      <c r="F37" s="1">
        <v>43677</v>
      </c>
      <c r="H37" s="1" t="s">
        <v>41</v>
      </c>
      <c r="I37" s="1" t="s">
        <v>130</v>
      </c>
      <c r="J37" s="1" t="s">
        <v>131</v>
      </c>
      <c r="M37" s="1" t="s">
        <v>70</v>
      </c>
      <c r="O37" s="1">
        <v>19200754</v>
      </c>
      <c r="P37" s="1" t="s">
        <v>129</v>
      </c>
      <c r="Q37" s="1" t="s">
        <v>46</v>
      </c>
      <c r="R37" s="1" t="s">
        <v>72</v>
      </c>
      <c r="S37" s="2">
        <v>45627</v>
      </c>
      <c r="U37" s="1" t="s">
        <v>48</v>
      </c>
      <c r="X37" s="1" t="s">
        <v>49</v>
      </c>
      <c r="Y37" s="3">
        <v>0</v>
      </c>
      <c r="Z37" s="3">
        <v>31.98</v>
      </c>
      <c r="AA37" s="1">
        <v>9</v>
      </c>
      <c r="AB37" s="4">
        <v>1</v>
      </c>
      <c r="AC37" s="3">
        <v>287.82</v>
      </c>
      <c r="AD37" s="4">
        <v>0</v>
      </c>
      <c r="AE37" s="3">
        <v>0</v>
      </c>
      <c r="AF37" s="3">
        <v>287.82</v>
      </c>
      <c r="AK37" s="1">
        <v>4788190</v>
      </c>
    </row>
    <row r="38" spans="1:37" ht="15.75" customHeight="1" x14ac:dyDescent="0.25">
      <c r="A38" s="2">
        <v>45637</v>
      </c>
      <c r="B38" s="2">
        <v>45637</v>
      </c>
      <c r="C38" s="1" t="s">
        <v>38</v>
      </c>
      <c r="D38" s="1" t="s">
        <v>39</v>
      </c>
      <c r="E38" s="1" t="s">
        <v>40</v>
      </c>
      <c r="F38" s="1">
        <v>43677</v>
      </c>
      <c r="H38" s="1" t="s">
        <v>41</v>
      </c>
      <c r="I38" s="1" t="s">
        <v>132</v>
      </c>
      <c r="J38" s="1" t="s">
        <v>133</v>
      </c>
      <c r="M38" s="1" t="s">
        <v>134</v>
      </c>
      <c r="O38" s="1">
        <v>9213293</v>
      </c>
      <c r="P38" s="1" t="s">
        <v>104</v>
      </c>
      <c r="Q38" s="1" t="s">
        <v>46</v>
      </c>
      <c r="R38" s="1" t="s">
        <v>135</v>
      </c>
      <c r="S38" s="2">
        <v>45566</v>
      </c>
      <c r="U38" s="1" t="s">
        <v>48</v>
      </c>
      <c r="X38" s="1" t="s">
        <v>49</v>
      </c>
      <c r="Y38" s="3">
        <v>0</v>
      </c>
      <c r="Z38" s="3">
        <v>33</v>
      </c>
      <c r="AA38" s="1">
        <v>9</v>
      </c>
      <c r="AB38" s="4">
        <v>1</v>
      </c>
      <c r="AC38" s="3">
        <v>297</v>
      </c>
      <c r="AD38" s="4">
        <v>0</v>
      </c>
      <c r="AE38" s="3">
        <v>0</v>
      </c>
      <c r="AF38" s="3">
        <v>297</v>
      </c>
      <c r="AK38" s="1">
        <v>4788162</v>
      </c>
    </row>
    <row r="39" spans="1:37" ht="15.75" customHeight="1" x14ac:dyDescent="0.25">
      <c r="A39" s="2">
        <v>45637</v>
      </c>
      <c r="B39" s="2">
        <v>45637</v>
      </c>
      <c r="C39" s="1" t="s">
        <v>38</v>
      </c>
      <c r="D39" s="1" t="s">
        <v>39</v>
      </c>
      <c r="E39" s="1" t="s">
        <v>40</v>
      </c>
      <c r="F39" s="1">
        <v>43677</v>
      </c>
      <c r="H39" s="1" t="s">
        <v>41</v>
      </c>
      <c r="I39" s="1" t="s">
        <v>136</v>
      </c>
      <c r="J39" s="1" t="s">
        <v>137</v>
      </c>
      <c r="M39" s="1" t="s">
        <v>138</v>
      </c>
      <c r="O39" s="1">
        <v>19278370</v>
      </c>
      <c r="P39" s="1" t="s">
        <v>139</v>
      </c>
      <c r="Q39" s="1" t="s">
        <v>46</v>
      </c>
      <c r="R39" s="1" t="s">
        <v>140</v>
      </c>
      <c r="S39" s="2">
        <v>45536</v>
      </c>
      <c r="U39" s="1" t="s">
        <v>48</v>
      </c>
      <c r="X39" s="1" t="s">
        <v>49</v>
      </c>
      <c r="Y39" s="3">
        <v>0</v>
      </c>
      <c r="Z39" s="3">
        <v>36</v>
      </c>
      <c r="AA39" s="1">
        <v>9</v>
      </c>
      <c r="AB39" s="4">
        <v>1</v>
      </c>
      <c r="AC39" s="3">
        <v>324</v>
      </c>
      <c r="AD39" s="4">
        <v>0</v>
      </c>
      <c r="AE39" s="3">
        <v>0</v>
      </c>
      <c r="AF39" s="3">
        <v>324</v>
      </c>
      <c r="AK39" s="1">
        <v>4788160</v>
      </c>
    </row>
    <row r="40" spans="1:37" ht="15.75" customHeight="1" x14ac:dyDescent="0.25">
      <c r="A40" s="2">
        <v>45637</v>
      </c>
      <c r="B40" s="2">
        <v>45637</v>
      </c>
      <c r="C40" s="1" t="s">
        <v>38</v>
      </c>
      <c r="D40" s="1" t="s">
        <v>39</v>
      </c>
      <c r="E40" s="1" t="s">
        <v>40</v>
      </c>
      <c r="F40" s="1">
        <v>43677</v>
      </c>
      <c r="H40" s="1" t="s">
        <v>41</v>
      </c>
      <c r="I40" s="1" t="s">
        <v>141</v>
      </c>
      <c r="J40" s="1" t="s">
        <v>142</v>
      </c>
      <c r="M40" s="1" t="s">
        <v>143</v>
      </c>
      <c r="O40" s="1">
        <v>16212649</v>
      </c>
      <c r="P40" s="1" t="s">
        <v>144</v>
      </c>
      <c r="Q40" s="1" t="s">
        <v>46</v>
      </c>
      <c r="R40" s="1" t="s">
        <v>145</v>
      </c>
      <c r="S40" s="2">
        <v>45658</v>
      </c>
      <c r="U40" s="1" t="s">
        <v>48</v>
      </c>
      <c r="X40" s="1" t="s">
        <v>49</v>
      </c>
      <c r="Y40" s="3">
        <v>0</v>
      </c>
      <c r="Z40" s="3">
        <v>42.21</v>
      </c>
      <c r="AA40" s="1">
        <v>9</v>
      </c>
      <c r="AB40" s="4">
        <v>1</v>
      </c>
      <c r="AC40" s="3">
        <v>379.89</v>
      </c>
      <c r="AD40" s="4">
        <v>0</v>
      </c>
      <c r="AE40" s="3">
        <v>0</v>
      </c>
      <c r="AF40" s="3">
        <v>379.89</v>
      </c>
      <c r="AK40" s="1">
        <v>4788184</v>
      </c>
    </row>
    <row r="41" spans="1:37" ht="15.75" customHeight="1" x14ac:dyDescent="0.25">
      <c r="A41" s="2">
        <v>45637</v>
      </c>
      <c r="B41" s="2">
        <v>45637</v>
      </c>
      <c r="C41" s="1" t="s">
        <v>38</v>
      </c>
      <c r="D41" s="1" t="s">
        <v>39</v>
      </c>
      <c r="E41" s="1" t="s">
        <v>40</v>
      </c>
      <c r="F41" s="1">
        <v>43677</v>
      </c>
      <c r="H41" s="1" t="s">
        <v>41</v>
      </c>
      <c r="I41" s="1" t="s">
        <v>146</v>
      </c>
      <c r="J41" s="1" t="s">
        <v>147</v>
      </c>
      <c r="M41" s="1" t="s">
        <v>148</v>
      </c>
      <c r="O41" s="1">
        <v>17425766</v>
      </c>
      <c r="P41" s="1" t="s">
        <v>53</v>
      </c>
      <c r="Q41" s="1" t="s">
        <v>46</v>
      </c>
      <c r="R41" s="1" t="s">
        <v>149</v>
      </c>
      <c r="S41" s="2">
        <v>45505</v>
      </c>
      <c r="U41" s="1" t="s">
        <v>48</v>
      </c>
      <c r="X41" s="1" t="s">
        <v>49</v>
      </c>
      <c r="Y41" s="3">
        <v>0</v>
      </c>
      <c r="Z41" s="3">
        <v>30</v>
      </c>
      <c r="AA41" s="1">
        <v>9</v>
      </c>
      <c r="AB41" s="4">
        <v>1</v>
      </c>
      <c r="AC41" s="3">
        <v>270</v>
      </c>
      <c r="AD41" s="4">
        <v>0</v>
      </c>
      <c r="AE41" s="3">
        <v>0</v>
      </c>
      <c r="AF41" s="3">
        <v>270</v>
      </c>
      <c r="AK41" s="1">
        <v>4788155</v>
      </c>
    </row>
    <row r="42" spans="1:37" ht="15.75" customHeight="1" x14ac:dyDescent="0.25">
      <c r="A42" s="2">
        <v>45637</v>
      </c>
      <c r="B42" s="2">
        <v>45637</v>
      </c>
      <c r="C42" s="1" t="s">
        <v>38</v>
      </c>
      <c r="D42" s="1" t="s">
        <v>39</v>
      </c>
      <c r="E42" s="1" t="s">
        <v>40</v>
      </c>
      <c r="F42" s="1">
        <v>43677</v>
      </c>
      <c r="H42" s="1" t="s">
        <v>41</v>
      </c>
      <c r="I42" s="1" t="s">
        <v>150</v>
      </c>
      <c r="J42" s="1" t="s">
        <v>151</v>
      </c>
      <c r="M42" s="1" t="s">
        <v>152</v>
      </c>
      <c r="O42" s="1">
        <v>19278370</v>
      </c>
      <c r="P42" s="1" t="s">
        <v>139</v>
      </c>
      <c r="Q42" s="1" t="s">
        <v>46</v>
      </c>
      <c r="R42" s="1" t="s">
        <v>153</v>
      </c>
      <c r="S42" s="2">
        <v>45536</v>
      </c>
      <c r="U42" s="1" t="s">
        <v>48</v>
      </c>
      <c r="X42" s="1" t="s">
        <v>49</v>
      </c>
      <c r="Y42" s="3">
        <v>0</v>
      </c>
      <c r="Z42" s="3">
        <v>37.5</v>
      </c>
      <c r="AA42" s="1">
        <v>9</v>
      </c>
      <c r="AB42" s="4">
        <v>1</v>
      </c>
      <c r="AC42" s="3">
        <v>337.5</v>
      </c>
      <c r="AD42" s="4">
        <v>0</v>
      </c>
      <c r="AE42" s="3">
        <v>0</v>
      </c>
      <c r="AF42" s="3">
        <v>337.5</v>
      </c>
      <c r="AK42" s="1">
        <v>4788153</v>
      </c>
    </row>
    <row r="43" spans="1:37" ht="15.75" customHeight="1" x14ac:dyDescent="0.25">
      <c r="A43" s="2">
        <v>45637</v>
      </c>
      <c r="B43" s="2">
        <v>45637</v>
      </c>
      <c r="C43" s="1" t="s">
        <v>38</v>
      </c>
      <c r="D43" s="1" t="s">
        <v>39</v>
      </c>
      <c r="E43" s="1" t="s">
        <v>40</v>
      </c>
      <c r="F43" s="1">
        <v>43677</v>
      </c>
      <c r="H43" s="1" t="s">
        <v>41</v>
      </c>
      <c r="I43" s="1" t="s">
        <v>154</v>
      </c>
      <c r="J43" s="1" t="s">
        <v>155</v>
      </c>
      <c r="M43" s="1" t="s">
        <v>152</v>
      </c>
      <c r="O43" s="1">
        <v>19278370</v>
      </c>
      <c r="P43" s="1" t="s">
        <v>139</v>
      </c>
      <c r="Q43" s="1" t="s">
        <v>46</v>
      </c>
      <c r="R43" s="1" t="s">
        <v>153</v>
      </c>
      <c r="S43" s="2">
        <v>45474</v>
      </c>
      <c r="U43" s="1" t="s">
        <v>48</v>
      </c>
      <c r="X43" s="1" t="s">
        <v>49</v>
      </c>
      <c r="Y43" s="3">
        <v>0</v>
      </c>
      <c r="Z43" s="3">
        <v>37.5</v>
      </c>
      <c r="AA43" s="1">
        <v>9</v>
      </c>
      <c r="AB43" s="4">
        <v>1</v>
      </c>
      <c r="AC43" s="3">
        <v>337.5</v>
      </c>
      <c r="AD43" s="4">
        <v>0</v>
      </c>
      <c r="AE43" s="3">
        <v>0</v>
      </c>
      <c r="AF43" s="3">
        <v>337.5</v>
      </c>
      <c r="AK43" s="1">
        <v>4788154</v>
      </c>
    </row>
    <row r="44" spans="1:37" ht="15.75" customHeight="1" x14ac:dyDescent="0.25">
      <c r="A44" s="2">
        <v>45637</v>
      </c>
      <c r="B44" s="2">
        <v>45637</v>
      </c>
      <c r="C44" s="1" t="s">
        <v>38</v>
      </c>
      <c r="D44" s="1" t="s">
        <v>39</v>
      </c>
      <c r="E44" s="1" t="s">
        <v>40</v>
      </c>
      <c r="F44" s="1">
        <v>43677</v>
      </c>
      <c r="H44" s="1" t="s">
        <v>41</v>
      </c>
      <c r="I44" s="1" t="s">
        <v>156</v>
      </c>
      <c r="J44" s="1" t="s">
        <v>157</v>
      </c>
      <c r="M44" s="1" t="s">
        <v>152</v>
      </c>
      <c r="O44" s="1">
        <v>19278370</v>
      </c>
      <c r="P44" s="1" t="s">
        <v>139</v>
      </c>
      <c r="Q44" s="1" t="s">
        <v>46</v>
      </c>
      <c r="R44" s="1" t="s">
        <v>153</v>
      </c>
      <c r="S44" s="2">
        <v>45536</v>
      </c>
      <c r="U44" s="1" t="s">
        <v>48</v>
      </c>
      <c r="X44" s="1" t="s">
        <v>49</v>
      </c>
      <c r="Y44" s="3">
        <v>0</v>
      </c>
      <c r="Z44" s="3">
        <v>37.5</v>
      </c>
      <c r="AA44" s="1">
        <v>9</v>
      </c>
      <c r="AB44" s="4">
        <v>1</v>
      </c>
      <c r="AC44" s="3">
        <v>337.5</v>
      </c>
      <c r="AD44" s="4">
        <v>0</v>
      </c>
      <c r="AE44" s="3">
        <v>0</v>
      </c>
      <c r="AF44" s="3">
        <v>337.5</v>
      </c>
      <c r="AK44" s="1">
        <v>4788164</v>
      </c>
    </row>
    <row r="45" spans="1:37" ht="15.75" customHeight="1" x14ac:dyDescent="0.25">
      <c r="A45" s="2">
        <v>45637</v>
      </c>
      <c r="B45" s="2">
        <v>45637</v>
      </c>
      <c r="C45" s="1" t="s">
        <v>38</v>
      </c>
      <c r="D45" s="1" t="s">
        <v>39</v>
      </c>
      <c r="E45" s="1" t="s">
        <v>40</v>
      </c>
      <c r="F45" s="1">
        <v>43677</v>
      </c>
      <c r="H45" s="1" t="s">
        <v>41</v>
      </c>
      <c r="I45" s="1" t="s">
        <v>158</v>
      </c>
      <c r="J45" s="1" t="s">
        <v>159</v>
      </c>
      <c r="M45" s="1" t="s">
        <v>152</v>
      </c>
      <c r="O45" s="1">
        <v>19278370</v>
      </c>
      <c r="P45" s="1" t="s">
        <v>139</v>
      </c>
      <c r="Q45" s="1" t="s">
        <v>46</v>
      </c>
      <c r="R45" s="1" t="s">
        <v>153</v>
      </c>
      <c r="S45" s="2">
        <v>45536</v>
      </c>
      <c r="U45" s="1" t="s">
        <v>48</v>
      </c>
      <c r="X45" s="1" t="s">
        <v>49</v>
      </c>
      <c r="Y45" s="3">
        <v>0</v>
      </c>
      <c r="Z45" s="3">
        <v>37.5</v>
      </c>
      <c r="AA45" s="1">
        <v>9</v>
      </c>
      <c r="AB45" s="4">
        <v>1</v>
      </c>
      <c r="AC45" s="3">
        <v>337.5</v>
      </c>
      <c r="AD45" s="4">
        <v>0</v>
      </c>
      <c r="AE45" s="3">
        <v>0</v>
      </c>
      <c r="AF45" s="3">
        <v>337.5</v>
      </c>
      <c r="AK45" s="1">
        <v>4788165</v>
      </c>
    </row>
    <row r="46" spans="1:37" ht="15.75" customHeight="1" x14ac:dyDescent="0.25">
      <c r="A46" s="2">
        <v>45637</v>
      </c>
      <c r="B46" s="2">
        <v>45637</v>
      </c>
      <c r="C46" s="1" t="s">
        <v>38</v>
      </c>
      <c r="D46" s="1" t="s">
        <v>39</v>
      </c>
      <c r="E46" s="1" t="s">
        <v>40</v>
      </c>
      <c r="F46" s="1">
        <v>43677</v>
      </c>
      <c r="H46" s="1" t="s">
        <v>41</v>
      </c>
      <c r="I46" s="1" t="s">
        <v>160</v>
      </c>
      <c r="J46" s="1" t="s">
        <v>161</v>
      </c>
      <c r="M46" s="1" t="s">
        <v>152</v>
      </c>
      <c r="O46" s="1">
        <v>19278370</v>
      </c>
      <c r="P46" s="1" t="s">
        <v>139</v>
      </c>
      <c r="Q46" s="1" t="s">
        <v>46</v>
      </c>
      <c r="R46" s="1" t="s">
        <v>153</v>
      </c>
      <c r="S46" s="2">
        <v>45566</v>
      </c>
      <c r="U46" s="1" t="s">
        <v>48</v>
      </c>
      <c r="X46" s="1" t="s">
        <v>49</v>
      </c>
      <c r="Y46" s="3">
        <v>0</v>
      </c>
      <c r="Z46" s="3">
        <v>37.5</v>
      </c>
      <c r="AA46" s="1">
        <v>9</v>
      </c>
      <c r="AB46" s="4">
        <v>1</v>
      </c>
      <c r="AC46" s="3">
        <v>337.5</v>
      </c>
      <c r="AD46" s="4">
        <v>0</v>
      </c>
      <c r="AE46" s="3">
        <v>0</v>
      </c>
      <c r="AF46" s="3">
        <v>337.5</v>
      </c>
      <c r="AK46" s="1">
        <v>4788171</v>
      </c>
    </row>
    <row r="47" spans="1:37" ht="15.75" customHeight="1" x14ac:dyDescent="0.25">
      <c r="A47" s="2">
        <v>45637</v>
      </c>
      <c r="B47" s="2">
        <v>45637</v>
      </c>
      <c r="C47" s="1" t="s">
        <v>38</v>
      </c>
      <c r="D47" s="1" t="s">
        <v>39</v>
      </c>
      <c r="E47" s="1" t="s">
        <v>40</v>
      </c>
      <c r="F47" s="1">
        <v>43677</v>
      </c>
      <c r="H47" s="1" t="s">
        <v>41</v>
      </c>
      <c r="I47" s="1" t="s">
        <v>162</v>
      </c>
      <c r="J47" s="1" t="s">
        <v>163</v>
      </c>
      <c r="M47" s="1" t="s">
        <v>152</v>
      </c>
      <c r="O47" s="1">
        <v>19278370</v>
      </c>
      <c r="P47" s="1" t="s">
        <v>139</v>
      </c>
      <c r="Q47" s="1" t="s">
        <v>46</v>
      </c>
      <c r="R47" s="1" t="s">
        <v>153</v>
      </c>
      <c r="S47" s="2">
        <v>45658</v>
      </c>
      <c r="U47" s="1" t="s">
        <v>48</v>
      </c>
      <c r="X47" s="1" t="s">
        <v>49</v>
      </c>
      <c r="Y47" s="3">
        <v>0</v>
      </c>
      <c r="Z47" s="3">
        <v>37.5</v>
      </c>
      <c r="AA47" s="1">
        <v>9</v>
      </c>
      <c r="AB47" s="4">
        <v>1</v>
      </c>
      <c r="AC47" s="3">
        <v>337.5</v>
      </c>
      <c r="AD47" s="4">
        <v>0</v>
      </c>
      <c r="AE47" s="3">
        <v>0</v>
      </c>
      <c r="AF47" s="3">
        <v>337.5</v>
      </c>
      <c r="AK47" s="1">
        <v>4788187</v>
      </c>
    </row>
    <row r="48" spans="1:37" ht="15.75" customHeight="1" x14ac:dyDescent="0.25">
      <c r="A48" s="2">
        <v>45637</v>
      </c>
      <c r="B48" s="2">
        <v>45637</v>
      </c>
      <c r="C48" s="1" t="s">
        <v>38</v>
      </c>
      <c r="D48" s="1" t="s">
        <v>39</v>
      </c>
      <c r="E48" s="1" t="s">
        <v>40</v>
      </c>
      <c r="F48" s="1">
        <v>43677</v>
      </c>
      <c r="H48" s="1" t="s">
        <v>41</v>
      </c>
      <c r="I48" s="1" t="s">
        <v>164</v>
      </c>
      <c r="J48" s="1" t="s">
        <v>165</v>
      </c>
      <c r="M48" s="1" t="s">
        <v>152</v>
      </c>
      <c r="O48" s="1">
        <v>19278370</v>
      </c>
      <c r="P48" s="1" t="s">
        <v>139</v>
      </c>
      <c r="Q48" s="1" t="s">
        <v>46</v>
      </c>
      <c r="R48" s="1" t="s">
        <v>166</v>
      </c>
      <c r="S48" s="2">
        <v>45505</v>
      </c>
      <c r="U48" s="1" t="s">
        <v>48</v>
      </c>
      <c r="X48" s="1" t="s">
        <v>49</v>
      </c>
      <c r="Y48" s="3">
        <v>0</v>
      </c>
      <c r="Z48" s="3">
        <v>31.02</v>
      </c>
      <c r="AA48" s="1">
        <v>9</v>
      </c>
      <c r="AB48" s="4">
        <v>1</v>
      </c>
      <c r="AC48" s="3">
        <v>279.18</v>
      </c>
      <c r="AD48" s="4">
        <v>0</v>
      </c>
      <c r="AE48" s="3">
        <v>0</v>
      </c>
      <c r="AF48" s="3">
        <v>279.18</v>
      </c>
      <c r="AK48" s="1">
        <v>4788157</v>
      </c>
    </row>
    <row r="49" spans="1:37" ht="15.75" customHeight="1" x14ac:dyDescent="0.25">
      <c r="A49" s="2">
        <v>45637</v>
      </c>
      <c r="B49" s="2">
        <v>45637</v>
      </c>
      <c r="C49" s="1" t="s">
        <v>38</v>
      </c>
      <c r="D49" s="1" t="s">
        <v>39</v>
      </c>
      <c r="E49" s="1" t="s">
        <v>40</v>
      </c>
      <c r="F49" s="1">
        <v>43677</v>
      </c>
      <c r="H49" s="1" t="s">
        <v>41</v>
      </c>
      <c r="I49" s="1" t="s">
        <v>167</v>
      </c>
      <c r="J49" s="1" t="s">
        <v>168</v>
      </c>
      <c r="M49" s="1" t="s">
        <v>152</v>
      </c>
      <c r="O49" s="1">
        <v>19278370</v>
      </c>
      <c r="P49" s="1" t="s">
        <v>139</v>
      </c>
      <c r="Q49" s="1" t="s">
        <v>46</v>
      </c>
      <c r="R49" s="1" t="s">
        <v>166</v>
      </c>
      <c r="S49" s="2">
        <v>45658</v>
      </c>
      <c r="U49" s="1" t="s">
        <v>48</v>
      </c>
      <c r="X49" s="1" t="s">
        <v>49</v>
      </c>
      <c r="Y49" s="3">
        <v>0</v>
      </c>
      <c r="Z49" s="3">
        <v>31.02</v>
      </c>
      <c r="AA49" s="1">
        <v>9</v>
      </c>
      <c r="AB49" s="4">
        <v>1</v>
      </c>
      <c r="AC49" s="3">
        <v>279.18</v>
      </c>
      <c r="AD49" s="4">
        <v>0</v>
      </c>
      <c r="AE49" s="3">
        <v>0</v>
      </c>
      <c r="AF49" s="3">
        <v>279.18</v>
      </c>
      <c r="AK49" s="1">
        <v>4788196</v>
      </c>
    </row>
    <row r="50" spans="1:37" ht="15.75" customHeight="1" x14ac:dyDescent="0.25">
      <c r="A50" s="2">
        <v>45637</v>
      </c>
      <c r="B50" s="2">
        <v>45637</v>
      </c>
      <c r="C50" s="1" t="s">
        <v>38</v>
      </c>
      <c r="D50" s="1" t="s">
        <v>39</v>
      </c>
      <c r="E50" s="1" t="s">
        <v>40</v>
      </c>
      <c r="F50" s="1">
        <v>43677</v>
      </c>
      <c r="H50" s="1" t="s">
        <v>41</v>
      </c>
      <c r="I50" s="1" t="s">
        <v>169</v>
      </c>
      <c r="J50" s="1" t="s">
        <v>170</v>
      </c>
      <c r="M50" s="1" t="s">
        <v>152</v>
      </c>
      <c r="O50" s="1">
        <v>19278370</v>
      </c>
      <c r="P50" s="1" t="s">
        <v>139</v>
      </c>
      <c r="Q50" s="1" t="s">
        <v>46</v>
      </c>
      <c r="R50" s="1" t="s">
        <v>171</v>
      </c>
      <c r="S50" s="2">
        <v>45536</v>
      </c>
      <c r="U50" s="1" t="s">
        <v>48</v>
      </c>
      <c r="X50" s="1" t="s">
        <v>49</v>
      </c>
      <c r="Y50" s="3">
        <v>0</v>
      </c>
      <c r="Z50" s="3">
        <v>36.479999999999997</v>
      </c>
      <c r="AA50" s="1">
        <v>9</v>
      </c>
      <c r="AB50" s="4">
        <v>1</v>
      </c>
      <c r="AC50" s="3">
        <v>328.32</v>
      </c>
      <c r="AD50" s="4">
        <v>0</v>
      </c>
      <c r="AE50" s="3">
        <v>0</v>
      </c>
      <c r="AF50" s="3">
        <v>328.32</v>
      </c>
      <c r="AK50" s="1">
        <v>4788166</v>
      </c>
    </row>
    <row r="51" spans="1:37" ht="15.75" customHeight="1" x14ac:dyDescent="0.25">
      <c r="A51" s="2">
        <v>45637</v>
      </c>
      <c r="B51" s="2">
        <v>45637</v>
      </c>
      <c r="C51" s="1" t="s">
        <v>38</v>
      </c>
      <c r="D51" s="1" t="s">
        <v>39</v>
      </c>
      <c r="E51" s="1" t="s">
        <v>40</v>
      </c>
      <c r="F51" s="1">
        <v>43677</v>
      </c>
      <c r="H51" s="1" t="s">
        <v>41</v>
      </c>
      <c r="I51" s="1" t="s">
        <v>172</v>
      </c>
      <c r="J51" s="1" t="s">
        <v>173</v>
      </c>
      <c r="M51" s="1" t="s">
        <v>152</v>
      </c>
      <c r="O51" s="1">
        <v>19278370</v>
      </c>
      <c r="P51" s="1" t="s">
        <v>139</v>
      </c>
      <c r="Q51" s="1" t="s">
        <v>46</v>
      </c>
      <c r="R51" s="1" t="s">
        <v>171</v>
      </c>
      <c r="S51" s="2">
        <v>45627</v>
      </c>
      <c r="U51" s="1" t="s">
        <v>48</v>
      </c>
      <c r="X51" s="1" t="s">
        <v>49</v>
      </c>
      <c r="Y51" s="3">
        <v>0</v>
      </c>
      <c r="Z51" s="3">
        <v>36.479999999999997</v>
      </c>
      <c r="AA51" s="1">
        <v>9</v>
      </c>
      <c r="AB51" s="4">
        <v>1</v>
      </c>
      <c r="AC51" s="3">
        <v>328.32</v>
      </c>
      <c r="AD51" s="4">
        <v>0</v>
      </c>
      <c r="AE51" s="3">
        <v>0</v>
      </c>
      <c r="AF51" s="3">
        <v>328.32</v>
      </c>
      <c r="AK51" s="1">
        <v>4788185</v>
      </c>
    </row>
    <row r="52" spans="1:37" ht="15.75" customHeight="1" x14ac:dyDescent="0.25">
      <c r="A52" s="2">
        <v>45637</v>
      </c>
      <c r="B52" s="2">
        <v>45637</v>
      </c>
      <c r="C52" s="1" t="s">
        <v>38</v>
      </c>
      <c r="D52" s="1" t="s">
        <v>39</v>
      </c>
      <c r="E52" s="1" t="s">
        <v>40</v>
      </c>
      <c r="F52" s="1">
        <v>43677</v>
      </c>
      <c r="H52" s="1" t="s">
        <v>41</v>
      </c>
      <c r="I52" s="1" t="s">
        <v>174</v>
      </c>
      <c r="J52" s="1" t="s">
        <v>175</v>
      </c>
      <c r="M52" s="1" t="s">
        <v>152</v>
      </c>
      <c r="O52" s="1">
        <v>19278370</v>
      </c>
      <c r="P52" s="1" t="s">
        <v>139</v>
      </c>
      <c r="Q52" s="1" t="s">
        <v>46</v>
      </c>
      <c r="R52" s="1" t="s">
        <v>171</v>
      </c>
      <c r="S52" s="2">
        <v>45627</v>
      </c>
      <c r="U52" s="1" t="s">
        <v>48</v>
      </c>
      <c r="X52" s="1" t="s">
        <v>49</v>
      </c>
      <c r="Y52" s="3">
        <v>0</v>
      </c>
      <c r="Z52" s="3">
        <v>36.479999999999997</v>
      </c>
      <c r="AA52" s="1">
        <v>9</v>
      </c>
      <c r="AB52" s="4">
        <v>1</v>
      </c>
      <c r="AC52" s="3">
        <v>328.32</v>
      </c>
      <c r="AD52" s="4">
        <v>0</v>
      </c>
      <c r="AE52" s="3">
        <v>0</v>
      </c>
      <c r="AF52" s="3">
        <v>328.32</v>
      </c>
      <c r="AK52" s="1">
        <v>4788186</v>
      </c>
    </row>
    <row r="53" spans="1:37" ht="15.75" customHeight="1" x14ac:dyDescent="0.25">
      <c r="A53" s="2">
        <v>45637</v>
      </c>
      <c r="B53" s="2">
        <v>45637</v>
      </c>
      <c r="C53" s="1" t="s">
        <v>38</v>
      </c>
      <c r="D53" s="1" t="s">
        <v>39</v>
      </c>
      <c r="E53" s="1" t="s">
        <v>40</v>
      </c>
      <c r="F53" s="1">
        <v>43677</v>
      </c>
      <c r="H53" s="1" t="s">
        <v>41</v>
      </c>
      <c r="I53" s="1" t="s">
        <v>176</v>
      </c>
      <c r="J53" s="1" t="s">
        <v>177</v>
      </c>
      <c r="M53" s="1" t="s">
        <v>152</v>
      </c>
      <c r="O53" s="1">
        <v>19278370</v>
      </c>
      <c r="P53" s="1" t="s">
        <v>139</v>
      </c>
      <c r="Q53" s="1" t="s">
        <v>46</v>
      </c>
      <c r="R53" s="1" t="s">
        <v>171</v>
      </c>
      <c r="S53" s="2">
        <v>45658</v>
      </c>
      <c r="U53" s="1" t="s">
        <v>48</v>
      </c>
      <c r="X53" s="1" t="s">
        <v>49</v>
      </c>
      <c r="Y53" s="3">
        <v>0</v>
      </c>
      <c r="Z53" s="3">
        <v>36.479999999999997</v>
      </c>
      <c r="AA53" s="1">
        <v>9</v>
      </c>
      <c r="AB53" s="4">
        <v>1</v>
      </c>
      <c r="AC53" s="3">
        <v>328.32</v>
      </c>
      <c r="AD53" s="4">
        <v>0</v>
      </c>
      <c r="AE53" s="3">
        <v>0</v>
      </c>
      <c r="AF53" s="3">
        <v>328.32</v>
      </c>
      <c r="AK53" s="1">
        <v>4788199</v>
      </c>
    </row>
    <row r="54" spans="1:37" ht="15.75" customHeight="1" x14ac:dyDescent="0.25">
      <c r="A54" s="2">
        <v>45637</v>
      </c>
      <c r="B54" s="2">
        <v>45637</v>
      </c>
      <c r="C54" s="1" t="s">
        <v>38</v>
      </c>
      <c r="D54" s="1" t="s">
        <v>39</v>
      </c>
      <c r="E54" s="1" t="s">
        <v>40</v>
      </c>
      <c r="F54" s="1">
        <v>43677</v>
      </c>
      <c r="H54" s="1" t="s">
        <v>41</v>
      </c>
      <c r="I54" s="1" t="s">
        <v>178</v>
      </c>
      <c r="J54" s="1" t="s">
        <v>179</v>
      </c>
      <c r="M54" s="1" t="s">
        <v>152</v>
      </c>
      <c r="O54" s="1">
        <v>17528908</v>
      </c>
      <c r="P54" s="1" t="s">
        <v>180</v>
      </c>
      <c r="Q54" s="1" t="s">
        <v>46</v>
      </c>
      <c r="R54" s="1" t="s">
        <v>171</v>
      </c>
      <c r="S54" s="2">
        <v>45658</v>
      </c>
      <c r="U54" s="1" t="s">
        <v>48</v>
      </c>
      <c r="X54" s="1" t="s">
        <v>49</v>
      </c>
      <c r="Y54" s="3">
        <v>0</v>
      </c>
      <c r="Z54" s="3">
        <v>36.479999999999997</v>
      </c>
      <c r="AA54" s="1">
        <v>9</v>
      </c>
      <c r="AB54" s="4">
        <v>1</v>
      </c>
      <c r="AC54" s="3">
        <v>328.32</v>
      </c>
      <c r="AD54" s="4">
        <v>0</v>
      </c>
      <c r="AE54" s="3">
        <v>0</v>
      </c>
      <c r="AF54" s="3">
        <v>328.32</v>
      </c>
      <c r="AK54" s="1">
        <v>4788189</v>
      </c>
    </row>
    <row r="55" spans="1:37" ht="15.75" customHeight="1" x14ac:dyDescent="0.25">
      <c r="A55" s="2">
        <v>45637</v>
      </c>
      <c r="B55" s="2">
        <v>45637</v>
      </c>
      <c r="C55" s="1" t="s">
        <v>38</v>
      </c>
      <c r="D55" s="1" t="s">
        <v>39</v>
      </c>
      <c r="E55" s="1" t="s">
        <v>40</v>
      </c>
      <c r="F55" s="1">
        <v>43677</v>
      </c>
      <c r="H55" s="1" t="s">
        <v>41</v>
      </c>
      <c r="I55" s="1" t="s">
        <v>181</v>
      </c>
      <c r="J55" s="1" t="s">
        <v>182</v>
      </c>
      <c r="M55" s="1" t="s">
        <v>152</v>
      </c>
      <c r="O55" s="1">
        <v>16509456</v>
      </c>
      <c r="P55" s="1" t="s">
        <v>183</v>
      </c>
      <c r="Q55" s="1" t="s">
        <v>46</v>
      </c>
      <c r="R55" s="1" t="s">
        <v>171</v>
      </c>
      <c r="S55" s="2">
        <v>45536</v>
      </c>
      <c r="U55" s="1" t="s">
        <v>48</v>
      </c>
      <c r="X55" s="1" t="s">
        <v>49</v>
      </c>
      <c r="Y55" s="3">
        <v>0</v>
      </c>
      <c r="Z55" s="3">
        <v>36.479999999999997</v>
      </c>
      <c r="AA55" s="1">
        <v>9</v>
      </c>
      <c r="AB55" s="4">
        <v>1</v>
      </c>
      <c r="AC55" s="3">
        <v>328.32</v>
      </c>
      <c r="AD55" s="4">
        <v>0</v>
      </c>
      <c r="AE55" s="3">
        <v>0</v>
      </c>
      <c r="AF55" s="3">
        <v>328.32</v>
      </c>
      <c r="AK55" s="1">
        <v>4788159</v>
      </c>
    </row>
    <row r="56" spans="1:37" ht="15.75" customHeight="1" x14ac:dyDescent="0.25">
      <c r="A56" s="2">
        <v>45637</v>
      </c>
      <c r="B56" s="2">
        <v>45637</v>
      </c>
      <c r="C56" s="1" t="s">
        <v>38</v>
      </c>
      <c r="D56" s="1" t="s">
        <v>39</v>
      </c>
      <c r="E56" s="1" t="s">
        <v>40</v>
      </c>
      <c r="F56" s="1">
        <v>43677</v>
      </c>
      <c r="H56" s="1" t="s">
        <v>41</v>
      </c>
      <c r="I56" s="1" t="s">
        <v>184</v>
      </c>
      <c r="J56" s="1" t="s">
        <v>185</v>
      </c>
      <c r="M56" s="1" t="s">
        <v>152</v>
      </c>
      <c r="O56" s="1">
        <v>17528908</v>
      </c>
      <c r="P56" s="1" t="s">
        <v>180</v>
      </c>
      <c r="Q56" s="1" t="s">
        <v>46</v>
      </c>
      <c r="R56" s="1" t="s">
        <v>186</v>
      </c>
      <c r="S56" s="2">
        <v>45627</v>
      </c>
      <c r="U56" s="1" t="s">
        <v>48</v>
      </c>
      <c r="X56" s="1" t="s">
        <v>49</v>
      </c>
      <c r="Y56" s="3">
        <v>0</v>
      </c>
      <c r="Z56" s="3">
        <v>35.520000000000003</v>
      </c>
      <c r="AA56" s="1">
        <v>9</v>
      </c>
      <c r="AB56" s="4">
        <v>1</v>
      </c>
      <c r="AC56" s="3">
        <v>319.68</v>
      </c>
      <c r="AD56" s="4">
        <v>0</v>
      </c>
      <c r="AE56" s="3">
        <v>0</v>
      </c>
      <c r="AF56" s="3">
        <v>319.68</v>
      </c>
      <c r="AK56" s="1">
        <v>4788200</v>
      </c>
    </row>
    <row r="57" spans="1:37" ht="15.75" customHeight="1" x14ac:dyDescent="0.25">
      <c r="A57" s="2">
        <v>45637</v>
      </c>
      <c r="B57" s="2">
        <v>45637</v>
      </c>
      <c r="C57" s="1" t="s">
        <v>38</v>
      </c>
      <c r="D57" s="1" t="s">
        <v>39</v>
      </c>
      <c r="E57" s="1" t="s">
        <v>40</v>
      </c>
      <c r="F57" s="1">
        <v>43677</v>
      </c>
      <c r="H57" s="1" t="s">
        <v>41</v>
      </c>
      <c r="I57" s="1" t="s">
        <v>187</v>
      </c>
      <c r="J57" s="1" t="s">
        <v>188</v>
      </c>
      <c r="M57" s="1" t="s">
        <v>152</v>
      </c>
      <c r="O57" s="1">
        <v>17528908</v>
      </c>
      <c r="P57" s="1" t="s">
        <v>180</v>
      </c>
      <c r="Q57" s="1" t="s">
        <v>46</v>
      </c>
      <c r="R57" s="1" t="s">
        <v>186</v>
      </c>
      <c r="S57" s="2">
        <v>45627</v>
      </c>
      <c r="U57" s="1" t="s">
        <v>48</v>
      </c>
      <c r="X57" s="1" t="s">
        <v>49</v>
      </c>
      <c r="Y57" s="3">
        <v>0</v>
      </c>
      <c r="Z57" s="3">
        <v>35.520000000000003</v>
      </c>
      <c r="AA57" s="1">
        <v>9</v>
      </c>
      <c r="AB57" s="4">
        <v>1</v>
      </c>
      <c r="AC57" s="3">
        <v>319.68</v>
      </c>
      <c r="AD57" s="4">
        <v>0</v>
      </c>
      <c r="AE57" s="3">
        <v>0</v>
      </c>
      <c r="AF57" s="3">
        <v>319.68</v>
      </c>
      <c r="AK57" s="1">
        <v>4788201</v>
      </c>
    </row>
    <row r="58" spans="1:37" ht="15.75" customHeight="1" x14ac:dyDescent="0.25">
      <c r="A58" s="2">
        <v>45637</v>
      </c>
      <c r="B58" s="2">
        <v>45637</v>
      </c>
      <c r="C58" s="1" t="s">
        <v>38</v>
      </c>
      <c r="D58" s="1" t="s">
        <v>39</v>
      </c>
      <c r="E58" s="1" t="s">
        <v>40</v>
      </c>
      <c r="F58" s="1">
        <v>43677</v>
      </c>
      <c r="H58" s="1" t="s">
        <v>41</v>
      </c>
      <c r="I58" s="1" t="s">
        <v>189</v>
      </c>
      <c r="J58" s="1" t="s">
        <v>190</v>
      </c>
      <c r="M58" s="1" t="s">
        <v>152</v>
      </c>
      <c r="O58" s="1">
        <v>18710070</v>
      </c>
      <c r="P58" s="1" t="s">
        <v>191</v>
      </c>
      <c r="Q58" s="1" t="s">
        <v>46</v>
      </c>
      <c r="R58" s="1" t="s">
        <v>192</v>
      </c>
      <c r="S58" s="2">
        <v>45566</v>
      </c>
      <c r="U58" s="1" t="s">
        <v>48</v>
      </c>
      <c r="X58" s="1" t="s">
        <v>49</v>
      </c>
      <c r="Y58" s="3">
        <v>0</v>
      </c>
      <c r="Z58" s="3">
        <v>25.98</v>
      </c>
      <c r="AA58" s="1">
        <v>9</v>
      </c>
      <c r="AB58" s="4">
        <v>1</v>
      </c>
      <c r="AC58" s="3">
        <v>233.82</v>
      </c>
      <c r="AD58" s="4">
        <v>0</v>
      </c>
      <c r="AE58" s="3">
        <v>0</v>
      </c>
      <c r="AF58" s="3">
        <v>233.82</v>
      </c>
      <c r="AK58" s="1">
        <v>4788167</v>
      </c>
    </row>
    <row r="59" spans="1:37" ht="15.75" customHeight="1" x14ac:dyDescent="0.25"/>
    <row r="60" spans="1:37" ht="15.75" customHeight="1" x14ac:dyDescent="0.25"/>
    <row r="61" spans="1:37" ht="15.75" customHeight="1" x14ac:dyDescent="0.25"/>
    <row r="62" spans="1:37" ht="15.75" customHeight="1" x14ac:dyDescent="0.25"/>
    <row r="63" spans="1:37" ht="15.75" customHeight="1" x14ac:dyDescent="0.25"/>
    <row r="64" spans="1:3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workbookViewId="0">
      <selection activeCell="N12" sqref="N12"/>
    </sheetView>
  </sheetViews>
  <sheetFormatPr defaultColWidth="12.5703125" defaultRowHeight="15" customHeight="1" x14ac:dyDescent="0.25"/>
  <cols>
    <col min="1" max="1" width="14" style="7" customWidth="1"/>
    <col min="2" max="2" width="25" customWidth="1"/>
    <col min="3" max="3" width="8.140625" customWidth="1"/>
    <col min="4" max="4" width="4.140625" customWidth="1"/>
    <col min="5" max="5" width="5.28515625" customWidth="1"/>
    <col min="6" max="6" width="8.5703125" customWidth="1"/>
    <col min="7" max="7" width="15" customWidth="1"/>
    <col min="8" max="8" width="23.140625" customWidth="1"/>
    <col min="9" max="9" width="43.5703125" customWidth="1"/>
    <col min="10" max="10" width="10.140625" customWidth="1"/>
    <col min="11" max="11" width="12.28515625" customWidth="1"/>
    <col min="12" max="12" width="16.140625" style="6" customWidth="1"/>
    <col min="13" max="13" width="16.7109375" customWidth="1"/>
    <col min="14" max="14" width="16.5703125" customWidth="1"/>
    <col min="15" max="15" width="18" style="6" customWidth="1"/>
    <col min="16" max="16" width="11.5703125" customWidth="1"/>
    <col min="17" max="26" width="8.5703125" customWidth="1"/>
  </cols>
  <sheetData>
    <row r="1" spans="1:16" s="10" customFormat="1" x14ac:dyDescent="0.25">
      <c r="A1" s="8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9" t="s">
        <v>17</v>
      </c>
      <c r="J1" s="9" t="s">
        <v>18</v>
      </c>
      <c r="K1" s="9" t="s">
        <v>19</v>
      </c>
      <c r="L1" s="16" t="s">
        <v>25</v>
      </c>
      <c r="M1" s="9" t="s">
        <v>26</v>
      </c>
      <c r="N1" s="9" t="s">
        <v>27</v>
      </c>
      <c r="O1" s="16" t="s">
        <v>28</v>
      </c>
      <c r="P1" s="9" t="s">
        <v>193</v>
      </c>
    </row>
    <row r="2" spans="1:16" s="10" customFormat="1" x14ac:dyDescent="0.25">
      <c r="A2" s="8" t="s">
        <v>57</v>
      </c>
      <c r="B2" s="9" t="s">
        <v>58</v>
      </c>
      <c r="E2" s="9" t="s">
        <v>52</v>
      </c>
      <c r="G2" s="9">
        <v>19645587</v>
      </c>
      <c r="H2" s="9" t="s">
        <v>59</v>
      </c>
      <c r="I2" s="9" t="s">
        <v>60</v>
      </c>
      <c r="J2" s="12">
        <v>45658</v>
      </c>
      <c r="L2" s="13">
        <v>10.38</v>
      </c>
      <c r="M2" s="9">
        <v>9</v>
      </c>
      <c r="N2" s="14">
        <v>1</v>
      </c>
      <c r="O2" s="13">
        <v>93.42</v>
      </c>
      <c r="P2" s="15">
        <f>SUM(L2*12)</f>
        <v>124.56</v>
      </c>
    </row>
    <row r="3" spans="1:16" s="10" customFormat="1" x14ac:dyDescent="0.25">
      <c r="A3" s="8" t="s">
        <v>61</v>
      </c>
      <c r="B3" s="9" t="s">
        <v>62</v>
      </c>
      <c r="E3" s="9" t="s">
        <v>52</v>
      </c>
      <c r="G3" s="9">
        <v>19645587</v>
      </c>
      <c r="H3" s="9" t="s">
        <v>59</v>
      </c>
      <c r="I3" s="9" t="s">
        <v>60</v>
      </c>
      <c r="J3" s="12">
        <v>45658</v>
      </c>
      <c r="L3" s="13">
        <v>10.38</v>
      </c>
      <c r="M3" s="9">
        <v>9</v>
      </c>
      <c r="N3" s="14">
        <v>1</v>
      </c>
      <c r="O3" s="13">
        <v>93.42</v>
      </c>
      <c r="P3" s="15">
        <f>SUM(L3*12)</f>
        <v>124.56</v>
      </c>
    </row>
    <row r="4" spans="1:16" s="10" customFormat="1" x14ac:dyDescent="0.25">
      <c r="A4" s="8" t="s">
        <v>189</v>
      </c>
      <c r="B4" s="9" t="s">
        <v>190</v>
      </c>
      <c r="E4" s="9" t="s">
        <v>152</v>
      </c>
      <c r="G4" s="9">
        <v>18710070</v>
      </c>
      <c r="H4" s="9" t="s">
        <v>191</v>
      </c>
      <c r="I4" s="11" t="s">
        <v>192</v>
      </c>
      <c r="J4" s="12">
        <v>45566</v>
      </c>
      <c r="L4" s="13">
        <v>25.98</v>
      </c>
      <c r="M4" s="9">
        <v>9</v>
      </c>
      <c r="N4" s="14">
        <v>1</v>
      </c>
      <c r="O4" s="13">
        <v>233.82</v>
      </c>
      <c r="P4" s="15">
        <f>SUM(L4*12)</f>
        <v>311.76</v>
      </c>
    </row>
    <row r="5" spans="1:16" s="10" customFormat="1" x14ac:dyDescent="0.25">
      <c r="A5" s="17" t="s">
        <v>194</v>
      </c>
      <c r="B5" s="10" t="s">
        <v>195</v>
      </c>
      <c r="G5" s="10">
        <v>45609</v>
      </c>
      <c r="H5" s="10" t="s">
        <v>144</v>
      </c>
      <c r="I5" s="10" t="s">
        <v>204</v>
      </c>
      <c r="J5" s="18">
        <v>45627</v>
      </c>
      <c r="L5" s="19">
        <f>SUM(O5/9)</f>
        <v>27.48</v>
      </c>
      <c r="M5" s="9">
        <v>9</v>
      </c>
      <c r="N5" s="14">
        <v>1</v>
      </c>
      <c r="O5" s="19">
        <v>247.32</v>
      </c>
      <c r="P5" s="15">
        <f>SUM(L5*12)</f>
        <v>329.76</v>
      </c>
    </row>
    <row r="6" spans="1:16" s="10" customFormat="1" x14ac:dyDescent="0.25">
      <c r="A6" s="17" t="s">
        <v>196</v>
      </c>
      <c r="B6" s="10" t="s">
        <v>197</v>
      </c>
      <c r="G6" s="10">
        <v>45609</v>
      </c>
      <c r="H6" s="10" t="s">
        <v>144</v>
      </c>
      <c r="I6" s="10" t="s">
        <v>204</v>
      </c>
      <c r="J6" s="18">
        <v>45627</v>
      </c>
      <c r="L6" s="19">
        <f>SUM(O6/9)</f>
        <v>27.48</v>
      </c>
      <c r="M6" s="9">
        <v>9</v>
      </c>
      <c r="N6" s="14">
        <v>1</v>
      </c>
      <c r="O6" s="19">
        <v>247.32</v>
      </c>
      <c r="P6" s="15">
        <f>SUM(L6*12)</f>
        <v>329.76</v>
      </c>
    </row>
    <row r="7" spans="1:16" s="10" customFormat="1" x14ac:dyDescent="0.25">
      <c r="A7" s="8" t="s">
        <v>42</v>
      </c>
      <c r="B7" s="9" t="s">
        <v>43</v>
      </c>
      <c r="E7" s="9" t="s">
        <v>44</v>
      </c>
      <c r="G7" s="9">
        <v>16865615</v>
      </c>
      <c r="H7" s="9" t="s">
        <v>45</v>
      </c>
      <c r="I7" s="9" t="s">
        <v>47</v>
      </c>
      <c r="J7" s="12">
        <v>45627</v>
      </c>
      <c r="L7" s="13">
        <v>28.46</v>
      </c>
      <c r="M7" s="9">
        <v>9</v>
      </c>
      <c r="N7" s="14">
        <v>1</v>
      </c>
      <c r="O7" s="13">
        <v>256.14</v>
      </c>
      <c r="P7" s="15">
        <f>SUM(L7*12)</f>
        <v>341.52</v>
      </c>
    </row>
    <row r="8" spans="1:16" s="10" customFormat="1" x14ac:dyDescent="0.25">
      <c r="A8" s="8" t="s">
        <v>146</v>
      </c>
      <c r="B8" s="9" t="s">
        <v>147</v>
      </c>
      <c r="E8" s="9" t="s">
        <v>148</v>
      </c>
      <c r="G8" s="9">
        <v>17425766</v>
      </c>
      <c r="H8" s="9" t="s">
        <v>53</v>
      </c>
      <c r="I8" s="9" t="s">
        <v>149</v>
      </c>
      <c r="J8" s="12">
        <v>45505</v>
      </c>
      <c r="L8" s="13">
        <v>30</v>
      </c>
      <c r="M8" s="9">
        <v>9</v>
      </c>
      <c r="N8" s="14">
        <v>1</v>
      </c>
      <c r="O8" s="13">
        <v>270</v>
      </c>
      <c r="P8" s="15">
        <f>SUM(L8*12)</f>
        <v>360</v>
      </c>
    </row>
    <row r="9" spans="1:16" s="10" customFormat="1" x14ac:dyDescent="0.25">
      <c r="A9" s="8" t="s">
        <v>164</v>
      </c>
      <c r="B9" s="9" t="s">
        <v>165</v>
      </c>
      <c r="E9" s="9" t="s">
        <v>152</v>
      </c>
      <c r="G9" s="9">
        <v>19278370</v>
      </c>
      <c r="H9" s="9" t="s">
        <v>139</v>
      </c>
      <c r="I9" s="9" t="s">
        <v>166</v>
      </c>
      <c r="J9" s="12">
        <v>45505</v>
      </c>
      <c r="L9" s="13">
        <v>31.02</v>
      </c>
      <c r="M9" s="9">
        <v>9</v>
      </c>
      <c r="N9" s="14">
        <v>1</v>
      </c>
      <c r="O9" s="13">
        <v>279.18</v>
      </c>
      <c r="P9" s="15">
        <f>SUM(L9*12)</f>
        <v>372.24</v>
      </c>
    </row>
    <row r="10" spans="1:16" s="10" customFormat="1" x14ac:dyDescent="0.25">
      <c r="A10" s="8" t="s">
        <v>167</v>
      </c>
      <c r="B10" s="9" t="s">
        <v>168</v>
      </c>
      <c r="E10" s="9" t="s">
        <v>152</v>
      </c>
      <c r="G10" s="9">
        <v>19278370</v>
      </c>
      <c r="H10" s="9" t="s">
        <v>139</v>
      </c>
      <c r="I10" s="9" t="s">
        <v>166</v>
      </c>
      <c r="J10" s="12">
        <v>45658</v>
      </c>
      <c r="L10" s="13">
        <v>31.02</v>
      </c>
      <c r="M10" s="9">
        <v>9</v>
      </c>
      <c r="N10" s="14">
        <v>1</v>
      </c>
      <c r="O10" s="13">
        <v>279.18</v>
      </c>
      <c r="P10" s="15">
        <f>SUM(L10*12)</f>
        <v>372.24</v>
      </c>
    </row>
    <row r="11" spans="1:16" s="10" customFormat="1" x14ac:dyDescent="0.25">
      <c r="A11" s="17" t="s">
        <v>198</v>
      </c>
      <c r="B11" s="10" t="s">
        <v>199</v>
      </c>
      <c r="G11" s="10">
        <v>45605</v>
      </c>
      <c r="H11" s="10" t="s">
        <v>104</v>
      </c>
      <c r="I11" s="10" t="s">
        <v>205</v>
      </c>
      <c r="J11" s="18">
        <v>45658</v>
      </c>
      <c r="L11" s="19">
        <f>SUM(O11/9)</f>
        <v>31.02</v>
      </c>
      <c r="M11" s="9">
        <v>9</v>
      </c>
      <c r="N11" s="14">
        <v>1</v>
      </c>
      <c r="O11" s="19">
        <v>279.18</v>
      </c>
      <c r="P11" s="15">
        <f>SUM(L11*12)</f>
        <v>372.24</v>
      </c>
    </row>
    <row r="12" spans="1:16" s="10" customFormat="1" x14ac:dyDescent="0.25">
      <c r="A12" s="8" t="s">
        <v>102</v>
      </c>
      <c r="B12" s="9" t="s">
        <v>103</v>
      </c>
      <c r="E12" s="9" t="s">
        <v>70</v>
      </c>
      <c r="G12" s="9">
        <v>9213293</v>
      </c>
      <c r="H12" s="9" t="s">
        <v>104</v>
      </c>
      <c r="I12" s="9" t="s">
        <v>72</v>
      </c>
      <c r="J12" s="12">
        <v>45505</v>
      </c>
      <c r="L12" s="13">
        <v>31.98</v>
      </c>
      <c r="M12" s="9">
        <v>9</v>
      </c>
      <c r="N12" s="14">
        <v>1</v>
      </c>
      <c r="O12" s="13">
        <v>287.82</v>
      </c>
      <c r="P12" s="15">
        <f>SUM(L12*12)</f>
        <v>383.76</v>
      </c>
    </row>
    <row r="13" spans="1:16" s="10" customFormat="1" x14ac:dyDescent="0.25">
      <c r="A13" s="8" t="s">
        <v>68</v>
      </c>
      <c r="B13" s="9" t="s">
        <v>69</v>
      </c>
      <c r="E13" s="9" t="s">
        <v>70</v>
      </c>
      <c r="G13" s="9">
        <v>8325282</v>
      </c>
      <c r="H13" s="9" t="s">
        <v>71</v>
      </c>
      <c r="I13" s="9" t="s">
        <v>72</v>
      </c>
      <c r="J13" s="12">
        <v>45536</v>
      </c>
      <c r="L13" s="13">
        <v>31.98</v>
      </c>
      <c r="M13" s="9">
        <v>9</v>
      </c>
      <c r="N13" s="14">
        <v>1</v>
      </c>
      <c r="O13" s="13">
        <v>287.82</v>
      </c>
      <c r="P13" s="15">
        <f>SUM(L13*12)</f>
        <v>383.76</v>
      </c>
    </row>
    <row r="14" spans="1:16" s="10" customFormat="1" x14ac:dyDescent="0.25">
      <c r="A14" s="8" t="s">
        <v>118</v>
      </c>
      <c r="B14" s="9" t="s">
        <v>119</v>
      </c>
      <c r="E14" s="9" t="s">
        <v>70</v>
      </c>
      <c r="G14" s="9">
        <v>18754354</v>
      </c>
      <c r="H14" s="9" t="s">
        <v>120</v>
      </c>
      <c r="I14" s="9" t="s">
        <v>72</v>
      </c>
      <c r="J14" s="12">
        <v>45536</v>
      </c>
      <c r="L14" s="13">
        <v>31.98</v>
      </c>
      <c r="M14" s="9">
        <v>9</v>
      </c>
      <c r="N14" s="14">
        <v>1</v>
      </c>
      <c r="O14" s="13">
        <v>287.82</v>
      </c>
      <c r="P14" s="15">
        <f>SUM(L14*12)</f>
        <v>383.76</v>
      </c>
    </row>
    <row r="15" spans="1:16" s="10" customFormat="1" x14ac:dyDescent="0.25">
      <c r="A15" s="8" t="s">
        <v>99</v>
      </c>
      <c r="B15" s="9" t="s">
        <v>100</v>
      </c>
      <c r="E15" s="9" t="s">
        <v>70</v>
      </c>
      <c r="G15" s="9">
        <v>8814784</v>
      </c>
      <c r="H15" s="9" t="s">
        <v>101</v>
      </c>
      <c r="I15" s="9" t="s">
        <v>72</v>
      </c>
      <c r="J15" s="12">
        <v>45566</v>
      </c>
      <c r="L15" s="13">
        <v>31.98</v>
      </c>
      <c r="M15" s="9">
        <v>9</v>
      </c>
      <c r="N15" s="14">
        <v>1</v>
      </c>
      <c r="O15" s="13">
        <v>287.82</v>
      </c>
      <c r="P15" s="15">
        <f>SUM(L15*12)</f>
        <v>383.76</v>
      </c>
    </row>
    <row r="16" spans="1:16" s="10" customFormat="1" x14ac:dyDescent="0.25">
      <c r="A16" s="8" t="s">
        <v>105</v>
      </c>
      <c r="B16" s="9" t="s">
        <v>106</v>
      </c>
      <c r="E16" s="9" t="s">
        <v>70</v>
      </c>
      <c r="G16" s="9">
        <v>9213293</v>
      </c>
      <c r="H16" s="9" t="s">
        <v>104</v>
      </c>
      <c r="I16" s="9" t="s">
        <v>72</v>
      </c>
      <c r="J16" s="12">
        <v>45566</v>
      </c>
      <c r="L16" s="13">
        <v>31.98</v>
      </c>
      <c r="M16" s="9">
        <v>9</v>
      </c>
      <c r="N16" s="14">
        <v>1</v>
      </c>
      <c r="O16" s="13">
        <v>287.82</v>
      </c>
      <c r="P16" s="15">
        <f>SUM(L16*12)</f>
        <v>383.76</v>
      </c>
    </row>
    <row r="17" spans="1:16" s="10" customFormat="1" x14ac:dyDescent="0.25">
      <c r="A17" s="8" t="s">
        <v>73</v>
      </c>
      <c r="B17" s="9" t="s">
        <v>74</v>
      </c>
      <c r="E17" s="9" t="s">
        <v>70</v>
      </c>
      <c r="G17" s="9">
        <v>8325282</v>
      </c>
      <c r="H17" s="9" t="s">
        <v>71</v>
      </c>
      <c r="I17" s="9" t="s">
        <v>72</v>
      </c>
      <c r="J17" s="12">
        <v>45597</v>
      </c>
      <c r="L17" s="13">
        <v>31.98</v>
      </c>
      <c r="M17" s="9">
        <v>9</v>
      </c>
      <c r="N17" s="14">
        <v>1</v>
      </c>
      <c r="O17" s="13">
        <v>287.82</v>
      </c>
      <c r="P17" s="15">
        <f>SUM(L17*12)</f>
        <v>383.76</v>
      </c>
    </row>
    <row r="18" spans="1:16" s="10" customFormat="1" x14ac:dyDescent="0.25">
      <c r="A18" s="8" t="s">
        <v>75</v>
      </c>
      <c r="B18" s="9" t="s">
        <v>76</v>
      </c>
      <c r="E18" s="9" t="s">
        <v>70</v>
      </c>
      <c r="G18" s="9">
        <v>8325282</v>
      </c>
      <c r="H18" s="9" t="s">
        <v>71</v>
      </c>
      <c r="I18" s="9" t="s">
        <v>72</v>
      </c>
      <c r="J18" s="12">
        <v>45597</v>
      </c>
      <c r="L18" s="13">
        <v>31.98</v>
      </c>
      <c r="M18" s="9">
        <v>9</v>
      </c>
      <c r="N18" s="14">
        <v>1</v>
      </c>
      <c r="O18" s="13">
        <v>287.82</v>
      </c>
      <c r="P18" s="15">
        <f>SUM(L18*12)</f>
        <v>383.76</v>
      </c>
    </row>
    <row r="19" spans="1:16" s="10" customFormat="1" x14ac:dyDescent="0.25">
      <c r="A19" s="8" t="s">
        <v>77</v>
      </c>
      <c r="B19" s="9" t="s">
        <v>78</v>
      </c>
      <c r="E19" s="9" t="s">
        <v>70</v>
      </c>
      <c r="G19" s="9">
        <v>8325282</v>
      </c>
      <c r="H19" s="9" t="s">
        <v>71</v>
      </c>
      <c r="I19" s="9" t="s">
        <v>72</v>
      </c>
      <c r="J19" s="12">
        <v>45597</v>
      </c>
      <c r="L19" s="13">
        <v>31.98</v>
      </c>
      <c r="M19" s="9">
        <v>9</v>
      </c>
      <c r="N19" s="14">
        <v>1</v>
      </c>
      <c r="O19" s="13">
        <v>287.82</v>
      </c>
      <c r="P19" s="15">
        <f>SUM(L19*12)</f>
        <v>383.76</v>
      </c>
    </row>
    <row r="20" spans="1:16" s="10" customFormat="1" x14ac:dyDescent="0.25">
      <c r="A20" s="8" t="s">
        <v>79</v>
      </c>
      <c r="B20" s="9" t="s">
        <v>80</v>
      </c>
      <c r="E20" s="9" t="s">
        <v>70</v>
      </c>
      <c r="G20" s="9">
        <v>8325282</v>
      </c>
      <c r="H20" s="9" t="s">
        <v>71</v>
      </c>
      <c r="I20" s="9" t="s">
        <v>72</v>
      </c>
      <c r="J20" s="12">
        <v>45597</v>
      </c>
      <c r="L20" s="13">
        <v>31.98</v>
      </c>
      <c r="M20" s="9">
        <v>9</v>
      </c>
      <c r="N20" s="14">
        <v>1</v>
      </c>
      <c r="O20" s="13">
        <v>287.82</v>
      </c>
      <c r="P20" s="15">
        <f>SUM(L20*12)</f>
        <v>383.76</v>
      </c>
    </row>
    <row r="21" spans="1:16" s="10" customFormat="1" ht="15.75" customHeight="1" x14ac:dyDescent="0.25">
      <c r="A21" s="8" t="s">
        <v>81</v>
      </c>
      <c r="B21" s="9" t="s">
        <v>82</v>
      </c>
      <c r="E21" s="9" t="s">
        <v>70</v>
      </c>
      <c r="G21" s="9">
        <v>8325282</v>
      </c>
      <c r="H21" s="9" t="s">
        <v>71</v>
      </c>
      <c r="I21" s="9" t="s">
        <v>72</v>
      </c>
      <c r="J21" s="12">
        <v>45597</v>
      </c>
      <c r="L21" s="13">
        <v>31.98</v>
      </c>
      <c r="M21" s="9">
        <v>9</v>
      </c>
      <c r="N21" s="14">
        <v>1</v>
      </c>
      <c r="O21" s="13">
        <v>287.82</v>
      </c>
      <c r="P21" s="15">
        <f>SUM(L21*12)</f>
        <v>383.76</v>
      </c>
    </row>
    <row r="22" spans="1:16" s="10" customFormat="1" ht="15.75" customHeight="1" x14ac:dyDescent="0.25">
      <c r="A22" s="8" t="s">
        <v>87</v>
      </c>
      <c r="B22" s="9" t="s">
        <v>88</v>
      </c>
      <c r="E22" s="9" t="s">
        <v>70</v>
      </c>
      <c r="G22" s="9">
        <v>8325282</v>
      </c>
      <c r="H22" s="9" t="s">
        <v>71</v>
      </c>
      <c r="I22" s="9" t="s">
        <v>72</v>
      </c>
      <c r="J22" s="12">
        <v>45597</v>
      </c>
      <c r="L22" s="13">
        <v>31.98</v>
      </c>
      <c r="M22" s="9">
        <v>9</v>
      </c>
      <c r="N22" s="14">
        <v>1</v>
      </c>
      <c r="O22" s="13">
        <v>287.82</v>
      </c>
      <c r="P22" s="15">
        <f>SUM(L22*12)</f>
        <v>383.76</v>
      </c>
    </row>
    <row r="23" spans="1:16" s="10" customFormat="1" ht="15.75" customHeight="1" x14ac:dyDescent="0.25">
      <c r="A23" s="8" t="s">
        <v>109</v>
      </c>
      <c r="B23" s="9" t="s">
        <v>110</v>
      </c>
      <c r="E23" s="9" t="s">
        <v>70</v>
      </c>
      <c r="G23" s="9">
        <v>9213293</v>
      </c>
      <c r="H23" s="9" t="s">
        <v>104</v>
      </c>
      <c r="I23" s="9" t="s">
        <v>72</v>
      </c>
      <c r="J23" s="12">
        <v>45597</v>
      </c>
      <c r="L23" s="13">
        <v>31.98</v>
      </c>
      <c r="M23" s="9">
        <v>9</v>
      </c>
      <c r="N23" s="14">
        <v>1</v>
      </c>
      <c r="O23" s="13">
        <v>287.82</v>
      </c>
      <c r="P23" s="15">
        <f>SUM(L23*12)</f>
        <v>383.76</v>
      </c>
    </row>
    <row r="24" spans="1:16" s="10" customFormat="1" ht="15.75" customHeight="1" x14ac:dyDescent="0.25">
      <c r="A24" s="8" t="s">
        <v>127</v>
      </c>
      <c r="B24" s="9" t="s">
        <v>128</v>
      </c>
      <c r="E24" s="9" t="s">
        <v>70</v>
      </c>
      <c r="G24" s="9">
        <v>19200754</v>
      </c>
      <c r="H24" s="9" t="s">
        <v>129</v>
      </c>
      <c r="I24" s="9" t="s">
        <v>72</v>
      </c>
      <c r="J24" s="12">
        <v>45597</v>
      </c>
      <c r="L24" s="13">
        <v>31.98</v>
      </c>
      <c r="M24" s="9">
        <v>9</v>
      </c>
      <c r="N24" s="14">
        <v>1</v>
      </c>
      <c r="O24" s="13">
        <v>287.82</v>
      </c>
      <c r="P24" s="15">
        <f>SUM(L24*12)</f>
        <v>383.76</v>
      </c>
    </row>
    <row r="25" spans="1:16" s="10" customFormat="1" ht="15.75" customHeight="1" x14ac:dyDescent="0.25">
      <c r="A25" s="8" t="s">
        <v>89</v>
      </c>
      <c r="B25" s="9" t="s">
        <v>90</v>
      </c>
      <c r="E25" s="9" t="s">
        <v>70</v>
      </c>
      <c r="G25" s="9">
        <v>8325282</v>
      </c>
      <c r="H25" s="9" t="s">
        <v>71</v>
      </c>
      <c r="I25" s="9" t="s">
        <v>72</v>
      </c>
      <c r="J25" s="12">
        <v>45627</v>
      </c>
      <c r="L25" s="13">
        <v>31.98</v>
      </c>
      <c r="M25" s="9">
        <v>9</v>
      </c>
      <c r="N25" s="14">
        <v>1</v>
      </c>
      <c r="O25" s="13">
        <v>287.82</v>
      </c>
      <c r="P25" s="15">
        <f>SUM(L25*12)</f>
        <v>383.76</v>
      </c>
    </row>
    <row r="26" spans="1:16" s="10" customFormat="1" ht="15.75" customHeight="1" x14ac:dyDescent="0.25">
      <c r="A26" s="8" t="s">
        <v>91</v>
      </c>
      <c r="B26" s="9" t="s">
        <v>92</v>
      </c>
      <c r="E26" s="9" t="s">
        <v>70</v>
      </c>
      <c r="G26" s="9">
        <v>8325282</v>
      </c>
      <c r="H26" s="9" t="s">
        <v>71</v>
      </c>
      <c r="I26" s="9" t="s">
        <v>72</v>
      </c>
      <c r="J26" s="12">
        <v>45627</v>
      </c>
      <c r="L26" s="13">
        <v>31.98</v>
      </c>
      <c r="M26" s="9">
        <v>9</v>
      </c>
      <c r="N26" s="14">
        <v>1</v>
      </c>
      <c r="O26" s="13">
        <v>287.82</v>
      </c>
      <c r="P26" s="15">
        <f>SUM(L26*12)</f>
        <v>383.76</v>
      </c>
    </row>
    <row r="27" spans="1:16" s="10" customFormat="1" ht="15.75" customHeight="1" x14ac:dyDescent="0.25">
      <c r="A27" s="8" t="s">
        <v>93</v>
      </c>
      <c r="B27" s="9" t="s">
        <v>94</v>
      </c>
      <c r="E27" s="9" t="s">
        <v>70</v>
      </c>
      <c r="G27" s="9">
        <v>8325282</v>
      </c>
      <c r="H27" s="9" t="s">
        <v>71</v>
      </c>
      <c r="I27" s="9" t="s">
        <v>72</v>
      </c>
      <c r="J27" s="12">
        <v>45627</v>
      </c>
      <c r="L27" s="13">
        <v>31.98</v>
      </c>
      <c r="M27" s="9">
        <v>9</v>
      </c>
      <c r="N27" s="14">
        <v>1</v>
      </c>
      <c r="O27" s="13">
        <v>287.82</v>
      </c>
      <c r="P27" s="15">
        <f>SUM(L27*12)</f>
        <v>383.76</v>
      </c>
    </row>
    <row r="28" spans="1:16" s="10" customFormat="1" ht="15.75" customHeight="1" x14ac:dyDescent="0.25">
      <c r="A28" s="8" t="s">
        <v>97</v>
      </c>
      <c r="B28" s="9" t="s">
        <v>98</v>
      </c>
      <c r="E28" s="9" t="s">
        <v>70</v>
      </c>
      <c r="G28" s="9">
        <v>8325282</v>
      </c>
      <c r="H28" s="9" t="s">
        <v>71</v>
      </c>
      <c r="I28" s="9" t="s">
        <v>72</v>
      </c>
      <c r="J28" s="12">
        <v>45627</v>
      </c>
      <c r="L28" s="13">
        <v>31.98</v>
      </c>
      <c r="M28" s="9">
        <v>9</v>
      </c>
      <c r="N28" s="14">
        <v>1</v>
      </c>
      <c r="O28" s="13">
        <v>287.82</v>
      </c>
      <c r="P28" s="15">
        <f>SUM(L28*12)</f>
        <v>383.76</v>
      </c>
    </row>
    <row r="29" spans="1:16" s="10" customFormat="1" ht="15.75" customHeight="1" x14ac:dyDescent="0.25">
      <c r="A29" s="8" t="s">
        <v>107</v>
      </c>
      <c r="B29" s="9" t="s">
        <v>108</v>
      </c>
      <c r="E29" s="9" t="s">
        <v>70</v>
      </c>
      <c r="G29" s="9">
        <v>9213293</v>
      </c>
      <c r="H29" s="9" t="s">
        <v>104</v>
      </c>
      <c r="I29" s="9" t="s">
        <v>72</v>
      </c>
      <c r="J29" s="12">
        <v>45627</v>
      </c>
      <c r="L29" s="13">
        <v>31.98</v>
      </c>
      <c r="M29" s="9">
        <v>9</v>
      </c>
      <c r="N29" s="14">
        <v>1</v>
      </c>
      <c r="O29" s="13">
        <v>287.82</v>
      </c>
      <c r="P29" s="15">
        <f>SUM(L29*12)</f>
        <v>383.76</v>
      </c>
    </row>
    <row r="30" spans="1:16" s="10" customFormat="1" ht="15.75" customHeight="1" x14ac:dyDescent="0.25">
      <c r="A30" s="8" t="s">
        <v>116</v>
      </c>
      <c r="B30" s="9" t="s">
        <v>117</v>
      </c>
      <c r="E30" s="9" t="s">
        <v>70</v>
      </c>
      <c r="G30" s="9">
        <v>9213293</v>
      </c>
      <c r="H30" s="9" t="s">
        <v>104</v>
      </c>
      <c r="I30" s="9" t="s">
        <v>72</v>
      </c>
      <c r="J30" s="12">
        <v>45627</v>
      </c>
      <c r="L30" s="13">
        <v>31.98</v>
      </c>
      <c r="M30" s="9">
        <v>9</v>
      </c>
      <c r="N30" s="14">
        <v>1</v>
      </c>
      <c r="O30" s="13">
        <v>287.82</v>
      </c>
      <c r="P30" s="15">
        <f>SUM(L30*12)</f>
        <v>383.76</v>
      </c>
    </row>
    <row r="31" spans="1:16" s="10" customFormat="1" ht="15.75" customHeight="1" x14ac:dyDescent="0.25">
      <c r="A31" s="8" t="s">
        <v>130</v>
      </c>
      <c r="B31" s="9" t="s">
        <v>131</v>
      </c>
      <c r="E31" s="9" t="s">
        <v>70</v>
      </c>
      <c r="G31" s="9">
        <v>19200754</v>
      </c>
      <c r="H31" s="9" t="s">
        <v>129</v>
      </c>
      <c r="I31" s="9" t="s">
        <v>72</v>
      </c>
      <c r="J31" s="12">
        <v>45627</v>
      </c>
      <c r="L31" s="13">
        <v>31.98</v>
      </c>
      <c r="M31" s="9">
        <v>9</v>
      </c>
      <c r="N31" s="14">
        <v>1</v>
      </c>
      <c r="O31" s="13">
        <v>287.82</v>
      </c>
      <c r="P31" s="15">
        <f>SUM(L31*12)</f>
        <v>383.76</v>
      </c>
    </row>
    <row r="32" spans="1:16" s="10" customFormat="1" ht="15.75" customHeight="1" x14ac:dyDescent="0.25">
      <c r="A32" s="8" t="s">
        <v>83</v>
      </c>
      <c r="B32" s="9" t="s">
        <v>84</v>
      </c>
      <c r="E32" s="9" t="s">
        <v>70</v>
      </c>
      <c r="G32" s="9">
        <v>8325282</v>
      </c>
      <c r="H32" s="9" t="s">
        <v>71</v>
      </c>
      <c r="I32" s="9" t="s">
        <v>72</v>
      </c>
      <c r="J32" s="12">
        <v>45658</v>
      </c>
      <c r="L32" s="13">
        <v>31.98</v>
      </c>
      <c r="M32" s="9">
        <v>9</v>
      </c>
      <c r="N32" s="14">
        <v>1</v>
      </c>
      <c r="O32" s="13">
        <v>287.82</v>
      </c>
      <c r="P32" s="15">
        <f>SUM(L32*12)</f>
        <v>383.76</v>
      </c>
    </row>
    <row r="33" spans="1:16" s="10" customFormat="1" ht="15.75" customHeight="1" x14ac:dyDescent="0.25">
      <c r="A33" s="8" t="s">
        <v>85</v>
      </c>
      <c r="B33" s="9" t="s">
        <v>86</v>
      </c>
      <c r="E33" s="9" t="s">
        <v>70</v>
      </c>
      <c r="G33" s="9">
        <v>8325282</v>
      </c>
      <c r="H33" s="9" t="s">
        <v>71</v>
      </c>
      <c r="I33" s="9" t="s">
        <v>72</v>
      </c>
      <c r="J33" s="12">
        <v>45658</v>
      </c>
      <c r="L33" s="13">
        <v>31.98</v>
      </c>
      <c r="M33" s="9">
        <v>9</v>
      </c>
      <c r="N33" s="14">
        <v>1</v>
      </c>
      <c r="O33" s="13">
        <v>287.82</v>
      </c>
      <c r="P33" s="15">
        <f>SUM(L33*12)</f>
        <v>383.76</v>
      </c>
    </row>
    <row r="34" spans="1:16" s="10" customFormat="1" ht="15.75" customHeight="1" x14ac:dyDescent="0.25">
      <c r="A34" s="8" t="s">
        <v>95</v>
      </c>
      <c r="B34" s="9" t="s">
        <v>96</v>
      </c>
      <c r="E34" s="9" t="s">
        <v>70</v>
      </c>
      <c r="G34" s="9">
        <v>8325282</v>
      </c>
      <c r="H34" s="9" t="s">
        <v>71</v>
      </c>
      <c r="I34" s="9" t="s">
        <v>72</v>
      </c>
      <c r="J34" s="12">
        <v>45658</v>
      </c>
      <c r="L34" s="13">
        <v>31.98</v>
      </c>
      <c r="M34" s="9">
        <v>9</v>
      </c>
      <c r="N34" s="14">
        <v>1</v>
      </c>
      <c r="O34" s="13">
        <v>287.82</v>
      </c>
      <c r="P34" s="15">
        <f>SUM(L34*12)</f>
        <v>383.76</v>
      </c>
    </row>
    <row r="35" spans="1:16" s="10" customFormat="1" ht="15.75" customHeight="1" x14ac:dyDescent="0.25">
      <c r="A35" s="8" t="s">
        <v>111</v>
      </c>
      <c r="B35" s="9" t="s">
        <v>104</v>
      </c>
      <c r="E35" s="9" t="s">
        <v>70</v>
      </c>
      <c r="G35" s="9">
        <v>9213293</v>
      </c>
      <c r="H35" s="9" t="s">
        <v>104</v>
      </c>
      <c r="I35" s="9" t="s">
        <v>72</v>
      </c>
      <c r="J35" s="12">
        <v>45658</v>
      </c>
      <c r="L35" s="13">
        <v>31.98</v>
      </c>
      <c r="M35" s="9">
        <v>9</v>
      </c>
      <c r="N35" s="14">
        <v>1</v>
      </c>
      <c r="O35" s="13">
        <v>287.82</v>
      </c>
      <c r="P35" s="15">
        <f>SUM(L35*12)</f>
        <v>383.76</v>
      </c>
    </row>
    <row r="36" spans="1:16" s="10" customFormat="1" ht="15.75" customHeight="1" x14ac:dyDescent="0.25">
      <c r="A36" s="8" t="s">
        <v>112</v>
      </c>
      <c r="B36" s="9" t="s">
        <v>113</v>
      </c>
      <c r="E36" s="9" t="s">
        <v>70</v>
      </c>
      <c r="G36" s="9">
        <v>9213293</v>
      </c>
      <c r="H36" s="9" t="s">
        <v>104</v>
      </c>
      <c r="I36" s="9" t="s">
        <v>72</v>
      </c>
      <c r="J36" s="12">
        <v>45658</v>
      </c>
      <c r="L36" s="13">
        <v>31.98</v>
      </c>
      <c r="M36" s="9">
        <v>9</v>
      </c>
      <c r="N36" s="14">
        <v>1</v>
      </c>
      <c r="O36" s="13">
        <v>287.82</v>
      </c>
      <c r="P36" s="15">
        <f>SUM(L36*12)</f>
        <v>383.76</v>
      </c>
    </row>
    <row r="37" spans="1:16" s="10" customFormat="1" ht="15.75" customHeight="1" x14ac:dyDescent="0.25">
      <c r="A37" s="8" t="s">
        <v>114</v>
      </c>
      <c r="B37" s="9" t="s">
        <v>115</v>
      </c>
      <c r="E37" s="9" t="s">
        <v>70</v>
      </c>
      <c r="G37" s="9">
        <v>9213293</v>
      </c>
      <c r="H37" s="9" t="s">
        <v>104</v>
      </c>
      <c r="I37" s="9" t="s">
        <v>72</v>
      </c>
      <c r="J37" s="12">
        <v>45658</v>
      </c>
      <c r="L37" s="13">
        <v>31.98</v>
      </c>
      <c r="M37" s="9">
        <v>9</v>
      </c>
      <c r="N37" s="14">
        <v>1</v>
      </c>
      <c r="O37" s="13">
        <v>287.82</v>
      </c>
      <c r="P37" s="15">
        <f>SUM(L37*12)</f>
        <v>383.76</v>
      </c>
    </row>
    <row r="38" spans="1:16" s="10" customFormat="1" ht="15.75" customHeight="1" x14ac:dyDescent="0.25">
      <c r="A38" s="8" t="s">
        <v>121</v>
      </c>
      <c r="B38" s="9" t="s">
        <v>122</v>
      </c>
      <c r="E38" s="9" t="s">
        <v>70</v>
      </c>
      <c r="G38" s="9">
        <v>18754354</v>
      </c>
      <c r="H38" s="9" t="s">
        <v>120</v>
      </c>
      <c r="I38" s="9" t="s">
        <v>72</v>
      </c>
      <c r="J38" s="12">
        <v>45658</v>
      </c>
      <c r="L38" s="13">
        <v>31.98</v>
      </c>
      <c r="M38" s="9">
        <v>9</v>
      </c>
      <c r="N38" s="14">
        <v>1</v>
      </c>
      <c r="O38" s="13">
        <v>287.82</v>
      </c>
      <c r="P38" s="15">
        <f>SUM(L38*12)</f>
        <v>383.76</v>
      </c>
    </row>
    <row r="39" spans="1:16" s="10" customFormat="1" ht="15.75" customHeight="1" x14ac:dyDescent="0.25">
      <c r="A39" s="8" t="s">
        <v>123</v>
      </c>
      <c r="B39" s="9" t="s">
        <v>124</v>
      </c>
      <c r="E39" s="9" t="s">
        <v>70</v>
      </c>
      <c r="G39" s="9">
        <v>18754354</v>
      </c>
      <c r="H39" s="9" t="s">
        <v>120</v>
      </c>
      <c r="I39" s="9" t="s">
        <v>72</v>
      </c>
      <c r="J39" s="12">
        <v>45658</v>
      </c>
      <c r="L39" s="13">
        <v>31.98</v>
      </c>
      <c r="M39" s="9">
        <v>9</v>
      </c>
      <c r="N39" s="14">
        <v>1</v>
      </c>
      <c r="O39" s="13">
        <v>287.82</v>
      </c>
      <c r="P39" s="15">
        <f>SUM(L39*12)</f>
        <v>383.76</v>
      </c>
    </row>
    <row r="40" spans="1:16" s="10" customFormat="1" ht="15.75" customHeight="1" x14ac:dyDescent="0.25">
      <c r="A40" s="8" t="s">
        <v>125</v>
      </c>
      <c r="B40" s="9" t="s">
        <v>126</v>
      </c>
      <c r="E40" s="9" t="s">
        <v>70</v>
      </c>
      <c r="G40" s="9">
        <v>18754354</v>
      </c>
      <c r="H40" s="9" t="s">
        <v>120</v>
      </c>
      <c r="I40" s="9" t="s">
        <v>72</v>
      </c>
      <c r="J40" s="12">
        <v>45658</v>
      </c>
      <c r="L40" s="13">
        <v>31.98</v>
      </c>
      <c r="M40" s="9">
        <v>9</v>
      </c>
      <c r="N40" s="14">
        <v>1</v>
      </c>
      <c r="O40" s="13">
        <v>287.82</v>
      </c>
      <c r="P40" s="15">
        <f>SUM(L40*12)</f>
        <v>383.76</v>
      </c>
    </row>
    <row r="41" spans="1:16" s="10" customFormat="1" ht="15.75" customHeight="1" x14ac:dyDescent="0.25">
      <c r="A41" s="8" t="s">
        <v>132</v>
      </c>
      <c r="B41" s="9" t="s">
        <v>133</v>
      </c>
      <c r="E41" s="9" t="s">
        <v>134</v>
      </c>
      <c r="G41" s="9">
        <v>9213293</v>
      </c>
      <c r="H41" s="9" t="s">
        <v>104</v>
      </c>
      <c r="I41" s="9" t="s">
        <v>135</v>
      </c>
      <c r="J41" s="12">
        <v>45566</v>
      </c>
      <c r="L41" s="13">
        <v>33</v>
      </c>
      <c r="M41" s="9">
        <v>9</v>
      </c>
      <c r="N41" s="14">
        <v>1</v>
      </c>
      <c r="O41" s="13">
        <v>297</v>
      </c>
      <c r="P41" s="15">
        <f>SUM(L41*12)</f>
        <v>396</v>
      </c>
    </row>
    <row r="42" spans="1:16" s="10" customFormat="1" ht="15.75" customHeight="1" x14ac:dyDescent="0.25">
      <c r="A42" s="8" t="s">
        <v>184</v>
      </c>
      <c r="B42" s="9" t="s">
        <v>185</v>
      </c>
      <c r="E42" s="9" t="s">
        <v>152</v>
      </c>
      <c r="G42" s="9">
        <v>17528908</v>
      </c>
      <c r="H42" s="9" t="s">
        <v>180</v>
      </c>
      <c r="I42" s="9" t="s">
        <v>186</v>
      </c>
      <c r="J42" s="12">
        <v>45627</v>
      </c>
      <c r="L42" s="13">
        <v>35.520000000000003</v>
      </c>
      <c r="M42" s="9">
        <v>9</v>
      </c>
      <c r="N42" s="14">
        <v>1</v>
      </c>
      <c r="O42" s="13">
        <v>319.68</v>
      </c>
      <c r="P42" s="15">
        <f>SUM(L42*12)</f>
        <v>426.24</v>
      </c>
    </row>
    <row r="43" spans="1:16" s="10" customFormat="1" ht="15.75" customHeight="1" x14ac:dyDescent="0.25">
      <c r="A43" s="8" t="s">
        <v>187</v>
      </c>
      <c r="B43" s="9" t="s">
        <v>188</v>
      </c>
      <c r="E43" s="9" t="s">
        <v>152</v>
      </c>
      <c r="G43" s="9">
        <v>17528908</v>
      </c>
      <c r="H43" s="9" t="s">
        <v>180</v>
      </c>
      <c r="I43" s="9" t="s">
        <v>186</v>
      </c>
      <c r="J43" s="12">
        <v>45627</v>
      </c>
      <c r="L43" s="13">
        <v>35.520000000000003</v>
      </c>
      <c r="M43" s="9">
        <v>9</v>
      </c>
      <c r="N43" s="14">
        <v>1</v>
      </c>
      <c r="O43" s="13">
        <v>319.68</v>
      </c>
      <c r="P43" s="15">
        <f>SUM(L43*12)</f>
        <v>426.24</v>
      </c>
    </row>
    <row r="44" spans="1:16" s="10" customFormat="1" ht="15.75" customHeight="1" x14ac:dyDescent="0.25">
      <c r="A44" s="8" t="s">
        <v>136</v>
      </c>
      <c r="B44" s="9" t="s">
        <v>137</v>
      </c>
      <c r="E44" s="9" t="s">
        <v>138</v>
      </c>
      <c r="G44" s="9">
        <v>19278370</v>
      </c>
      <c r="H44" s="9" t="s">
        <v>139</v>
      </c>
      <c r="I44" s="9" t="s">
        <v>140</v>
      </c>
      <c r="J44" s="12">
        <v>45536</v>
      </c>
      <c r="L44" s="13">
        <v>36</v>
      </c>
      <c r="M44" s="9">
        <v>9</v>
      </c>
      <c r="N44" s="14">
        <v>1</v>
      </c>
      <c r="O44" s="13">
        <v>324</v>
      </c>
      <c r="P44" s="15">
        <f>SUM(L44*12)</f>
        <v>432</v>
      </c>
    </row>
    <row r="45" spans="1:16" s="10" customFormat="1" ht="15.75" customHeight="1" x14ac:dyDescent="0.25">
      <c r="A45" s="8" t="s">
        <v>169</v>
      </c>
      <c r="B45" s="9" t="s">
        <v>170</v>
      </c>
      <c r="E45" s="9" t="s">
        <v>152</v>
      </c>
      <c r="G45" s="9">
        <v>19278370</v>
      </c>
      <c r="H45" s="9" t="s">
        <v>139</v>
      </c>
      <c r="I45" s="9" t="s">
        <v>171</v>
      </c>
      <c r="J45" s="12">
        <v>45536</v>
      </c>
      <c r="L45" s="13">
        <v>36.479999999999997</v>
      </c>
      <c r="M45" s="9">
        <v>9</v>
      </c>
      <c r="N45" s="14">
        <v>1</v>
      </c>
      <c r="O45" s="13">
        <v>328.32</v>
      </c>
      <c r="P45" s="15">
        <f>SUM(L45*12)</f>
        <v>437.76</v>
      </c>
    </row>
    <row r="46" spans="1:16" s="10" customFormat="1" ht="15.75" customHeight="1" x14ac:dyDescent="0.25">
      <c r="A46" s="8" t="s">
        <v>181</v>
      </c>
      <c r="B46" s="9" t="s">
        <v>182</v>
      </c>
      <c r="E46" s="9" t="s">
        <v>152</v>
      </c>
      <c r="G46" s="9">
        <v>16509456</v>
      </c>
      <c r="H46" s="9" t="s">
        <v>183</v>
      </c>
      <c r="I46" s="9" t="s">
        <v>171</v>
      </c>
      <c r="J46" s="12">
        <v>45536</v>
      </c>
      <c r="L46" s="13">
        <v>36.479999999999997</v>
      </c>
      <c r="M46" s="9">
        <v>9</v>
      </c>
      <c r="N46" s="14">
        <v>1</v>
      </c>
      <c r="O46" s="13">
        <v>328.32</v>
      </c>
      <c r="P46" s="15">
        <f>SUM(L46*12)</f>
        <v>437.76</v>
      </c>
    </row>
    <row r="47" spans="1:16" s="10" customFormat="1" ht="15.75" customHeight="1" x14ac:dyDescent="0.25">
      <c r="A47" s="8" t="s">
        <v>172</v>
      </c>
      <c r="B47" s="9" t="s">
        <v>173</v>
      </c>
      <c r="E47" s="9" t="s">
        <v>152</v>
      </c>
      <c r="G47" s="9">
        <v>19278370</v>
      </c>
      <c r="H47" s="9" t="s">
        <v>139</v>
      </c>
      <c r="I47" s="9" t="s">
        <v>171</v>
      </c>
      <c r="J47" s="12">
        <v>45627</v>
      </c>
      <c r="L47" s="13">
        <v>36.479999999999997</v>
      </c>
      <c r="M47" s="9">
        <v>9</v>
      </c>
      <c r="N47" s="14">
        <v>1</v>
      </c>
      <c r="O47" s="13">
        <v>328.32</v>
      </c>
      <c r="P47" s="15">
        <f>SUM(L47*12)</f>
        <v>437.76</v>
      </c>
    </row>
    <row r="48" spans="1:16" s="10" customFormat="1" ht="15.75" customHeight="1" x14ac:dyDescent="0.25">
      <c r="A48" s="8" t="s">
        <v>174</v>
      </c>
      <c r="B48" s="9" t="s">
        <v>175</v>
      </c>
      <c r="E48" s="9" t="s">
        <v>152</v>
      </c>
      <c r="G48" s="9">
        <v>19278370</v>
      </c>
      <c r="H48" s="9" t="s">
        <v>139</v>
      </c>
      <c r="I48" s="9" t="s">
        <v>171</v>
      </c>
      <c r="J48" s="12">
        <v>45627</v>
      </c>
      <c r="L48" s="13">
        <v>36.479999999999997</v>
      </c>
      <c r="M48" s="9">
        <v>9</v>
      </c>
      <c r="N48" s="14">
        <v>1</v>
      </c>
      <c r="O48" s="13">
        <v>328.32</v>
      </c>
      <c r="P48" s="15">
        <f>SUM(L48*12)</f>
        <v>437.76</v>
      </c>
    </row>
    <row r="49" spans="1:16" s="10" customFormat="1" ht="15.75" customHeight="1" x14ac:dyDescent="0.25">
      <c r="A49" s="8" t="s">
        <v>176</v>
      </c>
      <c r="B49" s="9" t="s">
        <v>177</v>
      </c>
      <c r="E49" s="9" t="s">
        <v>152</v>
      </c>
      <c r="G49" s="9">
        <v>19278370</v>
      </c>
      <c r="H49" s="9" t="s">
        <v>139</v>
      </c>
      <c r="I49" s="9" t="s">
        <v>171</v>
      </c>
      <c r="J49" s="12">
        <v>45658</v>
      </c>
      <c r="L49" s="13">
        <v>36.479999999999997</v>
      </c>
      <c r="M49" s="9">
        <v>9</v>
      </c>
      <c r="N49" s="14">
        <v>1</v>
      </c>
      <c r="O49" s="13">
        <v>328.32</v>
      </c>
      <c r="P49" s="15">
        <f>SUM(L49*12)</f>
        <v>437.76</v>
      </c>
    </row>
    <row r="50" spans="1:16" s="10" customFormat="1" ht="15.75" customHeight="1" x14ac:dyDescent="0.25">
      <c r="A50" s="8" t="s">
        <v>178</v>
      </c>
      <c r="B50" s="9" t="s">
        <v>179</v>
      </c>
      <c r="E50" s="9" t="s">
        <v>152</v>
      </c>
      <c r="G50" s="9">
        <v>17528908</v>
      </c>
      <c r="H50" s="9" t="s">
        <v>180</v>
      </c>
      <c r="I50" s="9" t="s">
        <v>171</v>
      </c>
      <c r="J50" s="12">
        <v>45658</v>
      </c>
      <c r="L50" s="13">
        <v>36.479999999999997</v>
      </c>
      <c r="M50" s="9">
        <v>9</v>
      </c>
      <c r="N50" s="14">
        <v>1</v>
      </c>
      <c r="O50" s="13">
        <v>328.32</v>
      </c>
      <c r="P50" s="15">
        <f>SUM(L50*12)</f>
        <v>437.76</v>
      </c>
    </row>
    <row r="51" spans="1:16" s="10" customFormat="1" ht="15.75" customHeight="1" x14ac:dyDescent="0.25">
      <c r="A51" s="17" t="s">
        <v>200</v>
      </c>
      <c r="B51" s="10" t="s">
        <v>201</v>
      </c>
      <c r="G51" s="10">
        <v>45601</v>
      </c>
      <c r="H51" s="10" t="s">
        <v>53</v>
      </c>
      <c r="I51" s="10" t="s">
        <v>171</v>
      </c>
      <c r="J51" s="18">
        <v>45658</v>
      </c>
      <c r="L51" s="19">
        <f>SUM(O51/9)</f>
        <v>36.479999999999997</v>
      </c>
      <c r="M51" s="9">
        <v>9</v>
      </c>
      <c r="N51" s="14">
        <v>1</v>
      </c>
      <c r="O51" s="19">
        <v>328.32</v>
      </c>
      <c r="P51" s="15">
        <f>SUM(L51*12)</f>
        <v>437.76</v>
      </c>
    </row>
    <row r="52" spans="1:16" s="10" customFormat="1" ht="15.75" customHeight="1" x14ac:dyDescent="0.25">
      <c r="A52" s="8" t="s">
        <v>154</v>
      </c>
      <c r="B52" s="9" t="s">
        <v>155</v>
      </c>
      <c r="E52" s="9" t="s">
        <v>152</v>
      </c>
      <c r="G52" s="9">
        <v>19278370</v>
      </c>
      <c r="H52" s="9" t="s">
        <v>139</v>
      </c>
      <c r="I52" s="9" t="s">
        <v>153</v>
      </c>
      <c r="J52" s="12">
        <v>45474</v>
      </c>
      <c r="L52" s="13">
        <v>37.5</v>
      </c>
      <c r="M52" s="9">
        <v>9</v>
      </c>
      <c r="N52" s="14">
        <v>1</v>
      </c>
      <c r="O52" s="13">
        <v>337.5</v>
      </c>
      <c r="P52" s="15">
        <f>SUM(L52*12)</f>
        <v>450</v>
      </c>
    </row>
    <row r="53" spans="1:16" s="10" customFormat="1" ht="15.75" customHeight="1" x14ac:dyDescent="0.25">
      <c r="A53" s="8" t="s">
        <v>150</v>
      </c>
      <c r="B53" s="9" t="s">
        <v>151</v>
      </c>
      <c r="E53" s="9" t="s">
        <v>152</v>
      </c>
      <c r="G53" s="9">
        <v>19278370</v>
      </c>
      <c r="H53" s="9" t="s">
        <v>139</v>
      </c>
      <c r="I53" s="9" t="s">
        <v>153</v>
      </c>
      <c r="J53" s="12">
        <v>45536</v>
      </c>
      <c r="L53" s="13">
        <v>37.5</v>
      </c>
      <c r="M53" s="9">
        <v>9</v>
      </c>
      <c r="N53" s="14">
        <v>1</v>
      </c>
      <c r="O53" s="13">
        <v>337.5</v>
      </c>
      <c r="P53" s="15">
        <f>SUM(L53*12)</f>
        <v>450</v>
      </c>
    </row>
    <row r="54" spans="1:16" s="10" customFormat="1" ht="15.75" customHeight="1" x14ac:dyDescent="0.25">
      <c r="A54" s="8" t="s">
        <v>156</v>
      </c>
      <c r="B54" s="9" t="s">
        <v>157</v>
      </c>
      <c r="E54" s="9" t="s">
        <v>152</v>
      </c>
      <c r="G54" s="9">
        <v>19278370</v>
      </c>
      <c r="H54" s="9" t="s">
        <v>139</v>
      </c>
      <c r="I54" s="9" t="s">
        <v>153</v>
      </c>
      <c r="J54" s="12">
        <v>45536</v>
      </c>
      <c r="L54" s="13">
        <v>37.5</v>
      </c>
      <c r="M54" s="9">
        <v>9</v>
      </c>
      <c r="N54" s="14">
        <v>1</v>
      </c>
      <c r="O54" s="13">
        <v>337.5</v>
      </c>
      <c r="P54" s="15">
        <f>SUM(L54*12)</f>
        <v>450</v>
      </c>
    </row>
    <row r="55" spans="1:16" s="10" customFormat="1" ht="15.75" customHeight="1" x14ac:dyDescent="0.25">
      <c r="A55" s="8" t="s">
        <v>158</v>
      </c>
      <c r="B55" s="9" t="s">
        <v>159</v>
      </c>
      <c r="E55" s="9" t="s">
        <v>152</v>
      </c>
      <c r="G55" s="9">
        <v>19278370</v>
      </c>
      <c r="H55" s="9" t="s">
        <v>139</v>
      </c>
      <c r="I55" s="9" t="s">
        <v>153</v>
      </c>
      <c r="J55" s="12">
        <v>45536</v>
      </c>
      <c r="L55" s="13">
        <v>37.5</v>
      </c>
      <c r="M55" s="9">
        <v>9</v>
      </c>
      <c r="N55" s="14">
        <v>1</v>
      </c>
      <c r="O55" s="13">
        <v>337.5</v>
      </c>
      <c r="P55" s="15">
        <f>SUM(L55*12)</f>
        <v>450</v>
      </c>
    </row>
    <row r="56" spans="1:16" s="10" customFormat="1" ht="15.75" customHeight="1" x14ac:dyDescent="0.25">
      <c r="A56" s="8" t="s">
        <v>160</v>
      </c>
      <c r="B56" s="9" t="s">
        <v>161</v>
      </c>
      <c r="E56" s="9" t="s">
        <v>152</v>
      </c>
      <c r="G56" s="9">
        <v>19278370</v>
      </c>
      <c r="H56" s="9" t="s">
        <v>139</v>
      </c>
      <c r="I56" s="9" t="s">
        <v>153</v>
      </c>
      <c r="J56" s="12">
        <v>45566</v>
      </c>
      <c r="L56" s="13">
        <v>37.5</v>
      </c>
      <c r="M56" s="9">
        <v>9</v>
      </c>
      <c r="N56" s="14">
        <v>1</v>
      </c>
      <c r="O56" s="13">
        <v>337.5</v>
      </c>
      <c r="P56" s="15">
        <f>SUM(L56*12)</f>
        <v>450</v>
      </c>
    </row>
    <row r="57" spans="1:16" s="10" customFormat="1" ht="15.75" customHeight="1" x14ac:dyDescent="0.25">
      <c r="A57" s="8" t="s">
        <v>162</v>
      </c>
      <c r="B57" s="9" t="s">
        <v>163</v>
      </c>
      <c r="E57" s="9" t="s">
        <v>152</v>
      </c>
      <c r="G57" s="9">
        <v>19278370</v>
      </c>
      <c r="H57" s="9" t="s">
        <v>139</v>
      </c>
      <c r="I57" s="9" t="s">
        <v>153</v>
      </c>
      <c r="J57" s="12">
        <v>45658</v>
      </c>
      <c r="L57" s="13">
        <v>37.5</v>
      </c>
      <c r="M57" s="9">
        <v>9</v>
      </c>
      <c r="N57" s="14">
        <v>1</v>
      </c>
      <c r="O57" s="13">
        <v>337.5</v>
      </c>
      <c r="P57" s="15">
        <f>SUM(L57*12)</f>
        <v>450</v>
      </c>
    </row>
    <row r="58" spans="1:16" s="10" customFormat="1" ht="15.75" customHeight="1" x14ac:dyDescent="0.25">
      <c r="A58" s="8" t="s">
        <v>141</v>
      </c>
      <c r="B58" s="9" t="s">
        <v>142</v>
      </c>
      <c r="E58" s="9" t="s">
        <v>143</v>
      </c>
      <c r="G58" s="9">
        <v>16212649</v>
      </c>
      <c r="H58" s="9" t="s">
        <v>144</v>
      </c>
      <c r="I58" s="9" t="s">
        <v>145</v>
      </c>
      <c r="J58" s="12">
        <v>45658</v>
      </c>
      <c r="L58" s="13">
        <v>42.21</v>
      </c>
      <c r="M58" s="9">
        <v>9</v>
      </c>
      <c r="N58" s="14">
        <v>1</v>
      </c>
      <c r="O58" s="13">
        <v>379.89</v>
      </c>
      <c r="P58" s="15">
        <f>SUM(L58*12)</f>
        <v>506.52</v>
      </c>
    </row>
    <row r="59" spans="1:16" s="10" customFormat="1" ht="15.75" customHeight="1" x14ac:dyDescent="0.25">
      <c r="A59" s="8" t="s">
        <v>63</v>
      </c>
      <c r="B59" s="9" t="s">
        <v>64</v>
      </c>
      <c r="E59" s="9" t="s">
        <v>52</v>
      </c>
      <c r="G59" s="9">
        <v>17425766</v>
      </c>
      <c r="H59" s="9" t="s">
        <v>53</v>
      </c>
      <c r="I59" s="9" t="s">
        <v>65</v>
      </c>
      <c r="J59" s="12">
        <v>45536</v>
      </c>
      <c r="L59" s="13">
        <v>44.31</v>
      </c>
      <c r="M59" s="9">
        <v>9</v>
      </c>
      <c r="N59" s="14">
        <v>1</v>
      </c>
      <c r="O59" s="13">
        <v>398.79</v>
      </c>
      <c r="P59" s="15">
        <f>SUM(L59*12)</f>
        <v>531.72</v>
      </c>
    </row>
    <row r="60" spans="1:16" s="10" customFormat="1" ht="15.75" customHeight="1" x14ac:dyDescent="0.25">
      <c r="A60" s="8" t="s">
        <v>66</v>
      </c>
      <c r="B60" s="9" t="s">
        <v>67</v>
      </c>
      <c r="E60" s="9" t="s">
        <v>52</v>
      </c>
      <c r="G60" s="9">
        <v>17425766</v>
      </c>
      <c r="H60" s="9" t="s">
        <v>53</v>
      </c>
      <c r="I60" s="9" t="s">
        <v>65</v>
      </c>
      <c r="J60" s="12">
        <v>45566</v>
      </c>
      <c r="L60" s="13">
        <v>44.31</v>
      </c>
      <c r="M60" s="9">
        <v>9</v>
      </c>
      <c r="N60" s="14">
        <v>1</v>
      </c>
      <c r="O60" s="13">
        <v>398.79</v>
      </c>
      <c r="P60" s="15">
        <f>SUM(L60*12)</f>
        <v>531.72</v>
      </c>
    </row>
    <row r="61" spans="1:16" s="10" customFormat="1" ht="15.75" customHeight="1" x14ac:dyDescent="0.25">
      <c r="A61" s="17" t="s">
        <v>202</v>
      </c>
      <c r="B61" s="10" t="s">
        <v>203</v>
      </c>
      <c r="G61" s="10">
        <v>43969</v>
      </c>
      <c r="H61" s="10" t="s">
        <v>59</v>
      </c>
      <c r="I61" s="10" t="s">
        <v>206</v>
      </c>
      <c r="J61" s="18">
        <v>45658</v>
      </c>
      <c r="L61" s="19">
        <f>SUM(O61/9)</f>
        <v>46.830000000000005</v>
      </c>
      <c r="M61" s="9">
        <v>9</v>
      </c>
      <c r="N61" s="14">
        <v>1</v>
      </c>
      <c r="O61" s="19">
        <v>421.47</v>
      </c>
      <c r="P61" s="15">
        <f>SUM(L61*12)</f>
        <v>561.96</v>
      </c>
    </row>
    <row r="62" spans="1:16" s="10" customFormat="1" ht="15.75" customHeight="1" x14ac:dyDescent="0.25">
      <c r="A62" s="8" t="s">
        <v>50</v>
      </c>
      <c r="B62" s="9" t="s">
        <v>51</v>
      </c>
      <c r="E62" s="9" t="s">
        <v>52</v>
      </c>
      <c r="G62" s="9">
        <v>17425766</v>
      </c>
      <c r="H62" s="9" t="s">
        <v>53</v>
      </c>
      <c r="I62" s="9" t="s">
        <v>54</v>
      </c>
      <c r="J62" s="12">
        <v>45658</v>
      </c>
      <c r="L62" s="13">
        <v>58.19</v>
      </c>
      <c r="M62" s="9">
        <v>9</v>
      </c>
      <c r="N62" s="14">
        <v>1</v>
      </c>
      <c r="O62" s="13">
        <v>523.71</v>
      </c>
      <c r="P62" s="15">
        <f>SUM(L62*12)</f>
        <v>698.28</v>
      </c>
    </row>
    <row r="63" spans="1:16" s="10" customFormat="1" ht="15.75" customHeight="1" x14ac:dyDescent="0.25">
      <c r="A63" s="8" t="s">
        <v>55</v>
      </c>
      <c r="B63" s="9" t="s">
        <v>56</v>
      </c>
      <c r="E63" s="9" t="s">
        <v>52</v>
      </c>
      <c r="G63" s="9">
        <v>17425766</v>
      </c>
      <c r="H63" s="9" t="s">
        <v>53</v>
      </c>
      <c r="I63" s="9" t="s">
        <v>54</v>
      </c>
      <c r="J63" s="12">
        <v>45658</v>
      </c>
      <c r="L63" s="13">
        <v>58.19</v>
      </c>
      <c r="M63" s="9">
        <v>9</v>
      </c>
      <c r="N63" s="14">
        <v>1</v>
      </c>
      <c r="O63" s="13">
        <v>523.71</v>
      </c>
      <c r="P63" s="15">
        <f>SUM(L63*12)</f>
        <v>698.28</v>
      </c>
    </row>
    <row r="64" spans="1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3:P63">
    <sortCondition ref="P3:P63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22EC-E3C3-461D-9427-98CAB23CD241}">
  <dimension ref="A1:B62"/>
  <sheetViews>
    <sheetView workbookViewId="0">
      <selection activeCell="B1" sqref="B1:B62"/>
    </sheetView>
  </sheetViews>
  <sheetFormatPr defaultRowHeight="15" x14ac:dyDescent="0.25"/>
  <sheetData>
    <row r="1" spans="1:2" x14ac:dyDescent="0.25">
      <c r="A1" s="2">
        <v>45658</v>
      </c>
      <c r="B1" s="5">
        <f>DATE(YEAR(A1), MONTH(A1) +1, DAY(A1))</f>
        <v>45689</v>
      </c>
    </row>
    <row r="2" spans="1:2" x14ac:dyDescent="0.25">
      <c r="A2" s="2">
        <v>45658</v>
      </c>
      <c r="B2" s="5">
        <f t="shared" ref="B2:B62" si="0">DATE(YEAR(A2), MONTH(A2) +1, DAY(A2))</f>
        <v>45689</v>
      </c>
    </row>
    <row r="3" spans="1:2" x14ac:dyDescent="0.25">
      <c r="A3" s="2">
        <v>45566</v>
      </c>
      <c r="B3" s="5">
        <f t="shared" si="0"/>
        <v>45597</v>
      </c>
    </row>
    <row r="4" spans="1:2" x14ac:dyDescent="0.25">
      <c r="A4" s="5">
        <v>45627</v>
      </c>
      <c r="B4" s="5">
        <f t="shared" si="0"/>
        <v>45658</v>
      </c>
    </row>
    <row r="5" spans="1:2" x14ac:dyDescent="0.25">
      <c r="A5" s="5">
        <v>45627</v>
      </c>
      <c r="B5" s="5">
        <f t="shared" si="0"/>
        <v>45658</v>
      </c>
    </row>
    <row r="6" spans="1:2" x14ac:dyDescent="0.25">
      <c r="A6" s="2">
        <v>45627</v>
      </c>
      <c r="B6" s="5">
        <f t="shared" si="0"/>
        <v>45658</v>
      </c>
    </row>
    <row r="7" spans="1:2" x14ac:dyDescent="0.25">
      <c r="A7" s="2">
        <v>45505</v>
      </c>
      <c r="B7" s="5">
        <f t="shared" si="0"/>
        <v>45536</v>
      </c>
    </row>
    <row r="8" spans="1:2" x14ac:dyDescent="0.25">
      <c r="A8" s="2">
        <v>45505</v>
      </c>
      <c r="B8" s="5">
        <f t="shared" si="0"/>
        <v>45536</v>
      </c>
    </row>
    <row r="9" spans="1:2" x14ac:dyDescent="0.25">
      <c r="A9" s="2">
        <v>45658</v>
      </c>
      <c r="B9" s="5">
        <f t="shared" si="0"/>
        <v>45689</v>
      </c>
    </row>
    <row r="10" spans="1:2" x14ac:dyDescent="0.25">
      <c r="A10" s="5">
        <v>45658</v>
      </c>
      <c r="B10" s="5">
        <f t="shared" si="0"/>
        <v>45689</v>
      </c>
    </row>
    <row r="11" spans="1:2" x14ac:dyDescent="0.25">
      <c r="A11" s="2">
        <v>45505</v>
      </c>
      <c r="B11" s="5">
        <f t="shared" si="0"/>
        <v>45536</v>
      </c>
    </row>
    <row r="12" spans="1:2" x14ac:dyDescent="0.25">
      <c r="A12" s="2">
        <v>45536</v>
      </c>
      <c r="B12" s="5">
        <f t="shared" si="0"/>
        <v>45566</v>
      </c>
    </row>
    <row r="13" spans="1:2" x14ac:dyDescent="0.25">
      <c r="A13" s="2">
        <v>45536</v>
      </c>
      <c r="B13" s="5">
        <f t="shared" si="0"/>
        <v>45566</v>
      </c>
    </row>
    <row r="14" spans="1:2" x14ac:dyDescent="0.25">
      <c r="A14" s="2">
        <v>45566</v>
      </c>
      <c r="B14" s="5">
        <f t="shared" si="0"/>
        <v>45597</v>
      </c>
    </row>
    <row r="15" spans="1:2" x14ac:dyDescent="0.25">
      <c r="A15" s="2">
        <v>45566</v>
      </c>
      <c r="B15" s="5">
        <f t="shared" si="0"/>
        <v>45597</v>
      </c>
    </row>
    <row r="16" spans="1:2" x14ac:dyDescent="0.25">
      <c r="A16" s="2">
        <v>45597</v>
      </c>
      <c r="B16" s="5">
        <f t="shared" si="0"/>
        <v>45627</v>
      </c>
    </row>
    <row r="17" spans="1:2" x14ac:dyDescent="0.25">
      <c r="A17" s="2">
        <v>45597</v>
      </c>
      <c r="B17" s="5">
        <f t="shared" si="0"/>
        <v>45627</v>
      </c>
    </row>
    <row r="18" spans="1:2" x14ac:dyDescent="0.25">
      <c r="A18" s="2">
        <v>45597</v>
      </c>
      <c r="B18" s="5">
        <f t="shared" si="0"/>
        <v>45627</v>
      </c>
    </row>
    <row r="19" spans="1:2" x14ac:dyDescent="0.25">
      <c r="A19" s="2">
        <v>45597</v>
      </c>
      <c r="B19" s="5">
        <f t="shared" si="0"/>
        <v>45627</v>
      </c>
    </row>
    <row r="20" spans="1:2" x14ac:dyDescent="0.25">
      <c r="A20" s="2">
        <v>45597</v>
      </c>
      <c r="B20" s="5">
        <f t="shared" si="0"/>
        <v>45627</v>
      </c>
    </row>
    <row r="21" spans="1:2" x14ac:dyDescent="0.25">
      <c r="A21" s="2">
        <v>45597</v>
      </c>
      <c r="B21" s="5">
        <f t="shared" si="0"/>
        <v>45627</v>
      </c>
    </row>
    <row r="22" spans="1:2" x14ac:dyDescent="0.25">
      <c r="A22" s="2">
        <v>45597</v>
      </c>
      <c r="B22" s="5">
        <f t="shared" si="0"/>
        <v>45627</v>
      </c>
    </row>
    <row r="23" spans="1:2" x14ac:dyDescent="0.25">
      <c r="A23" s="2">
        <v>45597</v>
      </c>
      <c r="B23" s="5">
        <f t="shared" si="0"/>
        <v>45627</v>
      </c>
    </row>
    <row r="24" spans="1:2" x14ac:dyDescent="0.25">
      <c r="A24" s="2">
        <v>45627</v>
      </c>
      <c r="B24" s="5">
        <f t="shared" si="0"/>
        <v>45658</v>
      </c>
    </row>
    <row r="25" spans="1:2" x14ac:dyDescent="0.25">
      <c r="A25" s="2">
        <v>45627</v>
      </c>
      <c r="B25" s="5">
        <f t="shared" si="0"/>
        <v>45658</v>
      </c>
    </row>
    <row r="26" spans="1:2" x14ac:dyDescent="0.25">
      <c r="A26" s="2">
        <v>45627</v>
      </c>
      <c r="B26" s="5">
        <f t="shared" si="0"/>
        <v>45658</v>
      </c>
    </row>
    <row r="27" spans="1:2" x14ac:dyDescent="0.25">
      <c r="A27" s="2">
        <v>45627</v>
      </c>
      <c r="B27" s="5">
        <f t="shared" si="0"/>
        <v>45658</v>
      </c>
    </row>
    <row r="28" spans="1:2" x14ac:dyDescent="0.25">
      <c r="A28" s="2">
        <v>45627</v>
      </c>
      <c r="B28" s="5">
        <f t="shared" si="0"/>
        <v>45658</v>
      </c>
    </row>
    <row r="29" spans="1:2" x14ac:dyDescent="0.25">
      <c r="A29" s="2">
        <v>45627</v>
      </c>
      <c r="B29" s="5">
        <f t="shared" si="0"/>
        <v>45658</v>
      </c>
    </row>
    <row r="30" spans="1:2" x14ac:dyDescent="0.25">
      <c r="A30" s="2">
        <v>45627</v>
      </c>
      <c r="B30" s="5">
        <f t="shared" si="0"/>
        <v>45658</v>
      </c>
    </row>
    <row r="31" spans="1:2" x14ac:dyDescent="0.25">
      <c r="A31" s="2">
        <v>45658</v>
      </c>
      <c r="B31" s="5">
        <f t="shared" si="0"/>
        <v>45689</v>
      </c>
    </row>
    <row r="32" spans="1:2" x14ac:dyDescent="0.25">
      <c r="A32" s="2">
        <v>45658</v>
      </c>
      <c r="B32" s="5">
        <f t="shared" si="0"/>
        <v>45689</v>
      </c>
    </row>
    <row r="33" spans="1:2" x14ac:dyDescent="0.25">
      <c r="A33" s="2">
        <v>45658</v>
      </c>
      <c r="B33" s="5">
        <f t="shared" si="0"/>
        <v>45689</v>
      </c>
    </row>
    <row r="34" spans="1:2" x14ac:dyDescent="0.25">
      <c r="A34" s="2">
        <v>45658</v>
      </c>
      <c r="B34" s="5">
        <f t="shared" si="0"/>
        <v>45689</v>
      </c>
    </row>
    <row r="35" spans="1:2" x14ac:dyDescent="0.25">
      <c r="A35" s="2">
        <v>45658</v>
      </c>
      <c r="B35" s="5">
        <f t="shared" si="0"/>
        <v>45689</v>
      </c>
    </row>
    <row r="36" spans="1:2" x14ac:dyDescent="0.25">
      <c r="A36" s="2">
        <v>45658</v>
      </c>
      <c r="B36" s="5">
        <f t="shared" si="0"/>
        <v>45689</v>
      </c>
    </row>
    <row r="37" spans="1:2" x14ac:dyDescent="0.25">
      <c r="A37" s="2">
        <v>45658</v>
      </c>
      <c r="B37" s="5">
        <f t="shared" si="0"/>
        <v>45689</v>
      </c>
    </row>
    <row r="38" spans="1:2" x14ac:dyDescent="0.25">
      <c r="A38" s="2">
        <v>45658</v>
      </c>
      <c r="B38" s="5">
        <f t="shared" si="0"/>
        <v>45689</v>
      </c>
    </row>
    <row r="39" spans="1:2" x14ac:dyDescent="0.25">
      <c r="A39" s="2">
        <v>45658</v>
      </c>
      <c r="B39" s="5">
        <f t="shared" si="0"/>
        <v>45689</v>
      </c>
    </row>
    <row r="40" spans="1:2" x14ac:dyDescent="0.25">
      <c r="A40" s="2">
        <v>45566</v>
      </c>
      <c r="B40" s="5">
        <f t="shared" si="0"/>
        <v>45597</v>
      </c>
    </row>
    <row r="41" spans="1:2" x14ac:dyDescent="0.25">
      <c r="A41" s="2">
        <v>45627</v>
      </c>
      <c r="B41" s="5">
        <f t="shared" si="0"/>
        <v>45658</v>
      </c>
    </row>
    <row r="42" spans="1:2" x14ac:dyDescent="0.25">
      <c r="A42" s="2">
        <v>45627</v>
      </c>
      <c r="B42" s="5">
        <f t="shared" si="0"/>
        <v>45658</v>
      </c>
    </row>
    <row r="43" spans="1:2" x14ac:dyDescent="0.25">
      <c r="A43" s="2">
        <v>45536</v>
      </c>
      <c r="B43" s="5">
        <f t="shared" si="0"/>
        <v>45566</v>
      </c>
    </row>
    <row r="44" spans="1:2" x14ac:dyDescent="0.25">
      <c r="A44" s="2">
        <v>45536</v>
      </c>
      <c r="B44" s="5">
        <f t="shared" si="0"/>
        <v>45566</v>
      </c>
    </row>
    <row r="45" spans="1:2" x14ac:dyDescent="0.25">
      <c r="A45" s="2">
        <v>45536</v>
      </c>
      <c r="B45" s="5">
        <f t="shared" si="0"/>
        <v>45566</v>
      </c>
    </row>
    <row r="46" spans="1:2" x14ac:dyDescent="0.25">
      <c r="A46" s="2">
        <v>45627</v>
      </c>
      <c r="B46" s="5">
        <f t="shared" si="0"/>
        <v>45658</v>
      </c>
    </row>
    <row r="47" spans="1:2" x14ac:dyDescent="0.25">
      <c r="A47" s="2">
        <v>45627</v>
      </c>
      <c r="B47" s="5">
        <f t="shared" si="0"/>
        <v>45658</v>
      </c>
    </row>
    <row r="48" spans="1:2" x14ac:dyDescent="0.25">
      <c r="A48" s="2">
        <v>45658</v>
      </c>
      <c r="B48" s="5">
        <f t="shared" si="0"/>
        <v>45689</v>
      </c>
    </row>
    <row r="49" spans="1:2" x14ac:dyDescent="0.25">
      <c r="A49" s="2">
        <v>45658</v>
      </c>
      <c r="B49" s="5">
        <f t="shared" si="0"/>
        <v>45689</v>
      </c>
    </row>
    <row r="50" spans="1:2" x14ac:dyDescent="0.25">
      <c r="A50" s="5">
        <v>45658</v>
      </c>
      <c r="B50" s="5">
        <f t="shared" si="0"/>
        <v>45689</v>
      </c>
    </row>
    <row r="51" spans="1:2" x14ac:dyDescent="0.25">
      <c r="A51" s="2">
        <v>45474</v>
      </c>
      <c r="B51" s="5">
        <f t="shared" si="0"/>
        <v>45505</v>
      </c>
    </row>
    <row r="52" spans="1:2" x14ac:dyDescent="0.25">
      <c r="A52" s="2">
        <v>45536</v>
      </c>
      <c r="B52" s="5">
        <f t="shared" si="0"/>
        <v>45566</v>
      </c>
    </row>
    <row r="53" spans="1:2" x14ac:dyDescent="0.25">
      <c r="A53" s="2">
        <v>45536</v>
      </c>
      <c r="B53" s="5">
        <f t="shared" si="0"/>
        <v>45566</v>
      </c>
    </row>
    <row r="54" spans="1:2" x14ac:dyDescent="0.25">
      <c r="A54" s="2">
        <v>45536</v>
      </c>
      <c r="B54" s="5">
        <f t="shared" si="0"/>
        <v>45566</v>
      </c>
    </row>
    <row r="55" spans="1:2" x14ac:dyDescent="0.25">
      <c r="A55" s="2">
        <v>45566</v>
      </c>
      <c r="B55" s="5">
        <f t="shared" si="0"/>
        <v>45597</v>
      </c>
    </row>
    <row r="56" spans="1:2" x14ac:dyDescent="0.25">
      <c r="A56" s="2">
        <v>45658</v>
      </c>
      <c r="B56" s="5">
        <f t="shared" si="0"/>
        <v>45689</v>
      </c>
    </row>
    <row r="57" spans="1:2" x14ac:dyDescent="0.25">
      <c r="A57" s="2">
        <v>45658</v>
      </c>
      <c r="B57" s="5">
        <f t="shared" si="0"/>
        <v>45689</v>
      </c>
    </row>
    <row r="58" spans="1:2" x14ac:dyDescent="0.25">
      <c r="A58" s="2">
        <v>45536</v>
      </c>
      <c r="B58" s="5">
        <f t="shared" si="0"/>
        <v>45566</v>
      </c>
    </row>
    <row r="59" spans="1:2" x14ac:dyDescent="0.25">
      <c r="A59" s="2">
        <v>45566</v>
      </c>
      <c r="B59" s="5">
        <f t="shared" si="0"/>
        <v>45597</v>
      </c>
    </row>
    <row r="60" spans="1:2" x14ac:dyDescent="0.25">
      <c r="A60" s="5">
        <v>45658</v>
      </c>
      <c r="B60" s="5">
        <f t="shared" si="0"/>
        <v>45689</v>
      </c>
    </row>
    <row r="61" spans="1:2" x14ac:dyDescent="0.25">
      <c r="A61" s="2">
        <v>45658</v>
      </c>
      <c r="B61" s="5">
        <f t="shared" si="0"/>
        <v>45689</v>
      </c>
    </row>
    <row r="62" spans="1:2" x14ac:dyDescent="0.25">
      <c r="A62" s="2">
        <v>45658</v>
      </c>
      <c r="B62" s="5">
        <f t="shared" si="0"/>
        <v>45689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2024-12-12T20:10:51Z</dcterms:created>
  <dcterms:modified xsi:type="dcterms:W3CDTF">2024-12-23T21:20:02Z</dcterms:modified>
</cp:coreProperties>
</file>