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FG\2026\2026-06-03 NB\"/>
    </mc:Choice>
  </mc:AlternateContent>
  <xr:revisionPtr revIDLastSave="0" documentId="13_ncr:1_{7BFC4F55-7981-4F02-85F9-A6D0BD604D77}" xr6:coauthVersionLast="47" xr6:coauthVersionMax="47" xr10:uidLastSave="{00000000-0000-0000-0000-000000000000}"/>
  <bookViews>
    <workbookView xWindow="-120" yWindow="-120" windowWidth="29040" windowHeight="15720" activeTab="1" xr2:uid="{24B6D5CD-D614-447F-B0DC-7C447852A90F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2" l="1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<sst xmlns="http://schemas.openxmlformats.org/spreadsheetml/2006/main" count="1847" uniqueCount="282">
  <si>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</si>
  <si>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</si>
  <si>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</si>
  <si>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</si>
  <si>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</si>
  <si>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</si>
  <si>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</si>
  <si>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</si>
  <si>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</si>
  <si>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</si>
  <si>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</si>
  <si>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</si>
  <si>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</si>
  <si>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</si>
  <si>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</si>
  <si>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</si>
  <si>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</si>
  <si>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</si>
  <si>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</si>
  <si>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</si>
  <si>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</si>
  <si>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</si>
  <si>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</si>
  <si>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</si>
  <si>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</si>
  <si>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</si>
  <si>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</si>
  <si>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</si>
  <si>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</si>
  <si>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</si>
  <si>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</si>
  <si>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</si>
  <si>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</si>
  <si>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</si>
  <si>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</si>
  <si>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</si>
  <si>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</si>
  <si>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</si>
  <si>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</si>
  <si>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</si>
  <si>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</si>
  <si>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</si>
  <si>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</si>
  <si>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</si>
  <si>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'00024425940K</t>
  </si>
  <si>
    <t>BARBARA SIMKIN</t>
  </si>
  <si>
    <t>IL</t>
  </si>
  <si>
    <t>'045638</t>
  </si>
  <si>
    <t>RICHARD YALE</t>
  </si>
  <si>
    <t>ACTIVE</t>
  </si>
  <si>
    <t>Humana MA 2019+ Level 15- 175/108</t>
  </si>
  <si>
    <t>Monthly</t>
  </si>
  <si>
    <t>AV</t>
  </si>
  <si>
    <t>'00026527723K</t>
  </si>
  <si>
    <t>DAVID GANFIELD</t>
  </si>
  <si>
    <t>'00026530642K</t>
  </si>
  <si>
    <t>MARGERY CLARK</t>
  </si>
  <si>
    <t>WI</t>
  </si>
  <si>
    <t>'045603</t>
  </si>
  <si>
    <t>ANDREW CHOI</t>
  </si>
  <si>
    <t>'00026531294K</t>
  </si>
  <si>
    <t>TONI TURNER</t>
  </si>
  <si>
    <t>'043618</t>
  </si>
  <si>
    <t>SAADIA ABDUL</t>
  </si>
  <si>
    <t>'00026531514K</t>
  </si>
  <si>
    <t>DAVID PURDON</t>
  </si>
  <si>
    <t>TX</t>
  </si>
  <si>
    <t>'043678</t>
  </si>
  <si>
    <t>MATTHEW DAUGHERTY</t>
  </si>
  <si>
    <t>'00026531813K</t>
  </si>
  <si>
    <t>STYLIANOS KOUVELAS</t>
  </si>
  <si>
    <t>'043682</t>
  </si>
  <si>
    <t>GREGORY TEIPEL</t>
  </si>
  <si>
    <t>'00026531857K</t>
  </si>
  <si>
    <t>DOUGLAS KAUS</t>
  </si>
  <si>
    <t>'045605</t>
  </si>
  <si>
    <t>GARY PORTUGAL</t>
  </si>
  <si>
    <t>'00026538315K</t>
  </si>
  <si>
    <t>WILLIAM ERICKSON</t>
  </si>
  <si>
    <t>TN</t>
  </si>
  <si>
    <t>'00026541112K</t>
  </si>
  <si>
    <t>DONNA BROMBY</t>
  </si>
  <si>
    <t>'00026541287K</t>
  </si>
  <si>
    <t>MICHAEL CLARK</t>
  </si>
  <si>
    <t>'00026542697K</t>
  </si>
  <si>
    <t>KARA YOSHIMURA</t>
  </si>
  <si>
    <t>'00026543135K</t>
  </si>
  <si>
    <t>NANCY DUARTE GOMEZ</t>
  </si>
  <si>
    <t>'101232126300</t>
  </si>
  <si>
    <t>INSANOUK THANADABOUTH</t>
  </si>
  <si>
    <t>'043625</t>
  </si>
  <si>
    <t>PATSAMON THANADABOUTH</t>
  </si>
  <si>
    <t>Aetna MAPD NMO to MMO - 2025+ New E-App</t>
  </si>
  <si>
    <t>'101644939000</t>
  </si>
  <si>
    <t>MARTIN LUFFEY</t>
  </si>
  <si>
    <t>PA</t>
  </si>
  <si>
    <t>'043786</t>
  </si>
  <si>
    <t>MARGARET SMITH</t>
  </si>
  <si>
    <t>Aetna MAPD NMO to MMO - 2025+ Replace E-App</t>
  </si>
  <si>
    <t>7/12 PRORATE</t>
  </si>
  <si>
    <t>'102224747400</t>
  </si>
  <si>
    <t>JANET MILLER</t>
  </si>
  <si>
    <t>IA</t>
  </si>
  <si>
    <t>'045622</t>
  </si>
  <si>
    <t>JACOB YALE</t>
  </si>
  <si>
    <t>Active</t>
  </si>
  <si>
    <t>Aetna MAPD NMO to MMO - 2025+ New Paper</t>
  </si>
  <si>
    <t>Aetna MA Bonus Upload 06-03-2026.xlsx</t>
  </si>
  <si>
    <t>'102274341000</t>
  </si>
  <si>
    <t>STEVE BISTARKEY</t>
  </si>
  <si>
    <t>'043679</t>
  </si>
  <si>
    <t>DEBORAH INSKIPT</t>
  </si>
  <si>
    <t>'102274571700</t>
  </si>
  <si>
    <t>JOHN FOUTTY</t>
  </si>
  <si>
    <t>OH</t>
  </si>
  <si>
    <t>'040060</t>
  </si>
  <si>
    <t>RYAN SHEPARD</t>
  </si>
  <si>
    <t>'102274813300</t>
  </si>
  <si>
    <t>EDMUND DUFFLEY</t>
  </si>
  <si>
    <t>'041686</t>
  </si>
  <si>
    <t>DALE WALENGA</t>
  </si>
  <si>
    <t>'102275027100</t>
  </si>
  <si>
    <t>MARK NEFF</t>
  </si>
  <si>
    <t>'102275148400</t>
  </si>
  <si>
    <t>LAURIE RAMEY</t>
  </si>
  <si>
    <t>'102275328300</t>
  </si>
  <si>
    <t>JAMES EZNACK</t>
  </si>
  <si>
    <t>'102275502600</t>
  </si>
  <si>
    <t>MICHAEL VRONOSKI</t>
  </si>
  <si>
    <t>'102275688500</t>
  </si>
  <si>
    <t>REBECCA DICKSON</t>
  </si>
  <si>
    <t>'102275883400</t>
  </si>
  <si>
    <t>KENNETH TRACY</t>
  </si>
  <si>
    <t>'043832</t>
  </si>
  <si>
    <t>CAROL FRITZ</t>
  </si>
  <si>
    <t>'102276185900</t>
  </si>
  <si>
    <t>WALTER BATTLE</t>
  </si>
  <si>
    <t>'102276195200</t>
  </si>
  <si>
    <t>CHARLES MCCLERNON</t>
  </si>
  <si>
    <t>'045607</t>
  </si>
  <si>
    <t>PAMELA DEATON</t>
  </si>
  <si>
    <t>'102276209100</t>
  </si>
  <si>
    <t>KATHRYN THOMAS</t>
  </si>
  <si>
    <t>'102276304500</t>
  </si>
  <si>
    <t>MICHAEL HOBACK</t>
  </si>
  <si>
    <t>'043705</t>
  </si>
  <si>
    <t>MICHAEL DUNAVANT</t>
  </si>
  <si>
    <t>'102276384600</t>
  </si>
  <si>
    <t>MARY FRIEND</t>
  </si>
  <si>
    <t>'102276504200</t>
  </si>
  <si>
    <t>DANIEL KORNOWSKI</t>
  </si>
  <si>
    <t>'047621</t>
  </si>
  <si>
    <t>TOM SERIO</t>
  </si>
  <si>
    <t>'102276570700</t>
  </si>
  <si>
    <t>JODIE HARTUNG</t>
  </si>
  <si>
    <t>'102276693000</t>
  </si>
  <si>
    <t>DEAN CORNELL</t>
  </si>
  <si>
    <t>'043689</t>
  </si>
  <si>
    <t>ANNE MARIE KOZACHECK</t>
  </si>
  <si>
    <t>'102276738400</t>
  </si>
  <si>
    <t>KAREN HALLEY</t>
  </si>
  <si>
    <t>'102276901900</t>
  </si>
  <si>
    <t>SUSAN MCCLOSKEY</t>
  </si>
  <si>
    <t>'043611</t>
  </si>
  <si>
    <t>TIMOTHY POWERS</t>
  </si>
  <si>
    <t>'102277107500</t>
  </si>
  <si>
    <t>JANET CASCIATO</t>
  </si>
  <si>
    <t>'043747</t>
  </si>
  <si>
    <t>ALAN COUSAR</t>
  </si>
  <si>
    <t>'102277112400</t>
  </si>
  <si>
    <t>STEVEN SABULSKY</t>
  </si>
  <si>
    <t>'045609</t>
  </si>
  <si>
    <t>MURRAY STERNER</t>
  </si>
  <si>
    <t>'102279127200</t>
  </si>
  <si>
    <t>MARQUERITA GOMEZ</t>
  </si>
  <si>
    <t>IN</t>
  </si>
  <si>
    <t>'045712</t>
  </si>
  <si>
    <t>GREGORY HANSFORD</t>
  </si>
  <si>
    <t>'102279156000</t>
  </si>
  <si>
    <t>CHRISTINE NAGOWSKI</t>
  </si>
  <si>
    <t>5/12 PRORATE</t>
  </si>
  <si>
    <t>'102279171500</t>
  </si>
  <si>
    <t>REBECCA KRIVAK</t>
  </si>
  <si>
    <t>'102280040700</t>
  </si>
  <si>
    <t>MARY BARRINGER</t>
  </si>
  <si>
    <t>'045421</t>
  </si>
  <si>
    <t>MATTHEW SHERMAN</t>
  </si>
  <si>
    <t>'102280063200</t>
  </si>
  <si>
    <t>DAVID FUNKHOUSER</t>
  </si>
  <si>
    <t>'102280074200</t>
  </si>
  <si>
    <t>KEITH RODECK</t>
  </si>
  <si>
    <t>FL</t>
  </si>
  <si>
    <t>'31U3A1X56</t>
  </si>
  <si>
    <t>MARY GRUBER</t>
  </si>
  <si>
    <t>Cigna MAPD FMO to GA 1-1-19+ - New</t>
  </si>
  <si>
    <t>'34H6U5L39</t>
  </si>
  <si>
    <t>JOSEPH BOSCH</t>
  </si>
  <si>
    <t>'72H2A7X94</t>
  </si>
  <si>
    <t>JOYCE RIEHL-COSTANZO</t>
  </si>
  <si>
    <t>'A04480434</t>
  </si>
  <si>
    <t>RAYMOND HADDAD</t>
  </si>
  <si>
    <t>UHC AARP Med Supp 2026+ PA Plan B C F G</t>
  </si>
  <si>
    <t>'UHC MBI</t>
  </si>
  <si>
    <t>UHC MBI</t>
  </si>
  <si>
    <t>'TBD</t>
  </si>
  <si>
    <t>OTHER</t>
  </si>
  <si>
    <t>UHC MBI Bonus Upload 06-03-2026.xlsx</t>
  </si>
  <si>
    <t>CB</t>
  </si>
  <si>
    <t>'00008544872KPC</t>
  </si>
  <si>
    <t>BEVERLY THOMPSON</t>
  </si>
  <si>
    <t>'045772</t>
  </si>
  <si>
    <t>JASON ROLLER</t>
  </si>
  <si>
    <t>CHARGEBACK</t>
  </si>
  <si>
    <t>'00025375531KPC</t>
  </si>
  <si>
    <t>ROGER COYNE</t>
  </si>
  <si>
    <t>Humana MA 2019+ Level 15- 175/108 Repl 2024</t>
  </si>
  <si>
    <t>'00026060207KPC</t>
  </si>
  <si>
    <t>EARNESTINE STARKS</t>
  </si>
  <si>
    <t>'043969</t>
  </si>
  <si>
    <t>STACEY PORTUGAL</t>
  </si>
  <si>
    <t>'101050016500PC</t>
  </si>
  <si>
    <t>RALPH ALLEN</t>
  </si>
  <si>
    <t>'101115668000PC</t>
  </si>
  <si>
    <t>LOIS GORFIDO</t>
  </si>
  <si>
    <t>'045684</t>
  </si>
  <si>
    <t>JILL SHEPARD</t>
  </si>
  <si>
    <t>'101144481000PC</t>
  </si>
  <si>
    <t>JENNIFER ROCA</t>
  </si>
  <si>
    <t>SC</t>
  </si>
  <si>
    <t>'045904</t>
  </si>
  <si>
    <t>BRITTANY OLIVER</t>
  </si>
  <si>
    <t>'101232126300CB</t>
  </si>
  <si>
    <t>'101692079100PC</t>
  </si>
  <si>
    <t>JAMIE WEIS</t>
  </si>
  <si>
    <t>'102208655200PC</t>
  </si>
  <si>
    <t>DAVID DREXLER</t>
  </si>
  <si>
    <t>NA</t>
  </si>
  <si>
    <t>'043686</t>
  </si>
  <si>
    <t>SCOTT AGUGLIA</t>
  </si>
  <si>
    <t>'102274341000CB</t>
  </si>
  <si>
    <t>'102274571700CB</t>
  </si>
  <si>
    <t>'102274813300CB</t>
  </si>
  <si>
    <t>'102275027100CB</t>
  </si>
  <si>
    <t>'102275148400CB</t>
  </si>
  <si>
    <t>'102275328300CB</t>
  </si>
  <si>
    <t>'102275502600CB</t>
  </si>
  <si>
    <t>'102275688500CB</t>
  </si>
  <si>
    <t>'102275883400CB</t>
  </si>
  <si>
    <t>'102276185900CB</t>
  </si>
  <si>
    <t>'102276195200CB</t>
  </si>
  <si>
    <t>'102276209100CB</t>
  </si>
  <si>
    <t>'102276304500CB</t>
  </si>
  <si>
    <t>'102276384600CB</t>
  </si>
  <si>
    <t>'102276504200CB</t>
  </si>
  <si>
    <t>'102276570700CB</t>
  </si>
  <si>
    <t>'102276693000CB</t>
  </si>
  <si>
    <t>'102276738400CB</t>
  </si>
  <si>
    <t>'102276901900CB</t>
  </si>
  <si>
    <t>'102277107500CB</t>
  </si>
  <si>
    <t>'102277112400CB</t>
  </si>
  <si>
    <t>00024425940K</t>
  </si>
  <si>
    <t>00026527723K</t>
  </si>
  <si>
    <t>00026530642K</t>
  </si>
  <si>
    <t>00026531294K</t>
  </si>
  <si>
    <t>00026531514K</t>
  </si>
  <si>
    <t>00026531813K</t>
  </si>
  <si>
    <t>00026531857K</t>
  </si>
  <si>
    <t>00026538315K</t>
  </si>
  <si>
    <t>00026541112K</t>
  </si>
  <si>
    <t>00026541287K</t>
  </si>
  <si>
    <t>00026542697K</t>
  </si>
  <si>
    <t>00026543135K</t>
  </si>
  <si>
    <t>31U3A1X56</t>
  </si>
  <si>
    <t>34H6U5L39</t>
  </si>
  <si>
    <t>72H2A7X94</t>
  </si>
  <si>
    <t>A04480434</t>
  </si>
  <si>
    <t>00008544872K</t>
  </si>
  <si>
    <t>00025375531K</t>
  </si>
  <si>
    <t>00026060207K</t>
  </si>
  <si>
    <t>Aetna MAPD OVR 2026</t>
  </si>
  <si>
    <t>Cigna MAPD Ovr</t>
  </si>
  <si>
    <t>Humana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</si>
</sst>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FD17-6E38-4864-A7EB-4303829CA969}">
  <dimension ref="A1:AL78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6" bestFit="1" customWidth="1"/>
    <col min="10" max="10" width="26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45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7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46176</v>
      </c>
      <c r="B2" s="1">
        <v>46176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46174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6926905</v>
      </c>
    </row>
    <row r="3" spans="1:38" x14ac:dyDescent="0.25">
      <c r="A3" s="1">
        <v>46176</v>
      </c>
      <c r="B3" s="1">
        <v>46176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46174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6926906</v>
      </c>
    </row>
    <row r="4" spans="1:38" x14ac:dyDescent="0.25">
      <c r="A4" s="1">
        <v>46176</v>
      </c>
      <c r="B4" s="1">
        <v>46176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57</v>
      </c>
      <c r="O4" t="s">
        <v>58</v>
      </c>
      <c r="P4" t="s">
        <v>59</v>
      </c>
      <c r="Q4" t="s">
        <v>49</v>
      </c>
      <c r="R4" t="s">
        <v>50</v>
      </c>
      <c r="S4" s="1">
        <v>46174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6926907</v>
      </c>
    </row>
    <row r="5" spans="1:38" x14ac:dyDescent="0.25">
      <c r="A5" s="1">
        <v>46176</v>
      </c>
      <c r="B5" s="1">
        <v>46176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50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6926908</v>
      </c>
    </row>
    <row r="6" spans="1:38" x14ac:dyDescent="0.25">
      <c r="A6" s="1">
        <v>46176</v>
      </c>
      <c r="B6" s="1">
        <v>46176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66</v>
      </c>
      <c r="O6" t="s">
        <v>67</v>
      </c>
      <c r="P6" t="s">
        <v>68</v>
      </c>
      <c r="Q6" t="s">
        <v>49</v>
      </c>
      <c r="R6" t="s">
        <v>50</v>
      </c>
      <c r="S6" s="1">
        <v>46174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6926909</v>
      </c>
    </row>
    <row r="7" spans="1:38" x14ac:dyDescent="0.25">
      <c r="A7" s="1">
        <v>46176</v>
      </c>
      <c r="B7" s="1">
        <v>46176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46174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6926910</v>
      </c>
    </row>
    <row r="8" spans="1:38" x14ac:dyDescent="0.25">
      <c r="A8" s="1">
        <v>46176</v>
      </c>
      <c r="B8" s="1">
        <v>46176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50</v>
      </c>
      <c r="S8" s="1">
        <v>46235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6926911</v>
      </c>
    </row>
    <row r="9" spans="1:38" x14ac:dyDescent="0.25">
      <c r="A9" s="1">
        <v>46176</v>
      </c>
      <c r="B9" s="1">
        <v>46176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79</v>
      </c>
      <c r="O9" t="s">
        <v>58</v>
      </c>
      <c r="P9" t="s">
        <v>59</v>
      </c>
      <c r="Q9" t="s">
        <v>49</v>
      </c>
      <c r="R9" t="s">
        <v>50</v>
      </c>
      <c r="S9" s="1">
        <v>46174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6926912</v>
      </c>
    </row>
    <row r="10" spans="1:38" x14ac:dyDescent="0.25">
      <c r="A10" s="1">
        <v>46176</v>
      </c>
      <c r="B10" s="1">
        <v>46176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71</v>
      </c>
      <c r="P10" t="s">
        <v>72</v>
      </c>
      <c r="Q10" t="s">
        <v>49</v>
      </c>
      <c r="R10" t="s">
        <v>50</v>
      </c>
      <c r="S10" s="1">
        <v>46235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6926913</v>
      </c>
    </row>
    <row r="11" spans="1:38" x14ac:dyDescent="0.25">
      <c r="A11" s="1">
        <v>46176</v>
      </c>
      <c r="B11" s="1">
        <v>46176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57</v>
      </c>
      <c r="O11" t="s">
        <v>58</v>
      </c>
      <c r="P11" t="s">
        <v>59</v>
      </c>
      <c r="Q11" t="s">
        <v>49</v>
      </c>
      <c r="R11" t="s">
        <v>50</v>
      </c>
      <c r="S11" s="1">
        <v>46174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6926914</v>
      </c>
    </row>
    <row r="12" spans="1:38" x14ac:dyDescent="0.25">
      <c r="A12" s="1">
        <v>46176</v>
      </c>
      <c r="B12" s="1">
        <v>46176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84</v>
      </c>
      <c r="J12" t="s">
        <v>85</v>
      </c>
      <c r="M12" t="s">
        <v>46</v>
      </c>
      <c r="O12" t="s">
        <v>58</v>
      </c>
      <c r="P12" t="s">
        <v>59</v>
      </c>
      <c r="Q12" t="s">
        <v>49</v>
      </c>
      <c r="R12" t="s">
        <v>50</v>
      </c>
      <c r="S12" s="1">
        <v>46174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6926915</v>
      </c>
    </row>
    <row r="13" spans="1:38" x14ac:dyDescent="0.25">
      <c r="A13" s="1">
        <v>46176</v>
      </c>
      <c r="B13" s="1">
        <v>46176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86</v>
      </c>
      <c r="J13" t="s">
        <v>87</v>
      </c>
      <c r="M13" t="s">
        <v>46</v>
      </c>
      <c r="O13" t="s">
        <v>62</v>
      </c>
      <c r="P13" t="s">
        <v>63</v>
      </c>
      <c r="Q13" t="s">
        <v>49</v>
      </c>
      <c r="R13" t="s">
        <v>50</v>
      </c>
      <c r="S13" s="1">
        <v>46174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6926916</v>
      </c>
    </row>
    <row r="14" spans="1:38" x14ac:dyDescent="0.25">
      <c r="A14" s="1">
        <v>46176</v>
      </c>
      <c r="B14" s="1">
        <v>46176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88</v>
      </c>
      <c r="J14" t="s">
        <v>89</v>
      </c>
      <c r="M14" t="s">
        <v>46</v>
      </c>
      <c r="O14" t="s">
        <v>90</v>
      </c>
      <c r="P14" t="s">
        <v>91</v>
      </c>
      <c r="Q14" t="s">
        <v>49</v>
      </c>
      <c r="R14" t="s">
        <v>92</v>
      </c>
      <c r="S14" s="1">
        <v>46143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6926526</v>
      </c>
    </row>
    <row r="15" spans="1:38" x14ac:dyDescent="0.25">
      <c r="A15" s="1">
        <v>46176</v>
      </c>
      <c r="B15" s="1">
        <v>46176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93</v>
      </c>
      <c r="J15" t="s">
        <v>94</v>
      </c>
      <c r="M15" t="s">
        <v>95</v>
      </c>
      <c r="O15" t="s">
        <v>96</v>
      </c>
      <c r="P15" t="s">
        <v>97</v>
      </c>
      <c r="Q15" t="s">
        <v>49</v>
      </c>
      <c r="R15" t="s">
        <v>98</v>
      </c>
      <c r="S15" s="1">
        <v>46174</v>
      </c>
      <c r="U15" t="s">
        <v>51</v>
      </c>
      <c r="X15" t="s">
        <v>52</v>
      </c>
      <c r="Y15" s="2">
        <v>0</v>
      </c>
      <c r="Z15" s="2">
        <v>14.58</v>
      </c>
      <c r="AA15">
        <v>1</v>
      </c>
      <c r="AB15" s="3">
        <v>1</v>
      </c>
      <c r="AC15" s="2">
        <v>14.58</v>
      </c>
      <c r="AD15" s="3">
        <v>0</v>
      </c>
      <c r="AE15" s="2">
        <v>0</v>
      </c>
      <c r="AF15" s="2">
        <v>14.58</v>
      </c>
      <c r="AK15">
        <v>6926441</v>
      </c>
      <c r="AL15" t="s">
        <v>99</v>
      </c>
    </row>
    <row r="16" spans="1:38" x14ac:dyDescent="0.25">
      <c r="A16" s="1">
        <v>46176</v>
      </c>
      <c r="B16" s="1">
        <v>46176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102</v>
      </c>
      <c r="O16" t="s">
        <v>103</v>
      </c>
      <c r="P16" t="s">
        <v>104</v>
      </c>
      <c r="Q16" t="s">
        <v>105</v>
      </c>
      <c r="R16" t="s">
        <v>106</v>
      </c>
      <c r="S16" s="1">
        <v>46054</v>
      </c>
      <c r="U16" t="s">
        <v>51</v>
      </c>
      <c r="X16" t="s">
        <v>52</v>
      </c>
      <c r="Y16" s="2">
        <v>0</v>
      </c>
      <c r="Z16" s="2">
        <v>11.25</v>
      </c>
      <c r="AA16">
        <v>1</v>
      </c>
      <c r="AB16" s="3">
        <v>1</v>
      </c>
      <c r="AC16" s="2">
        <v>11.25</v>
      </c>
      <c r="AD16" s="3">
        <v>0</v>
      </c>
      <c r="AE16" s="2">
        <v>0</v>
      </c>
      <c r="AF16" s="2">
        <v>11.25</v>
      </c>
      <c r="AK16">
        <v>0</v>
      </c>
      <c r="AL16" t="s">
        <v>107</v>
      </c>
    </row>
    <row r="17" spans="1:37" x14ac:dyDescent="0.25">
      <c r="A17" s="1">
        <v>46176</v>
      </c>
      <c r="B17" s="1">
        <v>46176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95</v>
      </c>
      <c r="O17" t="s">
        <v>110</v>
      </c>
      <c r="P17" t="s">
        <v>111</v>
      </c>
      <c r="Q17" t="s">
        <v>49</v>
      </c>
      <c r="R17" t="s">
        <v>92</v>
      </c>
      <c r="S17" s="1">
        <v>46113</v>
      </c>
      <c r="U17" t="s">
        <v>51</v>
      </c>
      <c r="X17" t="s">
        <v>52</v>
      </c>
      <c r="Y17" s="2">
        <v>0</v>
      </c>
      <c r="Z17" s="2">
        <v>25</v>
      </c>
      <c r="AA17">
        <v>1</v>
      </c>
      <c r="AB17" s="3">
        <v>1</v>
      </c>
      <c r="AC17" s="2">
        <v>25</v>
      </c>
      <c r="AD17" s="3">
        <v>0</v>
      </c>
      <c r="AE17" s="2">
        <v>0</v>
      </c>
      <c r="AF17" s="2">
        <v>25</v>
      </c>
      <c r="AK17">
        <v>6926540</v>
      </c>
    </row>
    <row r="18" spans="1:37" x14ac:dyDescent="0.25">
      <c r="A18" s="1">
        <v>46176</v>
      </c>
      <c r="B18" s="1">
        <v>46176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114</v>
      </c>
      <c r="O18" t="s">
        <v>115</v>
      </c>
      <c r="P18" t="s">
        <v>116</v>
      </c>
      <c r="Q18" t="s">
        <v>49</v>
      </c>
      <c r="R18" t="s">
        <v>92</v>
      </c>
      <c r="S18" s="1">
        <v>46143</v>
      </c>
      <c r="U18" t="s">
        <v>51</v>
      </c>
      <c r="X18" t="s">
        <v>52</v>
      </c>
      <c r="Y18" s="2">
        <v>0</v>
      </c>
      <c r="Z18" s="2">
        <v>25</v>
      </c>
      <c r="AA18">
        <v>1</v>
      </c>
      <c r="AB18" s="3">
        <v>1</v>
      </c>
      <c r="AC18" s="2">
        <v>25</v>
      </c>
      <c r="AD18" s="3">
        <v>0</v>
      </c>
      <c r="AE18" s="2">
        <v>0</v>
      </c>
      <c r="AF18" s="2">
        <v>25</v>
      </c>
      <c r="AK18">
        <v>6926552</v>
      </c>
    </row>
    <row r="19" spans="1:37" x14ac:dyDescent="0.25">
      <c r="A19" s="1">
        <v>46176</v>
      </c>
      <c r="B19" s="1">
        <v>46176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117</v>
      </c>
      <c r="J19" t="s">
        <v>118</v>
      </c>
      <c r="M19" t="s">
        <v>66</v>
      </c>
      <c r="O19" t="s">
        <v>119</v>
      </c>
      <c r="P19" t="s">
        <v>120</v>
      </c>
      <c r="Q19" t="s">
        <v>49</v>
      </c>
      <c r="R19" t="s">
        <v>92</v>
      </c>
      <c r="S19" s="1">
        <v>46143</v>
      </c>
      <c r="U19" t="s">
        <v>51</v>
      </c>
      <c r="X19" t="s">
        <v>52</v>
      </c>
      <c r="Y19" s="2">
        <v>0</v>
      </c>
      <c r="Z19" s="2">
        <v>25</v>
      </c>
      <c r="AA19">
        <v>1</v>
      </c>
      <c r="AB19" s="3">
        <v>1</v>
      </c>
      <c r="AC19" s="2">
        <v>25</v>
      </c>
      <c r="AD19" s="3">
        <v>0</v>
      </c>
      <c r="AE19" s="2">
        <v>0</v>
      </c>
      <c r="AF19" s="2">
        <v>25</v>
      </c>
      <c r="AK19">
        <v>6926561</v>
      </c>
    </row>
    <row r="20" spans="1:37" x14ac:dyDescent="0.25">
      <c r="A20" s="1">
        <v>46176</v>
      </c>
      <c r="B20" s="1">
        <v>46176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114</v>
      </c>
      <c r="O20" t="s">
        <v>115</v>
      </c>
      <c r="P20" t="s">
        <v>116</v>
      </c>
      <c r="Q20" t="s">
        <v>49</v>
      </c>
      <c r="R20" t="s">
        <v>92</v>
      </c>
      <c r="S20" s="1">
        <v>46143</v>
      </c>
      <c r="U20" t="s">
        <v>51</v>
      </c>
      <c r="X20" t="s">
        <v>52</v>
      </c>
      <c r="Y20" s="2">
        <v>0</v>
      </c>
      <c r="Z20" s="2">
        <v>25</v>
      </c>
      <c r="AA20">
        <v>1</v>
      </c>
      <c r="AB20" s="3">
        <v>1</v>
      </c>
      <c r="AC20" s="2">
        <v>25</v>
      </c>
      <c r="AD20" s="3">
        <v>0</v>
      </c>
      <c r="AE20" s="2">
        <v>0</v>
      </c>
      <c r="AF20" s="2">
        <v>25</v>
      </c>
      <c r="AK20">
        <v>6926573</v>
      </c>
    </row>
    <row r="21" spans="1:37" x14ac:dyDescent="0.25">
      <c r="A21" s="1">
        <v>46176</v>
      </c>
      <c r="B21" s="1">
        <v>46176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114</v>
      </c>
      <c r="O21" t="s">
        <v>115</v>
      </c>
      <c r="P21" t="s">
        <v>116</v>
      </c>
      <c r="Q21" t="s">
        <v>49</v>
      </c>
      <c r="R21" t="s">
        <v>92</v>
      </c>
      <c r="S21" s="1">
        <v>46143</v>
      </c>
      <c r="U21" t="s">
        <v>51</v>
      </c>
      <c r="X21" t="s">
        <v>52</v>
      </c>
      <c r="Y21" s="2">
        <v>0</v>
      </c>
      <c r="Z21" s="2">
        <v>25</v>
      </c>
      <c r="AA21">
        <v>1</v>
      </c>
      <c r="AB21" s="3">
        <v>1</v>
      </c>
      <c r="AC21" s="2">
        <v>25</v>
      </c>
      <c r="AD21" s="3">
        <v>0</v>
      </c>
      <c r="AE21" s="2">
        <v>0</v>
      </c>
      <c r="AF21" s="2">
        <v>25</v>
      </c>
      <c r="AK21">
        <v>6926578</v>
      </c>
    </row>
    <row r="22" spans="1:37" x14ac:dyDescent="0.25">
      <c r="A22" s="1">
        <v>46176</v>
      </c>
      <c r="B22" s="1">
        <v>46176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125</v>
      </c>
      <c r="J22" t="s">
        <v>126</v>
      </c>
      <c r="M22" t="s">
        <v>66</v>
      </c>
      <c r="O22" t="s">
        <v>71</v>
      </c>
      <c r="P22" t="s">
        <v>72</v>
      </c>
      <c r="Q22" t="s">
        <v>49</v>
      </c>
      <c r="R22" t="s">
        <v>92</v>
      </c>
      <c r="S22" s="1">
        <v>46143</v>
      </c>
      <c r="U22" t="s">
        <v>51</v>
      </c>
      <c r="X22" t="s">
        <v>52</v>
      </c>
      <c r="Y22" s="2">
        <v>0</v>
      </c>
      <c r="Z22" s="2">
        <v>25</v>
      </c>
      <c r="AA22">
        <v>1</v>
      </c>
      <c r="AB22" s="3">
        <v>1</v>
      </c>
      <c r="AC22" s="2">
        <v>25</v>
      </c>
      <c r="AD22" s="3">
        <v>0</v>
      </c>
      <c r="AE22" s="2">
        <v>0</v>
      </c>
      <c r="AF22" s="2">
        <v>25</v>
      </c>
      <c r="AK22">
        <v>6926589</v>
      </c>
    </row>
    <row r="23" spans="1:37" x14ac:dyDescent="0.25">
      <c r="A23" s="1">
        <v>46176</v>
      </c>
      <c r="B23" s="1">
        <v>46176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95</v>
      </c>
      <c r="O23" t="s">
        <v>96</v>
      </c>
      <c r="P23" t="s">
        <v>97</v>
      </c>
      <c r="Q23" t="s">
        <v>49</v>
      </c>
      <c r="R23" t="s">
        <v>92</v>
      </c>
      <c r="S23" s="1">
        <v>46143</v>
      </c>
      <c r="U23" t="s">
        <v>51</v>
      </c>
      <c r="X23" t="s">
        <v>52</v>
      </c>
      <c r="Y23" s="2">
        <v>0</v>
      </c>
      <c r="Z23" s="2">
        <v>25</v>
      </c>
      <c r="AA23">
        <v>1</v>
      </c>
      <c r="AB23" s="3">
        <v>1</v>
      </c>
      <c r="AC23" s="2">
        <v>25</v>
      </c>
      <c r="AD23" s="3">
        <v>0</v>
      </c>
      <c r="AE23" s="2">
        <v>0</v>
      </c>
      <c r="AF23" s="2">
        <v>25</v>
      </c>
      <c r="AK23">
        <v>6926598</v>
      </c>
    </row>
    <row r="24" spans="1:37" x14ac:dyDescent="0.25">
      <c r="A24" s="1">
        <v>46176</v>
      </c>
      <c r="B24" s="1">
        <v>46176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129</v>
      </c>
      <c r="J24" t="s">
        <v>130</v>
      </c>
      <c r="M24" t="s">
        <v>114</v>
      </c>
      <c r="O24" t="s">
        <v>115</v>
      </c>
      <c r="P24" t="s">
        <v>116</v>
      </c>
      <c r="Q24" t="s">
        <v>49</v>
      </c>
      <c r="R24" t="s">
        <v>92</v>
      </c>
      <c r="S24" s="1">
        <v>46143</v>
      </c>
      <c r="U24" t="s">
        <v>51</v>
      </c>
      <c r="X24" t="s">
        <v>52</v>
      </c>
      <c r="Y24" s="2">
        <v>0</v>
      </c>
      <c r="Z24" s="2">
        <v>25</v>
      </c>
      <c r="AA24">
        <v>1</v>
      </c>
      <c r="AB24" s="3">
        <v>1</v>
      </c>
      <c r="AC24" s="2">
        <v>25</v>
      </c>
      <c r="AD24" s="3">
        <v>0</v>
      </c>
      <c r="AE24" s="2">
        <v>0</v>
      </c>
      <c r="AF24" s="2">
        <v>25</v>
      </c>
      <c r="AK24">
        <v>6926611</v>
      </c>
    </row>
    <row r="25" spans="1:37" x14ac:dyDescent="0.25">
      <c r="A25" s="1">
        <v>46176</v>
      </c>
      <c r="B25" s="1">
        <v>46176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131</v>
      </c>
      <c r="J25" t="s">
        <v>132</v>
      </c>
      <c r="M25" t="s">
        <v>46</v>
      </c>
      <c r="O25" t="s">
        <v>133</v>
      </c>
      <c r="P25" t="s">
        <v>134</v>
      </c>
      <c r="Q25" t="s">
        <v>49</v>
      </c>
      <c r="R25" t="s">
        <v>92</v>
      </c>
      <c r="S25" s="1">
        <v>46113</v>
      </c>
      <c r="U25" t="s">
        <v>51</v>
      </c>
      <c r="X25" t="s">
        <v>52</v>
      </c>
      <c r="Y25" s="2">
        <v>0</v>
      </c>
      <c r="Z25" s="2">
        <v>25</v>
      </c>
      <c r="AA25">
        <v>1</v>
      </c>
      <c r="AB25" s="3">
        <v>1</v>
      </c>
      <c r="AC25" s="2">
        <v>25</v>
      </c>
      <c r="AD25" s="3">
        <v>0</v>
      </c>
      <c r="AE25" s="2">
        <v>0</v>
      </c>
      <c r="AF25" s="2">
        <v>25</v>
      </c>
      <c r="AK25">
        <v>6926619</v>
      </c>
    </row>
    <row r="26" spans="1:37" x14ac:dyDescent="0.25">
      <c r="A26" s="1">
        <v>46176</v>
      </c>
      <c r="B26" s="1">
        <v>46176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135</v>
      </c>
      <c r="J26" t="s">
        <v>136</v>
      </c>
      <c r="M26" t="s">
        <v>95</v>
      </c>
      <c r="O26" t="s">
        <v>110</v>
      </c>
      <c r="P26" t="s">
        <v>111</v>
      </c>
      <c r="Q26" t="s">
        <v>49</v>
      </c>
      <c r="R26" t="s">
        <v>92</v>
      </c>
      <c r="S26" s="1">
        <v>46143</v>
      </c>
      <c r="U26" t="s">
        <v>51</v>
      </c>
      <c r="X26" t="s">
        <v>52</v>
      </c>
      <c r="Y26" s="2">
        <v>0</v>
      </c>
      <c r="Z26" s="2">
        <v>25</v>
      </c>
      <c r="AA26">
        <v>1</v>
      </c>
      <c r="AB26" s="3">
        <v>1</v>
      </c>
      <c r="AC26" s="2">
        <v>25</v>
      </c>
      <c r="AD26" s="3">
        <v>0</v>
      </c>
      <c r="AE26" s="2">
        <v>0</v>
      </c>
      <c r="AF26" s="2">
        <v>25</v>
      </c>
      <c r="AK26">
        <v>6926629</v>
      </c>
    </row>
    <row r="27" spans="1:37" x14ac:dyDescent="0.25">
      <c r="A27" s="1">
        <v>46176</v>
      </c>
      <c r="B27" s="1">
        <v>46176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137</v>
      </c>
      <c r="J27" t="s">
        <v>138</v>
      </c>
      <c r="M27" t="s">
        <v>46</v>
      </c>
      <c r="O27" t="s">
        <v>139</v>
      </c>
      <c r="P27" t="s">
        <v>140</v>
      </c>
      <c r="Q27" t="s">
        <v>49</v>
      </c>
      <c r="R27" t="s">
        <v>92</v>
      </c>
      <c r="S27" s="1">
        <v>46143</v>
      </c>
      <c r="U27" t="s">
        <v>51</v>
      </c>
      <c r="X27" t="s">
        <v>52</v>
      </c>
      <c r="Y27" s="2">
        <v>0</v>
      </c>
      <c r="Z27" s="2">
        <v>25</v>
      </c>
      <c r="AA27">
        <v>1</v>
      </c>
      <c r="AB27" s="3">
        <v>1</v>
      </c>
      <c r="AC27" s="2">
        <v>25</v>
      </c>
      <c r="AD27" s="3">
        <v>0</v>
      </c>
      <c r="AE27" s="2">
        <v>0</v>
      </c>
      <c r="AF27" s="2">
        <v>25</v>
      </c>
      <c r="AK27">
        <v>6926630</v>
      </c>
    </row>
    <row r="28" spans="1:37" x14ac:dyDescent="0.25">
      <c r="A28" s="1">
        <v>46176</v>
      </c>
      <c r="B28" s="1">
        <v>46176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141</v>
      </c>
      <c r="J28" t="s">
        <v>142</v>
      </c>
      <c r="M28" t="s">
        <v>95</v>
      </c>
      <c r="O28" t="s">
        <v>96</v>
      </c>
      <c r="P28" t="s">
        <v>97</v>
      </c>
      <c r="Q28" t="s">
        <v>49</v>
      </c>
      <c r="R28" t="s">
        <v>92</v>
      </c>
      <c r="S28" s="1">
        <v>46174</v>
      </c>
      <c r="U28" t="s">
        <v>51</v>
      </c>
      <c r="X28" t="s">
        <v>52</v>
      </c>
      <c r="Y28" s="2">
        <v>0</v>
      </c>
      <c r="Z28" s="2">
        <v>25</v>
      </c>
      <c r="AA28">
        <v>1</v>
      </c>
      <c r="AB28" s="3">
        <v>1</v>
      </c>
      <c r="AC28" s="2">
        <v>25</v>
      </c>
      <c r="AD28" s="3">
        <v>0</v>
      </c>
      <c r="AE28" s="2">
        <v>0</v>
      </c>
      <c r="AF28" s="2">
        <v>25</v>
      </c>
      <c r="AK28">
        <v>6926636</v>
      </c>
    </row>
    <row r="29" spans="1:37" x14ac:dyDescent="0.25">
      <c r="A29" s="1">
        <v>46176</v>
      </c>
      <c r="B29" s="1">
        <v>46176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143</v>
      </c>
      <c r="J29" t="s">
        <v>144</v>
      </c>
      <c r="M29" t="s">
        <v>46</v>
      </c>
      <c r="O29" t="s">
        <v>145</v>
      </c>
      <c r="P29" t="s">
        <v>146</v>
      </c>
      <c r="Q29" t="s">
        <v>49</v>
      </c>
      <c r="R29" t="s">
        <v>92</v>
      </c>
      <c r="S29" s="1">
        <v>46204</v>
      </c>
      <c r="U29" t="s">
        <v>51</v>
      </c>
      <c r="X29" t="s">
        <v>52</v>
      </c>
      <c r="Y29" s="2">
        <v>0</v>
      </c>
      <c r="Z29" s="2">
        <v>25</v>
      </c>
      <c r="AA29">
        <v>1</v>
      </c>
      <c r="AB29" s="3">
        <v>1</v>
      </c>
      <c r="AC29" s="2">
        <v>25</v>
      </c>
      <c r="AD29" s="3">
        <v>0</v>
      </c>
      <c r="AE29" s="2">
        <v>0</v>
      </c>
      <c r="AF29" s="2">
        <v>25</v>
      </c>
      <c r="AK29">
        <v>6926640</v>
      </c>
    </row>
    <row r="30" spans="1:37" x14ac:dyDescent="0.25">
      <c r="A30" s="1">
        <v>46176</v>
      </c>
      <c r="B30" s="1">
        <v>46176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147</v>
      </c>
      <c r="J30" t="s">
        <v>148</v>
      </c>
      <c r="M30" t="s">
        <v>114</v>
      </c>
      <c r="O30" t="s">
        <v>115</v>
      </c>
      <c r="P30" t="s">
        <v>116</v>
      </c>
      <c r="Q30" t="s">
        <v>49</v>
      </c>
      <c r="R30" t="s">
        <v>92</v>
      </c>
      <c r="S30" s="1">
        <v>46143</v>
      </c>
      <c r="U30" t="s">
        <v>51</v>
      </c>
      <c r="X30" t="s">
        <v>52</v>
      </c>
      <c r="Y30" s="2">
        <v>0</v>
      </c>
      <c r="Z30" s="2">
        <v>25</v>
      </c>
      <c r="AA30">
        <v>1</v>
      </c>
      <c r="AB30" s="3">
        <v>1</v>
      </c>
      <c r="AC30" s="2">
        <v>25</v>
      </c>
      <c r="AD30" s="3">
        <v>0</v>
      </c>
      <c r="AE30" s="2">
        <v>0</v>
      </c>
      <c r="AF30" s="2">
        <v>25</v>
      </c>
      <c r="AK30">
        <v>6926654</v>
      </c>
    </row>
    <row r="31" spans="1:37" x14ac:dyDescent="0.25">
      <c r="A31" s="1">
        <v>46176</v>
      </c>
      <c r="B31" s="1">
        <v>46176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149</v>
      </c>
      <c r="J31" t="s">
        <v>150</v>
      </c>
      <c r="M31" t="s">
        <v>57</v>
      </c>
      <c r="O31" t="s">
        <v>151</v>
      </c>
      <c r="P31" t="s">
        <v>152</v>
      </c>
      <c r="Q31" t="s">
        <v>49</v>
      </c>
      <c r="R31" t="s">
        <v>92</v>
      </c>
      <c r="S31" s="1">
        <v>46143</v>
      </c>
      <c r="U31" t="s">
        <v>51</v>
      </c>
      <c r="X31" t="s">
        <v>52</v>
      </c>
      <c r="Y31" s="2">
        <v>0</v>
      </c>
      <c r="Z31" s="2">
        <v>25</v>
      </c>
      <c r="AA31">
        <v>1</v>
      </c>
      <c r="AB31" s="3">
        <v>1</v>
      </c>
      <c r="AC31" s="2">
        <v>25</v>
      </c>
      <c r="AD31" s="3">
        <v>0</v>
      </c>
      <c r="AE31" s="2">
        <v>0</v>
      </c>
      <c r="AF31" s="2">
        <v>25</v>
      </c>
      <c r="AK31">
        <v>6926661</v>
      </c>
    </row>
    <row r="32" spans="1:37" x14ac:dyDescent="0.25">
      <c r="A32" s="1">
        <v>46176</v>
      </c>
      <c r="B32" s="1">
        <v>46176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153</v>
      </c>
      <c r="J32" t="s">
        <v>154</v>
      </c>
      <c r="M32" t="s">
        <v>114</v>
      </c>
      <c r="O32" t="s">
        <v>115</v>
      </c>
      <c r="P32" t="s">
        <v>116</v>
      </c>
      <c r="Q32" t="s">
        <v>49</v>
      </c>
      <c r="R32" t="s">
        <v>92</v>
      </c>
      <c r="S32" s="1">
        <v>46174</v>
      </c>
      <c r="U32" t="s">
        <v>51</v>
      </c>
      <c r="X32" t="s">
        <v>52</v>
      </c>
      <c r="Y32" s="2">
        <v>0</v>
      </c>
      <c r="Z32" s="2">
        <v>25</v>
      </c>
      <c r="AA32">
        <v>1</v>
      </c>
      <c r="AB32" s="3">
        <v>1</v>
      </c>
      <c r="AC32" s="2">
        <v>25</v>
      </c>
      <c r="AD32" s="3">
        <v>0</v>
      </c>
      <c r="AE32" s="2">
        <v>0</v>
      </c>
      <c r="AF32" s="2">
        <v>25</v>
      </c>
      <c r="AK32">
        <v>6926663</v>
      </c>
    </row>
    <row r="33" spans="1:38" x14ac:dyDescent="0.25">
      <c r="A33" s="1">
        <v>46176</v>
      </c>
      <c r="B33" s="1">
        <v>46176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155</v>
      </c>
      <c r="J33" t="s">
        <v>156</v>
      </c>
      <c r="M33" t="s">
        <v>95</v>
      </c>
      <c r="O33" t="s">
        <v>157</v>
      </c>
      <c r="P33" t="s">
        <v>158</v>
      </c>
      <c r="Q33" t="s">
        <v>49</v>
      </c>
      <c r="R33" t="s">
        <v>92</v>
      </c>
      <c r="S33" s="1">
        <v>46143</v>
      </c>
      <c r="U33" t="s">
        <v>51</v>
      </c>
      <c r="X33" t="s">
        <v>52</v>
      </c>
      <c r="Y33" s="2">
        <v>0</v>
      </c>
      <c r="Z33" s="2">
        <v>25</v>
      </c>
      <c r="AA33">
        <v>1</v>
      </c>
      <c r="AB33" s="3">
        <v>1</v>
      </c>
      <c r="AC33" s="2">
        <v>25</v>
      </c>
      <c r="AD33" s="3">
        <v>0</v>
      </c>
      <c r="AE33" s="2">
        <v>0</v>
      </c>
      <c r="AF33" s="2">
        <v>25</v>
      </c>
      <c r="AK33">
        <v>6926668</v>
      </c>
    </row>
    <row r="34" spans="1:38" x14ac:dyDescent="0.25">
      <c r="A34" s="1">
        <v>46176</v>
      </c>
      <c r="B34" s="1">
        <v>46176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159</v>
      </c>
      <c r="J34" t="s">
        <v>160</v>
      </c>
      <c r="M34" t="s">
        <v>114</v>
      </c>
      <c r="O34" t="s">
        <v>115</v>
      </c>
      <c r="P34" t="s">
        <v>116</v>
      </c>
      <c r="Q34" t="s">
        <v>49</v>
      </c>
      <c r="R34" t="s">
        <v>92</v>
      </c>
      <c r="S34" s="1">
        <v>46143</v>
      </c>
      <c r="U34" t="s">
        <v>51</v>
      </c>
      <c r="X34" t="s">
        <v>52</v>
      </c>
      <c r="Y34" s="2">
        <v>0</v>
      </c>
      <c r="Z34" s="2">
        <v>25</v>
      </c>
      <c r="AA34">
        <v>1</v>
      </c>
      <c r="AB34" s="3">
        <v>1</v>
      </c>
      <c r="AC34" s="2">
        <v>25</v>
      </c>
      <c r="AD34" s="3">
        <v>0</v>
      </c>
      <c r="AE34" s="2">
        <v>0</v>
      </c>
      <c r="AF34" s="2">
        <v>25</v>
      </c>
      <c r="AK34">
        <v>6926675</v>
      </c>
    </row>
    <row r="35" spans="1:38" x14ac:dyDescent="0.25">
      <c r="A35" s="1">
        <v>46176</v>
      </c>
      <c r="B35" s="1">
        <v>46176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161</v>
      </c>
      <c r="J35" t="s">
        <v>162</v>
      </c>
      <c r="M35" t="s">
        <v>95</v>
      </c>
      <c r="O35" t="s">
        <v>163</v>
      </c>
      <c r="P35" t="s">
        <v>164</v>
      </c>
      <c r="Q35" t="s">
        <v>49</v>
      </c>
      <c r="R35" t="s">
        <v>92</v>
      </c>
      <c r="S35" s="1">
        <v>46204</v>
      </c>
      <c r="U35" t="s">
        <v>51</v>
      </c>
      <c r="X35" t="s">
        <v>52</v>
      </c>
      <c r="Y35" s="2">
        <v>0</v>
      </c>
      <c r="Z35" s="2">
        <v>25</v>
      </c>
      <c r="AA35">
        <v>1</v>
      </c>
      <c r="AB35" s="3">
        <v>1</v>
      </c>
      <c r="AC35" s="2">
        <v>25</v>
      </c>
      <c r="AD35" s="3">
        <v>0</v>
      </c>
      <c r="AE35" s="2">
        <v>0</v>
      </c>
      <c r="AF35" s="2">
        <v>25</v>
      </c>
      <c r="AK35">
        <v>6926683</v>
      </c>
    </row>
    <row r="36" spans="1:38" x14ac:dyDescent="0.25">
      <c r="A36" s="1">
        <v>46176</v>
      </c>
      <c r="B36" s="1">
        <v>46176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165</v>
      </c>
      <c r="J36" t="s">
        <v>166</v>
      </c>
      <c r="M36" t="s">
        <v>95</v>
      </c>
      <c r="O36" t="s">
        <v>167</v>
      </c>
      <c r="P36" t="s">
        <v>168</v>
      </c>
      <c r="Q36" t="s">
        <v>49</v>
      </c>
      <c r="R36" t="s">
        <v>92</v>
      </c>
      <c r="S36" s="1">
        <v>46143</v>
      </c>
      <c r="U36" t="s">
        <v>51</v>
      </c>
      <c r="X36" t="s">
        <v>52</v>
      </c>
      <c r="Y36" s="2">
        <v>0</v>
      </c>
      <c r="Z36" s="2">
        <v>25</v>
      </c>
      <c r="AA36">
        <v>1</v>
      </c>
      <c r="AB36" s="3">
        <v>1</v>
      </c>
      <c r="AC36" s="2">
        <v>25</v>
      </c>
      <c r="AD36" s="3">
        <v>0</v>
      </c>
      <c r="AE36" s="2">
        <v>0</v>
      </c>
      <c r="AF36" s="2">
        <v>25</v>
      </c>
      <c r="AK36">
        <v>6926694</v>
      </c>
    </row>
    <row r="37" spans="1:38" x14ac:dyDescent="0.25">
      <c r="A37" s="1">
        <v>46176</v>
      </c>
      <c r="B37" s="1">
        <v>46176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169</v>
      </c>
      <c r="J37" t="s">
        <v>170</v>
      </c>
      <c r="M37" t="s">
        <v>95</v>
      </c>
      <c r="O37" t="s">
        <v>171</v>
      </c>
      <c r="P37" t="s">
        <v>172</v>
      </c>
      <c r="Q37" t="s">
        <v>49</v>
      </c>
      <c r="R37" t="s">
        <v>92</v>
      </c>
      <c r="S37" s="1">
        <v>46143</v>
      </c>
      <c r="U37" t="s">
        <v>51</v>
      </c>
      <c r="X37" t="s">
        <v>52</v>
      </c>
      <c r="Y37" s="2">
        <v>0</v>
      </c>
      <c r="Z37" s="2">
        <v>25</v>
      </c>
      <c r="AA37">
        <v>1</v>
      </c>
      <c r="AB37" s="3">
        <v>1</v>
      </c>
      <c r="AC37" s="2">
        <v>25</v>
      </c>
      <c r="AD37" s="3">
        <v>0</v>
      </c>
      <c r="AE37" s="2">
        <v>0</v>
      </c>
      <c r="AF37" s="2">
        <v>25</v>
      </c>
      <c r="AK37">
        <v>6926695</v>
      </c>
    </row>
    <row r="38" spans="1:38" x14ac:dyDescent="0.25">
      <c r="A38" s="1">
        <v>46176</v>
      </c>
      <c r="B38" s="1">
        <v>46176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175</v>
      </c>
      <c r="O38" t="s">
        <v>176</v>
      </c>
      <c r="P38" t="s">
        <v>177</v>
      </c>
      <c r="Q38" t="s">
        <v>49</v>
      </c>
      <c r="R38" t="s">
        <v>98</v>
      </c>
      <c r="S38" s="1">
        <v>46174</v>
      </c>
      <c r="U38" t="s">
        <v>51</v>
      </c>
      <c r="X38" t="s">
        <v>52</v>
      </c>
      <c r="Y38" s="2">
        <v>0</v>
      </c>
      <c r="Z38" s="2">
        <v>14.58</v>
      </c>
      <c r="AA38">
        <v>1</v>
      </c>
      <c r="AB38" s="3">
        <v>1</v>
      </c>
      <c r="AC38" s="2">
        <v>14.58</v>
      </c>
      <c r="AD38" s="3">
        <v>0</v>
      </c>
      <c r="AE38" s="2">
        <v>0</v>
      </c>
      <c r="AF38" s="2">
        <v>14.58</v>
      </c>
      <c r="AK38">
        <v>6926453</v>
      </c>
      <c r="AL38" t="s">
        <v>99</v>
      </c>
    </row>
    <row r="39" spans="1:38" x14ac:dyDescent="0.25">
      <c r="A39" s="1">
        <v>46176</v>
      </c>
      <c r="B39" s="1">
        <v>46176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178</v>
      </c>
      <c r="J39" t="s">
        <v>179</v>
      </c>
      <c r="M39" t="s">
        <v>95</v>
      </c>
      <c r="O39" t="s">
        <v>163</v>
      </c>
      <c r="P39" t="s">
        <v>164</v>
      </c>
      <c r="Q39" t="s">
        <v>49</v>
      </c>
      <c r="R39" t="s">
        <v>98</v>
      </c>
      <c r="S39" s="1">
        <v>46235</v>
      </c>
      <c r="U39" t="s">
        <v>51</v>
      </c>
      <c r="X39" t="s">
        <v>52</v>
      </c>
      <c r="Y39" s="2">
        <v>0</v>
      </c>
      <c r="Z39" s="2">
        <v>10.42</v>
      </c>
      <c r="AA39">
        <v>1</v>
      </c>
      <c r="AB39" s="3">
        <v>1</v>
      </c>
      <c r="AC39" s="2">
        <v>10.42</v>
      </c>
      <c r="AD39" s="3">
        <v>0</v>
      </c>
      <c r="AE39" s="2">
        <v>0</v>
      </c>
      <c r="AF39" s="2">
        <v>10.42</v>
      </c>
      <c r="AK39">
        <v>6926456</v>
      </c>
      <c r="AL39" t="s">
        <v>180</v>
      </c>
    </row>
    <row r="40" spans="1:38" x14ac:dyDescent="0.25">
      <c r="A40" s="1">
        <v>46176</v>
      </c>
      <c r="B40" s="1">
        <v>46176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181</v>
      </c>
      <c r="J40" t="s">
        <v>182</v>
      </c>
      <c r="M40" t="s">
        <v>95</v>
      </c>
      <c r="O40" t="s">
        <v>96</v>
      </c>
      <c r="P40" t="s">
        <v>97</v>
      </c>
      <c r="Q40" t="s">
        <v>49</v>
      </c>
      <c r="R40" t="s">
        <v>98</v>
      </c>
      <c r="S40" s="1">
        <v>46235</v>
      </c>
      <c r="U40" t="s">
        <v>51</v>
      </c>
      <c r="X40" t="s">
        <v>52</v>
      </c>
      <c r="Y40" s="2">
        <v>0</v>
      </c>
      <c r="Z40" s="2">
        <v>10.42</v>
      </c>
      <c r="AA40">
        <v>1</v>
      </c>
      <c r="AB40" s="3">
        <v>1</v>
      </c>
      <c r="AC40" s="2">
        <v>10.42</v>
      </c>
      <c r="AD40" s="3">
        <v>0</v>
      </c>
      <c r="AE40" s="2">
        <v>0</v>
      </c>
      <c r="AF40" s="2">
        <v>10.42</v>
      </c>
      <c r="AK40">
        <v>6926458</v>
      </c>
      <c r="AL40" t="s">
        <v>180</v>
      </c>
    </row>
    <row r="41" spans="1:38" x14ac:dyDescent="0.25">
      <c r="A41" s="1">
        <v>46176</v>
      </c>
      <c r="B41" s="1">
        <v>46176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183</v>
      </c>
      <c r="J41" t="s">
        <v>184</v>
      </c>
      <c r="M41" t="s">
        <v>46</v>
      </c>
      <c r="O41" t="s">
        <v>185</v>
      </c>
      <c r="P41" t="s">
        <v>186</v>
      </c>
      <c r="Q41" t="s">
        <v>49</v>
      </c>
      <c r="R41" t="s">
        <v>98</v>
      </c>
      <c r="S41" s="1">
        <v>46174</v>
      </c>
      <c r="U41" t="s">
        <v>51</v>
      </c>
      <c r="X41" t="s">
        <v>52</v>
      </c>
      <c r="Y41" s="2">
        <v>0</v>
      </c>
      <c r="Z41" s="2">
        <v>14.58</v>
      </c>
      <c r="AA41">
        <v>1</v>
      </c>
      <c r="AB41" s="3">
        <v>1</v>
      </c>
      <c r="AC41" s="2">
        <v>14.58</v>
      </c>
      <c r="AD41" s="3">
        <v>0</v>
      </c>
      <c r="AE41" s="2">
        <v>0</v>
      </c>
      <c r="AF41" s="2">
        <v>14.58</v>
      </c>
      <c r="AK41">
        <v>6926516</v>
      </c>
      <c r="AL41" t="s">
        <v>99</v>
      </c>
    </row>
    <row r="42" spans="1:38" x14ac:dyDescent="0.25">
      <c r="A42" s="1">
        <v>46176</v>
      </c>
      <c r="B42" s="1">
        <v>46176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187</v>
      </c>
      <c r="J42" t="s">
        <v>188</v>
      </c>
      <c r="M42" t="s">
        <v>46</v>
      </c>
      <c r="O42" t="s">
        <v>58</v>
      </c>
      <c r="P42" t="s">
        <v>59</v>
      </c>
      <c r="Q42" t="s">
        <v>49</v>
      </c>
      <c r="R42" t="s">
        <v>98</v>
      </c>
      <c r="S42" s="1">
        <v>46174</v>
      </c>
      <c r="U42" t="s">
        <v>51</v>
      </c>
      <c r="X42" t="s">
        <v>52</v>
      </c>
      <c r="Y42" s="2">
        <v>0</v>
      </c>
      <c r="Z42" s="2">
        <v>14.58</v>
      </c>
      <c r="AA42">
        <v>1</v>
      </c>
      <c r="AB42" s="3">
        <v>1</v>
      </c>
      <c r="AC42" s="2">
        <v>14.58</v>
      </c>
      <c r="AD42" s="3">
        <v>0</v>
      </c>
      <c r="AE42" s="2">
        <v>0</v>
      </c>
      <c r="AF42" s="2">
        <v>14.58</v>
      </c>
      <c r="AK42">
        <v>6926517</v>
      </c>
      <c r="AL42" t="s">
        <v>99</v>
      </c>
    </row>
    <row r="43" spans="1:38" x14ac:dyDescent="0.25">
      <c r="A43" s="1">
        <v>46176</v>
      </c>
      <c r="B43" s="1">
        <v>46176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189</v>
      </c>
      <c r="J43" t="s">
        <v>190</v>
      </c>
      <c r="M43" t="s">
        <v>191</v>
      </c>
      <c r="O43" t="s">
        <v>71</v>
      </c>
      <c r="P43" t="s">
        <v>72</v>
      </c>
      <c r="Q43" t="s">
        <v>49</v>
      </c>
      <c r="R43" t="s">
        <v>98</v>
      </c>
      <c r="S43" s="1">
        <v>46174</v>
      </c>
      <c r="U43" t="s">
        <v>51</v>
      </c>
      <c r="X43" t="s">
        <v>52</v>
      </c>
      <c r="Y43" s="2">
        <v>0</v>
      </c>
      <c r="Z43" s="2">
        <v>14.58</v>
      </c>
      <c r="AA43">
        <v>1</v>
      </c>
      <c r="AB43" s="3">
        <v>1</v>
      </c>
      <c r="AC43" s="2">
        <v>14.58</v>
      </c>
      <c r="AD43" s="3">
        <v>0</v>
      </c>
      <c r="AE43" s="2">
        <v>0</v>
      </c>
      <c r="AF43" s="2">
        <v>14.58</v>
      </c>
      <c r="AK43">
        <v>6926520</v>
      </c>
      <c r="AL43" t="s">
        <v>99</v>
      </c>
    </row>
    <row r="44" spans="1:38" x14ac:dyDescent="0.25">
      <c r="A44" s="1">
        <v>46176</v>
      </c>
      <c r="B44" s="1">
        <v>46176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192</v>
      </c>
      <c r="J44" t="s">
        <v>193</v>
      </c>
      <c r="M44" t="s">
        <v>46</v>
      </c>
      <c r="O44" t="s">
        <v>47</v>
      </c>
      <c r="P44" t="s">
        <v>48</v>
      </c>
      <c r="Q44" t="s">
        <v>49</v>
      </c>
      <c r="R44" t="s">
        <v>194</v>
      </c>
      <c r="S44" s="1">
        <v>46204</v>
      </c>
      <c r="U44" t="s">
        <v>51</v>
      </c>
      <c r="X44" t="s">
        <v>52</v>
      </c>
      <c r="Y44" s="2">
        <v>0</v>
      </c>
      <c r="Z44" s="2">
        <v>100</v>
      </c>
      <c r="AA44">
        <v>1</v>
      </c>
      <c r="AB44" s="3">
        <v>1</v>
      </c>
      <c r="AC44" s="2">
        <v>100</v>
      </c>
      <c r="AD44" s="3">
        <v>0</v>
      </c>
      <c r="AE44" s="2">
        <v>0</v>
      </c>
      <c r="AF44" s="2">
        <v>100</v>
      </c>
      <c r="AK44">
        <v>6926719</v>
      </c>
    </row>
    <row r="45" spans="1:38" x14ac:dyDescent="0.25">
      <c r="A45" s="1">
        <v>46176</v>
      </c>
      <c r="B45" s="1">
        <v>46176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196</v>
      </c>
      <c r="M45" t="s">
        <v>46</v>
      </c>
      <c r="O45" t="s">
        <v>47</v>
      </c>
      <c r="P45" t="s">
        <v>48</v>
      </c>
      <c r="Q45" t="s">
        <v>49</v>
      </c>
      <c r="R45" t="s">
        <v>194</v>
      </c>
      <c r="S45" s="1">
        <v>46174</v>
      </c>
      <c r="U45" t="s">
        <v>51</v>
      </c>
      <c r="X45" t="s">
        <v>52</v>
      </c>
      <c r="Y45" s="2">
        <v>0</v>
      </c>
      <c r="Z45" s="2">
        <v>100</v>
      </c>
      <c r="AA45">
        <v>1</v>
      </c>
      <c r="AB45" s="3">
        <v>1</v>
      </c>
      <c r="AC45" s="2">
        <v>100</v>
      </c>
      <c r="AD45" s="3">
        <v>0</v>
      </c>
      <c r="AE45" s="2">
        <v>0</v>
      </c>
      <c r="AF45" s="2">
        <v>100</v>
      </c>
      <c r="AK45">
        <v>6926721</v>
      </c>
    </row>
    <row r="46" spans="1:38" x14ac:dyDescent="0.25">
      <c r="A46" s="1">
        <v>46176</v>
      </c>
      <c r="B46" s="1">
        <v>46176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197</v>
      </c>
      <c r="J46" t="s">
        <v>198</v>
      </c>
      <c r="M46" t="s">
        <v>95</v>
      </c>
      <c r="O46" t="s">
        <v>110</v>
      </c>
      <c r="P46" t="s">
        <v>111</v>
      </c>
      <c r="Q46" t="s">
        <v>49</v>
      </c>
      <c r="R46" t="s">
        <v>194</v>
      </c>
      <c r="S46" s="1">
        <v>46204</v>
      </c>
      <c r="U46" t="s">
        <v>51</v>
      </c>
      <c r="X46" t="s">
        <v>52</v>
      </c>
      <c r="Y46" s="2">
        <v>0</v>
      </c>
      <c r="Z46" s="2">
        <v>100</v>
      </c>
      <c r="AA46">
        <v>1</v>
      </c>
      <c r="AB46" s="3">
        <v>1</v>
      </c>
      <c r="AC46" s="2">
        <v>100</v>
      </c>
      <c r="AD46" s="3">
        <v>0</v>
      </c>
      <c r="AE46" s="2">
        <v>0</v>
      </c>
      <c r="AF46" s="2">
        <v>100</v>
      </c>
      <c r="AK46">
        <v>6926720</v>
      </c>
    </row>
    <row r="47" spans="1:38" x14ac:dyDescent="0.25">
      <c r="A47" s="1">
        <v>46176</v>
      </c>
      <c r="B47" s="1">
        <v>46176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199</v>
      </c>
      <c r="J47" t="s">
        <v>200</v>
      </c>
      <c r="M47" t="s">
        <v>95</v>
      </c>
      <c r="O47" t="s">
        <v>157</v>
      </c>
      <c r="P47" t="s">
        <v>158</v>
      </c>
      <c r="Q47" t="s">
        <v>49</v>
      </c>
      <c r="R47" t="s">
        <v>201</v>
      </c>
      <c r="S47" s="1">
        <v>46204</v>
      </c>
      <c r="U47" t="s">
        <v>51</v>
      </c>
      <c r="X47" t="s">
        <v>52</v>
      </c>
      <c r="Y47" s="2">
        <v>0</v>
      </c>
      <c r="Z47" s="2">
        <v>36</v>
      </c>
      <c r="AA47">
        <v>9</v>
      </c>
      <c r="AB47" s="3">
        <v>1</v>
      </c>
      <c r="AC47" s="2">
        <v>324</v>
      </c>
      <c r="AD47" s="3">
        <v>0</v>
      </c>
      <c r="AE47" s="2">
        <v>0</v>
      </c>
      <c r="AF47" s="2">
        <v>324</v>
      </c>
      <c r="AK47">
        <v>6926931</v>
      </c>
    </row>
    <row r="48" spans="1:38" x14ac:dyDescent="0.25">
      <c r="A48" s="1">
        <v>46176</v>
      </c>
      <c r="B48" s="1">
        <v>46176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202</v>
      </c>
      <c r="J48" t="s">
        <v>203</v>
      </c>
      <c r="O48" t="s">
        <v>204</v>
      </c>
      <c r="Q48" t="s">
        <v>105</v>
      </c>
      <c r="R48" t="s">
        <v>203</v>
      </c>
      <c r="S48" s="1">
        <v>44927</v>
      </c>
      <c r="U48" t="s">
        <v>205</v>
      </c>
      <c r="X48" t="s">
        <v>52</v>
      </c>
      <c r="Y48" s="2">
        <v>0</v>
      </c>
      <c r="Z48" s="2">
        <v>200</v>
      </c>
      <c r="AA48">
        <v>1</v>
      </c>
      <c r="AB48" s="3">
        <v>1</v>
      </c>
      <c r="AC48" s="2">
        <v>200</v>
      </c>
      <c r="AD48" s="3">
        <v>0</v>
      </c>
      <c r="AE48" s="2">
        <v>0</v>
      </c>
      <c r="AF48" s="2">
        <v>200</v>
      </c>
      <c r="AK48">
        <v>0</v>
      </c>
      <c r="AL48" t="s">
        <v>206</v>
      </c>
    </row>
    <row r="49" spans="1:36" x14ac:dyDescent="0.25">
      <c r="A49" s="1">
        <v>46176</v>
      </c>
      <c r="B49" s="1">
        <v>46176</v>
      </c>
      <c r="C49" t="s">
        <v>207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209</v>
      </c>
      <c r="M49" t="s">
        <v>57</v>
      </c>
      <c r="O49" t="s">
        <v>210</v>
      </c>
      <c r="P49" t="s">
        <v>211</v>
      </c>
      <c r="Q49" t="s">
        <v>212</v>
      </c>
      <c r="R49" t="s">
        <v>50</v>
      </c>
      <c r="S49" s="1">
        <v>46023</v>
      </c>
      <c r="U49" t="s">
        <v>51</v>
      </c>
      <c r="X49" t="s">
        <v>52</v>
      </c>
      <c r="AF49" s="2">
        <v>175</v>
      </c>
      <c r="AG49" s="2">
        <v>0</v>
      </c>
      <c r="AJ49" s="2">
        <v>101.5</v>
      </c>
    </row>
    <row r="50" spans="1:36" x14ac:dyDescent="0.25">
      <c r="A50" s="1">
        <v>46176</v>
      </c>
      <c r="B50" s="1">
        <v>46176</v>
      </c>
      <c r="C50" t="s">
        <v>207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213</v>
      </c>
      <c r="J50" t="s">
        <v>214</v>
      </c>
      <c r="M50" t="s">
        <v>46</v>
      </c>
      <c r="O50" t="s">
        <v>145</v>
      </c>
      <c r="P50" t="s">
        <v>146</v>
      </c>
      <c r="Q50" t="s">
        <v>212</v>
      </c>
      <c r="R50" t="s">
        <v>215</v>
      </c>
      <c r="S50" s="1">
        <v>46143</v>
      </c>
      <c r="U50" t="s">
        <v>51</v>
      </c>
      <c r="X50" t="s">
        <v>52</v>
      </c>
      <c r="AF50" s="2">
        <v>108</v>
      </c>
      <c r="AG50" s="2">
        <v>0</v>
      </c>
      <c r="AJ50" s="2">
        <v>99.36</v>
      </c>
    </row>
    <row r="51" spans="1:36" x14ac:dyDescent="0.25">
      <c r="A51" s="1">
        <v>46176</v>
      </c>
      <c r="B51" s="1">
        <v>46176</v>
      </c>
      <c r="C51" t="s">
        <v>207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216</v>
      </c>
      <c r="J51" t="s">
        <v>217</v>
      </c>
      <c r="M51" t="s">
        <v>46</v>
      </c>
      <c r="O51" t="s">
        <v>218</v>
      </c>
      <c r="P51" t="s">
        <v>219</v>
      </c>
      <c r="Q51" t="s">
        <v>212</v>
      </c>
      <c r="R51" t="s">
        <v>50</v>
      </c>
      <c r="S51" s="1">
        <v>46113</v>
      </c>
      <c r="U51" t="s">
        <v>51</v>
      </c>
      <c r="X51" t="s">
        <v>52</v>
      </c>
      <c r="AF51" s="2">
        <v>175</v>
      </c>
      <c r="AG51" s="2">
        <v>0</v>
      </c>
      <c r="AJ51" s="2">
        <v>101.5</v>
      </c>
    </row>
    <row r="52" spans="1:36" x14ac:dyDescent="0.25">
      <c r="A52" s="1">
        <v>46176</v>
      </c>
      <c r="B52" s="1">
        <v>46176</v>
      </c>
      <c r="C52" t="s">
        <v>207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220</v>
      </c>
      <c r="J52" t="s">
        <v>221</v>
      </c>
      <c r="M52" t="s">
        <v>95</v>
      </c>
      <c r="O52" t="s">
        <v>163</v>
      </c>
      <c r="P52" t="s">
        <v>164</v>
      </c>
      <c r="Q52" t="s">
        <v>212</v>
      </c>
      <c r="R52" t="s">
        <v>92</v>
      </c>
      <c r="S52" s="1">
        <v>46023</v>
      </c>
      <c r="U52" t="s">
        <v>51</v>
      </c>
      <c r="X52" t="s">
        <v>52</v>
      </c>
      <c r="AF52" s="2">
        <v>25</v>
      </c>
      <c r="AG52" s="2">
        <v>0</v>
      </c>
      <c r="AJ52" s="2">
        <v>16.670000000000002</v>
      </c>
    </row>
    <row r="53" spans="1:36" x14ac:dyDescent="0.25">
      <c r="A53" s="1">
        <v>46176</v>
      </c>
      <c r="B53" s="1">
        <v>46176</v>
      </c>
      <c r="C53" t="s">
        <v>207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222</v>
      </c>
      <c r="J53" t="s">
        <v>223</v>
      </c>
      <c r="O53" t="s">
        <v>224</v>
      </c>
      <c r="P53" t="s">
        <v>225</v>
      </c>
      <c r="Q53" t="s">
        <v>212</v>
      </c>
      <c r="R53" t="s">
        <v>92</v>
      </c>
      <c r="S53" s="1">
        <v>46023</v>
      </c>
      <c r="U53" t="s">
        <v>51</v>
      </c>
      <c r="X53" t="s">
        <v>52</v>
      </c>
      <c r="AF53" s="2">
        <v>25</v>
      </c>
      <c r="AG53" s="2">
        <v>0</v>
      </c>
      <c r="AJ53" s="2">
        <v>14.58</v>
      </c>
    </row>
    <row r="54" spans="1:36" x14ac:dyDescent="0.25">
      <c r="A54" s="1">
        <v>46176</v>
      </c>
      <c r="B54" s="1">
        <v>46176</v>
      </c>
      <c r="C54" t="s">
        <v>207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226</v>
      </c>
      <c r="J54" t="s">
        <v>227</v>
      </c>
      <c r="M54" t="s">
        <v>228</v>
      </c>
      <c r="O54" t="s">
        <v>229</v>
      </c>
      <c r="P54" t="s">
        <v>230</v>
      </c>
      <c r="Q54" t="s">
        <v>212</v>
      </c>
      <c r="R54" t="s">
        <v>92</v>
      </c>
      <c r="S54" s="1">
        <v>46023</v>
      </c>
      <c r="U54" t="s">
        <v>51</v>
      </c>
      <c r="X54" t="s">
        <v>52</v>
      </c>
      <c r="AF54" s="2">
        <v>25</v>
      </c>
      <c r="AG54" s="2">
        <v>0</v>
      </c>
      <c r="AJ54" s="2">
        <v>14.58</v>
      </c>
    </row>
    <row r="55" spans="1:36" x14ac:dyDescent="0.25">
      <c r="A55" s="1">
        <v>46176</v>
      </c>
      <c r="B55" s="1">
        <v>46176</v>
      </c>
      <c r="C55" t="s">
        <v>207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231</v>
      </c>
      <c r="J55" t="s">
        <v>89</v>
      </c>
      <c r="M55" t="s">
        <v>46</v>
      </c>
      <c r="O55" t="s">
        <v>90</v>
      </c>
      <c r="P55" t="s">
        <v>91</v>
      </c>
      <c r="Q55" t="s">
        <v>212</v>
      </c>
      <c r="R55" t="s">
        <v>98</v>
      </c>
      <c r="S55" s="1">
        <v>46143</v>
      </c>
      <c r="U55" t="s">
        <v>51</v>
      </c>
      <c r="X55" t="s">
        <v>52</v>
      </c>
      <c r="AF55" s="2">
        <v>16.670000000000002</v>
      </c>
      <c r="AG55" s="2">
        <v>0</v>
      </c>
      <c r="AJ55" s="2">
        <v>16.670000000000002</v>
      </c>
    </row>
    <row r="56" spans="1:36" x14ac:dyDescent="0.25">
      <c r="A56" s="1">
        <v>46176</v>
      </c>
      <c r="B56" s="1">
        <v>46176</v>
      </c>
      <c r="C56" t="s">
        <v>207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232</v>
      </c>
      <c r="J56" t="s">
        <v>233</v>
      </c>
      <c r="M56" t="s">
        <v>46</v>
      </c>
      <c r="O56" t="s">
        <v>71</v>
      </c>
      <c r="P56" t="s">
        <v>72</v>
      </c>
      <c r="Q56" t="s">
        <v>212</v>
      </c>
      <c r="R56" t="s">
        <v>92</v>
      </c>
      <c r="S56" s="1">
        <v>46023</v>
      </c>
      <c r="U56" t="s">
        <v>51</v>
      </c>
      <c r="X56" t="s">
        <v>52</v>
      </c>
      <c r="AF56" s="2">
        <v>25</v>
      </c>
      <c r="AG56" s="2">
        <v>0</v>
      </c>
      <c r="AJ56" s="2">
        <v>14.58</v>
      </c>
    </row>
    <row r="57" spans="1:36" x14ac:dyDescent="0.25">
      <c r="A57" s="1">
        <v>46176</v>
      </c>
      <c r="B57" s="1">
        <v>46176</v>
      </c>
      <c r="C57" t="s">
        <v>207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234</v>
      </c>
      <c r="J57" t="s">
        <v>235</v>
      </c>
      <c r="M57" t="s">
        <v>236</v>
      </c>
      <c r="O57" t="s">
        <v>237</v>
      </c>
      <c r="P57" t="s">
        <v>238</v>
      </c>
      <c r="Q57" t="s">
        <v>212</v>
      </c>
      <c r="R57" t="s">
        <v>92</v>
      </c>
      <c r="S57" s="1">
        <v>46023</v>
      </c>
      <c r="U57" t="s">
        <v>51</v>
      </c>
      <c r="X57" t="s">
        <v>52</v>
      </c>
      <c r="AF57" s="2">
        <v>25</v>
      </c>
      <c r="AG57" s="2">
        <v>0</v>
      </c>
      <c r="AJ57" s="2">
        <v>14.58</v>
      </c>
    </row>
    <row r="58" spans="1:36" x14ac:dyDescent="0.25">
      <c r="A58" s="1">
        <v>46176</v>
      </c>
      <c r="B58" s="1">
        <v>46176</v>
      </c>
      <c r="C58" t="s">
        <v>207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239</v>
      </c>
      <c r="J58" t="s">
        <v>109</v>
      </c>
      <c r="M58" t="s">
        <v>95</v>
      </c>
      <c r="O58" t="s">
        <v>110</v>
      </c>
      <c r="P58" t="s">
        <v>111</v>
      </c>
      <c r="Q58" t="s">
        <v>212</v>
      </c>
      <c r="R58" t="s">
        <v>98</v>
      </c>
      <c r="S58" s="1">
        <v>46113</v>
      </c>
      <c r="U58" t="s">
        <v>51</v>
      </c>
      <c r="X58" t="s">
        <v>52</v>
      </c>
      <c r="AF58" s="2">
        <v>18.75</v>
      </c>
      <c r="AG58" s="2">
        <v>0</v>
      </c>
      <c r="AJ58" s="2">
        <v>18.75</v>
      </c>
    </row>
    <row r="59" spans="1:36" x14ac:dyDescent="0.25">
      <c r="A59" s="1">
        <v>46176</v>
      </c>
      <c r="B59" s="1">
        <v>46176</v>
      </c>
      <c r="C59" t="s">
        <v>207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240</v>
      </c>
      <c r="J59" t="s">
        <v>113</v>
      </c>
      <c r="M59" t="s">
        <v>114</v>
      </c>
      <c r="O59" t="s">
        <v>115</v>
      </c>
      <c r="P59" t="s">
        <v>116</v>
      </c>
      <c r="Q59" t="s">
        <v>212</v>
      </c>
      <c r="R59" t="s">
        <v>98</v>
      </c>
      <c r="S59" s="1">
        <v>46143</v>
      </c>
      <c r="U59" t="s">
        <v>51</v>
      </c>
      <c r="X59" t="s">
        <v>52</v>
      </c>
      <c r="AF59" s="2">
        <v>16.670000000000002</v>
      </c>
      <c r="AG59" s="2">
        <v>0</v>
      </c>
      <c r="AJ59" s="2">
        <v>16.670000000000002</v>
      </c>
    </row>
    <row r="60" spans="1:36" x14ac:dyDescent="0.25">
      <c r="A60" s="1">
        <v>46176</v>
      </c>
      <c r="B60" s="1">
        <v>46176</v>
      </c>
      <c r="C60" t="s">
        <v>207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241</v>
      </c>
      <c r="J60" t="s">
        <v>118</v>
      </c>
      <c r="M60" t="s">
        <v>66</v>
      </c>
      <c r="O60" t="s">
        <v>119</v>
      </c>
      <c r="P60" t="s">
        <v>120</v>
      </c>
      <c r="Q60" t="s">
        <v>212</v>
      </c>
      <c r="R60" t="s">
        <v>98</v>
      </c>
      <c r="S60" s="1">
        <v>46143</v>
      </c>
      <c r="U60" t="s">
        <v>51</v>
      </c>
      <c r="X60" t="s">
        <v>52</v>
      </c>
      <c r="AF60" s="2">
        <v>16.670000000000002</v>
      </c>
      <c r="AG60" s="2">
        <v>0</v>
      </c>
      <c r="AJ60" s="2">
        <v>16.670000000000002</v>
      </c>
    </row>
    <row r="61" spans="1:36" x14ac:dyDescent="0.25">
      <c r="A61" s="1">
        <v>46176</v>
      </c>
      <c r="B61" s="1">
        <v>46176</v>
      </c>
      <c r="C61" t="s">
        <v>207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242</v>
      </c>
      <c r="J61" t="s">
        <v>122</v>
      </c>
      <c r="M61" t="s">
        <v>114</v>
      </c>
      <c r="O61" t="s">
        <v>115</v>
      </c>
      <c r="P61" t="s">
        <v>116</v>
      </c>
      <c r="Q61" t="s">
        <v>212</v>
      </c>
      <c r="R61" t="s">
        <v>98</v>
      </c>
      <c r="S61" s="1">
        <v>46143</v>
      </c>
      <c r="U61" t="s">
        <v>51</v>
      </c>
      <c r="X61" t="s">
        <v>52</v>
      </c>
      <c r="AF61" s="2">
        <v>16.670000000000002</v>
      </c>
      <c r="AG61" s="2">
        <v>0</v>
      </c>
      <c r="AJ61" s="2">
        <v>16.670000000000002</v>
      </c>
    </row>
    <row r="62" spans="1:36" x14ac:dyDescent="0.25">
      <c r="A62" s="1">
        <v>46176</v>
      </c>
      <c r="B62" s="1">
        <v>46176</v>
      </c>
      <c r="C62" t="s">
        <v>207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243</v>
      </c>
      <c r="J62" t="s">
        <v>124</v>
      </c>
      <c r="M62" t="s">
        <v>114</v>
      </c>
      <c r="O62" t="s">
        <v>115</v>
      </c>
      <c r="P62" t="s">
        <v>116</v>
      </c>
      <c r="Q62" t="s">
        <v>212</v>
      </c>
      <c r="R62" t="s">
        <v>98</v>
      </c>
      <c r="S62" s="1">
        <v>46143</v>
      </c>
      <c r="U62" t="s">
        <v>51</v>
      </c>
      <c r="X62" t="s">
        <v>52</v>
      </c>
      <c r="AF62" s="2">
        <v>16.670000000000002</v>
      </c>
      <c r="AG62" s="2">
        <v>0</v>
      </c>
      <c r="AJ62" s="2">
        <v>16.670000000000002</v>
      </c>
    </row>
    <row r="63" spans="1:36" x14ac:dyDescent="0.25">
      <c r="A63" s="1">
        <v>46176</v>
      </c>
      <c r="B63" s="1">
        <v>46176</v>
      </c>
      <c r="C63" t="s">
        <v>207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244</v>
      </c>
      <c r="J63" t="s">
        <v>126</v>
      </c>
      <c r="M63" t="s">
        <v>66</v>
      </c>
      <c r="O63" t="s">
        <v>71</v>
      </c>
      <c r="P63" t="s">
        <v>72</v>
      </c>
      <c r="Q63" t="s">
        <v>212</v>
      </c>
      <c r="R63" t="s">
        <v>98</v>
      </c>
      <c r="S63" s="1">
        <v>46143</v>
      </c>
      <c r="U63" t="s">
        <v>51</v>
      </c>
      <c r="X63" t="s">
        <v>52</v>
      </c>
      <c r="AF63" s="2">
        <v>16.670000000000002</v>
      </c>
      <c r="AG63" s="2">
        <v>0</v>
      </c>
      <c r="AJ63" s="2">
        <v>16.670000000000002</v>
      </c>
    </row>
    <row r="64" spans="1:36" x14ac:dyDescent="0.25">
      <c r="A64" s="1">
        <v>46176</v>
      </c>
      <c r="B64" s="1">
        <v>46176</v>
      </c>
      <c r="C64" t="s">
        <v>207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245</v>
      </c>
      <c r="J64" t="s">
        <v>128</v>
      </c>
      <c r="M64" t="s">
        <v>95</v>
      </c>
      <c r="O64" t="s">
        <v>96</v>
      </c>
      <c r="P64" t="s">
        <v>97</v>
      </c>
      <c r="Q64" t="s">
        <v>212</v>
      </c>
      <c r="R64" t="s">
        <v>98</v>
      </c>
      <c r="S64" s="1">
        <v>46143</v>
      </c>
      <c r="U64" t="s">
        <v>51</v>
      </c>
      <c r="X64" t="s">
        <v>52</v>
      </c>
      <c r="AF64" s="2">
        <v>16.670000000000002</v>
      </c>
      <c r="AG64" s="2">
        <v>0</v>
      </c>
      <c r="AJ64" s="2">
        <v>16.670000000000002</v>
      </c>
    </row>
    <row r="65" spans="1:36" x14ac:dyDescent="0.25">
      <c r="A65" s="1">
        <v>46176</v>
      </c>
      <c r="B65" s="1">
        <v>46176</v>
      </c>
      <c r="C65" t="s">
        <v>207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246</v>
      </c>
      <c r="J65" t="s">
        <v>130</v>
      </c>
      <c r="M65" t="s">
        <v>114</v>
      </c>
      <c r="O65" t="s">
        <v>115</v>
      </c>
      <c r="P65" t="s">
        <v>116</v>
      </c>
      <c r="Q65" t="s">
        <v>212</v>
      </c>
      <c r="R65" t="s">
        <v>98</v>
      </c>
      <c r="S65" s="1">
        <v>46143</v>
      </c>
      <c r="U65" t="s">
        <v>51</v>
      </c>
      <c r="X65" t="s">
        <v>52</v>
      </c>
      <c r="AF65" s="2">
        <v>16.670000000000002</v>
      </c>
      <c r="AG65" s="2">
        <v>0</v>
      </c>
      <c r="AJ65" s="2">
        <v>16.670000000000002</v>
      </c>
    </row>
    <row r="66" spans="1:36" x14ac:dyDescent="0.25">
      <c r="A66" s="1">
        <v>46176</v>
      </c>
      <c r="B66" s="1">
        <v>46176</v>
      </c>
      <c r="C66" t="s">
        <v>207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247</v>
      </c>
      <c r="J66" t="s">
        <v>132</v>
      </c>
      <c r="M66" t="s">
        <v>46</v>
      </c>
      <c r="O66" t="s">
        <v>133</v>
      </c>
      <c r="P66" t="s">
        <v>134</v>
      </c>
      <c r="Q66" t="s">
        <v>212</v>
      </c>
      <c r="R66" t="s">
        <v>98</v>
      </c>
      <c r="S66" s="1">
        <v>46113</v>
      </c>
      <c r="U66" t="s">
        <v>51</v>
      </c>
      <c r="X66" t="s">
        <v>52</v>
      </c>
      <c r="AF66" s="2">
        <v>18.75</v>
      </c>
      <c r="AG66" s="2">
        <v>0</v>
      </c>
      <c r="AJ66" s="2">
        <v>18.75</v>
      </c>
    </row>
    <row r="67" spans="1:36" x14ac:dyDescent="0.25">
      <c r="A67" s="1">
        <v>46176</v>
      </c>
      <c r="B67" s="1">
        <v>46176</v>
      </c>
      <c r="C67" t="s">
        <v>207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248</v>
      </c>
      <c r="J67" t="s">
        <v>136</v>
      </c>
      <c r="M67" t="s">
        <v>95</v>
      </c>
      <c r="O67" t="s">
        <v>110</v>
      </c>
      <c r="P67" t="s">
        <v>111</v>
      </c>
      <c r="Q67" t="s">
        <v>212</v>
      </c>
      <c r="R67" t="s">
        <v>98</v>
      </c>
      <c r="S67" s="1">
        <v>46143</v>
      </c>
      <c r="U67" t="s">
        <v>51</v>
      </c>
      <c r="X67" t="s">
        <v>52</v>
      </c>
      <c r="AF67" s="2">
        <v>16.670000000000002</v>
      </c>
      <c r="AG67" s="2">
        <v>0</v>
      </c>
      <c r="AJ67" s="2">
        <v>16.670000000000002</v>
      </c>
    </row>
    <row r="68" spans="1:36" x14ac:dyDescent="0.25">
      <c r="A68" s="1">
        <v>46176</v>
      </c>
      <c r="B68" s="1">
        <v>46176</v>
      </c>
      <c r="C68" t="s">
        <v>207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249</v>
      </c>
      <c r="J68" t="s">
        <v>138</v>
      </c>
      <c r="M68" t="s">
        <v>46</v>
      </c>
      <c r="O68" t="s">
        <v>139</v>
      </c>
      <c r="P68" t="s">
        <v>140</v>
      </c>
      <c r="Q68" t="s">
        <v>212</v>
      </c>
      <c r="R68" t="s">
        <v>98</v>
      </c>
      <c r="S68" s="1">
        <v>46143</v>
      </c>
      <c r="U68" t="s">
        <v>51</v>
      </c>
      <c r="X68" t="s">
        <v>52</v>
      </c>
      <c r="AF68" s="2">
        <v>16.670000000000002</v>
      </c>
      <c r="AG68" s="2">
        <v>0</v>
      </c>
      <c r="AJ68" s="2">
        <v>16.670000000000002</v>
      </c>
    </row>
    <row r="69" spans="1:36" x14ac:dyDescent="0.25">
      <c r="A69" s="1">
        <v>46176</v>
      </c>
      <c r="B69" s="1">
        <v>46176</v>
      </c>
      <c r="C69" t="s">
        <v>207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250</v>
      </c>
      <c r="J69" t="s">
        <v>142</v>
      </c>
      <c r="M69" t="s">
        <v>95</v>
      </c>
      <c r="O69" t="s">
        <v>96</v>
      </c>
      <c r="P69" t="s">
        <v>97</v>
      </c>
      <c r="Q69" t="s">
        <v>212</v>
      </c>
      <c r="R69" t="s">
        <v>98</v>
      </c>
      <c r="S69" s="1">
        <v>46174</v>
      </c>
      <c r="U69" t="s">
        <v>51</v>
      </c>
      <c r="X69" t="s">
        <v>52</v>
      </c>
      <c r="AF69" s="2">
        <v>14.58</v>
      </c>
      <c r="AG69" s="2">
        <v>0</v>
      </c>
      <c r="AJ69" s="2">
        <v>14.58</v>
      </c>
    </row>
    <row r="70" spans="1:36" x14ac:dyDescent="0.25">
      <c r="A70" s="1">
        <v>46176</v>
      </c>
      <c r="B70" s="1">
        <v>46176</v>
      </c>
      <c r="C70" t="s">
        <v>207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251</v>
      </c>
      <c r="J70" t="s">
        <v>144</v>
      </c>
      <c r="M70" t="s">
        <v>46</v>
      </c>
      <c r="O70" t="s">
        <v>145</v>
      </c>
      <c r="P70" t="s">
        <v>146</v>
      </c>
      <c r="Q70" t="s">
        <v>212</v>
      </c>
      <c r="R70" t="s">
        <v>98</v>
      </c>
      <c r="S70" s="1">
        <v>46204</v>
      </c>
      <c r="U70" t="s">
        <v>51</v>
      </c>
      <c r="X70" t="s">
        <v>52</v>
      </c>
      <c r="AF70" s="2">
        <v>12.5</v>
      </c>
      <c r="AG70" s="2">
        <v>0</v>
      </c>
      <c r="AJ70" s="2">
        <v>12.5</v>
      </c>
    </row>
    <row r="71" spans="1:36" x14ac:dyDescent="0.25">
      <c r="A71" s="1">
        <v>46176</v>
      </c>
      <c r="B71" s="1">
        <v>46176</v>
      </c>
      <c r="C71" t="s">
        <v>207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252</v>
      </c>
      <c r="J71" t="s">
        <v>148</v>
      </c>
      <c r="M71" t="s">
        <v>114</v>
      </c>
      <c r="O71" t="s">
        <v>115</v>
      </c>
      <c r="P71" t="s">
        <v>116</v>
      </c>
      <c r="Q71" t="s">
        <v>212</v>
      </c>
      <c r="R71" t="s">
        <v>98</v>
      </c>
      <c r="S71" s="1">
        <v>46143</v>
      </c>
      <c r="U71" t="s">
        <v>51</v>
      </c>
      <c r="X71" t="s">
        <v>52</v>
      </c>
      <c r="AF71" s="2">
        <v>16.670000000000002</v>
      </c>
      <c r="AG71" s="2">
        <v>0</v>
      </c>
      <c r="AJ71" s="2">
        <v>16.670000000000002</v>
      </c>
    </row>
    <row r="72" spans="1:36" x14ac:dyDescent="0.25">
      <c r="A72" s="1">
        <v>46176</v>
      </c>
      <c r="B72" s="1">
        <v>46176</v>
      </c>
      <c r="C72" t="s">
        <v>207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253</v>
      </c>
      <c r="J72" t="s">
        <v>150</v>
      </c>
      <c r="M72" t="s">
        <v>57</v>
      </c>
      <c r="O72" t="s">
        <v>151</v>
      </c>
      <c r="P72" t="s">
        <v>152</v>
      </c>
      <c r="Q72" t="s">
        <v>212</v>
      </c>
      <c r="R72" t="s">
        <v>98</v>
      </c>
      <c r="S72" s="1">
        <v>46143</v>
      </c>
      <c r="U72" t="s">
        <v>51</v>
      </c>
      <c r="X72" t="s">
        <v>52</v>
      </c>
      <c r="AF72" s="2">
        <v>16.670000000000002</v>
      </c>
      <c r="AG72" s="2">
        <v>0</v>
      </c>
      <c r="AJ72" s="2">
        <v>16.670000000000002</v>
      </c>
    </row>
    <row r="73" spans="1:36" x14ac:dyDescent="0.25">
      <c r="A73" s="1">
        <v>46176</v>
      </c>
      <c r="B73" s="1">
        <v>46176</v>
      </c>
      <c r="C73" t="s">
        <v>207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254</v>
      </c>
      <c r="J73" t="s">
        <v>154</v>
      </c>
      <c r="M73" t="s">
        <v>114</v>
      </c>
      <c r="O73" t="s">
        <v>115</v>
      </c>
      <c r="P73" t="s">
        <v>116</v>
      </c>
      <c r="Q73" t="s">
        <v>212</v>
      </c>
      <c r="R73" t="s">
        <v>98</v>
      </c>
      <c r="S73" s="1">
        <v>46174</v>
      </c>
      <c r="U73" t="s">
        <v>51</v>
      </c>
      <c r="X73" t="s">
        <v>52</v>
      </c>
      <c r="AF73" s="2">
        <v>14.58</v>
      </c>
      <c r="AG73" s="2">
        <v>0</v>
      </c>
      <c r="AJ73" s="2">
        <v>14.58</v>
      </c>
    </row>
    <row r="74" spans="1:36" x14ac:dyDescent="0.25">
      <c r="A74" s="1">
        <v>46176</v>
      </c>
      <c r="B74" s="1">
        <v>46176</v>
      </c>
      <c r="C74" t="s">
        <v>207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255</v>
      </c>
      <c r="J74" t="s">
        <v>156</v>
      </c>
      <c r="M74" t="s">
        <v>95</v>
      </c>
      <c r="O74" t="s">
        <v>157</v>
      </c>
      <c r="P74" t="s">
        <v>158</v>
      </c>
      <c r="Q74" t="s">
        <v>212</v>
      </c>
      <c r="R74" t="s">
        <v>98</v>
      </c>
      <c r="S74" s="1">
        <v>46143</v>
      </c>
      <c r="U74" t="s">
        <v>51</v>
      </c>
      <c r="X74" t="s">
        <v>52</v>
      </c>
      <c r="AF74" s="2">
        <v>16.670000000000002</v>
      </c>
      <c r="AG74" s="2">
        <v>0</v>
      </c>
      <c r="AJ74" s="2">
        <v>16.670000000000002</v>
      </c>
    </row>
    <row r="75" spans="1:36" x14ac:dyDescent="0.25">
      <c r="A75" s="1">
        <v>46176</v>
      </c>
      <c r="B75" s="1">
        <v>46176</v>
      </c>
      <c r="C75" t="s">
        <v>207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256</v>
      </c>
      <c r="J75" t="s">
        <v>160</v>
      </c>
      <c r="M75" t="s">
        <v>114</v>
      </c>
      <c r="O75" t="s">
        <v>115</v>
      </c>
      <c r="P75" t="s">
        <v>116</v>
      </c>
      <c r="Q75" t="s">
        <v>212</v>
      </c>
      <c r="R75" t="s">
        <v>98</v>
      </c>
      <c r="S75" s="1">
        <v>46143</v>
      </c>
      <c r="U75" t="s">
        <v>51</v>
      </c>
      <c r="X75" t="s">
        <v>52</v>
      </c>
      <c r="AF75" s="2">
        <v>16.670000000000002</v>
      </c>
      <c r="AG75" s="2">
        <v>0</v>
      </c>
      <c r="AJ75" s="2">
        <v>16.670000000000002</v>
      </c>
    </row>
    <row r="76" spans="1:36" x14ac:dyDescent="0.25">
      <c r="A76" s="1">
        <v>46176</v>
      </c>
      <c r="B76" s="1">
        <v>46176</v>
      </c>
      <c r="C76" t="s">
        <v>207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257</v>
      </c>
      <c r="J76" t="s">
        <v>162</v>
      </c>
      <c r="M76" t="s">
        <v>95</v>
      </c>
      <c r="O76" t="s">
        <v>163</v>
      </c>
      <c r="P76" t="s">
        <v>164</v>
      </c>
      <c r="Q76" t="s">
        <v>212</v>
      </c>
      <c r="R76" t="s">
        <v>98</v>
      </c>
      <c r="S76" s="1">
        <v>46204</v>
      </c>
      <c r="U76" t="s">
        <v>51</v>
      </c>
      <c r="X76" t="s">
        <v>52</v>
      </c>
      <c r="AF76" s="2">
        <v>12.5</v>
      </c>
      <c r="AG76" s="2">
        <v>0</v>
      </c>
      <c r="AJ76" s="2">
        <v>12.5</v>
      </c>
    </row>
    <row r="77" spans="1:36" x14ac:dyDescent="0.25">
      <c r="A77" s="1">
        <v>46176</v>
      </c>
      <c r="B77" s="1">
        <v>46176</v>
      </c>
      <c r="C77" t="s">
        <v>207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258</v>
      </c>
      <c r="J77" t="s">
        <v>166</v>
      </c>
      <c r="M77" t="s">
        <v>95</v>
      </c>
      <c r="O77" t="s">
        <v>167</v>
      </c>
      <c r="P77" t="s">
        <v>168</v>
      </c>
      <c r="Q77" t="s">
        <v>212</v>
      </c>
      <c r="R77" t="s">
        <v>98</v>
      </c>
      <c r="S77" s="1">
        <v>46143</v>
      </c>
      <c r="U77" t="s">
        <v>51</v>
      </c>
      <c r="X77" t="s">
        <v>52</v>
      </c>
      <c r="AF77" s="2">
        <v>16.670000000000002</v>
      </c>
      <c r="AG77" s="2">
        <v>0</v>
      </c>
      <c r="AJ77" s="2">
        <v>16.670000000000002</v>
      </c>
    </row>
    <row r="78" spans="1:36" x14ac:dyDescent="0.25">
      <c r="A78" s="1">
        <v>46176</v>
      </c>
      <c r="B78" s="1">
        <v>46176</v>
      </c>
      <c r="C78" t="s">
        <v>207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259</v>
      </c>
      <c r="J78" t="s">
        <v>170</v>
      </c>
      <c r="M78" t="s">
        <v>95</v>
      </c>
      <c r="O78" t="s">
        <v>171</v>
      </c>
      <c r="P78" t="s">
        <v>172</v>
      </c>
      <c r="Q78" t="s">
        <v>212</v>
      </c>
      <c r="R78" t="s">
        <v>98</v>
      </c>
      <c r="S78" s="1">
        <v>46143</v>
      </c>
      <c r="U78" t="s">
        <v>51</v>
      </c>
      <c r="X78" t="s">
        <v>52</v>
      </c>
      <c r="AF78" s="2">
        <v>16.670000000000002</v>
      </c>
      <c r="AG78" s="2">
        <v>0</v>
      </c>
      <c r="AJ78" s="2">
        <v>16.670000000000002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7AE5-9BE3-43A5-A8E7-5F6D46780351}">
  <dimension ref="A1:Q77"/>
  <sheetViews>
    <sheetView tabSelected="1" topLeftCell="D41" workbookViewId="0">
      <selection activeCell="O2" sqref="O2:O77"/>
    </sheetView>
  </sheetViews>
  <sheetFormatPr defaultRowHeight="15" x14ac:dyDescent="0.25"/>
  <cols>
    <col min="1" max="1" width="16" bestFit="1" customWidth="1"/>
    <col min="2" max="2" width="17" bestFit="1" customWidth="1"/>
    <col min="3" max="3" width="26.5703125" bestFit="1" customWidth="1"/>
    <col min="4" max="4" width="5.5703125" bestFit="1" customWidth="1"/>
    <col min="5" max="5" width="15.7109375" bestFit="1" customWidth="1"/>
    <col min="6" max="6" width="15.7109375" customWidth="1"/>
    <col min="7" max="7" width="27.28515625" bestFit="1" customWidth="1"/>
    <col min="8" max="8" width="12.85546875" bestFit="1" customWidth="1"/>
    <col min="9" max="9" width="45.5703125" bestFit="1" customWidth="1"/>
    <col min="10" max="10" width="10.140625" bestFit="1" customWidth="1"/>
    <col min="11" max="11" width="14.5703125" bestFit="1" customWidth="1"/>
    <col min="13" max="13" width="15.85546875" bestFit="1" customWidth="1"/>
    <col min="14" max="14" width="17" bestFit="1" customWidth="1"/>
    <col min="15" max="15" width="17.42578125" bestFit="1" customWidth="1"/>
    <col min="16" max="16" width="15.5703125" customWidth="1"/>
  </cols>
  <sheetData>
    <row r="1" spans="1:17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23</v>
      </c>
      <c r="M1" t="s">
        <v>25</v>
      </c>
      <c r="N1" t="s">
        <v>26</v>
      </c>
      <c r="O1" t="s">
        <v>28</v>
      </c>
      <c r="P1" t="s">
        <v>37</v>
      </c>
    </row>
    <row r="2" spans="1:17" x14ac:dyDescent="0.25">
      <c r="A2" s="4">
        <v>101232126300</v>
      </c>
      <c r="B2" s="4" t="str">
        <f>CONCATENATE(A2,"OVR")</f>
        <v>101232126300OVR</v>
      </c>
      <c r="C2" t="s">
        <v>89</v>
      </c>
      <c r="D2" t="s">
        <v>46</v>
      </c>
      <c r="E2">
        <v>8405446</v>
      </c>
      <c r="F2" t="str">
        <f>CONCATENATE(E2,"OVR")</f>
        <v>8405446OVR</v>
      </c>
      <c r="G2" t="s">
        <v>91</v>
      </c>
      <c r="H2" t="s">
        <v>49</v>
      </c>
      <c r="I2" t="s">
        <v>92</v>
      </c>
      <c r="J2" s="1">
        <v>46143</v>
      </c>
      <c r="K2" t="s">
        <v>51</v>
      </c>
      <c r="L2" t="s">
        <v>52</v>
      </c>
      <c r="M2" s="2">
        <v>25</v>
      </c>
      <c r="N2">
        <v>1</v>
      </c>
      <c r="O2" s="2">
        <v>25</v>
      </c>
      <c r="Q2" t="s">
        <v>279</v>
      </c>
    </row>
    <row r="3" spans="1:17" x14ac:dyDescent="0.25">
      <c r="A3" s="4">
        <v>102274341000</v>
      </c>
      <c r="B3" s="4" t="str">
        <f t="shared" ref="B3:B66" si="0">CONCATENATE(A3,"OVR")</f>
        <v>102274341000OVR</v>
      </c>
      <c r="C3" t="s">
        <v>109</v>
      </c>
      <c r="D3" t="s">
        <v>95</v>
      </c>
      <c r="E3">
        <v>17528908</v>
      </c>
      <c r="F3" t="str">
        <f t="shared" ref="F3:F66" si="1">CONCATENATE(E3,"OVR")</f>
        <v>17528908OVR</v>
      </c>
      <c r="G3" t="s">
        <v>111</v>
      </c>
      <c r="H3" t="s">
        <v>49</v>
      </c>
      <c r="I3" t="s">
        <v>92</v>
      </c>
      <c r="J3" s="1">
        <v>46113</v>
      </c>
      <c r="K3" t="s">
        <v>51</v>
      </c>
      <c r="L3" t="s">
        <v>52</v>
      </c>
      <c r="M3" s="2">
        <v>25</v>
      </c>
      <c r="N3">
        <v>1</v>
      </c>
      <c r="O3" s="2">
        <v>25</v>
      </c>
      <c r="Q3" t="s">
        <v>279</v>
      </c>
    </row>
    <row r="4" spans="1:17" x14ac:dyDescent="0.25">
      <c r="A4" s="4">
        <v>102274571700</v>
      </c>
      <c r="B4" s="4" t="str">
        <f t="shared" si="0"/>
        <v>102274571700OVR</v>
      </c>
      <c r="C4" t="s">
        <v>113</v>
      </c>
      <c r="D4" t="s">
        <v>114</v>
      </c>
      <c r="E4">
        <v>16170994</v>
      </c>
      <c r="F4" t="str">
        <f t="shared" si="1"/>
        <v>16170994OVR</v>
      </c>
      <c r="G4" t="s">
        <v>116</v>
      </c>
      <c r="H4" t="s">
        <v>49</v>
      </c>
      <c r="I4" t="s">
        <v>92</v>
      </c>
      <c r="J4" s="1">
        <v>46143</v>
      </c>
      <c r="K4" t="s">
        <v>51</v>
      </c>
      <c r="L4" t="s">
        <v>52</v>
      </c>
      <c r="M4" s="2">
        <v>25</v>
      </c>
      <c r="N4">
        <v>1</v>
      </c>
      <c r="O4" s="2">
        <v>25</v>
      </c>
      <c r="Q4" t="s">
        <v>279</v>
      </c>
    </row>
    <row r="5" spans="1:17" x14ac:dyDescent="0.25">
      <c r="A5" s="4">
        <v>102274813300</v>
      </c>
      <c r="B5" s="4" t="str">
        <f t="shared" si="0"/>
        <v>102274813300OVR</v>
      </c>
      <c r="C5" t="s">
        <v>118</v>
      </c>
      <c r="D5" t="s">
        <v>66</v>
      </c>
      <c r="E5">
        <v>8325282</v>
      </c>
      <c r="F5" t="str">
        <f t="shared" si="1"/>
        <v>8325282OVR</v>
      </c>
      <c r="G5" t="s">
        <v>120</v>
      </c>
      <c r="H5" t="s">
        <v>49</v>
      </c>
      <c r="I5" t="s">
        <v>92</v>
      </c>
      <c r="J5" s="1">
        <v>46143</v>
      </c>
      <c r="K5" t="s">
        <v>51</v>
      </c>
      <c r="L5" t="s">
        <v>52</v>
      </c>
      <c r="M5" s="2">
        <v>25</v>
      </c>
      <c r="N5">
        <v>1</v>
      </c>
      <c r="O5" s="2">
        <v>25</v>
      </c>
      <c r="Q5" t="s">
        <v>279</v>
      </c>
    </row>
    <row r="6" spans="1:17" x14ac:dyDescent="0.25">
      <c r="A6" s="4">
        <v>102275027100</v>
      </c>
      <c r="B6" s="4" t="str">
        <f t="shared" si="0"/>
        <v>102275027100OVR</v>
      </c>
      <c r="C6" t="s">
        <v>122</v>
      </c>
      <c r="D6" t="s">
        <v>114</v>
      </c>
      <c r="E6">
        <v>16170994</v>
      </c>
      <c r="F6" t="str">
        <f t="shared" si="1"/>
        <v>16170994OVR</v>
      </c>
      <c r="G6" t="s">
        <v>116</v>
      </c>
      <c r="H6" t="s">
        <v>49</v>
      </c>
      <c r="I6" t="s">
        <v>92</v>
      </c>
      <c r="J6" s="1">
        <v>46143</v>
      </c>
      <c r="K6" t="s">
        <v>51</v>
      </c>
      <c r="L6" t="s">
        <v>52</v>
      </c>
      <c r="M6" s="2">
        <v>25</v>
      </c>
      <c r="N6">
        <v>1</v>
      </c>
      <c r="O6" s="2">
        <v>25</v>
      </c>
      <c r="Q6" t="s">
        <v>279</v>
      </c>
    </row>
    <row r="7" spans="1:17" x14ac:dyDescent="0.25">
      <c r="A7" s="4">
        <v>102275148400</v>
      </c>
      <c r="B7" s="4" t="str">
        <f t="shared" si="0"/>
        <v>102275148400OVR</v>
      </c>
      <c r="C7" t="s">
        <v>124</v>
      </c>
      <c r="D7" t="s">
        <v>114</v>
      </c>
      <c r="E7">
        <v>16170994</v>
      </c>
      <c r="F7" t="str">
        <f t="shared" si="1"/>
        <v>16170994OVR</v>
      </c>
      <c r="G7" t="s">
        <v>116</v>
      </c>
      <c r="H7" t="s">
        <v>49</v>
      </c>
      <c r="I7" t="s">
        <v>92</v>
      </c>
      <c r="J7" s="1">
        <v>46143</v>
      </c>
      <c r="K7" t="s">
        <v>51</v>
      </c>
      <c r="L7" t="s">
        <v>52</v>
      </c>
      <c r="M7" s="2">
        <v>25</v>
      </c>
      <c r="N7">
        <v>1</v>
      </c>
      <c r="O7" s="2">
        <v>25</v>
      </c>
      <c r="Q7" t="s">
        <v>279</v>
      </c>
    </row>
    <row r="8" spans="1:17" x14ac:dyDescent="0.25">
      <c r="A8" s="4">
        <v>102275328300</v>
      </c>
      <c r="B8" s="4" t="str">
        <f t="shared" si="0"/>
        <v>102275328300OVR</v>
      </c>
      <c r="C8" t="s">
        <v>126</v>
      </c>
      <c r="D8" t="s">
        <v>66</v>
      </c>
      <c r="E8">
        <v>8307933</v>
      </c>
      <c r="F8" t="str">
        <f t="shared" si="1"/>
        <v>8307933OVR</v>
      </c>
      <c r="G8" t="s">
        <v>72</v>
      </c>
      <c r="H8" t="s">
        <v>49</v>
      </c>
      <c r="I8" t="s">
        <v>92</v>
      </c>
      <c r="J8" s="1">
        <v>46143</v>
      </c>
      <c r="K8" t="s">
        <v>51</v>
      </c>
      <c r="L8" t="s">
        <v>52</v>
      </c>
      <c r="M8" s="2">
        <v>25</v>
      </c>
      <c r="N8">
        <v>1</v>
      </c>
      <c r="O8" s="2">
        <v>25</v>
      </c>
      <c r="Q8" t="s">
        <v>279</v>
      </c>
    </row>
    <row r="9" spans="1:17" x14ac:dyDescent="0.25">
      <c r="A9" s="4">
        <v>102275502600</v>
      </c>
      <c r="B9" s="4" t="str">
        <f t="shared" si="0"/>
        <v>102275502600OVR</v>
      </c>
      <c r="C9" t="s">
        <v>128</v>
      </c>
      <c r="D9" t="s">
        <v>95</v>
      </c>
      <c r="E9">
        <v>20253958</v>
      </c>
      <c r="F9" t="str">
        <f t="shared" si="1"/>
        <v>20253958OVR</v>
      </c>
      <c r="G9" t="s">
        <v>97</v>
      </c>
      <c r="H9" t="s">
        <v>49</v>
      </c>
      <c r="I9" t="s">
        <v>92</v>
      </c>
      <c r="J9" s="1">
        <v>46143</v>
      </c>
      <c r="K9" t="s">
        <v>51</v>
      </c>
      <c r="L9" t="s">
        <v>52</v>
      </c>
      <c r="M9" s="2">
        <v>25</v>
      </c>
      <c r="N9">
        <v>1</v>
      </c>
      <c r="O9" s="2">
        <v>25</v>
      </c>
      <c r="Q9" t="s">
        <v>279</v>
      </c>
    </row>
    <row r="10" spans="1:17" x14ac:dyDescent="0.25">
      <c r="A10" s="4">
        <v>102275688500</v>
      </c>
      <c r="B10" s="4" t="str">
        <f t="shared" si="0"/>
        <v>102275688500OVR</v>
      </c>
      <c r="C10" t="s">
        <v>130</v>
      </c>
      <c r="D10" t="s">
        <v>114</v>
      </c>
      <c r="E10">
        <v>16170994</v>
      </c>
      <c r="F10" t="str">
        <f t="shared" si="1"/>
        <v>16170994OVR</v>
      </c>
      <c r="G10" t="s">
        <v>116</v>
      </c>
      <c r="H10" t="s">
        <v>49</v>
      </c>
      <c r="I10" t="s">
        <v>92</v>
      </c>
      <c r="J10" s="1">
        <v>46143</v>
      </c>
      <c r="K10" t="s">
        <v>51</v>
      </c>
      <c r="L10" t="s">
        <v>52</v>
      </c>
      <c r="M10" s="2">
        <v>25</v>
      </c>
      <c r="N10">
        <v>1</v>
      </c>
      <c r="O10" s="2">
        <v>25</v>
      </c>
      <c r="Q10" t="s">
        <v>279</v>
      </c>
    </row>
    <row r="11" spans="1:17" x14ac:dyDescent="0.25">
      <c r="A11" s="4">
        <v>102275883400</v>
      </c>
      <c r="B11" s="4" t="str">
        <f t="shared" si="0"/>
        <v>102275883400OVR</v>
      </c>
      <c r="C11" t="s">
        <v>132</v>
      </c>
      <c r="D11" t="s">
        <v>46</v>
      </c>
      <c r="E11">
        <v>19268643</v>
      </c>
      <c r="F11" t="str">
        <f t="shared" si="1"/>
        <v>19268643OVR</v>
      </c>
      <c r="G11" t="s">
        <v>134</v>
      </c>
      <c r="H11" t="s">
        <v>49</v>
      </c>
      <c r="I11" t="s">
        <v>92</v>
      </c>
      <c r="J11" s="1">
        <v>46113</v>
      </c>
      <c r="K11" t="s">
        <v>51</v>
      </c>
      <c r="L11" t="s">
        <v>52</v>
      </c>
      <c r="M11" s="2">
        <v>25</v>
      </c>
      <c r="N11">
        <v>1</v>
      </c>
      <c r="O11" s="2">
        <v>25</v>
      </c>
      <c r="Q11" t="s">
        <v>279</v>
      </c>
    </row>
    <row r="12" spans="1:17" x14ac:dyDescent="0.25">
      <c r="A12" s="4">
        <v>102276185900</v>
      </c>
      <c r="B12" s="4" t="str">
        <f t="shared" si="0"/>
        <v>102276185900OVR</v>
      </c>
      <c r="C12" t="s">
        <v>136</v>
      </c>
      <c r="D12" t="s">
        <v>95</v>
      </c>
      <c r="E12">
        <v>17528908</v>
      </c>
      <c r="F12" t="str">
        <f t="shared" si="1"/>
        <v>17528908OVR</v>
      </c>
      <c r="G12" t="s">
        <v>111</v>
      </c>
      <c r="H12" t="s">
        <v>49</v>
      </c>
      <c r="I12" t="s">
        <v>92</v>
      </c>
      <c r="J12" s="1">
        <v>46143</v>
      </c>
      <c r="K12" t="s">
        <v>51</v>
      </c>
      <c r="L12" t="s">
        <v>52</v>
      </c>
      <c r="M12" s="2">
        <v>25</v>
      </c>
      <c r="N12">
        <v>1</v>
      </c>
      <c r="O12" s="2">
        <v>25</v>
      </c>
      <c r="Q12" t="s">
        <v>279</v>
      </c>
    </row>
    <row r="13" spans="1:17" x14ac:dyDescent="0.25">
      <c r="A13" s="4">
        <v>102276195200</v>
      </c>
      <c r="B13" s="4" t="str">
        <f t="shared" si="0"/>
        <v>102276195200OVR</v>
      </c>
      <c r="C13" t="s">
        <v>138</v>
      </c>
      <c r="D13" t="s">
        <v>46</v>
      </c>
      <c r="E13">
        <v>8244481</v>
      </c>
      <c r="F13" t="str">
        <f t="shared" si="1"/>
        <v>8244481OVR</v>
      </c>
      <c r="G13" t="s">
        <v>140</v>
      </c>
      <c r="H13" t="s">
        <v>49</v>
      </c>
      <c r="I13" t="s">
        <v>92</v>
      </c>
      <c r="J13" s="1">
        <v>46143</v>
      </c>
      <c r="K13" t="s">
        <v>51</v>
      </c>
      <c r="L13" t="s">
        <v>52</v>
      </c>
      <c r="M13" s="2">
        <v>25</v>
      </c>
      <c r="N13">
        <v>1</v>
      </c>
      <c r="O13" s="2">
        <v>25</v>
      </c>
      <c r="Q13" t="s">
        <v>279</v>
      </c>
    </row>
    <row r="14" spans="1:17" x14ac:dyDescent="0.25">
      <c r="A14" s="4">
        <v>102276209100</v>
      </c>
      <c r="B14" s="4" t="str">
        <f t="shared" si="0"/>
        <v>102276209100OVR</v>
      </c>
      <c r="C14" t="s">
        <v>142</v>
      </c>
      <c r="D14" t="s">
        <v>95</v>
      </c>
      <c r="E14">
        <v>20253958</v>
      </c>
      <c r="F14" t="str">
        <f t="shared" si="1"/>
        <v>20253958OVR</v>
      </c>
      <c r="G14" t="s">
        <v>97</v>
      </c>
      <c r="H14" t="s">
        <v>49</v>
      </c>
      <c r="I14" t="s">
        <v>92</v>
      </c>
      <c r="J14" s="1">
        <v>46174</v>
      </c>
      <c r="K14" t="s">
        <v>51</v>
      </c>
      <c r="L14" t="s">
        <v>52</v>
      </c>
      <c r="M14" s="2">
        <v>25</v>
      </c>
      <c r="N14">
        <v>1</v>
      </c>
      <c r="O14" s="2">
        <v>25</v>
      </c>
      <c r="Q14" t="s">
        <v>279</v>
      </c>
    </row>
    <row r="15" spans="1:17" x14ac:dyDescent="0.25">
      <c r="A15" s="4">
        <v>102276304500</v>
      </c>
      <c r="B15" s="4" t="str">
        <f t="shared" si="0"/>
        <v>102276304500OVR</v>
      </c>
      <c r="C15" t="s">
        <v>144</v>
      </c>
      <c r="D15" t="s">
        <v>46</v>
      </c>
      <c r="E15">
        <v>18828278</v>
      </c>
      <c r="F15" t="str">
        <f t="shared" si="1"/>
        <v>18828278OVR</v>
      </c>
      <c r="G15" t="s">
        <v>146</v>
      </c>
      <c r="H15" t="s">
        <v>49</v>
      </c>
      <c r="I15" t="s">
        <v>92</v>
      </c>
      <c r="J15" s="1">
        <v>46204</v>
      </c>
      <c r="K15" t="s">
        <v>51</v>
      </c>
      <c r="L15" t="s">
        <v>52</v>
      </c>
      <c r="M15" s="2">
        <v>25</v>
      </c>
      <c r="N15">
        <v>1</v>
      </c>
      <c r="O15" s="2">
        <v>25</v>
      </c>
      <c r="Q15" t="s">
        <v>279</v>
      </c>
    </row>
    <row r="16" spans="1:17" x14ac:dyDescent="0.25">
      <c r="A16" s="4">
        <v>102276384600</v>
      </c>
      <c r="B16" s="4" t="str">
        <f t="shared" si="0"/>
        <v>102276384600OVR</v>
      </c>
      <c r="C16" t="s">
        <v>148</v>
      </c>
      <c r="D16" t="s">
        <v>114</v>
      </c>
      <c r="E16">
        <v>16170994</v>
      </c>
      <c r="F16" t="str">
        <f t="shared" si="1"/>
        <v>16170994OVR</v>
      </c>
      <c r="G16" t="s">
        <v>116</v>
      </c>
      <c r="H16" t="s">
        <v>49</v>
      </c>
      <c r="I16" t="s">
        <v>92</v>
      </c>
      <c r="J16" s="1">
        <v>46143</v>
      </c>
      <c r="K16" t="s">
        <v>51</v>
      </c>
      <c r="L16" t="s">
        <v>52</v>
      </c>
      <c r="M16" s="2">
        <v>25</v>
      </c>
      <c r="N16">
        <v>1</v>
      </c>
      <c r="O16" s="2">
        <v>25</v>
      </c>
      <c r="Q16" t="s">
        <v>279</v>
      </c>
    </row>
    <row r="17" spans="1:17" x14ac:dyDescent="0.25">
      <c r="A17" s="4">
        <v>102276504200</v>
      </c>
      <c r="B17" s="4" t="str">
        <f t="shared" si="0"/>
        <v>102276504200OVR</v>
      </c>
      <c r="C17" t="s">
        <v>150</v>
      </c>
      <c r="D17" t="s">
        <v>57</v>
      </c>
      <c r="E17">
        <v>20490188</v>
      </c>
      <c r="F17" t="str">
        <f t="shared" si="1"/>
        <v>20490188OVR</v>
      </c>
      <c r="G17" t="s">
        <v>152</v>
      </c>
      <c r="H17" t="s">
        <v>49</v>
      </c>
      <c r="I17" t="s">
        <v>92</v>
      </c>
      <c r="J17" s="1">
        <v>46143</v>
      </c>
      <c r="K17" t="s">
        <v>51</v>
      </c>
      <c r="L17" t="s">
        <v>52</v>
      </c>
      <c r="M17" s="2">
        <v>25</v>
      </c>
      <c r="N17">
        <v>1</v>
      </c>
      <c r="O17" s="2">
        <v>25</v>
      </c>
      <c r="Q17" t="s">
        <v>279</v>
      </c>
    </row>
    <row r="18" spans="1:17" x14ac:dyDescent="0.25">
      <c r="A18" s="4">
        <v>102276570700</v>
      </c>
      <c r="B18" s="4" t="str">
        <f t="shared" si="0"/>
        <v>102276570700OVR</v>
      </c>
      <c r="C18" t="s">
        <v>154</v>
      </c>
      <c r="D18" t="s">
        <v>114</v>
      </c>
      <c r="E18">
        <v>16170994</v>
      </c>
      <c r="F18" t="str">
        <f t="shared" si="1"/>
        <v>16170994OVR</v>
      </c>
      <c r="G18" t="s">
        <v>116</v>
      </c>
      <c r="H18" t="s">
        <v>49</v>
      </c>
      <c r="I18" t="s">
        <v>92</v>
      </c>
      <c r="J18" s="1">
        <v>46174</v>
      </c>
      <c r="K18" t="s">
        <v>51</v>
      </c>
      <c r="L18" t="s">
        <v>52</v>
      </c>
      <c r="M18" s="2">
        <v>25</v>
      </c>
      <c r="N18">
        <v>1</v>
      </c>
      <c r="O18" s="2">
        <v>25</v>
      </c>
      <c r="Q18" t="s">
        <v>279</v>
      </c>
    </row>
    <row r="19" spans="1:17" x14ac:dyDescent="0.25">
      <c r="A19" s="4">
        <v>102276693000</v>
      </c>
      <c r="B19" s="4" t="str">
        <f t="shared" si="0"/>
        <v>102276693000OVR</v>
      </c>
      <c r="C19" t="s">
        <v>156</v>
      </c>
      <c r="D19" t="s">
        <v>95</v>
      </c>
      <c r="E19">
        <v>19278370</v>
      </c>
      <c r="F19" t="str">
        <f t="shared" si="1"/>
        <v>19278370OVR</v>
      </c>
      <c r="G19" t="s">
        <v>158</v>
      </c>
      <c r="H19" t="s">
        <v>49</v>
      </c>
      <c r="I19" t="s">
        <v>92</v>
      </c>
      <c r="J19" s="1">
        <v>46143</v>
      </c>
      <c r="K19" t="s">
        <v>51</v>
      </c>
      <c r="L19" t="s">
        <v>52</v>
      </c>
      <c r="M19" s="2">
        <v>25</v>
      </c>
      <c r="N19">
        <v>1</v>
      </c>
      <c r="O19" s="2">
        <v>25</v>
      </c>
      <c r="Q19" t="s">
        <v>279</v>
      </c>
    </row>
    <row r="20" spans="1:17" x14ac:dyDescent="0.25">
      <c r="A20" s="4">
        <v>102276738400</v>
      </c>
      <c r="B20" s="4" t="str">
        <f t="shared" si="0"/>
        <v>102276738400OVR</v>
      </c>
      <c r="C20" t="s">
        <v>160</v>
      </c>
      <c r="D20" t="s">
        <v>114</v>
      </c>
      <c r="E20">
        <v>16170994</v>
      </c>
      <c r="F20" t="str">
        <f t="shared" si="1"/>
        <v>16170994OVR</v>
      </c>
      <c r="G20" t="s">
        <v>116</v>
      </c>
      <c r="H20" t="s">
        <v>49</v>
      </c>
      <c r="I20" t="s">
        <v>92</v>
      </c>
      <c r="J20" s="1">
        <v>46143</v>
      </c>
      <c r="K20" t="s">
        <v>51</v>
      </c>
      <c r="L20" t="s">
        <v>52</v>
      </c>
      <c r="M20" s="2">
        <v>25</v>
      </c>
      <c r="N20">
        <v>1</v>
      </c>
      <c r="O20" s="2">
        <v>25</v>
      </c>
      <c r="Q20" t="s">
        <v>279</v>
      </c>
    </row>
    <row r="21" spans="1:17" x14ac:dyDescent="0.25">
      <c r="A21" s="4">
        <v>102276901900</v>
      </c>
      <c r="B21" s="4" t="str">
        <f t="shared" si="0"/>
        <v>102276901900OVR</v>
      </c>
      <c r="C21" t="s">
        <v>162</v>
      </c>
      <c r="D21" t="s">
        <v>95</v>
      </c>
      <c r="E21">
        <v>17886092</v>
      </c>
      <c r="F21" t="str">
        <f t="shared" si="1"/>
        <v>17886092OVR</v>
      </c>
      <c r="G21" t="s">
        <v>164</v>
      </c>
      <c r="H21" t="s">
        <v>49</v>
      </c>
      <c r="I21" t="s">
        <v>92</v>
      </c>
      <c r="J21" s="1">
        <v>46204</v>
      </c>
      <c r="K21" t="s">
        <v>51</v>
      </c>
      <c r="L21" t="s">
        <v>52</v>
      </c>
      <c r="M21" s="2">
        <v>25</v>
      </c>
      <c r="N21">
        <v>1</v>
      </c>
      <c r="O21" s="2">
        <v>25</v>
      </c>
      <c r="Q21" t="s">
        <v>279</v>
      </c>
    </row>
    <row r="22" spans="1:17" x14ac:dyDescent="0.25">
      <c r="A22" s="4">
        <v>102277107500</v>
      </c>
      <c r="B22" s="4" t="str">
        <f t="shared" si="0"/>
        <v>102277107500OVR</v>
      </c>
      <c r="C22" t="s">
        <v>166</v>
      </c>
      <c r="D22" t="s">
        <v>95</v>
      </c>
      <c r="E22">
        <v>9544903</v>
      </c>
      <c r="F22" t="str">
        <f t="shared" si="1"/>
        <v>9544903OVR</v>
      </c>
      <c r="G22" t="s">
        <v>168</v>
      </c>
      <c r="H22" t="s">
        <v>49</v>
      </c>
      <c r="I22" t="s">
        <v>92</v>
      </c>
      <c r="J22" s="1">
        <v>46143</v>
      </c>
      <c r="K22" t="s">
        <v>51</v>
      </c>
      <c r="L22" t="s">
        <v>52</v>
      </c>
      <c r="M22" s="2">
        <v>25</v>
      </c>
      <c r="N22">
        <v>1</v>
      </c>
      <c r="O22" s="2">
        <v>25</v>
      </c>
      <c r="Q22" t="s">
        <v>279</v>
      </c>
    </row>
    <row r="23" spans="1:17" x14ac:dyDescent="0.25">
      <c r="A23" s="4">
        <v>102277112400</v>
      </c>
      <c r="B23" s="4" t="str">
        <f t="shared" si="0"/>
        <v>102277112400OVR</v>
      </c>
      <c r="C23" t="s">
        <v>170</v>
      </c>
      <c r="D23" t="s">
        <v>95</v>
      </c>
      <c r="E23">
        <v>16212649</v>
      </c>
      <c r="F23" t="str">
        <f t="shared" si="1"/>
        <v>16212649OVR</v>
      </c>
      <c r="G23" t="s">
        <v>172</v>
      </c>
      <c r="H23" t="s">
        <v>49</v>
      </c>
      <c r="I23" t="s">
        <v>92</v>
      </c>
      <c r="J23" s="1">
        <v>46143</v>
      </c>
      <c r="K23" t="s">
        <v>51</v>
      </c>
      <c r="L23" t="s">
        <v>52</v>
      </c>
      <c r="M23" s="2">
        <v>25</v>
      </c>
      <c r="N23">
        <v>1</v>
      </c>
      <c r="O23" s="2">
        <v>25</v>
      </c>
      <c r="Q23" t="s">
        <v>279</v>
      </c>
    </row>
    <row r="24" spans="1:17" x14ac:dyDescent="0.25">
      <c r="A24" s="4">
        <v>101050016500</v>
      </c>
      <c r="B24" s="4" t="str">
        <f t="shared" si="0"/>
        <v>101050016500OVR</v>
      </c>
      <c r="C24" t="s">
        <v>221</v>
      </c>
      <c r="D24" t="s">
        <v>95</v>
      </c>
      <c r="E24">
        <v>17886092</v>
      </c>
      <c r="F24" t="str">
        <f t="shared" si="1"/>
        <v>17886092OVR</v>
      </c>
      <c r="G24" t="s">
        <v>164</v>
      </c>
      <c r="H24" t="s">
        <v>212</v>
      </c>
      <c r="I24" t="s">
        <v>92</v>
      </c>
      <c r="J24" s="1">
        <v>46023</v>
      </c>
      <c r="K24" t="s">
        <v>51</v>
      </c>
      <c r="L24" t="s">
        <v>52</v>
      </c>
      <c r="O24" s="5">
        <v>-16.670000000000002</v>
      </c>
      <c r="Q24" t="s">
        <v>279</v>
      </c>
    </row>
    <row r="25" spans="1:17" x14ac:dyDescent="0.25">
      <c r="A25" s="4">
        <v>101115668000</v>
      </c>
      <c r="B25" s="4" t="str">
        <f t="shared" si="0"/>
        <v>101115668000OVR</v>
      </c>
      <c r="C25" t="s">
        <v>223</v>
      </c>
      <c r="E25">
        <v>18142208</v>
      </c>
      <c r="F25" t="str">
        <f t="shared" si="1"/>
        <v>18142208OVR</v>
      </c>
      <c r="G25" t="s">
        <v>225</v>
      </c>
      <c r="H25" t="s">
        <v>212</v>
      </c>
      <c r="I25" t="s">
        <v>92</v>
      </c>
      <c r="J25" s="1">
        <v>46023</v>
      </c>
      <c r="K25" t="s">
        <v>51</v>
      </c>
      <c r="L25" t="s">
        <v>52</v>
      </c>
      <c r="O25" s="5">
        <v>-14.58</v>
      </c>
      <c r="Q25" t="s">
        <v>279</v>
      </c>
    </row>
    <row r="26" spans="1:17" x14ac:dyDescent="0.25">
      <c r="A26" s="4">
        <v>101144481000</v>
      </c>
      <c r="B26" s="4" t="str">
        <f t="shared" si="0"/>
        <v>101144481000OVR</v>
      </c>
      <c r="C26" t="s">
        <v>227</v>
      </c>
      <c r="D26" t="s">
        <v>228</v>
      </c>
      <c r="E26">
        <v>17554531</v>
      </c>
      <c r="F26" t="str">
        <f t="shared" si="1"/>
        <v>17554531OVR</v>
      </c>
      <c r="G26" t="s">
        <v>230</v>
      </c>
      <c r="H26" t="s">
        <v>212</v>
      </c>
      <c r="I26" t="s">
        <v>92</v>
      </c>
      <c r="J26" s="1">
        <v>46023</v>
      </c>
      <c r="K26" t="s">
        <v>51</v>
      </c>
      <c r="L26" t="s">
        <v>52</v>
      </c>
      <c r="O26" s="5">
        <v>-14.58</v>
      </c>
      <c r="Q26" t="s">
        <v>279</v>
      </c>
    </row>
    <row r="27" spans="1:17" x14ac:dyDescent="0.25">
      <c r="A27" s="4">
        <v>101692079100</v>
      </c>
      <c r="B27" s="4" t="str">
        <f t="shared" si="0"/>
        <v>101692079100OVR</v>
      </c>
      <c r="C27" t="s">
        <v>233</v>
      </c>
      <c r="D27" t="s">
        <v>46</v>
      </c>
      <c r="E27">
        <v>8307933</v>
      </c>
      <c r="F27" t="str">
        <f t="shared" si="1"/>
        <v>8307933OVR</v>
      </c>
      <c r="G27" t="s">
        <v>72</v>
      </c>
      <c r="H27" t="s">
        <v>212</v>
      </c>
      <c r="I27" t="s">
        <v>92</v>
      </c>
      <c r="J27" s="1">
        <v>46023</v>
      </c>
      <c r="K27" t="s">
        <v>51</v>
      </c>
      <c r="L27" t="s">
        <v>52</v>
      </c>
      <c r="O27" s="5">
        <v>-14.58</v>
      </c>
      <c r="Q27" t="s">
        <v>279</v>
      </c>
    </row>
    <row r="28" spans="1:17" x14ac:dyDescent="0.25">
      <c r="A28" s="4">
        <v>102208655200</v>
      </c>
      <c r="B28" s="4" t="str">
        <f t="shared" si="0"/>
        <v>102208655200OVR</v>
      </c>
      <c r="C28" t="s">
        <v>235</v>
      </c>
      <c r="D28" t="s">
        <v>236</v>
      </c>
      <c r="E28">
        <v>8971826</v>
      </c>
      <c r="F28" t="str">
        <f t="shared" si="1"/>
        <v>8971826OVR</v>
      </c>
      <c r="G28" t="s">
        <v>238</v>
      </c>
      <c r="H28" t="s">
        <v>212</v>
      </c>
      <c r="I28" t="s">
        <v>92</v>
      </c>
      <c r="J28" s="1">
        <v>46023</v>
      </c>
      <c r="K28" t="s">
        <v>51</v>
      </c>
      <c r="L28" t="s">
        <v>52</v>
      </c>
      <c r="O28" s="5">
        <v>-14.58</v>
      </c>
      <c r="Q28" t="s">
        <v>279</v>
      </c>
    </row>
    <row r="29" spans="1:17" x14ac:dyDescent="0.25">
      <c r="A29" s="4">
        <v>102224747400</v>
      </c>
      <c r="B29" s="4" t="str">
        <f t="shared" si="0"/>
        <v>102224747400OVR</v>
      </c>
      <c r="C29" t="s">
        <v>101</v>
      </c>
      <c r="D29" t="s">
        <v>102</v>
      </c>
      <c r="E29">
        <v>18754354</v>
      </c>
      <c r="F29" t="str">
        <f t="shared" si="1"/>
        <v>18754354OVR</v>
      </c>
      <c r="G29" t="s">
        <v>104</v>
      </c>
      <c r="H29" t="s">
        <v>105</v>
      </c>
      <c r="I29" t="s">
        <v>106</v>
      </c>
      <c r="J29" s="1">
        <v>46054</v>
      </c>
      <c r="K29" t="s">
        <v>51</v>
      </c>
      <c r="L29" t="s">
        <v>52</v>
      </c>
      <c r="M29" s="2">
        <v>11.25</v>
      </c>
      <c r="N29">
        <v>1</v>
      </c>
      <c r="O29" s="2">
        <v>11.25</v>
      </c>
      <c r="P29" t="s">
        <v>107</v>
      </c>
      <c r="Q29" t="s">
        <v>279</v>
      </c>
    </row>
    <row r="30" spans="1:17" x14ac:dyDescent="0.25">
      <c r="A30" s="4">
        <v>101644939000</v>
      </c>
      <c r="B30" s="4" t="str">
        <f t="shared" si="0"/>
        <v>101644939000OVR</v>
      </c>
      <c r="C30" t="s">
        <v>94</v>
      </c>
      <c r="D30" t="s">
        <v>95</v>
      </c>
      <c r="E30">
        <v>20253958</v>
      </c>
      <c r="F30" t="str">
        <f t="shared" si="1"/>
        <v>20253958OVR</v>
      </c>
      <c r="G30" t="s">
        <v>97</v>
      </c>
      <c r="H30" t="s">
        <v>49</v>
      </c>
      <c r="I30" t="s">
        <v>98</v>
      </c>
      <c r="J30" s="1">
        <v>46174</v>
      </c>
      <c r="K30" t="s">
        <v>51</v>
      </c>
      <c r="L30" t="s">
        <v>52</v>
      </c>
      <c r="M30" s="2">
        <v>14.58</v>
      </c>
      <c r="N30">
        <v>1</v>
      </c>
      <c r="O30" s="2">
        <v>14.58</v>
      </c>
      <c r="P30" t="s">
        <v>99</v>
      </c>
      <c r="Q30" t="s">
        <v>279</v>
      </c>
    </row>
    <row r="31" spans="1:17" x14ac:dyDescent="0.25">
      <c r="A31" s="4">
        <v>102279127200</v>
      </c>
      <c r="B31" s="4" t="str">
        <f t="shared" si="0"/>
        <v>102279127200OVR</v>
      </c>
      <c r="C31" t="s">
        <v>174</v>
      </c>
      <c r="D31" t="s">
        <v>175</v>
      </c>
      <c r="E31">
        <v>17094718</v>
      </c>
      <c r="F31" t="str">
        <f t="shared" si="1"/>
        <v>17094718OVR</v>
      </c>
      <c r="G31" t="s">
        <v>177</v>
      </c>
      <c r="H31" t="s">
        <v>49</v>
      </c>
      <c r="I31" t="s">
        <v>98</v>
      </c>
      <c r="J31" s="1">
        <v>46174</v>
      </c>
      <c r="K31" t="s">
        <v>51</v>
      </c>
      <c r="L31" t="s">
        <v>52</v>
      </c>
      <c r="M31" s="2">
        <v>14.58</v>
      </c>
      <c r="N31">
        <v>1</v>
      </c>
      <c r="O31" s="2">
        <v>14.58</v>
      </c>
      <c r="P31" t="s">
        <v>99</v>
      </c>
      <c r="Q31" t="s">
        <v>279</v>
      </c>
    </row>
    <row r="32" spans="1:17" x14ac:dyDescent="0.25">
      <c r="A32" s="4">
        <v>102279156000</v>
      </c>
      <c r="B32" s="4" t="str">
        <f t="shared" si="0"/>
        <v>102279156000OVR</v>
      </c>
      <c r="C32" t="s">
        <v>179</v>
      </c>
      <c r="D32" t="s">
        <v>95</v>
      </c>
      <c r="E32">
        <v>17886092</v>
      </c>
      <c r="F32" t="str">
        <f t="shared" si="1"/>
        <v>17886092OVR</v>
      </c>
      <c r="G32" t="s">
        <v>164</v>
      </c>
      <c r="H32" t="s">
        <v>49</v>
      </c>
      <c r="I32" t="s">
        <v>98</v>
      </c>
      <c r="J32" s="1">
        <v>46235</v>
      </c>
      <c r="K32" t="s">
        <v>51</v>
      </c>
      <c r="L32" t="s">
        <v>52</v>
      </c>
      <c r="M32" s="2">
        <v>10.42</v>
      </c>
      <c r="N32">
        <v>1</v>
      </c>
      <c r="O32" s="2">
        <v>10.42</v>
      </c>
      <c r="P32" t="s">
        <v>180</v>
      </c>
      <c r="Q32" t="s">
        <v>279</v>
      </c>
    </row>
    <row r="33" spans="1:17" x14ac:dyDescent="0.25">
      <c r="A33" s="4">
        <v>102279171500</v>
      </c>
      <c r="B33" s="4" t="str">
        <f t="shared" si="0"/>
        <v>102279171500OVR</v>
      </c>
      <c r="C33" t="s">
        <v>182</v>
      </c>
      <c r="D33" t="s">
        <v>95</v>
      </c>
      <c r="E33">
        <v>20253958</v>
      </c>
      <c r="F33" t="str">
        <f t="shared" si="1"/>
        <v>20253958OVR</v>
      </c>
      <c r="G33" t="s">
        <v>97</v>
      </c>
      <c r="H33" t="s">
        <v>49</v>
      </c>
      <c r="I33" t="s">
        <v>98</v>
      </c>
      <c r="J33" s="1">
        <v>46235</v>
      </c>
      <c r="K33" t="s">
        <v>51</v>
      </c>
      <c r="L33" t="s">
        <v>52</v>
      </c>
      <c r="M33" s="2">
        <v>10.42</v>
      </c>
      <c r="N33">
        <v>1</v>
      </c>
      <c r="O33" s="2">
        <v>10.42</v>
      </c>
      <c r="P33" t="s">
        <v>180</v>
      </c>
      <c r="Q33" t="s">
        <v>279</v>
      </c>
    </row>
    <row r="34" spans="1:17" x14ac:dyDescent="0.25">
      <c r="A34" s="4">
        <v>102280040700</v>
      </c>
      <c r="B34" s="4" t="str">
        <f t="shared" si="0"/>
        <v>102280040700OVR</v>
      </c>
      <c r="C34" t="s">
        <v>184</v>
      </c>
      <c r="D34" t="s">
        <v>46</v>
      </c>
      <c r="E34">
        <v>8812322</v>
      </c>
      <c r="F34" t="str">
        <f t="shared" si="1"/>
        <v>8812322OVR</v>
      </c>
      <c r="G34" t="s">
        <v>186</v>
      </c>
      <c r="H34" t="s">
        <v>49</v>
      </c>
      <c r="I34" t="s">
        <v>98</v>
      </c>
      <c r="J34" s="1">
        <v>46174</v>
      </c>
      <c r="K34" t="s">
        <v>51</v>
      </c>
      <c r="L34" t="s">
        <v>52</v>
      </c>
      <c r="M34" s="2">
        <v>14.58</v>
      </c>
      <c r="N34">
        <v>1</v>
      </c>
      <c r="O34" s="2">
        <v>14.58</v>
      </c>
      <c r="P34" t="s">
        <v>99</v>
      </c>
      <c r="Q34" t="s">
        <v>279</v>
      </c>
    </row>
    <row r="35" spans="1:17" x14ac:dyDescent="0.25">
      <c r="A35" s="4">
        <v>102280063200</v>
      </c>
      <c r="B35" s="4" t="str">
        <f t="shared" si="0"/>
        <v>102280063200OVR</v>
      </c>
      <c r="C35" t="s">
        <v>188</v>
      </c>
      <c r="D35" t="s">
        <v>46</v>
      </c>
      <c r="E35">
        <v>7470776</v>
      </c>
      <c r="F35" t="str">
        <f t="shared" si="1"/>
        <v>7470776OVR</v>
      </c>
      <c r="G35" t="s">
        <v>59</v>
      </c>
      <c r="H35" t="s">
        <v>49</v>
      </c>
      <c r="I35" t="s">
        <v>98</v>
      </c>
      <c r="J35" s="1">
        <v>46174</v>
      </c>
      <c r="K35" t="s">
        <v>51</v>
      </c>
      <c r="L35" t="s">
        <v>52</v>
      </c>
      <c r="M35" s="2">
        <v>14.58</v>
      </c>
      <c r="N35">
        <v>1</v>
      </c>
      <c r="O35" s="2">
        <v>14.58</v>
      </c>
      <c r="P35" t="s">
        <v>99</v>
      </c>
      <c r="Q35" t="s">
        <v>279</v>
      </c>
    </row>
    <row r="36" spans="1:17" x14ac:dyDescent="0.25">
      <c r="A36" s="4">
        <v>102280074200</v>
      </c>
      <c r="B36" s="4" t="str">
        <f t="shared" si="0"/>
        <v>102280074200OVR</v>
      </c>
      <c r="C36" t="s">
        <v>190</v>
      </c>
      <c r="D36" t="s">
        <v>191</v>
      </c>
      <c r="E36">
        <v>8307933</v>
      </c>
      <c r="F36" t="str">
        <f t="shared" si="1"/>
        <v>8307933OVR</v>
      </c>
      <c r="G36" t="s">
        <v>72</v>
      </c>
      <c r="H36" t="s">
        <v>49</v>
      </c>
      <c r="I36" t="s">
        <v>98</v>
      </c>
      <c r="J36" s="1">
        <v>46174</v>
      </c>
      <c r="K36" t="s">
        <v>51</v>
      </c>
      <c r="L36" t="s">
        <v>52</v>
      </c>
      <c r="M36" s="2">
        <v>14.58</v>
      </c>
      <c r="N36">
        <v>1</v>
      </c>
      <c r="O36" s="2">
        <v>14.58</v>
      </c>
      <c r="P36" t="s">
        <v>99</v>
      </c>
      <c r="Q36" t="s">
        <v>279</v>
      </c>
    </row>
    <row r="37" spans="1:17" x14ac:dyDescent="0.25">
      <c r="A37" s="4">
        <v>101232126300</v>
      </c>
      <c r="B37" s="4" t="str">
        <f t="shared" si="0"/>
        <v>101232126300OVR</v>
      </c>
      <c r="C37" t="s">
        <v>89</v>
      </c>
      <c r="D37" t="s">
        <v>46</v>
      </c>
      <c r="E37">
        <v>8405446</v>
      </c>
      <c r="F37" t="str">
        <f t="shared" si="1"/>
        <v>8405446OVR</v>
      </c>
      <c r="G37" t="s">
        <v>91</v>
      </c>
      <c r="H37" t="s">
        <v>212</v>
      </c>
      <c r="I37" t="s">
        <v>98</v>
      </c>
      <c r="J37" s="1">
        <v>46143</v>
      </c>
      <c r="K37" t="s">
        <v>51</v>
      </c>
      <c r="L37" t="s">
        <v>52</v>
      </c>
      <c r="O37" s="5">
        <v>-16.670000000000002</v>
      </c>
      <c r="Q37" t="s">
        <v>279</v>
      </c>
    </row>
    <row r="38" spans="1:17" x14ac:dyDescent="0.25">
      <c r="A38" s="4">
        <v>102274341000</v>
      </c>
      <c r="B38" s="4" t="str">
        <f t="shared" si="0"/>
        <v>102274341000OVR</v>
      </c>
      <c r="C38" t="s">
        <v>109</v>
      </c>
      <c r="D38" t="s">
        <v>95</v>
      </c>
      <c r="E38">
        <v>17528908</v>
      </c>
      <c r="F38" t="str">
        <f t="shared" si="1"/>
        <v>17528908OVR</v>
      </c>
      <c r="G38" t="s">
        <v>111</v>
      </c>
      <c r="H38" t="s">
        <v>212</v>
      </c>
      <c r="I38" t="s">
        <v>98</v>
      </c>
      <c r="J38" s="1">
        <v>46113</v>
      </c>
      <c r="K38" t="s">
        <v>51</v>
      </c>
      <c r="L38" t="s">
        <v>52</v>
      </c>
      <c r="O38" s="5">
        <v>-18.75</v>
      </c>
      <c r="Q38" t="s">
        <v>279</v>
      </c>
    </row>
    <row r="39" spans="1:17" x14ac:dyDescent="0.25">
      <c r="A39" s="4">
        <v>102274571700</v>
      </c>
      <c r="B39" s="4" t="str">
        <f t="shared" si="0"/>
        <v>102274571700OVR</v>
      </c>
      <c r="C39" t="s">
        <v>113</v>
      </c>
      <c r="D39" t="s">
        <v>114</v>
      </c>
      <c r="E39">
        <v>16170994</v>
      </c>
      <c r="F39" t="str">
        <f t="shared" si="1"/>
        <v>16170994OVR</v>
      </c>
      <c r="G39" t="s">
        <v>116</v>
      </c>
      <c r="H39" t="s">
        <v>212</v>
      </c>
      <c r="I39" t="s">
        <v>98</v>
      </c>
      <c r="J39" s="1">
        <v>46143</v>
      </c>
      <c r="K39" t="s">
        <v>51</v>
      </c>
      <c r="L39" t="s">
        <v>52</v>
      </c>
      <c r="O39" s="5">
        <v>-16.670000000000002</v>
      </c>
      <c r="Q39" t="s">
        <v>279</v>
      </c>
    </row>
    <row r="40" spans="1:17" x14ac:dyDescent="0.25">
      <c r="A40" s="4">
        <v>102274813300</v>
      </c>
      <c r="B40" s="4" t="str">
        <f t="shared" si="0"/>
        <v>102274813300OVR</v>
      </c>
      <c r="C40" t="s">
        <v>118</v>
      </c>
      <c r="D40" t="s">
        <v>66</v>
      </c>
      <c r="E40">
        <v>8325282</v>
      </c>
      <c r="F40" t="str">
        <f t="shared" si="1"/>
        <v>8325282OVR</v>
      </c>
      <c r="G40" t="s">
        <v>120</v>
      </c>
      <c r="H40" t="s">
        <v>212</v>
      </c>
      <c r="I40" t="s">
        <v>98</v>
      </c>
      <c r="J40" s="1">
        <v>46143</v>
      </c>
      <c r="K40" t="s">
        <v>51</v>
      </c>
      <c r="L40" t="s">
        <v>52</v>
      </c>
      <c r="O40" s="5">
        <v>-16.670000000000002</v>
      </c>
      <c r="Q40" t="s">
        <v>279</v>
      </c>
    </row>
    <row r="41" spans="1:17" x14ac:dyDescent="0.25">
      <c r="A41" s="4">
        <v>102275027100</v>
      </c>
      <c r="B41" s="4" t="str">
        <f t="shared" si="0"/>
        <v>102275027100OVR</v>
      </c>
      <c r="C41" t="s">
        <v>122</v>
      </c>
      <c r="D41" t="s">
        <v>114</v>
      </c>
      <c r="E41">
        <v>16170994</v>
      </c>
      <c r="F41" t="str">
        <f t="shared" si="1"/>
        <v>16170994OVR</v>
      </c>
      <c r="G41" t="s">
        <v>116</v>
      </c>
      <c r="H41" t="s">
        <v>212</v>
      </c>
      <c r="I41" t="s">
        <v>98</v>
      </c>
      <c r="J41" s="1">
        <v>46143</v>
      </c>
      <c r="K41" t="s">
        <v>51</v>
      </c>
      <c r="L41" t="s">
        <v>52</v>
      </c>
      <c r="O41" s="5">
        <v>-16.670000000000002</v>
      </c>
      <c r="Q41" t="s">
        <v>279</v>
      </c>
    </row>
    <row r="42" spans="1:17" x14ac:dyDescent="0.25">
      <c r="A42" s="4">
        <v>102275148400</v>
      </c>
      <c r="B42" s="4" t="str">
        <f t="shared" si="0"/>
        <v>102275148400OVR</v>
      </c>
      <c r="C42" t="s">
        <v>124</v>
      </c>
      <c r="D42" t="s">
        <v>114</v>
      </c>
      <c r="E42">
        <v>16170994</v>
      </c>
      <c r="F42" t="str">
        <f t="shared" si="1"/>
        <v>16170994OVR</v>
      </c>
      <c r="G42" t="s">
        <v>116</v>
      </c>
      <c r="H42" t="s">
        <v>212</v>
      </c>
      <c r="I42" t="s">
        <v>98</v>
      </c>
      <c r="J42" s="1">
        <v>46143</v>
      </c>
      <c r="K42" t="s">
        <v>51</v>
      </c>
      <c r="L42" t="s">
        <v>52</v>
      </c>
      <c r="O42" s="5">
        <v>-16.670000000000002</v>
      </c>
      <c r="Q42" t="s">
        <v>279</v>
      </c>
    </row>
    <row r="43" spans="1:17" x14ac:dyDescent="0.25">
      <c r="A43" s="4">
        <v>102275328300</v>
      </c>
      <c r="B43" s="4" t="str">
        <f t="shared" si="0"/>
        <v>102275328300OVR</v>
      </c>
      <c r="C43" t="s">
        <v>126</v>
      </c>
      <c r="D43" t="s">
        <v>66</v>
      </c>
      <c r="E43">
        <v>8307933</v>
      </c>
      <c r="F43" t="str">
        <f t="shared" si="1"/>
        <v>8307933OVR</v>
      </c>
      <c r="G43" t="s">
        <v>72</v>
      </c>
      <c r="H43" t="s">
        <v>212</v>
      </c>
      <c r="I43" t="s">
        <v>98</v>
      </c>
      <c r="J43" s="1">
        <v>46143</v>
      </c>
      <c r="K43" t="s">
        <v>51</v>
      </c>
      <c r="L43" t="s">
        <v>52</v>
      </c>
      <c r="O43" s="5">
        <v>-16.670000000000002</v>
      </c>
      <c r="Q43" t="s">
        <v>279</v>
      </c>
    </row>
    <row r="44" spans="1:17" x14ac:dyDescent="0.25">
      <c r="A44" s="4">
        <v>102275502600</v>
      </c>
      <c r="B44" s="4" t="str">
        <f t="shared" si="0"/>
        <v>102275502600OVR</v>
      </c>
      <c r="C44" t="s">
        <v>128</v>
      </c>
      <c r="D44" t="s">
        <v>95</v>
      </c>
      <c r="E44">
        <v>20253958</v>
      </c>
      <c r="F44" t="str">
        <f t="shared" si="1"/>
        <v>20253958OVR</v>
      </c>
      <c r="G44" t="s">
        <v>97</v>
      </c>
      <c r="H44" t="s">
        <v>212</v>
      </c>
      <c r="I44" t="s">
        <v>98</v>
      </c>
      <c r="J44" s="1">
        <v>46143</v>
      </c>
      <c r="K44" t="s">
        <v>51</v>
      </c>
      <c r="L44" t="s">
        <v>52</v>
      </c>
      <c r="O44" s="5">
        <v>-16.670000000000002</v>
      </c>
      <c r="Q44" t="s">
        <v>279</v>
      </c>
    </row>
    <row r="45" spans="1:17" x14ac:dyDescent="0.25">
      <c r="A45" s="4">
        <v>102275688500</v>
      </c>
      <c r="B45" s="4" t="str">
        <f t="shared" si="0"/>
        <v>102275688500OVR</v>
      </c>
      <c r="C45" t="s">
        <v>130</v>
      </c>
      <c r="D45" t="s">
        <v>114</v>
      </c>
      <c r="E45">
        <v>16170994</v>
      </c>
      <c r="F45" t="str">
        <f t="shared" si="1"/>
        <v>16170994OVR</v>
      </c>
      <c r="G45" t="s">
        <v>116</v>
      </c>
      <c r="H45" t="s">
        <v>212</v>
      </c>
      <c r="I45" t="s">
        <v>98</v>
      </c>
      <c r="J45" s="1">
        <v>46143</v>
      </c>
      <c r="K45" t="s">
        <v>51</v>
      </c>
      <c r="L45" t="s">
        <v>52</v>
      </c>
      <c r="O45" s="5">
        <v>-16.670000000000002</v>
      </c>
      <c r="Q45" t="s">
        <v>279</v>
      </c>
    </row>
    <row r="46" spans="1:17" x14ac:dyDescent="0.25">
      <c r="A46" s="4">
        <v>102275883400</v>
      </c>
      <c r="B46" s="4" t="str">
        <f t="shared" si="0"/>
        <v>102275883400OVR</v>
      </c>
      <c r="C46" t="s">
        <v>132</v>
      </c>
      <c r="D46" t="s">
        <v>46</v>
      </c>
      <c r="E46">
        <v>19268643</v>
      </c>
      <c r="F46" t="str">
        <f t="shared" si="1"/>
        <v>19268643OVR</v>
      </c>
      <c r="G46" t="s">
        <v>134</v>
      </c>
      <c r="H46" t="s">
        <v>212</v>
      </c>
      <c r="I46" t="s">
        <v>98</v>
      </c>
      <c r="J46" s="1">
        <v>46113</v>
      </c>
      <c r="K46" t="s">
        <v>51</v>
      </c>
      <c r="L46" t="s">
        <v>52</v>
      </c>
      <c r="O46" s="5">
        <v>-18.75</v>
      </c>
      <c r="Q46" t="s">
        <v>279</v>
      </c>
    </row>
    <row r="47" spans="1:17" x14ac:dyDescent="0.25">
      <c r="A47" s="4">
        <v>102276185900</v>
      </c>
      <c r="B47" s="4" t="str">
        <f t="shared" si="0"/>
        <v>102276185900OVR</v>
      </c>
      <c r="C47" t="s">
        <v>136</v>
      </c>
      <c r="D47" t="s">
        <v>95</v>
      </c>
      <c r="E47">
        <v>17528908</v>
      </c>
      <c r="F47" t="str">
        <f t="shared" si="1"/>
        <v>17528908OVR</v>
      </c>
      <c r="G47" t="s">
        <v>111</v>
      </c>
      <c r="H47" t="s">
        <v>212</v>
      </c>
      <c r="I47" t="s">
        <v>98</v>
      </c>
      <c r="J47" s="1">
        <v>46143</v>
      </c>
      <c r="K47" t="s">
        <v>51</v>
      </c>
      <c r="L47" t="s">
        <v>52</v>
      </c>
      <c r="O47" s="5">
        <v>-16.670000000000002</v>
      </c>
      <c r="Q47" t="s">
        <v>279</v>
      </c>
    </row>
    <row r="48" spans="1:17" x14ac:dyDescent="0.25">
      <c r="A48" s="4">
        <v>102276195200</v>
      </c>
      <c r="B48" s="4" t="str">
        <f t="shared" si="0"/>
        <v>102276195200OVR</v>
      </c>
      <c r="C48" t="s">
        <v>138</v>
      </c>
      <c r="D48" t="s">
        <v>46</v>
      </c>
      <c r="E48">
        <v>8244481</v>
      </c>
      <c r="F48" t="str">
        <f t="shared" si="1"/>
        <v>8244481OVR</v>
      </c>
      <c r="G48" t="s">
        <v>140</v>
      </c>
      <c r="H48" t="s">
        <v>212</v>
      </c>
      <c r="I48" t="s">
        <v>98</v>
      </c>
      <c r="J48" s="1">
        <v>46143</v>
      </c>
      <c r="K48" t="s">
        <v>51</v>
      </c>
      <c r="L48" t="s">
        <v>52</v>
      </c>
      <c r="O48" s="5">
        <v>-16.670000000000002</v>
      </c>
      <c r="Q48" t="s">
        <v>279</v>
      </c>
    </row>
    <row r="49" spans="1:17" x14ac:dyDescent="0.25">
      <c r="A49" s="4">
        <v>102276209100</v>
      </c>
      <c r="B49" s="4" t="str">
        <f t="shared" si="0"/>
        <v>102276209100OVR</v>
      </c>
      <c r="C49" t="s">
        <v>142</v>
      </c>
      <c r="D49" t="s">
        <v>95</v>
      </c>
      <c r="E49">
        <v>20253958</v>
      </c>
      <c r="F49" t="str">
        <f t="shared" si="1"/>
        <v>20253958OVR</v>
      </c>
      <c r="G49" t="s">
        <v>97</v>
      </c>
      <c r="H49" t="s">
        <v>212</v>
      </c>
      <c r="I49" t="s">
        <v>98</v>
      </c>
      <c r="J49" s="1">
        <v>46174</v>
      </c>
      <c r="K49" t="s">
        <v>51</v>
      </c>
      <c r="L49" t="s">
        <v>52</v>
      </c>
      <c r="O49" s="5">
        <v>-14.58</v>
      </c>
      <c r="Q49" t="s">
        <v>279</v>
      </c>
    </row>
    <row r="50" spans="1:17" x14ac:dyDescent="0.25">
      <c r="A50" s="4">
        <v>102276304500</v>
      </c>
      <c r="B50" s="4" t="str">
        <f t="shared" si="0"/>
        <v>102276304500OVR</v>
      </c>
      <c r="C50" t="s">
        <v>144</v>
      </c>
      <c r="D50" t="s">
        <v>46</v>
      </c>
      <c r="E50">
        <v>18828278</v>
      </c>
      <c r="F50" t="str">
        <f t="shared" si="1"/>
        <v>18828278OVR</v>
      </c>
      <c r="G50" t="s">
        <v>146</v>
      </c>
      <c r="H50" t="s">
        <v>212</v>
      </c>
      <c r="I50" t="s">
        <v>98</v>
      </c>
      <c r="J50" s="1">
        <v>46204</v>
      </c>
      <c r="K50" t="s">
        <v>51</v>
      </c>
      <c r="L50" t="s">
        <v>52</v>
      </c>
      <c r="O50" s="5">
        <v>-12.5</v>
      </c>
      <c r="Q50" t="s">
        <v>279</v>
      </c>
    </row>
    <row r="51" spans="1:17" x14ac:dyDescent="0.25">
      <c r="A51" s="4">
        <v>102276384600</v>
      </c>
      <c r="B51" s="4" t="str">
        <f t="shared" si="0"/>
        <v>102276384600OVR</v>
      </c>
      <c r="C51" t="s">
        <v>148</v>
      </c>
      <c r="D51" t="s">
        <v>114</v>
      </c>
      <c r="E51">
        <v>16170994</v>
      </c>
      <c r="F51" t="str">
        <f t="shared" si="1"/>
        <v>16170994OVR</v>
      </c>
      <c r="G51" t="s">
        <v>116</v>
      </c>
      <c r="H51" t="s">
        <v>212</v>
      </c>
      <c r="I51" t="s">
        <v>98</v>
      </c>
      <c r="J51" s="1">
        <v>46143</v>
      </c>
      <c r="K51" t="s">
        <v>51</v>
      </c>
      <c r="L51" t="s">
        <v>52</v>
      </c>
      <c r="O51" s="5">
        <v>-16.670000000000002</v>
      </c>
      <c r="Q51" t="s">
        <v>279</v>
      </c>
    </row>
    <row r="52" spans="1:17" x14ac:dyDescent="0.25">
      <c r="A52" s="4">
        <v>102276504200</v>
      </c>
      <c r="B52" s="4" t="str">
        <f t="shared" si="0"/>
        <v>102276504200OVR</v>
      </c>
      <c r="C52" t="s">
        <v>150</v>
      </c>
      <c r="D52" t="s">
        <v>57</v>
      </c>
      <c r="E52">
        <v>20490188</v>
      </c>
      <c r="F52" t="str">
        <f t="shared" si="1"/>
        <v>20490188OVR</v>
      </c>
      <c r="G52" t="s">
        <v>152</v>
      </c>
      <c r="H52" t="s">
        <v>212</v>
      </c>
      <c r="I52" t="s">
        <v>98</v>
      </c>
      <c r="J52" s="1">
        <v>46143</v>
      </c>
      <c r="K52" t="s">
        <v>51</v>
      </c>
      <c r="L52" t="s">
        <v>52</v>
      </c>
      <c r="O52" s="5">
        <v>-16.670000000000002</v>
      </c>
      <c r="Q52" t="s">
        <v>279</v>
      </c>
    </row>
    <row r="53" spans="1:17" x14ac:dyDescent="0.25">
      <c r="A53" s="4">
        <v>102276570700</v>
      </c>
      <c r="B53" s="4" t="str">
        <f t="shared" si="0"/>
        <v>102276570700OVR</v>
      </c>
      <c r="C53" t="s">
        <v>154</v>
      </c>
      <c r="D53" t="s">
        <v>114</v>
      </c>
      <c r="E53">
        <v>16170994</v>
      </c>
      <c r="F53" t="str">
        <f t="shared" si="1"/>
        <v>16170994OVR</v>
      </c>
      <c r="G53" t="s">
        <v>116</v>
      </c>
      <c r="H53" t="s">
        <v>212</v>
      </c>
      <c r="I53" t="s">
        <v>98</v>
      </c>
      <c r="J53" s="1">
        <v>46174</v>
      </c>
      <c r="K53" t="s">
        <v>51</v>
      </c>
      <c r="L53" t="s">
        <v>52</v>
      </c>
      <c r="O53" s="5">
        <v>-14.58</v>
      </c>
      <c r="Q53" t="s">
        <v>279</v>
      </c>
    </row>
    <row r="54" spans="1:17" x14ac:dyDescent="0.25">
      <c r="A54" s="4">
        <v>102276693000</v>
      </c>
      <c r="B54" s="4" t="str">
        <f t="shared" si="0"/>
        <v>102276693000OVR</v>
      </c>
      <c r="C54" t="s">
        <v>156</v>
      </c>
      <c r="D54" t="s">
        <v>95</v>
      </c>
      <c r="E54">
        <v>19278370</v>
      </c>
      <c r="F54" t="str">
        <f t="shared" si="1"/>
        <v>19278370OVR</v>
      </c>
      <c r="G54" t="s">
        <v>158</v>
      </c>
      <c r="H54" t="s">
        <v>212</v>
      </c>
      <c r="I54" t="s">
        <v>98</v>
      </c>
      <c r="J54" s="1">
        <v>46143</v>
      </c>
      <c r="K54" t="s">
        <v>51</v>
      </c>
      <c r="L54" t="s">
        <v>52</v>
      </c>
      <c r="O54" s="5">
        <v>-16.670000000000002</v>
      </c>
      <c r="Q54" t="s">
        <v>279</v>
      </c>
    </row>
    <row r="55" spans="1:17" x14ac:dyDescent="0.25">
      <c r="A55" s="4">
        <v>102276738400</v>
      </c>
      <c r="B55" s="4" t="str">
        <f t="shared" si="0"/>
        <v>102276738400OVR</v>
      </c>
      <c r="C55" t="s">
        <v>160</v>
      </c>
      <c r="D55" t="s">
        <v>114</v>
      </c>
      <c r="E55">
        <v>16170994</v>
      </c>
      <c r="F55" t="str">
        <f t="shared" si="1"/>
        <v>16170994OVR</v>
      </c>
      <c r="G55" t="s">
        <v>116</v>
      </c>
      <c r="H55" t="s">
        <v>212</v>
      </c>
      <c r="I55" t="s">
        <v>98</v>
      </c>
      <c r="J55" s="1">
        <v>46143</v>
      </c>
      <c r="K55" t="s">
        <v>51</v>
      </c>
      <c r="L55" t="s">
        <v>52</v>
      </c>
      <c r="O55" s="5">
        <v>-16.670000000000002</v>
      </c>
      <c r="Q55" t="s">
        <v>279</v>
      </c>
    </row>
    <row r="56" spans="1:17" x14ac:dyDescent="0.25">
      <c r="A56" s="4">
        <v>102276901900</v>
      </c>
      <c r="B56" s="4" t="str">
        <f t="shared" si="0"/>
        <v>102276901900OVR</v>
      </c>
      <c r="C56" t="s">
        <v>162</v>
      </c>
      <c r="D56" t="s">
        <v>95</v>
      </c>
      <c r="E56">
        <v>17886092</v>
      </c>
      <c r="F56" t="str">
        <f t="shared" si="1"/>
        <v>17886092OVR</v>
      </c>
      <c r="G56" t="s">
        <v>164</v>
      </c>
      <c r="H56" t="s">
        <v>212</v>
      </c>
      <c r="I56" t="s">
        <v>98</v>
      </c>
      <c r="J56" s="1">
        <v>46204</v>
      </c>
      <c r="K56" t="s">
        <v>51</v>
      </c>
      <c r="L56" t="s">
        <v>52</v>
      </c>
      <c r="O56" s="5">
        <v>-12.5</v>
      </c>
      <c r="Q56" t="s">
        <v>279</v>
      </c>
    </row>
    <row r="57" spans="1:17" x14ac:dyDescent="0.25">
      <c r="A57" s="4">
        <v>102277107500</v>
      </c>
      <c r="B57" s="4" t="str">
        <f t="shared" si="0"/>
        <v>102277107500OVR</v>
      </c>
      <c r="C57" t="s">
        <v>166</v>
      </c>
      <c r="D57" t="s">
        <v>95</v>
      </c>
      <c r="E57">
        <v>9544903</v>
      </c>
      <c r="F57" t="str">
        <f t="shared" si="1"/>
        <v>9544903OVR</v>
      </c>
      <c r="G57" t="s">
        <v>168</v>
      </c>
      <c r="H57" t="s">
        <v>212</v>
      </c>
      <c r="I57" t="s">
        <v>98</v>
      </c>
      <c r="J57" s="1">
        <v>46143</v>
      </c>
      <c r="K57" t="s">
        <v>51</v>
      </c>
      <c r="L57" t="s">
        <v>52</v>
      </c>
      <c r="O57" s="5">
        <v>-16.670000000000002</v>
      </c>
      <c r="Q57" t="s">
        <v>279</v>
      </c>
    </row>
    <row r="58" spans="1:17" x14ac:dyDescent="0.25">
      <c r="A58" s="4">
        <v>102277112400</v>
      </c>
      <c r="B58" s="4" t="str">
        <f t="shared" si="0"/>
        <v>102277112400OVR</v>
      </c>
      <c r="C58" t="s">
        <v>170</v>
      </c>
      <c r="D58" t="s">
        <v>95</v>
      </c>
      <c r="E58">
        <v>16212649</v>
      </c>
      <c r="F58" t="str">
        <f t="shared" si="1"/>
        <v>16212649OVR</v>
      </c>
      <c r="G58" t="s">
        <v>172</v>
      </c>
      <c r="H58" t="s">
        <v>212</v>
      </c>
      <c r="I58" t="s">
        <v>98</v>
      </c>
      <c r="J58" s="1">
        <v>46143</v>
      </c>
      <c r="K58" t="s">
        <v>51</v>
      </c>
      <c r="L58" t="s">
        <v>52</v>
      </c>
      <c r="O58" s="5">
        <v>-16.670000000000002</v>
      </c>
      <c r="Q58" t="s">
        <v>279</v>
      </c>
    </row>
    <row r="59" spans="1:17" x14ac:dyDescent="0.25">
      <c r="A59" s="4" t="s">
        <v>272</v>
      </c>
      <c r="B59" s="4" t="str">
        <f t="shared" si="0"/>
        <v>31U3A1X56OVR</v>
      </c>
      <c r="C59" t="s">
        <v>193</v>
      </c>
      <c r="D59" t="s">
        <v>46</v>
      </c>
      <c r="E59">
        <v>16633294</v>
      </c>
      <c r="F59" t="str">
        <f t="shared" si="1"/>
        <v>16633294OVR</v>
      </c>
      <c r="G59" t="s">
        <v>48</v>
      </c>
      <c r="H59" t="s">
        <v>49</v>
      </c>
      <c r="I59" t="s">
        <v>194</v>
      </c>
      <c r="J59" s="1">
        <v>46204</v>
      </c>
      <c r="K59" t="s">
        <v>51</v>
      </c>
      <c r="L59" t="s">
        <v>52</v>
      </c>
      <c r="M59" s="2">
        <v>100</v>
      </c>
      <c r="N59">
        <v>1</v>
      </c>
      <c r="O59" s="2">
        <v>100</v>
      </c>
      <c r="Q59" t="s">
        <v>280</v>
      </c>
    </row>
    <row r="60" spans="1:17" x14ac:dyDescent="0.25">
      <c r="A60" s="4" t="s">
        <v>273</v>
      </c>
      <c r="B60" s="4" t="str">
        <f t="shared" si="0"/>
        <v>34H6U5L39OVR</v>
      </c>
      <c r="C60" t="s">
        <v>196</v>
      </c>
      <c r="D60" t="s">
        <v>46</v>
      </c>
      <c r="E60">
        <v>16633294</v>
      </c>
      <c r="F60" t="str">
        <f t="shared" si="1"/>
        <v>16633294OVR</v>
      </c>
      <c r="G60" t="s">
        <v>48</v>
      </c>
      <c r="H60" t="s">
        <v>49</v>
      </c>
      <c r="I60" t="s">
        <v>194</v>
      </c>
      <c r="J60" s="1">
        <v>46174</v>
      </c>
      <c r="K60" t="s">
        <v>51</v>
      </c>
      <c r="L60" t="s">
        <v>52</v>
      </c>
      <c r="M60" s="2">
        <v>100</v>
      </c>
      <c r="N60">
        <v>1</v>
      </c>
      <c r="O60" s="2">
        <v>100</v>
      </c>
      <c r="Q60" t="s">
        <v>280</v>
      </c>
    </row>
    <row r="61" spans="1:17" x14ac:dyDescent="0.25">
      <c r="A61" s="4" t="s">
        <v>274</v>
      </c>
      <c r="B61" s="4" t="str">
        <f t="shared" si="0"/>
        <v>72H2A7X94OVR</v>
      </c>
      <c r="C61" t="s">
        <v>198</v>
      </c>
      <c r="D61" t="s">
        <v>95</v>
      </c>
      <c r="E61">
        <v>17528908</v>
      </c>
      <c r="F61" t="str">
        <f t="shared" si="1"/>
        <v>17528908OVR</v>
      </c>
      <c r="G61" t="s">
        <v>111</v>
      </c>
      <c r="H61" t="s">
        <v>49</v>
      </c>
      <c r="I61" t="s">
        <v>194</v>
      </c>
      <c r="J61" s="1">
        <v>46204</v>
      </c>
      <c r="K61" t="s">
        <v>51</v>
      </c>
      <c r="L61" t="s">
        <v>52</v>
      </c>
      <c r="M61" s="2">
        <v>100</v>
      </c>
      <c r="N61">
        <v>1</v>
      </c>
      <c r="O61" s="2">
        <v>100</v>
      </c>
      <c r="Q61" t="s">
        <v>280</v>
      </c>
    </row>
    <row r="62" spans="1:17" x14ac:dyDescent="0.25">
      <c r="A62" s="4" t="s">
        <v>260</v>
      </c>
      <c r="B62" s="4" t="str">
        <f t="shared" si="0"/>
        <v>00024425940KOVR</v>
      </c>
      <c r="C62" t="s">
        <v>45</v>
      </c>
      <c r="D62" t="s">
        <v>46</v>
      </c>
      <c r="E62">
        <v>16633294</v>
      </c>
      <c r="F62" t="str">
        <f t="shared" si="1"/>
        <v>16633294OVR</v>
      </c>
      <c r="G62" t="s">
        <v>48</v>
      </c>
      <c r="H62" t="s">
        <v>49</v>
      </c>
      <c r="I62" t="s">
        <v>50</v>
      </c>
      <c r="J62" s="1">
        <v>46174</v>
      </c>
      <c r="K62" t="s">
        <v>51</v>
      </c>
      <c r="L62" t="s">
        <v>52</v>
      </c>
      <c r="M62" s="2">
        <v>175</v>
      </c>
      <c r="N62">
        <v>1</v>
      </c>
      <c r="O62" s="2">
        <v>175</v>
      </c>
      <c r="Q62" t="s">
        <v>281</v>
      </c>
    </row>
    <row r="63" spans="1:17" x14ac:dyDescent="0.25">
      <c r="A63" s="4" t="s">
        <v>261</v>
      </c>
      <c r="B63" s="4" t="str">
        <f t="shared" si="0"/>
        <v>00026527723KOVR</v>
      </c>
      <c r="C63" t="s">
        <v>54</v>
      </c>
      <c r="D63" t="s">
        <v>46</v>
      </c>
      <c r="E63">
        <v>16633294</v>
      </c>
      <c r="F63" t="str">
        <f t="shared" si="1"/>
        <v>16633294OVR</v>
      </c>
      <c r="G63" t="s">
        <v>48</v>
      </c>
      <c r="H63" t="s">
        <v>49</v>
      </c>
      <c r="I63" t="s">
        <v>50</v>
      </c>
      <c r="J63" s="1">
        <v>46174</v>
      </c>
      <c r="K63" t="s">
        <v>51</v>
      </c>
      <c r="L63" t="s">
        <v>52</v>
      </c>
      <c r="M63" s="2">
        <v>175</v>
      </c>
      <c r="N63">
        <v>1</v>
      </c>
      <c r="O63" s="2">
        <v>175</v>
      </c>
      <c r="Q63" t="s">
        <v>281</v>
      </c>
    </row>
    <row r="64" spans="1:17" x14ac:dyDescent="0.25">
      <c r="A64" s="4" t="s">
        <v>262</v>
      </c>
      <c r="B64" s="4" t="str">
        <f t="shared" si="0"/>
        <v>00026530642KOVR</v>
      </c>
      <c r="C64" t="s">
        <v>56</v>
      </c>
      <c r="D64" t="s">
        <v>57</v>
      </c>
      <c r="E64">
        <v>7470776</v>
      </c>
      <c r="F64" t="str">
        <f t="shared" si="1"/>
        <v>7470776OVR</v>
      </c>
      <c r="G64" t="s">
        <v>59</v>
      </c>
      <c r="H64" t="s">
        <v>49</v>
      </c>
      <c r="I64" t="s">
        <v>50</v>
      </c>
      <c r="J64" s="1">
        <v>46174</v>
      </c>
      <c r="K64" t="s">
        <v>51</v>
      </c>
      <c r="L64" t="s">
        <v>52</v>
      </c>
      <c r="M64" s="2">
        <v>175</v>
      </c>
      <c r="N64">
        <v>1</v>
      </c>
      <c r="O64" s="2">
        <v>175</v>
      </c>
      <c r="Q64" t="s">
        <v>281</v>
      </c>
    </row>
    <row r="65" spans="1:17" x14ac:dyDescent="0.25">
      <c r="A65" s="4" t="s">
        <v>263</v>
      </c>
      <c r="B65" s="4" t="str">
        <f t="shared" si="0"/>
        <v>00026531294KOVR</v>
      </c>
      <c r="C65" t="s">
        <v>61</v>
      </c>
      <c r="D65" t="s">
        <v>46</v>
      </c>
      <c r="E65">
        <v>19396223</v>
      </c>
      <c r="F65" t="str">
        <f t="shared" si="1"/>
        <v>19396223OVR</v>
      </c>
      <c r="G65" t="s">
        <v>63</v>
      </c>
      <c r="H65" t="s">
        <v>49</v>
      </c>
      <c r="I65" t="s">
        <v>50</v>
      </c>
      <c r="J65" s="1">
        <v>46174</v>
      </c>
      <c r="K65" t="s">
        <v>51</v>
      </c>
      <c r="L65" t="s">
        <v>52</v>
      </c>
      <c r="M65" s="2">
        <v>175</v>
      </c>
      <c r="N65">
        <v>1</v>
      </c>
      <c r="O65" s="2">
        <v>175</v>
      </c>
      <c r="Q65" t="s">
        <v>281</v>
      </c>
    </row>
    <row r="66" spans="1:17" x14ac:dyDescent="0.25">
      <c r="A66" s="4" t="s">
        <v>264</v>
      </c>
      <c r="B66" s="4" t="str">
        <f t="shared" si="0"/>
        <v>00026531514KOVR</v>
      </c>
      <c r="C66" t="s">
        <v>65</v>
      </c>
      <c r="D66" t="s">
        <v>66</v>
      </c>
      <c r="E66">
        <v>1706194</v>
      </c>
      <c r="F66" t="str">
        <f t="shared" si="1"/>
        <v>1706194OVR</v>
      </c>
      <c r="G66" t="s">
        <v>68</v>
      </c>
      <c r="H66" t="s">
        <v>49</v>
      </c>
      <c r="I66" t="s">
        <v>50</v>
      </c>
      <c r="J66" s="1">
        <v>46174</v>
      </c>
      <c r="K66" t="s">
        <v>51</v>
      </c>
      <c r="L66" t="s">
        <v>52</v>
      </c>
      <c r="M66" s="2">
        <v>175</v>
      </c>
      <c r="N66">
        <v>1</v>
      </c>
      <c r="O66" s="2">
        <v>175</v>
      </c>
      <c r="Q66" t="s">
        <v>281</v>
      </c>
    </row>
    <row r="67" spans="1:17" x14ac:dyDescent="0.25">
      <c r="A67" s="4" t="s">
        <v>265</v>
      </c>
      <c r="B67" s="4" t="str">
        <f t="shared" ref="B67:B76" si="2">CONCATENATE(A67,"OVR")</f>
        <v>00026531813KOVR</v>
      </c>
      <c r="C67" t="s">
        <v>70</v>
      </c>
      <c r="D67" t="s">
        <v>46</v>
      </c>
      <c r="E67">
        <v>8307933</v>
      </c>
      <c r="F67" t="str">
        <f t="shared" ref="F67:F76" si="3">CONCATENATE(E67,"OVR")</f>
        <v>8307933OVR</v>
      </c>
      <c r="G67" t="s">
        <v>72</v>
      </c>
      <c r="H67" t="s">
        <v>49</v>
      </c>
      <c r="I67" t="s">
        <v>50</v>
      </c>
      <c r="J67" s="1">
        <v>46174</v>
      </c>
      <c r="K67" t="s">
        <v>51</v>
      </c>
      <c r="L67" t="s">
        <v>52</v>
      </c>
      <c r="M67" s="2">
        <v>175</v>
      </c>
      <c r="N67">
        <v>1</v>
      </c>
      <c r="O67" s="2">
        <v>175</v>
      </c>
      <c r="Q67" t="s">
        <v>281</v>
      </c>
    </row>
    <row r="68" spans="1:17" x14ac:dyDescent="0.25">
      <c r="A68" s="4" t="s">
        <v>266</v>
      </c>
      <c r="B68" s="4" t="str">
        <f t="shared" si="2"/>
        <v>00026531857KOVR</v>
      </c>
      <c r="C68" t="s">
        <v>74</v>
      </c>
      <c r="D68" t="s">
        <v>46</v>
      </c>
      <c r="E68">
        <v>9213293</v>
      </c>
      <c r="F68" t="str">
        <f t="shared" si="3"/>
        <v>9213293OVR</v>
      </c>
      <c r="G68" t="s">
        <v>76</v>
      </c>
      <c r="H68" t="s">
        <v>49</v>
      </c>
      <c r="I68" t="s">
        <v>50</v>
      </c>
      <c r="J68" s="1">
        <v>46235</v>
      </c>
      <c r="K68" t="s">
        <v>51</v>
      </c>
      <c r="L68" t="s">
        <v>52</v>
      </c>
      <c r="M68" s="2">
        <v>175</v>
      </c>
      <c r="N68">
        <v>1</v>
      </c>
      <c r="O68" s="2">
        <v>175</v>
      </c>
      <c r="Q68" t="s">
        <v>281</v>
      </c>
    </row>
    <row r="69" spans="1:17" x14ac:dyDescent="0.25">
      <c r="A69" s="4" t="s">
        <v>267</v>
      </c>
      <c r="B69" s="4" t="str">
        <f t="shared" si="2"/>
        <v>00026538315KOVR</v>
      </c>
      <c r="C69" t="s">
        <v>78</v>
      </c>
      <c r="D69" t="s">
        <v>79</v>
      </c>
      <c r="E69">
        <v>7470776</v>
      </c>
      <c r="F69" t="str">
        <f t="shared" si="3"/>
        <v>7470776OVR</v>
      </c>
      <c r="G69" t="s">
        <v>59</v>
      </c>
      <c r="H69" t="s">
        <v>49</v>
      </c>
      <c r="I69" t="s">
        <v>50</v>
      </c>
      <c r="J69" s="1">
        <v>46174</v>
      </c>
      <c r="K69" t="s">
        <v>51</v>
      </c>
      <c r="L69" t="s">
        <v>52</v>
      </c>
      <c r="M69" s="2">
        <v>175</v>
      </c>
      <c r="N69">
        <v>1</v>
      </c>
      <c r="O69" s="2">
        <v>175</v>
      </c>
      <c r="Q69" t="s">
        <v>281</v>
      </c>
    </row>
    <row r="70" spans="1:17" x14ac:dyDescent="0.25">
      <c r="A70" s="4" t="s">
        <v>268</v>
      </c>
      <c r="B70" s="4" t="str">
        <f t="shared" si="2"/>
        <v>00026541112KOVR</v>
      </c>
      <c r="C70" t="s">
        <v>81</v>
      </c>
      <c r="D70" t="s">
        <v>46</v>
      </c>
      <c r="E70">
        <v>8307933</v>
      </c>
      <c r="F70" t="str">
        <f t="shared" si="3"/>
        <v>8307933OVR</v>
      </c>
      <c r="G70" t="s">
        <v>72</v>
      </c>
      <c r="H70" t="s">
        <v>49</v>
      </c>
      <c r="I70" t="s">
        <v>50</v>
      </c>
      <c r="J70" s="1">
        <v>46235</v>
      </c>
      <c r="K70" t="s">
        <v>51</v>
      </c>
      <c r="L70" t="s">
        <v>52</v>
      </c>
      <c r="M70" s="2">
        <v>175</v>
      </c>
      <c r="N70">
        <v>1</v>
      </c>
      <c r="O70" s="2">
        <v>175</v>
      </c>
      <c r="Q70" t="s">
        <v>281</v>
      </c>
    </row>
    <row r="71" spans="1:17" x14ac:dyDescent="0.25">
      <c r="A71" s="4" t="s">
        <v>269</v>
      </c>
      <c r="B71" s="4" t="str">
        <f t="shared" si="2"/>
        <v>00026541287KOVR</v>
      </c>
      <c r="C71" t="s">
        <v>83</v>
      </c>
      <c r="D71" t="s">
        <v>57</v>
      </c>
      <c r="E71">
        <v>7470776</v>
      </c>
      <c r="F71" t="str">
        <f t="shared" si="3"/>
        <v>7470776OVR</v>
      </c>
      <c r="G71" t="s">
        <v>59</v>
      </c>
      <c r="H71" t="s">
        <v>49</v>
      </c>
      <c r="I71" t="s">
        <v>50</v>
      </c>
      <c r="J71" s="1">
        <v>46174</v>
      </c>
      <c r="K71" t="s">
        <v>51</v>
      </c>
      <c r="L71" t="s">
        <v>52</v>
      </c>
      <c r="M71" s="2">
        <v>175</v>
      </c>
      <c r="N71">
        <v>1</v>
      </c>
      <c r="O71" s="2">
        <v>175</v>
      </c>
      <c r="Q71" t="s">
        <v>281</v>
      </c>
    </row>
    <row r="72" spans="1:17" x14ac:dyDescent="0.25">
      <c r="A72" s="4" t="s">
        <v>270</v>
      </c>
      <c r="B72" s="4" t="str">
        <f t="shared" si="2"/>
        <v>00026542697KOVR</v>
      </c>
      <c r="C72" t="s">
        <v>85</v>
      </c>
      <c r="D72" t="s">
        <v>46</v>
      </c>
      <c r="E72">
        <v>7470776</v>
      </c>
      <c r="F72" t="str">
        <f t="shared" si="3"/>
        <v>7470776OVR</v>
      </c>
      <c r="G72" t="s">
        <v>59</v>
      </c>
      <c r="H72" t="s">
        <v>49</v>
      </c>
      <c r="I72" t="s">
        <v>50</v>
      </c>
      <c r="J72" s="1">
        <v>46174</v>
      </c>
      <c r="K72" t="s">
        <v>51</v>
      </c>
      <c r="L72" t="s">
        <v>52</v>
      </c>
      <c r="M72" s="2">
        <v>175</v>
      </c>
      <c r="N72">
        <v>1</v>
      </c>
      <c r="O72" s="2">
        <v>175</v>
      </c>
      <c r="Q72" t="s">
        <v>281</v>
      </c>
    </row>
    <row r="73" spans="1:17" x14ac:dyDescent="0.25">
      <c r="A73" s="4" t="s">
        <v>271</v>
      </c>
      <c r="B73" s="4" t="str">
        <f t="shared" si="2"/>
        <v>00026543135KOVR</v>
      </c>
      <c r="C73" t="s">
        <v>87</v>
      </c>
      <c r="D73" t="s">
        <v>46</v>
      </c>
      <c r="E73">
        <v>19396223</v>
      </c>
      <c r="F73" t="str">
        <f t="shared" si="3"/>
        <v>19396223OVR</v>
      </c>
      <c r="G73" t="s">
        <v>63</v>
      </c>
      <c r="H73" t="s">
        <v>49</v>
      </c>
      <c r="I73" t="s">
        <v>50</v>
      </c>
      <c r="J73" s="1">
        <v>46174</v>
      </c>
      <c r="K73" t="s">
        <v>51</v>
      </c>
      <c r="L73" t="s">
        <v>52</v>
      </c>
      <c r="M73" s="2">
        <v>175</v>
      </c>
      <c r="N73">
        <v>1</v>
      </c>
      <c r="O73" s="2">
        <v>175</v>
      </c>
      <c r="Q73" t="s">
        <v>281</v>
      </c>
    </row>
    <row r="74" spans="1:17" x14ac:dyDescent="0.25">
      <c r="A74" s="4" t="s">
        <v>276</v>
      </c>
      <c r="B74" s="4" t="str">
        <f t="shared" si="2"/>
        <v>00008544872KOVR</v>
      </c>
      <c r="C74" t="s">
        <v>209</v>
      </c>
      <c r="D74" t="s">
        <v>57</v>
      </c>
      <c r="E74">
        <v>16228684</v>
      </c>
      <c r="F74" t="str">
        <f t="shared" si="3"/>
        <v>16228684OVR</v>
      </c>
      <c r="G74" t="s">
        <v>211</v>
      </c>
      <c r="H74" t="s">
        <v>212</v>
      </c>
      <c r="I74" t="s">
        <v>50</v>
      </c>
      <c r="J74" s="1">
        <v>46023</v>
      </c>
      <c r="K74" t="s">
        <v>51</v>
      </c>
      <c r="L74" t="s">
        <v>52</v>
      </c>
      <c r="O74" s="5">
        <v>-101.5</v>
      </c>
      <c r="Q74" t="s">
        <v>281</v>
      </c>
    </row>
    <row r="75" spans="1:17" x14ac:dyDescent="0.25">
      <c r="A75" s="4" t="s">
        <v>278</v>
      </c>
      <c r="B75" s="4" t="str">
        <f t="shared" si="2"/>
        <v>00026060207KOVR</v>
      </c>
      <c r="C75" t="s">
        <v>217</v>
      </c>
      <c r="D75" t="s">
        <v>46</v>
      </c>
      <c r="E75">
        <v>19645587</v>
      </c>
      <c r="F75" t="str">
        <f t="shared" si="3"/>
        <v>19645587OVR</v>
      </c>
      <c r="G75" t="s">
        <v>219</v>
      </c>
      <c r="H75" t="s">
        <v>212</v>
      </c>
      <c r="I75" t="s">
        <v>50</v>
      </c>
      <c r="J75" s="1">
        <v>46113</v>
      </c>
      <c r="K75" t="s">
        <v>51</v>
      </c>
      <c r="L75" t="s">
        <v>52</v>
      </c>
      <c r="O75" s="5">
        <v>-101.5</v>
      </c>
      <c r="Q75" t="s">
        <v>281</v>
      </c>
    </row>
    <row r="76" spans="1:17" x14ac:dyDescent="0.25">
      <c r="A76" s="4" t="s">
        <v>277</v>
      </c>
      <c r="B76" s="4" t="str">
        <f t="shared" si="2"/>
        <v>00025375531KOVR</v>
      </c>
      <c r="C76" t="s">
        <v>214</v>
      </c>
      <c r="D76" t="s">
        <v>46</v>
      </c>
      <c r="E76">
        <v>18828278</v>
      </c>
      <c r="F76" t="str">
        <f t="shared" si="3"/>
        <v>18828278OVR</v>
      </c>
      <c r="G76" t="s">
        <v>146</v>
      </c>
      <c r="H76" t="s">
        <v>212</v>
      </c>
      <c r="I76" t="s">
        <v>215</v>
      </c>
      <c r="J76" s="1">
        <v>46143</v>
      </c>
      <c r="K76" t="s">
        <v>51</v>
      </c>
      <c r="L76" t="s">
        <v>52</v>
      </c>
      <c r="O76" s="5">
        <v>-99.36</v>
      </c>
      <c r="Q76" t="s">
        <v>281</v>
      </c>
    </row>
    <row r="77" spans="1:17" s="7" customFormat="1" x14ac:dyDescent="0.25">
      <c r="A77" s="6" t="s">
        <v>275</v>
      </c>
      <c r="B77" s="6" t="str">
        <f>CONCATENATE(A77,1)</f>
        <v>A044804341</v>
      </c>
      <c r="C77" s="7" t="s">
        <v>200</v>
      </c>
      <c r="D77" s="7" t="s">
        <v>95</v>
      </c>
      <c r="E77" s="7">
        <v>19278370</v>
      </c>
      <c r="F77" s="7">
        <v>19278370</v>
      </c>
      <c r="G77" s="7" t="s">
        <v>158</v>
      </c>
      <c r="H77" s="7" t="s">
        <v>49</v>
      </c>
      <c r="I77" s="7" t="s">
        <v>201</v>
      </c>
      <c r="J77" s="8">
        <v>46204</v>
      </c>
      <c r="K77" s="7" t="s">
        <v>51</v>
      </c>
      <c r="L77" s="7" t="s">
        <v>52</v>
      </c>
      <c r="M77" s="9">
        <v>36</v>
      </c>
      <c r="N77" s="7">
        <v>9</v>
      </c>
      <c r="O77" s="9">
        <v>324</v>
      </c>
      <c r="Q77" s="7" t="s">
        <v>201</v>
      </c>
    </row>
  </sheetData>
  <sortState xmlns:xlrd2="http://schemas.microsoft.com/office/spreadsheetml/2017/richdata2" ref="A2:AN77">
    <sortCondition ref="I2:I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2026-06-05T06:38:18Z</dcterms:created>
  <dcterms:modified xsi:type="dcterms:W3CDTF">2026-06-10T17:15:30Z</dcterms:modified>
</cp:coreProperties>
</file>