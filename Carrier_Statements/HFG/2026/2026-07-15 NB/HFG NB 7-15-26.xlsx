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7-15 NB\"/>
    </mc:Choice>
  </mc:AlternateContent>
  <xr:revisionPtr revIDLastSave="0" documentId="13_ncr:1_{1E4B9A28-059A-446C-B69D-DFD28C3C632B}" xr6:coauthVersionLast="47" xr6:coauthVersionMax="47" xr10:uidLastSave="{00000000-0000-0000-0000-000000000000}"/>
  <bookViews>
    <workbookView xWindow="-120" yWindow="-120" windowWidth="29040" windowHeight="15720" activeTab="1" xr2:uid="{68E2D6F3-939D-4D39-AB6D-7BAC4DE0A7CD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2" l="1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23" i="2"/>
  <c r="B12" i="2"/>
  <c r="B11" i="2"/>
  <c r="B22" i="2"/>
  <c r="B21" i="2"/>
  <c r="B20" i="2"/>
  <c r="B19" i="2"/>
  <c r="B18" i="2"/>
  <c r="B17" i="2"/>
  <c r="B16" i="2"/>
  <c r="B15" i="2"/>
  <c r="B14" i="2"/>
  <c r="B13" i="2"/>
  <c r="B10" i="2"/>
  <c r="B9" i="2"/>
  <c r="B8" i="2"/>
  <c r="B7" i="2"/>
  <c r="B6" i="2"/>
  <c r="B5" i="2"/>
  <c r="B4" i="2"/>
  <c r="B3" i="2"/>
  <c r="B2" i="2"/>
  <c r="F33" i="2"/>
  <c r="F63" i="2"/>
  <c r="F32" i="2"/>
  <c r="F35" i="2"/>
  <c r="F59" i="2"/>
  <c r="F43" i="2"/>
  <c r="F58" i="2"/>
  <c r="F31" i="2"/>
  <c r="F57" i="2"/>
  <c r="F54" i="2"/>
  <c r="F56" i="2"/>
  <c r="F53" i="2"/>
  <c r="F45" i="2"/>
  <c r="F30" i="2"/>
  <c r="F42" i="2"/>
  <c r="F41" i="2"/>
  <c r="F40" i="2"/>
  <c r="F26" i="2"/>
  <c r="F44" i="2"/>
  <c r="F52" i="2"/>
  <c r="F37" i="2"/>
  <c r="F62" i="2"/>
  <c r="F47" i="2"/>
  <c r="F27" i="2"/>
  <c r="F61" i="2"/>
  <c r="F28" i="2"/>
  <c r="F25" i="2"/>
  <c r="F24" i="2"/>
  <c r="F36" i="2"/>
  <c r="F39" i="2"/>
  <c r="F46" i="2"/>
  <c r="F55" i="2"/>
  <c r="F29" i="2"/>
  <c r="F34" i="2"/>
  <c r="F60" i="2"/>
  <c r="F23" i="2"/>
  <c r="F51" i="2"/>
  <c r="F48" i="2"/>
  <c r="F38" i="2"/>
  <c r="S20" i="2"/>
  <c r="S18" i="2"/>
</calcChain>
</file>

<file path=xl/sharedStrings.xml><?xml version="1.0" encoding="utf-8"?>
<sst xmlns="http://schemas.openxmlformats.org/spreadsheetml/2006/main" count="1416" uniqueCount="274">
  <si>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</si>
  <si>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</si>
  <si>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</si>
  <si>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</si>
  <si>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</si>
  <si>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</si>
  <si>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</si>
  <si>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</si>
  <si>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</si>
  <si>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</si>
  <si>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</si>
  <si>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</si>
  <si>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</si>
  <si>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</si>
  <si>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</si>
  <si>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</si>
  <si>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</si>
  <si>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</si>
  <si>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</si>
  <si>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</si>
  <si>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</si>
  <si>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</si>
  <si>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</si>
  <si>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</si>
  <si>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</si>
  <si>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</si>
  <si>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</si>
  <si>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</si>
  <si>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</si>
  <si>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</si>
  <si>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</si>
  <si>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</si>
  <si>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</si>
  <si>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</si>
  <si>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</si>
  <si>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</si>
  <si>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</si>
  <si>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</si>
  <si>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</si>
  <si>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</si>
  <si>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</si>
  <si>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</si>
  <si>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</si>
  <si>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</si>
  <si>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'00023704400K</t>
  </si>
  <si>
    <t>GORDANA KATUSIC</t>
  </si>
  <si>
    <t>FL</t>
  </si>
  <si>
    <t>'045605</t>
  </si>
  <si>
    <t>GARY PORTUGAL</t>
  </si>
  <si>
    <t>ACTIVE</t>
  </si>
  <si>
    <t>Humana MA 2019+ Level 15- 175/108 Repl 2024</t>
  </si>
  <si>
    <t>Monthly</t>
  </si>
  <si>
    <t>AV</t>
  </si>
  <si>
    <t>'00023709048K</t>
  </si>
  <si>
    <t>DORICA KATUSIC</t>
  </si>
  <si>
    <t>'00026591890K</t>
  </si>
  <si>
    <t>VIRSIE FREEMAN</t>
  </si>
  <si>
    <t>IL</t>
  </si>
  <si>
    <t>'045639</t>
  </si>
  <si>
    <t>STEVEN WERNER</t>
  </si>
  <si>
    <t>Humana MA 2019+ Level 15- 175/108</t>
  </si>
  <si>
    <t>'00026671173K</t>
  </si>
  <si>
    <t>LESLI REYNOLDS</t>
  </si>
  <si>
    <t>'045612</t>
  </si>
  <si>
    <t>ANTHONY HUNSBERGER</t>
  </si>
  <si>
    <t>'00026672467K</t>
  </si>
  <si>
    <t>MINHTHU PHAM</t>
  </si>
  <si>
    <t>CO</t>
  </si>
  <si>
    <t>'043713</t>
  </si>
  <si>
    <t>JOEL LEE</t>
  </si>
  <si>
    <t>'00026673354K</t>
  </si>
  <si>
    <t>BARBARA KURZ</t>
  </si>
  <si>
    <t>'045603</t>
  </si>
  <si>
    <t>ANDREW CHOI</t>
  </si>
  <si>
    <t>'00026678491K</t>
  </si>
  <si>
    <t>ANTHONY WILSON</t>
  </si>
  <si>
    <t>'043969</t>
  </si>
  <si>
    <t>STACEY PORTUGAL</t>
  </si>
  <si>
    <t>'00026678520K</t>
  </si>
  <si>
    <t>JOANN DICKSON</t>
  </si>
  <si>
    <t>'00026678572K</t>
  </si>
  <si>
    <t>MICHELE CRUMP</t>
  </si>
  <si>
    <t>'045772</t>
  </si>
  <si>
    <t>JASON ROLLER</t>
  </si>
  <si>
    <t>'00026679035K</t>
  </si>
  <si>
    <t>MICHAEL MORGAN</t>
  </si>
  <si>
    <t>'045601</t>
  </si>
  <si>
    <t>CAROL FOLEY</t>
  </si>
  <si>
    <t>'00026682500K</t>
  </si>
  <si>
    <t>XOCHILT KADISH</t>
  </si>
  <si>
    <t>'045611</t>
  </si>
  <si>
    <t>FRANK LISKOVEC</t>
  </si>
  <si>
    <t>'00026691791K</t>
  </si>
  <si>
    <t>MARGUERITE CALDERONE</t>
  </si>
  <si>
    <t>'101144295300</t>
  </si>
  <si>
    <t>ISIAH DALTON</t>
  </si>
  <si>
    <t>Aetna MAPD NMO to MMO - 2025+ Replace E-App</t>
  </si>
  <si>
    <t>6/12 PRORATE</t>
  </si>
  <si>
    <t>'101700718100</t>
  </si>
  <si>
    <t>KAREN PIRCHES</t>
  </si>
  <si>
    <t>PA</t>
  </si>
  <si>
    <t>'043610</t>
  </si>
  <si>
    <t>KLAUS HERCHENRODER</t>
  </si>
  <si>
    <t>'102284857200</t>
  </si>
  <si>
    <t>LAMPHONG INTHAVONG</t>
  </si>
  <si>
    <t>'043625</t>
  </si>
  <si>
    <t>PATSAMON THANADABOUTH</t>
  </si>
  <si>
    <t>'102284888600</t>
  </si>
  <si>
    <t>DAVID MCKEE</t>
  </si>
  <si>
    <t>NJ</t>
  </si>
  <si>
    <t>'043692</t>
  </si>
  <si>
    <t>ADAM RICHTER</t>
  </si>
  <si>
    <t>'102284898200</t>
  </si>
  <si>
    <t>DOROTHY MIMS</t>
  </si>
  <si>
    <t>'63F7H1X98</t>
  </si>
  <si>
    <t>LYNN MORROW</t>
  </si>
  <si>
    <t>'045885</t>
  </si>
  <si>
    <t>CHAD BENDER</t>
  </si>
  <si>
    <t>Cigna MAPD FMO to GA 1-1-19+ - New</t>
  </si>
  <si>
    <t>'6FG8E78JQ26</t>
  </si>
  <si>
    <t>RUBY FOSTER</t>
  </si>
  <si>
    <t>NA</t>
  </si>
  <si>
    <t>'043718</t>
  </si>
  <si>
    <t>CHAD YALE</t>
  </si>
  <si>
    <t>Wellcare MA 2025 SGA Prorated</t>
  </si>
  <si>
    <t>8/12 PRORATE</t>
  </si>
  <si>
    <t>'7F76RW4WA46</t>
  </si>
  <si>
    <t>GEORGE FERGUSON</t>
  </si>
  <si>
    <t>'043638</t>
  </si>
  <si>
    <t>THOMAS PARDUE</t>
  </si>
  <si>
    <t>'902786624</t>
  </si>
  <si>
    <t>RONNIE PITT</t>
  </si>
  <si>
    <t>WI</t>
  </si>
  <si>
    <t>UHC MAPD Street payable to upline- 2026 Replace</t>
  </si>
  <si>
    <t>'902786624OV</t>
  </si>
  <si>
    <t>UHC MA Direct 2025 New Full</t>
  </si>
  <si>
    <t>'903987832</t>
  </si>
  <si>
    <t>PHILLIP GRAY</t>
  </si>
  <si>
    <t>OK</t>
  </si>
  <si>
    <t>UHC MAPD Street payable to upline - 2026 New - Other</t>
  </si>
  <si>
    <t>'907503609</t>
  </si>
  <si>
    <t>CURTIS GILMORE</t>
  </si>
  <si>
    <t>'045671</t>
  </si>
  <si>
    <t>ROBERT SHAPIRO</t>
  </si>
  <si>
    <t>'907503609OV</t>
  </si>
  <si>
    <t>UHC MA Direct 2025 New Full - Other</t>
  </si>
  <si>
    <t>'922884659</t>
  </si>
  <si>
    <t>RHONDA HUMPHREY</t>
  </si>
  <si>
    <t>OH</t>
  </si>
  <si>
    <t>'922884659OV</t>
  </si>
  <si>
    <t>UHC MA Direct 2025 New Initial Prorated</t>
  </si>
  <si>
    <t>'931221857</t>
  </si>
  <si>
    <t>DONNA SPENCER</t>
  </si>
  <si>
    <t>TN</t>
  </si>
  <si>
    <t>'040252</t>
  </si>
  <si>
    <t>LATORIA HOWARD</t>
  </si>
  <si>
    <t>'934646696</t>
  </si>
  <si>
    <t>PAMELA BREEN</t>
  </si>
  <si>
    <t>TX</t>
  </si>
  <si>
    <t>UHC MAPD Street payable to upline - 2026 New</t>
  </si>
  <si>
    <t>'941877622</t>
  </si>
  <si>
    <t>MARSHA RHODES</t>
  </si>
  <si>
    <t>'944007085</t>
  </si>
  <si>
    <t>MARK SMITH</t>
  </si>
  <si>
    <t>SC</t>
  </si>
  <si>
    <t>3/12 PRORATE</t>
  </si>
  <si>
    <t>'944007085OV</t>
  </si>
  <si>
    <t>'961463604</t>
  </si>
  <si>
    <t>BARBARA GARDENHIRE</t>
  </si>
  <si>
    <t>GA</t>
  </si>
  <si>
    <t>'961463604OV</t>
  </si>
  <si>
    <t>'962498134</t>
  </si>
  <si>
    <t>FRANCES DIAZ</t>
  </si>
  <si>
    <t>'962498134OV</t>
  </si>
  <si>
    <t>'972439248</t>
  </si>
  <si>
    <t>SUNG LEE</t>
  </si>
  <si>
    <t>'045622</t>
  </si>
  <si>
    <t>JACOB YALE</t>
  </si>
  <si>
    <t>4/12 PRORATE</t>
  </si>
  <si>
    <t>'972439248OV</t>
  </si>
  <si>
    <t>'988781374</t>
  </si>
  <si>
    <t>ANGELA WILLIAMS</t>
  </si>
  <si>
    <t>UHC MAPD Street payable to upline PA/CT- 2026 New - Other</t>
  </si>
  <si>
    <t>'A04492411</t>
  </si>
  <si>
    <t>PATRICIA ANDERKO</t>
  </si>
  <si>
    <t>'043689</t>
  </si>
  <si>
    <t>ANNE MARIE KOZACHECK</t>
  </si>
  <si>
    <t>UHC AARP Med Supp 2026+ AR AZ IL KS MS NC NJ PA SC - Plans F G</t>
  </si>
  <si>
    <t>'A04492413</t>
  </si>
  <si>
    <t>WILLIAM ANDERKO</t>
  </si>
  <si>
    <t>'MEQNQMZM00001456674</t>
  </si>
  <si>
    <t>BOLAJOKO SOYOYE</t>
  </si>
  <si>
    <t>'043736</t>
  </si>
  <si>
    <t>DENNIS HOLYN</t>
  </si>
  <si>
    <t>CB</t>
  </si>
  <si>
    <t>'00009822795KPC</t>
  </si>
  <si>
    <t>ARTIS PERRY</t>
  </si>
  <si>
    <t>'045712</t>
  </si>
  <si>
    <t>GREGORY HANSFORD</t>
  </si>
  <si>
    <t>CHARGEBACK</t>
  </si>
  <si>
    <t>'00015098257KPC</t>
  </si>
  <si>
    <t>MARCIA STAMBOULIAN</t>
  </si>
  <si>
    <t>'00024444212KPC</t>
  </si>
  <si>
    <t>FRANKLIN AJJARAPU</t>
  </si>
  <si>
    <t>'00026374500KPC</t>
  </si>
  <si>
    <t>JASNA OSTOJICH</t>
  </si>
  <si>
    <t>'00026612547KCB</t>
  </si>
  <si>
    <t>ALMA TURLEY</t>
  </si>
  <si>
    <t>AZ</t>
  </si>
  <si>
    <t>'129949159OVPC</t>
  </si>
  <si>
    <t>'129949159PC</t>
  </si>
  <si>
    <t>'903987832CB</t>
  </si>
  <si>
    <t>UHC MAPD Street payable to upline- 2026 Replace - Other</t>
  </si>
  <si>
    <t>'907503609CB</t>
  </si>
  <si>
    <t>UHC MAPD Street payable to upline- 2026 Pro New - Other</t>
  </si>
  <si>
    <t>'907503609OVCB</t>
  </si>
  <si>
    <t>UHC MA Direct 2025 New Prorated - Other</t>
  </si>
  <si>
    <t>'914548418OVPC</t>
  </si>
  <si>
    <t>DONNA FROSS</t>
  </si>
  <si>
    <t>'914548418PC</t>
  </si>
  <si>
    <t>'934646696CB</t>
  </si>
  <si>
    <t>'951067902OVPC</t>
  </si>
  <si>
    <t>DAVID ONEAL</t>
  </si>
  <si>
    <t>'951067902PC</t>
  </si>
  <si>
    <t>'962498134CB</t>
  </si>
  <si>
    <t>'962498134OVCB</t>
  </si>
  <si>
    <t>'980595326OVPC</t>
  </si>
  <si>
    <t>RUBEN LOPEZ RAMOS</t>
  </si>
  <si>
    <t>'045709</t>
  </si>
  <si>
    <t>ESTHER HERRERA-LARSEN</t>
  </si>
  <si>
    <t>'980595326PC</t>
  </si>
  <si>
    <t>'988781374CB</t>
  </si>
  <si>
    <t>UHC MAPD Street payable to upline PA/CT- 2026 Replace - Other</t>
  </si>
  <si>
    <t>00023704400K</t>
  </si>
  <si>
    <t>00023709048K</t>
  </si>
  <si>
    <t>00026591890K</t>
  </si>
  <si>
    <t>00026671173K</t>
  </si>
  <si>
    <t>00026672467K</t>
  </si>
  <si>
    <t>00026673354K</t>
  </si>
  <si>
    <t>00026678491K</t>
  </si>
  <si>
    <t>00026678520K</t>
  </si>
  <si>
    <t>00026678572K</t>
  </si>
  <si>
    <t>00026679035K</t>
  </si>
  <si>
    <t>00026682500K</t>
  </si>
  <si>
    <t>00026691791K</t>
  </si>
  <si>
    <t>63F7H1X98</t>
  </si>
  <si>
    <t>6FG8E78JQ26</t>
  </si>
  <si>
    <t>7F76RW4WA46</t>
  </si>
  <si>
    <t>A04492411</t>
  </si>
  <si>
    <t>A04492413</t>
  </si>
  <si>
    <t>MEQNQMZM00001456674</t>
  </si>
  <si>
    <t>00009822795K</t>
  </si>
  <si>
    <t>00015098257K</t>
  </si>
  <si>
    <t>00024444212K</t>
  </si>
  <si>
    <t>00026374500K</t>
  </si>
  <si>
    <t>00026612547K</t>
  </si>
  <si>
    <t>Aetna MAPD OVR 2026</t>
  </si>
  <si>
    <t>Cigna MAPD Ovr</t>
  </si>
  <si>
    <t>Humana MAPD OVR</t>
  </si>
  <si>
    <t>UHC MAPD Ovr 2026</t>
  </si>
  <si>
    <t>UHC 2026</t>
  </si>
  <si>
    <t>2026 UHC non-Special Needs Plans PPOs</t>
  </si>
  <si>
    <t>UHC MAPD 2026*</t>
  </si>
  <si>
    <t>Wellcare MAPD Ovr</t>
  </si>
  <si>
    <t>UHC 2026 CT, PA, DC *</t>
  </si>
  <si>
    <t>[%/$=391][prorate=5/12]</t>
  </si>
  <si>
    <t>[%/$=347][prorate=6/12]</t>
  </si>
  <si>
    <t>[%/$=347][prorate=7/12]</t>
  </si>
  <si>
    <t>[%/$=347][prorate=5/12]</t>
  </si>
  <si>
    <t>[%/$=694]</t>
  </si>
  <si>
    <t>2026 UHC non-Special Needs Plans PPOs Renewal</t>
  </si>
  <si>
    <t>[%/$=347][prorate=3/12]</t>
  </si>
  <si>
    <t>[%/$=347][prorate=4/12]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</si>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</sst>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NumberFormat="1" applyFill="1"/>
    <xf numFmtId="0" fontId="0" fillId="33" borderId="0" xfId="0" applyFont="1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DB27-93F0-43EE-B34E-92AC361DB9CD}">
  <dimension ref="A1:AL63"/>
  <sheetViews>
    <sheetView topLeftCell="C33" workbookViewId="0">
      <selection activeCell="K37" sqref="K37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4.28515625" bestFit="1" customWidth="1"/>
    <col min="10" max="10" width="23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85546875" bestFit="1" customWidth="1"/>
    <col min="18" max="18" width="60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46218</v>
      </c>
      <c r="B2" s="1">
        <v>46218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7040329</v>
      </c>
    </row>
    <row r="3" spans="1:38" x14ac:dyDescent="0.25">
      <c r="A3" s="1">
        <v>46218</v>
      </c>
      <c r="B3" s="1">
        <v>46218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46023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7040330</v>
      </c>
    </row>
    <row r="4" spans="1:38" x14ac:dyDescent="0.25">
      <c r="A4" s="1">
        <v>46218</v>
      </c>
      <c r="B4" s="1">
        <v>46218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55</v>
      </c>
      <c r="J4" t="s">
        <v>56</v>
      </c>
      <c r="M4" t="s">
        <v>57</v>
      </c>
      <c r="O4" t="s">
        <v>58</v>
      </c>
      <c r="P4" t="s">
        <v>59</v>
      </c>
      <c r="Q4" t="s">
        <v>49</v>
      </c>
      <c r="R4" t="s">
        <v>60</v>
      </c>
      <c r="S4" s="1">
        <v>46204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7040371</v>
      </c>
    </row>
    <row r="5" spans="1:38" x14ac:dyDescent="0.25">
      <c r="A5" s="1">
        <v>46218</v>
      </c>
      <c r="B5" s="1">
        <v>46218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57</v>
      </c>
      <c r="O5" t="s">
        <v>63</v>
      </c>
      <c r="P5" t="s">
        <v>64</v>
      </c>
      <c r="Q5" t="s">
        <v>49</v>
      </c>
      <c r="R5" t="s">
        <v>60</v>
      </c>
      <c r="S5" s="1">
        <v>46204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7040372</v>
      </c>
    </row>
    <row r="6" spans="1:38" x14ac:dyDescent="0.25">
      <c r="A6" s="1">
        <v>46218</v>
      </c>
      <c r="B6" s="1">
        <v>46218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66</v>
      </c>
      <c r="M6" t="s">
        <v>67</v>
      </c>
      <c r="O6" t="s">
        <v>68</v>
      </c>
      <c r="P6" t="s">
        <v>69</v>
      </c>
      <c r="Q6" t="s">
        <v>49</v>
      </c>
      <c r="R6" t="s">
        <v>60</v>
      </c>
      <c r="S6" s="1">
        <v>46204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7040366</v>
      </c>
    </row>
    <row r="7" spans="1:38" x14ac:dyDescent="0.25">
      <c r="A7" s="1">
        <v>46218</v>
      </c>
      <c r="B7" s="1">
        <v>46218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57</v>
      </c>
      <c r="O7" t="s">
        <v>72</v>
      </c>
      <c r="P7" t="s">
        <v>73</v>
      </c>
      <c r="Q7" t="s">
        <v>49</v>
      </c>
      <c r="R7" t="s">
        <v>60</v>
      </c>
      <c r="S7" s="1">
        <v>46235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7040373</v>
      </c>
    </row>
    <row r="8" spans="1:38" x14ac:dyDescent="0.25">
      <c r="A8" s="1">
        <v>46218</v>
      </c>
      <c r="B8" s="1">
        <v>46218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49</v>
      </c>
      <c r="R8" t="s">
        <v>60</v>
      </c>
      <c r="S8" s="1">
        <v>46296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7040374</v>
      </c>
    </row>
    <row r="9" spans="1:38" x14ac:dyDescent="0.25">
      <c r="A9" s="1">
        <v>46218</v>
      </c>
      <c r="B9" s="1">
        <v>46218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57</v>
      </c>
      <c r="O9" t="s">
        <v>72</v>
      </c>
      <c r="P9" t="s">
        <v>73</v>
      </c>
      <c r="Q9" t="s">
        <v>49</v>
      </c>
      <c r="R9" t="s">
        <v>60</v>
      </c>
      <c r="S9" s="1">
        <v>46235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7040375</v>
      </c>
    </row>
    <row r="10" spans="1:38" x14ac:dyDescent="0.25">
      <c r="A10" s="1">
        <v>46218</v>
      </c>
      <c r="B10" s="1">
        <v>46218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57</v>
      </c>
      <c r="O10" t="s">
        <v>82</v>
      </c>
      <c r="P10" t="s">
        <v>83</v>
      </c>
      <c r="Q10" t="s">
        <v>49</v>
      </c>
      <c r="R10" t="s">
        <v>60</v>
      </c>
      <c r="S10" s="1">
        <v>46296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7040376</v>
      </c>
    </row>
    <row r="11" spans="1:38" x14ac:dyDescent="0.25">
      <c r="A11" s="1">
        <v>46218</v>
      </c>
      <c r="B11" s="1">
        <v>46218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46</v>
      </c>
      <c r="O11" t="s">
        <v>86</v>
      </c>
      <c r="P11" t="s">
        <v>87</v>
      </c>
      <c r="Q11" t="s">
        <v>49</v>
      </c>
      <c r="R11" t="s">
        <v>60</v>
      </c>
      <c r="S11" s="1">
        <v>46235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7040377</v>
      </c>
    </row>
    <row r="12" spans="1:38" x14ac:dyDescent="0.25">
      <c r="A12" s="1">
        <v>46218</v>
      </c>
      <c r="B12" s="1">
        <v>46218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46</v>
      </c>
      <c r="O12" t="s">
        <v>90</v>
      </c>
      <c r="P12" t="s">
        <v>91</v>
      </c>
      <c r="Q12" t="s">
        <v>49</v>
      </c>
      <c r="R12" t="s">
        <v>60</v>
      </c>
      <c r="S12" s="1">
        <v>46266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7040378</v>
      </c>
    </row>
    <row r="13" spans="1:38" x14ac:dyDescent="0.25">
      <c r="A13" s="1">
        <v>46218</v>
      </c>
      <c r="B13" s="1">
        <v>46218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92</v>
      </c>
      <c r="J13" t="s">
        <v>93</v>
      </c>
      <c r="M13" t="s">
        <v>57</v>
      </c>
      <c r="O13" t="s">
        <v>47</v>
      </c>
      <c r="P13" t="s">
        <v>48</v>
      </c>
      <c r="Q13" t="s">
        <v>49</v>
      </c>
      <c r="R13" t="s">
        <v>60</v>
      </c>
      <c r="S13" s="1">
        <v>46296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7040379</v>
      </c>
    </row>
    <row r="14" spans="1:38" x14ac:dyDescent="0.25">
      <c r="A14" s="1">
        <v>46218</v>
      </c>
      <c r="B14" s="1">
        <v>46218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94</v>
      </c>
      <c r="J14" t="s">
        <v>95</v>
      </c>
      <c r="M14" t="s">
        <v>57</v>
      </c>
      <c r="O14" t="s">
        <v>47</v>
      </c>
      <c r="P14" t="s">
        <v>48</v>
      </c>
      <c r="Q14" t="s">
        <v>49</v>
      </c>
      <c r="R14" t="s">
        <v>96</v>
      </c>
      <c r="S14" s="1">
        <v>46204</v>
      </c>
      <c r="U14" t="s">
        <v>51</v>
      </c>
      <c r="X14" t="s">
        <v>52</v>
      </c>
      <c r="Y14" s="2">
        <v>0</v>
      </c>
      <c r="Z14" s="2">
        <v>12.5</v>
      </c>
      <c r="AA14">
        <v>1</v>
      </c>
      <c r="AB14" s="3">
        <v>1</v>
      </c>
      <c r="AC14" s="2">
        <v>12.5</v>
      </c>
      <c r="AD14" s="3">
        <v>0</v>
      </c>
      <c r="AE14" s="2">
        <v>0</v>
      </c>
      <c r="AF14" s="2">
        <v>12.5</v>
      </c>
      <c r="AK14">
        <v>7040118</v>
      </c>
      <c r="AL14" t="s">
        <v>97</v>
      </c>
    </row>
    <row r="15" spans="1:38" x14ac:dyDescent="0.25">
      <c r="A15" s="1">
        <v>46218</v>
      </c>
      <c r="B15" s="1">
        <v>46218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100</v>
      </c>
      <c r="O15" t="s">
        <v>101</v>
      </c>
      <c r="P15" t="s">
        <v>102</v>
      </c>
      <c r="Q15" t="s">
        <v>49</v>
      </c>
      <c r="R15" t="s">
        <v>96</v>
      </c>
      <c r="S15" s="1">
        <v>46204</v>
      </c>
      <c r="U15" t="s">
        <v>51</v>
      </c>
      <c r="X15" t="s">
        <v>52</v>
      </c>
      <c r="Y15" s="2">
        <v>0</v>
      </c>
      <c r="Z15" s="2">
        <v>12.5</v>
      </c>
      <c r="AA15">
        <v>1</v>
      </c>
      <c r="AB15" s="3">
        <v>1</v>
      </c>
      <c r="AC15" s="2">
        <v>12.5</v>
      </c>
      <c r="AD15" s="3">
        <v>0</v>
      </c>
      <c r="AE15" s="2">
        <v>0</v>
      </c>
      <c r="AF15" s="2">
        <v>12.5</v>
      </c>
      <c r="AK15">
        <v>7040120</v>
      </c>
      <c r="AL15" t="s">
        <v>97</v>
      </c>
    </row>
    <row r="16" spans="1:38" x14ac:dyDescent="0.25">
      <c r="A16" s="1">
        <v>46218</v>
      </c>
      <c r="B16" s="1">
        <v>46218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103</v>
      </c>
      <c r="J16" t="s">
        <v>104</v>
      </c>
      <c r="M16" t="s">
        <v>57</v>
      </c>
      <c r="O16" t="s">
        <v>105</v>
      </c>
      <c r="P16" t="s">
        <v>106</v>
      </c>
      <c r="Q16" t="s">
        <v>49</v>
      </c>
      <c r="R16" t="s">
        <v>96</v>
      </c>
      <c r="S16" s="1">
        <v>46204</v>
      </c>
      <c r="U16" t="s">
        <v>51</v>
      </c>
      <c r="X16" t="s">
        <v>52</v>
      </c>
      <c r="Y16" s="2">
        <v>0</v>
      </c>
      <c r="Z16" s="2">
        <v>12.5</v>
      </c>
      <c r="AA16">
        <v>1</v>
      </c>
      <c r="AB16" s="3">
        <v>1</v>
      </c>
      <c r="AC16" s="2">
        <v>12.5</v>
      </c>
      <c r="AD16" s="3">
        <v>0</v>
      </c>
      <c r="AE16" s="2">
        <v>0</v>
      </c>
      <c r="AF16" s="2">
        <v>12.5</v>
      </c>
      <c r="AK16">
        <v>7040136</v>
      </c>
      <c r="AL16" t="s">
        <v>97</v>
      </c>
    </row>
    <row r="17" spans="1:38" x14ac:dyDescent="0.25">
      <c r="A17" s="1">
        <v>46218</v>
      </c>
      <c r="B17" s="1">
        <v>46218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107</v>
      </c>
      <c r="J17" t="s">
        <v>108</v>
      </c>
      <c r="M17" t="s">
        <v>109</v>
      </c>
      <c r="O17" t="s">
        <v>110</v>
      </c>
      <c r="P17" t="s">
        <v>111</v>
      </c>
      <c r="Q17" t="s">
        <v>49</v>
      </c>
      <c r="R17" t="s">
        <v>96</v>
      </c>
      <c r="S17" s="1">
        <v>46204</v>
      </c>
      <c r="U17" t="s">
        <v>51</v>
      </c>
      <c r="X17" t="s">
        <v>52</v>
      </c>
      <c r="Y17" s="2">
        <v>0</v>
      </c>
      <c r="Z17" s="2">
        <v>12.5</v>
      </c>
      <c r="AA17">
        <v>1</v>
      </c>
      <c r="AB17" s="3">
        <v>1</v>
      </c>
      <c r="AC17" s="2">
        <v>12.5</v>
      </c>
      <c r="AD17" s="3">
        <v>0</v>
      </c>
      <c r="AE17" s="2">
        <v>0</v>
      </c>
      <c r="AF17" s="2">
        <v>12.5</v>
      </c>
      <c r="AK17">
        <v>7040139</v>
      </c>
      <c r="AL17" t="s">
        <v>97</v>
      </c>
    </row>
    <row r="18" spans="1:38" x14ac:dyDescent="0.25">
      <c r="A18" s="1">
        <v>46218</v>
      </c>
      <c r="B18" s="1">
        <v>46218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57</v>
      </c>
      <c r="O18" t="s">
        <v>58</v>
      </c>
      <c r="P18" t="s">
        <v>59</v>
      </c>
      <c r="Q18" t="s">
        <v>49</v>
      </c>
      <c r="R18" t="s">
        <v>96</v>
      </c>
      <c r="S18" s="1">
        <v>46204</v>
      </c>
      <c r="U18" t="s">
        <v>51</v>
      </c>
      <c r="X18" t="s">
        <v>52</v>
      </c>
      <c r="Y18" s="2">
        <v>0</v>
      </c>
      <c r="Z18" s="2">
        <v>12.5</v>
      </c>
      <c r="AA18">
        <v>1</v>
      </c>
      <c r="AB18" s="3">
        <v>1</v>
      </c>
      <c r="AC18" s="2">
        <v>12.5</v>
      </c>
      <c r="AD18" s="3">
        <v>0</v>
      </c>
      <c r="AE18" s="2">
        <v>0</v>
      </c>
      <c r="AF18" s="2">
        <v>12.5</v>
      </c>
      <c r="AK18">
        <v>7040141</v>
      </c>
      <c r="AL18" t="s">
        <v>97</v>
      </c>
    </row>
    <row r="19" spans="1:38" x14ac:dyDescent="0.25">
      <c r="A19" s="1">
        <v>46218</v>
      </c>
      <c r="B19" s="1">
        <v>46218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100</v>
      </c>
      <c r="O19" t="s">
        <v>116</v>
      </c>
      <c r="P19" t="s">
        <v>117</v>
      </c>
      <c r="Q19" t="s">
        <v>49</v>
      </c>
      <c r="R19" t="s">
        <v>118</v>
      </c>
      <c r="S19" s="1">
        <v>46204</v>
      </c>
      <c r="U19" t="s">
        <v>51</v>
      </c>
      <c r="X19" t="s">
        <v>52</v>
      </c>
      <c r="Y19" s="2">
        <v>0</v>
      </c>
      <c r="Z19" s="2">
        <v>100</v>
      </c>
      <c r="AA19">
        <v>1</v>
      </c>
      <c r="AB19" s="3">
        <v>1</v>
      </c>
      <c r="AC19" s="2">
        <v>100</v>
      </c>
      <c r="AD19" s="3">
        <v>0</v>
      </c>
      <c r="AE19" s="2">
        <v>0</v>
      </c>
      <c r="AF19" s="2">
        <v>100</v>
      </c>
      <c r="AK19">
        <v>7040196</v>
      </c>
    </row>
    <row r="20" spans="1:38" x14ac:dyDescent="0.25">
      <c r="A20" s="1">
        <v>46218</v>
      </c>
      <c r="B20" s="1">
        <v>46218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119</v>
      </c>
      <c r="J20" t="s">
        <v>120</v>
      </c>
      <c r="M20" t="s">
        <v>121</v>
      </c>
      <c r="O20" t="s">
        <v>122</v>
      </c>
      <c r="P20" t="s">
        <v>123</v>
      </c>
      <c r="Q20" t="s">
        <v>49</v>
      </c>
      <c r="R20" t="s">
        <v>124</v>
      </c>
      <c r="S20" s="1">
        <v>46143</v>
      </c>
      <c r="U20" t="s">
        <v>51</v>
      </c>
      <c r="X20" t="s">
        <v>52</v>
      </c>
      <c r="Y20" s="2">
        <v>0</v>
      </c>
      <c r="Z20" s="2">
        <v>100</v>
      </c>
      <c r="AA20">
        <v>1</v>
      </c>
      <c r="AB20" s="3">
        <v>1</v>
      </c>
      <c r="AC20" s="2">
        <v>100</v>
      </c>
      <c r="AD20" s="3">
        <v>0</v>
      </c>
      <c r="AE20" s="2">
        <v>0</v>
      </c>
      <c r="AF20" s="2">
        <v>100</v>
      </c>
      <c r="AK20">
        <v>7040846</v>
      </c>
      <c r="AL20" t="s">
        <v>125</v>
      </c>
    </row>
    <row r="21" spans="1:38" x14ac:dyDescent="0.25">
      <c r="A21" s="1">
        <v>46218</v>
      </c>
      <c r="B21" s="1">
        <v>46218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126</v>
      </c>
      <c r="J21" t="s">
        <v>127</v>
      </c>
      <c r="M21" t="s">
        <v>121</v>
      </c>
      <c r="O21" t="s">
        <v>128</v>
      </c>
      <c r="P21" t="s">
        <v>129</v>
      </c>
      <c r="Q21" t="s">
        <v>49</v>
      </c>
      <c r="R21" t="s">
        <v>124</v>
      </c>
      <c r="S21" s="1">
        <v>46204</v>
      </c>
      <c r="U21" t="s">
        <v>51</v>
      </c>
      <c r="X21" t="s">
        <v>52</v>
      </c>
      <c r="Y21" s="2">
        <v>0</v>
      </c>
      <c r="Z21" s="2">
        <v>75</v>
      </c>
      <c r="AA21">
        <v>1</v>
      </c>
      <c r="AB21" s="3">
        <v>1</v>
      </c>
      <c r="AC21" s="2">
        <v>75</v>
      </c>
      <c r="AD21" s="3">
        <v>0</v>
      </c>
      <c r="AE21" s="2">
        <v>0</v>
      </c>
      <c r="AF21" s="2">
        <v>75</v>
      </c>
      <c r="AK21">
        <v>7040848</v>
      </c>
      <c r="AL21" t="s">
        <v>97</v>
      </c>
    </row>
    <row r="22" spans="1:38" x14ac:dyDescent="0.25">
      <c r="A22" s="1">
        <v>46218</v>
      </c>
      <c r="B22" s="1">
        <v>46218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130</v>
      </c>
      <c r="J22" t="s">
        <v>131</v>
      </c>
      <c r="M22" t="s">
        <v>132</v>
      </c>
      <c r="O22" t="s">
        <v>76</v>
      </c>
      <c r="P22" t="s">
        <v>77</v>
      </c>
      <c r="Q22" t="s">
        <v>49</v>
      </c>
      <c r="R22" t="s">
        <v>133</v>
      </c>
      <c r="S22" s="1">
        <v>46204</v>
      </c>
      <c r="U22" t="s">
        <v>51</v>
      </c>
      <c r="X22" t="s">
        <v>52</v>
      </c>
      <c r="Y22" s="2">
        <v>0</v>
      </c>
      <c r="Z22" s="2">
        <v>173.5</v>
      </c>
      <c r="AA22">
        <v>1</v>
      </c>
      <c r="AB22" s="3">
        <v>1</v>
      </c>
      <c r="AC22" s="2">
        <v>173.5</v>
      </c>
      <c r="AD22" s="3">
        <v>0</v>
      </c>
      <c r="AE22" s="2">
        <v>0</v>
      </c>
      <c r="AF22" s="2">
        <v>173.5</v>
      </c>
      <c r="AK22">
        <v>7040512</v>
      </c>
      <c r="AL22" t="s">
        <v>97</v>
      </c>
    </row>
    <row r="23" spans="1:38" x14ac:dyDescent="0.25">
      <c r="A23" s="1">
        <v>46218</v>
      </c>
      <c r="B23" s="1">
        <v>46218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134</v>
      </c>
      <c r="J23" t="s">
        <v>131</v>
      </c>
      <c r="M23" t="s">
        <v>132</v>
      </c>
      <c r="O23" t="s">
        <v>76</v>
      </c>
      <c r="P23" t="s">
        <v>77</v>
      </c>
      <c r="Q23" t="s">
        <v>49</v>
      </c>
      <c r="R23" t="s">
        <v>135</v>
      </c>
      <c r="S23" s="1">
        <v>46204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7040513</v>
      </c>
    </row>
    <row r="24" spans="1:38" x14ac:dyDescent="0.25">
      <c r="A24" s="1">
        <v>46218</v>
      </c>
      <c r="B24" s="1">
        <v>46218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136</v>
      </c>
      <c r="J24" t="s">
        <v>137</v>
      </c>
      <c r="M24" t="s">
        <v>138</v>
      </c>
      <c r="O24" t="s">
        <v>82</v>
      </c>
      <c r="P24" t="s">
        <v>83</v>
      </c>
      <c r="Q24" t="s">
        <v>49</v>
      </c>
      <c r="R24" t="s">
        <v>139</v>
      </c>
      <c r="S24" s="1">
        <v>46204</v>
      </c>
      <c r="U24" t="s">
        <v>51</v>
      </c>
      <c r="X24" t="s">
        <v>52</v>
      </c>
      <c r="Y24" s="2">
        <v>0</v>
      </c>
      <c r="Z24" s="2">
        <v>406</v>
      </c>
      <c r="AA24">
        <v>1</v>
      </c>
      <c r="AB24" s="3">
        <v>1</v>
      </c>
      <c r="AC24" s="2">
        <v>406</v>
      </c>
      <c r="AD24" s="3">
        <v>0</v>
      </c>
      <c r="AE24" s="2">
        <v>0</v>
      </c>
      <c r="AF24" s="2">
        <v>406</v>
      </c>
      <c r="AK24">
        <v>7041199</v>
      </c>
    </row>
    <row r="25" spans="1:38" x14ac:dyDescent="0.25">
      <c r="A25" s="1">
        <v>46218</v>
      </c>
      <c r="B25" s="1">
        <v>46218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140</v>
      </c>
      <c r="J25" t="s">
        <v>141</v>
      </c>
      <c r="M25" t="s">
        <v>46</v>
      </c>
      <c r="O25" t="s">
        <v>142</v>
      </c>
      <c r="P25" t="s">
        <v>143</v>
      </c>
      <c r="Q25" t="s">
        <v>49</v>
      </c>
      <c r="R25" t="s">
        <v>139</v>
      </c>
      <c r="S25" s="1">
        <v>46235</v>
      </c>
      <c r="U25" t="s">
        <v>51</v>
      </c>
      <c r="X25" t="s">
        <v>52</v>
      </c>
      <c r="Y25" s="2">
        <v>0</v>
      </c>
      <c r="Z25" s="2">
        <v>406</v>
      </c>
      <c r="AA25">
        <v>1</v>
      </c>
      <c r="AB25" s="3">
        <v>1</v>
      </c>
      <c r="AC25" s="2">
        <v>406</v>
      </c>
      <c r="AD25" s="3">
        <v>0</v>
      </c>
      <c r="AE25" s="2">
        <v>0</v>
      </c>
      <c r="AF25" s="2">
        <v>406</v>
      </c>
      <c r="AK25">
        <v>7041194</v>
      </c>
    </row>
    <row r="26" spans="1:38" x14ac:dyDescent="0.25">
      <c r="A26" s="1">
        <v>46218</v>
      </c>
      <c r="B26" s="1">
        <v>46218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144</v>
      </c>
      <c r="J26" t="s">
        <v>141</v>
      </c>
      <c r="M26" t="s">
        <v>46</v>
      </c>
      <c r="O26" t="s">
        <v>142</v>
      </c>
      <c r="P26" t="s">
        <v>143</v>
      </c>
      <c r="Q26" t="s">
        <v>49</v>
      </c>
      <c r="R26" t="s">
        <v>145</v>
      </c>
      <c r="S26" s="1">
        <v>46235</v>
      </c>
      <c r="U26" t="s">
        <v>51</v>
      </c>
      <c r="X26" t="s">
        <v>52</v>
      </c>
      <c r="Y26" s="2">
        <v>0</v>
      </c>
      <c r="Z26" s="2">
        <v>113</v>
      </c>
      <c r="AA26">
        <v>1</v>
      </c>
      <c r="AB26" s="3">
        <v>1</v>
      </c>
      <c r="AC26" s="2">
        <v>113</v>
      </c>
      <c r="AD26" s="3">
        <v>0</v>
      </c>
      <c r="AE26" s="2">
        <v>0</v>
      </c>
      <c r="AF26" s="2">
        <v>113</v>
      </c>
      <c r="AK26">
        <v>7041143</v>
      </c>
    </row>
    <row r="27" spans="1:38" x14ac:dyDescent="0.25">
      <c r="A27" s="1">
        <v>46218</v>
      </c>
      <c r="B27" s="1">
        <v>46218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146</v>
      </c>
      <c r="J27" t="s">
        <v>147</v>
      </c>
      <c r="M27" t="s">
        <v>148</v>
      </c>
      <c r="O27" t="s">
        <v>116</v>
      </c>
      <c r="P27" t="s">
        <v>117</v>
      </c>
      <c r="Q27" t="s">
        <v>49</v>
      </c>
      <c r="R27" t="s">
        <v>133</v>
      </c>
      <c r="S27" s="1">
        <v>46204</v>
      </c>
      <c r="U27" t="s">
        <v>51</v>
      </c>
      <c r="X27" t="s">
        <v>52</v>
      </c>
      <c r="Y27" s="2">
        <v>0</v>
      </c>
      <c r="Z27" s="2">
        <v>173.5</v>
      </c>
      <c r="AA27">
        <v>1</v>
      </c>
      <c r="AB27" s="3">
        <v>1</v>
      </c>
      <c r="AC27" s="2">
        <v>173.5</v>
      </c>
      <c r="AD27" s="3">
        <v>0</v>
      </c>
      <c r="AE27" s="2">
        <v>0</v>
      </c>
      <c r="AF27" s="2">
        <v>173.5</v>
      </c>
      <c r="AK27">
        <v>7040510</v>
      </c>
      <c r="AL27" t="s">
        <v>97</v>
      </c>
    </row>
    <row r="28" spans="1:38" x14ac:dyDescent="0.25">
      <c r="A28" s="1">
        <v>46218</v>
      </c>
      <c r="B28" s="1">
        <v>46218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149</v>
      </c>
      <c r="J28" t="s">
        <v>147</v>
      </c>
      <c r="M28" t="s">
        <v>148</v>
      </c>
      <c r="O28" t="s">
        <v>116</v>
      </c>
      <c r="P28" t="s">
        <v>117</v>
      </c>
      <c r="Q28" t="s">
        <v>49</v>
      </c>
      <c r="R28" t="s">
        <v>150</v>
      </c>
      <c r="S28" s="1">
        <v>46204</v>
      </c>
      <c r="U28" t="s">
        <v>51</v>
      </c>
      <c r="X28" t="s">
        <v>52</v>
      </c>
      <c r="Y28" s="2">
        <v>0</v>
      </c>
      <c r="Z28" s="2">
        <v>36</v>
      </c>
      <c r="AA28">
        <v>1</v>
      </c>
      <c r="AB28" s="3">
        <v>1</v>
      </c>
      <c r="AC28" s="2">
        <v>36</v>
      </c>
      <c r="AD28" s="3">
        <v>0</v>
      </c>
      <c r="AE28" s="2">
        <v>0</v>
      </c>
      <c r="AF28" s="2">
        <v>36</v>
      </c>
      <c r="AK28">
        <v>7040511</v>
      </c>
      <c r="AL28" t="s">
        <v>97</v>
      </c>
    </row>
    <row r="29" spans="1:38" x14ac:dyDescent="0.25">
      <c r="A29" s="1">
        <v>46218</v>
      </c>
      <c r="B29" s="1">
        <v>46218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151</v>
      </c>
      <c r="J29" t="s">
        <v>152</v>
      </c>
      <c r="M29" t="s">
        <v>153</v>
      </c>
      <c r="O29" t="s">
        <v>154</v>
      </c>
      <c r="P29" t="s">
        <v>155</v>
      </c>
      <c r="Q29" t="s">
        <v>49</v>
      </c>
      <c r="R29" t="s">
        <v>135</v>
      </c>
      <c r="S29" s="1">
        <v>46204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7041189</v>
      </c>
    </row>
    <row r="30" spans="1:38" x14ac:dyDescent="0.25">
      <c r="A30" s="1">
        <v>46218</v>
      </c>
      <c r="B30" s="1">
        <v>46218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156</v>
      </c>
      <c r="J30" t="s">
        <v>157</v>
      </c>
      <c r="M30" t="s">
        <v>158</v>
      </c>
      <c r="O30" t="s">
        <v>122</v>
      </c>
      <c r="P30" t="s">
        <v>123</v>
      </c>
      <c r="Q30" t="s">
        <v>49</v>
      </c>
      <c r="R30" t="s">
        <v>159</v>
      </c>
      <c r="S30" s="1">
        <v>46235</v>
      </c>
      <c r="U30" t="s">
        <v>51</v>
      </c>
      <c r="X30" t="s">
        <v>52</v>
      </c>
      <c r="Y30" s="2">
        <v>0</v>
      </c>
      <c r="Z30" s="2">
        <v>694</v>
      </c>
      <c r="AA30">
        <v>1</v>
      </c>
      <c r="AB30" s="3">
        <v>1</v>
      </c>
      <c r="AC30" s="2">
        <v>694</v>
      </c>
      <c r="AD30" s="3">
        <v>0</v>
      </c>
      <c r="AE30" s="2">
        <v>0</v>
      </c>
      <c r="AF30" s="2">
        <v>694</v>
      </c>
      <c r="AK30">
        <v>7041201</v>
      </c>
    </row>
    <row r="31" spans="1:38" x14ac:dyDescent="0.25">
      <c r="A31" s="1">
        <v>46218</v>
      </c>
      <c r="B31" s="1">
        <v>46218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160</v>
      </c>
      <c r="J31" t="s">
        <v>161</v>
      </c>
      <c r="M31" t="s">
        <v>153</v>
      </c>
      <c r="O31" t="s">
        <v>154</v>
      </c>
      <c r="P31" t="s">
        <v>155</v>
      </c>
      <c r="Q31" t="s">
        <v>49</v>
      </c>
      <c r="R31" t="s">
        <v>135</v>
      </c>
      <c r="S31" s="1">
        <v>46204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7041190</v>
      </c>
    </row>
    <row r="32" spans="1:38" x14ac:dyDescent="0.25">
      <c r="A32" s="1">
        <v>46218</v>
      </c>
      <c r="B32" s="1">
        <v>46218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162</v>
      </c>
      <c r="J32" t="s">
        <v>163</v>
      </c>
      <c r="M32" t="s">
        <v>164</v>
      </c>
      <c r="O32" t="s">
        <v>47</v>
      </c>
      <c r="P32" t="s">
        <v>48</v>
      </c>
      <c r="Q32" t="s">
        <v>49</v>
      </c>
      <c r="R32" t="s">
        <v>133</v>
      </c>
      <c r="S32" s="1">
        <v>46296</v>
      </c>
      <c r="U32" t="s">
        <v>51</v>
      </c>
      <c r="X32" t="s">
        <v>52</v>
      </c>
      <c r="Y32" s="2">
        <v>0</v>
      </c>
      <c r="Z32" s="2">
        <v>86.75</v>
      </c>
      <c r="AA32">
        <v>1</v>
      </c>
      <c r="AB32" s="3">
        <v>1</v>
      </c>
      <c r="AC32" s="2">
        <v>86.75</v>
      </c>
      <c r="AD32" s="3">
        <v>0</v>
      </c>
      <c r="AE32" s="2">
        <v>0</v>
      </c>
      <c r="AF32" s="2">
        <v>86.75</v>
      </c>
      <c r="AK32">
        <v>7041196</v>
      </c>
      <c r="AL32" t="s">
        <v>165</v>
      </c>
    </row>
    <row r="33" spans="1:38" x14ac:dyDescent="0.25">
      <c r="A33" s="1">
        <v>46218</v>
      </c>
      <c r="B33" s="1">
        <v>46218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166</v>
      </c>
      <c r="J33" t="s">
        <v>163</v>
      </c>
      <c r="M33" t="s">
        <v>164</v>
      </c>
      <c r="O33" t="s">
        <v>47</v>
      </c>
      <c r="P33" t="s">
        <v>48</v>
      </c>
      <c r="Q33" t="s">
        <v>49</v>
      </c>
      <c r="R33" t="s">
        <v>135</v>
      </c>
      <c r="S33" s="1">
        <v>46296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7041191</v>
      </c>
    </row>
    <row r="34" spans="1:38" x14ac:dyDescent="0.25">
      <c r="A34" s="1">
        <v>46218</v>
      </c>
      <c r="B34" s="1">
        <v>46218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167</v>
      </c>
      <c r="J34" t="s">
        <v>168</v>
      </c>
      <c r="M34" t="s">
        <v>169</v>
      </c>
      <c r="O34" t="s">
        <v>116</v>
      </c>
      <c r="P34" t="s">
        <v>117</v>
      </c>
      <c r="Q34" t="s">
        <v>49</v>
      </c>
      <c r="R34" t="s">
        <v>133</v>
      </c>
      <c r="S34" s="1">
        <v>46296</v>
      </c>
      <c r="U34" t="s">
        <v>51</v>
      </c>
      <c r="X34" t="s">
        <v>52</v>
      </c>
      <c r="Y34" s="2">
        <v>0</v>
      </c>
      <c r="Z34" s="2">
        <v>86.75</v>
      </c>
      <c r="AA34">
        <v>1</v>
      </c>
      <c r="AB34" s="3">
        <v>1</v>
      </c>
      <c r="AC34" s="2">
        <v>86.75</v>
      </c>
      <c r="AD34" s="3">
        <v>0</v>
      </c>
      <c r="AE34" s="2">
        <v>0</v>
      </c>
      <c r="AF34" s="2">
        <v>86.75</v>
      </c>
      <c r="AK34">
        <v>7041197</v>
      </c>
      <c r="AL34" t="s">
        <v>165</v>
      </c>
    </row>
    <row r="35" spans="1:38" x14ac:dyDescent="0.25">
      <c r="A35" s="1">
        <v>46218</v>
      </c>
      <c r="B35" s="1">
        <v>46218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170</v>
      </c>
      <c r="J35" t="s">
        <v>168</v>
      </c>
      <c r="M35" t="s">
        <v>169</v>
      </c>
      <c r="O35" t="s">
        <v>116</v>
      </c>
      <c r="P35" t="s">
        <v>117</v>
      </c>
      <c r="Q35" t="s">
        <v>49</v>
      </c>
      <c r="R35" t="s">
        <v>135</v>
      </c>
      <c r="S35" s="1">
        <v>46296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7041192</v>
      </c>
    </row>
    <row r="36" spans="1:38" x14ac:dyDescent="0.25">
      <c r="A36" s="1">
        <v>46218</v>
      </c>
      <c r="B36" s="1">
        <v>46218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171</v>
      </c>
      <c r="J36" t="s">
        <v>172</v>
      </c>
      <c r="M36" t="s">
        <v>46</v>
      </c>
      <c r="O36" t="s">
        <v>76</v>
      </c>
      <c r="P36" t="s">
        <v>77</v>
      </c>
      <c r="Q36" t="s">
        <v>49</v>
      </c>
      <c r="R36" t="s">
        <v>139</v>
      </c>
      <c r="S36" s="1">
        <v>46235</v>
      </c>
      <c r="U36" t="s">
        <v>51</v>
      </c>
      <c r="X36" t="s">
        <v>52</v>
      </c>
      <c r="Y36" s="2">
        <v>0</v>
      </c>
      <c r="Z36" s="2">
        <v>406</v>
      </c>
      <c r="AA36">
        <v>1</v>
      </c>
      <c r="AB36" s="3">
        <v>1</v>
      </c>
      <c r="AC36" s="2">
        <v>406</v>
      </c>
      <c r="AD36" s="3">
        <v>0</v>
      </c>
      <c r="AE36" s="2">
        <v>0</v>
      </c>
      <c r="AF36" s="2">
        <v>406</v>
      </c>
      <c r="AK36">
        <v>7041195</v>
      </c>
    </row>
    <row r="37" spans="1:38" x14ac:dyDescent="0.25">
      <c r="A37" s="1">
        <v>46218</v>
      </c>
      <c r="B37" s="1">
        <v>46218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173</v>
      </c>
      <c r="J37" t="s">
        <v>172</v>
      </c>
      <c r="M37" t="s">
        <v>46</v>
      </c>
      <c r="O37" t="s">
        <v>76</v>
      </c>
      <c r="P37" t="s">
        <v>77</v>
      </c>
      <c r="Q37" t="s">
        <v>49</v>
      </c>
      <c r="R37" t="s">
        <v>145</v>
      </c>
      <c r="S37" s="1">
        <v>46235</v>
      </c>
      <c r="U37" t="s">
        <v>51</v>
      </c>
      <c r="X37" t="s">
        <v>52</v>
      </c>
      <c r="Y37" s="2">
        <v>0</v>
      </c>
      <c r="Z37" s="2">
        <v>113</v>
      </c>
      <c r="AA37">
        <v>1</v>
      </c>
      <c r="AB37" s="3">
        <v>1</v>
      </c>
      <c r="AC37" s="2">
        <v>113</v>
      </c>
      <c r="AD37" s="3">
        <v>0</v>
      </c>
      <c r="AE37" s="2">
        <v>0</v>
      </c>
      <c r="AF37" s="2">
        <v>113</v>
      </c>
      <c r="AK37">
        <v>7041144</v>
      </c>
    </row>
    <row r="38" spans="1:38" x14ac:dyDescent="0.25">
      <c r="A38" s="1">
        <v>46218</v>
      </c>
      <c r="B38" s="1">
        <v>46218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174</v>
      </c>
      <c r="J38" t="s">
        <v>175</v>
      </c>
      <c r="M38" t="s">
        <v>57</v>
      </c>
      <c r="O38" t="s">
        <v>176</v>
      </c>
      <c r="P38" t="s">
        <v>177</v>
      </c>
      <c r="Q38" t="s">
        <v>49</v>
      </c>
      <c r="R38" t="s">
        <v>133</v>
      </c>
      <c r="S38" s="1">
        <v>46266</v>
      </c>
      <c r="U38" t="s">
        <v>51</v>
      </c>
      <c r="X38" t="s">
        <v>52</v>
      </c>
      <c r="Y38" s="2">
        <v>0</v>
      </c>
      <c r="Z38" s="2">
        <v>115.67</v>
      </c>
      <c r="AA38">
        <v>1</v>
      </c>
      <c r="AB38" s="3">
        <v>1</v>
      </c>
      <c r="AC38" s="2">
        <v>115.67</v>
      </c>
      <c r="AD38" s="3">
        <v>0</v>
      </c>
      <c r="AE38" s="2">
        <v>0</v>
      </c>
      <c r="AF38" s="2">
        <v>115.67</v>
      </c>
      <c r="AK38">
        <v>7041198</v>
      </c>
      <c r="AL38" t="s">
        <v>178</v>
      </c>
    </row>
    <row r="39" spans="1:38" x14ac:dyDescent="0.25">
      <c r="A39" s="1">
        <v>46218</v>
      </c>
      <c r="B39" s="1">
        <v>46218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179</v>
      </c>
      <c r="J39" t="s">
        <v>175</v>
      </c>
      <c r="M39" t="s">
        <v>57</v>
      </c>
      <c r="O39" t="s">
        <v>176</v>
      </c>
      <c r="P39" t="s">
        <v>177</v>
      </c>
      <c r="Q39" t="s">
        <v>49</v>
      </c>
      <c r="R39" t="s">
        <v>135</v>
      </c>
      <c r="S39" s="1">
        <v>46266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7041193</v>
      </c>
    </row>
    <row r="40" spans="1:38" x14ac:dyDescent="0.25">
      <c r="A40" s="1">
        <v>46218</v>
      </c>
      <c r="B40" s="1">
        <v>46218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180</v>
      </c>
      <c r="J40" t="s">
        <v>181</v>
      </c>
      <c r="M40" t="s">
        <v>100</v>
      </c>
      <c r="O40" t="s">
        <v>86</v>
      </c>
      <c r="P40" t="s">
        <v>87</v>
      </c>
      <c r="Q40" t="s">
        <v>49</v>
      </c>
      <c r="R40" t="s">
        <v>182</v>
      </c>
      <c r="S40" s="1">
        <v>46204</v>
      </c>
      <c r="U40" t="s">
        <v>51</v>
      </c>
      <c r="X40" t="s">
        <v>52</v>
      </c>
      <c r="Y40" s="2">
        <v>0</v>
      </c>
      <c r="Z40" s="2">
        <v>465</v>
      </c>
      <c r="AA40">
        <v>1</v>
      </c>
      <c r="AB40" s="3">
        <v>1</v>
      </c>
      <c r="AC40" s="2">
        <v>465</v>
      </c>
      <c r="AD40" s="3">
        <v>0</v>
      </c>
      <c r="AE40" s="2">
        <v>0</v>
      </c>
      <c r="AF40" s="2">
        <v>465</v>
      </c>
      <c r="AK40">
        <v>7041200</v>
      </c>
    </row>
    <row r="41" spans="1:38" x14ac:dyDescent="0.25">
      <c r="A41" s="1">
        <v>46218</v>
      </c>
      <c r="B41" s="1">
        <v>46218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183</v>
      </c>
      <c r="J41" t="s">
        <v>184</v>
      </c>
      <c r="M41" t="s">
        <v>100</v>
      </c>
      <c r="O41" t="s">
        <v>185</v>
      </c>
      <c r="P41" t="s">
        <v>186</v>
      </c>
      <c r="Q41" t="s">
        <v>49</v>
      </c>
      <c r="R41" t="s">
        <v>187</v>
      </c>
      <c r="S41" s="1">
        <v>46296</v>
      </c>
      <c r="U41" t="s">
        <v>51</v>
      </c>
      <c r="X41" t="s">
        <v>52</v>
      </c>
      <c r="Y41" s="2">
        <v>0</v>
      </c>
      <c r="Z41" s="2">
        <v>9.83</v>
      </c>
      <c r="AA41">
        <v>9</v>
      </c>
      <c r="AB41" s="3">
        <v>1</v>
      </c>
      <c r="AC41" s="2">
        <v>88.47</v>
      </c>
      <c r="AD41" s="3">
        <v>0</v>
      </c>
      <c r="AE41" s="2">
        <v>0</v>
      </c>
      <c r="AF41" s="2">
        <v>88.47</v>
      </c>
      <c r="AK41">
        <v>7040382</v>
      </c>
    </row>
    <row r="42" spans="1:38" x14ac:dyDescent="0.25">
      <c r="A42" s="1">
        <v>46218</v>
      </c>
      <c r="B42" s="1">
        <v>46218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188</v>
      </c>
      <c r="J42" t="s">
        <v>189</v>
      </c>
      <c r="M42" t="s">
        <v>100</v>
      </c>
      <c r="O42" t="s">
        <v>185</v>
      </c>
      <c r="P42" t="s">
        <v>186</v>
      </c>
      <c r="Q42" t="s">
        <v>49</v>
      </c>
      <c r="R42" t="s">
        <v>187</v>
      </c>
      <c r="S42" s="1">
        <v>46296</v>
      </c>
      <c r="U42" t="s">
        <v>51</v>
      </c>
      <c r="X42" t="s">
        <v>52</v>
      </c>
      <c r="Y42" s="2">
        <v>0</v>
      </c>
      <c r="Z42" s="2">
        <v>9.83</v>
      </c>
      <c r="AA42">
        <v>9</v>
      </c>
      <c r="AB42" s="3">
        <v>1</v>
      </c>
      <c r="AC42" s="2">
        <v>88.47</v>
      </c>
      <c r="AD42" s="3">
        <v>0</v>
      </c>
      <c r="AE42" s="2">
        <v>0</v>
      </c>
      <c r="AF42" s="2">
        <v>88.47</v>
      </c>
      <c r="AK42">
        <v>7040383</v>
      </c>
    </row>
    <row r="43" spans="1:38" x14ac:dyDescent="0.25">
      <c r="A43" s="1">
        <v>46218</v>
      </c>
      <c r="B43" s="1">
        <v>46218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190</v>
      </c>
      <c r="J43" t="s">
        <v>191</v>
      </c>
      <c r="M43" t="s">
        <v>57</v>
      </c>
      <c r="O43" t="s">
        <v>192</v>
      </c>
      <c r="P43" t="s">
        <v>193</v>
      </c>
      <c r="Q43" t="s">
        <v>49</v>
      </c>
      <c r="R43" t="s">
        <v>96</v>
      </c>
      <c r="S43" s="1">
        <v>46204</v>
      </c>
      <c r="U43" t="s">
        <v>51</v>
      </c>
      <c r="X43" t="s">
        <v>52</v>
      </c>
      <c r="Y43" s="2">
        <v>0</v>
      </c>
      <c r="Z43" s="2">
        <v>12.5</v>
      </c>
      <c r="AA43">
        <v>1</v>
      </c>
      <c r="AB43" s="3">
        <v>1</v>
      </c>
      <c r="AC43" s="2">
        <v>12.5</v>
      </c>
      <c r="AD43" s="3">
        <v>0</v>
      </c>
      <c r="AE43" s="2">
        <v>0</v>
      </c>
      <c r="AF43" s="2">
        <v>12.5</v>
      </c>
      <c r="AK43">
        <v>7040149</v>
      </c>
      <c r="AL43" t="s">
        <v>97</v>
      </c>
    </row>
    <row r="44" spans="1:38" x14ac:dyDescent="0.25">
      <c r="A44" s="1">
        <v>46218</v>
      </c>
      <c r="B44" s="1">
        <v>46218</v>
      </c>
      <c r="C44" t="s">
        <v>194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195</v>
      </c>
      <c r="J44" t="s">
        <v>196</v>
      </c>
      <c r="M44" t="s">
        <v>148</v>
      </c>
      <c r="O44" t="s">
        <v>197</v>
      </c>
      <c r="P44" t="s">
        <v>198</v>
      </c>
      <c r="Q44" t="s">
        <v>199</v>
      </c>
      <c r="R44" t="s">
        <v>60</v>
      </c>
      <c r="S44" s="1">
        <v>46023</v>
      </c>
      <c r="U44" t="s">
        <v>51</v>
      </c>
      <c r="X44" t="s">
        <v>52</v>
      </c>
      <c r="AF44" s="2">
        <v>175</v>
      </c>
      <c r="AG44" s="2">
        <v>0</v>
      </c>
      <c r="AJ44" s="2">
        <v>87.5</v>
      </c>
    </row>
    <row r="45" spans="1:38" x14ac:dyDescent="0.25">
      <c r="A45" s="1">
        <v>46218</v>
      </c>
      <c r="B45" s="1">
        <v>46218</v>
      </c>
      <c r="C45" t="s">
        <v>194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200</v>
      </c>
      <c r="J45" t="s">
        <v>201</v>
      </c>
      <c r="M45" t="s">
        <v>46</v>
      </c>
      <c r="O45" t="s">
        <v>72</v>
      </c>
      <c r="P45" t="s">
        <v>73</v>
      </c>
      <c r="Q45" t="s">
        <v>199</v>
      </c>
      <c r="R45" t="s">
        <v>50</v>
      </c>
      <c r="S45" s="1">
        <v>46023</v>
      </c>
      <c r="U45" t="s">
        <v>51</v>
      </c>
      <c r="X45" t="s">
        <v>52</v>
      </c>
      <c r="AF45" s="2">
        <v>108</v>
      </c>
      <c r="AG45" s="2">
        <v>0</v>
      </c>
      <c r="AJ45" s="2">
        <v>54</v>
      </c>
    </row>
    <row r="46" spans="1:38" x14ac:dyDescent="0.25">
      <c r="A46" s="1">
        <v>46218</v>
      </c>
      <c r="B46" s="1">
        <v>46218</v>
      </c>
      <c r="C46" t="s">
        <v>194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202</v>
      </c>
      <c r="J46" t="s">
        <v>203</v>
      </c>
      <c r="M46" t="s">
        <v>57</v>
      </c>
      <c r="O46" t="s">
        <v>142</v>
      </c>
      <c r="P46" t="s">
        <v>143</v>
      </c>
      <c r="Q46" t="s">
        <v>199</v>
      </c>
      <c r="R46" t="s">
        <v>60</v>
      </c>
      <c r="S46" s="1">
        <v>46054</v>
      </c>
      <c r="U46" t="s">
        <v>51</v>
      </c>
      <c r="X46" t="s">
        <v>52</v>
      </c>
      <c r="AF46" s="2">
        <v>175</v>
      </c>
      <c r="AG46" s="2">
        <v>0</v>
      </c>
      <c r="AJ46" s="2">
        <v>101.5</v>
      </c>
    </row>
    <row r="47" spans="1:38" x14ac:dyDescent="0.25">
      <c r="A47" s="1">
        <v>46218</v>
      </c>
      <c r="B47" s="1">
        <v>46218</v>
      </c>
      <c r="C47" t="s">
        <v>194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204</v>
      </c>
      <c r="J47" t="s">
        <v>205</v>
      </c>
      <c r="M47" t="s">
        <v>57</v>
      </c>
      <c r="O47" t="s">
        <v>90</v>
      </c>
      <c r="P47" t="s">
        <v>91</v>
      </c>
      <c r="Q47" t="s">
        <v>199</v>
      </c>
      <c r="R47" t="s">
        <v>60</v>
      </c>
      <c r="S47" s="1">
        <v>46174</v>
      </c>
      <c r="U47" t="s">
        <v>51</v>
      </c>
      <c r="X47" t="s">
        <v>52</v>
      </c>
      <c r="AF47" s="2">
        <v>175</v>
      </c>
      <c r="AG47" s="2">
        <v>0</v>
      </c>
      <c r="AJ47" s="2">
        <v>161</v>
      </c>
    </row>
    <row r="48" spans="1:38" x14ac:dyDescent="0.25">
      <c r="A48" s="1">
        <v>46218</v>
      </c>
      <c r="B48" s="1">
        <v>46218</v>
      </c>
      <c r="C48" t="s">
        <v>194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206</v>
      </c>
      <c r="J48" t="s">
        <v>207</v>
      </c>
      <c r="M48" t="s">
        <v>208</v>
      </c>
      <c r="O48" t="s">
        <v>58</v>
      </c>
      <c r="P48" t="s">
        <v>59</v>
      </c>
      <c r="Q48" t="s">
        <v>199</v>
      </c>
      <c r="R48" t="s">
        <v>60</v>
      </c>
      <c r="S48" s="1">
        <v>46174</v>
      </c>
      <c r="U48" t="s">
        <v>51</v>
      </c>
      <c r="X48" t="s">
        <v>52</v>
      </c>
      <c r="AF48" s="2">
        <v>175</v>
      </c>
      <c r="AG48" s="2">
        <v>0</v>
      </c>
      <c r="AJ48" s="2">
        <v>175</v>
      </c>
    </row>
    <row r="49" spans="1:36" x14ac:dyDescent="0.25">
      <c r="A49" s="1">
        <v>46218</v>
      </c>
      <c r="B49" s="1">
        <v>46218</v>
      </c>
      <c r="C49" t="s">
        <v>194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209</v>
      </c>
      <c r="J49" t="s">
        <v>147</v>
      </c>
      <c r="M49" t="s">
        <v>148</v>
      </c>
      <c r="O49" t="s">
        <v>116</v>
      </c>
      <c r="P49" t="s">
        <v>117</v>
      </c>
      <c r="Q49" t="s">
        <v>199</v>
      </c>
      <c r="R49" t="s">
        <v>150</v>
      </c>
      <c r="S49" s="1">
        <v>46023</v>
      </c>
      <c r="U49" t="s">
        <v>51</v>
      </c>
      <c r="X49" t="s">
        <v>52</v>
      </c>
      <c r="AF49" s="2">
        <v>72</v>
      </c>
      <c r="AG49" s="2">
        <v>0</v>
      </c>
      <c r="AJ49" s="2">
        <v>36</v>
      </c>
    </row>
    <row r="50" spans="1:36" x14ac:dyDescent="0.25">
      <c r="A50" s="1">
        <v>46218</v>
      </c>
      <c r="B50" s="1">
        <v>46218</v>
      </c>
      <c r="C50" t="s">
        <v>194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210</v>
      </c>
      <c r="J50" t="s">
        <v>147</v>
      </c>
      <c r="M50" t="s">
        <v>148</v>
      </c>
      <c r="O50" t="s">
        <v>116</v>
      </c>
      <c r="P50" t="s">
        <v>117</v>
      </c>
      <c r="Q50" t="s">
        <v>199</v>
      </c>
      <c r="R50" t="s">
        <v>133</v>
      </c>
      <c r="S50" s="1">
        <v>46023</v>
      </c>
      <c r="U50" t="s">
        <v>51</v>
      </c>
      <c r="X50" t="s">
        <v>52</v>
      </c>
      <c r="AF50" s="2">
        <v>347</v>
      </c>
      <c r="AG50" s="2">
        <v>0</v>
      </c>
      <c r="AJ50" s="2">
        <v>173.5</v>
      </c>
    </row>
    <row r="51" spans="1:36" x14ac:dyDescent="0.25">
      <c r="A51" s="1">
        <v>46218</v>
      </c>
      <c r="B51" s="1">
        <v>46218</v>
      </c>
      <c r="C51" t="s">
        <v>194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211</v>
      </c>
      <c r="J51" t="s">
        <v>137</v>
      </c>
      <c r="M51" t="s">
        <v>138</v>
      </c>
      <c r="O51" t="s">
        <v>82</v>
      </c>
      <c r="P51" t="s">
        <v>83</v>
      </c>
      <c r="Q51" t="s">
        <v>199</v>
      </c>
      <c r="R51" t="s">
        <v>212</v>
      </c>
      <c r="S51" s="1">
        <v>46204</v>
      </c>
      <c r="U51" t="s">
        <v>51</v>
      </c>
      <c r="X51" t="s">
        <v>52</v>
      </c>
      <c r="AF51" s="2">
        <v>101.5</v>
      </c>
      <c r="AG51" s="2">
        <v>0</v>
      </c>
      <c r="AJ51" s="2">
        <v>101.5</v>
      </c>
    </row>
    <row r="52" spans="1:36" x14ac:dyDescent="0.25">
      <c r="A52" s="1">
        <v>46218</v>
      </c>
      <c r="B52" s="1">
        <v>46218</v>
      </c>
      <c r="C52" t="s">
        <v>194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213</v>
      </c>
      <c r="J52" t="s">
        <v>141</v>
      </c>
      <c r="M52" t="s">
        <v>46</v>
      </c>
      <c r="O52" t="s">
        <v>142</v>
      </c>
      <c r="P52" t="s">
        <v>143</v>
      </c>
      <c r="Q52" t="s">
        <v>199</v>
      </c>
      <c r="R52" t="s">
        <v>214</v>
      </c>
      <c r="S52" s="1">
        <v>46235</v>
      </c>
      <c r="U52" t="s">
        <v>51</v>
      </c>
      <c r="X52" t="s">
        <v>52</v>
      </c>
      <c r="AF52" s="2">
        <v>169.17</v>
      </c>
      <c r="AG52" s="2">
        <v>0</v>
      </c>
      <c r="AJ52" s="2">
        <v>169.17</v>
      </c>
    </row>
    <row r="53" spans="1:36" x14ac:dyDescent="0.25">
      <c r="A53" s="1">
        <v>46218</v>
      </c>
      <c r="B53" s="1">
        <v>46218</v>
      </c>
      <c r="C53" t="s">
        <v>194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215</v>
      </c>
      <c r="J53" t="s">
        <v>141</v>
      </c>
      <c r="M53" t="s">
        <v>46</v>
      </c>
      <c r="O53" t="s">
        <v>142</v>
      </c>
      <c r="P53" t="s">
        <v>143</v>
      </c>
      <c r="Q53" t="s">
        <v>199</v>
      </c>
      <c r="R53" t="s">
        <v>216</v>
      </c>
      <c r="S53" s="1">
        <v>46235</v>
      </c>
      <c r="U53" t="s">
        <v>51</v>
      </c>
      <c r="X53" t="s">
        <v>52</v>
      </c>
      <c r="AF53" s="2">
        <v>47.08</v>
      </c>
      <c r="AG53" s="2">
        <v>0</v>
      </c>
      <c r="AJ53" s="2">
        <v>47.08</v>
      </c>
    </row>
    <row r="54" spans="1:36" x14ac:dyDescent="0.25">
      <c r="A54" s="1">
        <v>46218</v>
      </c>
      <c r="B54" s="1">
        <v>46218</v>
      </c>
      <c r="C54" t="s">
        <v>194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217</v>
      </c>
      <c r="J54" t="s">
        <v>218</v>
      </c>
      <c r="M54" t="s">
        <v>169</v>
      </c>
      <c r="O54" t="s">
        <v>76</v>
      </c>
      <c r="P54" t="s">
        <v>77</v>
      </c>
      <c r="Q54" t="s">
        <v>199</v>
      </c>
      <c r="R54" t="s">
        <v>135</v>
      </c>
      <c r="S54" s="1">
        <v>46023</v>
      </c>
      <c r="U54" t="s">
        <v>51</v>
      </c>
      <c r="X54" t="s">
        <v>52</v>
      </c>
      <c r="AF54" s="2">
        <v>175</v>
      </c>
      <c r="AG54" s="2">
        <v>0</v>
      </c>
      <c r="AJ54" s="2">
        <v>87.5</v>
      </c>
    </row>
    <row r="55" spans="1:36" x14ac:dyDescent="0.25">
      <c r="A55" s="1">
        <v>46218</v>
      </c>
      <c r="B55" s="1">
        <v>46218</v>
      </c>
      <c r="C55" t="s">
        <v>194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219</v>
      </c>
      <c r="J55" t="s">
        <v>218</v>
      </c>
      <c r="M55" t="s">
        <v>169</v>
      </c>
      <c r="O55" t="s">
        <v>76</v>
      </c>
      <c r="P55" t="s">
        <v>77</v>
      </c>
      <c r="Q55" t="s">
        <v>199</v>
      </c>
      <c r="R55" t="s">
        <v>133</v>
      </c>
      <c r="S55" s="1">
        <v>46023</v>
      </c>
      <c r="U55" t="s">
        <v>51</v>
      </c>
      <c r="X55" t="s">
        <v>52</v>
      </c>
      <c r="AF55" s="2">
        <v>347</v>
      </c>
      <c r="AG55" s="2">
        <v>0</v>
      </c>
      <c r="AJ55" s="2">
        <v>173.5</v>
      </c>
    </row>
    <row r="56" spans="1:36" x14ac:dyDescent="0.25">
      <c r="A56" s="1">
        <v>46218</v>
      </c>
      <c r="B56" s="1">
        <v>46218</v>
      </c>
      <c r="C56" t="s">
        <v>194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220</v>
      </c>
      <c r="J56" t="s">
        <v>157</v>
      </c>
      <c r="M56" t="s">
        <v>158</v>
      </c>
      <c r="O56" t="s">
        <v>122</v>
      </c>
      <c r="P56" t="s">
        <v>123</v>
      </c>
      <c r="Q56" t="s">
        <v>199</v>
      </c>
      <c r="R56" t="s">
        <v>133</v>
      </c>
      <c r="S56" s="1">
        <v>46235</v>
      </c>
      <c r="U56" t="s">
        <v>51</v>
      </c>
      <c r="X56" t="s">
        <v>52</v>
      </c>
      <c r="AF56" s="2">
        <v>144.58000000000001</v>
      </c>
      <c r="AG56" s="2">
        <v>0</v>
      </c>
      <c r="AJ56" s="2">
        <v>144.58000000000001</v>
      </c>
    </row>
    <row r="57" spans="1:36" x14ac:dyDescent="0.25">
      <c r="A57" s="1">
        <v>46218</v>
      </c>
      <c r="B57" s="1">
        <v>46218</v>
      </c>
      <c r="C57" t="s">
        <v>194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221</v>
      </c>
      <c r="J57" t="s">
        <v>222</v>
      </c>
      <c r="M57" t="s">
        <v>67</v>
      </c>
      <c r="O57" t="s">
        <v>47</v>
      </c>
      <c r="P57" t="s">
        <v>48</v>
      </c>
      <c r="Q57" t="s">
        <v>199</v>
      </c>
      <c r="R57" t="s">
        <v>150</v>
      </c>
      <c r="S57" s="1">
        <v>46082</v>
      </c>
      <c r="U57" t="s">
        <v>51</v>
      </c>
      <c r="X57" t="s">
        <v>52</v>
      </c>
      <c r="AF57" s="2">
        <v>60</v>
      </c>
      <c r="AG57" s="2">
        <v>0</v>
      </c>
      <c r="AJ57" s="2">
        <v>42</v>
      </c>
    </row>
    <row r="58" spans="1:36" x14ac:dyDescent="0.25">
      <c r="A58" s="1">
        <v>46218</v>
      </c>
      <c r="B58" s="1">
        <v>46218</v>
      </c>
      <c r="C58" t="s">
        <v>194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223</v>
      </c>
      <c r="J58" t="s">
        <v>222</v>
      </c>
      <c r="M58" t="s">
        <v>67</v>
      </c>
      <c r="O58" t="s">
        <v>47</v>
      </c>
      <c r="P58" t="s">
        <v>48</v>
      </c>
      <c r="Q58" t="s">
        <v>199</v>
      </c>
      <c r="R58" t="s">
        <v>133</v>
      </c>
      <c r="S58" s="1">
        <v>46082</v>
      </c>
      <c r="U58" t="s">
        <v>51</v>
      </c>
      <c r="X58" t="s">
        <v>52</v>
      </c>
      <c r="AF58" s="2">
        <v>289.17</v>
      </c>
      <c r="AG58" s="2">
        <v>0</v>
      </c>
      <c r="AJ58" s="2">
        <v>202.42</v>
      </c>
    </row>
    <row r="59" spans="1:36" x14ac:dyDescent="0.25">
      <c r="A59" s="1">
        <v>46218</v>
      </c>
      <c r="B59" s="1">
        <v>46218</v>
      </c>
      <c r="C59" t="s">
        <v>194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224</v>
      </c>
      <c r="J59" t="s">
        <v>172</v>
      </c>
      <c r="M59" t="s">
        <v>46</v>
      </c>
      <c r="O59" t="s">
        <v>76</v>
      </c>
      <c r="P59" t="s">
        <v>77</v>
      </c>
      <c r="Q59" t="s">
        <v>199</v>
      </c>
      <c r="R59" t="s">
        <v>214</v>
      </c>
      <c r="S59" s="1">
        <v>46235</v>
      </c>
      <c r="U59" t="s">
        <v>51</v>
      </c>
      <c r="X59" t="s">
        <v>52</v>
      </c>
      <c r="AF59" s="2">
        <v>169.17</v>
      </c>
      <c r="AG59" s="2">
        <v>0</v>
      </c>
      <c r="AJ59" s="2">
        <v>169.17</v>
      </c>
    </row>
    <row r="60" spans="1:36" x14ac:dyDescent="0.25">
      <c r="A60" s="1">
        <v>46218</v>
      </c>
      <c r="B60" s="1">
        <v>46218</v>
      </c>
      <c r="C60" t="s">
        <v>194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225</v>
      </c>
      <c r="J60" t="s">
        <v>172</v>
      </c>
      <c r="M60" t="s">
        <v>46</v>
      </c>
      <c r="O60" t="s">
        <v>76</v>
      </c>
      <c r="P60" t="s">
        <v>77</v>
      </c>
      <c r="Q60" t="s">
        <v>199</v>
      </c>
      <c r="R60" t="s">
        <v>216</v>
      </c>
      <c r="S60" s="1">
        <v>46235</v>
      </c>
      <c r="U60" t="s">
        <v>51</v>
      </c>
      <c r="X60" t="s">
        <v>52</v>
      </c>
      <c r="AF60" s="2">
        <v>47.08</v>
      </c>
      <c r="AG60" s="2">
        <v>0</v>
      </c>
      <c r="AJ60" s="2">
        <v>47.08</v>
      </c>
    </row>
    <row r="61" spans="1:36" x14ac:dyDescent="0.25">
      <c r="A61" s="1">
        <v>46218</v>
      </c>
      <c r="B61" s="1">
        <v>46218</v>
      </c>
      <c r="C61" t="s">
        <v>194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226</v>
      </c>
      <c r="J61" t="s">
        <v>227</v>
      </c>
      <c r="M61" t="s">
        <v>132</v>
      </c>
      <c r="O61" t="s">
        <v>228</v>
      </c>
      <c r="P61" t="s">
        <v>229</v>
      </c>
      <c r="Q61" t="s">
        <v>199</v>
      </c>
      <c r="R61" t="s">
        <v>135</v>
      </c>
      <c r="S61" s="1">
        <v>46023</v>
      </c>
      <c r="U61" t="s">
        <v>51</v>
      </c>
      <c r="X61" t="s">
        <v>52</v>
      </c>
      <c r="AF61" s="2">
        <v>175</v>
      </c>
      <c r="AG61" s="2">
        <v>0</v>
      </c>
      <c r="AJ61" s="2">
        <v>87.5</v>
      </c>
    </row>
    <row r="62" spans="1:36" x14ac:dyDescent="0.25">
      <c r="A62" s="1">
        <v>46218</v>
      </c>
      <c r="B62" s="1">
        <v>46218</v>
      </c>
      <c r="C62" t="s">
        <v>194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230</v>
      </c>
      <c r="J62" t="s">
        <v>227</v>
      </c>
      <c r="M62" t="s">
        <v>132</v>
      </c>
      <c r="O62" t="s">
        <v>228</v>
      </c>
      <c r="P62" t="s">
        <v>229</v>
      </c>
      <c r="Q62" t="s">
        <v>199</v>
      </c>
      <c r="R62" t="s">
        <v>133</v>
      </c>
      <c r="S62" s="1">
        <v>46023</v>
      </c>
      <c r="U62" t="s">
        <v>51</v>
      </c>
      <c r="X62" t="s">
        <v>52</v>
      </c>
      <c r="AF62" s="2">
        <v>347</v>
      </c>
      <c r="AG62" s="2">
        <v>0</v>
      </c>
      <c r="AJ62" s="2">
        <v>173.5</v>
      </c>
    </row>
    <row r="63" spans="1:36" x14ac:dyDescent="0.25">
      <c r="A63" s="1">
        <v>46218</v>
      </c>
      <c r="B63" s="1">
        <v>46218</v>
      </c>
      <c r="C63" t="s">
        <v>194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231</v>
      </c>
      <c r="J63" t="s">
        <v>181</v>
      </c>
      <c r="M63" t="s">
        <v>100</v>
      </c>
      <c r="O63" t="s">
        <v>86</v>
      </c>
      <c r="P63" t="s">
        <v>87</v>
      </c>
      <c r="Q63" t="s">
        <v>199</v>
      </c>
      <c r="R63" t="s">
        <v>232</v>
      </c>
      <c r="S63" s="1">
        <v>46204</v>
      </c>
      <c r="U63" t="s">
        <v>51</v>
      </c>
      <c r="X63" t="s">
        <v>52</v>
      </c>
      <c r="AF63" s="2">
        <v>116.5</v>
      </c>
      <c r="AG63" s="2">
        <v>0</v>
      </c>
      <c r="AJ63" s="2">
        <v>116.5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643C-7B58-4F85-940A-FBBB82B3F234}">
  <dimension ref="A1:AN63"/>
  <sheetViews>
    <sheetView tabSelected="1" workbookViewId="0">
      <selection activeCell="A60" sqref="A60"/>
    </sheetView>
  </sheetViews>
  <sheetFormatPr defaultRowHeight="15" x14ac:dyDescent="0.25"/>
  <cols>
    <col min="1" max="2" width="16.85546875" customWidth="1"/>
    <col min="3" max="3" width="21.5703125" customWidth="1"/>
    <col min="4" max="4" width="5.5703125" bestFit="1" customWidth="1"/>
    <col min="5" max="5" width="15.7109375" bestFit="1" customWidth="1"/>
    <col min="6" max="6" width="14" customWidth="1"/>
    <col min="7" max="7" width="17" customWidth="1"/>
    <col min="8" max="8" width="19.5703125" customWidth="1"/>
    <col min="9" max="9" width="10.140625" bestFit="1" customWidth="1"/>
    <col min="10" max="10" width="11.28515625" customWidth="1"/>
    <col min="11" max="11" width="11.7109375" customWidth="1"/>
    <col min="12" max="12" width="11.28515625" customWidth="1"/>
    <col min="13" max="13" width="10.28515625" customWidth="1"/>
    <col min="14" max="14" width="11.28515625" customWidth="1"/>
    <col min="15" max="15" width="60" bestFit="1" customWidth="1"/>
  </cols>
  <sheetData>
    <row r="1" spans="1:40" x14ac:dyDescent="0.25">
      <c r="A1" t="s">
        <v>8</v>
      </c>
      <c r="C1" t="s">
        <v>9</v>
      </c>
      <c r="D1" t="s">
        <v>12</v>
      </c>
      <c r="E1" t="s">
        <v>14</v>
      </c>
      <c r="G1" t="s">
        <v>15</v>
      </c>
      <c r="H1" t="s">
        <v>17</v>
      </c>
      <c r="I1" t="s">
        <v>18</v>
      </c>
      <c r="J1" t="s">
        <v>19</v>
      </c>
      <c r="K1" t="s">
        <v>20</v>
      </c>
      <c r="L1" t="s">
        <v>25</v>
      </c>
      <c r="M1" t="s">
        <v>28</v>
      </c>
      <c r="N1" t="s">
        <v>37</v>
      </c>
    </row>
    <row r="2" spans="1:40" s="8" customFormat="1" x14ac:dyDescent="0.25">
      <c r="A2" s="7">
        <v>988781374</v>
      </c>
      <c r="B2" s="7" t="str">
        <f>CONCATENATE(A2,14)</f>
        <v>98878137414</v>
      </c>
      <c r="C2" s="8" t="s">
        <v>181</v>
      </c>
      <c r="D2" s="8" t="s">
        <v>100</v>
      </c>
      <c r="E2" s="13">
        <v>17425766</v>
      </c>
      <c r="F2" s="13">
        <v>17425766</v>
      </c>
      <c r="G2" s="8" t="s">
        <v>87</v>
      </c>
      <c r="H2" s="8" t="s">
        <v>182</v>
      </c>
      <c r="I2" s="9">
        <v>46204</v>
      </c>
      <c r="J2" s="9">
        <v>46387</v>
      </c>
      <c r="K2" s="8" t="s">
        <v>51</v>
      </c>
      <c r="L2" s="10">
        <v>465</v>
      </c>
      <c r="M2" s="10">
        <v>465</v>
      </c>
      <c r="O2" s="8" t="s">
        <v>261</v>
      </c>
    </row>
    <row r="3" spans="1:40" s="8" customFormat="1" x14ac:dyDescent="0.25">
      <c r="A3" s="7">
        <v>903987832</v>
      </c>
      <c r="B3" s="7" t="str">
        <f t="shared" ref="B3:B5" si="0">CONCATENATE(A3,14)</f>
        <v>90398783214</v>
      </c>
      <c r="C3" s="8" t="s">
        <v>137</v>
      </c>
      <c r="D3" s="8" t="s">
        <v>138</v>
      </c>
      <c r="E3" s="13">
        <v>16228684</v>
      </c>
      <c r="F3" s="13">
        <v>16228684</v>
      </c>
      <c r="G3" s="8" t="s">
        <v>83</v>
      </c>
      <c r="H3" s="8" t="s">
        <v>139</v>
      </c>
      <c r="I3" s="9">
        <v>46204</v>
      </c>
      <c r="J3" s="9">
        <v>46387</v>
      </c>
      <c r="K3" s="8" t="s">
        <v>51</v>
      </c>
      <c r="L3" s="10">
        <v>406</v>
      </c>
      <c r="M3" s="10">
        <v>406</v>
      </c>
      <c r="O3" s="8" t="s">
        <v>261</v>
      </c>
    </row>
    <row r="4" spans="1:40" s="8" customFormat="1" x14ac:dyDescent="0.25">
      <c r="A4" s="7">
        <v>907503609</v>
      </c>
      <c r="B4" s="7" t="str">
        <f t="shared" si="0"/>
        <v>90750360914</v>
      </c>
      <c r="C4" s="8" t="s">
        <v>141</v>
      </c>
      <c r="D4" s="8" t="s">
        <v>46</v>
      </c>
      <c r="E4" s="13">
        <v>7565575</v>
      </c>
      <c r="F4" s="13">
        <v>7565575</v>
      </c>
      <c r="G4" s="8" t="s">
        <v>143</v>
      </c>
      <c r="H4" s="8" t="s">
        <v>139</v>
      </c>
      <c r="I4" s="9">
        <v>46235</v>
      </c>
      <c r="J4" s="9">
        <v>46387</v>
      </c>
      <c r="K4" s="8" t="s">
        <v>51</v>
      </c>
      <c r="L4" s="10">
        <v>406</v>
      </c>
      <c r="M4" s="10">
        <v>406</v>
      </c>
      <c r="O4" s="8" t="s">
        <v>261</v>
      </c>
    </row>
    <row r="5" spans="1:40" s="8" customFormat="1" x14ac:dyDescent="0.25">
      <c r="A5" s="7">
        <v>962498134</v>
      </c>
      <c r="B5" s="7" t="str">
        <f t="shared" si="0"/>
        <v>96249813414</v>
      </c>
      <c r="C5" s="8" t="s">
        <v>172</v>
      </c>
      <c r="D5" s="8" t="s">
        <v>46</v>
      </c>
      <c r="E5" s="13">
        <v>19645587</v>
      </c>
      <c r="F5" s="13">
        <v>19645587</v>
      </c>
      <c r="G5" s="8" t="s">
        <v>77</v>
      </c>
      <c r="H5" s="8" t="s">
        <v>139</v>
      </c>
      <c r="I5" s="9">
        <v>46235</v>
      </c>
      <c r="J5" s="9">
        <v>46387</v>
      </c>
      <c r="K5" s="8" t="s">
        <v>51</v>
      </c>
      <c r="L5" s="10">
        <v>406</v>
      </c>
      <c r="M5" s="10">
        <v>406</v>
      </c>
      <c r="O5" s="8" t="s">
        <v>261</v>
      </c>
    </row>
    <row r="6" spans="1:40" s="8" customFormat="1" x14ac:dyDescent="0.25">
      <c r="A6" s="7">
        <v>988781374</v>
      </c>
      <c r="B6" s="7" t="str">
        <f>CONCATENATE(A6,13)</f>
        <v>98878137413</v>
      </c>
      <c r="C6" s="8" t="s">
        <v>181</v>
      </c>
      <c r="D6" s="8" t="s">
        <v>100</v>
      </c>
      <c r="E6" s="13">
        <v>17425766</v>
      </c>
      <c r="F6" s="13">
        <v>17425766</v>
      </c>
      <c r="G6" s="8" t="s">
        <v>87</v>
      </c>
      <c r="H6" s="8" t="s">
        <v>232</v>
      </c>
      <c r="I6" s="9">
        <v>46204</v>
      </c>
      <c r="J6" s="9">
        <v>46387</v>
      </c>
      <c r="K6" s="8" t="s">
        <v>51</v>
      </c>
      <c r="L6" s="11">
        <v>-116.5</v>
      </c>
      <c r="M6" s="11">
        <v>-116.5</v>
      </c>
      <c r="O6" s="8" t="s">
        <v>270</v>
      </c>
    </row>
    <row r="7" spans="1:40" s="8" customFormat="1" x14ac:dyDescent="0.25">
      <c r="A7" s="7">
        <v>903987832</v>
      </c>
      <c r="B7" s="7" t="str">
        <f>CONCATENATE(A7,13)</f>
        <v>90398783213</v>
      </c>
      <c r="C7" s="8" t="s">
        <v>137</v>
      </c>
      <c r="D7" s="8" t="s">
        <v>138</v>
      </c>
      <c r="E7" s="13">
        <v>16228684</v>
      </c>
      <c r="F7" s="13">
        <v>16228684</v>
      </c>
      <c r="G7" s="8" t="s">
        <v>83</v>
      </c>
      <c r="H7" s="8" t="s">
        <v>212</v>
      </c>
      <c r="I7" s="9">
        <v>46204</v>
      </c>
      <c r="J7" s="9">
        <v>46387</v>
      </c>
      <c r="K7" s="8" t="s">
        <v>51</v>
      </c>
      <c r="L7" s="11">
        <v>-101.5</v>
      </c>
      <c r="M7" s="11">
        <v>-101.5</v>
      </c>
      <c r="O7" s="12" t="s">
        <v>270</v>
      </c>
    </row>
    <row r="8" spans="1:40" x14ac:dyDescent="0.25">
      <c r="A8" s="7">
        <v>934646696</v>
      </c>
      <c r="B8" s="7" t="str">
        <f>CONCATENATE(A8,12)</f>
        <v>93464669612</v>
      </c>
      <c r="C8" s="8" t="s">
        <v>157</v>
      </c>
      <c r="D8" s="8" t="s">
        <v>158</v>
      </c>
      <c r="E8" s="13">
        <v>20003537</v>
      </c>
      <c r="F8" s="13">
        <v>20003537</v>
      </c>
      <c r="G8" s="8" t="s">
        <v>123</v>
      </c>
      <c r="H8" s="8" t="s">
        <v>159</v>
      </c>
      <c r="I8" s="9">
        <v>46235</v>
      </c>
      <c r="J8" s="9">
        <v>46387</v>
      </c>
      <c r="K8" s="8" t="s">
        <v>51</v>
      </c>
      <c r="L8" s="10">
        <v>1</v>
      </c>
      <c r="M8" s="10">
        <v>694</v>
      </c>
      <c r="N8" s="8"/>
      <c r="O8" s="8" t="s">
        <v>260</v>
      </c>
      <c r="P8" s="8" t="s">
        <v>269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0" x14ac:dyDescent="0.25">
      <c r="A9" s="7">
        <v>907503609</v>
      </c>
      <c r="B9" s="7" t="str">
        <f>CONCATENATE(A9,11)</f>
        <v>90750360911</v>
      </c>
      <c r="C9" s="8" t="s">
        <v>141</v>
      </c>
      <c r="D9" s="8" t="s">
        <v>46</v>
      </c>
      <c r="E9" s="13">
        <v>7565575</v>
      </c>
      <c r="F9" s="13">
        <v>7565575</v>
      </c>
      <c r="G9" s="8" t="s">
        <v>143</v>
      </c>
      <c r="H9" s="8" t="s">
        <v>214</v>
      </c>
      <c r="I9" s="9">
        <v>46235</v>
      </c>
      <c r="J9" s="9">
        <v>46387</v>
      </c>
      <c r="K9" s="8" t="s">
        <v>51</v>
      </c>
      <c r="L9" s="10">
        <v>-1</v>
      </c>
      <c r="M9" s="11">
        <v>-169.17</v>
      </c>
      <c r="N9" s="8"/>
      <c r="O9" s="8" t="s">
        <v>264</v>
      </c>
      <c r="P9" s="8" t="s">
        <v>265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x14ac:dyDescent="0.25">
      <c r="A10" s="7">
        <v>962498134</v>
      </c>
      <c r="B10" s="7" t="str">
        <f>CONCATENATE(A10,11)</f>
        <v>96249813411</v>
      </c>
      <c r="C10" s="8" t="s">
        <v>172</v>
      </c>
      <c r="D10" s="8" t="s">
        <v>46</v>
      </c>
      <c r="E10" s="13">
        <v>19645587</v>
      </c>
      <c r="F10" s="13">
        <v>19645587</v>
      </c>
      <c r="G10" s="8" t="s">
        <v>77</v>
      </c>
      <c r="H10" s="8" t="s">
        <v>214</v>
      </c>
      <c r="I10" s="9">
        <v>46235</v>
      </c>
      <c r="J10" s="9">
        <v>46387</v>
      </c>
      <c r="K10" s="8" t="s">
        <v>51</v>
      </c>
      <c r="L10" s="10">
        <v>-1</v>
      </c>
      <c r="M10" s="11">
        <v>-169.17</v>
      </c>
      <c r="N10" s="8"/>
      <c r="O10" s="8" t="s">
        <v>264</v>
      </c>
      <c r="P10" s="8" t="s">
        <v>265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0" x14ac:dyDescent="0.25">
      <c r="A11" s="7" t="s">
        <v>248</v>
      </c>
      <c r="B11" s="7" t="str">
        <f>CONCATENATE(A11,1)</f>
        <v>A044924111</v>
      </c>
      <c r="C11" s="8" t="s">
        <v>184</v>
      </c>
      <c r="D11" s="8" t="s">
        <v>100</v>
      </c>
      <c r="E11" s="13">
        <v>19278370</v>
      </c>
      <c r="F11" s="13">
        <v>19278370</v>
      </c>
      <c r="G11" s="8" t="s">
        <v>186</v>
      </c>
      <c r="H11" s="8" t="s">
        <v>187</v>
      </c>
      <c r="I11" s="9">
        <v>46296</v>
      </c>
      <c r="J11" s="9">
        <v>46569</v>
      </c>
      <c r="K11" s="8" t="s">
        <v>51</v>
      </c>
      <c r="L11" s="10">
        <v>1</v>
      </c>
      <c r="M11" s="10">
        <v>88.47</v>
      </c>
      <c r="N11" s="8"/>
      <c r="O11" s="8" t="s">
        <v>187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0" x14ac:dyDescent="0.25">
      <c r="A12" s="7" t="s">
        <v>249</v>
      </c>
      <c r="B12" s="7" t="str">
        <f>CONCATENATE(A12,1)</f>
        <v>A044924131</v>
      </c>
      <c r="C12" s="8" t="s">
        <v>189</v>
      </c>
      <c r="D12" s="8" t="s">
        <v>100</v>
      </c>
      <c r="E12" s="13">
        <v>19278370</v>
      </c>
      <c r="F12" s="13">
        <v>19278370</v>
      </c>
      <c r="G12" s="8" t="s">
        <v>186</v>
      </c>
      <c r="H12" s="8" t="s">
        <v>187</v>
      </c>
      <c r="I12" s="9">
        <v>46296</v>
      </c>
      <c r="J12" s="9">
        <v>46569</v>
      </c>
      <c r="K12" s="8" t="s">
        <v>51</v>
      </c>
      <c r="L12" s="10">
        <v>1</v>
      </c>
      <c r="M12" s="10">
        <v>88.47</v>
      </c>
      <c r="N12" s="8"/>
      <c r="O12" s="8" t="s">
        <v>187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0" x14ac:dyDescent="0.25">
      <c r="A13" s="7">
        <v>961463604</v>
      </c>
      <c r="B13" s="7" t="str">
        <f t="shared" ref="B13:B22" si="1">CONCATENATE(A13,11)</f>
        <v>96146360411</v>
      </c>
      <c r="C13" s="8" t="s">
        <v>168</v>
      </c>
      <c r="D13" s="8" t="s">
        <v>169</v>
      </c>
      <c r="E13" s="13">
        <v>18598357</v>
      </c>
      <c r="F13" s="13">
        <v>18598357</v>
      </c>
      <c r="G13" s="8" t="s">
        <v>117</v>
      </c>
      <c r="H13" s="8" t="s">
        <v>133</v>
      </c>
      <c r="I13" s="9">
        <v>46296</v>
      </c>
      <c r="J13" s="9">
        <v>46387</v>
      </c>
      <c r="K13" s="8" t="s">
        <v>51</v>
      </c>
      <c r="L13" s="10">
        <v>1</v>
      </c>
      <c r="M13" s="10">
        <v>86.75</v>
      </c>
      <c r="N13" s="8" t="s">
        <v>165</v>
      </c>
      <c r="O13" s="8" t="s">
        <v>262</v>
      </c>
      <c r="P13" s="8" t="s">
        <v>271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 x14ac:dyDescent="0.25">
      <c r="A14" s="7">
        <v>922884659</v>
      </c>
      <c r="B14" s="7" t="str">
        <f t="shared" si="1"/>
        <v>92288465911</v>
      </c>
      <c r="C14" s="8" t="s">
        <v>147</v>
      </c>
      <c r="D14" s="8" t="s">
        <v>148</v>
      </c>
      <c r="E14" s="13">
        <v>18598357</v>
      </c>
      <c r="F14" s="13">
        <v>18598357</v>
      </c>
      <c r="G14" s="8" t="s">
        <v>117</v>
      </c>
      <c r="H14" s="8" t="s">
        <v>133</v>
      </c>
      <c r="I14" s="9">
        <v>46204</v>
      </c>
      <c r="J14" s="9">
        <v>46387</v>
      </c>
      <c r="K14" s="8" t="s">
        <v>51</v>
      </c>
      <c r="L14" s="10">
        <v>1</v>
      </c>
      <c r="M14" s="10">
        <v>173.5</v>
      </c>
      <c r="N14" s="8" t="s">
        <v>97</v>
      </c>
      <c r="O14" s="8" t="s">
        <v>262</v>
      </c>
      <c r="P14" s="8" t="s">
        <v>266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x14ac:dyDescent="0.25">
      <c r="A15" s="7">
        <v>129949159</v>
      </c>
      <c r="B15" s="7" t="str">
        <f t="shared" si="1"/>
        <v>12994915911</v>
      </c>
      <c r="C15" s="8" t="s">
        <v>147</v>
      </c>
      <c r="D15" s="8" t="s">
        <v>148</v>
      </c>
      <c r="E15" s="13">
        <v>18598357</v>
      </c>
      <c r="F15" s="13">
        <v>18598357</v>
      </c>
      <c r="G15" s="8" t="s">
        <v>117</v>
      </c>
      <c r="H15" s="8" t="s">
        <v>133</v>
      </c>
      <c r="I15" s="9">
        <v>46023</v>
      </c>
      <c r="J15" s="9">
        <v>46204</v>
      </c>
      <c r="K15" s="8" t="s">
        <v>51</v>
      </c>
      <c r="L15" s="10">
        <v>-1</v>
      </c>
      <c r="M15" s="11">
        <v>-173.5</v>
      </c>
      <c r="N15" s="8"/>
      <c r="O15" s="8" t="s">
        <v>262</v>
      </c>
      <c r="P15" s="8" t="s">
        <v>266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x14ac:dyDescent="0.25">
      <c r="A16" s="7">
        <v>934646696</v>
      </c>
      <c r="B16" s="7" t="str">
        <f t="shared" si="1"/>
        <v>93464669611</v>
      </c>
      <c r="C16" s="8" t="s">
        <v>157</v>
      </c>
      <c r="D16" s="8" t="s">
        <v>158</v>
      </c>
      <c r="E16" s="13">
        <v>20003537</v>
      </c>
      <c r="F16" s="13">
        <v>20003537</v>
      </c>
      <c r="G16" s="8" t="s">
        <v>123</v>
      </c>
      <c r="H16" s="8" t="s">
        <v>133</v>
      </c>
      <c r="I16" s="9">
        <v>46235</v>
      </c>
      <c r="J16" s="9">
        <v>46387</v>
      </c>
      <c r="K16" s="8" t="s">
        <v>51</v>
      </c>
      <c r="L16" s="10">
        <v>-1</v>
      </c>
      <c r="M16" s="11">
        <v>-144.58000000000001</v>
      </c>
      <c r="N16" s="8"/>
      <c r="O16" s="8" t="s">
        <v>262</v>
      </c>
      <c r="P16" s="8" t="s">
        <v>268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0" x14ac:dyDescent="0.25">
      <c r="A17" s="7">
        <v>980595326</v>
      </c>
      <c r="B17" s="7" t="str">
        <f t="shared" si="1"/>
        <v>98059532611</v>
      </c>
      <c r="C17" s="8" t="s">
        <v>227</v>
      </c>
      <c r="D17" s="8" t="s">
        <v>132</v>
      </c>
      <c r="E17" s="13">
        <v>17301495</v>
      </c>
      <c r="F17" s="13">
        <v>17301495</v>
      </c>
      <c r="G17" s="8" t="s">
        <v>229</v>
      </c>
      <c r="H17" s="8" t="s">
        <v>133</v>
      </c>
      <c r="I17" s="9">
        <v>46023</v>
      </c>
      <c r="J17" s="9">
        <v>46204</v>
      </c>
      <c r="K17" s="8" t="s">
        <v>51</v>
      </c>
      <c r="L17" s="10">
        <v>-1</v>
      </c>
      <c r="M17" s="11">
        <v>-173.5</v>
      </c>
      <c r="N17" s="8"/>
      <c r="O17" s="8" t="s">
        <v>262</v>
      </c>
      <c r="P17" s="8" t="s">
        <v>266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x14ac:dyDescent="0.25">
      <c r="A18" s="7">
        <v>944007085</v>
      </c>
      <c r="B18" s="7" t="str">
        <f t="shared" si="1"/>
        <v>94400708511</v>
      </c>
      <c r="C18" s="8" t="s">
        <v>163</v>
      </c>
      <c r="D18" s="8" t="s">
        <v>164</v>
      </c>
      <c r="E18" s="13">
        <v>9213293</v>
      </c>
      <c r="F18" s="13">
        <v>9213293</v>
      </c>
      <c r="G18" s="8" t="s">
        <v>48</v>
      </c>
      <c r="H18" s="8" t="s">
        <v>133</v>
      </c>
      <c r="I18" s="9">
        <v>46296</v>
      </c>
      <c r="J18" s="9">
        <v>46387</v>
      </c>
      <c r="K18" s="8" t="s">
        <v>51</v>
      </c>
      <c r="L18" s="10">
        <v>1</v>
      </c>
      <c r="M18" s="10">
        <v>86.75</v>
      </c>
      <c r="N18" s="8" t="s">
        <v>165</v>
      </c>
      <c r="O18" s="8" t="s">
        <v>262</v>
      </c>
      <c r="P18" s="8" t="s">
        <v>271</v>
      </c>
      <c r="Q18" s="8"/>
      <c r="R18" s="8"/>
      <c r="S18" s="8">
        <f>347/12*3</f>
        <v>86.75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x14ac:dyDescent="0.25">
      <c r="A19" s="7">
        <v>951067902</v>
      </c>
      <c r="B19" s="7" t="str">
        <f t="shared" si="1"/>
        <v>95106790211</v>
      </c>
      <c r="C19" s="8" t="s">
        <v>222</v>
      </c>
      <c r="D19" s="8" t="s">
        <v>67</v>
      </c>
      <c r="E19" s="13">
        <v>9213293</v>
      </c>
      <c r="F19" s="13">
        <v>9213293</v>
      </c>
      <c r="G19" s="8" t="s">
        <v>48</v>
      </c>
      <c r="H19" s="8" t="s">
        <v>133</v>
      </c>
      <c r="I19" s="9">
        <v>46082</v>
      </c>
      <c r="J19" s="9">
        <v>46204</v>
      </c>
      <c r="K19" s="8" t="s">
        <v>51</v>
      </c>
      <c r="L19" s="10">
        <v>-1</v>
      </c>
      <c r="M19" s="11">
        <v>-202.42</v>
      </c>
      <c r="N19" s="8"/>
      <c r="O19" s="8" t="s">
        <v>262</v>
      </c>
      <c r="P19" s="8" t="s">
        <v>267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x14ac:dyDescent="0.25">
      <c r="A20" s="7">
        <v>972439248</v>
      </c>
      <c r="B20" s="7" t="str">
        <f t="shared" si="1"/>
        <v>97243924811</v>
      </c>
      <c r="C20" s="8" t="s">
        <v>175</v>
      </c>
      <c r="D20" s="8" t="s">
        <v>57</v>
      </c>
      <c r="E20" s="13">
        <v>18754354</v>
      </c>
      <c r="F20" s="13">
        <v>18754354</v>
      </c>
      <c r="G20" s="8" t="s">
        <v>177</v>
      </c>
      <c r="H20" s="8" t="s">
        <v>133</v>
      </c>
      <c r="I20" s="9">
        <v>46266</v>
      </c>
      <c r="J20" s="9">
        <v>46387</v>
      </c>
      <c r="K20" s="8" t="s">
        <v>51</v>
      </c>
      <c r="L20" s="10">
        <v>1</v>
      </c>
      <c r="M20" s="10">
        <v>115.67</v>
      </c>
      <c r="N20" s="8" t="s">
        <v>178</v>
      </c>
      <c r="O20" s="8" t="s">
        <v>262</v>
      </c>
      <c r="P20" s="8" t="s">
        <v>272</v>
      </c>
      <c r="Q20" s="8"/>
      <c r="R20" s="8"/>
      <c r="S20" s="8">
        <f>347/12*4</f>
        <v>115.66666666666667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x14ac:dyDescent="0.25">
      <c r="A21" s="7">
        <v>902786624</v>
      </c>
      <c r="B21" s="7" t="str">
        <f t="shared" si="1"/>
        <v>90278662411</v>
      </c>
      <c r="C21" s="8" t="s">
        <v>131</v>
      </c>
      <c r="D21" s="8" t="s">
        <v>132</v>
      </c>
      <c r="E21" s="13">
        <v>19645587</v>
      </c>
      <c r="F21" s="13">
        <v>19645587</v>
      </c>
      <c r="G21" s="8" t="s">
        <v>77</v>
      </c>
      <c r="H21" s="8" t="s">
        <v>133</v>
      </c>
      <c r="I21" s="9">
        <v>46204</v>
      </c>
      <c r="J21" s="9">
        <v>46387</v>
      </c>
      <c r="K21" s="8" t="s">
        <v>51</v>
      </c>
      <c r="L21" s="10">
        <v>1</v>
      </c>
      <c r="M21" s="10">
        <v>173.5</v>
      </c>
      <c r="N21" s="8" t="s">
        <v>97</v>
      </c>
      <c r="O21" s="8" t="s">
        <v>262</v>
      </c>
      <c r="P21" s="8" t="s">
        <v>266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x14ac:dyDescent="0.25">
      <c r="A22" s="7">
        <v>914548418</v>
      </c>
      <c r="B22" s="7" t="str">
        <f t="shared" si="1"/>
        <v>91454841811</v>
      </c>
      <c r="C22" s="8" t="s">
        <v>218</v>
      </c>
      <c r="D22" s="8" t="s">
        <v>169</v>
      </c>
      <c r="E22" s="13">
        <v>19645587</v>
      </c>
      <c r="F22" s="13">
        <v>19645587</v>
      </c>
      <c r="G22" s="8" t="s">
        <v>77</v>
      </c>
      <c r="H22" s="8" t="s">
        <v>133</v>
      </c>
      <c r="I22" s="9">
        <v>46023</v>
      </c>
      <c r="J22" s="9">
        <v>46204</v>
      </c>
      <c r="K22" s="8" t="s">
        <v>51</v>
      </c>
      <c r="L22" s="10">
        <v>-1</v>
      </c>
      <c r="M22" s="11">
        <v>-173.5</v>
      </c>
      <c r="N22" s="8"/>
      <c r="O22" s="8" t="s">
        <v>262</v>
      </c>
      <c r="P22" s="8" t="s">
        <v>266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0" x14ac:dyDescent="0.25">
      <c r="A23" s="6">
        <v>102284888600</v>
      </c>
      <c r="B23" s="6" t="str">
        <f>CONCATENATE(A23,"OVR")</f>
        <v>102284888600OVR</v>
      </c>
      <c r="C23" t="s">
        <v>108</v>
      </c>
      <c r="D23" t="s">
        <v>109</v>
      </c>
      <c r="E23" s="5">
        <v>9079571</v>
      </c>
      <c r="F23" s="5" t="str">
        <f>CONCATENATE(E23,"OVR")</f>
        <v>9079571OVR</v>
      </c>
      <c r="G23" t="s">
        <v>111</v>
      </c>
      <c r="H23" t="s">
        <v>96</v>
      </c>
      <c r="I23" s="1">
        <v>46204</v>
      </c>
      <c r="J23" s="1">
        <v>46387</v>
      </c>
      <c r="K23" t="s">
        <v>51</v>
      </c>
      <c r="L23" s="2">
        <v>12.5</v>
      </c>
      <c r="M23" s="2">
        <v>12.5</v>
      </c>
      <c r="N23" t="s">
        <v>97</v>
      </c>
      <c r="O23" t="s">
        <v>256</v>
      </c>
    </row>
    <row r="24" spans="1:40" x14ac:dyDescent="0.25">
      <c r="A24" s="6" t="s">
        <v>238</v>
      </c>
      <c r="B24" s="6" t="str">
        <f t="shared" ref="B24:B63" si="2">CONCATENATE(A24,"OVR")</f>
        <v>00026673354KOVR</v>
      </c>
      <c r="C24" t="s">
        <v>71</v>
      </c>
      <c r="D24" t="s">
        <v>57</v>
      </c>
      <c r="E24" s="5">
        <v>7470776</v>
      </c>
      <c r="F24" s="5" t="str">
        <f>CONCATENATE(E24,"OVR")</f>
        <v>7470776OVR</v>
      </c>
      <c r="G24" t="s">
        <v>73</v>
      </c>
      <c r="H24" t="s">
        <v>60</v>
      </c>
      <c r="I24" s="1">
        <v>46235</v>
      </c>
      <c r="J24" s="1">
        <v>46387</v>
      </c>
      <c r="K24" t="s">
        <v>51</v>
      </c>
      <c r="L24" s="2">
        <v>175</v>
      </c>
      <c r="M24" s="2">
        <v>175</v>
      </c>
      <c r="O24" t="s">
        <v>258</v>
      </c>
    </row>
    <row r="25" spans="1:40" x14ac:dyDescent="0.25">
      <c r="A25" s="6" t="s">
        <v>240</v>
      </c>
      <c r="B25" s="6" t="str">
        <f t="shared" si="2"/>
        <v>00026678520KOVR</v>
      </c>
      <c r="C25" t="s">
        <v>79</v>
      </c>
      <c r="D25" t="s">
        <v>57</v>
      </c>
      <c r="E25" s="5">
        <v>7470776</v>
      </c>
      <c r="F25" s="5" t="str">
        <f>CONCATENATE(E25,"OVR")</f>
        <v>7470776OVR</v>
      </c>
      <c r="G25" t="s">
        <v>73</v>
      </c>
      <c r="H25" t="s">
        <v>60</v>
      </c>
      <c r="I25" s="1">
        <v>46235</v>
      </c>
      <c r="J25" s="1">
        <v>46387</v>
      </c>
      <c r="K25" t="s">
        <v>51</v>
      </c>
      <c r="L25" s="2">
        <v>175</v>
      </c>
      <c r="M25" s="2">
        <v>175</v>
      </c>
      <c r="O25" t="s">
        <v>258</v>
      </c>
    </row>
    <row r="26" spans="1:40" s="8" customFormat="1" x14ac:dyDescent="0.25">
      <c r="A26" s="6" t="s">
        <v>252</v>
      </c>
      <c r="B26" s="6" t="str">
        <f t="shared" si="2"/>
        <v>00015098257KOVR</v>
      </c>
      <c r="C26" t="s">
        <v>201</v>
      </c>
      <c r="D26" t="s">
        <v>46</v>
      </c>
      <c r="E26" s="5">
        <v>7470776</v>
      </c>
      <c r="F26" s="5" t="str">
        <f>CONCATENATE(E26,"OVR")</f>
        <v>7470776OVR</v>
      </c>
      <c r="G26" t="s">
        <v>73</v>
      </c>
      <c r="H26" t="s">
        <v>50</v>
      </c>
      <c r="I26" s="1">
        <v>46023</v>
      </c>
      <c r="J26" s="1">
        <v>46204</v>
      </c>
      <c r="K26" t="s">
        <v>51</v>
      </c>
      <c r="L26" s="4">
        <v>-54</v>
      </c>
      <c r="M26" s="4">
        <v>-54</v>
      </c>
      <c r="N26"/>
      <c r="O26" t="s">
        <v>258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pans="1:40" s="8" customFormat="1" x14ac:dyDescent="0.25">
      <c r="A27" s="6" t="s">
        <v>236</v>
      </c>
      <c r="B27" s="6" t="str">
        <f t="shared" si="2"/>
        <v>00026671173KOVR</v>
      </c>
      <c r="C27" t="s">
        <v>62</v>
      </c>
      <c r="D27" t="s">
        <v>57</v>
      </c>
      <c r="E27" s="5">
        <v>7146581</v>
      </c>
      <c r="F27" s="5" t="str">
        <f>CONCATENATE(E27,"OVR")</f>
        <v>7146581OVR</v>
      </c>
      <c r="G27" t="s">
        <v>64</v>
      </c>
      <c r="H27" t="s">
        <v>60</v>
      </c>
      <c r="I27" s="1">
        <v>46204</v>
      </c>
      <c r="J27" s="1">
        <v>46387</v>
      </c>
      <c r="K27" t="s">
        <v>51</v>
      </c>
      <c r="L27" s="2">
        <v>175</v>
      </c>
      <c r="M27" s="2">
        <v>175</v>
      </c>
      <c r="N27"/>
      <c r="O27" t="s">
        <v>258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1:40" x14ac:dyDescent="0.25">
      <c r="A28" s="6" t="s">
        <v>242</v>
      </c>
      <c r="B28" s="6" t="str">
        <f t="shared" si="2"/>
        <v>00026679035KOVR</v>
      </c>
      <c r="C28" t="s">
        <v>85</v>
      </c>
      <c r="D28" t="s">
        <v>46</v>
      </c>
      <c r="E28" s="5">
        <v>17425766</v>
      </c>
      <c r="F28" s="5" t="str">
        <f>CONCATENATE(E28,"OVR")</f>
        <v>17425766OVR</v>
      </c>
      <c r="G28" t="s">
        <v>87</v>
      </c>
      <c r="H28" t="s">
        <v>60</v>
      </c>
      <c r="I28" s="1">
        <v>46235</v>
      </c>
      <c r="J28" s="1">
        <v>46387</v>
      </c>
      <c r="K28" t="s">
        <v>51</v>
      </c>
      <c r="L28" s="2">
        <v>175</v>
      </c>
      <c r="M28" s="2">
        <v>175</v>
      </c>
      <c r="O28" t="s">
        <v>258</v>
      </c>
    </row>
    <row r="29" spans="1:40" x14ac:dyDescent="0.25">
      <c r="A29" s="6" t="s">
        <v>245</v>
      </c>
      <c r="B29" s="6" t="str">
        <f t="shared" si="2"/>
        <v>63F7H1X98OVR</v>
      </c>
      <c r="C29" t="s">
        <v>115</v>
      </c>
      <c r="D29" t="s">
        <v>100</v>
      </c>
      <c r="E29" s="5">
        <v>18598357</v>
      </c>
      <c r="F29" s="5" t="str">
        <f>CONCATENATE(E29,"OVR")</f>
        <v>18598357OVR</v>
      </c>
      <c r="G29" t="s">
        <v>117</v>
      </c>
      <c r="H29" t="s">
        <v>118</v>
      </c>
      <c r="I29" s="1">
        <v>46204</v>
      </c>
      <c r="J29" s="1">
        <v>46387</v>
      </c>
      <c r="K29" t="s">
        <v>51</v>
      </c>
      <c r="L29" s="2">
        <v>100</v>
      </c>
      <c r="M29" s="2">
        <v>100</v>
      </c>
      <c r="O29" t="s">
        <v>257</v>
      </c>
    </row>
    <row r="30" spans="1:40" x14ac:dyDescent="0.25">
      <c r="A30" s="6">
        <v>961463604</v>
      </c>
      <c r="B30" s="6" t="str">
        <f t="shared" si="2"/>
        <v>961463604OVR</v>
      </c>
      <c r="C30" t="s">
        <v>168</v>
      </c>
      <c r="D30" t="s">
        <v>169</v>
      </c>
      <c r="E30" s="5">
        <v>18598357</v>
      </c>
      <c r="F30" s="5" t="str">
        <f>CONCATENATE(E30,"OVR")</f>
        <v>18598357OVR</v>
      </c>
      <c r="G30" t="s">
        <v>117</v>
      </c>
      <c r="H30" t="s">
        <v>135</v>
      </c>
      <c r="I30" s="1">
        <v>46296</v>
      </c>
      <c r="J30" s="1">
        <v>46387</v>
      </c>
      <c r="K30" t="s">
        <v>51</v>
      </c>
      <c r="L30" s="2">
        <v>175</v>
      </c>
      <c r="M30" s="2">
        <v>175</v>
      </c>
      <c r="O30" t="s">
        <v>259</v>
      </c>
    </row>
    <row r="31" spans="1:40" x14ac:dyDescent="0.25">
      <c r="A31" s="6">
        <v>922884659</v>
      </c>
      <c r="B31" s="6" t="str">
        <f t="shared" si="2"/>
        <v>922884659OVR</v>
      </c>
      <c r="C31" t="s">
        <v>147</v>
      </c>
      <c r="D31" t="s">
        <v>148</v>
      </c>
      <c r="E31" s="5">
        <v>18598357</v>
      </c>
      <c r="F31" s="5" t="str">
        <f>CONCATENATE(E31,"OVR")</f>
        <v>18598357OVR</v>
      </c>
      <c r="G31" t="s">
        <v>117</v>
      </c>
      <c r="H31" t="s">
        <v>150</v>
      </c>
      <c r="I31" s="1">
        <v>46204</v>
      </c>
      <c r="J31" s="1">
        <v>46387</v>
      </c>
      <c r="K31" t="s">
        <v>51</v>
      </c>
      <c r="L31" s="2">
        <v>36</v>
      </c>
      <c r="M31" s="2">
        <v>36</v>
      </c>
      <c r="N31" t="s">
        <v>97</v>
      </c>
      <c r="O31" t="s">
        <v>259</v>
      </c>
    </row>
    <row r="32" spans="1:40" s="8" customFormat="1" x14ac:dyDescent="0.25">
      <c r="A32" s="6">
        <v>129949159</v>
      </c>
      <c r="B32" s="6" t="str">
        <f t="shared" si="2"/>
        <v>129949159OVR</v>
      </c>
      <c r="C32" t="s">
        <v>147</v>
      </c>
      <c r="D32" t="s">
        <v>148</v>
      </c>
      <c r="E32" s="5">
        <v>18598357</v>
      </c>
      <c r="F32" s="5" t="str">
        <f>CONCATENATE(E32,"OVR")</f>
        <v>18598357OVR</v>
      </c>
      <c r="G32" t="s">
        <v>117</v>
      </c>
      <c r="H32" t="s">
        <v>150</v>
      </c>
      <c r="I32" s="1">
        <v>46023</v>
      </c>
      <c r="J32" s="1">
        <v>46204</v>
      </c>
      <c r="K32" t="s">
        <v>51</v>
      </c>
      <c r="L32" s="4">
        <v>-36</v>
      </c>
      <c r="M32" s="4">
        <v>-36</v>
      </c>
      <c r="N32"/>
      <c r="O32" t="s">
        <v>259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pans="1:40" s="8" customFormat="1" x14ac:dyDescent="0.25">
      <c r="A33" s="6" t="s">
        <v>246</v>
      </c>
      <c r="B33" s="6" t="str">
        <f t="shared" si="2"/>
        <v>6FG8E78JQ26OVR</v>
      </c>
      <c r="C33" t="s">
        <v>120</v>
      </c>
      <c r="D33" t="s">
        <v>121</v>
      </c>
      <c r="E33" s="5">
        <v>20003537</v>
      </c>
      <c r="F33" s="5" t="str">
        <f>CONCATENATE(E33,"OVR")</f>
        <v>20003537OVR</v>
      </c>
      <c r="G33" t="s">
        <v>123</v>
      </c>
      <c r="H33" t="s">
        <v>124</v>
      </c>
      <c r="I33" s="1">
        <v>46143</v>
      </c>
      <c r="J33" s="1">
        <v>46387</v>
      </c>
      <c r="K33" t="s">
        <v>51</v>
      </c>
      <c r="L33" s="2">
        <v>100</v>
      </c>
      <c r="M33" s="2">
        <v>100</v>
      </c>
      <c r="N33" t="s">
        <v>125</v>
      </c>
      <c r="O33" t="s">
        <v>263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 s="8" customFormat="1" x14ac:dyDescent="0.25">
      <c r="A34" s="6" t="s">
        <v>250</v>
      </c>
      <c r="B34" s="6" t="str">
        <f t="shared" si="2"/>
        <v>MEQNQMZM00001456674OVR</v>
      </c>
      <c r="C34" t="s">
        <v>191</v>
      </c>
      <c r="D34" t="s">
        <v>57</v>
      </c>
      <c r="E34" s="5">
        <v>7152559</v>
      </c>
      <c r="F34" s="5" t="str">
        <f>CONCATENATE(E34,"OVR")</f>
        <v>7152559OVR</v>
      </c>
      <c r="G34" t="s">
        <v>193</v>
      </c>
      <c r="H34" t="s">
        <v>96</v>
      </c>
      <c r="I34" s="1">
        <v>46204</v>
      </c>
      <c r="J34" s="1">
        <v>46387</v>
      </c>
      <c r="K34" t="s">
        <v>51</v>
      </c>
      <c r="L34" s="2">
        <v>12.5</v>
      </c>
      <c r="M34" s="2">
        <v>12.5</v>
      </c>
      <c r="N34" t="s">
        <v>97</v>
      </c>
      <c r="O34" t="s">
        <v>256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pans="1:40" x14ac:dyDescent="0.25">
      <c r="A35" s="6">
        <v>980595326</v>
      </c>
      <c r="B35" s="6" t="str">
        <f t="shared" si="2"/>
        <v>980595326OVR</v>
      </c>
      <c r="C35" t="s">
        <v>227</v>
      </c>
      <c r="D35" t="s">
        <v>132</v>
      </c>
      <c r="E35" s="5">
        <v>17301495</v>
      </c>
      <c r="F35" s="5" t="str">
        <f>CONCATENATE(E35,"OVR")</f>
        <v>17301495OVR</v>
      </c>
      <c r="G35" t="s">
        <v>229</v>
      </c>
      <c r="H35" t="s">
        <v>135</v>
      </c>
      <c r="I35" s="1">
        <v>46023</v>
      </c>
      <c r="J35" s="1">
        <v>46204</v>
      </c>
      <c r="K35" t="s">
        <v>51</v>
      </c>
      <c r="L35" s="4">
        <v>-87.5</v>
      </c>
      <c r="M35" s="4">
        <v>-87.5</v>
      </c>
      <c r="O35" t="s">
        <v>259</v>
      </c>
    </row>
    <row r="36" spans="1:40" x14ac:dyDescent="0.25">
      <c r="A36" s="6" t="s">
        <v>243</v>
      </c>
      <c r="B36" s="6" t="str">
        <f t="shared" si="2"/>
        <v>00026682500KOVR</v>
      </c>
      <c r="C36" t="s">
        <v>89</v>
      </c>
      <c r="D36" t="s">
        <v>46</v>
      </c>
      <c r="E36" s="5">
        <v>8814784</v>
      </c>
      <c r="F36" s="5" t="str">
        <f>CONCATENATE(E36,"OVR")</f>
        <v>8814784OVR</v>
      </c>
      <c r="G36" t="s">
        <v>91</v>
      </c>
      <c r="H36" t="s">
        <v>60</v>
      </c>
      <c r="I36" s="1">
        <v>46266</v>
      </c>
      <c r="J36" s="1">
        <v>46387</v>
      </c>
      <c r="K36" t="s">
        <v>51</v>
      </c>
      <c r="L36" s="2">
        <v>175</v>
      </c>
      <c r="M36" s="2">
        <v>175</v>
      </c>
      <c r="O36" t="s">
        <v>258</v>
      </c>
    </row>
    <row r="37" spans="1:40" s="8" customFormat="1" x14ac:dyDescent="0.25">
      <c r="A37" s="6" t="s">
        <v>254</v>
      </c>
      <c r="B37" s="6" t="str">
        <f t="shared" si="2"/>
        <v>00026374500KOVR</v>
      </c>
      <c r="C37" t="s">
        <v>205</v>
      </c>
      <c r="D37" t="s">
        <v>57</v>
      </c>
      <c r="E37" s="5">
        <v>8814784</v>
      </c>
      <c r="F37" s="5" t="str">
        <f>CONCATENATE(E37,"OVR")</f>
        <v>8814784OVR</v>
      </c>
      <c r="G37" t="s">
        <v>91</v>
      </c>
      <c r="H37" t="s">
        <v>60</v>
      </c>
      <c r="I37" s="1">
        <v>46174</v>
      </c>
      <c r="J37" s="1">
        <v>46387</v>
      </c>
      <c r="K37" t="s">
        <v>51</v>
      </c>
      <c r="L37" s="4">
        <v>-161</v>
      </c>
      <c r="M37" s="4">
        <v>-161</v>
      </c>
      <c r="N37"/>
      <c r="O37" t="s">
        <v>258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1:40" s="8" customFormat="1" x14ac:dyDescent="0.25">
      <c r="A38" s="6">
        <v>101144295300</v>
      </c>
      <c r="B38" s="6" t="str">
        <f t="shared" si="2"/>
        <v>101144295300OVR</v>
      </c>
      <c r="C38" t="s">
        <v>95</v>
      </c>
      <c r="D38" t="s">
        <v>57</v>
      </c>
      <c r="E38" s="5">
        <v>9213293</v>
      </c>
      <c r="F38" s="5" t="str">
        <f>CONCATENATE(E38,"OVR")</f>
        <v>9213293OVR</v>
      </c>
      <c r="G38" t="s">
        <v>48</v>
      </c>
      <c r="H38" t="s">
        <v>96</v>
      </c>
      <c r="I38" s="1">
        <v>46204</v>
      </c>
      <c r="J38" s="1">
        <v>46387</v>
      </c>
      <c r="K38" t="s">
        <v>51</v>
      </c>
      <c r="L38" s="2">
        <v>12.5</v>
      </c>
      <c r="M38" s="2">
        <v>12.5</v>
      </c>
      <c r="N38" t="s">
        <v>97</v>
      </c>
      <c r="O38" t="s">
        <v>256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pans="1:40" s="8" customFormat="1" x14ac:dyDescent="0.25">
      <c r="A39" s="6" t="s">
        <v>244</v>
      </c>
      <c r="B39" s="6" t="str">
        <f t="shared" si="2"/>
        <v>00026691791KOVR</v>
      </c>
      <c r="C39" t="s">
        <v>93</v>
      </c>
      <c r="D39" t="s">
        <v>57</v>
      </c>
      <c r="E39" s="5">
        <v>9213293</v>
      </c>
      <c r="F39" s="5" t="str">
        <f>CONCATENATE(E39,"OVR")</f>
        <v>9213293OVR</v>
      </c>
      <c r="G39" t="s">
        <v>48</v>
      </c>
      <c r="H39" t="s">
        <v>60</v>
      </c>
      <c r="I39" s="1">
        <v>46296</v>
      </c>
      <c r="J39" s="1">
        <v>46387</v>
      </c>
      <c r="K39" t="s">
        <v>51</v>
      </c>
      <c r="L39" s="2">
        <v>175</v>
      </c>
      <c r="M39" s="2">
        <v>175</v>
      </c>
      <c r="N39"/>
      <c r="O39" t="s">
        <v>258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s="8" customFormat="1" x14ac:dyDescent="0.25">
      <c r="A40" s="6" t="s">
        <v>233</v>
      </c>
      <c r="B40" s="6" t="str">
        <f t="shared" si="2"/>
        <v>00023704400KOVR</v>
      </c>
      <c r="C40" t="s">
        <v>45</v>
      </c>
      <c r="D40" t="s">
        <v>46</v>
      </c>
      <c r="E40" s="5">
        <v>9213293</v>
      </c>
      <c r="F40" s="5" t="str">
        <f>CONCATENATE(E40,"OVR")</f>
        <v>9213293OVR</v>
      </c>
      <c r="G40" t="s">
        <v>48</v>
      </c>
      <c r="H40" t="s">
        <v>50</v>
      </c>
      <c r="I40" s="1">
        <v>46023</v>
      </c>
      <c r="J40" s="1">
        <v>46387</v>
      </c>
      <c r="K40" t="s">
        <v>51</v>
      </c>
      <c r="L40" s="2">
        <v>108</v>
      </c>
      <c r="M40" s="2">
        <v>108</v>
      </c>
      <c r="N40"/>
      <c r="O40" t="s">
        <v>258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pans="1:40" s="8" customFormat="1" x14ac:dyDescent="0.25">
      <c r="A41" s="6" t="s">
        <v>234</v>
      </c>
      <c r="B41" s="6" t="str">
        <f t="shared" si="2"/>
        <v>00023709048KOVR</v>
      </c>
      <c r="C41" t="s">
        <v>54</v>
      </c>
      <c r="D41" t="s">
        <v>46</v>
      </c>
      <c r="E41" s="5">
        <v>9213293</v>
      </c>
      <c r="F41" s="5" t="str">
        <f>CONCATENATE(E41,"OVR")</f>
        <v>9213293OVR</v>
      </c>
      <c r="G41" t="s">
        <v>48</v>
      </c>
      <c r="H41" t="s">
        <v>50</v>
      </c>
      <c r="I41" s="1">
        <v>46023</v>
      </c>
      <c r="J41" s="1">
        <v>46387</v>
      </c>
      <c r="K41" t="s">
        <v>51</v>
      </c>
      <c r="L41" s="2">
        <v>108</v>
      </c>
      <c r="M41" s="2">
        <v>108</v>
      </c>
      <c r="N41"/>
      <c r="O41" t="s">
        <v>258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pans="1:40" s="8" customFormat="1" x14ac:dyDescent="0.25">
      <c r="A42" s="6">
        <v>944007085</v>
      </c>
      <c r="B42" s="6" t="str">
        <f t="shared" si="2"/>
        <v>944007085OVR</v>
      </c>
      <c r="C42" t="s">
        <v>163</v>
      </c>
      <c r="D42" t="s">
        <v>164</v>
      </c>
      <c r="E42" s="5">
        <v>9213293</v>
      </c>
      <c r="F42" s="5" t="str">
        <f>CONCATENATE(E42,"OVR")</f>
        <v>9213293OVR</v>
      </c>
      <c r="G42" t="s">
        <v>48</v>
      </c>
      <c r="H42" t="s">
        <v>135</v>
      </c>
      <c r="I42" s="1">
        <v>46296</v>
      </c>
      <c r="J42" s="1">
        <v>46387</v>
      </c>
      <c r="K42" t="s">
        <v>51</v>
      </c>
      <c r="L42" s="2">
        <v>175</v>
      </c>
      <c r="M42" s="2">
        <v>175</v>
      </c>
      <c r="N42"/>
      <c r="O42" t="s">
        <v>259</v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  <row r="43" spans="1:40" s="8" customFormat="1" x14ac:dyDescent="0.25">
      <c r="A43" s="6">
        <v>951067902</v>
      </c>
      <c r="B43" s="6" t="str">
        <f t="shared" si="2"/>
        <v>951067902OVR</v>
      </c>
      <c r="C43" t="s">
        <v>222</v>
      </c>
      <c r="D43" t="s">
        <v>67</v>
      </c>
      <c r="E43" s="5">
        <v>9213293</v>
      </c>
      <c r="F43" s="5" t="str">
        <f>CONCATENATE(E43,"OVR")</f>
        <v>9213293OVR</v>
      </c>
      <c r="G43" t="s">
        <v>48</v>
      </c>
      <c r="H43" t="s">
        <v>150</v>
      </c>
      <c r="I43" s="1">
        <v>46082</v>
      </c>
      <c r="J43" s="1">
        <v>46204</v>
      </c>
      <c r="K43" t="s">
        <v>51</v>
      </c>
      <c r="L43" s="4">
        <v>-42</v>
      </c>
      <c r="M43" s="4">
        <v>-42</v>
      </c>
      <c r="N43"/>
      <c r="O43" t="s">
        <v>259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</row>
    <row r="44" spans="1:40" s="8" customFormat="1" x14ac:dyDescent="0.25">
      <c r="A44" s="6" t="s">
        <v>251</v>
      </c>
      <c r="B44" s="6" t="str">
        <f t="shared" si="2"/>
        <v>00009822795KOVR</v>
      </c>
      <c r="C44" t="s">
        <v>196</v>
      </c>
      <c r="D44" t="s">
        <v>148</v>
      </c>
      <c r="E44" s="5">
        <v>17094718</v>
      </c>
      <c r="F44" s="5" t="str">
        <f>CONCATENATE(E44,"OVR")</f>
        <v>17094718OVR</v>
      </c>
      <c r="G44" t="s">
        <v>198</v>
      </c>
      <c r="H44" t="s">
        <v>60</v>
      </c>
      <c r="I44" s="1">
        <v>46023</v>
      </c>
      <c r="J44" s="1">
        <v>46204</v>
      </c>
      <c r="K44" t="s">
        <v>51</v>
      </c>
      <c r="L44" s="4">
        <v>-87.5</v>
      </c>
      <c r="M44" s="4">
        <v>-87.5</v>
      </c>
      <c r="N44"/>
      <c r="O44" t="s">
        <v>258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 s="8" customFormat="1" x14ac:dyDescent="0.25">
      <c r="A45" s="6">
        <v>972439248</v>
      </c>
      <c r="B45" s="6" t="str">
        <f t="shared" si="2"/>
        <v>972439248OVR</v>
      </c>
      <c r="C45" t="s">
        <v>175</v>
      </c>
      <c r="D45" t="s">
        <v>57</v>
      </c>
      <c r="E45" s="5">
        <v>18754354</v>
      </c>
      <c r="F45" s="5" t="str">
        <f>CONCATENATE(E45,"OVR")</f>
        <v>18754354OVR</v>
      </c>
      <c r="G45" t="s">
        <v>177</v>
      </c>
      <c r="H45" t="s">
        <v>135</v>
      </c>
      <c r="I45" s="1">
        <v>46266</v>
      </c>
      <c r="J45" s="1">
        <v>46387</v>
      </c>
      <c r="K45" t="s">
        <v>51</v>
      </c>
      <c r="L45" s="2">
        <v>175</v>
      </c>
      <c r="M45" s="2">
        <v>175</v>
      </c>
      <c r="N45"/>
      <c r="O45" t="s">
        <v>259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 s="8" customFormat="1" x14ac:dyDescent="0.25">
      <c r="A46" s="6" t="s">
        <v>241</v>
      </c>
      <c r="B46" s="6" t="str">
        <f t="shared" si="2"/>
        <v>00026678572KOVR</v>
      </c>
      <c r="C46" t="s">
        <v>81</v>
      </c>
      <c r="D46" t="s">
        <v>57</v>
      </c>
      <c r="E46" s="5">
        <v>16228684</v>
      </c>
      <c r="F46" s="5" t="str">
        <f>CONCATENATE(E46,"OVR")</f>
        <v>16228684OVR</v>
      </c>
      <c r="G46" t="s">
        <v>83</v>
      </c>
      <c r="H46" t="s">
        <v>60</v>
      </c>
      <c r="I46" s="1">
        <v>46296</v>
      </c>
      <c r="J46" s="1">
        <v>46387</v>
      </c>
      <c r="K46" t="s">
        <v>51</v>
      </c>
      <c r="L46" s="2">
        <v>175</v>
      </c>
      <c r="M46" s="2">
        <v>175</v>
      </c>
      <c r="N46"/>
      <c r="O46" t="s">
        <v>258</v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 x14ac:dyDescent="0.25">
      <c r="A47" s="6" t="s">
        <v>237</v>
      </c>
      <c r="B47" s="6" t="str">
        <f t="shared" si="2"/>
        <v>00026672467KOVR</v>
      </c>
      <c r="C47" t="s">
        <v>66</v>
      </c>
      <c r="D47" t="s">
        <v>67</v>
      </c>
      <c r="E47" s="5">
        <v>6634327</v>
      </c>
      <c r="F47" s="5" t="str">
        <f>CONCATENATE(E47,"OVR")</f>
        <v>6634327OVR</v>
      </c>
      <c r="G47" t="s">
        <v>69</v>
      </c>
      <c r="H47" t="s">
        <v>60</v>
      </c>
      <c r="I47" s="1">
        <v>46204</v>
      </c>
      <c r="J47" s="1">
        <v>46387</v>
      </c>
      <c r="K47" t="s">
        <v>51</v>
      </c>
      <c r="L47" s="2">
        <v>175</v>
      </c>
      <c r="M47" s="2">
        <v>175</v>
      </c>
      <c r="O47" t="s">
        <v>258</v>
      </c>
    </row>
    <row r="48" spans="1:40" x14ac:dyDescent="0.25">
      <c r="A48" s="6">
        <v>101700718100</v>
      </c>
      <c r="B48" s="6" t="str">
        <f t="shared" si="2"/>
        <v>101700718100OVR</v>
      </c>
      <c r="C48" t="s">
        <v>99</v>
      </c>
      <c r="D48" t="s">
        <v>100</v>
      </c>
      <c r="E48" s="5">
        <v>14936854</v>
      </c>
      <c r="F48" s="5" t="str">
        <f>CONCATENATE(E48,"OVR")</f>
        <v>14936854OVR</v>
      </c>
      <c r="G48" t="s">
        <v>102</v>
      </c>
      <c r="H48" t="s">
        <v>96</v>
      </c>
      <c r="I48" s="1">
        <v>46204</v>
      </c>
      <c r="J48" s="1">
        <v>46387</v>
      </c>
      <c r="K48" t="s">
        <v>51</v>
      </c>
      <c r="L48" s="2">
        <v>12.5</v>
      </c>
      <c r="M48" s="2">
        <v>12.5</v>
      </c>
      <c r="N48" t="s">
        <v>97</v>
      </c>
      <c r="O48" t="s">
        <v>256</v>
      </c>
    </row>
    <row r="49" spans="1:15" x14ac:dyDescent="0.25">
      <c r="A49" s="6">
        <v>931221857</v>
      </c>
      <c r="B49" s="6" t="str">
        <f t="shared" si="2"/>
        <v>931221857OVR</v>
      </c>
      <c r="C49" t="s">
        <v>152</v>
      </c>
      <c r="D49" t="s">
        <v>153</v>
      </c>
      <c r="E49" s="5">
        <v>20411454</v>
      </c>
      <c r="F49" s="5">
        <v>20411454</v>
      </c>
      <c r="G49" t="s">
        <v>273</v>
      </c>
      <c r="H49" t="s">
        <v>135</v>
      </c>
      <c r="I49" s="1">
        <v>46204</v>
      </c>
      <c r="J49" s="1">
        <v>46387</v>
      </c>
      <c r="K49" t="s">
        <v>51</v>
      </c>
      <c r="L49" s="2">
        <v>175</v>
      </c>
      <c r="M49" s="2">
        <v>175</v>
      </c>
      <c r="O49" t="s">
        <v>259</v>
      </c>
    </row>
    <row r="50" spans="1:15" x14ac:dyDescent="0.25">
      <c r="A50" s="6">
        <v>941877622</v>
      </c>
      <c r="B50" s="6" t="str">
        <f t="shared" si="2"/>
        <v>941877622OVR</v>
      </c>
      <c r="C50" t="s">
        <v>161</v>
      </c>
      <c r="D50" t="s">
        <v>153</v>
      </c>
      <c r="E50" s="5">
        <v>20411454</v>
      </c>
      <c r="F50" s="5">
        <v>20411454</v>
      </c>
      <c r="G50" t="s">
        <v>273</v>
      </c>
      <c r="H50" t="s">
        <v>135</v>
      </c>
      <c r="I50" s="1">
        <v>46204</v>
      </c>
      <c r="J50" s="1">
        <v>46387</v>
      </c>
      <c r="K50" t="s">
        <v>51</v>
      </c>
      <c r="L50" s="2">
        <v>175</v>
      </c>
      <c r="M50" s="2">
        <v>175</v>
      </c>
      <c r="O50" t="s">
        <v>259</v>
      </c>
    </row>
    <row r="51" spans="1:15" x14ac:dyDescent="0.25">
      <c r="A51" s="6">
        <v>102284857200</v>
      </c>
      <c r="B51" s="6" t="str">
        <f t="shared" si="2"/>
        <v>102284857200OVR</v>
      </c>
      <c r="C51" t="s">
        <v>104</v>
      </c>
      <c r="D51" t="s">
        <v>57</v>
      </c>
      <c r="E51" s="5">
        <v>8405446</v>
      </c>
      <c r="F51" s="5" t="str">
        <f>CONCATENATE(E51,"OVR")</f>
        <v>8405446OVR</v>
      </c>
      <c r="G51" t="s">
        <v>106</v>
      </c>
      <c r="H51" t="s">
        <v>96</v>
      </c>
      <c r="I51" s="1">
        <v>46204</v>
      </c>
      <c r="J51" s="1">
        <v>46387</v>
      </c>
      <c r="K51" t="s">
        <v>51</v>
      </c>
      <c r="L51" s="2">
        <v>12.5</v>
      </c>
      <c r="M51" s="2">
        <v>12.5</v>
      </c>
      <c r="N51" t="s">
        <v>97</v>
      </c>
      <c r="O51" t="s">
        <v>256</v>
      </c>
    </row>
    <row r="52" spans="1:15" x14ac:dyDescent="0.25">
      <c r="A52" s="6" t="s">
        <v>253</v>
      </c>
      <c r="B52" s="6" t="str">
        <f t="shared" si="2"/>
        <v>00024444212KOVR</v>
      </c>
      <c r="C52" t="s">
        <v>203</v>
      </c>
      <c r="D52" t="s">
        <v>57</v>
      </c>
      <c r="E52" s="5">
        <v>7565575</v>
      </c>
      <c r="F52" s="5" t="str">
        <f>CONCATENATE(E52,"OVR")</f>
        <v>7565575OVR</v>
      </c>
      <c r="G52" t="s">
        <v>143</v>
      </c>
      <c r="H52" t="s">
        <v>60</v>
      </c>
      <c r="I52" s="1">
        <v>46054</v>
      </c>
      <c r="J52" s="1">
        <v>46204</v>
      </c>
      <c r="K52" t="s">
        <v>51</v>
      </c>
      <c r="L52" s="4">
        <v>-101.5</v>
      </c>
      <c r="M52" s="4">
        <v>-101.5</v>
      </c>
      <c r="O52" t="s">
        <v>258</v>
      </c>
    </row>
    <row r="53" spans="1:15" x14ac:dyDescent="0.25">
      <c r="A53" s="6">
        <v>907503609</v>
      </c>
      <c r="B53" s="6" t="str">
        <f t="shared" si="2"/>
        <v>907503609OVR</v>
      </c>
      <c r="C53" t="s">
        <v>141</v>
      </c>
      <c r="D53" t="s">
        <v>46</v>
      </c>
      <c r="E53" s="5">
        <v>7565575</v>
      </c>
      <c r="F53" s="5" t="str">
        <f>CONCATENATE(E53,"OVR")</f>
        <v>7565575OVR</v>
      </c>
      <c r="G53" t="s">
        <v>143</v>
      </c>
      <c r="H53" t="s">
        <v>216</v>
      </c>
      <c r="I53" s="1">
        <v>46235</v>
      </c>
      <c r="J53" s="1">
        <v>46387</v>
      </c>
      <c r="K53" t="s">
        <v>51</v>
      </c>
      <c r="L53" s="4">
        <v>-47.08</v>
      </c>
      <c r="M53" s="4">
        <v>-47.08</v>
      </c>
      <c r="O53" t="s">
        <v>259</v>
      </c>
    </row>
    <row r="54" spans="1:15" x14ac:dyDescent="0.25">
      <c r="A54" s="6">
        <v>907503609</v>
      </c>
      <c r="B54" s="6" t="str">
        <f t="shared" si="2"/>
        <v>907503609OVR</v>
      </c>
      <c r="C54" t="s">
        <v>141</v>
      </c>
      <c r="D54" t="s">
        <v>46</v>
      </c>
      <c r="E54" s="5">
        <v>7565575</v>
      </c>
      <c r="F54" s="5" t="str">
        <f>CONCATENATE(E54,"OVR")</f>
        <v>7565575OVR</v>
      </c>
      <c r="G54" t="s">
        <v>143</v>
      </c>
      <c r="H54" t="s">
        <v>145</v>
      </c>
      <c r="I54" s="1">
        <v>46235</v>
      </c>
      <c r="J54" s="1">
        <v>46387</v>
      </c>
      <c r="K54" t="s">
        <v>51</v>
      </c>
      <c r="L54" s="2">
        <v>113</v>
      </c>
      <c r="M54" s="2">
        <v>113</v>
      </c>
      <c r="O54" t="s">
        <v>259</v>
      </c>
    </row>
    <row r="55" spans="1:15" x14ac:dyDescent="0.25">
      <c r="A55" s="6" t="s">
        <v>239</v>
      </c>
      <c r="B55" s="6" t="str">
        <f t="shared" si="2"/>
        <v>00026678491KOVR</v>
      </c>
      <c r="C55" t="s">
        <v>75</v>
      </c>
      <c r="D55" t="s">
        <v>46</v>
      </c>
      <c r="E55" s="5">
        <v>19645587</v>
      </c>
      <c r="F55" s="5" t="str">
        <f>CONCATENATE(E55,"OVR")</f>
        <v>19645587OVR</v>
      </c>
      <c r="G55" t="s">
        <v>77</v>
      </c>
      <c r="H55" t="s">
        <v>60</v>
      </c>
      <c r="I55" s="1">
        <v>46296</v>
      </c>
      <c r="J55" s="1">
        <v>46387</v>
      </c>
      <c r="K55" t="s">
        <v>51</v>
      </c>
      <c r="L55" s="2">
        <v>175</v>
      </c>
      <c r="M55" s="2">
        <v>175</v>
      </c>
      <c r="O55" t="s">
        <v>258</v>
      </c>
    </row>
    <row r="56" spans="1:15" x14ac:dyDescent="0.25">
      <c r="A56" s="6">
        <v>962498134</v>
      </c>
      <c r="B56" s="6" t="str">
        <f t="shared" si="2"/>
        <v>962498134OVR</v>
      </c>
      <c r="C56" t="s">
        <v>172</v>
      </c>
      <c r="D56" t="s">
        <v>46</v>
      </c>
      <c r="E56" s="5">
        <v>19645587</v>
      </c>
      <c r="F56" s="5" t="str">
        <f>CONCATENATE(E56,"OVR")</f>
        <v>19645587OVR</v>
      </c>
      <c r="G56" t="s">
        <v>77</v>
      </c>
      <c r="H56" t="s">
        <v>216</v>
      </c>
      <c r="I56" s="1">
        <v>46235</v>
      </c>
      <c r="J56" s="1">
        <v>46387</v>
      </c>
      <c r="K56" t="s">
        <v>51</v>
      </c>
      <c r="L56" s="4">
        <v>-47.08</v>
      </c>
      <c r="M56" s="4">
        <v>-47.08</v>
      </c>
      <c r="O56" t="s">
        <v>259</v>
      </c>
    </row>
    <row r="57" spans="1:15" x14ac:dyDescent="0.25">
      <c r="A57" s="6">
        <v>962498134</v>
      </c>
      <c r="B57" s="6" t="str">
        <f t="shared" si="2"/>
        <v>962498134OVR</v>
      </c>
      <c r="C57" t="s">
        <v>172</v>
      </c>
      <c r="D57" t="s">
        <v>46</v>
      </c>
      <c r="E57" s="5">
        <v>19645587</v>
      </c>
      <c r="F57" s="5" t="str">
        <f>CONCATENATE(E57,"OVR")</f>
        <v>19645587OVR</v>
      </c>
      <c r="G57" t="s">
        <v>77</v>
      </c>
      <c r="H57" t="s">
        <v>145</v>
      </c>
      <c r="I57" s="1">
        <v>46235</v>
      </c>
      <c r="J57" s="1">
        <v>46387</v>
      </c>
      <c r="K57" t="s">
        <v>51</v>
      </c>
      <c r="L57" s="2">
        <v>113</v>
      </c>
      <c r="M57" s="2">
        <v>113</v>
      </c>
      <c r="O57" t="s">
        <v>259</v>
      </c>
    </row>
    <row r="58" spans="1:15" x14ac:dyDescent="0.25">
      <c r="A58" s="6">
        <v>902786624</v>
      </c>
      <c r="B58" s="6" t="str">
        <f t="shared" si="2"/>
        <v>902786624OVR</v>
      </c>
      <c r="C58" t="s">
        <v>131</v>
      </c>
      <c r="D58" t="s">
        <v>132</v>
      </c>
      <c r="E58" s="5">
        <v>19645587</v>
      </c>
      <c r="F58" s="5" t="str">
        <f>CONCATENATE(E58,"OVR")</f>
        <v>19645587OVR</v>
      </c>
      <c r="G58" t="s">
        <v>77</v>
      </c>
      <c r="H58" t="s">
        <v>135</v>
      </c>
      <c r="I58" s="1">
        <v>46204</v>
      </c>
      <c r="J58" s="1">
        <v>46387</v>
      </c>
      <c r="K58" t="s">
        <v>51</v>
      </c>
      <c r="L58" s="2">
        <v>175</v>
      </c>
      <c r="M58" s="2">
        <v>175</v>
      </c>
      <c r="O58" t="s">
        <v>259</v>
      </c>
    </row>
    <row r="59" spans="1:15" x14ac:dyDescent="0.25">
      <c r="A59" s="6">
        <v>914548418</v>
      </c>
      <c r="B59" s="6" t="str">
        <f t="shared" si="2"/>
        <v>914548418OVR</v>
      </c>
      <c r="C59" t="s">
        <v>218</v>
      </c>
      <c r="D59" t="s">
        <v>169</v>
      </c>
      <c r="E59" s="5">
        <v>19645587</v>
      </c>
      <c r="F59" s="5" t="str">
        <f>CONCATENATE(E59,"OVR")</f>
        <v>19645587OVR</v>
      </c>
      <c r="G59" t="s">
        <v>77</v>
      </c>
      <c r="H59" t="s">
        <v>135</v>
      </c>
      <c r="I59" s="1">
        <v>46023</v>
      </c>
      <c r="J59" s="1">
        <v>46204</v>
      </c>
      <c r="K59" t="s">
        <v>51</v>
      </c>
      <c r="L59" s="4">
        <v>-87.5</v>
      </c>
      <c r="M59" s="4">
        <v>-87.5</v>
      </c>
      <c r="O59" t="s">
        <v>259</v>
      </c>
    </row>
    <row r="60" spans="1:15" x14ac:dyDescent="0.25">
      <c r="A60" s="6">
        <v>102284898200</v>
      </c>
      <c r="B60" s="6" t="str">
        <f t="shared" si="2"/>
        <v>102284898200OVR</v>
      </c>
      <c r="C60" t="s">
        <v>113</v>
      </c>
      <c r="D60" t="s">
        <v>57</v>
      </c>
      <c r="E60" s="5">
        <v>19481808</v>
      </c>
      <c r="F60" s="5" t="str">
        <f>CONCATENATE(E60,"OVR")</f>
        <v>19481808OVR</v>
      </c>
      <c r="G60" t="s">
        <v>59</v>
      </c>
      <c r="H60" t="s">
        <v>96</v>
      </c>
      <c r="I60" s="1">
        <v>46204</v>
      </c>
      <c r="J60" s="1">
        <v>46387</v>
      </c>
      <c r="K60" t="s">
        <v>51</v>
      </c>
      <c r="L60" s="2">
        <v>12.5</v>
      </c>
      <c r="M60" s="2">
        <v>12.5</v>
      </c>
      <c r="N60" t="s">
        <v>97</v>
      </c>
      <c r="O60" t="s">
        <v>256</v>
      </c>
    </row>
    <row r="61" spans="1:15" x14ac:dyDescent="0.25">
      <c r="A61" s="6" t="s">
        <v>235</v>
      </c>
      <c r="B61" s="6" t="str">
        <f t="shared" si="2"/>
        <v>00026591890KOVR</v>
      </c>
      <c r="C61" t="s">
        <v>56</v>
      </c>
      <c r="D61" t="s">
        <v>57</v>
      </c>
      <c r="E61" s="5">
        <v>19481808</v>
      </c>
      <c r="F61" s="5" t="str">
        <f>CONCATENATE(E61,"OVR")</f>
        <v>19481808OVR</v>
      </c>
      <c r="G61" t="s">
        <v>59</v>
      </c>
      <c r="H61" t="s">
        <v>60</v>
      </c>
      <c r="I61" s="1">
        <v>46204</v>
      </c>
      <c r="J61" s="1">
        <v>46387</v>
      </c>
      <c r="K61" t="s">
        <v>51</v>
      </c>
      <c r="L61" s="2">
        <v>175</v>
      </c>
      <c r="M61" s="2">
        <v>175</v>
      </c>
      <c r="O61" t="s">
        <v>258</v>
      </c>
    </row>
    <row r="62" spans="1:15" x14ac:dyDescent="0.25">
      <c r="A62" s="6" t="s">
        <v>255</v>
      </c>
      <c r="B62" s="6" t="str">
        <f t="shared" si="2"/>
        <v>00026612547KOVR</v>
      </c>
      <c r="C62" t="s">
        <v>207</v>
      </c>
      <c r="D62" t="s">
        <v>208</v>
      </c>
      <c r="E62" s="5">
        <v>19481808</v>
      </c>
      <c r="F62" s="5" t="str">
        <f>CONCATENATE(E62,"OVR")</f>
        <v>19481808OVR</v>
      </c>
      <c r="G62" t="s">
        <v>59</v>
      </c>
      <c r="H62" t="s">
        <v>60</v>
      </c>
      <c r="I62" s="1">
        <v>46174</v>
      </c>
      <c r="J62" s="1">
        <v>46387</v>
      </c>
      <c r="K62" t="s">
        <v>51</v>
      </c>
      <c r="L62" s="4">
        <v>-175</v>
      </c>
      <c r="M62" s="4">
        <v>-175</v>
      </c>
      <c r="O62" t="s">
        <v>258</v>
      </c>
    </row>
    <row r="63" spans="1:15" x14ac:dyDescent="0.25">
      <c r="A63" s="6" t="s">
        <v>247</v>
      </c>
      <c r="B63" s="6" t="str">
        <f t="shared" si="2"/>
        <v>7F76RW4WA46OVR</v>
      </c>
      <c r="C63" t="s">
        <v>127</v>
      </c>
      <c r="D63" t="s">
        <v>121</v>
      </c>
      <c r="E63" s="5">
        <v>371819</v>
      </c>
      <c r="F63" s="5" t="str">
        <f>CONCATENATE(E63,"OVR")</f>
        <v>371819OVR</v>
      </c>
      <c r="G63" t="s">
        <v>129</v>
      </c>
      <c r="H63" t="s">
        <v>124</v>
      </c>
      <c r="I63" s="1">
        <v>46204</v>
      </c>
      <c r="J63" s="1">
        <v>46387</v>
      </c>
      <c r="K63" t="s">
        <v>51</v>
      </c>
      <c r="L63" s="2">
        <v>75</v>
      </c>
      <c r="M63" s="2">
        <v>75</v>
      </c>
      <c r="N63" t="s">
        <v>97</v>
      </c>
      <c r="O63" t="s">
        <v>263</v>
      </c>
    </row>
  </sheetData>
  <sortState xmlns:xlrd2="http://schemas.microsoft.com/office/spreadsheetml/2017/richdata2" ref="A2:AN22">
    <sortCondition ref="O2:O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2026-07-16T13:09:19Z</dcterms:created>
  <dcterms:modified xsi:type="dcterms:W3CDTF">2026-07-16T17:51:16Z</dcterms:modified>
</cp:coreProperties>
</file>