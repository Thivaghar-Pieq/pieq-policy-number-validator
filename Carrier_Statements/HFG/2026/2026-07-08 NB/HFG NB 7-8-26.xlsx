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FG\2026\2026-07-08 NB\"/>
    </mc:Choice>
  </mc:AlternateContent>
  <xr:revisionPtr revIDLastSave="0" documentId="13_ncr:1_{7EEE5247-2B44-47F8-8BBD-A1CFB7933EF4}" xr6:coauthVersionLast="47" xr6:coauthVersionMax="47" xr10:uidLastSave="{00000000-0000-0000-0000-000000000000}"/>
  <bookViews>
    <workbookView xWindow="-120" yWindow="-120" windowWidth="29040" windowHeight="15720" activeTab="1" xr2:uid="{E9BCB9AF-7238-48CC-B646-E3FA48C03A49}"/>
  </bookViews>
  <sheets>
    <sheet name="New Business Agent Statement -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2" l="1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B30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T31" i="2"/>
  <c r="N40" i="2"/>
  <c r="O40" i="2" s="1"/>
  <c r="P40" i="2" s="1"/>
  <c r="J40" i="2"/>
  <c r="L40" i="2" s="1"/>
  <c r="M40" i="2" s="1"/>
</calcChain>
</file>

<file path=xl/sharedStrings.xml><?xml version="1.0" encoding="utf-8"?>
<sst xmlns="http://schemas.openxmlformats.org/spreadsheetml/2006/main" count="728" uniqueCount="198">
  <si>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</si>
  <si>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</si>
  <si>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</si>
  <si>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</si>
  <si>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</si>
  <si>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</si>
  <si>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</si>
  <si>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</si>
  <si>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</si>
  <si>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</si>
  <si>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</si>
  <si>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</si>
  <si>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</si>
  <si>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</si>
  <si>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</si>
  <si>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</si>
  <si>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</si>
  <si>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</si>
  <si>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</si>
  <si>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</si>
  <si>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</si>
  <si>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</si>
  <si>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</si>
  <si>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</si>
  <si>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</si>
  <si>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</si>
  <si>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</si>
  <si>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</si>
  <si>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</si>
  <si>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</si>
  <si>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</si>
  <si>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</si>
  <si>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</si>
  <si>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</si>
  <si>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</si>
  <si>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</si>
  <si>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</si>
  <si>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</si>
  <si>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</si>
  <si>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</si>
  <si>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</si>
  <si>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</si>
  <si>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</si>
  <si>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</si>
  <si>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'00008021084K</t>
  </si>
  <si>
    <t>LAURA FERNANDEZ</t>
  </si>
  <si>
    <t>IL</t>
  </si>
  <si>
    <t>'045984</t>
  </si>
  <si>
    <t>JEANET REYES</t>
  </si>
  <si>
    <t>ACTIVE</t>
  </si>
  <si>
    <t>Humana MA 2019+ Level 15- 175/108 Repl 2024</t>
  </si>
  <si>
    <t>Monthly</t>
  </si>
  <si>
    <t>AV</t>
  </si>
  <si>
    <t>'00018468881K</t>
  </si>
  <si>
    <t>PEARL GANNON</t>
  </si>
  <si>
    <t>'045421</t>
  </si>
  <si>
    <t>MATTHEW SHERMAN</t>
  </si>
  <si>
    <t>Humana MA 2019+ Level 15- 175/108</t>
  </si>
  <si>
    <t>'00025767924K</t>
  </si>
  <si>
    <t>MELISSA DICKSON</t>
  </si>
  <si>
    <t>AR</t>
  </si>
  <si>
    <t>'043678</t>
  </si>
  <si>
    <t>MATTHEW DAUGHERTY</t>
  </si>
  <si>
    <t>'00025849155K</t>
  </si>
  <si>
    <t>CANDY BOSSO</t>
  </si>
  <si>
    <t>'045605</t>
  </si>
  <si>
    <t>GARY PORTUGAL</t>
  </si>
  <si>
    <t>'00025849253K</t>
  </si>
  <si>
    <t>ARTHUR BOSSO</t>
  </si>
  <si>
    <t>'00026286154K</t>
  </si>
  <si>
    <t>RAY STOVALL</t>
  </si>
  <si>
    <t>TX</t>
  </si>
  <si>
    <t>'043637</t>
  </si>
  <si>
    <t>CHRISTIAN TAUGNER</t>
  </si>
  <si>
    <t>Active</t>
  </si>
  <si>
    <t>Humana MA Bonus Upload 07-08-2026.xlsx</t>
  </si>
  <si>
    <t>'00026612547K</t>
  </si>
  <si>
    <t>ALMA TURLEY</t>
  </si>
  <si>
    <t>AZ</t>
  </si>
  <si>
    <t>'045639</t>
  </si>
  <si>
    <t>STEVEN WERNER</t>
  </si>
  <si>
    <t>'00026647015K</t>
  </si>
  <si>
    <t>HAFSABIBI ATTIA</t>
  </si>
  <si>
    <t>'043618</t>
  </si>
  <si>
    <t>SAADIA ABDUL</t>
  </si>
  <si>
    <t>'00026655989K</t>
  </si>
  <si>
    <t>JOHN FRANKLIN</t>
  </si>
  <si>
    <t>'045613</t>
  </si>
  <si>
    <t>RICARDO SANTOS</t>
  </si>
  <si>
    <t>'00026656492K</t>
  </si>
  <si>
    <t>JGERARDO MUNOS HERNANDES</t>
  </si>
  <si>
    <t>'045966</t>
  </si>
  <si>
    <t>ANTONIA NEVAREZ</t>
  </si>
  <si>
    <t>'00026656569K</t>
  </si>
  <si>
    <t>VERLANE FRANKLIN</t>
  </si>
  <si>
    <t>'102283931600</t>
  </si>
  <si>
    <t>VALERIE JADOS</t>
  </si>
  <si>
    <t>'045638</t>
  </si>
  <si>
    <t>RICHARD YALE</t>
  </si>
  <si>
    <t>Aetna MAPD NMO to MMO - 2025+ Replace E-App</t>
  </si>
  <si>
    <t>6/12 PRORATE</t>
  </si>
  <si>
    <t>'102283968400</t>
  </si>
  <si>
    <t>MARILYN WEBER</t>
  </si>
  <si>
    <t>'045772</t>
  </si>
  <si>
    <t>JASON ROLLER</t>
  </si>
  <si>
    <t>5/12 PRORATE</t>
  </si>
  <si>
    <t>'102283991900</t>
  </si>
  <si>
    <t>DEANNA JOHNSON</t>
  </si>
  <si>
    <t>WI</t>
  </si>
  <si>
    <t>'041686</t>
  </si>
  <si>
    <t>DALE WALENGA</t>
  </si>
  <si>
    <t>'102284235200</t>
  </si>
  <si>
    <t>DIANE LEINONEN</t>
  </si>
  <si>
    <t>'102284240000</t>
  </si>
  <si>
    <t>JOHN FURTH</t>
  </si>
  <si>
    <t>'045603</t>
  </si>
  <si>
    <t>ANDREW CHOI</t>
  </si>
  <si>
    <t>'102284628100</t>
  </si>
  <si>
    <t>LISA BARTO</t>
  </si>
  <si>
    <t>PA</t>
  </si>
  <si>
    <t>'043786</t>
  </si>
  <si>
    <t>MARGARET SMITH</t>
  </si>
  <si>
    <t>'102284749100</t>
  </si>
  <si>
    <t>MICHAEL ISAACS</t>
  </si>
  <si>
    <t>'907503609</t>
  </si>
  <si>
    <t>CURTIS GILMORE</t>
  </si>
  <si>
    <t>FL</t>
  </si>
  <si>
    <t>'045671</t>
  </si>
  <si>
    <t>ROBERT SHAPIRO</t>
  </si>
  <si>
    <t>UHC MAPD Street payable to upline- 2026 Pro New - Other</t>
  </si>
  <si>
    <t>'907503609OV</t>
  </si>
  <si>
    <t>UHC MA Direct 2025 New Prorated - Other</t>
  </si>
  <si>
    <t>'A04276365</t>
  </si>
  <si>
    <t>JAMES PHILLEY</t>
  </si>
  <si>
    <t>OH</t>
  </si>
  <si>
    <t>'045885</t>
  </si>
  <si>
    <t>CHAD BENDER</t>
  </si>
  <si>
    <t>UHC AARP Med Supp 2026+ OH TX -Plans B C F G - Int Repl</t>
  </si>
  <si>
    <t>'MEQNDVYM00000280909</t>
  </si>
  <si>
    <t>BRIAN WILKIE</t>
  </si>
  <si>
    <t>9/12 PRORATE</t>
  </si>
  <si>
    <t>'MEQNDVYM00000287688</t>
  </si>
  <si>
    <t>DEBBIE SANDOVALBUSTAM</t>
  </si>
  <si>
    <t>'043813</t>
  </si>
  <si>
    <t>VICTOR FUENTES</t>
  </si>
  <si>
    <t>CB</t>
  </si>
  <si>
    <t>'00003837723KPC</t>
  </si>
  <si>
    <t>TIMOTHY WISE</t>
  </si>
  <si>
    <t>'046124</t>
  </si>
  <si>
    <t>KENNETH WEITZMAN</t>
  </si>
  <si>
    <t>CHARGEBACK</t>
  </si>
  <si>
    <t>'00017117805KPC</t>
  </si>
  <si>
    <t>LOIS REIGHARD</t>
  </si>
  <si>
    <t>MT</t>
  </si>
  <si>
    <t>'043682</t>
  </si>
  <si>
    <t>GREGORY TEIPEL</t>
  </si>
  <si>
    <t>'00023271984KPC</t>
  </si>
  <si>
    <t>LAURA DAIDONE</t>
  </si>
  <si>
    <t>TN</t>
  </si>
  <si>
    <t>'045611</t>
  </si>
  <si>
    <t>FRANK LISKOVEC</t>
  </si>
  <si>
    <t>'00024548971KPC</t>
  </si>
  <si>
    <t>JACKIE BOKROS</t>
  </si>
  <si>
    <t>SC</t>
  </si>
  <si>
    <t>'043718</t>
  </si>
  <si>
    <t>CHAD YALE</t>
  </si>
  <si>
    <t>'00025849155KPC</t>
  </si>
  <si>
    <t>'00025849253KPC</t>
  </si>
  <si>
    <t>'101789839500PC</t>
  </si>
  <si>
    <t>KAREN MACHIKA</t>
  </si>
  <si>
    <t>'043611</t>
  </si>
  <si>
    <t>TIMOTHY POWERS</t>
  </si>
  <si>
    <t>Aetna MAPD NMO to MMO - 2025+ New E-App</t>
  </si>
  <si>
    <t>00008021084K</t>
  </si>
  <si>
    <t>00018468881K</t>
  </si>
  <si>
    <t>00025767924K</t>
  </si>
  <si>
    <t>00025849155K</t>
  </si>
  <si>
    <t>00025849253K</t>
  </si>
  <si>
    <t>00026286154K</t>
  </si>
  <si>
    <t>00026612547K</t>
  </si>
  <si>
    <t>00026647015K</t>
  </si>
  <si>
    <t>00026655989K</t>
  </si>
  <si>
    <t>00026656492K</t>
  </si>
  <si>
    <t>00026656569K</t>
  </si>
  <si>
    <t>MEQNDVYM00000280909</t>
  </si>
  <si>
    <t>MEQNDVYM00000287688</t>
  </si>
  <si>
    <t>00003837723K</t>
  </si>
  <si>
    <t>00017117805K</t>
  </si>
  <si>
    <t>00023271984K</t>
  </si>
  <si>
    <t>00024548971K</t>
  </si>
  <si>
    <t>Aetna MAPD OVR</t>
  </si>
  <si>
    <t>Humana MAPD OVR</t>
  </si>
  <si>
    <t>UHC MAPD Ovr</t>
  </si>
  <si>
    <t>23084581PDP</t>
  </si>
  <si>
    <t>23086053PDP</t>
  </si>
  <si>
    <t>UHC 2026 CT, PA, DC *</t>
  </si>
  <si>
    <t>[%/$=391][prorate=5/12]</t>
  </si>
  <si>
    <t>A042763651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</si>
</sst>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212529"/>
      <name val="Ebrim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NumberFormat="1"/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5321-4AE8-4505-BE1E-848491F92A60}">
  <dimension ref="A1:AL31"/>
  <sheetViews>
    <sheetView workbookViewId="0">
      <selection sqref="A1:XFD1048576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46211</v>
      </c>
      <c r="B2" s="1">
        <v>46211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46204</v>
      </c>
      <c r="U2" t="s">
        <v>51</v>
      </c>
      <c r="X2" t="s">
        <v>52</v>
      </c>
      <c r="Y2" s="2">
        <v>0</v>
      </c>
      <c r="Z2" s="2">
        <v>108</v>
      </c>
      <c r="AA2">
        <v>1</v>
      </c>
      <c r="AB2" s="3">
        <v>1</v>
      </c>
      <c r="AC2" s="2">
        <v>108</v>
      </c>
      <c r="AD2" s="3">
        <v>0</v>
      </c>
      <c r="AE2" s="2">
        <v>0</v>
      </c>
      <c r="AF2" s="2">
        <v>108</v>
      </c>
      <c r="AK2">
        <v>7039948</v>
      </c>
    </row>
    <row r="3" spans="1:38" x14ac:dyDescent="0.25">
      <c r="A3" s="1">
        <v>46211</v>
      </c>
      <c r="B3" s="1">
        <v>46211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57</v>
      </c>
      <c r="S3" s="1">
        <v>46204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7039995</v>
      </c>
    </row>
    <row r="4" spans="1:38" x14ac:dyDescent="0.25">
      <c r="A4" s="1">
        <v>46211</v>
      </c>
      <c r="B4" s="1">
        <v>46211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60</v>
      </c>
      <c r="O4" t="s">
        <v>61</v>
      </c>
      <c r="P4" t="s">
        <v>62</v>
      </c>
      <c r="Q4" t="s">
        <v>49</v>
      </c>
      <c r="R4" t="s">
        <v>50</v>
      </c>
      <c r="S4" s="1">
        <v>46204</v>
      </c>
      <c r="U4" t="s">
        <v>51</v>
      </c>
      <c r="X4" t="s">
        <v>52</v>
      </c>
      <c r="Y4" s="2">
        <v>0</v>
      </c>
      <c r="Z4" s="2">
        <v>108</v>
      </c>
      <c r="AA4">
        <v>1</v>
      </c>
      <c r="AB4" s="3">
        <v>1</v>
      </c>
      <c r="AC4" s="2">
        <v>108</v>
      </c>
      <c r="AD4" s="3">
        <v>0</v>
      </c>
      <c r="AE4" s="2">
        <v>0</v>
      </c>
      <c r="AF4" s="2">
        <v>108</v>
      </c>
      <c r="AK4">
        <v>7039949</v>
      </c>
    </row>
    <row r="5" spans="1:38" x14ac:dyDescent="0.25">
      <c r="A5" s="1">
        <v>46211</v>
      </c>
      <c r="B5" s="1">
        <v>46211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63</v>
      </c>
      <c r="J5" t="s">
        <v>64</v>
      </c>
      <c r="M5" t="s">
        <v>46</v>
      </c>
      <c r="O5" t="s">
        <v>65</v>
      </c>
      <c r="P5" t="s">
        <v>66</v>
      </c>
      <c r="Q5" t="s">
        <v>49</v>
      </c>
      <c r="R5" t="s">
        <v>50</v>
      </c>
      <c r="S5" s="1">
        <v>46204</v>
      </c>
      <c r="U5" t="s">
        <v>51</v>
      </c>
      <c r="X5" t="s">
        <v>52</v>
      </c>
      <c r="Y5" s="2">
        <v>0</v>
      </c>
      <c r="Z5" s="2">
        <v>108</v>
      </c>
      <c r="AA5">
        <v>1</v>
      </c>
      <c r="AB5" s="3">
        <v>1</v>
      </c>
      <c r="AC5" s="2">
        <v>108</v>
      </c>
      <c r="AD5" s="3">
        <v>0</v>
      </c>
      <c r="AE5" s="2">
        <v>0</v>
      </c>
      <c r="AF5" s="2">
        <v>108</v>
      </c>
      <c r="AK5">
        <v>7039950</v>
      </c>
    </row>
    <row r="6" spans="1:38" x14ac:dyDescent="0.25">
      <c r="A6" s="1">
        <v>46211</v>
      </c>
      <c r="B6" s="1">
        <v>46211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67</v>
      </c>
      <c r="J6" t="s">
        <v>68</v>
      </c>
      <c r="M6" t="s">
        <v>46</v>
      </c>
      <c r="O6" t="s">
        <v>65</v>
      </c>
      <c r="P6" t="s">
        <v>66</v>
      </c>
      <c r="Q6" t="s">
        <v>49</v>
      </c>
      <c r="R6" t="s">
        <v>50</v>
      </c>
      <c r="S6" s="1">
        <v>46204</v>
      </c>
      <c r="U6" t="s">
        <v>51</v>
      </c>
      <c r="X6" t="s">
        <v>52</v>
      </c>
      <c r="Y6" s="2">
        <v>0</v>
      </c>
      <c r="Z6" s="2">
        <v>108</v>
      </c>
      <c r="AA6">
        <v>1</v>
      </c>
      <c r="AB6" s="3">
        <v>1</v>
      </c>
      <c r="AC6" s="2">
        <v>108</v>
      </c>
      <c r="AD6" s="3">
        <v>0</v>
      </c>
      <c r="AE6" s="2">
        <v>0</v>
      </c>
      <c r="AF6" s="2">
        <v>108</v>
      </c>
      <c r="AK6">
        <v>7039951</v>
      </c>
    </row>
    <row r="7" spans="1:38" x14ac:dyDescent="0.25">
      <c r="A7" s="1">
        <v>46211</v>
      </c>
      <c r="B7" s="1">
        <v>46211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69</v>
      </c>
      <c r="J7" t="s">
        <v>70</v>
      </c>
      <c r="M7" t="s">
        <v>71</v>
      </c>
      <c r="O7" t="s">
        <v>72</v>
      </c>
      <c r="P7" t="s">
        <v>73</v>
      </c>
      <c r="Q7" t="s">
        <v>74</v>
      </c>
      <c r="R7" t="s">
        <v>57</v>
      </c>
      <c r="S7" s="1">
        <v>46113</v>
      </c>
      <c r="U7" t="s">
        <v>51</v>
      </c>
      <c r="X7" t="s">
        <v>52</v>
      </c>
      <c r="Y7" s="2">
        <v>0</v>
      </c>
      <c r="Z7" s="2">
        <v>145.25</v>
      </c>
      <c r="AA7">
        <v>1</v>
      </c>
      <c r="AB7" s="3">
        <v>1</v>
      </c>
      <c r="AC7" s="2">
        <v>145.25</v>
      </c>
      <c r="AD7" s="3">
        <v>0</v>
      </c>
      <c r="AE7" s="2">
        <v>0</v>
      </c>
      <c r="AF7" s="2">
        <v>145.25</v>
      </c>
      <c r="AK7">
        <v>0</v>
      </c>
      <c r="AL7" t="s">
        <v>75</v>
      </c>
    </row>
    <row r="8" spans="1:38" x14ac:dyDescent="0.25">
      <c r="A8" s="1">
        <v>46211</v>
      </c>
      <c r="B8" s="1">
        <v>46211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76</v>
      </c>
      <c r="J8" t="s">
        <v>77</v>
      </c>
      <c r="M8" t="s">
        <v>78</v>
      </c>
      <c r="O8" t="s">
        <v>79</v>
      </c>
      <c r="P8" t="s">
        <v>80</v>
      </c>
      <c r="Q8" t="s">
        <v>49</v>
      </c>
      <c r="R8" t="s">
        <v>57</v>
      </c>
      <c r="S8" s="1">
        <v>46174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7039996</v>
      </c>
    </row>
    <row r="9" spans="1:38" x14ac:dyDescent="0.25">
      <c r="A9" s="1">
        <v>46211</v>
      </c>
      <c r="B9" s="1">
        <v>46211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81</v>
      </c>
      <c r="J9" t="s">
        <v>82</v>
      </c>
      <c r="M9" t="s">
        <v>46</v>
      </c>
      <c r="O9" t="s">
        <v>83</v>
      </c>
      <c r="P9" t="s">
        <v>84</v>
      </c>
      <c r="Q9" t="s">
        <v>49</v>
      </c>
      <c r="R9" t="s">
        <v>57</v>
      </c>
      <c r="S9" s="1">
        <v>46204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7039997</v>
      </c>
    </row>
    <row r="10" spans="1:38" x14ac:dyDescent="0.25">
      <c r="A10" s="1">
        <v>46211</v>
      </c>
      <c r="B10" s="1">
        <v>46211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85</v>
      </c>
      <c r="J10" t="s">
        <v>86</v>
      </c>
      <c r="M10" t="s">
        <v>46</v>
      </c>
      <c r="O10" t="s">
        <v>87</v>
      </c>
      <c r="P10" t="s">
        <v>88</v>
      </c>
      <c r="Q10" t="s">
        <v>49</v>
      </c>
      <c r="R10" t="s">
        <v>57</v>
      </c>
      <c r="S10" s="1">
        <v>46204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7039998</v>
      </c>
    </row>
    <row r="11" spans="1:38" x14ac:dyDescent="0.25">
      <c r="A11" s="1">
        <v>46211</v>
      </c>
      <c r="B11" s="1">
        <v>46211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89</v>
      </c>
      <c r="J11" t="s">
        <v>90</v>
      </c>
      <c r="M11" t="s">
        <v>46</v>
      </c>
      <c r="O11" t="s">
        <v>91</v>
      </c>
      <c r="P11" t="s">
        <v>92</v>
      </c>
      <c r="Q11" t="s">
        <v>49</v>
      </c>
      <c r="R11" t="s">
        <v>57</v>
      </c>
      <c r="S11" s="1">
        <v>46204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7039999</v>
      </c>
    </row>
    <row r="12" spans="1:38" x14ac:dyDescent="0.25">
      <c r="A12" s="1">
        <v>46211</v>
      </c>
      <c r="B12" s="1">
        <v>46211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93</v>
      </c>
      <c r="J12" t="s">
        <v>94</v>
      </c>
      <c r="M12" t="s">
        <v>46</v>
      </c>
      <c r="O12" t="s">
        <v>87</v>
      </c>
      <c r="P12" t="s">
        <v>88</v>
      </c>
      <c r="Q12" t="s">
        <v>49</v>
      </c>
      <c r="R12" t="s">
        <v>57</v>
      </c>
      <c r="S12" s="1">
        <v>46204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7040000</v>
      </c>
    </row>
    <row r="13" spans="1:38" x14ac:dyDescent="0.25">
      <c r="A13" s="1">
        <v>46211</v>
      </c>
      <c r="B13" s="1">
        <v>46211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95</v>
      </c>
      <c r="J13" t="s">
        <v>96</v>
      </c>
      <c r="M13" t="s">
        <v>46</v>
      </c>
      <c r="O13" t="s">
        <v>97</v>
      </c>
      <c r="P13" t="s">
        <v>98</v>
      </c>
      <c r="Q13" t="s">
        <v>49</v>
      </c>
      <c r="R13" t="s">
        <v>99</v>
      </c>
      <c r="S13" s="1">
        <v>46204</v>
      </c>
      <c r="U13" t="s">
        <v>51</v>
      </c>
      <c r="X13" t="s">
        <v>52</v>
      </c>
      <c r="Y13" s="2">
        <v>0</v>
      </c>
      <c r="Z13" s="2">
        <v>12.5</v>
      </c>
      <c r="AA13">
        <v>1</v>
      </c>
      <c r="AB13" s="3">
        <v>1</v>
      </c>
      <c r="AC13" s="2">
        <v>12.5</v>
      </c>
      <c r="AD13" s="3">
        <v>0</v>
      </c>
      <c r="AE13" s="2">
        <v>0</v>
      </c>
      <c r="AF13" s="2">
        <v>12.5</v>
      </c>
      <c r="AK13">
        <v>7039713</v>
      </c>
      <c r="AL13" t="s">
        <v>100</v>
      </c>
    </row>
    <row r="14" spans="1:38" x14ac:dyDescent="0.25">
      <c r="A14" s="1">
        <v>46211</v>
      </c>
      <c r="B14" s="1">
        <v>46211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101</v>
      </c>
      <c r="J14" t="s">
        <v>102</v>
      </c>
      <c r="M14" t="s">
        <v>46</v>
      </c>
      <c r="O14" t="s">
        <v>103</v>
      </c>
      <c r="P14" t="s">
        <v>104</v>
      </c>
      <c r="Q14" t="s">
        <v>49</v>
      </c>
      <c r="R14" t="s">
        <v>99</v>
      </c>
      <c r="S14" s="1">
        <v>46235</v>
      </c>
      <c r="U14" t="s">
        <v>51</v>
      </c>
      <c r="X14" t="s">
        <v>52</v>
      </c>
      <c r="Y14" s="2">
        <v>0</v>
      </c>
      <c r="Z14" s="2">
        <v>10.42</v>
      </c>
      <c r="AA14">
        <v>1</v>
      </c>
      <c r="AB14" s="3">
        <v>1</v>
      </c>
      <c r="AC14" s="2">
        <v>10.42</v>
      </c>
      <c r="AD14" s="3">
        <v>0</v>
      </c>
      <c r="AE14" s="2">
        <v>0</v>
      </c>
      <c r="AF14" s="2">
        <v>10.42</v>
      </c>
      <c r="AK14">
        <v>7039714</v>
      </c>
      <c r="AL14" t="s">
        <v>105</v>
      </c>
    </row>
    <row r="15" spans="1:38" x14ac:dyDescent="0.25">
      <c r="A15" s="1">
        <v>46211</v>
      </c>
      <c r="B15" s="1">
        <v>46211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106</v>
      </c>
      <c r="J15" t="s">
        <v>107</v>
      </c>
      <c r="M15" t="s">
        <v>108</v>
      </c>
      <c r="O15" t="s">
        <v>109</v>
      </c>
      <c r="P15" t="s">
        <v>110</v>
      </c>
      <c r="Q15" t="s">
        <v>49</v>
      </c>
      <c r="R15" t="s">
        <v>99</v>
      </c>
      <c r="S15" s="1">
        <v>46204</v>
      </c>
      <c r="U15" t="s">
        <v>51</v>
      </c>
      <c r="X15" t="s">
        <v>52</v>
      </c>
      <c r="Y15" s="2">
        <v>0</v>
      </c>
      <c r="Z15" s="2">
        <v>12.5</v>
      </c>
      <c r="AA15">
        <v>1</v>
      </c>
      <c r="AB15" s="3">
        <v>1</v>
      </c>
      <c r="AC15" s="2">
        <v>12.5</v>
      </c>
      <c r="AD15" s="3">
        <v>0</v>
      </c>
      <c r="AE15" s="2">
        <v>0</v>
      </c>
      <c r="AF15" s="2">
        <v>12.5</v>
      </c>
      <c r="AK15">
        <v>7039718</v>
      </c>
      <c r="AL15" t="s">
        <v>100</v>
      </c>
    </row>
    <row r="16" spans="1:38" x14ac:dyDescent="0.25">
      <c r="A16" s="1">
        <v>46211</v>
      </c>
      <c r="B16" s="1">
        <v>46211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111</v>
      </c>
      <c r="J16" t="s">
        <v>112</v>
      </c>
      <c r="M16" t="s">
        <v>46</v>
      </c>
      <c r="O16" t="s">
        <v>97</v>
      </c>
      <c r="P16" t="s">
        <v>98</v>
      </c>
      <c r="Q16" t="s">
        <v>49</v>
      </c>
      <c r="R16" t="s">
        <v>99</v>
      </c>
      <c r="S16" s="1">
        <v>46235</v>
      </c>
      <c r="U16" t="s">
        <v>51</v>
      </c>
      <c r="X16" t="s">
        <v>52</v>
      </c>
      <c r="Y16" s="2">
        <v>0</v>
      </c>
      <c r="Z16" s="2">
        <v>10.42</v>
      </c>
      <c r="AA16">
        <v>1</v>
      </c>
      <c r="AB16" s="3">
        <v>1</v>
      </c>
      <c r="AC16" s="2">
        <v>10.42</v>
      </c>
      <c r="AD16" s="3">
        <v>0</v>
      </c>
      <c r="AE16" s="2">
        <v>0</v>
      </c>
      <c r="AF16" s="2">
        <v>10.42</v>
      </c>
      <c r="AK16">
        <v>7039739</v>
      </c>
      <c r="AL16" t="s">
        <v>105</v>
      </c>
    </row>
    <row r="17" spans="1:38" x14ac:dyDescent="0.25">
      <c r="A17" s="1">
        <v>46211</v>
      </c>
      <c r="B17" s="1">
        <v>46211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113</v>
      </c>
      <c r="J17" t="s">
        <v>114</v>
      </c>
      <c r="M17" t="s">
        <v>46</v>
      </c>
      <c r="O17" t="s">
        <v>115</v>
      </c>
      <c r="P17" t="s">
        <v>116</v>
      </c>
      <c r="Q17" t="s">
        <v>49</v>
      </c>
      <c r="R17" t="s">
        <v>99</v>
      </c>
      <c r="S17" s="1">
        <v>46235</v>
      </c>
      <c r="U17" t="s">
        <v>51</v>
      </c>
      <c r="X17" t="s">
        <v>52</v>
      </c>
      <c r="Y17" s="2">
        <v>0</v>
      </c>
      <c r="Z17" s="2">
        <v>10.42</v>
      </c>
      <c r="AA17">
        <v>1</v>
      </c>
      <c r="AB17" s="3">
        <v>1</v>
      </c>
      <c r="AC17" s="2">
        <v>10.42</v>
      </c>
      <c r="AD17" s="3">
        <v>0</v>
      </c>
      <c r="AE17" s="2">
        <v>0</v>
      </c>
      <c r="AF17" s="2">
        <v>10.42</v>
      </c>
      <c r="AK17">
        <v>7039740</v>
      </c>
      <c r="AL17" t="s">
        <v>105</v>
      </c>
    </row>
    <row r="18" spans="1:38" x14ac:dyDescent="0.25">
      <c r="A18" s="1">
        <v>46211</v>
      </c>
      <c r="B18" s="1">
        <v>46211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117</v>
      </c>
      <c r="J18" t="s">
        <v>118</v>
      </c>
      <c r="M18" t="s">
        <v>119</v>
      </c>
      <c r="O18" t="s">
        <v>120</v>
      </c>
      <c r="P18" t="s">
        <v>121</v>
      </c>
      <c r="Q18" t="s">
        <v>49</v>
      </c>
      <c r="R18" t="s">
        <v>99</v>
      </c>
      <c r="S18" s="1">
        <v>46235</v>
      </c>
      <c r="U18" t="s">
        <v>51</v>
      </c>
      <c r="X18" t="s">
        <v>52</v>
      </c>
      <c r="Y18" s="2">
        <v>0</v>
      </c>
      <c r="Z18" s="2">
        <v>10.42</v>
      </c>
      <c r="AA18">
        <v>1</v>
      </c>
      <c r="AB18" s="3">
        <v>1</v>
      </c>
      <c r="AC18" s="2">
        <v>10.42</v>
      </c>
      <c r="AD18" s="3">
        <v>0</v>
      </c>
      <c r="AE18" s="2">
        <v>0</v>
      </c>
      <c r="AF18" s="2">
        <v>10.42</v>
      </c>
      <c r="AK18">
        <v>7039766</v>
      </c>
      <c r="AL18" t="s">
        <v>105</v>
      </c>
    </row>
    <row r="19" spans="1:38" x14ac:dyDescent="0.25">
      <c r="A19" s="1">
        <v>46211</v>
      </c>
      <c r="B19" s="1">
        <v>46211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122</v>
      </c>
      <c r="J19" t="s">
        <v>123</v>
      </c>
      <c r="M19" t="s">
        <v>46</v>
      </c>
      <c r="O19" t="s">
        <v>115</v>
      </c>
      <c r="P19" t="s">
        <v>116</v>
      </c>
      <c r="Q19" t="s">
        <v>49</v>
      </c>
      <c r="R19" t="s">
        <v>99</v>
      </c>
      <c r="S19" s="1">
        <v>46204</v>
      </c>
      <c r="U19" t="s">
        <v>51</v>
      </c>
      <c r="X19" t="s">
        <v>52</v>
      </c>
      <c r="Y19" s="2">
        <v>0</v>
      </c>
      <c r="Z19" s="2">
        <v>12.5</v>
      </c>
      <c r="AA19">
        <v>1</v>
      </c>
      <c r="AB19" s="3">
        <v>1</v>
      </c>
      <c r="AC19" s="2">
        <v>12.5</v>
      </c>
      <c r="AD19" s="3">
        <v>0</v>
      </c>
      <c r="AE19" s="2">
        <v>0</v>
      </c>
      <c r="AF19" s="2">
        <v>12.5</v>
      </c>
      <c r="AK19">
        <v>7039777</v>
      </c>
      <c r="AL19" t="s">
        <v>100</v>
      </c>
    </row>
    <row r="20" spans="1:38" x14ac:dyDescent="0.25">
      <c r="A20" s="1">
        <v>46211</v>
      </c>
      <c r="B20" s="1">
        <v>46211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124</v>
      </c>
      <c r="J20" t="s">
        <v>125</v>
      </c>
      <c r="M20" t="s">
        <v>126</v>
      </c>
      <c r="O20" t="s">
        <v>127</v>
      </c>
      <c r="P20" t="s">
        <v>128</v>
      </c>
      <c r="Q20" t="s">
        <v>49</v>
      </c>
      <c r="R20" t="s">
        <v>129</v>
      </c>
      <c r="S20" s="1">
        <v>46235</v>
      </c>
      <c r="U20" t="s">
        <v>51</v>
      </c>
      <c r="X20" t="s">
        <v>52</v>
      </c>
      <c r="Y20" s="2">
        <v>0</v>
      </c>
      <c r="Z20" s="2">
        <v>169.17</v>
      </c>
      <c r="AA20">
        <v>1</v>
      </c>
      <c r="AB20" s="3">
        <v>1</v>
      </c>
      <c r="AC20" s="2">
        <v>169.17</v>
      </c>
      <c r="AD20" s="3">
        <v>0</v>
      </c>
      <c r="AE20" s="2">
        <v>0</v>
      </c>
      <c r="AF20" s="2">
        <v>169.17</v>
      </c>
      <c r="AK20">
        <v>7040074</v>
      </c>
      <c r="AL20" t="s">
        <v>105</v>
      </c>
    </row>
    <row r="21" spans="1:38" x14ac:dyDescent="0.25">
      <c r="A21" s="1">
        <v>46211</v>
      </c>
      <c r="B21" s="1">
        <v>46211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130</v>
      </c>
      <c r="J21" t="s">
        <v>125</v>
      </c>
      <c r="M21" t="s">
        <v>126</v>
      </c>
      <c r="O21" t="s">
        <v>127</v>
      </c>
      <c r="P21" t="s">
        <v>128</v>
      </c>
      <c r="Q21" t="s">
        <v>49</v>
      </c>
      <c r="R21" t="s">
        <v>131</v>
      </c>
      <c r="S21" s="1">
        <v>46235</v>
      </c>
      <c r="U21" t="s">
        <v>51</v>
      </c>
      <c r="X21" t="s">
        <v>52</v>
      </c>
      <c r="Y21" s="2">
        <v>0</v>
      </c>
      <c r="Z21" s="2">
        <v>47.08</v>
      </c>
      <c r="AA21">
        <v>1</v>
      </c>
      <c r="AB21" s="3">
        <v>1</v>
      </c>
      <c r="AC21" s="2">
        <v>47.08</v>
      </c>
      <c r="AD21" s="3">
        <v>0</v>
      </c>
      <c r="AE21" s="2">
        <v>0</v>
      </c>
      <c r="AF21" s="2">
        <v>47.08</v>
      </c>
      <c r="AK21">
        <v>7040075</v>
      </c>
      <c r="AL21" t="s">
        <v>105</v>
      </c>
    </row>
    <row r="22" spans="1:38" x14ac:dyDescent="0.25">
      <c r="A22" s="1">
        <v>46211</v>
      </c>
      <c r="B22" s="1">
        <v>46211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132</v>
      </c>
      <c r="J22" t="s">
        <v>133</v>
      </c>
      <c r="M22" t="s">
        <v>134</v>
      </c>
      <c r="O22" t="s">
        <v>135</v>
      </c>
      <c r="P22" t="s">
        <v>136</v>
      </c>
      <c r="Q22" t="s">
        <v>49</v>
      </c>
      <c r="R22" t="s">
        <v>137</v>
      </c>
      <c r="S22" s="1">
        <v>46174</v>
      </c>
      <c r="U22" t="s">
        <v>51</v>
      </c>
      <c r="X22" t="s">
        <v>52</v>
      </c>
      <c r="Y22" s="2">
        <v>0</v>
      </c>
      <c r="Z22" s="2">
        <v>31.5</v>
      </c>
      <c r="AA22">
        <v>1</v>
      </c>
      <c r="AB22" s="3">
        <v>1</v>
      </c>
      <c r="AC22" s="2">
        <v>31.5</v>
      </c>
      <c r="AD22" s="3">
        <v>0</v>
      </c>
      <c r="AE22" s="2">
        <v>0</v>
      </c>
      <c r="AF22" s="2">
        <v>31.5</v>
      </c>
      <c r="AK22">
        <v>7040018</v>
      </c>
    </row>
    <row r="23" spans="1:38" x14ac:dyDescent="0.25">
      <c r="A23" s="1">
        <v>46211</v>
      </c>
      <c r="B23" s="1">
        <v>46211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138</v>
      </c>
      <c r="J23" t="s">
        <v>139</v>
      </c>
      <c r="M23" t="s">
        <v>46</v>
      </c>
      <c r="O23" t="s">
        <v>65</v>
      </c>
      <c r="P23" t="s">
        <v>66</v>
      </c>
      <c r="Q23" t="s">
        <v>49</v>
      </c>
      <c r="R23" t="s">
        <v>99</v>
      </c>
      <c r="S23" s="1">
        <v>46113</v>
      </c>
      <c r="U23" t="s">
        <v>51</v>
      </c>
      <c r="X23" t="s">
        <v>52</v>
      </c>
      <c r="Y23" s="2">
        <v>0</v>
      </c>
      <c r="Z23" s="2">
        <v>18.75</v>
      </c>
      <c r="AA23">
        <v>1</v>
      </c>
      <c r="AB23" s="3">
        <v>1</v>
      </c>
      <c r="AC23" s="2">
        <v>18.75</v>
      </c>
      <c r="AD23" s="3">
        <v>0</v>
      </c>
      <c r="AE23" s="2">
        <v>0</v>
      </c>
      <c r="AF23" s="2">
        <v>18.75</v>
      </c>
      <c r="AK23">
        <v>7039779</v>
      </c>
      <c r="AL23" t="s">
        <v>140</v>
      </c>
    </row>
    <row r="24" spans="1:38" x14ac:dyDescent="0.25">
      <c r="A24" s="1">
        <v>46211</v>
      </c>
      <c r="B24" s="1">
        <v>46211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141</v>
      </c>
      <c r="J24" t="s">
        <v>142</v>
      </c>
      <c r="M24" t="s">
        <v>46</v>
      </c>
      <c r="O24" t="s">
        <v>143</v>
      </c>
      <c r="P24" t="s">
        <v>144</v>
      </c>
      <c r="Q24" t="s">
        <v>49</v>
      </c>
      <c r="R24" t="s">
        <v>99</v>
      </c>
      <c r="S24" s="1">
        <v>46113</v>
      </c>
      <c r="U24" t="s">
        <v>51</v>
      </c>
      <c r="X24" t="s">
        <v>52</v>
      </c>
      <c r="Y24" s="2">
        <v>0</v>
      </c>
      <c r="Z24" s="2">
        <v>18.75</v>
      </c>
      <c r="AA24">
        <v>1</v>
      </c>
      <c r="AB24" s="3">
        <v>1</v>
      </c>
      <c r="AC24" s="2">
        <v>18.75</v>
      </c>
      <c r="AD24" s="3">
        <v>0</v>
      </c>
      <c r="AE24" s="2">
        <v>0</v>
      </c>
      <c r="AF24" s="2">
        <v>18.75</v>
      </c>
      <c r="AK24">
        <v>7039780</v>
      </c>
      <c r="AL24" t="s">
        <v>140</v>
      </c>
    </row>
    <row r="25" spans="1:38" x14ac:dyDescent="0.25">
      <c r="A25" s="1">
        <v>46211</v>
      </c>
      <c r="B25" s="1">
        <v>46211</v>
      </c>
      <c r="C25" t="s">
        <v>145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146</v>
      </c>
      <c r="J25" t="s">
        <v>147</v>
      </c>
      <c r="M25" t="s">
        <v>126</v>
      </c>
      <c r="O25" t="s">
        <v>148</v>
      </c>
      <c r="P25" t="s">
        <v>149</v>
      </c>
      <c r="Q25" t="s">
        <v>150</v>
      </c>
      <c r="R25" t="s">
        <v>50</v>
      </c>
      <c r="S25" s="1">
        <v>46054</v>
      </c>
      <c r="U25" t="s">
        <v>51</v>
      </c>
      <c r="X25" t="s">
        <v>52</v>
      </c>
      <c r="AF25" s="2">
        <v>108</v>
      </c>
      <c r="AG25" s="2">
        <v>0</v>
      </c>
      <c r="AJ25" s="2">
        <v>62.64</v>
      </c>
    </row>
    <row r="26" spans="1:38" x14ac:dyDescent="0.25">
      <c r="A26" s="1">
        <v>46211</v>
      </c>
      <c r="B26" s="1">
        <v>46211</v>
      </c>
      <c r="C26" t="s">
        <v>145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151</v>
      </c>
      <c r="J26" t="s">
        <v>152</v>
      </c>
      <c r="M26" t="s">
        <v>153</v>
      </c>
      <c r="O26" t="s">
        <v>154</v>
      </c>
      <c r="P26" t="s">
        <v>155</v>
      </c>
      <c r="Q26" t="s">
        <v>150</v>
      </c>
      <c r="R26" t="s">
        <v>57</v>
      </c>
      <c r="S26" s="1">
        <v>46023</v>
      </c>
      <c r="U26" t="s">
        <v>51</v>
      </c>
      <c r="X26" t="s">
        <v>52</v>
      </c>
      <c r="AF26" s="2">
        <v>175</v>
      </c>
      <c r="AG26" s="2">
        <v>0</v>
      </c>
      <c r="AJ26" s="2">
        <v>87.5</v>
      </c>
    </row>
    <row r="27" spans="1:38" x14ac:dyDescent="0.25">
      <c r="A27" s="1">
        <v>46211</v>
      </c>
      <c r="B27" s="1">
        <v>46211</v>
      </c>
      <c r="C27" t="s">
        <v>145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156</v>
      </c>
      <c r="J27" t="s">
        <v>157</v>
      </c>
      <c r="M27" t="s">
        <v>158</v>
      </c>
      <c r="O27" t="s">
        <v>159</v>
      </c>
      <c r="P27" t="s">
        <v>160</v>
      </c>
      <c r="Q27" t="s">
        <v>150</v>
      </c>
      <c r="R27" t="s">
        <v>57</v>
      </c>
      <c r="S27" s="1">
        <v>46082</v>
      </c>
      <c r="U27" t="s">
        <v>51</v>
      </c>
      <c r="X27" t="s">
        <v>52</v>
      </c>
      <c r="AF27" s="2">
        <v>175</v>
      </c>
      <c r="AG27" s="2">
        <v>0</v>
      </c>
      <c r="AJ27" s="2">
        <v>117.25</v>
      </c>
    </row>
    <row r="28" spans="1:38" x14ac:dyDescent="0.25">
      <c r="A28" s="1">
        <v>46211</v>
      </c>
      <c r="B28" s="1">
        <v>46211</v>
      </c>
      <c r="C28" t="s">
        <v>145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161</v>
      </c>
      <c r="J28" t="s">
        <v>162</v>
      </c>
      <c r="M28" t="s">
        <v>163</v>
      </c>
      <c r="O28" t="s">
        <v>164</v>
      </c>
      <c r="P28" t="s">
        <v>165</v>
      </c>
      <c r="Q28" t="s">
        <v>150</v>
      </c>
      <c r="R28" t="s">
        <v>57</v>
      </c>
      <c r="S28" s="1">
        <v>46023</v>
      </c>
      <c r="U28" t="s">
        <v>51</v>
      </c>
      <c r="X28" t="s">
        <v>52</v>
      </c>
      <c r="AF28" s="2">
        <v>175</v>
      </c>
      <c r="AG28" s="2">
        <v>0</v>
      </c>
      <c r="AJ28" s="2">
        <v>73.5</v>
      </c>
    </row>
    <row r="29" spans="1:38" x14ac:dyDescent="0.25">
      <c r="A29" s="1">
        <v>46211</v>
      </c>
      <c r="B29" s="1">
        <v>46211</v>
      </c>
      <c r="C29" t="s">
        <v>145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166</v>
      </c>
      <c r="J29" t="s">
        <v>64</v>
      </c>
      <c r="M29" t="s">
        <v>46</v>
      </c>
      <c r="O29" t="s">
        <v>65</v>
      </c>
      <c r="P29" t="s">
        <v>66</v>
      </c>
      <c r="Q29" t="s">
        <v>150</v>
      </c>
      <c r="R29" t="s">
        <v>57</v>
      </c>
      <c r="S29" s="1">
        <v>46023</v>
      </c>
      <c r="U29" t="s">
        <v>51</v>
      </c>
      <c r="X29" t="s">
        <v>52</v>
      </c>
      <c r="AF29" s="2">
        <v>175</v>
      </c>
      <c r="AG29" s="2">
        <v>0</v>
      </c>
      <c r="AJ29" s="2">
        <v>87.5</v>
      </c>
    </row>
    <row r="30" spans="1:38" x14ac:dyDescent="0.25">
      <c r="A30" s="1">
        <v>46211</v>
      </c>
      <c r="B30" s="1">
        <v>46211</v>
      </c>
      <c r="C30" t="s">
        <v>145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167</v>
      </c>
      <c r="J30" t="s">
        <v>68</v>
      </c>
      <c r="M30" t="s">
        <v>46</v>
      </c>
      <c r="O30" t="s">
        <v>65</v>
      </c>
      <c r="P30" t="s">
        <v>66</v>
      </c>
      <c r="Q30" t="s">
        <v>150</v>
      </c>
      <c r="R30" t="s">
        <v>57</v>
      </c>
      <c r="S30" s="1">
        <v>46023</v>
      </c>
      <c r="U30" t="s">
        <v>51</v>
      </c>
      <c r="X30" t="s">
        <v>52</v>
      </c>
      <c r="AF30" s="2">
        <v>175</v>
      </c>
      <c r="AG30" s="2">
        <v>0</v>
      </c>
      <c r="AJ30" s="2">
        <v>87.5</v>
      </c>
    </row>
    <row r="31" spans="1:38" x14ac:dyDescent="0.25">
      <c r="A31" s="1">
        <v>46211</v>
      </c>
      <c r="B31" s="1">
        <v>46211</v>
      </c>
      <c r="C31" t="s">
        <v>145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168</v>
      </c>
      <c r="J31" t="s">
        <v>169</v>
      </c>
      <c r="M31" t="s">
        <v>119</v>
      </c>
      <c r="O31" t="s">
        <v>170</v>
      </c>
      <c r="P31" t="s">
        <v>171</v>
      </c>
      <c r="Q31" t="s">
        <v>150</v>
      </c>
      <c r="R31" t="s">
        <v>172</v>
      </c>
      <c r="S31" s="1">
        <v>46023</v>
      </c>
      <c r="U31" t="s">
        <v>51</v>
      </c>
      <c r="X31" t="s">
        <v>52</v>
      </c>
      <c r="AF31" s="2">
        <v>25</v>
      </c>
      <c r="AG31" s="2">
        <v>0</v>
      </c>
      <c r="AJ31" s="2">
        <v>12.5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E35F-97CE-4B69-B4D2-098040CA151A}">
  <dimension ref="A1:T40"/>
  <sheetViews>
    <sheetView tabSelected="1" topLeftCell="D1" workbookViewId="0">
      <selection activeCell="R2" sqref="R2:R31"/>
    </sheetView>
  </sheetViews>
  <sheetFormatPr defaultRowHeight="15" x14ac:dyDescent="0.25"/>
  <cols>
    <col min="1" max="1" width="22.85546875" bestFit="1" customWidth="1"/>
    <col min="2" max="2" width="22.85546875" customWidth="1"/>
    <col min="3" max="3" width="29" bestFit="1" customWidth="1"/>
    <col min="6" max="6" width="12.7109375" bestFit="1" customWidth="1"/>
    <col min="9" max="9" width="51.85546875" bestFit="1" customWidth="1"/>
    <col min="11" max="11" width="10.42578125" bestFit="1" customWidth="1"/>
    <col min="16" max="16" width="12.28515625" customWidth="1"/>
    <col min="17" max="17" width="51.85546875" bestFit="1" customWidth="1"/>
    <col min="18" max="18" width="22.140625" bestFit="1" customWidth="1"/>
  </cols>
  <sheetData>
    <row r="1" spans="1:17" x14ac:dyDescent="0.25">
      <c r="A1" t="s">
        <v>8</v>
      </c>
      <c r="C1" t="s">
        <v>9</v>
      </c>
      <c r="D1" t="s">
        <v>12</v>
      </c>
      <c r="G1" t="s">
        <v>15</v>
      </c>
      <c r="H1" t="s">
        <v>16</v>
      </c>
      <c r="I1" t="s">
        <v>17</v>
      </c>
      <c r="J1" t="s">
        <v>18</v>
      </c>
      <c r="L1" t="s">
        <v>25</v>
      </c>
      <c r="M1" t="s">
        <v>26</v>
      </c>
      <c r="N1" t="s">
        <v>27</v>
      </c>
      <c r="O1" t="s">
        <v>28</v>
      </c>
      <c r="P1" t="s">
        <v>37</v>
      </c>
    </row>
    <row r="2" spans="1:17" x14ac:dyDescent="0.25">
      <c r="A2" s="4">
        <v>101789839500</v>
      </c>
      <c r="B2" s="4" t="str">
        <f>CONCATENATE(A2,"OVR")</f>
        <v>101789839500OVR</v>
      </c>
      <c r="C2" t="s">
        <v>169</v>
      </c>
      <c r="D2" t="s">
        <v>119</v>
      </c>
      <c r="E2">
        <v>17886092</v>
      </c>
      <c r="F2" s="4" t="str">
        <f>CONCATENATE(E2,"OVR")</f>
        <v>17886092OVR</v>
      </c>
      <c r="G2" t="s">
        <v>171</v>
      </c>
      <c r="H2" t="s">
        <v>150</v>
      </c>
      <c r="I2" t="s">
        <v>172</v>
      </c>
      <c r="J2" s="1">
        <v>46023</v>
      </c>
      <c r="K2" s="1">
        <v>46204</v>
      </c>
      <c r="O2" s="5">
        <v>-12.5</v>
      </c>
      <c r="Q2" t="s">
        <v>190</v>
      </c>
    </row>
    <row r="3" spans="1:17" x14ac:dyDescent="0.25">
      <c r="A3" s="4">
        <v>102283931600</v>
      </c>
      <c r="B3" s="4" t="str">
        <f t="shared" ref="B3:B28" si="0">CONCATENATE(A3,"OVR")</f>
        <v>102283931600OVR</v>
      </c>
      <c r="C3" t="s">
        <v>96</v>
      </c>
      <c r="D3" t="s">
        <v>46</v>
      </c>
      <c r="E3">
        <v>16633294</v>
      </c>
      <c r="F3" s="4" t="str">
        <f t="shared" ref="F3:F27" si="1">CONCATENATE(E3,"OVR")</f>
        <v>16633294OVR</v>
      </c>
      <c r="G3" t="s">
        <v>98</v>
      </c>
      <c r="H3" t="s">
        <v>49</v>
      </c>
      <c r="I3" t="s">
        <v>99</v>
      </c>
      <c r="J3" s="1">
        <v>46204</v>
      </c>
      <c r="K3" s="1">
        <v>46235</v>
      </c>
      <c r="L3" s="2">
        <v>12.5</v>
      </c>
      <c r="M3">
        <v>1</v>
      </c>
      <c r="N3" s="3">
        <v>1</v>
      </c>
      <c r="O3" s="2">
        <v>12.5</v>
      </c>
      <c r="P3" t="s">
        <v>100</v>
      </c>
      <c r="Q3" t="s">
        <v>190</v>
      </c>
    </row>
    <row r="4" spans="1:17" x14ac:dyDescent="0.25">
      <c r="A4" s="4">
        <v>102283968400</v>
      </c>
      <c r="B4" s="4" t="str">
        <f t="shared" si="0"/>
        <v>102283968400OVR</v>
      </c>
      <c r="C4" t="s">
        <v>102</v>
      </c>
      <c r="D4" t="s">
        <v>46</v>
      </c>
      <c r="E4">
        <v>16228684</v>
      </c>
      <c r="F4" s="4" t="str">
        <f t="shared" si="1"/>
        <v>16228684OVR</v>
      </c>
      <c r="G4" t="s">
        <v>104</v>
      </c>
      <c r="H4" t="s">
        <v>49</v>
      </c>
      <c r="I4" t="s">
        <v>99</v>
      </c>
      <c r="J4" s="1">
        <v>46235</v>
      </c>
      <c r="K4" s="1">
        <v>46266</v>
      </c>
      <c r="L4" s="2">
        <v>10.42</v>
      </c>
      <c r="M4">
        <v>1</v>
      </c>
      <c r="N4" s="3">
        <v>1</v>
      </c>
      <c r="O4" s="2">
        <v>10.42</v>
      </c>
      <c r="P4" t="s">
        <v>105</v>
      </c>
      <c r="Q4" t="s">
        <v>190</v>
      </c>
    </row>
    <row r="5" spans="1:17" x14ac:dyDescent="0.25">
      <c r="A5" s="4">
        <v>102283991900</v>
      </c>
      <c r="B5" s="4" t="str">
        <f t="shared" si="0"/>
        <v>102283991900OVR</v>
      </c>
      <c r="C5" t="s">
        <v>107</v>
      </c>
      <c r="D5" t="s">
        <v>108</v>
      </c>
      <c r="E5">
        <v>8325282</v>
      </c>
      <c r="F5" s="4" t="str">
        <f t="shared" si="1"/>
        <v>8325282OVR</v>
      </c>
      <c r="G5" t="s">
        <v>110</v>
      </c>
      <c r="H5" t="s">
        <v>49</v>
      </c>
      <c r="I5" t="s">
        <v>99</v>
      </c>
      <c r="J5" s="1">
        <v>46204</v>
      </c>
      <c r="K5" s="1">
        <v>46235</v>
      </c>
      <c r="L5" s="2">
        <v>12.5</v>
      </c>
      <c r="M5">
        <v>1</v>
      </c>
      <c r="N5" s="3">
        <v>1</v>
      </c>
      <c r="O5" s="2">
        <v>12.5</v>
      </c>
      <c r="P5" t="s">
        <v>100</v>
      </c>
      <c r="Q5" t="s">
        <v>190</v>
      </c>
    </row>
    <row r="6" spans="1:17" x14ac:dyDescent="0.25">
      <c r="A6" s="4">
        <v>102284235200</v>
      </c>
      <c r="B6" s="4" t="str">
        <f t="shared" si="0"/>
        <v>102284235200OVR</v>
      </c>
      <c r="C6" t="s">
        <v>112</v>
      </c>
      <c r="D6" t="s">
        <v>46</v>
      </c>
      <c r="E6">
        <v>16633294</v>
      </c>
      <c r="F6" s="4" t="str">
        <f t="shared" si="1"/>
        <v>16633294OVR</v>
      </c>
      <c r="G6" t="s">
        <v>98</v>
      </c>
      <c r="H6" t="s">
        <v>49</v>
      </c>
      <c r="I6" t="s">
        <v>99</v>
      </c>
      <c r="J6" s="1">
        <v>46235</v>
      </c>
      <c r="K6" s="1">
        <v>46266</v>
      </c>
      <c r="L6" s="2">
        <v>10.42</v>
      </c>
      <c r="M6">
        <v>1</v>
      </c>
      <c r="N6" s="3">
        <v>1</v>
      </c>
      <c r="O6" s="2">
        <v>10.42</v>
      </c>
      <c r="P6" t="s">
        <v>105</v>
      </c>
      <c r="Q6" t="s">
        <v>190</v>
      </c>
    </row>
    <row r="7" spans="1:17" x14ac:dyDescent="0.25">
      <c r="A7" s="4">
        <v>102284240000</v>
      </c>
      <c r="B7" s="4" t="str">
        <f t="shared" si="0"/>
        <v>102284240000OVR</v>
      </c>
      <c r="C7" t="s">
        <v>114</v>
      </c>
      <c r="D7" t="s">
        <v>46</v>
      </c>
      <c r="E7">
        <v>7470776</v>
      </c>
      <c r="F7" s="4" t="str">
        <f t="shared" si="1"/>
        <v>7470776OVR</v>
      </c>
      <c r="G7" t="s">
        <v>116</v>
      </c>
      <c r="H7" t="s">
        <v>49</v>
      </c>
      <c r="I7" t="s">
        <v>99</v>
      </c>
      <c r="J7" s="1">
        <v>46235</v>
      </c>
      <c r="K7" s="1">
        <v>46266</v>
      </c>
      <c r="L7" s="2">
        <v>10.42</v>
      </c>
      <c r="M7">
        <v>1</v>
      </c>
      <c r="N7" s="3">
        <v>1</v>
      </c>
      <c r="O7" s="2">
        <v>10.42</v>
      </c>
      <c r="P7" t="s">
        <v>105</v>
      </c>
      <c r="Q7" t="s">
        <v>190</v>
      </c>
    </row>
    <row r="8" spans="1:17" x14ac:dyDescent="0.25">
      <c r="A8" s="4">
        <v>102284628100</v>
      </c>
      <c r="B8" s="4" t="str">
        <f t="shared" si="0"/>
        <v>102284628100OVR</v>
      </c>
      <c r="C8" t="s">
        <v>118</v>
      </c>
      <c r="D8" t="s">
        <v>119</v>
      </c>
      <c r="E8">
        <v>20253958</v>
      </c>
      <c r="F8" s="4" t="str">
        <f t="shared" si="1"/>
        <v>20253958OVR</v>
      </c>
      <c r="G8" t="s">
        <v>121</v>
      </c>
      <c r="H8" t="s">
        <v>49</v>
      </c>
      <c r="I8" t="s">
        <v>99</v>
      </c>
      <c r="J8" s="1">
        <v>46235</v>
      </c>
      <c r="K8" s="1">
        <v>46266</v>
      </c>
      <c r="L8" s="2">
        <v>10.42</v>
      </c>
      <c r="M8">
        <v>1</v>
      </c>
      <c r="N8" s="3">
        <v>1</v>
      </c>
      <c r="O8" s="2">
        <v>10.42</v>
      </c>
      <c r="P8" t="s">
        <v>105</v>
      </c>
      <c r="Q8" t="s">
        <v>190</v>
      </c>
    </row>
    <row r="9" spans="1:17" x14ac:dyDescent="0.25">
      <c r="A9" s="4">
        <v>102284749100</v>
      </c>
      <c r="B9" s="4" t="str">
        <f t="shared" si="0"/>
        <v>102284749100OVR</v>
      </c>
      <c r="C9" t="s">
        <v>123</v>
      </c>
      <c r="D9" t="s">
        <v>46</v>
      </c>
      <c r="E9">
        <v>7470776</v>
      </c>
      <c r="F9" s="4" t="str">
        <f t="shared" si="1"/>
        <v>7470776OVR</v>
      </c>
      <c r="G9" t="s">
        <v>116</v>
      </c>
      <c r="H9" t="s">
        <v>49</v>
      </c>
      <c r="I9" t="s">
        <v>99</v>
      </c>
      <c r="J9" s="1">
        <v>46204</v>
      </c>
      <c r="K9" s="1">
        <v>46235</v>
      </c>
      <c r="L9" s="2">
        <v>12.5</v>
      </c>
      <c r="M9">
        <v>1</v>
      </c>
      <c r="N9" s="3">
        <v>1</v>
      </c>
      <c r="O9" s="2">
        <v>12.5</v>
      </c>
      <c r="P9" t="s">
        <v>100</v>
      </c>
      <c r="Q9" t="s">
        <v>190</v>
      </c>
    </row>
    <row r="10" spans="1:17" x14ac:dyDescent="0.25">
      <c r="A10" s="4" t="s">
        <v>184</v>
      </c>
      <c r="B10" s="4" t="str">
        <f t="shared" si="0"/>
        <v>MEQNDVYM00000280909OVR</v>
      </c>
      <c r="C10" t="s">
        <v>139</v>
      </c>
      <c r="D10" t="s">
        <v>46</v>
      </c>
      <c r="E10">
        <v>9213293</v>
      </c>
      <c r="F10" s="4" t="str">
        <f t="shared" si="1"/>
        <v>9213293OVR</v>
      </c>
      <c r="G10" t="s">
        <v>66</v>
      </c>
      <c r="H10" t="s">
        <v>49</v>
      </c>
      <c r="I10" t="s">
        <v>99</v>
      </c>
      <c r="J10" s="1">
        <v>46113</v>
      </c>
      <c r="K10" s="1">
        <v>46204</v>
      </c>
      <c r="L10" s="2">
        <v>18.75</v>
      </c>
      <c r="M10">
        <v>1</v>
      </c>
      <c r="N10" s="3">
        <v>1</v>
      </c>
      <c r="O10" s="2">
        <v>18.75</v>
      </c>
      <c r="P10" t="s">
        <v>140</v>
      </c>
      <c r="Q10" t="s">
        <v>190</v>
      </c>
    </row>
    <row r="11" spans="1:17" x14ac:dyDescent="0.25">
      <c r="A11" s="4" t="s">
        <v>185</v>
      </c>
      <c r="B11" s="4" t="str">
        <f t="shared" si="0"/>
        <v>MEQNDVYM00000287688OVR</v>
      </c>
      <c r="C11" t="s">
        <v>142</v>
      </c>
      <c r="D11" t="s">
        <v>46</v>
      </c>
      <c r="E11">
        <v>21283956</v>
      </c>
      <c r="F11" s="4" t="str">
        <f t="shared" si="1"/>
        <v>21283956OVR</v>
      </c>
      <c r="G11" t="s">
        <v>144</v>
      </c>
      <c r="H11" t="s">
        <v>49</v>
      </c>
      <c r="I11" t="s">
        <v>99</v>
      </c>
      <c r="J11" s="1">
        <v>46113</v>
      </c>
      <c r="K11" s="1">
        <v>46204</v>
      </c>
      <c r="L11" s="2">
        <v>18.75</v>
      </c>
      <c r="M11">
        <v>1</v>
      </c>
      <c r="N11" s="3">
        <v>1</v>
      </c>
      <c r="O11" s="2">
        <v>18.75</v>
      </c>
      <c r="P11" t="s">
        <v>140</v>
      </c>
      <c r="Q11" t="s">
        <v>190</v>
      </c>
    </row>
    <row r="12" spans="1:17" x14ac:dyDescent="0.25">
      <c r="A12" s="4" t="s">
        <v>174</v>
      </c>
      <c r="B12" s="4" t="str">
        <f t="shared" si="0"/>
        <v>00018468881KOVR</v>
      </c>
      <c r="C12" t="s">
        <v>54</v>
      </c>
      <c r="D12" t="s">
        <v>46</v>
      </c>
      <c r="E12">
        <v>8812322</v>
      </c>
      <c r="F12" s="4" t="str">
        <f t="shared" si="1"/>
        <v>8812322OVR</v>
      </c>
      <c r="G12" t="s">
        <v>56</v>
      </c>
      <c r="H12" t="s">
        <v>49</v>
      </c>
      <c r="I12" t="s">
        <v>57</v>
      </c>
      <c r="J12" s="1">
        <v>46204</v>
      </c>
      <c r="K12" s="1">
        <v>46235</v>
      </c>
      <c r="L12" s="2">
        <v>175</v>
      </c>
      <c r="M12">
        <v>1</v>
      </c>
      <c r="N12" s="3">
        <v>1</v>
      </c>
      <c r="O12" s="2">
        <v>175</v>
      </c>
      <c r="Q12" t="s">
        <v>191</v>
      </c>
    </row>
    <row r="13" spans="1:17" x14ac:dyDescent="0.25">
      <c r="A13" s="4" t="s">
        <v>178</v>
      </c>
      <c r="B13" s="4" t="str">
        <f t="shared" si="0"/>
        <v>00026286154KOVR</v>
      </c>
      <c r="C13" t="s">
        <v>70</v>
      </c>
      <c r="D13" t="s">
        <v>71</v>
      </c>
      <c r="E13">
        <v>19681796</v>
      </c>
      <c r="F13" s="4" t="str">
        <f t="shared" si="1"/>
        <v>19681796OVR</v>
      </c>
      <c r="G13" t="s">
        <v>73</v>
      </c>
      <c r="H13" t="s">
        <v>74</v>
      </c>
      <c r="I13" t="s">
        <v>57</v>
      </c>
      <c r="J13" s="1">
        <v>46113</v>
      </c>
      <c r="K13" s="1">
        <v>46204</v>
      </c>
      <c r="L13" s="2">
        <v>145.25</v>
      </c>
      <c r="M13">
        <v>1</v>
      </c>
      <c r="N13" s="3">
        <v>1</v>
      </c>
      <c r="O13" s="2">
        <v>145.25</v>
      </c>
      <c r="P13" t="s">
        <v>75</v>
      </c>
      <c r="Q13" t="s">
        <v>191</v>
      </c>
    </row>
    <row r="14" spans="1:17" x14ac:dyDescent="0.25">
      <c r="A14" s="4" t="s">
        <v>179</v>
      </c>
      <c r="B14" s="4" t="str">
        <f t="shared" si="0"/>
        <v>00026612547KOVR</v>
      </c>
      <c r="C14" t="s">
        <v>77</v>
      </c>
      <c r="D14" t="s">
        <v>78</v>
      </c>
      <c r="E14">
        <v>19481808</v>
      </c>
      <c r="F14" s="4" t="str">
        <f t="shared" si="1"/>
        <v>19481808OVR</v>
      </c>
      <c r="G14" t="s">
        <v>80</v>
      </c>
      <c r="H14" t="s">
        <v>49</v>
      </c>
      <c r="I14" t="s">
        <v>57</v>
      </c>
      <c r="J14" s="1">
        <v>46174</v>
      </c>
      <c r="K14" s="1">
        <v>46204</v>
      </c>
      <c r="L14" s="2">
        <v>175</v>
      </c>
      <c r="M14">
        <v>1</v>
      </c>
      <c r="N14" s="3">
        <v>1</v>
      </c>
      <c r="O14" s="2">
        <v>175</v>
      </c>
      <c r="Q14" t="s">
        <v>191</v>
      </c>
    </row>
    <row r="15" spans="1:17" x14ac:dyDescent="0.25">
      <c r="A15" s="4" t="s">
        <v>180</v>
      </c>
      <c r="B15" s="4" t="str">
        <f t="shared" si="0"/>
        <v>00026647015KOVR</v>
      </c>
      <c r="C15" t="s">
        <v>82</v>
      </c>
      <c r="D15" t="s">
        <v>46</v>
      </c>
      <c r="E15">
        <v>19396223</v>
      </c>
      <c r="F15" s="4" t="str">
        <f t="shared" si="1"/>
        <v>19396223OVR</v>
      </c>
      <c r="G15" t="s">
        <v>84</v>
      </c>
      <c r="H15" t="s">
        <v>49</v>
      </c>
      <c r="I15" t="s">
        <v>57</v>
      </c>
      <c r="J15" s="1">
        <v>46204</v>
      </c>
      <c r="K15" s="1">
        <v>46235</v>
      </c>
      <c r="L15" s="2">
        <v>175</v>
      </c>
      <c r="M15">
        <v>1</v>
      </c>
      <c r="N15" s="3">
        <v>1</v>
      </c>
      <c r="O15" s="2">
        <v>175</v>
      </c>
      <c r="Q15" t="s">
        <v>191</v>
      </c>
    </row>
    <row r="16" spans="1:17" x14ac:dyDescent="0.25">
      <c r="A16" s="4" t="s">
        <v>181</v>
      </c>
      <c r="B16" s="4" t="str">
        <f t="shared" si="0"/>
        <v>00026655989KOVR</v>
      </c>
      <c r="C16" t="s">
        <v>86</v>
      </c>
      <c r="D16" t="s">
        <v>46</v>
      </c>
      <c r="E16">
        <v>19200754</v>
      </c>
      <c r="F16" s="4" t="str">
        <f t="shared" si="1"/>
        <v>19200754OVR</v>
      </c>
      <c r="G16" t="s">
        <v>88</v>
      </c>
      <c r="H16" t="s">
        <v>49</v>
      </c>
      <c r="I16" t="s">
        <v>57</v>
      </c>
      <c r="J16" s="1">
        <v>46204</v>
      </c>
      <c r="K16" s="1">
        <v>46235</v>
      </c>
      <c r="L16" s="2">
        <v>175</v>
      </c>
      <c r="M16">
        <v>1</v>
      </c>
      <c r="N16" s="3">
        <v>1</v>
      </c>
      <c r="O16" s="2">
        <v>175</v>
      </c>
      <c r="Q16" t="s">
        <v>191</v>
      </c>
    </row>
    <row r="17" spans="1:20" x14ac:dyDescent="0.25">
      <c r="A17" s="4" t="s">
        <v>182</v>
      </c>
      <c r="B17" s="4" t="str">
        <f t="shared" si="0"/>
        <v>00026656492KOVR</v>
      </c>
      <c r="C17" t="s">
        <v>90</v>
      </c>
      <c r="D17" t="s">
        <v>46</v>
      </c>
      <c r="E17">
        <v>21646325</v>
      </c>
      <c r="F17" s="4" t="str">
        <f t="shared" si="1"/>
        <v>21646325OVR</v>
      </c>
      <c r="G17" t="s">
        <v>92</v>
      </c>
      <c r="H17" t="s">
        <v>49</v>
      </c>
      <c r="I17" t="s">
        <v>57</v>
      </c>
      <c r="J17" s="1">
        <v>46204</v>
      </c>
      <c r="K17" s="1">
        <v>46235</v>
      </c>
      <c r="L17" s="2">
        <v>175</v>
      </c>
      <c r="M17">
        <v>1</v>
      </c>
      <c r="N17" s="3">
        <v>1</v>
      </c>
      <c r="O17" s="2">
        <v>175</v>
      </c>
      <c r="Q17" t="s">
        <v>191</v>
      </c>
    </row>
    <row r="18" spans="1:20" x14ac:dyDescent="0.25">
      <c r="A18" s="4" t="s">
        <v>183</v>
      </c>
      <c r="B18" s="4" t="str">
        <f t="shared" si="0"/>
        <v>00026656569KOVR</v>
      </c>
      <c r="C18" t="s">
        <v>94</v>
      </c>
      <c r="D18" t="s">
        <v>46</v>
      </c>
      <c r="E18">
        <v>19200754</v>
      </c>
      <c r="F18" s="4" t="str">
        <f t="shared" si="1"/>
        <v>19200754OVR</v>
      </c>
      <c r="G18" t="s">
        <v>88</v>
      </c>
      <c r="H18" t="s">
        <v>49</v>
      </c>
      <c r="I18" t="s">
        <v>57</v>
      </c>
      <c r="J18" s="1">
        <v>46204</v>
      </c>
      <c r="K18" s="1">
        <v>46235</v>
      </c>
      <c r="L18" s="2">
        <v>175</v>
      </c>
      <c r="M18">
        <v>1</v>
      </c>
      <c r="N18" s="3">
        <v>1</v>
      </c>
      <c r="O18" s="2">
        <v>175</v>
      </c>
      <c r="Q18" t="s">
        <v>191</v>
      </c>
    </row>
    <row r="19" spans="1:20" x14ac:dyDescent="0.25">
      <c r="A19" s="4" t="s">
        <v>187</v>
      </c>
      <c r="B19" s="4" t="str">
        <f t="shared" si="0"/>
        <v>00017117805KOVR</v>
      </c>
      <c r="C19" t="s">
        <v>152</v>
      </c>
      <c r="D19" t="s">
        <v>153</v>
      </c>
      <c r="E19">
        <v>8307933</v>
      </c>
      <c r="F19" s="4" t="str">
        <f t="shared" si="1"/>
        <v>8307933OVR</v>
      </c>
      <c r="G19" t="s">
        <v>155</v>
      </c>
      <c r="H19" t="s">
        <v>150</v>
      </c>
      <c r="I19" t="s">
        <v>57</v>
      </c>
      <c r="J19" s="1">
        <v>46023</v>
      </c>
      <c r="K19" s="1">
        <v>46204</v>
      </c>
      <c r="O19" s="5">
        <v>-87.5</v>
      </c>
      <c r="Q19" t="s">
        <v>191</v>
      </c>
    </row>
    <row r="20" spans="1:20" x14ac:dyDescent="0.25">
      <c r="A20" s="4" t="s">
        <v>188</v>
      </c>
      <c r="B20" s="4" t="str">
        <f t="shared" si="0"/>
        <v>00023271984KOVR</v>
      </c>
      <c r="C20" t="s">
        <v>157</v>
      </c>
      <c r="D20" t="s">
        <v>158</v>
      </c>
      <c r="E20">
        <v>8814784</v>
      </c>
      <c r="F20" s="4" t="str">
        <f t="shared" si="1"/>
        <v>8814784OVR</v>
      </c>
      <c r="G20" t="s">
        <v>160</v>
      </c>
      <c r="H20" t="s">
        <v>150</v>
      </c>
      <c r="I20" t="s">
        <v>57</v>
      </c>
      <c r="J20" s="1">
        <v>46082</v>
      </c>
      <c r="K20" s="1">
        <v>46204</v>
      </c>
      <c r="O20" s="5">
        <v>-117.25</v>
      </c>
      <c r="Q20" t="s">
        <v>191</v>
      </c>
    </row>
    <row r="21" spans="1:20" x14ac:dyDescent="0.25">
      <c r="A21" s="4" t="s">
        <v>189</v>
      </c>
      <c r="B21" s="4" t="str">
        <f t="shared" si="0"/>
        <v>00024548971KOVR</v>
      </c>
      <c r="C21" t="s">
        <v>162</v>
      </c>
      <c r="D21" t="s">
        <v>163</v>
      </c>
      <c r="E21">
        <v>20003537</v>
      </c>
      <c r="F21" s="4" t="str">
        <f t="shared" si="1"/>
        <v>20003537OVR</v>
      </c>
      <c r="G21" t="s">
        <v>165</v>
      </c>
      <c r="H21" t="s">
        <v>150</v>
      </c>
      <c r="I21" t="s">
        <v>57</v>
      </c>
      <c r="J21" s="1">
        <v>46023</v>
      </c>
      <c r="K21" s="1">
        <v>46204</v>
      </c>
      <c r="O21" s="5">
        <v>-73.5</v>
      </c>
      <c r="Q21" t="s">
        <v>191</v>
      </c>
    </row>
    <row r="22" spans="1:20" x14ac:dyDescent="0.25">
      <c r="A22" s="4" t="s">
        <v>176</v>
      </c>
      <c r="B22" s="4" t="str">
        <f t="shared" si="0"/>
        <v>00025849155KOVR</v>
      </c>
      <c r="C22" t="s">
        <v>64</v>
      </c>
      <c r="D22" t="s">
        <v>46</v>
      </c>
      <c r="E22">
        <v>9213293</v>
      </c>
      <c r="F22" s="4" t="str">
        <f t="shared" si="1"/>
        <v>9213293OVR</v>
      </c>
      <c r="G22" t="s">
        <v>66</v>
      </c>
      <c r="H22" t="s">
        <v>150</v>
      </c>
      <c r="I22" t="s">
        <v>57</v>
      </c>
      <c r="J22" s="1">
        <v>46023</v>
      </c>
      <c r="K22" s="1">
        <v>46204</v>
      </c>
      <c r="O22" s="5">
        <v>-87.5</v>
      </c>
      <c r="Q22" t="s">
        <v>191</v>
      </c>
    </row>
    <row r="23" spans="1:20" x14ac:dyDescent="0.25">
      <c r="A23" s="4" t="s">
        <v>177</v>
      </c>
      <c r="B23" s="4" t="str">
        <f t="shared" si="0"/>
        <v>00025849253KOVR</v>
      </c>
      <c r="C23" t="s">
        <v>68</v>
      </c>
      <c r="D23" t="s">
        <v>46</v>
      </c>
      <c r="E23">
        <v>9213293</v>
      </c>
      <c r="F23" s="4" t="str">
        <f t="shared" si="1"/>
        <v>9213293OVR</v>
      </c>
      <c r="G23" t="s">
        <v>66</v>
      </c>
      <c r="H23" t="s">
        <v>150</v>
      </c>
      <c r="I23" t="s">
        <v>57</v>
      </c>
      <c r="J23" s="1">
        <v>46023</v>
      </c>
      <c r="K23" s="1">
        <v>46204</v>
      </c>
      <c r="O23" s="5">
        <v>-87.5</v>
      </c>
      <c r="Q23" t="s">
        <v>191</v>
      </c>
    </row>
    <row r="24" spans="1:20" x14ac:dyDescent="0.25">
      <c r="A24" s="4" t="s">
        <v>173</v>
      </c>
      <c r="B24" s="4" t="str">
        <f t="shared" si="0"/>
        <v>00008021084KOVR</v>
      </c>
      <c r="C24" t="s">
        <v>45</v>
      </c>
      <c r="D24" t="s">
        <v>46</v>
      </c>
      <c r="E24">
        <v>16997303</v>
      </c>
      <c r="F24" s="4" t="str">
        <f t="shared" si="1"/>
        <v>16997303OVR</v>
      </c>
      <c r="G24" t="s">
        <v>48</v>
      </c>
      <c r="H24" t="s">
        <v>49</v>
      </c>
      <c r="I24" t="s">
        <v>50</v>
      </c>
      <c r="J24" s="1">
        <v>46204</v>
      </c>
      <c r="K24" s="1">
        <v>46235</v>
      </c>
      <c r="L24" s="2">
        <v>108</v>
      </c>
      <c r="M24">
        <v>1</v>
      </c>
      <c r="N24" s="3">
        <v>1</v>
      </c>
      <c r="O24" s="2">
        <v>108</v>
      </c>
      <c r="Q24" t="s">
        <v>191</v>
      </c>
    </row>
    <row r="25" spans="1:20" x14ac:dyDescent="0.25">
      <c r="A25" s="4" t="s">
        <v>175</v>
      </c>
      <c r="B25" s="4" t="str">
        <f t="shared" si="0"/>
        <v>00025767924KOVR</v>
      </c>
      <c r="C25" t="s">
        <v>59</v>
      </c>
      <c r="D25" t="s">
        <v>60</v>
      </c>
      <c r="E25">
        <v>1706194</v>
      </c>
      <c r="F25" s="4" t="str">
        <f t="shared" si="1"/>
        <v>1706194OVR</v>
      </c>
      <c r="G25" t="s">
        <v>62</v>
      </c>
      <c r="H25" t="s">
        <v>49</v>
      </c>
      <c r="I25" t="s">
        <v>50</v>
      </c>
      <c r="J25" s="1">
        <v>46204</v>
      </c>
      <c r="K25" s="1">
        <v>46235</v>
      </c>
      <c r="L25" s="2">
        <v>108</v>
      </c>
      <c r="M25">
        <v>1</v>
      </c>
      <c r="N25" s="3">
        <v>1</v>
      </c>
      <c r="O25" s="2">
        <v>108</v>
      </c>
      <c r="Q25" t="s">
        <v>191</v>
      </c>
    </row>
    <row r="26" spans="1:20" x14ac:dyDescent="0.25">
      <c r="A26" s="4" t="s">
        <v>176</v>
      </c>
      <c r="B26" s="4" t="str">
        <f t="shared" si="0"/>
        <v>00025849155KOVR</v>
      </c>
      <c r="C26" t="s">
        <v>64</v>
      </c>
      <c r="D26" t="s">
        <v>46</v>
      </c>
      <c r="E26">
        <v>9213293</v>
      </c>
      <c r="F26" s="4" t="str">
        <f t="shared" si="1"/>
        <v>9213293OVR</v>
      </c>
      <c r="G26" t="s">
        <v>66</v>
      </c>
      <c r="H26" t="s">
        <v>49</v>
      </c>
      <c r="I26" t="s">
        <v>50</v>
      </c>
      <c r="J26" s="1">
        <v>46204</v>
      </c>
      <c r="K26" s="1">
        <v>46235</v>
      </c>
      <c r="L26" s="2">
        <v>108</v>
      </c>
      <c r="M26">
        <v>1</v>
      </c>
      <c r="N26" s="3">
        <v>1</v>
      </c>
      <c r="O26" s="2">
        <v>108</v>
      </c>
      <c r="Q26" t="s">
        <v>191</v>
      </c>
    </row>
    <row r="27" spans="1:20" x14ac:dyDescent="0.25">
      <c r="A27" s="4" t="s">
        <v>177</v>
      </c>
      <c r="B27" s="4" t="str">
        <f t="shared" si="0"/>
        <v>00025849253KOVR</v>
      </c>
      <c r="C27" t="s">
        <v>68</v>
      </c>
      <c r="D27" t="s">
        <v>46</v>
      </c>
      <c r="E27">
        <v>9213293</v>
      </c>
      <c r="F27" s="4" t="str">
        <f t="shared" si="1"/>
        <v>9213293OVR</v>
      </c>
      <c r="G27" t="s">
        <v>66</v>
      </c>
      <c r="H27" t="s">
        <v>49</v>
      </c>
      <c r="I27" t="s">
        <v>50</v>
      </c>
      <c r="J27" s="1">
        <v>46204</v>
      </c>
      <c r="K27" s="1">
        <v>46235</v>
      </c>
      <c r="L27" s="2">
        <v>108</v>
      </c>
      <c r="M27">
        <v>1</v>
      </c>
      <c r="N27" s="3">
        <v>1</v>
      </c>
      <c r="O27" s="2">
        <v>108</v>
      </c>
      <c r="Q27" t="s">
        <v>191</v>
      </c>
    </row>
    <row r="28" spans="1:20" x14ac:dyDescent="0.25">
      <c r="A28" s="4" t="s">
        <v>186</v>
      </c>
      <c r="B28" s="4" t="str">
        <f t="shared" si="0"/>
        <v>00003837723KOVR</v>
      </c>
      <c r="C28" t="s">
        <v>147</v>
      </c>
      <c r="D28" t="s">
        <v>126</v>
      </c>
      <c r="E28">
        <v>17516272</v>
      </c>
      <c r="F28" s="4" t="str">
        <f>CONCATENATE(E28,"OVR")</f>
        <v>17516272OVR</v>
      </c>
      <c r="G28" t="s">
        <v>149</v>
      </c>
      <c r="H28" t="s">
        <v>150</v>
      </c>
      <c r="I28" t="s">
        <v>50</v>
      </c>
      <c r="J28" s="1">
        <v>46054</v>
      </c>
      <c r="K28" s="1">
        <v>46204</v>
      </c>
      <c r="O28" s="5">
        <v>-62.64</v>
      </c>
      <c r="Q28" t="s">
        <v>191</v>
      </c>
    </row>
    <row r="29" spans="1:20" s="7" customFormat="1" x14ac:dyDescent="0.25">
      <c r="A29" s="6" t="s">
        <v>197</v>
      </c>
      <c r="B29" s="6" t="s">
        <v>197</v>
      </c>
      <c r="C29" s="7" t="s">
        <v>133</v>
      </c>
      <c r="D29" s="7" t="s">
        <v>134</v>
      </c>
      <c r="E29" s="7">
        <v>18598357</v>
      </c>
      <c r="F29" s="7">
        <v>18598357</v>
      </c>
      <c r="G29" s="7" t="s">
        <v>136</v>
      </c>
      <c r="H29" s="7" t="s">
        <v>49</v>
      </c>
      <c r="I29" s="7" t="s">
        <v>137</v>
      </c>
      <c r="J29" s="8">
        <v>46174</v>
      </c>
      <c r="K29" s="8">
        <v>46204</v>
      </c>
      <c r="L29" s="9">
        <v>31.5</v>
      </c>
      <c r="M29" s="7">
        <v>1</v>
      </c>
      <c r="N29" s="10">
        <v>1</v>
      </c>
      <c r="O29" s="9">
        <v>31.5</v>
      </c>
      <c r="Q29" s="7" t="s">
        <v>137</v>
      </c>
    </row>
    <row r="30" spans="1:20" x14ac:dyDescent="0.25">
      <c r="A30" s="4">
        <v>907503609</v>
      </c>
      <c r="B30" s="4" t="str">
        <f>CONCATENATE(A30,"OVR")</f>
        <v>907503609OVR</v>
      </c>
      <c r="C30" t="s">
        <v>125</v>
      </c>
      <c r="D30" t="s">
        <v>126</v>
      </c>
      <c r="E30">
        <v>7565575</v>
      </c>
      <c r="F30" s="4" t="str">
        <f>CONCATENATE(E30,"OVR")</f>
        <v>7565575OVR</v>
      </c>
      <c r="G30" t="s">
        <v>128</v>
      </c>
      <c r="H30" t="s">
        <v>49</v>
      </c>
      <c r="I30" t="s">
        <v>131</v>
      </c>
      <c r="J30" s="1">
        <v>46235</v>
      </c>
      <c r="K30" s="1">
        <v>46387</v>
      </c>
      <c r="L30" s="2">
        <v>47.08</v>
      </c>
      <c r="M30">
        <v>1</v>
      </c>
      <c r="N30" s="3">
        <v>1</v>
      </c>
      <c r="O30" s="2">
        <v>47.08</v>
      </c>
      <c r="P30" t="s">
        <v>105</v>
      </c>
      <c r="Q30" t="s">
        <v>192</v>
      </c>
    </row>
    <row r="31" spans="1:20" s="7" customFormat="1" x14ac:dyDescent="0.25">
      <c r="A31" s="6">
        <v>90750360911</v>
      </c>
      <c r="B31" s="6">
        <v>90750360911</v>
      </c>
      <c r="C31" s="7" t="s">
        <v>125</v>
      </c>
      <c r="D31" s="7" t="s">
        <v>126</v>
      </c>
      <c r="E31" s="7">
        <v>7565575</v>
      </c>
      <c r="F31" s="7">
        <v>7565575</v>
      </c>
      <c r="G31" s="7" t="s">
        <v>128</v>
      </c>
      <c r="H31" s="7" t="s">
        <v>49</v>
      </c>
      <c r="I31" s="7" t="s">
        <v>129</v>
      </c>
      <c r="J31" s="8">
        <v>46235</v>
      </c>
      <c r="K31" s="8">
        <v>46387</v>
      </c>
      <c r="L31" s="9">
        <v>169.17</v>
      </c>
      <c r="M31" s="7">
        <v>1</v>
      </c>
      <c r="N31" s="10">
        <v>1</v>
      </c>
      <c r="O31" s="9">
        <v>169.17</v>
      </c>
      <c r="P31" s="7" t="s">
        <v>105</v>
      </c>
      <c r="Q31" s="7" t="s">
        <v>195</v>
      </c>
      <c r="R31" s="7" t="s">
        <v>196</v>
      </c>
      <c r="T31" s="7">
        <f>391/12*5</f>
        <v>162.91666666666669</v>
      </c>
    </row>
    <row r="38" spans="9:16" ht="17.25" x14ac:dyDescent="0.3">
      <c r="I38" s="11" t="s">
        <v>193</v>
      </c>
    </row>
    <row r="39" spans="9:16" ht="17.25" x14ac:dyDescent="0.3">
      <c r="I39" s="11" t="s">
        <v>194</v>
      </c>
      <c r="J39">
        <v>21</v>
      </c>
      <c r="L39">
        <v>315</v>
      </c>
      <c r="N39">
        <v>10</v>
      </c>
      <c r="O39">
        <v>150</v>
      </c>
    </row>
    <row r="40" spans="9:16" x14ac:dyDescent="0.25">
      <c r="J40">
        <f>J39*3</f>
        <v>63</v>
      </c>
      <c r="L40">
        <f>J40+L39</f>
        <v>378</v>
      </c>
      <c r="M40">
        <f>L40/12</f>
        <v>31.5</v>
      </c>
      <c r="N40">
        <f>N39*3</f>
        <v>30</v>
      </c>
      <c r="O40">
        <f>N40+O39</f>
        <v>180</v>
      </c>
      <c r="P40">
        <f>O40/12</f>
        <v>15</v>
      </c>
    </row>
  </sheetData>
  <sortState xmlns:xlrd2="http://schemas.microsoft.com/office/spreadsheetml/2017/richdata2" ref="A2:AN31">
    <sortCondition ref="I2:I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2026-07-09T18:01:41Z</dcterms:created>
  <dcterms:modified xsi:type="dcterms:W3CDTF">2026-07-14T15:44:20Z</dcterms:modified>
</cp:coreProperties>
</file>