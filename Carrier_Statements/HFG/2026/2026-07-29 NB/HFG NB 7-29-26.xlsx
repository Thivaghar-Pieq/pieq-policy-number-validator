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FG\2026\2026-07-29 NB\"/>
    </mc:Choice>
  </mc:AlternateContent>
  <xr:revisionPtr revIDLastSave="0" documentId="13_ncr:1_{9922E28F-F37B-43CD-B5F0-36E53272DEDA}" xr6:coauthVersionLast="47" xr6:coauthVersionMax="47" xr10:uidLastSave="{00000000-0000-0000-0000-000000000000}"/>
  <bookViews>
    <workbookView xWindow="-120" yWindow="-120" windowWidth="29040" windowHeight="15720" xr2:uid="{C0AF2C0B-7439-41D9-BD7A-C414DEF93609}"/>
  </bookViews>
  <sheets>
    <sheet name="New Business Agent Statement -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9" i="1" l="1"/>
  <c r="F101" i="1"/>
  <c r="F100" i="1"/>
  <c r="F99" i="1"/>
  <c r="F98" i="1"/>
  <c r="F97" i="1"/>
  <c r="F96" i="1"/>
  <c r="F95" i="1"/>
  <c r="F94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108" i="1"/>
  <c r="B107" i="1"/>
  <c r="B106" i="1"/>
  <c r="B105" i="1"/>
  <c r="B104" i="1"/>
  <c r="B103" i="1"/>
  <c r="B102" i="1"/>
  <c r="B93" i="1"/>
  <c r="B92" i="1"/>
  <c r="B91" i="1"/>
  <c r="B101" i="1"/>
  <c r="B100" i="1"/>
  <c r="B99" i="1"/>
  <c r="B98" i="1"/>
  <c r="B97" i="1"/>
  <c r="B96" i="1"/>
  <c r="B95" i="1"/>
  <c r="B94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R108" i="1"/>
  <c r="R106" i="1"/>
  <c r="R105" i="1"/>
  <c r="R102" i="1"/>
</calcChain>
</file>

<file path=xl/sharedStrings.xml><?xml version="1.0" encoding="utf-8"?>
<sst xmlns="http://schemas.openxmlformats.org/spreadsheetml/2006/main" count="697" uniqueCount="166">
  <si>
    <t>Policy Number</t>
  </si>
  <si>
    <t>Policyholder Name</t>
  </si>
  <si>
    <t>State</t>
  </si>
  <si>
    <t>Writing Agent ID</t>
  </si>
  <si>
    <t>Writing Agent Name</t>
  </si>
  <si>
    <t>Product</t>
  </si>
  <si>
    <t>Issue Date</t>
  </si>
  <si>
    <t>Pay Code</t>
  </si>
  <si>
    <t>Commissionable</t>
  </si>
  <si>
    <t>Months Advanced</t>
  </si>
  <si>
    <t>Gross Commission</t>
  </si>
  <si>
    <t>Transaction Note</t>
  </si>
  <si>
    <t>STEVEN BRODY</t>
  </si>
  <si>
    <t>IL</t>
  </si>
  <si>
    <t>STEVEN WERNER</t>
  </si>
  <si>
    <t>Humana MA 2019+ Level 15- 175/108</t>
  </si>
  <si>
    <t>AV</t>
  </si>
  <si>
    <t>TRACY HENTHORN</t>
  </si>
  <si>
    <t>MICHAEL DUNAVANT</t>
  </si>
  <si>
    <t>MARY SAUNDERS</t>
  </si>
  <si>
    <t>OK</t>
  </si>
  <si>
    <t>THOMAS PARDUE</t>
  </si>
  <si>
    <t>ANGELA COSTA</t>
  </si>
  <si>
    <t>TN</t>
  </si>
  <si>
    <t>STEVEN BRANDT</t>
  </si>
  <si>
    <t>JOHN GIACOPELLI</t>
  </si>
  <si>
    <t>GARY PORTUGAL</t>
  </si>
  <si>
    <t>ISIAH DALTON</t>
  </si>
  <si>
    <t>Aetna MAPD NMO to MMO - 2025+ New E-App</t>
  </si>
  <si>
    <t>TIA BURGER</t>
  </si>
  <si>
    <t>MATTHEW SHERMAN</t>
  </si>
  <si>
    <t>DOUGLAS COMINSKY</t>
  </si>
  <si>
    <t>PA</t>
  </si>
  <si>
    <t>DEBORAH INSKIPT</t>
  </si>
  <si>
    <t>BRENDA BARDELLA</t>
  </si>
  <si>
    <t>MICHELLE MCCORKLE</t>
  </si>
  <si>
    <t>AILEEN PETERSON</t>
  </si>
  <si>
    <t>FL</t>
  </si>
  <si>
    <t>ANDREW CHOI</t>
  </si>
  <si>
    <t>CECILY DALTON WEINRIB</t>
  </si>
  <si>
    <t>ESTHER HERRERA-LARSEN</t>
  </si>
  <si>
    <t>RICHARD DEBLANDER</t>
  </si>
  <si>
    <t>DAVID ZOVACK</t>
  </si>
  <si>
    <t>OH</t>
  </si>
  <si>
    <t>RYAN SHEPARD</t>
  </si>
  <si>
    <t>PAMELA HOBBS</t>
  </si>
  <si>
    <t>JOHN KOVOLYAN</t>
  </si>
  <si>
    <t>ROBIN SAFRAN</t>
  </si>
  <si>
    <t>YONG MARCH</t>
  </si>
  <si>
    <t>VALERIE JADOS</t>
  </si>
  <si>
    <t>RICHARD YALE</t>
  </si>
  <si>
    <t>MARILYN WEBER</t>
  </si>
  <si>
    <t>JASON ROLLER</t>
  </si>
  <si>
    <t>DEANNA JOHNSON</t>
  </si>
  <si>
    <t>WI</t>
  </si>
  <si>
    <t>DALE WALENGA</t>
  </si>
  <si>
    <t>DIANE LEINONEN</t>
  </si>
  <si>
    <t>JOHN FURTH</t>
  </si>
  <si>
    <t>LISA BARTO</t>
  </si>
  <si>
    <t>MARGARET SMITH</t>
  </si>
  <si>
    <t>MICHAEL ISAACS</t>
  </si>
  <si>
    <t>LAMPHONG INTHAVONG</t>
  </si>
  <si>
    <t>PATSAMON THANADABOUTH</t>
  </si>
  <si>
    <t>DAVID MCKEE</t>
  </si>
  <si>
    <t>NJ</t>
  </si>
  <si>
    <t>ADAM RICHTER</t>
  </si>
  <si>
    <t>DOROTHY MIMS</t>
  </si>
  <si>
    <t>LESLIE HALL</t>
  </si>
  <si>
    <t>LORETTA PASSAFIUME</t>
  </si>
  <si>
    <t>MURRAY STERNER</t>
  </si>
  <si>
    <t>DENISE WILLIAMS</t>
  </si>
  <si>
    <t>MONICA WILLIAMS</t>
  </si>
  <si>
    <t>JERRY MOTTELER</t>
  </si>
  <si>
    <t>JILL KOLESAR</t>
  </si>
  <si>
    <t>SUSAN MARTIN</t>
  </si>
  <si>
    <t>NE</t>
  </si>
  <si>
    <t>GREGORY TEIPEL</t>
  </si>
  <si>
    <t>MARY PHELPS</t>
  </si>
  <si>
    <t>JACOB YALE</t>
  </si>
  <si>
    <t>RANDY BEAN</t>
  </si>
  <si>
    <t>IA</t>
  </si>
  <si>
    <t>NICOLE ASSISE</t>
  </si>
  <si>
    <t>RYAN STOCKER</t>
  </si>
  <si>
    <t>WILLANDA BURT-HOLSENDOLPH</t>
  </si>
  <si>
    <t>SHARAN WATSON</t>
  </si>
  <si>
    <t>CLAY SMITH</t>
  </si>
  <si>
    <t>MO</t>
  </si>
  <si>
    <t>KARIN WHITEHEAD</t>
  </si>
  <si>
    <t>GARRETT RODGERS</t>
  </si>
  <si>
    <t>Aetna MAPD NMO to MMO - 2025+ Replace E-App</t>
  </si>
  <si>
    <t>3/12 PRORATE</t>
  </si>
  <si>
    <t>HOLLIANNE KANOSKI</t>
  </si>
  <si>
    <t>4/12 PRORATE</t>
  </si>
  <si>
    <t>ANNA BUCARO</t>
  </si>
  <si>
    <t>5/12 PRORATE</t>
  </si>
  <si>
    <t>JEFFREY LOPEZ</t>
  </si>
  <si>
    <t>DARLA YOUNG</t>
  </si>
  <si>
    <t>CHAD BENDER</t>
  </si>
  <si>
    <t>SHELBY YOUNG</t>
  </si>
  <si>
    <t>KIMBERLY SPRIGGS</t>
  </si>
  <si>
    <t>DANE SMITH</t>
  </si>
  <si>
    <t>IN</t>
  </si>
  <si>
    <t>UHC MAPD Street payable to upline- 2026 Replace</t>
  </si>
  <si>
    <t>UHC MA Direct 2025 New Initial Prorated</t>
  </si>
  <si>
    <t>TERRY KEARNEY</t>
  </si>
  <si>
    <t>Cigna MAPD FMO to GA 1-1-19+ - New</t>
  </si>
  <si>
    <t>JEROME KEARNEY</t>
  </si>
  <si>
    <t>ASHLEY ANDERSON</t>
  </si>
  <si>
    <t>SC</t>
  </si>
  <si>
    <t>UHC MA Direct 2025 New Full</t>
  </si>
  <si>
    <t>ALBERT EBERT</t>
  </si>
  <si>
    <t>DE</t>
  </si>
  <si>
    <t>MARK ROCCIA</t>
  </si>
  <si>
    <t>LISA LOWERY</t>
  </si>
  <si>
    <t>PAMELA DEATON</t>
  </si>
  <si>
    <t>DAVID AMOS</t>
  </si>
  <si>
    <t>RAELYNN HAUGHN</t>
  </si>
  <si>
    <t>JENNIFER UJIIYE</t>
  </si>
  <si>
    <t>UHC AARP Med Supp 2026+ AZ IL KS ME NC TN WV Plan B C D F G</t>
  </si>
  <si>
    <t>STEPHEN RYAN</t>
  </si>
  <si>
    <t>MA</t>
  </si>
  <si>
    <t>FRANK LISKOVEC</t>
  </si>
  <si>
    <t>UHC AARP Med Supp 2026+ MA - plans MY MV</t>
  </si>
  <si>
    <t>DITA BOROFSKY</t>
  </si>
  <si>
    <t>UHC AARP Med Supp 2026+ PA Plan B C F G</t>
  </si>
  <si>
    <t>MICHAEL BOROFSKY</t>
  </si>
  <si>
    <t>MOHAMMAD KHAN</t>
  </si>
  <si>
    <t>SAADIA ABDUL</t>
  </si>
  <si>
    <t>TODD RUSSOW</t>
  </si>
  <si>
    <t>JAMES ALLEN</t>
  </si>
  <si>
    <t>Humana PDP 2019+ Level 15- 15/0</t>
  </si>
  <si>
    <t>ALBERTO TORRES</t>
  </si>
  <si>
    <t>ROBERT SHAPIRO</t>
  </si>
  <si>
    <t>Humana MA 2019+ Level 15- 175/108 Repl 2024</t>
  </si>
  <si>
    <t>MARGARET TERLESKI</t>
  </si>
  <si>
    <t>GARY ACQUARO</t>
  </si>
  <si>
    <t>RICARDO SANTOS</t>
  </si>
  <si>
    <t>MARY MARTINEZ MATOS</t>
  </si>
  <si>
    <t>MARY SABBI</t>
  </si>
  <si>
    <t>LORI TUNSTALL</t>
  </si>
  <si>
    <t>UHC MA Direct 2025 New Full - Other</t>
  </si>
  <si>
    <t>00026721617K</t>
  </si>
  <si>
    <t>00026722643K</t>
  </si>
  <si>
    <t>00026722801K</t>
  </si>
  <si>
    <t>00026729607K</t>
  </si>
  <si>
    <t>00026737346K</t>
  </si>
  <si>
    <t>23X8F6L17</t>
  </si>
  <si>
    <t>59F4A9A69</t>
  </si>
  <si>
    <t>A04499851</t>
  </si>
  <si>
    <t>A04500498</t>
  </si>
  <si>
    <t>A04501521</t>
  </si>
  <si>
    <t>A04501694</t>
  </si>
  <si>
    <t>00013730304K</t>
  </si>
  <si>
    <t>00024645885KPDP</t>
  </si>
  <si>
    <t>00025582379K</t>
  </si>
  <si>
    <t>68R9X6U25</t>
  </si>
  <si>
    <t>Aetna MAPD OVR 2026</t>
  </si>
  <si>
    <t>Cigna MAPD Ovr</t>
  </si>
  <si>
    <t>Humana MAPD OVR</t>
  </si>
  <si>
    <t>Humana PDP</t>
  </si>
  <si>
    <t>UHC MAPD Ovr 2026</t>
  </si>
  <si>
    <t>UHC MAPD 2026*</t>
  </si>
  <si>
    <t>[%/$=347][prorate=5/12]</t>
  </si>
  <si>
    <t>[%/$=347][prorate=4/12]</t>
  </si>
  <si>
    <t>[%/$=347][prorate=3/12]</t>
  </si>
  <si>
    <t>[%/$=347][prorate=6/12]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</si>
</sst>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0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22CB-B974-4710-A33A-041F2A4E73CE}">
  <dimension ref="A1:R119"/>
  <sheetViews>
    <sheetView tabSelected="1" topLeftCell="A79" workbookViewId="0">
      <selection activeCell="B108" sqref="B108"/>
    </sheetView>
  </sheetViews>
  <sheetFormatPr defaultRowHeight="15" x14ac:dyDescent="0.25"/>
  <cols>
    <col min="1" max="1" width="19.7109375" bestFit="1" customWidth="1"/>
    <col min="2" max="2" width="19.7109375" customWidth="1"/>
    <col min="3" max="3" width="18.42578125" customWidth="1"/>
    <col min="4" max="4" width="5.5703125" bestFit="1" customWidth="1"/>
    <col min="5" max="6" width="11" customWidth="1"/>
    <col min="7" max="7" width="16.28515625" customWidth="1"/>
    <col min="8" max="8" width="38.85546875" customWidth="1"/>
    <col min="9" max="9" width="10.140625" bestFit="1" customWidth="1"/>
    <col min="10" max="10" width="10.7109375" bestFit="1" customWidth="1"/>
    <col min="11" max="11" width="6.140625" customWidth="1"/>
    <col min="12" max="12" width="9" customWidth="1"/>
    <col min="13" max="13" width="6.42578125" customWidth="1"/>
    <col min="14" max="14" width="11.28515625" customWidth="1"/>
    <col min="15" max="15" width="7.5703125" customWidth="1"/>
    <col min="16" max="16" width="21.140625" customWidth="1"/>
    <col min="17" max="17" width="23.140625" bestFit="1" customWidth="1"/>
  </cols>
  <sheetData>
    <row r="1" spans="1:16" x14ac:dyDescent="0.25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5</v>
      </c>
      <c r="I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6" x14ac:dyDescent="0.25">
      <c r="A2" s="5">
        <v>101144295300</v>
      </c>
      <c r="B2" s="5" t="str">
        <f>CONCATENATE(A2,"OVR")</f>
        <v>101144295300OVR</v>
      </c>
      <c r="C2" t="s">
        <v>27</v>
      </c>
      <c r="D2" t="s">
        <v>13</v>
      </c>
      <c r="E2">
        <v>9213293</v>
      </c>
      <c r="F2" t="str">
        <f>CONCATENATE(E2,"OVR")</f>
        <v>9213293OVR</v>
      </c>
      <c r="G2" t="s">
        <v>26</v>
      </c>
      <c r="H2" t="s">
        <v>28</v>
      </c>
      <c r="I2" s="1">
        <v>46204</v>
      </c>
      <c r="J2" s="1">
        <v>46387</v>
      </c>
      <c r="K2" t="s">
        <v>16</v>
      </c>
      <c r="L2" s="2">
        <v>25</v>
      </c>
      <c r="M2">
        <v>1</v>
      </c>
      <c r="N2" s="2">
        <v>25</v>
      </c>
      <c r="P2" t="s">
        <v>156</v>
      </c>
    </row>
    <row r="3" spans="1:16" x14ac:dyDescent="0.25">
      <c r="A3" s="5">
        <v>102282339600</v>
      </c>
      <c r="B3" s="5" t="str">
        <f t="shared" ref="B3:B66" si="0">CONCATENATE(A3,"OVR")</f>
        <v>102282339600OVR</v>
      </c>
      <c r="C3" t="s">
        <v>29</v>
      </c>
      <c r="D3" t="s">
        <v>13</v>
      </c>
      <c r="E3">
        <v>8812322</v>
      </c>
      <c r="F3" t="str">
        <f t="shared" ref="F3:F66" si="1">CONCATENATE(E3,"OVR")</f>
        <v>8812322OVR</v>
      </c>
      <c r="G3" t="s">
        <v>30</v>
      </c>
      <c r="H3" t="s">
        <v>28</v>
      </c>
      <c r="I3" s="1">
        <v>46204</v>
      </c>
      <c r="J3" s="1">
        <v>46387</v>
      </c>
      <c r="K3" t="s">
        <v>16</v>
      </c>
      <c r="L3" s="2">
        <v>25</v>
      </c>
      <c r="M3">
        <v>1</v>
      </c>
      <c r="N3" s="2">
        <v>25</v>
      </c>
      <c r="P3" t="s">
        <v>156</v>
      </c>
    </row>
    <row r="4" spans="1:16" x14ac:dyDescent="0.25">
      <c r="A4" s="5">
        <v>102282666300</v>
      </c>
      <c r="B4" s="5" t="str">
        <f t="shared" si="0"/>
        <v>102282666300OVR</v>
      </c>
      <c r="C4" t="s">
        <v>31</v>
      </c>
      <c r="D4" t="s">
        <v>32</v>
      </c>
      <c r="E4">
        <v>17528908</v>
      </c>
      <c r="F4" t="str">
        <f t="shared" si="1"/>
        <v>17528908OVR</v>
      </c>
      <c r="G4" t="s">
        <v>33</v>
      </c>
      <c r="H4" t="s">
        <v>28</v>
      </c>
      <c r="I4" s="1">
        <v>46204</v>
      </c>
      <c r="J4" s="1">
        <v>46387</v>
      </c>
      <c r="K4" t="s">
        <v>16</v>
      </c>
      <c r="L4" s="2">
        <v>25</v>
      </c>
      <c r="M4">
        <v>1</v>
      </c>
      <c r="N4" s="2">
        <v>25</v>
      </c>
      <c r="P4" t="s">
        <v>156</v>
      </c>
    </row>
    <row r="5" spans="1:16" x14ac:dyDescent="0.25">
      <c r="A5" s="5">
        <v>102282681700</v>
      </c>
      <c r="B5" s="5" t="str">
        <f t="shared" si="0"/>
        <v>102282681700OVR</v>
      </c>
      <c r="C5" t="s">
        <v>34</v>
      </c>
      <c r="D5" t="s">
        <v>32</v>
      </c>
      <c r="E5">
        <v>18710070</v>
      </c>
      <c r="F5" t="str">
        <f t="shared" si="1"/>
        <v>18710070OVR</v>
      </c>
      <c r="G5" t="s">
        <v>35</v>
      </c>
      <c r="H5" t="s">
        <v>28</v>
      </c>
      <c r="I5" s="1">
        <v>46235</v>
      </c>
      <c r="J5" s="1">
        <v>46387</v>
      </c>
      <c r="K5" t="s">
        <v>16</v>
      </c>
      <c r="L5" s="2">
        <v>25</v>
      </c>
      <c r="M5">
        <v>1</v>
      </c>
      <c r="N5" s="2">
        <v>25</v>
      </c>
      <c r="P5" t="s">
        <v>156</v>
      </c>
    </row>
    <row r="6" spans="1:16" x14ac:dyDescent="0.25">
      <c r="A6" s="5">
        <v>102282739300</v>
      </c>
      <c r="B6" s="5" t="str">
        <f t="shared" si="0"/>
        <v>102282739300OVR</v>
      </c>
      <c r="C6" t="s">
        <v>36</v>
      </c>
      <c r="D6" t="s">
        <v>37</v>
      </c>
      <c r="E6">
        <v>7470776</v>
      </c>
      <c r="F6" t="str">
        <f t="shared" si="1"/>
        <v>7470776OVR</v>
      </c>
      <c r="G6" t="s">
        <v>38</v>
      </c>
      <c r="H6" t="s">
        <v>28</v>
      </c>
      <c r="I6" s="1">
        <v>46204</v>
      </c>
      <c r="J6" s="1">
        <v>46387</v>
      </c>
      <c r="K6" t="s">
        <v>16</v>
      </c>
      <c r="L6" s="2">
        <v>25</v>
      </c>
      <c r="M6">
        <v>1</v>
      </c>
      <c r="N6" s="2">
        <v>25</v>
      </c>
      <c r="P6" t="s">
        <v>156</v>
      </c>
    </row>
    <row r="7" spans="1:16" x14ac:dyDescent="0.25">
      <c r="A7" s="5">
        <v>102282813300</v>
      </c>
      <c r="B7" s="5" t="str">
        <f t="shared" si="0"/>
        <v>102282813300OVR</v>
      </c>
      <c r="C7" t="s">
        <v>39</v>
      </c>
      <c r="D7" t="s">
        <v>13</v>
      </c>
      <c r="E7">
        <v>17301495</v>
      </c>
      <c r="F7" t="str">
        <f t="shared" si="1"/>
        <v>17301495OVR</v>
      </c>
      <c r="G7" t="s">
        <v>40</v>
      </c>
      <c r="H7" t="s">
        <v>28</v>
      </c>
      <c r="I7" s="1">
        <v>46174</v>
      </c>
      <c r="J7" s="1">
        <v>46387</v>
      </c>
      <c r="K7" t="s">
        <v>16</v>
      </c>
      <c r="L7" s="2">
        <v>25</v>
      </c>
      <c r="M7">
        <v>1</v>
      </c>
      <c r="N7" s="2">
        <v>25</v>
      </c>
      <c r="P7" t="s">
        <v>156</v>
      </c>
    </row>
    <row r="8" spans="1:16" x14ac:dyDescent="0.25">
      <c r="A8" s="5">
        <v>102283019100</v>
      </c>
      <c r="B8" s="5" t="str">
        <f t="shared" si="0"/>
        <v>102283019100OVR</v>
      </c>
      <c r="C8" t="s">
        <v>41</v>
      </c>
      <c r="D8" t="s">
        <v>32</v>
      </c>
      <c r="E8">
        <v>17528908</v>
      </c>
      <c r="F8" t="str">
        <f t="shared" si="1"/>
        <v>17528908OVR</v>
      </c>
      <c r="G8" t="s">
        <v>33</v>
      </c>
      <c r="H8" t="s">
        <v>28</v>
      </c>
      <c r="I8" s="1">
        <v>46266</v>
      </c>
      <c r="J8" s="1">
        <v>46387</v>
      </c>
      <c r="K8" t="s">
        <v>16</v>
      </c>
      <c r="L8" s="2">
        <v>25</v>
      </c>
      <c r="M8">
        <v>1</v>
      </c>
      <c r="N8" s="2">
        <v>25</v>
      </c>
      <c r="P8" t="s">
        <v>156</v>
      </c>
    </row>
    <row r="9" spans="1:16" x14ac:dyDescent="0.25">
      <c r="A9" s="5">
        <v>102283062200</v>
      </c>
      <c r="B9" s="5" t="str">
        <f t="shared" si="0"/>
        <v>102283062200OVR</v>
      </c>
      <c r="C9" t="s">
        <v>42</v>
      </c>
      <c r="D9" t="s">
        <v>43</v>
      </c>
      <c r="E9">
        <v>16170994</v>
      </c>
      <c r="F9" t="str">
        <f t="shared" si="1"/>
        <v>16170994OVR</v>
      </c>
      <c r="G9" t="s">
        <v>44</v>
      </c>
      <c r="H9" t="s">
        <v>28</v>
      </c>
      <c r="I9" s="1">
        <v>46204</v>
      </c>
      <c r="J9" s="1">
        <v>46387</v>
      </c>
      <c r="K9" t="s">
        <v>16</v>
      </c>
      <c r="L9" s="2">
        <v>25</v>
      </c>
      <c r="M9">
        <v>1</v>
      </c>
      <c r="N9" s="2">
        <v>25</v>
      </c>
      <c r="P9" t="s">
        <v>156</v>
      </c>
    </row>
    <row r="10" spans="1:16" x14ac:dyDescent="0.25">
      <c r="A10" s="5">
        <v>102283491900</v>
      </c>
      <c r="B10" s="5" t="str">
        <f t="shared" si="0"/>
        <v>102283491900OVR</v>
      </c>
      <c r="C10" t="s">
        <v>45</v>
      </c>
      <c r="D10" t="s">
        <v>13</v>
      </c>
      <c r="E10">
        <v>7470776</v>
      </c>
      <c r="F10" t="str">
        <f t="shared" si="1"/>
        <v>7470776OVR</v>
      </c>
      <c r="G10" t="s">
        <v>38</v>
      </c>
      <c r="H10" t="s">
        <v>28</v>
      </c>
      <c r="I10" s="1">
        <v>46204</v>
      </c>
      <c r="J10" s="1">
        <v>46387</v>
      </c>
      <c r="K10" t="s">
        <v>16</v>
      </c>
      <c r="L10" s="2">
        <v>25</v>
      </c>
      <c r="M10">
        <v>1</v>
      </c>
      <c r="N10" s="2">
        <v>25</v>
      </c>
      <c r="P10" t="s">
        <v>156</v>
      </c>
    </row>
    <row r="11" spans="1:16" x14ac:dyDescent="0.25">
      <c r="A11" s="5">
        <v>102283501500</v>
      </c>
      <c r="B11" s="5" t="str">
        <f t="shared" si="0"/>
        <v>102283501500OVR</v>
      </c>
      <c r="C11" t="s">
        <v>46</v>
      </c>
      <c r="D11" t="s">
        <v>43</v>
      </c>
      <c r="E11">
        <v>16170994</v>
      </c>
      <c r="F11" t="str">
        <f t="shared" si="1"/>
        <v>16170994OVR</v>
      </c>
      <c r="G11" t="s">
        <v>44</v>
      </c>
      <c r="H11" t="s">
        <v>28</v>
      </c>
      <c r="I11" s="1">
        <v>46266</v>
      </c>
      <c r="J11" s="1">
        <v>46387</v>
      </c>
      <c r="K11" t="s">
        <v>16</v>
      </c>
      <c r="L11" s="2">
        <v>25</v>
      </c>
      <c r="M11">
        <v>1</v>
      </c>
      <c r="N11" s="2">
        <v>25</v>
      </c>
      <c r="P11" t="s">
        <v>156</v>
      </c>
    </row>
    <row r="12" spans="1:16" x14ac:dyDescent="0.25">
      <c r="A12" s="5">
        <v>102283822000</v>
      </c>
      <c r="B12" s="5" t="str">
        <f t="shared" si="0"/>
        <v>102283822000OVR</v>
      </c>
      <c r="C12" t="s">
        <v>47</v>
      </c>
      <c r="D12" t="s">
        <v>32</v>
      </c>
      <c r="E12">
        <v>18710070</v>
      </c>
      <c r="F12" t="str">
        <f t="shared" si="1"/>
        <v>18710070OVR</v>
      </c>
      <c r="G12" t="s">
        <v>35</v>
      </c>
      <c r="H12" t="s">
        <v>28</v>
      </c>
      <c r="I12" s="1">
        <v>46266</v>
      </c>
      <c r="J12" s="1">
        <v>46387</v>
      </c>
      <c r="K12" t="s">
        <v>16</v>
      </c>
      <c r="L12" s="2">
        <v>25</v>
      </c>
      <c r="M12">
        <v>1</v>
      </c>
      <c r="N12" s="2">
        <v>25</v>
      </c>
      <c r="P12" t="s">
        <v>156</v>
      </c>
    </row>
    <row r="13" spans="1:16" x14ac:dyDescent="0.25">
      <c r="A13" s="5">
        <v>102283822800</v>
      </c>
      <c r="B13" s="5" t="str">
        <f t="shared" si="0"/>
        <v>102283822800OVR</v>
      </c>
      <c r="C13" t="s">
        <v>48</v>
      </c>
      <c r="D13" t="s">
        <v>32</v>
      </c>
      <c r="E13">
        <v>17528908</v>
      </c>
      <c r="F13" t="str">
        <f t="shared" si="1"/>
        <v>17528908OVR</v>
      </c>
      <c r="G13" t="s">
        <v>33</v>
      </c>
      <c r="H13" t="s">
        <v>28</v>
      </c>
      <c r="I13" s="1">
        <v>46204</v>
      </c>
      <c r="J13" s="1">
        <v>46387</v>
      </c>
      <c r="K13" t="s">
        <v>16</v>
      </c>
      <c r="L13" s="2">
        <v>25</v>
      </c>
      <c r="M13">
        <v>1</v>
      </c>
      <c r="N13" s="2">
        <v>25</v>
      </c>
      <c r="P13" t="s">
        <v>156</v>
      </c>
    </row>
    <row r="14" spans="1:16" x14ac:dyDescent="0.25">
      <c r="A14" s="5">
        <v>102283931600</v>
      </c>
      <c r="B14" s="5" t="str">
        <f t="shared" si="0"/>
        <v>102283931600OVR</v>
      </c>
      <c r="C14" t="s">
        <v>49</v>
      </c>
      <c r="D14" t="s">
        <v>13</v>
      </c>
      <c r="E14">
        <v>16633294</v>
      </c>
      <c r="F14" t="str">
        <f t="shared" si="1"/>
        <v>16633294OVR</v>
      </c>
      <c r="G14" t="s">
        <v>50</v>
      </c>
      <c r="H14" t="s">
        <v>28</v>
      </c>
      <c r="I14" s="1">
        <v>46204</v>
      </c>
      <c r="J14" s="1">
        <v>46387</v>
      </c>
      <c r="K14" t="s">
        <v>16</v>
      </c>
      <c r="L14" s="2">
        <v>25</v>
      </c>
      <c r="M14">
        <v>1</v>
      </c>
      <c r="N14" s="2">
        <v>25</v>
      </c>
      <c r="P14" t="s">
        <v>156</v>
      </c>
    </row>
    <row r="15" spans="1:16" x14ac:dyDescent="0.25">
      <c r="A15" s="5">
        <v>102283968400</v>
      </c>
      <c r="B15" s="5" t="str">
        <f t="shared" si="0"/>
        <v>102283968400OVR</v>
      </c>
      <c r="C15" t="s">
        <v>51</v>
      </c>
      <c r="D15" t="s">
        <v>13</v>
      </c>
      <c r="E15">
        <v>16228684</v>
      </c>
      <c r="F15" t="str">
        <f t="shared" si="1"/>
        <v>16228684OVR</v>
      </c>
      <c r="G15" t="s">
        <v>52</v>
      </c>
      <c r="H15" t="s">
        <v>28</v>
      </c>
      <c r="I15" s="1">
        <v>46235</v>
      </c>
      <c r="J15" s="1">
        <v>46387</v>
      </c>
      <c r="K15" t="s">
        <v>16</v>
      </c>
      <c r="L15" s="2">
        <v>25</v>
      </c>
      <c r="M15">
        <v>1</v>
      </c>
      <c r="N15" s="2">
        <v>25</v>
      </c>
      <c r="P15" t="s">
        <v>156</v>
      </c>
    </row>
    <row r="16" spans="1:16" x14ac:dyDescent="0.25">
      <c r="A16" s="5">
        <v>102283991900</v>
      </c>
      <c r="B16" s="5" t="str">
        <f t="shared" si="0"/>
        <v>102283991900OVR</v>
      </c>
      <c r="C16" t="s">
        <v>53</v>
      </c>
      <c r="D16" t="s">
        <v>54</v>
      </c>
      <c r="E16">
        <v>8325282</v>
      </c>
      <c r="F16" t="str">
        <f t="shared" si="1"/>
        <v>8325282OVR</v>
      </c>
      <c r="G16" t="s">
        <v>55</v>
      </c>
      <c r="H16" t="s">
        <v>28</v>
      </c>
      <c r="I16" s="1">
        <v>46204</v>
      </c>
      <c r="J16" s="1">
        <v>46387</v>
      </c>
      <c r="K16" t="s">
        <v>16</v>
      </c>
      <c r="L16" s="2">
        <v>25</v>
      </c>
      <c r="M16">
        <v>1</v>
      </c>
      <c r="N16" s="2">
        <v>25</v>
      </c>
      <c r="P16" t="s">
        <v>156</v>
      </c>
    </row>
    <row r="17" spans="1:16" x14ac:dyDescent="0.25">
      <c r="A17" s="5">
        <v>102284235200</v>
      </c>
      <c r="B17" s="5" t="str">
        <f t="shared" si="0"/>
        <v>102284235200OVR</v>
      </c>
      <c r="C17" t="s">
        <v>56</v>
      </c>
      <c r="D17" t="s">
        <v>13</v>
      </c>
      <c r="E17">
        <v>16633294</v>
      </c>
      <c r="F17" t="str">
        <f t="shared" si="1"/>
        <v>16633294OVR</v>
      </c>
      <c r="G17" t="s">
        <v>50</v>
      </c>
      <c r="H17" t="s">
        <v>28</v>
      </c>
      <c r="I17" s="1">
        <v>46235</v>
      </c>
      <c r="J17" s="1">
        <v>46387</v>
      </c>
      <c r="K17" t="s">
        <v>16</v>
      </c>
      <c r="L17" s="2">
        <v>25</v>
      </c>
      <c r="M17">
        <v>1</v>
      </c>
      <c r="N17" s="2">
        <v>25</v>
      </c>
      <c r="P17" t="s">
        <v>156</v>
      </c>
    </row>
    <row r="18" spans="1:16" x14ac:dyDescent="0.25">
      <c r="A18" s="5">
        <v>102284240000</v>
      </c>
      <c r="B18" s="5" t="str">
        <f t="shared" si="0"/>
        <v>102284240000OVR</v>
      </c>
      <c r="C18" t="s">
        <v>57</v>
      </c>
      <c r="D18" t="s">
        <v>13</v>
      </c>
      <c r="E18">
        <v>7470776</v>
      </c>
      <c r="F18" t="str">
        <f t="shared" si="1"/>
        <v>7470776OVR</v>
      </c>
      <c r="G18" t="s">
        <v>38</v>
      </c>
      <c r="H18" t="s">
        <v>28</v>
      </c>
      <c r="I18" s="1">
        <v>46235</v>
      </c>
      <c r="J18" s="1">
        <v>46387</v>
      </c>
      <c r="K18" t="s">
        <v>16</v>
      </c>
      <c r="L18" s="2">
        <v>25</v>
      </c>
      <c r="M18">
        <v>1</v>
      </c>
      <c r="N18" s="2">
        <v>25</v>
      </c>
      <c r="P18" t="s">
        <v>156</v>
      </c>
    </row>
    <row r="19" spans="1:16" x14ac:dyDescent="0.25">
      <c r="A19" s="5">
        <v>102284628100</v>
      </c>
      <c r="B19" s="5" t="str">
        <f t="shared" si="0"/>
        <v>102284628100OVR</v>
      </c>
      <c r="C19" t="s">
        <v>58</v>
      </c>
      <c r="D19" t="s">
        <v>32</v>
      </c>
      <c r="E19">
        <v>20253958</v>
      </c>
      <c r="F19" t="str">
        <f t="shared" si="1"/>
        <v>20253958OVR</v>
      </c>
      <c r="G19" t="s">
        <v>59</v>
      </c>
      <c r="H19" t="s">
        <v>28</v>
      </c>
      <c r="I19" s="1">
        <v>46235</v>
      </c>
      <c r="J19" s="1">
        <v>46387</v>
      </c>
      <c r="K19" t="s">
        <v>16</v>
      </c>
      <c r="L19" s="2">
        <v>25</v>
      </c>
      <c r="M19">
        <v>1</v>
      </c>
      <c r="N19" s="2">
        <v>25</v>
      </c>
      <c r="P19" t="s">
        <v>156</v>
      </c>
    </row>
    <row r="20" spans="1:16" x14ac:dyDescent="0.25">
      <c r="A20" s="5">
        <v>102284749100</v>
      </c>
      <c r="B20" s="5" t="str">
        <f t="shared" si="0"/>
        <v>102284749100OVR</v>
      </c>
      <c r="C20" t="s">
        <v>60</v>
      </c>
      <c r="D20" t="s">
        <v>13</v>
      </c>
      <c r="E20">
        <v>7470776</v>
      </c>
      <c r="F20" t="str">
        <f t="shared" si="1"/>
        <v>7470776OVR</v>
      </c>
      <c r="G20" t="s">
        <v>38</v>
      </c>
      <c r="H20" t="s">
        <v>28</v>
      </c>
      <c r="I20" s="1">
        <v>46204</v>
      </c>
      <c r="J20" s="1">
        <v>46387</v>
      </c>
      <c r="K20" t="s">
        <v>16</v>
      </c>
      <c r="L20" s="2">
        <v>25</v>
      </c>
      <c r="M20">
        <v>1</v>
      </c>
      <c r="N20" s="2">
        <v>25</v>
      </c>
      <c r="P20" t="s">
        <v>156</v>
      </c>
    </row>
    <row r="21" spans="1:16" x14ac:dyDescent="0.25">
      <c r="A21" s="5">
        <v>102284857200</v>
      </c>
      <c r="B21" s="5" t="str">
        <f t="shared" si="0"/>
        <v>102284857200OVR</v>
      </c>
      <c r="C21" t="s">
        <v>61</v>
      </c>
      <c r="D21" t="s">
        <v>13</v>
      </c>
      <c r="E21">
        <v>8405446</v>
      </c>
      <c r="F21" t="str">
        <f t="shared" si="1"/>
        <v>8405446OVR</v>
      </c>
      <c r="G21" t="s">
        <v>62</v>
      </c>
      <c r="H21" t="s">
        <v>28</v>
      </c>
      <c r="I21" s="1">
        <v>46204</v>
      </c>
      <c r="J21" s="1">
        <v>46387</v>
      </c>
      <c r="K21" t="s">
        <v>16</v>
      </c>
      <c r="L21" s="2">
        <v>25</v>
      </c>
      <c r="M21">
        <v>1</v>
      </c>
      <c r="N21" s="2">
        <v>25</v>
      </c>
      <c r="P21" t="s">
        <v>156</v>
      </c>
    </row>
    <row r="22" spans="1:16" x14ac:dyDescent="0.25">
      <c r="A22" s="5">
        <v>102284888600</v>
      </c>
      <c r="B22" s="5" t="str">
        <f t="shared" si="0"/>
        <v>102284888600OVR</v>
      </c>
      <c r="C22" t="s">
        <v>63</v>
      </c>
      <c r="D22" t="s">
        <v>64</v>
      </c>
      <c r="E22">
        <v>9079571</v>
      </c>
      <c r="F22" t="str">
        <f t="shared" si="1"/>
        <v>9079571OVR</v>
      </c>
      <c r="G22" t="s">
        <v>65</v>
      </c>
      <c r="H22" t="s">
        <v>28</v>
      </c>
      <c r="I22" s="1">
        <v>46204</v>
      </c>
      <c r="J22" s="1">
        <v>46387</v>
      </c>
      <c r="K22" t="s">
        <v>16</v>
      </c>
      <c r="L22" s="2">
        <v>25</v>
      </c>
      <c r="M22">
        <v>1</v>
      </c>
      <c r="N22" s="2">
        <v>25</v>
      </c>
      <c r="P22" t="s">
        <v>156</v>
      </c>
    </row>
    <row r="23" spans="1:16" x14ac:dyDescent="0.25">
      <c r="A23" s="5">
        <v>102284898200</v>
      </c>
      <c r="B23" s="5" t="str">
        <f t="shared" si="0"/>
        <v>102284898200OVR</v>
      </c>
      <c r="C23" t="s">
        <v>66</v>
      </c>
      <c r="D23" t="s">
        <v>13</v>
      </c>
      <c r="E23">
        <v>19481808</v>
      </c>
      <c r="F23" t="str">
        <f t="shared" si="1"/>
        <v>19481808OVR</v>
      </c>
      <c r="G23" t="s">
        <v>14</v>
      </c>
      <c r="H23" t="s">
        <v>28</v>
      </c>
      <c r="I23" s="1">
        <v>46204</v>
      </c>
      <c r="J23" s="1">
        <v>46387</v>
      </c>
      <c r="K23" t="s">
        <v>16</v>
      </c>
      <c r="L23" s="2">
        <v>25</v>
      </c>
      <c r="M23">
        <v>1</v>
      </c>
      <c r="N23" s="2">
        <v>25</v>
      </c>
      <c r="P23" t="s">
        <v>156</v>
      </c>
    </row>
    <row r="24" spans="1:16" x14ac:dyDescent="0.25">
      <c r="A24" s="5">
        <v>102284996700</v>
      </c>
      <c r="B24" s="5" t="str">
        <f t="shared" si="0"/>
        <v>102284996700OVR</v>
      </c>
      <c r="C24" t="s">
        <v>67</v>
      </c>
      <c r="D24" t="s">
        <v>32</v>
      </c>
      <c r="E24">
        <v>17528908</v>
      </c>
      <c r="F24" t="str">
        <f t="shared" si="1"/>
        <v>17528908OVR</v>
      </c>
      <c r="G24" t="s">
        <v>33</v>
      </c>
      <c r="H24" t="s">
        <v>28</v>
      </c>
      <c r="I24" s="1">
        <v>46266</v>
      </c>
      <c r="J24" s="1">
        <v>46387</v>
      </c>
      <c r="K24" t="s">
        <v>16</v>
      </c>
      <c r="L24" s="2">
        <v>25</v>
      </c>
      <c r="M24">
        <v>1</v>
      </c>
      <c r="N24" s="2">
        <v>25</v>
      </c>
      <c r="P24" t="s">
        <v>156</v>
      </c>
    </row>
    <row r="25" spans="1:16" x14ac:dyDescent="0.25">
      <c r="A25" s="5">
        <v>102285035200</v>
      </c>
      <c r="B25" s="5" t="str">
        <f t="shared" si="0"/>
        <v>102285035200OVR</v>
      </c>
      <c r="C25" t="s">
        <v>68</v>
      </c>
      <c r="D25" t="s">
        <v>64</v>
      </c>
      <c r="E25">
        <v>16212649</v>
      </c>
      <c r="F25" t="str">
        <f t="shared" si="1"/>
        <v>16212649OVR</v>
      </c>
      <c r="G25" t="s">
        <v>69</v>
      </c>
      <c r="H25" t="s">
        <v>28</v>
      </c>
      <c r="I25" s="1">
        <v>46204</v>
      </c>
      <c r="J25" s="1">
        <v>46387</v>
      </c>
      <c r="K25" t="s">
        <v>16</v>
      </c>
      <c r="L25" s="2">
        <v>25</v>
      </c>
      <c r="M25">
        <v>1</v>
      </c>
      <c r="N25" s="2">
        <v>25</v>
      </c>
      <c r="P25" t="s">
        <v>156</v>
      </c>
    </row>
    <row r="26" spans="1:16" x14ac:dyDescent="0.25">
      <c r="A26" s="5">
        <v>102285035800</v>
      </c>
      <c r="B26" s="5" t="str">
        <f t="shared" si="0"/>
        <v>102285035800OVR</v>
      </c>
      <c r="C26" t="s">
        <v>70</v>
      </c>
      <c r="D26" t="s">
        <v>32</v>
      </c>
      <c r="E26">
        <v>20616980</v>
      </c>
      <c r="F26" t="str">
        <f t="shared" si="1"/>
        <v>20616980OVR</v>
      </c>
      <c r="G26" t="s">
        <v>71</v>
      </c>
      <c r="H26" t="s">
        <v>28</v>
      </c>
      <c r="I26" s="1">
        <v>46204</v>
      </c>
      <c r="J26" s="1">
        <v>46387</v>
      </c>
      <c r="K26" t="s">
        <v>16</v>
      </c>
      <c r="L26" s="2">
        <v>25</v>
      </c>
      <c r="M26">
        <v>1</v>
      </c>
      <c r="N26" s="2">
        <v>25</v>
      </c>
      <c r="P26" t="s">
        <v>156</v>
      </c>
    </row>
    <row r="27" spans="1:16" x14ac:dyDescent="0.25">
      <c r="A27" s="5">
        <v>102285389300</v>
      </c>
      <c r="B27" s="5" t="str">
        <f t="shared" si="0"/>
        <v>102285389300OVR</v>
      </c>
      <c r="C27" t="s">
        <v>72</v>
      </c>
      <c r="D27" t="s">
        <v>13</v>
      </c>
      <c r="E27">
        <v>18828278</v>
      </c>
      <c r="F27" t="str">
        <f t="shared" si="1"/>
        <v>18828278OVR</v>
      </c>
      <c r="G27" t="s">
        <v>18</v>
      </c>
      <c r="H27" t="s">
        <v>28</v>
      </c>
      <c r="I27" s="1">
        <v>46204</v>
      </c>
      <c r="J27" s="1">
        <v>46387</v>
      </c>
      <c r="K27" t="s">
        <v>16</v>
      </c>
      <c r="L27" s="2">
        <v>25</v>
      </c>
      <c r="M27">
        <v>1</v>
      </c>
      <c r="N27" s="2">
        <v>25</v>
      </c>
      <c r="P27" t="s">
        <v>156</v>
      </c>
    </row>
    <row r="28" spans="1:16" x14ac:dyDescent="0.25">
      <c r="A28" s="5">
        <v>102285600200</v>
      </c>
      <c r="B28" s="5" t="str">
        <f t="shared" si="0"/>
        <v>102285600200OVR</v>
      </c>
      <c r="C28" t="s">
        <v>73</v>
      </c>
      <c r="D28" t="s">
        <v>43</v>
      </c>
      <c r="E28">
        <v>16170994</v>
      </c>
      <c r="F28" t="str">
        <f t="shared" si="1"/>
        <v>16170994OVR</v>
      </c>
      <c r="G28" t="s">
        <v>44</v>
      </c>
      <c r="H28" t="s">
        <v>28</v>
      </c>
      <c r="I28" s="1">
        <v>46204</v>
      </c>
      <c r="J28" s="1">
        <v>46387</v>
      </c>
      <c r="K28" t="s">
        <v>16</v>
      </c>
      <c r="L28" s="2">
        <v>25</v>
      </c>
      <c r="M28">
        <v>1</v>
      </c>
      <c r="N28" s="2">
        <v>25</v>
      </c>
      <c r="P28" t="s">
        <v>156</v>
      </c>
    </row>
    <row r="29" spans="1:16" x14ac:dyDescent="0.25">
      <c r="A29" s="5">
        <v>102285601800</v>
      </c>
      <c r="B29" s="5" t="str">
        <f t="shared" si="0"/>
        <v>102285601800OVR</v>
      </c>
      <c r="C29" t="s">
        <v>74</v>
      </c>
      <c r="D29" t="s">
        <v>75</v>
      </c>
      <c r="E29">
        <v>8307933</v>
      </c>
      <c r="F29" t="str">
        <f t="shared" si="1"/>
        <v>8307933OVR</v>
      </c>
      <c r="G29" t="s">
        <v>76</v>
      </c>
      <c r="H29" t="s">
        <v>28</v>
      </c>
      <c r="I29" s="1">
        <v>46204</v>
      </c>
      <c r="J29" s="1">
        <v>46387</v>
      </c>
      <c r="K29" t="s">
        <v>16</v>
      </c>
      <c r="L29" s="2">
        <v>25</v>
      </c>
      <c r="M29">
        <v>1</v>
      </c>
      <c r="N29" s="2">
        <v>25</v>
      </c>
      <c r="P29" t="s">
        <v>156</v>
      </c>
    </row>
    <row r="30" spans="1:16" x14ac:dyDescent="0.25">
      <c r="A30" s="5">
        <v>102285670300</v>
      </c>
      <c r="B30" s="5" t="str">
        <f t="shared" si="0"/>
        <v>102285670300OVR</v>
      </c>
      <c r="C30" t="s">
        <v>77</v>
      </c>
      <c r="D30" t="s">
        <v>13</v>
      </c>
      <c r="E30">
        <v>18754354</v>
      </c>
      <c r="F30" t="str">
        <f t="shared" si="1"/>
        <v>18754354OVR</v>
      </c>
      <c r="G30" t="s">
        <v>78</v>
      </c>
      <c r="H30" t="s">
        <v>28</v>
      </c>
      <c r="I30" s="1">
        <v>46235</v>
      </c>
      <c r="J30" s="1">
        <v>46387</v>
      </c>
      <c r="K30" t="s">
        <v>16</v>
      </c>
      <c r="L30" s="2">
        <v>25</v>
      </c>
      <c r="M30">
        <v>1</v>
      </c>
      <c r="N30" s="2">
        <v>25</v>
      </c>
      <c r="P30" t="s">
        <v>156</v>
      </c>
    </row>
    <row r="31" spans="1:16" x14ac:dyDescent="0.25">
      <c r="A31" s="5">
        <v>102285682600</v>
      </c>
      <c r="B31" s="5" t="str">
        <f t="shared" si="0"/>
        <v>102285682600OVR</v>
      </c>
      <c r="C31" t="s">
        <v>79</v>
      </c>
      <c r="D31" t="s">
        <v>80</v>
      </c>
      <c r="E31">
        <v>9213293</v>
      </c>
      <c r="F31" t="str">
        <f t="shared" si="1"/>
        <v>9213293OVR</v>
      </c>
      <c r="G31" t="s">
        <v>26</v>
      </c>
      <c r="H31" t="s">
        <v>28</v>
      </c>
      <c r="I31" s="1">
        <v>46204</v>
      </c>
      <c r="J31" s="1">
        <v>46387</v>
      </c>
      <c r="K31" t="s">
        <v>16</v>
      </c>
      <c r="L31" s="2">
        <v>25</v>
      </c>
      <c r="M31">
        <v>1</v>
      </c>
      <c r="N31" s="2">
        <v>25</v>
      </c>
      <c r="P31" t="s">
        <v>156</v>
      </c>
    </row>
    <row r="32" spans="1:16" x14ac:dyDescent="0.25">
      <c r="A32" s="5">
        <v>102285868000</v>
      </c>
      <c r="B32" s="5" t="str">
        <f t="shared" si="0"/>
        <v>102285868000OVR</v>
      </c>
      <c r="C32" t="s">
        <v>81</v>
      </c>
      <c r="D32" t="s">
        <v>32</v>
      </c>
      <c r="E32">
        <v>15950276</v>
      </c>
      <c r="F32" t="str">
        <f t="shared" si="1"/>
        <v>15950276OVR</v>
      </c>
      <c r="G32" t="s">
        <v>82</v>
      </c>
      <c r="H32" t="s">
        <v>28</v>
      </c>
      <c r="I32" s="1">
        <v>46204</v>
      </c>
      <c r="J32" s="1">
        <v>46387</v>
      </c>
      <c r="K32" t="s">
        <v>16</v>
      </c>
      <c r="L32" s="2">
        <v>25</v>
      </c>
      <c r="M32">
        <v>1</v>
      </c>
      <c r="N32" s="2">
        <v>25</v>
      </c>
      <c r="P32" t="s">
        <v>156</v>
      </c>
    </row>
    <row r="33" spans="1:16" x14ac:dyDescent="0.25">
      <c r="A33" s="5">
        <v>102285919500</v>
      </c>
      <c r="B33" s="5" t="str">
        <f t="shared" si="0"/>
        <v>102285919500OVR</v>
      </c>
      <c r="C33" t="s">
        <v>83</v>
      </c>
      <c r="D33" t="s">
        <v>37</v>
      </c>
      <c r="E33">
        <v>8307933</v>
      </c>
      <c r="F33" t="str">
        <f t="shared" si="1"/>
        <v>8307933OVR</v>
      </c>
      <c r="G33" t="s">
        <v>76</v>
      </c>
      <c r="H33" t="s">
        <v>28</v>
      </c>
      <c r="I33" s="1">
        <v>46235</v>
      </c>
      <c r="J33" s="1">
        <v>46387</v>
      </c>
      <c r="K33" t="s">
        <v>16</v>
      </c>
      <c r="L33" s="2">
        <v>25</v>
      </c>
      <c r="M33">
        <v>1</v>
      </c>
      <c r="N33" s="2">
        <v>25</v>
      </c>
      <c r="P33" t="s">
        <v>156</v>
      </c>
    </row>
    <row r="34" spans="1:16" x14ac:dyDescent="0.25">
      <c r="A34" s="5">
        <v>102286119400</v>
      </c>
      <c r="B34" s="5" t="str">
        <f t="shared" si="0"/>
        <v>102286119400OVR</v>
      </c>
      <c r="C34" t="s">
        <v>84</v>
      </c>
      <c r="D34" t="s">
        <v>43</v>
      </c>
      <c r="E34">
        <v>16170994</v>
      </c>
      <c r="F34" t="str">
        <f t="shared" si="1"/>
        <v>16170994OVR</v>
      </c>
      <c r="G34" t="s">
        <v>44</v>
      </c>
      <c r="H34" t="s">
        <v>28</v>
      </c>
      <c r="I34" s="1">
        <v>46204</v>
      </c>
      <c r="J34" s="1">
        <v>46387</v>
      </c>
      <c r="K34" t="s">
        <v>16</v>
      </c>
      <c r="L34" s="2">
        <v>25</v>
      </c>
      <c r="M34">
        <v>1</v>
      </c>
      <c r="N34" s="2">
        <v>25</v>
      </c>
      <c r="P34" t="s">
        <v>156</v>
      </c>
    </row>
    <row r="35" spans="1:16" x14ac:dyDescent="0.25">
      <c r="A35" s="5">
        <v>102286142500</v>
      </c>
      <c r="B35" s="5" t="str">
        <f t="shared" si="0"/>
        <v>102286142500OVR</v>
      </c>
      <c r="C35" t="s">
        <v>85</v>
      </c>
      <c r="D35" t="s">
        <v>86</v>
      </c>
      <c r="E35">
        <v>8307933</v>
      </c>
      <c r="F35" t="str">
        <f t="shared" si="1"/>
        <v>8307933OVR</v>
      </c>
      <c r="G35" t="s">
        <v>76</v>
      </c>
      <c r="H35" t="s">
        <v>28</v>
      </c>
      <c r="I35" s="1">
        <v>46204</v>
      </c>
      <c r="J35" s="1">
        <v>46387</v>
      </c>
      <c r="K35" t="s">
        <v>16</v>
      </c>
      <c r="L35" s="2">
        <v>25</v>
      </c>
      <c r="M35">
        <v>1</v>
      </c>
      <c r="N35" s="2">
        <v>25</v>
      </c>
      <c r="P35" t="s">
        <v>156</v>
      </c>
    </row>
    <row r="36" spans="1:16" x14ac:dyDescent="0.25">
      <c r="A36" s="5">
        <v>102286150700</v>
      </c>
      <c r="B36" s="5" t="str">
        <f t="shared" si="0"/>
        <v>102286150700OVR</v>
      </c>
      <c r="C36" t="s">
        <v>87</v>
      </c>
      <c r="D36" t="s">
        <v>13</v>
      </c>
      <c r="E36">
        <v>7470776</v>
      </c>
      <c r="F36" t="str">
        <f t="shared" si="1"/>
        <v>7470776OVR</v>
      </c>
      <c r="G36" t="s">
        <v>38</v>
      </c>
      <c r="H36" t="s">
        <v>28</v>
      </c>
      <c r="I36" s="1">
        <v>46204</v>
      </c>
      <c r="J36" s="1">
        <v>46387</v>
      </c>
      <c r="K36" t="s">
        <v>16</v>
      </c>
      <c r="L36" s="2">
        <v>25</v>
      </c>
      <c r="M36">
        <v>1</v>
      </c>
      <c r="N36" s="2">
        <v>25</v>
      </c>
      <c r="P36" t="s">
        <v>156</v>
      </c>
    </row>
    <row r="37" spans="1:16" x14ac:dyDescent="0.25">
      <c r="A37" s="5">
        <v>102248541400</v>
      </c>
      <c r="B37" s="5" t="str">
        <f t="shared" si="0"/>
        <v>102248541400OVR</v>
      </c>
      <c r="C37" t="s">
        <v>134</v>
      </c>
      <c r="D37" t="s">
        <v>32</v>
      </c>
      <c r="E37">
        <v>15950276</v>
      </c>
      <c r="F37" t="str">
        <f t="shared" si="1"/>
        <v>15950276OVR</v>
      </c>
      <c r="G37" t="s">
        <v>82</v>
      </c>
      <c r="H37" t="s">
        <v>28</v>
      </c>
      <c r="I37" s="1">
        <v>46023</v>
      </c>
      <c r="J37" s="1">
        <v>46204</v>
      </c>
      <c r="K37" t="s">
        <v>16</v>
      </c>
      <c r="N37" s="3">
        <v>-10.42</v>
      </c>
      <c r="P37" t="s">
        <v>156</v>
      </c>
    </row>
    <row r="38" spans="1:16" x14ac:dyDescent="0.25">
      <c r="A38" s="5">
        <v>102286715200</v>
      </c>
      <c r="B38" s="5" t="str">
        <f t="shared" si="0"/>
        <v>102286715200OVR</v>
      </c>
      <c r="C38" t="s">
        <v>88</v>
      </c>
      <c r="D38" t="s">
        <v>13</v>
      </c>
      <c r="E38">
        <v>9213293</v>
      </c>
      <c r="F38" t="str">
        <f t="shared" si="1"/>
        <v>9213293OVR</v>
      </c>
      <c r="G38" t="s">
        <v>26</v>
      </c>
      <c r="H38" t="s">
        <v>89</v>
      </c>
      <c r="I38" s="1">
        <v>46296</v>
      </c>
      <c r="J38" s="1">
        <v>46387</v>
      </c>
      <c r="K38" t="s">
        <v>16</v>
      </c>
      <c r="L38" s="2">
        <v>6.25</v>
      </c>
      <c r="M38">
        <v>1</v>
      </c>
      <c r="N38" s="2">
        <v>6.25</v>
      </c>
      <c r="O38" t="s">
        <v>90</v>
      </c>
      <c r="P38" t="s">
        <v>156</v>
      </c>
    </row>
    <row r="39" spans="1:16" x14ac:dyDescent="0.25">
      <c r="A39" s="5">
        <v>102286902000</v>
      </c>
      <c r="B39" s="5" t="str">
        <f t="shared" si="0"/>
        <v>102286902000OVR</v>
      </c>
      <c r="C39" t="s">
        <v>91</v>
      </c>
      <c r="D39" t="s">
        <v>43</v>
      </c>
      <c r="E39">
        <v>19491313</v>
      </c>
      <c r="F39" t="str">
        <f t="shared" si="1"/>
        <v>19491313OVR</v>
      </c>
      <c r="G39" t="s">
        <v>24</v>
      </c>
      <c r="H39" t="s">
        <v>89</v>
      </c>
      <c r="I39" s="1">
        <v>46266</v>
      </c>
      <c r="J39" s="1">
        <v>46387</v>
      </c>
      <c r="K39" t="s">
        <v>16</v>
      </c>
      <c r="L39" s="2">
        <v>8.33</v>
      </c>
      <c r="M39">
        <v>1</v>
      </c>
      <c r="N39" s="2">
        <v>8.33</v>
      </c>
      <c r="O39" t="s">
        <v>92</v>
      </c>
      <c r="P39" t="s">
        <v>156</v>
      </c>
    </row>
    <row r="40" spans="1:16" x14ac:dyDescent="0.25">
      <c r="A40" s="5">
        <v>102286937100</v>
      </c>
      <c r="B40" s="5" t="str">
        <f t="shared" si="0"/>
        <v>102286937100OVR</v>
      </c>
      <c r="C40" t="s">
        <v>93</v>
      </c>
      <c r="D40" t="s">
        <v>13</v>
      </c>
      <c r="E40">
        <v>9213293</v>
      </c>
      <c r="F40" t="str">
        <f t="shared" si="1"/>
        <v>9213293OVR</v>
      </c>
      <c r="G40" t="s">
        <v>26</v>
      </c>
      <c r="H40" t="s">
        <v>89</v>
      </c>
      <c r="I40" s="1">
        <v>46235</v>
      </c>
      <c r="J40" s="1">
        <v>46387</v>
      </c>
      <c r="K40" t="s">
        <v>16</v>
      </c>
      <c r="L40" s="2">
        <v>10.42</v>
      </c>
      <c r="M40">
        <v>1</v>
      </c>
      <c r="N40" s="2">
        <v>10.42</v>
      </c>
      <c r="O40" t="s">
        <v>94</v>
      </c>
      <c r="P40" t="s">
        <v>156</v>
      </c>
    </row>
    <row r="41" spans="1:16" x14ac:dyDescent="0.25">
      <c r="A41" s="5">
        <v>102286957300</v>
      </c>
      <c r="B41" s="5" t="str">
        <f t="shared" si="0"/>
        <v>102286957300OVR</v>
      </c>
      <c r="C41" t="s">
        <v>95</v>
      </c>
      <c r="D41" t="s">
        <v>43</v>
      </c>
      <c r="E41">
        <v>16170994</v>
      </c>
      <c r="F41" t="str">
        <f t="shared" si="1"/>
        <v>16170994OVR</v>
      </c>
      <c r="G41" t="s">
        <v>44</v>
      </c>
      <c r="H41" t="s">
        <v>89</v>
      </c>
      <c r="I41" s="1">
        <v>46296</v>
      </c>
      <c r="J41" s="1">
        <v>46387</v>
      </c>
      <c r="K41" t="s">
        <v>16</v>
      </c>
      <c r="L41" s="2">
        <v>6.25</v>
      </c>
      <c r="M41">
        <v>1</v>
      </c>
      <c r="N41" s="2">
        <v>6.25</v>
      </c>
      <c r="O41" t="s">
        <v>90</v>
      </c>
      <c r="P41" t="s">
        <v>156</v>
      </c>
    </row>
    <row r="42" spans="1:16" x14ac:dyDescent="0.25">
      <c r="A42" s="5">
        <v>102287058200</v>
      </c>
      <c r="B42" s="5" t="str">
        <f t="shared" si="0"/>
        <v>102287058200OVR</v>
      </c>
      <c r="C42" t="s">
        <v>96</v>
      </c>
      <c r="D42" t="s">
        <v>43</v>
      </c>
      <c r="E42">
        <v>18598357</v>
      </c>
      <c r="F42" t="str">
        <f t="shared" si="1"/>
        <v>18598357OVR</v>
      </c>
      <c r="G42" t="s">
        <v>97</v>
      </c>
      <c r="H42" t="s">
        <v>89</v>
      </c>
      <c r="I42" s="1">
        <v>46296</v>
      </c>
      <c r="J42" s="1">
        <v>46387</v>
      </c>
      <c r="K42" t="s">
        <v>16</v>
      </c>
      <c r="L42" s="2">
        <v>6.25</v>
      </c>
      <c r="M42">
        <v>1</v>
      </c>
      <c r="N42" s="2">
        <v>6.25</v>
      </c>
      <c r="O42" t="s">
        <v>90</v>
      </c>
      <c r="P42" t="s">
        <v>156</v>
      </c>
    </row>
    <row r="43" spans="1:16" x14ac:dyDescent="0.25">
      <c r="A43" s="5">
        <v>102287147600</v>
      </c>
      <c r="B43" s="5" t="str">
        <f t="shared" si="0"/>
        <v>102287147600OVR</v>
      </c>
      <c r="C43" t="s">
        <v>98</v>
      </c>
      <c r="D43" t="s">
        <v>32</v>
      </c>
      <c r="E43">
        <v>20253958</v>
      </c>
      <c r="F43" t="str">
        <f t="shared" si="1"/>
        <v>20253958OVR</v>
      </c>
      <c r="G43" t="s">
        <v>59</v>
      </c>
      <c r="H43" t="s">
        <v>89</v>
      </c>
      <c r="I43" s="1">
        <v>46296</v>
      </c>
      <c r="J43" s="1">
        <v>46387</v>
      </c>
      <c r="K43" t="s">
        <v>16</v>
      </c>
      <c r="L43" s="2">
        <v>6.25</v>
      </c>
      <c r="M43">
        <v>1</v>
      </c>
      <c r="N43" s="2">
        <v>6.25</v>
      </c>
      <c r="O43" t="s">
        <v>90</v>
      </c>
      <c r="P43" t="s">
        <v>156</v>
      </c>
    </row>
    <row r="44" spans="1:16" x14ac:dyDescent="0.25">
      <c r="A44" s="5">
        <v>102287291400</v>
      </c>
      <c r="B44" s="5" t="str">
        <f t="shared" si="0"/>
        <v>102287291400OVR</v>
      </c>
      <c r="C44" t="s">
        <v>99</v>
      </c>
      <c r="D44" t="s">
        <v>32</v>
      </c>
      <c r="E44">
        <v>17528908</v>
      </c>
      <c r="F44" t="str">
        <f t="shared" si="1"/>
        <v>17528908OVR</v>
      </c>
      <c r="G44" t="s">
        <v>33</v>
      </c>
      <c r="H44" t="s">
        <v>89</v>
      </c>
      <c r="I44" s="1">
        <v>46266</v>
      </c>
      <c r="J44" s="1">
        <v>46387</v>
      </c>
      <c r="K44" t="s">
        <v>16</v>
      </c>
      <c r="L44" s="2">
        <v>8.33</v>
      </c>
      <c r="M44">
        <v>1</v>
      </c>
      <c r="N44" s="2">
        <v>8.33</v>
      </c>
      <c r="O44" t="s">
        <v>92</v>
      </c>
      <c r="P44" t="s">
        <v>156</v>
      </c>
    </row>
    <row r="45" spans="1:16" x14ac:dyDescent="0.25">
      <c r="A45" s="5">
        <v>101144295300</v>
      </c>
      <c r="B45" s="5" t="str">
        <f t="shared" si="0"/>
        <v>101144295300OVR</v>
      </c>
      <c r="C45" t="s">
        <v>27</v>
      </c>
      <c r="D45" t="s">
        <v>13</v>
      </c>
      <c r="E45">
        <v>9213293</v>
      </c>
      <c r="F45" t="str">
        <f t="shared" si="1"/>
        <v>9213293OVR</v>
      </c>
      <c r="G45" t="s">
        <v>26</v>
      </c>
      <c r="H45" t="s">
        <v>89</v>
      </c>
      <c r="I45" s="1">
        <v>46204</v>
      </c>
      <c r="J45" s="1">
        <v>46387</v>
      </c>
      <c r="K45" t="s">
        <v>16</v>
      </c>
      <c r="N45" s="3">
        <v>-12.5</v>
      </c>
      <c r="P45" t="s">
        <v>156</v>
      </c>
    </row>
    <row r="46" spans="1:16" x14ac:dyDescent="0.25">
      <c r="A46" s="5">
        <v>102282339600</v>
      </c>
      <c r="B46" s="5" t="str">
        <f t="shared" si="0"/>
        <v>102282339600OVR</v>
      </c>
      <c r="C46" t="s">
        <v>29</v>
      </c>
      <c r="D46" t="s">
        <v>13</v>
      </c>
      <c r="E46">
        <v>8812322</v>
      </c>
      <c r="F46" t="str">
        <f t="shared" si="1"/>
        <v>8812322OVR</v>
      </c>
      <c r="G46" t="s">
        <v>30</v>
      </c>
      <c r="H46" t="s">
        <v>89</v>
      </c>
      <c r="I46" s="1">
        <v>46204</v>
      </c>
      <c r="J46" s="1">
        <v>46387</v>
      </c>
      <c r="K46" t="s">
        <v>16</v>
      </c>
      <c r="N46" s="3">
        <v>-12.5</v>
      </c>
      <c r="P46" t="s">
        <v>156</v>
      </c>
    </row>
    <row r="47" spans="1:16" x14ac:dyDescent="0.25">
      <c r="A47" s="5">
        <v>102282666300</v>
      </c>
      <c r="B47" s="5" t="str">
        <f t="shared" si="0"/>
        <v>102282666300OVR</v>
      </c>
      <c r="C47" t="s">
        <v>31</v>
      </c>
      <c r="D47" t="s">
        <v>32</v>
      </c>
      <c r="E47">
        <v>17528908</v>
      </c>
      <c r="F47" t="str">
        <f t="shared" si="1"/>
        <v>17528908OVR</v>
      </c>
      <c r="G47" t="s">
        <v>33</v>
      </c>
      <c r="H47" t="s">
        <v>89</v>
      </c>
      <c r="I47" s="1">
        <v>46204</v>
      </c>
      <c r="J47" s="1">
        <v>46387</v>
      </c>
      <c r="K47" t="s">
        <v>16</v>
      </c>
      <c r="N47" s="3">
        <v>-12.5</v>
      </c>
      <c r="P47" t="s">
        <v>156</v>
      </c>
    </row>
    <row r="48" spans="1:16" x14ac:dyDescent="0.25">
      <c r="A48" s="5">
        <v>102282681700</v>
      </c>
      <c r="B48" s="5" t="str">
        <f t="shared" si="0"/>
        <v>102282681700OVR</v>
      </c>
      <c r="C48" t="s">
        <v>34</v>
      </c>
      <c r="D48" t="s">
        <v>32</v>
      </c>
      <c r="E48">
        <v>18710070</v>
      </c>
      <c r="F48" t="str">
        <f t="shared" si="1"/>
        <v>18710070OVR</v>
      </c>
      <c r="G48" t="s">
        <v>35</v>
      </c>
      <c r="H48" t="s">
        <v>89</v>
      </c>
      <c r="I48" s="1">
        <v>46235</v>
      </c>
      <c r="J48" s="1">
        <v>46387</v>
      </c>
      <c r="K48" t="s">
        <v>16</v>
      </c>
      <c r="N48" s="3">
        <v>-10.42</v>
      </c>
      <c r="P48" t="s">
        <v>156</v>
      </c>
    </row>
    <row r="49" spans="1:16" x14ac:dyDescent="0.25">
      <c r="A49" s="5">
        <v>102282739300</v>
      </c>
      <c r="B49" s="5" t="str">
        <f t="shared" si="0"/>
        <v>102282739300OVR</v>
      </c>
      <c r="C49" t="s">
        <v>36</v>
      </c>
      <c r="D49" t="s">
        <v>37</v>
      </c>
      <c r="E49">
        <v>7470776</v>
      </c>
      <c r="F49" t="str">
        <f t="shared" si="1"/>
        <v>7470776OVR</v>
      </c>
      <c r="G49" t="s">
        <v>38</v>
      </c>
      <c r="H49" t="s">
        <v>89</v>
      </c>
      <c r="I49" s="1">
        <v>46204</v>
      </c>
      <c r="J49" s="1">
        <v>46387</v>
      </c>
      <c r="K49" t="s">
        <v>16</v>
      </c>
      <c r="N49" s="3">
        <v>-12.5</v>
      </c>
      <c r="P49" t="s">
        <v>156</v>
      </c>
    </row>
    <row r="50" spans="1:16" x14ac:dyDescent="0.25">
      <c r="A50" s="5">
        <v>102282813300</v>
      </c>
      <c r="B50" s="5" t="str">
        <f t="shared" si="0"/>
        <v>102282813300OVR</v>
      </c>
      <c r="C50" t="s">
        <v>39</v>
      </c>
      <c r="D50" t="s">
        <v>13</v>
      </c>
      <c r="E50">
        <v>17301495</v>
      </c>
      <c r="F50" t="str">
        <f t="shared" si="1"/>
        <v>17301495OVR</v>
      </c>
      <c r="G50" t="s">
        <v>40</v>
      </c>
      <c r="H50" t="s">
        <v>89</v>
      </c>
      <c r="I50" s="1">
        <v>46174</v>
      </c>
      <c r="J50" s="1">
        <v>46387</v>
      </c>
      <c r="K50" t="s">
        <v>16</v>
      </c>
      <c r="N50" s="3">
        <v>-14.58</v>
      </c>
      <c r="P50" t="s">
        <v>156</v>
      </c>
    </row>
    <row r="51" spans="1:16" x14ac:dyDescent="0.25">
      <c r="A51" s="5">
        <v>102283019100</v>
      </c>
      <c r="B51" s="5" t="str">
        <f t="shared" si="0"/>
        <v>102283019100OVR</v>
      </c>
      <c r="C51" t="s">
        <v>41</v>
      </c>
      <c r="D51" t="s">
        <v>32</v>
      </c>
      <c r="E51">
        <v>17528908</v>
      </c>
      <c r="F51" t="str">
        <f t="shared" si="1"/>
        <v>17528908OVR</v>
      </c>
      <c r="G51" t="s">
        <v>33</v>
      </c>
      <c r="H51" t="s">
        <v>89</v>
      </c>
      <c r="I51" s="1">
        <v>46266</v>
      </c>
      <c r="J51" s="1">
        <v>46387</v>
      </c>
      <c r="K51" t="s">
        <v>16</v>
      </c>
      <c r="N51" s="3">
        <v>-8.33</v>
      </c>
      <c r="P51" t="s">
        <v>156</v>
      </c>
    </row>
    <row r="52" spans="1:16" x14ac:dyDescent="0.25">
      <c r="A52" s="5">
        <v>102283062200</v>
      </c>
      <c r="B52" s="5" t="str">
        <f t="shared" si="0"/>
        <v>102283062200OVR</v>
      </c>
      <c r="C52" t="s">
        <v>42</v>
      </c>
      <c r="D52" t="s">
        <v>43</v>
      </c>
      <c r="E52">
        <v>16170994</v>
      </c>
      <c r="F52" t="str">
        <f t="shared" si="1"/>
        <v>16170994OVR</v>
      </c>
      <c r="G52" t="s">
        <v>44</v>
      </c>
      <c r="H52" t="s">
        <v>89</v>
      </c>
      <c r="I52" s="1">
        <v>46204</v>
      </c>
      <c r="J52" s="1">
        <v>46387</v>
      </c>
      <c r="K52" t="s">
        <v>16</v>
      </c>
      <c r="N52" s="3">
        <v>-12.5</v>
      </c>
      <c r="P52" t="s">
        <v>156</v>
      </c>
    </row>
    <row r="53" spans="1:16" x14ac:dyDescent="0.25">
      <c r="A53" s="5">
        <v>102283491900</v>
      </c>
      <c r="B53" s="5" t="str">
        <f t="shared" si="0"/>
        <v>102283491900OVR</v>
      </c>
      <c r="C53" t="s">
        <v>45</v>
      </c>
      <c r="D53" t="s">
        <v>13</v>
      </c>
      <c r="E53">
        <v>7470776</v>
      </c>
      <c r="F53" t="str">
        <f t="shared" si="1"/>
        <v>7470776OVR</v>
      </c>
      <c r="G53" t="s">
        <v>38</v>
      </c>
      <c r="H53" t="s">
        <v>89</v>
      </c>
      <c r="I53" s="1">
        <v>46204</v>
      </c>
      <c r="J53" s="1">
        <v>46387</v>
      </c>
      <c r="K53" t="s">
        <v>16</v>
      </c>
      <c r="N53" s="3">
        <v>-12.5</v>
      </c>
      <c r="P53" t="s">
        <v>156</v>
      </c>
    </row>
    <row r="54" spans="1:16" x14ac:dyDescent="0.25">
      <c r="A54" s="5">
        <v>102283501500</v>
      </c>
      <c r="B54" s="5" t="str">
        <f t="shared" si="0"/>
        <v>102283501500OVR</v>
      </c>
      <c r="C54" t="s">
        <v>46</v>
      </c>
      <c r="D54" t="s">
        <v>43</v>
      </c>
      <c r="E54">
        <v>16170994</v>
      </c>
      <c r="F54" t="str">
        <f t="shared" si="1"/>
        <v>16170994OVR</v>
      </c>
      <c r="G54" t="s">
        <v>44</v>
      </c>
      <c r="H54" t="s">
        <v>89</v>
      </c>
      <c r="I54" s="1">
        <v>46266</v>
      </c>
      <c r="J54" s="1">
        <v>46387</v>
      </c>
      <c r="K54" t="s">
        <v>16</v>
      </c>
      <c r="N54" s="3">
        <v>-8.33</v>
      </c>
      <c r="P54" t="s">
        <v>156</v>
      </c>
    </row>
    <row r="55" spans="1:16" x14ac:dyDescent="0.25">
      <c r="A55" s="5">
        <v>102283822000</v>
      </c>
      <c r="B55" s="5" t="str">
        <f t="shared" si="0"/>
        <v>102283822000OVR</v>
      </c>
      <c r="C55" t="s">
        <v>47</v>
      </c>
      <c r="D55" t="s">
        <v>32</v>
      </c>
      <c r="E55">
        <v>18710070</v>
      </c>
      <c r="F55" t="str">
        <f t="shared" si="1"/>
        <v>18710070OVR</v>
      </c>
      <c r="G55" t="s">
        <v>35</v>
      </c>
      <c r="H55" t="s">
        <v>89</v>
      </c>
      <c r="I55" s="1">
        <v>46266</v>
      </c>
      <c r="J55" s="1">
        <v>46387</v>
      </c>
      <c r="K55" t="s">
        <v>16</v>
      </c>
      <c r="N55" s="3">
        <v>-8.33</v>
      </c>
      <c r="P55" t="s">
        <v>156</v>
      </c>
    </row>
    <row r="56" spans="1:16" x14ac:dyDescent="0.25">
      <c r="A56" s="5">
        <v>102283822800</v>
      </c>
      <c r="B56" s="5" t="str">
        <f t="shared" si="0"/>
        <v>102283822800OVR</v>
      </c>
      <c r="C56" t="s">
        <v>48</v>
      </c>
      <c r="D56" t="s">
        <v>32</v>
      </c>
      <c r="E56">
        <v>17528908</v>
      </c>
      <c r="F56" t="str">
        <f t="shared" si="1"/>
        <v>17528908OVR</v>
      </c>
      <c r="G56" t="s">
        <v>33</v>
      </c>
      <c r="H56" t="s">
        <v>89</v>
      </c>
      <c r="I56" s="1">
        <v>46204</v>
      </c>
      <c r="J56" s="1">
        <v>46387</v>
      </c>
      <c r="K56" t="s">
        <v>16</v>
      </c>
      <c r="N56" s="3">
        <v>-12.5</v>
      </c>
      <c r="P56" t="s">
        <v>156</v>
      </c>
    </row>
    <row r="57" spans="1:16" x14ac:dyDescent="0.25">
      <c r="A57" s="5">
        <v>102283931600</v>
      </c>
      <c r="B57" s="5" t="str">
        <f t="shared" si="0"/>
        <v>102283931600OVR</v>
      </c>
      <c r="C57" t="s">
        <v>49</v>
      </c>
      <c r="D57" t="s">
        <v>13</v>
      </c>
      <c r="E57">
        <v>16633294</v>
      </c>
      <c r="F57" t="str">
        <f t="shared" si="1"/>
        <v>16633294OVR</v>
      </c>
      <c r="G57" t="s">
        <v>50</v>
      </c>
      <c r="H57" t="s">
        <v>89</v>
      </c>
      <c r="I57" s="1">
        <v>46204</v>
      </c>
      <c r="J57" s="1">
        <v>46387</v>
      </c>
      <c r="K57" t="s">
        <v>16</v>
      </c>
      <c r="N57" s="3">
        <v>-12.5</v>
      </c>
      <c r="P57" t="s">
        <v>156</v>
      </c>
    </row>
    <row r="58" spans="1:16" x14ac:dyDescent="0.25">
      <c r="A58" s="5">
        <v>102283968400</v>
      </c>
      <c r="B58" s="5" t="str">
        <f t="shared" si="0"/>
        <v>102283968400OVR</v>
      </c>
      <c r="C58" t="s">
        <v>51</v>
      </c>
      <c r="D58" t="s">
        <v>13</v>
      </c>
      <c r="E58">
        <v>16228684</v>
      </c>
      <c r="F58" t="str">
        <f t="shared" si="1"/>
        <v>16228684OVR</v>
      </c>
      <c r="G58" t="s">
        <v>52</v>
      </c>
      <c r="H58" t="s">
        <v>89</v>
      </c>
      <c r="I58" s="1">
        <v>46235</v>
      </c>
      <c r="J58" s="1">
        <v>46387</v>
      </c>
      <c r="K58" t="s">
        <v>16</v>
      </c>
      <c r="N58" s="3">
        <v>-10.42</v>
      </c>
      <c r="P58" t="s">
        <v>156</v>
      </c>
    </row>
    <row r="59" spans="1:16" x14ac:dyDescent="0.25">
      <c r="A59" s="5">
        <v>102283991900</v>
      </c>
      <c r="B59" s="5" t="str">
        <f t="shared" si="0"/>
        <v>102283991900OVR</v>
      </c>
      <c r="C59" t="s">
        <v>53</v>
      </c>
      <c r="D59" t="s">
        <v>54</v>
      </c>
      <c r="E59">
        <v>8325282</v>
      </c>
      <c r="F59" t="str">
        <f t="shared" si="1"/>
        <v>8325282OVR</v>
      </c>
      <c r="G59" t="s">
        <v>55</v>
      </c>
      <c r="H59" t="s">
        <v>89</v>
      </c>
      <c r="I59" s="1">
        <v>46204</v>
      </c>
      <c r="J59" s="1">
        <v>46387</v>
      </c>
      <c r="K59" t="s">
        <v>16</v>
      </c>
      <c r="N59" s="3">
        <v>-12.5</v>
      </c>
      <c r="P59" t="s">
        <v>156</v>
      </c>
    </row>
    <row r="60" spans="1:16" x14ac:dyDescent="0.25">
      <c r="A60" s="5">
        <v>102284235200</v>
      </c>
      <c r="B60" s="5" t="str">
        <f t="shared" si="0"/>
        <v>102284235200OVR</v>
      </c>
      <c r="C60" t="s">
        <v>56</v>
      </c>
      <c r="D60" t="s">
        <v>13</v>
      </c>
      <c r="E60">
        <v>16633294</v>
      </c>
      <c r="F60" t="str">
        <f t="shared" si="1"/>
        <v>16633294OVR</v>
      </c>
      <c r="G60" t="s">
        <v>50</v>
      </c>
      <c r="H60" t="s">
        <v>89</v>
      </c>
      <c r="I60" s="1">
        <v>46235</v>
      </c>
      <c r="J60" s="1">
        <v>46387</v>
      </c>
      <c r="K60" t="s">
        <v>16</v>
      </c>
      <c r="N60" s="3">
        <v>-10.42</v>
      </c>
      <c r="P60" t="s">
        <v>156</v>
      </c>
    </row>
    <row r="61" spans="1:16" x14ac:dyDescent="0.25">
      <c r="A61" s="5">
        <v>102284240000</v>
      </c>
      <c r="B61" s="5" t="str">
        <f t="shared" si="0"/>
        <v>102284240000OVR</v>
      </c>
      <c r="C61" t="s">
        <v>57</v>
      </c>
      <c r="D61" t="s">
        <v>13</v>
      </c>
      <c r="E61">
        <v>7470776</v>
      </c>
      <c r="F61" t="str">
        <f t="shared" si="1"/>
        <v>7470776OVR</v>
      </c>
      <c r="G61" t="s">
        <v>38</v>
      </c>
      <c r="H61" t="s">
        <v>89</v>
      </c>
      <c r="I61" s="1">
        <v>46235</v>
      </c>
      <c r="J61" s="1">
        <v>46387</v>
      </c>
      <c r="K61" t="s">
        <v>16</v>
      </c>
      <c r="N61" s="3">
        <v>-10.42</v>
      </c>
      <c r="P61" t="s">
        <v>156</v>
      </c>
    </row>
    <row r="62" spans="1:16" x14ac:dyDescent="0.25">
      <c r="A62" s="5">
        <v>102284628100</v>
      </c>
      <c r="B62" s="5" t="str">
        <f t="shared" si="0"/>
        <v>102284628100OVR</v>
      </c>
      <c r="C62" t="s">
        <v>58</v>
      </c>
      <c r="D62" t="s">
        <v>32</v>
      </c>
      <c r="E62">
        <v>20253958</v>
      </c>
      <c r="F62" t="str">
        <f t="shared" si="1"/>
        <v>20253958OVR</v>
      </c>
      <c r="G62" t="s">
        <v>59</v>
      </c>
      <c r="H62" t="s">
        <v>89</v>
      </c>
      <c r="I62" s="1">
        <v>46235</v>
      </c>
      <c r="J62" s="1">
        <v>46387</v>
      </c>
      <c r="K62" t="s">
        <v>16</v>
      </c>
      <c r="N62" s="3">
        <v>-10.42</v>
      </c>
      <c r="P62" t="s">
        <v>156</v>
      </c>
    </row>
    <row r="63" spans="1:16" x14ac:dyDescent="0.25">
      <c r="A63" s="5">
        <v>102284749100</v>
      </c>
      <c r="B63" s="5" t="str">
        <f t="shared" si="0"/>
        <v>102284749100OVR</v>
      </c>
      <c r="C63" t="s">
        <v>60</v>
      </c>
      <c r="D63" t="s">
        <v>13</v>
      </c>
      <c r="E63">
        <v>7470776</v>
      </c>
      <c r="F63" t="str">
        <f t="shared" si="1"/>
        <v>7470776OVR</v>
      </c>
      <c r="G63" t="s">
        <v>38</v>
      </c>
      <c r="H63" t="s">
        <v>89</v>
      </c>
      <c r="I63" s="1">
        <v>46204</v>
      </c>
      <c r="J63" s="1">
        <v>46387</v>
      </c>
      <c r="K63" t="s">
        <v>16</v>
      </c>
      <c r="N63" s="3">
        <v>-12.5</v>
      </c>
      <c r="P63" t="s">
        <v>156</v>
      </c>
    </row>
    <row r="64" spans="1:16" x14ac:dyDescent="0.25">
      <c r="A64" s="5">
        <v>102284857200</v>
      </c>
      <c r="B64" s="5" t="str">
        <f t="shared" si="0"/>
        <v>102284857200OVR</v>
      </c>
      <c r="C64" t="s">
        <v>61</v>
      </c>
      <c r="D64" t="s">
        <v>13</v>
      </c>
      <c r="E64">
        <v>8405446</v>
      </c>
      <c r="F64" t="str">
        <f t="shared" si="1"/>
        <v>8405446OVR</v>
      </c>
      <c r="G64" t="s">
        <v>62</v>
      </c>
      <c r="H64" t="s">
        <v>89</v>
      </c>
      <c r="I64" s="1">
        <v>46204</v>
      </c>
      <c r="J64" s="1">
        <v>46387</v>
      </c>
      <c r="K64" t="s">
        <v>16</v>
      </c>
      <c r="N64" s="3">
        <v>-12.5</v>
      </c>
      <c r="P64" t="s">
        <v>156</v>
      </c>
    </row>
    <row r="65" spans="1:16" x14ac:dyDescent="0.25">
      <c r="A65" s="5">
        <v>102284888600</v>
      </c>
      <c r="B65" s="5" t="str">
        <f t="shared" si="0"/>
        <v>102284888600OVR</v>
      </c>
      <c r="C65" t="s">
        <v>63</v>
      </c>
      <c r="D65" t="s">
        <v>64</v>
      </c>
      <c r="E65">
        <v>9079571</v>
      </c>
      <c r="F65" t="str">
        <f t="shared" si="1"/>
        <v>9079571OVR</v>
      </c>
      <c r="G65" t="s">
        <v>65</v>
      </c>
      <c r="H65" t="s">
        <v>89</v>
      </c>
      <c r="I65" s="1">
        <v>46204</v>
      </c>
      <c r="J65" s="1">
        <v>46387</v>
      </c>
      <c r="K65" t="s">
        <v>16</v>
      </c>
      <c r="N65" s="3">
        <v>-12.5</v>
      </c>
      <c r="P65" t="s">
        <v>156</v>
      </c>
    </row>
    <row r="66" spans="1:16" x14ac:dyDescent="0.25">
      <c r="A66" s="5">
        <v>102284898200</v>
      </c>
      <c r="B66" s="5" t="str">
        <f t="shared" si="0"/>
        <v>102284898200OVR</v>
      </c>
      <c r="C66" t="s">
        <v>66</v>
      </c>
      <c r="D66" t="s">
        <v>13</v>
      </c>
      <c r="E66">
        <v>19481808</v>
      </c>
      <c r="F66" t="str">
        <f t="shared" si="1"/>
        <v>19481808OVR</v>
      </c>
      <c r="G66" t="s">
        <v>14</v>
      </c>
      <c r="H66" t="s">
        <v>89</v>
      </c>
      <c r="I66" s="1">
        <v>46204</v>
      </c>
      <c r="J66" s="1">
        <v>46387</v>
      </c>
      <c r="K66" t="s">
        <v>16</v>
      </c>
      <c r="N66" s="3">
        <v>-12.5</v>
      </c>
      <c r="P66" t="s">
        <v>156</v>
      </c>
    </row>
    <row r="67" spans="1:16" x14ac:dyDescent="0.25">
      <c r="A67" s="5">
        <v>102284996700</v>
      </c>
      <c r="B67" s="5" t="str">
        <f t="shared" ref="B67:B89" si="2">CONCATENATE(A67,"OVR")</f>
        <v>102284996700OVR</v>
      </c>
      <c r="C67" t="s">
        <v>67</v>
      </c>
      <c r="D67" t="s">
        <v>32</v>
      </c>
      <c r="E67">
        <v>17528908</v>
      </c>
      <c r="F67" t="str">
        <f t="shared" ref="F67:F89" si="3">CONCATENATE(E67,"OVR")</f>
        <v>17528908OVR</v>
      </c>
      <c r="G67" t="s">
        <v>33</v>
      </c>
      <c r="H67" t="s">
        <v>89</v>
      </c>
      <c r="I67" s="1">
        <v>46266</v>
      </c>
      <c r="J67" s="1">
        <v>46387</v>
      </c>
      <c r="K67" t="s">
        <v>16</v>
      </c>
      <c r="N67" s="3">
        <v>-8.33</v>
      </c>
      <c r="P67" t="s">
        <v>156</v>
      </c>
    </row>
    <row r="68" spans="1:16" x14ac:dyDescent="0.25">
      <c r="A68" s="5">
        <v>102285035200</v>
      </c>
      <c r="B68" s="5" t="str">
        <f t="shared" si="2"/>
        <v>102285035200OVR</v>
      </c>
      <c r="C68" t="s">
        <v>68</v>
      </c>
      <c r="D68" t="s">
        <v>64</v>
      </c>
      <c r="E68">
        <v>16212649</v>
      </c>
      <c r="F68" t="str">
        <f t="shared" si="3"/>
        <v>16212649OVR</v>
      </c>
      <c r="G68" t="s">
        <v>69</v>
      </c>
      <c r="H68" t="s">
        <v>89</v>
      </c>
      <c r="I68" s="1">
        <v>46204</v>
      </c>
      <c r="J68" s="1">
        <v>46387</v>
      </c>
      <c r="K68" t="s">
        <v>16</v>
      </c>
      <c r="N68" s="3">
        <v>-12.5</v>
      </c>
      <c r="P68" t="s">
        <v>156</v>
      </c>
    </row>
    <row r="69" spans="1:16" x14ac:dyDescent="0.25">
      <c r="A69" s="5">
        <v>102285035800</v>
      </c>
      <c r="B69" s="5" t="str">
        <f t="shared" si="2"/>
        <v>102285035800OVR</v>
      </c>
      <c r="C69" t="s">
        <v>70</v>
      </c>
      <c r="D69" t="s">
        <v>32</v>
      </c>
      <c r="E69">
        <v>20616980</v>
      </c>
      <c r="F69" t="str">
        <f t="shared" si="3"/>
        <v>20616980OVR</v>
      </c>
      <c r="G69" t="s">
        <v>71</v>
      </c>
      <c r="H69" t="s">
        <v>89</v>
      </c>
      <c r="I69" s="1">
        <v>46204</v>
      </c>
      <c r="J69" s="1">
        <v>46387</v>
      </c>
      <c r="K69" t="s">
        <v>16</v>
      </c>
      <c r="N69" s="3">
        <v>-12.5</v>
      </c>
      <c r="P69" t="s">
        <v>156</v>
      </c>
    </row>
    <row r="70" spans="1:16" x14ac:dyDescent="0.25">
      <c r="A70" s="5">
        <v>102285389300</v>
      </c>
      <c r="B70" s="5" t="str">
        <f t="shared" si="2"/>
        <v>102285389300OVR</v>
      </c>
      <c r="C70" t="s">
        <v>72</v>
      </c>
      <c r="D70" t="s">
        <v>13</v>
      </c>
      <c r="E70">
        <v>18828278</v>
      </c>
      <c r="F70" t="str">
        <f t="shared" si="3"/>
        <v>18828278OVR</v>
      </c>
      <c r="G70" t="s">
        <v>18</v>
      </c>
      <c r="H70" t="s">
        <v>89</v>
      </c>
      <c r="I70" s="1">
        <v>46204</v>
      </c>
      <c r="J70" s="1">
        <v>46387</v>
      </c>
      <c r="K70" t="s">
        <v>16</v>
      </c>
      <c r="N70" s="3">
        <v>-12.5</v>
      </c>
      <c r="P70" t="s">
        <v>156</v>
      </c>
    </row>
    <row r="71" spans="1:16" x14ac:dyDescent="0.25">
      <c r="A71" s="5">
        <v>102285600200</v>
      </c>
      <c r="B71" s="5" t="str">
        <f t="shared" si="2"/>
        <v>102285600200OVR</v>
      </c>
      <c r="C71" t="s">
        <v>73</v>
      </c>
      <c r="D71" t="s">
        <v>43</v>
      </c>
      <c r="E71">
        <v>16170994</v>
      </c>
      <c r="F71" t="str">
        <f t="shared" si="3"/>
        <v>16170994OVR</v>
      </c>
      <c r="G71" t="s">
        <v>44</v>
      </c>
      <c r="H71" t="s">
        <v>89</v>
      </c>
      <c r="I71" s="1">
        <v>46204</v>
      </c>
      <c r="J71" s="1">
        <v>46387</v>
      </c>
      <c r="K71" t="s">
        <v>16</v>
      </c>
      <c r="N71" s="3">
        <v>-12.5</v>
      </c>
      <c r="P71" t="s">
        <v>156</v>
      </c>
    </row>
    <row r="72" spans="1:16" x14ac:dyDescent="0.25">
      <c r="A72" s="5">
        <v>102285601800</v>
      </c>
      <c r="B72" s="5" t="str">
        <f t="shared" si="2"/>
        <v>102285601800OVR</v>
      </c>
      <c r="C72" t="s">
        <v>74</v>
      </c>
      <c r="D72" t="s">
        <v>75</v>
      </c>
      <c r="E72">
        <v>8307933</v>
      </c>
      <c r="F72" t="str">
        <f t="shared" si="3"/>
        <v>8307933OVR</v>
      </c>
      <c r="G72" t="s">
        <v>76</v>
      </c>
      <c r="H72" t="s">
        <v>89</v>
      </c>
      <c r="I72" s="1">
        <v>46204</v>
      </c>
      <c r="J72" s="1">
        <v>46387</v>
      </c>
      <c r="K72" t="s">
        <v>16</v>
      </c>
      <c r="N72" s="3">
        <v>-12.5</v>
      </c>
      <c r="P72" t="s">
        <v>156</v>
      </c>
    </row>
    <row r="73" spans="1:16" x14ac:dyDescent="0.25">
      <c r="A73" s="5">
        <v>102285670300</v>
      </c>
      <c r="B73" s="5" t="str">
        <f t="shared" si="2"/>
        <v>102285670300OVR</v>
      </c>
      <c r="C73" t="s">
        <v>77</v>
      </c>
      <c r="D73" t="s">
        <v>13</v>
      </c>
      <c r="E73">
        <v>18754354</v>
      </c>
      <c r="F73" t="str">
        <f t="shared" si="3"/>
        <v>18754354OVR</v>
      </c>
      <c r="G73" t="s">
        <v>78</v>
      </c>
      <c r="H73" t="s">
        <v>89</v>
      </c>
      <c r="I73" s="1">
        <v>46235</v>
      </c>
      <c r="J73" s="1">
        <v>46387</v>
      </c>
      <c r="K73" t="s">
        <v>16</v>
      </c>
      <c r="N73" s="3">
        <v>-10.42</v>
      </c>
      <c r="P73" t="s">
        <v>156</v>
      </c>
    </row>
    <row r="74" spans="1:16" x14ac:dyDescent="0.25">
      <c r="A74" s="5">
        <v>102285682600</v>
      </c>
      <c r="B74" s="5" t="str">
        <f t="shared" si="2"/>
        <v>102285682600OVR</v>
      </c>
      <c r="C74" t="s">
        <v>79</v>
      </c>
      <c r="D74" t="s">
        <v>80</v>
      </c>
      <c r="E74">
        <v>9213293</v>
      </c>
      <c r="F74" t="str">
        <f t="shared" si="3"/>
        <v>9213293OVR</v>
      </c>
      <c r="G74" t="s">
        <v>26</v>
      </c>
      <c r="H74" t="s">
        <v>89</v>
      </c>
      <c r="I74" s="1">
        <v>46204</v>
      </c>
      <c r="J74" s="1">
        <v>46387</v>
      </c>
      <c r="K74" t="s">
        <v>16</v>
      </c>
      <c r="N74" s="3">
        <v>-12.5</v>
      </c>
      <c r="P74" t="s">
        <v>156</v>
      </c>
    </row>
    <row r="75" spans="1:16" x14ac:dyDescent="0.25">
      <c r="A75" s="5">
        <v>102285868000</v>
      </c>
      <c r="B75" s="5" t="str">
        <f t="shared" si="2"/>
        <v>102285868000OVR</v>
      </c>
      <c r="C75" t="s">
        <v>81</v>
      </c>
      <c r="D75" t="s">
        <v>32</v>
      </c>
      <c r="E75">
        <v>15950276</v>
      </c>
      <c r="F75" t="str">
        <f t="shared" si="3"/>
        <v>15950276OVR</v>
      </c>
      <c r="G75" t="s">
        <v>82</v>
      </c>
      <c r="H75" t="s">
        <v>89</v>
      </c>
      <c r="I75" s="1">
        <v>46204</v>
      </c>
      <c r="J75" s="1">
        <v>46387</v>
      </c>
      <c r="K75" t="s">
        <v>16</v>
      </c>
      <c r="N75" s="3">
        <v>-12.5</v>
      </c>
      <c r="P75" t="s">
        <v>156</v>
      </c>
    </row>
    <row r="76" spans="1:16" x14ac:dyDescent="0.25">
      <c r="A76" s="5">
        <v>102285919500</v>
      </c>
      <c r="B76" s="5" t="str">
        <f t="shared" si="2"/>
        <v>102285919500OVR</v>
      </c>
      <c r="C76" t="s">
        <v>83</v>
      </c>
      <c r="D76" t="s">
        <v>37</v>
      </c>
      <c r="E76">
        <v>8307933</v>
      </c>
      <c r="F76" t="str">
        <f t="shared" si="3"/>
        <v>8307933OVR</v>
      </c>
      <c r="G76" t="s">
        <v>76</v>
      </c>
      <c r="H76" t="s">
        <v>89</v>
      </c>
      <c r="I76" s="1">
        <v>46235</v>
      </c>
      <c r="J76" s="1">
        <v>46387</v>
      </c>
      <c r="K76" t="s">
        <v>16</v>
      </c>
      <c r="N76" s="3">
        <v>-10.42</v>
      </c>
      <c r="P76" t="s">
        <v>156</v>
      </c>
    </row>
    <row r="77" spans="1:16" x14ac:dyDescent="0.25">
      <c r="A77" s="5">
        <v>102286119400</v>
      </c>
      <c r="B77" s="5" t="str">
        <f t="shared" si="2"/>
        <v>102286119400OVR</v>
      </c>
      <c r="C77" t="s">
        <v>84</v>
      </c>
      <c r="D77" t="s">
        <v>43</v>
      </c>
      <c r="E77">
        <v>16170994</v>
      </c>
      <c r="F77" t="str">
        <f t="shared" si="3"/>
        <v>16170994OVR</v>
      </c>
      <c r="G77" t="s">
        <v>44</v>
      </c>
      <c r="H77" t="s">
        <v>89</v>
      </c>
      <c r="I77" s="1">
        <v>46204</v>
      </c>
      <c r="J77" s="1">
        <v>46387</v>
      </c>
      <c r="K77" t="s">
        <v>16</v>
      </c>
      <c r="N77" s="3">
        <v>-12.5</v>
      </c>
      <c r="P77" t="s">
        <v>156</v>
      </c>
    </row>
    <row r="78" spans="1:16" x14ac:dyDescent="0.25">
      <c r="A78" s="5">
        <v>102286142500</v>
      </c>
      <c r="B78" s="5" t="str">
        <f t="shared" si="2"/>
        <v>102286142500OVR</v>
      </c>
      <c r="C78" t="s">
        <v>85</v>
      </c>
      <c r="D78" t="s">
        <v>86</v>
      </c>
      <c r="E78">
        <v>8307933</v>
      </c>
      <c r="F78" t="str">
        <f t="shared" si="3"/>
        <v>8307933OVR</v>
      </c>
      <c r="G78" t="s">
        <v>76</v>
      </c>
      <c r="H78" t="s">
        <v>89</v>
      </c>
      <c r="I78" s="1">
        <v>46204</v>
      </c>
      <c r="J78" s="1">
        <v>46387</v>
      </c>
      <c r="K78" t="s">
        <v>16</v>
      </c>
      <c r="N78" s="3">
        <v>-12.5</v>
      </c>
      <c r="P78" t="s">
        <v>156</v>
      </c>
    </row>
    <row r="79" spans="1:16" x14ac:dyDescent="0.25">
      <c r="A79" s="5">
        <v>102286150700</v>
      </c>
      <c r="B79" s="5" t="str">
        <f t="shared" si="2"/>
        <v>102286150700OVR</v>
      </c>
      <c r="C79" t="s">
        <v>87</v>
      </c>
      <c r="D79" t="s">
        <v>13</v>
      </c>
      <c r="E79">
        <v>7470776</v>
      </c>
      <c r="F79" t="str">
        <f t="shared" si="3"/>
        <v>7470776OVR</v>
      </c>
      <c r="G79" t="s">
        <v>38</v>
      </c>
      <c r="H79" t="s">
        <v>89</v>
      </c>
      <c r="I79" s="1">
        <v>46204</v>
      </c>
      <c r="J79" s="1">
        <v>46387</v>
      </c>
      <c r="K79" t="s">
        <v>16</v>
      </c>
      <c r="N79" s="3">
        <v>-12.5</v>
      </c>
      <c r="P79" t="s">
        <v>156</v>
      </c>
    </row>
    <row r="80" spans="1:16" x14ac:dyDescent="0.25">
      <c r="A80" s="5" t="s">
        <v>146</v>
      </c>
      <c r="B80" s="5" t="str">
        <f t="shared" si="2"/>
        <v>23X8F6L17OVR</v>
      </c>
      <c r="C80" t="s">
        <v>104</v>
      </c>
      <c r="D80" t="s">
        <v>32</v>
      </c>
      <c r="E80">
        <v>18710070</v>
      </c>
      <c r="F80" t="str">
        <f t="shared" si="3"/>
        <v>18710070OVR</v>
      </c>
      <c r="G80" t="s">
        <v>35</v>
      </c>
      <c r="H80" t="s">
        <v>105</v>
      </c>
      <c r="I80" s="1">
        <v>46235</v>
      </c>
      <c r="J80" s="1">
        <v>46387</v>
      </c>
      <c r="K80" t="s">
        <v>16</v>
      </c>
      <c r="L80" s="2">
        <v>100</v>
      </c>
      <c r="M80">
        <v>1</v>
      </c>
      <c r="N80" s="2">
        <v>100</v>
      </c>
      <c r="P80" t="s">
        <v>157</v>
      </c>
    </row>
    <row r="81" spans="1:16" x14ac:dyDescent="0.25">
      <c r="A81" s="5" t="s">
        <v>147</v>
      </c>
      <c r="B81" s="5" t="str">
        <f t="shared" si="2"/>
        <v>59F4A9A69OVR</v>
      </c>
      <c r="C81" t="s">
        <v>106</v>
      </c>
      <c r="D81" t="s">
        <v>32</v>
      </c>
      <c r="E81">
        <v>18710070</v>
      </c>
      <c r="F81" t="str">
        <f t="shared" si="3"/>
        <v>18710070OVR</v>
      </c>
      <c r="G81" t="s">
        <v>35</v>
      </c>
      <c r="H81" t="s">
        <v>105</v>
      </c>
      <c r="I81" s="1">
        <v>46235</v>
      </c>
      <c r="J81" s="1">
        <v>46387</v>
      </c>
      <c r="K81" t="s">
        <v>16</v>
      </c>
      <c r="L81" s="2">
        <v>100</v>
      </c>
      <c r="M81">
        <v>1</v>
      </c>
      <c r="N81" s="2">
        <v>100</v>
      </c>
      <c r="P81" t="s">
        <v>157</v>
      </c>
    </row>
    <row r="82" spans="1:16" x14ac:dyDescent="0.25">
      <c r="A82" s="5" t="s">
        <v>155</v>
      </c>
      <c r="B82" s="5" t="str">
        <f t="shared" si="2"/>
        <v>68R9X6U25OVR</v>
      </c>
      <c r="C82" t="s">
        <v>135</v>
      </c>
      <c r="D82" t="s">
        <v>43</v>
      </c>
      <c r="E82">
        <v>19200754</v>
      </c>
      <c r="F82" t="str">
        <f t="shared" si="3"/>
        <v>19200754OVR</v>
      </c>
      <c r="G82" t="s">
        <v>136</v>
      </c>
      <c r="H82" t="s">
        <v>105</v>
      </c>
      <c r="I82" s="1">
        <v>46023</v>
      </c>
      <c r="J82" s="1">
        <v>46204</v>
      </c>
      <c r="K82" t="s">
        <v>16</v>
      </c>
      <c r="N82" s="3">
        <v>-41.67</v>
      </c>
      <c r="P82" t="s">
        <v>157</v>
      </c>
    </row>
    <row r="83" spans="1:16" x14ac:dyDescent="0.25">
      <c r="A83" s="5" t="s">
        <v>141</v>
      </c>
      <c r="B83" s="5" t="str">
        <f t="shared" si="2"/>
        <v>00026721617KOVR</v>
      </c>
      <c r="C83" t="s">
        <v>12</v>
      </c>
      <c r="D83" t="s">
        <v>13</v>
      </c>
      <c r="E83">
        <v>19481808</v>
      </c>
      <c r="F83" t="str">
        <f t="shared" si="3"/>
        <v>19481808OVR</v>
      </c>
      <c r="G83" t="s">
        <v>14</v>
      </c>
      <c r="H83" t="s">
        <v>15</v>
      </c>
      <c r="I83" s="1">
        <v>46235</v>
      </c>
      <c r="J83" s="1">
        <v>46387</v>
      </c>
      <c r="K83" t="s">
        <v>16</v>
      </c>
      <c r="L83" s="2">
        <v>175</v>
      </c>
      <c r="M83">
        <v>1</v>
      </c>
      <c r="N83" s="2">
        <v>175</v>
      </c>
      <c r="P83" t="s">
        <v>158</v>
      </c>
    </row>
    <row r="84" spans="1:16" x14ac:dyDescent="0.25">
      <c r="A84" s="5" t="s">
        <v>142</v>
      </c>
      <c r="B84" s="5" t="str">
        <f t="shared" si="2"/>
        <v>00026722643KOVR</v>
      </c>
      <c r="C84" t="s">
        <v>17</v>
      </c>
      <c r="D84" t="s">
        <v>13</v>
      </c>
      <c r="E84">
        <v>18828278</v>
      </c>
      <c r="F84" t="str">
        <f t="shared" si="3"/>
        <v>18828278OVR</v>
      </c>
      <c r="G84" t="s">
        <v>18</v>
      </c>
      <c r="H84" t="s">
        <v>15</v>
      </c>
      <c r="I84" s="1">
        <v>46235</v>
      </c>
      <c r="J84" s="1">
        <v>46387</v>
      </c>
      <c r="K84" t="s">
        <v>16</v>
      </c>
      <c r="L84" s="2">
        <v>175</v>
      </c>
      <c r="M84">
        <v>1</v>
      </c>
      <c r="N84" s="2">
        <v>175</v>
      </c>
      <c r="P84" t="s">
        <v>158</v>
      </c>
    </row>
    <row r="85" spans="1:16" x14ac:dyDescent="0.25">
      <c r="A85" s="5" t="s">
        <v>143</v>
      </c>
      <c r="B85" s="5" t="str">
        <f t="shared" si="2"/>
        <v>00026722801KOVR</v>
      </c>
      <c r="C85" t="s">
        <v>19</v>
      </c>
      <c r="D85" t="s">
        <v>20</v>
      </c>
      <c r="E85">
        <v>371819</v>
      </c>
      <c r="F85" t="str">
        <f t="shared" si="3"/>
        <v>371819OVR</v>
      </c>
      <c r="G85" t="s">
        <v>21</v>
      </c>
      <c r="H85" t="s">
        <v>15</v>
      </c>
      <c r="I85" s="1">
        <v>46235</v>
      </c>
      <c r="J85" s="1">
        <v>46387</v>
      </c>
      <c r="K85" t="s">
        <v>16</v>
      </c>
      <c r="L85" s="2">
        <v>175</v>
      </c>
      <c r="M85">
        <v>1</v>
      </c>
      <c r="N85" s="2">
        <v>175</v>
      </c>
      <c r="P85" t="s">
        <v>158</v>
      </c>
    </row>
    <row r="86" spans="1:16" x14ac:dyDescent="0.25">
      <c r="A86" s="5" t="s">
        <v>144</v>
      </c>
      <c r="B86" s="5" t="str">
        <f t="shared" si="2"/>
        <v>00026729607KOVR</v>
      </c>
      <c r="C86" t="s">
        <v>22</v>
      </c>
      <c r="D86" t="s">
        <v>23</v>
      </c>
      <c r="E86">
        <v>19491313</v>
      </c>
      <c r="F86" t="str">
        <f t="shared" si="3"/>
        <v>19491313OVR</v>
      </c>
      <c r="G86" t="s">
        <v>24</v>
      </c>
      <c r="H86" t="s">
        <v>15</v>
      </c>
      <c r="I86" s="1">
        <v>46266</v>
      </c>
      <c r="J86" s="1">
        <v>46387</v>
      </c>
      <c r="K86" t="s">
        <v>16</v>
      </c>
      <c r="L86" s="2">
        <v>175</v>
      </c>
      <c r="M86">
        <v>1</v>
      </c>
      <c r="N86" s="2">
        <v>175</v>
      </c>
      <c r="P86" t="s">
        <v>158</v>
      </c>
    </row>
    <row r="87" spans="1:16" x14ac:dyDescent="0.25">
      <c r="A87" s="5" t="s">
        <v>145</v>
      </c>
      <c r="B87" s="5" t="str">
        <f t="shared" si="2"/>
        <v>00026737346KOVR</v>
      </c>
      <c r="C87" t="s">
        <v>25</v>
      </c>
      <c r="D87" t="s">
        <v>13</v>
      </c>
      <c r="E87">
        <v>9213293</v>
      </c>
      <c r="F87" t="str">
        <f t="shared" si="3"/>
        <v>9213293OVR</v>
      </c>
      <c r="G87" t="s">
        <v>26</v>
      </c>
      <c r="H87" t="s">
        <v>15</v>
      </c>
      <c r="I87" s="1">
        <v>46266</v>
      </c>
      <c r="J87" s="1">
        <v>46387</v>
      </c>
      <c r="K87" t="s">
        <v>16</v>
      </c>
      <c r="L87" s="2">
        <v>175</v>
      </c>
      <c r="M87">
        <v>1</v>
      </c>
      <c r="N87" s="2">
        <v>175</v>
      </c>
      <c r="P87" t="s">
        <v>158</v>
      </c>
    </row>
    <row r="88" spans="1:16" x14ac:dyDescent="0.25">
      <c r="A88" s="5" t="s">
        <v>152</v>
      </c>
      <c r="B88" s="5" t="str">
        <f t="shared" si="2"/>
        <v>00013730304KOVR</v>
      </c>
      <c r="C88" t="s">
        <v>126</v>
      </c>
      <c r="D88" t="s">
        <v>13</v>
      </c>
      <c r="E88">
        <v>19396223</v>
      </c>
      <c r="F88" t="str">
        <f t="shared" si="3"/>
        <v>19396223OVR</v>
      </c>
      <c r="G88" t="s">
        <v>127</v>
      </c>
      <c r="H88" t="s">
        <v>15</v>
      </c>
      <c r="I88" s="1">
        <v>46023</v>
      </c>
      <c r="J88" s="1">
        <v>46204</v>
      </c>
      <c r="K88" t="s">
        <v>16</v>
      </c>
      <c r="N88" s="3">
        <v>-87.5</v>
      </c>
      <c r="P88" t="s">
        <v>158</v>
      </c>
    </row>
    <row r="89" spans="1:16" x14ac:dyDescent="0.25">
      <c r="A89" s="5" t="s">
        <v>154</v>
      </c>
      <c r="B89" s="5" t="str">
        <f t="shared" si="2"/>
        <v>00025582379KOVR</v>
      </c>
      <c r="C89" t="s">
        <v>131</v>
      </c>
      <c r="D89" t="s">
        <v>13</v>
      </c>
      <c r="E89">
        <v>7565575</v>
      </c>
      <c r="F89" t="str">
        <f t="shared" si="3"/>
        <v>7565575OVR</v>
      </c>
      <c r="G89" t="s">
        <v>132</v>
      </c>
      <c r="H89" t="s">
        <v>133</v>
      </c>
      <c r="I89" s="1">
        <v>46113</v>
      </c>
      <c r="J89" s="1">
        <v>46204</v>
      </c>
      <c r="K89" t="s">
        <v>16</v>
      </c>
      <c r="N89" s="3">
        <v>-72.36</v>
      </c>
      <c r="P89" t="s">
        <v>158</v>
      </c>
    </row>
    <row r="90" spans="1:16" s="7" customFormat="1" x14ac:dyDescent="0.25">
      <c r="A90" s="6" t="s">
        <v>153</v>
      </c>
      <c r="B90" s="6" t="s">
        <v>153</v>
      </c>
      <c r="C90" s="7" t="s">
        <v>128</v>
      </c>
      <c r="D90" s="7" t="s">
        <v>13</v>
      </c>
      <c r="E90" s="7">
        <v>17143996</v>
      </c>
      <c r="F90" s="7">
        <v>17143996</v>
      </c>
      <c r="G90" s="7" t="s">
        <v>129</v>
      </c>
      <c r="H90" s="7" t="s">
        <v>130</v>
      </c>
      <c r="I90" s="8">
        <v>46023</v>
      </c>
      <c r="J90" s="8">
        <v>46204</v>
      </c>
      <c r="K90" s="7" t="s">
        <v>16</v>
      </c>
      <c r="N90" s="9">
        <v>-6.3</v>
      </c>
      <c r="P90" s="7" t="s">
        <v>159</v>
      </c>
    </row>
    <row r="91" spans="1:16" s="7" customFormat="1" x14ac:dyDescent="0.25">
      <c r="A91" s="6" t="s">
        <v>148</v>
      </c>
      <c r="B91" s="6" t="str">
        <f>CONCATENATE(A91,1)</f>
        <v>A044998511</v>
      </c>
      <c r="C91" s="7" t="s">
        <v>117</v>
      </c>
      <c r="D91" s="7" t="s">
        <v>13</v>
      </c>
      <c r="E91" s="7">
        <v>8325282</v>
      </c>
      <c r="F91" s="7">
        <v>8325282</v>
      </c>
      <c r="G91" s="7" t="s">
        <v>55</v>
      </c>
      <c r="H91" s="7" t="s">
        <v>118</v>
      </c>
      <c r="I91" s="8">
        <v>46235</v>
      </c>
      <c r="J91" s="8">
        <v>46508</v>
      </c>
      <c r="K91" s="7" t="s">
        <v>16</v>
      </c>
      <c r="L91" s="10">
        <v>31.5</v>
      </c>
      <c r="M91" s="7">
        <v>9</v>
      </c>
      <c r="N91" s="10">
        <v>283.5</v>
      </c>
      <c r="P91" s="7" t="s">
        <v>118</v>
      </c>
    </row>
    <row r="92" spans="1:16" s="7" customFormat="1" x14ac:dyDescent="0.25">
      <c r="A92" s="6" t="s">
        <v>150</v>
      </c>
      <c r="B92" s="6" t="str">
        <f t="shared" ref="B92:B93" si="4">CONCATENATE(A92,1)</f>
        <v>A045015211</v>
      </c>
      <c r="C92" s="7" t="s">
        <v>123</v>
      </c>
      <c r="D92" s="7" t="s">
        <v>32</v>
      </c>
      <c r="E92" s="7">
        <v>21618313</v>
      </c>
      <c r="F92" s="7">
        <v>21618313</v>
      </c>
      <c r="G92" s="7" t="s">
        <v>112</v>
      </c>
      <c r="H92" s="7" t="s">
        <v>124</v>
      </c>
      <c r="I92" s="8">
        <v>46235</v>
      </c>
      <c r="J92" s="8">
        <v>46508</v>
      </c>
      <c r="K92" s="7" t="s">
        <v>16</v>
      </c>
      <c r="L92" s="10">
        <v>36</v>
      </c>
      <c r="M92" s="7">
        <v>9</v>
      </c>
      <c r="N92" s="10">
        <v>324</v>
      </c>
      <c r="P92" s="7" t="s">
        <v>124</v>
      </c>
    </row>
    <row r="93" spans="1:16" s="7" customFormat="1" x14ac:dyDescent="0.25">
      <c r="A93" s="6" t="s">
        <v>151</v>
      </c>
      <c r="B93" s="6" t="str">
        <f t="shared" si="4"/>
        <v>A045016941</v>
      </c>
      <c r="C93" s="7" t="s">
        <v>125</v>
      </c>
      <c r="D93" s="7" t="s">
        <v>32</v>
      </c>
      <c r="E93" s="7">
        <v>21618313</v>
      </c>
      <c r="F93" s="7">
        <v>21618313</v>
      </c>
      <c r="G93" s="7" t="s">
        <v>112</v>
      </c>
      <c r="H93" s="7" t="s">
        <v>124</v>
      </c>
      <c r="I93" s="8">
        <v>46235</v>
      </c>
      <c r="J93" s="8">
        <v>46508</v>
      </c>
      <c r="K93" s="7" t="s">
        <v>16</v>
      </c>
      <c r="L93" s="10">
        <v>36</v>
      </c>
      <c r="M93" s="7">
        <v>9</v>
      </c>
      <c r="N93" s="10">
        <v>324</v>
      </c>
      <c r="P93" s="7" t="s">
        <v>124</v>
      </c>
    </row>
    <row r="94" spans="1:16" x14ac:dyDescent="0.25">
      <c r="A94" s="5">
        <v>904578049</v>
      </c>
      <c r="B94" s="5" t="str">
        <f t="shared" ref="B94:B101" si="5">CONCATENATE(A94,"OVR")</f>
        <v>904578049OVR</v>
      </c>
      <c r="C94" t="s">
        <v>107</v>
      </c>
      <c r="D94" t="s">
        <v>108</v>
      </c>
      <c r="E94">
        <v>18754354</v>
      </c>
      <c r="F94" t="str">
        <f t="shared" ref="F94:F101" si="6">CONCATENATE(E94,"OVR")</f>
        <v>18754354OVR</v>
      </c>
      <c r="G94" t="s">
        <v>78</v>
      </c>
      <c r="H94" t="s">
        <v>109</v>
      </c>
      <c r="I94" s="1">
        <v>46235</v>
      </c>
      <c r="J94" s="1">
        <v>46387</v>
      </c>
      <c r="K94" t="s">
        <v>16</v>
      </c>
      <c r="L94" s="2">
        <v>175</v>
      </c>
      <c r="M94">
        <v>1</v>
      </c>
      <c r="N94" s="2">
        <v>175</v>
      </c>
      <c r="P94" t="s">
        <v>160</v>
      </c>
    </row>
    <row r="95" spans="1:16" x14ac:dyDescent="0.25">
      <c r="A95" s="5">
        <v>921706526</v>
      </c>
      <c r="B95" s="5" t="str">
        <f t="shared" si="5"/>
        <v>921706526OVR</v>
      </c>
      <c r="C95" t="s">
        <v>110</v>
      </c>
      <c r="D95" t="s">
        <v>111</v>
      </c>
      <c r="E95">
        <v>21618313</v>
      </c>
      <c r="F95" t="str">
        <f t="shared" si="6"/>
        <v>21618313OVR</v>
      </c>
      <c r="G95" t="s">
        <v>112</v>
      </c>
      <c r="H95" t="s">
        <v>109</v>
      </c>
      <c r="I95" s="1">
        <v>46235</v>
      </c>
      <c r="J95" s="1">
        <v>46387</v>
      </c>
      <c r="K95" t="s">
        <v>16</v>
      </c>
      <c r="L95" s="2">
        <v>175</v>
      </c>
      <c r="M95">
        <v>1</v>
      </c>
      <c r="N95" s="2">
        <v>175</v>
      </c>
      <c r="P95" t="s">
        <v>160</v>
      </c>
    </row>
    <row r="96" spans="1:16" x14ac:dyDescent="0.25">
      <c r="A96" s="5">
        <v>924100191</v>
      </c>
      <c r="B96" s="5" t="str">
        <f t="shared" si="5"/>
        <v>924100191OVR</v>
      </c>
      <c r="C96" t="s">
        <v>113</v>
      </c>
      <c r="D96" t="s">
        <v>13</v>
      </c>
      <c r="E96">
        <v>8244481</v>
      </c>
      <c r="F96" t="str">
        <f t="shared" si="6"/>
        <v>8244481OVR</v>
      </c>
      <c r="G96" t="s">
        <v>114</v>
      </c>
      <c r="H96" t="s">
        <v>109</v>
      </c>
      <c r="I96" s="1">
        <v>46266</v>
      </c>
      <c r="J96" s="1">
        <v>46387</v>
      </c>
      <c r="K96" t="s">
        <v>16</v>
      </c>
      <c r="L96" s="2">
        <v>175</v>
      </c>
      <c r="M96">
        <v>1</v>
      </c>
      <c r="N96" s="2">
        <v>175</v>
      </c>
      <c r="P96" t="s">
        <v>160</v>
      </c>
    </row>
    <row r="97" spans="1:18" x14ac:dyDescent="0.25">
      <c r="A97" s="5">
        <v>945927646</v>
      </c>
      <c r="B97" s="5" t="str">
        <f t="shared" si="5"/>
        <v>945927646OVR</v>
      </c>
      <c r="C97" t="s">
        <v>115</v>
      </c>
      <c r="D97" t="s">
        <v>13</v>
      </c>
      <c r="E97">
        <v>8244481</v>
      </c>
      <c r="F97" t="str">
        <f t="shared" si="6"/>
        <v>8244481OVR</v>
      </c>
      <c r="G97" t="s">
        <v>114</v>
      </c>
      <c r="H97" t="s">
        <v>109</v>
      </c>
      <c r="I97" s="1">
        <v>46296</v>
      </c>
      <c r="J97" s="1">
        <v>46387</v>
      </c>
      <c r="K97" t="s">
        <v>16</v>
      </c>
      <c r="L97" s="2">
        <v>175</v>
      </c>
      <c r="M97">
        <v>1</v>
      </c>
      <c r="N97" s="2">
        <v>175</v>
      </c>
      <c r="P97" t="s">
        <v>160</v>
      </c>
    </row>
    <row r="98" spans="1:18" x14ac:dyDescent="0.25">
      <c r="A98" s="5">
        <v>966705737</v>
      </c>
      <c r="B98" s="5" t="str">
        <f t="shared" si="5"/>
        <v>966705737OVR</v>
      </c>
      <c r="C98" t="s">
        <v>116</v>
      </c>
      <c r="D98" t="s">
        <v>43</v>
      </c>
      <c r="E98">
        <v>19491313</v>
      </c>
      <c r="F98" t="str">
        <f t="shared" si="6"/>
        <v>19491313OVR</v>
      </c>
      <c r="G98" t="s">
        <v>24</v>
      </c>
      <c r="H98" t="s">
        <v>109</v>
      </c>
      <c r="I98" s="1">
        <v>46266</v>
      </c>
      <c r="J98" s="1">
        <v>46387</v>
      </c>
      <c r="K98" t="s">
        <v>16</v>
      </c>
      <c r="L98" s="2">
        <v>175</v>
      </c>
      <c r="M98">
        <v>1</v>
      </c>
      <c r="N98" s="2">
        <v>175</v>
      </c>
      <c r="P98" t="s">
        <v>160</v>
      </c>
    </row>
    <row r="99" spans="1:18" x14ac:dyDescent="0.25">
      <c r="A99" s="5">
        <v>961901926</v>
      </c>
      <c r="B99" s="5" t="str">
        <f t="shared" si="5"/>
        <v>961901926OVR</v>
      </c>
      <c r="C99" t="s">
        <v>137</v>
      </c>
      <c r="D99" t="s">
        <v>54</v>
      </c>
      <c r="E99">
        <v>17301495</v>
      </c>
      <c r="F99" t="str">
        <f t="shared" si="6"/>
        <v>17301495OVR</v>
      </c>
      <c r="G99" t="s">
        <v>40</v>
      </c>
      <c r="H99" t="s">
        <v>109</v>
      </c>
      <c r="I99" s="1">
        <v>46023</v>
      </c>
      <c r="J99" s="1">
        <v>46204</v>
      </c>
      <c r="K99" t="s">
        <v>16</v>
      </c>
      <c r="N99" s="3">
        <v>-87.5</v>
      </c>
      <c r="P99" t="s">
        <v>160</v>
      </c>
    </row>
    <row r="100" spans="1:18" x14ac:dyDescent="0.25">
      <c r="A100" s="5">
        <v>977339678</v>
      </c>
      <c r="B100" s="5" t="str">
        <f t="shared" si="5"/>
        <v>977339678OVR</v>
      </c>
      <c r="C100" t="s">
        <v>138</v>
      </c>
      <c r="D100" t="s">
        <v>32</v>
      </c>
      <c r="E100">
        <v>18134413</v>
      </c>
      <c r="F100" t="str">
        <f t="shared" si="6"/>
        <v>18134413OVR</v>
      </c>
      <c r="G100" t="s">
        <v>139</v>
      </c>
      <c r="H100" t="s">
        <v>140</v>
      </c>
      <c r="I100" s="1">
        <v>46023</v>
      </c>
      <c r="J100" s="1">
        <v>46204</v>
      </c>
      <c r="K100" t="s">
        <v>16</v>
      </c>
      <c r="N100" s="3">
        <v>-47.08</v>
      </c>
      <c r="P100" t="s">
        <v>160</v>
      </c>
    </row>
    <row r="101" spans="1:18" x14ac:dyDescent="0.25">
      <c r="A101" s="5">
        <v>127112324</v>
      </c>
      <c r="B101" s="5" t="str">
        <f t="shared" si="5"/>
        <v>127112324OVR</v>
      </c>
      <c r="C101" t="s">
        <v>100</v>
      </c>
      <c r="D101" t="s">
        <v>101</v>
      </c>
      <c r="E101">
        <v>9213293</v>
      </c>
      <c r="F101" t="str">
        <f t="shared" si="6"/>
        <v>9213293OVR</v>
      </c>
      <c r="G101" t="s">
        <v>26</v>
      </c>
      <c r="H101" t="s">
        <v>103</v>
      </c>
      <c r="I101" s="1">
        <v>46235</v>
      </c>
      <c r="J101" s="1">
        <v>46387</v>
      </c>
      <c r="K101" t="s">
        <v>16</v>
      </c>
      <c r="L101" s="2">
        <v>30</v>
      </c>
      <c r="M101">
        <v>1</v>
      </c>
      <c r="N101" s="2">
        <v>30</v>
      </c>
      <c r="O101" t="s">
        <v>94</v>
      </c>
      <c r="P101" t="s">
        <v>160</v>
      </c>
    </row>
    <row r="102" spans="1:18" s="7" customFormat="1" x14ac:dyDescent="0.25">
      <c r="A102" s="6">
        <v>127112324</v>
      </c>
      <c r="B102" s="6" t="str">
        <f>CONCATENATE(A102,11)</f>
        <v>12711232411</v>
      </c>
      <c r="C102" s="7" t="s">
        <v>100</v>
      </c>
      <c r="D102" s="7" t="s">
        <v>101</v>
      </c>
      <c r="E102" s="7">
        <v>9213293</v>
      </c>
      <c r="F102" s="7">
        <v>9213293</v>
      </c>
      <c r="G102" s="7" t="s">
        <v>26</v>
      </c>
      <c r="H102" s="7" t="s">
        <v>102</v>
      </c>
      <c r="I102" s="8">
        <v>46235</v>
      </c>
      <c r="J102" s="8">
        <v>46387</v>
      </c>
      <c r="K102" s="7" t="s">
        <v>16</v>
      </c>
      <c r="L102" s="10">
        <v>144.58000000000001</v>
      </c>
      <c r="M102" s="7">
        <v>1</v>
      </c>
      <c r="N102" s="10">
        <v>144.58000000000001</v>
      </c>
      <c r="O102" s="7" t="s">
        <v>94</v>
      </c>
      <c r="P102" s="7" t="s">
        <v>161</v>
      </c>
      <c r="Q102" s="7" t="s">
        <v>162</v>
      </c>
      <c r="R102" s="7">
        <f>347/12*5</f>
        <v>144.58333333333334</v>
      </c>
    </row>
    <row r="103" spans="1:18" s="7" customFormat="1" x14ac:dyDescent="0.25">
      <c r="A103" s="6">
        <v>904578049</v>
      </c>
      <c r="B103" s="6" t="str">
        <f t="shared" ref="B103:B108" si="7">CONCATENATE(A103,11)</f>
        <v>90457804911</v>
      </c>
      <c r="C103" s="7" t="s">
        <v>107</v>
      </c>
      <c r="D103" s="7" t="s">
        <v>108</v>
      </c>
      <c r="E103" s="7">
        <v>18754354</v>
      </c>
      <c r="F103" s="7">
        <v>18754354</v>
      </c>
      <c r="G103" s="7" t="s">
        <v>78</v>
      </c>
      <c r="H103" s="7" t="s">
        <v>102</v>
      </c>
      <c r="I103" s="8">
        <v>46235</v>
      </c>
      <c r="J103" s="8">
        <v>46387</v>
      </c>
      <c r="K103" s="7" t="s">
        <v>16</v>
      </c>
      <c r="L103" s="10">
        <v>144.58000000000001</v>
      </c>
      <c r="M103" s="7">
        <v>1</v>
      </c>
      <c r="N103" s="10">
        <v>144.58000000000001</v>
      </c>
      <c r="O103" s="7" t="s">
        <v>94</v>
      </c>
      <c r="P103" s="7" t="s">
        <v>161</v>
      </c>
      <c r="Q103" s="7" t="s">
        <v>162</v>
      </c>
    </row>
    <row r="104" spans="1:18" s="7" customFormat="1" x14ac:dyDescent="0.25">
      <c r="A104" s="6">
        <v>921706526</v>
      </c>
      <c r="B104" s="6" t="str">
        <f t="shared" si="7"/>
        <v>92170652611</v>
      </c>
      <c r="C104" s="7" t="s">
        <v>110</v>
      </c>
      <c r="D104" s="7" t="s">
        <v>111</v>
      </c>
      <c r="E104" s="7">
        <v>21618313</v>
      </c>
      <c r="F104" s="7">
        <v>21618313</v>
      </c>
      <c r="G104" s="7" t="s">
        <v>112</v>
      </c>
      <c r="H104" s="7" t="s">
        <v>102</v>
      </c>
      <c r="I104" s="8">
        <v>46235</v>
      </c>
      <c r="J104" s="8">
        <v>46387</v>
      </c>
      <c r="K104" s="7" t="s">
        <v>16</v>
      </c>
      <c r="L104" s="10">
        <v>144.58000000000001</v>
      </c>
      <c r="M104" s="7">
        <v>1</v>
      </c>
      <c r="N104" s="10">
        <v>144.58000000000001</v>
      </c>
      <c r="O104" s="7" t="s">
        <v>94</v>
      </c>
      <c r="P104" s="7" t="s">
        <v>161</v>
      </c>
      <c r="Q104" s="7" t="s">
        <v>162</v>
      </c>
    </row>
    <row r="105" spans="1:18" s="7" customFormat="1" x14ac:dyDescent="0.25">
      <c r="A105" s="6">
        <v>924100191</v>
      </c>
      <c r="B105" s="6" t="str">
        <f t="shared" si="7"/>
        <v>92410019111</v>
      </c>
      <c r="C105" s="7" t="s">
        <v>113</v>
      </c>
      <c r="D105" s="7" t="s">
        <v>13</v>
      </c>
      <c r="E105" s="7">
        <v>8244481</v>
      </c>
      <c r="F105" s="7">
        <v>8244481</v>
      </c>
      <c r="G105" s="7" t="s">
        <v>114</v>
      </c>
      <c r="H105" s="7" t="s">
        <v>102</v>
      </c>
      <c r="I105" s="8">
        <v>46266</v>
      </c>
      <c r="J105" s="8">
        <v>46387</v>
      </c>
      <c r="K105" s="7" t="s">
        <v>16</v>
      </c>
      <c r="L105" s="10">
        <v>115.67</v>
      </c>
      <c r="M105" s="7">
        <v>1</v>
      </c>
      <c r="N105" s="10">
        <v>115.67</v>
      </c>
      <c r="O105" s="7" t="s">
        <v>92</v>
      </c>
      <c r="P105" s="7" t="s">
        <v>161</v>
      </c>
      <c r="Q105" s="7" t="s">
        <v>163</v>
      </c>
      <c r="R105" s="7">
        <f>347/12*4</f>
        <v>115.66666666666667</v>
      </c>
    </row>
    <row r="106" spans="1:18" s="7" customFormat="1" x14ac:dyDescent="0.25">
      <c r="A106" s="6">
        <v>945927646</v>
      </c>
      <c r="B106" s="6" t="str">
        <f t="shared" si="7"/>
        <v>94592764611</v>
      </c>
      <c r="C106" s="7" t="s">
        <v>115</v>
      </c>
      <c r="D106" s="7" t="s">
        <v>13</v>
      </c>
      <c r="E106" s="7">
        <v>8244481</v>
      </c>
      <c r="F106" s="7">
        <v>8244481</v>
      </c>
      <c r="G106" s="7" t="s">
        <v>114</v>
      </c>
      <c r="H106" s="7" t="s">
        <v>102</v>
      </c>
      <c r="I106" s="8">
        <v>46296</v>
      </c>
      <c r="J106" s="8">
        <v>46387</v>
      </c>
      <c r="K106" s="7" t="s">
        <v>16</v>
      </c>
      <c r="L106" s="10">
        <v>86.75</v>
      </c>
      <c r="M106" s="7">
        <v>1</v>
      </c>
      <c r="N106" s="10">
        <v>86.75</v>
      </c>
      <c r="O106" s="7" t="s">
        <v>90</v>
      </c>
      <c r="P106" s="7" t="s">
        <v>161</v>
      </c>
      <c r="Q106" s="7" t="s">
        <v>164</v>
      </c>
      <c r="R106" s="7">
        <f>347/12*3</f>
        <v>86.75</v>
      </c>
    </row>
    <row r="107" spans="1:18" s="7" customFormat="1" x14ac:dyDescent="0.25">
      <c r="A107" s="6">
        <v>966705737</v>
      </c>
      <c r="B107" s="6" t="str">
        <f t="shared" si="7"/>
        <v>96670573711</v>
      </c>
      <c r="C107" s="7" t="s">
        <v>116</v>
      </c>
      <c r="D107" s="7" t="s">
        <v>43</v>
      </c>
      <c r="E107" s="7">
        <v>19491313</v>
      </c>
      <c r="F107" s="7">
        <v>19491313</v>
      </c>
      <c r="G107" s="7" t="s">
        <v>24</v>
      </c>
      <c r="H107" s="7" t="s">
        <v>102</v>
      </c>
      <c r="I107" s="8">
        <v>46266</v>
      </c>
      <c r="J107" s="8">
        <v>46387</v>
      </c>
      <c r="K107" s="7" t="s">
        <v>16</v>
      </c>
      <c r="L107" s="10">
        <v>115.67</v>
      </c>
      <c r="M107" s="7">
        <v>1</v>
      </c>
      <c r="N107" s="10">
        <v>115.67</v>
      </c>
      <c r="O107" s="7" t="s">
        <v>92</v>
      </c>
      <c r="P107" s="7" t="s">
        <v>161</v>
      </c>
      <c r="Q107" s="7" t="s">
        <v>163</v>
      </c>
    </row>
    <row r="108" spans="1:18" s="7" customFormat="1" x14ac:dyDescent="0.25">
      <c r="A108" s="6">
        <v>961901926</v>
      </c>
      <c r="B108" s="6" t="str">
        <f t="shared" si="7"/>
        <v>96190192611</v>
      </c>
      <c r="C108" s="7" t="s">
        <v>137</v>
      </c>
      <c r="D108" s="7" t="s">
        <v>54</v>
      </c>
      <c r="E108" s="7">
        <v>17301495</v>
      </c>
      <c r="F108" s="7">
        <v>17301495</v>
      </c>
      <c r="G108" s="7" t="s">
        <v>40</v>
      </c>
      <c r="H108" s="7" t="s">
        <v>102</v>
      </c>
      <c r="I108" s="8">
        <v>46023</v>
      </c>
      <c r="J108" s="8">
        <v>46204</v>
      </c>
      <c r="K108" s="7" t="s">
        <v>16</v>
      </c>
      <c r="N108" s="9">
        <v>-173.5</v>
      </c>
      <c r="P108" s="7" t="s">
        <v>161</v>
      </c>
      <c r="Q108" s="7" t="s">
        <v>165</v>
      </c>
      <c r="R108" s="7">
        <f>347/12*6</f>
        <v>173.5</v>
      </c>
    </row>
    <row r="109" spans="1:18" s="7" customFormat="1" x14ac:dyDescent="0.25">
      <c r="A109" s="6" t="s">
        <v>149</v>
      </c>
      <c r="B109" s="6" t="str">
        <f t="shared" ref="B109" si="8">CONCATENATE(A109,1)</f>
        <v>A045004981</v>
      </c>
      <c r="C109" s="7" t="s">
        <v>119</v>
      </c>
      <c r="D109" s="7" t="s">
        <v>120</v>
      </c>
      <c r="E109" s="7">
        <v>8814784</v>
      </c>
      <c r="F109" s="7">
        <v>8814784</v>
      </c>
      <c r="G109" s="7" t="s">
        <v>121</v>
      </c>
      <c r="H109" s="7" t="s">
        <v>122</v>
      </c>
      <c r="I109" s="8">
        <v>46235</v>
      </c>
      <c r="J109" s="8">
        <v>46508</v>
      </c>
      <c r="K109" s="7" t="s">
        <v>16</v>
      </c>
      <c r="L109" s="10">
        <v>36</v>
      </c>
      <c r="M109" s="7">
        <v>9</v>
      </c>
      <c r="N109" s="10">
        <v>324</v>
      </c>
      <c r="P109" s="7" t="s">
        <v>122</v>
      </c>
    </row>
    <row r="117" spans="8:8" x14ac:dyDescent="0.25">
      <c r="H117" s="4"/>
    </row>
    <row r="118" spans="8:8" x14ac:dyDescent="0.25">
      <c r="H118" s="4"/>
    </row>
    <row r="119" spans="8:8" x14ac:dyDescent="0.25">
      <c r="H119" s="4"/>
    </row>
  </sheetData>
  <sortState xmlns:xlrd2="http://schemas.microsoft.com/office/spreadsheetml/2017/richdata2" ref="A2:AN108">
    <sortCondition ref="H2:H1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Business Agent Statement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2026-07-30T07:11:30Z</dcterms:created>
  <dcterms:modified xsi:type="dcterms:W3CDTF">2026-07-30T16:26:58Z</dcterms:modified>
</cp:coreProperties>
</file>