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6-22 RN\"/>
    </mc:Choice>
  </mc:AlternateContent>
  <xr:revisionPtr revIDLastSave="0" documentId="13_ncr:1_{35C61ACD-2A01-4AA4-91F9-CAC1952853D8}" xr6:coauthVersionLast="47" xr6:coauthVersionMax="47" xr10:uidLastSave="{00000000-0000-0000-0000-000000000000}"/>
  <bookViews>
    <workbookView xWindow="-120" yWindow="-120" windowWidth="29040" windowHeight="15720" activeTab="1" xr2:uid="{9443DFC3-68A6-4E93-B7AF-FC42F78804AC}"/>
  </bookViews>
  <sheets>
    <sheet name="Renewal Agent Statement - 202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2" i="2"/>
  <c r="F3" i="2"/>
  <c r="F4" i="2"/>
  <c r="F5" i="2"/>
  <c r="F6" i="2"/>
  <c r="F7" i="2"/>
  <c r="F8" i="2"/>
  <c r="F9" i="2"/>
  <c r="F10" i="2"/>
  <c r="F11" i="2"/>
  <c r="F12" i="2"/>
  <c r="F13" i="2"/>
  <c r="F14" i="2"/>
  <c r="F2" i="2"/>
</calcChain>
</file>

<file path=xl/sharedStrings.xml><?xml version="1.0" encoding="utf-8"?>
<sst xmlns="http://schemas.openxmlformats.org/spreadsheetml/2006/main" count="347" uniqueCount="109">
  <si>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</si>
  <si>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</si>
  <si>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</si>
  <si>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</si>
  <si>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</si>
  <si>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</si>
  <si>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</si>
  <si>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</si>
  <si>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</si>
  <si>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</si>
  <si>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</si>
  <si>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</si>
  <si>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</si>
  <si>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</si>
  <si>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</si>
  <si>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</si>
  <si>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</si>
  <si>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</si>
  <si>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</si>
  <si>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</si>
  <si>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</si>
  <si>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</si>
  <si>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</si>
  <si>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</si>
  <si>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</si>
  <si>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</si>
  <si>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</si>
  <si>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</si>
  <si>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</si>
  <si>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</si>
  <si>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</si>
  <si>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</si>
  <si>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</si>
  <si>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</si>
  <si>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</si>
  <si>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</si>
  <si>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</si>
  <si>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</si>
  <si>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</si>
  <si>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</si>
  <si>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</si>
  <si>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</si>
  <si>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</si>
  <si>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</si>
  <si>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'00006948323KPC</t>
  </si>
  <si>
    <t>RICHARD SULLIVAN</t>
  </si>
  <si>
    <t>OH</t>
  </si>
  <si>
    <t>'045684</t>
  </si>
  <si>
    <t>JILL SHEPARD</t>
  </si>
  <si>
    <t>Active</t>
  </si>
  <si>
    <t>Humana MA 2019+ Level 15- 175/108</t>
  </si>
  <si>
    <t>Monthly</t>
  </si>
  <si>
    <t>AV</t>
  </si>
  <si>
    <t>HU NEG Bonus Upload 06-15-2026.xlsx</t>
  </si>
  <si>
    <t>'00026060207KPC</t>
  </si>
  <si>
    <t>EARNESTINE STARKS</t>
  </si>
  <si>
    <t>IL</t>
  </si>
  <si>
    <t>'043969</t>
  </si>
  <si>
    <t>STACEY PORTUGAL</t>
  </si>
  <si>
    <t>'022W14511</t>
  </si>
  <si>
    <t>JANICE PUETZER</t>
  </si>
  <si>
    <t>NA</t>
  </si>
  <si>
    <t>'045712</t>
  </si>
  <si>
    <t>GREGORY HANSFORD</t>
  </si>
  <si>
    <t>ACTIVE</t>
  </si>
  <si>
    <t>Anthem MA 2025</t>
  </si>
  <si>
    <t>Per Anthem_Elevance HFG RN MAY 2026 stmt</t>
  </si>
  <si>
    <t>'407W22392</t>
  </si>
  <si>
    <t>EDWARD BLASKO</t>
  </si>
  <si>
    <t>'461W24123</t>
  </si>
  <si>
    <t>DAVID RYSTED</t>
  </si>
  <si>
    <t>'045937</t>
  </si>
  <si>
    <t>MARSHA SANDEROCK</t>
  </si>
  <si>
    <t>Anthem BCBS Med Supp Percentage 2025</t>
  </si>
  <si>
    <t>Anthem HFG Med Supp MAY 2026 Comm Stmt</t>
  </si>
  <si>
    <t>'488W24198</t>
  </si>
  <si>
    <t>JOYCE COUCH</t>
  </si>
  <si>
    <t>'526W17632</t>
  </si>
  <si>
    <t>SHARON JENSEN</t>
  </si>
  <si>
    <t>TN</t>
  </si>
  <si>
    <t>'043644</t>
  </si>
  <si>
    <t>TIMOTHY HODGMAN</t>
  </si>
  <si>
    <t>'614W13756</t>
  </si>
  <si>
    <t>DYWANNA CALLOWAY</t>
  </si>
  <si>
    <t>'045605</t>
  </si>
  <si>
    <t>GARY PORTUGAL</t>
  </si>
  <si>
    <t>Anthem MA 2023</t>
  </si>
  <si>
    <t>'752M00116</t>
  </si>
  <si>
    <t>'761W17740</t>
  </si>
  <si>
    <t>'788W24089</t>
  </si>
  <si>
    <t>JAY METCALF</t>
  </si>
  <si>
    <t>'940W23397</t>
  </si>
  <si>
    <t>'972W22875</t>
  </si>
  <si>
    <t>DEBORAH SKIPWORTH</t>
  </si>
  <si>
    <t>022W14511</t>
  </si>
  <si>
    <t>407W22392</t>
  </si>
  <si>
    <t>461W24123</t>
  </si>
  <si>
    <t>488W24198</t>
  </si>
  <si>
    <t>526W17632</t>
  </si>
  <si>
    <t>614W13756</t>
  </si>
  <si>
    <t>752M00116</t>
  </si>
  <si>
    <t>761W17740</t>
  </si>
  <si>
    <t>788W24089</t>
  </si>
  <si>
    <t>940W23397</t>
  </si>
  <si>
    <t>972W22875</t>
  </si>
  <si>
    <t>00006948323K</t>
  </si>
  <si>
    <t>00026060207K</t>
  </si>
  <si>
    <t>Anthem MAPD OVR</t>
  </si>
  <si>
    <t>Humana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</si>
</sst>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5C1B-C2AB-4E92-BA17-1763E1AFA7E2}">
  <dimension ref="A1:AL14"/>
  <sheetViews>
    <sheetView topLeftCell="L1" workbookViewId="0">
      <selection activeCell="O24" sqref="O24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13.28515625" bestFit="1" customWidth="1"/>
    <col min="4" max="4" width="11" bestFit="1" customWidth="1"/>
    <col min="5" max="5" width="27.7109375" bestFit="1" customWidth="1"/>
    <col min="6" max="6" width="7.5703125" bestFit="1" customWidth="1"/>
    <col min="7" max="7" width="6" bestFit="1" customWidth="1"/>
    <col min="8" max="8" width="16.7109375" bestFit="1" customWidth="1"/>
    <col min="9" max="9" width="15.7109375" bestFit="1" customWidth="1"/>
    <col min="10" max="10" width="19.7109375" bestFit="1" customWidth="1"/>
    <col min="11" max="11" width="7.5703125" bestFit="1" customWidth="1"/>
    <col min="12" max="12" width="4" bestFit="1" customWidth="1"/>
    <col min="13" max="13" width="5.140625" bestFit="1" customWidth="1"/>
    <col min="14" max="14" width="8" bestFit="1" customWidth="1"/>
    <col min="15" max="15" width="13.7109375" bestFit="1" customWidth="1"/>
    <col min="16" max="16" width="19.28515625" bestFit="1" customWidth="1"/>
    <col min="17" max="17" width="11.140625" bestFit="1" customWidth="1"/>
    <col min="18" max="18" width="34.7109375" bestFit="1" customWidth="1"/>
    <col min="19" max="19" width="9.28515625" bestFit="1" customWidth="1"/>
    <col min="20" max="20" width="11.28515625" bestFit="1" customWidth="1"/>
    <col min="21" max="21" width="12.7109375" bestFit="1" customWidth="1"/>
    <col min="22" max="22" width="10.7109375" bestFit="1" customWidth="1"/>
    <col min="23" max="23" width="14.7109375" bestFit="1" customWidth="1"/>
    <col min="24" max="24" width="8.42578125" bestFit="1" customWidth="1"/>
    <col min="25" max="25" width="16.42578125" bestFit="1" customWidth="1"/>
    <col min="26" max="26" width="14.5703125" bestFit="1" customWidth="1"/>
    <col min="27" max="27" width="15.28515625" bestFit="1" customWidth="1"/>
    <col min="28" max="28" width="15.140625" bestFit="1" customWidth="1"/>
    <col min="29" max="29" width="16.28515625" bestFit="1" customWidth="1"/>
    <col min="30" max="30" width="10.85546875" bestFit="1" customWidth="1"/>
    <col min="31" max="31" width="13.5703125" bestFit="1" customWidth="1"/>
    <col min="33" max="33" width="11.85546875" bestFit="1" customWidth="1"/>
    <col min="34" max="34" width="17.28515625" bestFit="1" customWidth="1"/>
    <col min="35" max="35" width="16.42578125" bestFit="1" customWidth="1"/>
    <col min="36" max="36" width="10.7109375" bestFit="1" customWidth="1"/>
    <col min="37" max="37" width="12.42578125" bestFit="1" customWidth="1"/>
    <col min="38" max="38" width="38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46195</v>
      </c>
      <c r="B2" s="1">
        <v>46195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0</v>
      </c>
      <c r="AB2" s="3">
        <v>1</v>
      </c>
      <c r="AC2" s="2">
        <v>-101.5</v>
      </c>
      <c r="AG2" s="2">
        <v>0</v>
      </c>
      <c r="AH2" s="2">
        <v>-101.5</v>
      </c>
      <c r="AI2" s="2">
        <v>0</v>
      </c>
      <c r="AK2">
        <v>0</v>
      </c>
      <c r="AL2" t="s">
        <v>53</v>
      </c>
    </row>
    <row r="3" spans="1:38" x14ac:dyDescent="0.25">
      <c r="A3" s="1">
        <v>46195</v>
      </c>
      <c r="B3" s="1">
        <v>46195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49</v>
      </c>
      <c r="R3" t="s">
        <v>50</v>
      </c>
      <c r="S3" s="1">
        <v>46113</v>
      </c>
      <c r="U3" t="s">
        <v>51</v>
      </c>
      <c r="X3" t="s">
        <v>52</v>
      </c>
      <c r="Y3" s="2">
        <v>0</v>
      </c>
      <c r="Z3" s="2">
        <v>0</v>
      </c>
      <c r="AB3" s="3">
        <v>1</v>
      </c>
      <c r="AC3" s="2">
        <v>-43.75</v>
      </c>
      <c r="AG3" s="2">
        <v>0</v>
      </c>
      <c r="AH3" s="2">
        <v>-43.75</v>
      </c>
      <c r="AI3" s="2">
        <v>0</v>
      </c>
      <c r="AK3">
        <v>0</v>
      </c>
      <c r="AL3" t="s">
        <v>53</v>
      </c>
    </row>
    <row r="4" spans="1:38" x14ac:dyDescent="0.25">
      <c r="A4" s="1">
        <v>46195</v>
      </c>
      <c r="B4" s="1">
        <v>46195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64</v>
      </c>
      <c r="R4" t="s">
        <v>65</v>
      </c>
      <c r="S4" s="1">
        <v>45658</v>
      </c>
      <c r="T4" s="1">
        <v>46113</v>
      </c>
      <c r="U4" t="s">
        <v>51</v>
      </c>
      <c r="V4">
        <v>1</v>
      </c>
      <c r="W4" s="1">
        <v>46191</v>
      </c>
      <c r="X4" t="s">
        <v>52</v>
      </c>
      <c r="Y4" s="2">
        <v>1</v>
      </c>
      <c r="Z4" s="2">
        <v>1</v>
      </c>
      <c r="AB4" s="3">
        <v>1</v>
      </c>
      <c r="AC4" s="2">
        <v>7</v>
      </c>
      <c r="AG4" s="2">
        <v>0</v>
      </c>
      <c r="AH4" s="2">
        <v>7</v>
      </c>
      <c r="AI4" s="2">
        <v>0</v>
      </c>
      <c r="AK4">
        <v>6972765</v>
      </c>
      <c r="AL4" t="s">
        <v>66</v>
      </c>
    </row>
    <row r="5" spans="1:38" x14ac:dyDescent="0.25">
      <c r="A5" s="1">
        <v>46195</v>
      </c>
      <c r="B5" s="1">
        <v>46195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67</v>
      </c>
      <c r="J5" t="s">
        <v>68</v>
      </c>
      <c r="M5" t="s">
        <v>61</v>
      </c>
      <c r="O5" t="s">
        <v>57</v>
      </c>
      <c r="P5" t="s">
        <v>58</v>
      </c>
      <c r="Q5" t="s">
        <v>64</v>
      </c>
      <c r="R5" t="s">
        <v>65</v>
      </c>
      <c r="S5" s="1">
        <v>45658</v>
      </c>
      <c r="T5" s="1">
        <v>46113</v>
      </c>
      <c r="U5" t="s">
        <v>51</v>
      </c>
      <c r="V5">
        <v>1</v>
      </c>
      <c r="W5" s="1">
        <v>46191</v>
      </c>
      <c r="X5" t="s">
        <v>52</v>
      </c>
      <c r="Y5" s="2">
        <v>1</v>
      </c>
      <c r="Z5" s="2">
        <v>1</v>
      </c>
      <c r="AB5" s="3">
        <v>1</v>
      </c>
      <c r="AC5" s="2">
        <v>7</v>
      </c>
      <c r="AG5" s="2">
        <v>0</v>
      </c>
      <c r="AH5" s="2">
        <v>7</v>
      </c>
      <c r="AI5" s="2">
        <v>0</v>
      </c>
      <c r="AK5">
        <v>6973618</v>
      </c>
      <c r="AL5" t="s">
        <v>66</v>
      </c>
    </row>
    <row r="6" spans="1:38" x14ac:dyDescent="0.25">
      <c r="A6" s="1">
        <v>46195</v>
      </c>
      <c r="B6" s="1">
        <v>46195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O6" t="s">
        <v>71</v>
      </c>
      <c r="P6" t="s">
        <v>72</v>
      </c>
      <c r="Q6" t="s">
        <v>49</v>
      </c>
      <c r="R6" t="s">
        <v>73</v>
      </c>
      <c r="S6" s="1">
        <v>45839</v>
      </c>
      <c r="T6" s="1">
        <v>46173</v>
      </c>
      <c r="U6" t="s">
        <v>51</v>
      </c>
      <c r="V6">
        <v>1</v>
      </c>
      <c r="W6" s="1">
        <v>46195</v>
      </c>
      <c r="X6" t="s">
        <v>52</v>
      </c>
      <c r="Y6" s="2">
        <v>203.6</v>
      </c>
      <c r="Z6" s="2">
        <v>203.6</v>
      </c>
      <c r="AB6" s="3">
        <v>0.03</v>
      </c>
      <c r="AC6" s="2">
        <v>6.11</v>
      </c>
      <c r="AG6" s="2">
        <v>0</v>
      </c>
      <c r="AH6" s="2">
        <v>6.11</v>
      </c>
      <c r="AI6" s="2">
        <v>0</v>
      </c>
      <c r="AK6">
        <v>6977017</v>
      </c>
      <c r="AL6" t="s">
        <v>74</v>
      </c>
    </row>
    <row r="7" spans="1:38" x14ac:dyDescent="0.25">
      <c r="A7" s="1">
        <v>46195</v>
      </c>
      <c r="B7" s="1">
        <v>46195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75</v>
      </c>
      <c r="J7" t="s">
        <v>76</v>
      </c>
      <c r="M7" t="s">
        <v>61</v>
      </c>
      <c r="O7" t="s">
        <v>57</v>
      </c>
      <c r="P7" t="s">
        <v>58</v>
      </c>
      <c r="Q7" t="s">
        <v>64</v>
      </c>
      <c r="R7" t="s">
        <v>65</v>
      </c>
      <c r="S7" s="1">
        <v>45931</v>
      </c>
      <c r="T7" s="1">
        <v>48214</v>
      </c>
      <c r="U7" t="s">
        <v>51</v>
      </c>
      <c r="V7">
        <v>1</v>
      </c>
      <c r="W7" s="1">
        <v>46191</v>
      </c>
      <c r="X7" t="s">
        <v>52</v>
      </c>
      <c r="Y7" s="2">
        <v>1</v>
      </c>
      <c r="Z7" s="2">
        <v>1</v>
      </c>
      <c r="AB7" s="3">
        <v>1</v>
      </c>
      <c r="AC7" s="2">
        <v>7</v>
      </c>
      <c r="AG7" s="2">
        <v>0</v>
      </c>
      <c r="AH7" s="2">
        <v>7</v>
      </c>
      <c r="AI7" s="2">
        <v>0</v>
      </c>
      <c r="AK7">
        <v>6973802</v>
      </c>
      <c r="AL7" t="s">
        <v>66</v>
      </c>
    </row>
    <row r="8" spans="1:38" x14ac:dyDescent="0.25">
      <c r="A8" s="1">
        <v>46195</v>
      </c>
      <c r="B8" s="1">
        <v>46195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77</v>
      </c>
      <c r="J8" t="s">
        <v>78</v>
      </c>
      <c r="M8" t="s">
        <v>79</v>
      </c>
      <c r="O8" t="s">
        <v>80</v>
      </c>
      <c r="P8" t="s">
        <v>81</v>
      </c>
      <c r="Q8" t="s">
        <v>64</v>
      </c>
      <c r="R8" t="s">
        <v>65</v>
      </c>
      <c r="S8" s="1">
        <v>46023</v>
      </c>
      <c r="T8" s="1">
        <v>46478</v>
      </c>
      <c r="U8" t="s">
        <v>51</v>
      </c>
      <c r="V8">
        <v>1</v>
      </c>
      <c r="W8" s="1">
        <v>46191</v>
      </c>
      <c r="X8" t="s">
        <v>52</v>
      </c>
      <c r="Y8" s="2">
        <v>1</v>
      </c>
      <c r="Z8" s="2">
        <v>1</v>
      </c>
      <c r="AB8" s="3">
        <v>1</v>
      </c>
      <c r="AC8" s="2">
        <v>7</v>
      </c>
      <c r="AG8" s="2">
        <v>0</v>
      </c>
      <c r="AH8" s="2">
        <v>7</v>
      </c>
      <c r="AI8" s="2">
        <v>0</v>
      </c>
      <c r="AK8">
        <v>6973897</v>
      </c>
      <c r="AL8" t="s">
        <v>66</v>
      </c>
    </row>
    <row r="9" spans="1:38" x14ac:dyDescent="0.25">
      <c r="A9" s="1">
        <v>46195</v>
      </c>
      <c r="B9" s="1">
        <v>46195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O9" t="s">
        <v>84</v>
      </c>
      <c r="P9" t="s">
        <v>85</v>
      </c>
      <c r="Q9" t="s">
        <v>49</v>
      </c>
      <c r="R9" t="s">
        <v>86</v>
      </c>
      <c r="S9" s="1">
        <v>45566</v>
      </c>
      <c r="T9" s="1">
        <v>47849</v>
      </c>
      <c r="U9" t="s">
        <v>51</v>
      </c>
      <c r="V9">
        <v>1</v>
      </c>
      <c r="W9" s="1">
        <v>46191</v>
      </c>
      <c r="X9" t="s">
        <v>52</v>
      </c>
      <c r="Y9" s="2">
        <v>1</v>
      </c>
      <c r="Z9" s="2">
        <v>1</v>
      </c>
      <c r="AB9" s="3">
        <v>1</v>
      </c>
      <c r="AC9" s="2">
        <v>7</v>
      </c>
      <c r="AG9" s="2">
        <v>0</v>
      </c>
      <c r="AH9" s="2">
        <v>7</v>
      </c>
      <c r="AI9" s="2">
        <v>0</v>
      </c>
      <c r="AK9">
        <v>6974099</v>
      </c>
      <c r="AL9" t="s">
        <v>66</v>
      </c>
    </row>
    <row r="10" spans="1:38" x14ac:dyDescent="0.25">
      <c r="A10" s="1">
        <v>46195</v>
      </c>
      <c r="B10" s="1">
        <v>46195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87</v>
      </c>
      <c r="J10" t="s">
        <v>78</v>
      </c>
      <c r="M10" t="s">
        <v>79</v>
      </c>
      <c r="O10" t="s">
        <v>80</v>
      </c>
      <c r="P10" t="s">
        <v>81</v>
      </c>
      <c r="Q10" t="s">
        <v>64</v>
      </c>
      <c r="R10" t="s">
        <v>65</v>
      </c>
      <c r="S10" s="1">
        <v>46023</v>
      </c>
      <c r="T10" s="1">
        <v>46478</v>
      </c>
      <c r="U10" t="s">
        <v>51</v>
      </c>
      <c r="V10">
        <v>1</v>
      </c>
      <c r="W10" s="1">
        <v>46191</v>
      </c>
      <c r="X10" t="s">
        <v>52</v>
      </c>
      <c r="Y10" s="2">
        <v>1</v>
      </c>
      <c r="Z10" s="2">
        <v>1</v>
      </c>
      <c r="AB10" s="3">
        <v>1</v>
      </c>
      <c r="AC10" s="2">
        <v>7</v>
      </c>
      <c r="AG10" s="2">
        <v>0</v>
      </c>
      <c r="AH10" s="2">
        <v>7</v>
      </c>
      <c r="AI10" s="2">
        <v>0</v>
      </c>
      <c r="AK10">
        <v>6974432</v>
      </c>
      <c r="AL10" t="s">
        <v>66</v>
      </c>
    </row>
    <row r="11" spans="1:38" x14ac:dyDescent="0.25">
      <c r="A11" s="1">
        <v>46195</v>
      </c>
      <c r="B11" s="1">
        <v>46195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88</v>
      </c>
      <c r="J11" t="s">
        <v>78</v>
      </c>
      <c r="M11" t="s">
        <v>79</v>
      </c>
      <c r="O11" t="s">
        <v>80</v>
      </c>
      <c r="P11" t="s">
        <v>81</v>
      </c>
      <c r="Q11" t="s">
        <v>64</v>
      </c>
      <c r="R11" t="s">
        <v>65</v>
      </c>
      <c r="S11" s="1">
        <v>46023</v>
      </c>
      <c r="T11" s="1">
        <v>46478</v>
      </c>
      <c r="U11" t="s">
        <v>51</v>
      </c>
      <c r="V11">
        <v>1</v>
      </c>
      <c r="W11" s="1">
        <v>46191</v>
      </c>
      <c r="X11" t="s">
        <v>52</v>
      </c>
      <c r="Y11" s="2">
        <v>1</v>
      </c>
      <c r="Z11" s="2">
        <v>1</v>
      </c>
      <c r="AB11" s="3">
        <v>1</v>
      </c>
      <c r="AC11" s="2">
        <v>7</v>
      </c>
      <c r="AG11" s="2">
        <v>0</v>
      </c>
      <c r="AH11" s="2">
        <v>7</v>
      </c>
      <c r="AI11" s="2">
        <v>0</v>
      </c>
      <c r="AK11">
        <v>6974453</v>
      </c>
      <c r="AL11" t="s">
        <v>66</v>
      </c>
    </row>
    <row r="12" spans="1:38" x14ac:dyDescent="0.25">
      <c r="A12" s="1">
        <v>46195</v>
      </c>
      <c r="B12" s="1">
        <v>46195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90</v>
      </c>
      <c r="M12" t="s">
        <v>61</v>
      </c>
      <c r="O12" t="s">
        <v>57</v>
      </c>
      <c r="P12" t="s">
        <v>58</v>
      </c>
      <c r="Q12" t="s">
        <v>64</v>
      </c>
      <c r="R12" t="s">
        <v>65</v>
      </c>
      <c r="S12" s="1">
        <v>45839</v>
      </c>
      <c r="T12" s="1">
        <v>46296</v>
      </c>
      <c r="U12" t="s">
        <v>51</v>
      </c>
      <c r="V12">
        <v>1</v>
      </c>
      <c r="W12" s="1">
        <v>46191</v>
      </c>
      <c r="X12" t="s">
        <v>52</v>
      </c>
      <c r="Y12" s="2">
        <v>1</v>
      </c>
      <c r="Z12" s="2">
        <v>1</v>
      </c>
      <c r="AB12" s="3">
        <v>1</v>
      </c>
      <c r="AC12" s="2">
        <v>7</v>
      </c>
      <c r="AG12" s="2">
        <v>0</v>
      </c>
      <c r="AH12" s="2">
        <v>7</v>
      </c>
      <c r="AI12" s="2">
        <v>0</v>
      </c>
      <c r="AK12">
        <v>6974508</v>
      </c>
      <c r="AL12" t="s">
        <v>66</v>
      </c>
    </row>
    <row r="13" spans="1:38" x14ac:dyDescent="0.25">
      <c r="A13" s="1">
        <v>46195</v>
      </c>
      <c r="B13" s="1">
        <v>46195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78</v>
      </c>
      <c r="M13" t="s">
        <v>79</v>
      </c>
      <c r="O13" t="s">
        <v>71</v>
      </c>
      <c r="P13" t="s">
        <v>72</v>
      </c>
      <c r="Q13" t="s">
        <v>64</v>
      </c>
      <c r="R13" t="s">
        <v>65</v>
      </c>
      <c r="S13" s="1">
        <v>46023</v>
      </c>
      <c r="T13" s="1">
        <v>46478</v>
      </c>
      <c r="U13" t="s">
        <v>51</v>
      </c>
      <c r="V13">
        <v>-3</v>
      </c>
      <c r="W13" s="1">
        <v>46191</v>
      </c>
      <c r="X13" t="s">
        <v>52</v>
      </c>
      <c r="Y13" s="2">
        <v>-3</v>
      </c>
      <c r="Z13" s="2">
        <v>-3</v>
      </c>
      <c r="AB13" s="3">
        <v>1</v>
      </c>
      <c r="AC13" s="2">
        <v>-21</v>
      </c>
      <c r="AG13" s="2">
        <v>0</v>
      </c>
      <c r="AH13" s="2">
        <v>-21</v>
      </c>
      <c r="AI13" s="2">
        <v>0</v>
      </c>
      <c r="AK13">
        <v>6974871</v>
      </c>
      <c r="AL13" t="s">
        <v>66</v>
      </c>
    </row>
    <row r="14" spans="1:38" x14ac:dyDescent="0.25">
      <c r="A14" s="1">
        <v>46195</v>
      </c>
      <c r="B14" s="1">
        <v>46195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92</v>
      </c>
      <c r="J14" t="s">
        <v>93</v>
      </c>
      <c r="M14" t="s">
        <v>61</v>
      </c>
      <c r="O14" t="s">
        <v>62</v>
      </c>
      <c r="P14" t="s">
        <v>63</v>
      </c>
      <c r="Q14" t="s">
        <v>64</v>
      </c>
      <c r="R14" t="s">
        <v>65</v>
      </c>
      <c r="S14" s="1">
        <v>45689</v>
      </c>
      <c r="T14" s="1">
        <v>46143</v>
      </c>
      <c r="U14" t="s">
        <v>51</v>
      </c>
      <c r="V14">
        <v>1</v>
      </c>
      <c r="W14" s="1">
        <v>46191</v>
      </c>
      <c r="X14" t="s">
        <v>52</v>
      </c>
      <c r="Y14" s="2">
        <v>1</v>
      </c>
      <c r="Z14" s="2">
        <v>1</v>
      </c>
      <c r="AB14" s="3">
        <v>1</v>
      </c>
      <c r="AC14" s="2">
        <v>7</v>
      </c>
      <c r="AG14" s="2">
        <v>0</v>
      </c>
      <c r="AH14" s="2">
        <v>7</v>
      </c>
      <c r="AI14" s="2">
        <v>0</v>
      </c>
      <c r="AK14">
        <v>6974937</v>
      </c>
      <c r="AL1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60F9-5E1D-4050-9D59-156C8A47519B}">
  <dimension ref="A1:Q14"/>
  <sheetViews>
    <sheetView tabSelected="1" topLeftCell="B1" workbookViewId="0">
      <selection activeCell="M21" sqref="M21"/>
    </sheetView>
  </sheetViews>
  <sheetFormatPr defaultRowHeight="15" x14ac:dyDescent="0.25"/>
  <cols>
    <col min="1" max="1" width="15.7109375" bestFit="1" customWidth="1"/>
    <col min="2" max="2" width="15.7109375" customWidth="1"/>
    <col min="3" max="3" width="19.7109375" bestFit="1" customWidth="1"/>
    <col min="4" max="4" width="5.140625" bestFit="1" customWidth="1"/>
    <col min="5" max="5" width="13.7109375" bestFit="1" customWidth="1"/>
    <col min="6" max="6" width="13.7109375" customWidth="1"/>
    <col min="7" max="7" width="19.28515625" bestFit="1" customWidth="1"/>
    <col min="8" max="8" width="34.7109375" bestFit="1" customWidth="1"/>
    <col min="9" max="9" width="9.28515625" bestFit="1" customWidth="1"/>
    <col min="10" max="10" width="11.28515625" bestFit="1" customWidth="1"/>
    <col min="11" max="11" width="10.7109375" bestFit="1" customWidth="1"/>
    <col min="12" max="12" width="16.42578125" bestFit="1" customWidth="1"/>
    <col min="13" max="13" width="14.5703125" bestFit="1" customWidth="1"/>
    <col min="14" max="14" width="15.140625" bestFit="1" customWidth="1"/>
    <col min="15" max="15" width="16.28515625" bestFit="1" customWidth="1"/>
    <col min="16" max="16" width="40.7109375" bestFit="1" customWidth="1"/>
  </cols>
  <sheetData>
    <row r="1" spans="1:17" x14ac:dyDescent="0.25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21</v>
      </c>
      <c r="L1" t="s">
        <v>24</v>
      </c>
      <c r="M1" t="s">
        <v>25</v>
      </c>
      <c r="N1" t="s">
        <v>27</v>
      </c>
      <c r="O1" t="s">
        <v>28</v>
      </c>
      <c r="P1" t="s">
        <v>37</v>
      </c>
    </row>
    <row r="2" spans="1:17" x14ac:dyDescent="0.25">
      <c r="A2" t="s">
        <v>96</v>
      </c>
      <c r="B2" t="str">
        <f>CONCATENATE(A2,"OVR")</f>
        <v>461W24123OVR</v>
      </c>
      <c r="C2" t="s">
        <v>70</v>
      </c>
      <c r="E2" s="4">
        <v>20724564</v>
      </c>
      <c r="F2" s="4" t="str">
        <f>CONCATENATE(E2,"OVR")</f>
        <v>20724564OVR</v>
      </c>
      <c r="G2" t="s">
        <v>72</v>
      </c>
      <c r="H2" t="s">
        <v>73</v>
      </c>
      <c r="I2" s="1">
        <v>45839</v>
      </c>
      <c r="J2" s="1">
        <v>46173</v>
      </c>
      <c r="K2">
        <v>1</v>
      </c>
      <c r="L2" s="2">
        <v>203.6</v>
      </c>
      <c r="M2" s="2">
        <v>203.6</v>
      </c>
      <c r="N2" s="3">
        <v>0.03</v>
      </c>
      <c r="O2" s="2">
        <v>6.11</v>
      </c>
      <c r="P2" t="s">
        <v>74</v>
      </c>
      <c r="Q2" t="s">
        <v>107</v>
      </c>
    </row>
    <row r="3" spans="1:17" x14ac:dyDescent="0.25">
      <c r="A3" t="s">
        <v>99</v>
      </c>
      <c r="B3" t="str">
        <f t="shared" ref="B3:B14" si="0">CONCATENATE(A3,"OVR")</f>
        <v>614W13756OVR</v>
      </c>
      <c r="C3" t="s">
        <v>83</v>
      </c>
      <c r="E3" s="4">
        <v>9213293</v>
      </c>
      <c r="F3" s="4" t="str">
        <f t="shared" ref="F3:F14" si="1">CONCATENATE(E3,"OVR")</f>
        <v>9213293OVR</v>
      </c>
      <c r="G3" t="s">
        <v>85</v>
      </c>
      <c r="H3" t="s">
        <v>86</v>
      </c>
      <c r="I3" s="1">
        <v>45566</v>
      </c>
      <c r="J3" s="1">
        <v>47849</v>
      </c>
      <c r="K3">
        <v>1</v>
      </c>
      <c r="L3" s="2">
        <v>1</v>
      </c>
      <c r="M3" s="2">
        <v>1</v>
      </c>
      <c r="N3" s="3">
        <v>1</v>
      </c>
      <c r="O3" s="2">
        <v>7</v>
      </c>
      <c r="P3" t="s">
        <v>66</v>
      </c>
      <c r="Q3" t="s">
        <v>107</v>
      </c>
    </row>
    <row r="4" spans="1:17" x14ac:dyDescent="0.25">
      <c r="A4" t="s">
        <v>94</v>
      </c>
      <c r="B4" t="str">
        <f t="shared" si="0"/>
        <v>022W14511OVR</v>
      </c>
      <c r="C4" t="s">
        <v>60</v>
      </c>
      <c r="D4" t="s">
        <v>61</v>
      </c>
      <c r="E4" s="4">
        <v>17094718</v>
      </c>
      <c r="F4" s="4" t="str">
        <f t="shared" si="1"/>
        <v>17094718OVR</v>
      </c>
      <c r="G4" t="s">
        <v>63</v>
      </c>
      <c r="H4" t="s">
        <v>65</v>
      </c>
      <c r="I4" s="1">
        <v>45658</v>
      </c>
      <c r="J4" s="1">
        <v>46113</v>
      </c>
      <c r="K4">
        <v>1</v>
      </c>
      <c r="L4" s="2">
        <v>1</v>
      </c>
      <c r="M4" s="2">
        <v>1</v>
      </c>
      <c r="N4" s="3">
        <v>1</v>
      </c>
      <c r="O4" s="2">
        <v>7</v>
      </c>
      <c r="P4" t="s">
        <v>66</v>
      </c>
      <c r="Q4" t="s">
        <v>107</v>
      </c>
    </row>
    <row r="5" spans="1:17" x14ac:dyDescent="0.25">
      <c r="A5" t="s">
        <v>95</v>
      </c>
      <c r="B5" t="str">
        <f t="shared" si="0"/>
        <v>407W22392OVR</v>
      </c>
      <c r="C5" t="s">
        <v>68</v>
      </c>
      <c r="D5" t="s">
        <v>61</v>
      </c>
      <c r="E5" s="4">
        <v>19645587</v>
      </c>
      <c r="F5" s="4" t="str">
        <f t="shared" si="1"/>
        <v>19645587OVR</v>
      </c>
      <c r="G5" t="s">
        <v>58</v>
      </c>
      <c r="H5" t="s">
        <v>65</v>
      </c>
      <c r="I5" s="1">
        <v>45658</v>
      </c>
      <c r="J5" s="1">
        <v>46113</v>
      </c>
      <c r="K5">
        <v>1</v>
      </c>
      <c r="L5" s="2">
        <v>1</v>
      </c>
      <c r="M5" s="2">
        <v>1</v>
      </c>
      <c r="N5" s="3">
        <v>1</v>
      </c>
      <c r="O5" s="2">
        <v>7</v>
      </c>
      <c r="P5" t="s">
        <v>66</v>
      </c>
      <c r="Q5" t="s">
        <v>107</v>
      </c>
    </row>
    <row r="6" spans="1:17" x14ac:dyDescent="0.25">
      <c r="A6" t="s">
        <v>97</v>
      </c>
      <c r="B6" t="str">
        <f t="shared" si="0"/>
        <v>488W24198OVR</v>
      </c>
      <c r="C6" t="s">
        <v>76</v>
      </c>
      <c r="D6" t="s">
        <v>61</v>
      </c>
      <c r="E6" s="4">
        <v>19645587</v>
      </c>
      <c r="F6" s="4" t="str">
        <f t="shared" si="1"/>
        <v>19645587OVR</v>
      </c>
      <c r="G6" t="s">
        <v>58</v>
      </c>
      <c r="H6" t="s">
        <v>65</v>
      </c>
      <c r="I6" s="1">
        <v>45931</v>
      </c>
      <c r="J6" s="1">
        <v>48214</v>
      </c>
      <c r="K6">
        <v>1</v>
      </c>
      <c r="L6" s="2">
        <v>1</v>
      </c>
      <c r="M6" s="2">
        <v>1</v>
      </c>
      <c r="N6" s="3">
        <v>1</v>
      </c>
      <c r="O6" s="2">
        <v>7</v>
      </c>
      <c r="P6" t="s">
        <v>66</v>
      </c>
      <c r="Q6" t="s">
        <v>107</v>
      </c>
    </row>
    <row r="7" spans="1:17" x14ac:dyDescent="0.25">
      <c r="A7" t="s">
        <v>98</v>
      </c>
      <c r="B7" t="str">
        <f t="shared" si="0"/>
        <v>526W17632OVR</v>
      </c>
      <c r="C7" t="s">
        <v>78</v>
      </c>
      <c r="D7" t="s">
        <v>79</v>
      </c>
      <c r="E7" s="4">
        <v>18581063</v>
      </c>
      <c r="F7" s="4" t="str">
        <f t="shared" si="1"/>
        <v>18581063OVR</v>
      </c>
      <c r="G7" t="s">
        <v>81</v>
      </c>
      <c r="H7" t="s">
        <v>65</v>
      </c>
      <c r="I7" s="1">
        <v>46023</v>
      </c>
      <c r="J7" s="1">
        <v>46478</v>
      </c>
      <c r="K7">
        <v>1</v>
      </c>
      <c r="L7" s="2">
        <v>1</v>
      </c>
      <c r="M7" s="2">
        <v>1</v>
      </c>
      <c r="N7" s="3">
        <v>1</v>
      </c>
      <c r="O7" s="2">
        <v>7</v>
      </c>
      <c r="P7" t="s">
        <v>66</v>
      </c>
      <c r="Q7" t="s">
        <v>107</v>
      </c>
    </row>
    <row r="8" spans="1:17" x14ac:dyDescent="0.25">
      <c r="A8" t="s">
        <v>100</v>
      </c>
      <c r="B8" t="str">
        <f t="shared" si="0"/>
        <v>752M00116OVR</v>
      </c>
      <c r="C8" t="s">
        <v>78</v>
      </c>
      <c r="D8" t="s">
        <v>79</v>
      </c>
      <c r="E8" s="4">
        <v>18581063</v>
      </c>
      <c r="F8" s="4" t="str">
        <f t="shared" si="1"/>
        <v>18581063OVR</v>
      </c>
      <c r="G8" t="s">
        <v>81</v>
      </c>
      <c r="H8" t="s">
        <v>65</v>
      </c>
      <c r="I8" s="1">
        <v>46023</v>
      </c>
      <c r="J8" s="1">
        <v>46478</v>
      </c>
      <c r="K8">
        <v>1</v>
      </c>
      <c r="L8" s="2">
        <v>1</v>
      </c>
      <c r="M8" s="2">
        <v>1</v>
      </c>
      <c r="N8" s="3">
        <v>1</v>
      </c>
      <c r="O8" s="2">
        <v>7</v>
      </c>
      <c r="P8" t="s">
        <v>66</v>
      </c>
      <c r="Q8" t="s">
        <v>107</v>
      </c>
    </row>
    <row r="9" spans="1:17" x14ac:dyDescent="0.25">
      <c r="A9" t="s">
        <v>101</v>
      </c>
      <c r="B9" t="str">
        <f t="shared" si="0"/>
        <v>761W17740OVR</v>
      </c>
      <c r="C9" t="s">
        <v>78</v>
      </c>
      <c r="D9" t="s">
        <v>79</v>
      </c>
      <c r="E9" s="4">
        <v>18581063</v>
      </c>
      <c r="F9" s="4" t="str">
        <f t="shared" si="1"/>
        <v>18581063OVR</v>
      </c>
      <c r="G9" t="s">
        <v>81</v>
      </c>
      <c r="H9" t="s">
        <v>65</v>
      </c>
      <c r="I9" s="1">
        <v>46023</v>
      </c>
      <c r="J9" s="1">
        <v>46478</v>
      </c>
      <c r="K9">
        <v>1</v>
      </c>
      <c r="L9" s="2">
        <v>1</v>
      </c>
      <c r="M9" s="2">
        <v>1</v>
      </c>
      <c r="N9" s="3">
        <v>1</v>
      </c>
      <c r="O9" s="2">
        <v>7</v>
      </c>
      <c r="P9" t="s">
        <v>66</v>
      </c>
      <c r="Q9" t="s">
        <v>107</v>
      </c>
    </row>
    <row r="10" spans="1:17" x14ac:dyDescent="0.25">
      <c r="A10" t="s">
        <v>102</v>
      </c>
      <c r="B10" t="str">
        <f t="shared" si="0"/>
        <v>788W24089OVR</v>
      </c>
      <c r="C10" t="s">
        <v>90</v>
      </c>
      <c r="D10" t="s">
        <v>61</v>
      </c>
      <c r="E10" s="4">
        <v>19645587</v>
      </c>
      <c r="F10" s="4" t="str">
        <f t="shared" si="1"/>
        <v>19645587OVR</v>
      </c>
      <c r="G10" t="s">
        <v>58</v>
      </c>
      <c r="H10" t="s">
        <v>65</v>
      </c>
      <c r="I10" s="1">
        <v>45839</v>
      </c>
      <c r="J10" s="1">
        <v>46296</v>
      </c>
      <c r="K10">
        <v>1</v>
      </c>
      <c r="L10" s="2">
        <v>1</v>
      </c>
      <c r="M10" s="2">
        <v>1</v>
      </c>
      <c r="N10" s="3">
        <v>1</v>
      </c>
      <c r="O10" s="2">
        <v>7</v>
      </c>
      <c r="P10" t="s">
        <v>66</v>
      </c>
      <c r="Q10" t="s">
        <v>107</v>
      </c>
    </row>
    <row r="11" spans="1:17" x14ac:dyDescent="0.25">
      <c r="A11" t="s">
        <v>103</v>
      </c>
      <c r="B11" t="str">
        <f t="shared" si="0"/>
        <v>940W23397OVR</v>
      </c>
      <c r="C11" t="s">
        <v>78</v>
      </c>
      <c r="D11" t="s">
        <v>79</v>
      </c>
      <c r="E11" s="4">
        <v>20724564</v>
      </c>
      <c r="F11" s="4" t="str">
        <f t="shared" si="1"/>
        <v>20724564OVR</v>
      </c>
      <c r="G11" t="s">
        <v>72</v>
      </c>
      <c r="H11" t="s">
        <v>65</v>
      </c>
      <c r="I11" s="1">
        <v>46023</v>
      </c>
      <c r="J11" s="1">
        <v>46478</v>
      </c>
      <c r="K11">
        <v>-3</v>
      </c>
      <c r="L11" s="2">
        <v>-3</v>
      </c>
      <c r="M11" s="2">
        <v>-3</v>
      </c>
      <c r="N11" s="3">
        <v>1</v>
      </c>
      <c r="O11" s="2">
        <v>-21</v>
      </c>
      <c r="P11" t="s">
        <v>66</v>
      </c>
      <c r="Q11" t="s">
        <v>107</v>
      </c>
    </row>
    <row r="12" spans="1:17" x14ac:dyDescent="0.25">
      <c r="A12" t="s">
        <v>104</v>
      </c>
      <c r="B12" t="str">
        <f t="shared" si="0"/>
        <v>972W22875OVR</v>
      </c>
      <c r="C12" t="s">
        <v>93</v>
      </c>
      <c r="D12" t="s">
        <v>61</v>
      </c>
      <c r="E12" s="4">
        <v>17094718</v>
      </c>
      <c r="F12" s="4" t="str">
        <f t="shared" si="1"/>
        <v>17094718OVR</v>
      </c>
      <c r="G12" t="s">
        <v>63</v>
      </c>
      <c r="H12" t="s">
        <v>65</v>
      </c>
      <c r="I12" s="1">
        <v>45689</v>
      </c>
      <c r="J12" s="1">
        <v>46143</v>
      </c>
      <c r="K12">
        <v>1</v>
      </c>
      <c r="L12" s="2">
        <v>1</v>
      </c>
      <c r="M12" s="2">
        <v>1</v>
      </c>
      <c r="N12" s="3">
        <v>1</v>
      </c>
      <c r="O12" s="2">
        <v>7</v>
      </c>
      <c r="P12" t="s">
        <v>66</v>
      </c>
      <c r="Q12" t="s">
        <v>107</v>
      </c>
    </row>
    <row r="13" spans="1:17" x14ac:dyDescent="0.25">
      <c r="A13" t="s">
        <v>105</v>
      </c>
      <c r="B13" t="str">
        <f t="shared" si="0"/>
        <v>00006948323KOVR</v>
      </c>
      <c r="C13" t="s">
        <v>45</v>
      </c>
      <c r="D13" t="s">
        <v>46</v>
      </c>
      <c r="E13" s="4">
        <v>18142208</v>
      </c>
      <c r="F13" s="4" t="str">
        <f t="shared" si="1"/>
        <v>18142208OVR</v>
      </c>
      <c r="G13" t="s">
        <v>48</v>
      </c>
      <c r="H13" t="s">
        <v>50</v>
      </c>
      <c r="I13" s="1">
        <v>46023</v>
      </c>
      <c r="J13" s="1">
        <v>46054</v>
      </c>
      <c r="L13" s="2">
        <v>0</v>
      </c>
      <c r="M13" s="2">
        <v>0</v>
      </c>
      <c r="N13" s="3">
        <v>1</v>
      </c>
      <c r="O13" s="2">
        <v>-101.5</v>
      </c>
      <c r="P13" t="s">
        <v>53</v>
      </c>
      <c r="Q13" t="s">
        <v>108</v>
      </c>
    </row>
    <row r="14" spans="1:17" x14ac:dyDescent="0.25">
      <c r="A14" t="s">
        <v>106</v>
      </c>
      <c r="B14" t="str">
        <f t="shared" si="0"/>
        <v>00026060207KOVR</v>
      </c>
      <c r="C14" t="s">
        <v>55</v>
      </c>
      <c r="D14" t="s">
        <v>56</v>
      </c>
      <c r="E14" s="4">
        <v>19645587</v>
      </c>
      <c r="F14" s="4" t="str">
        <f t="shared" si="1"/>
        <v>19645587OVR</v>
      </c>
      <c r="G14" t="s">
        <v>58</v>
      </c>
      <c r="H14" t="s">
        <v>50</v>
      </c>
      <c r="I14" s="1">
        <v>46113</v>
      </c>
      <c r="J14" s="1">
        <v>46143</v>
      </c>
      <c r="L14" s="2">
        <v>0</v>
      </c>
      <c r="M14" s="2">
        <v>0</v>
      </c>
      <c r="N14" s="3">
        <v>1</v>
      </c>
      <c r="O14" s="2">
        <v>-43.75</v>
      </c>
      <c r="P14" t="s">
        <v>53</v>
      </c>
      <c r="Q14" t="s">
        <v>108</v>
      </c>
    </row>
  </sheetData>
  <sortState xmlns:xlrd2="http://schemas.microsoft.com/office/spreadsheetml/2017/richdata2" ref="A2:AN14">
    <sortCondition ref="H2:H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2026-06-26T07:48:23Z</dcterms:created>
  <dcterms:modified xsi:type="dcterms:W3CDTF">2026-06-26T19:01:31Z</dcterms:modified>
</cp:coreProperties>
</file>