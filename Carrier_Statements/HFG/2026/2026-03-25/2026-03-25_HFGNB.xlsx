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6\NB 3-25-26\"/>
    </mc:Choice>
  </mc:AlternateContent>
  <xr:revisionPtr revIDLastSave="0" documentId="13_ncr:1_{34132903-6D37-4BA8-9BA0-DBEFFE498D0E}" xr6:coauthVersionLast="47" xr6:coauthVersionMax="47" xr10:uidLastSave="{00000000-0000-0000-0000-000000000000}"/>
  <bookViews>
    <workbookView xWindow="-120" yWindow="-120" windowWidth="29040" windowHeight="16440" activeTab="1" xr2:uid="{67DB2158-25F6-4501-9D03-6B4FB6621B50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86" i="2" l="1"/>
  <c r="B85" i="2"/>
  <c r="B84" i="2"/>
  <c r="B83" i="2"/>
  <c r="B77" i="2"/>
  <c r="B76" i="2"/>
  <c r="B75" i="2"/>
  <c r="B74" i="2"/>
  <c r="B81" i="2"/>
  <c r="B80" i="2"/>
  <c r="B79" i="2"/>
  <c r="B78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S84" i="2"/>
</calcChain>
</file>

<file path=xl/sharedStrings.xml><?xml version="1.0" encoding="utf-8"?>
<sst xmlns="http://schemas.openxmlformats.org/spreadsheetml/2006/main" count="2013" uniqueCount="388">
  <si>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</si>
  <si>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</si>
  <si>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</si>
  <si>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</si>
  <si>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</si>
  <si>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</si>
  <si>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</si>
  <si>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</si>
  <si>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</si>
  <si>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</si>
  <si>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</si>
  <si>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</si>
  <si>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</si>
  <si>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</si>
  <si>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</si>
  <si>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</si>
  <si>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</si>
  <si>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</si>
  <si>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</si>
  <si>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</si>
  <si>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</si>
  <si>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</si>
  <si>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</si>
  <si>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</si>
  <si>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</si>
  <si>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</si>
  <si>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</si>
  <si>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</si>
  <si>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</si>
  <si>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</si>
  <si>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</si>
  <si>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</si>
  <si>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</si>
  <si>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</si>
  <si>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</si>
  <si>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</si>
  <si>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</si>
  <si>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</si>
  <si>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</si>
  <si>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</si>
  <si>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</si>
  <si>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</si>
  <si>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</si>
  <si>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</si>
  <si>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'00002972813K</t>
  </si>
  <si>
    <t>JAMES GRAHAM</t>
  </si>
  <si>
    <t>TX</t>
  </si>
  <si>
    <t>'045605</t>
  </si>
  <si>
    <t>GARY PORTUGAL</t>
  </si>
  <si>
    <t>ACTIVE</t>
  </si>
  <si>
    <t>Humana MA 2019+ Level 15- 175/108</t>
  </si>
  <si>
    <t>Monthly</t>
  </si>
  <si>
    <t>AV</t>
  </si>
  <si>
    <t>'00005682118K</t>
  </si>
  <si>
    <t>MONETTA NOVAK</t>
  </si>
  <si>
    <t>IL</t>
  </si>
  <si>
    <t>'045709</t>
  </si>
  <si>
    <t>ESTHER HERRERA-LARSEN</t>
  </si>
  <si>
    <t>'00010219753K</t>
  </si>
  <si>
    <t>MARGARETTA WASHINGTON</t>
  </si>
  <si>
    <t>KS</t>
  </si>
  <si>
    <t>'043969</t>
  </si>
  <si>
    <t>STACEY PORTUGAL</t>
  </si>
  <si>
    <t>'00011291715K</t>
  </si>
  <si>
    <t>JIMMY DOWDY</t>
  </si>
  <si>
    <t>FL</t>
  </si>
  <si>
    <t>Humana MA 2019+ Level 15- 175/108 Repl 2024</t>
  </si>
  <si>
    <t>'00012550188K</t>
  </si>
  <si>
    <t>JOHN TEPE</t>
  </si>
  <si>
    <t>'043618</t>
  </si>
  <si>
    <t>SAADIA ABDUL</t>
  </si>
  <si>
    <t>'00015745357K</t>
  </si>
  <si>
    <t>MARY GRIFFIN</t>
  </si>
  <si>
    <t>'00016609303K</t>
  </si>
  <si>
    <t>KAREN TEPE</t>
  </si>
  <si>
    <t>'00019636102K</t>
  </si>
  <si>
    <t>ALLAUDDIN JAFFER</t>
  </si>
  <si>
    <t>'041686</t>
  </si>
  <si>
    <t>DALE WALENGA</t>
  </si>
  <si>
    <t>'00021653839K</t>
  </si>
  <si>
    <t>GUADALUPE MEDINA REYES</t>
  </si>
  <si>
    <t>'00023224834K</t>
  </si>
  <si>
    <t>JULIANA ACHIMAS</t>
  </si>
  <si>
    <t>'045638</t>
  </si>
  <si>
    <t>RICHARD YALE</t>
  </si>
  <si>
    <t>'00024072371K</t>
  </si>
  <si>
    <t>ROBERTA DOWDY</t>
  </si>
  <si>
    <t>'00024914891K</t>
  </si>
  <si>
    <t>DIANE ANDERSON</t>
  </si>
  <si>
    <t>KY</t>
  </si>
  <si>
    <t>'045885</t>
  </si>
  <si>
    <t>CHAD BENDER</t>
  </si>
  <si>
    <t>'00025582379K</t>
  </si>
  <si>
    <t>ALBERTO TORRES</t>
  </si>
  <si>
    <t>'045671</t>
  </si>
  <si>
    <t>ROBERT SHAPIRO</t>
  </si>
  <si>
    <t>'00025648659K</t>
  </si>
  <si>
    <t>PENNY WRIGHT</t>
  </si>
  <si>
    <t>'043638</t>
  </si>
  <si>
    <t>THOMAS PARDUE</t>
  </si>
  <si>
    <t>Active</t>
  </si>
  <si>
    <t>Humana MA Bonus Upload 03-25-2026.xlsx</t>
  </si>
  <si>
    <t>'00025750039K</t>
  </si>
  <si>
    <t>KENNETH WEITZMAN</t>
  </si>
  <si>
    <t>'046124</t>
  </si>
  <si>
    <t>'00026244860K</t>
  </si>
  <si>
    <t>MICHELLE WESSEL</t>
  </si>
  <si>
    <t>GA</t>
  </si>
  <si>
    <t>'043682</t>
  </si>
  <si>
    <t>GREGORY TEIPEL</t>
  </si>
  <si>
    <t>'00026245100K</t>
  </si>
  <si>
    <t>JGERARDO MUNOS HERNANDES</t>
  </si>
  <si>
    <t>'045966</t>
  </si>
  <si>
    <t>ANTONIA NEVAREZ</t>
  </si>
  <si>
    <t>'00026248345K</t>
  </si>
  <si>
    <t>DANILO YABUT</t>
  </si>
  <si>
    <t>'045613</t>
  </si>
  <si>
    <t>RICARDO SANTOS</t>
  </si>
  <si>
    <t>'00026250772K</t>
  </si>
  <si>
    <t>KELLY WINNINGHAM</t>
  </si>
  <si>
    <t>OK</t>
  </si>
  <si>
    <t>'00026251004K</t>
  </si>
  <si>
    <t>AMY BRAINARD</t>
  </si>
  <si>
    <t>'045611</t>
  </si>
  <si>
    <t>FRANK LISKOVEC</t>
  </si>
  <si>
    <t>'00026253283K</t>
  </si>
  <si>
    <t>SUSAN PARRISH</t>
  </si>
  <si>
    <t>'045618</t>
  </si>
  <si>
    <t>STEPHANIE DRAPAC</t>
  </si>
  <si>
    <t>'00026256417K</t>
  </si>
  <si>
    <t>RAMON ALICEA</t>
  </si>
  <si>
    <t>'00026256698K</t>
  </si>
  <si>
    <t>LISA WACHOWIAK</t>
  </si>
  <si>
    <t>'00026259873K</t>
  </si>
  <si>
    <t>DESIREE BETHARD</t>
  </si>
  <si>
    <t>'045896</t>
  </si>
  <si>
    <t>LENSIE GONZALEZ</t>
  </si>
  <si>
    <t>'00026260016K</t>
  </si>
  <si>
    <t>ANNA YI</t>
  </si>
  <si>
    <t>'00026260410K</t>
  </si>
  <si>
    <t>SHIRLEY WIGLEY</t>
  </si>
  <si>
    <t>'00026260890K</t>
  </si>
  <si>
    <t>MARK JENNINGS</t>
  </si>
  <si>
    <t>'00026261378K</t>
  </si>
  <si>
    <t>GLENN CHAPPELL</t>
  </si>
  <si>
    <t>'00026261781K</t>
  </si>
  <si>
    <t>YOLANDA BECKETT</t>
  </si>
  <si>
    <t>MD</t>
  </si>
  <si>
    <t>'045717</t>
  </si>
  <si>
    <t>RONALD MAX</t>
  </si>
  <si>
    <t>'00026263324K</t>
  </si>
  <si>
    <t>HERBERT KAISER</t>
  </si>
  <si>
    <t>'045612</t>
  </si>
  <si>
    <t>ANTHONY HUNSBERGER</t>
  </si>
  <si>
    <t>'00026264403K</t>
  </si>
  <si>
    <t>TIMMY JOSLYN</t>
  </si>
  <si>
    <t>'043748</t>
  </si>
  <si>
    <t>SCOTT FINE</t>
  </si>
  <si>
    <t>'00026265493K</t>
  </si>
  <si>
    <t>BARBARA ALGIERS</t>
  </si>
  <si>
    <t>WI</t>
  </si>
  <si>
    <t>'00026267253K</t>
  </si>
  <si>
    <t>EFRAIN VILLAGOMEZ</t>
  </si>
  <si>
    <t>'00026267802K</t>
  </si>
  <si>
    <t>FIDEL ESTANDA</t>
  </si>
  <si>
    <t>'101123561500</t>
  </si>
  <si>
    <t>ANDREW TOROK</t>
  </si>
  <si>
    <t>PA</t>
  </si>
  <si>
    <t>'043611</t>
  </si>
  <si>
    <t>TIMOTHY POWERS</t>
  </si>
  <si>
    <t>Aetna MAPD NMO to MMO - 2025+ Replace E-App</t>
  </si>
  <si>
    <t>10/12 PRORATE</t>
  </si>
  <si>
    <t>'101333766800</t>
  </si>
  <si>
    <t>LORETO BUCARO</t>
  </si>
  <si>
    <t>9/12 PRORATE</t>
  </si>
  <si>
    <t>'101508859900</t>
  </si>
  <si>
    <t>JAMES LOWE</t>
  </si>
  <si>
    <t>IN</t>
  </si>
  <si>
    <t>'045967</t>
  </si>
  <si>
    <t>DANNA GREEN</t>
  </si>
  <si>
    <t>'101945708000</t>
  </si>
  <si>
    <t>JOHN ROSA</t>
  </si>
  <si>
    <t>'043691</t>
  </si>
  <si>
    <t>MICHELLE MCCORKLE</t>
  </si>
  <si>
    <t>'102268225300</t>
  </si>
  <si>
    <t>CURTIS RIENTS</t>
  </si>
  <si>
    <t>'045607</t>
  </si>
  <si>
    <t>PAMELA DEATON</t>
  </si>
  <si>
    <t>'102268234900</t>
  </si>
  <si>
    <t>ROSEMARY FISHER</t>
  </si>
  <si>
    <t>'043679</t>
  </si>
  <si>
    <t>DEBORAH INSKIPT</t>
  </si>
  <si>
    <t>'102268604400</t>
  </si>
  <si>
    <t>LEROY DOYLE</t>
  </si>
  <si>
    <t>'102268620900</t>
  </si>
  <si>
    <t>DEBRA COUCH</t>
  </si>
  <si>
    <t>OH</t>
  </si>
  <si>
    <t>'045684</t>
  </si>
  <si>
    <t>JILL SHEPARD</t>
  </si>
  <si>
    <t>'102268859600</t>
  </si>
  <si>
    <t>NADIA DOLGANSKY</t>
  </si>
  <si>
    <t>7/12 PRORATE</t>
  </si>
  <si>
    <t>'102269137100</t>
  </si>
  <si>
    <t>RONALD KILLEN</t>
  </si>
  <si>
    <t>'102269376100</t>
  </si>
  <si>
    <t>KEVIN MYERS</t>
  </si>
  <si>
    <t>'102269443700</t>
  </si>
  <si>
    <t>BETH CALHOON</t>
  </si>
  <si>
    <t>'206W26504</t>
  </si>
  <si>
    <t>IAN GOTTS</t>
  </si>
  <si>
    <t>NA</t>
  </si>
  <si>
    <t>Anthem MA 2025</t>
  </si>
  <si>
    <t>'283W21805</t>
  </si>
  <si>
    <t>TERRY BROWN</t>
  </si>
  <si>
    <t>'733W26414</t>
  </si>
  <si>
    <t>FRANCES LIVINGSTON</t>
  </si>
  <si>
    <t>'045591</t>
  </si>
  <si>
    <t>CHRISTOPHER BROUSSEAU</t>
  </si>
  <si>
    <t>'842399030</t>
  </si>
  <si>
    <t>ROBERT SCHENKEL</t>
  </si>
  <si>
    <t>UHC MAPD Street payable to upline- 2026 Replace</t>
  </si>
  <si>
    <t>'842399030OV</t>
  </si>
  <si>
    <t>UHC MA Direct 2025 New Full</t>
  </si>
  <si>
    <t>'945648838</t>
  </si>
  <si>
    <t>BOBBY SISK</t>
  </si>
  <si>
    <t>CA</t>
  </si>
  <si>
    <t>UHC MAPD Street payable to upline - 2024 New</t>
  </si>
  <si>
    <t>'A04447110</t>
  </si>
  <si>
    <t>GARY MANERS</t>
  </si>
  <si>
    <t>UHC AARP Med Supp 2025+ IN All Plans</t>
  </si>
  <si>
    <t>'A04447116</t>
  </si>
  <si>
    <t>MICHAEL CALIGIURI</t>
  </si>
  <si>
    <t>UHC AARP Med Supp FL Area 4- Plan  B C F G</t>
  </si>
  <si>
    <t>'A04448927</t>
  </si>
  <si>
    <t>DONNA ROLLER</t>
  </si>
  <si>
    <t>'A04449212</t>
  </si>
  <si>
    <t>LISA FELL</t>
  </si>
  <si>
    <t>UHC AARP Med Supp 2026+ DE MD OK OR VA Plan B C F G</t>
  </si>
  <si>
    <t>'MEQNDVYM00000213863</t>
  </si>
  <si>
    <t>ALBERTO RIVERA</t>
  </si>
  <si>
    <t>'MEQNDVZM00000124006</t>
  </si>
  <si>
    <t>BONITA ADAMS</t>
  </si>
  <si>
    <t>MI</t>
  </si>
  <si>
    <t>'043718</t>
  </si>
  <si>
    <t>CHAD YALE</t>
  </si>
  <si>
    <t>Aetna MAPD NMO to MMO - 2025+ New E-App</t>
  </si>
  <si>
    <t>CB</t>
  </si>
  <si>
    <t>'00000437692KPC</t>
  </si>
  <si>
    <t>RALPH BATES</t>
  </si>
  <si>
    <t>CHARGEBACK</t>
  </si>
  <si>
    <t>'00009374194KPC</t>
  </si>
  <si>
    <t>RAYMOND SMITH</t>
  </si>
  <si>
    <t>'043736</t>
  </si>
  <si>
    <t>DENNIS HOLYN</t>
  </si>
  <si>
    <t>'00016221099KPC</t>
  </si>
  <si>
    <t>TONY HENRY</t>
  </si>
  <si>
    <t>'00023281587KPC</t>
  </si>
  <si>
    <t>MARCELLA SUERO</t>
  </si>
  <si>
    <t>'00025072361KPC</t>
  </si>
  <si>
    <t>ROBERT CAVAZOS</t>
  </si>
  <si>
    <t>'00025741009KPC</t>
  </si>
  <si>
    <t>SCOTT TAIT</t>
  </si>
  <si>
    <t>CO</t>
  </si>
  <si>
    <t>'045621</t>
  </si>
  <si>
    <t>HEATHER GESKE</t>
  </si>
  <si>
    <t>'00025750039KPC</t>
  </si>
  <si>
    <t>'00025831651KPC</t>
  </si>
  <si>
    <t>ANN CATALANO</t>
  </si>
  <si>
    <t>'00025965072KCB</t>
  </si>
  <si>
    <t>LOUIS VASILOPOULOS</t>
  </si>
  <si>
    <t>'00026182740KCB</t>
  </si>
  <si>
    <t>MARIA AVILA</t>
  </si>
  <si>
    <t>'101266029500CB</t>
  </si>
  <si>
    <t>THERESA CLARK</t>
  </si>
  <si>
    <t>'101876786200PC</t>
  </si>
  <si>
    <t>DEBRA PADUCH</t>
  </si>
  <si>
    <t>'043589</t>
  </si>
  <si>
    <t>JOSE TORRES</t>
  </si>
  <si>
    <t>'102064780500ACB</t>
  </si>
  <si>
    <t>PEGGY OBRIEN</t>
  </si>
  <si>
    <t>'102094840600CB</t>
  </si>
  <si>
    <t>JERRY SCHELLING</t>
  </si>
  <si>
    <t>WA</t>
  </si>
  <si>
    <t>'102211243300PC</t>
  </si>
  <si>
    <t>CHERYL BREESE</t>
  </si>
  <si>
    <t>'102217395100CB</t>
  </si>
  <si>
    <t>PATRICIA FRY</t>
  </si>
  <si>
    <t>'043867</t>
  </si>
  <si>
    <t>RYAN STOCKER</t>
  </si>
  <si>
    <t>Aetna MAPD NMO to MMO - 2025+ New Paper</t>
  </si>
  <si>
    <t>'102224738500PC</t>
  </si>
  <si>
    <t>MOHAMMAD JALLAQ</t>
  </si>
  <si>
    <t>'045670</t>
  </si>
  <si>
    <t>STEVEN BRANDT</t>
  </si>
  <si>
    <t>'134831885CB</t>
  </si>
  <si>
    <t>CHARLOTTE WILSON</t>
  </si>
  <si>
    <t>'134831885OVCB</t>
  </si>
  <si>
    <t>'36U1A3F87CB</t>
  </si>
  <si>
    <t>JULIO ACEVEDO</t>
  </si>
  <si>
    <t>'043637</t>
  </si>
  <si>
    <t>CHRISTIAN TAUGNER</t>
  </si>
  <si>
    <t>Cigna MAPD FMO to GA 1-1-19+ - New</t>
  </si>
  <si>
    <t>'59A5U5F33CB</t>
  </si>
  <si>
    <t>LOUANN ACEVEDO</t>
  </si>
  <si>
    <t>'678W25131CB</t>
  </si>
  <si>
    <t>SHERRIE FARRIS</t>
  </si>
  <si>
    <t>'69L8R8H33CB</t>
  </si>
  <si>
    <t>RONALD MCGOWAN</t>
  </si>
  <si>
    <t>'927960226CB</t>
  </si>
  <si>
    <t>UHC MAPD Street payable to upline- 2026 Replace - Other</t>
  </si>
  <si>
    <t>'927960226OVCB</t>
  </si>
  <si>
    <t>UHC MA Direct 2025 New Full - Other</t>
  </si>
  <si>
    <t>'953417433CB</t>
  </si>
  <si>
    <t>AVIS PECHEOS</t>
  </si>
  <si>
    <t>UHC MAPD Street payable to upline - 2026 New</t>
  </si>
  <si>
    <t>'953417433OVCB</t>
  </si>
  <si>
    <t>00002972813K</t>
  </si>
  <si>
    <t>00005682118K</t>
  </si>
  <si>
    <t>00010219753K</t>
  </si>
  <si>
    <t>00011291715K</t>
  </si>
  <si>
    <t>00012550188K</t>
  </si>
  <si>
    <t>00015745357K</t>
  </si>
  <si>
    <t>00016609303K</t>
  </si>
  <si>
    <t>00019636102K</t>
  </si>
  <si>
    <t>00021653839K</t>
  </si>
  <si>
    <t>00023224834K</t>
  </si>
  <si>
    <t>00024072371K</t>
  </si>
  <si>
    <t>00024914891K</t>
  </si>
  <si>
    <t>00025582379K</t>
  </si>
  <si>
    <t>00025648659K</t>
  </si>
  <si>
    <t>00025750039K</t>
  </si>
  <si>
    <t>00026244860K</t>
  </si>
  <si>
    <t>00026245100K</t>
  </si>
  <si>
    <t>00026248345K</t>
  </si>
  <si>
    <t>00026250772K</t>
  </si>
  <si>
    <t>00026251004K</t>
  </si>
  <si>
    <t>00026253283K</t>
  </si>
  <si>
    <t>00026256417K</t>
  </si>
  <si>
    <t>00026256698K</t>
  </si>
  <si>
    <t>00026259873K</t>
  </si>
  <si>
    <t>00026260016K</t>
  </si>
  <si>
    <t>00026260410K</t>
  </si>
  <si>
    <t>00026260890K</t>
  </si>
  <si>
    <t>00026261378K</t>
  </si>
  <si>
    <t>00026261781K</t>
  </si>
  <si>
    <t>00026263324K</t>
  </si>
  <si>
    <t>00026264403K</t>
  </si>
  <si>
    <t>00026265493K</t>
  </si>
  <si>
    <t>00026267253K</t>
  </si>
  <si>
    <t>00026267802K</t>
  </si>
  <si>
    <t>206W26504</t>
  </si>
  <si>
    <t>283W21805</t>
  </si>
  <si>
    <t>733W26414</t>
  </si>
  <si>
    <t>A04447110</t>
  </si>
  <si>
    <t>A04447116</t>
  </si>
  <si>
    <t>A04448927</t>
  </si>
  <si>
    <t>A04449212</t>
  </si>
  <si>
    <t>MEQNDVYM00000213863</t>
  </si>
  <si>
    <t>MEQNDVZM00000124006</t>
  </si>
  <si>
    <t>Aetna MAPD OVR 2026</t>
  </si>
  <si>
    <t>Anthem MAPD OVR</t>
  </si>
  <si>
    <t>Cigna MAPD Ovr</t>
  </si>
  <si>
    <t>Humana MAPD OVR</t>
  </si>
  <si>
    <t>UHC AARP MS FL Area 4- Plan B C F G</t>
  </si>
  <si>
    <t>UHC MAPD Ovr 2026</t>
  </si>
  <si>
    <t>UHC MAPD Nat 2024!</t>
  </si>
  <si>
    <t>UHC 2026</t>
  </si>
  <si>
    <t>UHC MAPD 2026*</t>
  </si>
  <si>
    <t>[%/$=694]</t>
  </si>
  <si>
    <t>[%/$=611]</t>
  </si>
  <si>
    <t>[%/$=347][prorate=12/12]</t>
  </si>
  <si>
    <t>[%/$=347][prorate=9/12]</t>
  </si>
  <si>
    <t>2026 UHC MAPD National*</t>
  </si>
  <si>
    <t>102064780500A</t>
  </si>
  <si>
    <t>678W25131</t>
  </si>
  <si>
    <t>36U1A3F87</t>
  </si>
  <si>
    <t>59A5U5F33</t>
  </si>
  <si>
    <t>69L8R8H33</t>
  </si>
  <si>
    <t>00025965072K</t>
  </si>
  <si>
    <t>00026182740K</t>
  </si>
  <si>
    <t>00000437692K</t>
  </si>
  <si>
    <t>00009374194K</t>
  </si>
  <si>
    <t>00025072361K</t>
  </si>
  <si>
    <t>00025741009K</t>
  </si>
  <si>
    <t>00025831651K</t>
  </si>
  <si>
    <t>00016221099K</t>
  </si>
  <si>
    <t>00023281587K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</si>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</sst>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33" borderId="0" xfId="0" applyNumberFormat="1" applyFill="1"/>
    <xf numFmtId="1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2BEE-B324-43C5-9987-27BC649B980F}">
  <dimension ref="A1:AL86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23.7109375" bestFit="1" customWidth="1"/>
    <col min="10" max="10" width="29.425781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4.5703125" bestFit="1" customWidth="1"/>
    <col min="17" max="17" width="12.85546875" bestFit="1" customWidth="1"/>
    <col min="18" max="18" width="53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39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46106</v>
      </c>
      <c r="B2" s="1">
        <v>46106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46113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6457345</v>
      </c>
    </row>
    <row r="3" spans="1:38" x14ac:dyDescent="0.25">
      <c r="A3" s="1">
        <v>46106</v>
      </c>
      <c r="B3" s="1">
        <v>46106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46113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6457346</v>
      </c>
    </row>
    <row r="4" spans="1:38" x14ac:dyDescent="0.25">
      <c r="A4" s="1">
        <v>46106</v>
      </c>
      <c r="B4" s="1">
        <v>46106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60</v>
      </c>
      <c r="O4" t="s">
        <v>61</v>
      </c>
      <c r="P4" t="s">
        <v>62</v>
      </c>
      <c r="Q4" t="s">
        <v>49</v>
      </c>
      <c r="R4" t="s">
        <v>50</v>
      </c>
      <c r="S4" s="1">
        <v>46113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6457347</v>
      </c>
    </row>
    <row r="5" spans="1:38" x14ac:dyDescent="0.25">
      <c r="A5" s="1">
        <v>46106</v>
      </c>
      <c r="B5" s="1">
        <v>46106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63</v>
      </c>
      <c r="J5" t="s">
        <v>64</v>
      </c>
      <c r="M5" t="s">
        <v>65</v>
      </c>
      <c r="O5" t="s">
        <v>47</v>
      </c>
      <c r="P5" t="s">
        <v>48</v>
      </c>
      <c r="Q5" t="s">
        <v>49</v>
      </c>
      <c r="R5" t="s">
        <v>66</v>
      </c>
      <c r="S5" s="1">
        <v>46113</v>
      </c>
      <c r="U5" t="s">
        <v>51</v>
      </c>
      <c r="X5" t="s">
        <v>52</v>
      </c>
      <c r="Y5" s="2">
        <v>0</v>
      </c>
      <c r="Z5" s="2">
        <v>108</v>
      </c>
      <c r="AA5">
        <v>1</v>
      </c>
      <c r="AB5" s="3">
        <v>1</v>
      </c>
      <c r="AC5" s="2">
        <v>108</v>
      </c>
      <c r="AD5" s="3">
        <v>0</v>
      </c>
      <c r="AE5" s="2">
        <v>0</v>
      </c>
      <c r="AF5" s="2">
        <v>108</v>
      </c>
      <c r="AK5">
        <v>6457240</v>
      </c>
    </row>
    <row r="6" spans="1:38" x14ac:dyDescent="0.25">
      <c r="A6" s="1">
        <v>46106</v>
      </c>
      <c r="B6" s="1">
        <v>46106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67</v>
      </c>
      <c r="J6" t="s">
        <v>68</v>
      </c>
      <c r="M6" t="s">
        <v>55</v>
      </c>
      <c r="O6" t="s">
        <v>69</v>
      </c>
      <c r="P6" t="s">
        <v>70</v>
      </c>
      <c r="Q6" t="s">
        <v>49</v>
      </c>
      <c r="R6" t="s">
        <v>66</v>
      </c>
      <c r="S6" s="1">
        <v>46113</v>
      </c>
      <c r="U6" t="s">
        <v>51</v>
      </c>
      <c r="X6" t="s">
        <v>52</v>
      </c>
      <c r="Y6" s="2">
        <v>0</v>
      </c>
      <c r="Z6" s="2">
        <v>108</v>
      </c>
      <c r="AA6">
        <v>1</v>
      </c>
      <c r="AB6" s="3">
        <v>1</v>
      </c>
      <c r="AC6" s="2">
        <v>108</v>
      </c>
      <c r="AD6" s="3">
        <v>0</v>
      </c>
      <c r="AE6" s="2">
        <v>0</v>
      </c>
      <c r="AF6" s="2">
        <v>108</v>
      </c>
      <c r="AK6">
        <v>6457241</v>
      </c>
    </row>
    <row r="7" spans="1:38" x14ac:dyDescent="0.25">
      <c r="A7" s="1">
        <v>46106</v>
      </c>
      <c r="B7" s="1">
        <v>46106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71</v>
      </c>
      <c r="J7" t="s">
        <v>72</v>
      </c>
      <c r="M7" t="s">
        <v>55</v>
      </c>
      <c r="O7" t="s">
        <v>47</v>
      </c>
      <c r="P7" t="s">
        <v>48</v>
      </c>
      <c r="Q7" t="s">
        <v>49</v>
      </c>
      <c r="R7" t="s">
        <v>50</v>
      </c>
      <c r="S7" s="1">
        <v>46113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6457348</v>
      </c>
    </row>
    <row r="8" spans="1:38" x14ac:dyDescent="0.25">
      <c r="A8" s="1">
        <v>46106</v>
      </c>
      <c r="B8" s="1">
        <v>46106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73</v>
      </c>
      <c r="J8" t="s">
        <v>74</v>
      </c>
      <c r="M8" t="s">
        <v>55</v>
      </c>
      <c r="O8" t="s">
        <v>69</v>
      </c>
      <c r="P8" t="s">
        <v>70</v>
      </c>
      <c r="Q8" t="s">
        <v>49</v>
      </c>
      <c r="R8" t="s">
        <v>66</v>
      </c>
      <c r="S8" s="1">
        <v>46113</v>
      </c>
      <c r="U8" t="s">
        <v>51</v>
      </c>
      <c r="X8" t="s">
        <v>52</v>
      </c>
      <c r="Y8" s="2">
        <v>0</v>
      </c>
      <c r="Z8" s="2">
        <v>108</v>
      </c>
      <c r="AA8">
        <v>1</v>
      </c>
      <c r="AB8" s="3">
        <v>1</v>
      </c>
      <c r="AC8" s="2">
        <v>108</v>
      </c>
      <c r="AD8" s="3">
        <v>0</v>
      </c>
      <c r="AE8" s="2">
        <v>0</v>
      </c>
      <c r="AF8" s="2">
        <v>108</v>
      </c>
      <c r="AK8">
        <v>6457242</v>
      </c>
    </row>
    <row r="9" spans="1:38" x14ac:dyDescent="0.25">
      <c r="A9" s="1">
        <v>46106</v>
      </c>
      <c r="B9" s="1">
        <v>46106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75</v>
      </c>
      <c r="J9" t="s">
        <v>76</v>
      </c>
      <c r="M9" t="s">
        <v>55</v>
      </c>
      <c r="O9" t="s">
        <v>77</v>
      </c>
      <c r="P9" t="s">
        <v>78</v>
      </c>
      <c r="Q9" t="s">
        <v>49</v>
      </c>
      <c r="R9" t="s">
        <v>50</v>
      </c>
      <c r="S9" s="1">
        <v>46113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6457349</v>
      </c>
    </row>
    <row r="10" spans="1:38" x14ac:dyDescent="0.25">
      <c r="A10" s="1">
        <v>46106</v>
      </c>
      <c r="B10" s="1">
        <v>46106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79</v>
      </c>
      <c r="J10" t="s">
        <v>80</v>
      </c>
      <c r="M10" t="s">
        <v>55</v>
      </c>
      <c r="O10" t="s">
        <v>56</v>
      </c>
      <c r="P10" t="s">
        <v>57</v>
      </c>
      <c r="Q10" t="s">
        <v>49</v>
      </c>
      <c r="R10" t="s">
        <v>50</v>
      </c>
      <c r="S10" s="1">
        <v>46113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6457350</v>
      </c>
    </row>
    <row r="11" spans="1:38" x14ac:dyDescent="0.25">
      <c r="A11" s="1">
        <v>46106</v>
      </c>
      <c r="B11" s="1">
        <v>46106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81</v>
      </c>
      <c r="J11" t="s">
        <v>82</v>
      </c>
      <c r="M11" t="s">
        <v>55</v>
      </c>
      <c r="O11" t="s">
        <v>83</v>
      </c>
      <c r="P11" t="s">
        <v>84</v>
      </c>
      <c r="Q11" t="s">
        <v>49</v>
      </c>
      <c r="R11" t="s">
        <v>50</v>
      </c>
      <c r="S11" s="1">
        <v>46113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6457351</v>
      </c>
    </row>
    <row r="12" spans="1:38" x14ac:dyDescent="0.25">
      <c r="A12" s="1">
        <v>46106</v>
      </c>
      <c r="B12" s="1">
        <v>46106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85</v>
      </c>
      <c r="J12" t="s">
        <v>86</v>
      </c>
      <c r="M12" t="s">
        <v>65</v>
      </c>
      <c r="O12" t="s">
        <v>47</v>
      </c>
      <c r="P12" t="s">
        <v>48</v>
      </c>
      <c r="Q12" t="s">
        <v>49</v>
      </c>
      <c r="R12" t="s">
        <v>50</v>
      </c>
      <c r="S12" s="1">
        <v>46113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6457352</v>
      </c>
    </row>
    <row r="13" spans="1:38" x14ac:dyDescent="0.25">
      <c r="A13" s="1">
        <v>46106</v>
      </c>
      <c r="B13" s="1">
        <v>46106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87</v>
      </c>
      <c r="J13" t="s">
        <v>88</v>
      </c>
      <c r="M13" t="s">
        <v>89</v>
      </c>
      <c r="O13" t="s">
        <v>90</v>
      </c>
      <c r="P13" t="s">
        <v>91</v>
      </c>
      <c r="Q13" t="s">
        <v>49</v>
      </c>
      <c r="R13" t="s">
        <v>50</v>
      </c>
      <c r="S13" s="1">
        <v>46054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6457353</v>
      </c>
    </row>
    <row r="14" spans="1:38" x14ac:dyDescent="0.25">
      <c r="A14" s="1">
        <v>46106</v>
      </c>
      <c r="B14" s="1">
        <v>46106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92</v>
      </c>
      <c r="J14" t="s">
        <v>93</v>
      </c>
      <c r="M14" t="s">
        <v>55</v>
      </c>
      <c r="O14" t="s">
        <v>94</v>
      </c>
      <c r="P14" t="s">
        <v>95</v>
      </c>
      <c r="Q14" t="s">
        <v>49</v>
      </c>
      <c r="R14" t="s">
        <v>66</v>
      </c>
      <c r="S14" s="1">
        <v>46113</v>
      </c>
      <c r="U14" t="s">
        <v>51</v>
      </c>
      <c r="X14" t="s">
        <v>52</v>
      </c>
      <c r="Y14" s="2">
        <v>0</v>
      </c>
      <c r="Z14" s="2">
        <v>108</v>
      </c>
      <c r="AA14">
        <v>1</v>
      </c>
      <c r="AB14" s="3">
        <v>1</v>
      </c>
      <c r="AC14" s="2">
        <v>108</v>
      </c>
      <c r="AD14" s="3">
        <v>0</v>
      </c>
      <c r="AE14" s="2">
        <v>0</v>
      </c>
      <c r="AF14" s="2">
        <v>108</v>
      </c>
      <c r="AK14">
        <v>6457243</v>
      </c>
    </row>
    <row r="15" spans="1:38" x14ac:dyDescent="0.25">
      <c r="A15" s="1">
        <v>46106</v>
      </c>
      <c r="B15" s="1">
        <v>46106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96</v>
      </c>
      <c r="J15" t="s">
        <v>97</v>
      </c>
      <c r="M15" t="s">
        <v>65</v>
      </c>
      <c r="O15" t="s">
        <v>98</v>
      </c>
      <c r="P15" t="s">
        <v>99</v>
      </c>
      <c r="Q15" t="s">
        <v>100</v>
      </c>
      <c r="R15" t="s">
        <v>50</v>
      </c>
      <c r="S15" s="1">
        <v>46023</v>
      </c>
      <c r="U15" t="s">
        <v>51</v>
      </c>
      <c r="X15" t="s">
        <v>52</v>
      </c>
      <c r="Y15" s="2">
        <v>0</v>
      </c>
      <c r="Z15" s="2">
        <v>145.25</v>
      </c>
      <c r="AA15">
        <v>1</v>
      </c>
      <c r="AB15" s="3">
        <v>1</v>
      </c>
      <c r="AC15" s="2">
        <v>145.25</v>
      </c>
      <c r="AD15" s="3">
        <v>0</v>
      </c>
      <c r="AE15" s="2">
        <v>0</v>
      </c>
      <c r="AF15" s="2">
        <v>145.25</v>
      </c>
      <c r="AK15">
        <v>0</v>
      </c>
      <c r="AL15" t="s">
        <v>101</v>
      </c>
    </row>
    <row r="16" spans="1:38" x14ac:dyDescent="0.25">
      <c r="A16" s="1">
        <v>46106</v>
      </c>
      <c r="B16" s="1">
        <v>46106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102</v>
      </c>
      <c r="J16" t="s">
        <v>103</v>
      </c>
      <c r="M16" t="s">
        <v>55</v>
      </c>
      <c r="O16" t="s">
        <v>104</v>
      </c>
      <c r="P16" t="s">
        <v>103</v>
      </c>
      <c r="Q16" t="s">
        <v>49</v>
      </c>
      <c r="R16" t="s">
        <v>66</v>
      </c>
      <c r="S16" s="1">
        <v>46113</v>
      </c>
      <c r="U16" t="s">
        <v>51</v>
      </c>
      <c r="X16" t="s">
        <v>52</v>
      </c>
      <c r="Y16" s="2">
        <v>0</v>
      </c>
      <c r="Z16" s="2">
        <v>108</v>
      </c>
      <c r="AA16">
        <v>1</v>
      </c>
      <c r="AB16" s="3">
        <v>1</v>
      </c>
      <c r="AC16" s="2">
        <v>108</v>
      </c>
      <c r="AD16" s="3">
        <v>0</v>
      </c>
      <c r="AE16" s="2">
        <v>0</v>
      </c>
      <c r="AF16" s="2">
        <v>108</v>
      </c>
      <c r="AK16">
        <v>6457238</v>
      </c>
    </row>
    <row r="17" spans="1:37" x14ac:dyDescent="0.25">
      <c r="A17" s="1">
        <v>46106</v>
      </c>
      <c r="B17" s="1">
        <v>46106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105</v>
      </c>
      <c r="J17" t="s">
        <v>106</v>
      </c>
      <c r="M17" t="s">
        <v>107</v>
      </c>
      <c r="O17" t="s">
        <v>108</v>
      </c>
      <c r="P17" t="s">
        <v>109</v>
      </c>
      <c r="Q17" t="s">
        <v>49</v>
      </c>
      <c r="R17" t="s">
        <v>50</v>
      </c>
      <c r="S17" s="1">
        <v>46113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6457354</v>
      </c>
    </row>
    <row r="18" spans="1:37" x14ac:dyDescent="0.25">
      <c r="A18" s="1">
        <v>46106</v>
      </c>
      <c r="B18" s="1">
        <v>46106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110</v>
      </c>
      <c r="J18" t="s">
        <v>111</v>
      </c>
      <c r="M18" t="s">
        <v>55</v>
      </c>
      <c r="O18" t="s">
        <v>112</v>
      </c>
      <c r="P18" t="s">
        <v>113</v>
      </c>
      <c r="Q18" t="s">
        <v>49</v>
      </c>
      <c r="R18" t="s">
        <v>50</v>
      </c>
      <c r="S18" s="1">
        <v>46113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6457355</v>
      </c>
    </row>
    <row r="19" spans="1:37" x14ac:dyDescent="0.25">
      <c r="A19" s="1">
        <v>46106</v>
      </c>
      <c r="B19" s="1">
        <v>46106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114</v>
      </c>
      <c r="J19" t="s">
        <v>115</v>
      </c>
      <c r="M19" t="s">
        <v>55</v>
      </c>
      <c r="O19" t="s">
        <v>116</v>
      </c>
      <c r="P19" t="s">
        <v>117</v>
      </c>
      <c r="Q19" t="s">
        <v>49</v>
      </c>
      <c r="R19" t="s">
        <v>50</v>
      </c>
      <c r="S19" s="1">
        <v>46113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6457356</v>
      </c>
    </row>
    <row r="20" spans="1:37" x14ac:dyDescent="0.25">
      <c r="A20" s="1">
        <v>46106</v>
      </c>
      <c r="B20" s="1">
        <v>46106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118</v>
      </c>
      <c r="J20" t="s">
        <v>119</v>
      </c>
      <c r="M20" t="s">
        <v>120</v>
      </c>
      <c r="O20" t="s">
        <v>98</v>
      </c>
      <c r="P20" t="s">
        <v>99</v>
      </c>
      <c r="Q20" t="s">
        <v>49</v>
      </c>
      <c r="R20" t="s">
        <v>50</v>
      </c>
      <c r="S20" s="1">
        <v>46113</v>
      </c>
      <c r="U20" t="s">
        <v>51</v>
      </c>
      <c r="X20" t="s">
        <v>52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6457357</v>
      </c>
    </row>
    <row r="21" spans="1:37" x14ac:dyDescent="0.25">
      <c r="A21" s="1">
        <v>46106</v>
      </c>
      <c r="B21" s="1">
        <v>46106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121</v>
      </c>
      <c r="J21" t="s">
        <v>122</v>
      </c>
      <c r="M21" t="s">
        <v>55</v>
      </c>
      <c r="O21" t="s">
        <v>123</v>
      </c>
      <c r="P21" t="s">
        <v>124</v>
      </c>
      <c r="Q21" t="s">
        <v>49</v>
      </c>
      <c r="R21" t="s">
        <v>50</v>
      </c>
      <c r="S21" s="1">
        <v>46113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6457358</v>
      </c>
    </row>
    <row r="22" spans="1:37" x14ac:dyDescent="0.25">
      <c r="A22" s="1">
        <v>46106</v>
      </c>
      <c r="B22" s="1">
        <v>46106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125</v>
      </c>
      <c r="J22" t="s">
        <v>126</v>
      </c>
      <c r="M22" t="s">
        <v>55</v>
      </c>
      <c r="O22" t="s">
        <v>127</v>
      </c>
      <c r="P22" t="s">
        <v>128</v>
      </c>
      <c r="Q22" t="s">
        <v>49</v>
      </c>
      <c r="R22" t="s">
        <v>50</v>
      </c>
      <c r="S22" s="1">
        <v>46113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6457359</v>
      </c>
    </row>
    <row r="23" spans="1:37" x14ac:dyDescent="0.25">
      <c r="A23" s="1">
        <v>46106</v>
      </c>
      <c r="B23" s="1">
        <v>46106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129</v>
      </c>
      <c r="J23" t="s">
        <v>130</v>
      </c>
      <c r="M23" t="s">
        <v>65</v>
      </c>
      <c r="O23" t="s">
        <v>47</v>
      </c>
      <c r="P23" t="s">
        <v>48</v>
      </c>
      <c r="Q23" t="s">
        <v>49</v>
      </c>
      <c r="R23" t="s">
        <v>50</v>
      </c>
      <c r="S23" s="1">
        <v>46174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6457360</v>
      </c>
    </row>
    <row r="24" spans="1:37" x14ac:dyDescent="0.25">
      <c r="A24" s="1">
        <v>46106</v>
      </c>
      <c r="B24" s="1">
        <v>46106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131</v>
      </c>
      <c r="J24" t="s">
        <v>132</v>
      </c>
      <c r="M24" t="s">
        <v>55</v>
      </c>
      <c r="O24" t="s">
        <v>56</v>
      </c>
      <c r="P24" t="s">
        <v>57</v>
      </c>
      <c r="Q24" t="s">
        <v>49</v>
      </c>
      <c r="R24" t="s">
        <v>50</v>
      </c>
      <c r="S24" s="1">
        <v>46113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6457361</v>
      </c>
    </row>
    <row r="25" spans="1:37" x14ac:dyDescent="0.25">
      <c r="A25" s="1">
        <v>46106</v>
      </c>
      <c r="B25" s="1">
        <v>46106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133</v>
      </c>
      <c r="J25" t="s">
        <v>134</v>
      </c>
      <c r="M25" t="s">
        <v>65</v>
      </c>
      <c r="O25" t="s">
        <v>135</v>
      </c>
      <c r="P25" t="s">
        <v>136</v>
      </c>
      <c r="Q25" t="s">
        <v>49</v>
      </c>
      <c r="R25" t="s">
        <v>50</v>
      </c>
      <c r="S25" s="1">
        <v>46113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6457362</v>
      </c>
    </row>
    <row r="26" spans="1:37" x14ac:dyDescent="0.25">
      <c r="A26" s="1">
        <v>46106</v>
      </c>
      <c r="B26" s="1">
        <v>46106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137</v>
      </c>
      <c r="J26" t="s">
        <v>138</v>
      </c>
      <c r="M26" t="s">
        <v>55</v>
      </c>
      <c r="O26" t="s">
        <v>108</v>
      </c>
      <c r="P26" t="s">
        <v>109</v>
      </c>
      <c r="Q26" t="s">
        <v>49</v>
      </c>
      <c r="R26" t="s">
        <v>50</v>
      </c>
      <c r="S26" s="1">
        <v>46143</v>
      </c>
      <c r="U26" t="s">
        <v>51</v>
      </c>
      <c r="X26" t="s">
        <v>52</v>
      </c>
      <c r="Y26" s="2">
        <v>0</v>
      </c>
      <c r="Z26" s="2">
        <v>175</v>
      </c>
      <c r="AA26">
        <v>1</v>
      </c>
      <c r="AB26" s="3">
        <v>1</v>
      </c>
      <c r="AC26" s="2">
        <v>175</v>
      </c>
      <c r="AD26" s="3">
        <v>0</v>
      </c>
      <c r="AE26" s="2">
        <v>0</v>
      </c>
      <c r="AF26" s="2">
        <v>175</v>
      </c>
      <c r="AK26">
        <v>6457363</v>
      </c>
    </row>
    <row r="27" spans="1:37" x14ac:dyDescent="0.25">
      <c r="A27" s="1">
        <v>46106</v>
      </c>
      <c r="B27" s="1">
        <v>46106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139</v>
      </c>
      <c r="J27" t="s">
        <v>140</v>
      </c>
      <c r="M27" t="s">
        <v>107</v>
      </c>
      <c r="O27" t="s">
        <v>61</v>
      </c>
      <c r="P27" t="s">
        <v>62</v>
      </c>
      <c r="Q27" t="s">
        <v>49</v>
      </c>
      <c r="R27" t="s">
        <v>50</v>
      </c>
      <c r="S27" s="1">
        <v>46113</v>
      </c>
      <c r="U27" t="s">
        <v>51</v>
      </c>
      <c r="X27" t="s">
        <v>52</v>
      </c>
      <c r="Y27" s="2">
        <v>0</v>
      </c>
      <c r="Z27" s="2">
        <v>175</v>
      </c>
      <c r="AA27">
        <v>1</v>
      </c>
      <c r="AB27" s="3">
        <v>1</v>
      </c>
      <c r="AC27" s="2">
        <v>175</v>
      </c>
      <c r="AD27" s="3">
        <v>0</v>
      </c>
      <c r="AE27" s="2">
        <v>0</v>
      </c>
      <c r="AF27" s="2">
        <v>175</v>
      </c>
      <c r="AK27">
        <v>6457364</v>
      </c>
    </row>
    <row r="28" spans="1:37" x14ac:dyDescent="0.25">
      <c r="A28" s="1">
        <v>46106</v>
      </c>
      <c r="B28" s="1">
        <v>46106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141</v>
      </c>
      <c r="J28" t="s">
        <v>142</v>
      </c>
      <c r="M28" t="s">
        <v>55</v>
      </c>
      <c r="O28" t="s">
        <v>127</v>
      </c>
      <c r="P28" t="s">
        <v>128</v>
      </c>
      <c r="Q28" t="s">
        <v>49</v>
      </c>
      <c r="R28" t="s">
        <v>50</v>
      </c>
      <c r="S28" s="1">
        <v>46113</v>
      </c>
      <c r="U28" t="s">
        <v>51</v>
      </c>
      <c r="X28" t="s">
        <v>52</v>
      </c>
      <c r="Y28" s="2">
        <v>0</v>
      </c>
      <c r="Z28" s="2">
        <v>175</v>
      </c>
      <c r="AA28">
        <v>1</v>
      </c>
      <c r="AB28" s="3">
        <v>1</v>
      </c>
      <c r="AC28" s="2">
        <v>175</v>
      </c>
      <c r="AD28" s="3">
        <v>0</v>
      </c>
      <c r="AE28" s="2">
        <v>0</v>
      </c>
      <c r="AF28" s="2">
        <v>175</v>
      </c>
      <c r="AK28">
        <v>6457365</v>
      </c>
    </row>
    <row r="29" spans="1:37" x14ac:dyDescent="0.25">
      <c r="A29" s="1">
        <v>46106</v>
      </c>
      <c r="B29" s="1">
        <v>46106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143</v>
      </c>
      <c r="J29" t="s">
        <v>144</v>
      </c>
      <c r="M29" t="s">
        <v>55</v>
      </c>
      <c r="O29" t="s">
        <v>47</v>
      </c>
      <c r="P29" t="s">
        <v>48</v>
      </c>
      <c r="Q29" t="s">
        <v>49</v>
      </c>
      <c r="R29" t="s">
        <v>50</v>
      </c>
      <c r="S29" s="1">
        <v>46113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6457366</v>
      </c>
    </row>
    <row r="30" spans="1:37" x14ac:dyDescent="0.25">
      <c r="A30" s="1">
        <v>46106</v>
      </c>
      <c r="B30" s="1">
        <v>46106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145</v>
      </c>
      <c r="J30" t="s">
        <v>146</v>
      </c>
      <c r="M30" t="s">
        <v>147</v>
      </c>
      <c r="O30" t="s">
        <v>148</v>
      </c>
      <c r="P30" t="s">
        <v>149</v>
      </c>
      <c r="Q30" t="s">
        <v>49</v>
      </c>
      <c r="R30" t="s">
        <v>50</v>
      </c>
      <c r="S30" s="1">
        <v>46113</v>
      </c>
      <c r="U30" t="s">
        <v>51</v>
      </c>
      <c r="X30" t="s">
        <v>52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6457367</v>
      </c>
    </row>
    <row r="31" spans="1:37" x14ac:dyDescent="0.25">
      <c r="A31" s="1">
        <v>46106</v>
      </c>
      <c r="B31" s="1">
        <v>46106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150</v>
      </c>
      <c r="J31" t="s">
        <v>151</v>
      </c>
      <c r="M31" t="s">
        <v>55</v>
      </c>
      <c r="O31" t="s">
        <v>152</v>
      </c>
      <c r="P31" t="s">
        <v>153</v>
      </c>
      <c r="Q31" t="s">
        <v>49</v>
      </c>
      <c r="R31" t="s">
        <v>50</v>
      </c>
      <c r="S31" s="1">
        <v>46113</v>
      </c>
      <c r="U31" t="s">
        <v>51</v>
      </c>
      <c r="X31" t="s">
        <v>52</v>
      </c>
      <c r="Y31" s="2">
        <v>0</v>
      </c>
      <c r="Z31" s="2">
        <v>175</v>
      </c>
      <c r="AA31">
        <v>1</v>
      </c>
      <c r="AB31" s="3">
        <v>1</v>
      </c>
      <c r="AC31" s="2">
        <v>175</v>
      </c>
      <c r="AD31" s="3">
        <v>0</v>
      </c>
      <c r="AE31" s="2">
        <v>0</v>
      </c>
      <c r="AF31" s="2">
        <v>175</v>
      </c>
      <c r="AK31">
        <v>6457368</v>
      </c>
    </row>
    <row r="32" spans="1:37" x14ac:dyDescent="0.25">
      <c r="A32" s="1">
        <v>46106</v>
      </c>
      <c r="B32" s="1">
        <v>46106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154</v>
      </c>
      <c r="J32" t="s">
        <v>155</v>
      </c>
      <c r="M32" t="s">
        <v>65</v>
      </c>
      <c r="O32" t="s">
        <v>156</v>
      </c>
      <c r="P32" t="s">
        <v>157</v>
      </c>
      <c r="Q32" t="s">
        <v>49</v>
      </c>
      <c r="R32" t="s">
        <v>50</v>
      </c>
      <c r="S32" s="1">
        <v>46143</v>
      </c>
      <c r="U32" t="s">
        <v>51</v>
      </c>
      <c r="X32" t="s">
        <v>52</v>
      </c>
      <c r="Y32" s="2">
        <v>0</v>
      </c>
      <c r="Z32" s="2">
        <v>175</v>
      </c>
      <c r="AA32">
        <v>1</v>
      </c>
      <c r="AB32" s="3">
        <v>1</v>
      </c>
      <c r="AC32" s="2">
        <v>175</v>
      </c>
      <c r="AD32" s="3">
        <v>0</v>
      </c>
      <c r="AE32" s="2">
        <v>0</v>
      </c>
      <c r="AF32" s="2">
        <v>175</v>
      </c>
      <c r="AK32">
        <v>6457335</v>
      </c>
    </row>
    <row r="33" spans="1:38" x14ac:dyDescent="0.25">
      <c r="A33" s="1">
        <v>46106</v>
      </c>
      <c r="B33" s="1">
        <v>46106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158</v>
      </c>
      <c r="J33" t="s">
        <v>159</v>
      </c>
      <c r="M33" t="s">
        <v>160</v>
      </c>
      <c r="O33" t="s">
        <v>47</v>
      </c>
      <c r="P33" t="s">
        <v>48</v>
      </c>
      <c r="Q33" t="s">
        <v>49</v>
      </c>
      <c r="R33" t="s">
        <v>50</v>
      </c>
      <c r="S33" s="1">
        <v>46113</v>
      </c>
      <c r="U33" t="s">
        <v>51</v>
      </c>
      <c r="X33" t="s">
        <v>52</v>
      </c>
      <c r="Y33" s="2">
        <v>0</v>
      </c>
      <c r="Z33" s="2">
        <v>175</v>
      </c>
      <c r="AA33">
        <v>1</v>
      </c>
      <c r="AB33" s="3">
        <v>1</v>
      </c>
      <c r="AC33" s="2">
        <v>175</v>
      </c>
      <c r="AD33" s="3">
        <v>0</v>
      </c>
      <c r="AE33" s="2">
        <v>0</v>
      </c>
      <c r="AF33" s="2">
        <v>175</v>
      </c>
      <c r="AK33">
        <v>6457369</v>
      </c>
    </row>
    <row r="34" spans="1:38" x14ac:dyDescent="0.25">
      <c r="A34" s="1">
        <v>46106</v>
      </c>
      <c r="B34" s="1">
        <v>46106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161</v>
      </c>
      <c r="J34" t="s">
        <v>162</v>
      </c>
      <c r="M34" t="s">
        <v>55</v>
      </c>
      <c r="O34" t="s">
        <v>56</v>
      </c>
      <c r="P34" t="s">
        <v>57</v>
      </c>
      <c r="Q34" t="s">
        <v>49</v>
      </c>
      <c r="R34" t="s">
        <v>50</v>
      </c>
      <c r="S34" s="1">
        <v>46143</v>
      </c>
      <c r="U34" t="s">
        <v>51</v>
      </c>
      <c r="X34" t="s">
        <v>52</v>
      </c>
      <c r="Y34" s="2">
        <v>0</v>
      </c>
      <c r="Z34" s="2">
        <v>175</v>
      </c>
      <c r="AA34">
        <v>1</v>
      </c>
      <c r="AB34" s="3">
        <v>1</v>
      </c>
      <c r="AC34" s="2">
        <v>175</v>
      </c>
      <c r="AD34" s="3">
        <v>0</v>
      </c>
      <c r="AE34" s="2">
        <v>0</v>
      </c>
      <c r="AF34" s="2">
        <v>175</v>
      </c>
      <c r="AK34">
        <v>6457370</v>
      </c>
    </row>
    <row r="35" spans="1:38" x14ac:dyDescent="0.25">
      <c r="A35" s="1">
        <v>46106</v>
      </c>
      <c r="B35" s="1">
        <v>46106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163</v>
      </c>
      <c r="J35" t="s">
        <v>164</v>
      </c>
      <c r="M35" t="s">
        <v>55</v>
      </c>
      <c r="O35" t="s">
        <v>116</v>
      </c>
      <c r="P35" t="s">
        <v>117</v>
      </c>
      <c r="Q35" t="s">
        <v>49</v>
      </c>
      <c r="R35" t="s">
        <v>50</v>
      </c>
      <c r="S35" s="1">
        <v>46113</v>
      </c>
      <c r="U35" t="s">
        <v>51</v>
      </c>
      <c r="X35" t="s">
        <v>52</v>
      </c>
      <c r="Y35" s="2">
        <v>0</v>
      </c>
      <c r="Z35" s="2">
        <v>175</v>
      </c>
      <c r="AA35">
        <v>1</v>
      </c>
      <c r="AB35" s="3">
        <v>1</v>
      </c>
      <c r="AC35" s="2">
        <v>175</v>
      </c>
      <c r="AD35" s="3">
        <v>0</v>
      </c>
      <c r="AE35" s="2">
        <v>0</v>
      </c>
      <c r="AF35" s="2">
        <v>175</v>
      </c>
      <c r="AK35">
        <v>6457371</v>
      </c>
    </row>
    <row r="36" spans="1:38" x14ac:dyDescent="0.25">
      <c r="A36" s="1">
        <v>46106</v>
      </c>
      <c r="B36" s="1">
        <v>46106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165</v>
      </c>
      <c r="J36" t="s">
        <v>166</v>
      </c>
      <c r="M36" t="s">
        <v>167</v>
      </c>
      <c r="O36" t="s">
        <v>168</v>
      </c>
      <c r="P36" t="s">
        <v>169</v>
      </c>
      <c r="Q36" t="s">
        <v>49</v>
      </c>
      <c r="R36" t="s">
        <v>170</v>
      </c>
      <c r="S36" s="1">
        <v>46082</v>
      </c>
      <c r="U36" t="s">
        <v>51</v>
      </c>
      <c r="X36" t="s">
        <v>52</v>
      </c>
      <c r="Y36" s="2">
        <v>0</v>
      </c>
      <c r="Z36" s="2">
        <v>20.83</v>
      </c>
      <c r="AA36">
        <v>1</v>
      </c>
      <c r="AB36" s="3">
        <v>1</v>
      </c>
      <c r="AC36" s="2">
        <v>20.83</v>
      </c>
      <c r="AD36" s="3">
        <v>0</v>
      </c>
      <c r="AE36" s="2">
        <v>0</v>
      </c>
      <c r="AF36" s="2">
        <v>20.83</v>
      </c>
      <c r="AK36">
        <v>6456662</v>
      </c>
      <c r="AL36" t="s">
        <v>171</v>
      </c>
    </row>
    <row r="37" spans="1:38" x14ac:dyDescent="0.25">
      <c r="A37" s="1">
        <v>46106</v>
      </c>
      <c r="B37" s="1">
        <v>46106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172</v>
      </c>
      <c r="J37" t="s">
        <v>173</v>
      </c>
      <c r="M37" t="s">
        <v>55</v>
      </c>
      <c r="O37" t="s">
        <v>47</v>
      </c>
      <c r="P37" t="s">
        <v>48</v>
      </c>
      <c r="Q37" t="s">
        <v>49</v>
      </c>
      <c r="R37" t="s">
        <v>170</v>
      </c>
      <c r="S37" s="1">
        <v>46113</v>
      </c>
      <c r="U37" t="s">
        <v>51</v>
      </c>
      <c r="X37" t="s">
        <v>52</v>
      </c>
      <c r="Y37" s="2">
        <v>0</v>
      </c>
      <c r="Z37" s="2">
        <v>18.75</v>
      </c>
      <c r="AA37">
        <v>1</v>
      </c>
      <c r="AB37" s="3">
        <v>1</v>
      </c>
      <c r="AC37" s="2">
        <v>18.75</v>
      </c>
      <c r="AD37" s="3">
        <v>0</v>
      </c>
      <c r="AE37" s="2">
        <v>0</v>
      </c>
      <c r="AF37" s="2">
        <v>18.75</v>
      </c>
      <c r="AK37">
        <v>6456668</v>
      </c>
      <c r="AL37" t="s">
        <v>174</v>
      </c>
    </row>
    <row r="38" spans="1:38" x14ac:dyDescent="0.25">
      <c r="A38" s="1">
        <v>46106</v>
      </c>
      <c r="B38" s="1">
        <v>46106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175</v>
      </c>
      <c r="J38" t="s">
        <v>176</v>
      </c>
      <c r="M38" t="s">
        <v>177</v>
      </c>
      <c r="O38" t="s">
        <v>178</v>
      </c>
      <c r="P38" t="s">
        <v>179</v>
      </c>
      <c r="Q38" t="s">
        <v>49</v>
      </c>
      <c r="R38" t="s">
        <v>170</v>
      </c>
      <c r="S38" s="1">
        <v>46082</v>
      </c>
      <c r="U38" t="s">
        <v>51</v>
      </c>
      <c r="X38" t="s">
        <v>52</v>
      </c>
      <c r="Y38" s="2">
        <v>0</v>
      </c>
      <c r="Z38" s="2">
        <v>20.83</v>
      </c>
      <c r="AA38">
        <v>1</v>
      </c>
      <c r="AB38" s="3">
        <v>1</v>
      </c>
      <c r="AC38" s="2">
        <v>20.83</v>
      </c>
      <c r="AD38" s="3">
        <v>0</v>
      </c>
      <c r="AE38" s="2">
        <v>0</v>
      </c>
      <c r="AF38" s="2">
        <v>20.83</v>
      </c>
      <c r="AK38">
        <v>6456673</v>
      </c>
      <c r="AL38" t="s">
        <v>171</v>
      </c>
    </row>
    <row r="39" spans="1:38" x14ac:dyDescent="0.25">
      <c r="A39" s="1">
        <v>46106</v>
      </c>
      <c r="B39" s="1">
        <v>46106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180</v>
      </c>
      <c r="J39" t="s">
        <v>181</v>
      </c>
      <c r="M39" t="s">
        <v>167</v>
      </c>
      <c r="O39" t="s">
        <v>182</v>
      </c>
      <c r="P39" t="s">
        <v>183</v>
      </c>
      <c r="Q39" t="s">
        <v>49</v>
      </c>
      <c r="R39" t="s">
        <v>170</v>
      </c>
      <c r="S39" s="1">
        <v>46113</v>
      </c>
      <c r="U39" t="s">
        <v>51</v>
      </c>
      <c r="X39" t="s">
        <v>52</v>
      </c>
      <c r="Y39" s="2">
        <v>0</v>
      </c>
      <c r="Z39" s="2">
        <v>18.75</v>
      </c>
      <c r="AA39">
        <v>1</v>
      </c>
      <c r="AB39" s="3">
        <v>1</v>
      </c>
      <c r="AC39" s="2">
        <v>18.75</v>
      </c>
      <c r="AD39" s="3">
        <v>0</v>
      </c>
      <c r="AE39" s="2">
        <v>0</v>
      </c>
      <c r="AF39" s="2">
        <v>18.75</v>
      </c>
      <c r="AK39">
        <v>6456683</v>
      </c>
      <c r="AL39" t="s">
        <v>174</v>
      </c>
    </row>
    <row r="40" spans="1:38" x14ac:dyDescent="0.25">
      <c r="A40" s="1">
        <v>46106</v>
      </c>
      <c r="B40" s="1">
        <v>46106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184</v>
      </c>
      <c r="J40" t="s">
        <v>185</v>
      </c>
      <c r="M40" t="s">
        <v>55</v>
      </c>
      <c r="O40" t="s">
        <v>186</v>
      </c>
      <c r="P40" t="s">
        <v>187</v>
      </c>
      <c r="Q40" t="s">
        <v>49</v>
      </c>
      <c r="R40" t="s">
        <v>170</v>
      </c>
      <c r="S40" s="1">
        <v>46082</v>
      </c>
      <c r="U40" t="s">
        <v>51</v>
      </c>
      <c r="X40" t="s">
        <v>52</v>
      </c>
      <c r="Y40" s="2">
        <v>0</v>
      </c>
      <c r="Z40" s="2">
        <v>20.83</v>
      </c>
      <c r="AA40">
        <v>1</v>
      </c>
      <c r="AB40" s="3">
        <v>1</v>
      </c>
      <c r="AC40" s="2">
        <v>20.83</v>
      </c>
      <c r="AD40" s="3">
        <v>0</v>
      </c>
      <c r="AE40" s="2">
        <v>0</v>
      </c>
      <c r="AF40" s="2">
        <v>20.83</v>
      </c>
      <c r="AK40">
        <v>6456702</v>
      </c>
      <c r="AL40" t="s">
        <v>171</v>
      </c>
    </row>
    <row r="41" spans="1:38" x14ac:dyDescent="0.25">
      <c r="A41" s="1">
        <v>46106</v>
      </c>
      <c r="B41" s="1">
        <v>46106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188</v>
      </c>
      <c r="J41" t="s">
        <v>189</v>
      </c>
      <c r="M41" t="s">
        <v>167</v>
      </c>
      <c r="O41" t="s">
        <v>190</v>
      </c>
      <c r="P41" t="s">
        <v>191</v>
      </c>
      <c r="Q41" t="s">
        <v>49</v>
      </c>
      <c r="R41" t="s">
        <v>170</v>
      </c>
      <c r="S41" s="1">
        <v>46082</v>
      </c>
      <c r="U41" t="s">
        <v>51</v>
      </c>
      <c r="X41" t="s">
        <v>52</v>
      </c>
      <c r="Y41" s="2">
        <v>0</v>
      </c>
      <c r="Z41" s="2">
        <v>20.83</v>
      </c>
      <c r="AA41">
        <v>1</v>
      </c>
      <c r="AB41" s="3">
        <v>1</v>
      </c>
      <c r="AC41" s="2">
        <v>20.83</v>
      </c>
      <c r="AD41" s="3">
        <v>0</v>
      </c>
      <c r="AE41" s="2">
        <v>0</v>
      </c>
      <c r="AF41" s="2">
        <v>20.83</v>
      </c>
      <c r="AK41">
        <v>6456704</v>
      </c>
      <c r="AL41" t="s">
        <v>171</v>
      </c>
    </row>
    <row r="42" spans="1:38" x14ac:dyDescent="0.25">
      <c r="A42" s="1">
        <v>46106</v>
      </c>
      <c r="B42" s="1">
        <v>46106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192</v>
      </c>
      <c r="J42" t="s">
        <v>193</v>
      </c>
      <c r="M42" t="s">
        <v>55</v>
      </c>
      <c r="O42" t="s">
        <v>56</v>
      </c>
      <c r="P42" t="s">
        <v>57</v>
      </c>
      <c r="Q42" t="s">
        <v>49</v>
      </c>
      <c r="R42" t="s">
        <v>170</v>
      </c>
      <c r="S42" s="1">
        <v>46082</v>
      </c>
      <c r="U42" t="s">
        <v>51</v>
      </c>
      <c r="X42" t="s">
        <v>52</v>
      </c>
      <c r="Y42" s="2">
        <v>0</v>
      </c>
      <c r="Z42" s="2">
        <v>20.83</v>
      </c>
      <c r="AA42">
        <v>1</v>
      </c>
      <c r="AB42" s="3">
        <v>1</v>
      </c>
      <c r="AC42" s="2">
        <v>20.83</v>
      </c>
      <c r="AD42" s="3">
        <v>0</v>
      </c>
      <c r="AE42" s="2">
        <v>0</v>
      </c>
      <c r="AF42" s="2">
        <v>20.83</v>
      </c>
      <c r="AK42">
        <v>6456728</v>
      </c>
      <c r="AL42" t="s">
        <v>171</v>
      </c>
    </row>
    <row r="43" spans="1:38" x14ac:dyDescent="0.25">
      <c r="A43" s="1">
        <v>46106</v>
      </c>
      <c r="B43" s="1">
        <v>46106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194</v>
      </c>
      <c r="J43" t="s">
        <v>195</v>
      </c>
      <c r="M43" t="s">
        <v>196</v>
      </c>
      <c r="O43" t="s">
        <v>197</v>
      </c>
      <c r="P43" t="s">
        <v>198</v>
      </c>
      <c r="Q43" t="s">
        <v>49</v>
      </c>
      <c r="R43" t="s">
        <v>170</v>
      </c>
      <c r="S43" s="1">
        <v>46082</v>
      </c>
      <c r="U43" t="s">
        <v>51</v>
      </c>
      <c r="X43" t="s">
        <v>52</v>
      </c>
      <c r="Y43" s="2">
        <v>0</v>
      </c>
      <c r="Z43" s="2">
        <v>20.83</v>
      </c>
      <c r="AA43">
        <v>1</v>
      </c>
      <c r="AB43" s="3">
        <v>1</v>
      </c>
      <c r="AC43" s="2">
        <v>20.83</v>
      </c>
      <c r="AD43" s="3">
        <v>0</v>
      </c>
      <c r="AE43" s="2">
        <v>0</v>
      </c>
      <c r="AF43" s="2">
        <v>20.83</v>
      </c>
      <c r="AK43">
        <v>6456729</v>
      </c>
      <c r="AL43" t="s">
        <v>171</v>
      </c>
    </row>
    <row r="44" spans="1:38" x14ac:dyDescent="0.25">
      <c r="A44" s="1">
        <v>46106</v>
      </c>
      <c r="B44" s="1">
        <v>46106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199</v>
      </c>
      <c r="J44" t="s">
        <v>200</v>
      </c>
      <c r="M44" t="s">
        <v>167</v>
      </c>
      <c r="O44" t="s">
        <v>190</v>
      </c>
      <c r="P44" t="s">
        <v>191</v>
      </c>
      <c r="Q44" t="s">
        <v>49</v>
      </c>
      <c r="R44" t="s">
        <v>170</v>
      </c>
      <c r="S44" s="1">
        <v>46174</v>
      </c>
      <c r="U44" t="s">
        <v>51</v>
      </c>
      <c r="X44" t="s">
        <v>52</v>
      </c>
      <c r="Y44" s="2">
        <v>0</v>
      </c>
      <c r="Z44" s="2">
        <v>14.58</v>
      </c>
      <c r="AA44">
        <v>1</v>
      </c>
      <c r="AB44" s="3">
        <v>1</v>
      </c>
      <c r="AC44" s="2">
        <v>14.58</v>
      </c>
      <c r="AD44" s="3">
        <v>0</v>
      </c>
      <c r="AE44" s="2">
        <v>0</v>
      </c>
      <c r="AF44" s="2">
        <v>14.58</v>
      </c>
      <c r="AK44">
        <v>6456739</v>
      </c>
      <c r="AL44" t="s">
        <v>201</v>
      </c>
    </row>
    <row r="45" spans="1:38" x14ac:dyDescent="0.25">
      <c r="A45" s="1">
        <v>46106</v>
      </c>
      <c r="B45" s="1">
        <v>46106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202</v>
      </c>
      <c r="J45" t="s">
        <v>203</v>
      </c>
      <c r="M45" t="s">
        <v>167</v>
      </c>
      <c r="O45" t="s">
        <v>190</v>
      </c>
      <c r="P45" t="s">
        <v>191</v>
      </c>
      <c r="Q45" t="s">
        <v>49</v>
      </c>
      <c r="R45" t="s">
        <v>170</v>
      </c>
      <c r="S45" s="1">
        <v>46113</v>
      </c>
      <c r="U45" t="s">
        <v>51</v>
      </c>
      <c r="X45" t="s">
        <v>52</v>
      </c>
      <c r="Y45" s="2">
        <v>0</v>
      </c>
      <c r="Z45" s="2">
        <v>18.75</v>
      </c>
      <c r="AA45">
        <v>1</v>
      </c>
      <c r="AB45" s="3">
        <v>1</v>
      </c>
      <c r="AC45" s="2">
        <v>18.75</v>
      </c>
      <c r="AD45" s="3">
        <v>0</v>
      </c>
      <c r="AE45" s="2">
        <v>0</v>
      </c>
      <c r="AF45" s="2">
        <v>18.75</v>
      </c>
      <c r="AK45">
        <v>6456753</v>
      </c>
      <c r="AL45" t="s">
        <v>174</v>
      </c>
    </row>
    <row r="46" spans="1:38" x14ac:dyDescent="0.25">
      <c r="A46" s="1">
        <v>46106</v>
      </c>
      <c r="B46" s="1">
        <v>46106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204</v>
      </c>
      <c r="J46" t="s">
        <v>205</v>
      </c>
      <c r="M46" t="s">
        <v>167</v>
      </c>
      <c r="O46" t="s">
        <v>190</v>
      </c>
      <c r="P46" t="s">
        <v>191</v>
      </c>
      <c r="Q46" t="s">
        <v>49</v>
      </c>
      <c r="R46" t="s">
        <v>170</v>
      </c>
      <c r="S46" s="1">
        <v>46113</v>
      </c>
      <c r="U46" t="s">
        <v>51</v>
      </c>
      <c r="X46" t="s">
        <v>52</v>
      </c>
      <c r="Y46" s="2">
        <v>0</v>
      </c>
      <c r="Z46" s="2">
        <v>18.75</v>
      </c>
      <c r="AA46">
        <v>1</v>
      </c>
      <c r="AB46" s="3">
        <v>1</v>
      </c>
      <c r="AC46" s="2">
        <v>18.75</v>
      </c>
      <c r="AD46" s="3">
        <v>0</v>
      </c>
      <c r="AE46" s="2">
        <v>0</v>
      </c>
      <c r="AF46" s="2">
        <v>18.75</v>
      </c>
      <c r="AK46">
        <v>6456764</v>
      </c>
      <c r="AL46" t="s">
        <v>174</v>
      </c>
    </row>
    <row r="47" spans="1:38" x14ac:dyDescent="0.25">
      <c r="A47" s="1">
        <v>46106</v>
      </c>
      <c r="B47" s="1">
        <v>46106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206</v>
      </c>
      <c r="J47" t="s">
        <v>207</v>
      </c>
      <c r="M47" t="s">
        <v>60</v>
      </c>
      <c r="O47" t="s">
        <v>108</v>
      </c>
      <c r="P47" t="s">
        <v>109</v>
      </c>
      <c r="Q47" t="s">
        <v>49</v>
      </c>
      <c r="R47" t="s">
        <v>170</v>
      </c>
      <c r="S47" s="1">
        <v>46113</v>
      </c>
      <c r="U47" t="s">
        <v>51</v>
      </c>
      <c r="X47" t="s">
        <v>52</v>
      </c>
      <c r="Y47" s="2">
        <v>0</v>
      </c>
      <c r="Z47" s="2">
        <v>18.75</v>
      </c>
      <c r="AA47">
        <v>1</v>
      </c>
      <c r="AB47" s="3">
        <v>1</v>
      </c>
      <c r="AC47" s="2">
        <v>18.75</v>
      </c>
      <c r="AD47" s="3">
        <v>0</v>
      </c>
      <c r="AE47" s="2">
        <v>0</v>
      </c>
      <c r="AF47" s="2">
        <v>18.75</v>
      </c>
      <c r="AK47">
        <v>6456773</v>
      </c>
      <c r="AL47" t="s">
        <v>174</v>
      </c>
    </row>
    <row r="48" spans="1:38" x14ac:dyDescent="0.25">
      <c r="A48" s="1">
        <v>46106</v>
      </c>
      <c r="B48" s="1">
        <v>46106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208</v>
      </c>
      <c r="J48" t="s">
        <v>209</v>
      </c>
      <c r="M48" t="s">
        <v>210</v>
      </c>
      <c r="O48" t="s">
        <v>135</v>
      </c>
      <c r="P48" t="s">
        <v>136</v>
      </c>
      <c r="Q48" t="s">
        <v>49</v>
      </c>
      <c r="R48" t="s">
        <v>211</v>
      </c>
      <c r="S48" s="1">
        <v>46054</v>
      </c>
      <c r="U48" t="s">
        <v>51</v>
      </c>
      <c r="X48" t="s">
        <v>52</v>
      </c>
      <c r="Y48" s="2">
        <v>0</v>
      </c>
      <c r="Z48" s="2">
        <v>175</v>
      </c>
      <c r="AA48">
        <v>1</v>
      </c>
      <c r="AB48" s="3">
        <v>1</v>
      </c>
      <c r="AC48" s="2">
        <v>175</v>
      </c>
      <c r="AD48" s="3">
        <v>0</v>
      </c>
      <c r="AE48" s="2">
        <v>0</v>
      </c>
      <c r="AF48" s="2">
        <v>175</v>
      </c>
      <c r="AK48">
        <v>6456832</v>
      </c>
    </row>
    <row r="49" spans="1:38" x14ac:dyDescent="0.25">
      <c r="A49" s="1">
        <v>46106</v>
      </c>
      <c r="B49" s="1">
        <v>46106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212</v>
      </c>
      <c r="J49" t="s">
        <v>213</v>
      </c>
      <c r="M49" t="s">
        <v>210</v>
      </c>
      <c r="O49" t="s">
        <v>178</v>
      </c>
      <c r="P49" t="s">
        <v>179</v>
      </c>
      <c r="Q49" t="s">
        <v>49</v>
      </c>
      <c r="R49" t="s">
        <v>211</v>
      </c>
      <c r="S49" s="1">
        <v>46054</v>
      </c>
      <c r="U49" t="s">
        <v>51</v>
      </c>
      <c r="X49" t="s">
        <v>52</v>
      </c>
      <c r="Y49" s="2">
        <v>0</v>
      </c>
      <c r="Z49" s="2">
        <v>175</v>
      </c>
      <c r="AA49">
        <v>1</v>
      </c>
      <c r="AB49" s="3">
        <v>1</v>
      </c>
      <c r="AC49" s="2">
        <v>175</v>
      </c>
      <c r="AD49" s="3">
        <v>0</v>
      </c>
      <c r="AE49" s="2">
        <v>0</v>
      </c>
      <c r="AF49" s="2">
        <v>175</v>
      </c>
      <c r="AK49">
        <v>6456803</v>
      </c>
    </row>
    <row r="50" spans="1:38" x14ac:dyDescent="0.25">
      <c r="A50" s="1">
        <v>46106</v>
      </c>
      <c r="B50" s="1">
        <v>46106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214</v>
      </c>
      <c r="J50" t="s">
        <v>215</v>
      </c>
      <c r="M50" t="s">
        <v>210</v>
      </c>
      <c r="O50" t="s">
        <v>216</v>
      </c>
      <c r="P50" t="s">
        <v>217</v>
      </c>
      <c r="Q50" t="s">
        <v>49</v>
      </c>
      <c r="R50" t="s">
        <v>211</v>
      </c>
      <c r="S50" s="1">
        <v>46054</v>
      </c>
      <c r="U50" t="s">
        <v>51</v>
      </c>
      <c r="X50" t="s">
        <v>52</v>
      </c>
      <c r="Y50" s="2">
        <v>0</v>
      </c>
      <c r="Z50" s="2">
        <v>175</v>
      </c>
      <c r="AA50">
        <v>1</v>
      </c>
      <c r="AB50" s="3">
        <v>1</v>
      </c>
      <c r="AC50" s="2">
        <v>175</v>
      </c>
      <c r="AD50" s="3">
        <v>0</v>
      </c>
      <c r="AE50" s="2">
        <v>0</v>
      </c>
      <c r="AF50" s="2">
        <v>175</v>
      </c>
      <c r="AK50">
        <v>6456917</v>
      </c>
    </row>
    <row r="51" spans="1:38" x14ac:dyDescent="0.25">
      <c r="A51" s="1">
        <v>46106</v>
      </c>
      <c r="B51" s="1">
        <v>46106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218</v>
      </c>
      <c r="J51" t="s">
        <v>219</v>
      </c>
      <c r="M51" t="s">
        <v>65</v>
      </c>
      <c r="O51" t="s">
        <v>61</v>
      </c>
      <c r="P51" t="s">
        <v>62</v>
      </c>
      <c r="Q51" t="s">
        <v>49</v>
      </c>
      <c r="R51" t="s">
        <v>220</v>
      </c>
      <c r="S51" s="1">
        <v>46113</v>
      </c>
      <c r="U51" t="s">
        <v>51</v>
      </c>
      <c r="X51" t="s">
        <v>52</v>
      </c>
      <c r="Y51" s="2">
        <v>0</v>
      </c>
      <c r="Z51" s="2">
        <v>260.25</v>
      </c>
      <c r="AA51">
        <v>1</v>
      </c>
      <c r="AB51" s="3">
        <v>1</v>
      </c>
      <c r="AC51" s="2">
        <v>260.25</v>
      </c>
      <c r="AD51" s="3">
        <v>0</v>
      </c>
      <c r="AE51" s="2">
        <v>0</v>
      </c>
      <c r="AF51" s="2">
        <v>260.25</v>
      </c>
      <c r="AK51">
        <v>6457562</v>
      </c>
      <c r="AL51" t="s">
        <v>174</v>
      </c>
    </row>
    <row r="52" spans="1:38" x14ac:dyDescent="0.25">
      <c r="A52" s="1">
        <v>46106</v>
      </c>
      <c r="B52" s="1">
        <v>46106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221</v>
      </c>
      <c r="J52" t="s">
        <v>219</v>
      </c>
      <c r="M52" t="s">
        <v>65</v>
      </c>
      <c r="O52" t="s">
        <v>61</v>
      </c>
      <c r="P52" t="s">
        <v>62</v>
      </c>
      <c r="Q52" t="s">
        <v>49</v>
      </c>
      <c r="R52" t="s">
        <v>222</v>
      </c>
      <c r="S52" s="1">
        <v>46113</v>
      </c>
      <c r="U52" t="s">
        <v>51</v>
      </c>
      <c r="X52" t="s">
        <v>52</v>
      </c>
      <c r="Y52" s="2">
        <v>0</v>
      </c>
      <c r="Z52" s="2">
        <v>175</v>
      </c>
      <c r="AA52">
        <v>1</v>
      </c>
      <c r="AB52" s="3">
        <v>1</v>
      </c>
      <c r="AC52" s="2">
        <v>175</v>
      </c>
      <c r="AD52" s="3">
        <v>0</v>
      </c>
      <c r="AE52" s="2">
        <v>0</v>
      </c>
      <c r="AF52" s="2">
        <v>175</v>
      </c>
      <c r="AK52">
        <v>6457563</v>
      </c>
    </row>
    <row r="53" spans="1:38" x14ac:dyDescent="0.25">
      <c r="A53" s="1">
        <v>46106</v>
      </c>
      <c r="B53" s="1">
        <v>46106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223</v>
      </c>
      <c r="J53" t="s">
        <v>224</v>
      </c>
      <c r="M53" t="s">
        <v>225</v>
      </c>
      <c r="O53" t="s">
        <v>61</v>
      </c>
      <c r="P53" t="s">
        <v>62</v>
      </c>
      <c r="Q53" t="s">
        <v>49</v>
      </c>
      <c r="R53" t="s">
        <v>226</v>
      </c>
      <c r="S53" s="1">
        <v>46054</v>
      </c>
      <c r="U53" t="s">
        <v>51</v>
      </c>
      <c r="X53" t="s">
        <v>52</v>
      </c>
      <c r="Y53" s="2">
        <v>0</v>
      </c>
      <c r="Z53" s="2">
        <v>611</v>
      </c>
      <c r="AA53">
        <v>1</v>
      </c>
      <c r="AB53" s="3">
        <v>1</v>
      </c>
      <c r="AC53" s="2">
        <v>611</v>
      </c>
      <c r="AD53" s="3">
        <v>0</v>
      </c>
      <c r="AE53" s="2">
        <v>0</v>
      </c>
      <c r="AF53" s="2">
        <v>611</v>
      </c>
      <c r="AK53">
        <v>6457564</v>
      </c>
    </row>
    <row r="54" spans="1:38" x14ac:dyDescent="0.25">
      <c r="A54" s="1">
        <v>46106</v>
      </c>
      <c r="B54" s="1">
        <v>46106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227</v>
      </c>
      <c r="J54" t="s">
        <v>228</v>
      </c>
      <c r="M54" t="s">
        <v>177</v>
      </c>
      <c r="O54" t="s">
        <v>178</v>
      </c>
      <c r="P54" t="s">
        <v>179</v>
      </c>
      <c r="Q54" t="s">
        <v>49</v>
      </c>
      <c r="R54" t="s">
        <v>229</v>
      </c>
      <c r="S54" s="1">
        <v>46113</v>
      </c>
      <c r="U54" t="s">
        <v>51</v>
      </c>
      <c r="X54" t="s">
        <v>52</v>
      </c>
      <c r="Y54" s="2">
        <v>0</v>
      </c>
      <c r="Z54" s="2">
        <v>31.02</v>
      </c>
      <c r="AA54">
        <v>9</v>
      </c>
      <c r="AB54" s="3">
        <v>1</v>
      </c>
      <c r="AC54" s="2">
        <v>279.18</v>
      </c>
      <c r="AD54" s="3">
        <v>0</v>
      </c>
      <c r="AE54" s="2">
        <v>0</v>
      </c>
      <c r="AF54" s="2">
        <v>279.18</v>
      </c>
      <c r="AK54">
        <v>6457692</v>
      </c>
    </row>
    <row r="55" spans="1:38" x14ac:dyDescent="0.25">
      <c r="A55" s="1">
        <v>46106</v>
      </c>
      <c r="B55" s="1">
        <v>46106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230</v>
      </c>
      <c r="J55" t="s">
        <v>231</v>
      </c>
      <c r="M55" t="s">
        <v>65</v>
      </c>
      <c r="O55" t="s">
        <v>61</v>
      </c>
      <c r="P55" t="s">
        <v>62</v>
      </c>
      <c r="Q55" t="s">
        <v>49</v>
      </c>
      <c r="R55" t="s">
        <v>232</v>
      </c>
      <c r="S55" s="1">
        <v>46113</v>
      </c>
      <c r="U55" t="s">
        <v>51</v>
      </c>
      <c r="X55" t="s">
        <v>52</v>
      </c>
      <c r="Y55" s="2">
        <v>0</v>
      </c>
      <c r="Z55" s="2">
        <v>44.31</v>
      </c>
      <c r="AA55">
        <v>9</v>
      </c>
      <c r="AB55" s="3">
        <v>1</v>
      </c>
      <c r="AC55" s="2">
        <v>398.79</v>
      </c>
      <c r="AD55" s="3">
        <v>0</v>
      </c>
      <c r="AE55" s="2">
        <v>0</v>
      </c>
      <c r="AF55" s="2">
        <v>398.79</v>
      </c>
      <c r="AK55">
        <v>6457691</v>
      </c>
    </row>
    <row r="56" spans="1:38" x14ac:dyDescent="0.25">
      <c r="A56" s="1">
        <v>46106</v>
      </c>
      <c r="B56" s="1">
        <v>46106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233</v>
      </c>
      <c r="J56" t="s">
        <v>234</v>
      </c>
      <c r="M56" t="s">
        <v>177</v>
      </c>
      <c r="O56" t="s">
        <v>178</v>
      </c>
      <c r="P56" t="s">
        <v>179</v>
      </c>
      <c r="Q56" t="s">
        <v>49</v>
      </c>
      <c r="R56" t="s">
        <v>229</v>
      </c>
      <c r="S56" s="1">
        <v>46143</v>
      </c>
      <c r="U56" t="s">
        <v>51</v>
      </c>
      <c r="X56" t="s">
        <v>52</v>
      </c>
      <c r="Y56" s="2">
        <v>0</v>
      </c>
      <c r="Z56" s="2">
        <v>31.02</v>
      </c>
      <c r="AA56">
        <v>9</v>
      </c>
      <c r="AB56" s="3">
        <v>1</v>
      </c>
      <c r="AC56" s="2">
        <v>279.18</v>
      </c>
      <c r="AD56" s="3">
        <v>0</v>
      </c>
      <c r="AE56" s="2">
        <v>0</v>
      </c>
      <c r="AF56" s="2">
        <v>279.18</v>
      </c>
      <c r="AK56">
        <v>6457693</v>
      </c>
    </row>
    <row r="57" spans="1:38" x14ac:dyDescent="0.25">
      <c r="A57" s="1">
        <v>46106</v>
      </c>
      <c r="B57" s="1">
        <v>46106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235</v>
      </c>
      <c r="J57" t="s">
        <v>236</v>
      </c>
      <c r="M57" t="s">
        <v>147</v>
      </c>
      <c r="O57" t="s">
        <v>148</v>
      </c>
      <c r="P57" t="s">
        <v>149</v>
      </c>
      <c r="Q57" t="s">
        <v>49</v>
      </c>
      <c r="R57" t="s">
        <v>237</v>
      </c>
      <c r="S57" s="1">
        <v>46113</v>
      </c>
      <c r="U57" t="s">
        <v>51</v>
      </c>
      <c r="X57" t="s">
        <v>52</v>
      </c>
      <c r="Y57" s="2">
        <v>0</v>
      </c>
      <c r="Z57" s="2">
        <v>36</v>
      </c>
      <c r="AA57">
        <v>9</v>
      </c>
      <c r="AB57" s="3">
        <v>1</v>
      </c>
      <c r="AC57" s="2">
        <v>324</v>
      </c>
      <c r="AD57" s="3">
        <v>0</v>
      </c>
      <c r="AE57" s="2">
        <v>0</v>
      </c>
      <c r="AF57" s="2">
        <v>324</v>
      </c>
      <c r="AK57">
        <v>6457694</v>
      </c>
    </row>
    <row r="58" spans="1:38" x14ac:dyDescent="0.25">
      <c r="A58" s="1">
        <v>46106</v>
      </c>
      <c r="B58" s="1">
        <v>46106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238</v>
      </c>
      <c r="J58" t="s">
        <v>239</v>
      </c>
      <c r="M58" t="s">
        <v>55</v>
      </c>
      <c r="O58" t="s">
        <v>56</v>
      </c>
      <c r="P58" t="s">
        <v>57</v>
      </c>
      <c r="Q58" t="s">
        <v>49</v>
      </c>
      <c r="R58" t="s">
        <v>170</v>
      </c>
      <c r="S58" s="1">
        <v>46082</v>
      </c>
      <c r="U58" t="s">
        <v>51</v>
      </c>
      <c r="X58" t="s">
        <v>52</v>
      </c>
      <c r="Y58" s="2">
        <v>0</v>
      </c>
      <c r="Z58" s="2">
        <v>20.83</v>
      </c>
      <c r="AA58">
        <v>1</v>
      </c>
      <c r="AB58" s="3">
        <v>1</v>
      </c>
      <c r="AC58" s="2">
        <v>20.83</v>
      </c>
      <c r="AD58" s="3">
        <v>0</v>
      </c>
      <c r="AE58" s="2">
        <v>0</v>
      </c>
      <c r="AF58" s="2">
        <v>20.83</v>
      </c>
      <c r="AK58">
        <v>6456779</v>
      </c>
      <c r="AL58" t="s">
        <v>171</v>
      </c>
    </row>
    <row r="59" spans="1:38" x14ac:dyDescent="0.25">
      <c r="A59" s="1">
        <v>46106</v>
      </c>
      <c r="B59" s="1">
        <v>46106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240</v>
      </c>
      <c r="J59" t="s">
        <v>241</v>
      </c>
      <c r="M59" t="s">
        <v>242</v>
      </c>
      <c r="O59" t="s">
        <v>243</v>
      </c>
      <c r="P59" t="s">
        <v>244</v>
      </c>
      <c r="Q59" t="s">
        <v>49</v>
      </c>
      <c r="R59" t="s">
        <v>245</v>
      </c>
      <c r="S59" s="1">
        <v>46023</v>
      </c>
      <c r="U59" t="s">
        <v>51</v>
      </c>
      <c r="X59" t="s">
        <v>52</v>
      </c>
      <c r="Y59" s="2">
        <v>0</v>
      </c>
      <c r="Z59" s="2">
        <v>25</v>
      </c>
      <c r="AA59">
        <v>1</v>
      </c>
      <c r="AB59" s="3">
        <v>1</v>
      </c>
      <c r="AC59" s="2">
        <v>25</v>
      </c>
      <c r="AD59" s="3">
        <v>0</v>
      </c>
      <c r="AE59" s="2">
        <v>0</v>
      </c>
      <c r="AF59" s="2">
        <v>25</v>
      </c>
      <c r="AK59">
        <v>6456781</v>
      </c>
    </row>
    <row r="60" spans="1:38" x14ac:dyDescent="0.25">
      <c r="A60" s="1">
        <v>46106</v>
      </c>
      <c r="B60" s="1">
        <v>46106</v>
      </c>
      <c r="C60" t="s">
        <v>246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247</v>
      </c>
      <c r="J60" t="s">
        <v>248</v>
      </c>
      <c r="M60" t="s">
        <v>196</v>
      </c>
      <c r="O60" t="s">
        <v>197</v>
      </c>
      <c r="P60" t="s">
        <v>198</v>
      </c>
      <c r="Q60" t="s">
        <v>249</v>
      </c>
      <c r="R60" t="s">
        <v>50</v>
      </c>
      <c r="S60" s="1">
        <v>46023</v>
      </c>
      <c r="U60" t="s">
        <v>51</v>
      </c>
      <c r="X60" t="s">
        <v>52</v>
      </c>
      <c r="AF60" s="2">
        <v>175</v>
      </c>
      <c r="AG60" s="2">
        <v>0</v>
      </c>
      <c r="AJ60" s="2">
        <v>145.25</v>
      </c>
    </row>
    <row r="61" spans="1:38" x14ac:dyDescent="0.25">
      <c r="A61" s="1">
        <v>46106</v>
      </c>
      <c r="B61" s="1">
        <v>46106</v>
      </c>
      <c r="C61" t="s">
        <v>246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250</v>
      </c>
      <c r="J61" t="s">
        <v>251</v>
      </c>
      <c r="M61" t="s">
        <v>55</v>
      </c>
      <c r="O61" t="s">
        <v>252</v>
      </c>
      <c r="P61" t="s">
        <v>253</v>
      </c>
      <c r="Q61" t="s">
        <v>249</v>
      </c>
      <c r="R61" t="s">
        <v>50</v>
      </c>
      <c r="S61" s="1">
        <v>46023</v>
      </c>
      <c r="U61" t="s">
        <v>51</v>
      </c>
      <c r="X61" t="s">
        <v>52</v>
      </c>
      <c r="AF61" s="2">
        <v>175</v>
      </c>
      <c r="AG61" s="2">
        <v>0</v>
      </c>
      <c r="AJ61" s="2">
        <v>131.25</v>
      </c>
    </row>
    <row r="62" spans="1:38" x14ac:dyDescent="0.25">
      <c r="A62" s="1">
        <v>46106</v>
      </c>
      <c r="B62" s="1">
        <v>46106</v>
      </c>
      <c r="C62" t="s">
        <v>246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254</v>
      </c>
      <c r="J62" t="s">
        <v>255</v>
      </c>
      <c r="M62" t="s">
        <v>107</v>
      </c>
      <c r="O62" t="s">
        <v>83</v>
      </c>
      <c r="P62" t="s">
        <v>84</v>
      </c>
      <c r="Q62" t="s">
        <v>249</v>
      </c>
      <c r="R62" t="s">
        <v>66</v>
      </c>
      <c r="S62" s="1">
        <v>46023</v>
      </c>
      <c r="U62" t="s">
        <v>51</v>
      </c>
      <c r="X62" t="s">
        <v>52</v>
      </c>
      <c r="AF62" s="2">
        <v>108</v>
      </c>
      <c r="AG62" s="2">
        <v>0</v>
      </c>
      <c r="AJ62" s="2">
        <v>81</v>
      </c>
    </row>
    <row r="63" spans="1:38" x14ac:dyDescent="0.25">
      <c r="A63" s="1">
        <v>46106</v>
      </c>
      <c r="B63" s="1">
        <v>46106</v>
      </c>
      <c r="C63" t="s">
        <v>246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256</v>
      </c>
      <c r="J63" t="s">
        <v>257</v>
      </c>
      <c r="M63" t="s">
        <v>55</v>
      </c>
      <c r="O63" t="s">
        <v>69</v>
      </c>
      <c r="P63" t="s">
        <v>70</v>
      </c>
      <c r="Q63" t="s">
        <v>249</v>
      </c>
      <c r="R63" t="s">
        <v>66</v>
      </c>
      <c r="S63" s="1">
        <v>46023</v>
      </c>
      <c r="U63" t="s">
        <v>51</v>
      </c>
      <c r="X63" t="s">
        <v>52</v>
      </c>
      <c r="AF63" s="2">
        <v>108</v>
      </c>
      <c r="AG63" s="2">
        <v>0</v>
      </c>
      <c r="AJ63" s="2">
        <v>81</v>
      </c>
    </row>
    <row r="64" spans="1:38" x14ac:dyDescent="0.25">
      <c r="A64" s="1">
        <v>46106</v>
      </c>
      <c r="B64" s="1">
        <v>46106</v>
      </c>
      <c r="C64" t="s">
        <v>246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258</v>
      </c>
      <c r="J64" t="s">
        <v>259</v>
      </c>
      <c r="M64" t="s">
        <v>242</v>
      </c>
      <c r="O64" t="s">
        <v>216</v>
      </c>
      <c r="P64" t="s">
        <v>217</v>
      </c>
      <c r="Q64" t="s">
        <v>249</v>
      </c>
      <c r="R64" t="s">
        <v>50</v>
      </c>
      <c r="S64" s="1">
        <v>46023</v>
      </c>
      <c r="U64" t="s">
        <v>51</v>
      </c>
      <c r="X64" t="s">
        <v>52</v>
      </c>
      <c r="AF64" s="2">
        <v>175</v>
      </c>
      <c r="AG64" s="2">
        <v>0</v>
      </c>
      <c r="AJ64" s="2">
        <v>131.25</v>
      </c>
    </row>
    <row r="65" spans="1:36" x14ac:dyDescent="0.25">
      <c r="A65" s="1">
        <v>46106</v>
      </c>
      <c r="B65" s="1">
        <v>46106</v>
      </c>
      <c r="C65" t="s">
        <v>246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260</v>
      </c>
      <c r="J65" t="s">
        <v>261</v>
      </c>
      <c r="M65" t="s">
        <v>262</v>
      </c>
      <c r="O65" t="s">
        <v>263</v>
      </c>
      <c r="P65" t="s">
        <v>264</v>
      </c>
      <c r="Q65" t="s">
        <v>249</v>
      </c>
      <c r="R65" t="s">
        <v>50</v>
      </c>
      <c r="S65" s="1">
        <v>46023</v>
      </c>
      <c r="U65" t="s">
        <v>51</v>
      </c>
      <c r="X65" t="s">
        <v>52</v>
      </c>
      <c r="AF65" s="2">
        <v>175</v>
      </c>
      <c r="AG65" s="2">
        <v>0</v>
      </c>
      <c r="AJ65" s="2">
        <v>131.25</v>
      </c>
    </row>
    <row r="66" spans="1:36" x14ac:dyDescent="0.25">
      <c r="A66" s="1">
        <v>46106</v>
      </c>
      <c r="B66" s="1">
        <v>46106</v>
      </c>
      <c r="C66" t="s">
        <v>246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265</v>
      </c>
      <c r="J66" t="s">
        <v>103</v>
      </c>
      <c r="M66" t="s">
        <v>55</v>
      </c>
      <c r="O66" t="s">
        <v>104</v>
      </c>
      <c r="P66" t="s">
        <v>103</v>
      </c>
      <c r="Q66" t="s">
        <v>249</v>
      </c>
      <c r="R66" t="s">
        <v>50</v>
      </c>
      <c r="S66" s="1">
        <v>46023</v>
      </c>
      <c r="U66" t="s">
        <v>51</v>
      </c>
      <c r="X66" t="s">
        <v>52</v>
      </c>
      <c r="AF66" s="2">
        <v>175</v>
      </c>
      <c r="AG66" s="2">
        <v>0</v>
      </c>
      <c r="AJ66" s="2">
        <v>131.25</v>
      </c>
    </row>
    <row r="67" spans="1:36" x14ac:dyDescent="0.25">
      <c r="A67" s="1">
        <v>46106</v>
      </c>
      <c r="B67" s="1">
        <v>46106</v>
      </c>
      <c r="C67" t="s">
        <v>246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266</v>
      </c>
      <c r="J67" t="s">
        <v>267</v>
      </c>
      <c r="M67" t="s">
        <v>55</v>
      </c>
      <c r="O67" t="s">
        <v>104</v>
      </c>
      <c r="P67" t="s">
        <v>103</v>
      </c>
      <c r="Q67" t="s">
        <v>249</v>
      </c>
      <c r="R67" t="s">
        <v>50</v>
      </c>
      <c r="S67" s="1">
        <v>46023</v>
      </c>
      <c r="U67" t="s">
        <v>51</v>
      </c>
      <c r="X67" t="s">
        <v>52</v>
      </c>
      <c r="AF67" s="2">
        <v>175</v>
      </c>
      <c r="AG67" s="2">
        <v>0</v>
      </c>
      <c r="AJ67" s="2">
        <v>131.25</v>
      </c>
    </row>
    <row r="68" spans="1:36" x14ac:dyDescent="0.25">
      <c r="A68" s="1">
        <v>46106</v>
      </c>
      <c r="B68" s="1">
        <v>46106</v>
      </c>
      <c r="C68" t="s">
        <v>246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268</v>
      </c>
      <c r="J68" t="s">
        <v>269</v>
      </c>
      <c r="M68" t="s">
        <v>55</v>
      </c>
      <c r="O68" t="s">
        <v>56</v>
      </c>
      <c r="P68" t="s">
        <v>57</v>
      </c>
      <c r="Q68" t="s">
        <v>249</v>
      </c>
      <c r="R68" t="s">
        <v>50</v>
      </c>
      <c r="S68" s="1">
        <v>46054</v>
      </c>
      <c r="U68" t="s">
        <v>51</v>
      </c>
      <c r="X68" t="s">
        <v>52</v>
      </c>
      <c r="AF68" s="2">
        <v>175</v>
      </c>
      <c r="AG68" s="2">
        <v>0</v>
      </c>
      <c r="AJ68" s="2">
        <v>175</v>
      </c>
    </row>
    <row r="69" spans="1:36" x14ac:dyDescent="0.25">
      <c r="A69" s="1">
        <v>46106</v>
      </c>
      <c r="B69" s="1">
        <v>46106</v>
      </c>
      <c r="C69" t="s">
        <v>246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270</v>
      </c>
      <c r="J69" t="s">
        <v>271</v>
      </c>
      <c r="M69" t="s">
        <v>65</v>
      </c>
      <c r="O69" t="s">
        <v>47</v>
      </c>
      <c r="P69" t="s">
        <v>48</v>
      </c>
      <c r="Q69" t="s">
        <v>249</v>
      </c>
      <c r="R69" t="s">
        <v>50</v>
      </c>
      <c r="S69" s="1">
        <v>46143</v>
      </c>
      <c r="U69" t="s">
        <v>51</v>
      </c>
      <c r="X69" t="s">
        <v>52</v>
      </c>
      <c r="AF69" s="2">
        <v>175</v>
      </c>
      <c r="AG69" s="2">
        <v>0</v>
      </c>
      <c r="AJ69" s="2">
        <v>175</v>
      </c>
    </row>
    <row r="70" spans="1:36" x14ac:dyDescent="0.25">
      <c r="A70" s="1">
        <v>46106</v>
      </c>
      <c r="B70" s="1">
        <v>46106</v>
      </c>
      <c r="C70" t="s">
        <v>246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272</v>
      </c>
      <c r="J70" t="s">
        <v>273</v>
      </c>
      <c r="M70" t="s">
        <v>210</v>
      </c>
      <c r="O70" t="s">
        <v>152</v>
      </c>
      <c r="P70" t="s">
        <v>153</v>
      </c>
      <c r="Q70" t="s">
        <v>249</v>
      </c>
      <c r="R70" t="s">
        <v>245</v>
      </c>
      <c r="S70" s="1">
        <v>46023</v>
      </c>
      <c r="U70" t="s">
        <v>51</v>
      </c>
      <c r="X70" t="s">
        <v>52</v>
      </c>
      <c r="AF70" s="2">
        <v>25</v>
      </c>
      <c r="AG70" s="2">
        <v>0</v>
      </c>
      <c r="AJ70" s="2">
        <v>25</v>
      </c>
    </row>
    <row r="71" spans="1:36" x14ac:dyDescent="0.25">
      <c r="A71" s="1">
        <v>46106</v>
      </c>
      <c r="B71" s="1">
        <v>46106</v>
      </c>
      <c r="C71" t="s">
        <v>246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274</v>
      </c>
      <c r="J71" t="s">
        <v>275</v>
      </c>
      <c r="M71" t="s">
        <v>55</v>
      </c>
      <c r="O71" t="s">
        <v>276</v>
      </c>
      <c r="P71" t="s">
        <v>277</v>
      </c>
      <c r="Q71" t="s">
        <v>249</v>
      </c>
      <c r="R71" t="s">
        <v>245</v>
      </c>
      <c r="S71" s="1">
        <v>46023</v>
      </c>
      <c r="U71" t="s">
        <v>51</v>
      </c>
      <c r="X71" t="s">
        <v>52</v>
      </c>
      <c r="AF71" s="2">
        <v>25</v>
      </c>
      <c r="AG71" s="2">
        <v>0</v>
      </c>
      <c r="AJ71" s="2">
        <v>4.17</v>
      </c>
    </row>
    <row r="72" spans="1:36" x14ac:dyDescent="0.25">
      <c r="A72" s="1">
        <v>46106</v>
      </c>
      <c r="B72" s="1">
        <v>46106</v>
      </c>
      <c r="C72" t="s">
        <v>246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278</v>
      </c>
      <c r="J72" t="s">
        <v>279</v>
      </c>
      <c r="M72" t="s">
        <v>55</v>
      </c>
      <c r="O72" t="s">
        <v>47</v>
      </c>
      <c r="P72" t="s">
        <v>48</v>
      </c>
      <c r="Q72" t="s">
        <v>249</v>
      </c>
      <c r="R72" t="s">
        <v>245</v>
      </c>
      <c r="S72" s="1">
        <v>46023</v>
      </c>
      <c r="U72" t="s">
        <v>51</v>
      </c>
      <c r="X72" t="s">
        <v>52</v>
      </c>
      <c r="AF72" s="2">
        <v>25</v>
      </c>
      <c r="AG72" s="2">
        <v>0</v>
      </c>
      <c r="AJ72" s="2">
        <v>25</v>
      </c>
    </row>
    <row r="73" spans="1:36" x14ac:dyDescent="0.25">
      <c r="A73" s="1">
        <v>46106</v>
      </c>
      <c r="B73" s="1">
        <v>46106</v>
      </c>
      <c r="C73" t="s">
        <v>246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280</v>
      </c>
      <c r="J73" t="s">
        <v>281</v>
      </c>
      <c r="M73" t="s">
        <v>282</v>
      </c>
      <c r="O73" t="s">
        <v>61</v>
      </c>
      <c r="P73" t="s">
        <v>62</v>
      </c>
      <c r="Q73" t="s">
        <v>249</v>
      </c>
      <c r="R73" t="s">
        <v>245</v>
      </c>
      <c r="S73" s="1">
        <v>46023</v>
      </c>
      <c r="U73" t="s">
        <v>51</v>
      </c>
      <c r="X73" t="s">
        <v>52</v>
      </c>
      <c r="AF73" s="2">
        <v>25</v>
      </c>
      <c r="AG73" s="2">
        <v>0</v>
      </c>
      <c r="AJ73" s="2">
        <v>25</v>
      </c>
    </row>
    <row r="74" spans="1:36" x14ac:dyDescent="0.25">
      <c r="A74" s="1">
        <v>46106</v>
      </c>
      <c r="B74" s="1">
        <v>46106</v>
      </c>
      <c r="C74" t="s">
        <v>246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283</v>
      </c>
      <c r="J74" t="s">
        <v>284</v>
      </c>
      <c r="M74" t="s">
        <v>167</v>
      </c>
      <c r="O74" t="s">
        <v>168</v>
      </c>
      <c r="P74" t="s">
        <v>169</v>
      </c>
      <c r="Q74" t="s">
        <v>249</v>
      </c>
      <c r="R74" t="s">
        <v>245</v>
      </c>
      <c r="S74" s="1">
        <v>46023</v>
      </c>
      <c r="U74" t="s">
        <v>51</v>
      </c>
      <c r="X74" t="s">
        <v>52</v>
      </c>
      <c r="AF74" s="2">
        <v>25</v>
      </c>
      <c r="AG74" s="2">
        <v>0</v>
      </c>
      <c r="AJ74" s="2">
        <v>6.25</v>
      </c>
    </row>
    <row r="75" spans="1:36" x14ac:dyDescent="0.25">
      <c r="A75" s="1">
        <v>46106</v>
      </c>
      <c r="B75" s="1">
        <v>46106</v>
      </c>
      <c r="C75" t="s">
        <v>246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285</v>
      </c>
      <c r="J75" t="s">
        <v>286</v>
      </c>
      <c r="M75" t="s">
        <v>167</v>
      </c>
      <c r="O75" t="s">
        <v>287</v>
      </c>
      <c r="P75" t="s">
        <v>288</v>
      </c>
      <c r="Q75" t="s">
        <v>249</v>
      </c>
      <c r="R75" t="s">
        <v>289</v>
      </c>
      <c r="S75" s="1">
        <v>46023</v>
      </c>
      <c r="U75" t="s">
        <v>51</v>
      </c>
      <c r="X75" t="s">
        <v>52</v>
      </c>
      <c r="AF75" s="2">
        <v>15</v>
      </c>
      <c r="AG75" s="2">
        <v>0</v>
      </c>
      <c r="AJ75" s="2">
        <v>15</v>
      </c>
    </row>
    <row r="76" spans="1:36" x14ac:dyDescent="0.25">
      <c r="A76" s="1">
        <v>46106</v>
      </c>
      <c r="B76" s="1">
        <v>46106</v>
      </c>
      <c r="C76" t="s">
        <v>246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290</v>
      </c>
      <c r="J76" t="s">
        <v>291</v>
      </c>
      <c r="M76" t="s">
        <v>196</v>
      </c>
      <c r="O76" t="s">
        <v>292</v>
      </c>
      <c r="P76" t="s">
        <v>293</v>
      </c>
      <c r="Q76" t="s">
        <v>249</v>
      </c>
      <c r="R76" t="s">
        <v>289</v>
      </c>
      <c r="S76" s="1">
        <v>46023</v>
      </c>
      <c r="U76" t="s">
        <v>51</v>
      </c>
      <c r="X76" t="s">
        <v>52</v>
      </c>
      <c r="AF76" s="2">
        <v>15</v>
      </c>
      <c r="AG76" s="2">
        <v>0</v>
      </c>
      <c r="AJ76" s="2">
        <v>12.5</v>
      </c>
    </row>
    <row r="77" spans="1:36" x14ac:dyDescent="0.25">
      <c r="A77" s="1">
        <v>46106</v>
      </c>
      <c r="B77" s="1">
        <v>46106</v>
      </c>
      <c r="C77" t="s">
        <v>246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294</v>
      </c>
      <c r="J77" t="s">
        <v>295</v>
      </c>
      <c r="M77" t="s">
        <v>196</v>
      </c>
      <c r="O77" t="s">
        <v>197</v>
      </c>
      <c r="P77" t="s">
        <v>198</v>
      </c>
      <c r="Q77" t="s">
        <v>249</v>
      </c>
      <c r="R77" t="s">
        <v>220</v>
      </c>
      <c r="S77" s="1">
        <v>46023</v>
      </c>
      <c r="U77" t="s">
        <v>51</v>
      </c>
      <c r="X77" t="s">
        <v>52</v>
      </c>
      <c r="AF77" s="2">
        <v>347</v>
      </c>
      <c r="AG77" s="2">
        <v>0</v>
      </c>
      <c r="AJ77" s="2">
        <v>347</v>
      </c>
    </row>
    <row r="78" spans="1:36" x14ac:dyDescent="0.25">
      <c r="A78" s="1">
        <v>46106</v>
      </c>
      <c r="B78" s="1">
        <v>46106</v>
      </c>
      <c r="C78" t="s">
        <v>246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296</v>
      </c>
      <c r="J78" t="s">
        <v>295</v>
      </c>
      <c r="M78" t="s">
        <v>196</v>
      </c>
      <c r="O78" t="s">
        <v>197</v>
      </c>
      <c r="P78" t="s">
        <v>198</v>
      </c>
      <c r="Q78" t="s">
        <v>249</v>
      </c>
      <c r="R78" t="s">
        <v>222</v>
      </c>
      <c r="S78" s="1">
        <v>46023</v>
      </c>
      <c r="U78" t="s">
        <v>51</v>
      </c>
      <c r="X78" t="s">
        <v>52</v>
      </c>
      <c r="AF78" s="2">
        <v>175</v>
      </c>
      <c r="AG78" s="2">
        <v>0</v>
      </c>
      <c r="AJ78" s="2">
        <v>175</v>
      </c>
    </row>
    <row r="79" spans="1:36" x14ac:dyDescent="0.25">
      <c r="A79" s="1">
        <v>46106</v>
      </c>
      <c r="B79" s="1">
        <v>46106</v>
      </c>
      <c r="C79" t="s">
        <v>246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297</v>
      </c>
      <c r="J79" t="s">
        <v>298</v>
      </c>
      <c r="M79" t="s">
        <v>55</v>
      </c>
      <c r="O79" t="s">
        <v>299</v>
      </c>
      <c r="P79" t="s">
        <v>300</v>
      </c>
      <c r="Q79" t="s">
        <v>249</v>
      </c>
      <c r="R79" t="s">
        <v>301</v>
      </c>
      <c r="S79" s="1">
        <v>46023</v>
      </c>
      <c r="U79" t="s">
        <v>51</v>
      </c>
      <c r="X79" t="s">
        <v>52</v>
      </c>
      <c r="AF79" s="2">
        <v>100</v>
      </c>
      <c r="AG79" s="2">
        <v>0</v>
      </c>
      <c r="AJ79" s="2">
        <v>100</v>
      </c>
    </row>
    <row r="80" spans="1:36" x14ac:dyDescent="0.25">
      <c r="A80" s="1">
        <v>46106</v>
      </c>
      <c r="B80" s="1">
        <v>46106</v>
      </c>
      <c r="C80" t="s">
        <v>246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302</v>
      </c>
      <c r="J80" t="s">
        <v>303</v>
      </c>
      <c r="M80" t="s">
        <v>55</v>
      </c>
      <c r="O80" t="s">
        <v>299</v>
      </c>
      <c r="P80" t="s">
        <v>300</v>
      </c>
      <c r="Q80" t="s">
        <v>249</v>
      </c>
      <c r="R80" t="s">
        <v>301</v>
      </c>
      <c r="S80" s="1">
        <v>46023</v>
      </c>
      <c r="U80" t="s">
        <v>51</v>
      </c>
      <c r="X80" t="s">
        <v>52</v>
      </c>
      <c r="AF80" s="2">
        <v>100</v>
      </c>
      <c r="AG80" s="2">
        <v>0</v>
      </c>
      <c r="AJ80" s="2">
        <v>100</v>
      </c>
    </row>
    <row r="81" spans="1:36" x14ac:dyDescent="0.25">
      <c r="A81" s="1">
        <v>46106</v>
      </c>
      <c r="B81" s="1">
        <v>46106</v>
      </c>
      <c r="C81" t="s">
        <v>246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304</v>
      </c>
      <c r="J81" t="s">
        <v>305</v>
      </c>
      <c r="M81" t="s">
        <v>210</v>
      </c>
      <c r="O81" t="s">
        <v>61</v>
      </c>
      <c r="P81" t="s">
        <v>62</v>
      </c>
      <c r="Q81" t="s">
        <v>249</v>
      </c>
      <c r="R81" t="s">
        <v>211</v>
      </c>
      <c r="S81" s="1">
        <v>46023</v>
      </c>
      <c r="U81" t="s">
        <v>51</v>
      </c>
      <c r="X81" t="s">
        <v>52</v>
      </c>
      <c r="AF81" s="2">
        <v>175</v>
      </c>
      <c r="AG81" s="2">
        <v>0</v>
      </c>
      <c r="AJ81" s="2">
        <v>175</v>
      </c>
    </row>
    <row r="82" spans="1:36" x14ac:dyDescent="0.25">
      <c r="A82" s="1">
        <v>46106</v>
      </c>
      <c r="B82" s="1">
        <v>46106</v>
      </c>
      <c r="C82" t="s">
        <v>246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306</v>
      </c>
      <c r="J82" t="s">
        <v>307</v>
      </c>
      <c r="M82" t="s">
        <v>46</v>
      </c>
      <c r="O82" t="s">
        <v>61</v>
      </c>
      <c r="P82" t="s">
        <v>62</v>
      </c>
      <c r="Q82" t="s">
        <v>249</v>
      </c>
      <c r="R82" t="s">
        <v>301</v>
      </c>
      <c r="S82" s="1">
        <v>46023</v>
      </c>
      <c r="U82" t="s">
        <v>51</v>
      </c>
      <c r="X82" t="s">
        <v>52</v>
      </c>
      <c r="AF82" s="2">
        <v>100</v>
      </c>
      <c r="AG82" s="2">
        <v>0</v>
      </c>
      <c r="AJ82" s="2">
        <v>100</v>
      </c>
    </row>
    <row r="83" spans="1:36" x14ac:dyDescent="0.25">
      <c r="A83" s="1">
        <v>46106</v>
      </c>
      <c r="B83" s="1">
        <v>46106</v>
      </c>
      <c r="C83" t="s">
        <v>246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308</v>
      </c>
      <c r="J83" t="s">
        <v>45</v>
      </c>
      <c r="M83" t="s">
        <v>46</v>
      </c>
      <c r="O83" t="s">
        <v>47</v>
      </c>
      <c r="P83" t="s">
        <v>48</v>
      </c>
      <c r="Q83" t="s">
        <v>249</v>
      </c>
      <c r="R83" t="s">
        <v>309</v>
      </c>
      <c r="S83" s="1">
        <v>46023</v>
      </c>
      <c r="U83" t="s">
        <v>51</v>
      </c>
      <c r="X83" t="s">
        <v>52</v>
      </c>
      <c r="AF83" s="2">
        <v>203</v>
      </c>
      <c r="AG83" s="2">
        <v>0</v>
      </c>
      <c r="AJ83" s="2">
        <v>203</v>
      </c>
    </row>
    <row r="84" spans="1:36" x14ac:dyDescent="0.25">
      <c r="A84" s="1">
        <v>46106</v>
      </c>
      <c r="B84" s="1">
        <v>46106</v>
      </c>
      <c r="C84" t="s">
        <v>246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310</v>
      </c>
      <c r="J84" t="s">
        <v>45</v>
      </c>
      <c r="M84" t="s">
        <v>46</v>
      </c>
      <c r="O84" t="s">
        <v>47</v>
      </c>
      <c r="P84" t="s">
        <v>48</v>
      </c>
      <c r="Q84" t="s">
        <v>249</v>
      </c>
      <c r="R84" t="s">
        <v>311</v>
      </c>
      <c r="S84" s="1">
        <v>46023</v>
      </c>
      <c r="U84" t="s">
        <v>51</v>
      </c>
      <c r="X84" t="s">
        <v>52</v>
      </c>
      <c r="AF84" s="2">
        <v>113</v>
      </c>
      <c r="AG84" s="2">
        <v>0</v>
      </c>
      <c r="AJ84" s="2">
        <v>113</v>
      </c>
    </row>
    <row r="85" spans="1:36" x14ac:dyDescent="0.25">
      <c r="A85" s="1">
        <v>46106</v>
      </c>
      <c r="B85" s="1">
        <v>46106</v>
      </c>
      <c r="C85" t="s">
        <v>246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312</v>
      </c>
      <c r="J85" t="s">
        <v>313</v>
      </c>
      <c r="M85" t="s">
        <v>282</v>
      </c>
      <c r="O85" t="s">
        <v>135</v>
      </c>
      <c r="P85" t="s">
        <v>136</v>
      </c>
      <c r="Q85" t="s">
        <v>249</v>
      </c>
      <c r="R85" t="s">
        <v>314</v>
      </c>
      <c r="S85" s="1">
        <v>46082</v>
      </c>
      <c r="U85" t="s">
        <v>51</v>
      </c>
      <c r="X85" t="s">
        <v>52</v>
      </c>
      <c r="AF85" s="2">
        <v>694</v>
      </c>
      <c r="AG85" s="2">
        <v>0</v>
      </c>
      <c r="AJ85" s="2">
        <v>694</v>
      </c>
    </row>
    <row r="86" spans="1:36" x14ac:dyDescent="0.25">
      <c r="A86" s="1">
        <v>46106</v>
      </c>
      <c r="B86" s="1">
        <v>46106</v>
      </c>
      <c r="C86" t="s">
        <v>246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315</v>
      </c>
      <c r="J86" t="s">
        <v>313</v>
      </c>
      <c r="M86" t="s">
        <v>282</v>
      </c>
      <c r="O86" t="s">
        <v>135</v>
      </c>
      <c r="P86" t="s">
        <v>136</v>
      </c>
      <c r="Q86" t="s">
        <v>249</v>
      </c>
      <c r="R86" t="s">
        <v>222</v>
      </c>
      <c r="S86" s="1">
        <v>46082</v>
      </c>
      <c r="U86" t="s">
        <v>51</v>
      </c>
      <c r="X86" t="s">
        <v>52</v>
      </c>
      <c r="AF86" s="2">
        <v>175</v>
      </c>
      <c r="AG86" s="2">
        <v>0</v>
      </c>
      <c r="AJ86" s="2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ADE4-61B6-4D2A-A215-87DEB30B9CE7}">
  <dimension ref="A1:S86"/>
  <sheetViews>
    <sheetView tabSelected="1" topLeftCell="B4" workbookViewId="0">
      <selection activeCell="M109" sqref="M109"/>
    </sheetView>
  </sheetViews>
  <sheetFormatPr defaultRowHeight="15" x14ac:dyDescent="0.25"/>
  <cols>
    <col min="1" max="1" width="23.28515625" style="9" bestFit="1" customWidth="1"/>
    <col min="2" max="2" width="29.28515625" style="9" customWidth="1"/>
    <col min="3" max="3" width="22" customWidth="1"/>
    <col min="4" max="4" width="5.5703125" bestFit="1" customWidth="1"/>
    <col min="5" max="5" width="13" customWidth="1"/>
    <col min="6" max="6" width="17.85546875" customWidth="1"/>
    <col min="7" max="7" width="10.28515625" customWidth="1"/>
    <col min="8" max="8" width="53" bestFit="1" customWidth="1"/>
    <col min="9" max="9" width="10.140625" bestFit="1" customWidth="1"/>
    <col min="11" max="11" width="11.7109375" customWidth="1"/>
    <col min="12" max="12" width="8.85546875" customWidth="1"/>
    <col min="13" max="13" width="9.7109375" customWidth="1"/>
    <col min="14" max="14" width="18.85546875" customWidth="1"/>
    <col min="15" max="15" width="51.85546875" bestFit="1" customWidth="1"/>
  </cols>
  <sheetData>
    <row r="1" spans="1:15" x14ac:dyDescent="0.25">
      <c r="A1" s="9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23</v>
      </c>
      <c r="K1" t="s">
        <v>25</v>
      </c>
      <c r="L1" t="s">
        <v>26</v>
      </c>
      <c r="M1" t="s">
        <v>28</v>
      </c>
      <c r="N1" t="s">
        <v>37</v>
      </c>
    </row>
    <row r="2" spans="1:15" x14ac:dyDescent="0.25">
      <c r="A2" s="10" t="s">
        <v>358</v>
      </c>
      <c r="B2" s="10" t="str">
        <f>CONCATENATE(A2,"OVR")</f>
        <v>MEQNDVZM00000124006OVR</v>
      </c>
      <c r="C2" t="s">
        <v>241</v>
      </c>
      <c r="D2" t="s">
        <v>242</v>
      </c>
      <c r="E2">
        <v>20411454</v>
      </c>
      <c r="F2" t="s">
        <v>387</v>
      </c>
      <c r="G2" t="s">
        <v>49</v>
      </c>
      <c r="H2" t="s">
        <v>245</v>
      </c>
      <c r="I2" s="1">
        <v>46023</v>
      </c>
      <c r="J2" t="s">
        <v>52</v>
      </c>
      <c r="K2" s="2">
        <v>25</v>
      </c>
      <c r="L2">
        <v>1</v>
      </c>
      <c r="M2" s="2">
        <v>25</v>
      </c>
      <c r="O2" t="s">
        <v>359</v>
      </c>
    </row>
    <row r="3" spans="1:15" x14ac:dyDescent="0.25">
      <c r="A3" s="10">
        <v>101266029500</v>
      </c>
      <c r="B3" s="10" t="str">
        <f t="shared" ref="B3:B66" si="0">CONCATENATE(A3,"OVR")</f>
        <v>101266029500OVR</v>
      </c>
      <c r="C3" t="s">
        <v>273</v>
      </c>
      <c r="D3" t="s">
        <v>210</v>
      </c>
      <c r="E3">
        <v>20411454</v>
      </c>
      <c r="F3" t="s">
        <v>387</v>
      </c>
      <c r="G3" t="s">
        <v>249</v>
      </c>
      <c r="H3" t="s">
        <v>245</v>
      </c>
      <c r="I3" s="1">
        <v>46023</v>
      </c>
      <c r="J3" t="s">
        <v>52</v>
      </c>
      <c r="M3" s="4">
        <v>-25</v>
      </c>
      <c r="O3" t="s">
        <v>359</v>
      </c>
    </row>
    <row r="4" spans="1:15" x14ac:dyDescent="0.25">
      <c r="A4" s="10">
        <v>101876786200</v>
      </c>
      <c r="B4" s="10" t="str">
        <f t="shared" si="0"/>
        <v>101876786200OVR</v>
      </c>
      <c r="C4" t="s">
        <v>275</v>
      </c>
      <c r="D4" t="s">
        <v>55</v>
      </c>
      <c r="E4">
        <v>20411454</v>
      </c>
      <c r="F4" t="s">
        <v>387</v>
      </c>
      <c r="G4" t="s">
        <v>249</v>
      </c>
      <c r="H4" t="s">
        <v>245</v>
      </c>
      <c r="I4" s="1">
        <v>46023</v>
      </c>
      <c r="J4" t="s">
        <v>52</v>
      </c>
      <c r="M4" s="4">
        <v>-4.17</v>
      </c>
      <c r="O4" t="s">
        <v>359</v>
      </c>
    </row>
    <row r="5" spans="1:15" x14ac:dyDescent="0.25">
      <c r="A5" s="10" t="s">
        <v>373</v>
      </c>
      <c r="B5" s="10" t="str">
        <f t="shared" si="0"/>
        <v>102064780500AOVR</v>
      </c>
      <c r="C5" t="s">
        <v>279</v>
      </c>
      <c r="D5" t="s">
        <v>55</v>
      </c>
      <c r="E5">
        <v>20411454</v>
      </c>
      <c r="F5" t="s">
        <v>387</v>
      </c>
      <c r="G5" t="s">
        <v>249</v>
      </c>
      <c r="H5" t="s">
        <v>245</v>
      </c>
      <c r="I5" s="1">
        <v>46023</v>
      </c>
      <c r="J5" t="s">
        <v>52</v>
      </c>
      <c r="M5" s="4">
        <v>-25</v>
      </c>
      <c r="O5" t="s">
        <v>359</v>
      </c>
    </row>
    <row r="6" spans="1:15" x14ac:dyDescent="0.25">
      <c r="A6" s="10">
        <v>102094840600</v>
      </c>
      <c r="B6" s="10" t="str">
        <f t="shared" si="0"/>
        <v>102094840600OVR</v>
      </c>
      <c r="C6" t="s">
        <v>281</v>
      </c>
      <c r="D6" t="s">
        <v>282</v>
      </c>
      <c r="E6">
        <v>20411454</v>
      </c>
      <c r="F6" t="s">
        <v>387</v>
      </c>
      <c r="G6" t="s">
        <v>249</v>
      </c>
      <c r="H6" t="s">
        <v>245</v>
      </c>
      <c r="I6" s="1">
        <v>46023</v>
      </c>
      <c r="J6" t="s">
        <v>52</v>
      </c>
      <c r="M6" s="4">
        <v>-25</v>
      </c>
      <c r="O6" t="s">
        <v>359</v>
      </c>
    </row>
    <row r="7" spans="1:15" x14ac:dyDescent="0.25">
      <c r="A7" s="10">
        <v>102211243300</v>
      </c>
      <c r="B7" s="10" t="str">
        <f t="shared" si="0"/>
        <v>102211243300OVR</v>
      </c>
      <c r="C7" t="s">
        <v>284</v>
      </c>
      <c r="D7" t="s">
        <v>167</v>
      </c>
      <c r="E7">
        <v>20411454</v>
      </c>
      <c r="F7" t="s">
        <v>387</v>
      </c>
      <c r="G7" t="s">
        <v>249</v>
      </c>
      <c r="H7" t="s">
        <v>245</v>
      </c>
      <c r="I7" s="1">
        <v>46023</v>
      </c>
      <c r="J7" t="s">
        <v>52</v>
      </c>
      <c r="M7" s="4">
        <v>-6.25</v>
      </c>
      <c r="O7" t="s">
        <v>359</v>
      </c>
    </row>
    <row r="8" spans="1:15" x14ac:dyDescent="0.25">
      <c r="A8" s="10">
        <v>102217395100</v>
      </c>
      <c r="B8" s="10" t="str">
        <f t="shared" si="0"/>
        <v>102217395100OVR</v>
      </c>
      <c r="C8" t="s">
        <v>286</v>
      </c>
      <c r="D8" t="s">
        <v>167</v>
      </c>
      <c r="E8">
        <v>20411454</v>
      </c>
      <c r="F8" t="s">
        <v>387</v>
      </c>
      <c r="G8" t="s">
        <v>249</v>
      </c>
      <c r="H8" t="s">
        <v>289</v>
      </c>
      <c r="I8" s="1">
        <v>46023</v>
      </c>
      <c r="J8" t="s">
        <v>52</v>
      </c>
      <c r="M8" s="4">
        <v>-15</v>
      </c>
      <c r="O8" t="s">
        <v>359</v>
      </c>
    </row>
    <row r="9" spans="1:15" x14ac:dyDescent="0.25">
      <c r="A9" s="10">
        <v>102224738500</v>
      </c>
      <c r="B9" s="10" t="str">
        <f t="shared" si="0"/>
        <v>102224738500OVR</v>
      </c>
      <c r="C9" t="s">
        <v>291</v>
      </c>
      <c r="D9" t="s">
        <v>196</v>
      </c>
      <c r="E9">
        <v>20411454</v>
      </c>
      <c r="F9" t="s">
        <v>387</v>
      </c>
      <c r="G9" t="s">
        <v>249</v>
      </c>
      <c r="H9" t="s">
        <v>289</v>
      </c>
      <c r="I9" s="1">
        <v>46023</v>
      </c>
      <c r="J9" t="s">
        <v>52</v>
      </c>
      <c r="M9" s="4">
        <v>-12.5</v>
      </c>
      <c r="O9" t="s">
        <v>359</v>
      </c>
    </row>
    <row r="10" spans="1:15" x14ac:dyDescent="0.25">
      <c r="A10" s="10">
        <v>101123561500</v>
      </c>
      <c r="B10" s="10" t="str">
        <f t="shared" si="0"/>
        <v>101123561500OVR</v>
      </c>
      <c r="C10" t="s">
        <v>166</v>
      </c>
      <c r="D10" t="s">
        <v>167</v>
      </c>
      <c r="E10">
        <v>20411454</v>
      </c>
      <c r="F10" t="s">
        <v>387</v>
      </c>
      <c r="G10" t="s">
        <v>49</v>
      </c>
      <c r="H10" t="s">
        <v>170</v>
      </c>
      <c r="I10" s="1">
        <v>46082</v>
      </c>
      <c r="J10" t="s">
        <v>52</v>
      </c>
      <c r="K10" s="2">
        <v>20.83</v>
      </c>
      <c r="L10">
        <v>1</v>
      </c>
      <c r="M10" s="2">
        <v>20.83</v>
      </c>
      <c r="N10" t="s">
        <v>171</v>
      </c>
      <c r="O10" t="s">
        <v>359</v>
      </c>
    </row>
    <row r="11" spans="1:15" x14ac:dyDescent="0.25">
      <c r="A11" s="10">
        <v>101333766800</v>
      </c>
      <c r="B11" s="10" t="str">
        <f t="shared" si="0"/>
        <v>101333766800OVR</v>
      </c>
      <c r="C11" t="s">
        <v>173</v>
      </c>
      <c r="D11" t="s">
        <v>55</v>
      </c>
      <c r="E11">
        <v>20411454</v>
      </c>
      <c r="F11" t="s">
        <v>387</v>
      </c>
      <c r="G11" t="s">
        <v>49</v>
      </c>
      <c r="H11" t="s">
        <v>170</v>
      </c>
      <c r="I11" s="1">
        <v>46113</v>
      </c>
      <c r="J11" t="s">
        <v>52</v>
      </c>
      <c r="K11" s="2">
        <v>18.75</v>
      </c>
      <c r="L11">
        <v>1</v>
      </c>
      <c r="M11" s="2">
        <v>18.75</v>
      </c>
      <c r="N11" t="s">
        <v>174</v>
      </c>
      <c r="O11" t="s">
        <v>359</v>
      </c>
    </row>
    <row r="12" spans="1:15" x14ac:dyDescent="0.25">
      <c r="A12" s="10">
        <v>101508859900</v>
      </c>
      <c r="B12" s="10" t="str">
        <f t="shared" si="0"/>
        <v>101508859900OVR</v>
      </c>
      <c r="C12" t="s">
        <v>176</v>
      </c>
      <c r="D12" t="s">
        <v>177</v>
      </c>
      <c r="E12">
        <v>20411454</v>
      </c>
      <c r="F12" t="s">
        <v>387</v>
      </c>
      <c r="G12" t="s">
        <v>49</v>
      </c>
      <c r="H12" t="s">
        <v>170</v>
      </c>
      <c r="I12" s="1">
        <v>46082</v>
      </c>
      <c r="J12" t="s">
        <v>52</v>
      </c>
      <c r="K12" s="2">
        <v>20.83</v>
      </c>
      <c r="L12">
        <v>1</v>
      </c>
      <c r="M12" s="2">
        <v>20.83</v>
      </c>
      <c r="N12" t="s">
        <v>171</v>
      </c>
      <c r="O12" t="s">
        <v>359</v>
      </c>
    </row>
    <row r="13" spans="1:15" x14ac:dyDescent="0.25">
      <c r="A13" s="10">
        <v>101945708000</v>
      </c>
      <c r="B13" s="10" t="str">
        <f t="shared" si="0"/>
        <v>101945708000OVR</v>
      </c>
      <c r="C13" t="s">
        <v>181</v>
      </c>
      <c r="D13" t="s">
        <v>167</v>
      </c>
      <c r="E13">
        <v>20411454</v>
      </c>
      <c r="F13" t="s">
        <v>387</v>
      </c>
      <c r="G13" t="s">
        <v>49</v>
      </c>
      <c r="H13" t="s">
        <v>170</v>
      </c>
      <c r="I13" s="1">
        <v>46113</v>
      </c>
      <c r="J13" t="s">
        <v>52</v>
      </c>
      <c r="K13" s="2">
        <v>18.75</v>
      </c>
      <c r="L13">
        <v>1</v>
      </c>
      <c r="M13" s="2">
        <v>18.75</v>
      </c>
      <c r="N13" t="s">
        <v>174</v>
      </c>
      <c r="O13" t="s">
        <v>359</v>
      </c>
    </row>
    <row r="14" spans="1:15" x14ac:dyDescent="0.25">
      <c r="A14" s="10">
        <v>102268225300</v>
      </c>
      <c r="B14" s="10" t="str">
        <f t="shared" si="0"/>
        <v>102268225300OVR</v>
      </c>
      <c r="C14" t="s">
        <v>185</v>
      </c>
      <c r="D14" t="s">
        <v>55</v>
      </c>
      <c r="E14">
        <v>20411454</v>
      </c>
      <c r="F14" t="s">
        <v>387</v>
      </c>
      <c r="G14" t="s">
        <v>49</v>
      </c>
      <c r="H14" t="s">
        <v>170</v>
      </c>
      <c r="I14" s="1">
        <v>46082</v>
      </c>
      <c r="J14" t="s">
        <v>52</v>
      </c>
      <c r="K14" s="2">
        <v>20.83</v>
      </c>
      <c r="L14">
        <v>1</v>
      </c>
      <c r="M14" s="2">
        <v>20.83</v>
      </c>
      <c r="N14" t="s">
        <v>171</v>
      </c>
      <c r="O14" t="s">
        <v>359</v>
      </c>
    </row>
    <row r="15" spans="1:15" x14ac:dyDescent="0.25">
      <c r="A15" s="10">
        <v>102268234900</v>
      </c>
      <c r="B15" s="10" t="str">
        <f t="shared" si="0"/>
        <v>102268234900OVR</v>
      </c>
      <c r="C15" t="s">
        <v>189</v>
      </c>
      <c r="D15" t="s">
        <v>167</v>
      </c>
      <c r="E15">
        <v>20411454</v>
      </c>
      <c r="F15" t="s">
        <v>387</v>
      </c>
      <c r="G15" t="s">
        <v>49</v>
      </c>
      <c r="H15" t="s">
        <v>170</v>
      </c>
      <c r="I15" s="1">
        <v>46082</v>
      </c>
      <c r="J15" t="s">
        <v>52</v>
      </c>
      <c r="K15" s="2">
        <v>20.83</v>
      </c>
      <c r="L15">
        <v>1</v>
      </c>
      <c r="M15" s="2">
        <v>20.83</v>
      </c>
      <c r="N15" t="s">
        <v>171</v>
      </c>
      <c r="O15" t="s">
        <v>359</v>
      </c>
    </row>
    <row r="16" spans="1:15" x14ac:dyDescent="0.25">
      <c r="A16" s="10">
        <v>102268604400</v>
      </c>
      <c r="B16" s="10" t="str">
        <f t="shared" si="0"/>
        <v>102268604400OVR</v>
      </c>
      <c r="C16" t="s">
        <v>193</v>
      </c>
      <c r="D16" t="s">
        <v>55</v>
      </c>
      <c r="E16">
        <v>20411454</v>
      </c>
      <c r="F16" t="s">
        <v>387</v>
      </c>
      <c r="G16" t="s">
        <v>49</v>
      </c>
      <c r="H16" t="s">
        <v>170</v>
      </c>
      <c r="I16" s="1">
        <v>46082</v>
      </c>
      <c r="J16" t="s">
        <v>52</v>
      </c>
      <c r="K16" s="2">
        <v>20.83</v>
      </c>
      <c r="L16">
        <v>1</v>
      </c>
      <c r="M16" s="2">
        <v>20.83</v>
      </c>
      <c r="N16" t="s">
        <v>171</v>
      </c>
      <c r="O16" t="s">
        <v>359</v>
      </c>
    </row>
    <row r="17" spans="1:15" x14ac:dyDescent="0.25">
      <c r="A17" s="10">
        <v>102268620900</v>
      </c>
      <c r="B17" s="10" t="str">
        <f t="shared" si="0"/>
        <v>102268620900OVR</v>
      </c>
      <c r="C17" t="s">
        <v>195</v>
      </c>
      <c r="D17" t="s">
        <v>196</v>
      </c>
      <c r="E17">
        <v>20411454</v>
      </c>
      <c r="F17" t="s">
        <v>387</v>
      </c>
      <c r="G17" t="s">
        <v>49</v>
      </c>
      <c r="H17" t="s">
        <v>170</v>
      </c>
      <c r="I17" s="1">
        <v>46082</v>
      </c>
      <c r="J17" t="s">
        <v>52</v>
      </c>
      <c r="K17" s="2">
        <v>20.83</v>
      </c>
      <c r="L17">
        <v>1</v>
      </c>
      <c r="M17" s="2">
        <v>20.83</v>
      </c>
      <c r="N17" t="s">
        <v>171</v>
      </c>
      <c r="O17" t="s">
        <v>359</v>
      </c>
    </row>
    <row r="18" spans="1:15" x14ac:dyDescent="0.25">
      <c r="A18" s="10">
        <v>102268859600</v>
      </c>
      <c r="B18" s="10" t="str">
        <f t="shared" si="0"/>
        <v>102268859600OVR</v>
      </c>
      <c r="C18" t="s">
        <v>200</v>
      </c>
      <c r="D18" t="s">
        <v>167</v>
      </c>
      <c r="E18">
        <v>20411454</v>
      </c>
      <c r="F18" t="s">
        <v>387</v>
      </c>
      <c r="G18" t="s">
        <v>49</v>
      </c>
      <c r="H18" t="s">
        <v>170</v>
      </c>
      <c r="I18" s="1">
        <v>46174</v>
      </c>
      <c r="J18" t="s">
        <v>52</v>
      </c>
      <c r="K18" s="2">
        <v>14.58</v>
      </c>
      <c r="L18">
        <v>1</v>
      </c>
      <c r="M18" s="2">
        <v>14.58</v>
      </c>
      <c r="N18" t="s">
        <v>201</v>
      </c>
      <c r="O18" t="s">
        <v>359</v>
      </c>
    </row>
    <row r="19" spans="1:15" x14ac:dyDescent="0.25">
      <c r="A19" s="10">
        <v>102269137100</v>
      </c>
      <c r="B19" s="10" t="str">
        <f t="shared" si="0"/>
        <v>102269137100OVR</v>
      </c>
      <c r="C19" t="s">
        <v>203</v>
      </c>
      <c r="D19" t="s">
        <v>167</v>
      </c>
      <c r="E19">
        <v>20411454</v>
      </c>
      <c r="F19" t="s">
        <v>387</v>
      </c>
      <c r="G19" t="s">
        <v>49</v>
      </c>
      <c r="H19" t="s">
        <v>170</v>
      </c>
      <c r="I19" s="1">
        <v>46113</v>
      </c>
      <c r="J19" t="s">
        <v>52</v>
      </c>
      <c r="K19" s="2">
        <v>18.75</v>
      </c>
      <c r="L19">
        <v>1</v>
      </c>
      <c r="M19" s="2">
        <v>18.75</v>
      </c>
      <c r="N19" t="s">
        <v>174</v>
      </c>
      <c r="O19" t="s">
        <v>359</v>
      </c>
    </row>
    <row r="20" spans="1:15" x14ac:dyDescent="0.25">
      <c r="A20" s="10">
        <v>102269376100</v>
      </c>
      <c r="B20" s="10" t="str">
        <f t="shared" si="0"/>
        <v>102269376100OVR</v>
      </c>
      <c r="C20" t="s">
        <v>205</v>
      </c>
      <c r="D20" t="s">
        <v>167</v>
      </c>
      <c r="E20">
        <v>20411454</v>
      </c>
      <c r="F20" t="s">
        <v>387</v>
      </c>
      <c r="G20" t="s">
        <v>49</v>
      </c>
      <c r="H20" t="s">
        <v>170</v>
      </c>
      <c r="I20" s="1">
        <v>46113</v>
      </c>
      <c r="J20" t="s">
        <v>52</v>
      </c>
      <c r="K20" s="2">
        <v>18.75</v>
      </c>
      <c r="L20">
        <v>1</v>
      </c>
      <c r="M20" s="2">
        <v>18.75</v>
      </c>
      <c r="N20" t="s">
        <v>174</v>
      </c>
      <c r="O20" t="s">
        <v>359</v>
      </c>
    </row>
    <row r="21" spans="1:15" x14ac:dyDescent="0.25">
      <c r="A21" s="10">
        <v>102269443700</v>
      </c>
      <c r="B21" s="10" t="str">
        <f t="shared" si="0"/>
        <v>102269443700OVR</v>
      </c>
      <c r="C21" t="s">
        <v>207</v>
      </c>
      <c r="D21" t="s">
        <v>60</v>
      </c>
      <c r="E21">
        <v>20411454</v>
      </c>
      <c r="F21" t="s">
        <v>387</v>
      </c>
      <c r="G21" t="s">
        <v>49</v>
      </c>
      <c r="H21" t="s">
        <v>170</v>
      </c>
      <c r="I21" s="1">
        <v>46113</v>
      </c>
      <c r="J21" t="s">
        <v>52</v>
      </c>
      <c r="K21" s="2">
        <v>18.75</v>
      </c>
      <c r="L21">
        <v>1</v>
      </c>
      <c r="M21" s="2">
        <v>18.75</v>
      </c>
      <c r="N21" t="s">
        <v>174</v>
      </c>
      <c r="O21" t="s">
        <v>359</v>
      </c>
    </row>
    <row r="22" spans="1:15" x14ac:dyDescent="0.25">
      <c r="A22" s="10" t="s">
        <v>357</v>
      </c>
      <c r="B22" s="10" t="str">
        <f t="shared" si="0"/>
        <v>MEQNDVYM00000213863OVR</v>
      </c>
      <c r="C22" t="s">
        <v>239</v>
      </c>
      <c r="D22" t="s">
        <v>55</v>
      </c>
      <c r="E22">
        <v>20411454</v>
      </c>
      <c r="F22" t="s">
        <v>387</v>
      </c>
      <c r="G22" t="s">
        <v>49</v>
      </c>
      <c r="H22" t="s">
        <v>170</v>
      </c>
      <c r="I22" s="1">
        <v>46082</v>
      </c>
      <c r="J22" t="s">
        <v>52</v>
      </c>
      <c r="K22" s="2">
        <v>20.83</v>
      </c>
      <c r="L22">
        <v>1</v>
      </c>
      <c r="M22" s="2">
        <v>20.83</v>
      </c>
      <c r="N22" t="s">
        <v>171</v>
      </c>
      <c r="O22" t="s">
        <v>359</v>
      </c>
    </row>
    <row r="23" spans="1:15" x14ac:dyDescent="0.25">
      <c r="A23" s="10" t="s">
        <v>350</v>
      </c>
      <c r="B23" s="10" t="str">
        <f t="shared" si="0"/>
        <v>206W26504OVR</v>
      </c>
      <c r="C23" t="s">
        <v>209</v>
      </c>
      <c r="D23" t="s">
        <v>210</v>
      </c>
      <c r="E23">
        <v>20411454</v>
      </c>
      <c r="F23" t="s">
        <v>387</v>
      </c>
      <c r="G23" t="s">
        <v>49</v>
      </c>
      <c r="H23" t="s">
        <v>211</v>
      </c>
      <c r="I23" s="1">
        <v>46054</v>
      </c>
      <c r="J23" t="s">
        <v>52</v>
      </c>
      <c r="K23" s="2">
        <v>175</v>
      </c>
      <c r="L23">
        <v>1</v>
      </c>
      <c r="M23" s="2">
        <v>175</v>
      </c>
      <c r="O23" t="s">
        <v>360</v>
      </c>
    </row>
    <row r="24" spans="1:15" x14ac:dyDescent="0.25">
      <c r="A24" s="10" t="s">
        <v>351</v>
      </c>
      <c r="B24" s="10" t="str">
        <f t="shared" si="0"/>
        <v>283W21805OVR</v>
      </c>
      <c r="C24" t="s">
        <v>213</v>
      </c>
      <c r="D24" t="s">
        <v>210</v>
      </c>
      <c r="E24">
        <v>20411454</v>
      </c>
      <c r="F24" t="s">
        <v>387</v>
      </c>
      <c r="G24" t="s">
        <v>49</v>
      </c>
      <c r="H24" t="s">
        <v>211</v>
      </c>
      <c r="I24" s="1">
        <v>46054</v>
      </c>
      <c r="J24" t="s">
        <v>52</v>
      </c>
      <c r="K24" s="2">
        <v>175</v>
      </c>
      <c r="L24">
        <v>1</v>
      </c>
      <c r="M24" s="2">
        <v>175</v>
      </c>
      <c r="O24" t="s">
        <v>360</v>
      </c>
    </row>
    <row r="25" spans="1:15" x14ac:dyDescent="0.25">
      <c r="A25" s="10" t="s">
        <v>352</v>
      </c>
      <c r="B25" s="10" t="str">
        <f t="shared" si="0"/>
        <v>733W26414OVR</v>
      </c>
      <c r="C25" t="s">
        <v>215</v>
      </c>
      <c r="D25" t="s">
        <v>210</v>
      </c>
      <c r="E25">
        <v>20411454</v>
      </c>
      <c r="F25" t="s">
        <v>387</v>
      </c>
      <c r="G25" t="s">
        <v>49</v>
      </c>
      <c r="H25" t="s">
        <v>211</v>
      </c>
      <c r="I25" s="1">
        <v>46054</v>
      </c>
      <c r="J25" t="s">
        <v>52</v>
      </c>
      <c r="K25" s="2">
        <v>175</v>
      </c>
      <c r="L25">
        <v>1</v>
      </c>
      <c r="M25" s="2">
        <v>175</v>
      </c>
      <c r="O25" t="s">
        <v>360</v>
      </c>
    </row>
    <row r="26" spans="1:15" x14ac:dyDescent="0.25">
      <c r="A26" s="10" t="s">
        <v>374</v>
      </c>
      <c r="B26" s="10" t="str">
        <f t="shared" si="0"/>
        <v>678W25131OVR</v>
      </c>
      <c r="C26" t="s">
        <v>305</v>
      </c>
      <c r="D26" t="s">
        <v>210</v>
      </c>
      <c r="E26">
        <v>20411454</v>
      </c>
      <c r="F26" t="s">
        <v>387</v>
      </c>
      <c r="G26" t="s">
        <v>249</v>
      </c>
      <c r="H26" t="s">
        <v>211</v>
      </c>
      <c r="I26" s="1">
        <v>46023</v>
      </c>
      <c r="J26" t="s">
        <v>52</v>
      </c>
      <c r="M26" s="4">
        <v>-175</v>
      </c>
      <c r="O26" t="s">
        <v>360</v>
      </c>
    </row>
    <row r="27" spans="1:15" x14ac:dyDescent="0.25">
      <c r="A27" s="10" t="s">
        <v>375</v>
      </c>
      <c r="B27" s="10" t="str">
        <f t="shared" si="0"/>
        <v>36U1A3F87OVR</v>
      </c>
      <c r="C27" t="s">
        <v>298</v>
      </c>
      <c r="D27" t="s">
        <v>55</v>
      </c>
      <c r="E27">
        <v>20411454</v>
      </c>
      <c r="F27" t="s">
        <v>387</v>
      </c>
      <c r="G27" t="s">
        <v>249</v>
      </c>
      <c r="H27" t="s">
        <v>301</v>
      </c>
      <c r="I27" s="1">
        <v>46023</v>
      </c>
      <c r="J27" t="s">
        <v>52</v>
      </c>
      <c r="M27" s="4">
        <v>-100</v>
      </c>
      <c r="O27" t="s">
        <v>361</v>
      </c>
    </row>
    <row r="28" spans="1:15" x14ac:dyDescent="0.25">
      <c r="A28" s="10" t="s">
        <v>376</v>
      </c>
      <c r="B28" s="10" t="str">
        <f t="shared" si="0"/>
        <v>59A5U5F33OVR</v>
      </c>
      <c r="C28" t="s">
        <v>303</v>
      </c>
      <c r="D28" t="s">
        <v>55</v>
      </c>
      <c r="E28">
        <v>20411454</v>
      </c>
      <c r="F28" t="s">
        <v>387</v>
      </c>
      <c r="G28" t="s">
        <v>249</v>
      </c>
      <c r="H28" t="s">
        <v>301</v>
      </c>
      <c r="I28" s="1">
        <v>46023</v>
      </c>
      <c r="J28" t="s">
        <v>52</v>
      </c>
      <c r="M28" s="4">
        <v>-100</v>
      </c>
      <c r="O28" t="s">
        <v>361</v>
      </c>
    </row>
    <row r="29" spans="1:15" x14ac:dyDescent="0.25">
      <c r="A29" s="10" t="s">
        <v>377</v>
      </c>
      <c r="B29" s="10" t="str">
        <f t="shared" si="0"/>
        <v>69L8R8H33OVR</v>
      </c>
      <c r="C29" t="s">
        <v>307</v>
      </c>
      <c r="D29" t="s">
        <v>46</v>
      </c>
      <c r="E29">
        <v>20411454</v>
      </c>
      <c r="F29" t="s">
        <v>387</v>
      </c>
      <c r="G29" t="s">
        <v>249</v>
      </c>
      <c r="H29" t="s">
        <v>301</v>
      </c>
      <c r="I29" s="1">
        <v>46023</v>
      </c>
      <c r="J29" t="s">
        <v>52</v>
      </c>
      <c r="M29" s="4">
        <v>-100</v>
      </c>
      <c r="O29" t="s">
        <v>361</v>
      </c>
    </row>
    <row r="30" spans="1:15" x14ac:dyDescent="0.25">
      <c r="A30" s="10" t="s">
        <v>316</v>
      </c>
      <c r="B30" s="10" t="str">
        <f t="shared" si="0"/>
        <v>00002972813KOVR</v>
      </c>
      <c r="C30" t="s">
        <v>45</v>
      </c>
      <c r="D30" t="s">
        <v>46</v>
      </c>
      <c r="E30">
        <v>20411454</v>
      </c>
      <c r="F30" t="s">
        <v>387</v>
      </c>
      <c r="G30" t="s">
        <v>49</v>
      </c>
      <c r="H30" t="s">
        <v>50</v>
      </c>
      <c r="I30" s="1">
        <v>46113</v>
      </c>
      <c r="J30" t="s">
        <v>52</v>
      </c>
      <c r="K30" s="2">
        <v>175</v>
      </c>
      <c r="L30">
        <v>1</v>
      </c>
      <c r="M30" s="2">
        <v>175</v>
      </c>
      <c r="O30" t="s">
        <v>362</v>
      </c>
    </row>
    <row r="31" spans="1:15" x14ac:dyDescent="0.25">
      <c r="A31" s="10" t="s">
        <v>317</v>
      </c>
      <c r="B31" s="10" t="str">
        <f t="shared" si="0"/>
        <v>00005682118KOVR</v>
      </c>
      <c r="C31" t="s">
        <v>54</v>
      </c>
      <c r="D31" t="s">
        <v>55</v>
      </c>
      <c r="E31">
        <v>20411454</v>
      </c>
      <c r="F31" t="s">
        <v>387</v>
      </c>
      <c r="G31" t="s">
        <v>49</v>
      </c>
      <c r="H31" t="s">
        <v>50</v>
      </c>
      <c r="I31" s="1">
        <v>46113</v>
      </c>
      <c r="J31" t="s">
        <v>52</v>
      </c>
      <c r="K31" s="2">
        <v>175</v>
      </c>
      <c r="L31">
        <v>1</v>
      </c>
      <c r="M31" s="2">
        <v>175</v>
      </c>
      <c r="O31" t="s">
        <v>362</v>
      </c>
    </row>
    <row r="32" spans="1:15" x14ac:dyDescent="0.25">
      <c r="A32" s="10" t="s">
        <v>318</v>
      </c>
      <c r="B32" s="10" t="str">
        <f t="shared" si="0"/>
        <v>00010219753KOVR</v>
      </c>
      <c r="C32" t="s">
        <v>59</v>
      </c>
      <c r="D32" t="s">
        <v>60</v>
      </c>
      <c r="E32">
        <v>20411454</v>
      </c>
      <c r="F32" t="s">
        <v>387</v>
      </c>
      <c r="G32" t="s">
        <v>49</v>
      </c>
      <c r="H32" t="s">
        <v>50</v>
      </c>
      <c r="I32" s="1">
        <v>46113</v>
      </c>
      <c r="J32" t="s">
        <v>52</v>
      </c>
      <c r="K32" s="2">
        <v>175</v>
      </c>
      <c r="L32">
        <v>1</v>
      </c>
      <c r="M32" s="2">
        <v>175</v>
      </c>
      <c r="O32" t="s">
        <v>362</v>
      </c>
    </row>
    <row r="33" spans="1:15" x14ac:dyDescent="0.25">
      <c r="A33" s="10" t="s">
        <v>321</v>
      </c>
      <c r="B33" s="10" t="str">
        <f t="shared" si="0"/>
        <v>00015745357KOVR</v>
      </c>
      <c r="C33" t="s">
        <v>72</v>
      </c>
      <c r="D33" t="s">
        <v>55</v>
      </c>
      <c r="E33">
        <v>20411454</v>
      </c>
      <c r="F33" t="s">
        <v>387</v>
      </c>
      <c r="G33" t="s">
        <v>49</v>
      </c>
      <c r="H33" t="s">
        <v>50</v>
      </c>
      <c r="I33" s="1">
        <v>46113</v>
      </c>
      <c r="J33" t="s">
        <v>52</v>
      </c>
      <c r="K33" s="2">
        <v>175</v>
      </c>
      <c r="L33">
        <v>1</v>
      </c>
      <c r="M33" s="2">
        <v>175</v>
      </c>
      <c r="O33" t="s">
        <v>362</v>
      </c>
    </row>
    <row r="34" spans="1:15" x14ac:dyDescent="0.25">
      <c r="A34" s="10" t="s">
        <v>323</v>
      </c>
      <c r="B34" s="10" t="str">
        <f t="shared" si="0"/>
        <v>00019636102KOVR</v>
      </c>
      <c r="C34" t="s">
        <v>76</v>
      </c>
      <c r="D34" t="s">
        <v>55</v>
      </c>
      <c r="E34">
        <v>20411454</v>
      </c>
      <c r="F34" t="s">
        <v>387</v>
      </c>
      <c r="G34" t="s">
        <v>49</v>
      </c>
      <c r="H34" t="s">
        <v>50</v>
      </c>
      <c r="I34" s="1">
        <v>46113</v>
      </c>
      <c r="J34" t="s">
        <v>52</v>
      </c>
      <c r="K34" s="2">
        <v>175</v>
      </c>
      <c r="L34">
        <v>1</v>
      </c>
      <c r="M34" s="2">
        <v>175</v>
      </c>
      <c r="O34" t="s">
        <v>362</v>
      </c>
    </row>
    <row r="35" spans="1:15" x14ac:dyDescent="0.25">
      <c r="A35" s="10" t="s">
        <v>324</v>
      </c>
      <c r="B35" s="10" t="str">
        <f t="shared" si="0"/>
        <v>00021653839KOVR</v>
      </c>
      <c r="C35" t="s">
        <v>80</v>
      </c>
      <c r="D35" t="s">
        <v>55</v>
      </c>
      <c r="E35">
        <v>20411454</v>
      </c>
      <c r="F35" t="s">
        <v>387</v>
      </c>
      <c r="G35" t="s">
        <v>49</v>
      </c>
      <c r="H35" t="s">
        <v>50</v>
      </c>
      <c r="I35" s="1">
        <v>46113</v>
      </c>
      <c r="J35" t="s">
        <v>52</v>
      </c>
      <c r="K35" s="2">
        <v>175</v>
      </c>
      <c r="L35">
        <v>1</v>
      </c>
      <c r="M35" s="2">
        <v>175</v>
      </c>
      <c r="O35" t="s">
        <v>362</v>
      </c>
    </row>
    <row r="36" spans="1:15" x14ac:dyDescent="0.25">
      <c r="A36" s="10" t="s">
        <v>325</v>
      </c>
      <c r="B36" s="10" t="str">
        <f t="shared" si="0"/>
        <v>00023224834KOVR</v>
      </c>
      <c r="C36" t="s">
        <v>82</v>
      </c>
      <c r="D36" t="s">
        <v>55</v>
      </c>
      <c r="E36">
        <v>20411454</v>
      </c>
      <c r="F36" t="s">
        <v>387</v>
      </c>
      <c r="G36" t="s">
        <v>49</v>
      </c>
      <c r="H36" t="s">
        <v>50</v>
      </c>
      <c r="I36" s="1">
        <v>46113</v>
      </c>
      <c r="J36" t="s">
        <v>52</v>
      </c>
      <c r="K36" s="2">
        <v>175</v>
      </c>
      <c r="L36">
        <v>1</v>
      </c>
      <c r="M36" s="2">
        <v>175</v>
      </c>
      <c r="O36" t="s">
        <v>362</v>
      </c>
    </row>
    <row r="37" spans="1:15" x14ac:dyDescent="0.25">
      <c r="A37" s="10" t="s">
        <v>326</v>
      </c>
      <c r="B37" s="10" t="str">
        <f t="shared" si="0"/>
        <v>00024072371KOVR</v>
      </c>
      <c r="C37" t="s">
        <v>86</v>
      </c>
      <c r="D37" t="s">
        <v>65</v>
      </c>
      <c r="E37">
        <v>20411454</v>
      </c>
      <c r="F37" t="s">
        <v>387</v>
      </c>
      <c r="G37" t="s">
        <v>49</v>
      </c>
      <c r="H37" t="s">
        <v>50</v>
      </c>
      <c r="I37" s="1">
        <v>46113</v>
      </c>
      <c r="J37" t="s">
        <v>52</v>
      </c>
      <c r="K37" s="2">
        <v>175</v>
      </c>
      <c r="L37">
        <v>1</v>
      </c>
      <c r="M37" s="2">
        <v>175</v>
      </c>
      <c r="O37" t="s">
        <v>362</v>
      </c>
    </row>
    <row r="38" spans="1:15" x14ac:dyDescent="0.25">
      <c r="A38" s="10" t="s">
        <v>327</v>
      </c>
      <c r="B38" s="10" t="str">
        <f t="shared" si="0"/>
        <v>00024914891KOVR</v>
      </c>
      <c r="C38" t="s">
        <v>88</v>
      </c>
      <c r="D38" t="s">
        <v>89</v>
      </c>
      <c r="E38">
        <v>20411454</v>
      </c>
      <c r="F38" t="s">
        <v>387</v>
      </c>
      <c r="G38" t="s">
        <v>49</v>
      </c>
      <c r="H38" t="s">
        <v>50</v>
      </c>
      <c r="I38" s="1">
        <v>46054</v>
      </c>
      <c r="J38" t="s">
        <v>52</v>
      </c>
      <c r="K38" s="2">
        <v>175</v>
      </c>
      <c r="L38">
        <v>1</v>
      </c>
      <c r="M38" s="2">
        <v>175</v>
      </c>
      <c r="O38" t="s">
        <v>362</v>
      </c>
    </row>
    <row r="39" spans="1:15" x14ac:dyDescent="0.25">
      <c r="A39" s="10" t="s">
        <v>329</v>
      </c>
      <c r="B39" s="10" t="str">
        <f t="shared" si="0"/>
        <v>00025648659KOVR</v>
      </c>
      <c r="C39" t="s">
        <v>97</v>
      </c>
      <c r="D39" t="s">
        <v>65</v>
      </c>
      <c r="E39">
        <v>20411454</v>
      </c>
      <c r="F39" t="s">
        <v>387</v>
      </c>
      <c r="G39" t="s">
        <v>100</v>
      </c>
      <c r="H39" t="s">
        <v>50</v>
      </c>
      <c r="I39" s="1">
        <v>46023</v>
      </c>
      <c r="J39" t="s">
        <v>52</v>
      </c>
      <c r="K39" s="2">
        <v>145.25</v>
      </c>
      <c r="L39">
        <v>1</v>
      </c>
      <c r="M39" s="2">
        <v>145.25</v>
      </c>
      <c r="N39" t="s">
        <v>101</v>
      </c>
      <c r="O39" t="s">
        <v>362</v>
      </c>
    </row>
    <row r="40" spans="1:15" x14ac:dyDescent="0.25">
      <c r="A40" s="10" t="s">
        <v>331</v>
      </c>
      <c r="B40" s="10" t="str">
        <f t="shared" si="0"/>
        <v>00026244860KOVR</v>
      </c>
      <c r="C40" t="s">
        <v>106</v>
      </c>
      <c r="D40" t="s">
        <v>107</v>
      </c>
      <c r="E40">
        <v>20411454</v>
      </c>
      <c r="F40" t="s">
        <v>387</v>
      </c>
      <c r="G40" t="s">
        <v>49</v>
      </c>
      <c r="H40" t="s">
        <v>50</v>
      </c>
      <c r="I40" s="1">
        <v>46113</v>
      </c>
      <c r="J40" t="s">
        <v>52</v>
      </c>
      <c r="K40" s="2">
        <v>175</v>
      </c>
      <c r="L40">
        <v>1</v>
      </c>
      <c r="M40" s="2">
        <v>175</v>
      </c>
      <c r="O40" t="s">
        <v>362</v>
      </c>
    </row>
    <row r="41" spans="1:15" x14ac:dyDescent="0.25">
      <c r="A41" s="10" t="s">
        <v>332</v>
      </c>
      <c r="B41" s="10" t="str">
        <f t="shared" si="0"/>
        <v>00026245100KOVR</v>
      </c>
      <c r="C41" t="s">
        <v>111</v>
      </c>
      <c r="D41" t="s">
        <v>55</v>
      </c>
      <c r="E41">
        <v>20411454</v>
      </c>
      <c r="F41" t="s">
        <v>387</v>
      </c>
      <c r="G41" t="s">
        <v>49</v>
      </c>
      <c r="H41" t="s">
        <v>50</v>
      </c>
      <c r="I41" s="1">
        <v>46113</v>
      </c>
      <c r="J41" t="s">
        <v>52</v>
      </c>
      <c r="K41" s="2">
        <v>175</v>
      </c>
      <c r="L41">
        <v>1</v>
      </c>
      <c r="M41" s="2">
        <v>175</v>
      </c>
      <c r="O41" t="s">
        <v>362</v>
      </c>
    </row>
    <row r="42" spans="1:15" x14ac:dyDescent="0.25">
      <c r="A42" s="10" t="s">
        <v>333</v>
      </c>
      <c r="B42" s="10" t="str">
        <f t="shared" si="0"/>
        <v>00026248345KOVR</v>
      </c>
      <c r="C42" t="s">
        <v>115</v>
      </c>
      <c r="D42" t="s">
        <v>55</v>
      </c>
      <c r="E42">
        <v>20411454</v>
      </c>
      <c r="F42" t="s">
        <v>387</v>
      </c>
      <c r="G42" t="s">
        <v>49</v>
      </c>
      <c r="H42" t="s">
        <v>50</v>
      </c>
      <c r="I42" s="1">
        <v>46113</v>
      </c>
      <c r="J42" t="s">
        <v>52</v>
      </c>
      <c r="K42" s="2">
        <v>175</v>
      </c>
      <c r="L42">
        <v>1</v>
      </c>
      <c r="M42" s="2">
        <v>175</v>
      </c>
      <c r="O42" t="s">
        <v>362</v>
      </c>
    </row>
    <row r="43" spans="1:15" x14ac:dyDescent="0.25">
      <c r="A43" s="10" t="s">
        <v>334</v>
      </c>
      <c r="B43" s="10" t="str">
        <f t="shared" si="0"/>
        <v>00026250772KOVR</v>
      </c>
      <c r="C43" t="s">
        <v>119</v>
      </c>
      <c r="D43" t="s">
        <v>120</v>
      </c>
      <c r="E43">
        <v>20411454</v>
      </c>
      <c r="F43" t="s">
        <v>387</v>
      </c>
      <c r="G43" t="s">
        <v>49</v>
      </c>
      <c r="H43" t="s">
        <v>50</v>
      </c>
      <c r="I43" s="1">
        <v>46113</v>
      </c>
      <c r="J43" t="s">
        <v>52</v>
      </c>
      <c r="K43" s="2">
        <v>175</v>
      </c>
      <c r="L43">
        <v>1</v>
      </c>
      <c r="M43" s="2">
        <v>175</v>
      </c>
      <c r="O43" t="s">
        <v>362</v>
      </c>
    </row>
    <row r="44" spans="1:15" x14ac:dyDescent="0.25">
      <c r="A44" s="10" t="s">
        <v>335</v>
      </c>
      <c r="B44" s="10" t="str">
        <f t="shared" si="0"/>
        <v>00026251004KOVR</v>
      </c>
      <c r="C44" t="s">
        <v>122</v>
      </c>
      <c r="D44" t="s">
        <v>55</v>
      </c>
      <c r="E44">
        <v>20411454</v>
      </c>
      <c r="F44" t="s">
        <v>387</v>
      </c>
      <c r="G44" t="s">
        <v>49</v>
      </c>
      <c r="H44" t="s">
        <v>50</v>
      </c>
      <c r="I44" s="1">
        <v>46113</v>
      </c>
      <c r="J44" t="s">
        <v>52</v>
      </c>
      <c r="K44" s="2">
        <v>175</v>
      </c>
      <c r="L44">
        <v>1</v>
      </c>
      <c r="M44" s="2">
        <v>175</v>
      </c>
      <c r="O44" t="s">
        <v>362</v>
      </c>
    </row>
    <row r="45" spans="1:15" x14ac:dyDescent="0.25">
      <c r="A45" s="10" t="s">
        <v>336</v>
      </c>
      <c r="B45" s="10" t="str">
        <f t="shared" si="0"/>
        <v>00026253283KOVR</v>
      </c>
      <c r="C45" t="s">
        <v>126</v>
      </c>
      <c r="D45" t="s">
        <v>55</v>
      </c>
      <c r="E45">
        <v>20411454</v>
      </c>
      <c r="F45" t="s">
        <v>387</v>
      </c>
      <c r="G45" t="s">
        <v>49</v>
      </c>
      <c r="H45" t="s">
        <v>50</v>
      </c>
      <c r="I45" s="1">
        <v>46113</v>
      </c>
      <c r="J45" t="s">
        <v>52</v>
      </c>
      <c r="K45" s="2">
        <v>175</v>
      </c>
      <c r="L45">
        <v>1</v>
      </c>
      <c r="M45" s="2">
        <v>175</v>
      </c>
      <c r="O45" t="s">
        <v>362</v>
      </c>
    </row>
    <row r="46" spans="1:15" x14ac:dyDescent="0.25">
      <c r="A46" s="10" t="s">
        <v>337</v>
      </c>
      <c r="B46" s="10" t="str">
        <f t="shared" si="0"/>
        <v>00026256417KOVR</v>
      </c>
      <c r="C46" t="s">
        <v>130</v>
      </c>
      <c r="D46" t="s">
        <v>65</v>
      </c>
      <c r="E46">
        <v>20411454</v>
      </c>
      <c r="F46" t="s">
        <v>387</v>
      </c>
      <c r="G46" t="s">
        <v>49</v>
      </c>
      <c r="H46" t="s">
        <v>50</v>
      </c>
      <c r="I46" s="1">
        <v>46174</v>
      </c>
      <c r="J46" t="s">
        <v>52</v>
      </c>
      <c r="K46" s="2">
        <v>175</v>
      </c>
      <c r="L46">
        <v>1</v>
      </c>
      <c r="M46" s="2">
        <v>175</v>
      </c>
      <c r="O46" t="s">
        <v>362</v>
      </c>
    </row>
    <row r="47" spans="1:15" x14ac:dyDescent="0.25">
      <c r="A47" s="10" t="s">
        <v>338</v>
      </c>
      <c r="B47" s="10" t="str">
        <f t="shared" si="0"/>
        <v>00026256698KOVR</v>
      </c>
      <c r="C47" t="s">
        <v>132</v>
      </c>
      <c r="D47" t="s">
        <v>55</v>
      </c>
      <c r="E47">
        <v>20411454</v>
      </c>
      <c r="F47" t="s">
        <v>387</v>
      </c>
      <c r="G47" t="s">
        <v>49</v>
      </c>
      <c r="H47" t="s">
        <v>50</v>
      </c>
      <c r="I47" s="1">
        <v>46113</v>
      </c>
      <c r="J47" t="s">
        <v>52</v>
      </c>
      <c r="K47" s="2">
        <v>175</v>
      </c>
      <c r="L47">
        <v>1</v>
      </c>
      <c r="M47" s="2">
        <v>175</v>
      </c>
      <c r="O47" t="s">
        <v>362</v>
      </c>
    </row>
    <row r="48" spans="1:15" x14ac:dyDescent="0.25">
      <c r="A48" s="10" t="s">
        <v>339</v>
      </c>
      <c r="B48" s="10" t="str">
        <f t="shared" si="0"/>
        <v>00026259873KOVR</v>
      </c>
      <c r="C48" t="s">
        <v>134</v>
      </c>
      <c r="D48" t="s">
        <v>65</v>
      </c>
      <c r="E48">
        <v>20411454</v>
      </c>
      <c r="F48" t="s">
        <v>387</v>
      </c>
      <c r="G48" t="s">
        <v>49</v>
      </c>
      <c r="H48" t="s">
        <v>50</v>
      </c>
      <c r="I48" s="1">
        <v>46113</v>
      </c>
      <c r="J48" t="s">
        <v>52</v>
      </c>
      <c r="K48" s="2">
        <v>175</v>
      </c>
      <c r="L48">
        <v>1</v>
      </c>
      <c r="M48" s="2">
        <v>175</v>
      </c>
      <c r="O48" t="s">
        <v>362</v>
      </c>
    </row>
    <row r="49" spans="1:15" x14ac:dyDescent="0.25">
      <c r="A49" s="10" t="s">
        <v>340</v>
      </c>
      <c r="B49" s="10" t="str">
        <f t="shared" si="0"/>
        <v>00026260016KOVR</v>
      </c>
      <c r="C49" t="s">
        <v>138</v>
      </c>
      <c r="D49" t="s">
        <v>55</v>
      </c>
      <c r="E49">
        <v>20411454</v>
      </c>
      <c r="F49" t="s">
        <v>387</v>
      </c>
      <c r="G49" t="s">
        <v>49</v>
      </c>
      <c r="H49" t="s">
        <v>50</v>
      </c>
      <c r="I49" s="1">
        <v>46143</v>
      </c>
      <c r="J49" t="s">
        <v>52</v>
      </c>
      <c r="K49" s="2">
        <v>175</v>
      </c>
      <c r="L49">
        <v>1</v>
      </c>
      <c r="M49" s="2">
        <v>175</v>
      </c>
      <c r="O49" t="s">
        <v>362</v>
      </c>
    </row>
    <row r="50" spans="1:15" x14ac:dyDescent="0.25">
      <c r="A50" s="10" t="s">
        <v>341</v>
      </c>
      <c r="B50" s="10" t="str">
        <f t="shared" si="0"/>
        <v>00026260410KOVR</v>
      </c>
      <c r="C50" t="s">
        <v>140</v>
      </c>
      <c r="D50" t="s">
        <v>107</v>
      </c>
      <c r="E50">
        <v>20411454</v>
      </c>
      <c r="F50" t="s">
        <v>387</v>
      </c>
      <c r="G50" t="s">
        <v>49</v>
      </c>
      <c r="H50" t="s">
        <v>50</v>
      </c>
      <c r="I50" s="1">
        <v>46113</v>
      </c>
      <c r="J50" t="s">
        <v>52</v>
      </c>
      <c r="K50" s="2">
        <v>175</v>
      </c>
      <c r="L50">
        <v>1</v>
      </c>
      <c r="M50" s="2">
        <v>175</v>
      </c>
      <c r="O50" t="s">
        <v>362</v>
      </c>
    </row>
    <row r="51" spans="1:15" x14ac:dyDescent="0.25">
      <c r="A51" s="10" t="s">
        <v>342</v>
      </c>
      <c r="B51" s="10" t="str">
        <f t="shared" si="0"/>
        <v>00026260890KOVR</v>
      </c>
      <c r="C51" t="s">
        <v>142</v>
      </c>
      <c r="D51" t="s">
        <v>55</v>
      </c>
      <c r="E51">
        <v>20411454</v>
      </c>
      <c r="F51" t="s">
        <v>387</v>
      </c>
      <c r="G51" t="s">
        <v>49</v>
      </c>
      <c r="H51" t="s">
        <v>50</v>
      </c>
      <c r="I51" s="1">
        <v>46113</v>
      </c>
      <c r="J51" t="s">
        <v>52</v>
      </c>
      <c r="K51" s="2">
        <v>175</v>
      </c>
      <c r="L51">
        <v>1</v>
      </c>
      <c r="M51" s="2">
        <v>175</v>
      </c>
      <c r="O51" t="s">
        <v>362</v>
      </c>
    </row>
    <row r="52" spans="1:15" x14ac:dyDescent="0.25">
      <c r="A52" s="10" t="s">
        <v>343</v>
      </c>
      <c r="B52" s="10" t="str">
        <f t="shared" si="0"/>
        <v>00026261378KOVR</v>
      </c>
      <c r="C52" t="s">
        <v>144</v>
      </c>
      <c r="D52" t="s">
        <v>55</v>
      </c>
      <c r="E52">
        <v>20411454</v>
      </c>
      <c r="F52" t="s">
        <v>387</v>
      </c>
      <c r="G52" t="s">
        <v>49</v>
      </c>
      <c r="H52" t="s">
        <v>50</v>
      </c>
      <c r="I52" s="1">
        <v>46113</v>
      </c>
      <c r="J52" t="s">
        <v>52</v>
      </c>
      <c r="K52" s="2">
        <v>175</v>
      </c>
      <c r="L52">
        <v>1</v>
      </c>
      <c r="M52" s="2">
        <v>175</v>
      </c>
      <c r="O52" t="s">
        <v>362</v>
      </c>
    </row>
    <row r="53" spans="1:15" x14ac:dyDescent="0.25">
      <c r="A53" s="10" t="s">
        <v>344</v>
      </c>
      <c r="B53" s="10" t="str">
        <f t="shared" si="0"/>
        <v>00026261781KOVR</v>
      </c>
      <c r="C53" t="s">
        <v>146</v>
      </c>
      <c r="D53" t="s">
        <v>147</v>
      </c>
      <c r="E53">
        <v>20411454</v>
      </c>
      <c r="F53" t="s">
        <v>387</v>
      </c>
      <c r="G53" t="s">
        <v>49</v>
      </c>
      <c r="H53" t="s">
        <v>50</v>
      </c>
      <c r="I53" s="1">
        <v>46113</v>
      </c>
      <c r="J53" t="s">
        <v>52</v>
      </c>
      <c r="K53" s="2">
        <v>175</v>
      </c>
      <c r="L53">
        <v>1</v>
      </c>
      <c r="M53" s="2">
        <v>175</v>
      </c>
      <c r="O53" t="s">
        <v>362</v>
      </c>
    </row>
    <row r="54" spans="1:15" x14ac:dyDescent="0.25">
      <c r="A54" s="10" t="s">
        <v>345</v>
      </c>
      <c r="B54" s="10" t="str">
        <f t="shared" si="0"/>
        <v>00026263324KOVR</v>
      </c>
      <c r="C54" t="s">
        <v>151</v>
      </c>
      <c r="D54" t="s">
        <v>55</v>
      </c>
      <c r="E54">
        <v>20411454</v>
      </c>
      <c r="F54" t="s">
        <v>387</v>
      </c>
      <c r="G54" t="s">
        <v>49</v>
      </c>
      <c r="H54" t="s">
        <v>50</v>
      </c>
      <c r="I54" s="1">
        <v>46113</v>
      </c>
      <c r="J54" t="s">
        <v>52</v>
      </c>
      <c r="K54" s="2">
        <v>175</v>
      </c>
      <c r="L54">
        <v>1</v>
      </c>
      <c r="M54" s="2">
        <v>175</v>
      </c>
      <c r="O54" t="s">
        <v>362</v>
      </c>
    </row>
    <row r="55" spans="1:15" x14ac:dyDescent="0.25">
      <c r="A55" s="10" t="s">
        <v>346</v>
      </c>
      <c r="B55" s="10" t="str">
        <f t="shared" si="0"/>
        <v>00026264403KOVR</v>
      </c>
      <c r="C55" t="s">
        <v>155</v>
      </c>
      <c r="D55" t="s">
        <v>65</v>
      </c>
      <c r="E55">
        <v>20411454</v>
      </c>
      <c r="F55" t="s">
        <v>387</v>
      </c>
      <c r="G55" t="s">
        <v>49</v>
      </c>
      <c r="H55" t="s">
        <v>50</v>
      </c>
      <c r="I55" s="1">
        <v>46143</v>
      </c>
      <c r="J55" t="s">
        <v>52</v>
      </c>
      <c r="K55" s="2">
        <v>175</v>
      </c>
      <c r="L55">
        <v>1</v>
      </c>
      <c r="M55" s="2">
        <v>175</v>
      </c>
      <c r="O55" t="s">
        <v>362</v>
      </c>
    </row>
    <row r="56" spans="1:15" x14ac:dyDescent="0.25">
      <c r="A56" s="10" t="s">
        <v>347</v>
      </c>
      <c r="B56" s="10" t="str">
        <f t="shared" si="0"/>
        <v>00026265493KOVR</v>
      </c>
      <c r="C56" t="s">
        <v>159</v>
      </c>
      <c r="D56" t="s">
        <v>160</v>
      </c>
      <c r="E56">
        <v>20411454</v>
      </c>
      <c r="F56" t="s">
        <v>387</v>
      </c>
      <c r="G56" t="s">
        <v>49</v>
      </c>
      <c r="H56" t="s">
        <v>50</v>
      </c>
      <c r="I56" s="1">
        <v>46113</v>
      </c>
      <c r="J56" t="s">
        <v>52</v>
      </c>
      <c r="K56" s="2">
        <v>175</v>
      </c>
      <c r="L56">
        <v>1</v>
      </c>
      <c r="M56" s="2">
        <v>175</v>
      </c>
      <c r="O56" t="s">
        <v>362</v>
      </c>
    </row>
    <row r="57" spans="1:15" x14ac:dyDescent="0.25">
      <c r="A57" s="10" t="s">
        <v>348</v>
      </c>
      <c r="B57" s="10" t="str">
        <f t="shared" si="0"/>
        <v>00026267253KOVR</v>
      </c>
      <c r="C57" t="s">
        <v>162</v>
      </c>
      <c r="D57" t="s">
        <v>55</v>
      </c>
      <c r="E57">
        <v>20411454</v>
      </c>
      <c r="F57" t="s">
        <v>387</v>
      </c>
      <c r="G57" t="s">
        <v>49</v>
      </c>
      <c r="H57" t="s">
        <v>50</v>
      </c>
      <c r="I57" s="1">
        <v>46143</v>
      </c>
      <c r="J57" t="s">
        <v>52</v>
      </c>
      <c r="K57" s="2">
        <v>175</v>
      </c>
      <c r="L57">
        <v>1</v>
      </c>
      <c r="M57" s="2">
        <v>175</v>
      </c>
      <c r="O57" t="s">
        <v>362</v>
      </c>
    </row>
    <row r="58" spans="1:15" x14ac:dyDescent="0.25">
      <c r="A58" s="10" t="s">
        <v>349</v>
      </c>
      <c r="B58" s="10" t="str">
        <f t="shared" si="0"/>
        <v>00026267802KOVR</v>
      </c>
      <c r="C58" t="s">
        <v>164</v>
      </c>
      <c r="D58" t="s">
        <v>55</v>
      </c>
      <c r="E58">
        <v>20411454</v>
      </c>
      <c r="F58" t="s">
        <v>387</v>
      </c>
      <c r="G58" t="s">
        <v>49</v>
      </c>
      <c r="H58" t="s">
        <v>50</v>
      </c>
      <c r="I58" s="1">
        <v>46113</v>
      </c>
      <c r="J58" t="s">
        <v>52</v>
      </c>
      <c r="K58" s="2">
        <v>175</v>
      </c>
      <c r="L58">
        <v>1</v>
      </c>
      <c r="M58" s="2">
        <v>175</v>
      </c>
      <c r="O58" t="s">
        <v>362</v>
      </c>
    </row>
    <row r="59" spans="1:15" x14ac:dyDescent="0.25">
      <c r="A59" s="10" t="s">
        <v>380</v>
      </c>
      <c r="B59" s="10" t="str">
        <f t="shared" si="0"/>
        <v>00000437692KOVR</v>
      </c>
      <c r="C59" t="s">
        <v>248</v>
      </c>
      <c r="D59" t="s">
        <v>196</v>
      </c>
      <c r="E59">
        <v>20411454</v>
      </c>
      <c r="F59" t="s">
        <v>387</v>
      </c>
      <c r="G59" t="s">
        <v>249</v>
      </c>
      <c r="H59" t="s">
        <v>50</v>
      </c>
      <c r="I59" s="1">
        <v>46023</v>
      </c>
      <c r="J59" t="s">
        <v>52</v>
      </c>
      <c r="M59" s="4">
        <v>-145.25</v>
      </c>
      <c r="O59" t="s">
        <v>362</v>
      </c>
    </row>
    <row r="60" spans="1:15" x14ac:dyDescent="0.25">
      <c r="A60" s="10" t="s">
        <v>381</v>
      </c>
      <c r="B60" s="10" t="str">
        <f t="shared" si="0"/>
        <v>00009374194KOVR</v>
      </c>
      <c r="C60" t="s">
        <v>251</v>
      </c>
      <c r="D60" t="s">
        <v>55</v>
      </c>
      <c r="E60">
        <v>20411454</v>
      </c>
      <c r="F60" t="s">
        <v>387</v>
      </c>
      <c r="G60" t="s">
        <v>249</v>
      </c>
      <c r="H60" t="s">
        <v>50</v>
      </c>
      <c r="I60" s="1">
        <v>46023</v>
      </c>
      <c r="J60" t="s">
        <v>52</v>
      </c>
      <c r="M60" s="4">
        <v>-131.25</v>
      </c>
      <c r="O60" t="s">
        <v>362</v>
      </c>
    </row>
    <row r="61" spans="1:15" x14ac:dyDescent="0.25">
      <c r="A61" s="10" t="s">
        <v>382</v>
      </c>
      <c r="B61" s="10" t="str">
        <f t="shared" si="0"/>
        <v>00025072361KOVR</v>
      </c>
      <c r="C61" t="s">
        <v>259</v>
      </c>
      <c r="D61" t="s">
        <v>242</v>
      </c>
      <c r="E61">
        <v>20411454</v>
      </c>
      <c r="F61" t="s">
        <v>387</v>
      </c>
      <c r="G61" t="s">
        <v>249</v>
      </c>
      <c r="H61" t="s">
        <v>50</v>
      </c>
      <c r="I61" s="1">
        <v>46023</v>
      </c>
      <c r="J61" t="s">
        <v>52</v>
      </c>
      <c r="M61" s="4">
        <v>-131.25</v>
      </c>
      <c r="O61" t="s">
        <v>362</v>
      </c>
    </row>
    <row r="62" spans="1:15" x14ac:dyDescent="0.25">
      <c r="A62" s="10" t="s">
        <v>383</v>
      </c>
      <c r="B62" s="10" t="str">
        <f t="shared" si="0"/>
        <v>00025741009KOVR</v>
      </c>
      <c r="C62" t="s">
        <v>261</v>
      </c>
      <c r="D62" t="s">
        <v>262</v>
      </c>
      <c r="E62">
        <v>20411454</v>
      </c>
      <c r="F62" t="s">
        <v>387</v>
      </c>
      <c r="G62" t="s">
        <v>249</v>
      </c>
      <c r="H62" t="s">
        <v>50</v>
      </c>
      <c r="I62" s="1">
        <v>46023</v>
      </c>
      <c r="J62" t="s">
        <v>52</v>
      </c>
      <c r="M62" s="4">
        <v>-131.25</v>
      </c>
      <c r="O62" t="s">
        <v>362</v>
      </c>
    </row>
    <row r="63" spans="1:15" x14ac:dyDescent="0.25">
      <c r="A63" s="10" t="s">
        <v>330</v>
      </c>
      <c r="B63" s="10" t="str">
        <f t="shared" si="0"/>
        <v>00025750039KOVR</v>
      </c>
      <c r="C63" t="s">
        <v>103</v>
      </c>
      <c r="D63" t="s">
        <v>55</v>
      </c>
      <c r="E63">
        <v>20411454</v>
      </c>
      <c r="F63" t="s">
        <v>387</v>
      </c>
      <c r="G63" t="s">
        <v>249</v>
      </c>
      <c r="H63" t="s">
        <v>50</v>
      </c>
      <c r="I63" s="1">
        <v>46023</v>
      </c>
      <c r="J63" t="s">
        <v>52</v>
      </c>
      <c r="M63" s="4">
        <v>-131.25</v>
      </c>
      <c r="O63" t="s">
        <v>362</v>
      </c>
    </row>
    <row r="64" spans="1:15" x14ac:dyDescent="0.25">
      <c r="A64" s="10" t="s">
        <v>384</v>
      </c>
      <c r="B64" s="10" t="str">
        <f t="shared" si="0"/>
        <v>00025831651KOVR</v>
      </c>
      <c r="C64" t="s">
        <v>267</v>
      </c>
      <c r="D64" t="s">
        <v>55</v>
      </c>
      <c r="E64">
        <v>20411454</v>
      </c>
      <c r="F64" t="s">
        <v>387</v>
      </c>
      <c r="G64" t="s">
        <v>249</v>
      </c>
      <c r="H64" t="s">
        <v>50</v>
      </c>
      <c r="I64" s="1">
        <v>46023</v>
      </c>
      <c r="J64" t="s">
        <v>52</v>
      </c>
      <c r="M64" s="4">
        <v>-131.25</v>
      </c>
      <c r="O64" t="s">
        <v>362</v>
      </c>
    </row>
    <row r="65" spans="1:15" x14ac:dyDescent="0.25">
      <c r="A65" s="10" t="s">
        <v>378</v>
      </c>
      <c r="B65" s="10" t="str">
        <f t="shared" si="0"/>
        <v>00025965072KOVR</v>
      </c>
      <c r="C65" t="s">
        <v>269</v>
      </c>
      <c r="D65" t="s">
        <v>55</v>
      </c>
      <c r="E65">
        <v>20411454</v>
      </c>
      <c r="F65" t="s">
        <v>387</v>
      </c>
      <c r="G65" t="s">
        <v>249</v>
      </c>
      <c r="H65" t="s">
        <v>50</v>
      </c>
      <c r="I65" s="1">
        <v>46054</v>
      </c>
      <c r="J65" t="s">
        <v>52</v>
      </c>
      <c r="M65" s="4">
        <v>-175</v>
      </c>
      <c r="O65" t="s">
        <v>362</v>
      </c>
    </row>
    <row r="66" spans="1:15" x14ac:dyDescent="0.25">
      <c r="A66" s="10" t="s">
        <v>379</v>
      </c>
      <c r="B66" s="10" t="str">
        <f t="shared" si="0"/>
        <v>00026182740KOVR</v>
      </c>
      <c r="C66" t="s">
        <v>271</v>
      </c>
      <c r="D66" t="s">
        <v>65</v>
      </c>
      <c r="E66">
        <v>20411454</v>
      </c>
      <c r="F66" t="s">
        <v>387</v>
      </c>
      <c r="G66" t="s">
        <v>249</v>
      </c>
      <c r="H66" t="s">
        <v>50</v>
      </c>
      <c r="I66" s="1">
        <v>46143</v>
      </c>
      <c r="J66" t="s">
        <v>52</v>
      </c>
      <c r="M66" s="4">
        <v>-175</v>
      </c>
      <c r="O66" t="s">
        <v>362</v>
      </c>
    </row>
    <row r="67" spans="1:15" x14ac:dyDescent="0.25">
      <c r="A67" s="10" t="s">
        <v>319</v>
      </c>
      <c r="B67" s="10" t="str">
        <f t="shared" ref="B67:B73" si="1">CONCATENATE(A67,"OVR")</f>
        <v>00011291715KOVR</v>
      </c>
      <c r="C67" t="s">
        <v>64</v>
      </c>
      <c r="D67" t="s">
        <v>65</v>
      </c>
      <c r="E67">
        <v>20411454</v>
      </c>
      <c r="F67" t="s">
        <v>387</v>
      </c>
      <c r="G67" t="s">
        <v>49</v>
      </c>
      <c r="H67" t="s">
        <v>66</v>
      </c>
      <c r="I67" s="1">
        <v>46113</v>
      </c>
      <c r="J67" t="s">
        <v>52</v>
      </c>
      <c r="K67" s="2">
        <v>108</v>
      </c>
      <c r="L67">
        <v>1</v>
      </c>
      <c r="M67" s="2">
        <v>108</v>
      </c>
      <c r="O67" t="s">
        <v>362</v>
      </c>
    </row>
    <row r="68" spans="1:15" x14ac:dyDescent="0.25">
      <c r="A68" s="10" t="s">
        <v>320</v>
      </c>
      <c r="B68" s="10" t="str">
        <f t="shared" si="1"/>
        <v>00012550188KOVR</v>
      </c>
      <c r="C68" t="s">
        <v>68</v>
      </c>
      <c r="D68" t="s">
        <v>55</v>
      </c>
      <c r="E68">
        <v>20411454</v>
      </c>
      <c r="F68" t="s">
        <v>387</v>
      </c>
      <c r="G68" t="s">
        <v>49</v>
      </c>
      <c r="H68" t="s">
        <v>66</v>
      </c>
      <c r="I68" s="1">
        <v>46113</v>
      </c>
      <c r="J68" t="s">
        <v>52</v>
      </c>
      <c r="K68" s="2">
        <v>108</v>
      </c>
      <c r="L68">
        <v>1</v>
      </c>
      <c r="M68" s="2">
        <v>108</v>
      </c>
      <c r="O68" t="s">
        <v>362</v>
      </c>
    </row>
    <row r="69" spans="1:15" x14ac:dyDescent="0.25">
      <c r="A69" s="10" t="s">
        <v>322</v>
      </c>
      <c r="B69" s="10" t="str">
        <f t="shared" si="1"/>
        <v>00016609303KOVR</v>
      </c>
      <c r="C69" t="s">
        <v>74</v>
      </c>
      <c r="D69" t="s">
        <v>55</v>
      </c>
      <c r="E69">
        <v>20411454</v>
      </c>
      <c r="F69" t="s">
        <v>387</v>
      </c>
      <c r="G69" t="s">
        <v>49</v>
      </c>
      <c r="H69" t="s">
        <v>66</v>
      </c>
      <c r="I69" s="1">
        <v>46113</v>
      </c>
      <c r="J69" t="s">
        <v>52</v>
      </c>
      <c r="K69" s="2">
        <v>108</v>
      </c>
      <c r="L69">
        <v>1</v>
      </c>
      <c r="M69" s="2">
        <v>108</v>
      </c>
      <c r="O69" t="s">
        <v>362</v>
      </c>
    </row>
    <row r="70" spans="1:15" x14ac:dyDescent="0.25">
      <c r="A70" s="10" t="s">
        <v>328</v>
      </c>
      <c r="B70" s="10" t="str">
        <f t="shared" si="1"/>
        <v>00025582379KOVR</v>
      </c>
      <c r="C70" t="s">
        <v>93</v>
      </c>
      <c r="D70" t="s">
        <v>55</v>
      </c>
      <c r="E70">
        <v>20411454</v>
      </c>
      <c r="F70" t="s">
        <v>387</v>
      </c>
      <c r="G70" t="s">
        <v>49</v>
      </c>
      <c r="H70" t="s">
        <v>66</v>
      </c>
      <c r="I70" s="1">
        <v>46113</v>
      </c>
      <c r="J70" t="s">
        <v>52</v>
      </c>
      <c r="K70" s="2">
        <v>108</v>
      </c>
      <c r="L70">
        <v>1</v>
      </c>
      <c r="M70" s="2">
        <v>108</v>
      </c>
      <c r="O70" t="s">
        <v>362</v>
      </c>
    </row>
    <row r="71" spans="1:15" x14ac:dyDescent="0.25">
      <c r="A71" s="10" t="s">
        <v>330</v>
      </c>
      <c r="B71" s="10" t="str">
        <f t="shared" si="1"/>
        <v>00025750039KOVR</v>
      </c>
      <c r="C71" t="s">
        <v>103</v>
      </c>
      <c r="D71" t="s">
        <v>55</v>
      </c>
      <c r="E71">
        <v>20411454</v>
      </c>
      <c r="F71" t="s">
        <v>387</v>
      </c>
      <c r="G71" t="s">
        <v>49</v>
      </c>
      <c r="H71" t="s">
        <v>66</v>
      </c>
      <c r="I71" s="1">
        <v>46113</v>
      </c>
      <c r="J71" t="s">
        <v>52</v>
      </c>
      <c r="K71" s="2">
        <v>108</v>
      </c>
      <c r="L71">
        <v>1</v>
      </c>
      <c r="M71" s="2">
        <v>108</v>
      </c>
      <c r="O71" t="s">
        <v>362</v>
      </c>
    </row>
    <row r="72" spans="1:15" x14ac:dyDescent="0.25">
      <c r="A72" s="10" t="s">
        <v>385</v>
      </c>
      <c r="B72" s="10" t="str">
        <f t="shared" si="1"/>
        <v>00016221099KOVR</v>
      </c>
      <c r="C72" t="s">
        <v>255</v>
      </c>
      <c r="D72" t="s">
        <v>107</v>
      </c>
      <c r="E72">
        <v>20411454</v>
      </c>
      <c r="F72" t="s">
        <v>387</v>
      </c>
      <c r="G72" t="s">
        <v>249</v>
      </c>
      <c r="H72" t="s">
        <v>66</v>
      </c>
      <c r="I72" s="1">
        <v>46023</v>
      </c>
      <c r="J72" t="s">
        <v>52</v>
      </c>
      <c r="M72" s="4">
        <v>-81</v>
      </c>
      <c r="O72" t="s">
        <v>362</v>
      </c>
    </row>
    <row r="73" spans="1:15" x14ac:dyDescent="0.25">
      <c r="A73" s="10" t="s">
        <v>386</v>
      </c>
      <c r="B73" s="10" t="str">
        <f t="shared" si="1"/>
        <v>00023281587KOVR</v>
      </c>
      <c r="C73" t="s">
        <v>257</v>
      </c>
      <c r="D73" t="s">
        <v>55</v>
      </c>
      <c r="E73">
        <v>20411454</v>
      </c>
      <c r="F73" t="s">
        <v>387</v>
      </c>
      <c r="G73" t="s">
        <v>249</v>
      </c>
      <c r="H73" t="s">
        <v>66</v>
      </c>
      <c r="I73" s="1">
        <v>46023</v>
      </c>
      <c r="J73" t="s">
        <v>52</v>
      </c>
      <c r="M73" s="4">
        <v>-81</v>
      </c>
      <c r="O73" t="s">
        <v>362</v>
      </c>
    </row>
    <row r="74" spans="1:15" s="5" customFormat="1" x14ac:dyDescent="0.25">
      <c r="A74" s="11" t="s">
        <v>353</v>
      </c>
      <c r="B74" s="11" t="str">
        <f>CONCATENATE(A74,1)</f>
        <v>A044471101</v>
      </c>
      <c r="C74" s="5" t="s">
        <v>228</v>
      </c>
      <c r="D74" s="5" t="s">
        <v>177</v>
      </c>
      <c r="E74" s="5">
        <v>16849453</v>
      </c>
      <c r="F74" s="5" t="s">
        <v>179</v>
      </c>
      <c r="G74" s="5" t="s">
        <v>49</v>
      </c>
      <c r="H74" s="5" t="s">
        <v>229</v>
      </c>
      <c r="I74" s="6">
        <v>46113</v>
      </c>
      <c r="J74" s="5" t="s">
        <v>52</v>
      </c>
      <c r="K74" s="7">
        <v>31.02</v>
      </c>
      <c r="L74" s="5">
        <v>9</v>
      </c>
      <c r="M74" s="7">
        <v>279.18</v>
      </c>
      <c r="O74" s="5" t="s">
        <v>229</v>
      </c>
    </row>
    <row r="75" spans="1:15" s="5" customFormat="1" x14ac:dyDescent="0.25">
      <c r="A75" s="11" t="s">
        <v>355</v>
      </c>
      <c r="B75" s="11" t="str">
        <f t="shared" ref="B75:B77" si="2">CONCATENATE(A75,1)</f>
        <v>A044489271</v>
      </c>
      <c r="C75" s="5" t="s">
        <v>234</v>
      </c>
      <c r="D75" s="5" t="s">
        <v>177</v>
      </c>
      <c r="E75" s="5">
        <v>16849453</v>
      </c>
      <c r="F75" s="5" t="s">
        <v>179</v>
      </c>
      <c r="G75" s="5" t="s">
        <v>49</v>
      </c>
      <c r="H75" s="5" t="s">
        <v>229</v>
      </c>
      <c r="I75" s="6">
        <v>46143</v>
      </c>
      <c r="J75" s="5" t="s">
        <v>52</v>
      </c>
      <c r="K75" s="7">
        <v>31.02</v>
      </c>
      <c r="L75" s="5">
        <v>9</v>
      </c>
      <c r="M75" s="7">
        <v>279.18</v>
      </c>
      <c r="O75" s="5" t="s">
        <v>229</v>
      </c>
    </row>
    <row r="76" spans="1:15" s="5" customFormat="1" x14ac:dyDescent="0.25">
      <c r="A76" s="11" t="s">
        <v>356</v>
      </c>
      <c r="B76" s="11" t="str">
        <f t="shared" si="2"/>
        <v>A044492121</v>
      </c>
      <c r="C76" s="5" t="s">
        <v>236</v>
      </c>
      <c r="D76" s="5" t="s">
        <v>147</v>
      </c>
      <c r="E76" s="5">
        <v>5442438</v>
      </c>
      <c r="F76" s="5" t="s">
        <v>149</v>
      </c>
      <c r="G76" s="5" t="s">
        <v>49</v>
      </c>
      <c r="H76" s="5" t="s">
        <v>237</v>
      </c>
      <c r="I76" s="6">
        <v>46113</v>
      </c>
      <c r="J76" s="5" t="s">
        <v>52</v>
      </c>
      <c r="K76" s="7">
        <v>36</v>
      </c>
      <c r="L76" s="5">
        <v>9</v>
      </c>
      <c r="M76" s="7">
        <v>324</v>
      </c>
      <c r="O76" s="5" t="s">
        <v>237</v>
      </c>
    </row>
    <row r="77" spans="1:15" s="5" customFormat="1" x14ac:dyDescent="0.25">
      <c r="A77" s="11" t="s">
        <v>354</v>
      </c>
      <c r="B77" s="11" t="str">
        <f t="shared" si="2"/>
        <v>A044471161</v>
      </c>
      <c r="C77" s="5" t="s">
        <v>231</v>
      </c>
      <c r="D77" s="5" t="s">
        <v>65</v>
      </c>
      <c r="E77" s="5">
        <v>19645587</v>
      </c>
      <c r="F77" s="5" t="s">
        <v>62</v>
      </c>
      <c r="G77" s="5" t="s">
        <v>49</v>
      </c>
      <c r="H77" s="5" t="s">
        <v>232</v>
      </c>
      <c r="I77" s="6">
        <v>46113</v>
      </c>
      <c r="J77" s="5" t="s">
        <v>52</v>
      </c>
      <c r="K77" s="7">
        <v>44.31</v>
      </c>
      <c r="L77" s="5">
        <v>9</v>
      </c>
      <c r="M77" s="7">
        <v>398.79</v>
      </c>
      <c r="O77" s="5" t="s">
        <v>363</v>
      </c>
    </row>
    <row r="78" spans="1:15" x14ac:dyDescent="0.25">
      <c r="A78" s="10">
        <v>842399030</v>
      </c>
      <c r="B78" s="10" t="str">
        <f t="shared" ref="B78:B81" si="3">CONCATENATE(A78,"OVR")</f>
        <v>842399030OVR</v>
      </c>
      <c r="C78" t="s">
        <v>219</v>
      </c>
      <c r="D78" t="s">
        <v>65</v>
      </c>
      <c r="E78">
        <v>20411454</v>
      </c>
      <c r="F78" t="s">
        <v>387</v>
      </c>
      <c r="G78" t="s">
        <v>49</v>
      </c>
      <c r="H78" t="s">
        <v>222</v>
      </c>
      <c r="I78" s="1">
        <v>46113</v>
      </c>
      <c r="J78" t="s">
        <v>52</v>
      </c>
      <c r="K78" s="2">
        <v>175</v>
      </c>
      <c r="L78">
        <v>1</v>
      </c>
      <c r="M78" s="2">
        <v>175</v>
      </c>
      <c r="O78" t="s">
        <v>364</v>
      </c>
    </row>
    <row r="79" spans="1:15" x14ac:dyDescent="0.25">
      <c r="A79" s="10">
        <v>134831885</v>
      </c>
      <c r="B79" s="10" t="str">
        <f t="shared" si="3"/>
        <v>134831885OVR</v>
      </c>
      <c r="C79" t="s">
        <v>295</v>
      </c>
      <c r="D79" t="s">
        <v>196</v>
      </c>
      <c r="E79">
        <v>20411454</v>
      </c>
      <c r="F79" t="s">
        <v>387</v>
      </c>
      <c r="G79" t="s">
        <v>249</v>
      </c>
      <c r="H79" t="s">
        <v>222</v>
      </c>
      <c r="I79" s="1">
        <v>46023</v>
      </c>
      <c r="J79" t="s">
        <v>52</v>
      </c>
      <c r="M79" s="4">
        <v>-175</v>
      </c>
      <c r="O79" t="s">
        <v>364</v>
      </c>
    </row>
    <row r="80" spans="1:15" x14ac:dyDescent="0.25">
      <c r="A80" s="10">
        <v>953417433</v>
      </c>
      <c r="B80" s="10" t="str">
        <f t="shared" si="3"/>
        <v>953417433OVR</v>
      </c>
      <c r="C80" t="s">
        <v>313</v>
      </c>
      <c r="D80" t="s">
        <v>282</v>
      </c>
      <c r="E80">
        <v>20411454</v>
      </c>
      <c r="F80" t="s">
        <v>387</v>
      </c>
      <c r="G80" t="s">
        <v>249</v>
      </c>
      <c r="H80" t="s">
        <v>222</v>
      </c>
      <c r="I80" s="1">
        <v>46082</v>
      </c>
      <c r="J80" t="s">
        <v>52</v>
      </c>
      <c r="M80" s="4">
        <v>-175</v>
      </c>
      <c r="O80" t="s">
        <v>364</v>
      </c>
    </row>
    <row r="81" spans="1:19" x14ac:dyDescent="0.25">
      <c r="A81" s="10">
        <v>927960226</v>
      </c>
      <c r="B81" s="10" t="str">
        <f t="shared" si="3"/>
        <v>927960226OVR</v>
      </c>
      <c r="C81" t="s">
        <v>45</v>
      </c>
      <c r="D81" t="s">
        <v>46</v>
      </c>
      <c r="E81">
        <v>20411454</v>
      </c>
      <c r="F81" t="s">
        <v>387</v>
      </c>
      <c r="G81" t="s">
        <v>249</v>
      </c>
      <c r="H81" t="s">
        <v>311</v>
      </c>
      <c r="I81" s="1">
        <v>46023</v>
      </c>
      <c r="J81" t="s">
        <v>52</v>
      </c>
      <c r="M81" s="4">
        <v>-113</v>
      </c>
      <c r="O81" t="s">
        <v>364</v>
      </c>
    </row>
    <row r="82" spans="1:19" s="5" customFormat="1" x14ac:dyDescent="0.25">
      <c r="A82" s="11">
        <v>945648838</v>
      </c>
      <c r="B82" s="11">
        <v>945648838</v>
      </c>
      <c r="C82" s="5" t="s">
        <v>224</v>
      </c>
      <c r="D82" s="5" t="s">
        <v>225</v>
      </c>
      <c r="E82" s="5">
        <v>19645587</v>
      </c>
      <c r="F82" s="5" t="s">
        <v>62</v>
      </c>
      <c r="G82" s="5" t="s">
        <v>49</v>
      </c>
      <c r="H82" s="5" t="s">
        <v>226</v>
      </c>
      <c r="I82" s="6">
        <v>46054</v>
      </c>
      <c r="J82" s="5" t="s">
        <v>52</v>
      </c>
      <c r="K82" s="7">
        <v>611</v>
      </c>
      <c r="L82" s="5">
        <v>1</v>
      </c>
      <c r="M82" s="7">
        <v>611</v>
      </c>
      <c r="O82" s="5" t="s">
        <v>365</v>
      </c>
      <c r="P82" s="5" t="s">
        <v>369</v>
      </c>
    </row>
    <row r="83" spans="1:19" s="5" customFormat="1" x14ac:dyDescent="0.25">
      <c r="A83" s="11">
        <v>953417433</v>
      </c>
      <c r="B83" s="11" t="str">
        <f>CONCATENATE(A83,12)</f>
        <v>95341743312</v>
      </c>
      <c r="C83" s="5" t="s">
        <v>313</v>
      </c>
      <c r="D83" s="5" t="s">
        <v>282</v>
      </c>
      <c r="E83" s="5">
        <v>17859093</v>
      </c>
      <c r="F83" s="5" t="s">
        <v>136</v>
      </c>
      <c r="G83" s="5" t="s">
        <v>249</v>
      </c>
      <c r="H83" s="5" t="s">
        <v>314</v>
      </c>
      <c r="I83" s="6">
        <v>46082</v>
      </c>
      <c r="J83" s="5" t="s">
        <v>52</v>
      </c>
      <c r="M83" s="8">
        <v>-694</v>
      </c>
      <c r="O83" s="5" t="s">
        <v>366</v>
      </c>
      <c r="P83" s="5" t="s">
        <v>368</v>
      </c>
    </row>
    <row r="84" spans="1:19" s="5" customFormat="1" x14ac:dyDescent="0.25">
      <c r="A84" s="11">
        <v>842399030</v>
      </c>
      <c r="B84" s="11" t="str">
        <f>CONCATENATE(A84,11)</f>
        <v>84239903011</v>
      </c>
      <c r="C84" s="5" t="s">
        <v>219</v>
      </c>
      <c r="D84" s="5" t="s">
        <v>65</v>
      </c>
      <c r="E84" s="5">
        <v>19645587</v>
      </c>
      <c r="F84" s="5" t="s">
        <v>62</v>
      </c>
      <c r="G84" s="5" t="s">
        <v>49</v>
      </c>
      <c r="H84" s="5" t="s">
        <v>220</v>
      </c>
      <c r="I84" s="6">
        <v>46113</v>
      </c>
      <c r="J84" s="5" t="s">
        <v>52</v>
      </c>
      <c r="K84" s="7">
        <v>260.25</v>
      </c>
      <c r="L84" s="5">
        <v>1</v>
      </c>
      <c r="M84" s="7">
        <v>260.25</v>
      </c>
      <c r="N84" s="5" t="s">
        <v>174</v>
      </c>
      <c r="O84" s="5" t="s">
        <v>367</v>
      </c>
      <c r="P84" s="5" t="s">
        <v>371</v>
      </c>
      <c r="S84" s="5">
        <f>347/12*9</f>
        <v>260.25</v>
      </c>
    </row>
    <row r="85" spans="1:19" s="5" customFormat="1" x14ac:dyDescent="0.25">
      <c r="A85" s="11">
        <v>134831885</v>
      </c>
      <c r="B85" s="11" t="str">
        <f>CONCATENATE(A85,11)</f>
        <v>13483188511</v>
      </c>
      <c r="C85" s="5" t="s">
        <v>295</v>
      </c>
      <c r="D85" s="5" t="s">
        <v>196</v>
      </c>
      <c r="E85" s="5">
        <v>18142208</v>
      </c>
      <c r="F85" s="5" t="s">
        <v>198</v>
      </c>
      <c r="G85" s="5" t="s">
        <v>249</v>
      </c>
      <c r="H85" s="5" t="s">
        <v>220</v>
      </c>
      <c r="I85" s="6">
        <v>46023</v>
      </c>
      <c r="J85" s="5" t="s">
        <v>52</v>
      </c>
      <c r="M85" s="8">
        <v>-347</v>
      </c>
      <c r="O85" s="5" t="s">
        <v>367</v>
      </c>
      <c r="P85" s="5" t="s">
        <v>370</v>
      </c>
    </row>
    <row r="86" spans="1:19" s="5" customFormat="1" x14ac:dyDescent="0.25">
      <c r="A86" s="11">
        <v>927960226</v>
      </c>
      <c r="B86" s="11" t="str">
        <f>CONCATENATE(A86,13)</f>
        <v>92796022613</v>
      </c>
      <c r="C86" s="5" t="s">
        <v>45</v>
      </c>
      <c r="D86" s="5" t="s">
        <v>46</v>
      </c>
      <c r="E86" s="5">
        <v>9213293</v>
      </c>
      <c r="F86" s="5" t="s">
        <v>48</v>
      </c>
      <c r="G86" s="5" t="s">
        <v>249</v>
      </c>
      <c r="H86" s="5" t="s">
        <v>309</v>
      </c>
      <c r="I86" s="6">
        <v>46023</v>
      </c>
      <c r="J86" s="5" t="s">
        <v>52</v>
      </c>
      <c r="M86" s="8">
        <v>-203</v>
      </c>
      <c r="O86" s="5" t="s">
        <v>372</v>
      </c>
    </row>
  </sheetData>
  <sortState xmlns:xlrd2="http://schemas.microsoft.com/office/spreadsheetml/2017/richdata2" ref="A2:AM86">
    <sortCondition ref="H2:H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2026-03-27T06:12:35Z</dcterms:created>
  <dcterms:modified xsi:type="dcterms:W3CDTF">2026-03-27T19:44:01Z</dcterms:modified>
</cp:coreProperties>
</file>