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7-01 NB\"/>
    </mc:Choice>
  </mc:AlternateContent>
  <xr:revisionPtr revIDLastSave="0" documentId="13_ncr:1_{D6823AF3-248F-4B3A-9F0E-C611A969538A}" xr6:coauthVersionLast="47" xr6:coauthVersionMax="47" xr10:uidLastSave="{00000000-0000-0000-0000-000000000000}"/>
  <bookViews>
    <workbookView xWindow="-120" yWindow="-120" windowWidth="29040" windowHeight="15720" activeTab="1" xr2:uid="{9C084C0F-9516-469F-B032-0E86DF191BC6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0" i="2" l="1"/>
  <c r="F149" i="2"/>
  <c r="F148" i="2"/>
  <c r="F147" i="2"/>
  <c r="F146" i="2"/>
  <c r="F145" i="2"/>
  <c r="F144" i="2"/>
  <c r="F143" i="2"/>
  <c r="F142" i="2"/>
  <c r="F141" i="2"/>
  <c r="F140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B139" i="2"/>
  <c r="B138" i="2"/>
  <c r="B137" i="2"/>
  <c r="B136" i="2"/>
  <c r="B135" i="2"/>
  <c r="B134" i="2"/>
  <c r="B133" i="2"/>
  <c r="B132" i="2"/>
  <c r="B150" i="2"/>
  <c r="B149" i="2"/>
  <c r="B148" i="2"/>
  <c r="B147" i="2"/>
  <c r="B146" i="2"/>
  <c r="B145" i="2"/>
  <c r="B144" i="2"/>
  <c r="B143" i="2"/>
  <c r="B142" i="2"/>
  <c r="B141" i="2"/>
  <c r="B140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U3" i="2"/>
  <c r="U133" i="2"/>
  <c r="U2" i="2"/>
</calcChain>
</file>

<file path=xl/sharedStrings.xml><?xml version="1.0" encoding="utf-8"?>
<sst xmlns="http://schemas.openxmlformats.org/spreadsheetml/2006/main" count="3550" uniqueCount="415">
  <si>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</si>
  <si>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</si>
  <si>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</si>
  <si>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</si>
  <si>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</si>
  <si>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</si>
  <si>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</si>
  <si>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</si>
  <si>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</si>
  <si>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</si>
  <si>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</si>
  <si>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</si>
  <si>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</si>
  <si>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</si>
  <si>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</si>
  <si>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</si>
  <si>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</si>
  <si>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</si>
  <si>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</si>
  <si>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</si>
  <si>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</si>
  <si>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</si>
  <si>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</si>
  <si>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</si>
  <si>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</si>
  <si>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</si>
  <si>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</si>
  <si>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</si>
  <si>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</si>
  <si>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</si>
  <si>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</si>
  <si>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</si>
  <si>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</si>
  <si>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</si>
  <si>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</si>
  <si>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</si>
  <si>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</si>
  <si>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</si>
  <si>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</si>
  <si>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</si>
  <si>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</si>
  <si>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</si>
  <si>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</si>
  <si>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</si>
  <si>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'00006948323K</t>
  </si>
  <si>
    <t>RICHARD SULLIVAN</t>
  </si>
  <si>
    <t>OH</t>
  </si>
  <si>
    <t>'045684</t>
  </si>
  <si>
    <t>JILL SHEPARD</t>
  </si>
  <si>
    <t>Active</t>
  </si>
  <si>
    <t>Humana MA 2019+ Level 15- 175/108</t>
  </si>
  <si>
    <t>Monthly</t>
  </si>
  <si>
    <t>AV</t>
  </si>
  <si>
    <t>Humana MA Bonus Upload 07-01-2026.xlsx</t>
  </si>
  <si>
    <t>'00024166424K</t>
  </si>
  <si>
    <t>HENRY GARZA</t>
  </si>
  <si>
    <t>FL</t>
  </si>
  <si>
    <t>'045622</t>
  </si>
  <si>
    <t>JACOB YALE</t>
  </si>
  <si>
    <t>ACTIVE</t>
  </si>
  <si>
    <t>Humana MA 2019+ Level 15- 175/108 Repl 2024</t>
  </si>
  <si>
    <t>'00026506360K</t>
  </si>
  <si>
    <t>RYAN BROOKS</t>
  </si>
  <si>
    <t>IL</t>
  </si>
  <si>
    <t>'045632</t>
  </si>
  <si>
    <t>BARRY SCHUMANN</t>
  </si>
  <si>
    <t>'00026571397K</t>
  </si>
  <si>
    <t>BRIAN STREET</t>
  </si>
  <si>
    <t>'045447</t>
  </si>
  <si>
    <t>ROBERT SIEVEWRIGHT</t>
  </si>
  <si>
    <t>'00026629012K</t>
  </si>
  <si>
    <t>LINDA DELCARLO</t>
  </si>
  <si>
    <t>'043618</t>
  </si>
  <si>
    <t>SAADIA ABDUL</t>
  </si>
  <si>
    <t>'00026633658K</t>
  </si>
  <si>
    <t>LYNN WINNER</t>
  </si>
  <si>
    <t>'00026636900K</t>
  </si>
  <si>
    <t>VANTHONG SIRIOUDOM</t>
  </si>
  <si>
    <t>'043625</t>
  </si>
  <si>
    <t>PATSAMON THANADABOUTH</t>
  </si>
  <si>
    <t>'00026637276K</t>
  </si>
  <si>
    <t>PHILLIP FLORCZAK</t>
  </si>
  <si>
    <t>AZ</t>
  </si>
  <si>
    <t>'045605</t>
  </si>
  <si>
    <t>GARY PORTUGAL</t>
  </si>
  <si>
    <t>'00026642926K</t>
  </si>
  <si>
    <t>KEN MIFFLIN</t>
  </si>
  <si>
    <t>WI</t>
  </si>
  <si>
    <t>'043637</t>
  </si>
  <si>
    <t>CHRISTIAN TAUGNER</t>
  </si>
  <si>
    <t>'102277422000</t>
  </si>
  <si>
    <t>RICHARD BEHLES</t>
  </si>
  <si>
    <t>'045638</t>
  </si>
  <si>
    <t>RICHARD YALE</t>
  </si>
  <si>
    <t>Aetna MAPD NMO to MMO - 2025+ New E-App</t>
  </si>
  <si>
    <t>'102277451400</t>
  </si>
  <si>
    <t>HAROLD FOSTER</t>
  </si>
  <si>
    <t>NE</t>
  </si>
  <si>
    <t>'043718</t>
  </si>
  <si>
    <t>CHAD YALE</t>
  </si>
  <si>
    <t>'102277514700</t>
  </si>
  <si>
    <t>TRINITY WORSEN</t>
  </si>
  <si>
    <t>PA</t>
  </si>
  <si>
    <t>'043679</t>
  </si>
  <si>
    <t>DEBORAH INSKIPT</t>
  </si>
  <si>
    <t>'102277560300</t>
  </si>
  <si>
    <t>JEFFREY WILBERT</t>
  </si>
  <si>
    <t>'102277718400</t>
  </si>
  <si>
    <t>DANIEL HARRIS</t>
  </si>
  <si>
    <t>WA</t>
  </si>
  <si>
    <t>'043969</t>
  </si>
  <si>
    <t>STACEY PORTUGAL</t>
  </si>
  <si>
    <t>'102278084400</t>
  </si>
  <si>
    <t>LINDA FOUTCH</t>
  </si>
  <si>
    <t>'045607</t>
  </si>
  <si>
    <t>PAMELA DEATON</t>
  </si>
  <si>
    <t>'102278123800</t>
  </si>
  <si>
    <t>BRIAN FARRINGER</t>
  </si>
  <si>
    <t>'102278225800</t>
  </si>
  <si>
    <t>CLEOFAS NERI</t>
  </si>
  <si>
    <t>'045637</t>
  </si>
  <si>
    <t>ALISON LUSE</t>
  </si>
  <si>
    <t>'102278678100</t>
  </si>
  <si>
    <t>JEFF CAGLEY</t>
  </si>
  <si>
    <t>'102278948300</t>
  </si>
  <si>
    <t>MELANIE MCCALL</t>
  </si>
  <si>
    <t>'043786</t>
  </si>
  <si>
    <t>MARGARET SMITH</t>
  </si>
  <si>
    <t>'102279127200</t>
  </si>
  <si>
    <t>MARQUERITA GOMEZ</t>
  </si>
  <si>
    <t>IN</t>
  </si>
  <si>
    <t>'045712</t>
  </si>
  <si>
    <t>GREGORY HANSFORD</t>
  </si>
  <si>
    <t>'102279156000</t>
  </si>
  <si>
    <t>CHRISTINE NAGOWSKI</t>
  </si>
  <si>
    <t>'043611</t>
  </si>
  <si>
    <t>TIMOTHY POWERS</t>
  </si>
  <si>
    <t>'102279171500</t>
  </si>
  <si>
    <t>REBECCA KRIVAK</t>
  </si>
  <si>
    <t>'102280040700</t>
  </si>
  <si>
    <t>MARY BARRINGER</t>
  </si>
  <si>
    <t>'045421</t>
  </si>
  <si>
    <t>MATTHEW SHERMAN</t>
  </si>
  <si>
    <t>'102280074200</t>
  </si>
  <si>
    <t>KEITH RODECK</t>
  </si>
  <si>
    <t>'043682</t>
  </si>
  <si>
    <t>GREGORY TEIPEL</t>
  </si>
  <si>
    <t>'102280149200</t>
  </si>
  <si>
    <t>IVAN KERN</t>
  </si>
  <si>
    <t>MI</t>
  </si>
  <si>
    <t>'102280181000</t>
  </si>
  <si>
    <t>CORBY ESAREY CANNON</t>
  </si>
  <si>
    <t>MO</t>
  </si>
  <si>
    <t>'043705</t>
  </si>
  <si>
    <t>MICHAEL DUNAVANT</t>
  </si>
  <si>
    <t>'102280187800</t>
  </si>
  <si>
    <t>NANCY HARTMAN</t>
  </si>
  <si>
    <t>'043691</t>
  </si>
  <si>
    <t>MICHELLE MCCORKLE</t>
  </si>
  <si>
    <t>'102280195700</t>
  </si>
  <si>
    <t>MARIA MONARREZ</t>
  </si>
  <si>
    <t>'045709</t>
  </si>
  <si>
    <t>ESTHER HERRERA-LARSEN</t>
  </si>
  <si>
    <t>'102280265800</t>
  </si>
  <si>
    <t>GARY MCDONALD</t>
  </si>
  <si>
    <t>'040060</t>
  </si>
  <si>
    <t>RYAN SHEPARD</t>
  </si>
  <si>
    <t>'102280421300</t>
  </si>
  <si>
    <t>FRANCES BANNISTER</t>
  </si>
  <si>
    <t>TX</t>
  </si>
  <si>
    <t>'045603</t>
  </si>
  <si>
    <t>ANDREW CHOI</t>
  </si>
  <si>
    <t>'102280464500</t>
  </si>
  <si>
    <t>JUDITH GAINER</t>
  </si>
  <si>
    <t>'102280466100</t>
  </si>
  <si>
    <t>MARIA FRIAS</t>
  </si>
  <si>
    <t>'045671</t>
  </si>
  <si>
    <t>ROBERT SHAPIRO</t>
  </si>
  <si>
    <t>'102280581000</t>
  </si>
  <si>
    <t>MATTHEW ZELINSKI</t>
  </si>
  <si>
    <t>'102280584900</t>
  </si>
  <si>
    <t>JANET WARNOCK</t>
  </si>
  <si>
    <t>'102280590400</t>
  </si>
  <si>
    <t>BRENDA ZELINSKI</t>
  </si>
  <si>
    <t>'102280689200</t>
  </si>
  <si>
    <t>SCOTT JARES</t>
  </si>
  <si>
    <t>'102280752000</t>
  </si>
  <si>
    <t>CYNTHIA BARUCK</t>
  </si>
  <si>
    <t>'102280764200</t>
  </si>
  <si>
    <t>CAROL ZANG</t>
  </si>
  <si>
    <t>'102280776800</t>
  </si>
  <si>
    <t>MARY TRAYERS</t>
  </si>
  <si>
    <t>'102280950100</t>
  </si>
  <si>
    <t>NASTE ISIROV</t>
  </si>
  <si>
    <t>'102280969100</t>
  </si>
  <si>
    <t>AMY GUILL</t>
  </si>
  <si>
    <t>'102281133600</t>
  </si>
  <si>
    <t>KEN RYDER</t>
  </si>
  <si>
    <t>'102281143100</t>
  </si>
  <si>
    <t>STEVEN PENNINGTON</t>
  </si>
  <si>
    <t>'102281168000</t>
  </si>
  <si>
    <t>JAMES DECKER</t>
  </si>
  <si>
    <t>'102281288800</t>
  </si>
  <si>
    <t>DANA MCCONNELL</t>
  </si>
  <si>
    <t>'102281387100</t>
  </si>
  <si>
    <t>RALPH TANNER</t>
  </si>
  <si>
    <t>'102281476200</t>
  </si>
  <si>
    <t>SEAN GRAMZ</t>
  </si>
  <si>
    <t>'102281524200</t>
  </si>
  <si>
    <t>MIRANDA ELIZABETH ALICEA</t>
  </si>
  <si>
    <t>'043736</t>
  </si>
  <si>
    <t>DENNIS HOLYN</t>
  </si>
  <si>
    <t>'102281547100</t>
  </si>
  <si>
    <t>TINA HAGEMEIER</t>
  </si>
  <si>
    <t>'043832</t>
  </si>
  <si>
    <t>CAROL FRITZ</t>
  </si>
  <si>
    <t>'102281737500</t>
  </si>
  <si>
    <t>TIMOTHY SHEPARD</t>
  </si>
  <si>
    <t>'045612</t>
  </si>
  <si>
    <t>ANTHONY HUNSBERGER</t>
  </si>
  <si>
    <t>'102281778400</t>
  </si>
  <si>
    <t>KRAIG MORRIS</t>
  </si>
  <si>
    <t>'102281860300</t>
  </si>
  <si>
    <t>JOSE CHAO</t>
  </si>
  <si>
    <t>'102281894900</t>
  </si>
  <si>
    <t>JANIS JOHNSON</t>
  </si>
  <si>
    <t>'102281898400</t>
  </si>
  <si>
    <t>DAVID JOHNSON</t>
  </si>
  <si>
    <t>'102281904500</t>
  </si>
  <si>
    <t>FRANK WAGNER</t>
  </si>
  <si>
    <t>'102281909800</t>
  </si>
  <si>
    <t>CONNIE JUNG</t>
  </si>
  <si>
    <t>'045967</t>
  </si>
  <si>
    <t>DANNA GREEN</t>
  </si>
  <si>
    <t>'102281954800</t>
  </si>
  <si>
    <t>M TORPATS WEATHERLY</t>
  </si>
  <si>
    <t>'102282033400</t>
  </si>
  <si>
    <t>JON SMITH</t>
  </si>
  <si>
    <t>'043638</t>
  </si>
  <si>
    <t>THOMAS PARDUE</t>
  </si>
  <si>
    <t>'102282103200</t>
  </si>
  <si>
    <t>ROBERT GOLDEN</t>
  </si>
  <si>
    <t>'102282666300</t>
  </si>
  <si>
    <t>DOUGLAS COMINSKY</t>
  </si>
  <si>
    <t>Aetna MAPD NMO to MMO - 2025+ Replace E-App</t>
  </si>
  <si>
    <t>6/12 PRORATE</t>
  </si>
  <si>
    <t>'102282681700</t>
  </si>
  <si>
    <t>BRENDA BARDELLA</t>
  </si>
  <si>
    <t>5/12 PRORATE</t>
  </si>
  <si>
    <t>'102282739300</t>
  </si>
  <si>
    <t>AILEEN PETERSON</t>
  </si>
  <si>
    <t>'102282813300</t>
  </si>
  <si>
    <t>CECILY DALTON WEINRIB</t>
  </si>
  <si>
    <t>7/12 PRORATE</t>
  </si>
  <si>
    <t>'102282908800</t>
  </si>
  <si>
    <t>SHIRLEY PRIEBE</t>
  </si>
  <si>
    <t>'102283019100</t>
  </si>
  <si>
    <t>RICHARD DEBLANDER</t>
  </si>
  <si>
    <t>4/12 PRORATE</t>
  </si>
  <si>
    <t>'102283062200</t>
  </si>
  <si>
    <t>DAVID ZOVACK</t>
  </si>
  <si>
    <t>'102283469000</t>
  </si>
  <si>
    <t>DORISMILDA HERNANDEZ</t>
  </si>
  <si>
    <t>'043813</t>
  </si>
  <si>
    <t>VICTOR FUENTES</t>
  </si>
  <si>
    <t>'102283491900</t>
  </si>
  <si>
    <t>PAMELA HOBBS</t>
  </si>
  <si>
    <t>'102283501500</t>
  </si>
  <si>
    <t>JOHN KOVOLYAN</t>
  </si>
  <si>
    <t>'102283674700</t>
  </si>
  <si>
    <t>DAVID HALL</t>
  </si>
  <si>
    <t>'102283822000</t>
  </si>
  <si>
    <t>ROBIN SAFRAN</t>
  </si>
  <si>
    <t>'102283822800</t>
  </si>
  <si>
    <t>YONG MARCH</t>
  </si>
  <si>
    <t>'68F8X1F79</t>
  </si>
  <si>
    <t>TREACY JOHN</t>
  </si>
  <si>
    <t>'045885</t>
  </si>
  <si>
    <t>CHAD BENDER</t>
  </si>
  <si>
    <t>Cigna MAPD FMO to GA 1-1-19+ - New</t>
  </si>
  <si>
    <t>'903987832</t>
  </si>
  <si>
    <t>PHILLIP GRAY</t>
  </si>
  <si>
    <t>OK</t>
  </si>
  <si>
    <t>'045772</t>
  </si>
  <si>
    <t>JASON ROLLER</t>
  </si>
  <si>
    <t>UHC MAPD Street payable to upline- 2026 Replace - Other</t>
  </si>
  <si>
    <t>'903987832OV</t>
  </si>
  <si>
    <t>UHC MA Direct 2025 New Full - Other</t>
  </si>
  <si>
    <t>'934646696</t>
  </si>
  <si>
    <t>PAMELA BREEN</t>
  </si>
  <si>
    <t>UHC MAPD Street payable to upline- 2026 Replace</t>
  </si>
  <si>
    <t>'934646696OV</t>
  </si>
  <si>
    <t>UHC MA Direct 2025 New Full</t>
  </si>
  <si>
    <t>'946538253</t>
  </si>
  <si>
    <t>TODD YORGEN</t>
  </si>
  <si>
    <t>'946538253OV</t>
  </si>
  <si>
    <t>'962498134</t>
  </si>
  <si>
    <t>FRANCES DIAZ</t>
  </si>
  <si>
    <t>UHC MAPD Street payable to upline- 2026 Pro New - Other</t>
  </si>
  <si>
    <t>'962498134OV</t>
  </si>
  <si>
    <t>UHC MA Direct 2025 New Prorated - Other</t>
  </si>
  <si>
    <t>'963253183</t>
  </si>
  <si>
    <t>TIMOTHY SMITH</t>
  </si>
  <si>
    <t>'045981</t>
  </si>
  <si>
    <t>JAKE SHULMAN</t>
  </si>
  <si>
    <t>'963253183OV</t>
  </si>
  <si>
    <t>'965212597</t>
  </si>
  <si>
    <t>HOWARD APPELL</t>
  </si>
  <si>
    <t>'045601</t>
  </si>
  <si>
    <t>CAROL FOLEY</t>
  </si>
  <si>
    <t>'965212597OV</t>
  </si>
  <si>
    <t>UHC MA Direct 2025 New Initial Prorated</t>
  </si>
  <si>
    <t>'967097207</t>
  </si>
  <si>
    <t>ANNETTE GRAY</t>
  </si>
  <si>
    <t>'967097207OV</t>
  </si>
  <si>
    <t>CB</t>
  </si>
  <si>
    <t>'00004503213KPC</t>
  </si>
  <si>
    <t>MARGARET CHADWICK</t>
  </si>
  <si>
    <t>CHARGEBACK</t>
  </si>
  <si>
    <t>'00024166424KPC</t>
  </si>
  <si>
    <t>'00025861349KPC</t>
  </si>
  <si>
    <t>VICKIE HOLTZCLAW</t>
  </si>
  <si>
    <t>'101144295300PC</t>
  </si>
  <si>
    <t>ISIAH DALTON</t>
  </si>
  <si>
    <t>'102277422000CB</t>
  </si>
  <si>
    <t>'102277451400CB</t>
  </si>
  <si>
    <t>'102277514700CB</t>
  </si>
  <si>
    <t>'102277560300CB</t>
  </si>
  <si>
    <t>'102277718400CB</t>
  </si>
  <si>
    <t>'102278084400CB</t>
  </si>
  <si>
    <t>'102278123800CB</t>
  </si>
  <si>
    <t>'102278225800CB</t>
  </si>
  <si>
    <t>'102278678100CB</t>
  </si>
  <si>
    <t>'102278948300CB</t>
  </si>
  <si>
    <t>'102279127200CB</t>
  </si>
  <si>
    <t>'102279156000CB</t>
  </si>
  <si>
    <t>'102279171500CB</t>
  </si>
  <si>
    <t>'102280040700CB</t>
  </si>
  <si>
    <t>'102280074200CB</t>
  </si>
  <si>
    <t>'102280149200CB</t>
  </si>
  <si>
    <t>'102280181000CB</t>
  </si>
  <si>
    <t>'102280187800CB</t>
  </si>
  <si>
    <t>'102280195700CB</t>
  </si>
  <si>
    <t>'102280265800CB</t>
  </si>
  <si>
    <t>'102280421300CB</t>
  </si>
  <si>
    <t>'102280464500CB</t>
  </si>
  <si>
    <t>'102280466100CB</t>
  </si>
  <si>
    <t>'102280581000CB</t>
  </si>
  <si>
    <t>'102280584900CB</t>
  </si>
  <si>
    <t>'102280590400CB</t>
  </si>
  <si>
    <t>'102280689200CB</t>
  </si>
  <si>
    <t>'102280752000CB</t>
  </si>
  <si>
    <t>'102280764200CB</t>
  </si>
  <si>
    <t>'102280776800CB</t>
  </si>
  <si>
    <t>'102280950100CB</t>
  </si>
  <si>
    <t>'102280969100CB</t>
  </si>
  <si>
    <t>'102281133600CB</t>
  </si>
  <si>
    <t>'102281143100CB</t>
  </si>
  <si>
    <t>'102281168000CB</t>
  </si>
  <si>
    <t>'102281288800CB</t>
  </si>
  <si>
    <t>'102281387100CB</t>
  </si>
  <si>
    <t>'102281476200CB</t>
  </si>
  <si>
    <t>'102281524200CB</t>
  </si>
  <si>
    <t>'102281547100CB</t>
  </si>
  <si>
    <t>'102281737500CB</t>
  </si>
  <si>
    <t>'102281778400CB</t>
  </si>
  <si>
    <t>'102281860300CB</t>
  </si>
  <si>
    <t>'102281894900CB</t>
  </si>
  <si>
    <t>'102281898400CB</t>
  </si>
  <si>
    <t>'102281904500CB</t>
  </si>
  <si>
    <t>'102281909800CB</t>
  </si>
  <si>
    <t>'102281954800CB</t>
  </si>
  <si>
    <t>'102282033400CB</t>
  </si>
  <si>
    <t>'102282103200CB</t>
  </si>
  <si>
    <t>'135010181OVPC</t>
  </si>
  <si>
    <t>MIRIAM WADE</t>
  </si>
  <si>
    <t>MD</t>
  </si>
  <si>
    <t>'045717</t>
  </si>
  <si>
    <t>RONALD MAX</t>
  </si>
  <si>
    <t>'135010181PC</t>
  </si>
  <si>
    <t>UHC MAPD Street payable to upline - 2026 New</t>
  </si>
  <si>
    <t>'951566976OVPC</t>
  </si>
  <si>
    <t>'951566976PC</t>
  </si>
  <si>
    <t>'964488477OVPC</t>
  </si>
  <si>
    <t>ADA OWENS</t>
  </si>
  <si>
    <t>'964488477PC</t>
  </si>
  <si>
    <t>'987907924OVPC</t>
  </si>
  <si>
    <t>THOMAS RAGAIN</t>
  </si>
  <si>
    <t>'987907924PC</t>
  </si>
  <si>
    <t>00006948323K</t>
  </si>
  <si>
    <t>00024166424K</t>
  </si>
  <si>
    <t>00026506360K</t>
  </si>
  <si>
    <t>00026571397K</t>
  </si>
  <si>
    <t>00026629012K</t>
  </si>
  <si>
    <t>00026633658K</t>
  </si>
  <si>
    <t>00026636900K</t>
  </si>
  <si>
    <t>00026637276K</t>
  </si>
  <si>
    <t>00026642926K</t>
  </si>
  <si>
    <t>68F8X1F79</t>
  </si>
  <si>
    <t>00004503213K</t>
  </si>
  <si>
    <t>00025861349K</t>
  </si>
  <si>
    <t>Aetna MAPD OVR 2026</t>
  </si>
  <si>
    <t>Cigna MAPD Ovr</t>
  </si>
  <si>
    <t>Humana MAPD OVR</t>
  </si>
  <si>
    <t>UHC MAPD Ovr 2026</t>
  </si>
  <si>
    <t>UHC MAPD 2026*</t>
  </si>
  <si>
    <t>2026 UHC non-Special Needs Plans PPOs</t>
  </si>
  <si>
    <t>2026 UHC non-Special Needs Plans PPOs Renewal</t>
  </si>
  <si>
    <t>UHC 2026</t>
  </si>
  <si>
    <t>[%/$=694][prorate=7/12]</t>
  </si>
  <si>
    <t>[%/$=694][prorate=6/12]</t>
  </si>
  <si>
    <t>[%/$=347][prorate=6/12]</t>
  </si>
  <si>
    <t>[%/$=347][prorate=5/12]</t>
  </si>
  <si>
    <t>17528908N</t>
  </si>
  <si>
    <t>5442438O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</si>
</sst>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83EC-9757-4A3A-8AA7-B1354CD2A100}">
  <dimension ref="A1:AL150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6" bestFit="1" customWidth="1"/>
    <col min="10" max="10" width="26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5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46204</v>
      </c>
      <c r="B2" s="1">
        <v>46204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87.5</v>
      </c>
      <c r="AA2">
        <v>1</v>
      </c>
      <c r="AB2" s="3">
        <v>1</v>
      </c>
      <c r="AC2" s="2">
        <v>87.5</v>
      </c>
      <c r="AD2" s="3">
        <v>0</v>
      </c>
      <c r="AE2" s="2">
        <v>0</v>
      </c>
      <c r="AF2" s="2">
        <v>87.5</v>
      </c>
      <c r="AK2">
        <v>0</v>
      </c>
      <c r="AL2" t="s">
        <v>53</v>
      </c>
    </row>
    <row r="3" spans="1:38" x14ac:dyDescent="0.25">
      <c r="A3" s="1">
        <v>46204</v>
      </c>
      <c r="B3" s="1">
        <v>46204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56</v>
      </c>
      <c r="O3" t="s">
        <v>57</v>
      </c>
      <c r="P3" t="s">
        <v>58</v>
      </c>
      <c r="Q3" t="s">
        <v>59</v>
      </c>
      <c r="R3" t="s">
        <v>60</v>
      </c>
      <c r="S3" s="1">
        <v>46204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6980863</v>
      </c>
    </row>
    <row r="4" spans="1:38" x14ac:dyDescent="0.25">
      <c r="A4" s="1">
        <v>46204</v>
      </c>
      <c r="B4" s="1">
        <v>46204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61</v>
      </c>
      <c r="J4" t="s">
        <v>62</v>
      </c>
      <c r="M4" t="s">
        <v>63</v>
      </c>
      <c r="O4" t="s">
        <v>64</v>
      </c>
      <c r="P4" t="s">
        <v>65</v>
      </c>
      <c r="Q4" t="s">
        <v>59</v>
      </c>
      <c r="R4" t="s">
        <v>50</v>
      </c>
      <c r="S4" s="1">
        <v>46174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6980912</v>
      </c>
    </row>
    <row r="5" spans="1:38" x14ac:dyDescent="0.25">
      <c r="A5" s="1">
        <v>46204</v>
      </c>
      <c r="B5" s="1">
        <v>46204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67</v>
      </c>
      <c r="M5" t="s">
        <v>63</v>
      </c>
      <c r="O5" t="s">
        <v>68</v>
      </c>
      <c r="P5" t="s">
        <v>69</v>
      </c>
      <c r="Q5" t="s">
        <v>59</v>
      </c>
      <c r="R5" t="s">
        <v>50</v>
      </c>
      <c r="S5" s="1">
        <v>46174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6980913</v>
      </c>
    </row>
    <row r="6" spans="1:38" x14ac:dyDescent="0.25">
      <c r="A6" s="1">
        <v>46204</v>
      </c>
      <c r="B6" s="1">
        <v>46204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70</v>
      </c>
      <c r="J6" t="s">
        <v>71</v>
      </c>
      <c r="M6" t="s">
        <v>63</v>
      </c>
      <c r="O6" t="s">
        <v>72</v>
      </c>
      <c r="P6" t="s">
        <v>73</v>
      </c>
      <c r="Q6" t="s">
        <v>59</v>
      </c>
      <c r="R6" t="s">
        <v>50</v>
      </c>
      <c r="S6" s="1">
        <v>46204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6980914</v>
      </c>
    </row>
    <row r="7" spans="1:38" x14ac:dyDescent="0.25">
      <c r="A7" s="1">
        <v>46204</v>
      </c>
      <c r="B7" s="1">
        <v>46204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74</v>
      </c>
      <c r="J7" t="s">
        <v>75</v>
      </c>
      <c r="M7" t="s">
        <v>63</v>
      </c>
      <c r="O7" t="s">
        <v>72</v>
      </c>
      <c r="P7" t="s">
        <v>73</v>
      </c>
      <c r="Q7" t="s">
        <v>59</v>
      </c>
      <c r="R7" t="s">
        <v>50</v>
      </c>
      <c r="S7" s="1">
        <v>46204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6980915</v>
      </c>
    </row>
    <row r="8" spans="1:38" x14ac:dyDescent="0.25">
      <c r="A8" s="1">
        <v>46204</v>
      </c>
      <c r="B8" s="1">
        <v>46204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63</v>
      </c>
      <c r="O8" t="s">
        <v>78</v>
      </c>
      <c r="P8" t="s">
        <v>79</v>
      </c>
      <c r="Q8" t="s">
        <v>59</v>
      </c>
      <c r="R8" t="s">
        <v>50</v>
      </c>
      <c r="S8" s="1">
        <v>46235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6980916</v>
      </c>
    </row>
    <row r="9" spans="1:38" x14ac:dyDescent="0.25">
      <c r="A9" s="1">
        <v>46204</v>
      </c>
      <c r="B9" s="1">
        <v>46204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82</v>
      </c>
      <c r="O9" t="s">
        <v>83</v>
      </c>
      <c r="P9" t="s">
        <v>84</v>
      </c>
      <c r="Q9" t="s">
        <v>59</v>
      </c>
      <c r="R9" t="s">
        <v>50</v>
      </c>
      <c r="S9" s="1">
        <v>46235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6980917</v>
      </c>
    </row>
    <row r="10" spans="1:38" x14ac:dyDescent="0.25">
      <c r="A10" s="1">
        <v>46204</v>
      </c>
      <c r="B10" s="1">
        <v>46204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87</v>
      </c>
      <c r="O10" t="s">
        <v>88</v>
      </c>
      <c r="P10" t="s">
        <v>89</v>
      </c>
      <c r="Q10" t="s">
        <v>59</v>
      </c>
      <c r="R10" t="s">
        <v>50</v>
      </c>
      <c r="S10" s="1">
        <v>46235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6980910</v>
      </c>
    </row>
    <row r="11" spans="1:38" x14ac:dyDescent="0.25">
      <c r="A11" s="1">
        <v>46204</v>
      </c>
      <c r="B11" s="1">
        <v>46204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63</v>
      </c>
      <c r="O11" t="s">
        <v>92</v>
      </c>
      <c r="P11" t="s">
        <v>93</v>
      </c>
      <c r="Q11" t="s">
        <v>59</v>
      </c>
      <c r="R11" t="s">
        <v>94</v>
      </c>
      <c r="S11" s="1">
        <v>46143</v>
      </c>
      <c r="U11" t="s">
        <v>51</v>
      </c>
      <c r="X11" t="s">
        <v>52</v>
      </c>
      <c r="Y11" s="2">
        <v>0</v>
      </c>
      <c r="Z11" s="2">
        <v>25</v>
      </c>
      <c r="AA11">
        <v>1</v>
      </c>
      <c r="AB11" s="3">
        <v>1</v>
      </c>
      <c r="AC11" s="2">
        <v>25</v>
      </c>
      <c r="AD11" s="3">
        <v>0</v>
      </c>
      <c r="AE11" s="2">
        <v>0</v>
      </c>
      <c r="AF11" s="2">
        <v>25</v>
      </c>
      <c r="AK11">
        <v>6980433</v>
      </c>
    </row>
    <row r="12" spans="1:38" x14ac:dyDescent="0.25">
      <c r="A12" s="1">
        <v>46204</v>
      </c>
      <c r="B12" s="1">
        <v>46204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95</v>
      </c>
      <c r="J12" t="s">
        <v>96</v>
      </c>
      <c r="M12" t="s">
        <v>97</v>
      </c>
      <c r="O12" t="s">
        <v>98</v>
      </c>
      <c r="P12" t="s">
        <v>99</v>
      </c>
      <c r="Q12" t="s">
        <v>59</v>
      </c>
      <c r="R12" t="s">
        <v>94</v>
      </c>
      <c r="S12" s="1">
        <v>46143</v>
      </c>
      <c r="U12" t="s">
        <v>51</v>
      </c>
      <c r="X12" t="s">
        <v>52</v>
      </c>
      <c r="Y12" s="2">
        <v>0</v>
      </c>
      <c r="Z12" s="2">
        <v>25</v>
      </c>
      <c r="AA12">
        <v>1</v>
      </c>
      <c r="AB12" s="3">
        <v>1</v>
      </c>
      <c r="AC12" s="2">
        <v>25</v>
      </c>
      <c r="AD12" s="3">
        <v>0</v>
      </c>
      <c r="AE12" s="2">
        <v>0</v>
      </c>
      <c r="AF12" s="2">
        <v>25</v>
      </c>
      <c r="AK12">
        <v>6980437</v>
      </c>
    </row>
    <row r="13" spans="1:38" x14ac:dyDescent="0.25">
      <c r="A13" s="1">
        <v>46204</v>
      </c>
      <c r="B13" s="1">
        <v>46204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100</v>
      </c>
      <c r="J13" t="s">
        <v>101</v>
      </c>
      <c r="M13" t="s">
        <v>102</v>
      </c>
      <c r="O13" t="s">
        <v>103</v>
      </c>
      <c r="P13" t="s">
        <v>104</v>
      </c>
      <c r="Q13" t="s">
        <v>59</v>
      </c>
      <c r="R13" t="s">
        <v>94</v>
      </c>
      <c r="S13" s="1">
        <v>46143</v>
      </c>
      <c r="U13" t="s">
        <v>51</v>
      </c>
      <c r="X13" t="s">
        <v>52</v>
      </c>
      <c r="Y13" s="2">
        <v>0</v>
      </c>
      <c r="Z13" s="2">
        <v>25</v>
      </c>
      <c r="AA13">
        <v>1</v>
      </c>
      <c r="AB13" s="3">
        <v>1</v>
      </c>
      <c r="AC13" s="2">
        <v>25</v>
      </c>
      <c r="AD13" s="3">
        <v>0</v>
      </c>
      <c r="AE13" s="2">
        <v>0</v>
      </c>
      <c r="AF13" s="2">
        <v>25</v>
      </c>
      <c r="AK13">
        <v>6980439</v>
      </c>
    </row>
    <row r="14" spans="1:38" x14ac:dyDescent="0.25">
      <c r="A14" s="1">
        <v>46204</v>
      </c>
      <c r="B14" s="1">
        <v>46204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105</v>
      </c>
      <c r="J14" t="s">
        <v>106</v>
      </c>
      <c r="M14" t="s">
        <v>102</v>
      </c>
      <c r="O14" t="s">
        <v>103</v>
      </c>
      <c r="P14" t="s">
        <v>104</v>
      </c>
      <c r="Q14" t="s">
        <v>59</v>
      </c>
      <c r="R14" t="s">
        <v>94</v>
      </c>
      <c r="S14" s="1">
        <v>46143</v>
      </c>
      <c r="U14" t="s">
        <v>51</v>
      </c>
      <c r="X14" t="s">
        <v>52</v>
      </c>
      <c r="Y14" s="2">
        <v>0</v>
      </c>
      <c r="Z14" s="2">
        <v>25</v>
      </c>
      <c r="AA14">
        <v>1</v>
      </c>
      <c r="AB14" s="3">
        <v>1</v>
      </c>
      <c r="AC14" s="2">
        <v>25</v>
      </c>
      <c r="AD14" s="3">
        <v>0</v>
      </c>
      <c r="AE14" s="2">
        <v>0</v>
      </c>
      <c r="AF14" s="2">
        <v>25</v>
      </c>
      <c r="AK14">
        <v>6980442</v>
      </c>
    </row>
    <row r="15" spans="1:38" x14ac:dyDescent="0.25">
      <c r="A15" s="1">
        <v>46204</v>
      </c>
      <c r="B15" s="1">
        <v>46204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107</v>
      </c>
      <c r="J15" t="s">
        <v>108</v>
      </c>
      <c r="M15" t="s">
        <v>109</v>
      </c>
      <c r="O15" t="s">
        <v>110</v>
      </c>
      <c r="P15" t="s">
        <v>111</v>
      </c>
      <c r="Q15" t="s">
        <v>59</v>
      </c>
      <c r="R15" t="s">
        <v>94</v>
      </c>
      <c r="S15" s="1">
        <v>46143</v>
      </c>
      <c r="U15" t="s">
        <v>51</v>
      </c>
      <c r="X15" t="s">
        <v>52</v>
      </c>
      <c r="Y15" s="2">
        <v>0</v>
      </c>
      <c r="Z15" s="2">
        <v>25</v>
      </c>
      <c r="AA15">
        <v>1</v>
      </c>
      <c r="AB15" s="3">
        <v>1</v>
      </c>
      <c r="AC15" s="2">
        <v>25</v>
      </c>
      <c r="AD15" s="3">
        <v>0</v>
      </c>
      <c r="AE15" s="2">
        <v>0</v>
      </c>
      <c r="AF15" s="2">
        <v>25</v>
      </c>
      <c r="AK15">
        <v>6980448</v>
      </c>
    </row>
    <row r="16" spans="1:38" x14ac:dyDescent="0.25">
      <c r="A16" s="1">
        <v>46204</v>
      </c>
      <c r="B16" s="1">
        <v>46204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112</v>
      </c>
      <c r="J16" t="s">
        <v>113</v>
      </c>
      <c r="M16" t="s">
        <v>63</v>
      </c>
      <c r="O16" t="s">
        <v>114</v>
      </c>
      <c r="P16" t="s">
        <v>115</v>
      </c>
      <c r="Q16" t="s">
        <v>59</v>
      </c>
      <c r="R16" t="s">
        <v>94</v>
      </c>
      <c r="S16" s="1">
        <v>46204</v>
      </c>
      <c r="U16" t="s">
        <v>51</v>
      </c>
      <c r="X16" t="s">
        <v>52</v>
      </c>
      <c r="Y16" s="2">
        <v>0</v>
      </c>
      <c r="Z16" s="2">
        <v>25</v>
      </c>
      <c r="AA16">
        <v>1</v>
      </c>
      <c r="AB16" s="3">
        <v>1</v>
      </c>
      <c r="AC16" s="2">
        <v>25</v>
      </c>
      <c r="AD16" s="3">
        <v>0</v>
      </c>
      <c r="AE16" s="2">
        <v>0</v>
      </c>
      <c r="AF16" s="2">
        <v>25</v>
      </c>
      <c r="AK16">
        <v>6980468</v>
      </c>
    </row>
    <row r="17" spans="1:37" x14ac:dyDescent="0.25">
      <c r="A17" s="1">
        <v>46204</v>
      </c>
      <c r="B17" s="1">
        <v>46204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116</v>
      </c>
      <c r="J17" t="s">
        <v>117</v>
      </c>
      <c r="M17" t="s">
        <v>102</v>
      </c>
      <c r="O17" t="s">
        <v>103</v>
      </c>
      <c r="P17" t="s">
        <v>104</v>
      </c>
      <c r="Q17" t="s">
        <v>59</v>
      </c>
      <c r="R17" t="s">
        <v>94</v>
      </c>
      <c r="S17" s="1">
        <v>46143</v>
      </c>
      <c r="U17" t="s">
        <v>51</v>
      </c>
      <c r="X17" t="s">
        <v>52</v>
      </c>
      <c r="Y17" s="2">
        <v>0</v>
      </c>
      <c r="Z17" s="2">
        <v>25</v>
      </c>
      <c r="AA17">
        <v>1</v>
      </c>
      <c r="AB17" s="3">
        <v>1</v>
      </c>
      <c r="AC17" s="2">
        <v>25</v>
      </c>
      <c r="AD17" s="3">
        <v>0</v>
      </c>
      <c r="AE17" s="2">
        <v>0</v>
      </c>
      <c r="AF17" s="2">
        <v>25</v>
      </c>
      <c r="AK17">
        <v>6980477</v>
      </c>
    </row>
    <row r="18" spans="1:37" x14ac:dyDescent="0.25">
      <c r="A18" s="1">
        <v>46204</v>
      </c>
      <c r="B18" s="1">
        <v>46204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118</v>
      </c>
      <c r="J18" t="s">
        <v>119</v>
      </c>
      <c r="M18" t="s">
        <v>102</v>
      </c>
      <c r="O18" t="s">
        <v>120</v>
      </c>
      <c r="P18" t="s">
        <v>121</v>
      </c>
      <c r="Q18" t="s">
        <v>59</v>
      </c>
      <c r="R18" t="s">
        <v>94</v>
      </c>
      <c r="S18" s="1">
        <v>46143</v>
      </c>
      <c r="U18" t="s">
        <v>51</v>
      </c>
      <c r="X18" t="s">
        <v>52</v>
      </c>
      <c r="Y18" s="2">
        <v>0</v>
      </c>
      <c r="Z18" s="2">
        <v>25</v>
      </c>
      <c r="AA18">
        <v>1</v>
      </c>
      <c r="AB18" s="3">
        <v>1</v>
      </c>
      <c r="AC18" s="2">
        <v>25</v>
      </c>
      <c r="AD18" s="3">
        <v>0</v>
      </c>
      <c r="AE18" s="2">
        <v>0</v>
      </c>
      <c r="AF18" s="2">
        <v>25</v>
      </c>
      <c r="AK18">
        <v>6980482</v>
      </c>
    </row>
    <row r="19" spans="1:37" x14ac:dyDescent="0.25">
      <c r="A19" s="1">
        <v>46204</v>
      </c>
      <c r="B19" s="1">
        <v>46204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122</v>
      </c>
      <c r="J19" t="s">
        <v>123</v>
      </c>
      <c r="M19" t="s">
        <v>63</v>
      </c>
      <c r="O19" t="s">
        <v>114</v>
      </c>
      <c r="P19" t="s">
        <v>115</v>
      </c>
      <c r="Q19" t="s">
        <v>59</v>
      </c>
      <c r="R19" t="s">
        <v>94</v>
      </c>
      <c r="S19" s="1">
        <v>46174</v>
      </c>
      <c r="U19" t="s">
        <v>51</v>
      </c>
      <c r="X19" t="s">
        <v>52</v>
      </c>
      <c r="Y19" s="2">
        <v>0</v>
      </c>
      <c r="Z19" s="2">
        <v>25</v>
      </c>
      <c r="AA19">
        <v>1</v>
      </c>
      <c r="AB19" s="3">
        <v>1</v>
      </c>
      <c r="AC19" s="2">
        <v>25</v>
      </c>
      <c r="AD19" s="3">
        <v>0</v>
      </c>
      <c r="AE19" s="2">
        <v>0</v>
      </c>
      <c r="AF19" s="2">
        <v>25</v>
      </c>
      <c r="AK19">
        <v>6980501</v>
      </c>
    </row>
    <row r="20" spans="1:37" x14ac:dyDescent="0.25">
      <c r="A20" s="1">
        <v>46204</v>
      </c>
      <c r="B20" s="1">
        <v>46204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124</v>
      </c>
      <c r="J20" t="s">
        <v>125</v>
      </c>
      <c r="M20" t="s">
        <v>102</v>
      </c>
      <c r="O20" t="s">
        <v>126</v>
      </c>
      <c r="P20" t="s">
        <v>127</v>
      </c>
      <c r="Q20" t="s">
        <v>59</v>
      </c>
      <c r="R20" t="s">
        <v>94</v>
      </c>
      <c r="S20" s="1">
        <v>46204</v>
      </c>
      <c r="U20" t="s">
        <v>51</v>
      </c>
      <c r="X20" t="s">
        <v>52</v>
      </c>
      <c r="Y20" s="2">
        <v>0</v>
      </c>
      <c r="Z20" s="2">
        <v>25</v>
      </c>
      <c r="AA20">
        <v>1</v>
      </c>
      <c r="AB20" s="3">
        <v>1</v>
      </c>
      <c r="AC20" s="2">
        <v>25</v>
      </c>
      <c r="AD20" s="3">
        <v>0</v>
      </c>
      <c r="AE20" s="2">
        <v>0</v>
      </c>
      <c r="AF20" s="2">
        <v>25</v>
      </c>
      <c r="AK20">
        <v>6980520</v>
      </c>
    </row>
    <row r="21" spans="1:37" x14ac:dyDescent="0.25">
      <c r="A21" s="1">
        <v>46204</v>
      </c>
      <c r="B21" s="1">
        <v>46204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128</v>
      </c>
      <c r="J21" t="s">
        <v>129</v>
      </c>
      <c r="M21" t="s">
        <v>130</v>
      </c>
      <c r="O21" t="s">
        <v>131</v>
      </c>
      <c r="P21" t="s">
        <v>132</v>
      </c>
      <c r="Q21" t="s">
        <v>59</v>
      </c>
      <c r="R21" t="s">
        <v>94</v>
      </c>
      <c r="S21" s="1">
        <v>46174</v>
      </c>
      <c r="U21" t="s">
        <v>51</v>
      </c>
      <c r="X21" t="s">
        <v>52</v>
      </c>
      <c r="Y21" s="2">
        <v>0</v>
      </c>
      <c r="Z21" s="2">
        <v>25</v>
      </c>
      <c r="AA21">
        <v>1</v>
      </c>
      <c r="AB21" s="3">
        <v>1</v>
      </c>
      <c r="AC21" s="2">
        <v>25</v>
      </c>
      <c r="AD21" s="3">
        <v>0</v>
      </c>
      <c r="AE21" s="2">
        <v>0</v>
      </c>
      <c r="AF21" s="2">
        <v>25</v>
      </c>
      <c r="AK21">
        <v>6980528</v>
      </c>
    </row>
    <row r="22" spans="1:37" x14ac:dyDescent="0.25">
      <c r="A22" s="1">
        <v>46204</v>
      </c>
      <c r="B22" s="1">
        <v>46204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133</v>
      </c>
      <c r="J22" t="s">
        <v>134</v>
      </c>
      <c r="M22" t="s">
        <v>102</v>
      </c>
      <c r="O22" t="s">
        <v>135</v>
      </c>
      <c r="P22" t="s">
        <v>136</v>
      </c>
      <c r="Q22" t="s">
        <v>59</v>
      </c>
      <c r="R22" t="s">
        <v>94</v>
      </c>
      <c r="S22" s="1">
        <v>46235</v>
      </c>
      <c r="U22" t="s">
        <v>51</v>
      </c>
      <c r="X22" t="s">
        <v>52</v>
      </c>
      <c r="Y22" s="2">
        <v>0</v>
      </c>
      <c r="Z22" s="2">
        <v>25</v>
      </c>
      <c r="AA22">
        <v>1</v>
      </c>
      <c r="AB22" s="3">
        <v>1</v>
      </c>
      <c r="AC22" s="2">
        <v>25</v>
      </c>
      <c r="AD22" s="3">
        <v>0</v>
      </c>
      <c r="AE22" s="2">
        <v>0</v>
      </c>
      <c r="AF22" s="2">
        <v>25</v>
      </c>
      <c r="AK22">
        <v>6980531</v>
      </c>
    </row>
    <row r="23" spans="1:37" x14ac:dyDescent="0.25">
      <c r="A23" s="1">
        <v>46204</v>
      </c>
      <c r="B23" s="1">
        <v>46204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137</v>
      </c>
      <c r="J23" t="s">
        <v>138</v>
      </c>
      <c r="M23" t="s">
        <v>102</v>
      </c>
      <c r="O23" t="s">
        <v>126</v>
      </c>
      <c r="P23" t="s">
        <v>127</v>
      </c>
      <c r="Q23" t="s">
        <v>59</v>
      </c>
      <c r="R23" t="s">
        <v>94</v>
      </c>
      <c r="S23" s="1">
        <v>46235</v>
      </c>
      <c r="U23" t="s">
        <v>51</v>
      </c>
      <c r="X23" t="s">
        <v>52</v>
      </c>
      <c r="Y23" s="2">
        <v>0</v>
      </c>
      <c r="Z23" s="2">
        <v>25</v>
      </c>
      <c r="AA23">
        <v>1</v>
      </c>
      <c r="AB23" s="3">
        <v>1</v>
      </c>
      <c r="AC23" s="2">
        <v>25</v>
      </c>
      <c r="AD23" s="3">
        <v>0</v>
      </c>
      <c r="AE23" s="2">
        <v>0</v>
      </c>
      <c r="AF23" s="2">
        <v>25</v>
      </c>
      <c r="AK23">
        <v>6980533</v>
      </c>
    </row>
    <row r="24" spans="1:37" x14ac:dyDescent="0.25">
      <c r="A24" s="1">
        <v>46204</v>
      </c>
      <c r="B24" s="1">
        <v>46204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139</v>
      </c>
      <c r="J24" t="s">
        <v>140</v>
      </c>
      <c r="M24" t="s">
        <v>63</v>
      </c>
      <c r="O24" t="s">
        <v>141</v>
      </c>
      <c r="P24" t="s">
        <v>142</v>
      </c>
      <c r="Q24" t="s">
        <v>59</v>
      </c>
      <c r="R24" t="s">
        <v>94</v>
      </c>
      <c r="S24" s="1">
        <v>46174</v>
      </c>
      <c r="U24" t="s">
        <v>51</v>
      </c>
      <c r="X24" t="s">
        <v>52</v>
      </c>
      <c r="Y24" s="2">
        <v>0</v>
      </c>
      <c r="Z24" s="2">
        <v>25</v>
      </c>
      <c r="AA24">
        <v>1</v>
      </c>
      <c r="AB24" s="3">
        <v>1</v>
      </c>
      <c r="AC24" s="2">
        <v>25</v>
      </c>
      <c r="AD24" s="3">
        <v>0</v>
      </c>
      <c r="AE24" s="2">
        <v>0</v>
      </c>
      <c r="AF24" s="2">
        <v>25</v>
      </c>
      <c r="AK24">
        <v>6980584</v>
      </c>
    </row>
    <row r="25" spans="1:37" x14ac:dyDescent="0.25">
      <c r="A25" s="1">
        <v>46204</v>
      </c>
      <c r="B25" s="1">
        <v>46204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143</v>
      </c>
      <c r="J25" t="s">
        <v>144</v>
      </c>
      <c r="M25" t="s">
        <v>56</v>
      </c>
      <c r="O25" t="s">
        <v>145</v>
      </c>
      <c r="P25" t="s">
        <v>146</v>
      </c>
      <c r="Q25" t="s">
        <v>59</v>
      </c>
      <c r="R25" t="s">
        <v>94</v>
      </c>
      <c r="S25" s="1">
        <v>46174</v>
      </c>
      <c r="U25" t="s">
        <v>51</v>
      </c>
      <c r="X25" t="s">
        <v>52</v>
      </c>
      <c r="Y25" s="2">
        <v>0</v>
      </c>
      <c r="Z25" s="2">
        <v>25</v>
      </c>
      <c r="AA25">
        <v>1</v>
      </c>
      <c r="AB25" s="3">
        <v>1</v>
      </c>
      <c r="AC25" s="2">
        <v>25</v>
      </c>
      <c r="AD25" s="3">
        <v>0</v>
      </c>
      <c r="AE25" s="2">
        <v>0</v>
      </c>
      <c r="AF25" s="2">
        <v>25</v>
      </c>
      <c r="AK25">
        <v>6980585</v>
      </c>
    </row>
    <row r="26" spans="1:37" x14ac:dyDescent="0.25">
      <c r="A26" s="1">
        <v>46204</v>
      </c>
      <c r="B26" s="1">
        <v>46204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147</v>
      </c>
      <c r="J26" t="s">
        <v>148</v>
      </c>
      <c r="M26" t="s">
        <v>149</v>
      </c>
      <c r="O26" t="s">
        <v>83</v>
      </c>
      <c r="P26" t="s">
        <v>84</v>
      </c>
      <c r="Q26" t="s">
        <v>59</v>
      </c>
      <c r="R26" t="s">
        <v>94</v>
      </c>
      <c r="S26" s="1">
        <v>46174</v>
      </c>
      <c r="U26" t="s">
        <v>51</v>
      </c>
      <c r="X26" t="s">
        <v>52</v>
      </c>
      <c r="Y26" s="2">
        <v>0</v>
      </c>
      <c r="Z26" s="2">
        <v>25</v>
      </c>
      <c r="AA26">
        <v>1</v>
      </c>
      <c r="AB26" s="3">
        <v>1</v>
      </c>
      <c r="AC26" s="2">
        <v>25</v>
      </c>
      <c r="AD26" s="3">
        <v>0</v>
      </c>
      <c r="AE26" s="2">
        <v>0</v>
      </c>
      <c r="AF26" s="2">
        <v>25</v>
      </c>
      <c r="AK26">
        <v>6980589</v>
      </c>
    </row>
    <row r="27" spans="1:37" x14ac:dyDescent="0.25">
      <c r="A27" s="1">
        <v>46204</v>
      </c>
      <c r="B27" s="1">
        <v>46204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150</v>
      </c>
      <c r="J27" t="s">
        <v>151</v>
      </c>
      <c r="M27" t="s">
        <v>152</v>
      </c>
      <c r="O27" t="s">
        <v>153</v>
      </c>
      <c r="P27" t="s">
        <v>154</v>
      </c>
      <c r="Q27" t="s">
        <v>59</v>
      </c>
      <c r="R27" t="s">
        <v>94</v>
      </c>
      <c r="S27" s="1">
        <v>46204</v>
      </c>
      <c r="U27" t="s">
        <v>51</v>
      </c>
      <c r="X27" t="s">
        <v>52</v>
      </c>
      <c r="Y27" s="2">
        <v>0</v>
      </c>
      <c r="Z27" s="2">
        <v>25</v>
      </c>
      <c r="AA27">
        <v>1</v>
      </c>
      <c r="AB27" s="3">
        <v>1</v>
      </c>
      <c r="AC27" s="2">
        <v>25</v>
      </c>
      <c r="AD27" s="3">
        <v>0</v>
      </c>
      <c r="AE27" s="2">
        <v>0</v>
      </c>
      <c r="AF27" s="2">
        <v>25</v>
      </c>
      <c r="AK27">
        <v>6980591</v>
      </c>
    </row>
    <row r="28" spans="1:37" x14ac:dyDescent="0.25">
      <c r="A28" s="1">
        <v>46204</v>
      </c>
      <c r="B28" s="1">
        <v>46204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155</v>
      </c>
      <c r="J28" t="s">
        <v>156</v>
      </c>
      <c r="M28" t="s">
        <v>102</v>
      </c>
      <c r="O28" t="s">
        <v>157</v>
      </c>
      <c r="P28" t="s">
        <v>158</v>
      </c>
      <c r="Q28" t="s">
        <v>59</v>
      </c>
      <c r="R28" t="s">
        <v>94</v>
      </c>
      <c r="S28" s="1">
        <v>46204</v>
      </c>
      <c r="U28" t="s">
        <v>51</v>
      </c>
      <c r="X28" t="s">
        <v>52</v>
      </c>
      <c r="Y28" s="2">
        <v>0</v>
      </c>
      <c r="Z28" s="2">
        <v>25</v>
      </c>
      <c r="AA28">
        <v>1</v>
      </c>
      <c r="AB28" s="3">
        <v>1</v>
      </c>
      <c r="AC28" s="2">
        <v>25</v>
      </c>
      <c r="AD28" s="3">
        <v>0</v>
      </c>
      <c r="AE28" s="2">
        <v>0</v>
      </c>
      <c r="AF28" s="2">
        <v>25</v>
      </c>
      <c r="AK28">
        <v>6980592</v>
      </c>
    </row>
    <row r="29" spans="1:37" x14ac:dyDescent="0.25">
      <c r="A29" s="1">
        <v>46204</v>
      </c>
      <c r="B29" s="1">
        <v>46204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159</v>
      </c>
      <c r="J29" t="s">
        <v>160</v>
      </c>
      <c r="M29" t="s">
        <v>63</v>
      </c>
      <c r="O29" t="s">
        <v>161</v>
      </c>
      <c r="P29" t="s">
        <v>162</v>
      </c>
      <c r="Q29" t="s">
        <v>59</v>
      </c>
      <c r="R29" t="s">
        <v>94</v>
      </c>
      <c r="S29" s="1">
        <v>46204</v>
      </c>
      <c r="U29" t="s">
        <v>51</v>
      </c>
      <c r="X29" t="s">
        <v>52</v>
      </c>
      <c r="Y29" s="2">
        <v>0</v>
      </c>
      <c r="Z29" s="2">
        <v>25</v>
      </c>
      <c r="AA29">
        <v>1</v>
      </c>
      <c r="AB29" s="3">
        <v>1</v>
      </c>
      <c r="AC29" s="2">
        <v>25</v>
      </c>
      <c r="AD29" s="3">
        <v>0</v>
      </c>
      <c r="AE29" s="2">
        <v>0</v>
      </c>
      <c r="AF29" s="2">
        <v>25</v>
      </c>
      <c r="AK29">
        <v>6980594</v>
      </c>
    </row>
    <row r="30" spans="1:37" x14ac:dyDescent="0.25">
      <c r="A30" s="1">
        <v>46204</v>
      </c>
      <c r="B30" s="1">
        <v>46204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163</v>
      </c>
      <c r="J30" t="s">
        <v>164</v>
      </c>
      <c r="M30" t="s">
        <v>46</v>
      </c>
      <c r="O30" t="s">
        <v>165</v>
      </c>
      <c r="P30" t="s">
        <v>166</v>
      </c>
      <c r="Q30" t="s">
        <v>59</v>
      </c>
      <c r="R30" t="s">
        <v>94</v>
      </c>
      <c r="S30" s="1">
        <v>46174</v>
      </c>
      <c r="U30" t="s">
        <v>51</v>
      </c>
      <c r="X30" t="s">
        <v>52</v>
      </c>
      <c r="Y30" s="2">
        <v>0</v>
      </c>
      <c r="Z30" s="2">
        <v>25</v>
      </c>
      <c r="AA30">
        <v>1</v>
      </c>
      <c r="AB30" s="3">
        <v>1</v>
      </c>
      <c r="AC30" s="2">
        <v>25</v>
      </c>
      <c r="AD30" s="3">
        <v>0</v>
      </c>
      <c r="AE30" s="2">
        <v>0</v>
      </c>
      <c r="AF30" s="2">
        <v>25</v>
      </c>
      <c r="AK30">
        <v>6980602</v>
      </c>
    </row>
    <row r="31" spans="1:37" x14ac:dyDescent="0.25">
      <c r="A31" s="1">
        <v>46204</v>
      </c>
      <c r="B31" s="1">
        <v>46204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167</v>
      </c>
      <c r="J31" t="s">
        <v>168</v>
      </c>
      <c r="M31" t="s">
        <v>169</v>
      </c>
      <c r="O31" t="s">
        <v>170</v>
      </c>
      <c r="P31" t="s">
        <v>171</v>
      </c>
      <c r="Q31" t="s">
        <v>59</v>
      </c>
      <c r="R31" t="s">
        <v>94</v>
      </c>
      <c r="S31" s="1">
        <v>46174</v>
      </c>
      <c r="U31" t="s">
        <v>51</v>
      </c>
      <c r="X31" t="s">
        <v>52</v>
      </c>
      <c r="Y31" s="2">
        <v>0</v>
      </c>
      <c r="Z31" s="2">
        <v>25</v>
      </c>
      <c r="AA31">
        <v>1</v>
      </c>
      <c r="AB31" s="3">
        <v>1</v>
      </c>
      <c r="AC31" s="2">
        <v>25</v>
      </c>
      <c r="AD31" s="3">
        <v>0</v>
      </c>
      <c r="AE31" s="2">
        <v>0</v>
      </c>
      <c r="AF31" s="2">
        <v>25</v>
      </c>
      <c r="AK31">
        <v>6980613</v>
      </c>
    </row>
    <row r="32" spans="1:37" x14ac:dyDescent="0.25">
      <c r="A32" s="1">
        <v>46204</v>
      </c>
      <c r="B32" s="1">
        <v>46204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172</v>
      </c>
      <c r="J32" t="s">
        <v>173</v>
      </c>
      <c r="M32" t="s">
        <v>102</v>
      </c>
      <c r="O32" t="s">
        <v>103</v>
      </c>
      <c r="P32" t="s">
        <v>104</v>
      </c>
      <c r="Q32" t="s">
        <v>59</v>
      </c>
      <c r="R32" t="s">
        <v>94</v>
      </c>
      <c r="S32" s="1">
        <v>46174</v>
      </c>
      <c r="U32" t="s">
        <v>51</v>
      </c>
      <c r="X32" t="s">
        <v>52</v>
      </c>
      <c r="Y32" s="2">
        <v>0</v>
      </c>
      <c r="Z32" s="2">
        <v>25</v>
      </c>
      <c r="AA32">
        <v>1</v>
      </c>
      <c r="AB32" s="3">
        <v>1</v>
      </c>
      <c r="AC32" s="2">
        <v>25</v>
      </c>
      <c r="AD32" s="3">
        <v>0</v>
      </c>
      <c r="AE32" s="2">
        <v>0</v>
      </c>
      <c r="AF32" s="2">
        <v>25</v>
      </c>
      <c r="AK32">
        <v>6980614</v>
      </c>
    </row>
    <row r="33" spans="1:37" x14ac:dyDescent="0.25">
      <c r="A33" s="1">
        <v>46204</v>
      </c>
      <c r="B33" s="1">
        <v>46204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174</v>
      </c>
      <c r="J33" t="s">
        <v>175</v>
      </c>
      <c r="M33" t="s">
        <v>63</v>
      </c>
      <c r="O33" t="s">
        <v>176</v>
      </c>
      <c r="P33" t="s">
        <v>177</v>
      </c>
      <c r="Q33" t="s">
        <v>59</v>
      </c>
      <c r="R33" t="s">
        <v>94</v>
      </c>
      <c r="S33" s="1">
        <v>46204</v>
      </c>
      <c r="U33" t="s">
        <v>51</v>
      </c>
      <c r="X33" t="s">
        <v>52</v>
      </c>
      <c r="Y33" s="2">
        <v>0</v>
      </c>
      <c r="Z33" s="2">
        <v>25</v>
      </c>
      <c r="AA33">
        <v>1</v>
      </c>
      <c r="AB33" s="3">
        <v>1</v>
      </c>
      <c r="AC33" s="2">
        <v>25</v>
      </c>
      <c r="AD33" s="3">
        <v>0</v>
      </c>
      <c r="AE33" s="2">
        <v>0</v>
      </c>
      <c r="AF33" s="2">
        <v>25</v>
      </c>
      <c r="AK33">
        <v>6980615</v>
      </c>
    </row>
    <row r="34" spans="1:37" x14ac:dyDescent="0.25">
      <c r="A34" s="1">
        <v>46204</v>
      </c>
      <c r="B34" s="1">
        <v>46204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178</v>
      </c>
      <c r="J34" t="s">
        <v>179</v>
      </c>
      <c r="M34" t="s">
        <v>46</v>
      </c>
      <c r="O34" t="s">
        <v>165</v>
      </c>
      <c r="P34" t="s">
        <v>166</v>
      </c>
      <c r="Q34" t="s">
        <v>59</v>
      </c>
      <c r="R34" t="s">
        <v>94</v>
      </c>
      <c r="S34" s="1">
        <v>46174</v>
      </c>
      <c r="U34" t="s">
        <v>51</v>
      </c>
      <c r="X34" t="s">
        <v>52</v>
      </c>
      <c r="Y34" s="2">
        <v>0</v>
      </c>
      <c r="Z34" s="2">
        <v>25</v>
      </c>
      <c r="AA34">
        <v>1</v>
      </c>
      <c r="AB34" s="3">
        <v>1</v>
      </c>
      <c r="AC34" s="2">
        <v>25</v>
      </c>
      <c r="AD34" s="3">
        <v>0</v>
      </c>
      <c r="AE34" s="2">
        <v>0</v>
      </c>
      <c r="AF34" s="2">
        <v>25</v>
      </c>
      <c r="AK34">
        <v>6980619</v>
      </c>
    </row>
    <row r="35" spans="1:37" x14ac:dyDescent="0.25">
      <c r="A35" s="1">
        <v>46204</v>
      </c>
      <c r="B35" s="1">
        <v>46204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180</v>
      </c>
      <c r="J35" t="s">
        <v>181</v>
      </c>
      <c r="M35" t="s">
        <v>46</v>
      </c>
      <c r="O35" t="s">
        <v>165</v>
      </c>
      <c r="P35" t="s">
        <v>166</v>
      </c>
      <c r="Q35" t="s">
        <v>59</v>
      </c>
      <c r="R35" t="s">
        <v>94</v>
      </c>
      <c r="S35" s="1">
        <v>46235</v>
      </c>
      <c r="U35" t="s">
        <v>51</v>
      </c>
      <c r="X35" t="s">
        <v>52</v>
      </c>
      <c r="Y35" s="2">
        <v>0</v>
      </c>
      <c r="Z35" s="2">
        <v>25</v>
      </c>
      <c r="AA35">
        <v>1</v>
      </c>
      <c r="AB35" s="3">
        <v>1</v>
      </c>
      <c r="AC35" s="2">
        <v>25</v>
      </c>
      <c r="AD35" s="3">
        <v>0</v>
      </c>
      <c r="AE35" s="2">
        <v>0</v>
      </c>
      <c r="AF35" s="2">
        <v>25</v>
      </c>
      <c r="AK35">
        <v>6980622</v>
      </c>
    </row>
    <row r="36" spans="1:37" x14ac:dyDescent="0.25">
      <c r="A36" s="1">
        <v>46204</v>
      </c>
      <c r="B36" s="1">
        <v>46204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182</v>
      </c>
      <c r="J36" t="s">
        <v>183</v>
      </c>
      <c r="M36" t="s">
        <v>46</v>
      </c>
      <c r="O36" t="s">
        <v>165</v>
      </c>
      <c r="P36" t="s">
        <v>166</v>
      </c>
      <c r="Q36" t="s">
        <v>59</v>
      </c>
      <c r="R36" t="s">
        <v>94</v>
      </c>
      <c r="S36" s="1">
        <v>46174</v>
      </c>
      <c r="U36" t="s">
        <v>51</v>
      </c>
      <c r="X36" t="s">
        <v>52</v>
      </c>
      <c r="Y36" s="2">
        <v>0</v>
      </c>
      <c r="Z36" s="2">
        <v>25</v>
      </c>
      <c r="AA36">
        <v>1</v>
      </c>
      <c r="AB36" s="3">
        <v>1</v>
      </c>
      <c r="AC36" s="2">
        <v>25</v>
      </c>
      <c r="AD36" s="3">
        <v>0</v>
      </c>
      <c r="AE36" s="2">
        <v>0</v>
      </c>
      <c r="AF36" s="2">
        <v>25</v>
      </c>
      <c r="AK36">
        <v>6980623</v>
      </c>
    </row>
    <row r="37" spans="1:37" x14ac:dyDescent="0.25">
      <c r="A37" s="1">
        <v>46204</v>
      </c>
      <c r="B37" s="1">
        <v>46204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184</v>
      </c>
      <c r="J37" t="s">
        <v>185</v>
      </c>
      <c r="M37" t="s">
        <v>87</v>
      </c>
      <c r="O37" t="s">
        <v>110</v>
      </c>
      <c r="P37" t="s">
        <v>111</v>
      </c>
      <c r="Q37" t="s">
        <v>59</v>
      </c>
      <c r="R37" t="s">
        <v>94</v>
      </c>
      <c r="S37" s="1">
        <v>46174</v>
      </c>
      <c r="U37" t="s">
        <v>51</v>
      </c>
      <c r="X37" t="s">
        <v>52</v>
      </c>
      <c r="Y37" s="2">
        <v>0</v>
      </c>
      <c r="Z37" s="2">
        <v>25</v>
      </c>
      <c r="AA37">
        <v>1</v>
      </c>
      <c r="AB37" s="3">
        <v>1</v>
      </c>
      <c r="AC37" s="2">
        <v>25</v>
      </c>
      <c r="AD37" s="3">
        <v>0</v>
      </c>
      <c r="AE37" s="2">
        <v>0</v>
      </c>
      <c r="AF37" s="2">
        <v>25</v>
      </c>
      <c r="AK37">
        <v>6980629</v>
      </c>
    </row>
    <row r="38" spans="1:37" x14ac:dyDescent="0.25">
      <c r="A38" s="1">
        <v>46204</v>
      </c>
      <c r="B38" s="1">
        <v>46204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186</v>
      </c>
      <c r="J38" t="s">
        <v>187</v>
      </c>
      <c r="M38" t="s">
        <v>63</v>
      </c>
      <c r="O38" t="s">
        <v>92</v>
      </c>
      <c r="P38" t="s">
        <v>93</v>
      </c>
      <c r="Q38" t="s">
        <v>59</v>
      </c>
      <c r="R38" t="s">
        <v>94</v>
      </c>
      <c r="S38" s="1">
        <v>46174</v>
      </c>
      <c r="U38" t="s">
        <v>51</v>
      </c>
      <c r="X38" t="s">
        <v>52</v>
      </c>
      <c r="Y38" s="2">
        <v>0</v>
      </c>
      <c r="Z38" s="2">
        <v>25</v>
      </c>
      <c r="AA38">
        <v>1</v>
      </c>
      <c r="AB38" s="3">
        <v>1</v>
      </c>
      <c r="AC38" s="2">
        <v>25</v>
      </c>
      <c r="AD38" s="3">
        <v>0</v>
      </c>
      <c r="AE38" s="2">
        <v>0</v>
      </c>
      <c r="AF38" s="2">
        <v>25</v>
      </c>
      <c r="AK38">
        <v>6980636</v>
      </c>
    </row>
    <row r="39" spans="1:37" x14ac:dyDescent="0.25">
      <c r="A39" s="1">
        <v>46204</v>
      </c>
      <c r="B39" s="1">
        <v>46204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188</v>
      </c>
      <c r="J39" t="s">
        <v>189</v>
      </c>
      <c r="M39" t="s">
        <v>102</v>
      </c>
      <c r="O39" t="s">
        <v>135</v>
      </c>
      <c r="P39" t="s">
        <v>136</v>
      </c>
      <c r="Q39" t="s">
        <v>59</v>
      </c>
      <c r="R39" t="s">
        <v>94</v>
      </c>
      <c r="S39" s="1">
        <v>46204</v>
      </c>
      <c r="U39" t="s">
        <v>51</v>
      </c>
      <c r="X39" t="s">
        <v>52</v>
      </c>
      <c r="Y39" s="2">
        <v>0</v>
      </c>
      <c r="Z39" s="2">
        <v>25</v>
      </c>
      <c r="AA39">
        <v>1</v>
      </c>
      <c r="AB39" s="3">
        <v>1</v>
      </c>
      <c r="AC39" s="2">
        <v>25</v>
      </c>
      <c r="AD39" s="3">
        <v>0</v>
      </c>
      <c r="AE39" s="2">
        <v>0</v>
      </c>
      <c r="AF39" s="2">
        <v>25</v>
      </c>
      <c r="AK39">
        <v>6980638</v>
      </c>
    </row>
    <row r="40" spans="1:37" x14ac:dyDescent="0.25">
      <c r="A40" s="1">
        <v>46204</v>
      </c>
      <c r="B40" s="1">
        <v>46204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190</v>
      </c>
      <c r="J40" t="s">
        <v>191</v>
      </c>
      <c r="M40" t="s">
        <v>46</v>
      </c>
      <c r="O40" t="s">
        <v>165</v>
      </c>
      <c r="P40" t="s">
        <v>166</v>
      </c>
      <c r="Q40" t="s">
        <v>59</v>
      </c>
      <c r="R40" t="s">
        <v>94</v>
      </c>
      <c r="S40" s="1">
        <v>46174</v>
      </c>
      <c r="U40" t="s">
        <v>51</v>
      </c>
      <c r="X40" t="s">
        <v>52</v>
      </c>
      <c r="Y40" s="2">
        <v>0</v>
      </c>
      <c r="Z40" s="2">
        <v>25</v>
      </c>
      <c r="AA40">
        <v>1</v>
      </c>
      <c r="AB40" s="3">
        <v>1</v>
      </c>
      <c r="AC40" s="2">
        <v>25</v>
      </c>
      <c r="AD40" s="3">
        <v>0</v>
      </c>
      <c r="AE40" s="2">
        <v>0</v>
      </c>
      <c r="AF40" s="2">
        <v>25</v>
      </c>
      <c r="AK40">
        <v>6980640</v>
      </c>
    </row>
    <row r="41" spans="1:37" x14ac:dyDescent="0.25">
      <c r="A41" s="1">
        <v>46204</v>
      </c>
      <c r="B41" s="1">
        <v>46204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192</v>
      </c>
      <c r="J41" t="s">
        <v>193</v>
      </c>
      <c r="M41" t="s">
        <v>63</v>
      </c>
      <c r="O41" t="s">
        <v>92</v>
      </c>
      <c r="P41" t="s">
        <v>93</v>
      </c>
      <c r="Q41" t="s">
        <v>59</v>
      </c>
      <c r="R41" t="s">
        <v>94</v>
      </c>
      <c r="S41" s="1">
        <v>46235</v>
      </c>
      <c r="U41" t="s">
        <v>51</v>
      </c>
      <c r="X41" t="s">
        <v>52</v>
      </c>
      <c r="Y41" s="2">
        <v>0</v>
      </c>
      <c r="Z41" s="2">
        <v>25</v>
      </c>
      <c r="AA41">
        <v>1</v>
      </c>
      <c r="AB41" s="3">
        <v>1</v>
      </c>
      <c r="AC41" s="2">
        <v>25</v>
      </c>
      <c r="AD41" s="3">
        <v>0</v>
      </c>
      <c r="AE41" s="2">
        <v>0</v>
      </c>
      <c r="AF41" s="2">
        <v>25</v>
      </c>
      <c r="AK41">
        <v>6980648</v>
      </c>
    </row>
    <row r="42" spans="1:37" x14ac:dyDescent="0.25">
      <c r="A42" s="1">
        <v>46204</v>
      </c>
      <c r="B42" s="1">
        <v>46204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194</v>
      </c>
      <c r="J42" t="s">
        <v>195</v>
      </c>
      <c r="M42" t="s">
        <v>46</v>
      </c>
      <c r="O42" t="s">
        <v>165</v>
      </c>
      <c r="P42" t="s">
        <v>166</v>
      </c>
      <c r="Q42" t="s">
        <v>59</v>
      </c>
      <c r="R42" t="s">
        <v>94</v>
      </c>
      <c r="S42" s="1">
        <v>46204</v>
      </c>
      <c r="U42" t="s">
        <v>51</v>
      </c>
      <c r="X42" t="s">
        <v>52</v>
      </c>
      <c r="Y42" s="2">
        <v>0</v>
      </c>
      <c r="Z42" s="2">
        <v>25</v>
      </c>
      <c r="AA42">
        <v>1</v>
      </c>
      <c r="AB42" s="3">
        <v>1</v>
      </c>
      <c r="AC42" s="2">
        <v>25</v>
      </c>
      <c r="AD42" s="3">
        <v>0</v>
      </c>
      <c r="AE42" s="2">
        <v>0</v>
      </c>
      <c r="AF42" s="2">
        <v>25</v>
      </c>
      <c r="AK42">
        <v>6980650</v>
      </c>
    </row>
    <row r="43" spans="1:37" x14ac:dyDescent="0.25">
      <c r="A43" s="1">
        <v>46204</v>
      </c>
      <c r="B43" s="1">
        <v>46204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196</v>
      </c>
      <c r="J43" t="s">
        <v>197</v>
      </c>
      <c r="M43" t="s">
        <v>56</v>
      </c>
      <c r="O43" t="s">
        <v>145</v>
      </c>
      <c r="P43" t="s">
        <v>146</v>
      </c>
      <c r="Q43" t="s">
        <v>59</v>
      </c>
      <c r="R43" t="s">
        <v>94</v>
      </c>
      <c r="S43" s="1">
        <v>46204</v>
      </c>
      <c r="U43" t="s">
        <v>51</v>
      </c>
      <c r="X43" t="s">
        <v>52</v>
      </c>
      <c r="Y43" s="2">
        <v>0</v>
      </c>
      <c r="Z43" s="2">
        <v>25</v>
      </c>
      <c r="AA43">
        <v>1</v>
      </c>
      <c r="AB43" s="3">
        <v>1</v>
      </c>
      <c r="AC43" s="2">
        <v>25</v>
      </c>
      <c r="AD43" s="3">
        <v>0</v>
      </c>
      <c r="AE43" s="2">
        <v>0</v>
      </c>
      <c r="AF43" s="2">
        <v>25</v>
      </c>
      <c r="AK43">
        <v>6980661</v>
      </c>
    </row>
    <row r="44" spans="1:37" x14ac:dyDescent="0.25">
      <c r="A44" s="1">
        <v>46204</v>
      </c>
      <c r="B44" s="1">
        <v>46204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198</v>
      </c>
      <c r="J44" t="s">
        <v>199</v>
      </c>
      <c r="M44" t="s">
        <v>46</v>
      </c>
      <c r="O44" t="s">
        <v>131</v>
      </c>
      <c r="P44" t="s">
        <v>132</v>
      </c>
      <c r="Q44" t="s">
        <v>59</v>
      </c>
      <c r="R44" t="s">
        <v>94</v>
      </c>
      <c r="S44" s="1">
        <v>46174</v>
      </c>
      <c r="U44" t="s">
        <v>51</v>
      </c>
      <c r="X44" t="s">
        <v>52</v>
      </c>
      <c r="Y44" s="2">
        <v>0</v>
      </c>
      <c r="Z44" s="2">
        <v>25</v>
      </c>
      <c r="AA44">
        <v>1</v>
      </c>
      <c r="AB44" s="3">
        <v>1</v>
      </c>
      <c r="AC44" s="2">
        <v>25</v>
      </c>
      <c r="AD44" s="3">
        <v>0</v>
      </c>
      <c r="AE44" s="2">
        <v>0</v>
      </c>
      <c r="AF44" s="2">
        <v>25</v>
      </c>
      <c r="AK44">
        <v>6980662</v>
      </c>
    </row>
    <row r="45" spans="1:37" x14ac:dyDescent="0.25">
      <c r="A45" s="1">
        <v>46204</v>
      </c>
      <c r="B45" s="1">
        <v>46204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200</v>
      </c>
      <c r="J45" t="s">
        <v>201</v>
      </c>
      <c r="M45" t="s">
        <v>46</v>
      </c>
      <c r="O45" t="s">
        <v>165</v>
      </c>
      <c r="P45" t="s">
        <v>166</v>
      </c>
      <c r="Q45" t="s">
        <v>59</v>
      </c>
      <c r="R45" t="s">
        <v>94</v>
      </c>
      <c r="S45" s="1">
        <v>46235</v>
      </c>
      <c r="U45" t="s">
        <v>51</v>
      </c>
      <c r="X45" t="s">
        <v>52</v>
      </c>
      <c r="Y45" s="2">
        <v>0</v>
      </c>
      <c r="Z45" s="2">
        <v>25</v>
      </c>
      <c r="AA45">
        <v>1</v>
      </c>
      <c r="AB45" s="3">
        <v>1</v>
      </c>
      <c r="AC45" s="2">
        <v>25</v>
      </c>
      <c r="AD45" s="3">
        <v>0</v>
      </c>
      <c r="AE45" s="2">
        <v>0</v>
      </c>
      <c r="AF45" s="2">
        <v>25</v>
      </c>
      <c r="AK45">
        <v>6980665</v>
      </c>
    </row>
    <row r="46" spans="1:37" x14ac:dyDescent="0.25">
      <c r="A46" s="1">
        <v>46204</v>
      </c>
      <c r="B46" s="1">
        <v>46204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202</v>
      </c>
      <c r="J46" t="s">
        <v>203</v>
      </c>
      <c r="M46" t="s">
        <v>63</v>
      </c>
      <c r="O46" t="s">
        <v>114</v>
      </c>
      <c r="P46" t="s">
        <v>115</v>
      </c>
      <c r="Q46" t="s">
        <v>59</v>
      </c>
      <c r="R46" t="s">
        <v>94</v>
      </c>
      <c r="S46" s="1">
        <v>46174</v>
      </c>
      <c r="U46" t="s">
        <v>51</v>
      </c>
      <c r="X46" t="s">
        <v>52</v>
      </c>
      <c r="Y46" s="2">
        <v>0</v>
      </c>
      <c r="Z46" s="2">
        <v>25</v>
      </c>
      <c r="AA46">
        <v>1</v>
      </c>
      <c r="AB46" s="3">
        <v>1</v>
      </c>
      <c r="AC46" s="2">
        <v>25</v>
      </c>
      <c r="AD46" s="3">
        <v>0</v>
      </c>
      <c r="AE46" s="2">
        <v>0</v>
      </c>
      <c r="AF46" s="2">
        <v>25</v>
      </c>
      <c r="AK46">
        <v>6980674</v>
      </c>
    </row>
    <row r="47" spans="1:37" x14ac:dyDescent="0.25">
      <c r="A47" s="1">
        <v>46204</v>
      </c>
      <c r="B47" s="1">
        <v>46204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204</v>
      </c>
      <c r="J47" t="s">
        <v>205</v>
      </c>
      <c r="M47" t="s">
        <v>102</v>
      </c>
      <c r="O47" t="s">
        <v>126</v>
      </c>
      <c r="P47" t="s">
        <v>127</v>
      </c>
      <c r="Q47" t="s">
        <v>59</v>
      </c>
      <c r="R47" t="s">
        <v>94</v>
      </c>
      <c r="S47" s="1">
        <v>46174</v>
      </c>
      <c r="U47" t="s">
        <v>51</v>
      </c>
      <c r="X47" t="s">
        <v>52</v>
      </c>
      <c r="Y47" s="2">
        <v>0</v>
      </c>
      <c r="Z47" s="2">
        <v>25</v>
      </c>
      <c r="AA47">
        <v>1</v>
      </c>
      <c r="AB47" s="3">
        <v>1</v>
      </c>
      <c r="AC47" s="2">
        <v>25</v>
      </c>
      <c r="AD47" s="3">
        <v>0</v>
      </c>
      <c r="AE47" s="2">
        <v>0</v>
      </c>
      <c r="AF47" s="2">
        <v>25</v>
      </c>
      <c r="AK47">
        <v>6980676</v>
      </c>
    </row>
    <row r="48" spans="1:37" x14ac:dyDescent="0.25">
      <c r="A48" s="1">
        <v>46204</v>
      </c>
      <c r="B48" s="1">
        <v>46204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206</v>
      </c>
      <c r="J48" t="s">
        <v>207</v>
      </c>
      <c r="M48" t="s">
        <v>102</v>
      </c>
      <c r="O48" t="s">
        <v>135</v>
      </c>
      <c r="P48" t="s">
        <v>136</v>
      </c>
      <c r="Q48" t="s">
        <v>59</v>
      </c>
      <c r="R48" t="s">
        <v>94</v>
      </c>
      <c r="S48" s="1">
        <v>46174</v>
      </c>
      <c r="U48" t="s">
        <v>51</v>
      </c>
      <c r="X48" t="s">
        <v>52</v>
      </c>
      <c r="Y48" s="2">
        <v>0</v>
      </c>
      <c r="Z48" s="2">
        <v>25</v>
      </c>
      <c r="AA48">
        <v>1</v>
      </c>
      <c r="AB48" s="3">
        <v>1</v>
      </c>
      <c r="AC48" s="2">
        <v>25</v>
      </c>
      <c r="AD48" s="3">
        <v>0</v>
      </c>
      <c r="AE48" s="2">
        <v>0</v>
      </c>
      <c r="AF48" s="2">
        <v>25</v>
      </c>
      <c r="AK48">
        <v>6980682</v>
      </c>
    </row>
    <row r="49" spans="1:38" x14ac:dyDescent="0.25">
      <c r="A49" s="1">
        <v>46204</v>
      </c>
      <c r="B49" s="1">
        <v>46204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208</v>
      </c>
      <c r="J49" t="s">
        <v>209</v>
      </c>
      <c r="M49" t="s">
        <v>63</v>
      </c>
      <c r="O49" t="s">
        <v>210</v>
      </c>
      <c r="P49" t="s">
        <v>211</v>
      </c>
      <c r="Q49" t="s">
        <v>59</v>
      </c>
      <c r="R49" t="s">
        <v>94</v>
      </c>
      <c r="S49" s="1">
        <v>46204</v>
      </c>
      <c r="U49" t="s">
        <v>51</v>
      </c>
      <c r="X49" t="s">
        <v>52</v>
      </c>
      <c r="Y49" s="2">
        <v>0</v>
      </c>
      <c r="Z49" s="2">
        <v>25</v>
      </c>
      <c r="AA49">
        <v>1</v>
      </c>
      <c r="AB49" s="3">
        <v>1</v>
      </c>
      <c r="AC49" s="2">
        <v>25</v>
      </c>
      <c r="AD49" s="3">
        <v>0</v>
      </c>
      <c r="AE49" s="2">
        <v>0</v>
      </c>
      <c r="AF49" s="2">
        <v>25</v>
      </c>
      <c r="AK49">
        <v>6980685</v>
      </c>
    </row>
    <row r="50" spans="1:38" x14ac:dyDescent="0.25">
      <c r="A50" s="1">
        <v>46204</v>
      </c>
      <c r="B50" s="1">
        <v>46204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212</v>
      </c>
      <c r="J50" t="s">
        <v>213</v>
      </c>
      <c r="M50" t="s">
        <v>63</v>
      </c>
      <c r="O50" t="s">
        <v>214</v>
      </c>
      <c r="P50" t="s">
        <v>215</v>
      </c>
      <c r="Q50" t="s">
        <v>59</v>
      </c>
      <c r="R50" t="s">
        <v>94</v>
      </c>
      <c r="S50" s="1">
        <v>46204</v>
      </c>
      <c r="U50" t="s">
        <v>51</v>
      </c>
      <c r="X50" t="s">
        <v>52</v>
      </c>
      <c r="Y50" s="2">
        <v>0</v>
      </c>
      <c r="Z50" s="2">
        <v>25</v>
      </c>
      <c r="AA50">
        <v>1</v>
      </c>
      <c r="AB50" s="3">
        <v>1</v>
      </c>
      <c r="AC50" s="2">
        <v>25</v>
      </c>
      <c r="AD50" s="3">
        <v>0</v>
      </c>
      <c r="AE50" s="2">
        <v>0</v>
      </c>
      <c r="AF50" s="2">
        <v>25</v>
      </c>
      <c r="AK50">
        <v>6980688</v>
      </c>
    </row>
    <row r="51" spans="1:38" x14ac:dyDescent="0.25">
      <c r="A51" s="1">
        <v>46204</v>
      </c>
      <c r="B51" s="1">
        <v>46204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216</v>
      </c>
      <c r="J51" t="s">
        <v>217</v>
      </c>
      <c r="M51" t="s">
        <v>63</v>
      </c>
      <c r="O51" t="s">
        <v>218</v>
      </c>
      <c r="P51" t="s">
        <v>219</v>
      </c>
      <c r="Q51" t="s">
        <v>59</v>
      </c>
      <c r="R51" t="s">
        <v>94</v>
      </c>
      <c r="S51" s="1">
        <v>46174</v>
      </c>
      <c r="U51" t="s">
        <v>51</v>
      </c>
      <c r="X51" t="s">
        <v>52</v>
      </c>
      <c r="Y51" s="2">
        <v>0</v>
      </c>
      <c r="Z51" s="2">
        <v>25</v>
      </c>
      <c r="AA51">
        <v>1</v>
      </c>
      <c r="AB51" s="3">
        <v>1</v>
      </c>
      <c r="AC51" s="2">
        <v>25</v>
      </c>
      <c r="AD51" s="3">
        <v>0</v>
      </c>
      <c r="AE51" s="2">
        <v>0</v>
      </c>
      <c r="AF51" s="2">
        <v>25</v>
      </c>
      <c r="AK51">
        <v>6980699</v>
      </c>
    </row>
    <row r="52" spans="1:38" x14ac:dyDescent="0.25">
      <c r="A52" s="1">
        <v>46204</v>
      </c>
      <c r="B52" s="1">
        <v>46204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220</v>
      </c>
      <c r="J52" t="s">
        <v>221</v>
      </c>
      <c r="M52" t="s">
        <v>63</v>
      </c>
      <c r="O52" t="s">
        <v>114</v>
      </c>
      <c r="P52" t="s">
        <v>115</v>
      </c>
      <c r="Q52" t="s">
        <v>59</v>
      </c>
      <c r="R52" t="s">
        <v>94</v>
      </c>
      <c r="S52" s="1">
        <v>46235</v>
      </c>
      <c r="U52" t="s">
        <v>51</v>
      </c>
      <c r="X52" t="s">
        <v>52</v>
      </c>
      <c r="Y52" s="2">
        <v>0</v>
      </c>
      <c r="Z52" s="2">
        <v>25</v>
      </c>
      <c r="AA52">
        <v>1</v>
      </c>
      <c r="AB52" s="3">
        <v>1</v>
      </c>
      <c r="AC52" s="2">
        <v>25</v>
      </c>
      <c r="AD52" s="3">
        <v>0</v>
      </c>
      <c r="AE52" s="2">
        <v>0</v>
      </c>
      <c r="AF52" s="2">
        <v>25</v>
      </c>
      <c r="AK52">
        <v>6980700</v>
      </c>
    </row>
    <row r="53" spans="1:38" x14ac:dyDescent="0.25">
      <c r="A53" s="1">
        <v>46204</v>
      </c>
      <c r="B53" s="1">
        <v>46204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222</v>
      </c>
      <c r="J53" t="s">
        <v>223</v>
      </c>
      <c r="M53" t="s">
        <v>63</v>
      </c>
      <c r="O53" t="s">
        <v>83</v>
      </c>
      <c r="P53" t="s">
        <v>84</v>
      </c>
      <c r="Q53" t="s">
        <v>59</v>
      </c>
      <c r="R53" t="s">
        <v>94</v>
      </c>
      <c r="S53" s="1">
        <v>46174</v>
      </c>
      <c r="U53" t="s">
        <v>51</v>
      </c>
      <c r="X53" t="s">
        <v>52</v>
      </c>
      <c r="Y53" s="2">
        <v>0</v>
      </c>
      <c r="Z53" s="2">
        <v>25</v>
      </c>
      <c r="AA53">
        <v>1</v>
      </c>
      <c r="AB53" s="3">
        <v>1</v>
      </c>
      <c r="AC53" s="2">
        <v>25</v>
      </c>
      <c r="AD53" s="3">
        <v>0</v>
      </c>
      <c r="AE53" s="2">
        <v>0</v>
      </c>
      <c r="AF53" s="2">
        <v>25</v>
      </c>
      <c r="AK53">
        <v>6980705</v>
      </c>
    </row>
    <row r="54" spans="1:38" x14ac:dyDescent="0.25">
      <c r="A54" s="1">
        <v>46204</v>
      </c>
      <c r="B54" s="1">
        <v>46204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224</v>
      </c>
      <c r="J54" t="s">
        <v>225</v>
      </c>
      <c r="M54" t="s">
        <v>46</v>
      </c>
      <c r="O54" t="s">
        <v>165</v>
      </c>
      <c r="P54" t="s">
        <v>166</v>
      </c>
      <c r="Q54" t="s">
        <v>59</v>
      </c>
      <c r="R54" t="s">
        <v>94</v>
      </c>
      <c r="S54" s="1">
        <v>46204</v>
      </c>
      <c r="U54" t="s">
        <v>51</v>
      </c>
      <c r="X54" t="s">
        <v>52</v>
      </c>
      <c r="Y54" s="2">
        <v>0</v>
      </c>
      <c r="Z54" s="2">
        <v>25</v>
      </c>
      <c r="AA54">
        <v>1</v>
      </c>
      <c r="AB54" s="3">
        <v>1</v>
      </c>
      <c r="AC54" s="2">
        <v>25</v>
      </c>
      <c r="AD54" s="3">
        <v>0</v>
      </c>
      <c r="AE54" s="2">
        <v>0</v>
      </c>
      <c r="AF54" s="2">
        <v>25</v>
      </c>
      <c r="AK54">
        <v>6980708</v>
      </c>
    </row>
    <row r="55" spans="1:38" x14ac:dyDescent="0.25">
      <c r="A55" s="1">
        <v>46204</v>
      </c>
      <c r="B55" s="1">
        <v>46204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226</v>
      </c>
      <c r="J55" t="s">
        <v>227</v>
      </c>
      <c r="M55" t="s">
        <v>46</v>
      </c>
      <c r="O55" t="s">
        <v>165</v>
      </c>
      <c r="P55" t="s">
        <v>166</v>
      </c>
      <c r="Q55" t="s">
        <v>59</v>
      </c>
      <c r="R55" t="s">
        <v>94</v>
      </c>
      <c r="S55" s="1">
        <v>46204</v>
      </c>
      <c r="U55" t="s">
        <v>51</v>
      </c>
      <c r="X55" t="s">
        <v>52</v>
      </c>
      <c r="Y55" s="2">
        <v>0</v>
      </c>
      <c r="Z55" s="2">
        <v>25</v>
      </c>
      <c r="AA55">
        <v>1</v>
      </c>
      <c r="AB55" s="3">
        <v>1</v>
      </c>
      <c r="AC55" s="2">
        <v>25</v>
      </c>
      <c r="AD55" s="3">
        <v>0</v>
      </c>
      <c r="AE55" s="2">
        <v>0</v>
      </c>
      <c r="AF55" s="2">
        <v>25</v>
      </c>
      <c r="AK55">
        <v>6980710</v>
      </c>
    </row>
    <row r="56" spans="1:38" x14ac:dyDescent="0.25">
      <c r="A56" s="1">
        <v>46204</v>
      </c>
      <c r="B56" s="1">
        <v>46204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228</v>
      </c>
      <c r="J56" t="s">
        <v>229</v>
      </c>
      <c r="M56" t="s">
        <v>46</v>
      </c>
      <c r="O56" t="s">
        <v>165</v>
      </c>
      <c r="P56" t="s">
        <v>166</v>
      </c>
      <c r="Q56" t="s">
        <v>59</v>
      </c>
      <c r="R56" t="s">
        <v>94</v>
      </c>
      <c r="S56" s="1">
        <v>46204</v>
      </c>
      <c r="U56" t="s">
        <v>51</v>
      </c>
      <c r="X56" t="s">
        <v>52</v>
      </c>
      <c r="Y56" s="2">
        <v>0</v>
      </c>
      <c r="Z56" s="2">
        <v>25</v>
      </c>
      <c r="AA56">
        <v>1</v>
      </c>
      <c r="AB56" s="3">
        <v>1</v>
      </c>
      <c r="AC56" s="2">
        <v>25</v>
      </c>
      <c r="AD56" s="3">
        <v>0</v>
      </c>
      <c r="AE56" s="2">
        <v>0</v>
      </c>
      <c r="AF56" s="2">
        <v>25</v>
      </c>
      <c r="AK56">
        <v>6980711</v>
      </c>
    </row>
    <row r="57" spans="1:38" x14ac:dyDescent="0.25">
      <c r="A57" s="1">
        <v>46204</v>
      </c>
      <c r="B57" s="1">
        <v>46204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230</v>
      </c>
      <c r="J57" t="s">
        <v>231</v>
      </c>
      <c r="M57" t="s">
        <v>130</v>
      </c>
      <c r="O57" t="s">
        <v>232</v>
      </c>
      <c r="P57" t="s">
        <v>233</v>
      </c>
      <c r="Q57" t="s">
        <v>59</v>
      </c>
      <c r="R57" t="s">
        <v>94</v>
      </c>
      <c r="S57" s="1">
        <v>46174</v>
      </c>
      <c r="U57" t="s">
        <v>51</v>
      </c>
      <c r="X57" t="s">
        <v>52</v>
      </c>
      <c r="Y57" s="2">
        <v>0</v>
      </c>
      <c r="Z57" s="2">
        <v>25</v>
      </c>
      <c r="AA57">
        <v>1</v>
      </c>
      <c r="AB57" s="3">
        <v>1</v>
      </c>
      <c r="AC57" s="2">
        <v>25</v>
      </c>
      <c r="AD57" s="3">
        <v>0</v>
      </c>
      <c r="AE57" s="2">
        <v>0</v>
      </c>
      <c r="AF57" s="2">
        <v>25</v>
      </c>
      <c r="AK57">
        <v>6980713</v>
      </c>
    </row>
    <row r="58" spans="1:38" x14ac:dyDescent="0.25">
      <c r="A58" s="1">
        <v>46204</v>
      </c>
      <c r="B58" s="1">
        <v>46204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234</v>
      </c>
      <c r="J58" t="s">
        <v>235</v>
      </c>
      <c r="M58" t="s">
        <v>63</v>
      </c>
      <c r="O58" t="s">
        <v>114</v>
      </c>
      <c r="P58" t="s">
        <v>115</v>
      </c>
      <c r="Q58" t="s">
        <v>59</v>
      </c>
      <c r="R58" t="s">
        <v>94</v>
      </c>
      <c r="S58" s="1">
        <v>46204</v>
      </c>
      <c r="U58" t="s">
        <v>51</v>
      </c>
      <c r="X58" t="s">
        <v>52</v>
      </c>
      <c r="Y58" s="2">
        <v>0</v>
      </c>
      <c r="Z58" s="2">
        <v>25</v>
      </c>
      <c r="AA58">
        <v>1</v>
      </c>
      <c r="AB58" s="3">
        <v>1</v>
      </c>
      <c r="AC58" s="2">
        <v>25</v>
      </c>
      <c r="AD58" s="3">
        <v>0</v>
      </c>
      <c r="AE58" s="2">
        <v>0</v>
      </c>
      <c r="AF58" s="2">
        <v>25</v>
      </c>
      <c r="AK58">
        <v>6980715</v>
      </c>
    </row>
    <row r="59" spans="1:38" x14ac:dyDescent="0.25">
      <c r="A59" s="1">
        <v>46204</v>
      </c>
      <c r="B59" s="1">
        <v>46204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236</v>
      </c>
      <c r="J59" t="s">
        <v>237</v>
      </c>
      <c r="M59" t="s">
        <v>169</v>
      </c>
      <c r="O59" t="s">
        <v>238</v>
      </c>
      <c r="P59" t="s">
        <v>239</v>
      </c>
      <c r="Q59" t="s">
        <v>59</v>
      </c>
      <c r="R59" t="s">
        <v>94</v>
      </c>
      <c r="S59" s="1">
        <v>46174</v>
      </c>
      <c r="U59" t="s">
        <v>51</v>
      </c>
      <c r="X59" t="s">
        <v>52</v>
      </c>
      <c r="Y59" s="2">
        <v>0</v>
      </c>
      <c r="Z59" s="2">
        <v>25</v>
      </c>
      <c r="AA59">
        <v>1</v>
      </c>
      <c r="AB59" s="3">
        <v>1</v>
      </c>
      <c r="AC59" s="2">
        <v>25</v>
      </c>
      <c r="AD59" s="3">
        <v>0</v>
      </c>
      <c r="AE59" s="2">
        <v>0</v>
      </c>
      <c r="AF59" s="2">
        <v>25</v>
      </c>
      <c r="AK59">
        <v>6980719</v>
      </c>
    </row>
    <row r="60" spans="1:38" x14ac:dyDescent="0.25">
      <c r="A60" s="1">
        <v>46204</v>
      </c>
      <c r="B60" s="1">
        <v>46204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240</v>
      </c>
      <c r="J60" t="s">
        <v>241</v>
      </c>
      <c r="M60" t="s">
        <v>169</v>
      </c>
      <c r="O60" t="s">
        <v>145</v>
      </c>
      <c r="P60" t="s">
        <v>146</v>
      </c>
      <c r="Q60" t="s">
        <v>59</v>
      </c>
      <c r="R60" t="s">
        <v>94</v>
      </c>
      <c r="S60" s="1">
        <v>46235</v>
      </c>
      <c r="U60" t="s">
        <v>51</v>
      </c>
      <c r="X60" t="s">
        <v>52</v>
      </c>
      <c r="Y60" s="2">
        <v>0</v>
      </c>
      <c r="Z60" s="2">
        <v>25</v>
      </c>
      <c r="AA60">
        <v>1</v>
      </c>
      <c r="AB60" s="3">
        <v>1</v>
      </c>
      <c r="AC60" s="2">
        <v>25</v>
      </c>
      <c r="AD60" s="3">
        <v>0</v>
      </c>
      <c r="AE60" s="2">
        <v>0</v>
      </c>
      <c r="AF60" s="2">
        <v>25</v>
      </c>
      <c r="AK60">
        <v>6980725</v>
      </c>
    </row>
    <row r="61" spans="1:38" x14ac:dyDescent="0.25">
      <c r="A61" s="1">
        <v>46204</v>
      </c>
      <c r="B61" s="1">
        <v>46204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242</v>
      </c>
      <c r="J61" t="s">
        <v>243</v>
      </c>
      <c r="M61" t="s">
        <v>102</v>
      </c>
      <c r="O61" t="s">
        <v>103</v>
      </c>
      <c r="P61" t="s">
        <v>104</v>
      </c>
      <c r="Q61" t="s">
        <v>59</v>
      </c>
      <c r="R61" t="s">
        <v>244</v>
      </c>
      <c r="S61" s="1">
        <v>46204</v>
      </c>
      <c r="U61" t="s">
        <v>51</v>
      </c>
      <c r="X61" t="s">
        <v>52</v>
      </c>
      <c r="Y61" s="2">
        <v>0</v>
      </c>
      <c r="Z61" s="2">
        <v>12.5</v>
      </c>
      <c r="AA61">
        <v>1</v>
      </c>
      <c r="AB61" s="3">
        <v>1</v>
      </c>
      <c r="AC61" s="2">
        <v>12.5</v>
      </c>
      <c r="AD61" s="3">
        <v>0</v>
      </c>
      <c r="AE61" s="2">
        <v>0</v>
      </c>
      <c r="AF61" s="2">
        <v>12.5</v>
      </c>
      <c r="AK61">
        <v>6980337</v>
      </c>
      <c r="AL61" t="s">
        <v>245</v>
      </c>
    </row>
    <row r="62" spans="1:38" x14ac:dyDescent="0.25">
      <c r="A62" s="1">
        <v>46204</v>
      </c>
      <c r="B62" s="1">
        <v>46204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246</v>
      </c>
      <c r="J62" t="s">
        <v>247</v>
      </c>
      <c r="M62" t="s">
        <v>102</v>
      </c>
      <c r="O62" t="s">
        <v>157</v>
      </c>
      <c r="P62" t="s">
        <v>158</v>
      </c>
      <c r="Q62" t="s">
        <v>59</v>
      </c>
      <c r="R62" t="s">
        <v>244</v>
      </c>
      <c r="S62" s="1">
        <v>46235</v>
      </c>
      <c r="U62" t="s">
        <v>51</v>
      </c>
      <c r="X62" t="s">
        <v>52</v>
      </c>
      <c r="Y62" s="2">
        <v>0</v>
      </c>
      <c r="Z62" s="2">
        <v>10.42</v>
      </c>
      <c r="AA62">
        <v>1</v>
      </c>
      <c r="AB62" s="3">
        <v>1</v>
      </c>
      <c r="AC62" s="2">
        <v>10.42</v>
      </c>
      <c r="AD62" s="3">
        <v>0</v>
      </c>
      <c r="AE62" s="2">
        <v>0</v>
      </c>
      <c r="AF62" s="2">
        <v>10.42</v>
      </c>
      <c r="AK62">
        <v>6980340</v>
      </c>
      <c r="AL62" t="s">
        <v>248</v>
      </c>
    </row>
    <row r="63" spans="1:38" x14ac:dyDescent="0.25">
      <c r="A63" s="1">
        <v>46204</v>
      </c>
      <c r="B63" s="1">
        <v>46204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249</v>
      </c>
      <c r="J63" t="s">
        <v>250</v>
      </c>
      <c r="M63" t="s">
        <v>56</v>
      </c>
      <c r="O63" t="s">
        <v>170</v>
      </c>
      <c r="P63" t="s">
        <v>171</v>
      </c>
      <c r="Q63" t="s">
        <v>59</v>
      </c>
      <c r="R63" t="s">
        <v>244</v>
      </c>
      <c r="S63" s="1">
        <v>46204</v>
      </c>
      <c r="U63" t="s">
        <v>51</v>
      </c>
      <c r="X63" t="s">
        <v>52</v>
      </c>
      <c r="Y63" s="2">
        <v>0</v>
      </c>
      <c r="Z63" s="2">
        <v>12.5</v>
      </c>
      <c r="AA63">
        <v>1</v>
      </c>
      <c r="AB63" s="3">
        <v>1</v>
      </c>
      <c r="AC63" s="2">
        <v>12.5</v>
      </c>
      <c r="AD63" s="3">
        <v>0</v>
      </c>
      <c r="AE63" s="2">
        <v>0</v>
      </c>
      <c r="AF63" s="2">
        <v>12.5</v>
      </c>
      <c r="AK63">
        <v>6980351</v>
      </c>
      <c r="AL63" t="s">
        <v>245</v>
      </c>
    </row>
    <row r="64" spans="1:38" x14ac:dyDescent="0.25">
      <c r="A64" s="1">
        <v>46204</v>
      </c>
      <c r="B64" s="1">
        <v>46204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251</v>
      </c>
      <c r="J64" t="s">
        <v>252</v>
      </c>
      <c r="M64" t="s">
        <v>63</v>
      </c>
      <c r="O64" t="s">
        <v>161</v>
      </c>
      <c r="P64" t="s">
        <v>162</v>
      </c>
      <c r="Q64" t="s">
        <v>59</v>
      </c>
      <c r="R64" t="s">
        <v>244</v>
      </c>
      <c r="S64" s="1">
        <v>46174</v>
      </c>
      <c r="U64" t="s">
        <v>51</v>
      </c>
      <c r="X64" t="s">
        <v>52</v>
      </c>
      <c r="Y64" s="2">
        <v>0</v>
      </c>
      <c r="Z64" s="2">
        <v>14.58</v>
      </c>
      <c r="AA64">
        <v>1</v>
      </c>
      <c r="AB64" s="3">
        <v>1</v>
      </c>
      <c r="AC64" s="2">
        <v>14.58</v>
      </c>
      <c r="AD64" s="3">
        <v>0</v>
      </c>
      <c r="AE64" s="2">
        <v>0</v>
      </c>
      <c r="AF64" s="2">
        <v>14.58</v>
      </c>
      <c r="AK64">
        <v>6980352</v>
      </c>
      <c r="AL64" t="s">
        <v>253</v>
      </c>
    </row>
    <row r="65" spans="1:38" x14ac:dyDescent="0.25">
      <c r="A65" s="1">
        <v>46204</v>
      </c>
      <c r="B65" s="1">
        <v>46204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254</v>
      </c>
      <c r="J65" t="s">
        <v>255</v>
      </c>
      <c r="M65" t="s">
        <v>130</v>
      </c>
      <c r="O65" t="s">
        <v>232</v>
      </c>
      <c r="P65" t="s">
        <v>233</v>
      </c>
      <c r="Q65" t="s">
        <v>59</v>
      </c>
      <c r="R65" t="s">
        <v>244</v>
      </c>
      <c r="S65" s="1">
        <v>46204</v>
      </c>
      <c r="U65" t="s">
        <v>51</v>
      </c>
      <c r="X65" t="s">
        <v>52</v>
      </c>
      <c r="Y65" s="2">
        <v>0</v>
      </c>
      <c r="Z65" s="2">
        <v>12.5</v>
      </c>
      <c r="AA65">
        <v>1</v>
      </c>
      <c r="AB65" s="3">
        <v>1</v>
      </c>
      <c r="AC65" s="2">
        <v>12.5</v>
      </c>
      <c r="AD65" s="3">
        <v>0</v>
      </c>
      <c r="AE65" s="2">
        <v>0</v>
      </c>
      <c r="AF65" s="2">
        <v>12.5</v>
      </c>
      <c r="AK65">
        <v>6980361</v>
      </c>
      <c r="AL65" t="s">
        <v>245</v>
      </c>
    </row>
    <row r="66" spans="1:38" x14ac:dyDescent="0.25">
      <c r="A66" s="1">
        <v>46204</v>
      </c>
      <c r="B66" s="1">
        <v>46204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256</v>
      </c>
      <c r="J66" t="s">
        <v>257</v>
      </c>
      <c r="M66" t="s">
        <v>102</v>
      </c>
      <c r="O66" t="s">
        <v>103</v>
      </c>
      <c r="P66" t="s">
        <v>104</v>
      </c>
      <c r="Q66" t="s">
        <v>59</v>
      </c>
      <c r="R66" t="s">
        <v>244</v>
      </c>
      <c r="S66" s="1">
        <v>46266</v>
      </c>
      <c r="U66" t="s">
        <v>51</v>
      </c>
      <c r="X66" t="s">
        <v>52</v>
      </c>
      <c r="Y66" s="2">
        <v>0</v>
      </c>
      <c r="Z66" s="2">
        <v>8.33</v>
      </c>
      <c r="AA66">
        <v>1</v>
      </c>
      <c r="AB66" s="3">
        <v>1</v>
      </c>
      <c r="AC66" s="2">
        <v>8.33</v>
      </c>
      <c r="AD66" s="3">
        <v>0</v>
      </c>
      <c r="AE66" s="2">
        <v>0</v>
      </c>
      <c r="AF66" s="2">
        <v>8.33</v>
      </c>
      <c r="AK66">
        <v>6980365</v>
      </c>
      <c r="AL66" t="s">
        <v>258</v>
      </c>
    </row>
    <row r="67" spans="1:38" x14ac:dyDescent="0.25">
      <c r="A67" s="1">
        <v>46204</v>
      </c>
      <c r="B67" s="1">
        <v>46204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259</v>
      </c>
      <c r="J67" t="s">
        <v>260</v>
      </c>
      <c r="M67" t="s">
        <v>46</v>
      </c>
      <c r="O67" t="s">
        <v>165</v>
      </c>
      <c r="P67" t="s">
        <v>166</v>
      </c>
      <c r="Q67" t="s">
        <v>59</v>
      </c>
      <c r="R67" t="s">
        <v>244</v>
      </c>
      <c r="S67" s="1">
        <v>46204</v>
      </c>
      <c r="U67" t="s">
        <v>51</v>
      </c>
      <c r="X67" t="s">
        <v>52</v>
      </c>
      <c r="Y67" s="2">
        <v>0</v>
      </c>
      <c r="Z67" s="2">
        <v>12.5</v>
      </c>
      <c r="AA67">
        <v>1</v>
      </c>
      <c r="AB67" s="3">
        <v>1</v>
      </c>
      <c r="AC67" s="2">
        <v>12.5</v>
      </c>
      <c r="AD67" s="3">
        <v>0</v>
      </c>
      <c r="AE67" s="2">
        <v>0</v>
      </c>
      <c r="AF67" s="2">
        <v>12.5</v>
      </c>
      <c r="AK67">
        <v>6980366</v>
      </c>
      <c r="AL67" t="s">
        <v>245</v>
      </c>
    </row>
    <row r="68" spans="1:38" x14ac:dyDescent="0.25">
      <c r="A68" s="1">
        <v>46204</v>
      </c>
      <c r="B68" s="1">
        <v>46204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261</v>
      </c>
      <c r="J68" t="s">
        <v>262</v>
      </c>
      <c r="M68" t="s">
        <v>63</v>
      </c>
      <c r="O68" t="s">
        <v>263</v>
      </c>
      <c r="P68" t="s">
        <v>264</v>
      </c>
      <c r="Q68" t="s">
        <v>59</v>
      </c>
      <c r="R68" t="s">
        <v>244</v>
      </c>
      <c r="S68" s="1">
        <v>46204</v>
      </c>
      <c r="U68" t="s">
        <v>51</v>
      </c>
      <c r="X68" t="s">
        <v>52</v>
      </c>
      <c r="Y68" s="2">
        <v>0</v>
      </c>
      <c r="Z68" s="2">
        <v>12.5</v>
      </c>
      <c r="AA68">
        <v>1</v>
      </c>
      <c r="AB68" s="3">
        <v>1</v>
      </c>
      <c r="AC68" s="2">
        <v>12.5</v>
      </c>
      <c r="AD68" s="3">
        <v>0</v>
      </c>
      <c r="AE68" s="2">
        <v>0</v>
      </c>
      <c r="AF68" s="2">
        <v>12.5</v>
      </c>
      <c r="AK68">
        <v>6980390</v>
      </c>
      <c r="AL68" t="s">
        <v>245</v>
      </c>
    </row>
    <row r="69" spans="1:38" x14ac:dyDescent="0.25">
      <c r="A69" s="1">
        <v>46204</v>
      </c>
      <c r="B69" s="1">
        <v>46204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265</v>
      </c>
      <c r="J69" t="s">
        <v>266</v>
      </c>
      <c r="M69" t="s">
        <v>63</v>
      </c>
      <c r="O69" t="s">
        <v>170</v>
      </c>
      <c r="P69" t="s">
        <v>171</v>
      </c>
      <c r="Q69" t="s">
        <v>59</v>
      </c>
      <c r="R69" t="s">
        <v>244</v>
      </c>
      <c r="S69" s="1">
        <v>46204</v>
      </c>
      <c r="U69" t="s">
        <v>51</v>
      </c>
      <c r="X69" t="s">
        <v>52</v>
      </c>
      <c r="Y69" s="2">
        <v>0</v>
      </c>
      <c r="Z69" s="2">
        <v>12.5</v>
      </c>
      <c r="AA69">
        <v>1</v>
      </c>
      <c r="AB69" s="3">
        <v>1</v>
      </c>
      <c r="AC69" s="2">
        <v>12.5</v>
      </c>
      <c r="AD69" s="3">
        <v>0</v>
      </c>
      <c r="AE69" s="2">
        <v>0</v>
      </c>
      <c r="AF69" s="2">
        <v>12.5</v>
      </c>
      <c r="AK69">
        <v>6980392</v>
      </c>
      <c r="AL69" t="s">
        <v>245</v>
      </c>
    </row>
    <row r="70" spans="1:38" x14ac:dyDescent="0.25">
      <c r="A70" s="1">
        <v>46204</v>
      </c>
      <c r="B70" s="1">
        <v>46204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267</v>
      </c>
      <c r="J70" t="s">
        <v>268</v>
      </c>
      <c r="M70" t="s">
        <v>46</v>
      </c>
      <c r="O70" t="s">
        <v>165</v>
      </c>
      <c r="P70" t="s">
        <v>166</v>
      </c>
      <c r="Q70" t="s">
        <v>59</v>
      </c>
      <c r="R70" t="s">
        <v>244</v>
      </c>
      <c r="S70" s="1">
        <v>46266</v>
      </c>
      <c r="U70" t="s">
        <v>51</v>
      </c>
      <c r="X70" t="s">
        <v>52</v>
      </c>
      <c r="Y70" s="2">
        <v>0</v>
      </c>
      <c r="Z70" s="2">
        <v>8.33</v>
      </c>
      <c r="AA70">
        <v>1</v>
      </c>
      <c r="AB70" s="3">
        <v>1</v>
      </c>
      <c r="AC70" s="2">
        <v>8.33</v>
      </c>
      <c r="AD70" s="3">
        <v>0</v>
      </c>
      <c r="AE70" s="2">
        <v>0</v>
      </c>
      <c r="AF70" s="2">
        <v>8.33</v>
      </c>
      <c r="AK70">
        <v>6980393</v>
      </c>
      <c r="AL70" t="s">
        <v>258</v>
      </c>
    </row>
    <row r="71" spans="1:38" x14ac:dyDescent="0.25">
      <c r="A71" s="1">
        <v>46204</v>
      </c>
      <c r="B71" s="1">
        <v>46204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269</v>
      </c>
      <c r="J71" t="s">
        <v>270</v>
      </c>
      <c r="M71" t="s">
        <v>102</v>
      </c>
      <c r="O71" t="s">
        <v>103</v>
      </c>
      <c r="P71" t="s">
        <v>104</v>
      </c>
      <c r="Q71" t="s">
        <v>59</v>
      </c>
      <c r="R71" t="s">
        <v>244</v>
      </c>
      <c r="S71" s="1">
        <v>46204</v>
      </c>
      <c r="U71" t="s">
        <v>51</v>
      </c>
      <c r="X71" t="s">
        <v>52</v>
      </c>
      <c r="Y71" s="2">
        <v>0</v>
      </c>
      <c r="Z71" s="2">
        <v>12.5</v>
      </c>
      <c r="AA71">
        <v>1</v>
      </c>
      <c r="AB71" s="3">
        <v>1</v>
      </c>
      <c r="AC71" s="2">
        <v>12.5</v>
      </c>
      <c r="AD71" s="3">
        <v>0</v>
      </c>
      <c r="AE71" s="2">
        <v>0</v>
      </c>
      <c r="AF71" s="2">
        <v>12.5</v>
      </c>
      <c r="AK71">
        <v>6980403</v>
      </c>
      <c r="AL71" t="s">
        <v>245</v>
      </c>
    </row>
    <row r="72" spans="1:38" x14ac:dyDescent="0.25">
      <c r="A72" s="1">
        <v>46204</v>
      </c>
      <c r="B72" s="1">
        <v>46204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271</v>
      </c>
      <c r="J72" t="s">
        <v>272</v>
      </c>
      <c r="M72" t="s">
        <v>102</v>
      </c>
      <c r="O72" t="s">
        <v>157</v>
      </c>
      <c r="P72" t="s">
        <v>158</v>
      </c>
      <c r="Q72" t="s">
        <v>59</v>
      </c>
      <c r="R72" t="s">
        <v>244</v>
      </c>
      <c r="S72" s="1">
        <v>46266</v>
      </c>
      <c r="U72" t="s">
        <v>51</v>
      </c>
      <c r="X72" t="s">
        <v>52</v>
      </c>
      <c r="Y72" s="2">
        <v>0</v>
      </c>
      <c r="Z72" s="2">
        <v>8.33</v>
      </c>
      <c r="AA72">
        <v>1</v>
      </c>
      <c r="AB72" s="3">
        <v>1</v>
      </c>
      <c r="AC72" s="2">
        <v>8.33</v>
      </c>
      <c r="AD72" s="3">
        <v>0</v>
      </c>
      <c r="AE72" s="2">
        <v>0</v>
      </c>
      <c r="AF72" s="2">
        <v>8.33</v>
      </c>
      <c r="AK72">
        <v>6980410</v>
      </c>
      <c r="AL72" t="s">
        <v>258</v>
      </c>
    </row>
    <row r="73" spans="1:38" x14ac:dyDescent="0.25">
      <c r="A73" s="1">
        <v>46204</v>
      </c>
      <c r="B73" s="1">
        <v>46204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273</v>
      </c>
      <c r="J73" t="s">
        <v>274</v>
      </c>
      <c r="M73" t="s">
        <v>102</v>
      </c>
      <c r="O73" t="s">
        <v>103</v>
      </c>
      <c r="P73" t="s">
        <v>104</v>
      </c>
      <c r="Q73" t="s">
        <v>59</v>
      </c>
      <c r="R73" t="s">
        <v>244</v>
      </c>
      <c r="S73" s="1">
        <v>46204</v>
      </c>
      <c r="U73" t="s">
        <v>51</v>
      </c>
      <c r="X73" t="s">
        <v>52</v>
      </c>
      <c r="Y73" s="2">
        <v>0</v>
      </c>
      <c r="Z73" s="2">
        <v>12.5</v>
      </c>
      <c r="AA73">
        <v>1</v>
      </c>
      <c r="AB73" s="3">
        <v>1</v>
      </c>
      <c r="AC73" s="2">
        <v>12.5</v>
      </c>
      <c r="AD73" s="3">
        <v>0</v>
      </c>
      <c r="AE73" s="2">
        <v>0</v>
      </c>
      <c r="AF73" s="2">
        <v>12.5</v>
      </c>
      <c r="AK73">
        <v>6980411</v>
      </c>
      <c r="AL73" t="s">
        <v>245</v>
      </c>
    </row>
    <row r="74" spans="1:38" x14ac:dyDescent="0.25">
      <c r="A74" s="1">
        <v>46204</v>
      </c>
      <c r="B74" s="1">
        <v>46204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275</v>
      </c>
      <c r="J74" t="s">
        <v>276</v>
      </c>
      <c r="M74" t="s">
        <v>46</v>
      </c>
      <c r="O74" t="s">
        <v>277</v>
      </c>
      <c r="P74" t="s">
        <v>278</v>
      </c>
      <c r="Q74" t="s">
        <v>59</v>
      </c>
      <c r="R74" t="s">
        <v>279</v>
      </c>
      <c r="S74" s="1">
        <v>46174</v>
      </c>
      <c r="U74" t="s">
        <v>51</v>
      </c>
      <c r="X74" t="s">
        <v>52</v>
      </c>
      <c r="Y74" s="2">
        <v>0</v>
      </c>
      <c r="Z74" s="2">
        <v>100</v>
      </c>
      <c r="AA74">
        <v>1</v>
      </c>
      <c r="AB74" s="3">
        <v>1</v>
      </c>
      <c r="AC74" s="2">
        <v>100</v>
      </c>
      <c r="AD74" s="3">
        <v>0</v>
      </c>
      <c r="AE74" s="2">
        <v>0</v>
      </c>
      <c r="AF74" s="2">
        <v>100</v>
      </c>
      <c r="AK74">
        <v>6980763</v>
      </c>
    </row>
    <row r="75" spans="1:38" x14ac:dyDescent="0.25">
      <c r="A75" s="1">
        <v>46204</v>
      </c>
      <c r="B75" s="1">
        <v>46204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280</v>
      </c>
      <c r="J75" t="s">
        <v>281</v>
      </c>
      <c r="M75" t="s">
        <v>282</v>
      </c>
      <c r="O75" t="s">
        <v>283</v>
      </c>
      <c r="P75" t="s">
        <v>284</v>
      </c>
      <c r="Q75" t="s">
        <v>59</v>
      </c>
      <c r="R75" t="s">
        <v>285</v>
      </c>
      <c r="S75" s="1">
        <v>46204</v>
      </c>
      <c r="U75" t="s">
        <v>51</v>
      </c>
      <c r="X75" t="s">
        <v>52</v>
      </c>
      <c r="Y75" s="2">
        <v>0</v>
      </c>
      <c r="Z75" s="2">
        <v>101.5</v>
      </c>
      <c r="AA75">
        <v>1</v>
      </c>
      <c r="AB75" s="3">
        <v>1</v>
      </c>
      <c r="AC75" s="2">
        <v>101.5</v>
      </c>
      <c r="AD75" s="3">
        <v>0</v>
      </c>
      <c r="AE75" s="2">
        <v>0</v>
      </c>
      <c r="AF75" s="2">
        <v>101.5</v>
      </c>
      <c r="AK75">
        <v>6981147</v>
      </c>
      <c r="AL75" t="s">
        <v>245</v>
      </c>
    </row>
    <row r="76" spans="1:38" x14ac:dyDescent="0.25">
      <c r="A76" s="1">
        <v>46204</v>
      </c>
      <c r="B76" s="1">
        <v>46204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286</v>
      </c>
      <c r="J76" t="s">
        <v>281</v>
      </c>
      <c r="M76" t="s">
        <v>282</v>
      </c>
      <c r="O76" t="s">
        <v>283</v>
      </c>
      <c r="P76" t="s">
        <v>284</v>
      </c>
      <c r="Q76" t="s">
        <v>59</v>
      </c>
      <c r="R76" t="s">
        <v>287</v>
      </c>
      <c r="S76" s="1">
        <v>46204</v>
      </c>
      <c r="U76" t="s">
        <v>51</v>
      </c>
      <c r="X76" t="s">
        <v>52</v>
      </c>
      <c r="Y76" s="2">
        <v>0</v>
      </c>
      <c r="Z76" s="2">
        <v>113</v>
      </c>
      <c r="AA76">
        <v>1</v>
      </c>
      <c r="AB76" s="3">
        <v>1</v>
      </c>
      <c r="AC76" s="2">
        <v>113</v>
      </c>
      <c r="AD76" s="3">
        <v>0</v>
      </c>
      <c r="AE76" s="2">
        <v>0</v>
      </c>
      <c r="AF76" s="2">
        <v>113</v>
      </c>
      <c r="AK76">
        <v>6981148</v>
      </c>
    </row>
    <row r="77" spans="1:38" x14ac:dyDescent="0.25">
      <c r="A77" s="1">
        <v>46204</v>
      </c>
      <c r="B77" s="1">
        <v>46204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288</v>
      </c>
      <c r="J77" t="s">
        <v>289</v>
      </c>
      <c r="M77" t="s">
        <v>169</v>
      </c>
      <c r="O77" t="s">
        <v>98</v>
      </c>
      <c r="P77" t="s">
        <v>99</v>
      </c>
      <c r="Q77" t="s">
        <v>59</v>
      </c>
      <c r="R77" t="s">
        <v>290</v>
      </c>
      <c r="S77" s="1">
        <v>46235</v>
      </c>
      <c r="U77" t="s">
        <v>51</v>
      </c>
      <c r="X77" t="s">
        <v>52</v>
      </c>
      <c r="Y77" s="2">
        <v>0</v>
      </c>
      <c r="Z77" s="2">
        <v>144.58000000000001</v>
      </c>
      <c r="AA77">
        <v>1</v>
      </c>
      <c r="AB77" s="3">
        <v>1</v>
      </c>
      <c r="AC77" s="2">
        <v>144.58000000000001</v>
      </c>
      <c r="AD77" s="3">
        <v>0</v>
      </c>
      <c r="AE77" s="2">
        <v>0</v>
      </c>
      <c r="AF77" s="2">
        <v>144.58000000000001</v>
      </c>
      <c r="AK77">
        <v>6981151</v>
      </c>
      <c r="AL77" t="s">
        <v>248</v>
      </c>
    </row>
    <row r="78" spans="1:38" x14ac:dyDescent="0.25">
      <c r="A78" s="1">
        <v>46204</v>
      </c>
      <c r="B78" s="1">
        <v>46204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291</v>
      </c>
      <c r="J78" t="s">
        <v>289</v>
      </c>
      <c r="M78" t="s">
        <v>169</v>
      </c>
      <c r="O78" t="s">
        <v>98</v>
      </c>
      <c r="P78" t="s">
        <v>99</v>
      </c>
      <c r="Q78" t="s">
        <v>59</v>
      </c>
      <c r="R78" t="s">
        <v>292</v>
      </c>
      <c r="S78" s="1">
        <v>46235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6981152</v>
      </c>
    </row>
    <row r="79" spans="1:38" x14ac:dyDescent="0.25">
      <c r="A79" s="1">
        <v>46204</v>
      </c>
      <c r="B79" s="1">
        <v>46204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293</v>
      </c>
      <c r="J79" t="s">
        <v>294</v>
      </c>
      <c r="M79" t="s">
        <v>46</v>
      </c>
      <c r="O79" t="s">
        <v>103</v>
      </c>
      <c r="P79" t="s">
        <v>104</v>
      </c>
      <c r="Q79" t="s">
        <v>59</v>
      </c>
      <c r="R79" t="s">
        <v>290</v>
      </c>
      <c r="S79" s="1">
        <v>46235</v>
      </c>
      <c r="U79" t="s">
        <v>51</v>
      </c>
      <c r="X79" t="s">
        <v>52</v>
      </c>
      <c r="Y79" s="2">
        <v>0</v>
      </c>
      <c r="Z79" s="2">
        <v>144.58000000000001</v>
      </c>
      <c r="AA79">
        <v>1</v>
      </c>
      <c r="AB79" s="3">
        <v>1</v>
      </c>
      <c r="AC79" s="2">
        <v>144.58000000000001</v>
      </c>
      <c r="AD79" s="3">
        <v>0</v>
      </c>
      <c r="AE79" s="2">
        <v>0</v>
      </c>
      <c r="AF79" s="2">
        <v>144.58000000000001</v>
      </c>
      <c r="AK79">
        <v>6981153</v>
      </c>
      <c r="AL79" t="s">
        <v>248</v>
      </c>
    </row>
    <row r="80" spans="1:38" x14ac:dyDescent="0.25">
      <c r="A80" s="1">
        <v>46204</v>
      </c>
      <c r="B80" s="1">
        <v>46204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295</v>
      </c>
      <c r="J80" t="s">
        <v>294</v>
      </c>
      <c r="M80" t="s">
        <v>46</v>
      </c>
      <c r="O80" t="s">
        <v>103</v>
      </c>
      <c r="P80" t="s">
        <v>104</v>
      </c>
      <c r="Q80" t="s">
        <v>59</v>
      </c>
      <c r="R80" t="s">
        <v>292</v>
      </c>
      <c r="S80" s="1">
        <v>46235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6981154</v>
      </c>
    </row>
    <row r="81" spans="1:38" x14ac:dyDescent="0.25">
      <c r="A81" s="1">
        <v>46204</v>
      </c>
      <c r="B81" s="1">
        <v>46204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296</v>
      </c>
      <c r="J81" t="s">
        <v>297</v>
      </c>
      <c r="M81" t="s">
        <v>56</v>
      </c>
      <c r="O81" t="s">
        <v>110</v>
      </c>
      <c r="P81" t="s">
        <v>111</v>
      </c>
      <c r="Q81" t="s">
        <v>59</v>
      </c>
      <c r="R81" t="s">
        <v>298</v>
      </c>
      <c r="S81" s="1">
        <v>46235</v>
      </c>
      <c r="U81" t="s">
        <v>51</v>
      </c>
      <c r="X81" t="s">
        <v>52</v>
      </c>
      <c r="Y81" s="2">
        <v>0</v>
      </c>
      <c r="Z81" s="2">
        <v>169.17</v>
      </c>
      <c r="AA81">
        <v>1</v>
      </c>
      <c r="AB81" s="3">
        <v>1</v>
      </c>
      <c r="AC81" s="2">
        <v>169.17</v>
      </c>
      <c r="AD81" s="3">
        <v>0</v>
      </c>
      <c r="AE81" s="2">
        <v>0</v>
      </c>
      <c r="AF81" s="2">
        <v>169.17</v>
      </c>
      <c r="AK81">
        <v>6981145</v>
      </c>
      <c r="AL81" t="s">
        <v>248</v>
      </c>
    </row>
    <row r="82" spans="1:38" x14ac:dyDescent="0.25">
      <c r="A82" s="1">
        <v>46204</v>
      </c>
      <c r="B82" s="1">
        <v>46204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299</v>
      </c>
      <c r="J82" t="s">
        <v>297</v>
      </c>
      <c r="M82" t="s">
        <v>56</v>
      </c>
      <c r="O82" t="s">
        <v>110</v>
      </c>
      <c r="P82" t="s">
        <v>111</v>
      </c>
      <c r="Q82" t="s">
        <v>59</v>
      </c>
      <c r="R82" t="s">
        <v>300</v>
      </c>
      <c r="S82" s="1">
        <v>46235</v>
      </c>
      <c r="U82" t="s">
        <v>51</v>
      </c>
      <c r="X82" t="s">
        <v>52</v>
      </c>
      <c r="Y82" s="2">
        <v>0</v>
      </c>
      <c r="Z82" s="2">
        <v>47.08</v>
      </c>
      <c r="AA82">
        <v>1</v>
      </c>
      <c r="AB82" s="3">
        <v>1</v>
      </c>
      <c r="AC82" s="2">
        <v>47.08</v>
      </c>
      <c r="AD82" s="3">
        <v>0</v>
      </c>
      <c r="AE82" s="2">
        <v>0</v>
      </c>
      <c r="AF82" s="2">
        <v>47.08</v>
      </c>
      <c r="AK82">
        <v>6981146</v>
      </c>
      <c r="AL82" t="s">
        <v>248</v>
      </c>
    </row>
    <row r="83" spans="1:38" x14ac:dyDescent="0.25">
      <c r="A83" s="1">
        <v>46204</v>
      </c>
      <c r="B83" s="1">
        <v>46204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301</v>
      </c>
      <c r="J83" t="s">
        <v>302</v>
      </c>
      <c r="M83" t="s">
        <v>109</v>
      </c>
      <c r="O83" t="s">
        <v>303</v>
      </c>
      <c r="P83" t="s">
        <v>304</v>
      </c>
      <c r="Q83" t="s">
        <v>59</v>
      </c>
      <c r="R83" t="s">
        <v>290</v>
      </c>
      <c r="S83" s="1">
        <v>46204</v>
      </c>
      <c r="U83" t="s">
        <v>51</v>
      </c>
      <c r="X83" t="s">
        <v>52</v>
      </c>
      <c r="Y83" s="2">
        <v>0</v>
      </c>
      <c r="Z83" s="2">
        <v>173.5</v>
      </c>
      <c r="AA83">
        <v>1</v>
      </c>
      <c r="AB83" s="3">
        <v>1</v>
      </c>
      <c r="AC83" s="2">
        <v>173.5</v>
      </c>
      <c r="AD83" s="3">
        <v>0</v>
      </c>
      <c r="AE83" s="2">
        <v>0</v>
      </c>
      <c r="AF83" s="2">
        <v>173.5</v>
      </c>
      <c r="AK83">
        <v>6981155</v>
      </c>
      <c r="AL83" t="s">
        <v>245</v>
      </c>
    </row>
    <row r="84" spans="1:38" x14ac:dyDescent="0.25">
      <c r="A84" s="1">
        <v>46204</v>
      </c>
      <c r="B84" s="1">
        <v>46204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305</v>
      </c>
      <c r="J84" t="s">
        <v>302</v>
      </c>
      <c r="M84" t="s">
        <v>109</v>
      </c>
      <c r="O84" t="s">
        <v>303</v>
      </c>
      <c r="P84" t="s">
        <v>304</v>
      </c>
      <c r="Q84" t="s">
        <v>59</v>
      </c>
      <c r="R84" t="s">
        <v>292</v>
      </c>
      <c r="S84" s="1">
        <v>46204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6981156</v>
      </c>
    </row>
    <row r="85" spans="1:38" x14ac:dyDescent="0.25">
      <c r="A85" s="1">
        <v>46204</v>
      </c>
      <c r="B85" s="1">
        <v>46204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306</v>
      </c>
      <c r="J85" t="s">
        <v>307</v>
      </c>
      <c r="M85" t="s">
        <v>56</v>
      </c>
      <c r="O85" t="s">
        <v>308</v>
      </c>
      <c r="P85" t="s">
        <v>309</v>
      </c>
      <c r="Q85" t="s">
        <v>59</v>
      </c>
      <c r="R85" t="s">
        <v>290</v>
      </c>
      <c r="S85" s="1">
        <v>46204</v>
      </c>
      <c r="U85" t="s">
        <v>51</v>
      </c>
      <c r="X85" t="s">
        <v>52</v>
      </c>
      <c r="Y85" s="2">
        <v>0</v>
      </c>
      <c r="Z85" s="2">
        <v>173.5</v>
      </c>
      <c r="AA85">
        <v>1</v>
      </c>
      <c r="AB85" s="3">
        <v>1</v>
      </c>
      <c r="AC85" s="2">
        <v>173.5</v>
      </c>
      <c r="AD85" s="3">
        <v>0</v>
      </c>
      <c r="AE85" s="2">
        <v>0</v>
      </c>
      <c r="AF85" s="2">
        <v>173.5</v>
      </c>
      <c r="AK85">
        <v>6981143</v>
      </c>
      <c r="AL85" t="s">
        <v>245</v>
      </c>
    </row>
    <row r="86" spans="1:38" x14ac:dyDescent="0.25">
      <c r="A86" s="1">
        <v>46204</v>
      </c>
      <c r="B86" s="1">
        <v>46204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310</v>
      </c>
      <c r="J86" t="s">
        <v>307</v>
      </c>
      <c r="M86" t="s">
        <v>56</v>
      </c>
      <c r="O86" t="s">
        <v>308</v>
      </c>
      <c r="P86" t="s">
        <v>309</v>
      </c>
      <c r="Q86" t="s">
        <v>59</v>
      </c>
      <c r="R86" t="s">
        <v>311</v>
      </c>
      <c r="S86" s="1">
        <v>46204</v>
      </c>
      <c r="U86" t="s">
        <v>51</v>
      </c>
      <c r="X86" t="s">
        <v>52</v>
      </c>
      <c r="Y86" s="2">
        <v>0</v>
      </c>
      <c r="Z86" s="2">
        <v>36</v>
      </c>
      <c r="AA86">
        <v>1</v>
      </c>
      <c r="AB86" s="3">
        <v>1</v>
      </c>
      <c r="AC86" s="2">
        <v>36</v>
      </c>
      <c r="AD86" s="3">
        <v>0</v>
      </c>
      <c r="AE86" s="2">
        <v>0</v>
      </c>
      <c r="AF86" s="2">
        <v>36</v>
      </c>
      <c r="AK86">
        <v>6981144</v>
      </c>
      <c r="AL86" t="s">
        <v>245</v>
      </c>
    </row>
    <row r="87" spans="1:38" x14ac:dyDescent="0.25">
      <c r="A87" s="1">
        <v>46204</v>
      </c>
      <c r="B87" s="1">
        <v>46204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312</v>
      </c>
      <c r="J87" t="s">
        <v>313</v>
      </c>
      <c r="M87" t="s">
        <v>282</v>
      </c>
      <c r="O87" t="s">
        <v>283</v>
      </c>
      <c r="P87" t="s">
        <v>284</v>
      </c>
      <c r="Q87" t="s">
        <v>59</v>
      </c>
      <c r="R87" t="s">
        <v>285</v>
      </c>
      <c r="S87" s="1">
        <v>46204</v>
      </c>
      <c r="U87" t="s">
        <v>51</v>
      </c>
      <c r="X87" t="s">
        <v>52</v>
      </c>
      <c r="Y87" s="2">
        <v>0</v>
      </c>
      <c r="Z87" s="2">
        <v>101.5</v>
      </c>
      <c r="AA87">
        <v>1</v>
      </c>
      <c r="AB87" s="3">
        <v>1</v>
      </c>
      <c r="AC87" s="2">
        <v>101.5</v>
      </c>
      <c r="AD87" s="3">
        <v>0</v>
      </c>
      <c r="AE87" s="2">
        <v>0</v>
      </c>
      <c r="AF87" s="2">
        <v>101.5</v>
      </c>
      <c r="AK87">
        <v>6981149</v>
      </c>
      <c r="AL87" t="s">
        <v>245</v>
      </c>
    </row>
    <row r="88" spans="1:38" x14ac:dyDescent="0.25">
      <c r="A88" s="1">
        <v>46204</v>
      </c>
      <c r="B88" s="1">
        <v>46204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314</v>
      </c>
      <c r="J88" t="s">
        <v>313</v>
      </c>
      <c r="M88" t="s">
        <v>282</v>
      </c>
      <c r="O88" t="s">
        <v>283</v>
      </c>
      <c r="P88" t="s">
        <v>284</v>
      </c>
      <c r="Q88" t="s">
        <v>59</v>
      </c>
      <c r="R88" t="s">
        <v>287</v>
      </c>
      <c r="S88" s="1">
        <v>46204</v>
      </c>
      <c r="U88" t="s">
        <v>51</v>
      </c>
      <c r="X88" t="s">
        <v>52</v>
      </c>
      <c r="Y88" s="2">
        <v>0</v>
      </c>
      <c r="Z88" s="2">
        <v>113</v>
      </c>
      <c r="AA88">
        <v>1</v>
      </c>
      <c r="AB88" s="3">
        <v>1</v>
      </c>
      <c r="AC88" s="2">
        <v>113</v>
      </c>
      <c r="AD88" s="3">
        <v>0</v>
      </c>
      <c r="AE88" s="2">
        <v>0</v>
      </c>
      <c r="AF88" s="2">
        <v>113</v>
      </c>
      <c r="AK88">
        <v>6981150</v>
      </c>
    </row>
    <row r="89" spans="1:38" x14ac:dyDescent="0.25">
      <c r="A89" s="1">
        <v>46204</v>
      </c>
      <c r="B89" s="1">
        <v>46204</v>
      </c>
      <c r="C89" t="s">
        <v>315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316</v>
      </c>
      <c r="J89" t="s">
        <v>317</v>
      </c>
      <c r="M89" t="s">
        <v>82</v>
      </c>
      <c r="O89" t="s">
        <v>110</v>
      </c>
      <c r="P89" t="s">
        <v>111</v>
      </c>
      <c r="Q89" t="s">
        <v>318</v>
      </c>
      <c r="R89" t="s">
        <v>50</v>
      </c>
      <c r="S89" s="1">
        <v>46023</v>
      </c>
      <c r="U89" t="s">
        <v>51</v>
      </c>
      <c r="X89" t="s">
        <v>52</v>
      </c>
      <c r="AF89" s="2">
        <v>175</v>
      </c>
      <c r="AG89" s="2">
        <v>0</v>
      </c>
      <c r="AJ89" s="2">
        <v>87.5</v>
      </c>
    </row>
    <row r="90" spans="1:38" x14ac:dyDescent="0.25">
      <c r="A90" s="1">
        <v>46204</v>
      </c>
      <c r="B90" s="1">
        <v>46204</v>
      </c>
      <c r="C90" t="s">
        <v>315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319</v>
      </c>
      <c r="J90" t="s">
        <v>55</v>
      </c>
      <c r="M90" t="s">
        <v>56</v>
      </c>
      <c r="O90" t="s">
        <v>57</v>
      </c>
      <c r="P90" t="s">
        <v>58</v>
      </c>
      <c r="Q90" t="s">
        <v>318</v>
      </c>
      <c r="R90" t="s">
        <v>50</v>
      </c>
      <c r="S90" s="1">
        <v>46023</v>
      </c>
      <c r="U90" t="s">
        <v>51</v>
      </c>
      <c r="X90" t="s">
        <v>52</v>
      </c>
      <c r="AF90" s="2">
        <v>175</v>
      </c>
      <c r="AG90" s="2">
        <v>0</v>
      </c>
      <c r="AJ90" s="2">
        <v>87.5</v>
      </c>
    </row>
    <row r="91" spans="1:38" x14ac:dyDescent="0.25">
      <c r="A91" s="1">
        <v>46204</v>
      </c>
      <c r="B91" s="1">
        <v>46204</v>
      </c>
      <c r="C91" t="s">
        <v>315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320</v>
      </c>
      <c r="J91" t="s">
        <v>321</v>
      </c>
      <c r="M91" t="s">
        <v>130</v>
      </c>
      <c r="O91" t="s">
        <v>232</v>
      </c>
      <c r="P91" t="s">
        <v>233</v>
      </c>
      <c r="Q91" t="s">
        <v>318</v>
      </c>
      <c r="R91" t="s">
        <v>60</v>
      </c>
      <c r="S91" s="1">
        <v>46082</v>
      </c>
      <c r="U91" t="s">
        <v>51</v>
      </c>
      <c r="X91" t="s">
        <v>52</v>
      </c>
      <c r="AF91" s="2">
        <v>108</v>
      </c>
      <c r="AG91" s="2">
        <v>0</v>
      </c>
      <c r="AJ91" s="2">
        <v>72.36</v>
      </c>
    </row>
    <row r="92" spans="1:38" x14ac:dyDescent="0.25">
      <c r="A92" s="1">
        <v>46204</v>
      </c>
      <c r="B92" s="1">
        <v>46204</v>
      </c>
      <c r="C92" t="s">
        <v>315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322</v>
      </c>
      <c r="J92" t="s">
        <v>323</v>
      </c>
      <c r="M92" t="s">
        <v>63</v>
      </c>
      <c r="O92" t="s">
        <v>83</v>
      </c>
      <c r="P92" t="s">
        <v>84</v>
      </c>
      <c r="Q92" t="s">
        <v>318</v>
      </c>
      <c r="R92" t="s">
        <v>244</v>
      </c>
      <c r="S92" s="1">
        <v>46113</v>
      </c>
      <c r="U92" t="s">
        <v>51</v>
      </c>
      <c r="X92" t="s">
        <v>52</v>
      </c>
      <c r="AF92" s="2">
        <v>18.75</v>
      </c>
      <c r="AG92" s="2">
        <v>0</v>
      </c>
      <c r="AJ92" s="2">
        <v>14.58</v>
      </c>
    </row>
    <row r="93" spans="1:38" x14ac:dyDescent="0.25">
      <c r="A93" s="1">
        <v>46204</v>
      </c>
      <c r="B93" s="1">
        <v>46204</v>
      </c>
      <c r="C93" t="s">
        <v>315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324</v>
      </c>
      <c r="J93" t="s">
        <v>91</v>
      </c>
      <c r="M93" t="s">
        <v>63</v>
      </c>
      <c r="O93" t="s">
        <v>92</v>
      </c>
      <c r="P93" t="s">
        <v>93</v>
      </c>
      <c r="Q93" t="s">
        <v>318</v>
      </c>
      <c r="R93" t="s">
        <v>244</v>
      </c>
      <c r="S93" s="1">
        <v>46143</v>
      </c>
      <c r="U93" t="s">
        <v>51</v>
      </c>
      <c r="X93" t="s">
        <v>52</v>
      </c>
      <c r="AF93" s="2">
        <v>16.670000000000002</v>
      </c>
      <c r="AG93" s="2">
        <v>0</v>
      </c>
      <c r="AJ93" s="2">
        <v>16.670000000000002</v>
      </c>
    </row>
    <row r="94" spans="1:38" x14ac:dyDescent="0.25">
      <c r="A94" s="1">
        <v>46204</v>
      </c>
      <c r="B94" s="1">
        <v>46204</v>
      </c>
      <c r="C94" t="s">
        <v>315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325</v>
      </c>
      <c r="J94" t="s">
        <v>96</v>
      </c>
      <c r="M94" t="s">
        <v>97</v>
      </c>
      <c r="O94" t="s">
        <v>98</v>
      </c>
      <c r="P94" t="s">
        <v>99</v>
      </c>
      <c r="Q94" t="s">
        <v>318</v>
      </c>
      <c r="R94" t="s">
        <v>244</v>
      </c>
      <c r="S94" s="1">
        <v>46143</v>
      </c>
      <c r="U94" t="s">
        <v>51</v>
      </c>
      <c r="X94" t="s">
        <v>52</v>
      </c>
      <c r="AF94" s="2">
        <v>16.670000000000002</v>
      </c>
      <c r="AG94" s="2">
        <v>0</v>
      </c>
      <c r="AJ94" s="2">
        <v>16.670000000000002</v>
      </c>
    </row>
    <row r="95" spans="1:38" x14ac:dyDescent="0.25">
      <c r="A95" s="1">
        <v>46204</v>
      </c>
      <c r="B95" s="1">
        <v>46204</v>
      </c>
      <c r="C95" t="s">
        <v>315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326</v>
      </c>
      <c r="J95" t="s">
        <v>101</v>
      </c>
      <c r="M95" t="s">
        <v>102</v>
      </c>
      <c r="O95" t="s">
        <v>103</v>
      </c>
      <c r="P95" t="s">
        <v>104</v>
      </c>
      <c r="Q95" t="s">
        <v>318</v>
      </c>
      <c r="R95" t="s">
        <v>244</v>
      </c>
      <c r="S95" s="1">
        <v>46143</v>
      </c>
      <c r="U95" t="s">
        <v>51</v>
      </c>
      <c r="X95" t="s">
        <v>52</v>
      </c>
      <c r="AF95" s="2">
        <v>16.670000000000002</v>
      </c>
      <c r="AG95" s="2">
        <v>0</v>
      </c>
      <c r="AJ95" s="2">
        <v>16.670000000000002</v>
      </c>
    </row>
    <row r="96" spans="1:38" x14ac:dyDescent="0.25">
      <c r="A96" s="1">
        <v>46204</v>
      </c>
      <c r="B96" s="1">
        <v>46204</v>
      </c>
      <c r="C96" t="s">
        <v>315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327</v>
      </c>
      <c r="J96" t="s">
        <v>106</v>
      </c>
      <c r="M96" t="s">
        <v>102</v>
      </c>
      <c r="O96" t="s">
        <v>103</v>
      </c>
      <c r="P96" t="s">
        <v>104</v>
      </c>
      <c r="Q96" t="s">
        <v>318</v>
      </c>
      <c r="R96" t="s">
        <v>244</v>
      </c>
      <c r="S96" s="1">
        <v>46143</v>
      </c>
      <c r="U96" t="s">
        <v>51</v>
      </c>
      <c r="X96" t="s">
        <v>52</v>
      </c>
      <c r="AF96" s="2">
        <v>16.670000000000002</v>
      </c>
      <c r="AG96" s="2">
        <v>0</v>
      </c>
      <c r="AJ96" s="2">
        <v>16.670000000000002</v>
      </c>
    </row>
    <row r="97" spans="1:36" x14ac:dyDescent="0.25">
      <c r="A97" s="1">
        <v>46204</v>
      </c>
      <c r="B97" s="1">
        <v>46204</v>
      </c>
      <c r="C97" t="s">
        <v>315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328</v>
      </c>
      <c r="J97" t="s">
        <v>108</v>
      </c>
      <c r="M97" t="s">
        <v>109</v>
      </c>
      <c r="O97" t="s">
        <v>110</v>
      </c>
      <c r="P97" t="s">
        <v>111</v>
      </c>
      <c r="Q97" t="s">
        <v>318</v>
      </c>
      <c r="R97" t="s">
        <v>244</v>
      </c>
      <c r="S97" s="1">
        <v>46143</v>
      </c>
      <c r="U97" t="s">
        <v>51</v>
      </c>
      <c r="X97" t="s">
        <v>52</v>
      </c>
      <c r="AF97" s="2">
        <v>16.670000000000002</v>
      </c>
      <c r="AG97" s="2">
        <v>0</v>
      </c>
      <c r="AJ97" s="2">
        <v>16.670000000000002</v>
      </c>
    </row>
    <row r="98" spans="1:36" x14ac:dyDescent="0.25">
      <c r="A98" s="1">
        <v>46204</v>
      </c>
      <c r="B98" s="1">
        <v>46204</v>
      </c>
      <c r="C98" t="s">
        <v>315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329</v>
      </c>
      <c r="J98" t="s">
        <v>113</v>
      </c>
      <c r="M98" t="s">
        <v>63</v>
      </c>
      <c r="O98" t="s">
        <v>114</v>
      </c>
      <c r="P98" t="s">
        <v>115</v>
      </c>
      <c r="Q98" t="s">
        <v>318</v>
      </c>
      <c r="R98" t="s">
        <v>244</v>
      </c>
      <c r="S98" s="1">
        <v>46204</v>
      </c>
      <c r="U98" t="s">
        <v>51</v>
      </c>
      <c r="X98" t="s">
        <v>52</v>
      </c>
      <c r="AF98" s="2">
        <v>12.5</v>
      </c>
      <c r="AG98" s="2">
        <v>0</v>
      </c>
      <c r="AJ98" s="2">
        <v>12.5</v>
      </c>
    </row>
    <row r="99" spans="1:36" x14ac:dyDescent="0.25">
      <c r="A99" s="1">
        <v>46204</v>
      </c>
      <c r="B99" s="1">
        <v>46204</v>
      </c>
      <c r="C99" t="s">
        <v>315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330</v>
      </c>
      <c r="J99" t="s">
        <v>117</v>
      </c>
      <c r="M99" t="s">
        <v>102</v>
      </c>
      <c r="O99" t="s">
        <v>103</v>
      </c>
      <c r="P99" t="s">
        <v>104</v>
      </c>
      <c r="Q99" t="s">
        <v>318</v>
      </c>
      <c r="R99" t="s">
        <v>244</v>
      </c>
      <c r="S99" s="1">
        <v>46143</v>
      </c>
      <c r="U99" t="s">
        <v>51</v>
      </c>
      <c r="X99" t="s">
        <v>52</v>
      </c>
      <c r="AF99" s="2">
        <v>16.670000000000002</v>
      </c>
      <c r="AG99" s="2">
        <v>0</v>
      </c>
      <c r="AJ99" s="2">
        <v>16.670000000000002</v>
      </c>
    </row>
    <row r="100" spans="1:36" x14ac:dyDescent="0.25">
      <c r="A100" s="1">
        <v>46204</v>
      </c>
      <c r="B100" s="1">
        <v>46204</v>
      </c>
      <c r="C100" t="s">
        <v>315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331</v>
      </c>
      <c r="J100" t="s">
        <v>119</v>
      </c>
      <c r="M100" t="s">
        <v>102</v>
      </c>
      <c r="O100" t="s">
        <v>120</v>
      </c>
      <c r="P100" t="s">
        <v>121</v>
      </c>
      <c r="Q100" t="s">
        <v>318</v>
      </c>
      <c r="R100" t="s">
        <v>244</v>
      </c>
      <c r="S100" s="1">
        <v>46143</v>
      </c>
      <c r="U100" t="s">
        <v>51</v>
      </c>
      <c r="X100" t="s">
        <v>52</v>
      </c>
      <c r="AF100" s="2">
        <v>16.670000000000002</v>
      </c>
      <c r="AG100" s="2">
        <v>0</v>
      </c>
      <c r="AJ100" s="2">
        <v>16.670000000000002</v>
      </c>
    </row>
    <row r="101" spans="1:36" x14ac:dyDescent="0.25">
      <c r="A101" s="1">
        <v>46204</v>
      </c>
      <c r="B101" s="1">
        <v>46204</v>
      </c>
      <c r="C101" t="s">
        <v>315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332</v>
      </c>
      <c r="J101" t="s">
        <v>123</v>
      </c>
      <c r="M101" t="s">
        <v>63</v>
      </c>
      <c r="O101" t="s">
        <v>114</v>
      </c>
      <c r="P101" t="s">
        <v>115</v>
      </c>
      <c r="Q101" t="s">
        <v>318</v>
      </c>
      <c r="R101" t="s">
        <v>244</v>
      </c>
      <c r="S101" s="1">
        <v>46174</v>
      </c>
      <c r="U101" t="s">
        <v>51</v>
      </c>
      <c r="X101" t="s">
        <v>52</v>
      </c>
      <c r="AF101" s="2">
        <v>14.58</v>
      </c>
      <c r="AG101" s="2">
        <v>0</v>
      </c>
      <c r="AJ101" s="2">
        <v>14.58</v>
      </c>
    </row>
    <row r="102" spans="1:36" x14ac:dyDescent="0.25">
      <c r="A102" s="1">
        <v>46204</v>
      </c>
      <c r="B102" s="1">
        <v>46204</v>
      </c>
      <c r="C102" t="s">
        <v>315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333</v>
      </c>
      <c r="J102" t="s">
        <v>125</v>
      </c>
      <c r="M102" t="s">
        <v>102</v>
      </c>
      <c r="O102" t="s">
        <v>126</v>
      </c>
      <c r="P102" t="s">
        <v>127</v>
      </c>
      <c r="Q102" t="s">
        <v>318</v>
      </c>
      <c r="R102" t="s">
        <v>244</v>
      </c>
      <c r="S102" s="1">
        <v>46204</v>
      </c>
      <c r="U102" t="s">
        <v>51</v>
      </c>
      <c r="X102" t="s">
        <v>52</v>
      </c>
      <c r="AF102" s="2">
        <v>12.5</v>
      </c>
      <c r="AG102" s="2">
        <v>0</v>
      </c>
      <c r="AJ102" s="2">
        <v>12.5</v>
      </c>
    </row>
    <row r="103" spans="1:36" x14ac:dyDescent="0.25">
      <c r="A103" s="1">
        <v>46204</v>
      </c>
      <c r="B103" s="1">
        <v>46204</v>
      </c>
      <c r="C103" t="s">
        <v>315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334</v>
      </c>
      <c r="J103" t="s">
        <v>129</v>
      </c>
      <c r="M103" t="s">
        <v>130</v>
      </c>
      <c r="O103" t="s">
        <v>131</v>
      </c>
      <c r="P103" t="s">
        <v>132</v>
      </c>
      <c r="Q103" t="s">
        <v>318</v>
      </c>
      <c r="R103" t="s">
        <v>244</v>
      </c>
      <c r="S103" s="1">
        <v>46174</v>
      </c>
      <c r="U103" t="s">
        <v>51</v>
      </c>
      <c r="X103" t="s">
        <v>52</v>
      </c>
      <c r="AF103" s="2">
        <v>14.58</v>
      </c>
      <c r="AG103" s="2">
        <v>0</v>
      </c>
      <c r="AJ103" s="2">
        <v>14.58</v>
      </c>
    </row>
    <row r="104" spans="1:36" x14ac:dyDescent="0.25">
      <c r="A104" s="1">
        <v>46204</v>
      </c>
      <c r="B104" s="1">
        <v>46204</v>
      </c>
      <c r="C104" t="s">
        <v>315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335</v>
      </c>
      <c r="J104" t="s">
        <v>134</v>
      </c>
      <c r="M104" t="s">
        <v>102</v>
      </c>
      <c r="O104" t="s">
        <v>135</v>
      </c>
      <c r="P104" t="s">
        <v>136</v>
      </c>
      <c r="Q104" t="s">
        <v>318</v>
      </c>
      <c r="R104" t="s">
        <v>244</v>
      </c>
      <c r="S104" s="1">
        <v>46235</v>
      </c>
      <c r="U104" t="s">
        <v>51</v>
      </c>
      <c r="X104" t="s">
        <v>52</v>
      </c>
      <c r="AF104" s="2">
        <v>10.42</v>
      </c>
      <c r="AG104" s="2">
        <v>0</v>
      </c>
      <c r="AJ104" s="2">
        <v>10.42</v>
      </c>
    </row>
    <row r="105" spans="1:36" x14ac:dyDescent="0.25">
      <c r="A105" s="1">
        <v>46204</v>
      </c>
      <c r="B105" s="1">
        <v>46204</v>
      </c>
      <c r="C105" t="s">
        <v>315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336</v>
      </c>
      <c r="J105" t="s">
        <v>138</v>
      </c>
      <c r="M105" t="s">
        <v>102</v>
      </c>
      <c r="O105" t="s">
        <v>126</v>
      </c>
      <c r="P105" t="s">
        <v>127</v>
      </c>
      <c r="Q105" t="s">
        <v>318</v>
      </c>
      <c r="R105" t="s">
        <v>244</v>
      </c>
      <c r="S105" s="1">
        <v>46235</v>
      </c>
      <c r="U105" t="s">
        <v>51</v>
      </c>
      <c r="X105" t="s">
        <v>52</v>
      </c>
      <c r="AF105" s="2">
        <v>10.42</v>
      </c>
      <c r="AG105" s="2">
        <v>0</v>
      </c>
      <c r="AJ105" s="2">
        <v>10.42</v>
      </c>
    </row>
    <row r="106" spans="1:36" x14ac:dyDescent="0.25">
      <c r="A106" s="1">
        <v>46204</v>
      </c>
      <c r="B106" s="1">
        <v>46204</v>
      </c>
      <c r="C106" t="s">
        <v>315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337</v>
      </c>
      <c r="J106" t="s">
        <v>140</v>
      </c>
      <c r="M106" t="s">
        <v>63</v>
      </c>
      <c r="O106" t="s">
        <v>141</v>
      </c>
      <c r="P106" t="s">
        <v>142</v>
      </c>
      <c r="Q106" t="s">
        <v>318</v>
      </c>
      <c r="R106" t="s">
        <v>244</v>
      </c>
      <c r="S106" s="1">
        <v>46174</v>
      </c>
      <c r="U106" t="s">
        <v>51</v>
      </c>
      <c r="X106" t="s">
        <v>52</v>
      </c>
      <c r="AF106" s="2">
        <v>14.58</v>
      </c>
      <c r="AG106" s="2">
        <v>0</v>
      </c>
      <c r="AJ106" s="2">
        <v>14.58</v>
      </c>
    </row>
    <row r="107" spans="1:36" x14ac:dyDescent="0.25">
      <c r="A107" s="1">
        <v>46204</v>
      </c>
      <c r="B107" s="1">
        <v>46204</v>
      </c>
      <c r="C107" t="s">
        <v>315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338</v>
      </c>
      <c r="J107" t="s">
        <v>144</v>
      </c>
      <c r="M107" t="s">
        <v>56</v>
      </c>
      <c r="O107" t="s">
        <v>145</v>
      </c>
      <c r="P107" t="s">
        <v>146</v>
      </c>
      <c r="Q107" t="s">
        <v>318</v>
      </c>
      <c r="R107" t="s">
        <v>244</v>
      </c>
      <c r="S107" s="1">
        <v>46174</v>
      </c>
      <c r="U107" t="s">
        <v>51</v>
      </c>
      <c r="X107" t="s">
        <v>52</v>
      </c>
      <c r="AF107" s="2">
        <v>14.58</v>
      </c>
      <c r="AG107" s="2">
        <v>0</v>
      </c>
      <c r="AJ107" s="2">
        <v>14.58</v>
      </c>
    </row>
    <row r="108" spans="1:36" x14ac:dyDescent="0.25">
      <c r="A108" s="1">
        <v>46204</v>
      </c>
      <c r="B108" s="1">
        <v>46204</v>
      </c>
      <c r="C108" t="s">
        <v>315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339</v>
      </c>
      <c r="J108" t="s">
        <v>148</v>
      </c>
      <c r="M108" t="s">
        <v>149</v>
      </c>
      <c r="O108" t="s">
        <v>83</v>
      </c>
      <c r="P108" t="s">
        <v>84</v>
      </c>
      <c r="Q108" t="s">
        <v>318</v>
      </c>
      <c r="R108" t="s">
        <v>244</v>
      </c>
      <c r="S108" s="1">
        <v>46174</v>
      </c>
      <c r="U108" t="s">
        <v>51</v>
      </c>
      <c r="X108" t="s">
        <v>52</v>
      </c>
      <c r="AF108" s="2">
        <v>14.58</v>
      </c>
      <c r="AG108" s="2">
        <v>0</v>
      </c>
      <c r="AJ108" s="2">
        <v>14.58</v>
      </c>
    </row>
    <row r="109" spans="1:36" x14ac:dyDescent="0.25">
      <c r="A109" s="1">
        <v>46204</v>
      </c>
      <c r="B109" s="1">
        <v>46204</v>
      </c>
      <c r="C109" t="s">
        <v>315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340</v>
      </c>
      <c r="J109" t="s">
        <v>151</v>
      </c>
      <c r="M109" t="s">
        <v>152</v>
      </c>
      <c r="O109" t="s">
        <v>153</v>
      </c>
      <c r="P109" t="s">
        <v>154</v>
      </c>
      <c r="Q109" t="s">
        <v>318</v>
      </c>
      <c r="R109" t="s">
        <v>244</v>
      </c>
      <c r="S109" s="1">
        <v>46204</v>
      </c>
      <c r="U109" t="s">
        <v>51</v>
      </c>
      <c r="X109" t="s">
        <v>52</v>
      </c>
      <c r="AF109" s="2">
        <v>12.5</v>
      </c>
      <c r="AG109" s="2">
        <v>0</v>
      </c>
      <c r="AJ109" s="2">
        <v>12.5</v>
      </c>
    </row>
    <row r="110" spans="1:36" x14ac:dyDescent="0.25">
      <c r="A110" s="1">
        <v>46204</v>
      </c>
      <c r="B110" s="1">
        <v>46204</v>
      </c>
      <c r="C110" t="s">
        <v>315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341</v>
      </c>
      <c r="J110" t="s">
        <v>156</v>
      </c>
      <c r="M110" t="s">
        <v>102</v>
      </c>
      <c r="O110" t="s">
        <v>157</v>
      </c>
      <c r="P110" t="s">
        <v>158</v>
      </c>
      <c r="Q110" t="s">
        <v>318</v>
      </c>
      <c r="R110" t="s">
        <v>244</v>
      </c>
      <c r="S110" s="1">
        <v>46204</v>
      </c>
      <c r="U110" t="s">
        <v>51</v>
      </c>
      <c r="X110" t="s">
        <v>52</v>
      </c>
      <c r="AF110" s="2">
        <v>12.5</v>
      </c>
      <c r="AG110" s="2">
        <v>0</v>
      </c>
      <c r="AJ110" s="2">
        <v>12.5</v>
      </c>
    </row>
    <row r="111" spans="1:36" x14ac:dyDescent="0.25">
      <c r="A111" s="1">
        <v>46204</v>
      </c>
      <c r="B111" s="1">
        <v>46204</v>
      </c>
      <c r="C111" t="s">
        <v>315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342</v>
      </c>
      <c r="J111" t="s">
        <v>160</v>
      </c>
      <c r="M111" t="s">
        <v>63</v>
      </c>
      <c r="O111" t="s">
        <v>161</v>
      </c>
      <c r="P111" t="s">
        <v>162</v>
      </c>
      <c r="Q111" t="s">
        <v>318</v>
      </c>
      <c r="R111" t="s">
        <v>244</v>
      </c>
      <c r="S111" s="1">
        <v>46204</v>
      </c>
      <c r="U111" t="s">
        <v>51</v>
      </c>
      <c r="X111" t="s">
        <v>52</v>
      </c>
      <c r="AF111" s="2">
        <v>12.5</v>
      </c>
      <c r="AG111" s="2">
        <v>0</v>
      </c>
      <c r="AJ111" s="2">
        <v>12.5</v>
      </c>
    </row>
    <row r="112" spans="1:36" x14ac:dyDescent="0.25">
      <c r="A112" s="1">
        <v>46204</v>
      </c>
      <c r="B112" s="1">
        <v>46204</v>
      </c>
      <c r="C112" t="s">
        <v>315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343</v>
      </c>
      <c r="J112" t="s">
        <v>164</v>
      </c>
      <c r="M112" t="s">
        <v>46</v>
      </c>
      <c r="O112" t="s">
        <v>165</v>
      </c>
      <c r="P112" t="s">
        <v>166</v>
      </c>
      <c r="Q112" t="s">
        <v>318</v>
      </c>
      <c r="R112" t="s">
        <v>244</v>
      </c>
      <c r="S112" s="1">
        <v>46174</v>
      </c>
      <c r="U112" t="s">
        <v>51</v>
      </c>
      <c r="X112" t="s">
        <v>52</v>
      </c>
      <c r="AF112" s="2">
        <v>14.58</v>
      </c>
      <c r="AG112" s="2">
        <v>0</v>
      </c>
      <c r="AJ112" s="2">
        <v>14.58</v>
      </c>
    </row>
    <row r="113" spans="1:36" x14ac:dyDescent="0.25">
      <c r="A113" s="1">
        <v>46204</v>
      </c>
      <c r="B113" s="1">
        <v>46204</v>
      </c>
      <c r="C113" t="s">
        <v>315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344</v>
      </c>
      <c r="J113" t="s">
        <v>168</v>
      </c>
      <c r="M113" t="s">
        <v>169</v>
      </c>
      <c r="O113" t="s">
        <v>170</v>
      </c>
      <c r="P113" t="s">
        <v>171</v>
      </c>
      <c r="Q113" t="s">
        <v>318</v>
      </c>
      <c r="R113" t="s">
        <v>244</v>
      </c>
      <c r="S113" s="1">
        <v>46174</v>
      </c>
      <c r="U113" t="s">
        <v>51</v>
      </c>
      <c r="X113" t="s">
        <v>52</v>
      </c>
      <c r="AF113" s="2">
        <v>14.58</v>
      </c>
      <c r="AG113" s="2">
        <v>0</v>
      </c>
      <c r="AJ113" s="2">
        <v>14.58</v>
      </c>
    </row>
    <row r="114" spans="1:36" x14ac:dyDescent="0.25">
      <c r="A114" s="1">
        <v>46204</v>
      </c>
      <c r="B114" s="1">
        <v>46204</v>
      </c>
      <c r="C114" t="s">
        <v>315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345</v>
      </c>
      <c r="J114" t="s">
        <v>173</v>
      </c>
      <c r="M114" t="s">
        <v>102</v>
      </c>
      <c r="O114" t="s">
        <v>103</v>
      </c>
      <c r="P114" t="s">
        <v>104</v>
      </c>
      <c r="Q114" t="s">
        <v>318</v>
      </c>
      <c r="R114" t="s">
        <v>244</v>
      </c>
      <c r="S114" s="1">
        <v>46174</v>
      </c>
      <c r="U114" t="s">
        <v>51</v>
      </c>
      <c r="X114" t="s">
        <v>52</v>
      </c>
      <c r="AF114" s="2">
        <v>14.58</v>
      </c>
      <c r="AG114" s="2">
        <v>0</v>
      </c>
      <c r="AJ114" s="2">
        <v>14.58</v>
      </c>
    </row>
    <row r="115" spans="1:36" x14ac:dyDescent="0.25">
      <c r="A115" s="1">
        <v>46204</v>
      </c>
      <c r="B115" s="1">
        <v>46204</v>
      </c>
      <c r="C115" t="s">
        <v>315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346</v>
      </c>
      <c r="J115" t="s">
        <v>175</v>
      </c>
      <c r="M115" t="s">
        <v>63</v>
      </c>
      <c r="O115" t="s">
        <v>176</v>
      </c>
      <c r="P115" t="s">
        <v>177</v>
      </c>
      <c r="Q115" t="s">
        <v>318</v>
      </c>
      <c r="R115" t="s">
        <v>244</v>
      </c>
      <c r="S115" s="1">
        <v>46204</v>
      </c>
      <c r="U115" t="s">
        <v>51</v>
      </c>
      <c r="X115" t="s">
        <v>52</v>
      </c>
      <c r="AF115" s="2">
        <v>12.5</v>
      </c>
      <c r="AG115" s="2">
        <v>0</v>
      </c>
      <c r="AJ115" s="2">
        <v>12.5</v>
      </c>
    </row>
    <row r="116" spans="1:36" x14ac:dyDescent="0.25">
      <c r="A116" s="1">
        <v>46204</v>
      </c>
      <c r="B116" s="1">
        <v>46204</v>
      </c>
      <c r="C116" t="s">
        <v>315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347</v>
      </c>
      <c r="J116" t="s">
        <v>179</v>
      </c>
      <c r="M116" t="s">
        <v>46</v>
      </c>
      <c r="O116" t="s">
        <v>165</v>
      </c>
      <c r="P116" t="s">
        <v>166</v>
      </c>
      <c r="Q116" t="s">
        <v>318</v>
      </c>
      <c r="R116" t="s">
        <v>244</v>
      </c>
      <c r="S116" s="1">
        <v>46174</v>
      </c>
      <c r="U116" t="s">
        <v>51</v>
      </c>
      <c r="X116" t="s">
        <v>52</v>
      </c>
      <c r="AF116" s="2">
        <v>14.58</v>
      </c>
      <c r="AG116" s="2">
        <v>0</v>
      </c>
      <c r="AJ116" s="2">
        <v>14.58</v>
      </c>
    </row>
    <row r="117" spans="1:36" x14ac:dyDescent="0.25">
      <c r="A117" s="1">
        <v>46204</v>
      </c>
      <c r="B117" s="1">
        <v>46204</v>
      </c>
      <c r="C117" t="s">
        <v>315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348</v>
      </c>
      <c r="J117" t="s">
        <v>181</v>
      </c>
      <c r="M117" t="s">
        <v>46</v>
      </c>
      <c r="O117" t="s">
        <v>165</v>
      </c>
      <c r="P117" t="s">
        <v>166</v>
      </c>
      <c r="Q117" t="s">
        <v>318</v>
      </c>
      <c r="R117" t="s">
        <v>244</v>
      </c>
      <c r="S117" s="1">
        <v>46235</v>
      </c>
      <c r="U117" t="s">
        <v>51</v>
      </c>
      <c r="X117" t="s">
        <v>52</v>
      </c>
      <c r="AF117" s="2">
        <v>10.42</v>
      </c>
      <c r="AG117" s="2">
        <v>0</v>
      </c>
      <c r="AJ117" s="2">
        <v>10.42</v>
      </c>
    </row>
    <row r="118" spans="1:36" x14ac:dyDescent="0.25">
      <c r="A118" s="1">
        <v>46204</v>
      </c>
      <c r="B118" s="1">
        <v>46204</v>
      </c>
      <c r="C118" t="s">
        <v>315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349</v>
      </c>
      <c r="J118" t="s">
        <v>183</v>
      </c>
      <c r="M118" t="s">
        <v>46</v>
      </c>
      <c r="O118" t="s">
        <v>165</v>
      </c>
      <c r="P118" t="s">
        <v>166</v>
      </c>
      <c r="Q118" t="s">
        <v>318</v>
      </c>
      <c r="R118" t="s">
        <v>244</v>
      </c>
      <c r="S118" s="1">
        <v>46174</v>
      </c>
      <c r="U118" t="s">
        <v>51</v>
      </c>
      <c r="X118" t="s">
        <v>52</v>
      </c>
      <c r="AF118" s="2">
        <v>14.58</v>
      </c>
      <c r="AG118" s="2">
        <v>0</v>
      </c>
      <c r="AJ118" s="2">
        <v>14.58</v>
      </c>
    </row>
    <row r="119" spans="1:36" x14ac:dyDescent="0.25">
      <c r="A119" s="1">
        <v>46204</v>
      </c>
      <c r="B119" s="1">
        <v>46204</v>
      </c>
      <c r="C119" t="s">
        <v>315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350</v>
      </c>
      <c r="J119" t="s">
        <v>185</v>
      </c>
      <c r="M119" t="s">
        <v>87</v>
      </c>
      <c r="O119" t="s">
        <v>110</v>
      </c>
      <c r="P119" t="s">
        <v>111</v>
      </c>
      <c r="Q119" t="s">
        <v>318</v>
      </c>
      <c r="R119" t="s">
        <v>244</v>
      </c>
      <c r="S119" s="1">
        <v>46174</v>
      </c>
      <c r="U119" t="s">
        <v>51</v>
      </c>
      <c r="X119" t="s">
        <v>52</v>
      </c>
      <c r="AF119" s="2">
        <v>14.58</v>
      </c>
      <c r="AG119" s="2">
        <v>0</v>
      </c>
      <c r="AJ119" s="2">
        <v>14.58</v>
      </c>
    </row>
    <row r="120" spans="1:36" x14ac:dyDescent="0.25">
      <c r="A120" s="1">
        <v>46204</v>
      </c>
      <c r="B120" s="1">
        <v>46204</v>
      </c>
      <c r="C120" t="s">
        <v>315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351</v>
      </c>
      <c r="J120" t="s">
        <v>187</v>
      </c>
      <c r="M120" t="s">
        <v>63</v>
      </c>
      <c r="O120" t="s">
        <v>92</v>
      </c>
      <c r="P120" t="s">
        <v>93</v>
      </c>
      <c r="Q120" t="s">
        <v>318</v>
      </c>
      <c r="R120" t="s">
        <v>244</v>
      </c>
      <c r="S120" s="1">
        <v>46174</v>
      </c>
      <c r="U120" t="s">
        <v>51</v>
      </c>
      <c r="X120" t="s">
        <v>52</v>
      </c>
      <c r="AF120" s="2">
        <v>14.58</v>
      </c>
      <c r="AG120" s="2">
        <v>0</v>
      </c>
      <c r="AJ120" s="2">
        <v>14.58</v>
      </c>
    </row>
    <row r="121" spans="1:36" x14ac:dyDescent="0.25">
      <c r="A121" s="1">
        <v>46204</v>
      </c>
      <c r="B121" s="1">
        <v>46204</v>
      </c>
      <c r="C121" t="s">
        <v>315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352</v>
      </c>
      <c r="J121" t="s">
        <v>189</v>
      </c>
      <c r="M121" t="s">
        <v>102</v>
      </c>
      <c r="O121" t="s">
        <v>135</v>
      </c>
      <c r="P121" t="s">
        <v>136</v>
      </c>
      <c r="Q121" t="s">
        <v>318</v>
      </c>
      <c r="R121" t="s">
        <v>244</v>
      </c>
      <c r="S121" s="1">
        <v>46204</v>
      </c>
      <c r="U121" t="s">
        <v>51</v>
      </c>
      <c r="X121" t="s">
        <v>52</v>
      </c>
      <c r="AF121" s="2">
        <v>12.5</v>
      </c>
      <c r="AG121" s="2">
        <v>0</v>
      </c>
      <c r="AJ121" s="2">
        <v>12.5</v>
      </c>
    </row>
    <row r="122" spans="1:36" x14ac:dyDescent="0.25">
      <c r="A122" s="1">
        <v>46204</v>
      </c>
      <c r="B122" s="1">
        <v>46204</v>
      </c>
      <c r="C122" t="s">
        <v>315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353</v>
      </c>
      <c r="J122" t="s">
        <v>191</v>
      </c>
      <c r="M122" t="s">
        <v>46</v>
      </c>
      <c r="O122" t="s">
        <v>165</v>
      </c>
      <c r="P122" t="s">
        <v>166</v>
      </c>
      <c r="Q122" t="s">
        <v>318</v>
      </c>
      <c r="R122" t="s">
        <v>244</v>
      </c>
      <c r="S122" s="1">
        <v>46174</v>
      </c>
      <c r="U122" t="s">
        <v>51</v>
      </c>
      <c r="X122" t="s">
        <v>52</v>
      </c>
      <c r="AF122" s="2">
        <v>14.58</v>
      </c>
      <c r="AG122" s="2">
        <v>0</v>
      </c>
      <c r="AJ122" s="2">
        <v>14.58</v>
      </c>
    </row>
    <row r="123" spans="1:36" x14ac:dyDescent="0.25">
      <c r="A123" s="1">
        <v>46204</v>
      </c>
      <c r="B123" s="1">
        <v>46204</v>
      </c>
      <c r="C123" t="s">
        <v>315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354</v>
      </c>
      <c r="J123" t="s">
        <v>193</v>
      </c>
      <c r="M123" t="s">
        <v>63</v>
      </c>
      <c r="O123" t="s">
        <v>92</v>
      </c>
      <c r="P123" t="s">
        <v>93</v>
      </c>
      <c r="Q123" t="s">
        <v>318</v>
      </c>
      <c r="R123" t="s">
        <v>244</v>
      </c>
      <c r="S123" s="1">
        <v>46235</v>
      </c>
      <c r="U123" t="s">
        <v>51</v>
      </c>
      <c r="X123" t="s">
        <v>52</v>
      </c>
      <c r="AF123" s="2">
        <v>10.42</v>
      </c>
      <c r="AG123" s="2">
        <v>0</v>
      </c>
      <c r="AJ123" s="2">
        <v>10.42</v>
      </c>
    </row>
    <row r="124" spans="1:36" x14ac:dyDescent="0.25">
      <c r="A124" s="1">
        <v>46204</v>
      </c>
      <c r="B124" s="1">
        <v>46204</v>
      </c>
      <c r="C124" t="s">
        <v>315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355</v>
      </c>
      <c r="J124" t="s">
        <v>195</v>
      </c>
      <c r="M124" t="s">
        <v>46</v>
      </c>
      <c r="O124" t="s">
        <v>165</v>
      </c>
      <c r="P124" t="s">
        <v>166</v>
      </c>
      <c r="Q124" t="s">
        <v>318</v>
      </c>
      <c r="R124" t="s">
        <v>244</v>
      </c>
      <c r="S124" s="1">
        <v>46204</v>
      </c>
      <c r="U124" t="s">
        <v>51</v>
      </c>
      <c r="X124" t="s">
        <v>52</v>
      </c>
      <c r="AF124" s="2">
        <v>12.5</v>
      </c>
      <c r="AG124" s="2">
        <v>0</v>
      </c>
      <c r="AJ124" s="2">
        <v>12.5</v>
      </c>
    </row>
    <row r="125" spans="1:36" x14ac:dyDescent="0.25">
      <c r="A125" s="1">
        <v>46204</v>
      </c>
      <c r="B125" s="1">
        <v>46204</v>
      </c>
      <c r="C125" t="s">
        <v>315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356</v>
      </c>
      <c r="J125" t="s">
        <v>197</v>
      </c>
      <c r="M125" t="s">
        <v>56</v>
      </c>
      <c r="O125" t="s">
        <v>145</v>
      </c>
      <c r="P125" t="s">
        <v>146</v>
      </c>
      <c r="Q125" t="s">
        <v>318</v>
      </c>
      <c r="R125" t="s">
        <v>244</v>
      </c>
      <c r="S125" s="1">
        <v>46204</v>
      </c>
      <c r="U125" t="s">
        <v>51</v>
      </c>
      <c r="X125" t="s">
        <v>52</v>
      </c>
      <c r="AF125" s="2">
        <v>12.5</v>
      </c>
      <c r="AG125" s="2">
        <v>0</v>
      </c>
      <c r="AJ125" s="2">
        <v>12.5</v>
      </c>
    </row>
    <row r="126" spans="1:36" x14ac:dyDescent="0.25">
      <c r="A126" s="1">
        <v>46204</v>
      </c>
      <c r="B126" s="1">
        <v>46204</v>
      </c>
      <c r="C126" t="s">
        <v>315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357</v>
      </c>
      <c r="J126" t="s">
        <v>199</v>
      </c>
      <c r="M126" t="s">
        <v>46</v>
      </c>
      <c r="O126" t="s">
        <v>131</v>
      </c>
      <c r="P126" t="s">
        <v>132</v>
      </c>
      <c r="Q126" t="s">
        <v>318</v>
      </c>
      <c r="R126" t="s">
        <v>244</v>
      </c>
      <c r="S126" s="1">
        <v>46174</v>
      </c>
      <c r="U126" t="s">
        <v>51</v>
      </c>
      <c r="X126" t="s">
        <v>52</v>
      </c>
      <c r="AF126" s="2">
        <v>14.58</v>
      </c>
      <c r="AG126" s="2">
        <v>0</v>
      </c>
      <c r="AJ126" s="2">
        <v>14.58</v>
      </c>
    </row>
    <row r="127" spans="1:36" x14ac:dyDescent="0.25">
      <c r="A127" s="1">
        <v>46204</v>
      </c>
      <c r="B127" s="1">
        <v>46204</v>
      </c>
      <c r="C127" t="s">
        <v>315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358</v>
      </c>
      <c r="J127" t="s">
        <v>201</v>
      </c>
      <c r="M127" t="s">
        <v>46</v>
      </c>
      <c r="O127" t="s">
        <v>165</v>
      </c>
      <c r="P127" t="s">
        <v>166</v>
      </c>
      <c r="Q127" t="s">
        <v>318</v>
      </c>
      <c r="R127" t="s">
        <v>244</v>
      </c>
      <c r="S127" s="1">
        <v>46235</v>
      </c>
      <c r="U127" t="s">
        <v>51</v>
      </c>
      <c r="X127" t="s">
        <v>52</v>
      </c>
      <c r="AF127" s="2">
        <v>10.42</v>
      </c>
      <c r="AG127" s="2">
        <v>0</v>
      </c>
      <c r="AJ127" s="2">
        <v>10.42</v>
      </c>
    </row>
    <row r="128" spans="1:36" x14ac:dyDescent="0.25">
      <c r="A128" s="1">
        <v>46204</v>
      </c>
      <c r="B128" s="1">
        <v>46204</v>
      </c>
      <c r="C128" t="s">
        <v>315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359</v>
      </c>
      <c r="J128" t="s">
        <v>203</v>
      </c>
      <c r="M128" t="s">
        <v>63</v>
      </c>
      <c r="O128" t="s">
        <v>114</v>
      </c>
      <c r="P128" t="s">
        <v>115</v>
      </c>
      <c r="Q128" t="s">
        <v>318</v>
      </c>
      <c r="R128" t="s">
        <v>244</v>
      </c>
      <c r="S128" s="1">
        <v>46174</v>
      </c>
      <c r="U128" t="s">
        <v>51</v>
      </c>
      <c r="X128" t="s">
        <v>52</v>
      </c>
      <c r="AF128" s="2">
        <v>14.58</v>
      </c>
      <c r="AG128" s="2">
        <v>0</v>
      </c>
      <c r="AJ128" s="2">
        <v>14.58</v>
      </c>
    </row>
    <row r="129" spans="1:36" x14ac:dyDescent="0.25">
      <c r="A129" s="1">
        <v>46204</v>
      </c>
      <c r="B129" s="1">
        <v>46204</v>
      </c>
      <c r="C129" t="s">
        <v>315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360</v>
      </c>
      <c r="J129" t="s">
        <v>205</v>
      </c>
      <c r="M129" t="s">
        <v>102</v>
      </c>
      <c r="O129" t="s">
        <v>126</v>
      </c>
      <c r="P129" t="s">
        <v>127</v>
      </c>
      <c r="Q129" t="s">
        <v>318</v>
      </c>
      <c r="R129" t="s">
        <v>244</v>
      </c>
      <c r="S129" s="1">
        <v>46174</v>
      </c>
      <c r="U129" t="s">
        <v>51</v>
      </c>
      <c r="X129" t="s">
        <v>52</v>
      </c>
      <c r="AF129" s="2">
        <v>14.58</v>
      </c>
      <c r="AG129" s="2">
        <v>0</v>
      </c>
      <c r="AJ129" s="2">
        <v>14.58</v>
      </c>
    </row>
    <row r="130" spans="1:36" x14ac:dyDescent="0.25">
      <c r="A130" s="1">
        <v>46204</v>
      </c>
      <c r="B130" s="1">
        <v>46204</v>
      </c>
      <c r="C130" t="s">
        <v>315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361</v>
      </c>
      <c r="J130" t="s">
        <v>207</v>
      </c>
      <c r="M130" t="s">
        <v>102</v>
      </c>
      <c r="O130" t="s">
        <v>135</v>
      </c>
      <c r="P130" t="s">
        <v>136</v>
      </c>
      <c r="Q130" t="s">
        <v>318</v>
      </c>
      <c r="R130" t="s">
        <v>244</v>
      </c>
      <c r="S130" s="1">
        <v>46174</v>
      </c>
      <c r="U130" t="s">
        <v>51</v>
      </c>
      <c r="X130" t="s">
        <v>52</v>
      </c>
      <c r="AF130" s="2">
        <v>14.58</v>
      </c>
      <c r="AG130" s="2">
        <v>0</v>
      </c>
      <c r="AJ130" s="2">
        <v>14.58</v>
      </c>
    </row>
    <row r="131" spans="1:36" x14ac:dyDescent="0.25">
      <c r="A131" s="1">
        <v>46204</v>
      </c>
      <c r="B131" s="1">
        <v>46204</v>
      </c>
      <c r="C131" t="s">
        <v>315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362</v>
      </c>
      <c r="J131" t="s">
        <v>209</v>
      </c>
      <c r="M131" t="s">
        <v>63</v>
      </c>
      <c r="O131" t="s">
        <v>210</v>
      </c>
      <c r="P131" t="s">
        <v>211</v>
      </c>
      <c r="Q131" t="s">
        <v>318</v>
      </c>
      <c r="R131" t="s">
        <v>244</v>
      </c>
      <c r="S131" s="1">
        <v>46204</v>
      </c>
      <c r="U131" t="s">
        <v>51</v>
      </c>
      <c r="X131" t="s">
        <v>52</v>
      </c>
      <c r="AF131" s="2">
        <v>12.5</v>
      </c>
      <c r="AG131" s="2">
        <v>0</v>
      </c>
      <c r="AJ131" s="2">
        <v>12.5</v>
      </c>
    </row>
    <row r="132" spans="1:36" x14ac:dyDescent="0.25">
      <c r="A132" s="1">
        <v>46204</v>
      </c>
      <c r="B132" s="1">
        <v>46204</v>
      </c>
      <c r="C132" t="s">
        <v>315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363</v>
      </c>
      <c r="J132" t="s">
        <v>213</v>
      </c>
      <c r="M132" t="s">
        <v>63</v>
      </c>
      <c r="O132" t="s">
        <v>214</v>
      </c>
      <c r="P132" t="s">
        <v>215</v>
      </c>
      <c r="Q132" t="s">
        <v>318</v>
      </c>
      <c r="R132" t="s">
        <v>244</v>
      </c>
      <c r="S132" s="1">
        <v>46204</v>
      </c>
      <c r="U132" t="s">
        <v>51</v>
      </c>
      <c r="X132" t="s">
        <v>52</v>
      </c>
      <c r="AF132" s="2">
        <v>12.5</v>
      </c>
      <c r="AG132" s="2">
        <v>0</v>
      </c>
      <c r="AJ132" s="2">
        <v>12.5</v>
      </c>
    </row>
    <row r="133" spans="1:36" x14ac:dyDescent="0.25">
      <c r="A133" s="1">
        <v>46204</v>
      </c>
      <c r="B133" s="1">
        <v>46204</v>
      </c>
      <c r="C133" t="s">
        <v>315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364</v>
      </c>
      <c r="J133" t="s">
        <v>217</v>
      </c>
      <c r="M133" t="s">
        <v>63</v>
      </c>
      <c r="O133" t="s">
        <v>218</v>
      </c>
      <c r="P133" t="s">
        <v>219</v>
      </c>
      <c r="Q133" t="s">
        <v>318</v>
      </c>
      <c r="R133" t="s">
        <v>244</v>
      </c>
      <c r="S133" s="1">
        <v>46174</v>
      </c>
      <c r="U133" t="s">
        <v>51</v>
      </c>
      <c r="X133" t="s">
        <v>52</v>
      </c>
      <c r="AF133" s="2">
        <v>14.58</v>
      </c>
      <c r="AG133" s="2">
        <v>0</v>
      </c>
      <c r="AJ133" s="2">
        <v>14.58</v>
      </c>
    </row>
    <row r="134" spans="1:36" x14ac:dyDescent="0.25">
      <c r="A134" s="1">
        <v>46204</v>
      </c>
      <c r="B134" s="1">
        <v>46204</v>
      </c>
      <c r="C134" t="s">
        <v>315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365</v>
      </c>
      <c r="J134" t="s">
        <v>221</v>
      </c>
      <c r="M134" t="s">
        <v>63</v>
      </c>
      <c r="O134" t="s">
        <v>114</v>
      </c>
      <c r="P134" t="s">
        <v>115</v>
      </c>
      <c r="Q134" t="s">
        <v>318</v>
      </c>
      <c r="R134" t="s">
        <v>244</v>
      </c>
      <c r="S134" s="1">
        <v>46235</v>
      </c>
      <c r="U134" t="s">
        <v>51</v>
      </c>
      <c r="X134" t="s">
        <v>52</v>
      </c>
      <c r="AF134" s="2">
        <v>10.42</v>
      </c>
      <c r="AG134" s="2">
        <v>0</v>
      </c>
      <c r="AJ134" s="2">
        <v>10.42</v>
      </c>
    </row>
    <row r="135" spans="1:36" x14ac:dyDescent="0.25">
      <c r="A135" s="1">
        <v>46204</v>
      </c>
      <c r="B135" s="1">
        <v>46204</v>
      </c>
      <c r="C135" t="s">
        <v>315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366</v>
      </c>
      <c r="J135" t="s">
        <v>223</v>
      </c>
      <c r="M135" t="s">
        <v>63</v>
      </c>
      <c r="O135" t="s">
        <v>83</v>
      </c>
      <c r="P135" t="s">
        <v>84</v>
      </c>
      <c r="Q135" t="s">
        <v>318</v>
      </c>
      <c r="R135" t="s">
        <v>244</v>
      </c>
      <c r="S135" s="1">
        <v>46174</v>
      </c>
      <c r="U135" t="s">
        <v>51</v>
      </c>
      <c r="X135" t="s">
        <v>52</v>
      </c>
      <c r="AF135" s="2">
        <v>14.58</v>
      </c>
      <c r="AG135" s="2">
        <v>0</v>
      </c>
      <c r="AJ135" s="2">
        <v>14.58</v>
      </c>
    </row>
    <row r="136" spans="1:36" x14ac:dyDescent="0.25">
      <c r="A136" s="1">
        <v>46204</v>
      </c>
      <c r="B136" s="1">
        <v>46204</v>
      </c>
      <c r="C136" t="s">
        <v>315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367</v>
      </c>
      <c r="J136" t="s">
        <v>225</v>
      </c>
      <c r="M136" t="s">
        <v>46</v>
      </c>
      <c r="O136" t="s">
        <v>165</v>
      </c>
      <c r="P136" t="s">
        <v>166</v>
      </c>
      <c r="Q136" t="s">
        <v>318</v>
      </c>
      <c r="R136" t="s">
        <v>244</v>
      </c>
      <c r="S136" s="1">
        <v>46204</v>
      </c>
      <c r="U136" t="s">
        <v>51</v>
      </c>
      <c r="X136" t="s">
        <v>52</v>
      </c>
      <c r="AF136" s="2">
        <v>12.5</v>
      </c>
      <c r="AG136" s="2">
        <v>0</v>
      </c>
      <c r="AJ136" s="2">
        <v>12.5</v>
      </c>
    </row>
    <row r="137" spans="1:36" x14ac:dyDescent="0.25">
      <c r="A137" s="1">
        <v>46204</v>
      </c>
      <c r="B137" s="1">
        <v>46204</v>
      </c>
      <c r="C137" t="s">
        <v>315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368</v>
      </c>
      <c r="J137" t="s">
        <v>227</v>
      </c>
      <c r="M137" t="s">
        <v>46</v>
      </c>
      <c r="O137" t="s">
        <v>165</v>
      </c>
      <c r="P137" t="s">
        <v>166</v>
      </c>
      <c r="Q137" t="s">
        <v>318</v>
      </c>
      <c r="R137" t="s">
        <v>244</v>
      </c>
      <c r="S137" s="1">
        <v>46204</v>
      </c>
      <c r="U137" t="s">
        <v>51</v>
      </c>
      <c r="X137" t="s">
        <v>52</v>
      </c>
      <c r="AF137" s="2">
        <v>12.5</v>
      </c>
      <c r="AG137" s="2">
        <v>0</v>
      </c>
      <c r="AJ137" s="2">
        <v>12.5</v>
      </c>
    </row>
    <row r="138" spans="1:36" x14ac:dyDescent="0.25">
      <c r="A138" s="1">
        <v>46204</v>
      </c>
      <c r="B138" s="1">
        <v>46204</v>
      </c>
      <c r="C138" t="s">
        <v>315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369</v>
      </c>
      <c r="J138" t="s">
        <v>229</v>
      </c>
      <c r="M138" t="s">
        <v>46</v>
      </c>
      <c r="O138" t="s">
        <v>165</v>
      </c>
      <c r="P138" t="s">
        <v>166</v>
      </c>
      <c r="Q138" t="s">
        <v>318</v>
      </c>
      <c r="R138" t="s">
        <v>244</v>
      </c>
      <c r="S138" s="1">
        <v>46204</v>
      </c>
      <c r="U138" t="s">
        <v>51</v>
      </c>
      <c r="X138" t="s">
        <v>52</v>
      </c>
      <c r="AF138" s="2">
        <v>12.5</v>
      </c>
      <c r="AG138" s="2">
        <v>0</v>
      </c>
      <c r="AJ138" s="2">
        <v>12.5</v>
      </c>
    </row>
    <row r="139" spans="1:36" x14ac:dyDescent="0.25">
      <c r="A139" s="1">
        <v>46204</v>
      </c>
      <c r="B139" s="1">
        <v>46204</v>
      </c>
      <c r="C139" t="s">
        <v>315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370</v>
      </c>
      <c r="J139" t="s">
        <v>231</v>
      </c>
      <c r="M139" t="s">
        <v>130</v>
      </c>
      <c r="O139" t="s">
        <v>232</v>
      </c>
      <c r="P139" t="s">
        <v>233</v>
      </c>
      <c r="Q139" t="s">
        <v>318</v>
      </c>
      <c r="R139" t="s">
        <v>244</v>
      </c>
      <c r="S139" s="1">
        <v>46174</v>
      </c>
      <c r="U139" t="s">
        <v>51</v>
      </c>
      <c r="X139" t="s">
        <v>52</v>
      </c>
      <c r="AF139" s="2">
        <v>14.58</v>
      </c>
      <c r="AG139" s="2">
        <v>0</v>
      </c>
      <c r="AJ139" s="2">
        <v>14.58</v>
      </c>
    </row>
    <row r="140" spans="1:36" x14ac:dyDescent="0.25">
      <c r="A140" s="1">
        <v>46204</v>
      </c>
      <c r="B140" s="1">
        <v>46204</v>
      </c>
      <c r="C140" t="s">
        <v>315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371</v>
      </c>
      <c r="J140" t="s">
        <v>235</v>
      </c>
      <c r="M140" t="s">
        <v>63</v>
      </c>
      <c r="O140" t="s">
        <v>114</v>
      </c>
      <c r="P140" t="s">
        <v>115</v>
      </c>
      <c r="Q140" t="s">
        <v>318</v>
      </c>
      <c r="R140" t="s">
        <v>244</v>
      </c>
      <c r="S140" s="1">
        <v>46204</v>
      </c>
      <c r="U140" t="s">
        <v>51</v>
      </c>
      <c r="X140" t="s">
        <v>52</v>
      </c>
      <c r="AF140" s="2">
        <v>12.5</v>
      </c>
      <c r="AG140" s="2">
        <v>0</v>
      </c>
      <c r="AJ140" s="2">
        <v>12.5</v>
      </c>
    </row>
    <row r="141" spans="1:36" x14ac:dyDescent="0.25">
      <c r="A141" s="1">
        <v>46204</v>
      </c>
      <c r="B141" s="1">
        <v>46204</v>
      </c>
      <c r="C141" t="s">
        <v>315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372</v>
      </c>
      <c r="J141" t="s">
        <v>237</v>
      </c>
      <c r="M141" t="s">
        <v>169</v>
      </c>
      <c r="O141" t="s">
        <v>238</v>
      </c>
      <c r="P141" t="s">
        <v>239</v>
      </c>
      <c r="Q141" t="s">
        <v>318</v>
      </c>
      <c r="R141" t="s">
        <v>244</v>
      </c>
      <c r="S141" s="1">
        <v>46174</v>
      </c>
      <c r="U141" t="s">
        <v>51</v>
      </c>
      <c r="X141" t="s">
        <v>52</v>
      </c>
      <c r="AF141" s="2">
        <v>14.58</v>
      </c>
      <c r="AG141" s="2">
        <v>0</v>
      </c>
      <c r="AJ141" s="2">
        <v>14.58</v>
      </c>
    </row>
    <row r="142" spans="1:36" x14ac:dyDescent="0.25">
      <c r="A142" s="1">
        <v>46204</v>
      </c>
      <c r="B142" s="1">
        <v>46204</v>
      </c>
      <c r="C142" t="s">
        <v>315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373</v>
      </c>
      <c r="J142" t="s">
        <v>241</v>
      </c>
      <c r="M142" t="s">
        <v>169</v>
      </c>
      <c r="O142" t="s">
        <v>145</v>
      </c>
      <c r="P142" t="s">
        <v>146</v>
      </c>
      <c r="Q142" t="s">
        <v>318</v>
      </c>
      <c r="R142" t="s">
        <v>244</v>
      </c>
      <c r="S142" s="1">
        <v>46235</v>
      </c>
      <c r="U142" t="s">
        <v>51</v>
      </c>
      <c r="X142" t="s">
        <v>52</v>
      </c>
      <c r="AF142" s="2">
        <v>10.42</v>
      </c>
      <c r="AG142" s="2">
        <v>0</v>
      </c>
      <c r="AJ142" s="2">
        <v>10.42</v>
      </c>
    </row>
    <row r="143" spans="1:36" x14ac:dyDescent="0.25">
      <c r="A143" s="1">
        <v>46204</v>
      </c>
      <c r="B143" s="1">
        <v>46204</v>
      </c>
      <c r="C143" t="s">
        <v>315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374</v>
      </c>
      <c r="J143" t="s">
        <v>375</v>
      </c>
      <c r="M143" t="s">
        <v>376</v>
      </c>
      <c r="O143" t="s">
        <v>377</v>
      </c>
      <c r="P143" t="s">
        <v>378</v>
      </c>
      <c r="Q143" t="s">
        <v>318</v>
      </c>
      <c r="R143" t="s">
        <v>292</v>
      </c>
      <c r="S143" s="1">
        <v>46023</v>
      </c>
      <c r="U143" t="s">
        <v>51</v>
      </c>
      <c r="X143" t="s">
        <v>52</v>
      </c>
      <c r="AF143" s="2">
        <v>175</v>
      </c>
      <c r="AG143" s="2">
        <v>0</v>
      </c>
      <c r="AJ143" s="2">
        <v>87.5</v>
      </c>
    </row>
    <row r="144" spans="1:36" x14ac:dyDescent="0.25">
      <c r="A144" s="1">
        <v>46204</v>
      </c>
      <c r="B144" s="1">
        <v>46204</v>
      </c>
      <c r="C144" t="s">
        <v>315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379</v>
      </c>
      <c r="J144" t="s">
        <v>375</v>
      </c>
      <c r="M144" t="s">
        <v>376</v>
      </c>
      <c r="O144" t="s">
        <v>377</v>
      </c>
      <c r="P144" t="s">
        <v>378</v>
      </c>
      <c r="Q144" t="s">
        <v>318</v>
      </c>
      <c r="R144" t="s">
        <v>380</v>
      </c>
      <c r="S144" s="1">
        <v>46023</v>
      </c>
      <c r="U144" t="s">
        <v>51</v>
      </c>
      <c r="X144" t="s">
        <v>52</v>
      </c>
      <c r="AF144" s="2">
        <v>694</v>
      </c>
      <c r="AG144" s="2">
        <v>0</v>
      </c>
      <c r="AJ144" s="2">
        <v>347</v>
      </c>
    </row>
    <row r="145" spans="1:36" x14ac:dyDescent="0.25">
      <c r="A145" s="1">
        <v>46204</v>
      </c>
      <c r="B145" s="1">
        <v>46204</v>
      </c>
      <c r="C145" t="s">
        <v>315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381</v>
      </c>
      <c r="J145" t="s">
        <v>307</v>
      </c>
      <c r="M145" t="s">
        <v>56</v>
      </c>
      <c r="O145" t="s">
        <v>308</v>
      </c>
      <c r="P145" t="s">
        <v>309</v>
      </c>
      <c r="Q145" t="s">
        <v>318</v>
      </c>
      <c r="R145" t="s">
        <v>311</v>
      </c>
      <c r="S145" s="1">
        <v>46023</v>
      </c>
      <c r="U145" t="s">
        <v>51</v>
      </c>
      <c r="X145" t="s">
        <v>52</v>
      </c>
      <c r="AF145" s="2">
        <v>72</v>
      </c>
      <c r="AG145" s="2">
        <v>0</v>
      </c>
      <c r="AJ145" s="2">
        <v>36</v>
      </c>
    </row>
    <row r="146" spans="1:36" x14ac:dyDescent="0.25">
      <c r="A146" s="1">
        <v>46204</v>
      </c>
      <c r="B146" s="1">
        <v>46204</v>
      </c>
      <c r="C146" t="s">
        <v>315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382</v>
      </c>
      <c r="J146" t="s">
        <v>307</v>
      </c>
      <c r="M146" t="s">
        <v>56</v>
      </c>
      <c r="O146" t="s">
        <v>308</v>
      </c>
      <c r="P146" t="s">
        <v>309</v>
      </c>
      <c r="Q146" t="s">
        <v>318</v>
      </c>
      <c r="R146" t="s">
        <v>290</v>
      </c>
      <c r="S146" s="1">
        <v>46023</v>
      </c>
      <c r="U146" t="s">
        <v>51</v>
      </c>
      <c r="X146" t="s">
        <v>52</v>
      </c>
      <c r="AF146" s="2">
        <v>347</v>
      </c>
      <c r="AG146" s="2">
        <v>0</v>
      </c>
      <c r="AJ146" s="2">
        <v>173.5</v>
      </c>
    </row>
    <row r="147" spans="1:36" x14ac:dyDescent="0.25">
      <c r="A147" s="1">
        <v>46204</v>
      </c>
      <c r="B147" s="1">
        <v>46204</v>
      </c>
      <c r="C147" t="s">
        <v>315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383</v>
      </c>
      <c r="J147" t="s">
        <v>384</v>
      </c>
      <c r="M147" t="s">
        <v>169</v>
      </c>
      <c r="O147" t="s">
        <v>110</v>
      </c>
      <c r="P147" t="s">
        <v>111</v>
      </c>
      <c r="Q147" t="s">
        <v>318</v>
      </c>
      <c r="R147" t="s">
        <v>292</v>
      </c>
      <c r="S147" s="1">
        <v>46054</v>
      </c>
      <c r="U147" t="s">
        <v>51</v>
      </c>
      <c r="X147" t="s">
        <v>52</v>
      </c>
      <c r="AF147" s="2">
        <v>175</v>
      </c>
      <c r="AG147" s="2">
        <v>0</v>
      </c>
      <c r="AJ147" s="2">
        <v>102.08</v>
      </c>
    </row>
    <row r="148" spans="1:36" x14ac:dyDescent="0.25">
      <c r="A148" s="1">
        <v>46204</v>
      </c>
      <c r="B148" s="1">
        <v>46204</v>
      </c>
      <c r="C148" t="s">
        <v>315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385</v>
      </c>
      <c r="J148" t="s">
        <v>384</v>
      </c>
      <c r="M148" t="s">
        <v>169</v>
      </c>
      <c r="O148" t="s">
        <v>110</v>
      </c>
      <c r="P148" t="s">
        <v>111</v>
      </c>
      <c r="Q148" t="s">
        <v>318</v>
      </c>
      <c r="R148" t="s">
        <v>380</v>
      </c>
      <c r="S148" s="1">
        <v>46054</v>
      </c>
      <c r="U148" t="s">
        <v>51</v>
      </c>
      <c r="X148" t="s">
        <v>52</v>
      </c>
      <c r="AF148" s="2">
        <v>694</v>
      </c>
      <c r="AG148" s="2">
        <v>0</v>
      </c>
      <c r="AJ148" s="2">
        <v>404.83</v>
      </c>
    </row>
    <row r="149" spans="1:36" x14ac:dyDescent="0.25">
      <c r="A149" s="1">
        <v>46204</v>
      </c>
      <c r="B149" s="1">
        <v>46204</v>
      </c>
      <c r="C149" t="s">
        <v>315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386</v>
      </c>
      <c r="J149" t="s">
        <v>387</v>
      </c>
      <c r="M149" t="s">
        <v>63</v>
      </c>
      <c r="O149" t="s">
        <v>110</v>
      </c>
      <c r="P149" t="s">
        <v>111</v>
      </c>
      <c r="Q149" t="s">
        <v>318</v>
      </c>
      <c r="R149" t="s">
        <v>311</v>
      </c>
      <c r="S149" s="1">
        <v>46023</v>
      </c>
      <c r="U149" t="s">
        <v>51</v>
      </c>
      <c r="X149" t="s">
        <v>52</v>
      </c>
      <c r="AF149" s="2">
        <v>72</v>
      </c>
      <c r="AG149" s="2">
        <v>0</v>
      </c>
      <c r="AJ149" s="2">
        <v>36</v>
      </c>
    </row>
    <row r="150" spans="1:36" x14ac:dyDescent="0.25">
      <c r="A150" s="1">
        <v>46204</v>
      </c>
      <c r="B150" s="1">
        <v>46204</v>
      </c>
      <c r="C150" t="s">
        <v>315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388</v>
      </c>
      <c r="J150" t="s">
        <v>387</v>
      </c>
      <c r="M150" t="s">
        <v>63</v>
      </c>
      <c r="O150" t="s">
        <v>110</v>
      </c>
      <c r="P150" t="s">
        <v>111</v>
      </c>
      <c r="Q150" t="s">
        <v>318</v>
      </c>
      <c r="R150" t="s">
        <v>290</v>
      </c>
      <c r="S150" s="1">
        <v>46023</v>
      </c>
      <c r="U150" t="s">
        <v>51</v>
      </c>
      <c r="X150" t="s">
        <v>52</v>
      </c>
      <c r="AF150" s="2">
        <v>347</v>
      </c>
      <c r="AG150" s="2">
        <v>0</v>
      </c>
      <c r="AJ150" s="2">
        <v>173.5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8FF6-09AE-4ED1-863A-3D9EC750B946}">
  <dimension ref="A1:AN150"/>
  <sheetViews>
    <sheetView tabSelected="1" topLeftCell="C114" workbookViewId="0">
      <selection activeCell="T132" sqref="T132:T139"/>
    </sheetView>
  </sheetViews>
  <sheetFormatPr defaultRowHeight="15" x14ac:dyDescent="0.25"/>
  <cols>
    <col min="1" max="1" width="16" bestFit="1" customWidth="1"/>
    <col min="2" max="2" width="17" bestFit="1" customWidth="1"/>
    <col min="3" max="3" width="17.7109375" customWidth="1"/>
    <col min="4" max="4" width="5.5703125" bestFit="1" customWidth="1"/>
    <col min="5" max="6" width="14.5703125" customWidth="1"/>
    <col min="7" max="7" width="16.5703125" customWidth="1"/>
    <col min="8" max="8" width="12.85546875" bestFit="1" customWidth="1"/>
    <col min="9" max="9" width="19.42578125" customWidth="1"/>
    <col min="10" max="10" width="10.140625" bestFit="1" customWidth="1"/>
    <col min="11" max="11" width="12.28515625" bestFit="1" customWidth="1"/>
    <col min="12" max="12" width="14.5703125" bestFit="1" customWidth="1"/>
    <col min="14" max="14" width="9" customWidth="1"/>
    <col min="15" max="15" width="10.140625" customWidth="1"/>
    <col min="16" max="16" width="8.140625" customWidth="1"/>
    <col min="17" max="17" width="8.5703125" customWidth="1"/>
    <col min="18" max="18" width="10.7109375" customWidth="1"/>
    <col min="19" max="19" width="26.7109375" customWidth="1"/>
    <col min="20" max="20" width="24.140625" bestFit="1" customWidth="1"/>
  </cols>
  <sheetData>
    <row r="1" spans="1:40" x14ac:dyDescent="0.25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23</v>
      </c>
      <c r="N1" t="s">
        <v>24</v>
      </c>
      <c r="O1" t="s">
        <v>25</v>
      </c>
      <c r="P1" t="s">
        <v>26</v>
      </c>
      <c r="Q1" t="s">
        <v>28</v>
      </c>
      <c r="R1" t="s">
        <v>37</v>
      </c>
    </row>
    <row r="2" spans="1:40" x14ac:dyDescent="0.25">
      <c r="A2" s="7">
        <v>962498134</v>
      </c>
      <c r="B2" s="7" t="str">
        <f>CONCATENATE(A2,14)</f>
        <v>96249813414</v>
      </c>
      <c r="C2" s="8" t="s">
        <v>297</v>
      </c>
      <c r="D2" s="8" t="s">
        <v>56</v>
      </c>
      <c r="E2" s="13">
        <v>19645587</v>
      </c>
      <c r="F2" s="13">
        <v>19645587</v>
      </c>
      <c r="G2" s="8" t="s">
        <v>111</v>
      </c>
      <c r="H2" s="8" t="s">
        <v>59</v>
      </c>
      <c r="I2" s="8" t="s">
        <v>298</v>
      </c>
      <c r="J2" s="9">
        <v>46235</v>
      </c>
      <c r="K2" s="9">
        <v>46387</v>
      </c>
      <c r="L2" s="8" t="s">
        <v>51</v>
      </c>
      <c r="M2" s="8" t="s">
        <v>52</v>
      </c>
      <c r="N2" s="10">
        <v>0</v>
      </c>
      <c r="O2" s="10">
        <v>169.17</v>
      </c>
      <c r="P2" s="8">
        <v>1</v>
      </c>
      <c r="Q2" s="10">
        <v>169.17</v>
      </c>
      <c r="R2" s="8" t="s">
        <v>248</v>
      </c>
      <c r="S2" s="8" t="s">
        <v>406</v>
      </c>
      <c r="T2" s="8"/>
      <c r="U2" s="8">
        <f>406/12*5</f>
        <v>169.16666666666669</v>
      </c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 spans="1:40" x14ac:dyDescent="0.25">
      <c r="A3" s="7">
        <v>903987832</v>
      </c>
      <c r="B3" s="7" t="str">
        <f>CONCATENATE(A3,13)</f>
        <v>90398783213</v>
      </c>
      <c r="C3" s="8" t="s">
        <v>281</v>
      </c>
      <c r="D3" s="8" t="s">
        <v>282</v>
      </c>
      <c r="E3" s="13">
        <v>16228684</v>
      </c>
      <c r="F3" s="13">
        <v>16228684</v>
      </c>
      <c r="G3" s="8" t="s">
        <v>284</v>
      </c>
      <c r="H3" s="8" t="s">
        <v>59</v>
      </c>
      <c r="I3" s="8" t="s">
        <v>285</v>
      </c>
      <c r="J3" s="9">
        <v>46204</v>
      </c>
      <c r="K3" s="9">
        <v>46387</v>
      </c>
      <c r="L3" s="8" t="s">
        <v>51</v>
      </c>
      <c r="M3" s="8" t="s">
        <v>52</v>
      </c>
      <c r="N3" s="10">
        <v>0</v>
      </c>
      <c r="O3" s="10">
        <v>101.5</v>
      </c>
      <c r="P3" s="8">
        <v>1</v>
      </c>
      <c r="Q3" s="10">
        <v>101.5</v>
      </c>
      <c r="R3" s="8" t="s">
        <v>245</v>
      </c>
      <c r="S3" s="8" t="s">
        <v>407</v>
      </c>
      <c r="T3" s="8"/>
      <c r="U3" s="8">
        <f>203/12*6</f>
        <v>101.5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 spans="1:40" x14ac:dyDescent="0.25">
      <c r="A4" s="7">
        <v>967097207</v>
      </c>
      <c r="B4" s="7" t="str">
        <f>CONCATENATE(A4,13)</f>
        <v>96709720713</v>
      </c>
      <c r="C4" s="8" t="s">
        <v>313</v>
      </c>
      <c r="D4" s="8" t="s">
        <v>282</v>
      </c>
      <c r="E4" s="13">
        <v>16228684</v>
      </c>
      <c r="F4" s="13">
        <v>16228684</v>
      </c>
      <c r="G4" s="8" t="s">
        <v>284</v>
      </c>
      <c r="H4" s="8" t="s">
        <v>59</v>
      </c>
      <c r="I4" s="8" t="s">
        <v>285</v>
      </c>
      <c r="J4" s="9">
        <v>46204</v>
      </c>
      <c r="K4" s="9">
        <v>46387</v>
      </c>
      <c r="L4" s="8" t="s">
        <v>51</v>
      </c>
      <c r="M4" s="8" t="s">
        <v>52</v>
      </c>
      <c r="N4" s="10">
        <v>0</v>
      </c>
      <c r="O4" s="10">
        <v>101.5</v>
      </c>
      <c r="P4" s="8">
        <v>1</v>
      </c>
      <c r="Q4" s="10">
        <v>101.5</v>
      </c>
      <c r="R4" s="8" t="s">
        <v>245</v>
      </c>
      <c r="S4" s="8" t="s">
        <v>407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x14ac:dyDescent="0.25">
      <c r="A5" s="6">
        <v>102279156000</v>
      </c>
      <c r="B5" s="6" t="str">
        <f>CONCATENATE(A5,"OVR")</f>
        <v>102279156000OVR</v>
      </c>
      <c r="C5" t="s">
        <v>134</v>
      </c>
      <c r="D5" t="s">
        <v>102</v>
      </c>
      <c r="E5" s="12">
        <v>17886092</v>
      </c>
      <c r="F5" s="12" t="str">
        <f>CONCATENATE(E5,"OVR")</f>
        <v>17886092OVR</v>
      </c>
      <c r="G5" t="s">
        <v>136</v>
      </c>
      <c r="H5" t="s">
        <v>59</v>
      </c>
      <c r="I5" t="s">
        <v>94</v>
      </c>
      <c r="J5" s="1">
        <v>46235</v>
      </c>
      <c r="K5" s="1">
        <v>46387</v>
      </c>
      <c r="L5" t="s">
        <v>51</v>
      </c>
      <c r="M5" t="s">
        <v>52</v>
      </c>
      <c r="N5" s="2">
        <v>0</v>
      </c>
      <c r="O5" s="2">
        <v>25</v>
      </c>
      <c r="P5">
        <v>1</v>
      </c>
      <c r="Q5" s="2">
        <v>25</v>
      </c>
      <c r="S5" t="s">
        <v>401</v>
      </c>
    </row>
    <row r="6" spans="1:40" x14ac:dyDescent="0.25">
      <c r="A6" s="6">
        <v>102279171500</v>
      </c>
      <c r="B6" s="6" t="str">
        <f t="shared" ref="B6:B69" si="0">CONCATENATE(A6,"OVR")</f>
        <v>102279171500OVR</v>
      </c>
      <c r="C6" t="s">
        <v>138</v>
      </c>
      <c r="D6" t="s">
        <v>102</v>
      </c>
      <c r="E6" s="12">
        <v>20253958</v>
      </c>
      <c r="F6" s="12" t="str">
        <f t="shared" ref="F6:F69" si="1">CONCATENATE(E6,"OVR")</f>
        <v>20253958OVR</v>
      </c>
      <c r="G6" t="s">
        <v>127</v>
      </c>
      <c r="H6" t="s">
        <v>59</v>
      </c>
      <c r="I6" t="s">
        <v>94</v>
      </c>
      <c r="J6" s="1">
        <v>46235</v>
      </c>
      <c r="K6" s="1">
        <v>46387</v>
      </c>
      <c r="L6" t="s">
        <v>51</v>
      </c>
      <c r="M6" t="s">
        <v>52</v>
      </c>
      <c r="N6" s="2">
        <v>0</v>
      </c>
      <c r="O6" s="2">
        <v>25</v>
      </c>
      <c r="P6">
        <v>1</v>
      </c>
      <c r="Q6" s="2">
        <v>25</v>
      </c>
      <c r="S6" t="s">
        <v>401</v>
      </c>
    </row>
    <row r="7" spans="1:40" x14ac:dyDescent="0.25">
      <c r="A7" s="6">
        <v>102280584900</v>
      </c>
      <c r="B7" s="6" t="str">
        <f t="shared" si="0"/>
        <v>102280584900OVR</v>
      </c>
      <c r="C7" t="s">
        <v>181</v>
      </c>
      <c r="D7" t="s">
        <v>46</v>
      </c>
      <c r="E7" s="12">
        <v>16170994</v>
      </c>
      <c r="F7" s="12" t="str">
        <f t="shared" si="1"/>
        <v>16170994OVR</v>
      </c>
      <c r="G7" t="s">
        <v>166</v>
      </c>
      <c r="H7" t="s">
        <v>59</v>
      </c>
      <c r="I7" t="s">
        <v>94</v>
      </c>
      <c r="J7" s="1">
        <v>46235</v>
      </c>
      <c r="K7" s="1">
        <v>46387</v>
      </c>
      <c r="L7" t="s">
        <v>51</v>
      </c>
      <c r="M7" t="s">
        <v>52</v>
      </c>
      <c r="N7" s="2">
        <v>0</v>
      </c>
      <c r="O7" s="2">
        <v>25</v>
      </c>
      <c r="P7">
        <v>1</v>
      </c>
      <c r="Q7" s="2">
        <v>25</v>
      </c>
      <c r="S7" t="s">
        <v>401</v>
      </c>
    </row>
    <row r="8" spans="1:40" x14ac:dyDescent="0.25">
      <c r="A8" s="6">
        <v>102280950100</v>
      </c>
      <c r="B8" s="6" t="str">
        <f t="shared" si="0"/>
        <v>102280950100OVR</v>
      </c>
      <c r="C8" t="s">
        <v>193</v>
      </c>
      <c r="D8" t="s">
        <v>63</v>
      </c>
      <c r="E8" s="12">
        <v>16633294</v>
      </c>
      <c r="F8" s="12" t="str">
        <f t="shared" si="1"/>
        <v>16633294OVR</v>
      </c>
      <c r="G8" t="s">
        <v>93</v>
      </c>
      <c r="H8" t="s">
        <v>59</v>
      </c>
      <c r="I8" t="s">
        <v>94</v>
      </c>
      <c r="J8" s="1">
        <v>46235</v>
      </c>
      <c r="K8" s="1">
        <v>46387</v>
      </c>
      <c r="L8" t="s">
        <v>51</v>
      </c>
      <c r="M8" t="s">
        <v>52</v>
      </c>
      <c r="N8" s="2">
        <v>0</v>
      </c>
      <c r="O8" s="2">
        <v>25</v>
      </c>
      <c r="P8">
        <v>1</v>
      </c>
      <c r="Q8" s="2">
        <v>25</v>
      </c>
      <c r="S8" t="s">
        <v>401</v>
      </c>
    </row>
    <row r="9" spans="1:40" x14ac:dyDescent="0.25">
      <c r="A9" s="6">
        <v>102281168000</v>
      </c>
      <c r="B9" s="6" t="str">
        <f t="shared" si="0"/>
        <v>102281168000OVR</v>
      </c>
      <c r="C9" t="s">
        <v>201</v>
      </c>
      <c r="D9" t="s">
        <v>46</v>
      </c>
      <c r="E9" s="12">
        <v>16170994</v>
      </c>
      <c r="F9" s="12" t="str">
        <f t="shared" si="1"/>
        <v>16170994OVR</v>
      </c>
      <c r="G9" t="s">
        <v>166</v>
      </c>
      <c r="H9" t="s">
        <v>59</v>
      </c>
      <c r="I9" t="s">
        <v>94</v>
      </c>
      <c r="J9" s="1">
        <v>46235</v>
      </c>
      <c r="K9" s="1">
        <v>46387</v>
      </c>
      <c r="L9" t="s">
        <v>51</v>
      </c>
      <c r="M9" t="s">
        <v>52</v>
      </c>
      <c r="N9" s="2">
        <v>0</v>
      </c>
      <c r="O9" s="2">
        <v>25</v>
      </c>
      <c r="P9">
        <v>1</v>
      </c>
      <c r="Q9" s="2">
        <v>25</v>
      </c>
      <c r="S9" t="s">
        <v>401</v>
      </c>
    </row>
    <row r="10" spans="1:40" x14ac:dyDescent="0.25">
      <c r="A10" s="6">
        <v>102281778400</v>
      </c>
      <c r="B10" s="6" t="str">
        <f t="shared" si="0"/>
        <v>102281778400OVR</v>
      </c>
      <c r="C10" t="s">
        <v>221</v>
      </c>
      <c r="D10" t="s">
        <v>63</v>
      </c>
      <c r="E10" s="12">
        <v>8244481</v>
      </c>
      <c r="F10" s="12" t="str">
        <f t="shared" si="1"/>
        <v>8244481OVR</v>
      </c>
      <c r="G10" t="s">
        <v>115</v>
      </c>
      <c r="H10" t="s">
        <v>59</v>
      </c>
      <c r="I10" t="s">
        <v>94</v>
      </c>
      <c r="J10" s="1">
        <v>46235</v>
      </c>
      <c r="K10" s="1">
        <v>46387</v>
      </c>
      <c r="L10" t="s">
        <v>51</v>
      </c>
      <c r="M10" t="s">
        <v>52</v>
      </c>
      <c r="N10" s="2">
        <v>0</v>
      </c>
      <c r="O10" s="2">
        <v>25</v>
      </c>
      <c r="P10">
        <v>1</v>
      </c>
      <c r="Q10" s="2">
        <v>25</v>
      </c>
      <c r="S10" t="s">
        <v>401</v>
      </c>
    </row>
    <row r="11" spans="1:40" x14ac:dyDescent="0.25">
      <c r="A11" s="6">
        <v>102282103200</v>
      </c>
      <c r="B11" s="6" t="str">
        <f t="shared" si="0"/>
        <v>102282103200OVR</v>
      </c>
      <c r="C11" t="s">
        <v>241</v>
      </c>
      <c r="D11" t="s">
        <v>169</v>
      </c>
      <c r="E11" s="12">
        <v>8307933</v>
      </c>
      <c r="F11" s="12" t="str">
        <f t="shared" si="1"/>
        <v>8307933OVR</v>
      </c>
      <c r="G11" t="s">
        <v>146</v>
      </c>
      <c r="H11" t="s">
        <v>59</v>
      </c>
      <c r="I11" t="s">
        <v>94</v>
      </c>
      <c r="J11" s="1">
        <v>46235</v>
      </c>
      <c r="K11" s="1">
        <v>46387</v>
      </c>
      <c r="L11" t="s">
        <v>51</v>
      </c>
      <c r="M11" t="s">
        <v>52</v>
      </c>
      <c r="N11" s="2">
        <v>0</v>
      </c>
      <c r="O11" s="2">
        <v>25</v>
      </c>
      <c r="P11">
        <v>1</v>
      </c>
      <c r="Q11" s="2">
        <v>25</v>
      </c>
      <c r="S11" t="s">
        <v>401</v>
      </c>
    </row>
    <row r="12" spans="1:40" x14ac:dyDescent="0.25">
      <c r="A12" s="6">
        <v>102278084400</v>
      </c>
      <c r="B12" s="6" t="str">
        <f t="shared" si="0"/>
        <v>102278084400OVR</v>
      </c>
      <c r="C12" t="s">
        <v>113</v>
      </c>
      <c r="D12" t="s">
        <v>63</v>
      </c>
      <c r="E12" s="12">
        <v>8244481</v>
      </c>
      <c r="F12" s="12" t="str">
        <f t="shared" si="1"/>
        <v>8244481OVR</v>
      </c>
      <c r="G12" t="s">
        <v>115</v>
      </c>
      <c r="H12" t="s">
        <v>59</v>
      </c>
      <c r="I12" t="s">
        <v>94</v>
      </c>
      <c r="J12" s="1">
        <v>46204</v>
      </c>
      <c r="K12" s="1">
        <v>46387</v>
      </c>
      <c r="L12" t="s">
        <v>51</v>
      </c>
      <c r="M12" t="s">
        <v>52</v>
      </c>
      <c r="N12" s="2">
        <v>0</v>
      </c>
      <c r="O12" s="2">
        <v>25</v>
      </c>
      <c r="P12">
        <v>1</v>
      </c>
      <c r="Q12" s="2">
        <v>25</v>
      </c>
      <c r="S12" t="s">
        <v>401</v>
      </c>
    </row>
    <row r="13" spans="1:40" x14ac:dyDescent="0.25">
      <c r="A13" s="6">
        <v>102278948300</v>
      </c>
      <c r="B13" s="6" t="str">
        <f t="shared" si="0"/>
        <v>102278948300OVR</v>
      </c>
      <c r="C13" t="s">
        <v>125</v>
      </c>
      <c r="D13" t="s">
        <v>102</v>
      </c>
      <c r="E13" s="12">
        <v>20253958</v>
      </c>
      <c r="F13" s="12" t="str">
        <f t="shared" si="1"/>
        <v>20253958OVR</v>
      </c>
      <c r="G13" t="s">
        <v>127</v>
      </c>
      <c r="H13" t="s">
        <v>59</v>
      </c>
      <c r="I13" t="s">
        <v>94</v>
      </c>
      <c r="J13" s="1">
        <v>46204</v>
      </c>
      <c r="K13" s="1">
        <v>46387</v>
      </c>
      <c r="L13" t="s">
        <v>51</v>
      </c>
      <c r="M13" t="s">
        <v>52</v>
      </c>
      <c r="N13" s="2">
        <v>0</v>
      </c>
      <c r="O13" s="2">
        <v>25</v>
      </c>
      <c r="P13">
        <v>1</v>
      </c>
      <c r="Q13" s="2">
        <v>25</v>
      </c>
      <c r="S13" t="s">
        <v>401</v>
      </c>
    </row>
    <row r="14" spans="1:40" x14ac:dyDescent="0.25">
      <c r="A14" s="6">
        <v>102280181000</v>
      </c>
      <c r="B14" s="6" t="str">
        <f t="shared" si="0"/>
        <v>102280181000OVR</v>
      </c>
      <c r="C14" t="s">
        <v>151</v>
      </c>
      <c r="D14" t="s">
        <v>152</v>
      </c>
      <c r="E14" s="12">
        <v>18828278</v>
      </c>
      <c r="F14" s="12" t="str">
        <f t="shared" si="1"/>
        <v>18828278OVR</v>
      </c>
      <c r="G14" t="s">
        <v>154</v>
      </c>
      <c r="H14" t="s">
        <v>59</v>
      </c>
      <c r="I14" t="s">
        <v>94</v>
      </c>
      <c r="J14" s="1">
        <v>46204</v>
      </c>
      <c r="K14" s="1">
        <v>46387</v>
      </c>
      <c r="L14" t="s">
        <v>51</v>
      </c>
      <c r="M14" t="s">
        <v>52</v>
      </c>
      <c r="N14" s="2">
        <v>0</v>
      </c>
      <c r="O14" s="2">
        <v>25</v>
      </c>
      <c r="P14">
        <v>1</v>
      </c>
      <c r="Q14" s="2">
        <v>25</v>
      </c>
      <c r="S14" t="s">
        <v>401</v>
      </c>
    </row>
    <row r="15" spans="1:40" x14ac:dyDescent="0.25">
      <c r="A15" s="6">
        <v>102280187800</v>
      </c>
      <c r="B15" s="6" t="str">
        <f t="shared" si="0"/>
        <v>102280187800OVR</v>
      </c>
      <c r="C15" t="s">
        <v>156</v>
      </c>
      <c r="D15" t="s">
        <v>102</v>
      </c>
      <c r="E15" s="12">
        <v>18710070</v>
      </c>
      <c r="F15" s="12" t="str">
        <f t="shared" si="1"/>
        <v>18710070OVR</v>
      </c>
      <c r="G15" t="s">
        <v>158</v>
      </c>
      <c r="H15" t="s">
        <v>59</v>
      </c>
      <c r="I15" t="s">
        <v>94</v>
      </c>
      <c r="J15" s="1">
        <v>46204</v>
      </c>
      <c r="K15" s="1">
        <v>46387</v>
      </c>
      <c r="L15" t="s">
        <v>51</v>
      </c>
      <c r="M15" t="s">
        <v>52</v>
      </c>
      <c r="N15" s="2">
        <v>0</v>
      </c>
      <c r="O15" s="2">
        <v>25</v>
      </c>
      <c r="P15">
        <v>1</v>
      </c>
      <c r="Q15" s="2">
        <v>25</v>
      </c>
      <c r="S15" t="s">
        <v>401</v>
      </c>
    </row>
    <row r="16" spans="1:40" x14ac:dyDescent="0.25">
      <c r="A16" s="6">
        <v>102280195700</v>
      </c>
      <c r="B16" s="6" t="str">
        <f t="shared" si="0"/>
        <v>102280195700OVR</v>
      </c>
      <c r="C16" t="s">
        <v>160</v>
      </c>
      <c r="D16" t="s">
        <v>63</v>
      </c>
      <c r="E16" s="12">
        <v>17301495</v>
      </c>
      <c r="F16" s="12" t="str">
        <f t="shared" si="1"/>
        <v>17301495OVR</v>
      </c>
      <c r="G16" t="s">
        <v>162</v>
      </c>
      <c r="H16" t="s">
        <v>59</v>
      </c>
      <c r="I16" t="s">
        <v>94</v>
      </c>
      <c r="J16" s="1">
        <v>46204</v>
      </c>
      <c r="K16" s="1">
        <v>46387</v>
      </c>
      <c r="L16" t="s">
        <v>51</v>
      </c>
      <c r="M16" t="s">
        <v>52</v>
      </c>
      <c r="N16" s="2">
        <v>0</v>
      </c>
      <c r="O16" s="2">
        <v>25</v>
      </c>
      <c r="P16">
        <v>1</v>
      </c>
      <c r="Q16" s="2">
        <v>25</v>
      </c>
      <c r="S16" t="s">
        <v>401</v>
      </c>
    </row>
    <row r="17" spans="1:19" x14ac:dyDescent="0.25">
      <c r="A17" s="6">
        <v>102280466100</v>
      </c>
      <c r="B17" s="6" t="str">
        <f t="shared" si="0"/>
        <v>102280466100OVR</v>
      </c>
      <c r="C17" t="s">
        <v>175</v>
      </c>
      <c r="D17" t="s">
        <v>63</v>
      </c>
      <c r="E17" s="12">
        <v>7565575</v>
      </c>
      <c r="F17" s="12" t="str">
        <f t="shared" si="1"/>
        <v>7565575OVR</v>
      </c>
      <c r="G17" t="s">
        <v>177</v>
      </c>
      <c r="H17" t="s">
        <v>59</v>
      </c>
      <c r="I17" t="s">
        <v>94</v>
      </c>
      <c r="J17" s="1">
        <v>46204</v>
      </c>
      <c r="K17" s="1">
        <v>46387</v>
      </c>
      <c r="L17" t="s">
        <v>51</v>
      </c>
      <c r="M17" t="s">
        <v>52</v>
      </c>
      <c r="N17" s="2">
        <v>0</v>
      </c>
      <c r="O17" s="2">
        <v>25</v>
      </c>
      <c r="P17">
        <v>1</v>
      </c>
      <c r="Q17" s="2">
        <v>25</v>
      </c>
      <c r="S17" t="s">
        <v>401</v>
      </c>
    </row>
    <row r="18" spans="1:19" x14ac:dyDescent="0.25">
      <c r="A18" s="6">
        <v>102280764200</v>
      </c>
      <c r="B18" s="6" t="str">
        <f t="shared" si="0"/>
        <v>102280764200OVR</v>
      </c>
      <c r="C18" t="s">
        <v>189</v>
      </c>
      <c r="D18" t="s">
        <v>102</v>
      </c>
      <c r="E18" s="12">
        <v>17886092</v>
      </c>
      <c r="F18" s="12" t="str">
        <f t="shared" si="1"/>
        <v>17886092OVR</v>
      </c>
      <c r="G18" t="s">
        <v>136</v>
      </c>
      <c r="H18" t="s">
        <v>59</v>
      </c>
      <c r="I18" t="s">
        <v>94</v>
      </c>
      <c r="J18" s="1">
        <v>46204</v>
      </c>
      <c r="K18" s="1">
        <v>46387</v>
      </c>
      <c r="L18" t="s">
        <v>51</v>
      </c>
      <c r="M18" t="s">
        <v>52</v>
      </c>
      <c r="N18" s="2">
        <v>0</v>
      </c>
      <c r="O18" s="2">
        <v>25</v>
      </c>
      <c r="P18">
        <v>1</v>
      </c>
      <c r="Q18" s="2">
        <v>25</v>
      </c>
      <c r="S18" t="s">
        <v>401</v>
      </c>
    </row>
    <row r="19" spans="1:19" x14ac:dyDescent="0.25">
      <c r="A19" s="6">
        <v>102280969100</v>
      </c>
      <c r="B19" s="6" t="str">
        <f t="shared" si="0"/>
        <v>102280969100OVR</v>
      </c>
      <c r="C19" t="s">
        <v>195</v>
      </c>
      <c r="D19" t="s">
        <v>46</v>
      </c>
      <c r="E19" s="12">
        <v>16170994</v>
      </c>
      <c r="F19" s="12" t="str">
        <f t="shared" si="1"/>
        <v>16170994OVR</v>
      </c>
      <c r="G19" t="s">
        <v>166</v>
      </c>
      <c r="H19" t="s">
        <v>59</v>
      </c>
      <c r="I19" t="s">
        <v>94</v>
      </c>
      <c r="J19" s="1">
        <v>46204</v>
      </c>
      <c r="K19" s="1">
        <v>46387</v>
      </c>
      <c r="L19" t="s">
        <v>51</v>
      </c>
      <c r="M19" t="s">
        <v>52</v>
      </c>
      <c r="N19" s="2">
        <v>0</v>
      </c>
      <c r="O19" s="2">
        <v>25</v>
      </c>
      <c r="P19">
        <v>1</v>
      </c>
      <c r="Q19" s="2">
        <v>25</v>
      </c>
      <c r="S19" t="s">
        <v>401</v>
      </c>
    </row>
    <row r="20" spans="1:19" x14ac:dyDescent="0.25">
      <c r="A20" s="6">
        <v>102281133600</v>
      </c>
      <c r="B20" s="6" t="str">
        <f t="shared" si="0"/>
        <v>102281133600OVR</v>
      </c>
      <c r="C20" t="s">
        <v>197</v>
      </c>
      <c r="D20" t="s">
        <v>56</v>
      </c>
      <c r="E20" s="12">
        <v>8307933</v>
      </c>
      <c r="F20" s="12" t="str">
        <f t="shared" si="1"/>
        <v>8307933OVR</v>
      </c>
      <c r="G20" t="s">
        <v>146</v>
      </c>
      <c r="H20" t="s">
        <v>59</v>
      </c>
      <c r="I20" t="s">
        <v>94</v>
      </c>
      <c r="J20" s="1">
        <v>46204</v>
      </c>
      <c r="K20" s="1">
        <v>46387</v>
      </c>
      <c r="L20" t="s">
        <v>51</v>
      </c>
      <c r="M20" t="s">
        <v>52</v>
      </c>
      <c r="N20" s="2">
        <v>0</v>
      </c>
      <c r="O20" s="2">
        <v>25</v>
      </c>
      <c r="P20">
        <v>1</v>
      </c>
      <c r="Q20" s="2">
        <v>25</v>
      </c>
      <c r="S20" t="s">
        <v>401</v>
      </c>
    </row>
    <row r="21" spans="1:19" x14ac:dyDescent="0.25">
      <c r="A21" s="6">
        <v>102281524200</v>
      </c>
      <c r="B21" s="6" t="str">
        <f t="shared" si="0"/>
        <v>102281524200OVR</v>
      </c>
      <c r="C21" t="s">
        <v>209</v>
      </c>
      <c r="D21" t="s">
        <v>63</v>
      </c>
      <c r="E21" s="12">
        <v>7152559</v>
      </c>
      <c r="F21" s="12" t="str">
        <f t="shared" si="1"/>
        <v>7152559OVR</v>
      </c>
      <c r="G21" t="s">
        <v>211</v>
      </c>
      <c r="H21" t="s">
        <v>59</v>
      </c>
      <c r="I21" t="s">
        <v>94</v>
      </c>
      <c r="J21" s="1">
        <v>46204</v>
      </c>
      <c r="K21" s="1">
        <v>46387</v>
      </c>
      <c r="L21" t="s">
        <v>51</v>
      </c>
      <c r="M21" t="s">
        <v>52</v>
      </c>
      <c r="N21" s="2">
        <v>0</v>
      </c>
      <c r="O21" s="2">
        <v>25</v>
      </c>
      <c r="P21">
        <v>1</v>
      </c>
      <c r="Q21" s="2">
        <v>25</v>
      </c>
      <c r="S21" t="s">
        <v>401</v>
      </c>
    </row>
    <row r="22" spans="1:19" x14ac:dyDescent="0.25">
      <c r="A22" s="6">
        <v>102281547100</v>
      </c>
      <c r="B22" s="6" t="str">
        <f t="shared" si="0"/>
        <v>102281547100OVR</v>
      </c>
      <c r="C22" t="s">
        <v>213</v>
      </c>
      <c r="D22" t="s">
        <v>63</v>
      </c>
      <c r="E22" s="12">
        <v>19268643</v>
      </c>
      <c r="F22" s="12" t="str">
        <f t="shared" si="1"/>
        <v>19268643OVR</v>
      </c>
      <c r="G22" t="s">
        <v>215</v>
      </c>
      <c r="H22" t="s">
        <v>59</v>
      </c>
      <c r="I22" t="s">
        <v>94</v>
      </c>
      <c r="J22" s="1">
        <v>46204</v>
      </c>
      <c r="K22" s="1">
        <v>46387</v>
      </c>
      <c r="L22" t="s">
        <v>51</v>
      </c>
      <c r="M22" t="s">
        <v>52</v>
      </c>
      <c r="N22" s="2">
        <v>0</v>
      </c>
      <c r="O22" s="2">
        <v>25</v>
      </c>
      <c r="P22">
        <v>1</v>
      </c>
      <c r="Q22" s="2">
        <v>25</v>
      </c>
      <c r="S22" t="s">
        <v>401</v>
      </c>
    </row>
    <row r="23" spans="1:19" x14ac:dyDescent="0.25">
      <c r="A23" s="6">
        <v>102281894900</v>
      </c>
      <c r="B23" s="6" t="str">
        <f t="shared" si="0"/>
        <v>102281894900OVR</v>
      </c>
      <c r="C23" t="s">
        <v>225</v>
      </c>
      <c r="D23" t="s">
        <v>46</v>
      </c>
      <c r="E23" s="12">
        <v>16170994</v>
      </c>
      <c r="F23" s="12" t="str">
        <f t="shared" si="1"/>
        <v>16170994OVR</v>
      </c>
      <c r="G23" t="s">
        <v>166</v>
      </c>
      <c r="H23" t="s">
        <v>59</v>
      </c>
      <c r="I23" t="s">
        <v>94</v>
      </c>
      <c r="J23" s="1">
        <v>46204</v>
      </c>
      <c r="K23" s="1">
        <v>46387</v>
      </c>
      <c r="L23" t="s">
        <v>51</v>
      </c>
      <c r="M23" t="s">
        <v>52</v>
      </c>
      <c r="N23" s="2">
        <v>0</v>
      </c>
      <c r="O23" s="2">
        <v>25</v>
      </c>
      <c r="P23">
        <v>1</v>
      </c>
      <c r="Q23" s="2">
        <v>25</v>
      </c>
      <c r="S23" t="s">
        <v>401</v>
      </c>
    </row>
    <row r="24" spans="1:19" x14ac:dyDescent="0.25">
      <c r="A24" s="6">
        <v>102281898400</v>
      </c>
      <c r="B24" s="6" t="str">
        <f t="shared" si="0"/>
        <v>102281898400OVR</v>
      </c>
      <c r="C24" t="s">
        <v>227</v>
      </c>
      <c r="D24" t="s">
        <v>46</v>
      </c>
      <c r="E24" s="12">
        <v>16170994</v>
      </c>
      <c r="F24" s="12" t="str">
        <f t="shared" si="1"/>
        <v>16170994OVR</v>
      </c>
      <c r="G24" t="s">
        <v>166</v>
      </c>
      <c r="H24" t="s">
        <v>59</v>
      </c>
      <c r="I24" t="s">
        <v>94</v>
      </c>
      <c r="J24" s="1">
        <v>46204</v>
      </c>
      <c r="K24" s="1">
        <v>46387</v>
      </c>
      <c r="L24" t="s">
        <v>51</v>
      </c>
      <c r="M24" t="s">
        <v>52</v>
      </c>
      <c r="N24" s="2">
        <v>0</v>
      </c>
      <c r="O24" s="2">
        <v>25</v>
      </c>
      <c r="P24">
        <v>1</v>
      </c>
      <c r="Q24" s="2">
        <v>25</v>
      </c>
      <c r="S24" t="s">
        <v>401</v>
      </c>
    </row>
    <row r="25" spans="1:19" x14ac:dyDescent="0.25">
      <c r="A25" s="6">
        <v>102281904500</v>
      </c>
      <c r="B25" s="6" t="str">
        <f t="shared" si="0"/>
        <v>102281904500OVR</v>
      </c>
      <c r="C25" t="s">
        <v>229</v>
      </c>
      <c r="D25" t="s">
        <v>46</v>
      </c>
      <c r="E25" s="12">
        <v>16170994</v>
      </c>
      <c r="F25" s="12" t="str">
        <f t="shared" si="1"/>
        <v>16170994OVR</v>
      </c>
      <c r="G25" t="s">
        <v>166</v>
      </c>
      <c r="H25" t="s">
        <v>59</v>
      </c>
      <c r="I25" t="s">
        <v>94</v>
      </c>
      <c r="J25" s="1">
        <v>46204</v>
      </c>
      <c r="K25" s="1">
        <v>46387</v>
      </c>
      <c r="L25" t="s">
        <v>51</v>
      </c>
      <c r="M25" t="s">
        <v>52</v>
      </c>
      <c r="N25" s="2">
        <v>0</v>
      </c>
      <c r="O25" s="2">
        <v>25</v>
      </c>
      <c r="P25">
        <v>1</v>
      </c>
      <c r="Q25" s="2">
        <v>25</v>
      </c>
      <c r="S25" t="s">
        <v>401</v>
      </c>
    </row>
    <row r="26" spans="1:19" x14ac:dyDescent="0.25">
      <c r="A26" s="6">
        <v>102281954800</v>
      </c>
      <c r="B26" s="6" t="str">
        <f t="shared" si="0"/>
        <v>102281954800OVR</v>
      </c>
      <c r="C26" t="s">
        <v>235</v>
      </c>
      <c r="D26" t="s">
        <v>63</v>
      </c>
      <c r="E26" s="12">
        <v>8244481</v>
      </c>
      <c r="F26" s="12" t="str">
        <f t="shared" si="1"/>
        <v>8244481OVR</v>
      </c>
      <c r="G26" t="s">
        <v>115</v>
      </c>
      <c r="H26" t="s">
        <v>59</v>
      </c>
      <c r="I26" t="s">
        <v>94</v>
      </c>
      <c r="J26" s="1">
        <v>46204</v>
      </c>
      <c r="K26" s="1">
        <v>46387</v>
      </c>
      <c r="L26" t="s">
        <v>51</v>
      </c>
      <c r="M26" t="s">
        <v>52</v>
      </c>
      <c r="N26" s="2">
        <v>0</v>
      </c>
      <c r="O26" s="2">
        <v>25</v>
      </c>
      <c r="P26">
        <v>1</v>
      </c>
      <c r="Q26" s="2">
        <v>25</v>
      </c>
      <c r="S26" t="s">
        <v>401</v>
      </c>
    </row>
    <row r="27" spans="1:19" x14ac:dyDescent="0.25">
      <c r="A27" s="6">
        <v>102278678100</v>
      </c>
      <c r="B27" s="6" t="str">
        <f t="shared" si="0"/>
        <v>102278678100OVR</v>
      </c>
      <c r="C27" t="s">
        <v>123</v>
      </c>
      <c r="D27" t="s">
        <v>63</v>
      </c>
      <c r="E27" s="12">
        <v>8244481</v>
      </c>
      <c r="F27" s="12" t="str">
        <f t="shared" si="1"/>
        <v>8244481OVR</v>
      </c>
      <c r="G27" t="s">
        <v>115</v>
      </c>
      <c r="H27" t="s">
        <v>59</v>
      </c>
      <c r="I27" t="s">
        <v>94</v>
      </c>
      <c r="J27" s="1">
        <v>46174</v>
      </c>
      <c r="K27" s="1">
        <v>46387</v>
      </c>
      <c r="L27" t="s">
        <v>51</v>
      </c>
      <c r="M27" t="s">
        <v>52</v>
      </c>
      <c r="N27" s="2">
        <v>0</v>
      </c>
      <c r="O27" s="2">
        <v>25</v>
      </c>
      <c r="P27">
        <v>1</v>
      </c>
      <c r="Q27" s="2">
        <v>25</v>
      </c>
      <c r="S27" t="s">
        <v>401</v>
      </c>
    </row>
    <row r="28" spans="1:19" x14ac:dyDescent="0.25">
      <c r="A28" s="6">
        <v>102279127200</v>
      </c>
      <c r="B28" s="6" t="str">
        <f t="shared" si="0"/>
        <v>102279127200OVR</v>
      </c>
      <c r="C28" t="s">
        <v>129</v>
      </c>
      <c r="D28" t="s">
        <v>130</v>
      </c>
      <c r="E28" s="12">
        <v>17094718</v>
      </c>
      <c r="F28" s="12" t="str">
        <f t="shared" si="1"/>
        <v>17094718OVR</v>
      </c>
      <c r="G28" t="s">
        <v>132</v>
      </c>
      <c r="H28" t="s">
        <v>59</v>
      </c>
      <c r="I28" t="s">
        <v>94</v>
      </c>
      <c r="J28" s="1">
        <v>46174</v>
      </c>
      <c r="K28" s="1">
        <v>46387</v>
      </c>
      <c r="L28" t="s">
        <v>51</v>
      </c>
      <c r="M28" t="s">
        <v>52</v>
      </c>
      <c r="N28" s="2">
        <v>0</v>
      </c>
      <c r="O28" s="2">
        <v>25</v>
      </c>
      <c r="P28">
        <v>1</v>
      </c>
      <c r="Q28" s="2">
        <v>25</v>
      </c>
      <c r="S28" t="s">
        <v>401</v>
      </c>
    </row>
    <row r="29" spans="1:19" x14ac:dyDescent="0.25">
      <c r="A29" s="6">
        <v>102280040700</v>
      </c>
      <c r="B29" s="6" t="str">
        <f t="shared" si="0"/>
        <v>102280040700OVR</v>
      </c>
      <c r="C29" t="s">
        <v>140</v>
      </c>
      <c r="D29" t="s">
        <v>63</v>
      </c>
      <c r="E29" s="12">
        <v>8812322</v>
      </c>
      <c r="F29" s="12" t="str">
        <f t="shared" si="1"/>
        <v>8812322OVR</v>
      </c>
      <c r="G29" t="s">
        <v>142</v>
      </c>
      <c r="H29" t="s">
        <v>59</v>
      </c>
      <c r="I29" t="s">
        <v>94</v>
      </c>
      <c r="J29" s="1">
        <v>46174</v>
      </c>
      <c r="K29" s="1">
        <v>46387</v>
      </c>
      <c r="L29" t="s">
        <v>51</v>
      </c>
      <c r="M29" t="s">
        <v>52</v>
      </c>
      <c r="N29" s="2">
        <v>0</v>
      </c>
      <c r="O29" s="2">
        <v>25</v>
      </c>
      <c r="P29">
        <v>1</v>
      </c>
      <c r="Q29" s="2">
        <v>25</v>
      </c>
      <c r="S29" t="s">
        <v>401</v>
      </c>
    </row>
    <row r="30" spans="1:19" x14ac:dyDescent="0.25">
      <c r="A30" s="6">
        <v>102280074200</v>
      </c>
      <c r="B30" s="6" t="str">
        <f t="shared" si="0"/>
        <v>102280074200OVR</v>
      </c>
      <c r="C30" t="s">
        <v>144</v>
      </c>
      <c r="D30" t="s">
        <v>56</v>
      </c>
      <c r="E30" s="12">
        <v>8307933</v>
      </c>
      <c r="F30" s="12" t="str">
        <f t="shared" si="1"/>
        <v>8307933OVR</v>
      </c>
      <c r="G30" t="s">
        <v>146</v>
      </c>
      <c r="H30" t="s">
        <v>59</v>
      </c>
      <c r="I30" t="s">
        <v>94</v>
      </c>
      <c r="J30" s="1">
        <v>46174</v>
      </c>
      <c r="K30" s="1">
        <v>46387</v>
      </c>
      <c r="L30" t="s">
        <v>51</v>
      </c>
      <c r="M30" t="s">
        <v>52</v>
      </c>
      <c r="N30" s="2">
        <v>0</v>
      </c>
      <c r="O30" s="2">
        <v>25</v>
      </c>
      <c r="P30">
        <v>1</v>
      </c>
      <c r="Q30" s="2">
        <v>25</v>
      </c>
      <c r="S30" t="s">
        <v>401</v>
      </c>
    </row>
    <row r="31" spans="1:19" x14ac:dyDescent="0.25">
      <c r="A31" s="6">
        <v>102280149200</v>
      </c>
      <c r="B31" s="6" t="str">
        <f t="shared" si="0"/>
        <v>102280149200OVR</v>
      </c>
      <c r="C31" t="s">
        <v>148</v>
      </c>
      <c r="D31" t="s">
        <v>149</v>
      </c>
      <c r="E31" s="12">
        <v>9213293</v>
      </c>
      <c r="F31" s="12" t="str">
        <f t="shared" si="1"/>
        <v>9213293OVR</v>
      </c>
      <c r="G31" t="s">
        <v>84</v>
      </c>
      <c r="H31" t="s">
        <v>59</v>
      </c>
      <c r="I31" t="s">
        <v>94</v>
      </c>
      <c r="J31" s="1">
        <v>46174</v>
      </c>
      <c r="K31" s="1">
        <v>46387</v>
      </c>
      <c r="L31" t="s">
        <v>51</v>
      </c>
      <c r="M31" t="s">
        <v>52</v>
      </c>
      <c r="N31" s="2">
        <v>0</v>
      </c>
      <c r="O31" s="2">
        <v>25</v>
      </c>
      <c r="P31">
        <v>1</v>
      </c>
      <c r="Q31" s="2">
        <v>25</v>
      </c>
      <c r="S31" t="s">
        <v>401</v>
      </c>
    </row>
    <row r="32" spans="1:19" x14ac:dyDescent="0.25">
      <c r="A32" s="6">
        <v>102280265800</v>
      </c>
      <c r="B32" s="6" t="str">
        <f t="shared" si="0"/>
        <v>102280265800OVR</v>
      </c>
      <c r="C32" t="s">
        <v>164</v>
      </c>
      <c r="D32" t="s">
        <v>46</v>
      </c>
      <c r="E32" s="12">
        <v>16170994</v>
      </c>
      <c r="F32" s="12" t="str">
        <f t="shared" si="1"/>
        <v>16170994OVR</v>
      </c>
      <c r="G32" t="s">
        <v>166</v>
      </c>
      <c r="H32" t="s">
        <v>59</v>
      </c>
      <c r="I32" t="s">
        <v>94</v>
      </c>
      <c r="J32" s="1">
        <v>46174</v>
      </c>
      <c r="K32" s="1">
        <v>46387</v>
      </c>
      <c r="L32" t="s">
        <v>51</v>
      </c>
      <c r="M32" t="s">
        <v>52</v>
      </c>
      <c r="N32" s="2">
        <v>0</v>
      </c>
      <c r="O32" s="2">
        <v>25</v>
      </c>
      <c r="P32">
        <v>1</v>
      </c>
      <c r="Q32" s="2">
        <v>25</v>
      </c>
      <c r="S32" t="s">
        <v>401</v>
      </c>
    </row>
    <row r="33" spans="1:19" x14ac:dyDescent="0.25">
      <c r="A33" s="6">
        <v>102280421300</v>
      </c>
      <c r="B33" s="6" t="str">
        <f t="shared" si="0"/>
        <v>102280421300OVR</v>
      </c>
      <c r="C33" t="s">
        <v>168</v>
      </c>
      <c r="D33" t="s">
        <v>169</v>
      </c>
      <c r="E33" s="12">
        <v>7470776</v>
      </c>
      <c r="F33" s="12" t="str">
        <f t="shared" si="1"/>
        <v>7470776OVR</v>
      </c>
      <c r="G33" t="s">
        <v>171</v>
      </c>
      <c r="H33" t="s">
        <v>59</v>
      </c>
      <c r="I33" t="s">
        <v>94</v>
      </c>
      <c r="J33" s="1">
        <v>46174</v>
      </c>
      <c r="K33" s="1">
        <v>46387</v>
      </c>
      <c r="L33" t="s">
        <v>51</v>
      </c>
      <c r="M33" t="s">
        <v>52</v>
      </c>
      <c r="N33" s="2">
        <v>0</v>
      </c>
      <c r="O33" s="2">
        <v>25</v>
      </c>
      <c r="P33">
        <v>1</v>
      </c>
      <c r="Q33" s="2">
        <v>25</v>
      </c>
      <c r="S33" t="s">
        <v>401</v>
      </c>
    </row>
    <row r="34" spans="1:19" x14ac:dyDescent="0.25">
      <c r="A34" s="6">
        <v>102280464500</v>
      </c>
      <c r="B34" s="6" t="str">
        <f t="shared" si="0"/>
        <v>102280464500OVR</v>
      </c>
      <c r="C34" t="s">
        <v>173</v>
      </c>
      <c r="D34" t="s">
        <v>102</v>
      </c>
      <c r="E34" s="12">
        <v>17528908</v>
      </c>
      <c r="F34" s="12" t="str">
        <f t="shared" si="1"/>
        <v>17528908OVR</v>
      </c>
      <c r="G34" t="s">
        <v>104</v>
      </c>
      <c r="H34" t="s">
        <v>59</v>
      </c>
      <c r="I34" t="s">
        <v>94</v>
      </c>
      <c r="J34" s="1">
        <v>46174</v>
      </c>
      <c r="K34" s="1">
        <v>46387</v>
      </c>
      <c r="L34" t="s">
        <v>51</v>
      </c>
      <c r="M34" t="s">
        <v>52</v>
      </c>
      <c r="N34" s="2">
        <v>0</v>
      </c>
      <c r="O34" s="2">
        <v>25</v>
      </c>
      <c r="P34">
        <v>1</v>
      </c>
      <c r="Q34" s="2">
        <v>25</v>
      </c>
      <c r="S34" t="s">
        <v>401</v>
      </c>
    </row>
    <row r="35" spans="1:19" x14ac:dyDescent="0.25">
      <c r="A35" s="6">
        <v>102280581000</v>
      </c>
      <c r="B35" s="6" t="str">
        <f t="shared" si="0"/>
        <v>102280581000OVR</v>
      </c>
      <c r="C35" t="s">
        <v>179</v>
      </c>
      <c r="D35" t="s">
        <v>46</v>
      </c>
      <c r="E35" s="12">
        <v>16170994</v>
      </c>
      <c r="F35" s="12" t="str">
        <f t="shared" si="1"/>
        <v>16170994OVR</v>
      </c>
      <c r="G35" t="s">
        <v>166</v>
      </c>
      <c r="H35" t="s">
        <v>59</v>
      </c>
      <c r="I35" t="s">
        <v>94</v>
      </c>
      <c r="J35" s="1">
        <v>46174</v>
      </c>
      <c r="K35" s="1">
        <v>46387</v>
      </c>
      <c r="L35" t="s">
        <v>51</v>
      </c>
      <c r="M35" t="s">
        <v>52</v>
      </c>
      <c r="N35" s="2">
        <v>0</v>
      </c>
      <c r="O35" s="2">
        <v>25</v>
      </c>
      <c r="P35">
        <v>1</v>
      </c>
      <c r="Q35" s="2">
        <v>25</v>
      </c>
      <c r="S35" t="s">
        <v>401</v>
      </c>
    </row>
    <row r="36" spans="1:19" x14ac:dyDescent="0.25">
      <c r="A36" s="6">
        <v>102280590400</v>
      </c>
      <c r="B36" s="6" t="str">
        <f t="shared" si="0"/>
        <v>102280590400OVR</v>
      </c>
      <c r="C36" t="s">
        <v>183</v>
      </c>
      <c r="D36" t="s">
        <v>46</v>
      </c>
      <c r="E36" s="12">
        <v>16170994</v>
      </c>
      <c r="F36" s="12" t="str">
        <f t="shared" si="1"/>
        <v>16170994OVR</v>
      </c>
      <c r="G36" t="s">
        <v>166</v>
      </c>
      <c r="H36" t="s">
        <v>59</v>
      </c>
      <c r="I36" t="s">
        <v>94</v>
      </c>
      <c r="J36" s="1">
        <v>46174</v>
      </c>
      <c r="K36" s="1">
        <v>46387</v>
      </c>
      <c r="L36" t="s">
        <v>51</v>
      </c>
      <c r="M36" t="s">
        <v>52</v>
      </c>
      <c r="N36" s="2">
        <v>0</v>
      </c>
      <c r="O36" s="2">
        <v>25</v>
      </c>
      <c r="P36">
        <v>1</v>
      </c>
      <c r="Q36" s="2">
        <v>25</v>
      </c>
      <c r="S36" t="s">
        <v>401</v>
      </c>
    </row>
    <row r="37" spans="1:19" x14ac:dyDescent="0.25">
      <c r="A37" s="6">
        <v>102280689200</v>
      </c>
      <c r="B37" s="6" t="str">
        <f t="shared" si="0"/>
        <v>102280689200OVR</v>
      </c>
      <c r="C37" t="s">
        <v>185</v>
      </c>
      <c r="D37" t="s">
        <v>87</v>
      </c>
      <c r="E37" s="12">
        <v>19645587</v>
      </c>
      <c r="F37" s="12" t="str">
        <f t="shared" si="1"/>
        <v>19645587OVR</v>
      </c>
      <c r="G37" t="s">
        <v>111</v>
      </c>
      <c r="H37" t="s">
        <v>59</v>
      </c>
      <c r="I37" t="s">
        <v>94</v>
      </c>
      <c r="J37" s="1">
        <v>46174</v>
      </c>
      <c r="K37" s="1">
        <v>46387</v>
      </c>
      <c r="L37" t="s">
        <v>51</v>
      </c>
      <c r="M37" t="s">
        <v>52</v>
      </c>
      <c r="N37" s="2">
        <v>0</v>
      </c>
      <c r="O37" s="2">
        <v>25</v>
      </c>
      <c r="P37">
        <v>1</v>
      </c>
      <c r="Q37" s="2">
        <v>25</v>
      </c>
      <c r="S37" t="s">
        <v>401</v>
      </c>
    </row>
    <row r="38" spans="1:19" x14ac:dyDescent="0.25">
      <c r="A38" s="6">
        <v>102280752000</v>
      </c>
      <c r="B38" s="6" t="str">
        <f t="shared" si="0"/>
        <v>102280752000OVR</v>
      </c>
      <c r="C38" t="s">
        <v>187</v>
      </c>
      <c r="D38" t="s">
        <v>63</v>
      </c>
      <c r="E38" s="12">
        <v>16633294</v>
      </c>
      <c r="F38" s="12" t="str">
        <f t="shared" si="1"/>
        <v>16633294OVR</v>
      </c>
      <c r="G38" t="s">
        <v>93</v>
      </c>
      <c r="H38" t="s">
        <v>59</v>
      </c>
      <c r="I38" t="s">
        <v>94</v>
      </c>
      <c r="J38" s="1">
        <v>46174</v>
      </c>
      <c r="K38" s="1">
        <v>46387</v>
      </c>
      <c r="L38" t="s">
        <v>51</v>
      </c>
      <c r="M38" t="s">
        <v>52</v>
      </c>
      <c r="N38" s="2">
        <v>0</v>
      </c>
      <c r="O38" s="2">
        <v>25</v>
      </c>
      <c r="P38">
        <v>1</v>
      </c>
      <c r="Q38" s="2">
        <v>25</v>
      </c>
      <c r="S38" t="s">
        <v>401</v>
      </c>
    </row>
    <row r="39" spans="1:19" x14ac:dyDescent="0.25">
      <c r="A39" s="6">
        <v>102280776800</v>
      </c>
      <c r="B39" s="6" t="str">
        <f t="shared" si="0"/>
        <v>102280776800OVR</v>
      </c>
      <c r="C39" t="s">
        <v>191</v>
      </c>
      <c r="D39" t="s">
        <v>46</v>
      </c>
      <c r="E39" s="12">
        <v>16170994</v>
      </c>
      <c r="F39" s="12" t="str">
        <f t="shared" si="1"/>
        <v>16170994OVR</v>
      </c>
      <c r="G39" t="s">
        <v>166</v>
      </c>
      <c r="H39" t="s">
        <v>59</v>
      </c>
      <c r="I39" t="s">
        <v>94</v>
      </c>
      <c r="J39" s="1">
        <v>46174</v>
      </c>
      <c r="K39" s="1">
        <v>46387</v>
      </c>
      <c r="L39" t="s">
        <v>51</v>
      </c>
      <c r="M39" t="s">
        <v>52</v>
      </c>
      <c r="N39" s="2">
        <v>0</v>
      </c>
      <c r="O39" s="2">
        <v>25</v>
      </c>
      <c r="P39">
        <v>1</v>
      </c>
      <c r="Q39" s="2">
        <v>25</v>
      </c>
      <c r="S39" t="s">
        <v>401</v>
      </c>
    </row>
    <row r="40" spans="1:19" x14ac:dyDescent="0.25">
      <c r="A40" s="6">
        <v>102281143100</v>
      </c>
      <c r="B40" s="6" t="str">
        <f t="shared" si="0"/>
        <v>102281143100OVR</v>
      </c>
      <c r="C40" t="s">
        <v>199</v>
      </c>
      <c r="D40" t="s">
        <v>46</v>
      </c>
      <c r="E40" s="12">
        <v>17094718</v>
      </c>
      <c r="F40" s="12" t="str">
        <f t="shared" si="1"/>
        <v>17094718OVR</v>
      </c>
      <c r="G40" t="s">
        <v>132</v>
      </c>
      <c r="H40" t="s">
        <v>59</v>
      </c>
      <c r="I40" t="s">
        <v>94</v>
      </c>
      <c r="J40" s="1">
        <v>46174</v>
      </c>
      <c r="K40" s="1">
        <v>46387</v>
      </c>
      <c r="L40" t="s">
        <v>51</v>
      </c>
      <c r="M40" t="s">
        <v>52</v>
      </c>
      <c r="N40" s="2">
        <v>0</v>
      </c>
      <c r="O40" s="2">
        <v>25</v>
      </c>
      <c r="P40">
        <v>1</v>
      </c>
      <c r="Q40" s="2">
        <v>25</v>
      </c>
      <c r="S40" t="s">
        <v>401</v>
      </c>
    </row>
    <row r="41" spans="1:19" x14ac:dyDescent="0.25">
      <c r="A41" s="6">
        <v>102281288800</v>
      </c>
      <c r="B41" s="6" t="str">
        <f t="shared" si="0"/>
        <v>102281288800OVR</v>
      </c>
      <c r="C41" t="s">
        <v>203</v>
      </c>
      <c r="D41" t="s">
        <v>63</v>
      </c>
      <c r="E41" s="12">
        <v>8244481</v>
      </c>
      <c r="F41" s="12" t="str">
        <f t="shared" si="1"/>
        <v>8244481OVR</v>
      </c>
      <c r="G41" t="s">
        <v>115</v>
      </c>
      <c r="H41" t="s">
        <v>59</v>
      </c>
      <c r="I41" t="s">
        <v>94</v>
      </c>
      <c r="J41" s="1">
        <v>46174</v>
      </c>
      <c r="K41" s="1">
        <v>46387</v>
      </c>
      <c r="L41" t="s">
        <v>51</v>
      </c>
      <c r="M41" t="s">
        <v>52</v>
      </c>
      <c r="N41" s="2">
        <v>0</v>
      </c>
      <c r="O41" s="2">
        <v>25</v>
      </c>
      <c r="P41">
        <v>1</v>
      </c>
      <c r="Q41" s="2">
        <v>25</v>
      </c>
      <c r="S41" t="s">
        <v>401</v>
      </c>
    </row>
    <row r="42" spans="1:19" x14ac:dyDescent="0.25">
      <c r="A42" s="6">
        <v>102281387100</v>
      </c>
      <c r="B42" s="6" t="str">
        <f t="shared" si="0"/>
        <v>102281387100OVR</v>
      </c>
      <c r="C42" t="s">
        <v>205</v>
      </c>
      <c r="D42" t="s">
        <v>102</v>
      </c>
      <c r="E42" s="12">
        <v>20253958</v>
      </c>
      <c r="F42" s="12" t="str">
        <f t="shared" si="1"/>
        <v>20253958OVR</v>
      </c>
      <c r="G42" t="s">
        <v>127</v>
      </c>
      <c r="H42" t="s">
        <v>59</v>
      </c>
      <c r="I42" t="s">
        <v>94</v>
      </c>
      <c r="J42" s="1">
        <v>46174</v>
      </c>
      <c r="K42" s="1">
        <v>46387</v>
      </c>
      <c r="L42" t="s">
        <v>51</v>
      </c>
      <c r="M42" t="s">
        <v>52</v>
      </c>
      <c r="N42" s="2">
        <v>0</v>
      </c>
      <c r="O42" s="2">
        <v>25</v>
      </c>
      <c r="P42">
        <v>1</v>
      </c>
      <c r="Q42" s="2">
        <v>25</v>
      </c>
      <c r="S42" t="s">
        <v>401</v>
      </c>
    </row>
    <row r="43" spans="1:19" x14ac:dyDescent="0.25">
      <c r="A43" s="6">
        <v>102281476200</v>
      </c>
      <c r="B43" s="6" t="str">
        <f t="shared" si="0"/>
        <v>102281476200OVR</v>
      </c>
      <c r="C43" t="s">
        <v>207</v>
      </c>
      <c r="D43" t="s">
        <v>102</v>
      </c>
      <c r="E43" s="12">
        <v>17886092</v>
      </c>
      <c r="F43" s="12" t="str">
        <f t="shared" si="1"/>
        <v>17886092OVR</v>
      </c>
      <c r="G43" t="s">
        <v>136</v>
      </c>
      <c r="H43" t="s">
        <v>59</v>
      </c>
      <c r="I43" t="s">
        <v>94</v>
      </c>
      <c r="J43" s="1">
        <v>46174</v>
      </c>
      <c r="K43" s="1">
        <v>46387</v>
      </c>
      <c r="L43" t="s">
        <v>51</v>
      </c>
      <c r="M43" t="s">
        <v>52</v>
      </c>
      <c r="N43" s="2">
        <v>0</v>
      </c>
      <c r="O43" s="2">
        <v>25</v>
      </c>
      <c r="P43">
        <v>1</v>
      </c>
      <c r="Q43" s="2">
        <v>25</v>
      </c>
      <c r="S43" t="s">
        <v>401</v>
      </c>
    </row>
    <row r="44" spans="1:19" x14ac:dyDescent="0.25">
      <c r="A44" s="6">
        <v>102281737500</v>
      </c>
      <c r="B44" s="6" t="str">
        <f t="shared" si="0"/>
        <v>102281737500OVR</v>
      </c>
      <c r="C44" t="s">
        <v>217</v>
      </c>
      <c r="D44" t="s">
        <v>63</v>
      </c>
      <c r="E44" s="12">
        <v>7146581</v>
      </c>
      <c r="F44" s="12" t="str">
        <f t="shared" si="1"/>
        <v>7146581OVR</v>
      </c>
      <c r="G44" t="s">
        <v>219</v>
      </c>
      <c r="H44" t="s">
        <v>59</v>
      </c>
      <c r="I44" t="s">
        <v>94</v>
      </c>
      <c r="J44" s="1">
        <v>46174</v>
      </c>
      <c r="K44" s="1">
        <v>46387</v>
      </c>
      <c r="L44" t="s">
        <v>51</v>
      </c>
      <c r="M44" t="s">
        <v>52</v>
      </c>
      <c r="N44" s="2">
        <v>0</v>
      </c>
      <c r="O44" s="2">
        <v>25</v>
      </c>
      <c r="P44">
        <v>1</v>
      </c>
      <c r="Q44" s="2">
        <v>25</v>
      </c>
      <c r="S44" t="s">
        <v>401</v>
      </c>
    </row>
    <row r="45" spans="1:19" x14ac:dyDescent="0.25">
      <c r="A45" s="6">
        <v>102281860300</v>
      </c>
      <c r="B45" s="6" t="str">
        <f t="shared" si="0"/>
        <v>102281860300OVR</v>
      </c>
      <c r="C45" t="s">
        <v>223</v>
      </c>
      <c r="D45" t="s">
        <v>63</v>
      </c>
      <c r="E45" s="12">
        <v>9213293</v>
      </c>
      <c r="F45" s="12" t="str">
        <f t="shared" si="1"/>
        <v>9213293OVR</v>
      </c>
      <c r="G45" t="s">
        <v>84</v>
      </c>
      <c r="H45" t="s">
        <v>59</v>
      </c>
      <c r="I45" t="s">
        <v>94</v>
      </c>
      <c r="J45" s="1">
        <v>46174</v>
      </c>
      <c r="K45" s="1">
        <v>46387</v>
      </c>
      <c r="L45" t="s">
        <v>51</v>
      </c>
      <c r="M45" t="s">
        <v>52</v>
      </c>
      <c r="N45" s="2">
        <v>0</v>
      </c>
      <c r="O45" s="2">
        <v>25</v>
      </c>
      <c r="P45">
        <v>1</v>
      </c>
      <c r="Q45" s="2">
        <v>25</v>
      </c>
      <c r="S45" t="s">
        <v>401</v>
      </c>
    </row>
    <row r="46" spans="1:19" x14ac:dyDescent="0.25">
      <c r="A46" s="6">
        <v>102281909800</v>
      </c>
      <c r="B46" s="6" t="str">
        <f t="shared" si="0"/>
        <v>102281909800OVR</v>
      </c>
      <c r="C46" t="s">
        <v>231</v>
      </c>
      <c r="D46" t="s">
        <v>130</v>
      </c>
      <c r="E46" s="12">
        <v>16849453</v>
      </c>
      <c r="F46" s="12" t="str">
        <f t="shared" si="1"/>
        <v>16849453OVR</v>
      </c>
      <c r="G46" t="s">
        <v>233</v>
      </c>
      <c r="H46" t="s">
        <v>59</v>
      </c>
      <c r="I46" t="s">
        <v>94</v>
      </c>
      <c r="J46" s="1">
        <v>46174</v>
      </c>
      <c r="K46" s="1">
        <v>46387</v>
      </c>
      <c r="L46" t="s">
        <v>51</v>
      </c>
      <c r="M46" t="s">
        <v>52</v>
      </c>
      <c r="N46" s="2">
        <v>0</v>
      </c>
      <c r="O46" s="2">
        <v>25</v>
      </c>
      <c r="P46">
        <v>1</v>
      </c>
      <c r="Q46" s="2">
        <v>25</v>
      </c>
      <c r="S46" t="s">
        <v>401</v>
      </c>
    </row>
    <row r="47" spans="1:19" x14ac:dyDescent="0.25">
      <c r="A47" s="6">
        <v>102282033400</v>
      </c>
      <c r="B47" s="6" t="str">
        <f t="shared" si="0"/>
        <v>102282033400OVR</v>
      </c>
      <c r="C47" t="s">
        <v>237</v>
      </c>
      <c r="D47" t="s">
        <v>169</v>
      </c>
      <c r="E47" s="12">
        <v>371819</v>
      </c>
      <c r="F47" s="12" t="str">
        <f t="shared" si="1"/>
        <v>371819OVR</v>
      </c>
      <c r="G47" t="s">
        <v>239</v>
      </c>
      <c r="H47" t="s">
        <v>59</v>
      </c>
      <c r="I47" t="s">
        <v>94</v>
      </c>
      <c r="J47" s="1">
        <v>46174</v>
      </c>
      <c r="K47" s="1">
        <v>46387</v>
      </c>
      <c r="L47" t="s">
        <v>51</v>
      </c>
      <c r="M47" t="s">
        <v>52</v>
      </c>
      <c r="N47" s="2">
        <v>0</v>
      </c>
      <c r="O47" s="2">
        <v>25</v>
      </c>
      <c r="P47">
        <v>1</v>
      </c>
      <c r="Q47" s="2">
        <v>25</v>
      </c>
      <c r="S47" t="s">
        <v>401</v>
      </c>
    </row>
    <row r="48" spans="1:19" x14ac:dyDescent="0.25">
      <c r="A48" s="6">
        <v>102277422000</v>
      </c>
      <c r="B48" s="6" t="str">
        <f t="shared" si="0"/>
        <v>102277422000OVR</v>
      </c>
      <c r="C48" t="s">
        <v>91</v>
      </c>
      <c r="D48" t="s">
        <v>63</v>
      </c>
      <c r="E48" s="12">
        <v>16633294</v>
      </c>
      <c r="F48" s="12" t="str">
        <f t="shared" si="1"/>
        <v>16633294OVR</v>
      </c>
      <c r="G48" t="s">
        <v>93</v>
      </c>
      <c r="H48" t="s">
        <v>59</v>
      </c>
      <c r="I48" t="s">
        <v>94</v>
      </c>
      <c r="J48" s="1">
        <v>46143</v>
      </c>
      <c r="K48" s="1">
        <v>46387</v>
      </c>
      <c r="L48" t="s">
        <v>51</v>
      </c>
      <c r="M48" t="s">
        <v>52</v>
      </c>
      <c r="N48" s="2">
        <v>0</v>
      </c>
      <c r="O48" s="2">
        <v>25</v>
      </c>
      <c r="P48">
        <v>1</v>
      </c>
      <c r="Q48" s="2">
        <v>25</v>
      </c>
      <c r="S48" t="s">
        <v>401</v>
      </c>
    </row>
    <row r="49" spans="1:19" x14ac:dyDescent="0.25">
      <c r="A49" s="6">
        <v>102277451400</v>
      </c>
      <c r="B49" s="6" t="str">
        <f t="shared" si="0"/>
        <v>102277451400OVR</v>
      </c>
      <c r="C49" t="s">
        <v>96</v>
      </c>
      <c r="D49" t="s">
        <v>97</v>
      </c>
      <c r="E49" s="12">
        <v>20003537</v>
      </c>
      <c r="F49" s="12" t="str">
        <f t="shared" si="1"/>
        <v>20003537OVR</v>
      </c>
      <c r="G49" t="s">
        <v>99</v>
      </c>
      <c r="H49" t="s">
        <v>59</v>
      </c>
      <c r="I49" t="s">
        <v>94</v>
      </c>
      <c r="J49" s="1">
        <v>46143</v>
      </c>
      <c r="K49" s="1">
        <v>46387</v>
      </c>
      <c r="L49" t="s">
        <v>51</v>
      </c>
      <c r="M49" t="s">
        <v>52</v>
      </c>
      <c r="N49" s="2">
        <v>0</v>
      </c>
      <c r="O49" s="2">
        <v>25</v>
      </c>
      <c r="P49">
        <v>1</v>
      </c>
      <c r="Q49" s="2">
        <v>25</v>
      </c>
      <c r="S49" t="s">
        <v>401</v>
      </c>
    </row>
    <row r="50" spans="1:19" x14ac:dyDescent="0.25">
      <c r="A50" s="6">
        <v>102277514700</v>
      </c>
      <c r="B50" s="6" t="str">
        <f t="shared" si="0"/>
        <v>102277514700OVR</v>
      </c>
      <c r="C50" t="s">
        <v>101</v>
      </c>
      <c r="D50" t="s">
        <v>102</v>
      </c>
      <c r="E50" s="12">
        <v>17528908</v>
      </c>
      <c r="F50" s="12" t="str">
        <f t="shared" si="1"/>
        <v>17528908OVR</v>
      </c>
      <c r="G50" t="s">
        <v>104</v>
      </c>
      <c r="H50" t="s">
        <v>59</v>
      </c>
      <c r="I50" t="s">
        <v>94</v>
      </c>
      <c r="J50" s="1">
        <v>46143</v>
      </c>
      <c r="K50" s="1">
        <v>46387</v>
      </c>
      <c r="L50" t="s">
        <v>51</v>
      </c>
      <c r="M50" t="s">
        <v>52</v>
      </c>
      <c r="N50" s="2">
        <v>0</v>
      </c>
      <c r="O50" s="2">
        <v>25</v>
      </c>
      <c r="P50">
        <v>1</v>
      </c>
      <c r="Q50" s="2">
        <v>25</v>
      </c>
      <c r="S50" t="s">
        <v>401</v>
      </c>
    </row>
    <row r="51" spans="1:19" x14ac:dyDescent="0.25">
      <c r="A51" s="6">
        <v>102277560300</v>
      </c>
      <c r="B51" s="6" t="str">
        <f t="shared" si="0"/>
        <v>102277560300OVR</v>
      </c>
      <c r="C51" t="s">
        <v>106</v>
      </c>
      <c r="D51" t="s">
        <v>102</v>
      </c>
      <c r="E51" s="12">
        <v>17528908</v>
      </c>
      <c r="F51" s="12" t="str">
        <f t="shared" si="1"/>
        <v>17528908OVR</v>
      </c>
      <c r="G51" t="s">
        <v>104</v>
      </c>
      <c r="H51" t="s">
        <v>59</v>
      </c>
      <c r="I51" t="s">
        <v>94</v>
      </c>
      <c r="J51" s="1">
        <v>46143</v>
      </c>
      <c r="K51" s="1">
        <v>46387</v>
      </c>
      <c r="L51" t="s">
        <v>51</v>
      </c>
      <c r="M51" t="s">
        <v>52</v>
      </c>
      <c r="N51" s="2">
        <v>0</v>
      </c>
      <c r="O51" s="2">
        <v>25</v>
      </c>
      <c r="P51">
        <v>1</v>
      </c>
      <c r="Q51" s="2">
        <v>25</v>
      </c>
      <c r="S51" t="s">
        <v>401</v>
      </c>
    </row>
    <row r="52" spans="1:19" x14ac:dyDescent="0.25">
      <c r="A52" s="6">
        <v>102277718400</v>
      </c>
      <c r="B52" s="6" t="str">
        <f t="shared" si="0"/>
        <v>102277718400OVR</v>
      </c>
      <c r="C52" t="s">
        <v>108</v>
      </c>
      <c r="D52" t="s">
        <v>109</v>
      </c>
      <c r="E52" s="12">
        <v>19645587</v>
      </c>
      <c r="F52" s="12" t="str">
        <f t="shared" si="1"/>
        <v>19645587OVR</v>
      </c>
      <c r="G52" t="s">
        <v>111</v>
      </c>
      <c r="H52" t="s">
        <v>59</v>
      </c>
      <c r="I52" t="s">
        <v>94</v>
      </c>
      <c r="J52" s="1">
        <v>46143</v>
      </c>
      <c r="K52" s="1">
        <v>46387</v>
      </c>
      <c r="L52" t="s">
        <v>51</v>
      </c>
      <c r="M52" t="s">
        <v>52</v>
      </c>
      <c r="N52" s="2">
        <v>0</v>
      </c>
      <c r="O52" s="2">
        <v>25</v>
      </c>
      <c r="P52">
        <v>1</v>
      </c>
      <c r="Q52" s="2">
        <v>25</v>
      </c>
      <c r="S52" t="s">
        <v>401</v>
      </c>
    </row>
    <row r="53" spans="1:19" x14ac:dyDescent="0.25">
      <c r="A53" s="6">
        <v>102278123800</v>
      </c>
      <c r="B53" s="6" t="str">
        <f t="shared" si="0"/>
        <v>102278123800OVR</v>
      </c>
      <c r="C53" t="s">
        <v>117</v>
      </c>
      <c r="D53" t="s">
        <v>102</v>
      </c>
      <c r="E53" s="12">
        <v>17528908</v>
      </c>
      <c r="F53" s="12" t="str">
        <f t="shared" si="1"/>
        <v>17528908OVR</v>
      </c>
      <c r="G53" t="s">
        <v>104</v>
      </c>
      <c r="H53" t="s">
        <v>59</v>
      </c>
      <c r="I53" t="s">
        <v>94</v>
      </c>
      <c r="J53" s="1">
        <v>46143</v>
      </c>
      <c r="K53" s="1">
        <v>46387</v>
      </c>
      <c r="L53" t="s">
        <v>51</v>
      </c>
      <c r="M53" t="s">
        <v>52</v>
      </c>
      <c r="N53" s="2">
        <v>0</v>
      </c>
      <c r="O53" s="2">
        <v>25</v>
      </c>
      <c r="P53">
        <v>1</v>
      </c>
      <c r="Q53" s="2">
        <v>25</v>
      </c>
      <c r="S53" t="s">
        <v>401</v>
      </c>
    </row>
    <row r="54" spans="1:19" x14ac:dyDescent="0.25">
      <c r="A54" s="6">
        <v>102278225800</v>
      </c>
      <c r="B54" s="6" t="str">
        <f t="shared" si="0"/>
        <v>102278225800OVR</v>
      </c>
      <c r="C54" t="s">
        <v>119</v>
      </c>
      <c r="D54" t="s">
        <v>102</v>
      </c>
      <c r="E54" s="12">
        <v>9254978</v>
      </c>
      <c r="F54" s="12" t="str">
        <f t="shared" si="1"/>
        <v>9254978OVR</v>
      </c>
      <c r="G54" t="s">
        <v>121</v>
      </c>
      <c r="H54" t="s">
        <v>59</v>
      </c>
      <c r="I54" t="s">
        <v>94</v>
      </c>
      <c r="J54" s="1">
        <v>46143</v>
      </c>
      <c r="K54" s="1">
        <v>46387</v>
      </c>
      <c r="L54" t="s">
        <v>51</v>
      </c>
      <c r="M54" t="s">
        <v>52</v>
      </c>
      <c r="N54" s="2">
        <v>0</v>
      </c>
      <c r="O54" s="2">
        <v>25</v>
      </c>
      <c r="P54">
        <v>1</v>
      </c>
      <c r="Q54" s="2">
        <v>25</v>
      </c>
      <c r="S54" t="s">
        <v>401</v>
      </c>
    </row>
    <row r="55" spans="1:19" x14ac:dyDescent="0.25">
      <c r="A55" s="6">
        <v>102282813300</v>
      </c>
      <c r="B55" s="6" t="str">
        <f t="shared" si="0"/>
        <v>102282813300OVR</v>
      </c>
      <c r="C55" t="s">
        <v>252</v>
      </c>
      <c r="D55" t="s">
        <v>63</v>
      </c>
      <c r="E55" s="12">
        <v>17301495</v>
      </c>
      <c r="F55" s="12" t="str">
        <f t="shared" si="1"/>
        <v>17301495OVR</v>
      </c>
      <c r="G55" t="s">
        <v>162</v>
      </c>
      <c r="H55" t="s">
        <v>59</v>
      </c>
      <c r="I55" t="s">
        <v>244</v>
      </c>
      <c r="J55" s="1">
        <v>46174</v>
      </c>
      <c r="K55" s="1">
        <v>46387</v>
      </c>
      <c r="L55" t="s">
        <v>51</v>
      </c>
      <c r="M55" t="s">
        <v>52</v>
      </c>
      <c r="N55" s="2">
        <v>0</v>
      </c>
      <c r="O55" s="2">
        <v>14.58</v>
      </c>
      <c r="P55">
        <v>1</v>
      </c>
      <c r="Q55" s="2">
        <v>14.58</v>
      </c>
      <c r="R55" t="s">
        <v>253</v>
      </c>
      <c r="S55" t="s">
        <v>401</v>
      </c>
    </row>
    <row r="56" spans="1:19" x14ac:dyDescent="0.25">
      <c r="A56" s="6">
        <v>102282666300</v>
      </c>
      <c r="B56" s="6" t="str">
        <f t="shared" si="0"/>
        <v>102282666300OVR</v>
      </c>
      <c r="C56" t="s">
        <v>243</v>
      </c>
      <c r="D56" t="s">
        <v>102</v>
      </c>
      <c r="E56" s="12">
        <v>17528908</v>
      </c>
      <c r="F56" s="12" t="str">
        <f t="shared" si="1"/>
        <v>17528908OVR</v>
      </c>
      <c r="G56" t="s">
        <v>104</v>
      </c>
      <c r="H56" t="s">
        <v>59</v>
      </c>
      <c r="I56" t="s">
        <v>244</v>
      </c>
      <c r="J56" s="1">
        <v>46204</v>
      </c>
      <c r="K56" s="1">
        <v>46387</v>
      </c>
      <c r="L56" t="s">
        <v>51</v>
      </c>
      <c r="M56" t="s">
        <v>52</v>
      </c>
      <c r="N56" s="2">
        <v>0</v>
      </c>
      <c r="O56" s="2">
        <v>12.5</v>
      </c>
      <c r="P56">
        <v>1</v>
      </c>
      <c r="Q56" s="2">
        <v>12.5</v>
      </c>
      <c r="R56" t="s">
        <v>245</v>
      </c>
      <c r="S56" t="s">
        <v>401</v>
      </c>
    </row>
    <row r="57" spans="1:19" x14ac:dyDescent="0.25">
      <c r="A57" s="6">
        <v>102282739300</v>
      </c>
      <c r="B57" s="6" t="str">
        <f t="shared" si="0"/>
        <v>102282739300OVR</v>
      </c>
      <c r="C57" t="s">
        <v>250</v>
      </c>
      <c r="D57" t="s">
        <v>56</v>
      </c>
      <c r="E57" s="12">
        <v>7470776</v>
      </c>
      <c r="F57" s="12" t="str">
        <f t="shared" si="1"/>
        <v>7470776OVR</v>
      </c>
      <c r="G57" t="s">
        <v>171</v>
      </c>
      <c r="H57" t="s">
        <v>59</v>
      </c>
      <c r="I57" t="s">
        <v>244</v>
      </c>
      <c r="J57" s="1">
        <v>46204</v>
      </c>
      <c r="K57" s="1">
        <v>46387</v>
      </c>
      <c r="L57" t="s">
        <v>51</v>
      </c>
      <c r="M57" t="s">
        <v>52</v>
      </c>
      <c r="N57" s="2">
        <v>0</v>
      </c>
      <c r="O57" s="2">
        <v>12.5</v>
      </c>
      <c r="P57">
        <v>1</v>
      </c>
      <c r="Q57" s="2">
        <v>12.5</v>
      </c>
      <c r="R57" t="s">
        <v>245</v>
      </c>
      <c r="S57" t="s">
        <v>401</v>
      </c>
    </row>
    <row r="58" spans="1:19" x14ac:dyDescent="0.25">
      <c r="A58" s="6">
        <v>102282908800</v>
      </c>
      <c r="B58" s="6" t="str">
        <f t="shared" si="0"/>
        <v>102282908800OVR</v>
      </c>
      <c r="C58" t="s">
        <v>255</v>
      </c>
      <c r="D58" t="s">
        <v>130</v>
      </c>
      <c r="E58" s="12">
        <v>16849453</v>
      </c>
      <c r="F58" s="12" t="str">
        <f t="shared" si="1"/>
        <v>16849453OVR</v>
      </c>
      <c r="G58" t="s">
        <v>233</v>
      </c>
      <c r="H58" t="s">
        <v>59</v>
      </c>
      <c r="I58" t="s">
        <v>244</v>
      </c>
      <c r="J58" s="1">
        <v>46204</v>
      </c>
      <c r="K58" s="1">
        <v>46387</v>
      </c>
      <c r="L58" t="s">
        <v>51</v>
      </c>
      <c r="M58" t="s">
        <v>52</v>
      </c>
      <c r="N58" s="2">
        <v>0</v>
      </c>
      <c r="O58" s="2">
        <v>12.5</v>
      </c>
      <c r="P58">
        <v>1</v>
      </c>
      <c r="Q58" s="2">
        <v>12.5</v>
      </c>
      <c r="R58" t="s">
        <v>245</v>
      </c>
      <c r="S58" t="s">
        <v>401</v>
      </c>
    </row>
    <row r="59" spans="1:19" x14ac:dyDescent="0.25">
      <c r="A59" s="6">
        <v>102283062200</v>
      </c>
      <c r="B59" s="6" t="str">
        <f t="shared" si="0"/>
        <v>102283062200OVR</v>
      </c>
      <c r="C59" t="s">
        <v>260</v>
      </c>
      <c r="D59" t="s">
        <v>46</v>
      </c>
      <c r="E59" s="12">
        <v>16170994</v>
      </c>
      <c r="F59" s="12" t="str">
        <f t="shared" si="1"/>
        <v>16170994OVR</v>
      </c>
      <c r="G59" t="s">
        <v>166</v>
      </c>
      <c r="H59" t="s">
        <v>59</v>
      </c>
      <c r="I59" t="s">
        <v>244</v>
      </c>
      <c r="J59" s="1">
        <v>46204</v>
      </c>
      <c r="K59" s="1">
        <v>46387</v>
      </c>
      <c r="L59" t="s">
        <v>51</v>
      </c>
      <c r="M59" t="s">
        <v>52</v>
      </c>
      <c r="N59" s="2">
        <v>0</v>
      </c>
      <c r="O59" s="2">
        <v>12.5</v>
      </c>
      <c r="P59">
        <v>1</v>
      </c>
      <c r="Q59" s="2">
        <v>12.5</v>
      </c>
      <c r="R59" t="s">
        <v>245</v>
      </c>
      <c r="S59" t="s">
        <v>401</v>
      </c>
    </row>
    <row r="60" spans="1:19" x14ac:dyDescent="0.25">
      <c r="A60" s="6">
        <v>102283469000</v>
      </c>
      <c r="B60" s="6" t="str">
        <f t="shared" si="0"/>
        <v>102283469000OVR</v>
      </c>
      <c r="C60" t="s">
        <v>262</v>
      </c>
      <c r="D60" t="s">
        <v>63</v>
      </c>
      <c r="E60" s="12">
        <v>21283956</v>
      </c>
      <c r="F60" s="12" t="str">
        <f t="shared" si="1"/>
        <v>21283956OVR</v>
      </c>
      <c r="G60" t="s">
        <v>264</v>
      </c>
      <c r="H60" t="s">
        <v>59</v>
      </c>
      <c r="I60" t="s">
        <v>244</v>
      </c>
      <c r="J60" s="1">
        <v>46204</v>
      </c>
      <c r="K60" s="1">
        <v>46387</v>
      </c>
      <c r="L60" t="s">
        <v>51</v>
      </c>
      <c r="M60" t="s">
        <v>52</v>
      </c>
      <c r="N60" s="2">
        <v>0</v>
      </c>
      <c r="O60" s="2">
        <v>12.5</v>
      </c>
      <c r="P60">
        <v>1</v>
      </c>
      <c r="Q60" s="2">
        <v>12.5</v>
      </c>
      <c r="R60" t="s">
        <v>245</v>
      </c>
      <c r="S60" t="s">
        <v>401</v>
      </c>
    </row>
    <row r="61" spans="1:19" x14ac:dyDescent="0.25">
      <c r="A61" s="6">
        <v>102283491900</v>
      </c>
      <c r="B61" s="6" t="str">
        <f t="shared" si="0"/>
        <v>102283491900OVR</v>
      </c>
      <c r="C61" t="s">
        <v>266</v>
      </c>
      <c r="D61" t="s">
        <v>63</v>
      </c>
      <c r="E61" s="12">
        <v>7470776</v>
      </c>
      <c r="F61" s="12" t="str">
        <f t="shared" si="1"/>
        <v>7470776OVR</v>
      </c>
      <c r="G61" t="s">
        <v>171</v>
      </c>
      <c r="H61" t="s">
        <v>59</v>
      </c>
      <c r="I61" t="s">
        <v>244</v>
      </c>
      <c r="J61" s="1">
        <v>46204</v>
      </c>
      <c r="K61" s="1">
        <v>46387</v>
      </c>
      <c r="L61" t="s">
        <v>51</v>
      </c>
      <c r="M61" t="s">
        <v>52</v>
      </c>
      <c r="N61" s="2">
        <v>0</v>
      </c>
      <c r="O61" s="2">
        <v>12.5</v>
      </c>
      <c r="P61">
        <v>1</v>
      </c>
      <c r="Q61" s="2">
        <v>12.5</v>
      </c>
      <c r="R61" t="s">
        <v>245</v>
      </c>
      <c r="S61" t="s">
        <v>401</v>
      </c>
    </row>
    <row r="62" spans="1:19" x14ac:dyDescent="0.25">
      <c r="A62" s="6">
        <v>102283674700</v>
      </c>
      <c r="B62" s="6" t="str">
        <f t="shared" si="0"/>
        <v>102283674700OVR</v>
      </c>
      <c r="C62" t="s">
        <v>270</v>
      </c>
      <c r="D62" t="s">
        <v>102</v>
      </c>
      <c r="E62" s="12">
        <v>17528908</v>
      </c>
      <c r="F62" s="12" t="str">
        <f t="shared" si="1"/>
        <v>17528908OVR</v>
      </c>
      <c r="G62" t="s">
        <v>104</v>
      </c>
      <c r="H62" t="s">
        <v>59</v>
      </c>
      <c r="I62" t="s">
        <v>244</v>
      </c>
      <c r="J62" s="1">
        <v>46204</v>
      </c>
      <c r="K62" s="1">
        <v>46387</v>
      </c>
      <c r="L62" t="s">
        <v>51</v>
      </c>
      <c r="M62" t="s">
        <v>52</v>
      </c>
      <c r="N62" s="2">
        <v>0</v>
      </c>
      <c r="O62" s="2">
        <v>12.5</v>
      </c>
      <c r="P62">
        <v>1</v>
      </c>
      <c r="Q62" s="2">
        <v>12.5</v>
      </c>
      <c r="R62" t="s">
        <v>245</v>
      </c>
      <c r="S62" t="s">
        <v>401</v>
      </c>
    </row>
    <row r="63" spans="1:19" x14ac:dyDescent="0.25">
      <c r="A63" s="6">
        <v>102283822800</v>
      </c>
      <c r="B63" s="6" t="str">
        <f t="shared" si="0"/>
        <v>102283822800OVR</v>
      </c>
      <c r="C63" t="s">
        <v>274</v>
      </c>
      <c r="D63" t="s">
        <v>102</v>
      </c>
      <c r="E63" s="12">
        <v>17528908</v>
      </c>
      <c r="F63" s="12" t="str">
        <f t="shared" si="1"/>
        <v>17528908OVR</v>
      </c>
      <c r="G63" t="s">
        <v>104</v>
      </c>
      <c r="H63" t="s">
        <v>59</v>
      </c>
      <c r="I63" t="s">
        <v>244</v>
      </c>
      <c r="J63" s="1">
        <v>46204</v>
      </c>
      <c r="K63" s="1">
        <v>46387</v>
      </c>
      <c r="L63" t="s">
        <v>51</v>
      </c>
      <c r="M63" t="s">
        <v>52</v>
      </c>
      <c r="N63" s="2">
        <v>0</v>
      </c>
      <c r="O63" s="2">
        <v>12.5</v>
      </c>
      <c r="P63">
        <v>1</v>
      </c>
      <c r="Q63" s="2">
        <v>12.5</v>
      </c>
      <c r="R63" t="s">
        <v>245</v>
      </c>
      <c r="S63" t="s">
        <v>401</v>
      </c>
    </row>
    <row r="64" spans="1:19" x14ac:dyDescent="0.25">
      <c r="A64" s="6">
        <v>102282681700</v>
      </c>
      <c r="B64" s="6" t="str">
        <f t="shared" si="0"/>
        <v>102282681700OVR</v>
      </c>
      <c r="C64" t="s">
        <v>247</v>
      </c>
      <c r="D64" t="s">
        <v>102</v>
      </c>
      <c r="E64" s="12">
        <v>18710070</v>
      </c>
      <c r="F64" s="12" t="str">
        <f t="shared" si="1"/>
        <v>18710070OVR</v>
      </c>
      <c r="G64" t="s">
        <v>158</v>
      </c>
      <c r="H64" t="s">
        <v>59</v>
      </c>
      <c r="I64" t="s">
        <v>244</v>
      </c>
      <c r="J64" s="1">
        <v>46235</v>
      </c>
      <c r="K64" s="1">
        <v>46387</v>
      </c>
      <c r="L64" t="s">
        <v>51</v>
      </c>
      <c r="M64" t="s">
        <v>52</v>
      </c>
      <c r="N64" s="2">
        <v>0</v>
      </c>
      <c r="O64" s="2">
        <v>10.42</v>
      </c>
      <c r="P64">
        <v>1</v>
      </c>
      <c r="Q64" s="2">
        <v>10.42</v>
      </c>
      <c r="R64" t="s">
        <v>248</v>
      </c>
      <c r="S64" t="s">
        <v>401</v>
      </c>
    </row>
    <row r="65" spans="1:22" x14ac:dyDescent="0.25">
      <c r="A65" s="6">
        <v>102283019100</v>
      </c>
      <c r="B65" s="6" t="str">
        <f t="shared" si="0"/>
        <v>102283019100OVR</v>
      </c>
      <c r="C65" t="s">
        <v>257</v>
      </c>
      <c r="D65" t="s">
        <v>102</v>
      </c>
      <c r="E65" s="12">
        <v>17528908</v>
      </c>
      <c r="F65" s="12" t="str">
        <f t="shared" si="1"/>
        <v>17528908OVR</v>
      </c>
      <c r="G65" t="s">
        <v>104</v>
      </c>
      <c r="H65" t="s">
        <v>59</v>
      </c>
      <c r="I65" t="s">
        <v>244</v>
      </c>
      <c r="J65" s="1">
        <v>46266</v>
      </c>
      <c r="K65" s="1">
        <v>46387</v>
      </c>
      <c r="L65" t="s">
        <v>51</v>
      </c>
      <c r="M65" t="s">
        <v>52</v>
      </c>
      <c r="N65" s="2">
        <v>0</v>
      </c>
      <c r="O65" s="2">
        <v>8.33</v>
      </c>
      <c r="P65">
        <v>1</v>
      </c>
      <c r="Q65" s="2">
        <v>8.33</v>
      </c>
      <c r="R65" t="s">
        <v>258</v>
      </c>
      <c r="S65" t="s">
        <v>401</v>
      </c>
      <c r="U65" s="5"/>
      <c r="V65" s="5"/>
    </row>
    <row r="66" spans="1:22" x14ac:dyDescent="0.25">
      <c r="A66" s="6">
        <v>102283501500</v>
      </c>
      <c r="B66" s="6" t="str">
        <f t="shared" si="0"/>
        <v>102283501500OVR</v>
      </c>
      <c r="C66" t="s">
        <v>268</v>
      </c>
      <c r="D66" t="s">
        <v>46</v>
      </c>
      <c r="E66" s="12">
        <v>16170994</v>
      </c>
      <c r="F66" s="12" t="str">
        <f t="shared" si="1"/>
        <v>16170994OVR</v>
      </c>
      <c r="G66" t="s">
        <v>166</v>
      </c>
      <c r="H66" t="s">
        <v>59</v>
      </c>
      <c r="I66" t="s">
        <v>244</v>
      </c>
      <c r="J66" s="1">
        <v>46266</v>
      </c>
      <c r="K66" s="1">
        <v>46387</v>
      </c>
      <c r="L66" t="s">
        <v>51</v>
      </c>
      <c r="M66" t="s">
        <v>52</v>
      </c>
      <c r="N66" s="2">
        <v>0</v>
      </c>
      <c r="O66" s="2">
        <v>8.33</v>
      </c>
      <c r="P66">
        <v>1</v>
      </c>
      <c r="Q66" s="2">
        <v>8.33</v>
      </c>
      <c r="R66" t="s">
        <v>258</v>
      </c>
      <c r="S66" t="s">
        <v>401</v>
      </c>
    </row>
    <row r="67" spans="1:22" x14ac:dyDescent="0.25">
      <c r="A67" s="6">
        <v>102283822000</v>
      </c>
      <c r="B67" s="6" t="str">
        <f t="shared" si="0"/>
        <v>102283822000OVR</v>
      </c>
      <c r="C67" t="s">
        <v>272</v>
      </c>
      <c r="D67" t="s">
        <v>102</v>
      </c>
      <c r="E67" s="12">
        <v>18710070</v>
      </c>
      <c r="F67" s="12" t="str">
        <f t="shared" si="1"/>
        <v>18710070OVR</v>
      </c>
      <c r="G67" t="s">
        <v>158</v>
      </c>
      <c r="H67" t="s">
        <v>59</v>
      </c>
      <c r="I67" t="s">
        <v>244</v>
      </c>
      <c r="J67" s="1">
        <v>46266</v>
      </c>
      <c r="K67" s="1">
        <v>46387</v>
      </c>
      <c r="L67" t="s">
        <v>51</v>
      </c>
      <c r="M67" t="s">
        <v>52</v>
      </c>
      <c r="N67" s="2">
        <v>0</v>
      </c>
      <c r="O67" s="2">
        <v>8.33</v>
      </c>
      <c r="P67">
        <v>1</v>
      </c>
      <c r="Q67" s="2">
        <v>8.33</v>
      </c>
      <c r="R67" t="s">
        <v>258</v>
      </c>
      <c r="S67" t="s">
        <v>401</v>
      </c>
    </row>
    <row r="68" spans="1:22" x14ac:dyDescent="0.25">
      <c r="A68" s="6">
        <v>102279156000</v>
      </c>
      <c r="B68" s="6" t="str">
        <f t="shared" si="0"/>
        <v>102279156000OVR</v>
      </c>
      <c r="C68" t="s">
        <v>134</v>
      </c>
      <c r="D68" t="s">
        <v>102</v>
      </c>
      <c r="E68" s="12">
        <v>17886092</v>
      </c>
      <c r="F68" s="12" t="str">
        <f t="shared" si="1"/>
        <v>17886092OVR</v>
      </c>
      <c r="G68" t="s">
        <v>136</v>
      </c>
      <c r="H68" t="s">
        <v>318</v>
      </c>
      <c r="I68" t="s">
        <v>244</v>
      </c>
      <c r="J68" s="1">
        <v>46235</v>
      </c>
      <c r="K68" s="1">
        <v>46266</v>
      </c>
      <c r="L68" t="s">
        <v>51</v>
      </c>
      <c r="M68" t="s">
        <v>52</v>
      </c>
      <c r="Q68" s="4">
        <v>-10.42</v>
      </c>
      <c r="S68" t="s">
        <v>401</v>
      </c>
    </row>
    <row r="69" spans="1:22" x14ac:dyDescent="0.25">
      <c r="A69" s="6">
        <v>102279171500</v>
      </c>
      <c r="B69" s="6" t="str">
        <f t="shared" si="0"/>
        <v>102279171500OVR</v>
      </c>
      <c r="C69" t="s">
        <v>138</v>
      </c>
      <c r="D69" t="s">
        <v>102</v>
      </c>
      <c r="E69" s="12">
        <v>20253958</v>
      </c>
      <c r="F69" s="12" t="str">
        <f t="shared" si="1"/>
        <v>20253958OVR</v>
      </c>
      <c r="G69" t="s">
        <v>127</v>
      </c>
      <c r="H69" t="s">
        <v>318</v>
      </c>
      <c r="I69" t="s">
        <v>244</v>
      </c>
      <c r="J69" s="1">
        <v>46235</v>
      </c>
      <c r="K69" s="1">
        <v>46266</v>
      </c>
      <c r="L69" t="s">
        <v>51</v>
      </c>
      <c r="M69" t="s">
        <v>52</v>
      </c>
      <c r="Q69" s="4">
        <v>-10.42</v>
      </c>
      <c r="S69" t="s">
        <v>401</v>
      </c>
    </row>
    <row r="70" spans="1:22" x14ac:dyDescent="0.25">
      <c r="A70" s="6">
        <v>102280584900</v>
      </c>
      <c r="B70" s="6" t="str">
        <f t="shared" ref="B70:B131" si="2">CONCATENATE(A70,"OVR")</f>
        <v>102280584900OVR</v>
      </c>
      <c r="C70" t="s">
        <v>181</v>
      </c>
      <c r="D70" t="s">
        <v>46</v>
      </c>
      <c r="E70" s="12">
        <v>16170994</v>
      </c>
      <c r="F70" s="12" t="str">
        <f t="shared" ref="F70:F131" si="3">CONCATENATE(E70,"OVR")</f>
        <v>16170994OVR</v>
      </c>
      <c r="G70" t="s">
        <v>166</v>
      </c>
      <c r="H70" t="s">
        <v>318</v>
      </c>
      <c r="I70" t="s">
        <v>244</v>
      </c>
      <c r="J70" s="1">
        <v>46235</v>
      </c>
      <c r="K70" s="1">
        <v>46266</v>
      </c>
      <c r="L70" t="s">
        <v>51</v>
      </c>
      <c r="M70" t="s">
        <v>52</v>
      </c>
      <c r="Q70" s="4">
        <v>-10.42</v>
      </c>
      <c r="S70" t="s">
        <v>401</v>
      </c>
    </row>
    <row r="71" spans="1:22" x14ac:dyDescent="0.25">
      <c r="A71" s="6">
        <v>102280950100</v>
      </c>
      <c r="B71" s="6" t="str">
        <f t="shared" si="2"/>
        <v>102280950100OVR</v>
      </c>
      <c r="C71" t="s">
        <v>193</v>
      </c>
      <c r="D71" t="s">
        <v>63</v>
      </c>
      <c r="E71" s="12">
        <v>16633294</v>
      </c>
      <c r="F71" s="12" t="str">
        <f t="shared" si="3"/>
        <v>16633294OVR</v>
      </c>
      <c r="G71" t="s">
        <v>93</v>
      </c>
      <c r="H71" t="s">
        <v>318</v>
      </c>
      <c r="I71" t="s">
        <v>244</v>
      </c>
      <c r="J71" s="1">
        <v>46235</v>
      </c>
      <c r="K71" s="1">
        <v>46266</v>
      </c>
      <c r="L71" t="s">
        <v>51</v>
      </c>
      <c r="M71" t="s">
        <v>52</v>
      </c>
      <c r="Q71" s="4">
        <v>-10.42</v>
      </c>
      <c r="S71" t="s">
        <v>401</v>
      </c>
    </row>
    <row r="72" spans="1:22" x14ac:dyDescent="0.25">
      <c r="A72" s="6">
        <v>102281168000</v>
      </c>
      <c r="B72" s="6" t="str">
        <f t="shared" si="2"/>
        <v>102281168000OVR</v>
      </c>
      <c r="C72" t="s">
        <v>201</v>
      </c>
      <c r="D72" t="s">
        <v>46</v>
      </c>
      <c r="E72" s="12">
        <v>16170994</v>
      </c>
      <c r="F72" s="12" t="str">
        <f t="shared" si="3"/>
        <v>16170994OVR</v>
      </c>
      <c r="G72" t="s">
        <v>166</v>
      </c>
      <c r="H72" t="s">
        <v>318</v>
      </c>
      <c r="I72" t="s">
        <v>244</v>
      </c>
      <c r="J72" s="1">
        <v>46235</v>
      </c>
      <c r="K72" s="1">
        <v>46266</v>
      </c>
      <c r="L72" t="s">
        <v>51</v>
      </c>
      <c r="M72" t="s">
        <v>52</v>
      </c>
      <c r="Q72" s="4">
        <v>-10.42</v>
      </c>
      <c r="S72" t="s">
        <v>401</v>
      </c>
    </row>
    <row r="73" spans="1:22" x14ac:dyDescent="0.25">
      <c r="A73" s="6">
        <v>102281778400</v>
      </c>
      <c r="B73" s="6" t="str">
        <f t="shared" si="2"/>
        <v>102281778400OVR</v>
      </c>
      <c r="C73" t="s">
        <v>221</v>
      </c>
      <c r="D73" t="s">
        <v>63</v>
      </c>
      <c r="E73" s="12">
        <v>8244481</v>
      </c>
      <c r="F73" s="12" t="str">
        <f t="shared" si="3"/>
        <v>8244481OVR</v>
      </c>
      <c r="G73" t="s">
        <v>115</v>
      </c>
      <c r="H73" t="s">
        <v>318</v>
      </c>
      <c r="I73" t="s">
        <v>244</v>
      </c>
      <c r="J73" s="1">
        <v>46235</v>
      </c>
      <c r="K73" s="1">
        <v>46266</v>
      </c>
      <c r="L73" t="s">
        <v>51</v>
      </c>
      <c r="M73" t="s">
        <v>52</v>
      </c>
      <c r="Q73" s="4">
        <v>-10.42</v>
      </c>
      <c r="S73" t="s">
        <v>401</v>
      </c>
    </row>
    <row r="74" spans="1:22" x14ac:dyDescent="0.25">
      <c r="A74" s="6">
        <v>102282103200</v>
      </c>
      <c r="B74" s="6" t="str">
        <f t="shared" si="2"/>
        <v>102282103200OVR</v>
      </c>
      <c r="C74" t="s">
        <v>241</v>
      </c>
      <c r="D74" t="s">
        <v>169</v>
      </c>
      <c r="E74" s="12">
        <v>8307933</v>
      </c>
      <c r="F74" s="12" t="str">
        <f t="shared" si="3"/>
        <v>8307933OVR</v>
      </c>
      <c r="G74" t="s">
        <v>146</v>
      </c>
      <c r="H74" t="s">
        <v>318</v>
      </c>
      <c r="I74" t="s">
        <v>244</v>
      </c>
      <c r="J74" s="1">
        <v>46235</v>
      </c>
      <c r="K74" s="1">
        <v>46266</v>
      </c>
      <c r="L74" t="s">
        <v>51</v>
      </c>
      <c r="M74" t="s">
        <v>52</v>
      </c>
      <c r="Q74" s="4">
        <v>-10.42</v>
      </c>
      <c r="S74" t="s">
        <v>401</v>
      </c>
    </row>
    <row r="75" spans="1:22" x14ac:dyDescent="0.25">
      <c r="A75" s="6">
        <v>102278084400</v>
      </c>
      <c r="B75" s="6" t="str">
        <f t="shared" si="2"/>
        <v>102278084400OVR</v>
      </c>
      <c r="C75" t="s">
        <v>113</v>
      </c>
      <c r="D75" t="s">
        <v>63</v>
      </c>
      <c r="E75" s="12">
        <v>8244481</v>
      </c>
      <c r="F75" s="12" t="str">
        <f t="shared" si="3"/>
        <v>8244481OVR</v>
      </c>
      <c r="G75" t="s">
        <v>115</v>
      </c>
      <c r="H75" t="s">
        <v>318</v>
      </c>
      <c r="I75" t="s">
        <v>244</v>
      </c>
      <c r="J75" s="1">
        <v>46204</v>
      </c>
      <c r="K75" s="1">
        <v>46235</v>
      </c>
      <c r="L75" t="s">
        <v>51</v>
      </c>
      <c r="M75" t="s">
        <v>52</v>
      </c>
      <c r="Q75" s="4">
        <v>-12.5</v>
      </c>
      <c r="S75" t="s">
        <v>401</v>
      </c>
    </row>
    <row r="76" spans="1:22" x14ac:dyDescent="0.25">
      <c r="A76" s="6">
        <v>102278948300</v>
      </c>
      <c r="B76" s="6" t="str">
        <f t="shared" si="2"/>
        <v>102278948300OVR</v>
      </c>
      <c r="C76" t="s">
        <v>125</v>
      </c>
      <c r="D76" t="s">
        <v>102</v>
      </c>
      <c r="E76" s="12">
        <v>20253958</v>
      </c>
      <c r="F76" s="12" t="str">
        <f t="shared" si="3"/>
        <v>20253958OVR</v>
      </c>
      <c r="G76" t="s">
        <v>127</v>
      </c>
      <c r="H76" t="s">
        <v>318</v>
      </c>
      <c r="I76" t="s">
        <v>244</v>
      </c>
      <c r="J76" s="1">
        <v>46204</v>
      </c>
      <c r="K76" s="1">
        <v>46235</v>
      </c>
      <c r="L76" t="s">
        <v>51</v>
      </c>
      <c r="M76" t="s">
        <v>52</v>
      </c>
      <c r="Q76" s="4">
        <v>-12.5</v>
      </c>
      <c r="S76" t="s">
        <v>401</v>
      </c>
    </row>
    <row r="77" spans="1:22" x14ac:dyDescent="0.25">
      <c r="A77" s="6">
        <v>102280181000</v>
      </c>
      <c r="B77" s="6" t="str">
        <f t="shared" si="2"/>
        <v>102280181000OVR</v>
      </c>
      <c r="C77" t="s">
        <v>151</v>
      </c>
      <c r="D77" t="s">
        <v>152</v>
      </c>
      <c r="E77" s="12">
        <v>18828278</v>
      </c>
      <c r="F77" s="12" t="str">
        <f t="shared" si="3"/>
        <v>18828278OVR</v>
      </c>
      <c r="G77" t="s">
        <v>154</v>
      </c>
      <c r="H77" t="s">
        <v>318</v>
      </c>
      <c r="I77" t="s">
        <v>244</v>
      </c>
      <c r="J77" s="1">
        <v>46204</v>
      </c>
      <c r="K77" s="1">
        <v>46235</v>
      </c>
      <c r="L77" t="s">
        <v>51</v>
      </c>
      <c r="M77" t="s">
        <v>52</v>
      </c>
      <c r="Q77" s="4">
        <v>-12.5</v>
      </c>
      <c r="S77" t="s">
        <v>401</v>
      </c>
    </row>
    <row r="78" spans="1:22" x14ac:dyDescent="0.25">
      <c r="A78" s="6">
        <v>102280187800</v>
      </c>
      <c r="B78" s="6" t="str">
        <f t="shared" si="2"/>
        <v>102280187800OVR</v>
      </c>
      <c r="C78" t="s">
        <v>156</v>
      </c>
      <c r="D78" t="s">
        <v>102</v>
      </c>
      <c r="E78" s="12">
        <v>18710070</v>
      </c>
      <c r="F78" s="12" t="str">
        <f t="shared" si="3"/>
        <v>18710070OVR</v>
      </c>
      <c r="G78" t="s">
        <v>158</v>
      </c>
      <c r="H78" t="s">
        <v>318</v>
      </c>
      <c r="I78" t="s">
        <v>244</v>
      </c>
      <c r="J78" s="1">
        <v>46204</v>
      </c>
      <c r="K78" s="1">
        <v>46235</v>
      </c>
      <c r="L78" t="s">
        <v>51</v>
      </c>
      <c r="M78" t="s">
        <v>52</v>
      </c>
      <c r="Q78" s="4">
        <v>-12.5</v>
      </c>
      <c r="S78" t="s">
        <v>401</v>
      </c>
    </row>
    <row r="79" spans="1:22" x14ac:dyDescent="0.25">
      <c r="A79" s="6">
        <v>102280195700</v>
      </c>
      <c r="B79" s="6" t="str">
        <f t="shared" si="2"/>
        <v>102280195700OVR</v>
      </c>
      <c r="C79" t="s">
        <v>160</v>
      </c>
      <c r="D79" t="s">
        <v>63</v>
      </c>
      <c r="E79" s="12">
        <v>17301495</v>
      </c>
      <c r="F79" s="12" t="str">
        <f t="shared" si="3"/>
        <v>17301495OVR</v>
      </c>
      <c r="G79" t="s">
        <v>162</v>
      </c>
      <c r="H79" t="s">
        <v>318</v>
      </c>
      <c r="I79" t="s">
        <v>244</v>
      </c>
      <c r="J79" s="1">
        <v>46204</v>
      </c>
      <c r="K79" s="1">
        <v>46235</v>
      </c>
      <c r="L79" t="s">
        <v>51</v>
      </c>
      <c r="M79" t="s">
        <v>52</v>
      </c>
      <c r="Q79" s="4">
        <v>-12.5</v>
      </c>
      <c r="S79" t="s">
        <v>401</v>
      </c>
    </row>
    <row r="80" spans="1:22" x14ac:dyDescent="0.25">
      <c r="A80" s="6">
        <v>102280466100</v>
      </c>
      <c r="B80" s="6" t="str">
        <f t="shared" si="2"/>
        <v>102280466100OVR</v>
      </c>
      <c r="C80" t="s">
        <v>175</v>
      </c>
      <c r="D80" t="s">
        <v>63</v>
      </c>
      <c r="E80" s="12">
        <v>7565575</v>
      </c>
      <c r="F80" s="12" t="str">
        <f t="shared" si="3"/>
        <v>7565575OVR</v>
      </c>
      <c r="G80" t="s">
        <v>177</v>
      </c>
      <c r="H80" t="s">
        <v>318</v>
      </c>
      <c r="I80" t="s">
        <v>244</v>
      </c>
      <c r="J80" s="1">
        <v>46204</v>
      </c>
      <c r="K80" s="1">
        <v>46235</v>
      </c>
      <c r="L80" t="s">
        <v>51</v>
      </c>
      <c r="M80" t="s">
        <v>52</v>
      </c>
      <c r="Q80" s="4">
        <v>-12.5</v>
      </c>
      <c r="S80" t="s">
        <v>401</v>
      </c>
    </row>
    <row r="81" spans="1:19" x14ac:dyDescent="0.25">
      <c r="A81" s="6">
        <v>102280764200</v>
      </c>
      <c r="B81" s="6" t="str">
        <f t="shared" si="2"/>
        <v>102280764200OVR</v>
      </c>
      <c r="C81" t="s">
        <v>189</v>
      </c>
      <c r="D81" t="s">
        <v>102</v>
      </c>
      <c r="E81" s="12">
        <v>17886092</v>
      </c>
      <c r="F81" s="12" t="str">
        <f t="shared" si="3"/>
        <v>17886092OVR</v>
      </c>
      <c r="G81" t="s">
        <v>136</v>
      </c>
      <c r="H81" t="s">
        <v>318</v>
      </c>
      <c r="I81" t="s">
        <v>244</v>
      </c>
      <c r="J81" s="1">
        <v>46204</v>
      </c>
      <c r="K81" s="1">
        <v>46235</v>
      </c>
      <c r="L81" t="s">
        <v>51</v>
      </c>
      <c r="M81" t="s">
        <v>52</v>
      </c>
      <c r="Q81" s="4">
        <v>-12.5</v>
      </c>
      <c r="S81" t="s">
        <v>401</v>
      </c>
    </row>
    <row r="82" spans="1:19" x14ac:dyDescent="0.25">
      <c r="A82" s="6">
        <v>102280969100</v>
      </c>
      <c r="B82" s="6" t="str">
        <f t="shared" si="2"/>
        <v>102280969100OVR</v>
      </c>
      <c r="C82" t="s">
        <v>195</v>
      </c>
      <c r="D82" t="s">
        <v>46</v>
      </c>
      <c r="E82" s="12">
        <v>16170994</v>
      </c>
      <c r="F82" s="12" t="str">
        <f t="shared" si="3"/>
        <v>16170994OVR</v>
      </c>
      <c r="G82" t="s">
        <v>166</v>
      </c>
      <c r="H82" t="s">
        <v>318</v>
      </c>
      <c r="I82" t="s">
        <v>244</v>
      </c>
      <c r="J82" s="1">
        <v>46204</v>
      </c>
      <c r="K82" s="1">
        <v>46235</v>
      </c>
      <c r="L82" t="s">
        <v>51</v>
      </c>
      <c r="M82" t="s">
        <v>52</v>
      </c>
      <c r="Q82" s="4">
        <v>-12.5</v>
      </c>
      <c r="S82" t="s">
        <v>401</v>
      </c>
    </row>
    <row r="83" spans="1:19" x14ac:dyDescent="0.25">
      <c r="A83" s="6">
        <v>102281133600</v>
      </c>
      <c r="B83" s="6" t="str">
        <f t="shared" si="2"/>
        <v>102281133600OVR</v>
      </c>
      <c r="C83" t="s">
        <v>197</v>
      </c>
      <c r="D83" t="s">
        <v>56</v>
      </c>
      <c r="E83" s="12">
        <v>8307933</v>
      </c>
      <c r="F83" s="12" t="str">
        <f t="shared" si="3"/>
        <v>8307933OVR</v>
      </c>
      <c r="G83" t="s">
        <v>146</v>
      </c>
      <c r="H83" t="s">
        <v>318</v>
      </c>
      <c r="I83" t="s">
        <v>244</v>
      </c>
      <c r="J83" s="1">
        <v>46204</v>
      </c>
      <c r="K83" s="1">
        <v>46235</v>
      </c>
      <c r="L83" t="s">
        <v>51</v>
      </c>
      <c r="M83" t="s">
        <v>52</v>
      </c>
      <c r="Q83" s="4">
        <v>-12.5</v>
      </c>
      <c r="S83" t="s">
        <v>401</v>
      </c>
    </row>
    <row r="84" spans="1:19" x14ac:dyDescent="0.25">
      <c r="A84" s="6">
        <v>102281524200</v>
      </c>
      <c r="B84" s="6" t="str">
        <f t="shared" si="2"/>
        <v>102281524200OVR</v>
      </c>
      <c r="C84" t="s">
        <v>209</v>
      </c>
      <c r="D84" t="s">
        <v>63</v>
      </c>
      <c r="E84" s="12">
        <v>7152559</v>
      </c>
      <c r="F84" s="12" t="str">
        <f t="shared" si="3"/>
        <v>7152559OVR</v>
      </c>
      <c r="G84" t="s">
        <v>211</v>
      </c>
      <c r="H84" t="s">
        <v>318</v>
      </c>
      <c r="I84" t="s">
        <v>244</v>
      </c>
      <c r="J84" s="1">
        <v>46204</v>
      </c>
      <c r="K84" s="1">
        <v>46235</v>
      </c>
      <c r="L84" t="s">
        <v>51</v>
      </c>
      <c r="M84" t="s">
        <v>52</v>
      </c>
      <c r="Q84" s="4">
        <v>-12.5</v>
      </c>
      <c r="S84" t="s">
        <v>401</v>
      </c>
    </row>
    <row r="85" spans="1:19" x14ac:dyDescent="0.25">
      <c r="A85" s="6">
        <v>102281547100</v>
      </c>
      <c r="B85" s="6" t="str">
        <f t="shared" si="2"/>
        <v>102281547100OVR</v>
      </c>
      <c r="C85" t="s">
        <v>213</v>
      </c>
      <c r="D85" t="s">
        <v>63</v>
      </c>
      <c r="E85" s="12">
        <v>19268643</v>
      </c>
      <c r="F85" s="12" t="str">
        <f t="shared" si="3"/>
        <v>19268643OVR</v>
      </c>
      <c r="G85" t="s">
        <v>215</v>
      </c>
      <c r="H85" t="s">
        <v>318</v>
      </c>
      <c r="I85" t="s">
        <v>244</v>
      </c>
      <c r="J85" s="1">
        <v>46204</v>
      </c>
      <c r="K85" s="1">
        <v>46235</v>
      </c>
      <c r="L85" t="s">
        <v>51</v>
      </c>
      <c r="M85" t="s">
        <v>52</v>
      </c>
      <c r="Q85" s="4">
        <v>-12.5</v>
      </c>
      <c r="S85" t="s">
        <v>401</v>
      </c>
    </row>
    <row r="86" spans="1:19" x14ac:dyDescent="0.25">
      <c r="A86" s="6">
        <v>102281894900</v>
      </c>
      <c r="B86" s="6" t="str">
        <f t="shared" si="2"/>
        <v>102281894900OVR</v>
      </c>
      <c r="C86" t="s">
        <v>225</v>
      </c>
      <c r="D86" t="s">
        <v>46</v>
      </c>
      <c r="E86" s="12">
        <v>16170994</v>
      </c>
      <c r="F86" s="12" t="str">
        <f t="shared" si="3"/>
        <v>16170994OVR</v>
      </c>
      <c r="G86" t="s">
        <v>166</v>
      </c>
      <c r="H86" t="s">
        <v>318</v>
      </c>
      <c r="I86" t="s">
        <v>244</v>
      </c>
      <c r="J86" s="1">
        <v>46204</v>
      </c>
      <c r="K86" s="1">
        <v>46235</v>
      </c>
      <c r="L86" t="s">
        <v>51</v>
      </c>
      <c r="M86" t="s">
        <v>52</v>
      </c>
      <c r="Q86" s="4">
        <v>-12.5</v>
      </c>
      <c r="S86" t="s">
        <v>401</v>
      </c>
    </row>
    <row r="87" spans="1:19" x14ac:dyDescent="0.25">
      <c r="A87" s="6">
        <v>102281898400</v>
      </c>
      <c r="B87" s="6" t="str">
        <f t="shared" si="2"/>
        <v>102281898400OVR</v>
      </c>
      <c r="C87" t="s">
        <v>227</v>
      </c>
      <c r="D87" t="s">
        <v>46</v>
      </c>
      <c r="E87" s="12">
        <v>16170994</v>
      </c>
      <c r="F87" s="12" t="str">
        <f t="shared" si="3"/>
        <v>16170994OVR</v>
      </c>
      <c r="G87" t="s">
        <v>166</v>
      </c>
      <c r="H87" t="s">
        <v>318</v>
      </c>
      <c r="I87" t="s">
        <v>244</v>
      </c>
      <c r="J87" s="1">
        <v>46204</v>
      </c>
      <c r="K87" s="1">
        <v>46235</v>
      </c>
      <c r="L87" t="s">
        <v>51</v>
      </c>
      <c r="M87" t="s">
        <v>52</v>
      </c>
      <c r="Q87" s="4">
        <v>-12.5</v>
      </c>
      <c r="S87" t="s">
        <v>401</v>
      </c>
    </row>
    <row r="88" spans="1:19" x14ac:dyDescent="0.25">
      <c r="A88" s="6">
        <v>102281904500</v>
      </c>
      <c r="B88" s="6" t="str">
        <f t="shared" si="2"/>
        <v>102281904500OVR</v>
      </c>
      <c r="C88" t="s">
        <v>229</v>
      </c>
      <c r="D88" t="s">
        <v>46</v>
      </c>
      <c r="E88" s="12">
        <v>16170994</v>
      </c>
      <c r="F88" s="12" t="str">
        <f t="shared" si="3"/>
        <v>16170994OVR</v>
      </c>
      <c r="G88" t="s">
        <v>166</v>
      </c>
      <c r="H88" t="s">
        <v>318</v>
      </c>
      <c r="I88" t="s">
        <v>244</v>
      </c>
      <c r="J88" s="1">
        <v>46204</v>
      </c>
      <c r="K88" s="1">
        <v>46235</v>
      </c>
      <c r="L88" t="s">
        <v>51</v>
      </c>
      <c r="M88" t="s">
        <v>52</v>
      </c>
      <c r="Q88" s="4">
        <v>-12.5</v>
      </c>
      <c r="S88" t="s">
        <v>401</v>
      </c>
    </row>
    <row r="89" spans="1:19" x14ac:dyDescent="0.25">
      <c r="A89" s="6">
        <v>102281954800</v>
      </c>
      <c r="B89" s="6" t="str">
        <f t="shared" si="2"/>
        <v>102281954800OVR</v>
      </c>
      <c r="C89" t="s">
        <v>235</v>
      </c>
      <c r="D89" t="s">
        <v>63</v>
      </c>
      <c r="E89" s="12">
        <v>8244481</v>
      </c>
      <c r="F89" s="12" t="str">
        <f t="shared" si="3"/>
        <v>8244481OVR</v>
      </c>
      <c r="G89" t="s">
        <v>115</v>
      </c>
      <c r="H89" t="s">
        <v>318</v>
      </c>
      <c r="I89" t="s">
        <v>244</v>
      </c>
      <c r="J89" s="1">
        <v>46204</v>
      </c>
      <c r="K89" s="1">
        <v>46235</v>
      </c>
      <c r="L89" t="s">
        <v>51</v>
      </c>
      <c r="M89" t="s">
        <v>52</v>
      </c>
      <c r="Q89" s="4">
        <v>-12.5</v>
      </c>
      <c r="S89" t="s">
        <v>401</v>
      </c>
    </row>
    <row r="90" spans="1:19" x14ac:dyDescent="0.25">
      <c r="A90" s="6">
        <v>102278678100</v>
      </c>
      <c r="B90" s="6" t="str">
        <f t="shared" si="2"/>
        <v>102278678100OVR</v>
      </c>
      <c r="C90" t="s">
        <v>123</v>
      </c>
      <c r="D90" t="s">
        <v>63</v>
      </c>
      <c r="E90" s="12">
        <v>8244481</v>
      </c>
      <c r="F90" s="12" t="str">
        <f t="shared" si="3"/>
        <v>8244481OVR</v>
      </c>
      <c r="G90" t="s">
        <v>115</v>
      </c>
      <c r="H90" t="s">
        <v>318</v>
      </c>
      <c r="I90" t="s">
        <v>244</v>
      </c>
      <c r="J90" s="1">
        <v>46174</v>
      </c>
      <c r="K90" s="1">
        <v>46204</v>
      </c>
      <c r="L90" t="s">
        <v>51</v>
      </c>
      <c r="M90" t="s">
        <v>52</v>
      </c>
      <c r="Q90" s="4">
        <v>-14.58</v>
      </c>
      <c r="S90" t="s">
        <v>401</v>
      </c>
    </row>
    <row r="91" spans="1:19" x14ac:dyDescent="0.25">
      <c r="A91" s="6">
        <v>102279127200</v>
      </c>
      <c r="B91" s="6" t="str">
        <f t="shared" si="2"/>
        <v>102279127200OVR</v>
      </c>
      <c r="C91" t="s">
        <v>129</v>
      </c>
      <c r="D91" t="s">
        <v>130</v>
      </c>
      <c r="E91" s="12">
        <v>17094718</v>
      </c>
      <c r="F91" s="12" t="str">
        <f t="shared" si="3"/>
        <v>17094718OVR</v>
      </c>
      <c r="G91" t="s">
        <v>132</v>
      </c>
      <c r="H91" t="s">
        <v>318</v>
      </c>
      <c r="I91" t="s">
        <v>244</v>
      </c>
      <c r="J91" s="1">
        <v>46174</v>
      </c>
      <c r="K91" s="1">
        <v>46204</v>
      </c>
      <c r="L91" t="s">
        <v>51</v>
      </c>
      <c r="M91" t="s">
        <v>52</v>
      </c>
      <c r="Q91" s="4">
        <v>-14.58</v>
      </c>
      <c r="S91" t="s">
        <v>401</v>
      </c>
    </row>
    <row r="92" spans="1:19" x14ac:dyDescent="0.25">
      <c r="A92" s="6">
        <v>102280040700</v>
      </c>
      <c r="B92" s="6" t="str">
        <f t="shared" si="2"/>
        <v>102280040700OVR</v>
      </c>
      <c r="C92" t="s">
        <v>140</v>
      </c>
      <c r="D92" t="s">
        <v>63</v>
      </c>
      <c r="E92" s="12">
        <v>8812322</v>
      </c>
      <c r="F92" s="12" t="str">
        <f t="shared" si="3"/>
        <v>8812322OVR</v>
      </c>
      <c r="G92" t="s">
        <v>142</v>
      </c>
      <c r="H92" t="s">
        <v>318</v>
      </c>
      <c r="I92" t="s">
        <v>244</v>
      </c>
      <c r="J92" s="1">
        <v>46174</v>
      </c>
      <c r="K92" s="1">
        <v>46204</v>
      </c>
      <c r="L92" t="s">
        <v>51</v>
      </c>
      <c r="M92" t="s">
        <v>52</v>
      </c>
      <c r="Q92" s="4">
        <v>-14.58</v>
      </c>
      <c r="S92" t="s">
        <v>401</v>
      </c>
    </row>
    <row r="93" spans="1:19" x14ac:dyDescent="0.25">
      <c r="A93" s="6">
        <v>102280074200</v>
      </c>
      <c r="B93" s="6" t="str">
        <f t="shared" si="2"/>
        <v>102280074200OVR</v>
      </c>
      <c r="C93" t="s">
        <v>144</v>
      </c>
      <c r="D93" t="s">
        <v>56</v>
      </c>
      <c r="E93" s="12">
        <v>8307933</v>
      </c>
      <c r="F93" s="12" t="str">
        <f t="shared" si="3"/>
        <v>8307933OVR</v>
      </c>
      <c r="G93" t="s">
        <v>146</v>
      </c>
      <c r="H93" t="s">
        <v>318</v>
      </c>
      <c r="I93" t="s">
        <v>244</v>
      </c>
      <c r="J93" s="1">
        <v>46174</v>
      </c>
      <c r="K93" s="1">
        <v>46204</v>
      </c>
      <c r="L93" t="s">
        <v>51</v>
      </c>
      <c r="M93" t="s">
        <v>52</v>
      </c>
      <c r="Q93" s="4">
        <v>-14.58</v>
      </c>
      <c r="S93" t="s">
        <v>401</v>
      </c>
    </row>
    <row r="94" spans="1:19" x14ac:dyDescent="0.25">
      <c r="A94" s="6">
        <v>102280149200</v>
      </c>
      <c r="B94" s="6" t="str">
        <f t="shared" si="2"/>
        <v>102280149200OVR</v>
      </c>
      <c r="C94" t="s">
        <v>148</v>
      </c>
      <c r="D94" t="s">
        <v>149</v>
      </c>
      <c r="E94" s="12">
        <v>9213293</v>
      </c>
      <c r="F94" s="12" t="str">
        <f t="shared" si="3"/>
        <v>9213293OVR</v>
      </c>
      <c r="G94" t="s">
        <v>84</v>
      </c>
      <c r="H94" t="s">
        <v>318</v>
      </c>
      <c r="I94" t="s">
        <v>244</v>
      </c>
      <c r="J94" s="1">
        <v>46174</v>
      </c>
      <c r="K94" s="1">
        <v>46204</v>
      </c>
      <c r="L94" t="s">
        <v>51</v>
      </c>
      <c r="M94" t="s">
        <v>52</v>
      </c>
      <c r="Q94" s="4">
        <v>-14.58</v>
      </c>
      <c r="S94" t="s">
        <v>401</v>
      </c>
    </row>
    <row r="95" spans="1:19" x14ac:dyDescent="0.25">
      <c r="A95" s="6">
        <v>102280265800</v>
      </c>
      <c r="B95" s="6" t="str">
        <f t="shared" si="2"/>
        <v>102280265800OVR</v>
      </c>
      <c r="C95" t="s">
        <v>164</v>
      </c>
      <c r="D95" t="s">
        <v>46</v>
      </c>
      <c r="E95" s="12">
        <v>16170994</v>
      </c>
      <c r="F95" s="12" t="str">
        <f t="shared" si="3"/>
        <v>16170994OVR</v>
      </c>
      <c r="G95" t="s">
        <v>166</v>
      </c>
      <c r="H95" t="s">
        <v>318</v>
      </c>
      <c r="I95" t="s">
        <v>244</v>
      </c>
      <c r="J95" s="1">
        <v>46174</v>
      </c>
      <c r="K95" s="1">
        <v>46204</v>
      </c>
      <c r="L95" t="s">
        <v>51</v>
      </c>
      <c r="M95" t="s">
        <v>52</v>
      </c>
      <c r="Q95" s="4">
        <v>-14.58</v>
      </c>
      <c r="S95" t="s">
        <v>401</v>
      </c>
    </row>
    <row r="96" spans="1:19" x14ac:dyDescent="0.25">
      <c r="A96" s="6">
        <v>102280421300</v>
      </c>
      <c r="B96" s="6" t="str">
        <f t="shared" si="2"/>
        <v>102280421300OVR</v>
      </c>
      <c r="C96" t="s">
        <v>168</v>
      </c>
      <c r="D96" t="s">
        <v>169</v>
      </c>
      <c r="E96" s="12">
        <v>7470776</v>
      </c>
      <c r="F96" s="12" t="str">
        <f t="shared" si="3"/>
        <v>7470776OVR</v>
      </c>
      <c r="G96" t="s">
        <v>171</v>
      </c>
      <c r="H96" t="s">
        <v>318</v>
      </c>
      <c r="I96" t="s">
        <v>244</v>
      </c>
      <c r="J96" s="1">
        <v>46174</v>
      </c>
      <c r="K96" s="1">
        <v>46204</v>
      </c>
      <c r="L96" t="s">
        <v>51</v>
      </c>
      <c r="M96" t="s">
        <v>52</v>
      </c>
      <c r="Q96" s="4">
        <v>-14.58</v>
      </c>
      <c r="S96" t="s">
        <v>401</v>
      </c>
    </row>
    <row r="97" spans="1:19" x14ac:dyDescent="0.25">
      <c r="A97" s="6">
        <v>102280464500</v>
      </c>
      <c r="B97" s="6" t="str">
        <f t="shared" si="2"/>
        <v>102280464500OVR</v>
      </c>
      <c r="C97" t="s">
        <v>173</v>
      </c>
      <c r="D97" t="s">
        <v>102</v>
      </c>
      <c r="E97" s="12">
        <v>17528908</v>
      </c>
      <c r="F97" s="12" t="str">
        <f t="shared" si="3"/>
        <v>17528908OVR</v>
      </c>
      <c r="G97" t="s">
        <v>104</v>
      </c>
      <c r="H97" t="s">
        <v>318</v>
      </c>
      <c r="I97" t="s">
        <v>244</v>
      </c>
      <c r="J97" s="1">
        <v>46174</v>
      </c>
      <c r="K97" s="1">
        <v>46204</v>
      </c>
      <c r="L97" t="s">
        <v>51</v>
      </c>
      <c r="M97" t="s">
        <v>52</v>
      </c>
      <c r="Q97" s="4">
        <v>-14.58</v>
      </c>
      <c r="S97" t="s">
        <v>401</v>
      </c>
    </row>
    <row r="98" spans="1:19" x14ac:dyDescent="0.25">
      <c r="A98" s="6">
        <v>102280581000</v>
      </c>
      <c r="B98" s="6" t="str">
        <f t="shared" si="2"/>
        <v>102280581000OVR</v>
      </c>
      <c r="C98" t="s">
        <v>179</v>
      </c>
      <c r="D98" t="s">
        <v>46</v>
      </c>
      <c r="E98" s="12">
        <v>16170994</v>
      </c>
      <c r="F98" s="12" t="str">
        <f t="shared" si="3"/>
        <v>16170994OVR</v>
      </c>
      <c r="G98" t="s">
        <v>166</v>
      </c>
      <c r="H98" t="s">
        <v>318</v>
      </c>
      <c r="I98" t="s">
        <v>244</v>
      </c>
      <c r="J98" s="1">
        <v>46174</v>
      </c>
      <c r="K98" s="1">
        <v>46204</v>
      </c>
      <c r="L98" t="s">
        <v>51</v>
      </c>
      <c r="M98" t="s">
        <v>52</v>
      </c>
      <c r="Q98" s="4">
        <v>-14.58</v>
      </c>
      <c r="S98" t="s">
        <v>401</v>
      </c>
    </row>
    <row r="99" spans="1:19" x14ac:dyDescent="0.25">
      <c r="A99" s="6">
        <v>102280590400</v>
      </c>
      <c r="B99" s="6" t="str">
        <f t="shared" si="2"/>
        <v>102280590400OVR</v>
      </c>
      <c r="C99" t="s">
        <v>183</v>
      </c>
      <c r="D99" t="s">
        <v>46</v>
      </c>
      <c r="E99" s="12">
        <v>16170994</v>
      </c>
      <c r="F99" s="12" t="str">
        <f t="shared" si="3"/>
        <v>16170994OVR</v>
      </c>
      <c r="G99" t="s">
        <v>166</v>
      </c>
      <c r="H99" t="s">
        <v>318</v>
      </c>
      <c r="I99" t="s">
        <v>244</v>
      </c>
      <c r="J99" s="1">
        <v>46174</v>
      </c>
      <c r="K99" s="1">
        <v>46204</v>
      </c>
      <c r="L99" t="s">
        <v>51</v>
      </c>
      <c r="M99" t="s">
        <v>52</v>
      </c>
      <c r="Q99" s="4">
        <v>-14.58</v>
      </c>
      <c r="S99" t="s">
        <v>401</v>
      </c>
    </row>
    <row r="100" spans="1:19" x14ac:dyDescent="0.25">
      <c r="A100" s="6">
        <v>102280689200</v>
      </c>
      <c r="B100" s="6" t="str">
        <f t="shared" si="2"/>
        <v>102280689200OVR</v>
      </c>
      <c r="C100" t="s">
        <v>185</v>
      </c>
      <c r="D100" t="s">
        <v>87</v>
      </c>
      <c r="E100" s="12">
        <v>19645587</v>
      </c>
      <c r="F100" s="12" t="str">
        <f t="shared" si="3"/>
        <v>19645587OVR</v>
      </c>
      <c r="G100" t="s">
        <v>111</v>
      </c>
      <c r="H100" t="s">
        <v>318</v>
      </c>
      <c r="I100" t="s">
        <v>244</v>
      </c>
      <c r="J100" s="1">
        <v>46174</v>
      </c>
      <c r="K100" s="1">
        <v>46204</v>
      </c>
      <c r="L100" t="s">
        <v>51</v>
      </c>
      <c r="M100" t="s">
        <v>52</v>
      </c>
      <c r="Q100" s="4">
        <v>-14.58</v>
      </c>
      <c r="S100" t="s">
        <v>401</v>
      </c>
    </row>
    <row r="101" spans="1:19" x14ac:dyDescent="0.25">
      <c r="A101" s="6">
        <v>102280752000</v>
      </c>
      <c r="B101" s="6" t="str">
        <f t="shared" si="2"/>
        <v>102280752000OVR</v>
      </c>
      <c r="C101" t="s">
        <v>187</v>
      </c>
      <c r="D101" t="s">
        <v>63</v>
      </c>
      <c r="E101" s="12">
        <v>16633294</v>
      </c>
      <c r="F101" s="12" t="str">
        <f t="shared" si="3"/>
        <v>16633294OVR</v>
      </c>
      <c r="G101" t="s">
        <v>93</v>
      </c>
      <c r="H101" t="s">
        <v>318</v>
      </c>
      <c r="I101" t="s">
        <v>244</v>
      </c>
      <c r="J101" s="1">
        <v>46174</v>
      </c>
      <c r="K101" s="1">
        <v>46204</v>
      </c>
      <c r="L101" t="s">
        <v>51</v>
      </c>
      <c r="M101" t="s">
        <v>52</v>
      </c>
      <c r="Q101" s="4">
        <v>-14.58</v>
      </c>
      <c r="S101" t="s">
        <v>401</v>
      </c>
    </row>
    <row r="102" spans="1:19" x14ac:dyDescent="0.25">
      <c r="A102" s="6">
        <v>102280776800</v>
      </c>
      <c r="B102" s="6" t="str">
        <f t="shared" si="2"/>
        <v>102280776800OVR</v>
      </c>
      <c r="C102" t="s">
        <v>191</v>
      </c>
      <c r="D102" t="s">
        <v>46</v>
      </c>
      <c r="E102" s="12">
        <v>16170994</v>
      </c>
      <c r="F102" s="12" t="str">
        <f t="shared" si="3"/>
        <v>16170994OVR</v>
      </c>
      <c r="G102" t="s">
        <v>166</v>
      </c>
      <c r="H102" t="s">
        <v>318</v>
      </c>
      <c r="I102" t="s">
        <v>244</v>
      </c>
      <c r="J102" s="1">
        <v>46174</v>
      </c>
      <c r="K102" s="1">
        <v>46204</v>
      </c>
      <c r="L102" t="s">
        <v>51</v>
      </c>
      <c r="M102" t="s">
        <v>52</v>
      </c>
      <c r="Q102" s="4">
        <v>-14.58</v>
      </c>
      <c r="S102" t="s">
        <v>401</v>
      </c>
    </row>
    <row r="103" spans="1:19" x14ac:dyDescent="0.25">
      <c r="A103" s="6">
        <v>102281143100</v>
      </c>
      <c r="B103" s="6" t="str">
        <f t="shared" si="2"/>
        <v>102281143100OVR</v>
      </c>
      <c r="C103" t="s">
        <v>199</v>
      </c>
      <c r="D103" t="s">
        <v>46</v>
      </c>
      <c r="E103" s="12">
        <v>17094718</v>
      </c>
      <c r="F103" s="12" t="str">
        <f t="shared" si="3"/>
        <v>17094718OVR</v>
      </c>
      <c r="G103" t="s">
        <v>132</v>
      </c>
      <c r="H103" t="s">
        <v>318</v>
      </c>
      <c r="I103" t="s">
        <v>244</v>
      </c>
      <c r="J103" s="1">
        <v>46174</v>
      </c>
      <c r="K103" s="1">
        <v>46204</v>
      </c>
      <c r="L103" t="s">
        <v>51</v>
      </c>
      <c r="M103" t="s">
        <v>52</v>
      </c>
      <c r="Q103" s="4">
        <v>-14.58</v>
      </c>
      <c r="S103" t="s">
        <v>401</v>
      </c>
    </row>
    <row r="104" spans="1:19" x14ac:dyDescent="0.25">
      <c r="A104" s="6">
        <v>102281288800</v>
      </c>
      <c r="B104" s="6" t="str">
        <f t="shared" si="2"/>
        <v>102281288800OVR</v>
      </c>
      <c r="C104" t="s">
        <v>203</v>
      </c>
      <c r="D104" t="s">
        <v>63</v>
      </c>
      <c r="E104" s="12">
        <v>8244481</v>
      </c>
      <c r="F104" s="12" t="str">
        <f t="shared" si="3"/>
        <v>8244481OVR</v>
      </c>
      <c r="G104" t="s">
        <v>115</v>
      </c>
      <c r="H104" t="s">
        <v>318</v>
      </c>
      <c r="I104" t="s">
        <v>244</v>
      </c>
      <c r="J104" s="1">
        <v>46174</v>
      </c>
      <c r="K104" s="1">
        <v>46204</v>
      </c>
      <c r="L104" t="s">
        <v>51</v>
      </c>
      <c r="M104" t="s">
        <v>52</v>
      </c>
      <c r="Q104" s="4">
        <v>-14.58</v>
      </c>
      <c r="S104" t="s">
        <v>401</v>
      </c>
    </row>
    <row r="105" spans="1:19" x14ac:dyDescent="0.25">
      <c r="A105" s="6">
        <v>102281387100</v>
      </c>
      <c r="B105" s="6" t="str">
        <f t="shared" si="2"/>
        <v>102281387100OVR</v>
      </c>
      <c r="C105" t="s">
        <v>205</v>
      </c>
      <c r="D105" t="s">
        <v>102</v>
      </c>
      <c r="E105" s="12">
        <v>20253958</v>
      </c>
      <c r="F105" s="12" t="str">
        <f t="shared" si="3"/>
        <v>20253958OVR</v>
      </c>
      <c r="G105" t="s">
        <v>127</v>
      </c>
      <c r="H105" t="s">
        <v>318</v>
      </c>
      <c r="I105" t="s">
        <v>244</v>
      </c>
      <c r="J105" s="1">
        <v>46174</v>
      </c>
      <c r="K105" s="1">
        <v>46204</v>
      </c>
      <c r="L105" t="s">
        <v>51</v>
      </c>
      <c r="M105" t="s">
        <v>52</v>
      </c>
      <c r="Q105" s="4">
        <v>-14.58</v>
      </c>
      <c r="S105" t="s">
        <v>401</v>
      </c>
    </row>
    <row r="106" spans="1:19" x14ac:dyDescent="0.25">
      <c r="A106" s="6">
        <v>102281476200</v>
      </c>
      <c r="B106" s="6" t="str">
        <f t="shared" si="2"/>
        <v>102281476200OVR</v>
      </c>
      <c r="C106" t="s">
        <v>207</v>
      </c>
      <c r="D106" t="s">
        <v>102</v>
      </c>
      <c r="E106" s="12">
        <v>17886092</v>
      </c>
      <c r="F106" s="12" t="str">
        <f t="shared" si="3"/>
        <v>17886092OVR</v>
      </c>
      <c r="G106" t="s">
        <v>136</v>
      </c>
      <c r="H106" t="s">
        <v>318</v>
      </c>
      <c r="I106" t="s">
        <v>244</v>
      </c>
      <c r="J106" s="1">
        <v>46174</v>
      </c>
      <c r="K106" s="1">
        <v>46204</v>
      </c>
      <c r="L106" t="s">
        <v>51</v>
      </c>
      <c r="M106" t="s">
        <v>52</v>
      </c>
      <c r="Q106" s="4">
        <v>-14.58</v>
      </c>
      <c r="S106" t="s">
        <v>401</v>
      </c>
    </row>
    <row r="107" spans="1:19" x14ac:dyDescent="0.25">
      <c r="A107" s="6">
        <v>102281737500</v>
      </c>
      <c r="B107" s="6" t="str">
        <f t="shared" si="2"/>
        <v>102281737500OVR</v>
      </c>
      <c r="C107" t="s">
        <v>217</v>
      </c>
      <c r="D107" t="s">
        <v>63</v>
      </c>
      <c r="E107" s="12">
        <v>7146581</v>
      </c>
      <c r="F107" s="12" t="str">
        <f t="shared" si="3"/>
        <v>7146581OVR</v>
      </c>
      <c r="G107" t="s">
        <v>219</v>
      </c>
      <c r="H107" t="s">
        <v>318</v>
      </c>
      <c r="I107" t="s">
        <v>244</v>
      </c>
      <c r="J107" s="1">
        <v>46174</v>
      </c>
      <c r="K107" s="1">
        <v>46204</v>
      </c>
      <c r="L107" t="s">
        <v>51</v>
      </c>
      <c r="M107" t="s">
        <v>52</v>
      </c>
      <c r="Q107" s="4">
        <v>-14.58</v>
      </c>
      <c r="S107" t="s">
        <v>401</v>
      </c>
    </row>
    <row r="108" spans="1:19" x14ac:dyDescent="0.25">
      <c r="A108" s="6">
        <v>102281860300</v>
      </c>
      <c r="B108" s="6" t="str">
        <f t="shared" si="2"/>
        <v>102281860300OVR</v>
      </c>
      <c r="C108" t="s">
        <v>223</v>
      </c>
      <c r="D108" t="s">
        <v>63</v>
      </c>
      <c r="E108" s="12">
        <v>9213293</v>
      </c>
      <c r="F108" s="12" t="str">
        <f t="shared" si="3"/>
        <v>9213293OVR</v>
      </c>
      <c r="G108" t="s">
        <v>84</v>
      </c>
      <c r="H108" t="s">
        <v>318</v>
      </c>
      <c r="I108" t="s">
        <v>244</v>
      </c>
      <c r="J108" s="1">
        <v>46174</v>
      </c>
      <c r="K108" s="1">
        <v>46204</v>
      </c>
      <c r="L108" t="s">
        <v>51</v>
      </c>
      <c r="M108" t="s">
        <v>52</v>
      </c>
      <c r="Q108" s="4">
        <v>-14.58</v>
      </c>
      <c r="S108" t="s">
        <v>401</v>
      </c>
    </row>
    <row r="109" spans="1:19" x14ac:dyDescent="0.25">
      <c r="A109" s="6">
        <v>102281909800</v>
      </c>
      <c r="B109" s="6" t="str">
        <f t="shared" si="2"/>
        <v>102281909800OVR</v>
      </c>
      <c r="C109" t="s">
        <v>231</v>
      </c>
      <c r="D109" t="s">
        <v>130</v>
      </c>
      <c r="E109" s="12">
        <v>16849453</v>
      </c>
      <c r="F109" s="12" t="str">
        <f t="shared" si="3"/>
        <v>16849453OVR</v>
      </c>
      <c r="G109" t="s">
        <v>233</v>
      </c>
      <c r="H109" t="s">
        <v>318</v>
      </c>
      <c r="I109" t="s">
        <v>244</v>
      </c>
      <c r="J109" s="1">
        <v>46174</v>
      </c>
      <c r="K109" s="1">
        <v>46204</v>
      </c>
      <c r="L109" t="s">
        <v>51</v>
      </c>
      <c r="M109" t="s">
        <v>52</v>
      </c>
      <c r="Q109" s="4">
        <v>-14.58</v>
      </c>
      <c r="S109" t="s">
        <v>401</v>
      </c>
    </row>
    <row r="110" spans="1:19" x14ac:dyDescent="0.25">
      <c r="A110" s="6">
        <v>102282033400</v>
      </c>
      <c r="B110" s="6" t="str">
        <f t="shared" si="2"/>
        <v>102282033400OVR</v>
      </c>
      <c r="C110" t="s">
        <v>237</v>
      </c>
      <c r="D110" t="s">
        <v>169</v>
      </c>
      <c r="E110" s="12">
        <v>371819</v>
      </c>
      <c r="F110" s="12" t="str">
        <f t="shared" si="3"/>
        <v>371819OVR</v>
      </c>
      <c r="G110" t="s">
        <v>239</v>
      </c>
      <c r="H110" t="s">
        <v>318</v>
      </c>
      <c r="I110" t="s">
        <v>244</v>
      </c>
      <c r="J110" s="1">
        <v>46174</v>
      </c>
      <c r="K110" s="1">
        <v>46204</v>
      </c>
      <c r="L110" t="s">
        <v>51</v>
      </c>
      <c r="M110" t="s">
        <v>52</v>
      </c>
      <c r="Q110" s="4">
        <v>-14.58</v>
      </c>
      <c r="S110" t="s">
        <v>401</v>
      </c>
    </row>
    <row r="111" spans="1:19" x14ac:dyDescent="0.25">
      <c r="A111" s="6">
        <v>101144295300</v>
      </c>
      <c r="B111" s="6" t="str">
        <f t="shared" si="2"/>
        <v>101144295300OVR</v>
      </c>
      <c r="C111" t="s">
        <v>323</v>
      </c>
      <c r="D111" t="s">
        <v>63</v>
      </c>
      <c r="E111" s="12">
        <v>9213293</v>
      </c>
      <c r="F111" s="12" t="str">
        <f t="shared" si="3"/>
        <v>9213293OVR</v>
      </c>
      <c r="G111" t="s">
        <v>84</v>
      </c>
      <c r="H111" t="s">
        <v>318</v>
      </c>
      <c r="I111" t="s">
        <v>244</v>
      </c>
      <c r="J111" s="1">
        <v>46113</v>
      </c>
      <c r="K111" s="1">
        <v>46204</v>
      </c>
      <c r="L111" t="s">
        <v>51</v>
      </c>
      <c r="M111" t="s">
        <v>52</v>
      </c>
      <c r="Q111" s="4">
        <v>-14.58</v>
      </c>
      <c r="S111" t="s">
        <v>401</v>
      </c>
    </row>
    <row r="112" spans="1:19" x14ac:dyDescent="0.25">
      <c r="A112" s="6">
        <v>102277422000</v>
      </c>
      <c r="B112" s="6" t="str">
        <f t="shared" si="2"/>
        <v>102277422000OVR</v>
      </c>
      <c r="C112" t="s">
        <v>91</v>
      </c>
      <c r="D112" t="s">
        <v>63</v>
      </c>
      <c r="E112" s="12">
        <v>16633294</v>
      </c>
      <c r="F112" s="12" t="str">
        <f t="shared" si="3"/>
        <v>16633294OVR</v>
      </c>
      <c r="G112" t="s">
        <v>93</v>
      </c>
      <c r="H112" t="s">
        <v>318</v>
      </c>
      <c r="I112" t="s">
        <v>244</v>
      </c>
      <c r="J112" s="1">
        <v>46143</v>
      </c>
      <c r="K112" s="1">
        <v>46204</v>
      </c>
      <c r="L112" t="s">
        <v>51</v>
      </c>
      <c r="M112" t="s">
        <v>52</v>
      </c>
      <c r="Q112" s="4">
        <v>-16.670000000000002</v>
      </c>
      <c r="S112" t="s">
        <v>401</v>
      </c>
    </row>
    <row r="113" spans="1:19" x14ac:dyDescent="0.25">
      <c r="A113" s="6">
        <v>102277451400</v>
      </c>
      <c r="B113" s="6" t="str">
        <f t="shared" si="2"/>
        <v>102277451400OVR</v>
      </c>
      <c r="C113" t="s">
        <v>96</v>
      </c>
      <c r="D113" t="s">
        <v>97</v>
      </c>
      <c r="E113" s="12">
        <v>20003537</v>
      </c>
      <c r="F113" s="12" t="str">
        <f t="shared" si="3"/>
        <v>20003537OVR</v>
      </c>
      <c r="G113" t="s">
        <v>99</v>
      </c>
      <c r="H113" t="s">
        <v>318</v>
      </c>
      <c r="I113" t="s">
        <v>244</v>
      </c>
      <c r="J113" s="1">
        <v>46143</v>
      </c>
      <c r="K113" s="1">
        <v>46204</v>
      </c>
      <c r="L113" t="s">
        <v>51</v>
      </c>
      <c r="M113" t="s">
        <v>52</v>
      </c>
      <c r="Q113" s="4">
        <v>-16.670000000000002</v>
      </c>
      <c r="S113" t="s">
        <v>401</v>
      </c>
    </row>
    <row r="114" spans="1:19" x14ac:dyDescent="0.25">
      <c r="A114" s="6">
        <v>102277514700</v>
      </c>
      <c r="B114" s="6" t="str">
        <f t="shared" si="2"/>
        <v>102277514700OVR</v>
      </c>
      <c r="C114" t="s">
        <v>101</v>
      </c>
      <c r="D114" t="s">
        <v>102</v>
      </c>
      <c r="E114" s="12">
        <v>17528908</v>
      </c>
      <c r="F114" s="12" t="str">
        <f t="shared" si="3"/>
        <v>17528908OVR</v>
      </c>
      <c r="G114" t="s">
        <v>104</v>
      </c>
      <c r="H114" t="s">
        <v>318</v>
      </c>
      <c r="I114" t="s">
        <v>244</v>
      </c>
      <c r="J114" s="1">
        <v>46143</v>
      </c>
      <c r="K114" s="1">
        <v>46204</v>
      </c>
      <c r="L114" t="s">
        <v>51</v>
      </c>
      <c r="M114" t="s">
        <v>52</v>
      </c>
      <c r="Q114" s="4">
        <v>-16.670000000000002</v>
      </c>
      <c r="S114" t="s">
        <v>401</v>
      </c>
    </row>
    <row r="115" spans="1:19" x14ac:dyDescent="0.25">
      <c r="A115" s="6">
        <v>102277560300</v>
      </c>
      <c r="B115" s="6" t="str">
        <f t="shared" si="2"/>
        <v>102277560300OVR</v>
      </c>
      <c r="C115" t="s">
        <v>106</v>
      </c>
      <c r="D115" t="s">
        <v>102</v>
      </c>
      <c r="E115" s="12">
        <v>17528908</v>
      </c>
      <c r="F115" s="12" t="str">
        <f t="shared" si="3"/>
        <v>17528908OVR</v>
      </c>
      <c r="G115" t="s">
        <v>104</v>
      </c>
      <c r="H115" t="s">
        <v>318</v>
      </c>
      <c r="I115" t="s">
        <v>244</v>
      </c>
      <c r="J115" s="1">
        <v>46143</v>
      </c>
      <c r="K115" s="1">
        <v>46204</v>
      </c>
      <c r="L115" t="s">
        <v>51</v>
      </c>
      <c r="M115" t="s">
        <v>52</v>
      </c>
      <c r="Q115" s="4">
        <v>-16.670000000000002</v>
      </c>
      <c r="S115" t="s">
        <v>401</v>
      </c>
    </row>
    <row r="116" spans="1:19" x14ac:dyDescent="0.25">
      <c r="A116" s="6">
        <v>102277718400</v>
      </c>
      <c r="B116" s="6" t="str">
        <f t="shared" si="2"/>
        <v>102277718400OVR</v>
      </c>
      <c r="C116" t="s">
        <v>108</v>
      </c>
      <c r="D116" t="s">
        <v>109</v>
      </c>
      <c r="E116" s="12">
        <v>19645587</v>
      </c>
      <c r="F116" s="12" t="str">
        <f t="shared" si="3"/>
        <v>19645587OVR</v>
      </c>
      <c r="G116" t="s">
        <v>111</v>
      </c>
      <c r="H116" t="s">
        <v>318</v>
      </c>
      <c r="I116" t="s">
        <v>244</v>
      </c>
      <c r="J116" s="1">
        <v>46143</v>
      </c>
      <c r="K116" s="1">
        <v>46204</v>
      </c>
      <c r="L116" t="s">
        <v>51</v>
      </c>
      <c r="M116" t="s">
        <v>52</v>
      </c>
      <c r="Q116" s="4">
        <v>-16.670000000000002</v>
      </c>
      <c r="S116" t="s">
        <v>401</v>
      </c>
    </row>
    <row r="117" spans="1:19" x14ac:dyDescent="0.25">
      <c r="A117" s="6">
        <v>102278123800</v>
      </c>
      <c r="B117" s="6" t="str">
        <f t="shared" si="2"/>
        <v>102278123800OVR</v>
      </c>
      <c r="C117" t="s">
        <v>117</v>
      </c>
      <c r="D117" t="s">
        <v>102</v>
      </c>
      <c r="E117" s="12">
        <v>17528908</v>
      </c>
      <c r="F117" s="12" t="str">
        <f t="shared" si="3"/>
        <v>17528908OVR</v>
      </c>
      <c r="G117" t="s">
        <v>104</v>
      </c>
      <c r="H117" t="s">
        <v>318</v>
      </c>
      <c r="I117" t="s">
        <v>244</v>
      </c>
      <c r="J117" s="1">
        <v>46143</v>
      </c>
      <c r="K117" s="1">
        <v>46204</v>
      </c>
      <c r="L117" t="s">
        <v>51</v>
      </c>
      <c r="M117" t="s">
        <v>52</v>
      </c>
      <c r="Q117" s="4">
        <v>-16.670000000000002</v>
      </c>
      <c r="S117" t="s">
        <v>401</v>
      </c>
    </row>
    <row r="118" spans="1:19" x14ac:dyDescent="0.25">
      <c r="A118" s="6">
        <v>102278225800</v>
      </c>
      <c r="B118" s="6" t="str">
        <f t="shared" si="2"/>
        <v>102278225800OVR</v>
      </c>
      <c r="C118" t="s">
        <v>119</v>
      </c>
      <c r="D118" t="s">
        <v>102</v>
      </c>
      <c r="E118" s="12">
        <v>9254978</v>
      </c>
      <c r="F118" s="12" t="str">
        <f t="shared" si="3"/>
        <v>9254978OVR</v>
      </c>
      <c r="G118" t="s">
        <v>121</v>
      </c>
      <c r="H118" t="s">
        <v>318</v>
      </c>
      <c r="I118" t="s">
        <v>244</v>
      </c>
      <c r="J118" s="1">
        <v>46143</v>
      </c>
      <c r="K118" s="1">
        <v>46204</v>
      </c>
      <c r="L118" t="s">
        <v>51</v>
      </c>
      <c r="M118" t="s">
        <v>52</v>
      </c>
      <c r="Q118" s="4">
        <v>-16.670000000000002</v>
      </c>
      <c r="S118" t="s">
        <v>401</v>
      </c>
    </row>
    <row r="119" spans="1:19" x14ac:dyDescent="0.25">
      <c r="A119" s="6" t="s">
        <v>398</v>
      </c>
      <c r="B119" s="6" t="str">
        <f t="shared" si="2"/>
        <v>68F8X1F79OVR</v>
      </c>
      <c r="C119" t="s">
        <v>276</v>
      </c>
      <c r="D119" t="s">
        <v>46</v>
      </c>
      <c r="E119" s="12">
        <v>18598357</v>
      </c>
      <c r="F119" s="12" t="str">
        <f t="shared" si="3"/>
        <v>18598357OVR</v>
      </c>
      <c r="G119" t="s">
        <v>278</v>
      </c>
      <c r="H119" t="s">
        <v>59</v>
      </c>
      <c r="I119" t="s">
        <v>279</v>
      </c>
      <c r="J119" s="1">
        <v>46174</v>
      </c>
      <c r="K119" s="1">
        <v>46387</v>
      </c>
      <c r="L119" t="s">
        <v>51</v>
      </c>
      <c r="M119" t="s">
        <v>52</v>
      </c>
      <c r="N119" s="2">
        <v>0</v>
      </c>
      <c r="O119" s="2">
        <v>100</v>
      </c>
      <c r="P119">
        <v>1</v>
      </c>
      <c r="Q119" s="2">
        <v>100</v>
      </c>
      <c r="S119" t="s">
        <v>402</v>
      </c>
    </row>
    <row r="120" spans="1:19" x14ac:dyDescent="0.25">
      <c r="A120" s="6" t="s">
        <v>395</v>
      </c>
      <c r="B120" s="6" t="str">
        <f t="shared" si="2"/>
        <v>00026636900KOVR</v>
      </c>
      <c r="C120" t="s">
        <v>77</v>
      </c>
      <c r="D120" t="s">
        <v>63</v>
      </c>
      <c r="E120" s="12">
        <v>8405446</v>
      </c>
      <c r="F120" s="12" t="str">
        <f t="shared" si="3"/>
        <v>8405446OVR</v>
      </c>
      <c r="G120" t="s">
        <v>79</v>
      </c>
      <c r="H120" t="s">
        <v>59</v>
      </c>
      <c r="I120" t="s">
        <v>50</v>
      </c>
      <c r="J120" s="1">
        <v>46235</v>
      </c>
      <c r="K120" s="1">
        <v>46387</v>
      </c>
      <c r="L120" t="s">
        <v>51</v>
      </c>
      <c r="M120" t="s">
        <v>52</v>
      </c>
      <c r="N120" s="2">
        <v>0</v>
      </c>
      <c r="O120" s="2">
        <v>175</v>
      </c>
      <c r="P120">
        <v>1</v>
      </c>
      <c r="Q120" s="2">
        <v>175</v>
      </c>
      <c r="S120" t="s">
        <v>403</v>
      </c>
    </row>
    <row r="121" spans="1:19" x14ac:dyDescent="0.25">
      <c r="A121" s="6" t="s">
        <v>396</v>
      </c>
      <c r="B121" s="6" t="str">
        <f t="shared" si="2"/>
        <v>00026637276KOVR</v>
      </c>
      <c r="C121" t="s">
        <v>81</v>
      </c>
      <c r="D121" t="s">
        <v>82</v>
      </c>
      <c r="E121" s="12">
        <v>9213293</v>
      </c>
      <c r="F121" s="12" t="str">
        <f t="shared" si="3"/>
        <v>9213293OVR</v>
      </c>
      <c r="G121" t="s">
        <v>84</v>
      </c>
      <c r="H121" t="s">
        <v>59</v>
      </c>
      <c r="I121" t="s">
        <v>50</v>
      </c>
      <c r="J121" s="1">
        <v>46235</v>
      </c>
      <c r="K121" s="1">
        <v>46387</v>
      </c>
      <c r="L121" t="s">
        <v>51</v>
      </c>
      <c r="M121" t="s">
        <v>52</v>
      </c>
      <c r="N121" s="2">
        <v>0</v>
      </c>
      <c r="O121" s="2">
        <v>175</v>
      </c>
      <c r="P121">
        <v>1</v>
      </c>
      <c r="Q121" s="2">
        <v>175</v>
      </c>
      <c r="S121" t="s">
        <v>403</v>
      </c>
    </row>
    <row r="122" spans="1:19" x14ac:dyDescent="0.25">
      <c r="A122" s="6" t="s">
        <v>397</v>
      </c>
      <c r="B122" s="6" t="str">
        <f t="shared" si="2"/>
        <v>00026642926KOVR</v>
      </c>
      <c r="C122" t="s">
        <v>86</v>
      </c>
      <c r="D122" t="s">
        <v>87</v>
      </c>
      <c r="E122" s="12">
        <v>19681796</v>
      </c>
      <c r="F122" s="12" t="str">
        <f t="shared" si="3"/>
        <v>19681796OVR</v>
      </c>
      <c r="G122" t="s">
        <v>89</v>
      </c>
      <c r="H122" t="s">
        <v>59</v>
      </c>
      <c r="I122" t="s">
        <v>50</v>
      </c>
      <c r="J122" s="1">
        <v>46235</v>
      </c>
      <c r="K122" s="1">
        <v>46387</v>
      </c>
      <c r="L122" t="s">
        <v>51</v>
      </c>
      <c r="M122" t="s">
        <v>52</v>
      </c>
      <c r="N122" s="2">
        <v>0</v>
      </c>
      <c r="O122" s="2">
        <v>175</v>
      </c>
      <c r="P122">
        <v>1</v>
      </c>
      <c r="Q122" s="2">
        <v>175</v>
      </c>
      <c r="S122" t="s">
        <v>403</v>
      </c>
    </row>
    <row r="123" spans="1:19" x14ac:dyDescent="0.25">
      <c r="A123" s="6" t="s">
        <v>393</v>
      </c>
      <c r="B123" s="6" t="str">
        <f t="shared" si="2"/>
        <v>00026629012KOVR</v>
      </c>
      <c r="C123" t="s">
        <v>71</v>
      </c>
      <c r="D123" t="s">
        <v>63</v>
      </c>
      <c r="E123" s="12">
        <v>19396223</v>
      </c>
      <c r="F123" s="12" t="str">
        <f t="shared" si="3"/>
        <v>19396223OVR</v>
      </c>
      <c r="G123" t="s">
        <v>73</v>
      </c>
      <c r="H123" t="s">
        <v>59</v>
      </c>
      <c r="I123" t="s">
        <v>50</v>
      </c>
      <c r="J123" s="1">
        <v>46204</v>
      </c>
      <c r="K123" s="1">
        <v>46387</v>
      </c>
      <c r="L123" t="s">
        <v>51</v>
      </c>
      <c r="M123" t="s">
        <v>52</v>
      </c>
      <c r="N123" s="2">
        <v>0</v>
      </c>
      <c r="O123" s="2">
        <v>175</v>
      </c>
      <c r="P123">
        <v>1</v>
      </c>
      <c r="Q123" s="2">
        <v>175</v>
      </c>
      <c r="S123" t="s">
        <v>403</v>
      </c>
    </row>
    <row r="124" spans="1:19" x14ac:dyDescent="0.25">
      <c r="A124" s="6" t="s">
        <v>394</v>
      </c>
      <c r="B124" s="6" t="str">
        <f t="shared" si="2"/>
        <v>00026633658KOVR</v>
      </c>
      <c r="C124" t="s">
        <v>75</v>
      </c>
      <c r="D124" t="s">
        <v>63</v>
      </c>
      <c r="E124" s="12">
        <v>19396223</v>
      </c>
      <c r="F124" s="12" t="str">
        <f t="shared" si="3"/>
        <v>19396223OVR</v>
      </c>
      <c r="G124" t="s">
        <v>73</v>
      </c>
      <c r="H124" t="s">
        <v>59</v>
      </c>
      <c r="I124" t="s">
        <v>50</v>
      </c>
      <c r="J124" s="1">
        <v>46204</v>
      </c>
      <c r="K124" s="1">
        <v>46387</v>
      </c>
      <c r="L124" t="s">
        <v>51</v>
      </c>
      <c r="M124" t="s">
        <v>52</v>
      </c>
      <c r="N124" s="2">
        <v>0</v>
      </c>
      <c r="O124" s="2">
        <v>175</v>
      </c>
      <c r="P124">
        <v>1</v>
      </c>
      <c r="Q124" s="2">
        <v>175</v>
      </c>
      <c r="S124" t="s">
        <v>403</v>
      </c>
    </row>
    <row r="125" spans="1:19" x14ac:dyDescent="0.25">
      <c r="A125" s="6" t="s">
        <v>391</v>
      </c>
      <c r="B125" s="6" t="str">
        <f t="shared" si="2"/>
        <v>00026506360KOVR</v>
      </c>
      <c r="C125" t="s">
        <v>62</v>
      </c>
      <c r="D125" t="s">
        <v>63</v>
      </c>
      <c r="E125" s="12">
        <v>19586992</v>
      </c>
      <c r="F125" s="12" t="str">
        <f t="shared" si="3"/>
        <v>19586992OVR</v>
      </c>
      <c r="G125" t="s">
        <v>65</v>
      </c>
      <c r="H125" t="s">
        <v>59</v>
      </c>
      <c r="I125" t="s">
        <v>50</v>
      </c>
      <c r="J125" s="1">
        <v>46174</v>
      </c>
      <c r="K125" s="1">
        <v>46387</v>
      </c>
      <c r="L125" t="s">
        <v>51</v>
      </c>
      <c r="M125" t="s">
        <v>52</v>
      </c>
      <c r="N125" s="2">
        <v>0</v>
      </c>
      <c r="O125" s="2">
        <v>175</v>
      </c>
      <c r="P125">
        <v>1</v>
      </c>
      <c r="Q125" s="2">
        <v>175</v>
      </c>
      <c r="S125" t="s">
        <v>403</v>
      </c>
    </row>
    <row r="126" spans="1:19" x14ac:dyDescent="0.25">
      <c r="A126" s="6" t="s">
        <v>392</v>
      </c>
      <c r="B126" s="6" t="str">
        <f t="shared" si="2"/>
        <v>00026571397KOVR</v>
      </c>
      <c r="C126" t="s">
        <v>67</v>
      </c>
      <c r="D126" t="s">
        <v>63</v>
      </c>
      <c r="E126" s="12">
        <v>7307857</v>
      </c>
      <c r="F126" s="12" t="str">
        <f t="shared" si="3"/>
        <v>7307857OVR</v>
      </c>
      <c r="G126" t="s">
        <v>69</v>
      </c>
      <c r="H126" t="s">
        <v>59</v>
      </c>
      <c r="I126" t="s">
        <v>50</v>
      </c>
      <c r="J126" s="1">
        <v>46174</v>
      </c>
      <c r="K126" s="1">
        <v>46387</v>
      </c>
      <c r="L126" t="s">
        <v>51</v>
      </c>
      <c r="M126" t="s">
        <v>52</v>
      </c>
      <c r="N126" s="2">
        <v>0</v>
      </c>
      <c r="O126" s="2">
        <v>175</v>
      </c>
      <c r="P126">
        <v>1</v>
      </c>
      <c r="Q126" s="2">
        <v>175</v>
      </c>
      <c r="S126" t="s">
        <v>403</v>
      </c>
    </row>
    <row r="127" spans="1:19" x14ac:dyDescent="0.25">
      <c r="A127" s="6" t="s">
        <v>390</v>
      </c>
      <c r="B127" s="6" t="str">
        <f t="shared" si="2"/>
        <v>00024166424KOVR</v>
      </c>
      <c r="C127" t="s">
        <v>55</v>
      </c>
      <c r="D127" t="s">
        <v>56</v>
      </c>
      <c r="E127" s="12">
        <v>18754354</v>
      </c>
      <c r="F127" s="12" t="str">
        <f t="shared" si="3"/>
        <v>18754354OVR</v>
      </c>
      <c r="G127" t="s">
        <v>58</v>
      </c>
      <c r="H127" t="s">
        <v>59</v>
      </c>
      <c r="I127" t="s">
        <v>60</v>
      </c>
      <c r="J127" s="1">
        <v>46204</v>
      </c>
      <c r="K127" s="1">
        <v>46387</v>
      </c>
      <c r="L127" t="s">
        <v>51</v>
      </c>
      <c r="M127" t="s">
        <v>52</v>
      </c>
      <c r="N127" s="2">
        <v>0</v>
      </c>
      <c r="O127" s="2">
        <v>108</v>
      </c>
      <c r="P127">
        <v>1</v>
      </c>
      <c r="Q127" s="2">
        <v>108</v>
      </c>
      <c r="S127" t="s">
        <v>403</v>
      </c>
    </row>
    <row r="128" spans="1:19" x14ac:dyDescent="0.25">
      <c r="A128" s="6" t="s">
        <v>389</v>
      </c>
      <c r="B128" s="6" t="str">
        <f t="shared" si="2"/>
        <v>00006948323KOVR</v>
      </c>
      <c r="C128" t="s">
        <v>45</v>
      </c>
      <c r="D128" t="s">
        <v>46</v>
      </c>
      <c r="E128" s="12">
        <v>18142208</v>
      </c>
      <c r="F128" s="12" t="str">
        <f t="shared" si="3"/>
        <v>18142208OVR</v>
      </c>
      <c r="G128" t="s">
        <v>48</v>
      </c>
      <c r="H128" t="s">
        <v>49</v>
      </c>
      <c r="I128" t="s">
        <v>50</v>
      </c>
      <c r="J128" s="1">
        <v>46023</v>
      </c>
      <c r="K128" s="1">
        <v>46204</v>
      </c>
      <c r="L128" t="s">
        <v>51</v>
      </c>
      <c r="M128" t="s">
        <v>52</v>
      </c>
      <c r="N128" s="2">
        <v>0</v>
      </c>
      <c r="O128" s="2">
        <v>87.5</v>
      </c>
      <c r="P128">
        <v>1</v>
      </c>
      <c r="Q128" s="2">
        <v>87.5</v>
      </c>
      <c r="R128" t="s">
        <v>53</v>
      </c>
      <c r="S128" t="s">
        <v>403</v>
      </c>
    </row>
    <row r="129" spans="1:40" x14ac:dyDescent="0.25">
      <c r="A129" s="6" t="s">
        <v>400</v>
      </c>
      <c r="B129" s="6" t="str">
        <f t="shared" si="2"/>
        <v>00025861349KOVR</v>
      </c>
      <c r="C129" t="s">
        <v>321</v>
      </c>
      <c r="D129" t="s">
        <v>130</v>
      </c>
      <c r="E129" s="12">
        <v>16849453</v>
      </c>
      <c r="F129" s="12" t="str">
        <f t="shared" si="3"/>
        <v>16849453OVR</v>
      </c>
      <c r="G129" t="s">
        <v>233</v>
      </c>
      <c r="H129" t="s">
        <v>318</v>
      </c>
      <c r="I129" t="s">
        <v>60</v>
      </c>
      <c r="J129" s="1">
        <v>46082</v>
      </c>
      <c r="K129" s="1">
        <v>46204</v>
      </c>
      <c r="L129" t="s">
        <v>51</v>
      </c>
      <c r="M129" t="s">
        <v>52</v>
      </c>
      <c r="Q129" s="4">
        <v>-72.36</v>
      </c>
      <c r="S129" t="s">
        <v>403</v>
      </c>
    </row>
    <row r="130" spans="1:40" x14ac:dyDescent="0.25">
      <c r="A130" s="6" t="s">
        <v>399</v>
      </c>
      <c r="B130" s="6" t="str">
        <f t="shared" si="2"/>
        <v>00004503213KOVR</v>
      </c>
      <c r="C130" t="s">
        <v>317</v>
      </c>
      <c r="D130" t="s">
        <v>82</v>
      </c>
      <c r="E130" s="12">
        <v>19645587</v>
      </c>
      <c r="F130" s="12" t="str">
        <f t="shared" si="3"/>
        <v>19645587OVR</v>
      </c>
      <c r="G130" t="s">
        <v>111</v>
      </c>
      <c r="H130" t="s">
        <v>318</v>
      </c>
      <c r="I130" t="s">
        <v>50</v>
      </c>
      <c r="J130" s="1">
        <v>46023</v>
      </c>
      <c r="K130" s="1">
        <v>46204</v>
      </c>
      <c r="L130" t="s">
        <v>51</v>
      </c>
      <c r="M130" t="s">
        <v>52</v>
      </c>
      <c r="Q130" s="4">
        <v>-87.5</v>
      </c>
      <c r="S130" t="s">
        <v>403</v>
      </c>
    </row>
    <row r="131" spans="1:40" x14ac:dyDescent="0.25">
      <c r="A131" s="6" t="s">
        <v>390</v>
      </c>
      <c r="B131" s="6" t="str">
        <f t="shared" si="2"/>
        <v>00024166424KOVR</v>
      </c>
      <c r="C131" t="s">
        <v>55</v>
      </c>
      <c r="D131" t="s">
        <v>56</v>
      </c>
      <c r="E131" s="12">
        <v>18754354</v>
      </c>
      <c r="F131" s="12" t="str">
        <f t="shared" si="3"/>
        <v>18754354OVR</v>
      </c>
      <c r="G131" t="s">
        <v>58</v>
      </c>
      <c r="H131" t="s">
        <v>318</v>
      </c>
      <c r="I131" t="s">
        <v>50</v>
      </c>
      <c r="J131" s="1">
        <v>46023</v>
      </c>
      <c r="K131" s="1">
        <v>46204</v>
      </c>
      <c r="L131" t="s">
        <v>51</v>
      </c>
      <c r="M131" t="s">
        <v>52</v>
      </c>
      <c r="Q131" s="4">
        <v>-87.5</v>
      </c>
      <c r="S131" t="s">
        <v>403</v>
      </c>
    </row>
    <row r="132" spans="1:40" x14ac:dyDescent="0.25">
      <c r="A132" s="7">
        <v>135010181</v>
      </c>
      <c r="B132" s="7" t="str">
        <f>CONCATENATE(A132,12)</f>
        <v>13501018112</v>
      </c>
      <c r="C132" s="8" t="s">
        <v>375</v>
      </c>
      <c r="D132" s="8" t="s">
        <v>376</v>
      </c>
      <c r="E132" s="13">
        <v>5442438</v>
      </c>
      <c r="F132" s="13" t="s">
        <v>414</v>
      </c>
      <c r="G132" s="8" t="s">
        <v>378</v>
      </c>
      <c r="H132" s="8" t="s">
        <v>318</v>
      </c>
      <c r="I132" s="8" t="s">
        <v>380</v>
      </c>
      <c r="J132" s="9">
        <v>46023</v>
      </c>
      <c r="K132" s="9">
        <v>46174</v>
      </c>
      <c r="L132" s="8" t="s">
        <v>51</v>
      </c>
      <c r="M132" s="8" t="s">
        <v>52</v>
      </c>
      <c r="N132" s="8"/>
      <c r="O132" s="8"/>
      <c r="P132" s="8"/>
      <c r="Q132" s="11">
        <v>-347</v>
      </c>
      <c r="R132" s="8"/>
      <c r="S132" s="8" t="s">
        <v>408</v>
      </c>
      <c r="T132" s="8" t="s">
        <v>410</v>
      </c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</row>
    <row r="133" spans="1:40" x14ac:dyDescent="0.25">
      <c r="A133" s="7">
        <v>964488477</v>
      </c>
      <c r="B133" s="7" t="str">
        <f>CONCATENATE(A133,12)</f>
        <v>96448847712</v>
      </c>
      <c r="C133" s="8" t="s">
        <v>384</v>
      </c>
      <c r="D133" s="8" t="s">
        <v>169</v>
      </c>
      <c r="E133" s="13">
        <v>19645587</v>
      </c>
      <c r="F133" s="13">
        <v>19645587</v>
      </c>
      <c r="G133" s="8" t="s">
        <v>111</v>
      </c>
      <c r="H133" s="8" t="s">
        <v>318</v>
      </c>
      <c r="I133" s="8" t="s">
        <v>380</v>
      </c>
      <c r="J133" s="9">
        <v>46054</v>
      </c>
      <c r="K133" s="9">
        <v>46174</v>
      </c>
      <c r="L133" s="8" t="s">
        <v>51</v>
      </c>
      <c r="M133" s="8" t="s">
        <v>52</v>
      </c>
      <c r="N133" s="8"/>
      <c r="O133" s="8"/>
      <c r="P133" s="8"/>
      <c r="Q133" s="11">
        <v>-404.83</v>
      </c>
      <c r="R133" s="8"/>
      <c r="S133" s="8" t="s">
        <v>408</v>
      </c>
      <c r="T133" s="8" t="s">
        <v>409</v>
      </c>
      <c r="U133" s="8">
        <f>694/12*7</f>
        <v>404.83333333333337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</row>
    <row r="134" spans="1:40" x14ac:dyDescent="0.25">
      <c r="A134" s="7">
        <v>963253183</v>
      </c>
      <c r="B134" s="7" t="str">
        <f>CONCATENATE(A134,11)</f>
        <v>96325318311</v>
      </c>
      <c r="C134" s="8" t="s">
        <v>302</v>
      </c>
      <c r="D134" s="8" t="s">
        <v>109</v>
      </c>
      <c r="E134" s="13">
        <v>18201929</v>
      </c>
      <c r="F134" s="13">
        <v>18201929</v>
      </c>
      <c r="G134" s="8" t="s">
        <v>304</v>
      </c>
      <c r="H134" s="8" t="s">
        <v>59</v>
      </c>
      <c r="I134" s="8" t="s">
        <v>290</v>
      </c>
      <c r="J134" s="9">
        <v>46204</v>
      </c>
      <c r="K134" s="9">
        <v>46387</v>
      </c>
      <c r="L134" s="8" t="s">
        <v>51</v>
      </c>
      <c r="M134" s="8" t="s">
        <v>52</v>
      </c>
      <c r="N134" s="10">
        <v>0</v>
      </c>
      <c r="O134" s="10">
        <v>173.5</v>
      </c>
      <c r="P134" s="8">
        <v>1</v>
      </c>
      <c r="Q134" s="10">
        <v>173.5</v>
      </c>
      <c r="R134" s="8" t="s">
        <v>245</v>
      </c>
      <c r="S134" s="8" t="s">
        <v>405</v>
      </c>
      <c r="T134" s="8" t="s">
        <v>411</v>
      </c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</row>
    <row r="135" spans="1:40" x14ac:dyDescent="0.25">
      <c r="A135" s="7">
        <v>965212597</v>
      </c>
      <c r="B135" s="7" t="str">
        <f t="shared" ref="B135:B139" si="4">CONCATENATE(A135,11)</f>
        <v>96521259711</v>
      </c>
      <c r="C135" s="8" t="s">
        <v>307</v>
      </c>
      <c r="D135" s="8" t="s">
        <v>56</v>
      </c>
      <c r="E135" s="13">
        <v>17425766</v>
      </c>
      <c r="F135" s="13">
        <v>17425766</v>
      </c>
      <c r="G135" s="8" t="s">
        <v>309</v>
      </c>
      <c r="H135" s="8" t="s">
        <v>59</v>
      </c>
      <c r="I135" s="8" t="s">
        <v>290</v>
      </c>
      <c r="J135" s="9">
        <v>46204</v>
      </c>
      <c r="K135" s="9">
        <v>46387</v>
      </c>
      <c r="L135" s="8" t="s">
        <v>51</v>
      </c>
      <c r="M135" s="8" t="s">
        <v>52</v>
      </c>
      <c r="N135" s="10">
        <v>0</v>
      </c>
      <c r="O135" s="10">
        <v>173.5</v>
      </c>
      <c r="P135" s="8">
        <v>1</v>
      </c>
      <c r="Q135" s="10">
        <v>173.5</v>
      </c>
      <c r="R135" s="8" t="s">
        <v>245</v>
      </c>
      <c r="S135" s="8" t="s">
        <v>405</v>
      </c>
      <c r="T135" s="8" t="s">
        <v>411</v>
      </c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</row>
    <row r="136" spans="1:40" x14ac:dyDescent="0.25">
      <c r="A136" s="7">
        <v>934646696</v>
      </c>
      <c r="B136" s="7" t="str">
        <f t="shared" si="4"/>
        <v>93464669611</v>
      </c>
      <c r="C136" s="8" t="s">
        <v>289</v>
      </c>
      <c r="D136" s="8" t="s">
        <v>169</v>
      </c>
      <c r="E136" s="13">
        <v>20003537</v>
      </c>
      <c r="F136" s="13">
        <v>20003537</v>
      </c>
      <c r="G136" s="8" t="s">
        <v>99</v>
      </c>
      <c r="H136" s="8" t="s">
        <v>59</v>
      </c>
      <c r="I136" s="8" t="s">
        <v>290</v>
      </c>
      <c r="J136" s="9">
        <v>46235</v>
      </c>
      <c r="K136" s="9">
        <v>46387</v>
      </c>
      <c r="L136" s="8" t="s">
        <v>51</v>
      </c>
      <c r="M136" s="8" t="s">
        <v>52</v>
      </c>
      <c r="N136" s="10">
        <v>0</v>
      </c>
      <c r="O136" s="10">
        <v>144.58000000000001</v>
      </c>
      <c r="P136" s="8">
        <v>1</v>
      </c>
      <c r="Q136" s="10">
        <v>144.58000000000001</v>
      </c>
      <c r="R136" s="8" t="s">
        <v>248</v>
      </c>
      <c r="S136" s="8" t="s">
        <v>405</v>
      </c>
      <c r="T136" s="8" t="s">
        <v>412</v>
      </c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</row>
    <row r="137" spans="1:40" x14ac:dyDescent="0.25">
      <c r="A137" s="7">
        <v>946538253</v>
      </c>
      <c r="B137" s="7" t="str">
        <f t="shared" si="4"/>
        <v>94653825311</v>
      </c>
      <c r="C137" s="8" t="s">
        <v>294</v>
      </c>
      <c r="D137" s="8" t="s">
        <v>46</v>
      </c>
      <c r="E137" s="13">
        <v>17528908</v>
      </c>
      <c r="F137" s="13" t="s">
        <v>413</v>
      </c>
      <c r="G137" s="8" t="s">
        <v>104</v>
      </c>
      <c r="H137" s="8" t="s">
        <v>59</v>
      </c>
      <c r="I137" s="8" t="s">
        <v>290</v>
      </c>
      <c r="J137" s="9">
        <v>46235</v>
      </c>
      <c r="K137" s="9">
        <v>46387</v>
      </c>
      <c r="L137" s="8" t="s">
        <v>51</v>
      </c>
      <c r="M137" s="8" t="s">
        <v>52</v>
      </c>
      <c r="N137" s="10">
        <v>0</v>
      </c>
      <c r="O137" s="10">
        <v>144.58000000000001</v>
      </c>
      <c r="P137" s="8">
        <v>1</v>
      </c>
      <c r="Q137" s="10">
        <v>144.58000000000001</v>
      </c>
      <c r="R137" s="8" t="s">
        <v>248</v>
      </c>
      <c r="S137" s="8" t="s">
        <v>405</v>
      </c>
      <c r="T137" s="8" t="s">
        <v>412</v>
      </c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</row>
    <row r="138" spans="1:40" x14ac:dyDescent="0.25">
      <c r="A138" s="7">
        <v>951566976</v>
      </c>
      <c r="B138" s="7" t="str">
        <f t="shared" si="4"/>
        <v>95156697611</v>
      </c>
      <c r="C138" s="8" t="s">
        <v>307</v>
      </c>
      <c r="D138" s="8" t="s">
        <v>56</v>
      </c>
      <c r="E138" s="13">
        <v>17425766</v>
      </c>
      <c r="F138" s="13">
        <v>17425766</v>
      </c>
      <c r="G138" s="8" t="s">
        <v>309</v>
      </c>
      <c r="H138" s="8" t="s">
        <v>318</v>
      </c>
      <c r="I138" s="8" t="s">
        <v>290</v>
      </c>
      <c r="J138" s="9">
        <v>46023</v>
      </c>
      <c r="K138" s="9">
        <v>46174</v>
      </c>
      <c r="L138" s="8" t="s">
        <v>51</v>
      </c>
      <c r="M138" s="8" t="s">
        <v>52</v>
      </c>
      <c r="N138" s="8"/>
      <c r="O138" s="8"/>
      <c r="P138" s="8"/>
      <c r="Q138" s="11">
        <v>-173.5</v>
      </c>
      <c r="R138" s="8"/>
      <c r="S138" s="8" t="s">
        <v>405</v>
      </c>
      <c r="T138" s="8" t="s">
        <v>411</v>
      </c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</row>
    <row r="139" spans="1:40" x14ac:dyDescent="0.25">
      <c r="A139" s="7">
        <v>987907924</v>
      </c>
      <c r="B139" s="7" t="str">
        <f t="shared" si="4"/>
        <v>98790792411</v>
      </c>
      <c r="C139" s="8" t="s">
        <v>387</v>
      </c>
      <c r="D139" s="8" t="s">
        <v>63</v>
      </c>
      <c r="E139" s="13">
        <v>19645587</v>
      </c>
      <c r="F139" s="13">
        <v>19645587</v>
      </c>
      <c r="G139" s="8" t="s">
        <v>111</v>
      </c>
      <c r="H139" s="8" t="s">
        <v>318</v>
      </c>
      <c r="I139" s="8" t="s">
        <v>290</v>
      </c>
      <c r="J139" s="9">
        <v>46023</v>
      </c>
      <c r="K139" s="9">
        <v>46174</v>
      </c>
      <c r="L139" s="8" t="s">
        <v>51</v>
      </c>
      <c r="M139" s="8" t="s">
        <v>52</v>
      </c>
      <c r="N139" s="8"/>
      <c r="O139" s="8"/>
      <c r="P139" s="8"/>
      <c r="Q139" s="11">
        <v>-173.5</v>
      </c>
      <c r="R139" s="8"/>
      <c r="S139" s="8" t="s">
        <v>405</v>
      </c>
      <c r="T139" s="8" t="s">
        <v>411</v>
      </c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</row>
    <row r="140" spans="1:40" s="8" customFormat="1" x14ac:dyDescent="0.25">
      <c r="A140" s="6">
        <v>934646696</v>
      </c>
      <c r="B140" s="6" t="str">
        <f t="shared" ref="B140:B150" si="5">CONCATENATE(A140,"OVR")</f>
        <v>934646696OVR</v>
      </c>
      <c r="C140" t="s">
        <v>289</v>
      </c>
      <c r="D140" t="s">
        <v>169</v>
      </c>
      <c r="E140" s="12">
        <v>20003537</v>
      </c>
      <c r="F140" s="12" t="str">
        <f t="shared" ref="F140:F150" si="6">CONCATENATE(E140,"OVR")</f>
        <v>20003537OVR</v>
      </c>
      <c r="G140" t="s">
        <v>99</v>
      </c>
      <c r="H140" t="s">
        <v>59</v>
      </c>
      <c r="I140" t="s">
        <v>292</v>
      </c>
      <c r="J140" s="1">
        <v>46235</v>
      </c>
      <c r="K140" s="1">
        <v>46387</v>
      </c>
      <c r="L140" t="s">
        <v>51</v>
      </c>
      <c r="M140" t="s">
        <v>52</v>
      </c>
      <c r="N140" s="2">
        <v>0</v>
      </c>
      <c r="O140" s="2">
        <v>175</v>
      </c>
      <c r="P140">
        <v>1</v>
      </c>
      <c r="Q140" s="2">
        <v>175</v>
      </c>
      <c r="R140"/>
      <c r="S140" t="s">
        <v>404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</row>
    <row r="141" spans="1:40" s="8" customFormat="1" x14ac:dyDescent="0.25">
      <c r="A141" s="6">
        <v>946538253</v>
      </c>
      <c r="B141" s="6" t="str">
        <f t="shared" si="5"/>
        <v>946538253OVR</v>
      </c>
      <c r="C141" t="s">
        <v>294</v>
      </c>
      <c r="D141" t="s">
        <v>46</v>
      </c>
      <c r="E141" s="12">
        <v>17528908</v>
      </c>
      <c r="F141" s="12" t="str">
        <f t="shared" si="6"/>
        <v>17528908OVR</v>
      </c>
      <c r="G141" t="s">
        <v>104</v>
      </c>
      <c r="H141" t="s">
        <v>59</v>
      </c>
      <c r="I141" t="s">
        <v>292</v>
      </c>
      <c r="J141" s="1">
        <v>46235</v>
      </c>
      <c r="K141" s="1">
        <v>46387</v>
      </c>
      <c r="L141" t="s">
        <v>51</v>
      </c>
      <c r="M141" t="s">
        <v>52</v>
      </c>
      <c r="N141" s="2">
        <v>0</v>
      </c>
      <c r="O141" s="2">
        <v>175</v>
      </c>
      <c r="P141">
        <v>1</v>
      </c>
      <c r="Q141" s="2">
        <v>175</v>
      </c>
      <c r="R141"/>
      <c r="S141" t="s">
        <v>404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</row>
    <row r="142" spans="1:40" s="8" customFormat="1" x14ac:dyDescent="0.25">
      <c r="A142" s="6">
        <v>963253183</v>
      </c>
      <c r="B142" s="6" t="str">
        <f t="shared" si="5"/>
        <v>963253183OVR</v>
      </c>
      <c r="C142" t="s">
        <v>302</v>
      </c>
      <c r="D142" t="s">
        <v>109</v>
      </c>
      <c r="E142" s="12">
        <v>18201929</v>
      </c>
      <c r="F142" s="12" t="str">
        <f t="shared" si="6"/>
        <v>18201929OVR</v>
      </c>
      <c r="G142" t="s">
        <v>304</v>
      </c>
      <c r="H142" t="s">
        <v>59</v>
      </c>
      <c r="I142" t="s">
        <v>292</v>
      </c>
      <c r="J142" s="1">
        <v>46204</v>
      </c>
      <c r="K142" s="1">
        <v>46387</v>
      </c>
      <c r="L142" t="s">
        <v>51</v>
      </c>
      <c r="M142" t="s">
        <v>52</v>
      </c>
      <c r="N142" s="2">
        <v>0</v>
      </c>
      <c r="O142" s="2">
        <v>175</v>
      </c>
      <c r="P142">
        <v>1</v>
      </c>
      <c r="Q142" s="2">
        <v>175</v>
      </c>
      <c r="R142"/>
      <c r="S142" t="s">
        <v>404</v>
      </c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</row>
    <row r="143" spans="1:40" s="8" customFormat="1" x14ac:dyDescent="0.25">
      <c r="A143" s="6">
        <v>903987832</v>
      </c>
      <c r="B143" s="6" t="str">
        <f t="shared" si="5"/>
        <v>903987832OVR</v>
      </c>
      <c r="C143" t="s">
        <v>281</v>
      </c>
      <c r="D143" t="s">
        <v>282</v>
      </c>
      <c r="E143" s="12">
        <v>16228684</v>
      </c>
      <c r="F143" s="12" t="str">
        <f t="shared" si="6"/>
        <v>16228684OVR</v>
      </c>
      <c r="G143" t="s">
        <v>284</v>
      </c>
      <c r="H143" t="s">
        <v>59</v>
      </c>
      <c r="I143" t="s">
        <v>287</v>
      </c>
      <c r="J143" s="1">
        <v>46204</v>
      </c>
      <c r="K143" s="1">
        <v>46387</v>
      </c>
      <c r="L143" t="s">
        <v>51</v>
      </c>
      <c r="M143" t="s">
        <v>52</v>
      </c>
      <c r="N143" s="2">
        <v>0</v>
      </c>
      <c r="O143" s="2">
        <v>113</v>
      </c>
      <c r="P143">
        <v>1</v>
      </c>
      <c r="Q143" s="2">
        <v>113</v>
      </c>
      <c r="R143"/>
      <c r="S143" t="s">
        <v>404</v>
      </c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</row>
    <row r="144" spans="1:40" s="8" customFormat="1" x14ac:dyDescent="0.25">
      <c r="A144" s="6">
        <v>967097207</v>
      </c>
      <c r="B144" s="6" t="str">
        <f t="shared" si="5"/>
        <v>967097207OVR</v>
      </c>
      <c r="C144" t="s">
        <v>313</v>
      </c>
      <c r="D144" t="s">
        <v>282</v>
      </c>
      <c r="E144" s="12">
        <v>16228684</v>
      </c>
      <c r="F144" s="12" t="str">
        <f t="shared" si="6"/>
        <v>16228684OVR</v>
      </c>
      <c r="G144" t="s">
        <v>284</v>
      </c>
      <c r="H144" t="s">
        <v>59</v>
      </c>
      <c r="I144" t="s">
        <v>287</v>
      </c>
      <c r="J144" s="1">
        <v>46204</v>
      </c>
      <c r="K144" s="1">
        <v>46387</v>
      </c>
      <c r="L144" t="s">
        <v>51</v>
      </c>
      <c r="M144" t="s">
        <v>52</v>
      </c>
      <c r="N144" s="2">
        <v>0</v>
      </c>
      <c r="O144" s="2">
        <v>113</v>
      </c>
      <c r="P144">
        <v>1</v>
      </c>
      <c r="Q144" s="2">
        <v>113</v>
      </c>
      <c r="R144"/>
      <c r="S144" t="s">
        <v>404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</row>
    <row r="145" spans="1:40" s="8" customFormat="1" x14ac:dyDescent="0.25">
      <c r="A145" s="6">
        <v>962498134</v>
      </c>
      <c r="B145" s="6" t="str">
        <f t="shared" si="5"/>
        <v>962498134OVR</v>
      </c>
      <c r="C145" t="s">
        <v>297</v>
      </c>
      <c r="D145" t="s">
        <v>56</v>
      </c>
      <c r="E145" s="12">
        <v>19645587</v>
      </c>
      <c r="F145" s="12" t="str">
        <f t="shared" si="6"/>
        <v>19645587OVR</v>
      </c>
      <c r="G145" t="s">
        <v>111</v>
      </c>
      <c r="H145" t="s">
        <v>59</v>
      </c>
      <c r="I145" t="s">
        <v>300</v>
      </c>
      <c r="J145" s="1">
        <v>46235</v>
      </c>
      <c r="K145" s="1">
        <v>46387</v>
      </c>
      <c r="L145" t="s">
        <v>51</v>
      </c>
      <c r="M145" t="s">
        <v>52</v>
      </c>
      <c r="N145" s="2">
        <v>0</v>
      </c>
      <c r="O145" s="2">
        <v>47.08</v>
      </c>
      <c r="P145">
        <v>1</v>
      </c>
      <c r="Q145" s="2">
        <v>47.08</v>
      </c>
      <c r="R145" t="s">
        <v>248</v>
      </c>
      <c r="S145" t="s">
        <v>404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</row>
    <row r="146" spans="1:40" s="8" customFormat="1" x14ac:dyDescent="0.25">
      <c r="A146" s="6">
        <v>965212597</v>
      </c>
      <c r="B146" s="6" t="str">
        <f t="shared" si="5"/>
        <v>965212597OVR</v>
      </c>
      <c r="C146" t="s">
        <v>307</v>
      </c>
      <c r="D146" t="s">
        <v>56</v>
      </c>
      <c r="E146" s="12">
        <v>17425766</v>
      </c>
      <c r="F146" s="12" t="str">
        <f t="shared" si="6"/>
        <v>17425766OVR</v>
      </c>
      <c r="G146" t="s">
        <v>309</v>
      </c>
      <c r="H146" t="s">
        <v>59</v>
      </c>
      <c r="I146" t="s">
        <v>311</v>
      </c>
      <c r="J146" s="1">
        <v>46204</v>
      </c>
      <c r="K146" s="1">
        <v>46387</v>
      </c>
      <c r="L146" t="s">
        <v>51</v>
      </c>
      <c r="M146" t="s">
        <v>52</v>
      </c>
      <c r="N146" s="2">
        <v>0</v>
      </c>
      <c r="O146" s="2">
        <v>36</v>
      </c>
      <c r="P146">
        <v>1</v>
      </c>
      <c r="Q146" s="2">
        <v>36</v>
      </c>
      <c r="R146" t="s">
        <v>245</v>
      </c>
      <c r="S146" t="s">
        <v>404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</row>
    <row r="147" spans="1:40" s="8" customFormat="1" x14ac:dyDescent="0.25">
      <c r="A147" s="6">
        <v>951566976</v>
      </c>
      <c r="B147" s="6" t="str">
        <f t="shared" si="5"/>
        <v>951566976OVR</v>
      </c>
      <c r="C147" t="s">
        <v>307</v>
      </c>
      <c r="D147" t="s">
        <v>56</v>
      </c>
      <c r="E147" s="12">
        <v>17425766</v>
      </c>
      <c r="F147" s="12" t="str">
        <f t="shared" si="6"/>
        <v>17425766OVR</v>
      </c>
      <c r="G147" t="s">
        <v>309</v>
      </c>
      <c r="H147" t="s">
        <v>318</v>
      </c>
      <c r="I147" t="s">
        <v>311</v>
      </c>
      <c r="J147" s="1">
        <v>46023</v>
      </c>
      <c r="K147" s="1">
        <v>46174</v>
      </c>
      <c r="L147" t="s">
        <v>51</v>
      </c>
      <c r="M147" t="s">
        <v>52</v>
      </c>
      <c r="N147"/>
      <c r="O147"/>
      <c r="P147"/>
      <c r="Q147" s="4">
        <v>-36</v>
      </c>
      <c r="R147"/>
      <c r="S147" t="s">
        <v>404</v>
      </c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</row>
    <row r="148" spans="1:40" s="8" customFormat="1" x14ac:dyDescent="0.25">
      <c r="A148" s="6">
        <v>987907924</v>
      </c>
      <c r="B148" s="6" t="str">
        <f t="shared" si="5"/>
        <v>987907924OVR</v>
      </c>
      <c r="C148" t="s">
        <v>387</v>
      </c>
      <c r="D148" t="s">
        <v>63</v>
      </c>
      <c r="E148" s="12">
        <v>19645587</v>
      </c>
      <c r="F148" s="12" t="str">
        <f t="shared" si="6"/>
        <v>19645587OVR</v>
      </c>
      <c r="G148" t="s">
        <v>111</v>
      </c>
      <c r="H148" t="s">
        <v>318</v>
      </c>
      <c r="I148" t="s">
        <v>311</v>
      </c>
      <c r="J148" s="1">
        <v>46023</v>
      </c>
      <c r="K148" s="1">
        <v>46174</v>
      </c>
      <c r="L148" t="s">
        <v>51</v>
      </c>
      <c r="M148" t="s">
        <v>52</v>
      </c>
      <c r="N148"/>
      <c r="O148"/>
      <c r="P148"/>
      <c r="Q148" s="4">
        <v>-36</v>
      </c>
      <c r="R148"/>
      <c r="S148" t="s">
        <v>404</v>
      </c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</row>
    <row r="149" spans="1:40" s="8" customFormat="1" x14ac:dyDescent="0.25">
      <c r="A149" s="6">
        <v>135010181</v>
      </c>
      <c r="B149" s="6" t="str">
        <f t="shared" si="5"/>
        <v>135010181OVR</v>
      </c>
      <c r="C149" t="s">
        <v>375</v>
      </c>
      <c r="D149" t="s">
        <v>376</v>
      </c>
      <c r="E149" s="12">
        <v>5442438</v>
      </c>
      <c r="F149" s="12" t="str">
        <f t="shared" si="6"/>
        <v>5442438OVR</v>
      </c>
      <c r="G149" t="s">
        <v>378</v>
      </c>
      <c r="H149" t="s">
        <v>318</v>
      </c>
      <c r="I149" t="s">
        <v>292</v>
      </c>
      <c r="J149" s="1">
        <v>46023</v>
      </c>
      <c r="K149" s="1">
        <v>46174</v>
      </c>
      <c r="L149" t="s">
        <v>51</v>
      </c>
      <c r="M149" t="s">
        <v>52</v>
      </c>
      <c r="N149"/>
      <c r="O149"/>
      <c r="P149"/>
      <c r="Q149" s="4">
        <v>-87.5</v>
      </c>
      <c r="R149"/>
      <c r="S149" t="s">
        <v>404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</row>
    <row r="150" spans="1:40" s="8" customFormat="1" x14ac:dyDescent="0.25">
      <c r="A150" s="6">
        <v>964488477</v>
      </c>
      <c r="B150" s="6" t="str">
        <f t="shared" si="5"/>
        <v>964488477OVR</v>
      </c>
      <c r="C150" t="s">
        <v>384</v>
      </c>
      <c r="D150" t="s">
        <v>169</v>
      </c>
      <c r="E150" s="12">
        <v>19645587</v>
      </c>
      <c r="F150" s="12" t="str">
        <f t="shared" si="6"/>
        <v>19645587OVR</v>
      </c>
      <c r="G150" t="s">
        <v>111</v>
      </c>
      <c r="H150" t="s">
        <v>318</v>
      </c>
      <c r="I150" t="s">
        <v>292</v>
      </c>
      <c r="J150" s="1">
        <v>46054</v>
      </c>
      <c r="K150" s="1">
        <v>46174</v>
      </c>
      <c r="L150" t="s">
        <v>51</v>
      </c>
      <c r="M150" t="s">
        <v>52</v>
      </c>
      <c r="N150"/>
      <c r="O150"/>
      <c r="P150"/>
      <c r="Q150" s="4">
        <v>-102.08</v>
      </c>
      <c r="R150"/>
      <c r="S150" t="s">
        <v>404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</row>
  </sheetData>
  <sortState xmlns:xlrd2="http://schemas.microsoft.com/office/spreadsheetml/2017/richdata2" ref="A2:AN150">
    <sortCondition ref="S2:S1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2026-07-02T06:38:19Z</dcterms:created>
  <dcterms:modified xsi:type="dcterms:W3CDTF">2026-07-02T14:22:32Z</dcterms:modified>
</cp:coreProperties>
</file>