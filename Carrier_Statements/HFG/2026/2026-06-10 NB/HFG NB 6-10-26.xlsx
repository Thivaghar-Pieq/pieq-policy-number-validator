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6-10 NB\"/>
    </mc:Choice>
  </mc:AlternateContent>
  <xr:revisionPtr revIDLastSave="0" documentId="13_ncr:1_{0A46F41D-0D7E-4319-B9BB-ECAE7D9E551F}" xr6:coauthVersionLast="47" xr6:coauthVersionMax="47" xr10:uidLastSave="{00000000-0000-0000-0000-000000000000}"/>
  <bookViews>
    <workbookView xWindow="-120" yWindow="-120" windowWidth="29040" windowHeight="15720" activeTab="1" xr2:uid="{755493FE-E7C5-41D1-89BE-EA6251D69F72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2" l="1"/>
  <c r="B55" i="2"/>
  <c r="B54" i="2"/>
  <c r="B53" i="2"/>
  <c r="B52" i="2"/>
  <c r="B51" i="2"/>
  <c r="B50" i="2"/>
  <c r="B49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44" i="2"/>
  <c r="B43" i="2"/>
  <c r="B42" i="2"/>
  <c r="B41" i="2"/>
  <c r="B40" i="2"/>
  <c r="B48" i="2"/>
  <c r="B47" i="2"/>
  <c r="B46" i="2"/>
  <c r="B45" i="2"/>
  <c r="B39" i="2"/>
  <c r="B38" i="2"/>
  <c r="B2" i="2"/>
  <c r="F56" i="2"/>
  <c r="F55" i="2"/>
  <c r="F54" i="2"/>
  <c r="F53" i="2"/>
  <c r="F52" i="2"/>
  <c r="F51" i="2"/>
  <c r="F50" i="2"/>
  <c r="F49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R39" i="2"/>
  <c r="R2" i="2"/>
  <c r="R48" i="2"/>
  <c r="R46" i="2"/>
  <c r="R45" i="2"/>
  <c r="R38" i="2"/>
</calcChain>
</file>

<file path=xl/sharedStrings.xml><?xml version="1.0" encoding="utf-8"?>
<sst xmlns="http://schemas.openxmlformats.org/spreadsheetml/2006/main" count="1277" uniqueCount="282">
  <si>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</si>
  <si>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</si>
  <si>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</si>
  <si>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</si>
  <si>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</si>
  <si>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</si>
  <si>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</si>
  <si>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</si>
  <si>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</si>
  <si>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</si>
  <si>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</si>
  <si>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</si>
  <si>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</si>
  <si>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</si>
  <si>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</si>
  <si>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</si>
  <si>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</si>
  <si>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</si>
  <si>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</si>
  <si>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</si>
  <si>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</si>
  <si>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</si>
  <si>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</si>
  <si>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</si>
  <si>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</si>
  <si>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</si>
  <si>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</si>
  <si>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</si>
  <si>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</si>
  <si>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</si>
  <si>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</si>
  <si>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</si>
  <si>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</si>
  <si>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</si>
  <si>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</si>
  <si>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</si>
  <si>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</si>
  <si>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</si>
  <si>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</si>
  <si>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</si>
  <si>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</si>
  <si>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</si>
  <si>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</si>
  <si>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</si>
  <si>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'00006948323KPC</t>
  </si>
  <si>
    <t>RICHARD SULLIVAN</t>
  </si>
  <si>
    <t>OH</t>
  </si>
  <si>
    <t>'045684</t>
  </si>
  <si>
    <t>JILL SHEPARD</t>
  </si>
  <si>
    <t>Active</t>
  </si>
  <si>
    <t>Humana MA 2019+ Level 15- 175/108</t>
  </si>
  <si>
    <t>Monthly</t>
  </si>
  <si>
    <t>AV</t>
  </si>
  <si>
    <t>Humana MA Bonus Upload 06-10-2026.xlsx</t>
  </si>
  <si>
    <t>'00019368907K</t>
  </si>
  <si>
    <t>K CRAIG</t>
  </si>
  <si>
    <t>IL</t>
  </si>
  <si>
    <t>'045605</t>
  </si>
  <si>
    <t>GARY PORTUGAL</t>
  </si>
  <si>
    <t>ACTIVE</t>
  </si>
  <si>
    <t>'00026557895K</t>
  </si>
  <si>
    <t>JAMES SHAW</t>
  </si>
  <si>
    <t>OK</t>
  </si>
  <si>
    <t>'043682</t>
  </si>
  <si>
    <t>GREGORY TEIPEL</t>
  </si>
  <si>
    <t>'00026563074K</t>
  </si>
  <si>
    <t>DAVID FERRIN</t>
  </si>
  <si>
    <t>'045618</t>
  </si>
  <si>
    <t>STEPHANIE DRAPAC</t>
  </si>
  <si>
    <t>'00026563191K</t>
  </si>
  <si>
    <t>REYNOLD ELIZONDO</t>
  </si>
  <si>
    <t>'045612</t>
  </si>
  <si>
    <t>ANTHONY HUNSBERGER</t>
  </si>
  <si>
    <t>'00026571397K</t>
  </si>
  <si>
    <t>BRIAN STREET</t>
  </si>
  <si>
    <t>'045447</t>
  </si>
  <si>
    <t>ROBERT SIEVEWRIGHT</t>
  </si>
  <si>
    <t>'102280061000</t>
  </si>
  <si>
    <t>MARIANN FUNKHOUSER</t>
  </si>
  <si>
    <t>'045603</t>
  </si>
  <si>
    <t>ANDREW CHOI</t>
  </si>
  <si>
    <t>Aetna MAPD NMO to MMO - 2025+ Replace E-App</t>
  </si>
  <si>
    <t>7/12 PRORATE</t>
  </si>
  <si>
    <t>'102280181000</t>
  </si>
  <si>
    <t>CORBY ESAREY CANNON</t>
  </si>
  <si>
    <t>MO</t>
  </si>
  <si>
    <t>'043705</t>
  </si>
  <si>
    <t>MICHAEL DUNAVANT</t>
  </si>
  <si>
    <t>6/12 PRORATE</t>
  </si>
  <si>
    <t>'102280187800</t>
  </si>
  <si>
    <t>NANCY HARTMAN</t>
  </si>
  <si>
    <t>PA</t>
  </si>
  <si>
    <t>'043691</t>
  </si>
  <si>
    <t>MICHELLE MCCORKLE</t>
  </si>
  <si>
    <t>'102280192900</t>
  </si>
  <si>
    <t>JOSEPH MICHALSKI</t>
  </si>
  <si>
    <t>'045670</t>
  </si>
  <si>
    <t>STEVEN BRANDT</t>
  </si>
  <si>
    <t>'102280195700</t>
  </si>
  <si>
    <t>MARIA MONARREZ</t>
  </si>
  <si>
    <t>'045709</t>
  </si>
  <si>
    <t>ESTHER HERRERA-LARSEN</t>
  </si>
  <si>
    <t>'102280265800</t>
  </si>
  <si>
    <t>GARY MCDONALD</t>
  </si>
  <si>
    <t>'040060</t>
  </si>
  <si>
    <t>RYAN SHEPARD</t>
  </si>
  <si>
    <t>'102280421300</t>
  </si>
  <si>
    <t>FRANCES BANNISTER</t>
  </si>
  <si>
    <t>TX</t>
  </si>
  <si>
    <t>'102280430500</t>
  </si>
  <si>
    <t>RODNEY HARPER</t>
  </si>
  <si>
    <t>FL</t>
  </si>
  <si>
    <t>'102280464500</t>
  </si>
  <si>
    <t>JUDITH GAINER</t>
  </si>
  <si>
    <t>'043679</t>
  </si>
  <si>
    <t>DEBORAH INSKIPT</t>
  </si>
  <si>
    <t>'102280466100</t>
  </si>
  <si>
    <t>MARIA FRIAS</t>
  </si>
  <si>
    <t>'045671</t>
  </si>
  <si>
    <t>ROBERT SHAPIRO</t>
  </si>
  <si>
    <t>'102280581000</t>
  </si>
  <si>
    <t>MATTHEW ZELINSKI</t>
  </si>
  <si>
    <t>'102280584900</t>
  </si>
  <si>
    <t>JANET WARNOCK</t>
  </si>
  <si>
    <t>5/12 PRORATE</t>
  </si>
  <si>
    <t>'102280590400</t>
  </si>
  <si>
    <t>BRENDA ZELINSKI</t>
  </si>
  <si>
    <t>'102280689200</t>
  </si>
  <si>
    <t>SCOTT JARES</t>
  </si>
  <si>
    <t>WI</t>
  </si>
  <si>
    <t>'043969</t>
  </si>
  <si>
    <t>STACEY PORTUGAL</t>
  </si>
  <si>
    <t>'102280752000</t>
  </si>
  <si>
    <t>CYNTHIA BARUCK</t>
  </si>
  <si>
    <t>'045638</t>
  </si>
  <si>
    <t>RICHARD YALE</t>
  </si>
  <si>
    <t>'102280764200</t>
  </si>
  <si>
    <t>CAROL ZANG</t>
  </si>
  <si>
    <t>'043611</t>
  </si>
  <si>
    <t>TIMOTHY POWERS</t>
  </si>
  <si>
    <t>'102280776800</t>
  </si>
  <si>
    <t>MARY TRAYERS</t>
  </si>
  <si>
    <t>'905345788</t>
  </si>
  <si>
    <t>GAIL FOSTER</t>
  </si>
  <si>
    <t>CO</t>
  </si>
  <si>
    <t>'045621</t>
  </si>
  <si>
    <t>HEATHER GESKE</t>
  </si>
  <si>
    <t>UHC MAPD Street payable to upline- 2026 Replace</t>
  </si>
  <si>
    <t>'905345788OV</t>
  </si>
  <si>
    <t>UHC MA Direct 2025 New Full</t>
  </si>
  <si>
    <t>'923684373</t>
  </si>
  <si>
    <t>BEVERLY THOMPSON</t>
  </si>
  <si>
    <t>'045772</t>
  </si>
  <si>
    <t>JASON ROLLER</t>
  </si>
  <si>
    <t>UHC MAPD Street payable to upline- 2026 Replace - Other</t>
  </si>
  <si>
    <t>'923684373OV</t>
  </si>
  <si>
    <t>UHC MA Direct 2025 New Initial Prorated - Other</t>
  </si>
  <si>
    <t>'939773066</t>
  </si>
  <si>
    <t>IVORY PETERSON</t>
  </si>
  <si>
    <t>IN</t>
  </si>
  <si>
    <t>'046106</t>
  </si>
  <si>
    <t>AUTUMN SLAUGHTER</t>
  </si>
  <si>
    <t>'949313050</t>
  </si>
  <si>
    <t>H HENTOSH</t>
  </si>
  <si>
    <t>'045673</t>
  </si>
  <si>
    <t>MARK ROCCIA</t>
  </si>
  <si>
    <t>UHC MAPD Street payable to upline PA/CT- 2026 Replace</t>
  </si>
  <si>
    <t>'949313050OV</t>
  </si>
  <si>
    <t>'969154449</t>
  </si>
  <si>
    <t>DEBRA SHEFFIELD</t>
  </si>
  <si>
    <t>'045622</t>
  </si>
  <si>
    <t>JACOB YALE</t>
  </si>
  <si>
    <t>'969154449OV</t>
  </si>
  <si>
    <t>'A04482450</t>
  </si>
  <si>
    <t>GLORIA ALICEA</t>
  </si>
  <si>
    <t>UHC AARP Med Supp 2026+ AZ IL KS ME NC TN WV Plan B C D F G</t>
  </si>
  <si>
    <t>'A04482482</t>
  </si>
  <si>
    <t>LESLIE TROUP</t>
  </si>
  <si>
    <t>DE</t>
  </si>
  <si>
    <t>UHC AARP Med Supp 2026+ DE MD OK OR VA Plan B C F G</t>
  </si>
  <si>
    <t>'A04482659</t>
  </si>
  <si>
    <t>ALMA WORTHINGTON</t>
  </si>
  <si>
    <t>'A04483554</t>
  </si>
  <si>
    <t>LORI BECK</t>
  </si>
  <si>
    <t>'043689</t>
  </si>
  <si>
    <t>ANNE MARIE KOZACHECK</t>
  </si>
  <si>
    <t>UHC AARP Med Supp 2026+ PA Plan B C F G</t>
  </si>
  <si>
    <t>CB</t>
  </si>
  <si>
    <t>'00000736095GPC</t>
  </si>
  <si>
    <t>MARION BAUMHART</t>
  </si>
  <si>
    <t>'045966</t>
  </si>
  <si>
    <t>ANTONIA NEVAREZ</t>
  </si>
  <si>
    <t>CHARGEBACK</t>
  </si>
  <si>
    <t>'00018736051KPC</t>
  </si>
  <si>
    <t>GERALYN BURNS</t>
  </si>
  <si>
    <t>SC</t>
  </si>
  <si>
    <t>'046013</t>
  </si>
  <si>
    <t>GREGG ARENSON</t>
  </si>
  <si>
    <t>'00023113212KCB</t>
  </si>
  <si>
    <t>BARBARA SNAPP</t>
  </si>
  <si>
    <t>VA</t>
  </si>
  <si>
    <t>'045896</t>
  </si>
  <si>
    <t>LENSIE GONZALEZ</t>
  </si>
  <si>
    <t>Humana MA 2019+ Level 15- 175/108 Repl 2024</t>
  </si>
  <si>
    <t>'00024085676KPC</t>
  </si>
  <si>
    <t>RENA HODGES</t>
  </si>
  <si>
    <t>'00025093755KPC</t>
  </si>
  <si>
    <t>YOLOTTA STONE</t>
  </si>
  <si>
    <t>'00026286154KPC</t>
  </si>
  <si>
    <t>RAY STOVALL</t>
  </si>
  <si>
    <t>'043637</t>
  </si>
  <si>
    <t>CHRISTIAN TAUGNER</t>
  </si>
  <si>
    <t>'00026313233KPC</t>
  </si>
  <si>
    <t>KIET DOAN</t>
  </si>
  <si>
    <t>'00026413635KPC</t>
  </si>
  <si>
    <t>BICH HUYNH</t>
  </si>
  <si>
    <t>MA</t>
  </si>
  <si>
    <t>'101867154500PC</t>
  </si>
  <si>
    <t>DEBORAH MOUNTS</t>
  </si>
  <si>
    <t>'045967</t>
  </si>
  <si>
    <t>DANNA GREEN</t>
  </si>
  <si>
    <t>'102267666700CB</t>
  </si>
  <si>
    <t>DAVID CRAMER</t>
  </si>
  <si>
    <t>'102276738400CB</t>
  </si>
  <si>
    <t>KAREN HALLEY</t>
  </si>
  <si>
    <t>Aetna MAPD NMO to MMO - 2025+ New E-App</t>
  </si>
  <si>
    <t>'118301290CB</t>
  </si>
  <si>
    <t>BARBARA RASMUSSEN</t>
  </si>
  <si>
    <t>'118301290OVCB</t>
  </si>
  <si>
    <t>UHC MA Direct 2025 New Initial Prorated</t>
  </si>
  <si>
    <t>'967243928OVPC</t>
  </si>
  <si>
    <t>STEVE JACKSON</t>
  </si>
  <si>
    <t>'043713</t>
  </si>
  <si>
    <t>JOEL LEE</t>
  </si>
  <si>
    <t>'967243928PC</t>
  </si>
  <si>
    <t>UHC MAPD Street payable to upline - 2026 New</t>
  </si>
  <si>
    <t>'988729741OVPC</t>
  </si>
  <si>
    <t>MARIA DENNIE</t>
  </si>
  <si>
    <t>NA</t>
  </si>
  <si>
    <t>'043633</t>
  </si>
  <si>
    <t>RICHARD WUENSCH</t>
  </si>
  <si>
    <t>'988729741PC</t>
  </si>
  <si>
    <t>'A04476183CB</t>
  </si>
  <si>
    <t>HEIDI MULLINS</t>
  </si>
  <si>
    <t>UHC AARP Med Supp 2025+ IN All Plans</t>
  </si>
  <si>
    <t>'MEQNPDZM00003487368CB</t>
  </si>
  <si>
    <t>DEBORAH ROSS</t>
  </si>
  <si>
    <t>'045604</t>
  </si>
  <si>
    <t>JEFFREY HORN</t>
  </si>
  <si>
    <t>00019368907K</t>
  </si>
  <si>
    <t>00026557895K</t>
  </si>
  <si>
    <t>00026563074K</t>
  </si>
  <si>
    <t>00026563191K</t>
  </si>
  <si>
    <t>00026571397K</t>
  </si>
  <si>
    <t>A04482450</t>
  </si>
  <si>
    <t>A04482482</t>
  </si>
  <si>
    <t>A04482659</t>
  </si>
  <si>
    <t>A04483554</t>
  </si>
  <si>
    <t>00006948323K</t>
  </si>
  <si>
    <t>00000736095G</t>
  </si>
  <si>
    <t>00018736051K</t>
  </si>
  <si>
    <t>00024085676K</t>
  </si>
  <si>
    <t>00025093755K</t>
  </si>
  <si>
    <t>00026286154K</t>
  </si>
  <si>
    <t>00026313233K</t>
  </si>
  <si>
    <t>00026413635K</t>
  </si>
  <si>
    <t>00023113212K</t>
  </si>
  <si>
    <t>A04476183</t>
  </si>
  <si>
    <t>MEQNPDZM00003487368</t>
  </si>
  <si>
    <t>Aetna MAPD OVR 2026</t>
  </si>
  <si>
    <t>Humana MAPD OVR</t>
  </si>
  <si>
    <t>UHC MAPD Ovr</t>
  </si>
  <si>
    <t>UHC 2026</t>
  </si>
  <si>
    <t>[%/$=347][prorate=10/12]</t>
  </si>
  <si>
    <t>[%/$=694][prorate=9/12]</t>
  </si>
  <si>
    <t>UHC MAPD 2026*</t>
  </si>
  <si>
    <t>[%/$=347][prorate=5/12]</t>
  </si>
  <si>
    <t>[%/$=347][prorate=6/12]</t>
  </si>
  <si>
    <t>[%/$=347][prorate=7/12]</t>
  </si>
  <si>
    <t>UHC 2026 CT, PA, DC *</t>
  </si>
  <si>
    <t>[%/$=391][prorate=7/12]</t>
  </si>
  <si>
    <t>2026 UHC non-Special Needs Plans PPOs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</si>
</sst>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02AF-FCC6-4F4A-9329-FAD580069E1E}">
  <dimension ref="A1:AL56"/>
  <sheetViews>
    <sheetView topLeftCell="D28" workbookViewId="0">
      <selection activeCell="I29" sqref="I29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6" bestFit="1" customWidth="1"/>
    <col min="10" max="10" width="22.71093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3.7109375" bestFit="1" customWidth="1"/>
    <col min="17" max="17" width="12.85546875" bestFit="1" customWidth="1"/>
    <col min="18" max="18" width="58.28515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46183</v>
      </c>
      <c r="B2" s="1">
        <v>46183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101.5</v>
      </c>
      <c r="AA2">
        <v>1</v>
      </c>
      <c r="AB2" s="3">
        <v>1</v>
      </c>
      <c r="AC2" s="2">
        <v>101.5</v>
      </c>
      <c r="AD2" s="3">
        <v>0</v>
      </c>
      <c r="AE2" s="2">
        <v>0</v>
      </c>
      <c r="AF2" s="2">
        <v>101.5</v>
      </c>
      <c r="AK2">
        <v>0</v>
      </c>
      <c r="AL2" t="s">
        <v>53</v>
      </c>
    </row>
    <row r="3" spans="1:38" x14ac:dyDescent="0.25">
      <c r="A3" s="1">
        <v>46183</v>
      </c>
      <c r="B3" s="1">
        <v>46183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59</v>
      </c>
      <c r="R3" t="s">
        <v>50</v>
      </c>
      <c r="S3" s="1">
        <v>46174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6927313</v>
      </c>
    </row>
    <row r="4" spans="1:38" x14ac:dyDescent="0.25">
      <c r="A4" s="1">
        <v>46183</v>
      </c>
      <c r="B4" s="1">
        <v>46183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62</v>
      </c>
      <c r="O4" t="s">
        <v>63</v>
      </c>
      <c r="P4" t="s">
        <v>64</v>
      </c>
      <c r="Q4" t="s">
        <v>59</v>
      </c>
      <c r="R4" t="s">
        <v>50</v>
      </c>
      <c r="S4" s="1">
        <v>46174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6927314</v>
      </c>
    </row>
    <row r="5" spans="1:38" x14ac:dyDescent="0.25">
      <c r="A5" s="1">
        <v>46183</v>
      </c>
      <c r="B5" s="1">
        <v>46183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65</v>
      </c>
      <c r="J5" t="s">
        <v>66</v>
      </c>
      <c r="M5" t="s">
        <v>56</v>
      </c>
      <c r="O5" t="s">
        <v>67</v>
      </c>
      <c r="P5" t="s">
        <v>68</v>
      </c>
      <c r="Q5" t="s">
        <v>59</v>
      </c>
      <c r="R5" t="s">
        <v>50</v>
      </c>
      <c r="S5" s="1">
        <v>46174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6927315</v>
      </c>
    </row>
    <row r="6" spans="1:38" x14ac:dyDescent="0.25">
      <c r="A6" s="1">
        <v>46183</v>
      </c>
      <c r="B6" s="1">
        <v>46183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56</v>
      </c>
      <c r="O6" t="s">
        <v>71</v>
      </c>
      <c r="P6" t="s">
        <v>72</v>
      </c>
      <c r="Q6" t="s">
        <v>59</v>
      </c>
      <c r="R6" t="s">
        <v>50</v>
      </c>
      <c r="S6" s="1">
        <v>46235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6927316</v>
      </c>
    </row>
    <row r="7" spans="1:38" x14ac:dyDescent="0.25">
      <c r="A7" s="1">
        <v>46183</v>
      </c>
      <c r="B7" s="1">
        <v>46183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56</v>
      </c>
      <c r="O7" t="s">
        <v>75</v>
      </c>
      <c r="P7" t="s">
        <v>76</v>
      </c>
      <c r="Q7" t="s">
        <v>59</v>
      </c>
      <c r="R7" t="s">
        <v>50</v>
      </c>
      <c r="S7" s="1">
        <v>46174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6927317</v>
      </c>
    </row>
    <row r="8" spans="1:38" x14ac:dyDescent="0.25">
      <c r="A8" s="1">
        <v>46183</v>
      </c>
      <c r="B8" s="1">
        <v>46183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77</v>
      </c>
      <c r="J8" t="s">
        <v>78</v>
      </c>
      <c r="M8" t="s">
        <v>56</v>
      </c>
      <c r="O8" t="s">
        <v>79</v>
      </c>
      <c r="P8" t="s">
        <v>80</v>
      </c>
      <c r="Q8" t="s">
        <v>59</v>
      </c>
      <c r="R8" t="s">
        <v>81</v>
      </c>
      <c r="S8" s="1">
        <v>46174</v>
      </c>
      <c r="U8" t="s">
        <v>51</v>
      </c>
      <c r="X8" t="s">
        <v>52</v>
      </c>
      <c r="Y8" s="2">
        <v>0</v>
      </c>
      <c r="Z8" s="2">
        <v>14.58</v>
      </c>
      <c r="AA8">
        <v>1</v>
      </c>
      <c r="AB8" s="3">
        <v>1</v>
      </c>
      <c r="AC8" s="2">
        <v>14.58</v>
      </c>
      <c r="AD8" s="3">
        <v>0</v>
      </c>
      <c r="AE8" s="2">
        <v>0</v>
      </c>
      <c r="AF8" s="2">
        <v>14.58</v>
      </c>
      <c r="AK8">
        <v>6927018</v>
      </c>
      <c r="AL8" t="s">
        <v>82</v>
      </c>
    </row>
    <row r="9" spans="1:38" x14ac:dyDescent="0.25">
      <c r="A9" s="1">
        <v>46183</v>
      </c>
      <c r="B9" s="1">
        <v>46183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83</v>
      </c>
      <c r="J9" t="s">
        <v>84</v>
      </c>
      <c r="M9" t="s">
        <v>85</v>
      </c>
      <c r="O9" t="s">
        <v>86</v>
      </c>
      <c r="P9" t="s">
        <v>87</v>
      </c>
      <c r="Q9" t="s">
        <v>59</v>
      </c>
      <c r="R9" t="s">
        <v>81</v>
      </c>
      <c r="S9" s="1">
        <v>46204</v>
      </c>
      <c r="U9" t="s">
        <v>51</v>
      </c>
      <c r="X9" t="s">
        <v>52</v>
      </c>
      <c r="Y9" s="2">
        <v>0</v>
      </c>
      <c r="Z9" s="2">
        <v>12.5</v>
      </c>
      <c r="AA9">
        <v>1</v>
      </c>
      <c r="AB9" s="3">
        <v>1</v>
      </c>
      <c r="AC9" s="2">
        <v>12.5</v>
      </c>
      <c r="AD9" s="3">
        <v>0</v>
      </c>
      <c r="AE9" s="2">
        <v>0</v>
      </c>
      <c r="AF9" s="2">
        <v>12.5</v>
      </c>
      <c r="AK9">
        <v>6927022</v>
      </c>
      <c r="AL9" t="s">
        <v>88</v>
      </c>
    </row>
    <row r="10" spans="1:38" x14ac:dyDescent="0.25">
      <c r="A10" s="1">
        <v>46183</v>
      </c>
      <c r="B10" s="1">
        <v>46183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89</v>
      </c>
      <c r="J10" t="s">
        <v>90</v>
      </c>
      <c r="M10" t="s">
        <v>91</v>
      </c>
      <c r="O10" t="s">
        <v>92</v>
      </c>
      <c r="P10" t="s">
        <v>93</v>
      </c>
      <c r="Q10" t="s">
        <v>59</v>
      </c>
      <c r="R10" t="s">
        <v>81</v>
      </c>
      <c r="S10" s="1">
        <v>46204</v>
      </c>
      <c r="U10" t="s">
        <v>51</v>
      </c>
      <c r="X10" t="s">
        <v>52</v>
      </c>
      <c r="Y10" s="2">
        <v>0</v>
      </c>
      <c r="Z10" s="2">
        <v>12.5</v>
      </c>
      <c r="AA10">
        <v>1</v>
      </c>
      <c r="AB10" s="3">
        <v>1</v>
      </c>
      <c r="AC10" s="2">
        <v>12.5</v>
      </c>
      <c r="AD10" s="3">
        <v>0</v>
      </c>
      <c r="AE10" s="2">
        <v>0</v>
      </c>
      <c r="AF10" s="2">
        <v>12.5</v>
      </c>
      <c r="AK10">
        <v>6927023</v>
      </c>
      <c r="AL10" t="s">
        <v>88</v>
      </c>
    </row>
    <row r="11" spans="1:38" x14ac:dyDescent="0.25">
      <c r="A11" s="1">
        <v>46183</v>
      </c>
      <c r="B11" s="1">
        <v>46183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94</v>
      </c>
      <c r="J11" t="s">
        <v>95</v>
      </c>
      <c r="M11" t="s">
        <v>46</v>
      </c>
      <c r="O11" t="s">
        <v>96</v>
      </c>
      <c r="P11" t="s">
        <v>97</v>
      </c>
      <c r="Q11" t="s">
        <v>59</v>
      </c>
      <c r="R11" t="s">
        <v>81</v>
      </c>
      <c r="S11" s="1">
        <v>46174</v>
      </c>
      <c r="U11" t="s">
        <v>51</v>
      </c>
      <c r="X11" t="s">
        <v>52</v>
      </c>
      <c r="Y11" s="2">
        <v>0</v>
      </c>
      <c r="Z11" s="2">
        <v>14.58</v>
      </c>
      <c r="AA11">
        <v>1</v>
      </c>
      <c r="AB11" s="3">
        <v>1</v>
      </c>
      <c r="AC11" s="2">
        <v>14.58</v>
      </c>
      <c r="AD11" s="3">
        <v>0</v>
      </c>
      <c r="AE11" s="2">
        <v>0</v>
      </c>
      <c r="AF11" s="2">
        <v>14.58</v>
      </c>
      <c r="AK11">
        <v>6927025</v>
      </c>
      <c r="AL11" t="s">
        <v>82</v>
      </c>
    </row>
    <row r="12" spans="1:38" x14ac:dyDescent="0.25">
      <c r="A12" s="1">
        <v>46183</v>
      </c>
      <c r="B12" s="1">
        <v>46183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98</v>
      </c>
      <c r="J12" t="s">
        <v>99</v>
      </c>
      <c r="M12" t="s">
        <v>56</v>
      </c>
      <c r="O12" t="s">
        <v>100</v>
      </c>
      <c r="P12" t="s">
        <v>101</v>
      </c>
      <c r="Q12" t="s">
        <v>59</v>
      </c>
      <c r="R12" t="s">
        <v>81</v>
      </c>
      <c r="S12" s="1">
        <v>46204</v>
      </c>
      <c r="U12" t="s">
        <v>51</v>
      </c>
      <c r="X12" t="s">
        <v>52</v>
      </c>
      <c r="Y12" s="2">
        <v>0</v>
      </c>
      <c r="Z12" s="2">
        <v>12.5</v>
      </c>
      <c r="AA12">
        <v>1</v>
      </c>
      <c r="AB12" s="3">
        <v>1</v>
      </c>
      <c r="AC12" s="2">
        <v>12.5</v>
      </c>
      <c r="AD12" s="3">
        <v>0</v>
      </c>
      <c r="AE12" s="2">
        <v>0</v>
      </c>
      <c r="AF12" s="2">
        <v>12.5</v>
      </c>
      <c r="AK12">
        <v>6927026</v>
      </c>
      <c r="AL12" t="s">
        <v>88</v>
      </c>
    </row>
    <row r="13" spans="1:38" x14ac:dyDescent="0.25">
      <c r="A13" s="1">
        <v>46183</v>
      </c>
      <c r="B13" s="1">
        <v>46183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102</v>
      </c>
      <c r="J13" t="s">
        <v>103</v>
      </c>
      <c r="M13" t="s">
        <v>46</v>
      </c>
      <c r="O13" t="s">
        <v>104</v>
      </c>
      <c r="P13" t="s">
        <v>105</v>
      </c>
      <c r="Q13" t="s">
        <v>59</v>
      </c>
      <c r="R13" t="s">
        <v>81</v>
      </c>
      <c r="S13" s="1">
        <v>46174</v>
      </c>
      <c r="U13" t="s">
        <v>51</v>
      </c>
      <c r="X13" t="s">
        <v>52</v>
      </c>
      <c r="Y13" s="2">
        <v>0</v>
      </c>
      <c r="Z13" s="2">
        <v>14.58</v>
      </c>
      <c r="AA13">
        <v>1</v>
      </c>
      <c r="AB13" s="3">
        <v>1</v>
      </c>
      <c r="AC13" s="2">
        <v>14.58</v>
      </c>
      <c r="AD13" s="3">
        <v>0</v>
      </c>
      <c r="AE13" s="2">
        <v>0</v>
      </c>
      <c r="AF13" s="2">
        <v>14.58</v>
      </c>
      <c r="AK13">
        <v>6927035</v>
      </c>
      <c r="AL13" t="s">
        <v>82</v>
      </c>
    </row>
    <row r="14" spans="1:38" x14ac:dyDescent="0.25">
      <c r="A14" s="1">
        <v>46183</v>
      </c>
      <c r="B14" s="1">
        <v>46183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106</v>
      </c>
      <c r="J14" t="s">
        <v>107</v>
      </c>
      <c r="M14" t="s">
        <v>108</v>
      </c>
      <c r="O14" t="s">
        <v>79</v>
      </c>
      <c r="P14" t="s">
        <v>80</v>
      </c>
      <c r="Q14" t="s">
        <v>59</v>
      </c>
      <c r="R14" t="s">
        <v>81</v>
      </c>
      <c r="S14" s="1">
        <v>46174</v>
      </c>
      <c r="U14" t="s">
        <v>51</v>
      </c>
      <c r="X14" t="s">
        <v>52</v>
      </c>
      <c r="Y14" s="2">
        <v>0</v>
      </c>
      <c r="Z14" s="2">
        <v>14.58</v>
      </c>
      <c r="AA14">
        <v>1</v>
      </c>
      <c r="AB14" s="3">
        <v>1</v>
      </c>
      <c r="AC14" s="2">
        <v>14.58</v>
      </c>
      <c r="AD14" s="3">
        <v>0</v>
      </c>
      <c r="AE14" s="2">
        <v>0</v>
      </c>
      <c r="AF14" s="2">
        <v>14.58</v>
      </c>
      <c r="AK14">
        <v>6927048</v>
      </c>
      <c r="AL14" t="s">
        <v>82</v>
      </c>
    </row>
    <row r="15" spans="1:38" x14ac:dyDescent="0.25">
      <c r="A15" s="1">
        <v>46183</v>
      </c>
      <c r="B15" s="1">
        <v>46183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109</v>
      </c>
      <c r="J15" t="s">
        <v>110</v>
      </c>
      <c r="M15" t="s">
        <v>111</v>
      </c>
      <c r="O15" t="s">
        <v>63</v>
      </c>
      <c r="P15" t="s">
        <v>64</v>
      </c>
      <c r="Q15" t="s">
        <v>59</v>
      </c>
      <c r="R15" t="s">
        <v>81</v>
      </c>
      <c r="S15" s="1">
        <v>46174</v>
      </c>
      <c r="U15" t="s">
        <v>51</v>
      </c>
      <c r="X15" t="s">
        <v>52</v>
      </c>
      <c r="Y15" s="2">
        <v>0</v>
      </c>
      <c r="Z15" s="2">
        <v>14.58</v>
      </c>
      <c r="AA15">
        <v>1</v>
      </c>
      <c r="AB15" s="3">
        <v>1</v>
      </c>
      <c r="AC15" s="2">
        <v>14.58</v>
      </c>
      <c r="AD15" s="3">
        <v>0</v>
      </c>
      <c r="AE15" s="2">
        <v>0</v>
      </c>
      <c r="AF15" s="2">
        <v>14.58</v>
      </c>
      <c r="AK15">
        <v>6927049</v>
      </c>
      <c r="AL15" t="s">
        <v>82</v>
      </c>
    </row>
    <row r="16" spans="1:38" x14ac:dyDescent="0.25">
      <c r="A16" s="1">
        <v>46183</v>
      </c>
      <c r="B16" s="1">
        <v>46183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112</v>
      </c>
      <c r="J16" t="s">
        <v>113</v>
      </c>
      <c r="M16" t="s">
        <v>91</v>
      </c>
      <c r="O16" t="s">
        <v>114</v>
      </c>
      <c r="P16" t="s">
        <v>115</v>
      </c>
      <c r="Q16" t="s">
        <v>59</v>
      </c>
      <c r="R16" t="s">
        <v>81</v>
      </c>
      <c r="S16" s="1">
        <v>46174</v>
      </c>
      <c r="U16" t="s">
        <v>51</v>
      </c>
      <c r="X16" t="s">
        <v>52</v>
      </c>
      <c r="Y16" s="2">
        <v>0</v>
      </c>
      <c r="Z16" s="2">
        <v>14.58</v>
      </c>
      <c r="AA16">
        <v>1</v>
      </c>
      <c r="AB16" s="3">
        <v>1</v>
      </c>
      <c r="AC16" s="2">
        <v>14.58</v>
      </c>
      <c r="AD16" s="3">
        <v>0</v>
      </c>
      <c r="AE16" s="2">
        <v>0</v>
      </c>
      <c r="AF16" s="2">
        <v>14.58</v>
      </c>
      <c r="AK16">
        <v>6927050</v>
      </c>
      <c r="AL16" t="s">
        <v>82</v>
      </c>
    </row>
    <row r="17" spans="1:38" x14ac:dyDescent="0.25">
      <c r="A17" s="1">
        <v>46183</v>
      </c>
      <c r="B17" s="1">
        <v>46183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116</v>
      </c>
      <c r="J17" t="s">
        <v>117</v>
      </c>
      <c r="M17" t="s">
        <v>56</v>
      </c>
      <c r="O17" t="s">
        <v>118</v>
      </c>
      <c r="P17" t="s">
        <v>119</v>
      </c>
      <c r="Q17" t="s">
        <v>59</v>
      </c>
      <c r="R17" t="s">
        <v>81</v>
      </c>
      <c r="S17" s="1">
        <v>46204</v>
      </c>
      <c r="U17" t="s">
        <v>51</v>
      </c>
      <c r="X17" t="s">
        <v>52</v>
      </c>
      <c r="Y17" s="2">
        <v>0</v>
      </c>
      <c r="Z17" s="2">
        <v>12.5</v>
      </c>
      <c r="AA17">
        <v>1</v>
      </c>
      <c r="AB17" s="3">
        <v>1</v>
      </c>
      <c r="AC17" s="2">
        <v>12.5</v>
      </c>
      <c r="AD17" s="3">
        <v>0</v>
      </c>
      <c r="AE17" s="2">
        <v>0</v>
      </c>
      <c r="AF17" s="2">
        <v>12.5</v>
      </c>
      <c r="AK17">
        <v>6927051</v>
      </c>
      <c r="AL17" t="s">
        <v>88</v>
      </c>
    </row>
    <row r="18" spans="1:38" x14ac:dyDescent="0.25">
      <c r="A18" s="1">
        <v>46183</v>
      </c>
      <c r="B18" s="1">
        <v>46183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120</v>
      </c>
      <c r="J18" t="s">
        <v>121</v>
      </c>
      <c r="M18" t="s">
        <v>46</v>
      </c>
      <c r="O18" t="s">
        <v>104</v>
      </c>
      <c r="P18" t="s">
        <v>105</v>
      </c>
      <c r="Q18" t="s">
        <v>59</v>
      </c>
      <c r="R18" t="s">
        <v>81</v>
      </c>
      <c r="S18" s="1">
        <v>46174</v>
      </c>
      <c r="U18" t="s">
        <v>51</v>
      </c>
      <c r="X18" t="s">
        <v>52</v>
      </c>
      <c r="Y18" s="2">
        <v>0</v>
      </c>
      <c r="Z18" s="2">
        <v>14.58</v>
      </c>
      <c r="AA18">
        <v>1</v>
      </c>
      <c r="AB18" s="3">
        <v>1</v>
      </c>
      <c r="AC18" s="2">
        <v>14.58</v>
      </c>
      <c r="AD18" s="3">
        <v>0</v>
      </c>
      <c r="AE18" s="2">
        <v>0</v>
      </c>
      <c r="AF18" s="2">
        <v>14.58</v>
      </c>
      <c r="AK18">
        <v>6927058</v>
      </c>
      <c r="AL18" t="s">
        <v>82</v>
      </c>
    </row>
    <row r="19" spans="1:38" x14ac:dyDescent="0.25">
      <c r="A19" s="1">
        <v>46183</v>
      </c>
      <c r="B19" s="1">
        <v>46183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122</v>
      </c>
      <c r="J19" t="s">
        <v>123</v>
      </c>
      <c r="M19" t="s">
        <v>46</v>
      </c>
      <c r="O19" t="s">
        <v>104</v>
      </c>
      <c r="P19" t="s">
        <v>105</v>
      </c>
      <c r="Q19" t="s">
        <v>59</v>
      </c>
      <c r="R19" t="s">
        <v>81</v>
      </c>
      <c r="S19" s="1">
        <v>46235</v>
      </c>
      <c r="U19" t="s">
        <v>51</v>
      </c>
      <c r="X19" t="s">
        <v>52</v>
      </c>
      <c r="Y19" s="2">
        <v>0</v>
      </c>
      <c r="Z19" s="2">
        <v>10.42</v>
      </c>
      <c r="AA19">
        <v>1</v>
      </c>
      <c r="AB19" s="3">
        <v>1</v>
      </c>
      <c r="AC19" s="2">
        <v>10.42</v>
      </c>
      <c r="AD19" s="3">
        <v>0</v>
      </c>
      <c r="AE19" s="2">
        <v>0</v>
      </c>
      <c r="AF19" s="2">
        <v>10.42</v>
      </c>
      <c r="AK19">
        <v>6927061</v>
      </c>
      <c r="AL19" t="s">
        <v>124</v>
      </c>
    </row>
    <row r="20" spans="1:38" x14ac:dyDescent="0.25">
      <c r="A20" s="1">
        <v>46183</v>
      </c>
      <c r="B20" s="1">
        <v>46183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125</v>
      </c>
      <c r="J20" t="s">
        <v>126</v>
      </c>
      <c r="M20" t="s">
        <v>46</v>
      </c>
      <c r="O20" t="s">
        <v>104</v>
      </c>
      <c r="P20" t="s">
        <v>105</v>
      </c>
      <c r="Q20" t="s">
        <v>59</v>
      </c>
      <c r="R20" t="s">
        <v>81</v>
      </c>
      <c r="S20" s="1">
        <v>46174</v>
      </c>
      <c r="U20" t="s">
        <v>51</v>
      </c>
      <c r="X20" t="s">
        <v>52</v>
      </c>
      <c r="Y20" s="2">
        <v>0</v>
      </c>
      <c r="Z20" s="2">
        <v>14.58</v>
      </c>
      <c r="AA20">
        <v>1</v>
      </c>
      <c r="AB20" s="3">
        <v>1</v>
      </c>
      <c r="AC20" s="2">
        <v>14.58</v>
      </c>
      <c r="AD20" s="3">
        <v>0</v>
      </c>
      <c r="AE20" s="2">
        <v>0</v>
      </c>
      <c r="AF20" s="2">
        <v>14.58</v>
      </c>
      <c r="AK20">
        <v>6927062</v>
      </c>
      <c r="AL20" t="s">
        <v>82</v>
      </c>
    </row>
    <row r="21" spans="1:38" x14ac:dyDescent="0.25">
      <c r="A21" s="1">
        <v>46183</v>
      </c>
      <c r="B21" s="1">
        <v>46183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127</v>
      </c>
      <c r="J21" t="s">
        <v>128</v>
      </c>
      <c r="M21" t="s">
        <v>129</v>
      </c>
      <c r="O21" t="s">
        <v>130</v>
      </c>
      <c r="P21" t="s">
        <v>131</v>
      </c>
      <c r="Q21" t="s">
        <v>59</v>
      </c>
      <c r="R21" t="s">
        <v>81</v>
      </c>
      <c r="S21" s="1">
        <v>46174</v>
      </c>
      <c r="U21" t="s">
        <v>51</v>
      </c>
      <c r="X21" t="s">
        <v>52</v>
      </c>
      <c r="Y21" s="2">
        <v>0</v>
      </c>
      <c r="Z21" s="2">
        <v>14.58</v>
      </c>
      <c r="AA21">
        <v>1</v>
      </c>
      <c r="AB21" s="3">
        <v>1</v>
      </c>
      <c r="AC21" s="2">
        <v>14.58</v>
      </c>
      <c r="AD21" s="3">
        <v>0</v>
      </c>
      <c r="AE21" s="2">
        <v>0</v>
      </c>
      <c r="AF21" s="2">
        <v>14.58</v>
      </c>
      <c r="AK21">
        <v>6927070</v>
      </c>
      <c r="AL21" t="s">
        <v>82</v>
      </c>
    </row>
    <row r="22" spans="1:38" x14ac:dyDescent="0.25">
      <c r="A22" s="1">
        <v>46183</v>
      </c>
      <c r="B22" s="1">
        <v>46183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132</v>
      </c>
      <c r="J22" t="s">
        <v>133</v>
      </c>
      <c r="M22" t="s">
        <v>56</v>
      </c>
      <c r="O22" t="s">
        <v>134</v>
      </c>
      <c r="P22" t="s">
        <v>135</v>
      </c>
      <c r="Q22" t="s">
        <v>59</v>
      </c>
      <c r="R22" t="s">
        <v>81</v>
      </c>
      <c r="S22" s="1">
        <v>46174</v>
      </c>
      <c r="U22" t="s">
        <v>51</v>
      </c>
      <c r="X22" t="s">
        <v>52</v>
      </c>
      <c r="Y22" s="2">
        <v>0</v>
      </c>
      <c r="Z22" s="2">
        <v>14.58</v>
      </c>
      <c r="AA22">
        <v>1</v>
      </c>
      <c r="AB22" s="3">
        <v>1</v>
      </c>
      <c r="AC22" s="2">
        <v>14.58</v>
      </c>
      <c r="AD22" s="3">
        <v>0</v>
      </c>
      <c r="AE22" s="2">
        <v>0</v>
      </c>
      <c r="AF22" s="2">
        <v>14.58</v>
      </c>
      <c r="AK22">
        <v>6927078</v>
      </c>
      <c r="AL22" t="s">
        <v>82</v>
      </c>
    </row>
    <row r="23" spans="1:38" x14ac:dyDescent="0.25">
      <c r="A23" s="1">
        <v>46183</v>
      </c>
      <c r="B23" s="1">
        <v>46183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136</v>
      </c>
      <c r="J23" t="s">
        <v>137</v>
      </c>
      <c r="M23" t="s">
        <v>91</v>
      </c>
      <c r="O23" t="s">
        <v>138</v>
      </c>
      <c r="P23" t="s">
        <v>139</v>
      </c>
      <c r="Q23" t="s">
        <v>59</v>
      </c>
      <c r="R23" t="s">
        <v>81</v>
      </c>
      <c r="S23" s="1">
        <v>46204</v>
      </c>
      <c r="U23" t="s">
        <v>51</v>
      </c>
      <c r="X23" t="s">
        <v>52</v>
      </c>
      <c r="Y23" s="2">
        <v>0</v>
      </c>
      <c r="Z23" s="2">
        <v>12.5</v>
      </c>
      <c r="AA23">
        <v>1</v>
      </c>
      <c r="AB23" s="3">
        <v>1</v>
      </c>
      <c r="AC23" s="2">
        <v>12.5</v>
      </c>
      <c r="AD23" s="3">
        <v>0</v>
      </c>
      <c r="AE23" s="2">
        <v>0</v>
      </c>
      <c r="AF23" s="2">
        <v>12.5</v>
      </c>
      <c r="AK23">
        <v>6927080</v>
      </c>
      <c r="AL23" t="s">
        <v>88</v>
      </c>
    </row>
    <row r="24" spans="1:38" x14ac:dyDescent="0.25">
      <c r="A24" s="1">
        <v>46183</v>
      </c>
      <c r="B24" s="1">
        <v>46183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140</v>
      </c>
      <c r="J24" t="s">
        <v>141</v>
      </c>
      <c r="M24" t="s">
        <v>46</v>
      </c>
      <c r="O24" t="s">
        <v>104</v>
      </c>
      <c r="P24" t="s">
        <v>105</v>
      </c>
      <c r="Q24" t="s">
        <v>59</v>
      </c>
      <c r="R24" t="s">
        <v>81</v>
      </c>
      <c r="S24" s="1">
        <v>46174</v>
      </c>
      <c r="U24" t="s">
        <v>51</v>
      </c>
      <c r="X24" t="s">
        <v>52</v>
      </c>
      <c r="Y24" s="2">
        <v>0</v>
      </c>
      <c r="Z24" s="2">
        <v>14.58</v>
      </c>
      <c r="AA24">
        <v>1</v>
      </c>
      <c r="AB24" s="3">
        <v>1</v>
      </c>
      <c r="AC24" s="2">
        <v>14.58</v>
      </c>
      <c r="AD24" s="3">
        <v>0</v>
      </c>
      <c r="AE24" s="2">
        <v>0</v>
      </c>
      <c r="AF24" s="2">
        <v>14.58</v>
      </c>
      <c r="AK24">
        <v>6927082</v>
      </c>
      <c r="AL24" t="s">
        <v>82</v>
      </c>
    </row>
    <row r="25" spans="1:38" x14ac:dyDescent="0.25">
      <c r="A25" s="1">
        <v>46183</v>
      </c>
      <c r="B25" s="1">
        <v>46183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142</v>
      </c>
      <c r="J25" t="s">
        <v>143</v>
      </c>
      <c r="M25" t="s">
        <v>144</v>
      </c>
      <c r="O25" t="s">
        <v>145</v>
      </c>
      <c r="P25" t="s">
        <v>146</v>
      </c>
      <c r="Q25" t="s">
        <v>59</v>
      </c>
      <c r="R25" t="s">
        <v>147</v>
      </c>
      <c r="S25" s="1">
        <v>46235</v>
      </c>
      <c r="U25" t="s">
        <v>51</v>
      </c>
      <c r="X25" t="s">
        <v>52</v>
      </c>
      <c r="Y25" s="2">
        <v>0</v>
      </c>
      <c r="Z25" s="2">
        <v>144.58000000000001</v>
      </c>
      <c r="AA25">
        <v>1</v>
      </c>
      <c r="AB25" s="3">
        <v>1</v>
      </c>
      <c r="AC25" s="2">
        <v>144.58000000000001</v>
      </c>
      <c r="AD25" s="3">
        <v>0</v>
      </c>
      <c r="AE25" s="2">
        <v>0</v>
      </c>
      <c r="AF25" s="2">
        <v>144.58000000000001</v>
      </c>
      <c r="AK25">
        <v>6927406</v>
      </c>
      <c r="AL25" t="s">
        <v>124</v>
      </c>
    </row>
    <row r="26" spans="1:38" x14ac:dyDescent="0.25">
      <c r="A26" s="1">
        <v>46183</v>
      </c>
      <c r="B26" s="1">
        <v>46183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148</v>
      </c>
      <c r="J26" t="s">
        <v>143</v>
      </c>
      <c r="M26" t="s">
        <v>144</v>
      </c>
      <c r="O26" t="s">
        <v>145</v>
      </c>
      <c r="P26" t="s">
        <v>146</v>
      </c>
      <c r="Q26" t="s">
        <v>59</v>
      </c>
      <c r="R26" t="s">
        <v>149</v>
      </c>
      <c r="S26" s="1">
        <v>46235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6927405</v>
      </c>
    </row>
    <row r="27" spans="1:38" x14ac:dyDescent="0.25">
      <c r="A27" s="1">
        <v>46183</v>
      </c>
      <c r="B27" s="1">
        <v>46183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150</v>
      </c>
      <c r="J27" t="s">
        <v>151</v>
      </c>
      <c r="M27" t="s">
        <v>129</v>
      </c>
      <c r="O27" t="s">
        <v>152</v>
      </c>
      <c r="P27" t="s">
        <v>153</v>
      </c>
      <c r="Q27" t="s">
        <v>59</v>
      </c>
      <c r="R27" t="s">
        <v>154</v>
      </c>
      <c r="S27" s="1">
        <v>46174</v>
      </c>
      <c r="U27" t="s">
        <v>51</v>
      </c>
      <c r="X27" t="s">
        <v>52</v>
      </c>
      <c r="Y27" s="2">
        <v>0</v>
      </c>
      <c r="Z27" s="2">
        <v>118.42</v>
      </c>
      <c r="AA27">
        <v>1</v>
      </c>
      <c r="AB27" s="3">
        <v>1</v>
      </c>
      <c r="AC27" s="2">
        <v>118.42</v>
      </c>
      <c r="AD27" s="3">
        <v>0</v>
      </c>
      <c r="AE27" s="2">
        <v>0</v>
      </c>
      <c r="AF27" s="2">
        <v>118.42</v>
      </c>
      <c r="AK27">
        <v>6927459</v>
      </c>
      <c r="AL27" t="s">
        <v>82</v>
      </c>
    </row>
    <row r="28" spans="1:38" x14ac:dyDescent="0.25">
      <c r="A28" s="1">
        <v>46183</v>
      </c>
      <c r="B28" s="1">
        <v>46183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155</v>
      </c>
      <c r="J28" t="s">
        <v>151</v>
      </c>
      <c r="M28" t="s">
        <v>129</v>
      </c>
      <c r="O28" t="s">
        <v>152</v>
      </c>
      <c r="P28" t="s">
        <v>153</v>
      </c>
      <c r="Q28" t="s">
        <v>59</v>
      </c>
      <c r="R28" t="s">
        <v>156</v>
      </c>
      <c r="S28" s="1">
        <v>46174</v>
      </c>
      <c r="U28" t="s">
        <v>51</v>
      </c>
      <c r="X28" t="s">
        <v>52</v>
      </c>
      <c r="Y28" s="2">
        <v>0</v>
      </c>
      <c r="Z28" s="2">
        <v>29.17</v>
      </c>
      <c r="AA28">
        <v>1</v>
      </c>
      <c r="AB28" s="3">
        <v>1</v>
      </c>
      <c r="AC28" s="2">
        <v>29.17</v>
      </c>
      <c r="AD28" s="3">
        <v>0</v>
      </c>
      <c r="AE28" s="2">
        <v>0</v>
      </c>
      <c r="AF28" s="2">
        <v>29.17</v>
      </c>
      <c r="AK28">
        <v>6927458</v>
      </c>
      <c r="AL28" t="s">
        <v>82</v>
      </c>
    </row>
    <row r="29" spans="1:38" x14ac:dyDescent="0.25">
      <c r="A29" s="1">
        <v>46183</v>
      </c>
      <c r="B29" s="1">
        <v>46183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157</v>
      </c>
      <c r="J29" t="s">
        <v>158</v>
      </c>
      <c r="M29" t="s">
        <v>159</v>
      </c>
      <c r="O29" t="s">
        <v>160</v>
      </c>
      <c r="P29" t="s">
        <v>161</v>
      </c>
      <c r="Q29" t="s">
        <v>59</v>
      </c>
      <c r="R29" t="s">
        <v>149</v>
      </c>
      <c r="S29" s="1">
        <v>46174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6927508</v>
      </c>
    </row>
    <row r="30" spans="1:38" x14ac:dyDescent="0.25">
      <c r="A30" s="1">
        <v>46183</v>
      </c>
      <c r="B30" s="1">
        <v>46183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162</v>
      </c>
      <c r="J30" t="s">
        <v>163</v>
      </c>
      <c r="M30" t="s">
        <v>91</v>
      </c>
      <c r="O30" t="s">
        <v>164</v>
      </c>
      <c r="P30" t="s">
        <v>165</v>
      </c>
      <c r="Q30" t="s">
        <v>59</v>
      </c>
      <c r="R30" t="s">
        <v>166</v>
      </c>
      <c r="S30" s="1">
        <v>46174</v>
      </c>
      <c r="U30" t="s">
        <v>51</v>
      </c>
      <c r="X30" t="s">
        <v>52</v>
      </c>
      <c r="Y30" s="2">
        <v>0</v>
      </c>
      <c r="Z30" s="2">
        <v>228.08</v>
      </c>
      <c r="AA30">
        <v>1</v>
      </c>
      <c r="AB30" s="3">
        <v>1</v>
      </c>
      <c r="AC30" s="2">
        <v>228.08</v>
      </c>
      <c r="AD30" s="3">
        <v>0</v>
      </c>
      <c r="AE30" s="2">
        <v>0</v>
      </c>
      <c r="AF30" s="2">
        <v>228.08</v>
      </c>
      <c r="AK30">
        <v>6927526</v>
      </c>
      <c r="AL30" t="s">
        <v>82</v>
      </c>
    </row>
    <row r="31" spans="1:38" x14ac:dyDescent="0.25">
      <c r="A31" s="1">
        <v>46183</v>
      </c>
      <c r="B31" s="1">
        <v>46183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167</v>
      </c>
      <c r="J31" t="s">
        <v>163</v>
      </c>
      <c r="M31" t="s">
        <v>91</v>
      </c>
      <c r="O31" t="s">
        <v>164</v>
      </c>
      <c r="P31" t="s">
        <v>165</v>
      </c>
      <c r="Q31" t="s">
        <v>59</v>
      </c>
      <c r="R31" t="s">
        <v>149</v>
      </c>
      <c r="S31" s="1">
        <v>46174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6927527</v>
      </c>
    </row>
    <row r="32" spans="1:38" x14ac:dyDescent="0.25">
      <c r="A32" s="1">
        <v>46183</v>
      </c>
      <c r="B32" s="1">
        <v>46183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168</v>
      </c>
      <c r="J32" t="s">
        <v>169</v>
      </c>
      <c r="M32" t="s">
        <v>46</v>
      </c>
      <c r="O32" t="s">
        <v>170</v>
      </c>
      <c r="P32" t="s">
        <v>171</v>
      </c>
      <c r="Q32" t="s">
        <v>59</v>
      </c>
      <c r="R32" t="s">
        <v>147</v>
      </c>
      <c r="S32" s="1">
        <v>46204</v>
      </c>
      <c r="U32" t="s">
        <v>51</v>
      </c>
      <c r="X32" t="s">
        <v>52</v>
      </c>
      <c r="Y32" s="2">
        <v>0</v>
      </c>
      <c r="Z32" s="2">
        <v>173.5</v>
      </c>
      <c r="AA32">
        <v>1</v>
      </c>
      <c r="AB32" s="3">
        <v>1</v>
      </c>
      <c r="AC32" s="2">
        <v>173.5</v>
      </c>
      <c r="AD32" s="3">
        <v>0</v>
      </c>
      <c r="AE32" s="2">
        <v>0</v>
      </c>
      <c r="AF32" s="2">
        <v>173.5</v>
      </c>
      <c r="AK32">
        <v>6927572</v>
      </c>
      <c r="AL32" t="s">
        <v>88</v>
      </c>
    </row>
    <row r="33" spans="1:37" x14ac:dyDescent="0.25">
      <c r="A33" s="1">
        <v>46183</v>
      </c>
      <c r="B33" s="1">
        <v>46183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172</v>
      </c>
      <c r="J33" t="s">
        <v>169</v>
      </c>
      <c r="M33" t="s">
        <v>46</v>
      </c>
      <c r="O33" t="s">
        <v>170</v>
      </c>
      <c r="P33" t="s">
        <v>171</v>
      </c>
      <c r="Q33" t="s">
        <v>59</v>
      </c>
      <c r="R33" t="s">
        <v>149</v>
      </c>
      <c r="S33" s="1">
        <v>46204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6927571</v>
      </c>
    </row>
    <row r="34" spans="1:37" x14ac:dyDescent="0.25">
      <c r="A34" s="1">
        <v>46183</v>
      </c>
      <c r="B34" s="1">
        <v>46183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173</v>
      </c>
      <c r="J34" t="s">
        <v>174</v>
      </c>
      <c r="M34" t="s">
        <v>56</v>
      </c>
      <c r="O34" t="s">
        <v>57</v>
      </c>
      <c r="P34" t="s">
        <v>58</v>
      </c>
      <c r="Q34" t="s">
        <v>59</v>
      </c>
      <c r="R34" t="s">
        <v>175</v>
      </c>
      <c r="S34" s="1">
        <v>46174</v>
      </c>
      <c r="U34" t="s">
        <v>51</v>
      </c>
      <c r="X34" t="s">
        <v>52</v>
      </c>
      <c r="Y34" s="2">
        <v>0</v>
      </c>
      <c r="Z34" s="2">
        <v>31.5</v>
      </c>
      <c r="AA34">
        <v>9</v>
      </c>
      <c r="AB34" s="3">
        <v>1</v>
      </c>
      <c r="AC34" s="2">
        <v>283.5</v>
      </c>
      <c r="AD34" s="3">
        <v>0</v>
      </c>
      <c r="AE34" s="2">
        <v>0</v>
      </c>
      <c r="AF34" s="2">
        <v>283.5</v>
      </c>
      <c r="AK34">
        <v>6927331</v>
      </c>
    </row>
    <row r="35" spans="1:37" x14ac:dyDescent="0.25">
      <c r="A35" s="1">
        <v>46183</v>
      </c>
      <c r="B35" s="1">
        <v>46183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176</v>
      </c>
      <c r="J35" t="s">
        <v>177</v>
      </c>
      <c r="M35" t="s">
        <v>178</v>
      </c>
      <c r="O35" t="s">
        <v>164</v>
      </c>
      <c r="P35" t="s">
        <v>165</v>
      </c>
      <c r="Q35" t="s">
        <v>59</v>
      </c>
      <c r="R35" t="s">
        <v>179</v>
      </c>
      <c r="S35" s="1">
        <v>46204</v>
      </c>
      <c r="U35" t="s">
        <v>51</v>
      </c>
      <c r="X35" t="s">
        <v>52</v>
      </c>
      <c r="Y35" s="2">
        <v>0</v>
      </c>
      <c r="Z35" s="2">
        <v>36</v>
      </c>
      <c r="AA35">
        <v>9</v>
      </c>
      <c r="AB35" s="3">
        <v>1</v>
      </c>
      <c r="AC35" s="2">
        <v>324</v>
      </c>
      <c r="AD35" s="3">
        <v>0</v>
      </c>
      <c r="AE35" s="2">
        <v>0</v>
      </c>
      <c r="AF35" s="2">
        <v>324</v>
      </c>
      <c r="AK35">
        <v>6927333</v>
      </c>
    </row>
    <row r="36" spans="1:37" x14ac:dyDescent="0.25">
      <c r="A36" s="1">
        <v>46183</v>
      </c>
      <c r="B36" s="1">
        <v>46183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180</v>
      </c>
      <c r="J36" t="s">
        <v>181</v>
      </c>
      <c r="M36" t="s">
        <v>56</v>
      </c>
      <c r="O36" t="s">
        <v>57</v>
      </c>
      <c r="P36" t="s">
        <v>58</v>
      </c>
      <c r="Q36" t="s">
        <v>59</v>
      </c>
      <c r="R36" t="s">
        <v>175</v>
      </c>
      <c r="S36" s="1">
        <v>46174</v>
      </c>
      <c r="U36" t="s">
        <v>51</v>
      </c>
      <c r="X36" t="s">
        <v>52</v>
      </c>
      <c r="Y36" s="2">
        <v>0</v>
      </c>
      <c r="Z36" s="2">
        <v>31.5</v>
      </c>
      <c r="AA36">
        <v>9</v>
      </c>
      <c r="AB36" s="3">
        <v>1</v>
      </c>
      <c r="AC36" s="2">
        <v>283.5</v>
      </c>
      <c r="AD36" s="3">
        <v>0</v>
      </c>
      <c r="AE36" s="2">
        <v>0</v>
      </c>
      <c r="AF36" s="2">
        <v>283.5</v>
      </c>
      <c r="AK36">
        <v>6927332</v>
      </c>
    </row>
    <row r="37" spans="1:37" x14ac:dyDescent="0.25">
      <c r="A37" s="1">
        <v>46183</v>
      </c>
      <c r="B37" s="1">
        <v>46183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182</v>
      </c>
      <c r="J37" t="s">
        <v>183</v>
      </c>
      <c r="M37" t="s">
        <v>91</v>
      </c>
      <c r="O37" t="s">
        <v>184</v>
      </c>
      <c r="P37" t="s">
        <v>185</v>
      </c>
      <c r="Q37" t="s">
        <v>59</v>
      </c>
      <c r="R37" t="s">
        <v>186</v>
      </c>
      <c r="S37" s="1">
        <v>46204</v>
      </c>
      <c r="U37" t="s">
        <v>51</v>
      </c>
      <c r="X37" t="s">
        <v>52</v>
      </c>
      <c r="Y37" s="2">
        <v>0</v>
      </c>
      <c r="Z37" s="2">
        <v>36</v>
      </c>
      <c r="AA37">
        <v>9</v>
      </c>
      <c r="AB37" s="3">
        <v>1</v>
      </c>
      <c r="AC37" s="2">
        <v>324</v>
      </c>
      <c r="AD37" s="3">
        <v>0</v>
      </c>
      <c r="AE37" s="2">
        <v>0</v>
      </c>
      <c r="AF37" s="2">
        <v>324</v>
      </c>
      <c r="AK37">
        <v>6927334</v>
      </c>
    </row>
    <row r="38" spans="1:37" x14ac:dyDescent="0.25">
      <c r="A38" s="1">
        <v>46183</v>
      </c>
      <c r="B38" s="1">
        <v>46183</v>
      </c>
      <c r="C38" t="s">
        <v>187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188</v>
      </c>
      <c r="J38" t="s">
        <v>189</v>
      </c>
      <c r="M38" t="s">
        <v>56</v>
      </c>
      <c r="O38" t="s">
        <v>190</v>
      </c>
      <c r="P38" t="s">
        <v>191</v>
      </c>
      <c r="Q38" t="s">
        <v>192</v>
      </c>
      <c r="R38" t="s">
        <v>50</v>
      </c>
      <c r="S38" s="1">
        <v>46023</v>
      </c>
      <c r="U38" t="s">
        <v>51</v>
      </c>
      <c r="X38" t="s">
        <v>52</v>
      </c>
      <c r="AF38" s="2">
        <v>175</v>
      </c>
      <c r="AG38" s="2">
        <v>0</v>
      </c>
      <c r="AJ38" s="2">
        <v>101.5</v>
      </c>
    </row>
    <row r="39" spans="1:37" x14ac:dyDescent="0.25">
      <c r="A39" s="1">
        <v>46183</v>
      </c>
      <c r="B39" s="1">
        <v>46183</v>
      </c>
      <c r="C39" t="s">
        <v>187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193</v>
      </c>
      <c r="J39" t="s">
        <v>194</v>
      </c>
      <c r="M39" t="s">
        <v>195</v>
      </c>
      <c r="O39" t="s">
        <v>196</v>
      </c>
      <c r="P39" t="s">
        <v>197</v>
      </c>
      <c r="Q39" t="s">
        <v>192</v>
      </c>
      <c r="R39" t="s">
        <v>50</v>
      </c>
      <c r="S39" s="1">
        <v>46113</v>
      </c>
      <c r="U39" t="s">
        <v>51</v>
      </c>
      <c r="X39" t="s">
        <v>52</v>
      </c>
      <c r="AF39" s="2">
        <v>175</v>
      </c>
      <c r="AG39" s="2">
        <v>0</v>
      </c>
      <c r="AJ39" s="2">
        <v>145.25</v>
      </c>
    </row>
    <row r="40" spans="1:37" x14ac:dyDescent="0.25">
      <c r="A40" s="1">
        <v>46183</v>
      </c>
      <c r="B40" s="1">
        <v>46183</v>
      </c>
      <c r="C40" t="s">
        <v>187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198</v>
      </c>
      <c r="J40" t="s">
        <v>199</v>
      </c>
      <c r="M40" t="s">
        <v>200</v>
      </c>
      <c r="O40" t="s">
        <v>201</v>
      </c>
      <c r="P40" t="s">
        <v>202</v>
      </c>
      <c r="Q40" t="s">
        <v>192</v>
      </c>
      <c r="R40" t="s">
        <v>203</v>
      </c>
      <c r="S40" s="1">
        <v>46174</v>
      </c>
      <c r="U40" t="s">
        <v>51</v>
      </c>
      <c r="X40" t="s">
        <v>52</v>
      </c>
      <c r="AF40" s="2">
        <v>108</v>
      </c>
      <c r="AG40" s="2">
        <v>0</v>
      </c>
      <c r="AJ40" s="2">
        <v>108</v>
      </c>
    </row>
    <row r="41" spans="1:37" x14ac:dyDescent="0.25">
      <c r="A41" s="1">
        <v>46183</v>
      </c>
      <c r="B41" s="1">
        <v>46183</v>
      </c>
      <c r="C41" t="s">
        <v>187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204</v>
      </c>
      <c r="J41" t="s">
        <v>205</v>
      </c>
      <c r="M41" t="s">
        <v>56</v>
      </c>
      <c r="O41" t="s">
        <v>86</v>
      </c>
      <c r="P41" t="s">
        <v>87</v>
      </c>
      <c r="Q41" t="s">
        <v>192</v>
      </c>
      <c r="R41" t="s">
        <v>50</v>
      </c>
      <c r="S41" s="1">
        <v>46023</v>
      </c>
      <c r="U41" t="s">
        <v>51</v>
      </c>
      <c r="X41" t="s">
        <v>52</v>
      </c>
      <c r="AF41" s="2">
        <v>175</v>
      </c>
      <c r="AG41" s="2">
        <v>0</v>
      </c>
      <c r="AJ41" s="2">
        <v>101.5</v>
      </c>
    </row>
    <row r="42" spans="1:37" x14ac:dyDescent="0.25">
      <c r="A42" s="1">
        <v>46183</v>
      </c>
      <c r="B42" s="1">
        <v>46183</v>
      </c>
      <c r="C42" t="s">
        <v>187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206</v>
      </c>
      <c r="J42" t="s">
        <v>207</v>
      </c>
      <c r="M42" t="s">
        <v>56</v>
      </c>
      <c r="O42" t="s">
        <v>71</v>
      </c>
      <c r="P42" t="s">
        <v>72</v>
      </c>
      <c r="Q42" t="s">
        <v>192</v>
      </c>
      <c r="R42" t="s">
        <v>50</v>
      </c>
      <c r="S42" s="1">
        <v>46023</v>
      </c>
      <c r="U42" t="s">
        <v>51</v>
      </c>
      <c r="X42" t="s">
        <v>52</v>
      </c>
      <c r="AF42" s="2">
        <v>175</v>
      </c>
      <c r="AG42" s="2">
        <v>0</v>
      </c>
      <c r="AJ42" s="2">
        <v>101.5</v>
      </c>
    </row>
    <row r="43" spans="1:37" x14ac:dyDescent="0.25">
      <c r="A43" s="1">
        <v>46183</v>
      </c>
      <c r="B43" s="1">
        <v>46183</v>
      </c>
      <c r="C43" t="s">
        <v>187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208</v>
      </c>
      <c r="J43" t="s">
        <v>209</v>
      </c>
      <c r="M43" t="s">
        <v>108</v>
      </c>
      <c r="O43" t="s">
        <v>210</v>
      </c>
      <c r="P43" t="s">
        <v>211</v>
      </c>
      <c r="Q43" t="s">
        <v>192</v>
      </c>
      <c r="R43" t="s">
        <v>50</v>
      </c>
      <c r="S43" s="1">
        <v>46113</v>
      </c>
      <c r="U43" t="s">
        <v>51</v>
      </c>
      <c r="X43" t="s">
        <v>52</v>
      </c>
      <c r="AF43" s="2">
        <v>175</v>
      </c>
      <c r="AG43" s="2">
        <v>0</v>
      </c>
      <c r="AJ43" s="2">
        <v>145.25</v>
      </c>
    </row>
    <row r="44" spans="1:37" x14ac:dyDescent="0.25">
      <c r="A44" s="1">
        <v>46183</v>
      </c>
      <c r="B44" s="1">
        <v>46183</v>
      </c>
      <c r="C44" t="s">
        <v>187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212</v>
      </c>
      <c r="J44" t="s">
        <v>213</v>
      </c>
      <c r="M44" t="s">
        <v>200</v>
      </c>
      <c r="O44" t="s">
        <v>57</v>
      </c>
      <c r="P44" t="s">
        <v>58</v>
      </c>
      <c r="Q44" t="s">
        <v>192</v>
      </c>
      <c r="R44" t="s">
        <v>50</v>
      </c>
      <c r="S44" s="1">
        <v>46113</v>
      </c>
      <c r="U44" t="s">
        <v>51</v>
      </c>
      <c r="X44" t="s">
        <v>52</v>
      </c>
      <c r="AF44" s="2">
        <v>175</v>
      </c>
      <c r="AG44" s="2">
        <v>0</v>
      </c>
      <c r="AJ44" s="2">
        <v>145.25</v>
      </c>
    </row>
    <row r="45" spans="1:37" x14ac:dyDescent="0.25">
      <c r="A45" s="1">
        <v>46183</v>
      </c>
      <c r="B45" s="1">
        <v>46183</v>
      </c>
      <c r="C45" t="s">
        <v>187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214</v>
      </c>
      <c r="J45" t="s">
        <v>215</v>
      </c>
      <c r="M45" t="s">
        <v>216</v>
      </c>
      <c r="O45" t="s">
        <v>57</v>
      </c>
      <c r="P45" t="s">
        <v>58</v>
      </c>
      <c r="Q45" t="s">
        <v>192</v>
      </c>
      <c r="R45" t="s">
        <v>50</v>
      </c>
      <c r="S45" s="1">
        <v>46143</v>
      </c>
      <c r="U45" t="s">
        <v>51</v>
      </c>
      <c r="X45" t="s">
        <v>52</v>
      </c>
      <c r="AF45" s="2">
        <v>175</v>
      </c>
      <c r="AG45" s="2">
        <v>0</v>
      </c>
      <c r="AJ45" s="2">
        <v>161</v>
      </c>
    </row>
    <row r="46" spans="1:37" x14ac:dyDescent="0.25">
      <c r="A46" s="1">
        <v>46183</v>
      </c>
      <c r="B46" s="1">
        <v>46183</v>
      </c>
      <c r="C46" t="s">
        <v>187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217</v>
      </c>
      <c r="J46" t="s">
        <v>218</v>
      </c>
      <c r="M46" t="s">
        <v>159</v>
      </c>
      <c r="O46" t="s">
        <v>219</v>
      </c>
      <c r="P46" t="s">
        <v>220</v>
      </c>
      <c r="Q46" t="s">
        <v>192</v>
      </c>
      <c r="R46" t="s">
        <v>81</v>
      </c>
      <c r="S46" s="1">
        <v>46054</v>
      </c>
      <c r="U46" t="s">
        <v>51</v>
      </c>
      <c r="X46" t="s">
        <v>52</v>
      </c>
      <c r="AF46" s="2">
        <v>22.92</v>
      </c>
      <c r="AG46" s="2">
        <v>0</v>
      </c>
      <c r="AJ46" s="2">
        <v>14.59</v>
      </c>
    </row>
    <row r="47" spans="1:37" x14ac:dyDescent="0.25">
      <c r="A47" s="1">
        <v>46183</v>
      </c>
      <c r="B47" s="1">
        <v>46183</v>
      </c>
      <c r="C47" t="s">
        <v>187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221</v>
      </c>
      <c r="J47" t="s">
        <v>222</v>
      </c>
      <c r="M47" t="s">
        <v>91</v>
      </c>
      <c r="O47" t="s">
        <v>138</v>
      </c>
      <c r="P47" t="s">
        <v>139</v>
      </c>
      <c r="Q47" t="s">
        <v>192</v>
      </c>
      <c r="R47" t="s">
        <v>81</v>
      </c>
      <c r="S47" s="1">
        <v>46082</v>
      </c>
      <c r="U47" t="s">
        <v>51</v>
      </c>
      <c r="X47" t="s">
        <v>52</v>
      </c>
      <c r="AF47" s="2">
        <v>20.83</v>
      </c>
      <c r="AG47" s="2">
        <v>0</v>
      </c>
      <c r="AJ47" s="2">
        <v>20.83</v>
      </c>
    </row>
    <row r="48" spans="1:37" x14ac:dyDescent="0.25">
      <c r="A48" s="1">
        <v>46183</v>
      </c>
      <c r="B48" s="1">
        <v>46183</v>
      </c>
      <c r="C48" t="s">
        <v>187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223</v>
      </c>
      <c r="J48" t="s">
        <v>224</v>
      </c>
      <c r="M48" t="s">
        <v>46</v>
      </c>
      <c r="O48" t="s">
        <v>104</v>
      </c>
      <c r="P48" t="s">
        <v>105</v>
      </c>
      <c r="Q48" t="s">
        <v>192</v>
      </c>
      <c r="R48" t="s">
        <v>225</v>
      </c>
      <c r="S48" s="1">
        <v>46143</v>
      </c>
      <c r="U48" t="s">
        <v>51</v>
      </c>
      <c r="X48" t="s">
        <v>52</v>
      </c>
      <c r="AF48" s="2">
        <v>25</v>
      </c>
      <c r="AG48" s="2">
        <v>0</v>
      </c>
      <c r="AJ48" s="2">
        <v>25</v>
      </c>
    </row>
    <row r="49" spans="1:36" x14ac:dyDescent="0.25">
      <c r="A49" s="1">
        <v>46183</v>
      </c>
      <c r="B49" s="1">
        <v>46183</v>
      </c>
      <c r="C49" t="s">
        <v>187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226</v>
      </c>
      <c r="J49" t="s">
        <v>227</v>
      </c>
      <c r="M49" t="s">
        <v>46</v>
      </c>
      <c r="O49" t="s">
        <v>104</v>
      </c>
      <c r="P49" t="s">
        <v>105</v>
      </c>
      <c r="Q49" t="s">
        <v>192</v>
      </c>
      <c r="R49" t="s">
        <v>147</v>
      </c>
      <c r="S49" s="1">
        <v>46082</v>
      </c>
      <c r="U49" t="s">
        <v>51</v>
      </c>
      <c r="X49" t="s">
        <v>52</v>
      </c>
      <c r="AF49" s="2">
        <v>289.17</v>
      </c>
      <c r="AG49" s="2">
        <v>0</v>
      </c>
      <c r="AJ49" s="2">
        <v>289.17</v>
      </c>
    </row>
    <row r="50" spans="1:36" x14ac:dyDescent="0.25">
      <c r="A50" s="1">
        <v>46183</v>
      </c>
      <c r="B50" s="1">
        <v>46183</v>
      </c>
      <c r="C50" t="s">
        <v>187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228</v>
      </c>
      <c r="J50" t="s">
        <v>227</v>
      </c>
      <c r="M50" t="s">
        <v>46</v>
      </c>
      <c r="O50" t="s">
        <v>104</v>
      </c>
      <c r="P50" t="s">
        <v>105</v>
      </c>
      <c r="Q50" t="s">
        <v>192</v>
      </c>
      <c r="R50" t="s">
        <v>229</v>
      </c>
      <c r="S50" s="1">
        <v>46082</v>
      </c>
      <c r="U50" t="s">
        <v>51</v>
      </c>
      <c r="X50" t="s">
        <v>52</v>
      </c>
      <c r="AF50" s="2">
        <v>60</v>
      </c>
      <c r="AG50" s="2">
        <v>0</v>
      </c>
      <c r="AJ50" s="2">
        <v>60</v>
      </c>
    </row>
    <row r="51" spans="1:36" x14ac:dyDescent="0.25">
      <c r="A51" s="1">
        <v>46183</v>
      </c>
      <c r="B51" s="1">
        <v>46183</v>
      </c>
      <c r="C51" t="s">
        <v>187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230</v>
      </c>
      <c r="J51" t="s">
        <v>231</v>
      </c>
      <c r="M51" t="s">
        <v>144</v>
      </c>
      <c r="O51" t="s">
        <v>232</v>
      </c>
      <c r="P51" t="s">
        <v>233</v>
      </c>
      <c r="Q51" t="s">
        <v>192</v>
      </c>
      <c r="R51" t="s">
        <v>149</v>
      </c>
      <c r="S51" s="1">
        <v>46082</v>
      </c>
      <c r="U51" t="s">
        <v>51</v>
      </c>
      <c r="X51" t="s">
        <v>52</v>
      </c>
      <c r="AF51" s="2">
        <v>175</v>
      </c>
      <c r="AG51" s="2">
        <v>0</v>
      </c>
      <c r="AJ51" s="2">
        <v>131.25</v>
      </c>
    </row>
    <row r="52" spans="1:36" x14ac:dyDescent="0.25">
      <c r="A52" s="1">
        <v>46183</v>
      </c>
      <c r="B52" s="1">
        <v>46183</v>
      </c>
      <c r="C52" t="s">
        <v>187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234</v>
      </c>
      <c r="J52" t="s">
        <v>231</v>
      </c>
      <c r="M52" t="s">
        <v>144</v>
      </c>
      <c r="O52" t="s">
        <v>232</v>
      </c>
      <c r="P52" t="s">
        <v>233</v>
      </c>
      <c r="Q52" t="s">
        <v>192</v>
      </c>
      <c r="R52" t="s">
        <v>235</v>
      </c>
      <c r="S52" s="1">
        <v>46082</v>
      </c>
      <c r="U52" t="s">
        <v>51</v>
      </c>
      <c r="X52" t="s">
        <v>52</v>
      </c>
      <c r="AF52" s="2">
        <v>694</v>
      </c>
      <c r="AG52" s="2">
        <v>0</v>
      </c>
      <c r="AJ52" s="2">
        <v>520.5</v>
      </c>
    </row>
    <row r="53" spans="1:36" x14ac:dyDescent="0.25">
      <c r="A53" s="1">
        <v>46183</v>
      </c>
      <c r="B53" s="1">
        <v>46183</v>
      </c>
      <c r="C53" t="s">
        <v>187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236</v>
      </c>
      <c r="J53" t="s">
        <v>237</v>
      </c>
      <c r="M53" t="s">
        <v>238</v>
      </c>
      <c r="O53" t="s">
        <v>239</v>
      </c>
      <c r="P53" t="s">
        <v>240</v>
      </c>
      <c r="Q53" t="s">
        <v>192</v>
      </c>
      <c r="R53" t="s">
        <v>149</v>
      </c>
      <c r="S53" s="1">
        <v>46023</v>
      </c>
      <c r="U53" t="s">
        <v>51</v>
      </c>
      <c r="X53" t="s">
        <v>52</v>
      </c>
      <c r="AF53" s="2">
        <v>175</v>
      </c>
      <c r="AG53" s="2">
        <v>0</v>
      </c>
      <c r="AJ53" s="2">
        <v>102.08</v>
      </c>
    </row>
    <row r="54" spans="1:36" x14ac:dyDescent="0.25">
      <c r="A54" s="1">
        <v>46183</v>
      </c>
      <c r="B54" s="1">
        <v>46183</v>
      </c>
      <c r="C54" t="s">
        <v>187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241</v>
      </c>
      <c r="J54" t="s">
        <v>237</v>
      </c>
      <c r="M54" t="s">
        <v>238</v>
      </c>
      <c r="O54" t="s">
        <v>239</v>
      </c>
      <c r="P54" t="s">
        <v>240</v>
      </c>
      <c r="Q54" t="s">
        <v>192</v>
      </c>
      <c r="R54" t="s">
        <v>147</v>
      </c>
      <c r="S54" s="1">
        <v>46023</v>
      </c>
      <c r="U54" t="s">
        <v>51</v>
      </c>
      <c r="X54" t="s">
        <v>52</v>
      </c>
      <c r="AF54" s="2">
        <v>347</v>
      </c>
      <c r="AG54" s="2">
        <v>0</v>
      </c>
      <c r="AJ54" s="2">
        <v>202.41</v>
      </c>
    </row>
    <row r="55" spans="1:36" x14ac:dyDescent="0.25">
      <c r="A55" s="1">
        <v>46183</v>
      </c>
      <c r="B55" s="1">
        <v>46183</v>
      </c>
      <c r="C55" t="s">
        <v>187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242</v>
      </c>
      <c r="J55" t="s">
        <v>243</v>
      </c>
      <c r="M55" t="s">
        <v>159</v>
      </c>
      <c r="O55" t="s">
        <v>219</v>
      </c>
      <c r="P55" t="s">
        <v>220</v>
      </c>
      <c r="Q55" t="s">
        <v>192</v>
      </c>
      <c r="R55" t="s">
        <v>244</v>
      </c>
      <c r="S55" s="1">
        <v>46174</v>
      </c>
      <c r="U55" t="s">
        <v>51</v>
      </c>
      <c r="X55" t="s">
        <v>52</v>
      </c>
      <c r="AF55" s="2">
        <v>279.18</v>
      </c>
      <c r="AG55" s="2">
        <v>0</v>
      </c>
      <c r="AJ55" s="2">
        <v>279.18</v>
      </c>
    </row>
    <row r="56" spans="1:36" x14ac:dyDescent="0.25">
      <c r="A56" s="1">
        <v>46183</v>
      </c>
      <c r="B56" s="1">
        <v>46183</v>
      </c>
      <c r="C56" t="s">
        <v>187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245</v>
      </c>
      <c r="J56" t="s">
        <v>246</v>
      </c>
      <c r="M56" t="s">
        <v>56</v>
      </c>
      <c r="O56" t="s">
        <v>247</v>
      </c>
      <c r="P56" t="s">
        <v>248</v>
      </c>
      <c r="Q56" t="s">
        <v>192</v>
      </c>
      <c r="R56" t="s">
        <v>81</v>
      </c>
      <c r="S56" s="1">
        <v>46143</v>
      </c>
      <c r="U56" t="s">
        <v>51</v>
      </c>
      <c r="X56" t="s">
        <v>52</v>
      </c>
      <c r="AF56" s="2">
        <v>16.670000000000002</v>
      </c>
      <c r="AG56" s="2">
        <v>0</v>
      </c>
      <c r="AJ56" s="2">
        <v>16.670000000000002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7D70-D20B-4344-B349-5B4649224670}">
  <dimension ref="A1:R56"/>
  <sheetViews>
    <sheetView tabSelected="1" topLeftCell="A30" workbookViewId="0">
      <selection activeCell="B59" sqref="B59"/>
    </sheetView>
  </sheetViews>
  <sheetFormatPr defaultRowHeight="15" x14ac:dyDescent="0.25"/>
  <cols>
    <col min="1" max="2" width="16.5703125" customWidth="1"/>
    <col min="3" max="3" width="22.7109375" bestFit="1" customWidth="1"/>
    <col min="4" max="4" width="5.5703125" bestFit="1" customWidth="1"/>
    <col min="5" max="5" width="9.42578125" customWidth="1"/>
    <col min="6" max="6" width="12.85546875" bestFit="1" customWidth="1"/>
    <col min="7" max="7" width="23.7109375" bestFit="1" customWidth="1"/>
    <col min="8" max="8" width="12.85546875" bestFit="1" customWidth="1"/>
    <col min="9" max="9" width="46.140625" customWidth="1"/>
    <col min="10" max="10" width="10.140625" bestFit="1" customWidth="1"/>
    <col min="11" max="11" width="10.7109375" bestFit="1" customWidth="1"/>
    <col min="12" max="12" width="15.85546875" bestFit="1" customWidth="1"/>
    <col min="13" max="13" width="17" bestFit="1" customWidth="1"/>
    <col min="14" max="14" width="17.42578125" bestFit="1" customWidth="1"/>
    <col min="15" max="15" width="14.140625" customWidth="1"/>
    <col min="16" max="16" width="21" customWidth="1"/>
    <col min="17" max="17" width="24.140625" bestFit="1" customWidth="1"/>
  </cols>
  <sheetData>
    <row r="1" spans="1:18" x14ac:dyDescent="0.25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16</v>
      </c>
      <c r="I1" t="s">
        <v>17</v>
      </c>
      <c r="J1" t="s">
        <v>18</v>
      </c>
      <c r="L1" t="s">
        <v>25</v>
      </c>
      <c r="M1" t="s">
        <v>26</v>
      </c>
      <c r="N1" t="s">
        <v>28</v>
      </c>
      <c r="O1" t="s">
        <v>37</v>
      </c>
    </row>
    <row r="2" spans="1:18" s="6" customFormat="1" x14ac:dyDescent="0.25">
      <c r="A2" s="5">
        <v>923684373</v>
      </c>
      <c r="B2" s="5" t="str">
        <f>CONCATENATE(A2,13)</f>
        <v>92368437313</v>
      </c>
      <c r="C2" s="6" t="s">
        <v>151</v>
      </c>
      <c r="D2" s="6" t="s">
        <v>129</v>
      </c>
      <c r="E2" s="6">
        <v>16228684</v>
      </c>
      <c r="F2" s="6">
        <v>16228684</v>
      </c>
      <c r="G2" s="6" t="s">
        <v>153</v>
      </c>
      <c r="H2" s="6" t="s">
        <v>59</v>
      </c>
      <c r="I2" s="6" t="s">
        <v>154</v>
      </c>
      <c r="J2" s="7">
        <v>46174</v>
      </c>
      <c r="K2" s="7">
        <v>46387</v>
      </c>
      <c r="L2" s="8">
        <v>118.42</v>
      </c>
      <c r="M2" s="6">
        <v>1</v>
      </c>
      <c r="N2" s="8">
        <v>118.42</v>
      </c>
      <c r="O2" s="6" t="s">
        <v>82</v>
      </c>
      <c r="P2" s="6" t="s">
        <v>281</v>
      </c>
      <c r="R2" s="6">
        <f>203/12*7</f>
        <v>118.41666666666667</v>
      </c>
    </row>
    <row r="3" spans="1:18" x14ac:dyDescent="0.25">
      <c r="A3" s="4">
        <v>102280584900</v>
      </c>
      <c r="B3" s="4" t="str">
        <f>CONCATENATE(A3,"OVR")</f>
        <v>102280584900OVR</v>
      </c>
      <c r="C3" t="s">
        <v>123</v>
      </c>
      <c r="D3" t="s">
        <v>46</v>
      </c>
      <c r="E3">
        <v>16170994</v>
      </c>
      <c r="F3" t="str">
        <f>CONCATENATE(E3,"OVR")</f>
        <v>16170994OVR</v>
      </c>
      <c r="G3" t="s">
        <v>105</v>
      </c>
      <c r="H3" t="s">
        <v>59</v>
      </c>
      <c r="I3" t="s">
        <v>81</v>
      </c>
      <c r="J3" s="1">
        <v>46235</v>
      </c>
      <c r="K3" s="1">
        <v>46387</v>
      </c>
      <c r="L3" s="2">
        <v>10.42</v>
      </c>
      <c r="M3">
        <v>1</v>
      </c>
      <c r="N3" s="2">
        <v>10.42</v>
      </c>
      <c r="O3" t="s">
        <v>124</v>
      </c>
      <c r="P3" t="s">
        <v>269</v>
      </c>
    </row>
    <row r="4" spans="1:18" x14ac:dyDescent="0.25">
      <c r="A4" s="4">
        <v>102280181000</v>
      </c>
      <c r="B4" s="4" t="str">
        <f t="shared" ref="B4:B37" si="0">CONCATENATE(A4,"OVR")</f>
        <v>102280181000OVR</v>
      </c>
      <c r="C4" t="s">
        <v>84</v>
      </c>
      <c r="D4" t="s">
        <v>85</v>
      </c>
      <c r="E4">
        <v>18828278</v>
      </c>
      <c r="F4" t="str">
        <f t="shared" ref="F4:F37" si="1">CONCATENATE(E4,"OVR")</f>
        <v>18828278OVR</v>
      </c>
      <c r="G4" t="s">
        <v>87</v>
      </c>
      <c r="H4" t="s">
        <v>59</v>
      </c>
      <c r="I4" t="s">
        <v>81</v>
      </c>
      <c r="J4" s="1">
        <v>46204</v>
      </c>
      <c r="K4" s="1">
        <v>46387</v>
      </c>
      <c r="L4" s="2">
        <v>12.5</v>
      </c>
      <c r="M4">
        <v>1</v>
      </c>
      <c r="N4" s="2">
        <v>12.5</v>
      </c>
      <c r="O4" t="s">
        <v>88</v>
      </c>
      <c r="P4" t="s">
        <v>269</v>
      </c>
    </row>
    <row r="5" spans="1:18" x14ac:dyDescent="0.25">
      <c r="A5" s="4">
        <v>102280187800</v>
      </c>
      <c r="B5" s="4" t="str">
        <f t="shared" si="0"/>
        <v>102280187800OVR</v>
      </c>
      <c r="C5" t="s">
        <v>90</v>
      </c>
      <c r="D5" t="s">
        <v>91</v>
      </c>
      <c r="E5">
        <v>18710070</v>
      </c>
      <c r="F5" t="str">
        <f t="shared" si="1"/>
        <v>18710070OVR</v>
      </c>
      <c r="G5" t="s">
        <v>93</v>
      </c>
      <c r="H5" t="s">
        <v>59</v>
      </c>
      <c r="I5" t="s">
        <v>81</v>
      </c>
      <c r="J5" s="1">
        <v>46204</v>
      </c>
      <c r="K5" s="1">
        <v>46387</v>
      </c>
      <c r="L5" s="2">
        <v>12.5</v>
      </c>
      <c r="M5">
        <v>1</v>
      </c>
      <c r="N5" s="2">
        <v>12.5</v>
      </c>
      <c r="O5" t="s">
        <v>88</v>
      </c>
      <c r="P5" t="s">
        <v>269</v>
      </c>
    </row>
    <row r="6" spans="1:18" x14ac:dyDescent="0.25">
      <c r="A6" s="4">
        <v>102280195700</v>
      </c>
      <c r="B6" s="4" t="str">
        <f t="shared" si="0"/>
        <v>102280195700OVR</v>
      </c>
      <c r="C6" t="s">
        <v>99</v>
      </c>
      <c r="D6" t="s">
        <v>56</v>
      </c>
      <c r="E6">
        <v>17301495</v>
      </c>
      <c r="F6" t="str">
        <f t="shared" si="1"/>
        <v>17301495OVR</v>
      </c>
      <c r="G6" t="s">
        <v>101</v>
      </c>
      <c r="H6" t="s">
        <v>59</v>
      </c>
      <c r="I6" t="s">
        <v>81</v>
      </c>
      <c r="J6" s="1">
        <v>46204</v>
      </c>
      <c r="K6" s="1">
        <v>46387</v>
      </c>
      <c r="L6" s="2">
        <v>12.5</v>
      </c>
      <c r="M6">
        <v>1</v>
      </c>
      <c r="N6" s="2">
        <v>12.5</v>
      </c>
      <c r="O6" t="s">
        <v>88</v>
      </c>
      <c r="P6" t="s">
        <v>269</v>
      </c>
    </row>
    <row r="7" spans="1:18" x14ac:dyDescent="0.25">
      <c r="A7" s="4">
        <v>102280466100</v>
      </c>
      <c r="B7" s="4" t="str">
        <f t="shared" si="0"/>
        <v>102280466100OVR</v>
      </c>
      <c r="C7" t="s">
        <v>117</v>
      </c>
      <c r="D7" t="s">
        <v>56</v>
      </c>
      <c r="E7">
        <v>7565575</v>
      </c>
      <c r="F7" t="str">
        <f t="shared" si="1"/>
        <v>7565575OVR</v>
      </c>
      <c r="G7" t="s">
        <v>119</v>
      </c>
      <c r="H7" t="s">
        <v>59</v>
      </c>
      <c r="I7" t="s">
        <v>81</v>
      </c>
      <c r="J7" s="1">
        <v>46204</v>
      </c>
      <c r="K7" s="1">
        <v>46387</v>
      </c>
      <c r="L7" s="2">
        <v>12.5</v>
      </c>
      <c r="M7">
        <v>1</v>
      </c>
      <c r="N7" s="2">
        <v>12.5</v>
      </c>
      <c r="O7" t="s">
        <v>88</v>
      </c>
      <c r="P7" t="s">
        <v>269</v>
      </c>
    </row>
    <row r="8" spans="1:18" x14ac:dyDescent="0.25">
      <c r="A8" s="4">
        <v>102280764200</v>
      </c>
      <c r="B8" s="4" t="str">
        <f t="shared" si="0"/>
        <v>102280764200OVR</v>
      </c>
      <c r="C8" t="s">
        <v>137</v>
      </c>
      <c r="D8" t="s">
        <v>91</v>
      </c>
      <c r="E8">
        <v>17886092</v>
      </c>
      <c r="F8" t="str">
        <f t="shared" si="1"/>
        <v>17886092OVR</v>
      </c>
      <c r="G8" t="s">
        <v>139</v>
      </c>
      <c r="H8" t="s">
        <v>59</v>
      </c>
      <c r="I8" t="s">
        <v>81</v>
      </c>
      <c r="J8" s="1">
        <v>46204</v>
      </c>
      <c r="K8" s="1">
        <v>46387</v>
      </c>
      <c r="L8" s="2">
        <v>12.5</v>
      </c>
      <c r="M8">
        <v>1</v>
      </c>
      <c r="N8" s="2">
        <v>12.5</v>
      </c>
      <c r="O8" t="s">
        <v>88</v>
      </c>
      <c r="P8" t="s">
        <v>269</v>
      </c>
    </row>
    <row r="9" spans="1:18" x14ac:dyDescent="0.25">
      <c r="A9" s="4">
        <v>102280061000</v>
      </c>
      <c r="B9" s="4" t="str">
        <f t="shared" si="0"/>
        <v>102280061000OVR</v>
      </c>
      <c r="C9" t="s">
        <v>78</v>
      </c>
      <c r="D9" t="s">
        <v>56</v>
      </c>
      <c r="E9">
        <v>7470776</v>
      </c>
      <c r="F9" t="str">
        <f t="shared" si="1"/>
        <v>7470776OVR</v>
      </c>
      <c r="G9" t="s">
        <v>80</v>
      </c>
      <c r="H9" t="s">
        <v>59</v>
      </c>
      <c r="I9" t="s">
        <v>81</v>
      </c>
      <c r="J9" s="1">
        <v>46174</v>
      </c>
      <c r="K9" s="1">
        <v>46387</v>
      </c>
      <c r="L9" s="2">
        <v>14.58</v>
      </c>
      <c r="M9">
        <v>1</v>
      </c>
      <c r="N9" s="2">
        <v>14.58</v>
      </c>
      <c r="O9" t="s">
        <v>82</v>
      </c>
      <c r="P9" t="s">
        <v>269</v>
      </c>
    </row>
    <row r="10" spans="1:18" x14ac:dyDescent="0.25">
      <c r="A10" s="4">
        <v>102280192900</v>
      </c>
      <c r="B10" s="4" t="str">
        <f t="shared" si="0"/>
        <v>102280192900OVR</v>
      </c>
      <c r="C10" t="s">
        <v>95</v>
      </c>
      <c r="D10" t="s">
        <v>46</v>
      </c>
      <c r="E10">
        <v>19491313</v>
      </c>
      <c r="F10" t="str">
        <f t="shared" si="1"/>
        <v>19491313OVR</v>
      </c>
      <c r="G10" t="s">
        <v>97</v>
      </c>
      <c r="H10" t="s">
        <v>59</v>
      </c>
      <c r="I10" t="s">
        <v>81</v>
      </c>
      <c r="J10" s="1">
        <v>46174</v>
      </c>
      <c r="K10" s="1">
        <v>46387</v>
      </c>
      <c r="L10" s="2">
        <v>14.58</v>
      </c>
      <c r="M10">
        <v>1</v>
      </c>
      <c r="N10" s="2">
        <v>14.58</v>
      </c>
      <c r="O10" t="s">
        <v>82</v>
      </c>
      <c r="P10" t="s">
        <v>269</v>
      </c>
    </row>
    <row r="11" spans="1:18" x14ac:dyDescent="0.25">
      <c r="A11" s="4">
        <v>102280265800</v>
      </c>
      <c r="B11" s="4" t="str">
        <f t="shared" si="0"/>
        <v>102280265800OVR</v>
      </c>
      <c r="C11" t="s">
        <v>103</v>
      </c>
      <c r="D11" t="s">
        <v>46</v>
      </c>
      <c r="E11">
        <v>16170994</v>
      </c>
      <c r="F11" t="str">
        <f t="shared" si="1"/>
        <v>16170994OVR</v>
      </c>
      <c r="G11" t="s">
        <v>105</v>
      </c>
      <c r="H11" t="s">
        <v>59</v>
      </c>
      <c r="I11" t="s">
        <v>81</v>
      </c>
      <c r="J11" s="1">
        <v>46174</v>
      </c>
      <c r="K11" s="1">
        <v>46387</v>
      </c>
      <c r="L11" s="2">
        <v>14.58</v>
      </c>
      <c r="M11">
        <v>1</v>
      </c>
      <c r="N11" s="2">
        <v>14.58</v>
      </c>
      <c r="O11" t="s">
        <v>82</v>
      </c>
      <c r="P11" t="s">
        <v>269</v>
      </c>
    </row>
    <row r="12" spans="1:18" x14ac:dyDescent="0.25">
      <c r="A12" s="4">
        <v>102280421300</v>
      </c>
      <c r="B12" s="4" t="str">
        <f t="shared" si="0"/>
        <v>102280421300OVR</v>
      </c>
      <c r="C12" t="s">
        <v>107</v>
      </c>
      <c r="D12" t="s">
        <v>108</v>
      </c>
      <c r="E12">
        <v>7470776</v>
      </c>
      <c r="F12" t="str">
        <f t="shared" si="1"/>
        <v>7470776OVR</v>
      </c>
      <c r="G12" t="s">
        <v>80</v>
      </c>
      <c r="H12" t="s">
        <v>59</v>
      </c>
      <c r="I12" t="s">
        <v>81</v>
      </c>
      <c r="J12" s="1">
        <v>46174</v>
      </c>
      <c r="K12" s="1">
        <v>46387</v>
      </c>
      <c r="L12" s="2">
        <v>14.58</v>
      </c>
      <c r="M12">
        <v>1</v>
      </c>
      <c r="N12" s="2">
        <v>14.58</v>
      </c>
      <c r="O12" t="s">
        <v>82</v>
      </c>
      <c r="P12" t="s">
        <v>269</v>
      </c>
    </row>
    <row r="13" spans="1:18" x14ac:dyDescent="0.25">
      <c r="A13" s="4">
        <v>102280430500</v>
      </c>
      <c r="B13" s="4" t="str">
        <f t="shared" si="0"/>
        <v>102280430500OVR</v>
      </c>
      <c r="C13" t="s">
        <v>110</v>
      </c>
      <c r="D13" t="s">
        <v>111</v>
      </c>
      <c r="E13">
        <v>8307933</v>
      </c>
      <c r="F13" t="str">
        <f t="shared" si="1"/>
        <v>8307933OVR</v>
      </c>
      <c r="G13" t="s">
        <v>64</v>
      </c>
      <c r="H13" t="s">
        <v>59</v>
      </c>
      <c r="I13" t="s">
        <v>81</v>
      </c>
      <c r="J13" s="1">
        <v>46174</v>
      </c>
      <c r="K13" s="1">
        <v>46387</v>
      </c>
      <c r="L13" s="2">
        <v>14.58</v>
      </c>
      <c r="M13">
        <v>1</v>
      </c>
      <c r="N13" s="2">
        <v>14.58</v>
      </c>
      <c r="O13" t="s">
        <v>82</v>
      </c>
      <c r="P13" t="s">
        <v>269</v>
      </c>
    </row>
    <row r="14" spans="1:18" x14ac:dyDescent="0.25">
      <c r="A14" s="4">
        <v>102280464500</v>
      </c>
      <c r="B14" s="4" t="str">
        <f t="shared" si="0"/>
        <v>102280464500OVR</v>
      </c>
      <c r="C14" t="s">
        <v>113</v>
      </c>
      <c r="D14" t="s">
        <v>91</v>
      </c>
      <c r="E14">
        <v>17528908</v>
      </c>
      <c r="F14" t="str">
        <f t="shared" si="1"/>
        <v>17528908OVR</v>
      </c>
      <c r="G14" t="s">
        <v>115</v>
      </c>
      <c r="H14" t="s">
        <v>59</v>
      </c>
      <c r="I14" t="s">
        <v>81</v>
      </c>
      <c r="J14" s="1">
        <v>46174</v>
      </c>
      <c r="K14" s="1">
        <v>46387</v>
      </c>
      <c r="L14" s="2">
        <v>14.58</v>
      </c>
      <c r="M14">
        <v>1</v>
      </c>
      <c r="N14" s="2">
        <v>14.58</v>
      </c>
      <c r="O14" t="s">
        <v>82</v>
      </c>
      <c r="P14" t="s">
        <v>269</v>
      </c>
    </row>
    <row r="15" spans="1:18" x14ac:dyDescent="0.25">
      <c r="A15" s="4">
        <v>102280581000</v>
      </c>
      <c r="B15" s="4" t="str">
        <f t="shared" si="0"/>
        <v>102280581000OVR</v>
      </c>
      <c r="C15" t="s">
        <v>121</v>
      </c>
      <c r="D15" t="s">
        <v>46</v>
      </c>
      <c r="E15">
        <v>16170994</v>
      </c>
      <c r="F15" t="str">
        <f t="shared" si="1"/>
        <v>16170994OVR</v>
      </c>
      <c r="G15" t="s">
        <v>105</v>
      </c>
      <c r="H15" t="s">
        <v>59</v>
      </c>
      <c r="I15" t="s">
        <v>81</v>
      </c>
      <c r="J15" s="1">
        <v>46174</v>
      </c>
      <c r="K15" s="1">
        <v>46387</v>
      </c>
      <c r="L15" s="2">
        <v>14.58</v>
      </c>
      <c r="M15">
        <v>1</v>
      </c>
      <c r="N15" s="2">
        <v>14.58</v>
      </c>
      <c r="O15" t="s">
        <v>82</v>
      </c>
      <c r="P15" t="s">
        <v>269</v>
      </c>
    </row>
    <row r="16" spans="1:18" x14ac:dyDescent="0.25">
      <c r="A16" s="4">
        <v>102280590400</v>
      </c>
      <c r="B16" s="4" t="str">
        <f t="shared" si="0"/>
        <v>102280590400OVR</v>
      </c>
      <c r="C16" t="s">
        <v>126</v>
      </c>
      <c r="D16" t="s">
        <v>46</v>
      </c>
      <c r="E16">
        <v>16170994</v>
      </c>
      <c r="F16" t="str">
        <f t="shared" si="1"/>
        <v>16170994OVR</v>
      </c>
      <c r="G16" t="s">
        <v>105</v>
      </c>
      <c r="H16" t="s">
        <v>59</v>
      </c>
      <c r="I16" t="s">
        <v>81</v>
      </c>
      <c r="J16" s="1">
        <v>46174</v>
      </c>
      <c r="K16" s="1">
        <v>46387</v>
      </c>
      <c r="L16" s="2">
        <v>14.58</v>
      </c>
      <c r="M16">
        <v>1</v>
      </c>
      <c r="N16" s="2">
        <v>14.58</v>
      </c>
      <c r="O16" t="s">
        <v>82</v>
      </c>
      <c r="P16" t="s">
        <v>269</v>
      </c>
    </row>
    <row r="17" spans="1:16" x14ac:dyDescent="0.25">
      <c r="A17" s="4">
        <v>102280689200</v>
      </c>
      <c r="B17" s="4" t="str">
        <f t="shared" si="0"/>
        <v>102280689200OVR</v>
      </c>
      <c r="C17" t="s">
        <v>128</v>
      </c>
      <c r="D17" t="s">
        <v>129</v>
      </c>
      <c r="E17">
        <v>19645587</v>
      </c>
      <c r="F17" t="str">
        <f t="shared" si="1"/>
        <v>19645587OVR</v>
      </c>
      <c r="G17" t="s">
        <v>131</v>
      </c>
      <c r="H17" t="s">
        <v>59</v>
      </c>
      <c r="I17" t="s">
        <v>81</v>
      </c>
      <c r="J17" s="1">
        <v>46174</v>
      </c>
      <c r="K17" s="1">
        <v>46387</v>
      </c>
      <c r="L17" s="2">
        <v>14.58</v>
      </c>
      <c r="M17">
        <v>1</v>
      </c>
      <c r="N17" s="2">
        <v>14.58</v>
      </c>
      <c r="O17" t="s">
        <v>82</v>
      </c>
      <c r="P17" t="s">
        <v>269</v>
      </c>
    </row>
    <row r="18" spans="1:16" x14ac:dyDescent="0.25">
      <c r="A18" s="4">
        <v>102280752000</v>
      </c>
      <c r="B18" s="4" t="str">
        <f t="shared" si="0"/>
        <v>102280752000OVR</v>
      </c>
      <c r="C18" t="s">
        <v>133</v>
      </c>
      <c r="D18" t="s">
        <v>56</v>
      </c>
      <c r="E18">
        <v>16633294</v>
      </c>
      <c r="F18" t="str">
        <f t="shared" si="1"/>
        <v>16633294OVR</v>
      </c>
      <c r="G18" t="s">
        <v>135</v>
      </c>
      <c r="H18" t="s">
        <v>59</v>
      </c>
      <c r="I18" t="s">
        <v>81</v>
      </c>
      <c r="J18" s="1">
        <v>46174</v>
      </c>
      <c r="K18" s="1">
        <v>46387</v>
      </c>
      <c r="L18" s="2">
        <v>14.58</v>
      </c>
      <c r="M18">
        <v>1</v>
      </c>
      <c r="N18" s="2">
        <v>14.58</v>
      </c>
      <c r="O18" t="s">
        <v>82</v>
      </c>
      <c r="P18" t="s">
        <v>269</v>
      </c>
    </row>
    <row r="19" spans="1:16" x14ac:dyDescent="0.25">
      <c r="A19" s="4">
        <v>102280776800</v>
      </c>
      <c r="B19" s="4" t="str">
        <f t="shared" si="0"/>
        <v>102280776800OVR</v>
      </c>
      <c r="C19" t="s">
        <v>141</v>
      </c>
      <c r="D19" t="s">
        <v>46</v>
      </c>
      <c r="E19">
        <v>16170994</v>
      </c>
      <c r="F19" t="str">
        <f t="shared" si="1"/>
        <v>16170994OVR</v>
      </c>
      <c r="G19" t="s">
        <v>105</v>
      </c>
      <c r="H19" t="s">
        <v>59</v>
      </c>
      <c r="I19" t="s">
        <v>81</v>
      </c>
      <c r="J19" s="1">
        <v>46174</v>
      </c>
      <c r="K19" s="1">
        <v>46387</v>
      </c>
      <c r="L19" s="2">
        <v>14.58</v>
      </c>
      <c r="M19">
        <v>1</v>
      </c>
      <c r="N19" s="2">
        <v>14.58</v>
      </c>
      <c r="O19" t="s">
        <v>82</v>
      </c>
      <c r="P19" t="s">
        <v>269</v>
      </c>
    </row>
    <row r="20" spans="1:16" x14ac:dyDescent="0.25">
      <c r="A20" s="4">
        <v>102276738400</v>
      </c>
      <c r="B20" s="4" t="str">
        <f t="shared" si="0"/>
        <v>102276738400OVR</v>
      </c>
      <c r="C20" t="s">
        <v>224</v>
      </c>
      <c r="D20" t="s">
        <v>46</v>
      </c>
      <c r="E20">
        <v>16170994</v>
      </c>
      <c r="F20" t="str">
        <f t="shared" si="1"/>
        <v>16170994OVR</v>
      </c>
      <c r="G20" t="s">
        <v>105</v>
      </c>
      <c r="H20" t="s">
        <v>192</v>
      </c>
      <c r="I20" t="s">
        <v>225</v>
      </c>
      <c r="J20" s="1">
        <v>46143</v>
      </c>
      <c r="K20" s="1">
        <v>46174</v>
      </c>
      <c r="N20">
        <v>-25</v>
      </c>
      <c r="P20" t="s">
        <v>269</v>
      </c>
    </row>
    <row r="21" spans="1:16" x14ac:dyDescent="0.25">
      <c r="A21" s="4" t="s">
        <v>268</v>
      </c>
      <c r="B21" s="4" t="str">
        <f t="shared" si="0"/>
        <v>MEQNPDZM00003487368OVR</v>
      </c>
      <c r="C21" t="s">
        <v>246</v>
      </c>
      <c r="D21" t="s">
        <v>56</v>
      </c>
      <c r="E21">
        <v>2158366</v>
      </c>
      <c r="F21" t="str">
        <f t="shared" si="1"/>
        <v>2158366OVR</v>
      </c>
      <c r="G21" t="s">
        <v>248</v>
      </c>
      <c r="H21" t="s">
        <v>192</v>
      </c>
      <c r="I21" t="s">
        <v>81</v>
      </c>
      <c r="J21" s="1">
        <v>46143</v>
      </c>
      <c r="K21" s="1">
        <v>46174</v>
      </c>
      <c r="N21">
        <v>-16.670000000000002</v>
      </c>
      <c r="P21" t="s">
        <v>269</v>
      </c>
    </row>
    <row r="22" spans="1:16" x14ac:dyDescent="0.25">
      <c r="A22" s="4">
        <v>102267666700</v>
      </c>
      <c r="B22" s="4" t="str">
        <f t="shared" si="0"/>
        <v>102267666700OVR</v>
      </c>
      <c r="C22" t="s">
        <v>222</v>
      </c>
      <c r="D22" t="s">
        <v>91</v>
      </c>
      <c r="E22">
        <v>17886092</v>
      </c>
      <c r="F22" t="str">
        <f t="shared" si="1"/>
        <v>17886092OVR</v>
      </c>
      <c r="G22" t="s">
        <v>139</v>
      </c>
      <c r="H22" t="s">
        <v>192</v>
      </c>
      <c r="I22" t="s">
        <v>81</v>
      </c>
      <c r="J22" s="1">
        <v>46082</v>
      </c>
      <c r="K22" s="1">
        <v>46113</v>
      </c>
      <c r="N22">
        <v>-20.83</v>
      </c>
      <c r="P22" t="s">
        <v>269</v>
      </c>
    </row>
    <row r="23" spans="1:16" x14ac:dyDescent="0.25">
      <c r="A23" s="4">
        <v>101867154500</v>
      </c>
      <c r="B23" s="4" t="str">
        <f t="shared" si="0"/>
        <v>101867154500OVR</v>
      </c>
      <c r="C23" t="s">
        <v>218</v>
      </c>
      <c r="D23" t="s">
        <v>159</v>
      </c>
      <c r="E23">
        <v>16849453</v>
      </c>
      <c r="F23" t="str">
        <f t="shared" si="1"/>
        <v>16849453OVR</v>
      </c>
      <c r="G23" t="s">
        <v>220</v>
      </c>
      <c r="H23" t="s">
        <v>192</v>
      </c>
      <c r="I23" t="s">
        <v>81</v>
      </c>
      <c r="J23" s="1">
        <v>46054</v>
      </c>
      <c r="K23" s="1">
        <v>46082</v>
      </c>
      <c r="N23">
        <v>-14.59</v>
      </c>
      <c r="P23" t="s">
        <v>269</v>
      </c>
    </row>
    <row r="24" spans="1:16" x14ac:dyDescent="0.25">
      <c r="A24" s="4" t="s">
        <v>252</v>
      </c>
      <c r="B24" s="4" t="str">
        <f t="shared" si="0"/>
        <v>00026563191KOVR</v>
      </c>
      <c r="C24" t="s">
        <v>70</v>
      </c>
      <c r="D24" t="s">
        <v>56</v>
      </c>
      <c r="E24">
        <v>7146581</v>
      </c>
      <c r="F24" t="str">
        <f t="shared" si="1"/>
        <v>7146581OVR</v>
      </c>
      <c r="G24" t="s">
        <v>72</v>
      </c>
      <c r="H24" t="s">
        <v>59</v>
      </c>
      <c r="I24" t="s">
        <v>50</v>
      </c>
      <c r="J24" s="1">
        <v>46235</v>
      </c>
      <c r="K24" s="1">
        <v>46387</v>
      </c>
      <c r="L24" s="2">
        <v>175</v>
      </c>
      <c r="M24">
        <v>1</v>
      </c>
      <c r="N24" s="2">
        <v>175</v>
      </c>
      <c r="P24" t="s">
        <v>270</v>
      </c>
    </row>
    <row r="25" spans="1:16" x14ac:dyDescent="0.25">
      <c r="A25" s="4" t="s">
        <v>249</v>
      </c>
      <c r="B25" s="4" t="str">
        <f t="shared" si="0"/>
        <v>00019368907KOVR</v>
      </c>
      <c r="C25" t="s">
        <v>55</v>
      </c>
      <c r="D25" t="s">
        <v>56</v>
      </c>
      <c r="E25">
        <v>9213293</v>
      </c>
      <c r="F25" t="str">
        <f t="shared" si="1"/>
        <v>9213293OVR</v>
      </c>
      <c r="G25" t="s">
        <v>58</v>
      </c>
      <c r="H25" t="s">
        <v>59</v>
      </c>
      <c r="I25" t="s">
        <v>50</v>
      </c>
      <c r="J25" s="1">
        <v>46174</v>
      </c>
      <c r="K25" s="1">
        <v>46387</v>
      </c>
      <c r="L25" s="2">
        <v>175</v>
      </c>
      <c r="M25">
        <v>1</v>
      </c>
      <c r="N25" s="2">
        <v>175</v>
      </c>
      <c r="P25" t="s">
        <v>270</v>
      </c>
    </row>
    <row r="26" spans="1:16" x14ac:dyDescent="0.25">
      <c r="A26" s="4" t="s">
        <v>250</v>
      </c>
      <c r="B26" s="4" t="str">
        <f t="shared" si="0"/>
        <v>00026557895KOVR</v>
      </c>
      <c r="C26" t="s">
        <v>61</v>
      </c>
      <c r="D26" t="s">
        <v>62</v>
      </c>
      <c r="E26">
        <v>8307933</v>
      </c>
      <c r="F26" t="str">
        <f t="shared" si="1"/>
        <v>8307933OVR</v>
      </c>
      <c r="G26" t="s">
        <v>64</v>
      </c>
      <c r="H26" t="s">
        <v>59</v>
      </c>
      <c r="I26" t="s">
        <v>50</v>
      </c>
      <c r="J26" s="1">
        <v>46174</v>
      </c>
      <c r="K26" s="1">
        <v>46387</v>
      </c>
      <c r="L26" s="2">
        <v>175</v>
      </c>
      <c r="M26">
        <v>1</v>
      </c>
      <c r="N26" s="2">
        <v>175</v>
      </c>
      <c r="P26" t="s">
        <v>270</v>
      </c>
    </row>
    <row r="27" spans="1:16" x14ac:dyDescent="0.25">
      <c r="A27" s="4" t="s">
        <v>251</v>
      </c>
      <c r="B27" s="4" t="str">
        <f t="shared" si="0"/>
        <v>00026563074KOVR</v>
      </c>
      <c r="C27" t="s">
        <v>66</v>
      </c>
      <c r="D27" t="s">
        <v>56</v>
      </c>
      <c r="E27">
        <v>17126004</v>
      </c>
      <c r="F27" t="str">
        <f t="shared" si="1"/>
        <v>17126004OVR</v>
      </c>
      <c r="G27" t="s">
        <v>68</v>
      </c>
      <c r="H27" t="s">
        <v>59</v>
      </c>
      <c r="I27" t="s">
        <v>50</v>
      </c>
      <c r="J27" s="1">
        <v>46174</v>
      </c>
      <c r="K27" s="1">
        <v>46387</v>
      </c>
      <c r="L27" s="2">
        <v>175</v>
      </c>
      <c r="M27">
        <v>1</v>
      </c>
      <c r="N27" s="2">
        <v>175</v>
      </c>
      <c r="P27" t="s">
        <v>270</v>
      </c>
    </row>
    <row r="28" spans="1:16" x14ac:dyDescent="0.25">
      <c r="A28" s="4" t="s">
        <v>253</v>
      </c>
      <c r="B28" s="4" t="str">
        <f t="shared" si="0"/>
        <v>00026571397KOVR</v>
      </c>
      <c r="C28" t="s">
        <v>74</v>
      </c>
      <c r="D28" t="s">
        <v>56</v>
      </c>
      <c r="E28">
        <v>7307857</v>
      </c>
      <c r="F28" t="str">
        <f t="shared" si="1"/>
        <v>7307857OVR</v>
      </c>
      <c r="G28" t="s">
        <v>76</v>
      </c>
      <c r="H28" t="s">
        <v>59</v>
      </c>
      <c r="I28" t="s">
        <v>50</v>
      </c>
      <c r="J28" s="1">
        <v>46174</v>
      </c>
      <c r="K28" s="1">
        <v>46387</v>
      </c>
      <c r="L28" s="2">
        <v>175</v>
      </c>
      <c r="M28">
        <v>1</v>
      </c>
      <c r="N28" s="2">
        <v>175</v>
      </c>
      <c r="P28" t="s">
        <v>270</v>
      </c>
    </row>
    <row r="29" spans="1:16" x14ac:dyDescent="0.25">
      <c r="A29" s="4" t="s">
        <v>266</v>
      </c>
      <c r="B29" s="4" t="str">
        <f t="shared" si="0"/>
        <v>00023113212KOVR</v>
      </c>
      <c r="C29" t="s">
        <v>199</v>
      </c>
      <c r="D29" t="s">
        <v>200</v>
      </c>
      <c r="E29">
        <v>17859093</v>
      </c>
      <c r="F29" t="str">
        <f t="shared" si="1"/>
        <v>17859093OVR</v>
      </c>
      <c r="G29" t="s">
        <v>202</v>
      </c>
      <c r="H29" t="s">
        <v>192</v>
      </c>
      <c r="I29" t="s">
        <v>203</v>
      </c>
      <c r="J29" s="1">
        <v>46174</v>
      </c>
      <c r="K29" s="1">
        <v>46204</v>
      </c>
      <c r="N29">
        <v>-108</v>
      </c>
      <c r="P29" t="s">
        <v>270</v>
      </c>
    </row>
    <row r="30" spans="1:16" x14ac:dyDescent="0.25">
      <c r="A30" s="4" t="s">
        <v>265</v>
      </c>
      <c r="B30" s="4" t="str">
        <f t="shared" si="0"/>
        <v>00026413635KOVR</v>
      </c>
      <c r="C30" t="s">
        <v>215</v>
      </c>
      <c r="D30" t="s">
        <v>216</v>
      </c>
      <c r="E30">
        <v>9213293</v>
      </c>
      <c r="F30" t="str">
        <f t="shared" si="1"/>
        <v>9213293OVR</v>
      </c>
      <c r="G30" t="s">
        <v>58</v>
      </c>
      <c r="H30" t="s">
        <v>192</v>
      </c>
      <c r="I30" t="s">
        <v>50</v>
      </c>
      <c r="J30" s="1">
        <v>46143</v>
      </c>
      <c r="K30" s="1">
        <v>46174</v>
      </c>
      <c r="N30">
        <v>-161</v>
      </c>
      <c r="P30" t="s">
        <v>270</v>
      </c>
    </row>
    <row r="31" spans="1:16" x14ac:dyDescent="0.25">
      <c r="A31" s="4" t="s">
        <v>260</v>
      </c>
      <c r="B31" s="4" t="str">
        <f t="shared" si="0"/>
        <v>00018736051KOVR</v>
      </c>
      <c r="C31" t="s">
        <v>194</v>
      </c>
      <c r="D31" t="s">
        <v>195</v>
      </c>
      <c r="E31">
        <v>20776610</v>
      </c>
      <c r="F31" t="str">
        <f t="shared" si="1"/>
        <v>20776610OVR</v>
      </c>
      <c r="G31" t="s">
        <v>197</v>
      </c>
      <c r="H31" t="s">
        <v>192</v>
      </c>
      <c r="I31" t="s">
        <v>50</v>
      </c>
      <c r="J31" s="1">
        <v>46113</v>
      </c>
      <c r="K31" s="1">
        <v>46113</v>
      </c>
      <c r="N31">
        <v>-145.25</v>
      </c>
      <c r="P31" t="s">
        <v>270</v>
      </c>
    </row>
    <row r="32" spans="1:16" x14ac:dyDescent="0.25">
      <c r="A32" s="4" t="s">
        <v>263</v>
      </c>
      <c r="B32" s="4" t="str">
        <f t="shared" si="0"/>
        <v>00026286154KOVR</v>
      </c>
      <c r="C32" t="s">
        <v>209</v>
      </c>
      <c r="D32" t="s">
        <v>108</v>
      </c>
      <c r="E32">
        <v>19681796</v>
      </c>
      <c r="F32" t="str">
        <f t="shared" si="1"/>
        <v>19681796OVR</v>
      </c>
      <c r="G32" t="s">
        <v>211</v>
      </c>
      <c r="H32" t="s">
        <v>192</v>
      </c>
      <c r="I32" t="s">
        <v>50</v>
      </c>
      <c r="J32" s="1">
        <v>46113</v>
      </c>
      <c r="K32" s="1">
        <v>46113</v>
      </c>
      <c r="N32">
        <v>-145.25</v>
      </c>
      <c r="P32" t="s">
        <v>270</v>
      </c>
    </row>
    <row r="33" spans="1:18" x14ac:dyDescent="0.25">
      <c r="A33" s="4" t="s">
        <v>264</v>
      </c>
      <c r="B33" s="4" t="str">
        <f t="shared" si="0"/>
        <v>00026313233KOVR</v>
      </c>
      <c r="C33" t="s">
        <v>213</v>
      </c>
      <c r="D33" t="s">
        <v>200</v>
      </c>
      <c r="E33">
        <v>9213293</v>
      </c>
      <c r="F33" t="str">
        <f t="shared" si="1"/>
        <v>9213293OVR</v>
      </c>
      <c r="G33" t="s">
        <v>58</v>
      </c>
      <c r="H33" t="s">
        <v>192</v>
      </c>
      <c r="I33" t="s">
        <v>50</v>
      </c>
      <c r="J33" s="1">
        <v>46113</v>
      </c>
      <c r="K33" s="1">
        <v>46113</v>
      </c>
      <c r="N33">
        <v>-145.25</v>
      </c>
      <c r="P33" t="s">
        <v>270</v>
      </c>
    </row>
    <row r="34" spans="1:18" x14ac:dyDescent="0.25">
      <c r="A34" s="4" t="s">
        <v>258</v>
      </c>
      <c r="B34" s="4" t="str">
        <f t="shared" si="0"/>
        <v>00006948323KOVR</v>
      </c>
      <c r="C34" t="s">
        <v>45</v>
      </c>
      <c r="D34" t="s">
        <v>46</v>
      </c>
      <c r="E34">
        <v>18142208</v>
      </c>
      <c r="F34" t="str">
        <f t="shared" si="1"/>
        <v>18142208OVR</v>
      </c>
      <c r="G34" t="s">
        <v>48</v>
      </c>
      <c r="H34" t="s">
        <v>49</v>
      </c>
      <c r="I34" t="s">
        <v>50</v>
      </c>
      <c r="J34" s="1">
        <v>46023</v>
      </c>
      <c r="K34" s="1">
        <v>46054</v>
      </c>
      <c r="L34" s="2">
        <v>101.5</v>
      </c>
      <c r="M34">
        <v>1</v>
      </c>
      <c r="N34" s="2">
        <v>101.5</v>
      </c>
      <c r="O34" t="s">
        <v>53</v>
      </c>
      <c r="P34" t="s">
        <v>270</v>
      </c>
    </row>
    <row r="35" spans="1:18" x14ac:dyDescent="0.25">
      <c r="A35" s="4" t="s">
        <v>259</v>
      </c>
      <c r="B35" s="4" t="str">
        <f t="shared" si="0"/>
        <v>00000736095GOVR</v>
      </c>
      <c r="C35" t="s">
        <v>189</v>
      </c>
      <c r="D35" t="s">
        <v>56</v>
      </c>
      <c r="E35">
        <v>21646325</v>
      </c>
      <c r="F35" t="str">
        <f t="shared" si="1"/>
        <v>21646325OVR</v>
      </c>
      <c r="G35" t="s">
        <v>191</v>
      </c>
      <c r="H35" t="s">
        <v>192</v>
      </c>
      <c r="I35" t="s">
        <v>50</v>
      </c>
      <c r="J35" s="1">
        <v>46023</v>
      </c>
      <c r="K35" s="1">
        <v>46054</v>
      </c>
      <c r="N35">
        <v>-101.5</v>
      </c>
      <c r="P35" t="s">
        <v>270</v>
      </c>
    </row>
    <row r="36" spans="1:18" x14ac:dyDescent="0.25">
      <c r="A36" s="4" t="s">
        <v>261</v>
      </c>
      <c r="B36" s="4" t="str">
        <f t="shared" si="0"/>
        <v>00024085676KOVR</v>
      </c>
      <c r="C36" t="s">
        <v>205</v>
      </c>
      <c r="D36" t="s">
        <v>56</v>
      </c>
      <c r="E36">
        <v>18828278</v>
      </c>
      <c r="F36" t="str">
        <f t="shared" si="1"/>
        <v>18828278OVR</v>
      </c>
      <c r="G36" t="s">
        <v>87</v>
      </c>
      <c r="H36" t="s">
        <v>192</v>
      </c>
      <c r="I36" t="s">
        <v>50</v>
      </c>
      <c r="J36" s="1">
        <v>46023</v>
      </c>
      <c r="K36" s="1">
        <v>46054</v>
      </c>
      <c r="N36">
        <v>-101.5</v>
      </c>
      <c r="P36" t="s">
        <v>270</v>
      </c>
    </row>
    <row r="37" spans="1:18" x14ac:dyDescent="0.25">
      <c r="A37" s="4" t="s">
        <v>262</v>
      </c>
      <c r="B37" s="4" t="str">
        <f t="shared" si="0"/>
        <v>00025093755KOVR</v>
      </c>
      <c r="C37" t="s">
        <v>207</v>
      </c>
      <c r="D37" t="s">
        <v>56</v>
      </c>
      <c r="E37">
        <v>7146581</v>
      </c>
      <c r="F37" t="str">
        <f t="shared" si="1"/>
        <v>7146581OVR</v>
      </c>
      <c r="G37" t="s">
        <v>72</v>
      </c>
      <c r="H37" t="s">
        <v>192</v>
      </c>
      <c r="I37" t="s">
        <v>50</v>
      </c>
      <c r="J37" s="1">
        <v>46023</v>
      </c>
      <c r="K37" s="1">
        <v>46054</v>
      </c>
      <c r="N37">
        <v>-101.5</v>
      </c>
      <c r="P37" t="s">
        <v>270</v>
      </c>
    </row>
    <row r="38" spans="1:18" s="6" customFormat="1" x14ac:dyDescent="0.25">
      <c r="A38" s="5">
        <v>967243928</v>
      </c>
      <c r="B38" s="5" t="str">
        <f>CONCATENATE(A38,12)</f>
        <v>96724392812</v>
      </c>
      <c r="C38" s="6" t="s">
        <v>231</v>
      </c>
      <c r="D38" s="6" t="s">
        <v>144</v>
      </c>
      <c r="E38" s="6">
        <v>6634327</v>
      </c>
      <c r="F38" s="6">
        <v>6634327</v>
      </c>
      <c r="G38" s="6" t="s">
        <v>233</v>
      </c>
      <c r="H38" s="6" t="s">
        <v>192</v>
      </c>
      <c r="I38" s="6" t="s">
        <v>235</v>
      </c>
      <c r="J38" s="7">
        <v>46082</v>
      </c>
      <c r="K38" s="7">
        <v>46113</v>
      </c>
      <c r="N38" s="6">
        <v>-520.5</v>
      </c>
      <c r="P38" s="6" t="s">
        <v>272</v>
      </c>
      <c r="Q38" s="6" t="s">
        <v>274</v>
      </c>
      <c r="R38" s="6">
        <f>694/12*9</f>
        <v>520.5</v>
      </c>
    </row>
    <row r="39" spans="1:18" s="6" customFormat="1" x14ac:dyDescent="0.25">
      <c r="A39" s="5">
        <v>949313050</v>
      </c>
      <c r="B39" s="5" t="str">
        <f>CONCATENATE(A39,11)</f>
        <v>94931305011</v>
      </c>
      <c r="C39" s="6" t="s">
        <v>163</v>
      </c>
      <c r="D39" s="6" t="s">
        <v>91</v>
      </c>
      <c r="E39" s="6">
        <v>21618313</v>
      </c>
      <c r="F39" s="6">
        <v>21618313</v>
      </c>
      <c r="G39" s="6" t="s">
        <v>165</v>
      </c>
      <c r="H39" s="6" t="s">
        <v>59</v>
      </c>
      <c r="I39" s="6" t="s">
        <v>166</v>
      </c>
      <c r="J39" s="7">
        <v>46174</v>
      </c>
      <c r="K39" s="7">
        <v>46387</v>
      </c>
      <c r="L39" s="8">
        <v>228.08</v>
      </c>
      <c r="M39" s="6">
        <v>1</v>
      </c>
      <c r="N39" s="8">
        <v>228.08</v>
      </c>
      <c r="O39" s="6" t="s">
        <v>82</v>
      </c>
      <c r="P39" s="6" t="s">
        <v>279</v>
      </c>
      <c r="Q39" s="6" t="s">
        <v>280</v>
      </c>
      <c r="R39" s="6">
        <f>391/12*7</f>
        <v>228.08333333333334</v>
      </c>
    </row>
    <row r="40" spans="1:18" s="6" customFormat="1" x14ac:dyDescent="0.25">
      <c r="A40" s="5" t="s">
        <v>267</v>
      </c>
      <c r="B40" s="5" t="str">
        <f>CONCATENATE(A40,1)</f>
        <v>A044761831</v>
      </c>
      <c r="C40" s="6" t="s">
        <v>243</v>
      </c>
      <c r="D40" s="6" t="s">
        <v>159</v>
      </c>
      <c r="E40" s="6">
        <v>16849453</v>
      </c>
      <c r="F40" s="6">
        <v>16849453</v>
      </c>
      <c r="G40" s="6" t="s">
        <v>220</v>
      </c>
      <c r="H40" s="6" t="s">
        <v>192</v>
      </c>
      <c r="I40" s="6" t="s">
        <v>244</v>
      </c>
      <c r="J40" s="7">
        <v>46174</v>
      </c>
      <c r="K40" s="7">
        <v>46478</v>
      </c>
      <c r="N40" s="6">
        <v>-279.18</v>
      </c>
      <c r="P40" s="6" t="s">
        <v>244</v>
      </c>
    </row>
    <row r="41" spans="1:18" s="6" customFormat="1" x14ac:dyDescent="0.25">
      <c r="A41" s="5" t="s">
        <v>254</v>
      </c>
      <c r="B41" s="5" t="str">
        <f t="shared" ref="B41:B44" si="2">CONCATENATE(A41,1)</f>
        <v>A044824501</v>
      </c>
      <c r="C41" s="6" t="s">
        <v>174</v>
      </c>
      <c r="D41" s="6" t="s">
        <v>56</v>
      </c>
      <c r="E41" s="6">
        <v>9213293</v>
      </c>
      <c r="F41" s="6">
        <v>9213293</v>
      </c>
      <c r="G41" s="6" t="s">
        <v>58</v>
      </c>
      <c r="H41" s="6" t="s">
        <v>59</v>
      </c>
      <c r="I41" s="6" t="s">
        <v>175</v>
      </c>
      <c r="J41" s="7">
        <v>46174</v>
      </c>
      <c r="K41" s="7">
        <v>46478</v>
      </c>
      <c r="L41" s="8">
        <v>31.5</v>
      </c>
      <c r="M41" s="6">
        <v>9</v>
      </c>
      <c r="N41" s="8">
        <v>283.5</v>
      </c>
      <c r="P41" s="6" t="s">
        <v>175</v>
      </c>
    </row>
    <row r="42" spans="1:18" s="6" customFormat="1" x14ac:dyDescent="0.25">
      <c r="A42" s="5" t="s">
        <v>256</v>
      </c>
      <c r="B42" s="5" t="str">
        <f t="shared" si="2"/>
        <v>A044826591</v>
      </c>
      <c r="C42" s="6" t="s">
        <v>181</v>
      </c>
      <c r="D42" s="6" t="s">
        <v>56</v>
      </c>
      <c r="E42" s="6">
        <v>9213293</v>
      </c>
      <c r="F42" s="6">
        <v>9213293</v>
      </c>
      <c r="G42" s="6" t="s">
        <v>58</v>
      </c>
      <c r="H42" s="6" t="s">
        <v>59</v>
      </c>
      <c r="I42" s="6" t="s">
        <v>175</v>
      </c>
      <c r="J42" s="7">
        <v>46174</v>
      </c>
      <c r="K42" s="7">
        <v>46478</v>
      </c>
      <c r="L42" s="8">
        <v>31.5</v>
      </c>
      <c r="M42" s="6">
        <v>9</v>
      </c>
      <c r="N42" s="8">
        <v>283.5</v>
      </c>
      <c r="P42" s="6" t="s">
        <v>175</v>
      </c>
    </row>
    <row r="43" spans="1:18" s="6" customFormat="1" x14ac:dyDescent="0.25">
      <c r="A43" s="5" t="s">
        <v>255</v>
      </c>
      <c r="B43" s="5" t="str">
        <f t="shared" si="2"/>
        <v>A044824821</v>
      </c>
      <c r="C43" s="6" t="s">
        <v>177</v>
      </c>
      <c r="D43" s="6" t="s">
        <v>178</v>
      </c>
      <c r="E43" s="6">
        <v>21618313</v>
      </c>
      <c r="F43" s="6">
        <v>21618313</v>
      </c>
      <c r="G43" s="6" t="s">
        <v>165</v>
      </c>
      <c r="H43" s="6" t="s">
        <v>59</v>
      </c>
      <c r="I43" s="6" t="s">
        <v>179</v>
      </c>
      <c r="J43" s="7">
        <v>46204</v>
      </c>
      <c r="K43" s="7">
        <v>46508</v>
      </c>
      <c r="L43" s="8">
        <v>36</v>
      </c>
      <c r="M43" s="6">
        <v>9</v>
      </c>
      <c r="N43" s="8">
        <v>324</v>
      </c>
      <c r="P43" s="6" t="s">
        <v>179</v>
      </c>
    </row>
    <row r="44" spans="1:18" s="6" customFormat="1" x14ac:dyDescent="0.25">
      <c r="A44" s="5" t="s">
        <v>257</v>
      </c>
      <c r="B44" s="5" t="str">
        <f t="shared" si="2"/>
        <v>A044835541</v>
      </c>
      <c r="C44" s="6" t="s">
        <v>183</v>
      </c>
      <c r="D44" s="6" t="s">
        <v>91</v>
      </c>
      <c r="E44" s="6">
        <v>19278370</v>
      </c>
      <c r="F44" s="6">
        <v>19278370</v>
      </c>
      <c r="G44" s="6" t="s">
        <v>185</v>
      </c>
      <c r="H44" s="6" t="s">
        <v>59</v>
      </c>
      <c r="I44" s="6" t="s">
        <v>186</v>
      </c>
      <c r="J44" s="7">
        <v>46204</v>
      </c>
      <c r="K44" s="7">
        <v>46508</v>
      </c>
      <c r="L44" s="8">
        <v>36</v>
      </c>
      <c r="M44" s="6">
        <v>9</v>
      </c>
      <c r="N44" s="8">
        <v>324</v>
      </c>
      <c r="P44" s="6" t="s">
        <v>186</v>
      </c>
    </row>
    <row r="45" spans="1:18" s="6" customFormat="1" x14ac:dyDescent="0.25">
      <c r="A45" s="5">
        <v>905345788</v>
      </c>
      <c r="B45" s="5" t="str">
        <f t="shared" ref="B45:B48" si="3">CONCATENATE(A45,11)</f>
        <v>90534578811</v>
      </c>
      <c r="C45" s="6" t="s">
        <v>143</v>
      </c>
      <c r="D45" s="6" t="s">
        <v>144</v>
      </c>
      <c r="E45" s="6">
        <v>16865615</v>
      </c>
      <c r="F45" s="6">
        <v>16865615</v>
      </c>
      <c r="G45" s="6" t="s">
        <v>146</v>
      </c>
      <c r="H45" s="6" t="s">
        <v>59</v>
      </c>
      <c r="I45" s="6" t="s">
        <v>147</v>
      </c>
      <c r="J45" s="7">
        <v>46235</v>
      </c>
      <c r="K45" s="7">
        <v>46387</v>
      </c>
      <c r="L45" s="8">
        <v>144.58000000000001</v>
      </c>
      <c r="M45" s="6">
        <v>1</v>
      </c>
      <c r="N45" s="8">
        <v>144.58000000000001</v>
      </c>
      <c r="O45" s="6" t="s">
        <v>124</v>
      </c>
      <c r="P45" s="6" t="s">
        <v>275</v>
      </c>
      <c r="Q45" s="6" t="s">
        <v>276</v>
      </c>
      <c r="R45" s="6">
        <f>347/12*5</f>
        <v>144.58333333333334</v>
      </c>
    </row>
    <row r="46" spans="1:18" s="6" customFormat="1" x14ac:dyDescent="0.25">
      <c r="A46" s="5">
        <v>969154449</v>
      </c>
      <c r="B46" s="5" t="str">
        <f t="shared" si="3"/>
        <v>96915444911</v>
      </c>
      <c r="C46" s="6" t="s">
        <v>169</v>
      </c>
      <c r="D46" s="6" t="s">
        <v>46</v>
      </c>
      <c r="E46" s="6">
        <v>18754354</v>
      </c>
      <c r="F46" s="6">
        <v>18754354</v>
      </c>
      <c r="G46" s="6" t="s">
        <v>171</v>
      </c>
      <c r="H46" s="6" t="s">
        <v>59</v>
      </c>
      <c r="I46" s="6" t="s">
        <v>147</v>
      </c>
      <c r="J46" s="7">
        <v>46204</v>
      </c>
      <c r="K46" s="7">
        <v>46387</v>
      </c>
      <c r="L46" s="8">
        <v>173.5</v>
      </c>
      <c r="M46" s="6">
        <v>1</v>
      </c>
      <c r="N46" s="8">
        <v>173.5</v>
      </c>
      <c r="O46" s="6" t="s">
        <v>88</v>
      </c>
      <c r="P46" s="6" t="s">
        <v>275</v>
      </c>
      <c r="Q46" s="6" t="s">
        <v>277</v>
      </c>
      <c r="R46" s="6">
        <f>347/12*6</f>
        <v>173.5</v>
      </c>
    </row>
    <row r="47" spans="1:18" s="6" customFormat="1" x14ac:dyDescent="0.25">
      <c r="A47" s="5">
        <v>118301290</v>
      </c>
      <c r="B47" s="5" t="str">
        <f t="shared" si="3"/>
        <v>11830129011</v>
      </c>
      <c r="C47" s="6" t="s">
        <v>227</v>
      </c>
      <c r="D47" s="6" t="s">
        <v>46</v>
      </c>
      <c r="E47" s="6">
        <v>16170994</v>
      </c>
      <c r="F47" s="6">
        <v>16170994</v>
      </c>
      <c r="G47" s="6" t="s">
        <v>105</v>
      </c>
      <c r="H47" s="6" t="s">
        <v>192</v>
      </c>
      <c r="I47" s="6" t="s">
        <v>147</v>
      </c>
      <c r="J47" s="7">
        <v>46082</v>
      </c>
      <c r="K47" s="7">
        <v>46113</v>
      </c>
      <c r="N47" s="6">
        <v>-289.17</v>
      </c>
      <c r="P47" s="6" t="s">
        <v>275</v>
      </c>
      <c r="Q47" s="6" t="s">
        <v>273</v>
      </c>
    </row>
    <row r="48" spans="1:18" s="6" customFormat="1" x14ac:dyDescent="0.25">
      <c r="A48" s="5">
        <v>988729741</v>
      </c>
      <c r="B48" s="5" t="str">
        <f t="shared" si="3"/>
        <v>98872974111</v>
      </c>
      <c r="C48" s="6" t="s">
        <v>237</v>
      </c>
      <c r="D48" s="6" t="s">
        <v>238</v>
      </c>
      <c r="E48" s="6">
        <v>19615078</v>
      </c>
      <c r="F48" s="6">
        <v>19615078</v>
      </c>
      <c r="G48" s="6" t="s">
        <v>240</v>
      </c>
      <c r="H48" s="6" t="s">
        <v>192</v>
      </c>
      <c r="I48" s="6" t="s">
        <v>147</v>
      </c>
      <c r="J48" s="7">
        <v>46023</v>
      </c>
      <c r="K48" s="7">
        <v>46054</v>
      </c>
      <c r="N48" s="6">
        <v>-202.41</v>
      </c>
      <c r="P48" s="6" t="s">
        <v>275</v>
      </c>
      <c r="Q48" s="6" t="s">
        <v>278</v>
      </c>
      <c r="R48" s="6">
        <f>347/12*7</f>
        <v>202.41666666666669</v>
      </c>
    </row>
    <row r="49" spans="1:16" x14ac:dyDescent="0.25">
      <c r="A49" s="4">
        <v>905345788</v>
      </c>
      <c r="B49" s="4" t="str">
        <f t="shared" ref="B49:B56" si="4">CONCATENATE(A49,"OVR")</f>
        <v>905345788OVR</v>
      </c>
      <c r="C49" t="s">
        <v>143</v>
      </c>
      <c r="D49" t="s">
        <v>144</v>
      </c>
      <c r="E49">
        <v>16865615</v>
      </c>
      <c r="F49" t="str">
        <f t="shared" ref="F49:F56" si="5">CONCATENATE(E49,"OVR")</f>
        <v>16865615OVR</v>
      </c>
      <c r="G49" t="s">
        <v>146</v>
      </c>
      <c r="H49" t="s">
        <v>59</v>
      </c>
      <c r="I49" t="s">
        <v>149</v>
      </c>
      <c r="J49" s="1">
        <v>46235</v>
      </c>
      <c r="K49" s="1">
        <v>46387</v>
      </c>
      <c r="L49" s="2">
        <v>175</v>
      </c>
      <c r="M49">
        <v>1</v>
      </c>
      <c r="N49" s="2">
        <v>175</v>
      </c>
      <c r="P49" t="s">
        <v>271</v>
      </c>
    </row>
    <row r="50" spans="1:16" x14ac:dyDescent="0.25">
      <c r="A50" s="4">
        <v>969154449</v>
      </c>
      <c r="B50" s="4" t="str">
        <f t="shared" si="4"/>
        <v>969154449OVR</v>
      </c>
      <c r="C50" t="s">
        <v>169</v>
      </c>
      <c r="D50" t="s">
        <v>46</v>
      </c>
      <c r="E50">
        <v>18754354</v>
      </c>
      <c r="F50" t="str">
        <f t="shared" si="5"/>
        <v>18754354OVR</v>
      </c>
      <c r="G50" t="s">
        <v>171</v>
      </c>
      <c r="H50" t="s">
        <v>59</v>
      </c>
      <c r="I50" t="s">
        <v>149</v>
      </c>
      <c r="J50" s="1">
        <v>46204</v>
      </c>
      <c r="K50" s="1">
        <v>46387</v>
      </c>
      <c r="L50" s="2">
        <v>175</v>
      </c>
      <c r="M50">
        <v>1</v>
      </c>
      <c r="N50" s="2">
        <v>175</v>
      </c>
      <c r="P50" t="s">
        <v>271</v>
      </c>
    </row>
    <row r="51" spans="1:16" s="10" customFormat="1" x14ac:dyDescent="0.25">
      <c r="A51" s="9">
        <v>939773066</v>
      </c>
      <c r="B51" s="9" t="str">
        <f t="shared" si="4"/>
        <v>939773066OVR</v>
      </c>
      <c r="C51" s="10" t="s">
        <v>158</v>
      </c>
      <c r="D51" s="10" t="s">
        <v>159</v>
      </c>
      <c r="E51" s="10" t="e">
        <v>#N/A</v>
      </c>
      <c r="F51" s="10" t="e">
        <f t="shared" si="5"/>
        <v>#N/A</v>
      </c>
      <c r="G51" s="10" t="s">
        <v>161</v>
      </c>
      <c r="H51" s="10" t="s">
        <v>59</v>
      </c>
      <c r="I51" s="10" t="s">
        <v>149</v>
      </c>
      <c r="J51" s="11">
        <v>46174</v>
      </c>
      <c r="K51" s="11">
        <v>46387</v>
      </c>
      <c r="L51" s="12">
        <v>175</v>
      </c>
      <c r="M51" s="10">
        <v>1</v>
      </c>
      <c r="N51" s="12">
        <v>175</v>
      </c>
      <c r="P51" s="10" t="s">
        <v>271</v>
      </c>
    </row>
    <row r="52" spans="1:16" x14ac:dyDescent="0.25">
      <c r="A52" s="4">
        <v>949313050</v>
      </c>
      <c r="B52" s="4" t="str">
        <f t="shared" si="4"/>
        <v>949313050OVR</v>
      </c>
      <c r="C52" t="s">
        <v>163</v>
      </c>
      <c r="D52" t="s">
        <v>91</v>
      </c>
      <c r="E52">
        <v>21618313</v>
      </c>
      <c r="F52" t="str">
        <f t="shared" si="5"/>
        <v>21618313OVR</v>
      </c>
      <c r="G52" t="s">
        <v>165</v>
      </c>
      <c r="H52" t="s">
        <v>59</v>
      </c>
      <c r="I52" t="s">
        <v>149</v>
      </c>
      <c r="J52" s="1">
        <v>46174</v>
      </c>
      <c r="K52" s="1">
        <v>46387</v>
      </c>
      <c r="L52" s="2">
        <v>175</v>
      </c>
      <c r="M52">
        <v>1</v>
      </c>
      <c r="N52" s="2">
        <v>175</v>
      </c>
      <c r="P52" t="s">
        <v>271</v>
      </c>
    </row>
    <row r="53" spans="1:16" x14ac:dyDescent="0.25">
      <c r="A53" s="4">
        <v>923684373</v>
      </c>
      <c r="B53" s="4" t="str">
        <f t="shared" si="4"/>
        <v>923684373OVR</v>
      </c>
      <c r="C53" t="s">
        <v>151</v>
      </c>
      <c r="D53" t="s">
        <v>129</v>
      </c>
      <c r="E53">
        <v>16228684</v>
      </c>
      <c r="F53" t="str">
        <f t="shared" si="5"/>
        <v>16228684OVR</v>
      </c>
      <c r="G53" t="s">
        <v>153</v>
      </c>
      <c r="H53" t="s">
        <v>59</v>
      </c>
      <c r="I53" t="s">
        <v>156</v>
      </c>
      <c r="J53" s="1">
        <v>46174</v>
      </c>
      <c r="K53" s="1">
        <v>46387</v>
      </c>
      <c r="L53" s="2">
        <v>29.17</v>
      </c>
      <c r="M53">
        <v>1</v>
      </c>
      <c r="N53" s="2">
        <v>29.17</v>
      </c>
      <c r="O53" t="s">
        <v>82</v>
      </c>
      <c r="P53" t="s">
        <v>271</v>
      </c>
    </row>
    <row r="54" spans="1:16" x14ac:dyDescent="0.25">
      <c r="A54" s="4">
        <v>967243928</v>
      </c>
      <c r="B54" s="4" t="str">
        <f t="shared" si="4"/>
        <v>967243928OVR</v>
      </c>
      <c r="C54" t="s">
        <v>231</v>
      </c>
      <c r="D54" t="s">
        <v>144</v>
      </c>
      <c r="E54">
        <v>6634327</v>
      </c>
      <c r="F54" t="str">
        <f t="shared" si="5"/>
        <v>6634327OVR</v>
      </c>
      <c r="G54" t="s">
        <v>233</v>
      </c>
      <c r="H54" t="s">
        <v>192</v>
      </c>
      <c r="I54" t="s">
        <v>149</v>
      </c>
      <c r="J54" s="1">
        <v>46082</v>
      </c>
      <c r="K54" s="1">
        <v>46113</v>
      </c>
      <c r="N54">
        <v>-131.25</v>
      </c>
      <c r="P54" t="s">
        <v>271</v>
      </c>
    </row>
    <row r="55" spans="1:16" x14ac:dyDescent="0.25">
      <c r="A55" s="4">
        <v>118301290</v>
      </c>
      <c r="B55" s="4" t="str">
        <f t="shared" si="4"/>
        <v>118301290OVR</v>
      </c>
      <c r="C55" t="s">
        <v>227</v>
      </c>
      <c r="D55" t="s">
        <v>46</v>
      </c>
      <c r="E55">
        <v>16170994</v>
      </c>
      <c r="F55" t="str">
        <f t="shared" si="5"/>
        <v>16170994OVR</v>
      </c>
      <c r="G55" t="s">
        <v>105</v>
      </c>
      <c r="H55" t="s">
        <v>192</v>
      </c>
      <c r="I55" t="s">
        <v>229</v>
      </c>
      <c r="J55" s="1">
        <v>46082</v>
      </c>
      <c r="K55" s="1">
        <v>46113</v>
      </c>
      <c r="N55">
        <v>-60</v>
      </c>
      <c r="P55" t="s">
        <v>271</v>
      </c>
    </row>
    <row r="56" spans="1:16" x14ac:dyDescent="0.25">
      <c r="A56" s="4">
        <v>988729741</v>
      </c>
      <c r="B56" s="4" t="str">
        <f t="shared" si="4"/>
        <v>988729741OVR</v>
      </c>
      <c r="C56" t="s">
        <v>237</v>
      </c>
      <c r="D56" t="s">
        <v>238</v>
      </c>
      <c r="E56">
        <v>19615078</v>
      </c>
      <c r="F56" t="str">
        <f t="shared" si="5"/>
        <v>19615078OVR</v>
      </c>
      <c r="G56" t="s">
        <v>240</v>
      </c>
      <c r="H56" t="s">
        <v>192</v>
      </c>
      <c r="I56" t="s">
        <v>149</v>
      </c>
      <c r="J56" s="1">
        <v>46023</v>
      </c>
      <c r="K56" s="1">
        <v>46054</v>
      </c>
      <c r="N56">
        <v>-102.08</v>
      </c>
      <c r="P56" t="s">
        <v>271</v>
      </c>
    </row>
  </sheetData>
  <sortState xmlns:xlrd2="http://schemas.microsoft.com/office/spreadsheetml/2017/richdata2" ref="A2:AO56">
    <sortCondition ref="P2:P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2026-06-12T06:11:04Z</dcterms:created>
  <dcterms:modified xsi:type="dcterms:W3CDTF">2026-06-16T17:31:42Z</dcterms:modified>
</cp:coreProperties>
</file>