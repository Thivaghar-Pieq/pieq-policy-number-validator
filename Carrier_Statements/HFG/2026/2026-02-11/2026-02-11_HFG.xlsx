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2-11-26\"/>
    </mc:Choice>
  </mc:AlternateContent>
  <xr:revisionPtr revIDLastSave="0" documentId="13_ncr:1_{41283FCF-1688-4252-9796-F84A13F95338}" xr6:coauthVersionLast="47" xr6:coauthVersionMax="47" xr10:uidLastSave="{00000000-0000-0000-0000-000000000000}"/>
  <bookViews>
    <workbookView xWindow="-120" yWindow="-120" windowWidth="29040" windowHeight="16440" activeTab="2" xr2:uid="{E65FF8DD-2FCA-4F37-80A5-424BF03110E4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B116" i="2" l="1"/>
  <c r="B115" i="2"/>
  <c r="B114" i="2"/>
  <c r="B113" i="2"/>
  <c r="B112" i="2"/>
  <c r="B111" i="2"/>
  <c r="B110" i="2"/>
  <c r="B99" i="2"/>
  <c r="B98" i="2"/>
  <c r="B97" i="2"/>
  <c r="B117" i="2"/>
  <c r="B109" i="2"/>
  <c r="B108" i="2"/>
  <c r="B107" i="2"/>
  <c r="B106" i="2"/>
  <c r="B105" i="2"/>
  <c r="B104" i="2"/>
  <c r="B103" i="2"/>
  <c r="B102" i="2"/>
  <c r="B101" i="2"/>
  <c r="B100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R116" i="2"/>
  <c r="R111" i="2"/>
</calcChain>
</file>

<file path=xl/sharedStrings.xml><?xml version="1.0" encoding="utf-8"?>
<sst xmlns="http://schemas.openxmlformats.org/spreadsheetml/2006/main" count="2668" uniqueCount="498">
  <si>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</si>
  <si>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</si>
  <si>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</si>
  <si>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</si>
  <si>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</si>
  <si>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</si>
  <si>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</si>
  <si>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</si>
  <si>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</si>
  <si>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</si>
  <si>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</si>
  <si>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</si>
  <si>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</si>
  <si>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</si>
  <si>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</si>
  <si>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</si>
  <si>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</si>
  <si>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</si>
  <si>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</si>
  <si>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</si>
  <si>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</si>
  <si>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</si>
  <si>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</si>
  <si>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</si>
  <si>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</si>
  <si>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</si>
  <si>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</si>
  <si>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</si>
  <si>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</si>
  <si>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</si>
  <si>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</si>
  <si>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</si>
  <si>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</si>
  <si>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</si>
  <si>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</si>
  <si>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</si>
  <si>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</si>
  <si>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</si>
  <si>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</si>
  <si>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</si>
  <si>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</si>
  <si>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</si>
  <si>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</si>
  <si>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</si>
  <si>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'00002045751K</t>
  </si>
  <si>
    <t>TONY HOUSTON</t>
  </si>
  <si>
    <t>CO</t>
  </si>
  <si>
    <t>'045605</t>
  </si>
  <si>
    <t>GARY PORTUGAL</t>
  </si>
  <si>
    <t>ACTIVE</t>
  </si>
  <si>
    <t>Humana MA 2019+ Level 15- 175/108 Repl 2024</t>
  </si>
  <si>
    <t>Monthly</t>
  </si>
  <si>
    <t>AV</t>
  </si>
  <si>
    <t>'00003837723K</t>
  </si>
  <si>
    <t>TIMOTHY WISE</t>
  </si>
  <si>
    <t>FL</t>
  </si>
  <si>
    <t>'046124</t>
  </si>
  <si>
    <t>KENNETH WEITZMAN</t>
  </si>
  <si>
    <t>'00008073516K</t>
  </si>
  <si>
    <t>RICHARD HAUSER</t>
  </si>
  <si>
    <t>IL</t>
  </si>
  <si>
    <t>'045612</t>
  </si>
  <si>
    <t>ANTHONY HUNSBERGER</t>
  </si>
  <si>
    <t>Humana MA 2019+ Level 15- 175/108</t>
  </si>
  <si>
    <t>'00008790290K</t>
  </si>
  <si>
    <t>CONNIE WILLIAMS</t>
  </si>
  <si>
    <t>GA</t>
  </si>
  <si>
    <t>'045712</t>
  </si>
  <si>
    <t>GREGORY HANSFORD</t>
  </si>
  <si>
    <t>'00012361676K</t>
  </si>
  <si>
    <t>DONNA BURGAN</t>
  </si>
  <si>
    <t>OH</t>
  </si>
  <si>
    <t>'045684</t>
  </si>
  <si>
    <t>JILL SHEPARD</t>
  </si>
  <si>
    <t>'00014556666K</t>
  </si>
  <si>
    <t>PAMELA CAUDY</t>
  </si>
  <si>
    <t>'045621</t>
  </si>
  <si>
    <t>HEATHER GESKE</t>
  </si>
  <si>
    <t>'00014958924K</t>
  </si>
  <si>
    <t>HERMILO SOTELO</t>
  </si>
  <si>
    <t>'043589</t>
  </si>
  <si>
    <t>JOSE TORRES</t>
  </si>
  <si>
    <t>'00018991718K</t>
  </si>
  <si>
    <t>PAUL STRNAD</t>
  </si>
  <si>
    <t>'045604</t>
  </si>
  <si>
    <t>JEFFREY HORN</t>
  </si>
  <si>
    <t>'00019034430K</t>
  </si>
  <si>
    <t>WILLIAM LAUGHREY</t>
  </si>
  <si>
    <t>AZ</t>
  </si>
  <si>
    <t>'043682</t>
  </si>
  <si>
    <t>GREGORY TEIPEL</t>
  </si>
  <si>
    <t>'00020290726K</t>
  </si>
  <si>
    <t>AMY SCOTT</t>
  </si>
  <si>
    <t>MD</t>
  </si>
  <si>
    <t>'045717</t>
  </si>
  <si>
    <t>RONALD MAX</t>
  </si>
  <si>
    <t>'00022636553K</t>
  </si>
  <si>
    <t>VENIDA HAUSER</t>
  </si>
  <si>
    <t>'00023120301K</t>
  </si>
  <si>
    <t>EVANGELINA VALENCIA</t>
  </si>
  <si>
    <t>'045966</t>
  </si>
  <si>
    <t>ANTONIA NEVAREZ</t>
  </si>
  <si>
    <t>'00024582757K</t>
  </si>
  <si>
    <t>EDNA SCHENKEL</t>
  </si>
  <si>
    <t>'043969</t>
  </si>
  <si>
    <t>STACEY PORTUGAL</t>
  </si>
  <si>
    <t>Active</t>
  </si>
  <si>
    <t>Humana MA Bonus Upload 02-11-2026.xlsx</t>
  </si>
  <si>
    <t>'00025236228K</t>
  </si>
  <si>
    <t>PATRICIA BRADFORD</t>
  </si>
  <si>
    <t>'045671</t>
  </si>
  <si>
    <t>ROBERT SHAPIRO</t>
  </si>
  <si>
    <t>'00025445542K</t>
  </si>
  <si>
    <t>DAVID VELMS</t>
  </si>
  <si>
    <t>'045981</t>
  </si>
  <si>
    <t>JAKE SHULMAN</t>
  </si>
  <si>
    <t>'00025471647K</t>
  </si>
  <si>
    <t>THERESA RICHEY</t>
  </si>
  <si>
    <t>MI</t>
  </si>
  <si>
    <t>'043718</t>
  </si>
  <si>
    <t>CHAD YALE</t>
  </si>
  <si>
    <t>'00025871591K</t>
  </si>
  <si>
    <t>JORGE MARTINEZ</t>
  </si>
  <si>
    <t>'045613</t>
  </si>
  <si>
    <t>RICARDO SANTOS</t>
  </si>
  <si>
    <t>'00026021240K</t>
  </si>
  <si>
    <t>PATRICIA THELEN</t>
  </si>
  <si>
    <t>WI</t>
  </si>
  <si>
    <t>'043644</t>
  </si>
  <si>
    <t>TIMOTHY HODGMAN</t>
  </si>
  <si>
    <t>'00026022464K</t>
  </si>
  <si>
    <t>COLANNE SCHWEMLEIN</t>
  </si>
  <si>
    <t>'00026024004K</t>
  </si>
  <si>
    <t>THERESE DOTY</t>
  </si>
  <si>
    <t>'00026025105K</t>
  </si>
  <si>
    <t>GREGORY PETERSON</t>
  </si>
  <si>
    <t>'045632</t>
  </si>
  <si>
    <t>BARRY SCHUMANN</t>
  </si>
  <si>
    <t>'00026025293K</t>
  </si>
  <si>
    <t>MARLA FLYNN</t>
  </si>
  <si>
    <t>'00026025479K</t>
  </si>
  <si>
    <t>JEFFREY JOURDAN</t>
  </si>
  <si>
    <t>IN</t>
  </si>
  <si>
    <t>'045967</t>
  </si>
  <si>
    <t>DANNA GREEN</t>
  </si>
  <si>
    <t>'00026025661K</t>
  </si>
  <si>
    <t>COSTA DA COSTA</t>
  </si>
  <si>
    <t>SC</t>
  </si>
  <si>
    <t>'00026026306K</t>
  </si>
  <si>
    <t>ROBERT ALDRICH</t>
  </si>
  <si>
    <t>'00026026555K</t>
  </si>
  <si>
    <t>STEVEN GAUDEN</t>
  </si>
  <si>
    <t>'00026026753K</t>
  </si>
  <si>
    <t>FRANCES LOWE</t>
  </si>
  <si>
    <t>TX</t>
  </si>
  <si>
    <t>'043678</t>
  </si>
  <si>
    <t>MATTHEW DAUGHERTY</t>
  </si>
  <si>
    <t>'00026029618K</t>
  </si>
  <si>
    <t>COLLEEN ROLLINS</t>
  </si>
  <si>
    <t>'046034</t>
  </si>
  <si>
    <t>INES BERG</t>
  </si>
  <si>
    <t>'00026030304K</t>
  </si>
  <si>
    <t>VESTER JONES</t>
  </si>
  <si>
    <t>'043705</t>
  </si>
  <si>
    <t>MICHAEL DUNAVANT</t>
  </si>
  <si>
    <t>'00026030345K</t>
  </si>
  <si>
    <t>MARK DOYLE</t>
  </si>
  <si>
    <t>'00026031759K</t>
  </si>
  <si>
    <t>LISA BERGER</t>
  </si>
  <si>
    <t>'043714</t>
  </si>
  <si>
    <t>BRIAN STROHMAN</t>
  </si>
  <si>
    <t>'00026032831K</t>
  </si>
  <si>
    <t>ROBIN CRIPPS</t>
  </si>
  <si>
    <t>OK</t>
  </si>
  <si>
    <t>'043638</t>
  </si>
  <si>
    <t>THOMAS PARDUE</t>
  </si>
  <si>
    <t>'00026034392K</t>
  </si>
  <si>
    <t>ROGER TYK</t>
  </si>
  <si>
    <t>'00026035883K</t>
  </si>
  <si>
    <t>KENT BOWSER</t>
  </si>
  <si>
    <t>'045639</t>
  </si>
  <si>
    <t>STEVEN WERNER</t>
  </si>
  <si>
    <t>'00026036136K</t>
  </si>
  <si>
    <t>JOHN HUTSLAR</t>
  </si>
  <si>
    <t>'00026036367K</t>
  </si>
  <si>
    <t>JIM MCWHORTER</t>
  </si>
  <si>
    <t>'00026038913K</t>
  </si>
  <si>
    <t>RAYMOND WHALEN</t>
  </si>
  <si>
    <t>'043637</t>
  </si>
  <si>
    <t>CHRISTIAN TAUGNER</t>
  </si>
  <si>
    <t>'00026040230K</t>
  </si>
  <si>
    <t>ANN FITZGERALD</t>
  </si>
  <si>
    <t>'00026041355K</t>
  </si>
  <si>
    <t>SUSAN COHEN</t>
  </si>
  <si>
    <t>'045638</t>
  </si>
  <si>
    <t>RICHARD YALE</t>
  </si>
  <si>
    <t>'00026042332K</t>
  </si>
  <si>
    <t>CHRISTINE IACOVETTA</t>
  </si>
  <si>
    <t>'045670</t>
  </si>
  <si>
    <t>STEVEN BRANDT</t>
  </si>
  <si>
    <t>'00026043612K</t>
  </si>
  <si>
    <t>KATHY AMATO</t>
  </si>
  <si>
    <t>'045622</t>
  </si>
  <si>
    <t>JACOB YALE</t>
  </si>
  <si>
    <t>'00026045147K</t>
  </si>
  <si>
    <t>HELEN SCAVONE</t>
  </si>
  <si>
    <t>'00026047194K</t>
  </si>
  <si>
    <t>ELIZABETH ZANE</t>
  </si>
  <si>
    <t>'045611</t>
  </si>
  <si>
    <t>FRANK LISKOVEC</t>
  </si>
  <si>
    <t>'00026047522K</t>
  </si>
  <si>
    <t>JILL LANGONE</t>
  </si>
  <si>
    <t>'00026047730K</t>
  </si>
  <si>
    <t>TAMMY LUNSFORD</t>
  </si>
  <si>
    <t>PA</t>
  </si>
  <si>
    <t>'043611</t>
  </si>
  <si>
    <t>TIMOTHY POWERS</t>
  </si>
  <si>
    <t>'00026047903K</t>
  </si>
  <si>
    <t>BEVERLY HUTSLAR</t>
  </si>
  <si>
    <t>'00026048901K</t>
  </si>
  <si>
    <t>DOROTHY RUCKER REEVE</t>
  </si>
  <si>
    <t>'00026050355K</t>
  </si>
  <si>
    <t>KEVIN DALY</t>
  </si>
  <si>
    <t>'00026050606K</t>
  </si>
  <si>
    <t>ZAHER KHATIB</t>
  </si>
  <si>
    <t>'043618</t>
  </si>
  <si>
    <t>SAADIA ABDUL</t>
  </si>
  <si>
    <t>'00026051163K</t>
  </si>
  <si>
    <t>GEORGE TORRES</t>
  </si>
  <si>
    <t>'00026051529K</t>
  </si>
  <si>
    <t>JOHN BODIE</t>
  </si>
  <si>
    <t>'00026052406K</t>
  </si>
  <si>
    <t>KELLIE VRENIOS</t>
  </si>
  <si>
    <t>'00026053023K</t>
  </si>
  <si>
    <t>ROSA QUELLA</t>
  </si>
  <si>
    <t>'00026054254K</t>
  </si>
  <si>
    <t>JOANNE BUSHELL</t>
  </si>
  <si>
    <t>'00026054313K</t>
  </si>
  <si>
    <t>JUDITH REIF</t>
  </si>
  <si>
    <t>'045603</t>
  </si>
  <si>
    <t>ANDREW CHOI</t>
  </si>
  <si>
    <t>'00026055906K</t>
  </si>
  <si>
    <t>CHERIE TORRES</t>
  </si>
  <si>
    <t>'00026057283K</t>
  </si>
  <si>
    <t>JOEL HERNANDEZ</t>
  </si>
  <si>
    <t>'045772</t>
  </si>
  <si>
    <t>JASON ROLLER</t>
  </si>
  <si>
    <t>'00026059647K</t>
  </si>
  <si>
    <t>HUMBERTO CRUZ</t>
  </si>
  <si>
    <t>'00026060207K</t>
  </si>
  <si>
    <t>EARNESTINE STARKS</t>
  </si>
  <si>
    <t>'00026060803K</t>
  </si>
  <si>
    <t>CARI SIMON</t>
  </si>
  <si>
    <t>'00026061389K</t>
  </si>
  <si>
    <t>JILL APOSTAL</t>
  </si>
  <si>
    <t>'041686</t>
  </si>
  <si>
    <t>DALE WALENGA</t>
  </si>
  <si>
    <t>'00026061421K</t>
  </si>
  <si>
    <t>CECYLIA CONFORTI</t>
  </si>
  <si>
    <t>'101134784500</t>
  </si>
  <si>
    <t>CATTIE BENARD</t>
  </si>
  <si>
    <t>'043679</t>
  </si>
  <si>
    <t>DEBORAH INSKIPT</t>
  </si>
  <si>
    <t>Aetna MAPD NMO to MMO - 2025+ New E-App</t>
  </si>
  <si>
    <t>'101197552500</t>
  </si>
  <si>
    <t>BRUCE BAUNACH</t>
  </si>
  <si>
    <t>Aetna MAPD NMO to MMO - 2025+ Replace E-App</t>
  </si>
  <si>
    <t>11/12 PRORATE</t>
  </si>
  <si>
    <t>'101216911700</t>
  </si>
  <si>
    <t>KIM ROTHERY</t>
  </si>
  <si>
    <t>'102259605300</t>
  </si>
  <si>
    <t>ROBIN PIOTROWSKI</t>
  </si>
  <si>
    <t>10/12 PRORATE</t>
  </si>
  <si>
    <t>'102259630500</t>
  </si>
  <si>
    <t>'102259889900</t>
  </si>
  <si>
    <t>RICHARD WILLIAMS</t>
  </si>
  <si>
    <t>'043867</t>
  </si>
  <si>
    <t>RYAN STOCKER</t>
  </si>
  <si>
    <t>'102260467100</t>
  </si>
  <si>
    <t>EVELYN GOSTIC</t>
  </si>
  <si>
    <t>'102260854400</t>
  </si>
  <si>
    <t>MATTHEW DOLLIN</t>
  </si>
  <si>
    <t>'133073485</t>
  </si>
  <si>
    <t>BRENDA MILLSPAUGH</t>
  </si>
  <si>
    <t>'045896</t>
  </si>
  <si>
    <t>LENSIE GONZALEZ</t>
  </si>
  <si>
    <t>UHC MAPD Street payable to upline- 2026 Replace</t>
  </si>
  <si>
    <t>'133073485OV</t>
  </si>
  <si>
    <t>UHC MA Direct 2025 New Full</t>
  </si>
  <si>
    <t>'25R6A4R22</t>
  </si>
  <si>
    <t>CHRISTOPHER BILEK</t>
  </si>
  <si>
    <t>Cigna MAPD FMO to GA 1-1-19+ - New</t>
  </si>
  <si>
    <t>'69H7U6A93</t>
  </si>
  <si>
    <t>ELIZABETH EDWARDS</t>
  </si>
  <si>
    <t>'921405829</t>
  </si>
  <si>
    <t>DIANE TEMPLE</t>
  </si>
  <si>
    <t>NA</t>
  </si>
  <si>
    <t>'921405829OV</t>
  </si>
  <si>
    <t>'937619948</t>
  </si>
  <si>
    <t>RICHARD FILE</t>
  </si>
  <si>
    <t>UHC MA GA 2025 New Initial Prorated</t>
  </si>
  <si>
    <t>'939166344</t>
  </si>
  <si>
    <t>DEBRA ANDREWS</t>
  </si>
  <si>
    <t>UHC MA Direct 2025 New Initial Prorated - Other</t>
  </si>
  <si>
    <t>'939166344OV</t>
  </si>
  <si>
    <t>UHC MAPD Street payable to upline PA/CT- 2025 Replace</t>
  </si>
  <si>
    <t>'959880194</t>
  </si>
  <si>
    <t>MELISSA FILE</t>
  </si>
  <si>
    <t>'965382656</t>
  </si>
  <si>
    <t>SUSAN WOHLFORD</t>
  </si>
  <si>
    <t>UHC MA Direct 2025 New Initial Prorated</t>
  </si>
  <si>
    <t>'965382656OV</t>
  </si>
  <si>
    <t>'993657159</t>
  </si>
  <si>
    <t>TONYA MERKE</t>
  </si>
  <si>
    <t>'045609</t>
  </si>
  <si>
    <t>MURRAY STERNER</t>
  </si>
  <si>
    <t>UHC PDP Street payable to upline -2024 New Full</t>
  </si>
  <si>
    <t>'993657159OV</t>
  </si>
  <si>
    <t>UHC MA Direct 2024 New Full</t>
  </si>
  <si>
    <t>'A04421878</t>
  </si>
  <si>
    <t>SCOTT WARREN</t>
  </si>
  <si>
    <t>'043974</t>
  </si>
  <si>
    <t>JENNIFER HALSAVER</t>
  </si>
  <si>
    <t>UHC AARP Med Supp 2026+ IL Plan F G</t>
  </si>
  <si>
    <t>'A04421880</t>
  </si>
  <si>
    <t>BEVERLY WARREN</t>
  </si>
  <si>
    <t>'A04424007</t>
  </si>
  <si>
    <t>RICHELLE BROUILLET</t>
  </si>
  <si>
    <t>UHC AARP Med Supp 2026+ WA All Plans</t>
  </si>
  <si>
    <t>'A04425326</t>
  </si>
  <si>
    <t>MAKSYMILIAN EBENSTEIN</t>
  </si>
  <si>
    <t>'045601</t>
  </si>
  <si>
    <t>CAROL FOLEY</t>
  </si>
  <si>
    <t>UHC AARP Med Supp 2025+ FL Area 1 Plan B C F G</t>
  </si>
  <si>
    <t>'A04425945</t>
  </si>
  <si>
    <t>MICHAEL SCHNEIDER</t>
  </si>
  <si>
    <t>CB</t>
  </si>
  <si>
    <t>'00000030335FPC</t>
  </si>
  <si>
    <t>JACQUOLINE MARANDA</t>
  </si>
  <si>
    <t>CHARGEBACK</t>
  </si>
  <si>
    <t>'00016332039KPC</t>
  </si>
  <si>
    <t>KHAMPHENG PHONGSAVATH</t>
  </si>
  <si>
    <t>'043625</t>
  </si>
  <si>
    <t>PATSAMON THANADABOUTH</t>
  </si>
  <si>
    <t>'00016337201KCB</t>
  </si>
  <si>
    <t>SUKANYA PHONGSAVATH</t>
  </si>
  <si>
    <t>'00017504051KPC</t>
  </si>
  <si>
    <t>CELINA MEDINA</t>
  </si>
  <si>
    <t>'00018142972KPC</t>
  </si>
  <si>
    <t>ILENE WILSON</t>
  </si>
  <si>
    <t>'00019368907KPC</t>
  </si>
  <si>
    <t>K CRAIG</t>
  </si>
  <si>
    <t>'00021511325KPC</t>
  </si>
  <si>
    <t>GLORIA BEGAY</t>
  </si>
  <si>
    <t>NM</t>
  </si>
  <si>
    <t>'00022094137KPC</t>
  </si>
  <si>
    <t>MARCO SANCHEZ</t>
  </si>
  <si>
    <t>'00023120301KPC</t>
  </si>
  <si>
    <t>'00023536079KPC</t>
  </si>
  <si>
    <t>TODD BROWNLEE</t>
  </si>
  <si>
    <t>'00024848882KPC</t>
  </si>
  <si>
    <t>JULIETA DUARTE</t>
  </si>
  <si>
    <t>'00024943110KPC</t>
  </si>
  <si>
    <t>ALLISON DREDGE</t>
  </si>
  <si>
    <t>'00025205339KCB</t>
  </si>
  <si>
    <t>DAVID RODAK</t>
  </si>
  <si>
    <t>'00025236228KPC</t>
  </si>
  <si>
    <t>'00025445542KPC</t>
  </si>
  <si>
    <t>'00025471647KPC</t>
  </si>
  <si>
    <t>'00025903141KCB</t>
  </si>
  <si>
    <t>GAIL KIMPEL</t>
  </si>
  <si>
    <t>AL</t>
  </si>
  <si>
    <t>'00025911940KCB</t>
  </si>
  <si>
    <t>JENNA SINES</t>
  </si>
  <si>
    <t>'045607</t>
  </si>
  <si>
    <t>PAMELA DEATON</t>
  </si>
  <si>
    <t>'101530995100CB</t>
  </si>
  <si>
    <t>KATHRYN WADE</t>
  </si>
  <si>
    <t>'102152552400CB</t>
  </si>
  <si>
    <t>KEVIN WILKER</t>
  </si>
  <si>
    <t>'102178830400CB</t>
  </si>
  <si>
    <t>MICHAEL HUBERTY</t>
  </si>
  <si>
    <t>'56H4X5A78CB</t>
  </si>
  <si>
    <t>XAY XAYAKHAM</t>
  </si>
  <si>
    <t>'71L1A1F62CB</t>
  </si>
  <si>
    <t>CARMELLA MCKEEL</t>
  </si>
  <si>
    <t>Cigna MAPD FMO to GA 1-1-19+ - Replacement</t>
  </si>
  <si>
    <t>'901566459OVPC</t>
  </si>
  <si>
    <t>CHRISTINE SCHWANBECK</t>
  </si>
  <si>
    <t>UHC MA Direct 2025 New Prorated</t>
  </si>
  <si>
    <t>'901566459PC</t>
  </si>
  <si>
    <t>UHC MAPD Street payable to upline- 2026 Pro New</t>
  </si>
  <si>
    <t>'916076903CB</t>
  </si>
  <si>
    <t>'916076903OVCB</t>
  </si>
  <si>
    <t>'970254922CB</t>
  </si>
  <si>
    <t>MARJORIE HARMS</t>
  </si>
  <si>
    <t>UHC MAPD Street payable to upline - 2026 New</t>
  </si>
  <si>
    <t>'970254922OVCB</t>
  </si>
  <si>
    <t>25R6A4R22</t>
  </si>
  <si>
    <t>69H7U6A93</t>
  </si>
  <si>
    <t>00008073516K</t>
  </si>
  <si>
    <t>00008790290K</t>
  </si>
  <si>
    <t>00012361676K</t>
  </si>
  <si>
    <t>00014556666K</t>
  </si>
  <si>
    <t>00014958924K</t>
  </si>
  <si>
    <t>00019034430K</t>
  </si>
  <si>
    <t>00020290726K</t>
  </si>
  <si>
    <t>00022636553K</t>
  </si>
  <si>
    <t>00024582757K</t>
  </si>
  <si>
    <t>00025871591K</t>
  </si>
  <si>
    <t>00026021240K</t>
  </si>
  <si>
    <t>00026022464K</t>
  </si>
  <si>
    <t>00026024004K</t>
  </si>
  <si>
    <t>00026025105K</t>
  </si>
  <si>
    <t>00026025293K</t>
  </si>
  <si>
    <t>00026025479K</t>
  </si>
  <si>
    <t>00026025661K</t>
  </si>
  <si>
    <t>00026026306K</t>
  </si>
  <si>
    <t>00026026555K</t>
  </si>
  <si>
    <t>00026026753K</t>
  </si>
  <si>
    <t>00026029618K</t>
  </si>
  <si>
    <t>00026030304K</t>
  </si>
  <si>
    <t>00026030345K</t>
  </si>
  <si>
    <t>00026031759K</t>
  </si>
  <si>
    <t>00026032831K</t>
  </si>
  <si>
    <t>00026035883K</t>
  </si>
  <si>
    <t>00026036136K</t>
  </si>
  <si>
    <t>00026036367K</t>
  </si>
  <si>
    <t>00026038913K</t>
  </si>
  <si>
    <t>00026040230K</t>
  </si>
  <si>
    <t>00026041355K</t>
  </si>
  <si>
    <t>00026042332K</t>
  </si>
  <si>
    <t>00026043612K</t>
  </si>
  <si>
    <t>00026045147K</t>
  </si>
  <si>
    <t>00026047194K</t>
  </si>
  <si>
    <t>00026047522K</t>
  </si>
  <si>
    <t>00026047730K</t>
  </si>
  <si>
    <t>00026047903K</t>
  </si>
  <si>
    <t>00026048901K</t>
  </si>
  <si>
    <t>00026050355K</t>
  </si>
  <si>
    <t>00026050606K</t>
  </si>
  <si>
    <t>00026051163K</t>
  </si>
  <si>
    <t>00026051529K</t>
  </si>
  <si>
    <t>00026052406K</t>
  </si>
  <si>
    <t>00026053023K</t>
  </si>
  <si>
    <t>00026054254K</t>
  </si>
  <si>
    <t>00026054313K</t>
  </si>
  <si>
    <t>00026055906K</t>
  </si>
  <si>
    <t>00026057283K</t>
  </si>
  <si>
    <t>00026059647K</t>
  </si>
  <si>
    <t>00026060207K</t>
  </si>
  <si>
    <t>00026060803K</t>
  </si>
  <si>
    <t>00026061389K</t>
  </si>
  <si>
    <t>00026061421K</t>
  </si>
  <si>
    <t>00002045751K</t>
  </si>
  <si>
    <t>00003837723K</t>
  </si>
  <si>
    <t>00018991718K</t>
  </si>
  <si>
    <t>00023120301K</t>
  </si>
  <si>
    <t>00025236228K</t>
  </si>
  <si>
    <t>00025445542K</t>
  </si>
  <si>
    <t>00025471647K</t>
  </si>
  <si>
    <t>00026034392K</t>
  </si>
  <si>
    <t>A04425326</t>
  </si>
  <si>
    <t>A04421878</t>
  </si>
  <si>
    <t>A04421880</t>
  </si>
  <si>
    <t>A04424007</t>
  </si>
  <si>
    <t>A04425945</t>
  </si>
  <si>
    <t>00016332039K</t>
  </si>
  <si>
    <t>00017504051K</t>
  </si>
  <si>
    <t>00018142972K</t>
  </si>
  <si>
    <t>00022094137K</t>
  </si>
  <si>
    <t>00023536079K</t>
  </si>
  <si>
    <t>00024848882K</t>
  </si>
  <si>
    <t>00024943110K</t>
  </si>
  <si>
    <t>00000030335F</t>
  </si>
  <si>
    <t>00019368907K</t>
  </si>
  <si>
    <t>00021511325K</t>
  </si>
  <si>
    <t>56H4X5A78</t>
  </si>
  <si>
    <t>71L1A1F62</t>
  </si>
  <si>
    <t>00016337201K</t>
  </si>
  <si>
    <t>00025205339K</t>
  </si>
  <si>
    <t>00025903141K</t>
  </si>
  <si>
    <t>00025911940K</t>
  </si>
  <si>
    <t>Aetna MAPD OVR</t>
  </si>
  <si>
    <t>Cigna MAPD Ovr</t>
  </si>
  <si>
    <t>Humana MAPD OVR</t>
  </si>
  <si>
    <t>UHC AARP MS FL Area 1- Plan B C F G</t>
  </si>
  <si>
    <t>UHC MAPD Ovr</t>
  </si>
  <si>
    <t>UHC 2026</t>
  </si>
  <si>
    <t>UHC MAPD 2026*</t>
  </si>
  <si>
    <t>UHC PDP 2025!</t>
  </si>
  <si>
    <t>[%/$=694]</t>
  </si>
  <si>
    <t>[%/$=347][prorate=12/12]</t>
  </si>
  <si>
    <t>[%/$=694][prorate=11/12]</t>
  </si>
  <si>
    <t>[%/$=347][prorate=11/12]</t>
  </si>
  <si>
    <t>UHC 2025 CT, PA, DC *</t>
  </si>
  <si>
    <t>[%/$=353][prorate=11/12]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</si>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</sst>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10" fontId="0" fillId="33" borderId="0" xfId="0" applyNumberFormat="1" applyFill="1"/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10" fontId="0" fillId="34" borderId="0" xfId="0" applyNumberFormat="1" applyFill="1"/>
    <xf numFmtId="1" fontId="0" fillId="35" borderId="0" xfId="0" applyNumberFormat="1" applyFill="1" applyAlignment="1">
      <alignment horizontal="left"/>
    </xf>
    <xf numFmtId="0" fontId="0" fillId="35" borderId="0" xfId="0" applyFill="1"/>
    <xf numFmtId="14" fontId="0" fillId="35" borderId="0" xfId="0" applyNumberFormat="1" applyFill="1"/>
    <xf numFmtId="164" fontId="0" fillId="35" borderId="0" xfId="0" applyNumberFormat="1" applyFill="1"/>
    <xf numFmtId="10" fontId="0" fillId="35" borderId="0" xfId="0" applyNumberFormat="1" applyFill="1"/>
    <xf numFmtId="8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83BD-216D-47F3-ABF4-48C054A9A0EA}">
  <dimension ref="A1:AL119"/>
  <sheetViews>
    <sheetView topLeftCell="G67" workbookViewId="0">
      <selection activeCell="R88" sqref="R88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46064</v>
      </c>
      <c r="B2" s="1">
        <v>46064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46054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6250009</v>
      </c>
    </row>
    <row r="3" spans="1:38" x14ac:dyDescent="0.25">
      <c r="A3" s="1">
        <v>46064</v>
      </c>
      <c r="B3" s="1">
        <v>46064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46054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6250001</v>
      </c>
    </row>
    <row r="4" spans="1:38" x14ac:dyDescent="0.25">
      <c r="A4" s="1">
        <v>46064</v>
      </c>
      <c r="B4" s="1">
        <v>46064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63</v>
      </c>
      <c r="S4" s="1">
        <v>46054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6250175</v>
      </c>
    </row>
    <row r="5" spans="1:38" x14ac:dyDescent="0.25">
      <c r="A5" s="1">
        <v>46064</v>
      </c>
      <c r="B5" s="1">
        <v>46064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66</v>
      </c>
      <c r="O5" t="s">
        <v>67</v>
      </c>
      <c r="P5" t="s">
        <v>68</v>
      </c>
      <c r="Q5" t="s">
        <v>49</v>
      </c>
      <c r="R5" t="s">
        <v>63</v>
      </c>
      <c r="S5" s="1">
        <v>46054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6250176</v>
      </c>
    </row>
    <row r="6" spans="1:38" x14ac:dyDescent="0.25">
      <c r="A6" s="1">
        <v>46064</v>
      </c>
      <c r="B6" s="1">
        <v>46064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71</v>
      </c>
      <c r="O6" t="s">
        <v>72</v>
      </c>
      <c r="P6" t="s">
        <v>73</v>
      </c>
      <c r="Q6" t="s">
        <v>49</v>
      </c>
      <c r="R6" t="s">
        <v>63</v>
      </c>
      <c r="S6" s="1">
        <v>46054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6250147</v>
      </c>
    </row>
    <row r="7" spans="1:38" x14ac:dyDescent="0.25">
      <c r="A7" s="1">
        <v>46064</v>
      </c>
      <c r="B7" s="1">
        <v>46064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74</v>
      </c>
      <c r="J7" t="s">
        <v>75</v>
      </c>
      <c r="M7" t="s">
        <v>46</v>
      </c>
      <c r="O7" t="s">
        <v>76</v>
      </c>
      <c r="P7" t="s">
        <v>77</v>
      </c>
      <c r="Q7" t="s">
        <v>49</v>
      </c>
      <c r="R7" t="s">
        <v>63</v>
      </c>
      <c r="S7" s="1">
        <v>46054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6250177</v>
      </c>
    </row>
    <row r="8" spans="1:38" x14ac:dyDescent="0.25">
      <c r="A8" s="1">
        <v>46064</v>
      </c>
      <c r="B8" s="1">
        <v>46064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M8" t="s">
        <v>60</v>
      </c>
      <c r="O8" t="s">
        <v>80</v>
      </c>
      <c r="P8" t="s">
        <v>81</v>
      </c>
      <c r="Q8" t="s">
        <v>49</v>
      </c>
      <c r="R8" t="s">
        <v>63</v>
      </c>
      <c r="S8" s="1">
        <v>46054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6250149</v>
      </c>
    </row>
    <row r="9" spans="1:38" x14ac:dyDescent="0.25">
      <c r="A9" s="1">
        <v>46064</v>
      </c>
      <c r="B9" s="1">
        <v>46064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M9" t="s">
        <v>60</v>
      </c>
      <c r="O9" t="s">
        <v>84</v>
      </c>
      <c r="P9" t="s">
        <v>85</v>
      </c>
      <c r="Q9" t="s">
        <v>49</v>
      </c>
      <c r="R9" t="s">
        <v>50</v>
      </c>
      <c r="S9" s="1">
        <v>46054</v>
      </c>
      <c r="U9" t="s">
        <v>51</v>
      </c>
      <c r="X9" t="s">
        <v>52</v>
      </c>
      <c r="Y9" s="2">
        <v>0</v>
      </c>
      <c r="Z9" s="2">
        <v>108</v>
      </c>
      <c r="AA9">
        <v>1</v>
      </c>
      <c r="AB9" s="3">
        <v>1</v>
      </c>
      <c r="AC9" s="2">
        <v>108</v>
      </c>
      <c r="AD9" s="3">
        <v>0</v>
      </c>
      <c r="AE9" s="2">
        <v>0</v>
      </c>
      <c r="AF9" s="2">
        <v>108</v>
      </c>
      <c r="AK9">
        <v>6250010</v>
      </c>
    </row>
    <row r="10" spans="1:38" x14ac:dyDescent="0.25">
      <c r="A10" s="1">
        <v>46064</v>
      </c>
      <c r="B10" s="1">
        <v>46064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86</v>
      </c>
      <c r="J10" t="s">
        <v>87</v>
      </c>
      <c r="M10" t="s">
        <v>88</v>
      </c>
      <c r="O10" t="s">
        <v>89</v>
      </c>
      <c r="P10" t="s">
        <v>90</v>
      </c>
      <c r="Q10" t="s">
        <v>49</v>
      </c>
      <c r="R10" t="s">
        <v>63</v>
      </c>
      <c r="S10" s="1">
        <v>46054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6250178</v>
      </c>
    </row>
    <row r="11" spans="1:38" x14ac:dyDescent="0.25">
      <c r="A11" s="1">
        <v>46064</v>
      </c>
      <c r="B11" s="1">
        <v>46064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91</v>
      </c>
      <c r="J11" t="s">
        <v>92</v>
      </c>
      <c r="M11" t="s">
        <v>93</v>
      </c>
      <c r="O11" t="s">
        <v>94</v>
      </c>
      <c r="P11" t="s">
        <v>95</v>
      </c>
      <c r="Q11" t="s">
        <v>49</v>
      </c>
      <c r="R11" t="s">
        <v>63</v>
      </c>
      <c r="S11" s="1">
        <v>46054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6250179</v>
      </c>
    </row>
    <row r="12" spans="1:38" x14ac:dyDescent="0.25">
      <c r="A12" s="1">
        <v>46064</v>
      </c>
      <c r="B12" s="1">
        <v>46064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96</v>
      </c>
      <c r="J12" t="s">
        <v>97</v>
      </c>
      <c r="M12" t="s">
        <v>60</v>
      </c>
      <c r="O12" t="s">
        <v>61</v>
      </c>
      <c r="P12" t="s">
        <v>62</v>
      </c>
      <c r="Q12" t="s">
        <v>49</v>
      </c>
      <c r="R12" t="s">
        <v>63</v>
      </c>
      <c r="S12" s="1">
        <v>46054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6250180</v>
      </c>
    </row>
    <row r="13" spans="1:38" x14ac:dyDescent="0.25">
      <c r="A13" s="1">
        <v>46064</v>
      </c>
      <c r="B13" s="1">
        <v>46064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98</v>
      </c>
      <c r="J13" t="s">
        <v>99</v>
      </c>
      <c r="M13" t="s">
        <v>60</v>
      </c>
      <c r="O13" t="s">
        <v>100</v>
      </c>
      <c r="P13" t="s">
        <v>101</v>
      </c>
      <c r="Q13" t="s">
        <v>49</v>
      </c>
      <c r="R13" t="s">
        <v>50</v>
      </c>
      <c r="S13" s="1">
        <v>46054</v>
      </c>
      <c r="U13" t="s">
        <v>51</v>
      </c>
      <c r="X13" t="s">
        <v>52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6250011</v>
      </c>
    </row>
    <row r="14" spans="1:38" x14ac:dyDescent="0.25">
      <c r="A14" s="1">
        <v>46064</v>
      </c>
      <c r="B14" s="1">
        <v>46064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102</v>
      </c>
      <c r="J14" t="s">
        <v>103</v>
      </c>
      <c r="M14" t="s">
        <v>55</v>
      </c>
      <c r="O14" t="s">
        <v>104</v>
      </c>
      <c r="P14" t="s">
        <v>105</v>
      </c>
      <c r="Q14" t="s">
        <v>106</v>
      </c>
      <c r="R14" t="s">
        <v>63</v>
      </c>
      <c r="S14" s="1">
        <v>46023</v>
      </c>
      <c r="U14" t="s">
        <v>51</v>
      </c>
      <c r="X14" t="s">
        <v>52</v>
      </c>
      <c r="Y14" s="2">
        <v>0</v>
      </c>
      <c r="Z14" s="2">
        <v>161</v>
      </c>
      <c r="AA14">
        <v>1</v>
      </c>
      <c r="AB14" s="3">
        <v>1</v>
      </c>
      <c r="AC14" s="2">
        <v>161</v>
      </c>
      <c r="AD14" s="3">
        <v>0</v>
      </c>
      <c r="AE14" s="2">
        <v>0</v>
      </c>
      <c r="AF14" s="2">
        <v>161</v>
      </c>
      <c r="AK14">
        <v>0</v>
      </c>
      <c r="AL14" t="s">
        <v>107</v>
      </c>
    </row>
    <row r="15" spans="1:38" x14ac:dyDescent="0.25">
      <c r="A15" s="1">
        <v>46064</v>
      </c>
      <c r="B15" s="1">
        <v>46064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108</v>
      </c>
      <c r="J15" t="s">
        <v>109</v>
      </c>
      <c r="M15" t="s">
        <v>60</v>
      </c>
      <c r="O15" t="s">
        <v>110</v>
      </c>
      <c r="P15" t="s">
        <v>111</v>
      </c>
      <c r="Q15" t="s">
        <v>49</v>
      </c>
      <c r="R15" t="s">
        <v>50</v>
      </c>
      <c r="S15" s="1">
        <v>46054</v>
      </c>
      <c r="U15" t="s">
        <v>51</v>
      </c>
      <c r="X15" t="s">
        <v>52</v>
      </c>
      <c r="Y15" s="2">
        <v>0</v>
      </c>
      <c r="Z15" s="2">
        <v>108</v>
      </c>
      <c r="AA15">
        <v>1</v>
      </c>
      <c r="AB15" s="3">
        <v>1</v>
      </c>
      <c r="AC15" s="2">
        <v>108</v>
      </c>
      <c r="AD15" s="3">
        <v>0</v>
      </c>
      <c r="AE15" s="2">
        <v>0</v>
      </c>
      <c r="AF15" s="2">
        <v>108</v>
      </c>
      <c r="AK15">
        <v>6250012</v>
      </c>
    </row>
    <row r="16" spans="1:38" x14ac:dyDescent="0.25">
      <c r="A16" s="1">
        <v>46064</v>
      </c>
      <c r="B16" s="1">
        <v>46064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112</v>
      </c>
      <c r="J16" t="s">
        <v>113</v>
      </c>
      <c r="M16" t="s">
        <v>55</v>
      </c>
      <c r="O16" t="s">
        <v>114</v>
      </c>
      <c r="P16" t="s">
        <v>115</v>
      </c>
      <c r="Q16" t="s">
        <v>49</v>
      </c>
      <c r="R16" t="s">
        <v>50</v>
      </c>
      <c r="S16" s="1">
        <v>46054</v>
      </c>
      <c r="U16" t="s">
        <v>51</v>
      </c>
      <c r="X16" t="s">
        <v>52</v>
      </c>
      <c r="Y16" s="2">
        <v>0</v>
      </c>
      <c r="Z16" s="2">
        <v>108</v>
      </c>
      <c r="AA16">
        <v>1</v>
      </c>
      <c r="AB16" s="3">
        <v>1</v>
      </c>
      <c r="AC16" s="2">
        <v>108</v>
      </c>
      <c r="AD16" s="3">
        <v>0</v>
      </c>
      <c r="AE16" s="2">
        <v>0</v>
      </c>
      <c r="AF16" s="2">
        <v>108</v>
      </c>
      <c r="AK16">
        <v>6250013</v>
      </c>
    </row>
    <row r="17" spans="1:38" x14ac:dyDescent="0.25">
      <c r="A17" s="1">
        <v>46064</v>
      </c>
      <c r="B17" s="1">
        <v>46064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116</v>
      </c>
      <c r="J17" t="s">
        <v>117</v>
      </c>
      <c r="M17" t="s">
        <v>118</v>
      </c>
      <c r="O17" t="s">
        <v>119</v>
      </c>
      <c r="P17" t="s">
        <v>120</v>
      </c>
      <c r="Q17" t="s">
        <v>49</v>
      </c>
      <c r="R17" t="s">
        <v>50</v>
      </c>
      <c r="S17" s="1">
        <v>46054</v>
      </c>
      <c r="U17" t="s">
        <v>51</v>
      </c>
      <c r="X17" t="s">
        <v>52</v>
      </c>
      <c r="Y17" s="2">
        <v>0</v>
      </c>
      <c r="Z17" s="2">
        <v>108</v>
      </c>
      <c r="AA17">
        <v>1</v>
      </c>
      <c r="AB17" s="3">
        <v>1</v>
      </c>
      <c r="AC17" s="2">
        <v>108</v>
      </c>
      <c r="AD17" s="3">
        <v>0</v>
      </c>
      <c r="AE17" s="2">
        <v>0</v>
      </c>
      <c r="AF17" s="2">
        <v>108</v>
      </c>
      <c r="AK17">
        <v>6250014</v>
      </c>
    </row>
    <row r="18" spans="1:38" x14ac:dyDescent="0.25">
      <c r="A18" s="1">
        <v>46064</v>
      </c>
      <c r="B18" s="1">
        <v>46064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121</v>
      </c>
      <c r="J18" t="s">
        <v>122</v>
      </c>
      <c r="M18" t="s">
        <v>60</v>
      </c>
      <c r="O18" t="s">
        <v>123</v>
      </c>
      <c r="P18" t="s">
        <v>124</v>
      </c>
      <c r="Q18" t="s">
        <v>106</v>
      </c>
      <c r="R18" t="s">
        <v>63</v>
      </c>
      <c r="S18" s="1">
        <v>46023</v>
      </c>
      <c r="U18" t="s">
        <v>51</v>
      </c>
      <c r="X18" t="s">
        <v>52</v>
      </c>
      <c r="Y18" s="2">
        <v>0</v>
      </c>
      <c r="Z18" s="2">
        <v>161</v>
      </c>
      <c r="AA18">
        <v>1</v>
      </c>
      <c r="AB18" s="3">
        <v>1</v>
      </c>
      <c r="AC18" s="2">
        <v>161</v>
      </c>
      <c r="AD18" s="3">
        <v>0</v>
      </c>
      <c r="AE18" s="2">
        <v>0</v>
      </c>
      <c r="AF18" s="2">
        <v>161</v>
      </c>
      <c r="AK18">
        <v>0</v>
      </c>
      <c r="AL18" t="s">
        <v>107</v>
      </c>
    </row>
    <row r="19" spans="1:38" x14ac:dyDescent="0.25">
      <c r="A19" s="1">
        <v>46064</v>
      </c>
      <c r="B19" s="1">
        <v>46064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125</v>
      </c>
      <c r="J19" t="s">
        <v>126</v>
      </c>
      <c r="M19" t="s">
        <v>127</v>
      </c>
      <c r="O19" t="s">
        <v>128</v>
      </c>
      <c r="P19" t="s">
        <v>129</v>
      </c>
      <c r="Q19" t="s">
        <v>49</v>
      </c>
      <c r="R19" t="s">
        <v>63</v>
      </c>
      <c r="S19" s="1">
        <v>46054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6250181</v>
      </c>
    </row>
    <row r="20" spans="1:38" x14ac:dyDescent="0.25">
      <c r="A20" s="1">
        <v>46064</v>
      </c>
      <c r="B20" s="1">
        <v>46064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130</v>
      </c>
      <c r="J20" t="s">
        <v>131</v>
      </c>
      <c r="M20" t="s">
        <v>60</v>
      </c>
      <c r="O20" t="s">
        <v>61</v>
      </c>
      <c r="P20" t="s">
        <v>62</v>
      </c>
      <c r="Q20" t="s">
        <v>49</v>
      </c>
      <c r="R20" t="s">
        <v>63</v>
      </c>
      <c r="S20" s="1">
        <v>46082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6250182</v>
      </c>
    </row>
    <row r="21" spans="1:38" x14ac:dyDescent="0.25">
      <c r="A21" s="1">
        <v>46064</v>
      </c>
      <c r="B21" s="1">
        <v>46064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132</v>
      </c>
      <c r="J21" t="s">
        <v>133</v>
      </c>
      <c r="M21" t="s">
        <v>71</v>
      </c>
      <c r="O21" t="s">
        <v>72</v>
      </c>
      <c r="P21" t="s">
        <v>73</v>
      </c>
      <c r="Q21" t="s">
        <v>49</v>
      </c>
      <c r="R21" t="s">
        <v>63</v>
      </c>
      <c r="S21" s="1">
        <v>46113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6250154</v>
      </c>
    </row>
    <row r="22" spans="1:38" x14ac:dyDescent="0.25">
      <c r="A22" s="1">
        <v>46064</v>
      </c>
      <c r="B22" s="1">
        <v>46064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134</v>
      </c>
      <c r="J22" t="s">
        <v>135</v>
      </c>
      <c r="M22" t="s">
        <v>127</v>
      </c>
      <c r="O22" t="s">
        <v>136</v>
      </c>
      <c r="P22" t="s">
        <v>137</v>
      </c>
      <c r="Q22" t="s">
        <v>49</v>
      </c>
      <c r="R22" t="s">
        <v>63</v>
      </c>
      <c r="S22" s="1">
        <v>46054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6250183</v>
      </c>
    </row>
    <row r="23" spans="1:38" x14ac:dyDescent="0.25">
      <c r="A23" s="1">
        <v>46064</v>
      </c>
      <c r="B23" s="1">
        <v>46064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138</v>
      </c>
      <c r="J23" t="s">
        <v>139</v>
      </c>
      <c r="M23" t="s">
        <v>60</v>
      </c>
      <c r="O23" t="s">
        <v>61</v>
      </c>
      <c r="P23" t="s">
        <v>62</v>
      </c>
      <c r="Q23" t="s">
        <v>49</v>
      </c>
      <c r="R23" t="s">
        <v>63</v>
      </c>
      <c r="S23" s="1">
        <v>46054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6250184</v>
      </c>
    </row>
    <row r="24" spans="1:38" x14ac:dyDescent="0.25">
      <c r="A24" s="1">
        <v>46064</v>
      </c>
      <c r="B24" s="1">
        <v>46064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140</v>
      </c>
      <c r="J24" t="s">
        <v>141</v>
      </c>
      <c r="M24" t="s">
        <v>142</v>
      </c>
      <c r="O24" t="s">
        <v>143</v>
      </c>
      <c r="P24" t="s">
        <v>144</v>
      </c>
      <c r="Q24" t="s">
        <v>49</v>
      </c>
      <c r="R24" t="s">
        <v>63</v>
      </c>
      <c r="S24" s="1">
        <v>46054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6250185</v>
      </c>
    </row>
    <row r="25" spans="1:38" x14ac:dyDescent="0.25">
      <c r="A25" s="1">
        <v>46064</v>
      </c>
      <c r="B25" s="1">
        <v>46064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145</v>
      </c>
      <c r="J25" t="s">
        <v>146</v>
      </c>
      <c r="M25" t="s">
        <v>147</v>
      </c>
      <c r="O25" t="s">
        <v>119</v>
      </c>
      <c r="P25" t="s">
        <v>120</v>
      </c>
      <c r="Q25" t="s">
        <v>49</v>
      </c>
      <c r="R25" t="s">
        <v>63</v>
      </c>
      <c r="S25" s="1">
        <v>46054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6250186</v>
      </c>
    </row>
    <row r="26" spans="1:38" x14ac:dyDescent="0.25">
      <c r="A26" s="1">
        <v>46064</v>
      </c>
      <c r="B26" s="1">
        <v>46064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148</v>
      </c>
      <c r="J26" t="s">
        <v>149</v>
      </c>
      <c r="M26" t="s">
        <v>46</v>
      </c>
      <c r="O26" t="s">
        <v>76</v>
      </c>
      <c r="P26" t="s">
        <v>77</v>
      </c>
      <c r="Q26" t="s">
        <v>49</v>
      </c>
      <c r="R26" t="s">
        <v>63</v>
      </c>
      <c r="S26" s="1">
        <v>46054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6250187</v>
      </c>
    </row>
    <row r="27" spans="1:38" x14ac:dyDescent="0.25">
      <c r="A27" s="1">
        <v>46064</v>
      </c>
      <c r="B27" s="1">
        <v>46064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150</v>
      </c>
      <c r="J27" t="s">
        <v>151</v>
      </c>
      <c r="M27" t="s">
        <v>60</v>
      </c>
      <c r="O27" t="s">
        <v>100</v>
      </c>
      <c r="P27" t="s">
        <v>101</v>
      </c>
      <c r="Q27" t="s">
        <v>49</v>
      </c>
      <c r="R27" t="s">
        <v>63</v>
      </c>
      <c r="S27" s="1">
        <v>46054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6250188</v>
      </c>
    </row>
    <row r="28" spans="1:38" x14ac:dyDescent="0.25">
      <c r="A28" s="1">
        <v>46064</v>
      </c>
      <c r="B28" s="1">
        <v>46064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152</v>
      </c>
      <c r="J28" t="s">
        <v>153</v>
      </c>
      <c r="M28" t="s">
        <v>154</v>
      </c>
      <c r="O28" t="s">
        <v>155</v>
      </c>
      <c r="P28" t="s">
        <v>156</v>
      </c>
      <c r="Q28" t="s">
        <v>49</v>
      </c>
      <c r="R28" t="s">
        <v>63</v>
      </c>
      <c r="S28" s="1">
        <v>46054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6250189</v>
      </c>
    </row>
    <row r="29" spans="1:38" x14ac:dyDescent="0.25">
      <c r="A29" s="1">
        <v>46064</v>
      </c>
      <c r="B29" s="1">
        <v>46064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157</v>
      </c>
      <c r="J29" t="s">
        <v>158</v>
      </c>
      <c r="M29" t="s">
        <v>55</v>
      </c>
      <c r="O29" t="s">
        <v>159</v>
      </c>
      <c r="P29" t="s">
        <v>160</v>
      </c>
      <c r="Q29" t="s">
        <v>49</v>
      </c>
      <c r="R29" t="s">
        <v>63</v>
      </c>
      <c r="S29" s="1">
        <v>46082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6250155</v>
      </c>
    </row>
    <row r="30" spans="1:38" x14ac:dyDescent="0.25">
      <c r="A30" s="1">
        <v>46064</v>
      </c>
      <c r="B30" s="1">
        <v>46064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161</v>
      </c>
      <c r="J30" t="s">
        <v>162</v>
      </c>
      <c r="M30" t="s">
        <v>60</v>
      </c>
      <c r="O30" t="s">
        <v>163</v>
      </c>
      <c r="P30" t="s">
        <v>164</v>
      </c>
      <c r="Q30" t="s">
        <v>49</v>
      </c>
      <c r="R30" t="s">
        <v>63</v>
      </c>
      <c r="S30" s="1">
        <v>46054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6249945</v>
      </c>
    </row>
    <row r="31" spans="1:38" x14ac:dyDescent="0.25">
      <c r="A31" s="1">
        <v>46064</v>
      </c>
      <c r="B31" s="1">
        <v>46064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165</v>
      </c>
      <c r="J31" t="s">
        <v>166</v>
      </c>
      <c r="M31" t="s">
        <v>60</v>
      </c>
      <c r="O31" t="s">
        <v>80</v>
      </c>
      <c r="P31" t="s">
        <v>81</v>
      </c>
      <c r="Q31" t="s">
        <v>49</v>
      </c>
      <c r="R31" t="s">
        <v>63</v>
      </c>
      <c r="S31" s="1">
        <v>46054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6250156</v>
      </c>
    </row>
    <row r="32" spans="1:38" x14ac:dyDescent="0.25">
      <c r="A32" s="1">
        <v>46064</v>
      </c>
      <c r="B32" s="1">
        <v>46064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167</v>
      </c>
      <c r="J32" t="s">
        <v>168</v>
      </c>
      <c r="M32" t="s">
        <v>60</v>
      </c>
      <c r="O32" t="s">
        <v>169</v>
      </c>
      <c r="P32" t="s">
        <v>170</v>
      </c>
      <c r="Q32" t="s">
        <v>49</v>
      </c>
      <c r="R32" t="s">
        <v>63</v>
      </c>
      <c r="S32" s="1">
        <v>46054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6250157</v>
      </c>
    </row>
    <row r="33" spans="1:37" x14ac:dyDescent="0.25">
      <c r="A33" s="1">
        <v>46064</v>
      </c>
      <c r="B33" s="1">
        <v>46064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171</v>
      </c>
      <c r="J33" t="s">
        <v>172</v>
      </c>
      <c r="M33" t="s">
        <v>173</v>
      </c>
      <c r="O33" t="s">
        <v>174</v>
      </c>
      <c r="P33" t="s">
        <v>175</v>
      </c>
      <c r="Q33" t="s">
        <v>49</v>
      </c>
      <c r="R33" t="s">
        <v>63</v>
      </c>
      <c r="S33" s="1">
        <v>46054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6250190</v>
      </c>
    </row>
    <row r="34" spans="1:37" x14ac:dyDescent="0.25">
      <c r="A34" s="1">
        <v>46064</v>
      </c>
      <c r="B34" s="1">
        <v>46064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176</v>
      </c>
      <c r="J34" t="s">
        <v>177</v>
      </c>
      <c r="M34" t="s">
        <v>60</v>
      </c>
      <c r="O34" t="s">
        <v>47</v>
      </c>
      <c r="P34" t="s">
        <v>48</v>
      </c>
      <c r="Q34" t="s">
        <v>49</v>
      </c>
      <c r="R34" t="s">
        <v>50</v>
      </c>
      <c r="S34" s="1">
        <v>45689</v>
      </c>
      <c r="U34" t="s">
        <v>51</v>
      </c>
      <c r="X34" t="s">
        <v>52</v>
      </c>
      <c r="Y34" s="2">
        <v>0</v>
      </c>
      <c r="Z34" s="2">
        <v>108</v>
      </c>
      <c r="AA34">
        <v>1</v>
      </c>
      <c r="AB34" s="3">
        <v>1</v>
      </c>
      <c r="AC34" s="2">
        <v>108</v>
      </c>
      <c r="AD34" s="3">
        <v>0</v>
      </c>
      <c r="AE34" s="2">
        <v>0</v>
      </c>
      <c r="AF34" s="2">
        <v>108</v>
      </c>
      <c r="AK34">
        <v>6250015</v>
      </c>
    </row>
    <row r="35" spans="1:37" x14ac:dyDescent="0.25">
      <c r="A35" s="1">
        <v>46064</v>
      </c>
      <c r="B35" s="1">
        <v>46064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178</v>
      </c>
      <c r="J35" t="s">
        <v>179</v>
      </c>
      <c r="M35" t="s">
        <v>55</v>
      </c>
      <c r="O35" t="s">
        <v>180</v>
      </c>
      <c r="P35" t="s">
        <v>181</v>
      </c>
      <c r="Q35" t="s">
        <v>49</v>
      </c>
      <c r="R35" t="s">
        <v>63</v>
      </c>
      <c r="S35" s="1">
        <v>46054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6250191</v>
      </c>
    </row>
    <row r="36" spans="1:37" x14ac:dyDescent="0.25">
      <c r="A36" s="1">
        <v>46064</v>
      </c>
      <c r="B36" s="1">
        <v>46064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182</v>
      </c>
      <c r="J36" t="s">
        <v>183</v>
      </c>
      <c r="M36" t="s">
        <v>142</v>
      </c>
      <c r="O36" t="s">
        <v>143</v>
      </c>
      <c r="P36" t="s">
        <v>144</v>
      </c>
      <c r="Q36" t="s">
        <v>49</v>
      </c>
      <c r="R36" t="s">
        <v>63</v>
      </c>
      <c r="S36" s="1">
        <v>46054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6250192</v>
      </c>
    </row>
    <row r="37" spans="1:37" x14ac:dyDescent="0.25">
      <c r="A37" s="1">
        <v>46064</v>
      </c>
      <c r="B37" s="1">
        <v>46064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184</v>
      </c>
      <c r="J37" t="s">
        <v>185</v>
      </c>
      <c r="M37" t="s">
        <v>154</v>
      </c>
      <c r="O37" t="s">
        <v>47</v>
      </c>
      <c r="P37" t="s">
        <v>48</v>
      </c>
      <c r="Q37" t="s">
        <v>49</v>
      </c>
      <c r="R37" t="s">
        <v>63</v>
      </c>
      <c r="S37" s="1">
        <v>46054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6250193</v>
      </c>
    </row>
    <row r="38" spans="1:37" x14ac:dyDescent="0.25">
      <c r="A38" s="1">
        <v>46064</v>
      </c>
      <c r="B38" s="1">
        <v>46064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186</v>
      </c>
      <c r="J38" t="s">
        <v>187</v>
      </c>
      <c r="M38" t="s">
        <v>60</v>
      </c>
      <c r="O38" t="s">
        <v>188</v>
      </c>
      <c r="P38" t="s">
        <v>189</v>
      </c>
      <c r="Q38" t="s">
        <v>49</v>
      </c>
      <c r="R38" t="s">
        <v>63</v>
      </c>
      <c r="S38" s="1">
        <v>46054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6250159</v>
      </c>
    </row>
    <row r="39" spans="1:37" x14ac:dyDescent="0.25">
      <c r="A39" s="1">
        <v>46064</v>
      </c>
      <c r="B39" s="1">
        <v>46064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190</v>
      </c>
      <c r="J39" t="s">
        <v>191</v>
      </c>
      <c r="M39" t="s">
        <v>60</v>
      </c>
      <c r="O39" t="s">
        <v>169</v>
      </c>
      <c r="P39" t="s">
        <v>170</v>
      </c>
      <c r="Q39" t="s">
        <v>49</v>
      </c>
      <c r="R39" t="s">
        <v>63</v>
      </c>
      <c r="S39" s="1">
        <v>46082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6250161</v>
      </c>
    </row>
    <row r="40" spans="1:37" x14ac:dyDescent="0.25">
      <c r="A40" s="1">
        <v>46064</v>
      </c>
      <c r="B40" s="1">
        <v>46064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192</v>
      </c>
      <c r="J40" t="s">
        <v>193</v>
      </c>
      <c r="M40" t="s">
        <v>60</v>
      </c>
      <c r="O40" t="s">
        <v>194</v>
      </c>
      <c r="P40" t="s">
        <v>195</v>
      </c>
      <c r="Q40" t="s">
        <v>49</v>
      </c>
      <c r="R40" t="s">
        <v>63</v>
      </c>
      <c r="S40" s="1">
        <v>46054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6250194</v>
      </c>
    </row>
    <row r="41" spans="1:37" x14ac:dyDescent="0.25">
      <c r="A41" s="1">
        <v>46064</v>
      </c>
      <c r="B41" s="1">
        <v>46064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196</v>
      </c>
      <c r="J41" t="s">
        <v>197</v>
      </c>
      <c r="M41" t="s">
        <v>71</v>
      </c>
      <c r="O41" t="s">
        <v>198</v>
      </c>
      <c r="P41" t="s">
        <v>199</v>
      </c>
      <c r="Q41" t="s">
        <v>49</v>
      </c>
      <c r="R41" t="s">
        <v>63</v>
      </c>
      <c r="S41" s="1">
        <v>46054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6250195</v>
      </c>
    </row>
    <row r="42" spans="1:37" x14ac:dyDescent="0.25">
      <c r="A42" s="1">
        <v>46064</v>
      </c>
      <c r="B42" s="1">
        <v>46064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200</v>
      </c>
      <c r="J42" t="s">
        <v>201</v>
      </c>
      <c r="M42" t="s">
        <v>60</v>
      </c>
      <c r="O42" t="s">
        <v>202</v>
      </c>
      <c r="P42" t="s">
        <v>203</v>
      </c>
      <c r="Q42" t="s">
        <v>49</v>
      </c>
      <c r="R42" t="s">
        <v>63</v>
      </c>
      <c r="S42" s="1">
        <v>46054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6250196</v>
      </c>
    </row>
    <row r="43" spans="1:37" x14ac:dyDescent="0.25">
      <c r="A43" s="1">
        <v>46064</v>
      </c>
      <c r="B43" s="1">
        <v>46064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204</v>
      </c>
      <c r="J43" t="s">
        <v>205</v>
      </c>
      <c r="M43" t="s">
        <v>46</v>
      </c>
      <c r="O43" t="s">
        <v>76</v>
      </c>
      <c r="P43" t="s">
        <v>77</v>
      </c>
      <c r="Q43" t="s">
        <v>49</v>
      </c>
      <c r="R43" t="s">
        <v>63</v>
      </c>
      <c r="S43" s="1">
        <v>46054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6250197</v>
      </c>
    </row>
    <row r="44" spans="1:37" x14ac:dyDescent="0.25">
      <c r="A44" s="1">
        <v>46064</v>
      </c>
      <c r="B44" s="1">
        <v>46064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206</v>
      </c>
      <c r="J44" t="s">
        <v>207</v>
      </c>
      <c r="M44" t="s">
        <v>60</v>
      </c>
      <c r="O44" t="s">
        <v>208</v>
      </c>
      <c r="P44" t="s">
        <v>209</v>
      </c>
      <c r="Q44" t="s">
        <v>49</v>
      </c>
      <c r="R44" t="s">
        <v>63</v>
      </c>
      <c r="S44" s="1">
        <v>46113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6250198</v>
      </c>
    </row>
    <row r="45" spans="1:37" x14ac:dyDescent="0.25">
      <c r="A45" s="1">
        <v>46064</v>
      </c>
      <c r="B45" s="1">
        <v>46064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210</v>
      </c>
      <c r="J45" t="s">
        <v>211</v>
      </c>
      <c r="M45" t="s">
        <v>60</v>
      </c>
      <c r="O45" t="s">
        <v>76</v>
      </c>
      <c r="P45" t="s">
        <v>77</v>
      </c>
      <c r="Q45" t="s">
        <v>49</v>
      </c>
      <c r="R45" t="s">
        <v>63</v>
      </c>
      <c r="S45" s="1">
        <v>46054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6250199</v>
      </c>
    </row>
    <row r="46" spans="1:37" x14ac:dyDescent="0.25">
      <c r="A46" s="1">
        <v>46064</v>
      </c>
      <c r="B46" s="1">
        <v>46064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212</v>
      </c>
      <c r="J46" t="s">
        <v>213</v>
      </c>
      <c r="M46" t="s">
        <v>214</v>
      </c>
      <c r="O46" t="s">
        <v>215</v>
      </c>
      <c r="P46" t="s">
        <v>216</v>
      </c>
      <c r="Q46" t="s">
        <v>49</v>
      </c>
      <c r="R46" t="s">
        <v>63</v>
      </c>
      <c r="S46" s="1">
        <v>46054</v>
      </c>
      <c r="U46" t="s">
        <v>51</v>
      </c>
      <c r="X46" t="s">
        <v>52</v>
      </c>
      <c r="Y46" s="2">
        <v>0</v>
      </c>
      <c r="Z46" s="2">
        <v>50</v>
      </c>
      <c r="AA46">
        <v>1</v>
      </c>
      <c r="AB46" s="3">
        <v>1</v>
      </c>
      <c r="AC46" s="2">
        <v>50</v>
      </c>
      <c r="AD46" s="3">
        <v>0</v>
      </c>
      <c r="AE46" s="2">
        <v>0</v>
      </c>
      <c r="AF46" s="2">
        <v>50</v>
      </c>
      <c r="AK46">
        <v>6250162</v>
      </c>
    </row>
    <row r="47" spans="1:37" x14ac:dyDescent="0.25">
      <c r="A47" s="1">
        <v>46064</v>
      </c>
      <c r="B47" s="1">
        <v>46064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217</v>
      </c>
      <c r="J47" t="s">
        <v>218</v>
      </c>
      <c r="M47" t="s">
        <v>142</v>
      </c>
      <c r="O47" t="s">
        <v>143</v>
      </c>
      <c r="P47" t="s">
        <v>144</v>
      </c>
      <c r="Q47" t="s">
        <v>49</v>
      </c>
      <c r="R47" t="s">
        <v>63</v>
      </c>
      <c r="S47" s="1">
        <v>46054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6250200</v>
      </c>
    </row>
    <row r="48" spans="1:37" x14ac:dyDescent="0.25">
      <c r="A48" s="1">
        <v>46064</v>
      </c>
      <c r="B48" s="1">
        <v>46064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219</v>
      </c>
      <c r="J48" t="s">
        <v>220</v>
      </c>
      <c r="M48" t="s">
        <v>60</v>
      </c>
      <c r="O48" t="s">
        <v>67</v>
      </c>
      <c r="P48" t="s">
        <v>68</v>
      </c>
      <c r="Q48" t="s">
        <v>49</v>
      </c>
      <c r="R48" t="s">
        <v>63</v>
      </c>
      <c r="S48" s="1">
        <v>46054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6250201</v>
      </c>
    </row>
    <row r="49" spans="1:37" x14ac:dyDescent="0.25">
      <c r="A49" s="1">
        <v>46064</v>
      </c>
      <c r="B49" s="1">
        <v>46064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221</v>
      </c>
      <c r="J49" t="s">
        <v>222</v>
      </c>
      <c r="M49" t="s">
        <v>60</v>
      </c>
      <c r="O49" t="s">
        <v>180</v>
      </c>
      <c r="P49" t="s">
        <v>181</v>
      </c>
      <c r="Q49" t="s">
        <v>49</v>
      </c>
      <c r="R49" t="s">
        <v>63</v>
      </c>
      <c r="S49" s="1">
        <v>46082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6250202</v>
      </c>
    </row>
    <row r="50" spans="1:37" x14ac:dyDescent="0.25">
      <c r="A50" s="1">
        <v>46064</v>
      </c>
      <c r="B50" s="1">
        <v>46064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223</v>
      </c>
      <c r="J50" t="s">
        <v>224</v>
      </c>
      <c r="M50" t="s">
        <v>60</v>
      </c>
      <c r="O50" t="s">
        <v>225</v>
      </c>
      <c r="P50" t="s">
        <v>226</v>
      </c>
      <c r="Q50" t="s">
        <v>49</v>
      </c>
      <c r="R50" t="s">
        <v>63</v>
      </c>
      <c r="S50" s="1">
        <v>46054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6250203</v>
      </c>
    </row>
    <row r="51" spans="1:37" x14ac:dyDescent="0.25">
      <c r="A51" s="1">
        <v>46064</v>
      </c>
      <c r="B51" s="1">
        <v>46064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227</v>
      </c>
      <c r="J51" t="s">
        <v>228</v>
      </c>
      <c r="M51" t="s">
        <v>60</v>
      </c>
      <c r="O51" t="s">
        <v>225</v>
      </c>
      <c r="P51" t="s">
        <v>226</v>
      </c>
      <c r="Q51" t="s">
        <v>49</v>
      </c>
      <c r="R51" t="s">
        <v>63</v>
      </c>
      <c r="S51" s="1">
        <v>46054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6250204</v>
      </c>
    </row>
    <row r="52" spans="1:37" x14ac:dyDescent="0.25">
      <c r="A52" s="1">
        <v>46064</v>
      </c>
      <c r="B52" s="1">
        <v>46064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229</v>
      </c>
      <c r="J52" t="s">
        <v>230</v>
      </c>
      <c r="M52" t="s">
        <v>55</v>
      </c>
      <c r="O52" t="s">
        <v>89</v>
      </c>
      <c r="P52" t="s">
        <v>90</v>
      </c>
      <c r="Q52" t="s">
        <v>49</v>
      </c>
      <c r="R52" t="s">
        <v>63</v>
      </c>
      <c r="S52" s="1">
        <v>46082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6250205</v>
      </c>
    </row>
    <row r="53" spans="1:37" x14ac:dyDescent="0.25">
      <c r="A53" s="1">
        <v>46064</v>
      </c>
      <c r="B53" s="1">
        <v>46064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231</v>
      </c>
      <c r="J53" t="s">
        <v>232</v>
      </c>
      <c r="M53" t="s">
        <v>60</v>
      </c>
      <c r="O53" t="s">
        <v>208</v>
      </c>
      <c r="P53" t="s">
        <v>209</v>
      </c>
      <c r="Q53" t="s">
        <v>49</v>
      </c>
      <c r="R53" t="s">
        <v>63</v>
      </c>
      <c r="S53" s="1">
        <v>46113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6250206</v>
      </c>
    </row>
    <row r="54" spans="1:37" x14ac:dyDescent="0.25">
      <c r="A54" s="1">
        <v>46064</v>
      </c>
      <c r="B54" s="1">
        <v>46064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233</v>
      </c>
      <c r="J54" t="s">
        <v>234</v>
      </c>
      <c r="M54" t="s">
        <v>60</v>
      </c>
      <c r="O54" t="s">
        <v>208</v>
      </c>
      <c r="P54" t="s">
        <v>209</v>
      </c>
      <c r="Q54" t="s">
        <v>49</v>
      </c>
      <c r="R54" t="s">
        <v>63</v>
      </c>
      <c r="S54" s="1">
        <v>46054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6250207</v>
      </c>
    </row>
    <row r="55" spans="1:37" x14ac:dyDescent="0.25">
      <c r="A55" s="1">
        <v>46064</v>
      </c>
      <c r="B55" s="1">
        <v>46064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235</v>
      </c>
      <c r="J55" t="s">
        <v>236</v>
      </c>
      <c r="M55" t="s">
        <v>60</v>
      </c>
      <c r="O55" t="s">
        <v>208</v>
      </c>
      <c r="P55" t="s">
        <v>209</v>
      </c>
      <c r="Q55" t="s">
        <v>49</v>
      </c>
      <c r="R55" t="s">
        <v>63</v>
      </c>
      <c r="S55" s="1">
        <v>46054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6250208</v>
      </c>
    </row>
    <row r="56" spans="1:37" x14ac:dyDescent="0.25">
      <c r="A56" s="1">
        <v>46064</v>
      </c>
      <c r="B56" s="1">
        <v>46064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237</v>
      </c>
      <c r="J56" t="s">
        <v>238</v>
      </c>
      <c r="M56" t="s">
        <v>60</v>
      </c>
      <c r="O56" t="s">
        <v>239</v>
      </c>
      <c r="P56" t="s">
        <v>240</v>
      </c>
      <c r="Q56" t="s">
        <v>49</v>
      </c>
      <c r="R56" t="s">
        <v>63</v>
      </c>
      <c r="S56" s="1">
        <v>46082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6250209</v>
      </c>
    </row>
    <row r="57" spans="1:37" x14ac:dyDescent="0.25">
      <c r="A57" s="1">
        <v>46064</v>
      </c>
      <c r="B57" s="1">
        <v>46064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241</v>
      </c>
      <c r="J57" t="s">
        <v>242</v>
      </c>
      <c r="M57" t="s">
        <v>60</v>
      </c>
      <c r="O57" t="s">
        <v>225</v>
      </c>
      <c r="P57" t="s">
        <v>226</v>
      </c>
      <c r="Q57" t="s">
        <v>49</v>
      </c>
      <c r="R57" t="s">
        <v>63</v>
      </c>
      <c r="S57" s="1">
        <v>46054</v>
      </c>
      <c r="U57" t="s">
        <v>51</v>
      </c>
      <c r="X57" t="s">
        <v>52</v>
      </c>
      <c r="Y57" s="2">
        <v>0</v>
      </c>
      <c r="Z57" s="2">
        <v>175</v>
      </c>
      <c r="AA57">
        <v>1</v>
      </c>
      <c r="AB57" s="3">
        <v>1</v>
      </c>
      <c r="AC57" s="2">
        <v>175</v>
      </c>
      <c r="AD57" s="3">
        <v>0</v>
      </c>
      <c r="AE57" s="2">
        <v>0</v>
      </c>
      <c r="AF57" s="2">
        <v>175</v>
      </c>
      <c r="AK57">
        <v>6250210</v>
      </c>
    </row>
    <row r="58" spans="1:37" x14ac:dyDescent="0.25">
      <c r="A58" s="1">
        <v>46064</v>
      </c>
      <c r="B58" s="1">
        <v>46064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243</v>
      </c>
      <c r="J58" t="s">
        <v>244</v>
      </c>
      <c r="M58" t="s">
        <v>60</v>
      </c>
      <c r="O58" t="s">
        <v>245</v>
      </c>
      <c r="P58" t="s">
        <v>246</v>
      </c>
      <c r="Q58" t="s">
        <v>49</v>
      </c>
      <c r="R58" t="s">
        <v>63</v>
      </c>
      <c r="S58" s="1">
        <v>46054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6250211</v>
      </c>
    </row>
    <row r="59" spans="1:37" x14ac:dyDescent="0.25">
      <c r="A59" s="1">
        <v>46064</v>
      </c>
      <c r="B59" s="1">
        <v>46064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247</v>
      </c>
      <c r="J59" t="s">
        <v>248</v>
      </c>
      <c r="M59" t="s">
        <v>60</v>
      </c>
      <c r="O59" t="s">
        <v>194</v>
      </c>
      <c r="P59" t="s">
        <v>195</v>
      </c>
      <c r="Q59" t="s">
        <v>49</v>
      </c>
      <c r="R59" t="s">
        <v>63</v>
      </c>
      <c r="S59" s="1">
        <v>46023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6250212</v>
      </c>
    </row>
    <row r="60" spans="1:37" x14ac:dyDescent="0.25">
      <c r="A60" s="1">
        <v>46064</v>
      </c>
      <c r="B60" s="1">
        <v>46064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249</v>
      </c>
      <c r="J60" t="s">
        <v>250</v>
      </c>
      <c r="M60" t="s">
        <v>60</v>
      </c>
      <c r="O60" t="s">
        <v>104</v>
      </c>
      <c r="P60" t="s">
        <v>105</v>
      </c>
      <c r="Q60" t="s">
        <v>49</v>
      </c>
      <c r="R60" t="s">
        <v>63</v>
      </c>
      <c r="S60" s="1">
        <v>46113</v>
      </c>
      <c r="U60" t="s">
        <v>51</v>
      </c>
      <c r="X60" t="s">
        <v>52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6250213</v>
      </c>
    </row>
    <row r="61" spans="1:37" x14ac:dyDescent="0.25">
      <c r="A61" s="1">
        <v>46064</v>
      </c>
      <c r="B61" s="1">
        <v>46064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251</v>
      </c>
      <c r="J61" t="s">
        <v>252</v>
      </c>
      <c r="M61" t="s">
        <v>60</v>
      </c>
      <c r="O61" t="s">
        <v>208</v>
      </c>
      <c r="P61" t="s">
        <v>209</v>
      </c>
      <c r="Q61" t="s">
        <v>49</v>
      </c>
      <c r="R61" t="s">
        <v>63</v>
      </c>
      <c r="S61" s="1">
        <v>46054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6250214</v>
      </c>
    </row>
    <row r="62" spans="1:37" x14ac:dyDescent="0.25">
      <c r="A62" s="1">
        <v>46064</v>
      </c>
      <c r="B62" s="1">
        <v>46064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253</v>
      </c>
      <c r="J62" t="s">
        <v>254</v>
      </c>
      <c r="M62" t="s">
        <v>60</v>
      </c>
      <c r="O62" t="s">
        <v>255</v>
      </c>
      <c r="P62" t="s">
        <v>256</v>
      </c>
      <c r="Q62" t="s">
        <v>49</v>
      </c>
      <c r="R62" t="s">
        <v>63</v>
      </c>
      <c r="S62" s="1">
        <v>46113</v>
      </c>
      <c r="U62" t="s">
        <v>51</v>
      </c>
      <c r="X62" t="s">
        <v>52</v>
      </c>
      <c r="Y62" s="2">
        <v>0</v>
      </c>
      <c r="Z62" s="2">
        <v>175</v>
      </c>
      <c r="AA62">
        <v>1</v>
      </c>
      <c r="AB62" s="3">
        <v>1</v>
      </c>
      <c r="AC62" s="2">
        <v>175</v>
      </c>
      <c r="AD62" s="3">
        <v>0</v>
      </c>
      <c r="AE62" s="2">
        <v>0</v>
      </c>
      <c r="AF62" s="2">
        <v>175</v>
      </c>
      <c r="AK62">
        <v>6250215</v>
      </c>
    </row>
    <row r="63" spans="1:37" x14ac:dyDescent="0.25">
      <c r="A63" s="1">
        <v>46064</v>
      </c>
      <c r="B63" s="1">
        <v>46064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257</v>
      </c>
      <c r="J63" t="s">
        <v>258</v>
      </c>
      <c r="M63" t="s">
        <v>60</v>
      </c>
      <c r="O63" t="s">
        <v>239</v>
      </c>
      <c r="P63" t="s">
        <v>240</v>
      </c>
      <c r="Q63" t="s">
        <v>49</v>
      </c>
      <c r="R63" t="s">
        <v>63</v>
      </c>
      <c r="S63" s="1">
        <v>46113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6250216</v>
      </c>
    </row>
    <row r="64" spans="1:37" x14ac:dyDescent="0.25">
      <c r="A64" s="1">
        <v>46064</v>
      </c>
      <c r="B64" s="1">
        <v>46064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259</v>
      </c>
      <c r="J64" t="s">
        <v>260</v>
      </c>
      <c r="M64" t="s">
        <v>214</v>
      </c>
      <c r="O64" t="s">
        <v>261</v>
      </c>
      <c r="P64" t="s">
        <v>262</v>
      </c>
      <c r="Q64" t="s">
        <v>49</v>
      </c>
      <c r="R64" t="s">
        <v>263</v>
      </c>
      <c r="S64" s="1">
        <v>46023</v>
      </c>
      <c r="U64" t="s">
        <v>51</v>
      </c>
      <c r="X64" t="s">
        <v>52</v>
      </c>
      <c r="Y64" s="2">
        <v>0</v>
      </c>
      <c r="Z64" s="2">
        <v>25</v>
      </c>
      <c r="AA64">
        <v>1</v>
      </c>
      <c r="AB64" s="3">
        <v>1</v>
      </c>
      <c r="AC64" s="2">
        <v>25</v>
      </c>
      <c r="AD64" s="3">
        <v>0</v>
      </c>
      <c r="AE64" s="2">
        <v>0</v>
      </c>
      <c r="AF64" s="2">
        <v>25</v>
      </c>
      <c r="AK64">
        <v>6249563</v>
      </c>
    </row>
    <row r="65" spans="1:38" x14ac:dyDescent="0.25">
      <c r="A65" s="1">
        <v>46064</v>
      </c>
      <c r="B65" s="1">
        <v>46064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264</v>
      </c>
      <c r="J65" t="s">
        <v>265</v>
      </c>
      <c r="M65" t="s">
        <v>71</v>
      </c>
      <c r="O65" t="s">
        <v>72</v>
      </c>
      <c r="P65" t="s">
        <v>73</v>
      </c>
      <c r="Q65" t="s">
        <v>49</v>
      </c>
      <c r="R65" t="s">
        <v>266</v>
      </c>
      <c r="S65" s="1">
        <v>46054</v>
      </c>
      <c r="U65" t="s">
        <v>51</v>
      </c>
      <c r="X65" t="s">
        <v>52</v>
      </c>
      <c r="Y65" s="2">
        <v>0</v>
      </c>
      <c r="Z65" s="2">
        <v>22.92</v>
      </c>
      <c r="AA65">
        <v>1</v>
      </c>
      <c r="AB65" s="3">
        <v>1</v>
      </c>
      <c r="AC65" s="2">
        <v>22.92</v>
      </c>
      <c r="AD65" s="3">
        <v>0</v>
      </c>
      <c r="AE65" s="2">
        <v>0</v>
      </c>
      <c r="AF65" s="2">
        <v>22.92</v>
      </c>
      <c r="AK65">
        <v>6249564</v>
      </c>
      <c r="AL65" t="s">
        <v>267</v>
      </c>
    </row>
    <row r="66" spans="1:38" x14ac:dyDescent="0.25">
      <c r="A66" s="1">
        <v>46064</v>
      </c>
      <c r="B66" s="1">
        <v>46064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268</v>
      </c>
      <c r="J66" t="s">
        <v>269</v>
      </c>
      <c r="M66" t="s">
        <v>60</v>
      </c>
      <c r="O66" t="s">
        <v>255</v>
      </c>
      <c r="P66" t="s">
        <v>256</v>
      </c>
      <c r="Q66" t="s">
        <v>49</v>
      </c>
      <c r="R66" t="s">
        <v>266</v>
      </c>
      <c r="S66" s="1">
        <v>46054</v>
      </c>
      <c r="U66" t="s">
        <v>51</v>
      </c>
      <c r="X66" t="s">
        <v>52</v>
      </c>
      <c r="Y66" s="2">
        <v>0</v>
      </c>
      <c r="Z66" s="2">
        <v>22.92</v>
      </c>
      <c r="AA66">
        <v>1</v>
      </c>
      <c r="AB66" s="3">
        <v>1</v>
      </c>
      <c r="AC66" s="2">
        <v>22.92</v>
      </c>
      <c r="AD66" s="3">
        <v>0</v>
      </c>
      <c r="AE66" s="2">
        <v>0</v>
      </c>
      <c r="AF66" s="2">
        <v>22.92</v>
      </c>
      <c r="AK66">
        <v>6249565</v>
      </c>
      <c r="AL66" t="s">
        <v>267</v>
      </c>
    </row>
    <row r="67" spans="1:38" x14ac:dyDescent="0.25">
      <c r="A67" s="1">
        <v>46064</v>
      </c>
      <c r="B67" s="1">
        <v>46064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270</v>
      </c>
      <c r="J67" t="s">
        <v>271</v>
      </c>
      <c r="M67" t="s">
        <v>214</v>
      </c>
      <c r="O67" t="s">
        <v>261</v>
      </c>
      <c r="P67" t="s">
        <v>262</v>
      </c>
      <c r="Q67" t="s">
        <v>49</v>
      </c>
      <c r="R67" t="s">
        <v>266</v>
      </c>
      <c r="S67" s="1">
        <v>46082</v>
      </c>
      <c r="U67" t="s">
        <v>51</v>
      </c>
      <c r="X67" t="s">
        <v>52</v>
      </c>
      <c r="Y67" s="2">
        <v>0</v>
      </c>
      <c r="Z67" s="2">
        <v>20.83</v>
      </c>
      <c r="AA67">
        <v>1</v>
      </c>
      <c r="AB67" s="3">
        <v>1</v>
      </c>
      <c r="AC67" s="2">
        <v>20.83</v>
      </c>
      <c r="AD67" s="3">
        <v>0</v>
      </c>
      <c r="AE67" s="2">
        <v>0</v>
      </c>
      <c r="AF67" s="2">
        <v>20.83</v>
      </c>
      <c r="AK67">
        <v>6249608</v>
      </c>
      <c r="AL67" t="s">
        <v>272</v>
      </c>
    </row>
    <row r="68" spans="1:38" x14ac:dyDescent="0.25">
      <c r="A68" s="1">
        <v>46064</v>
      </c>
      <c r="B68" s="1">
        <v>46064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273</v>
      </c>
      <c r="J68" t="s">
        <v>103</v>
      </c>
      <c r="M68" t="s">
        <v>55</v>
      </c>
      <c r="O68" t="s">
        <v>104</v>
      </c>
      <c r="P68" t="s">
        <v>105</v>
      </c>
      <c r="Q68" t="s">
        <v>49</v>
      </c>
      <c r="R68" t="s">
        <v>266</v>
      </c>
      <c r="S68" s="1">
        <v>46054</v>
      </c>
      <c r="U68" t="s">
        <v>51</v>
      </c>
      <c r="X68" t="s">
        <v>52</v>
      </c>
      <c r="Y68" s="2">
        <v>0</v>
      </c>
      <c r="Z68" s="2">
        <v>22.92</v>
      </c>
      <c r="AA68">
        <v>1</v>
      </c>
      <c r="AB68" s="3">
        <v>1</v>
      </c>
      <c r="AC68" s="2">
        <v>22.92</v>
      </c>
      <c r="AD68" s="3">
        <v>0</v>
      </c>
      <c r="AE68" s="2">
        <v>0</v>
      </c>
      <c r="AF68" s="2">
        <v>22.92</v>
      </c>
      <c r="AK68">
        <v>6249609</v>
      </c>
      <c r="AL68" t="s">
        <v>267</v>
      </c>
    </row>
    <row r="69" spans="1:38" x14ac:dyDescent="0.25">
      <c r="A69" s="1">
        <v>46064</v>
      </c>
      <c r="B69" s="1">
        <v>46064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274</v>
      </c>
      <c r="J69" t="s">
        <v>275</v>
      </c>
      <c r="M69" t="s">
        <v>214</v>
      </c>
      <c r="O69" t="s">
        <v>276</v>
      </c>
      <c r="P69" t="s">
        <v>277</v>
      </c>
      <c r="Q69" t="s">
        <v>49</v>
      </c>
      <c r="R69" t="s">
        <v>266</v>
      </c>
      <c r="S69" s="1">
        <v>46054</v>
      </c>
      <c r="U69" t="s">
        <v>51</v>
      </c>
      <c r="X69" t="s">
        <v>52</v>
      </c>
      <c r="Y69" s="2">
        <v>0</v>
      </c>
      <c r="Z69" s="2">
        <v>22.92</v>
      </c>
      <c r="AA69">
        <v>1</v>
      </c>
      <c r="AB69" s="3">
        <v>1</v>
      </c>
      <c r="AC69" s="2">
        <v>22.92</v>
      </c>
      <c r="AD69" s="3">
        <v>0</v>
      </c>
      <c r="AE69" s="2">
        <v>0</v>
      </c>
      <c r="AF69" s="2">
        <v>22.92</v>
      </c>
      <c r="AK69">
        <v>6249622</v>
      </c>
      <c r="AL69" t="s">
        <v>267</v>
      </c>
    </row>
    <row r="70" spans="1:38" x14ac:dyDescent="0.25">
      <c r="A70" s="1">
        <v>46064</v>
      </c>
      <c r="B70" s="1">
        <v>46064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278</v>
      </c>
      <c r="J70" t="s">
        <v>279</v>
      </c>
      <c r="M70" t="s">
        <v>214</v>
      </c>
      <c r="O70" t="s">
        <v>261</v>
      </c>
      <c r="P70" t="s">
        <v>262</v>
      </c>
      <c r="Q70" t="s">
        <v>49</v>
      </c>
      <c r="R70" t="s">
        <v>266</v>
      </c>
      <c r="S70" s="1">
        <v>46054</v>
      </c>
      <c r="U70" t="s">
        <v>51</v>
      </c>
      <c r="X70" t="s">
        <v>52</v>
      </c>
      <c r="Y70" s="2">
        <v>0</v>
      </c>
      <c r="Z70" s="2">
        <v>22.92</v>
      </c>
      <c r="AA70">
        <v>1</v>
      </c>
      <c r="AB70" s="3">
        <v>1</v>
      </c>
      <c r="AC70" s="2">
        <v>22.92</v>
      </c>
      <c r="AD70" s="3">
        <v>0</v>
      </c>
      <c r="AE70" s="2">
        <v>0</v>
      </c>
      <c r="AF70" s="2">
        <v>22.92</v>
      </c>
      <c r="AK70">
        <v>6249637</v>
      </c>
      <c r="AL70" t="s">
        <v>267</v>
      </c>
    </row>
    <row r="71" spans="1:38" x14ac:dyDescent="0.25">
      <c r="A71" s="1">
        <v>46064</v>
      </c>
      <c r="B71" s="1">
        <v>46064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280</v>
      </c>
      <c r="J71" t="s">
        <v>281</v>
      </c>
      <c r="M71" t="s">
        <v>214</v>
      </c>
      <c r="O71" t="s">
        <v>215</v>
      </c>
      <c r="P71" t="s">
        <v>216</v>
      </c>
      <c r="Q71" t="s">
        <v>49</v>
      </c>
      <c r="R71" t="s">
        <v>266</v>
      </c>
      <c r="S71" s="1">
        <v>46054</v>
      </c>
      <c r="U71" t="s">
        <v>51</v>
      </c>
      <c r="X71" t="s">
        <v>52</v>
      </c>
      <c r="Y71" s="2">
        <v>0</v>
      </c>
      <c r="Z71" s="2">
        <v>22.92</v>
      </c>
      <c r="AA71">
        <v>1</v>
      </c>
      <c r="AB71" s="3">
        <v>1</v>
      </c>
      <c r="AC71" s="2">
        <v>22.92</v>
      </c>
      <c r="AD71" s="3">
        <v>0</v>
      </c>
      <c r="AE71" s="2">
        <v>0</v>
      </c>
      <c r="AF71" s="2">
        <v>22.92</v>
      </c>
      <c r="AK71">
        <v>6249652</v>
      </c>
      <c r="AL71" t="s">
        <v>267</v>
      </c>
    </row>
    <row r="72" spans="1:38" x14ac:dyDescent="0.25">
      <c r="A72" s="1">
        <v>46064</v>
      </c>
      <c r="B72" s="1">
        <v>46064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282</v>
      </c>
      <c r="J72" t="s">
        <v>283</v>
      </c>
      <c r="M72" t="s">
        <v>55</v>
      </c>
      <c r="O72" t="s">
        <v>284</v>
      </c>
      <c r="P72" t="s">
        <v>285</v>
      </c>
      <c r="Q72" t="s">
        <v>49</v>
      </c>
      <c r="R72" t="s">
        <v>286</v>
      </c>
      <c r="S72" s="1">
        <v>46054</v>
      </c>
      <c r="U72" t="s">
        <v>51</v>
      </c>
      <c r="X72" t="s">
        <v>52</v>
      </c>
      <c r="Y72" s="2">
        <v>0</v>
      </c>
      <c r="Z72" s="2">
        <v>318.08</v>
      </c>
      <c r="AA72">
        <v>1</v>
      </c>
      <c r="AB72" s="3">
        <v>1</v>
      </c>
      <c r="AC72" s="2">
        <v>318.08</v>
      </c>
      <c r="AD72" s="3">
        <v>0</v>
      </c>
      <c r="AE72" s="2">
        <v>0</v>
      </c>
      <c r="AF72" s="2">
        <v>318.08</v>
      </c>
      <c r="AK72">
        <v>6250279</v>
      </c>
      <c r="AL72" t="s">
        <v>267</v>
      </c>
    </row>
    <row r="73" spans="1:38" x14ac:dyDescent="0.25">
      <c r="A73" s="1">
        <v>46064</v>
      </c>
      <c r="B73" s="1">
        <v>46064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287</v>
      </c>
      <c r="J73" t="s">
        <v>283</v>
      </c>
      <c r="M73" t="s">
        <v>55</v>
      </c>
      <c r="O73" t="s">
        <v>284</v>
      </c>
      <c r="P73" t="s">
        <v>285</v>
      </c>
      <c r="Q73" t="s">
        <v>49</v>
      </c>
      <c r="R73" t="s">
        <v>288</v>
      </c>
      <c r="S73" s="1">
        <v>46054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6250528</v>
      </c>
    </row>
    <row r="74" spans="1:38" x14ac:dyDescent="0.25">
      <c r="A74" s="1">
        <v>46064</v>
      </c>
      <c r="B74" s="1">
        <v>46064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289</v>
      </c>
      <c r="J74" t="s">
        <v>290</v>
      </c>
      <c r="M74" t="s">
        <v>60</v>
      </c>
      <c r="O74" t="s">
        <v>255</v>
      </c>
      <c r="P74" t="s">
        <v>256</v>
      </c>
      <c r="Q74" t="s">
        <v>49</v>
      </c>
      <c r="R74" t="s">
        <v>291</v>
      </c>
      <c r="S74" s="1">
        <v>46054</v>
      </c>
      <c r="U74" t="s">
        <v>51</v>
      </c>
      <c r="X74" t="s">
        <v>52</v>
      </c>
      <c r="Y74" s="2">
        <v>0</v>
      </c>
      <c r="Z74" s="2">
        <v>100</v>
      </c>
      <c r="AA74">
        <v>1</v>
      </c>
      <c r="AB74" s="3">
        <v>1</v>
      </c>
      <c r="AC74" s="2">
        <v>100</v>
      </c>
      <c r="AD74" s="3">
        <v>0</v>
      </c>
      <c r="AE74" s="2">
        <v>0</v>
      </c>
      <c r="AF74" s="2">
        <v>100</v>
      </c>
      <c r="AK74">
        <v>6249771</v>
      </c>
    </row>
    <row r="75" spans="1:38" x14ac:dyDescent="0.25">
      <c r="A75" s="1">
        <v>46064</v>
      </c>
      <c r="B75" s="1">
        <v>46064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292</v>
      </c>
      <c r="J75" t="s">
        <v>293</v>
      </c>
      <c r="M75" t="s">
        <v>93</v>
      </c>
      <c r="O75" t="s">
        <v>94</v>
      </c>
      <c r="P75" t="s">
        <v>95</v>
      </c>
      <c r="Q75" t="s">
        <v>49</v>
      </c>
      <c r="R75" t="s">
        <v>291</v>
      </c>
      <c r="S75" s="1">
        <v>46054</v>
      </c>
      <c r="U75" t="s">
        <v>51</v>
      </c>
      <c r="X75" t="s">
        <v>52</v>
      </c>
      <c r="Y75" s="2">
        <v>0</v>
      </c>
      <c r="Z75" s="2">
        <v>100</v>
      </c>
      <c r="AA75">
        <v>1</v>
      </c>
      <c r="AB75" s="3">
        <v>1</v>
      </c>
      <c r="AC75" s="2">
        <v>100</v>
      </c>
      <c r="AD75" s="3">
        <v>0</v>
      </c>
      <c r="AE75" s="2">
        <v>0</v>
      </c>
      <c r="AF75" s="2">
        <v>100</v>
      </c>
      <c r="AK75">
        <v>6249772</v>
      </c>
    </row>
    <row r="76" spans="1:38" x14ac:dyDescent="0.25">
      <c r="A76" s="1">
        <v>46064</v>
      </c>
      <c r="B76" s="1">
        <v>46064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294</v>
      </c>
      <c r="J76" t="s">
        <v>295</v>
      </c>
      <c r="M76" t="s">
        <v>296</v>
      </c>
      <c r="O76" t="s">
        <v>104</v>
      </c>
      <c r="P76" t="s">
        <v>105</v>
      </c>
      <c r="Q76" t="s">
        <v>49</v>
      </c>
      <c r="R76" t="s">
        <v>286</v>
      </c>
      <c r="S76" s="1">
        <v>46054</v>
      </c>
      <c r="U76" t="s">
        <v>51</v>
      </c>
      <c r="X76" t="s">
        <v>52</v>
      </c>
      <c r="Y76" s="2">
        <v>0</v>
      </c>
      <c r="Z76" s="2">
        <v>318.08</v>
      </c>
      <c r="AA76">
        <v>1</v>
      </c>
      <c r="AB76" s="3">
        <v>1</v>
      </c>
      <c r="AC76" s="2">
        <v>318.08</v>
      </c>
      <c r="AD76" s="3">
        <v>0</v>
      </c>
      <c r="AE76" s="2">
        <v>0</v>
      </c>
      <c r="AF76" s="2">
        <v>318.08</v>
      </c>
      <c r="AK76">
        <v>6250351</v>
      </c>
      <c r="AL76" t="s">
        <v>267</v>
      </c>
    </row>
    <row r="77" spans="1:38" x14ac:dyDescent="0.25">
      <c r="A77" s="1">
        <v>46064</v>
      </c>
      <c r="B77" s="1">
        <v>46064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297</v>
      </c>
      <c r="J77" t="s">
        <v>295</v>
      </c>
      <c r="M77" t="s">
        <v>296</v>
      </c>
      <c r="O77" t="s">
        <v>104</v>
      </c>
      <c r="P77" t="s">
        <v>105</v>
      </c>
      <c r="Q77" t="s">
        <v>49</v>
      </c>
      <c r="R77" t="s">
        <v>288</v>
      </c>
      <c r="S77" s="1">
        <v>46054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6250529</v>
      </c>
    </row>
    <row r="78" spans="1:38" x14ac:dyDescent="0.25">
      <c r="A78" s="1">
        <v>46064</v>
      </c>
      <c r="B78" s="1">
        <v>46064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298</v>
      </c>
      <c r="J78" t="s">
        <v>299</v>
      </c>
      <c r="M78" t="s">
        <v>214</v>
      </c>
      <c r="O78" t="s">
        <v>215</v>
      </c>
      <c r="P78" t="s">
        <v>216</v>
      </c>
      <c r="Q78" t="s">
        <v>49</v>
      </c>
      <c r="R78" t="s">
        <v>300</v>
      </c>
      <c r="S78" s="1">
        <v>46054</v>
      </c>
      <c r="U78" t="s">
        <v>51</v>
      </c>
      <c r="X78" t="s">
        <v>52</v>
      </c>
      <c r="Y78" s="2">
        <v>0</v>
      </c>
      <c r="Z78" s="2">
        <v>33.92</v>
      </c>
      <c r="AA78">
        <v>1</v>
      </c>
      <c r="AB78" s="3">
        <v>1</v>
      </c>
      <c r="AC78" s="2">
        <v>33.92</v>
      </c>
      <c r="AD78" s="3">
        <v>0</v>
      </c>
      <c r="AE78" s="2">
        <v>0</v>
      </c>
      <c r="AF78" s="2">
        <v>33.92</v>
      </c>
      <c r="AK78">
        <v>6250393</v>
      </c>
      <c r="AL78" t="s">
        <v>267</v>
      </c>
    </row>
    <row r="79" spans="1:38" x14ac:dyDescent="0.25">
      <c r="A79" s="1">
        <v>46064</v>
      </c>
      <c r="B79" s="1">
        <v>46064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301</v>
      </c>
      <c r="J79" t="s">
        <v>302</v>
      </c>
      <c r="M79" t="s">
        <v>214</v>
      </c>
      <c r="O79" t="s">
        <v>276</v>
      </c>
      <c r="P79" t="s">
        <v>277</v>
      </c>
      <c r="Q79" t="s">
        <v>49</v>
      </c>
      <c r="R79" t="s">
        <v>303</v>
      </c>
      <c r="S79" s="1">
        <v>46054</v>
      </c>
      <c r="U79" t="s">
        <v>51</v>
      </c>
      <c r="X79" t="s">
        <v>52</v>
      </c>
      <c r="Y79" s="2">
        <v>0</v>
      </c>
      <c r="Z79" s="2">
        <v>45.83</v>
      </c>
      <c r="AA79">
        <v>1</v>
      </c>
      <c r="AB79" s="3">
        <v>1</v>
      </c>
      <c r="AC79" s="2">
        <v>45.83</v>
      </c>
      <c r="AD79" s="3">
        <v>0</v>
      </c>
      <c r="AE79" s="2">
        <v>0</v>
      </c>
      <c r="AF79" s="2">
        <v>45.83</v>
      </c>
      <c r="AK79">
        <v>6250398</v>
      </c>
      <c r="AL79" t="s">
        <v>267</v>
      </c>
    </row>
    <row r="80" spans="1:38" x14ac:dyDescent="0.25">
      <c r="A80" s="1">
        <v>46064</v>
      </c>
      <c r="B80" s="1">
        <v>46064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304</v>
      </c>
      <c r="J80" t="s">
        <v>302</v>
      </c>
      <c r="M80" t="s">
        <v>214</v>
      </c>
      <c r="O80" t="s">
        <v>276</v>
      </c>
      <c r="P80" t="s">
        <v>277</v>
      </c>
      <c r="Q80" t="s">
        <v>49</v>
      </c>
      <c r="R80" t="s">
        <v>305</v>
      </c>
      <c r="S80" s="1">
        <v>46054</v>
      </c>
      <c r="U80" t="s">
        <v>51</v>
      </c>
      <c r="X80" t="s">
        <v>52</v>
      </c>
      <c r="Y80" s="2">
        <v>0</v>
      </c>
      <c r="Z80" s="2">
        <v>323.58</v>
      </c>
      <c r="AA80">
        <v>1</v>
      </c>
      <c r="AB80" s="3">
        <v>1</v>
      </c>
      <c r="AC80" s="2">
        <v>323.58</v>
      </c>
      <c r="AD80" s="3">
        <v>0</v>
      </c>
      <c r="AE80" s="2">
        <v>0</v>
      </c>
      <c r="AF80" s="2">
        <v>323.58</v>
      </c>
      <c r="AK80">
        <v>6250399</v>
      </c>
      <c r="AL80" t="s">
        <v>267</v>
      </c>
    </row>
    <row r="81" spans="1:38" x14ac:dyDescent="0.25">
      <c r="A81" s="1">
        <v>46064</v>
      </c>
      <c r="B81" s="1">
        <v>46064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306</v>
      </c>
      <c r="J81" t="s">
        <v>307</v>
      </c>
      <c r="M81" t="s">
        <v>214</v>
      </c>
      <c r="O81" t="s">
        <v>215</v>
      </c>
      <c r="P81" t="s">
        <v>216</v>
      </c>
      <c r="Q81" t="s">
        <v>49</v>
      </c>
      <c r="R81" t="s">
        <v>300</v>
      </c>
      <c r="S81" s="1">
        <v>46054</v>
      </c>
      <c r="U81" t="s">
        <v>51</v>
      </c>
      <c r="X81" t="s">
        <v>52</v>
      </c>
      <c r="Y81" s="2">
        <v>0</v>
      </c>
      <c r="Z81" s="2">
        <v>33.92</v>
      </c>
      <c r="AA81">
        <v>1</v>
      </c>
      <c r="AB81" s="3">
        <v>1</v>
      </c>
      <c r="AC81" s="2">
        <v>33.92</v>
      </c>
      <c r="AD81" s="3">
        <v>0</v>
      </c>
      <c r="AE81" s="2">
        <v>0</v>
      </c>
      <c r="AF81" s="2">
        <v>33.92</v>
      </c>
      <c r="AK81">
        <v>6250443</v>
      </c>
      <c r="AL81" t="s">
        <v>267</v>
      </c>
    </row>
    <row r="82" spans="1:38" x14ac:dyDescent="0.25">
      <c r="A82" s="1">
        <v>46064</v>
      </c>
      <c r="B82" s="1">
        <v>46064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308</v>
      </c>
      <c r="J82" t="s">
        <v>309</v>
      </c>
      <c r="M82" t="s">
        <v>71</v>
      </c>
      <c r="O82" t="s">
        <v>72</v>
      </c>
      <c r="P82" t="s">
        <v>73</v>
      </c>
      <c r="Q82" t="s">
        <v>49</v>
      </c>
      <c r="R82" t="s">
        <v>310</v>
      </c>
      <c r="S82" s="1">
        <v>46054</v>
      </c>
      <c r="U82" t="s">
        <v>51</v>
      </c>
      <c r="X82" t="s">
        <v>52</v>
      </c>
      <c r="Y82" s="2">
        <v>0</v>
      </c>
      <c r="Z82" s="2">
        <v>66</v>
      </c>
      <c r="AA82">
        <v>1</v>
      </c>
      <c r="AB82" s="3">
        <v>1</v>
      </c>
      <c r="AC82" s="2">
        <v>66</v>
      </c>
      <c r="AD82" s="3">
        <v>0</v>
      </c>
      <c r="AE82" s="2">
        <v>0</v>
      </c>
      <c r="AF82" s="2">
        <v>66</v>
      </c>
      <c r="AK82">
        <v>6250458</v>
      </c>
      <c r="AL82" t="s">
        <v>267</v>
      </c>
    </row>
    <row r="83" spans="1:38" x14ac:dyDescent="0.25">
      <c r="A83" s="1">
        <v>46064</v>
      </c>
      <c r="B83" s="1">
        <v>46064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311</v>
      </c>
      <c r="J83" t="s">
        <v>309</v>
      </c>
      <c r="M83" t="s">
        <v>71</v>
      </c>
      <c r="O83" t="s">
        <v>72</v>
      </c>
      <c r="P83" t="s">
        <v>73</v>
      </c>
      <c r="Q83" t="s">
        <v>49</v>
      </c>
      <c r="R83" t="s">
        <v>286</v>
      </c>
      <c r="S83" s="1">
        <v>46054</v>
      </c>
      <c r="U83" t="s">
        <v>51</v>
      </c>
      <c r="X83" t="s">
        <v>52</v>
      </c>
      <c r="Y83" s="2">
        <v>0</v>
      </c>
      <c r="Z83" s="2">
        <v>318.08</v>
      </c>
      <c r="AA83">
        <v>1</v>
      </c>
      <c r="AB83" s="3">
        <v>1</v>
      </c>
      <c r="AC83" s="2">
        <v>318.08</v>
      </c>
      <c r="AD83" s="3">
        <v>0</v>
      </c>
      <c r="AE83" s="2">
        <v>0</v>
      </c>
      <c r="AF83" s="2">
        <v>318.08</v>
      </c>
      <c r="AK83">
        <v>6250459</v>
      </c>
      <c r="AL83" t="s">
        <v>267</v>
      </c>
    </row>
    <row r="84" spans="1:38" x14ac:dyDescent="0.25">
      <c r="A84" s="1">
        <v>46064</v>
      </c>
      <c r="B84" s="1">
        <v>46064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312</v>
      </c>
      <c r="J84" t="s">
        <v>313</v>
      </c>
      <c r="M84" t="s">
        <v>214</v>
      </c>
      <c r="O84" t="s">
        <v>314</v>
      </c>
      <c r="P84" t="s">
        <v>315</v>
      </c>
      <c r="Q84" t="s">
        <v>106</v>
      </c>
      <c r="R84" t="s">
        <v>316</v>
      </c>
      <c r="S84" s="1">
        <v>46054</v>
      </c>
      <c r="U84" t="s">
        <v>51</v>
      </c>
      <c r="X84" t="s">
        <v>52</v>
      </c>
      <c r="Y84" s="2">
        <v>0</v>
      </c>
      <c r="Z84" s="2">
        <v>100</v>
      </c>
      <c r="AA84">
        <v>1</v>
      </c>
      <c r="AB84" s="3">
        <v>1</v>
      </c>
      <c r="AC84" s="2">
        <v>100</v>
      </c>
      <c r="AD84" s="3">
        <v>0</v>
      </c>
      <c r="AE84" s="2">
        <v>0</v>
      </c>
      <c r="AF84" s="2">
        <v>100</v>
      </c>
      <c r="AK84">
        <v>6250428</v>
      </c>
    </row>
    <row r="85" spans="1:38" x14ac:dyDescent="0.25">
      <c r="A85" s="1">
        <v>46064</v>
      </c>
      <c r="B85" s="1">
        <v>46064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317</v>
      </c>
      <c r="J85" t="s">
        <v>313</v>
      </c>
      <c r="M85" t="s">
        <v>214</v>
      </c>
      <c r="O85" t="s">
        <v>314</v>
      </c>
      <c r="P85" t="s">
        <v>315</v>
      </c>
      <c r="Q85" t="s">
        <v>49</v>
      </c>
      <c r="R85" t="s">
        <v>318</v>
      </c>
      <c r="S85" s="1">
        <v>46054</v>
      </c>
      <c r="U85" t="s">
        <v>51</v>
      </c>
      <c r="X85" t="s">
        <v>52</v>
      </c>
      <c r="Y85" s="2">
        <v>0</v>
      </c>
      <c r="Z85" s="2">
        <v>175</v>
      </c>
      <c r="AA85">
        <v>1</v>
      </c>
      <c r="AB85" s="3">
        <v>1</v>
      </c>
      <c r="AC85" s="2">
        <v>175</v>
      </c>
      <c r="AD85" s="3">
        <v>0</v>
      </c>
      <c r="AE85" s="2">
        <v>0</v>
      </c>
      <c r="AF85" s="2">
        <v>175</v>
      </c>
      <c r="AK85">
        <v>6250456</v>
      </c>
    </row>
    <row r="86" spans="1:38" x14ac:dyDescent="0.25">
      <c r="A86" s="1">
        <v>46064</v>
      </c>
      <c r="B86" s="1">
        <v>46064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319</v>
      </c>
      <c r="J86" t="s">
        <v>320</v>
      </c>
      <c r="M86" t="s">
        <v>71</v>
      </c>
      <c r="O86" t="s">
        <v>321</v>
      </c>
      <c r="P86" t="s">
        <v>322</v>
      </c>
      <c r="Q86" t="s">
        <v>49</v>
      </c>
      <c r="R86" t="s">
        <v>323</v>
      </c>
      <c r="S86" s="1">
        <v>46113</v>
      </c>
      <c r="U86" t="s">
        <v>51</v>
      </c>
      <c r="X86" t="s">
        <v>52</v>
      </c>
      <c r="Y86" s="2">
        <v>0</v>
      </c>
      <c r="Z86" s="2">
        <v>9.83</v>
      </c>
      <c r="AA86">
        <v>9</v>
      </c>
      <c r="AB86" s="3">
        <v>1</v>
      </c>
      <c r="AC86" s="2">
        <v>88.47</v>
      </c>
      <c r="AD86" s="3">
        <v>0</v>
      </c>
      <c r="AE86" s="2">
        <v>0</v>
      </c>
      <c r="AF86" s="2">
        <v>88.47</v>
      </c>
      <c r="AK86">
        <v>6250256</v>
      </c>
    </row>
    <row r="87" spans="1:38" x14ac:dyDescent="0.25">
      <c r="A87" s="1">
        <v>46064</v>
      </c>
      <c r="B87" s="1">
        <v>46064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324</v>
      </c>
      <c r="J87" t="s">
        <v>325</v>
      </c>
      <c r="M87" t="s">
        <v>71</v>
      </c>
      <c r="O87" t="s">
        <v>321</v>
      </c>
      <c r="P87" t="s">
        <v>322</v>
      </c>
      <c r="Q87" t="s">
        <v>49</v>
      </c>
      <c r="R87" t="s">
        <v>323</v>
      </c>
      <c r="S87" s="1">
        <v>46082</v>
      </c>
      <c r="U87" t="s">
        <v>51</v>
      </c>
      <c r="X87" t="s">
        <v>52</v>
      </c>
      <c r="Y87" s="2">
        <v>0</v>
      </c>
      <c r="Z87" s="2">
        <v>9.83</v>
      </c>
      <c r="AA87">
        <v>9</v>
      </c>
      <c r="AB87" s="3">
        <v>1</v>
      </c>
      <c r="AC87" s="2">
        <v>88.47</v>
      </c>
      <c r="AD87" s="3">
        <v>0</v>
      </c>
      <c r="AE87" s="2">
        <v>0</v>
      </c>
      <c r="AF87" s="2">
        <v>88.47</v>
      </c>
      <c r="AK87">
        <v>6250255</v>
      </c>
    </row>
    <row r="88" spans="1:38" s="6" customFormat="1" x14ac:dyDescent="0.25">
      <c r="A88" s="7">
        <v>46064</v>
      </c>
      <c r="B88" s="7">
        <v>46064</v>
      </c>
      <c r="C88" s="6" t="s">
        <v>38</v>
      </c>
      <c r="D88" s="6" t="s">
        <v>39</v>
      </c>
      <c r="E88" s="6" t="s">
        <v>40</v>
      </c>
      <c r="F88" s="6" t="s">
        <v>41</v>
      </c>
      <c r="G88" s="6" t="s">
        <v>42</v>
      </c>
      <c r="H88" s="6" t="s">
        <v>43</v>
      </c>
      <c r="I88" s="6" t="s">
        <v>326</v>
      </c>
      <c r="J88" s="6" t="s">
        <v>327</v>
      </c>
      <c r="O88" s="6" t="s">
        <v>104</v>
      </c>
      <c r="P88" s="6" t="s">
        <v>105</v>
      </c>
      <c r="Q88" s="6" t="s">
        <v>106</v>
      </c>
      <c r="R88" s="6" t="s">
        <v>328</v>
      </c>
      <c r="S88" s="7">
        <v>46113</v>
      </c>
      <c r="U88" s="6" t="s">
        <v>51</v>
      </c>
      <c r="X88" s="6" t="s">
        <v>52</v>
      </c>
      <c r="Y88" s="8">
        <v>288</v>
      </c>
      <c r="Z88" s="8">
        <v>288</v>
      </c>
      <c r="AA88" s="6">
        <v>9</v>
      </c>
      <c r="AB88" s="9">
        <v>4.9000000000000002E-2</v>
      </c>
      <c r="AC88" s="8">
        <v>127.01</v>
      </c>
      <c r="AD88" s="9">
        <v>0</v>
      </c>
      <c r="AE88" s="8">
        <v>0</v>
      </c>
      <c r="AF88" s="8">
        <v>127.01</v>
      </c>
      <c r="AK88" s="6">
        <v>6250821</v>
      </c>
    </row>
    <row r="89" spans="1:38" x14ac:dyDescent="0.25">
      <c r="A89" s="1">
        <v>46064</v>
      </c>
      <c r="B89" s="1">
        <v>46064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329</v>
      </c>
      <c r="J89" t="s">
        <v>330</v>
      </c>
      <c r="M89" t="s">
        <v>55</v>
      </c>
      <c r="O89" t="s">
        <v>331</v>
      </c>
      <c r="P89" t="s">
        <v>332</v>
      </c>
      <c r="Q89" t="s">
        <v>49</v>
      </c>
      <c r="R89" t="s">
        <v>333</v>
      </c>
      <c r="S89" s="1">
        <v>46054</v>
      </c>
      <c r="U89" t="s">
        <v>51</v>
      </c>
      <c r="X89" t="s">
        <v>52</v>
      </c>
      <c r="Y89" s="2">
        <v>0</v>
      </c>
      <c r="Z89" s="2">
        <v>58.19</v>
      </c>
      <c r="AA89">
        <v>9</v>
      </c>
      <c r="AB89" s="3">
        <v>1</v>
      </c>
      <c r="AC89" s="2">
        <v>523.71</v>
      </c>
      <c r="AD89" s="3">
        <v>0</v>
      </c>
      <c r="AE89" s="2">
        <v>0</v>
      </c>
      <c r="AF89" s="2">
        <v>523.71</v>
      </c>
      <c r="AK89">
        <v>6250257</v>
      </c>
    </row>
    <row r="90" spans="1:38" s="6" customFormat="1" x14ac:dyDescent="0.25">
      <c r="A90" s="7">
        <v>46064</v>
      </c>
      <c r="B90" s="7">
        <v>46064</v>
      </c>
      <c r="C90" s="6" t="s">
        <v>38</v>
      </c>
      <c r="D90" s="6" t="s">
        <v>39</v>
      </c>
      <c r="E90" s="6" t="s">
        <v>40</v>
      </c>
      <c r="F90" s="6" t="s">
        <v>41</v>
      </c>
      <c r="G90" s="6" t="s">
        <v>42</v>
      </c>
      <c r="H90" s="6" t="s">
        <v>43</v>
      </c>
      <c r="I90" s="6" t="s">
        <v>334</v>
      </c>
      <c r="J90" s="6" t="s">
        <v>335</v>
      </c>
      <c r="O90" s="6" t="s">
        <v>104</v>
      </c>
      <c r="P90" s="6" t="s">
        <v>105</v>
      </c>
      <c r="Q90" s="6" t="s">
        <v>106</v>
      </c>
      <c r="R90" s="6" t="s">
        <v>328</v>
      </c>
      <c r="S90" s="7">
        <v>46054</v>
      </c>
      <c r="U90" s="6" t="s">
        <v>51</v>
      </c>
      <c r="X90" s="6" t="s">
        <v>52</v>
      </c>
      <c r="Y90" s="8">
        <v>288</v>
      </c>
      <c r="Z90" s="8">
        <v>288</v>
      </c>
      <c r="AA90" s="6">
        <v>9</v>
      </c>
      <c r="AB90" s="9">
        <v>4.9000000000000002E-2</v>
      </c>
      <c r="AC90" s="8">
        <v>127.01</v>
      </c>
      <c r="AD90" s="9">
        <v>0</v>
      </c>
      <c r="AE90" s="8">
        <v>0</v>
      </c>
      <c r="AF90" s="8">
        <v>127.01</v>
      </c>
      <c r="AK90" s="6">
        <v>6250820</v>
      </c>
    </row>
    <row r="91" spans="1:38" x14ac:dyDescent="0.25">
      <c r="A91" s="1">
        <v>46064</v>
      </c>
      <c r="B91" s="1">
        <v>46064</v>
      </c>
      <c r="C91" t="s">
        <v>336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337</v>
      </c>
      <c r="J91" t="s">
        <v>338</v>
      </c>
      <c r="M91" t="s">
        <v>60</v>
      </c>
      <c r="O91" t="s">
        <v>47</v>
      </c>
      <c r="P91" t="s">
        <v>48</v>
      </c>
      <c r="Q91" t="s">
        <v>339</v>
      </c>
      <c r="R91" t="s">
        <v>50</v>
      </c>
      <c r="S91" s="1">
        <v>46023</v>
      </c>
      <c r="U91" t="s">
        <v>51</v>
      </c>
      <c r="X91" t="s">
        <v>52</v>
      </c>
      <c r="AF91" s="2">
        <v>108</v>
      </c>
      <c r="AG91" s="2">
        <v>0</v>
      </c>
      <c r="AJ91" s="2">
        <v>99.36</v>
      </c>
    </row>
    <row r="92" spans="1:38" x14ac:dyDescent="0.25">
      <c r="A92" s="1">
        <v>46064</v>
      </c>
      <c r="B92" s="1">
        <v>46064</v>
      </c>
      <c r="C92" t="s">
        <v>336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340</v>
      </c>
      <c r="J92" t="s">
        <v>341</v>
      </c>
      <c r="M92" t="s">
        <v>60</v>
      </c>
      <c r="O92" t="s">
        <v>342</v>
      </c>
      <c r="P92" t="s">
        <v>343</v>
      </c>
      <c r="Q92" t="s">
        <v>339</v>
      </c>
      <c r="R92" t="s">
        <v>63</v>
      </c>
      <c r="S92" s="1">
        <v>46023</v>
      </c>
      <c r="U92" t="s">
        <v>51</v>
      </c>
      <c r="X92" t="s">
        <v>52</v>
      </c>
      <c r="AF92" s="2">
        <v>175</v>
      </c>
      <c r="AG92" s="2">
        <v>0</v>
      </c>
      <c r="AJ92" s="2">
        <v>161</v>
      </c>
    </row>
    <row r="93" spans="1:38" x14ac:dyDescent="0.25">
      <c r="A93" s="1">
        <v>46064</v>
      </c>
      <c r="B93" s="1">
        <v>46064</v>
      </c>
      <c r="C93" t="s">
        <v>336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344</v>
      </c>
      <c r="J93" t="s">
        <v>345</v>
      </c>
      <c r="M93" t="s">
        <v>60</v>
      </c>
      <c r="O93" t="s">
        <v>342</v>
      </c>
      <c r="P93" t="s">
        <v>343</v>
      </c>
      <c r="Q93" t="s">
        <v>339</v>
      </c>
      <c r="R93" t="s">
        <v>63</v>
      </c>
      <c r="S93" s="1">
        <v>46054</v>
      </c>
      <c r="U93" t="s">
        <v>51</v>
      </c>
      <c r="X93" t="s">
        <v>52</v>
      </c>
      <c r="AF93" s="2">
        <v>175</v>
      </c>
      <c r="AG93" s="2">
        <v>0</v>
      </c>
      <c r="AJ93" s="2">
        <v>175</v>
      </c>
    </row>
    <row r="94" spans="1:38" x14ac:dyDescent="0.25">
      <c r="A94" s="1">
        <v>46064</v>
      </c>
      <c r="B94" s="1">
        <v>46064</v>
      </c>
      <c r="C94" t="s">
        <v>336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346</v>
      </c>
      <c r="J94" t="s">
        <v>347</v>
      </c>
      <c r="M94" t="s">
        <v>60</v>
      </c>
      <c r="O94" t="s">
        <v>80</v>
      </c>
      <c r="P94" t="s">
        <v>81</v>
      </c>
      <c r="Q94" t="s">
        <v>339</v>
      </c>
      <c r="R94" t="s">
        <v>63</v>
      </c>
      <c r="S94" s="1">
        <v>46023</v>
      </c>
      <c r="U94" t="s">
        <v>51</v>
      </c>
      <c r="X94" t="s">
        <v>52</v>
      </c>
      <c r="AF94" s="2">
        <v>175</v>
      </c>
      <c r="AG94" s="2">
        <v>0</v>
      </c>
      <c r="AJ94" s="2">
        <v>161</v>
      </c>
    </row>
    <row r="95" spans="1:38" x14ac:dyDescent="0.25">
      <c r="A95" s="1">
        <v>46064</v>
      </c>
      <c r="B95" s="1">
        <v>46064</v>
      </c>
      <c r="C95" t="s">
        <v>336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348</v>
      </c>
      <c r="J95" t="s">
        <v>349</v>
      </c>
      <c r="M95" t="s">
        <v>60</v>
      </c>
      <c r="O95" t="s">
        <v>47</v>
      </c>
      <c r="P95" t="s">
        <v>48</v>
      </c>
      <c r="Q95" t="s">
        <v>339</v>
      </c>
      <c r="R95" t="s">
        <v>63</v>
      </c>
      <c r="S95" s="1">
        <v>46023</v>
      </c>
      <c r="U95" t="s">
        <v>51</v>
      </c>
      <c r="X95" t="s">
        <v>52</v>
      </c>
      <c r="AF95" s="2">
        <v>175</v>
      </c>
      <c r="AG95" s="2">
        <v>0</v>
      </c>
      <c r="AJ95" s="2">
        <v>161</v>
      </c>
    </row>
    <row r="96" spans="1:38" x14ac:dyDescent="0.25">
      <c r="A96" s="1">
        <v>46064</v>
      </c>
      <c r="B96" s="1">
        <v>46064</v>
      </c>
      <c r="C96" t="s">
        <v>336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350</v>
      </c>
      <c r="J96" t="s">
        <v>351</v>
      </c>
      <c r="M96" t="s">
        <v>60</v>
      </c>
      <c r="O96" t="s">
        <v>47</v>
      </c>
      <c r="P96" t="s">
        <v>48</v>
      </c>
      <c r="Q96" t="s">
        <v>339</v>
      </c>
      <c r="R96" t="s">
        <v>50</v>
      </c>
      <c r="S96" s="1">
        <v>46023</v>
      </c>
      <c r="U96" t="s">
        <v>51</v>
      </c>
      <c r="X96" t="s">
        <v>52</v>
      </c>
      <c r="AF96" s="2">
        <v>108</v>
      </c>
      <c r="AG96" s="2">
        <v>0</v>
      </c>
      <c r="AJ96" s="2">
        <v>99.36</v>
      </c>
    </row>
    <row r="97" spans="1:36" x14ac:dyDescent="0.25">
      <c r="A97" s="1">
        <v>46064</v>
      </c>
      <c r="B97" s="1">
        <v>46064</v>
      </c>
      <c r="C97" t="s">
        <v>336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352</v>
      </c>
      <c r="J97" t="s">
        <v>353</v>
      </c>
      <c r="M97" t="s">
        <v>354</v>
      </c>
      <c r="O97" t="s">
        <v>174</v>
      </c>
      <c r="P97" t="s">
        <v>175</v>
      </c>
      <c r="Q97" t="s">
        <v>339</v>
      </c>
      <c r="R97" t="s">
        <v>50</v>
      </c>
      <c r="S97" s="1">
        <v>46023</v>
      </c>
      <c r="U97" t="s">
        <v>51</v>
      </c>
      <c r="X97" t="s">
        <v>52</v>
      </c>
      <c r="AF97" s="2">
        <v>108</v>
      </c>
      <c r="AG97" s="2">
        <v>0</v>
      </c>
      <c r="AJ97" s="2">
        <v>99.36</v>
      </c>
    </row>
    <row r="98" spans="1:36" x14ac:dyDescent="0.25">
      <c r="A98" s="1">
        <v>46064</v>
      </c>
      <c r="B98" s="1">
        <v>46064</v>
      </c>
      <c r="C98" t="s">
        <v>336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355</v>
      </c>
      <c r="J98" t="s">
        <v>356</v>
      </c>
      <c r="M98" t="s">
        <v>60</v>
      </c>
      <c r="O98" t="s">
        <v>89</v>
      </c>
      <c r="P98" t="s">
        <v>90</v>
      </c>
      <c r="Q98" t="s">
        <v>339</v>
      </c>
      <c r="R98" t="s">
        <v>63</v>
      </c>
      <c r="S98" s="1">
        <v>46023</v>
      </c>
      <c r="U98" t="s">
        <v>51</v>
      </c>
      <c r="X98" t="s">
        <v>52</v>
      </c>
      <c r="AF98" s="2">
        <v>175</v>
      </c>
      <c r="AG98" s="2">
        <v>0</v>
      </c>
      <c r="AJ98" s="2">
        <v>161</v>
      </c>
    </row>
    <row r="99" spans="1:36" x14ac:dyDescent="0.25">
      <c r="A99" s="1">
        <v>46064</v>
      </c>
      <c r="B99" s="1">
        <v>46064</v>
      </c>
      <c r="C99" t="s">
        <v>336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357</v>
      </c>
      <c r="J99" t="s">
        <v>99</v>
      </c>
      <c r="M99" t="s">
        <v>60</v>
      </c>
      <c r="O99" t="s">
        <v>100</v>
      </c>
      <c r="P99" t="s">
        <v>101</v>
      </c>
      <c r="Q99" t="s">
        <v>339</v>
      </c>
      <c r="R99" t="s">
        <v>50</v>
      </c>
      <c r="S99" s="1">
        <v>46023</v>
      </c>
      <c r="U99" t="s">
        <v>51</v>
      </c>
      <c r="X99" t="s">
        <v>52</v>
      </c>
      <c r="AF99" s="2">
        <v>108</v>
      </c>
      <c r="AG99" s="2">
        <v>0</v>
      </c>
      <c r="AJ99" s="2">
        <v>99.36</v>
      </c>
    </row>
    <row r="100" spans="1:36" x14ac:dyDescent="0.25">
      <c r="A100" s="1">
        <v>46064</v>
      </c>
      <c r="B100" s="1">
        <v>46064</v>
      </c>
      <c r="C100" t="s">
        <v>336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358</v>
      </c>
      <c r="J100" t="s">
        <v>359</v>
      </c>
      <c r="M100" t="s">
        <v>118</v>
      </c>
      <c r="O100" t="s">
        <v>119</v>
      </c>
      <c r="P100" t="s">
        <v>120</v>
      </c>
      <c r="Q100" t="s">
        <v>339</v>
      </c>
      <c r="R100" t="s">
        <v>63</v>
      </c>
      <c r="S100" s="1">
        <v>46023</v>
      </c>
      <c r="U100" t="s">
        <v>51</v>
      </c>
      <c r="X100" t="s">
        <v>52</v>
      </c>
      <c r="AF100" s="2">
        <v>175</v>
      </c>
      <c r="AG100" s="2">
        <v>0</v>
      </c>
      <c r="AJ100" s="2">
        <v>161</v>
      </c>
    </row>
    <row r="101" spans="1:36" x14ac:dyDescent="0.25">
      <c r="A101" s="1">
        <v>46064</v>
      </c>
      <c r="B101" s="1">
        <v>46064</v>
      </c>
      <c r="C101" t="s">
        <v>336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360</v>
      </c>
      <c r="J101" t="s">
        <v>361</v>
      </c>
      <c r="M101" t="s">
        <v>60</v>
      </c>
      <c r="O101" t="s">
        <v>100</v>
      </c>
      <c r="P101" t="s">
        <v>101</v>
      </c>
      <c r="Q101" t="s">
        <v>339</v>
      </c>
      <c r="R101" t="s">
        <v>63</v>
      </c>
      <c r="S101" s="1">
        <v>46023</v>
      </c>
      <c r="U101" t="s">
        <v>51</v>
      </c>
      <c r="X101" t="s">
        <v>52</v>
      </c>
      <c r="AF101" s="2">
        <v>175</v>
      </c>
      <c r="AG101" s="2">
        <v>0</v>
      </c>
      <c r="AJ101" s="2">
        <v>161</v>
      </c>
    </row>
    <row r="102" spans="1:36" x14ac:dyDescent="0.25">
      <c r="A102" s="1">
        <v>46064</v>
      </c>
      <c r="B102" s="1">
        <v>46064</v>
      </c>
      <c r="C102" t="s">
        <v>336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362</v>
      </c>
      <c r="J102" t="s">
        <v>363</v>
      </c>
      <c r="M102" t="s">
        <v>60</v>
      </c>
      <c r="O102" t="s">
        <v>61</v>
      </c>
      <c r="P102" t="s">
        <v>62</v>
      </c>
      <c r="Q102" t="s">
        <v>339</v>
      </c>
      <c r="R102" t="s">
        <v>63</v>
      </c>
      <c r="S102" s="1">
        <v>46023</v>
      </c>
      <c r="U102" t="s">
        <v>51</v>
      </c>
      <c r="X102" t="s">
        <v>52</v>
      </c>
      <c r="AF102" s="2">
        <v>175</v>
      </c>
      <c r="AG102" s="2">
        <v>0</v>
      </c>
      <c r="AJ102" s="2">
        <v>161</v>
      </c>
    </row>
    <row r="103" spans="1:36" x14ac:dyDescent="0.25">
      <c r="A103" s="1">
        <v>46064</v>
      </c>
      <c r="B103" s="1">
        <v>46064</v>
      </c>
      <c r="C103" t="s">
        <v>336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364</v>
      </c>
      <c r="J103" t="s">
        <v>365</v>
      </c>
      <c r="M103" t="s">
        <v>60</v>
      </c>
      <c r="O103" t="s">
        <v>239</v>
      </c>
      <c r="P103" t="s">
        <v>240</v>
      </c>
      <c r="Q103" t="s">
        <v>339</v>
      </c>
      <c r="R103" t="s">
        <v>63</v>
      </c>
      <c r="S103" s="1">
        <v>46023</v>
      </c>
      <c r="U103" t="s">
        <v>51</v>
      </c>
      <c r="X103" t="s">
        <v>52</v>
      </c>
      <c r="AF103" s="2">
        <v>175</v>
      </c>
      <c r="AG103" s="2">
        <v>0</v>
      </c>
      <c r="AJ103" s="2">
        <v>175</v>
      </c>
    </row>
    <row r="104" spans="1:36" x14ac:dyDescent="0.25">
      <c r="A104" s="1">
        <v>46064</v>
      </c>
      <c r="B104" s="1">
        <v>46064</v>
      </c>
      <c r="C104" t="s">
        <v>336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366</v>
      </c>
      <c r="J104" t="s">
        <v>109</v>
      </c>
      <c r="M104" t="s">
        <v>60</v>
      </c>
      <c r="O104" t="s">
        <v>110</v>
      </c>
      <c r="P104" t="s">
        <v>111</v>
      </c>
      <c r="Q104" t="s">
        <v>339</v>
      </c>
      <c r="R104" t="s">
        <v>63</v>
      </c>
      <c r="S104" s="1">
        <v>46023</v>
      </c>
      <c r="U104" t="s">
        <v>51</v>
      </c>
      <c r="X104" t="s">
        <v>52</v>
      </c>
      <c r="AF104" s="2">
        <v>175</v>
      </c>
      <c r="AG104" s="2">
        <v>0</v>
      </c>
      <c r="AJ104" s="2">
        <v>161</v>
      </c>
    </row>
    <row r="105" spans="1:36" x14ac:dyDescent="0.25">
      <c r="A105" s="1">
        <v>46064</v>
      </c>
      <c r="B105" s="1">
        <v>46064</v>
      </c>
      <c r="C105" t="s">
        <v>336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367</v>
      </c>
      <c r="J105" t="s">
        <v>113</v>
      </c>
      <c r="M105" t="s">
        <v>55</v>
      </c>
      <c r="O105" t="s">
        <v>114</v>
      </c>
      <c r="P105" t="s">
        <v>115</v>
      </c>
      <c r="Q105" t="s">
        <v>339</v>
      </c>
      <c r="R105" t="s">
        <v>63</v>
      </c>
      <c r="S105" s="1">
        <v>46023</v>
      </c>
      <c r="U105" t="s">
        <v>51</v>
      </c>
      <c r="X105" t="s">
        <v>52</v>
      </c>
      <c r="AF105" s="2">
        <v>175</v>
      </c>
      <c r="AG105" s="2">
        <v>0</v>
      </c>
      <c r="AJ105" s="2">
        <v>161</v>
      </c>
    </row>
    <row r="106" spans="1:36" x14ac:dyDescent="0.25">
      <c r="A106" s="1">
        <v>46064</v>
      </c>
      <c r="B106" s="1">
        <v>46064</v>
      </c>
      <c r="C106" t="s">
        <v>336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368</v>
      </c>
      <c r="J106" t="s">
        <v>117</v>
      </c>
      <c r="M106" t="s">
        <v>118</v>
      </c>
      <c r="O106" t="s">
        <v>119</v>
      </c>
      <c r="P106" t="s">
        <v>120</v>
      </c>
      <c r="Q106" t="s">
        <v>339</v>
      </c>
      <c r="R106" t="s">
        <v>63</v>
      </c>
      <c r="S106" s="1">
        <v>46023</v>
      </c>
      <c r="U106" t="s">
        <v>51</v>
      </c>
      <c r="X106" t="s">
        <v>52</v>
      </c>
      <c r="AF106" s="2">
        <v>175</v>
      </c>
      <c r="AG106" s="2">
        <v>0</v>
      </c>
      <c r="AJ106" s="2">
        <v>161</v>
      </c>
    </row>
    <row r="107" spans="1:36" x14ac:dyDescent="0.25">
      <c r="A107" s="1">
        <v>46064</v>
      </c>
      <c r="B107" s="1">
        <v>46064</v>
      </c>
      <c r="C107" t="s">
        <v>336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369</v>
      </c>
      <c r="J107" t="s">
        <v>370</v>
      </c>
      <c r="M107" t="s">
        <v>371</v>
      </c>
      <c r="O107" t="s">
        <v>47</v>
      </c>
      <c r="P107" t="s">
        <v>48</v>
      </c>
      <c r="Q107" t="s">
        <v>339</v>
      </c>
      <c r="R107" t="s">
        <v>63</v>
      </c>
      <c r="S107" s="1">
        <v>46054</v>
      </c>
      <c r="U107" t="s">
        <v>51</v>
      </c>
      <c r="X107" t="s">
        <v>52</v>
      </c>
      <c r="AF107" s="2">
        <v>175</v>
      </c>
      <c r="AG107" s="2">
        <v>0</v>
      </c>
      <c r="AJ107" s="2">
        <v>175</v>
      </c>
    </row>
    <row r="108" spans="1:36" x14ac:dyDescent="0.25">
      <c r="A108" s="1">
        <v>46064</v>
      </c>
      <c r="B108" s="1">
        <v>46064</v>
      </c>
      <c r="C108" t="s">
        <v>336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372</v>
      </c>
      <c r="J108" t="s">
        <v>373</v>
      </c>
      <c r="M108" t="s">
        <v>60</v>
      </c>
      <c r="O108" t="s">
        <v>374</v>
      </c>
      <c r="P108" t="s">
        <v>375</v>
      </c>
      <c r="Q108" t="s">
        <v>339</v>
      </c>
      <c r="R108" t="s">
        <v>63</v>
      </c>
      <c r="S108" s="1">
        <v>46054</v>
      </c>
      <c r="U108" t="s">
        <v>51</v>
      </c>
      <c r="X108" t="s">
        <v>52</v>
      </c>
      <c r="AF108" s="2">
        <v>175</v>
      </c>
      <c r="AG108" s="2">
        <v>0</v>
      </c>
      <c r="AJ108" s="2">
        <v>175</v>
      </c>
    </row>
    <row r="109" spans="1:36" x14ac:dyDescent="0.25">
      <c r="A109" s="1">
        <v>46064</v>
      </c>
      <c r="B109" s="1">
        <v>46064</v>
      </c>
      <c r="C109" t="s">
        <v>336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376</v>
      </c>
      <c r="J109" t="s">
        <v>377</v>
      </c>
      <c r="O109" t="s">
        <v>72</v>
      </c>
      <c r="P109" t="s">
        <v>73</v>
      </c>
      <c r="Q109" t="s">
        <v>339</v>
      </c>
      <c r="R109" t="s">
        <v>263</v>
      </c>
      <c r="S109" s="1">
        <v>46023</v>
      </c>
      <c r="U109" t="s">
        <v>51</v>
      </c>
      <c r="X109" t="s">
        <v>52</v>
      </c>
      <c r="AF109" s="2">
        <v>25</v>
      </c>
      <c r="AG109" s="2">
        <v>0</v>
      </c>
      <c r="AJ109" s="2">
        <v>25</v>
      </c>
    </row>
    <row r="110" spans="1:36" x14ac:dyDescent="0.25">
      <c r="A110" s="1">
        <v>46064</v>
      </c>
      <c r="B110" s="1">
        <v>46064</v>
      </c>
      <c r="C110" t="s">
        <v>336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378</v>
      </c>
      <c r="J110" t="s">
        <v>379</v>
      </c>
      <c r="M110" t="s">
        <v>214</v>
      </c>
      <c r="O110" t="s">
        <v>261</v>
      </c>
      <c r="P110" t="s">
        <v>262</v>
      </c>
      <c r="Q110" t="s">
        <v>339</v>
      </c>
      <c r="R110" t="s">
        <v>263</v>
      </c>
      <c r="S110" s="1">
        <v>46023</v>
      </c>
      <c r="U110" t="s">
        <v>51</v>
      </c>
      <c r="X110" t="s">
        <v>52</v>
      </c>
      <c r="AF110" s="2">
        <v>25</v>
      </c>
      <c r="AG110" s="2">
        <v>0</v>
      </c>
      <c r="AJ110" s="2">
        <v>25</v>
      </c>
    </row>
    <row r="111" spans="1:36" x14ac:dyDescent="0.25">
      <c r="A111" s="1">
        <v>46064</v>
      </c>
      <c r="B111" s="1">
        <v>46064</v>
      </c>
      <c r="C111" t="s">
        <v>336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380</v>
      </c>
      <c r="J111" t="s">
        <v>381</v>
      </c>
      <c r="M111" t="s">
        <v>60</v>
      </c>
      <c r="O111" t="s">
        <v>84</v>
      </c>
      <c r="P111" t="s">
        <v>85</v>
      </c>
      <c r="Q111" t="s">
        <v>339</v>
      </c>
      <c r="R111" t="s">
        <v>263</v>
      </c>
      <c r="S111" s="1">
        <v>46023</v>
      </c>
      <c r="U111" t="s">
        <v>51</v>
      </c>
      <c r="X111" t="s">
        <v>52</v>
      </c>
      <c r="AF111" s="2">
        <v>25</v>
      </c>
      <c r="AG111" s="2">
        <v>0</v>
      </c>
      <c r="AJ111" s="2">
        <v>25</v>
      </c>
    </row>
    <row r="112" spans="1:36" x14ac:dyDescent="0.25">
      <c r="A112" s="1">
        <v>46064</v>
      </c>
      <c r="B112" s="1">
        <v>46064</v>
      </c>
      <c r="C112" t="s">
        <v>336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382</v>
      </c>
      <c r="J112" t="s">
        <v>383</v>
      </c>
      <c r="M112" t="s">
        <v>60</v>
      </c>
      <c r="O112" t="s">
        <v>342</v>
      </c>
      <c r="P112" t="s">
        <v>343</v>
      </c>
      <c r="Q112" t="s">
        <v>339</v>
      </c>
      <c r="R112" t="s">
        <v>291</v>
      </c>
      <c r="S112" s="1">
        <v>46023</v>
      </c>
      <c r="U112" t="s">
        <v>51</v>
      </c>
      <c r="X112" t="s">
        <v>52</v>
      </c>
      <c r="AF112" s="2">
        <v>100</v>
      </c>
      <c r="AG112" s="2">
        <v>0</v>
      </c>
      <c r="AJ112" s="2">
        <v>100</v>
      </c>
    </row>
    <row r="113" spans="1:36" x14ac:dyDescent="0.25">
      <c r="A113" s="1">
        <v>46064</v>
      </c>
      <c r="B113" s="1">
        <v>46064</v>
      </c>
      <c r="C113" t="s">
        <v>336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384</v>
      </c>
      <c r="J113" t="s">
        <v>385</v>
      </c>
      <c r="M113" t="s">
        <v>154</v>
      </c>
      <c r="O113" t="s">
        <v>119</v>
      </c>
      <c r="P113" t="s">
        <v>120</v>
      </c>
      <c r="Q113" t="s">
        <v>339</v>
      </c>
      <c r="R113" t="s">
        <v>386</v>
      </c>
      <c r="S113" s="1">
        <v>46023</v>
      </c>
      <c r="U113" t="s">
        <v>51</v>
      </c>
      <c r="X113" t="s">
        <v>52</v>
      </c>
      <c r="AF113" s="2">
        <v>50</v>
      </c>
      <c r="AG113" s="2">
        <v>0</v>
      </c>
      <c r="AJ113" s="2">
        <v>50</v>
      </c>
    </row>
    <row r="114" spans="1:36" x14ac:dyDescent="0.25">
      <c r="A114" s="1">
        <v>46064</v>
      </c>
      <c r="B114" s="1">
        <v>46064</v>
      </c>
      <c r="C114" t="s">
        <v>336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387</v>
      </c>
      <c r="J114" t="s">
        <v>388</v>
      </c>
      <c r="M114" t="s">
        <v>60</v>
      </c>
      <c r="O114" t="s">
        <v>136</v>
      </c>
      <c r="P114" t="s">
        <v>137</v>
      </c>
      <c r="Q114" t="s">
        <v>339</v>
      </c>
      <c r="R114" t="s">
        <v>389</v>
      </c>
      <c r="S114" s="1">
        <v>46023</v>
      </c>
      <c r="U114" t="s">
        <v>51</v>
      </c>
      <c r="X114" t="s">
        <v>52</v>
      </c>
      <c r="AF114" s="2">
        <v>175</v>
      </c>
      <c r="AG114" s="2">
        <v>0</v>
      </c>
      <c r="AJ114" s="2">
        <v>160.41999999999999</v>
      </c>
    </row>
    <row r="115" spans="1:36" x14ac:dyDescent="0.25">
      <c r="A115" s="1">
        <v>46064</v>
      </c>
      <c r="B115" s="1">
        <v>46064</v>
      </c>
      <c r="C115" t="s">
        <v>336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390</v>
      </c>
      <c r="J115" t="s">
        <v>388</v>
      </c>
      <c r="M115" t="s">
        <v>60</v>
      </c>
      <c r="O115" t="s">
        <v>136</v>
      </c>
      <c r="P115" t="s">
        <v>137</v>
      </c>
      <c r="Q115" t="s">
        <v>339</v>
      </c>
      <c r="R115" t="s">
        <v>391</v>
      </c>
      <c r="S115" s="1">
        <v>46023</v>
      </c>
      <c r="U115" t="s">
        <v>51</v>
      </c>
      <c r="X115" t="s">
        <v>52</v>
      </c>
      <c r="AF115" s="2">
        <v>694</v>
      </c>
      <c r="AG115" s="2">
        <v>0</v>
      </c>
      <c r="AJ115" s="2">
        <v>636.16999999999996</v>
      </c>
    </row>
    <row r="116" spans="1:36" x14ac:dyDescent="0.25">
      <c r="A116" s="1">
        <v>46064</v>
      </c>
      <c r="B116" s="1">
        <v>46064</v>
      </c>
      <c r="C116" t="s">
        <v>336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392</v>
      </c>
      <c r="J116" t="s">
        <v>141</v>
      </c>
      <c r="M116" t="s">
        <v>142</v>
      </c>
      <c r="O116" t="s">
        <v>143</v>
      </c>
      <c r="P116" t="s">
        <v>144</v>
      </c>
      <c r="Q116" t="s">
        <v>339</v>
      </c>
      <c r="R116" t="s">
        <v>286</v>
      </c>
      <c r="S116" s="1">
        <v>46023</v>
      </c>
      <c r="U116" t="s">
        <v>51</v>
      </c>
      <c r="X116" t="s">
        <v>52</v>
      </c>
      <c r="AF116" s="2">
        <v>347</v>
      </c>
      <c r="AG116" s="2">
        <v>0</v>
      </c>
      <c r="AJ116" s="2">
        <v>347</v>
      </c>
    </row>
    <row r="117" spans="1:36" x14ac:dyDescent="0.25">
      <c r="A117" s="1">
        <v>46064</v>
      </c>
      <c r="B117" s="1">
        <v>46064</v>
      </c>
      <c r="C117" t="s">
        <v>336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393</v>
      </c>
      <c r="J117" t="s">
        <v>141</v>
      </c>
      <c r="M117" t="s">
        <v>142</v>
      </c>
      <c r="O117" t="s">
        <v>143</v>
      </c>
      <c r="P117" t="s">
        <v>144</v>
      </c>
      <c r="Q117" t="s">
        <v>339</v>
      </c>
      <c r="R117" t="s">
        <v>288</v>
      </c>
      <c r="S117" s="1">
        <v>46023</v>
      </c>
      <c r="U117" t="s">
        <v>51</v>
      </c>
      <c r="X117" t="s">
        <v>52</v>
      </c>
      <c r="AF117" s="2">
        <v>175</v>
      </c>
      <c r="AG117" s="2">
        <v>0</v>
      </c>
      <c r="AJ117" s="2">
        <v>175</v>
      </c>
    </row>
    <row r="118" spans="1:36" x14ac:dyDescent="0.25">
      <c r="A118" s="1">
        <v>46064</v>
      </c>
      <c r="B118" s="1">
        <v>46064</v>
      </c>
      <c r="C118" t="s">
        <v>336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394</v>
      </c>
      <c r="J118" t="s">
        <v>395</v>
      </c>
      <c r="M118" t="s">
        <v>60</v>
      </c>
      <c r="O118" t="s">
        <v>84</v>
      </c>
      <c r="P118" t="s">
        <v>85</v>
      </c>
      <c r="Q118" t="s">
        <v>339</v>
      </c>
      <c r="R118" t="s">
        <v>396</v>
      </c>
      <c r="S118" s="1">
        <v>46023</v>
      </c>
      <c r="U118" t="s">
        <v>51</v>
      </c>
      <c r="X118" t="s">
        <v>52</v>
      </c>
      <c r="AF118" s="2">
        <v>694</v>
      </c>
      <c r="AG118" s="2">
        <v>0</v>
      </c>
      <c r="AJ118" s="2">
        <v>694</v>
      </c>
    </row>
    <row r="119" spans="1:36" x14ac:dyDescent="0.25">
      <c r="A119" s="1">
        <v>46064</v>
      </c>
      <c r="B119" s="1">
        <v>46064</v>
      </c>
      <c r="C119" t="s">
        <v>336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397</v>
      </c>
      <c r="J119" t="s">
        <v>395</v>
      </c>
      <c r="M119" t="s">
        <v>60</v>
      </c>
      <c r="O119" t="s">
        <v>84</v>
      </c>
      <c r="P119" t="s">
        <v>85</v>
      </c>
      <c r="Q119" t="s">
        <v>339</v>
      </c>
      <c r="R119" t="s">
        <v>288</v>
      </c>
      <c r="S119" s="1">
        <v>46023</v>
      </c>
      <c r="U119" t="s">
        <v>51</v>
      </c>
      <c r="X119" t="s">
        <v>52</v>
      </c>
      <c r="AF119" s="2">
        <v>175</v>
      </c>
      <c r="AG119" s="2">
        <v>0</v>
      </c>
      <c r="AJ119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353F-FA3E-404A-8BAC-49403AAA7324}">
  <dimension ref="A1:R117"/>
  <sheetViews>
    <sheetView topLeftCell="B116" workbookViewId="0">
      <selection activeCell="Q2" sqref="Q2:Q116"/>
    </sheetView>
  </sheetViews>
  <sheetFormatPr defaultRowHeight="15" x14ac:dyDescent="0.25"/>
  <cols>
    <col min="1" max="1" width="16" bestFit="1" customWidth="1"/>
    <col min="2" max="2" width="16" customWidth="1"/>
    <col min="3" max="3" width="27.28515625" bestFit="1" customWidth="1"/>
    <col min="6" max="6" width="27.28515625" bestFit="1" customWidth="1"/>
    <col min="8" max="8" width="26.7109375" customWidth="1"/>
    <col min="15" max="15" width="15.42578125" customWidth="1"/>
    <col min="16" max="16" width="34.85546875" bestFit="1" customWidth="1"/>
    <col min="17" max="17" width="24.140625" bestFit="1" customWidth="1"/>
  </cols>
  <sheetData>
    <row r="1" spans="1:16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6" x14ac:dyDescent="0.25">
      <c r="A2" s="4">
        <v>101134784500</v>
      </c>
      <c r="B2" s="4" t="str">
        <f>CONCATENATE(A2,"OVR")</f>
        <v>101134784500OVR</v>
      </c>
      <c r="C2" t="s">
        <v>260</v>
      </c>
      <c r="D2" t="s">
        <v>214</v>
      </c>
      <c r="E2">
        <v>20411454</v>
      </c>
      <c r="F2" t="s">
        <v>497</v>
      </c>
      <c r="G2" t="s">
        <v>49</v>
      </c>
      <c r="H2" t="s">
        <v>263</v>
      </c>
      <c r="I2" s="1">
        <v>46023</v>
      </c>
      <c r="J2" s="2">
        <v>0</v>
      </c>
      <c r="K2" s="2">
        <v>25</v>
      </c>
      <c r="L2">
        <v>1</v>
      </c>
      <c r="M2" s="3">
        <v>1</v>
      </c>
      <c r="N2" s="2">
        <v>25</v>
      </c>
      <c r="P2" t="s">
        <v>483</v>
      </c>
    </row>
    <row r="3" spans="1:16" x14ac:dyDescent="0.25">
      <c r="A3" s="4">
        <v>101530995100</v>
      </c>
      <c r="B3" s="4" t="str">
        <f t="shared" ref="B3:B66" si="0">CONCATENATE(A3,"OVR")</f>
        <v>101530995100OVR</v>
      </c>
      <c r="C3" t="s">
        <v>377</v>
      </c>
      <c r="E3">
        <v>20411454</v>
      </c>
      <c r="F3" t="s">
        <v>497</v>
      </c>
      <c r="G3" t="s">
        <v>339</v>
      </c>
      <c r="H3" t="s">
        <v>263</v>
      </c>
      <c r="I3" s="1">
        <v>46023</v>
      </c>
      <c r="N3">
        <v>-25</v>
      </c>
      <c r="P3" t="s">
        <v>483</v>
      </c>
    </row>
    <row r="4" spans="1:16" x14ac:dyDescent="0.25">
      <c r="A4" s="4">
        <v>102152552400</v>
      </c>
      <c r="B4" s="4" t="str">
        <f t="shared" si="0"/>
        <v>102152552400OVR</v>
      </c>
      <c r="C4" t="s">
        <v>379</v>
      </c>
      <c r="D4" t="s">
        <v>214</v>
      </c>
      <c r="E4">
        <v>20411454</v>
      </c>
      <c r="F4" t="s">
        <v>497</v>
      </c>
      <c r="G4" t="s">
        <v>339</v>
      </c>
      <c r="H4" t="s">
        <v>263</v>
      </c>
      <c r="I4" s="1">
        <v>46023</v>
      </c>
      <c r="N4">
        <v>-25</v>
      </c>
      <c r="P4" t="s">
        <v>483</v>
      </c>
    </row>
    <row r="5" spans="1:16" x14ac:dyDescent="0.25">
      <c r="A5" s="4">
        <v>102178830400</v>
      </c>
      <c r="B5" s="4" t="str">
        <f t="shared" si="0"/>
        <v>102178830400OVR</v>
      </c>
      <c r="C5" t="s">
        <v>381</v>
      </c>
      <c r="D5" t="s">
        <v>60</v>
      </c>
      <c r="E5">
        <v>20411454</v>
      </c>
      <c r="F5" t="s">
        <v>497</v>
      </c>
      <c r="G5" t="s">
        <v>339</v>
      </c>
      <c r="H5" t="s">
        <v>263</v>
      </c>
      <c r="I5" s="1">
        <v>46023</v>
      </c>
      <c r="N5">
        <v>-25</v>
      </c>
      <c r="P5" t="s">
        <v>483</v>
      </c>
    </row>
    <row r="6" spans="1:16" x14ac:dyDescent="0.25">
      <c r="A6" s="4">
        <v>101197552500</v>
      </c>
      <c r="B6" s="4" t="str">
        <f t="shared" si="0"/>
        <v>101197552500OVR</v>
      </c>
      <c r="C6" t="s">
        <v>265</v>
      </c>
      <c r="D6" t="s">
        <v>71</v>
      </c>
      <c r="E6">
        <v>20411454</v>
      </c>
      <c r="F6" t="s">
        <v>497</v>
      </c>
      <c r="G6" t="s">
        <v>49</v>
      </c>
      <c r="H6" t="s">
        <v>266</v>
      </c>
      <c r="I6" s="1">
        <v>46054</v>
      </c>
      <c r="J6" s="2">
        <v>0</v>
      </c>
      <c r="K6" s="2">
        <v>22.92</v>
      </c>
      <c r="L6">
        <v>1</v>
      </c>
      <c r="M6" s="3">
        <v>1</v>
      </c>
      <c r="N6" s="2">
        <v>22.92</v>
      </c>
      <c r="O6" t="s">
        <v>267</v>
      </c>
      <c r="P6" t="s">
        <v>483</v>
      </c>
    </row>
    <row r="7" spans="1:16" x14ac:dyDescent="0.25">
      <c r="A7" s="4">
        <v>101216911700</v>
      </c>
      <c r="B7" s="4" t="str">
        <f t="shared" si="0"/>
        <v>101216911700OVR</v>
      </c>
      <c r="C7" t="s">
        <v>269</v>
      </c>
      <c r="D7" t="s">
        <v>60</v>
      </c>
      <c r="E7">
        <v>20411454</v>
      </c>
      <c r="F7" t="s">
        <v>497</v>
      </c>
      <c r="G7" t="s">
        <v>49</v>
      </c>
      <c r="H7" t="s">
        <v>266</v>
      </c>
      <c r="I7" s="1">
        <v>46054</v>
      </c>
      <c r="J7" s="2">
        <v>0</v>
      </c>
      <c r="K7" s="2">
        <v>22.92</v>
      </c>
      <c r="L7">
        <v>1</v>
      </c>
      <c r="M7" s="3">
        <v>1</v>
      </c>
      <c r="N7" s="2">
        <v>22.92</v>
      </c>
      <c r="O7" t="s">
        <v>267</v>
      </c>
      <c r="P7" t="s">
        <v>483</v>
      </c>
    </row>
    <row r="8" spans="1:16" x14ac:dyDescent="0.25">
      <c r="A8" s="4">
        <v>102259605300</v>
      </c>
      <c r="B8" s="4" t="str">
        <f t="shared" si="0"/>
        <v>102259605300OVR</v>
      </c>
      <c r="C8" t="s">
        <v>271</v>
      </c>
      <c r="D8" t="s">
        <v>214</v>
      </c>
      <c r="E8">
        <v>20411454</v>
      </c>
      <c r="F8" t="s">
        <v>497</v>
      </c>
      <c r="G8" t="s">
        <v>49</v>
      </c>
      <c r="H8" t="s">
        <v>266</v>
      </c>
      <c r="I8" s="1">
        <v>46082</v>
      </c>
      <c r="J8" s="2">
        <v>0</v>
      </c>
      <c r="K8" s="2">
        <v>20.83</v>
      </c>
      <c r="L8">
        <v>1</v>
      </c>
      <c r="M8" s="3">
        <v>1</v>
      </c>
      <c r="N8" s="2">
        <v>20.83</v>
      </c>
      <c r="O8" t="s">
        <v>272</v>
      </c>
      <c r="P8" t="s">
        <v>483</v>
      </c>
    </row>
    <row r="9" spans="1:16" x14ac:dyDescent="0.25">
      <c r="A9" s="4">
        <v>102259630500</v>
      </c>
      <c r="B9" s="4" t="str">
        <f t="shared" si="0"/>
        <v>102259630500OVR</v>
      </c>
      <c r="C9" t="s">
        <v>103</v>
      </c>
      <c r="D9" t="s">
        <v>55</v>
      </c>
      <c r="E9">
        <v>20411454</v>
      </c>
      <c r="F9" t="s">
        <v>497</v>
      </c>
      <c r="G9" t="s">
        <v>49</v>
      </c>
      <c r="H9" t="s">
        <v>266</v>
      </c>
      <c r="I9" s="1">
        <v>46054</v>
      </c>
      <c r="J9" s="2">
        <v>0</v>
      </c>
      <c r="K9" s="2">
        <v>22.92</v>
      </c>
      <c r="L9">
        <v>1</v>
      </c>
      <c r="M9" s="3">
        <v>1</v>
      </c>
      <c r="N9" s="2">
        <v>22.92</v>
      </c>
      <c r="O9" t="s">
        <v>267</v>
      </c>
      <c r="P9" t="s">
        <v>483</v>
      </c>
    </row>
    <row r="10" spans="1:16" x14ac:dyDescent="0.25">
      <c r="A10" s="4">
        <v>102259889900</v>
      </c>
      <c r="B10" s="4" t="str">
        <f t="shared" si="0"/>
        <v>102259889900OVR</v>
      </c>
      <c r="C10" t="s">
        <v>275</v>
      </c>
      <c r="D10" t="s">
        <v>214</v>
      </c>
      <c r="E10">
        <v>20411454</v>
      </c>
      <c r="F10" t="s">
        <v>497</v>
      </c>
      <c r="G10" t="s">
        <v>49</v>
      </c>
      <c r="H10" t="s">
        <v>266</v>
      </c>
      <c r="I10" s="1">
        <v>46054</v>
      </c>
      <c r="J10" s="2">
        <v>0</v>
      </c>
      <c r="K10" s="2">
        <v>22.92</v>
      </c>
      <c r="L10">
        <v>1</v>
      </c>
      <c r="M10" s="3">
        <v>1</v>
      </c>
      <c r="N10" s="2">
        <v>22.92</v>
      </c>
      <c r="O10" t="s">
        <v>267</v>
      </c>
      <c r="P10" t="s">
        <v>483</v>
      </c>
    </row>
    <row r="11" spans="1:16" x14ac:dyDescent="0.25">
      <c r="A11" s="4">
        <v>102260467100</v>
      </c>
      <c r="B11" s="4" t="str">
        <f t="shared" si="0"/>
        <v>102260467100OVR</v>
      </c>
      <c r="C11" t="s">
        <v>279</v>
      </c>
      <c r="D11" t="s">
        <v>214</v>
      </c>
      <c r="E11">
        <v>20411454</v>
      </c>
      <c r="F11" t="s">
        <v>497</v>
      </c>
      <c r="G11" t="s">
        <v>49</v>
      </c>
      <c r="H11" t="s">
        <v>266</v>
      </c>
      <c r="I11" s="1">
        <v>46054</v>
      </c>
      <c r="J11" s="2">
        <v>0</v>
      </c>
      <c r="K11" s="2">
        <v>22.92</v>
      </c>
      <c r="L11">
        <v>1</v>
      </c>
      <c r="M11" s="3">
        <v>1</v>
      </c>
      <c r="N11" s="2">
        <v>22.92</v>
      </c>
      <c r="O11" t="s">
        <v>267</v>
      </c>
      <c r="P11" t="s">
        <v>483</v>
      </c>
    </row>
    <row r="12" spans="1:16" x14ac:dyDescent="0.25">
      <c r="A12" s="4">
        <v>102260854400</v>
      </c>
      <c r="B12" s="4" t="str">
        <f t="shared" si="0"/>
        <v>102260854400OVR</v>
      </c>
      <c r="C12" t="s">
        <v>281</v>
      </c>
      <c r="D12" t="s">
        <v>214</v>
      </c>
      <c r="E12">
        <v>20411454</v>
      </c>
      <c r="F12" t="s">
        <v>497</v>
      </c>
      <c r="G12" t="s">
        <v>49</v>
      </c>
      <c r="H12" t="s">
        <v>266</v>
      </c>
      <c r="I12" s="1">
        <v>46054</v>
      </c>
      <c r="J12" s="2">
        <v>0</v>
      </c>
      <c r="K12" s="2">
        <v>22.92</v>
      </c>
      <c r="L12">
        <v>1</v>
      </c>
      <c r="M12" s="3">
        <v>1</v>
      </c>
      <c r="N12" s="2">
        <v>22.92</v>
      </c>
      <c r="O12" t="s">
        <v>267</v>
      </c>
      <c r="P12" t="s">
        <v>483</v>
      </c>
    </row>
    <row r="13" spans="1:16" x14ac:dyDescent="0.25">
      <c r="A13" s="4" t="s">
        <v>398</v>
      </c>
      <c r="B13" s="4" t="str">
        <f t="shared" si="0"/>
        <v>25R6A4R22OVR</v>
      </c>
      <c r="C13" t="s">
        <v>290</v>
      </c>
      <c r="D13" t="s">
        <v>60</v>
      </c>
      <c r="E13">
        <v>20411454</v>
      </c>
      <c r="F13" t="s">
        <v>497</v>
      </c>
      <c r="G13" t="s">
        <v>49</v>
      </c>
      <c r="H13" t="s">
        <v>291</v>
      </c>
      <c r="I13" s="1">
        <v>46054</v>
      </c>
      <c r="J13" s="2">
        <v>0</v>
      </c>
      <c r="K13" s="2">
        <v>100</v>
      </c>
      <c r="L13">
        <v>1</v>
      </c>
      <c r="M13" s="3">
        <v>1</v>
      </c>
      <c r="N13" s="2">
        <v>100</v>
      </c>
      <c r="P13" t="s">
        <v>484</v>
      </c>
    </row>
    <row r="14" spans="1:16" x14ac:dyDescent="0.25">
      <c r="A14" s="4" t="s">
        <v>399</v>
      </c>
      <c r="B14" s="4" t="str">
        <f t="shared" si="0"/>
        <v>69H7U6A93OVR</v>
      </c>
      <c r="C14" t="s">
        <v>293</v>
      </c>
      <c r="D14" t="s">
        <v>93</v>
      </c>
      <c r="E14">
        <v>20411454</v>
      </c>
      <c r="F14" t="s">
        <v>497</v>
      </c>
      <c r="G14" t="s">
        <v>49</v>
      </c>
      <c r="H14" t="s">
        <v>291</v>
      </c>
      <c r="I14" s="1">
        <v>46054</v>
      </c>
      <c r="J14" s="2">
        <v>0</v>
      </c>
      <c r="K14" s="2">
        <v>100</v>
      </c>
      <c r="L14">
        <v>1</v>
      </c>
      <c r="M14" s="3">
        <v>1</v>
      </c>
      <c r="N14" s="2">
        <v>100</v>
      </c>
      <c r="P14" t="s">
        <v>484</v>
      </c>
    </row>
    <row r="15" spans="1:16" x14ac:dyDescent="0.25">
      <c r="A15" s="4" t="s">
        <v>477</v>
      </c>
      <c r="B15" s="4" t="str">
        <f t="shared" si="0"/>
        <v>56H4X5A78OVR</v>
      </c>
      <c r="C15" t="s">
        <v>383</v>
      </c>
      <c r="D15" t="s">
        <v>60</v>
      </c>
      <c r="E15">
        <v>20411454</v>
      </c>
      <c r="F15" t="s">
        <v>497</v>
      </c>
      <c r="G15" t="s">
        <v>339</v>
      </c>
      <c r="H15" t="s">
        <v>291</v>
      </c>
      <c r="I15" s="1">
        <v>46023</v>
      </c>
      <c r="N15">
        <v>-100</v>
      </c>
      <c r="P15" t="s">
        <v>484</v>
      </c>
    </row>
    <row r="16" spans="1:16" x14ac:dyDescent="0.25">
      <c r="A16" s="4" t="s">
        <v>478</v>
      </c>
      <c r="B16" s="4" t="str">
        <f t="shared" si="0"/>
        <v>71L1A1F62OVR</v>
      </c>
      <c r="C16" t="s">
        <v>385</v>
      </c>
      <c r="D16" t="s">
        <v>154</v>
      </c>
      <c r="E16">
        <v>20411454</v>
      </c>
      <c r="F16" t="s">
        <v>497</v>
      </c>
      <c r="G16" t="s">
        <v>339</v>
      </c>
      <c r="H16" t="s">
        <v>386</v>
      </c>
      <c r="I16" s="1">
        <v>46023</v>
      </c>
      <c r="N16">
        <v>-50</v>
      </c>
      <c r="P16" t="s">
        <v>484</v>
      </c>
    </row>
    <row r="17" spans="1:16" x14ac:dyDescent="0.25">
      <c r="A17" s="4" t="s">
        <v>400</v>
      </c>
      <c r="B17" s="4" t="str">
        <f t="shared" si="0"/>
        <v>00008073516KOVR</v>
      </c>
      <c r="C17" t="s">
        <v>59</v>
      </c>
      <c r="D17" t="s">
        <v>60</v>
      </c>
      <c r="E17">
        <v>20411454</v>
      </c>
      <c r="F17" t="s">
        <v>497</v>
      </c>
      <c r="G17" t="s">
        <v>49</v>
      </c>
      <c r="H17" t="s">
        <v>63</v>
      </c>
      <c r="I17" s="1">
        <v>46054</v>
      </c>
      <c r="J17" s="2">
        <v>0</v>
      </c>
      <c r="K17" s="2">
        <v>175</v>
      </c>
      <c r="L17">
        <v>1</v>
      </c>
      <c r="M17" s="3">
        <v>1</v>
      </c>
      <c r="N17" s="2">
        <v>175</v>
      </c>
      <c r="P17" t="s">
        <v>485</v>
      </c>
    </row>
    <row r="18" spans="1:16" x14ac:dyDescent="0.25">
      <c r="A18" s="4" t="s">
        <v>401</v>
      </c>
      <c r="B18" s="4" t="str">
        <f t="shared" si="0"/>
        <v>00008790290KOVR</v>
      </c>
      <c r="C18" t="s">
        <v>65</v>
      </c>
      <c r="D18" t="s">
        <v>66</v>
      </c>
      <c r="E18">
        <v>20411454</v>
      </c>
      <c r="F18" t="s">
        <v>497</v>
      </c>
      <c r="G18" t="s">
        <v>49</v>
      </c>
      <c r="H18" t="s">
        <v>63</v>
      </c>
      <c r="I18" s="1">
        <v>46054</v>
      </c>
      <c r="J18" s="2">
        <v>0</v>
      </c>
      <c r="K18" s="2">
        <v>175</v>
      </c>
      <c r="L18">
        <v>1</v>
      </c>
      <c r="M18" s="3">
        <v>1</v>
      </c>
      <c r="N18" s="2">
        <v>175</v>
      </c>
      <c r="P18" t="s">
        <v>485</v>
      </c>
    </row>
    <row r="19" spans="1:16" x14ac:dyDescent="0.25">
      <c r="A19" s="4" t="s">
        <v>402</v>
      </c>
      <c r="B19" s="4" t="str">
        <f t="shared" si="0"/>
        <v>00012361676KOVR</v>
      </c>
      <c r="C19" t="s">
        <v>70</v>
      </c>
      <c r="D19" t="s">
        <v>71</v>
      </c>
      <c r="E19">
        <v>20411454</v>
      </c>
      <c r="F19" t="s">
        <v>497</v>
      </c>
      <c r="G19" t="s">
        <v>49</v>
      </c>
      <c r="H19" t="s">
        <v>63</v>
      </c>
      <c r="I19" s="1">
        <v>46054</v>
      </c>
      <c r="J19" s="2">
        <v>0</v>
      </c>
      <c r="K19" s="2">
        <v>175</v>
      </c>
      <c r="L19">
        <v>1</v>
      </c>
      <c r="M19" s="3">
        <v>1</v>
      </c>
      <c r="N19" s="2">
        <v>175</v>
      </c>
      <c r="P19" t="s">
        <v>485</v>
      </c>
    </row>
    <row r="20" spans="1:16" x14ac:dyDescent="0.25">
      <c r="A20" s="4" t="s">
        <v>403</v>
      </c>
      <c r="B20" s="4" t="str">
        <f t="shared" si="0"/>
        <v>00014556666KOVR</v>
      </c>
      <c r="C20" t="s">
        <v>75</v>
      </c>
      <c r="D20" t="s">
        <v>46</v>
      </c>
      <c r="E20">
        <v>20411454</v>
      </c>
      <c r="F20" t="s">
        <v>497</v>
      </c>
      <c r="G20" t="s">
        <v>49</v>
      </c>
      <c r="H20" t="s">
        <v>63</v>
      </c>
      <c r="I20" s="1">
        <v>46054</v>
      </c>
      <c r="J20" s="2">
        <v>0</v>
      </c>
      <c r="K20" s="2">
        <v>175</v>
      </c>
      <c r="L20">
        <v>1</v>
      </c>
      <c r="M20" s="3">
        <v>1</v>
      </c>
      <c r="N20" s="2">
        <v>175</v>
      </c>
      <c r="P20" t="s">
        <v>485</v>
      </c>
    </row>
    <row r="21" spans="1:16" x14ac:dyDescent="0.25">
      <c r="A21" s="4" t="s">
        <v>404</v>
      </c>
      <c r="B21" s="4" t="str">
        <f t="shared" si="0"/>
        <v>00014958924KOVR</v>
      </c>
      <c r="C21" t="s">
        <v>79</v>
      </c>
      <c r="D21" t="s">
        <v>60</v>
      </c>
      <c r="E21">
        <v>20411454</v>
      </c>
      <c r="F21" t="s">
        <v>497</v>
      </c>
      <c r="G21" t="s">
        <v>49</v>
      </c>
      <c r="H21" t="s">
        <v>63</v>
      </c>
      <c r="I21" s="1">
        <v>46054</v>
      </c>
      <c r="J21" s="2">
        <v>0</v>
      </c>
      <c r="K21" s="2">
        <v>175</v>
      </c>
      <c r="L21">
        <v>1</v>
      </c>
      <c r="M21" s="3">
        <v>1</v>
      </c>
      <c r="N21" s="2">
        <v>175</v>
      </c>
      <c r="P21" t="s">
        <v>485</v>
      </c>
    </row>
    <row r="22" spans="1:16" x14ac:dyDescent="0.25">
      <c r="A22" s="4" t="s">
        <v>405</v>
      </c>
      <c r="B22" s="4" t="str">
        <f t="shared" si="0"/>
        <v>00019034430KOVR</v>
      </c>
      <c r="C22" t="s">
        <v>87</v>
      </c>
      <c r="D22" t="s">
        <v>88</v>
      </c>
      <c r="E22">
        <v>20411454</v>
      </c>
      <c r="F22" t="s">
        <v>497</v>
      </c>
      <c r="G22" t="s">
        <v>49</v>
      </c>
      <c r="H22" t="s">
        <v>63</v>
      </c>
      <c r="I22" s="1">
        <v>46054</v>
      </c>
      <c r="J22" s="2">
        <v>0</v>
      </c>
      <c r="K22" s="2">
        <v>175</v>
      </c>
      <c r="L22">
        <v>1</v>
      </c>
      <c r="M22" s="3">
        <v>1</v>
      </c>
      <c r="N22" s="2">
        <v>175</v>
      </c>
      <c r="P22" t="s">
        <v>485</v>
      </c>
    </row>
    <row r="23" spans="1:16" x14ac:dyDescent="0.25">
      <c r="A23" s="4" t="s">
        <v>406</v>
      </c>
      <c r="B23" s="4" t="str">
        <f t="shared" si="0"/>
        <v>00020290726KOVR</v>
      </c>
      <c r="C23" t="s">
        <v>92</v>
      </c>
      <c r="D23" t="s">
        <v>93</v>
      </c>
      <c r="E23">
        <v>20411454</v>
      </c>
      <c r="F23" t="s">
        <v>497</v>
      </c>
      <c r="G23" t="s">
        <v>49</v>
      </c>
      <c r="H23" t="s">
        <v>63</v>
      </c>
      <c r="I23" s="1">
        <v>46054</v>
      </c>
      <c r="J23" s="2">
        <v>0</v>
      </c>
      <c r="K23" s="2">
        <v>175</v>
      </c>
      <c r="L23">
        <v>1</v>
      </c>
      <c r="M23" s="3">
        <v>1</v>
      </c>
      <c r="N23" s="2">
        <v>175</v>
      </c>
      <c r="P23" t="s">
        <v>485</v>
      </c>
    </row>
    <row r="24" spans="1:16" x14ac:dyDescent="0.25">
      <c r="A24" s="4" t="s">
        <v>407</v>
      </c>
      <c r="B24" s="4" t="str">
        <f t="shared" si="0"/>
        <v>00022636553KOVR</v>
      </c>
      <c r="C24" t="s">
        <v>97</v>
      </c>
      <c r="D24" t="s">
        <v>60</v>
      </c>
      <c r="E24">
        <v>20411454</v>
      </c>
      <c r="F24" t="s">
        <v>497</v>
      </c>
      <c r="G24" t="s">
        <v>49</v>
      </c>
      <c r="H24" t="s">
        <v>63</v>
      </c>
      <c r="I24" s="1">
        <v>46054</v>
      </c>
      <c r="J24" s="2">
        <v>0</v>
      </c>
      <c r="K24" s="2">
        <v>175</v>
      </c>
      <c r="L24">
        <v>1</v>
      </c>
      <c r="M24" s="3">
        <v>1</v>
      </c>
      <c r="N24" s="2">
        <v>175</v>
      </c>
      <c r="P24" t="s">
        <v>485</v>
      </c>
    </row>
    <row r="25" spans="1:16" x14ac:dyDescent="0.25">
      <c r="A25" s="4" t="s">
        <v>408</v>
      </c>
      <c r="B25" s="4" t="str">
        <f t="shared" si="0"/>
        <v>00024582757KOVR</v>
      </c>
      <c r="C25" t="s">
        <v>103</v>
      </c>
      <c r="D25" t="s">
        <v>55</v>
      </c>
      <c r="E25">
        <v>20411454</v>
      </c>
      <c r="F25" t="s">
        <v>497</v>
      </c>
      <c r="G25" t="s">
        <v>106</v>
      </c>
      <c r="H25" t="s">
        <v>63</v>
      </c>
      <c r="I25" s="1">
        <v>46023</v>
      </c>
      <c r="J25" s="2">
        <v>0</v>
      </c>
      <c r="K25" s="2">
        <v>161</v>
      </c>
      <c r="L25">
        <v>1</v>
      </c>
      <c r="M25" s="3">
        <v>1</v>
      </c>
      <c r="N25" s="2">
        <v>161</v>
      </c>
      <c r="O25" t="s">
        <v>107</v>
      </c>
      <c r="P25" t="s">
        <v>485</v>
      </c>
    </row>
    <row r="26" spans="1:16" x14ac:dyDescent="0.25">
      <c r="A26" s="4" t="s">
        <v>409</v>
      </c>
      <c r="B26" s="4" t="str">
        <f t="shared" si="0"/>
        <v>00025871591KOVR</v>
      </c>
      <c r="C26" t="s">
        <v>122</v>
      </c>
      <c r="D26" t="s">
        <v>60</v>
      </c>
      <c r="E26">
        <v>20411454</v>
      </c>
      <c r="F26" t="s">
        <v>497</v>
      </c>
      <c r="G26" t="s">
        <v>106</v>
      </c>
      <c r="H26" t="s">
        <v>63</v>
      </c>
      <c r="I26" s="1">
        <v>46023</v>
      </c>
      <c r="J26" s="2">
        <v>0</v>
      </c>
      <c r="K26" s="2">
        <v>161</v>
      </c>
      <c r="L26">
        <v>1</v>
      </c>
      <c r="M26" s="3">
        <v>1</v>
      </c>
      <c r="N26" s="2">
        <v>161</v>
      </c>
      <c r="O26" t="s">
        <v>107</v>
      </c>
      <c r="P26" t="s">
        <v>485</v>
      </c>
    </row>
    <row r="27" spans="1:16" x14ac:dyDescent="0.25">
      <c r="A27" s="4" t="s">
        <v>410</v>
      </c>
      <c r="B27" s="4" t="str">
        <f t="shared" si="0"/>
        <v>00026021240KOVR</v>
      </c>
      <c r="C27" t="s">
        <v>126</v>
      </c>
      <c r="D27" t="s">
        <v>127</v>
      </c>
      <c r="E27">
        <v>20411454</v>
      </c>
      <c r="F27" t="s">
        <v>497</v>
      </c>
      <c r="G27" t="s">
        <v>49</v>
      </c>
      <c r="H27" t="s">
        <v>63</v>
      </c>
      <c r="I27" s="1">
        <v>46054</v>
      </c>
      <c r="J27" s="2">
        <v>0</v>
      </c>
      <c r="K27" s="2">
        <v>175</v>
      </c>
      <c r="L27">
        <v>1</v>
      </c>
      <c r="M27" s="3">
        <v>1</v>
      </c>
      <c r="N27" s="2">
        <v>175</v>
      </c>
      <c r="P27" t="s">
        <v>485</v>
      </c>
    </row>
    <row r="28" spans="1:16" x14ac:dyDescent="0.25">
      <c r="A28" s="4" t="s">
        <v>411</v>
      </c>
      <c r="B28" s="4" t="str">
        <f t="shared" si="0"/>
        <v>00026022464KOVR</v>
      </c>
      <c r="C28" t="s">
        <v>131</v>
      </c>
      <c r="D28" t="s">
        <v>60</v>
      </c>
      <c r="E28">
        <v>20411454</v>
      </c>
      <c r="F28" t="s">
        <v>497</v>
      </c>
      <c r="G28" t="s">
        <v>49</v>
      </c>
      <c r="H28" t="s">
        <v>63</v>
      </c>
      <c r="I28" s="1">
        <v>46082</v>
      </c>
      <c r="J28" s="2">
        <v>0</v>
      </c>
      <c r="K28" s="2">
        <v>175</v>
      </c>
      <c r="L28">
        <v>1</v>
      </c>
      <c r="M28" s="3">
        <v>1</v>
      </c>
      <c r="N28" s="2">
        <v>175</v>
      </c>
      <c r="P28" t="s">
        <v>485</v>
      </c>
    </row>
    <row r="29" spans="1:16" x14ac:dyDescent="0.25">
      <c r="A29" s="4" t="s">
        <v>412</v>
      </c>
      <c r="B29" s="4" t="str">
        <f t="shared" si="0"/>
        <v>00026024004KOVR</v>
      </c>
      <c r="C29" t="s">
        <v>133</v>
      </c>
      <c r="D29" t="s">
        <v>71</v>
      </c>
      <c r="E29">
        <v>20411454</v>
      </c>
      <c r="F29" t="s">
        <v>497</v>
      </c>
      <c r="G29" t="s">
        <v>49</v>
      </c>
      <c r="H29" t="s">
        <v>63</v>
      </c>
      <c r="I29" s="1">
        <v>46113</v>
      </c>
      <c r="J29" s="2">
        <v>0</v>
      </c>
      <c r="K29" s="2">
        <v>175</v>
      </c>
      <c r="L29">
        <v>1</v>
      </c>
      <c r="M29" s="3">
        <v>1</v>
      </c>
      <c r="N29" s="2">
        <v>175</v>
      </c>
      <c r="P29" t="s">
        <v>485</v>
      </c>
    </row>
    <row r="30" spans="1:16" x14ac:dyDescent="0.25">
      <c r="A30" s="4" t="s">
        <v>413</v>
      </c>
      <c r="B30" s="4" t="str">
        <f t="shared" si="0"/>
        <v>00026025105KOVR</v>
      </c>
      <c r="C30" t="s">
        <v>135</v>
      </c>
      <c r="D30" t="s">
        <v>127</v>
      </c>
      <c r="E30">
        <v>20411454</v>
      </c>
      <c r="F30" t="s">
        <v>497</v>
      </c>
      <c r="G30" t="s">
        <v>49</v>
      </c>
      <c r="H30" t="s">
        <v>63</v>
      </c>
      <c r="I30" s="1">
        <v>46054</v>
      </c>
      <c r="J30" s="2">
        <v>0</v>
      </c>
      <c r="K30" s="2">
        <v>175</v>
      </c>
      <c r="L30">
        <v>1</v>
      </c>
      <c r="M30" s="3">
        <v>1</v>
      </c>
      <c r="N30" s="2">
        <v>175</v>
      </c>
      <c r="P30" t="s">
        <v>485</v>
      </c>
    </row>
    <row r="31" spans="1:16" x14ac:dyDescent="0.25">
      <c r="A31" s="4" t="s">
        <v>414</v>
      </c>
      <c r="B31" s="4" t="str">
        <f t="shared" si="0"/>
        <v>00026025293KOVR</v>
      </c>
      <c r="C31" t="s">
        <v>139</v>
      </c>
      <c r="D31" t="s">
        <v>60</v>
      </c>
      <c r="E31">
        <v>20411454</v>
      </c>
      <c r="F31" t="s">
        <v>497</v>
      </c>
      <c r="G31" t="s">
        <v>49</v>
      </c>
      <c r="H31" t="s">
        <v>63</v>
      </c>
      <c r="I31" s="1">
        <v>46054</v>
      </c>
      <c r="J31" s="2">
        <v>0</v>
      </c>
      <c r="K31" s="2">
        <v>175</v>
      </c>
      <c r="L31">
        <v>1</v>
      </c>
      <c r="M31" s="3">
        <v>1</v>
      </c>
      <c r="N31" s="2">
        <v>175</v>
      </c>
      <c r="P31" t="s">
        <v>485</v>
      </c>
    </row>
    <row r="32" spans="1:16" x14ac:dyDescent="0.25">
      <c r="A32" s="4" t="s">
        <v>415</v>
      </c>
      <c r="B32" s="4" t="str">
        <f t="shared" si="0"/>
        <v>00026025479KOVR</v>
      </c>
      <c r="C32" t="s">
        <v>141</v>
      </c>
      <c r="D32" t="s">
        <v>142</v>
      </c>
      <c r="E32">
        <v>20411454</v>
      </c>
      <c r="F32" t="s">
        <v>497</v>
      </c>
      <c r="G32" t="s">
        <v>49</v>
      </c>
      <c r="H32" t="s">
        <v>63</v>
      </c>
      <c r="I32" s="1">
        <v>46054</v>
      </c>
      <c r="J32" s="2">
        <v>0</v>
      </c>
      <c r="K32" s="2">
        <v>175</v>
      </c>
      <c r="L32">
        <v>1</v>
      </c>
      <c r="M32" s="3">
        <v>1</v>
      </c>
      <c r="N32" s="2">
        <v>175</v>
      </c>
      <c r="P32" t="s">
        <v>485</v>
      </c>
    </row>
    <row r="33" spans="1:16" x14ac:dyDescent="0.25">
      <c r="A33" s="4" t="s">
        <v>416</v>
      </c>
      <c r="B33" s="4" t="str">
        <f t="shared" si="0"/>
        <v>00026025661KOVR</v>
      </c>
      <c r="C33" t="s">
        <v>146</v>
      </c>
      <c r="D33" t="s">
        <v>147</v>
      </c>
      <c r="E33">
        <v>20411454</v>
      </c>
      <c r="F33" t="s">
        <v>497</v>
      </c>
      <c r="G33" t="s">
        <v>49</v>
      </c>
      <c r="H33" t="s">
        <v>63</v>
      </c>
      <c r="I33" s="1">
        <v>46054</v>
      </c>
      <c r="J33" s="2">
        <v>0</v>
      </c>
      <c r="K33" s="2">
        <v>175</v>
      </c>
      <c r="L33">
        <v>1</v>
      </c>
      <c r="M33" s="3">
        <v>1</v>
      </c>
      <c r="N33" s="2">
        <v>175</v>
      </c>
      <c r="P33" t="s">
        <v>485</v>
      </c>
    </row>
    <row r="34" spans="1:16" x14ac:dyDescent="0.25">
      <c r="A34" s="4" t="s">
        <v>417</v>
      </c>
      <c r="B34" s="4" t="str">
        <f t="shared" si="0"/>
        <v>00026026306KOVR</v>
      </c>
      <c r="C34" t="s">
        <v>149</v>
      </c>
      <c r="D34" t="s">
        <v>46</v>
      </c>
      <c r="E34">
        <v>20411454</v>
      </c>
      <c r="F34" t="s">
        <v>497</v>
      </c>
      <c r="G34" t="s">
        <v>49</v>
      </c>
      <c r="H34" t="s">
        <v>63</v>
      </c>
      <c r="I34" s="1">
        <v>46054</v>
      </c>
      <c r="J34" s="2">
        <v>0</v>
      </c>
      <c r="K34" s="2">
        <v>175</v>
      </c>
      <c r="L34">
        <v>1</v>
      </c>
      <c r="M34" s="3">
        <v>1</v>
      </c>
      <c r="N34" s="2">
        <v>175</v>
      </c>
      <c r="P34" t="s">
        <v>485</v>
      </c>
    </row>
    <row r="35" spans="1:16" x14ac:dyDescent="0.25">
      <c r="A35" s="4" t="s">
        <v>418</v>
      </c>
      <c r="B35" s="4" t="str">
        <f t="shared" si="0"/>
        <v>00026026555KOVR</v>
      </c>
      <c r="C35" t="s">
        <v>151</v>
      </c>
      <c r="D35" t="s">
        <v>60</v>
      </c>
      <c r="E35">
        <v>20411454</v>
      </c>
      <c r="F35" t="s">
        <v>497</v>
      </c>
      <c r="G35" t="s">
        <v>49</v>
      </c>
      <c r="H35" t="s">
        <v>63</v>
      </c>
      <c r="I35" s="1">
        <v>46054</v>
      </c>
      <c r="J35" s="2">
        <v>0</v>
      </c>
      <c r="K35" s="2">
        <v>175</v>
      </c>
      <c r="L35">
        <v>1</v>
      </c>
      <c r="M35" s="3">
        <v>1</v>
      </c>
      <c r="N35" s="2">
        <v>175</v>
      </c>
      <c r="P35" t="s">
        <v>485</v>
      </c>
    </row>
    <row r="36" spans="1:16" x14ac:dyDescent="0.25">
      <c r="A36" s="4" t="s">
        <v>419</v>
      </c>
      <c r="B36" s="4" t="str">
        <f t="shared" si="0"/>
        <v>00026026753KOVR</v>
      </c>
      <c r="C36" t="s">
        <v>153</v>
      </c>
      <c r="D36" t="s">
        <v>154</v>
      </c>
      <c r="E36">
        <v>20411454</v>
      </c>
      <c r="F36" t="s">
        <v>497</v>
      </c>
      <c r="G36" t="s">
        <v>49</v>
      </c>
      <c r="H36" t="s">
        <v>63</v>
      </c>
      <c r="I36" s="1">
        <v>46054</v>
      </c>
      <c r="J36" s="2">
        <v>0</v>
      </c>
      <c r="K36" s="2">
        <v>175</v>
      </c>
      <c r="L36">
        <v>1</v>
      </c>
      <c r="M36" s="3">
        <v>1</v>
      </c>
      <c r="N36" s="2">
        <v>175</v>
      </c>
      <c r="P36" t="s">
        <v>485</v>
      </c>
    </row>
    <row r="37" spans="1:16" x14ac:dyDescent="0.25">
      <c r="A37" s="4" t="s">
        <v>420</v>
      </c>
      <c r="B37" s="4" t="str">
        <f t="shared" si="0"/>
        <v>00026029618KOVR</v>
      </c>
      <c r="C37" t="s">
        <v>158</v>
      </c>
      <c r="D37" t="s">
        <v>55</v>
      </c>
      <c r="E37">
        <v>20411454</v>
      </c>
      <c r="F37" t="s">
        <v>497</v>
      </c>
      <c r="G37" t="s">
        <v>49</v>
      </c>
      <c r="H37" t="s">
        <v>63</v>
      </c>
      <c r="I37" s="1">
        <v>46082</v>
      </c>
      <c r="J37" s="2">
        <v>0</v>
      </c>
      <c r="K37" s="2">
        <v>175</v>
      </c>
      <c r="L37">
        <v>1</v>
      </c>
      <c r="M37" s="3">
        <v>1</v>
      </c>
      <c r="N37" s="2">
        <v>175</v>
      </c>
      <c r="P37" t="s">
        <v>485</v>
      </c>
    </row>
    <row r="38" spans="1:16" x14ac:dyDescent="0.25">
      <c r="A38" s="4" t="s">
        <v>421</v>
      </c>
      <c r="B38" s="4" t="str">
        <f t="shared" si="0"/>
        <v>00026030304KOVR</v>
      </c>
      <c r="C38" t="s">
        <v>162</v>
      </c>
      <c r="D38" t="s">
        <v>60</v>
      </c>
      <c r="E38">
        <v>20411454</v>
      </c>
      <c r="F38" t="s">
        <v>497</v>
      </c>
      <c r="G38" t="s">
        <v>49</v>
      </c>
      <c r="H38" t="s">
        <v>63</v>
      </c>
      <c r="I38" s="1">
        <v>46054</v>
      </c>
      <c r="J38" s="2">
        <v>0</v>
      </c>
      <c r="K38" s="2">
        <v>175</v>
      </c>
      <c r="L38">
        <v>1</v>
      </c>
      <c r="M38" s="3">
        <v>1</v>
      </c>
      <c r="N38" s="2">
        <v>175</v>
      </c>
      <c r="P38" t="s">
        <v>485</v>
      </c>
    </row>
    <row r="39" spans="1:16" x14ac:dyDescent="0.25">
      <c r="A39" s="4" t="s">
        <v>422</v>
      </c>
      <c r="B39" s="4" t="str">
        <f t="shared" si="0"/>
        <v>00026030345KOVR</v>
      </c>
      <c r="C39" t="s">
        <v>166</v>
      </c>
      <c r="D39" t="s">
        <v>60</v>
      </c>
      <c r="E39">
        <v>20411454</v>
      </c>
      <c r="F39" t="s">
        <v>497</v>
      </c>
      <c r="G39" t="s">
        <v>49</v>
      </c>
      <c r="H39" t="s">
        <v>63</v>
      </c>
      <c r="I39" s="1">
        <v>46054</v>
      </c>
      <c r="J39" s="2">
        <v>0</v>
      </c>
      <c r="K39" s="2">
        <v>175</v>
      </c>
      <c r="L39">
        <v>1</v>
      </c>
      <c r="M39" s="3">
        <v>1</v>
      </c>
      <c r="N39" s="2">
        <v>175</v>
      </c>
      <c r="P39" t="s">
        <v>485</v>
      </c>
    </row>
    <row r="40" spans="1:16" x14ac:dyDescent="0.25">
      <c r="A40" s="4" t="s">
        <v>423</v>
      </c>
      <c r="B40" s="4" t="str">
        <f t="shared" si="0"/>
        <v>00026031759KOVR</v>
      </c>
      <c r="C40" t="s">
        <v>168</v>
      </c>
      <c r="D40" t="s">
        <v>60</v>
      </c>
      <c r="E40">
        <v>20411454</v>
      </c>
      <c r="F40" t="s">
        <v>497</v>
      </c>
      <c r="G40" t="s">
        <v>49</v>
      </c>
      <c r="H40" t="s">
        <v>63</v>
      </c>
      <c r="I40" s="1">
        <v>46054</v>
      </c>
      <c r="J40" s="2">
        <v>0</v>
      </c>
      <c r="K40" s="2">
        <v>175</v>
      </c>
      <c r="L40">
        <v>1</v>
      </c>
      <c r="M40" s="3">
        <v>1</v>
      </c>
      <c r="N40" s="2">
        <v>175</v>
      </c>
      <c r="P40" t="s">
        <v>485</v>
      </c>
    </row>
    <row r="41" spans="1:16" x14ac:dyDescent="0.25">
      <c r="A41" s="4" t="s">
        <v>424</v>
      </c>
      <c r="B41" s="4" t="str">
        <f t="shared" si="0"/>
        <v>00026032831KOVR</v>
      </c>
      <c r="C41" t="s">
        <v>172</v>
      </c>
      <c r="D41" t="s">
        <v>173</v>
      </c>
      <c r="E41">
        <v>20411454</v>
      </c>
      <c r="F41" t="s">
        <v>497</v>
      </c>
      <c r="G41" t="s">
        <v>49</v>
      </c>
      <c r="H41" t="s">
        <v>63</v>
      </c>
      <c r="I41" s="1">
        <v>46054</v>
      </c>
      <c r="J41" s="2">
        <v>0</v>
      </c>
      <c r="K41" s="2">
        <v>175</v>
      </c>
      <c r="L41">
        <v>1</v>
      </c>
      <c r="M41" s="3">
        <v>1</v>
      </c>
      <c r="N41" s="2">
        <v>175</v>
      </c>
      <c r="P41" t="s">
        <v>485</v>
      </c>
    </row>
    <row r="42" spans="1:16" x14ac:dyDescent="0.25">
      <c r="A42" s="4" t="s">
        <v>425</v>
      </c>
      <c r="B42" s="4" t="str">
        <f t="shared" si="0"/>
        <v>00026035883KOVR</v>
      </c>
      <c r="C42" t="s">
        <v>179</v>
      </c>
      <c r="D42" t="s">
        <v>55</v>
      </c>
      <c r="E42">
        <v>20411454</v>
      </c>
      <c r="F42" t="s">
        <v>497</v>
      </c>
      <c r="G42" t="s">
        <v>49</v>
      </c>
      <c r="H42" t="s">
        <v>63</v>
      </c>
      <c r="I42" s="1">
        <v>46054</v>
      </c>
      <c r="J42" s="2">
        <v>0</v>
      </c>
      <c r="K42" s="2">
        <v>175</v>
      </c>
      <c r="L42">
        <v>1</v>
      </c>
      <c r="M42" s="3">
        <v>1</v>
      </c>
      <c r="N42" s="2">
        <v>175</v>
      </c>
      <c r="P42" t="s">
        <v>485</v>
      </c>
    </row>
    <row r="43" spans="1:16" x14ac:dyDescent="0.25">
      <c r="A43" s="4" t="s">
        <v>426</v>
      </c>
      <c r="B43" s="4" t="str">
        <f t="shared" si="0"/>
        <v>00026036136KOVR</v>
      </c>
      <c r="C43" t="s">
        <v>183</v>
      </c>
      <c r="D43" t="s">
        <v>142</v>
      </c>
      <c r="E43">
        <v>20411454</v>
      </c>
      <c r="F43" t="s">
        <v>497</v>
      </c>
      <c r="G43" t="s">
        <v>49</v>
      </c>
      <c r="H43" t="s">
        <v>63</v>
      </c>
      <c r="I43" s="1">
        <v>46054</v>
      </c>
      <c r="J43" s="2">
        <v>0</v>
      </c>
      <c r="K43" s="2">
        <v>175</v>
      </c>
      <c r="L43">
        <v>1</v>
      </c>
      <c r="M43" s="3">
        <v>1</v>
      </c>
      <c r="N43" s="2">
        <v>175</v>
      </c>
      <c r="P43" t="s">
        <v>485</v>
      </c>
    </row>
    <row r="44" spans="1:16" x14ac:dyDescent="0.25">
      <c r="A44" s="4" t="s">
        <v>427</v>
      </c>
      <c r="B44" s="4" t="str">
        <f t="shared" si="0"/>
        <v>00026036367KOVR</v>
      </c>
      <c r="C44" t="s">
        <v>185</v>
      </c>
      <c r="D44" t="s">
        <v>154</v>
      </c>
      <c r="E44">
        <v>20411454</v>
      </c>
      <c r="F44" t="s">
        <v>497</v>
      </c>
      <c r="G44" t="s">
        <v>49</v>
      </c>
      <c r="H44" t="s">
        <v>63</v>
      </c>
      <c r="I44" s="1">
        <v>46054</v>
      </c>
      <c r="J44" s="2">
        <v>0</v>
      </c>
      <c r="K44" s="2">
        <v>175</v>
      </c>
      <c r="L44">
        <v>1</v>
      </c>
      <c r="M44" s="3">
        <v>1</v>
      </c>
      <c r="N44" s="2">
        <v>175</v>
      </c>
      <c r="P44" t="s">
        <v>485</v>
      </c>
    </row>
    <row r="45" spans="1:16" x14ac:dyDescent="0.25">
      <c r="A45" s="4" t="s">
        <v>428</v>
      </c>
      <c r="B45" s="4" t="str">
        <f t="shared" si="0"/>
        <v>00026038913KOVR</v>
      </c>
      <c r="C45" t="s">
        <v>187</v>
      </c>
      <c r="D45" t="s">
        <v>60</v>
      </c>
      <c r="E45">
        <v>20411454</v>
      </c>
      <c r="F45" t="s">
        <v>497</v>
      </c>
      <c r="G45" t="s">
        <v>49</v>
      </c>
      <c r="H45" t="s">
        <v>63</v>
      </c>
      <c r="I45" s="1">
        <v>46054</v>
      </c>
      <c r="J45" s="2">
        <v>0</v>
      </c>
      <c r="K45" s="2">
        <v>175</v>
      </c>
      <c r="L45">
        <v>1</v>
      </c>
      <c r="M45" s="3">
        <v>1</v>
      </c>
      <c r="N45" s="2">
        <v>175</v>
      </c>
      <c r="P45" t="s">
        <v>485</v>
      </c>
    </row>
    <row r="46" spans="1:16" x14ac:dyDescent="0.25">
      <c r="A46" s="4" t="s">
        <v>429</v>
      </c>
      <c r="B46" s="4" t="str">
        <f t="shared" si="0"/>
        <v>00026040230KOVR</v>
      </c>
      <c r="C46" t="s">
        <v>191</v>
      </c>
      <c r="D46" t="s">
        <v>60</v>
      </c>
      <c r="E46">
        <v>20411454</v>
      </c>
      <c r="F46" t="s">
        <v>497</v>
      </c>
      <c r="G46" t="s">
        <v>49</v>
      </c>
      <c r="H46" t="s">
        <v>63</v>
      </c>
      <c r="I46" s="1">
        <v>46082</v>
      </c>
      <c r="J46" s="2">
        <v>0</v>
      </c>
      <c r="K46" s="2">
        <v>175</v>
      </c>
      <c r="L46">
        <v>1</v>
      </c>
      <c r="M46" s="3">
        <v>1</v>
      </c>
      <c r="N46" s="2">
        <v>175</v>
      </c>
      <c r="P46" t="s">
        <v>485</v>
      </c>
    </row>
    <row r="47" spans="1:16" x14ac:dyDescent="0.25">
      <c r="A47" s="4" t="s">
        <v>430</v>
      </c>
      <c r="B47" s="4" t="str">
        <f t="shared" si="0"/>
        <v>00026041355KOVR</v>
      </c>
      <c r="C47" t="s">
        <v>193</v>
      </c>
      <c r="D47" t="s">
        <v>60</v>
      </c>
      <c r="E47">
        <v>20411454</v>
      </c>
      <c r="F47" t="s">
        <v>497</v>
      </c>
      <c r="G47" t="s">
        <v>49</v>
      </c>
      <c r="H47" t="s">
        <v>63</v>
      </c>
      <c r="I47" s="1">
        <v>46054</v>
      </c>
      <c r="J47" s="2">
        <v>0</v>
      </c>
      <c r="K47" s="2">
        <v>175</v>
      </c>
      <c r="L47">
        <v>1</v>
      </c>
      <c r="M47" s="3">
        <v>1</v>
      </c>
      <c r="N47" s="2">
        <v>175</v>
      </c>
      <c r="P47" t="s">
        <v>485</v>
      </c>
    </row>
    <row r="48" spans="1:16" x14ac:dyDescent="0.25">
      <c r="A48" s="4" t="s">
        <v>431</v>
      </c>
      <c r="B48" s="4" t="str">
        <f t="shared" si="0"/>
        <v>00026042332KOVR</v>
      </c>
      <c r="C48" t="s">
        <v>197</v>
      </c>
      <c r="D48" t="s">
        <v>71</v>
      </c>
      <c r="E48">
        <v>20411454</v>
      </c>
      <c r="F48" t="s">
        <v>497</v>
      </c>
      <c r="G48" t="s">
        <v>49</v>
      </c>
      <c r="H48" t="s">
        <v>63</v>
      </c>
      <c r="I48" s="1">
        <v>46054</v>
      </c>
      <c r="J48" s="2">
        <v>0</v>
      </c>
      <c r="K48" s="2">
        <v>175</v>
      </c>
      <c r="L48">
        <v>1</v>
      </c>
      <c r="M48" s="3">
        <v>1</v>
      </c>
      <c r="N48" s="2">
        <v>175</v>
      </c>
      <c r="P48" t="s">
        <v>485</v>
      </c>
    </row>
    <row r="49" spans="1:16" x14ac:dyDescent="0.25">
      <c r="A49" s="4" t="s">
        <v>432</v>
      </c>
      <c r="B49" s="4" t="str">
        <f t="shared" si="0"/>
        <v>00026043612KOVR</v>
      </c>
      <c r="C49" t="s">
        <v>201</v>
      </c>
      <c r="D49" t="s">
        <v>60</v>
      </c>
      <c r="E49">
        <v>20411454</v>
      </c>
      <c r="F49" t="s">
        <v>497</v>
      </c>
      <c r="G49" t="s">
        <v>49</v>
      </c>
      <c r="H49" t="s">
        <v>63</v>
      </c>
      <c r="I49" s="1">
        <v>46054</v>
      </c>
      <c r="J49" s="2">
        <v>0</v>
      </c>
      <c r="K49" s="2">
        <v>175</v>
      </c>
      <c r="L49">
        <v>1</v>
      </c>
      <c r="M49" s="3">
        <v>1</v>
      </c>
      <c r="N49" s="2">
        <v>175</v>
      </c>
      <c r="P49" t="s">
        <v>485</v>
      </c>
    </row>
    <row r="50" spans="1:16" x14ac:dyDescent="0.25">
      <c r="A50" s="4" t="s">
        <v>433</v>
      </c>
      <c r="B50" s="4" t="str">
        <f t="shared" si="0"/>
        <v>00026045147KOVR</v>
      </c>
      <c r="C50" t="s">
        <v>205</v>
      </c>
      <c r="D50" t="s">
        <v>46</v>
      </c>
      <c r="E50">
        <v>20411454</v>
      </c>
      <c r="F50" t="s">
        <v>497</v>
      </c>
      <c r="G50" t="s">
        <v>49</v>
      </c>
      <c r="H50" t="s">
        <v>63</v>
      </c>
      <c r="I50" s="1">
        <v>46054</v>
      </c>
      <c r="J50" s="2">
        <v>0</v>
      </c>
      <c r="K50" s="2">
        <v>175</v>
      </c>
      <c r="L50">
        <v>1</v>
      </c>
      <c r="M50" s="3">
        <v>1</v>
      </c>
      <c r="N50" s="2">
        <v>175</v>
      </c>
      <c r="P50" t="s">
        <v>485</v>
      </c>
    </row>
    <row r="51" spans="1:16" x14ac:dyDescent="0.25">
      <c r="A51" s="4" t="s">
        <v>434</v>
      </c>
      <c r="B51" s="4" t="str">
        <f t="shared" si="0"/>
        <v>00026047194KOVR</v>
      </c>
      <c r="C51" t="s">
        <v>207</v>
      </c>
      <c r="D51" t="s">
        <v>60</v>
      </c>
      <c r="E51">
        <v>20411454</v>
      </c>
      <c r="F51" t="s">
        <v>497</v>
      </c>
      <c r="G51" t="s">
        <v>49</v>
      </c>
      <c r="H51" t="s">
        <v>63</v>
      </c>
      <c r="I51" s="1">
        <v>46113</v>
      </c>
      <c r="J51" s="2">
        <v>0</v>
      </c>
      <c r="K51" s="2">
        <v>175</v>
      </c>
      <c r="L51">
        <v>1</v>
      </c>
      <c r="M51" s="3">
        <v>1</v>
      </c>
      <c r="N51" s="2">
        <v>175</v>
      </c>
      <c r="P51" t="s">
        <v>485</v>
      </c>
    </row>
    <row r="52" spans="1:16" x14ac:dyDescent="0.25">
      <c r="A52" s="4" t="s">
        <v>435</v>
      </c>
      <c r="B52" s="4" t="str">
        <f t="shared" si="0"/>
        <v>00026047522KOVR</v>
      </c>
      <c r="C52" t="s">
        <v>211</v>
      </c>
      <c r="D52" t="s">
        <v>60</v>
      </c>
      <c r="E52">
        <v>20411454</v>
      </c>
      <c r="F52" t="s">
        <v>497</v>
      </c>
      <c r="G52" t="s">
        <v>49</v>
      </c>
      <c r="H52" t="s">
        <v>63</v>
      </c>
      <c r="I52" s="1">
        <v>46054</v>
      </c>
      <c r="J52" s="2">
        <v>0</v>
      </c>
      <c r="K52" s="2">
        <v>175</v>
      </c>
      <c r="L52">
        <v>1</v>
      </c>
      <c r="M52" s="3">
        <v>1</v>
      </c>
      <c r="N52" s="2">
        <v>175</v>
      </c>
      <c r="P52" t="s">
        <v>485</v>
      </c>
    </row>
    <row r="53" spans="1:16" x14ac:dyDescent="0.25">
      <c r="A53" s="4" t="s">
        <v>436</v>
      </c>
      <c r="B53" s="4" t="str">
        <f t="shared" si="0"/>
        <v>00026047730KOVR</v>
      </c>
      <c r="C53" t="s">
        <v>213</v>
      </c>
      <c r="D53" t="s">
        <v>214</v>
      </c>
      <c r="E53">
        <v>20411454</v>
      </c>
      <c r="F53" t="s">
        <v>497</v>
      </c>
      <c r="G53" t="s">
        <v>49</v>
      </c>
      <c r="H53" t="s">
        <v>63</v>
      </c>
      <c r="I53" s="1">
        <v>46054</v>
      </c>
      <c r="J53" s="2">
        <v>0</v>
      </c>
      <c r="K53" s="2">
        <v>50</v>
      </c>
      <c r="L53">
        <v>1</v>
      </c>
      <c r="M53" s="3">
        <v>1</v>
      </c>
      <c r="N53" s="2">
        <v>50</v>
      </c>
      <c r="P53" t="s">
        <v>485</v>
      </c>
    </row>
    <row r="54" spans="1:16" x14ac:dyDescent="0.25">
      <c r="A54" s="4" t="s">
        <v>437</v>
      </c>
      <c r="B54" s="4" t="str">
        <f t="shared" si="0"/>
        <v>00026047903KOVR</v>
      </c>
      <c r="C54" t="s">
        <v>218</v>
      </c>
      <c r="D54" t="s">
        <v>142</v>
      </c>
      <c r="E54">
        <v>20411454</v>
      </c>
      <c r="F54" t="s">
        <v>497</v>
      </c>
      <c r="G54" t="s">
        <v>49</v>
      </c>
      <c r="H54" t="s">
        <v>63</v>
      </c>
      <c r="I54" s="1">
        <v>46054</v>
      </c>
      <c r="J54" s="2">
        <v>0</v>
      </c>
      <c r="K54" s="2">
        <v>175</v>
      </c>
      <c r="L54">
        <v>1</v>
      </c>
      <c r="M54" s="3">
        <v>1</v>
      </c>
      <c r="N54" s="2">
        <v>175</v>
      </c>
      <c r="P54" t="s">
        <v>485</v>
      </c>
    </row>
    <row r="55" spans="1:16" x14ac:dyDescent="0.25">
      <c r="A55" s="4" t="s">
        <v>438</v>
      </c>
      <c r="B55" s="4" t="str">
        <f t="shared" si="0"/>
        <v>00026048901KOVR</v>
      </c>
      <c r="C55" t="s">
        <v>220</v>
      </c>
      <c r="D55" t="s">
        <v>60</v>
      </c>
      <c r="E55">
        <v>20411454</v>
      </c>
      <c r="F55" t="s">
        <v>497</v>
      </c>
      <c r="G55" t="s">
        <v>49</v>
      </c>
      <c r="H55" t="s">
        <v>63</v>
      </c>
      <c r="I55" s="1">
        <v>46054</v>
      </c>
      <c r="J55" s="2">
        <v>0</v>
      </c>
      <c r="K55" s="2">
        <v>175</v>
      </c>
      <c r="L55">
        <v>1</v>
      </c>
      <c r="M55" s="3">
        <v>1</v>
      </c>
      <c r="N55" s="2">
        <v>175</v>
      </c>
      <c r="P55" t="s">
        <v>485</v>
      </c>
    </row>
    <row r="56" spans="1:16" x14ac:dyDescent="0.25">
      <c r="A56" s="4" t="s">
        <v>439</v>
      </c>
      <c r="B56" s="4" t="str">
        <f t="shared" si="0"/>
        <v>00026050355KOVR</v>
      </c>
      <c r="C56" t="s">
        <v>222</v>
      </c>
      <c r="D56" t="s">
        <v>60</v>
      </c>
      <c r="E56">
        <v>20411454</v>
      </c>
      <c r="F56" t="s">
        <v>497</v>
      </c>
      <c r="G56" t="s">
        <v>49</v>
      </c>
      <c r="H56" t="s">
        <v>63</v>
      </c>
      <c r="I56" s="1">
        <v>46082</v>
      </c>
      <c r="J56" s="2">
        <v>0</v>
      </c>
      <c r="K56" s="2">
        <v>175</v>
      </c>
      <c r="L56">
        <v>1</v>
      </c>
      <c r="M56" s="3">
        <v>1</v>
      </c>
      <c r="N56" s="2">
        <v>175</v>
      </c>
      <c r="P56" t="s">
        <v>485</v>
      </c>
    </row>
    <row r="57" spans="1:16" x14ac:dyDescent="0.25">
      <c r="A57" s="4" t="s">
        <v>440</v>
      </c>
      <c r="B57" s="4" t="str">
        <f t="shared" si="0"/>
        <v>00026050606KOVR</v>
      </c>
      <c r="C57" t="s">
        <v>224</v>
      </c>
      <c r="D57" t="s">
        <v>60</v>
      </c>
      <c r="E57">
        <v>20411454</v>
      </c>
      <c r="F57" t="s">
        <v>497</v>
      </c>
      <c r="G57" t="s">
        <v>49</v>
      </c>
      <c r="H57" t="s">
        <v>63</v>
      </c>
      <c r="I57" s="1">
        <v>46054</v>
      </c>
      <c r="J57" s="2">
        <v>0</v>
      </c>
      <c r="K57" s="2">
        <v>175</v>
      </c>
      <c r="L57">
        <v>1</v>
      </c>
      <c r="M57" s="3">
        <v>1</v>
      </c>
      <c r="N57" s="2">
        <v>175</v>
      </c>
      <c r="P57" t="s">
        <v>485</v>
      </c>
    </row>
    <row r="58" spans="1:16" x14ac:dyDescent="0.25">
      <c r="A58" s="4" t="s">
        <v>441</v>
      </c>
      <c r="B58" s="4" t="str">
        <f t="shared" si="0"/>
        <v>00026051163KOVR</v>
      </c>
      <c r="C58" t="s">
        <v>228</v>
      </c>
      <c r="D58" t="s">
        <v>60</v>
      </c>
      <c r="E58">
        <v>20411454</v>
      </c>
      <c r="F58" t="s">
        <v>497</v>
      </c>
      <c r="G58" t="s">
        <v>49</v>
      </c>
      <c r="H58" t="s">
        <v>63</v>
      </c>
      <c r="I58" s="1">
        <v>46054</v>
      </c>
      <c r="J58" s="2">
        <v>0</v>
      </c>
      <c r="K58" s="2">
        <v>175</v>
      </c>
      <c r="L58">
        <v>1</v>
      </c>
      <c r="M58" s="3">
        <v>1</v>
      </c>
      <c r="N58" s="2">
        <v>175</v>
      </c>
      <c r="P58" t="s">
        <v>485</v>
      </c>
    </row>
    <row r="59" spans="1:16" x14ac:dyDescent="0.25">
      <c r="A59" s="4" t="s">
        <v>442</v>
      </c>
      <c r="B59" s="4" t="str">
        <f t="shared" si="0"/>
        <v>00026051529KOVR</v>
      </c>
      <c r="C59" t="s">
        <v>230</v>
      </c>
      <c r="D59" t="s">
        <v>55</v>
      </c>
      <c r="E59">
        <v>20411454</v>
      </c>
      <c r="F59" t="s">
        <v>497</v>
      </c>
      <c r="G59" t="s">
        <v>49</v>
      </c>
      <c r="H59" t="s">
        <v>63</v>
      </c>
      <c r="I59" s="1">
        <v>46082</v>
      </c>
      <c r="J59" s="2">
        <v>0</v>
      </c>
      <c r="K59" s="2">
        <v>175</v>
      </c>
      <c r="L59">
        <v>1</v>
      </c>
      <c r="M59" s="3">
        <v>1</v>
      </c>
      <c r="N59" s="2">
        <v>175</v>
      </c>
      <c r="P59" t="s">
        <v>485</v>
      </c>
    </row>
    <row r="60" spans="1:16" x14ac:dyDescent="0.25">
      <c r="A60" s="4" t="s">
        <v>443</v>
      </c>
      <c r="B60" s="4" t="str">
        <f t="shared" si="0"/>
        <v>00026052406KOVR</v>
      </c>
      <c r="C60" t="s">
        <v>232</v>
      </c>
      <c r="D60" t="s">
        <v>60</v>
      </c>
      <c r="E60">
        <v>20411454</v>
      </c>
      <c r="F60" t="s">
        <v>497</v>
      </c>
      <c r="G60" t="s">
        <v>49</v>
      </c>
      <c r="H60" t="s">
        <v>63</v>
      </c>
      <c r="I60" s="1">
        <v>46113</v>
      </c>
      <c r="J60" s="2">
        <v>0</v>
      </c>
      <c r="K60" s="2">
        <v>175</v>
      </c>
      <c r="L60">
        <v>1</v>
      </c>
      <c r="M60" s="3">
        <v>1</v>
      </c>
      <c r="N60" s="2">
        <v>175</v>
      </c>
      <c r="P60" t="s">
        <v>485</v>
      </c>
    </row>
    <row r="61" spans="1:16" x14ac:dyDescent="0.25">
      <c r="A61" s="4" t="s">
        <v>444</v>
      </c>
      <c r="B61" s="4" t="str">
        <f t="shared" si="0"/>
        <v>00026053023KOVR</v>
      </c>
      <c r="C61" t="s">
        <v>234</v>
      </c>
      <c r="D61" t="s">
        <v>60</v>
      </c>
      <c r="E61">
        <v>20411454</v>
      </c>
      <c r="F61" t="s">
        <v>497</v>
      </c>
      <c r="G61" t="s">
        <v>49</v>
      </c>
      <c r="H61" t="s">
        <v>63</v>
      </c>
      <c r="I61" s="1">
        <v>46054</v>
      </c>
      <c r="J61" s="2">
        <v>0</v>
      </c>
      <c r="K61" s="2">
        <v>175</v>
      </c>
      <c r="L61">
        <v>1</v>
      </c>
      <c r="M61" s="3">
        <v>1</v>
      </c>
      <c r="N61" s="2">
        <v>175</v>
      </c>
      <c r="P61" t="s">
        <v>485</v>
      </c>
    </row>
    <row r="62" spans="1:16" x14ac:dyDescent="0.25">
      <c r="A62" s="4" t="s">
        <v>445</v>
      </c>
      <c r="B62" s="4" t="str">
        <f t="shared" si="0"/>
        <v>00026054254KOVR</v>
      </c>
      <c r="C62" t="s">
        <v>236</v>
      </c>
      <c r="D62" t="s">
        <v>60</v>
      </c>
      <c r="E62">
        <v>20411454</v>
      </c>
      <c r="F62" t="s">
        <v>497</v>
      </c>
      <c r="G62" t="s">
        <v>49</v>
      </c>
      <c r="H62" t="s">
        <v>63</v>
      </c>
      <c r="I62" s="1">
        <v>46054</v>
      </c>
      <c r="J62" s="2">
        <v>0</v>
      </c>
      <c r="K62" s="2">
        <v>175</v>
      </c>
      <c r="L62">
        <v>1</v>
      </c>
      <c r="M62" s="3">
        <v>1</v>
      </c>
      <c r="N62" s="2">
        <v>175</v>
      </c>
      <c r="P62" t="s">
        <v>485</v>
      </c>
    </row>
    <row r="63" spans="1:16" x14ac:dyDescent="0.25">
      <c r="A63" s="4" t="s">
        <v>446</v>
      </c>
      <c r="B63" s="4" t="str">
        <f t="shared" si="0"/>
        <v>00026054313KOVR</v>
      </c>
      <c r="C63" t="s">
        <v>238</v>
      </c>
      <c r="D63" t="s">
        <v>60</v>
      </c>
      <c r="E63">
        <v>20411454</v>
      </c>
      <c r="F63" t="s">
        <v>497</v>
      </c>
      <c r="G63" t="s">
        <v>49</v>
      </c>
      <c r="H63" t="s">
        <v>63</v>
      </c>
      <c r="I63" s="1">
        <v>46082</v>
      </c>
      <c r="J63" s="2">
        <v>0</v>
      </c>
      <c r="K63" s="2">
        <v>175</v>
      </c>
      <c r="L63">
        <v>1</v>
      </c>
      <c r="M63" s="3">
        <v>1</v>
      </c>
      <c r="N63" s="2">
        <v>175</v>
      </c>
      <c r="P63" t="s">
        <v>485</v>
      </c>
    </row>
    <row r="64" spans="1:16" x14ac:dyDescent="0.25">
      <c r="A64" s="4" t="s">
        <v>447</v>
      </c>
      <c r="B64" s="4" t="str">
        <f t="shared" si="0"/>
        <v>00026055906KOVR</v>
      </c>
      <c r="C64" t="s">
        <v>242</v>
      </c>
      <c r="D64" t="s">
        <v>60</v>
      </c>
      <c r="E64">
        <v>20411454</v>
      </c>
      <c r="F64" t="s">
        <v>497</v>
      </c>
      <c r="G64" t="s">
        <v>49</v>
      </c>
      <c r="H64" t="s">
        <v>63</v>
      </c>
      <c r="I64" s="1">
        <v>46054</v>
      </c>
      <c r="J64" s="2">
        <v>0</v>
      </c>
      <c r="K64" s="2">
        <v>175</v>
      </c>
      <c r="L64">
        <v>1</v>
      </c>
      <c r="M64" s="3">
        <v>1</v>
      </c>
      <c r="N64" s="2">
        <v>175</v>
      </c>
      <c r="P64" t="s">
        <v>485</v>
      </c>
    </row>
    <row r="65" spans="1:16" x14ac:dyDescent="0.25">
      <c r="A65" s="4" t="s">
        <v>448</v>
      </c>
      <c r="B65" s="4" t="str">
        <f t="shared" si="0"/>
        <v>00026057283KOVR</v>
      </c>
      <c r="C65" t="s">
        <v>244</v>
      </c>
      <c r="D65" t="s">
        <v>60</v>
      </c>
      <c r="E65">
        <v>20411454</v>
      </c>
      <c r="F65" t="s">
        <v>497</v>
      </c>
      <c r="G65" t="s">
        <v>49</v>
      </c>
      <c r="H65" t="s">
        <v>63</v>
      </c>
      <c r="I65" s="1">
        <v>46054</v>
      </c>
      <c r="J65" s="2">
        <v>0</v>
      </c>
      <c r="K65" s="2">
        <v>175</v>
      </c>
      <c r="L65">
        <v>1</v>
      </c>
      <c r="M65" s="3">
        <v>1</v>
      </c>
      <c r="N65" s="2">
        <v>175</v>
      </c>
      <c r="P65" t="s">
        <v>485</v>
      </c>
    </row>
    <row r="66" spans="1:16" x14ac:dyDescent="0.25">
      <c r="A66" s="4" t="s">
        <v>449</v>
      </c>
      <c r="B66" s="4" t="str">
        <f t="shared" si="0"/>
        <v>00026059647KOVR</v>
      </c>
      <c r="C66" t="s">
        <v>248</v>
      </c>
      <c r="D66" t="s">
        <v>60</v>
      </c>
      <c r="E66">
        <v>20411454</v>
      </c>
      <c r="F66" t="s">
        <v>497</v>
      </c>
      <c r="G66" t="s">
        <v>49</v>
      </c>
      <c r="H66" t="s">
        <v>63</v>
      </c>
      <c r="I66" s="1">
        <v>46023</v>
      </c>
      <c r="J66" s="2">
        <v>0</v>
      </c>
      <c r="K66" s="2">
        <v>175</v>
      </c>
      <c r="L66">
        <v>1</v>
      </c>
      <c r="M66" s="3">
        <v>1</v>
      </c>
      <c r="N66" s="2">
        <v>175</v>
      </c>
      <c r="P66" t="s">
        <v>485</v>
      </c>
    </row>
    <row r="67" spans="1:16" x14ac:dyDescent="0.25">
      <c r="A67" s="4" t="s">
        <v>450</v>
      </c>
      <c r="B67" s="4" t="str">
        <f t="shared" ref="B67:B96" si="1">CONCATENATE(A67,"OVR")</f>
        <v>00026060207KOVR</v>
      </c>
      <c r="C67" t="s">
        <v>250</v>
      </c>
      <c r="D67" t="s">
        <v>60</v>
      </c>
      <c r="E67">
        <v>20411454</v>
      </c>
      <c r="F67" t="s">
        <v>497</v>
      </c>
      <c r="G67" t="s">
        <v>49</v>
      </c>
      <c r="H67" t="s">
        <v>63</v>
      </c>
      <c r="I67" s="1">
        <v>46113</v>
      </c>
      <c r="J67" s="2">
        <v>0</v>
      </c>
      <c r="K67" s="2">
        <v>175</v>
      </c>
      <c r="L67">
        <v>1</v>
      </c>
      <c r="M67" s="3">
        <v>1</v>
      </c>
      <c r="N67" s="2">
        <v>175</v>
      </c>
      <c r="P67" t="s">
        <v>485</v>
      </c>
    </row>
    <row r="68" spans="1:16" x14ac:dyDescent="0.25">
      <c r="A68" s="4" t="s">
        <v>451</v>
      </c>
      <c r="B68" s="4" t="str">
        <f t="shared" si="1"/>
        <v>00026060803KOVR</v>
      </c>
      <c r="C68" t="s">
        <v>252</v>
      </c>
      <c r="D68" t="s">
        <v>60</v>
      </c>
      <c r="E68">
        <v>20411454</v>
      </c>
      <c r="F68" t="s">
        <v>497</v>
      </c>
      <c r="G68" t="s">
        <v>49</v>
      </c>
      <c r="H68" t="s">
        <v>63</v>
      </c>
      <c r="I68" s="1">
        <v>46054</v>
      </c>
      <c r="J68" s="2">
        <v>0</v>
      </c>
      <c r="K68" s="2">
        <v>175</v>
      </c>
      <c r="L68">
        <v>1</v>
      </c>
      <c r="M68" s="3">
        <v>1</v>
      </c>
      <c r="N68" s="2">
        <v>175</v>
      </c>
      <c r="P68" t="s">
        <v>485</v>
      </c>
    </row>
    <row r="69" spans="1:16" x14ac:dyDescent="0.25">
      <c r="A69" s="4" t="s">
        <v>452</v>
      </c>
      <c r="B69" s="4" t="str">
        <f t="shared" si="1"/>
        <v>00026061389KOVR</v>
      </c>
      <c r="C69" t="s">
        <v>254</v>
      </c>
      <c r="D69" t="s">
        <v>60</v>
      </c>
      <c r="E69">
        <v>20411454</v>
      </c>
      <c r="F69" t="s">
        <v>497</v>
      </c>
      <c r="G69" t="s">
        <v>49</v>
      </c>
      <c r="H69" t="s">
        <v>63</v>
      </c>
      <c r="I69" s="1">
        <v>46113</v>
      </c>
      <c r="J69" s="2">
        <v>0</v>
      </c>
      <c r="K69" s="2">
        <v>175</v>
      </c>
      <c r="L69">
        <v>1</v>
      </c>
      <c r="M69" s="3">
        <v>1</v>
      </c>
      <c r="N69" s="2">
        <v>175</v>
      </c>
      <c r="P69" t="s">
        <v>485</v>
      </c>
    </row>
    <row r="70" spans="1:16" x14ac:dyDescent="0.25">
      <c r="A70" s="4" t="s">
        <v>453</v>
      </c>
      <c r="B70" s="4" t="str">
        <f t="shared" si="1"/>
        <v>00026061421KOVR</v>
      </c>
      <c r="C70" t="s">
        <v>258</v>
      </c>
      <c r="D70" t="s">
        <v>60</v>
      </c>
      <c r="E70">
        <v>20411454</v>
      </c>
      <c r="F70" t="s">
        <v>497</v>
      </c>
      <c r="G70" t="s">
        <v>49</v>
      </c>
      <c r="H70" t="s">
        <v>63</v>
      </c>
      <c r="I70" s="1">
        <v>46113</v>
      </c>
      <c r="J70" s="2">
        <v>0</v>
      </c>
      <c r="K70" s="2">
        <v>175</v>
      </c>
      <c r="L70">
        <v>1</v>
      </c>
      <c r="M70" s="3">
        <v>1</v>
      </c>
      <c r="N70" s="2">
        <v>175</v>
      </c>
      <c r="P70" t="s">
        <v>485</v>
      </c>
    </row>
    <row r="71" spans="1:16" x14ac:dyDescent="0.25">
      <c r="A71" s="4" t="s">
        <v>467</v>
      </c>
      <c r="B71" s="4" t="str">
        <f t="shared" si="1"/>
        <v>00016332039KOVR</v>
      </c>
      <c r="C71" t="s">
        <v>341</v>
      </c>
      <c r="D71" t="s">
        <v>60</v>
      </c>
      <c r="E71">
        <v>20411454</v>
      </c>
      <c r="F71" t="s">
        <v>497</v>
      </c>
      <c r="G71" t="s">
        <v>339</v>
      </c>
      <c r="H71" t="s">
        <v>63</v>
      </c>
      <c r="I71" s="1">
        <v>46023</v>
      </c>
      <c r="N71">
        <v>-161</v>
      </c>
      <c r="P71" t="s">
        <v>485</v>
      </c>
    </row>
    <row r="72" spans="1:16" x14ac:dyDescent="0.25">
      <c r="A72" s="4" t="s">
        <v>479</v>
      </c>
      <c r="B72" s="4" t="str">
        <f t="shared" si="1"/>
        <v>00016337201KOVR</v>
      </c>
      <c r="C72" t="s">
        <v>345</v>
      </c>
      <c r="D72" t="s">
        <v>60</v>
      </c>
      <c r="E72">
        <v>20411454</v>
      </c>
      <c r="F72" t="s">
        <v>497</v>
      </c>
      <c r="G72" t="s">
        <v>339</v>
      </c>
      <c r="H72" t="s">
        <v>63</v>
      </c>
      <c r="I72" s="1">
        <v>46054</v>
      </c>
      <c r="N72">
        <v>-175</v>
      </c>
      <c r="P72" t="s">
        <v>485</v>
      </c>
    </row>
    <row r="73" spans="1:16" x14ac:dyDescent="0.25">
      <c r="A73" s="4" t="s">
        <v>468</v>
      </c>
      <c r="B73" s="4" t="str">
        <f t="shared" si="1"/>
        <v>00017504051KOVR</v>
      </c>
      <c r="C73" t="s">
        <v>347</v>
      </c>
      <c r="D73" t="s">
        <v>60</v>
      </c>
      <c r="E73">
        <v>20411454</v>
      </c>
      <c r="F73" t="s">
        <v>497</v>
      </c>
      <c r="G73" t="s">
        <v>339</v>
      </c>
      <c r="H73" t="s">
        <v>63</v>
      </c>
      <c r="I73" s="1">
        <v>46023</v>
      </c>
      <c r="N73">
        <v>-161</v>
      </c>
      <c r="P73" t="s">
        <v>485</v>
      </c>
    </row>
    <row r="74" spans="1:16" x14ac:dyDescent="0.25">
      <c r="A74" s="4" t="s">
        <v>469</v>
      </c>
      <c r="B74" s="4" t="str">
        <f t="shared" si="1"/>
        <v>00018142972KOVR</v>
      </c>
      <c r="C74" t="s">
        <v>349</v>
      </c>
      <c r="D74" t="s">
        <v>60</v>
      </c>
      <c r="E74">
        <v>20411454</v>
      </c>
      <c r="F74" t="s">
        <v>497</v>
      </c>
      <c r="G74" t="s">
        <v>339</v>
      </c>
      <c r="H74" t="s">
        <v>63</v>
      </c>
      <c r="I74" s="1">
        <v>46023</v>
      </c>
      <c r="N74">
        <v>-161</v>
      </c>
      <c r="P74" t="s">
        <v>485</v>
      </c>
    </row>
    <row r="75" spans="1:16" x14ac:dyDescent="0.25">
      <c r="A75" s="4" t="s">
        <v>470</v>
      </c>
      <c r="B75" s="4" t="str">
        <f t="shared" si="1"/>
        <v>00022094137KOVR</v>
      </c>
      <c r="C75" t="s">
        <v>356</v>
      </c>
      <c r="D75" t="s">
        <v>60</v>
      </c>
      <c r="E75">
        <v>20411454</v>
      </c>
      <c r="F75" t="s">
        <v>497</v>
      </c>
      <c r="G75" t="s">
        <v>339</v>
      </c>
      <c r="H75" t="s">
        <v>63</v>
      </c>
      <c r="I75" s="1">
        <v>46023</v>
      </c>
      <c r="N75">
        <v>-161</v>
      </c>
      <c r="P75" t="s">
        <v>485</v>
      </c>
    </row>
    <row r="76" spans="1:16" x14ac:dyDescent="0.25">
      <c r="A76" s="4" t="s">
        <v>471</v>
      </c>
      <c r="B76" s="4" t="str">
        <f t="shared" si="1"/>
        <v>00023536079KOVR</v>
      </c>
      <c r="C76" t="s">
        <v>359</v>
      </c>
      <c r="D76" t="s">
        <v>118</v>
      </c>
      <c r="E76">
        <v>20411454</v>
      </c>
      <c r="F76" t="s">
        <v>497</v>
      </c>
      <c r="G76" t="s">
        <v>339</v>
      </c>
      <c r="H76" t="s">
        <v>63</v>
      </c>
      <c r="I76" s="1">
        <v>46023</v>
      </c>
      <c r="N76">
        <v>-161</v>
      </c>
      <c r="P76" t="s">
        <v>485</v>
      </c>
    </row>
    <row r="77" spans="1:16" x14ac:dyDescent="0.25">
      <c r="A77" s="4" t="s">
        <v>472</v>
      </c>
      <c r="B77" s="4" t="str">
        <f t="shared" si="1"/>
        <v>00024848882KOVR</v>
      </c>
      <c r="C77" t="s">
        <v>361</v>
      </c>
      <c r="D77" t="s">
        <v>60</v>
      </c>
      <c r="E77">
        <v>20411454</v>
      </c>
      <c r="F77" t="s">
        <v>497</v>
      </c>
      <c r="G77" t="s">
        <v>339</v>
      </c>
      <c r="H77" t="s">
        <v>63</v>
      </c>
      <c r="I77" s="1">
        <v>46023</v>
      </c>
      <c r="N77">
        <v>-161</v>
      </c>
      <c r="P77" t="s">
        <v>485</v>
      </c>
    </row>
    <row r="78" spans="1:16" x14ac:dyDescent="0.25">
      <c r="A78" s="4" t="s">
        <v>473</v>
      </c>
      <c r="B78" s="4" t="str">
        <f t="shared" si="1"/>
        <v>00024943110KOVR</v>
      </c>
      <c r="C78" t="s">
        <v>363</v>
      </c>
      <c r="D78" t="s">
        <v>60</v>
      </c>
      <c r="E78">
        <v>20411454</v>
      </c>
      <c r="F78" t="s">
        <v>497</v>
      </c>
      <c r="G78" t="s">
        <v>339</v>
      </c>
      <c r="H78" t="s">
        <v>63</v>
      </c>
      <c r="I78" s="1">
        <v>46023</v>
      </c>
      <c r="N78">
        <v>-161</v>
      </c>
      <c r="P78" t="s">
        <v>485</v>
      </c>
    </row>
    <row r="79" spans="1:16" x14ac:dyDescent="0.25">
      <c r="A79" s="4" t="s">
        <v>480</v>
      </c>
      <c r="B79" s="4" t="str">
        <f t="shared" si="1"/>
        <v>00025205339KOVR</v>
      </c>
      <c r="C79" t="s">
        <v>365</v>
      </c>
      <c r="D79" t="s">
        <v>60</v>
      </c>
      <c r="E79">
        <v>20411454</v>
      </c>
      <c r="F79" t="s">
        <v>497</v>
      </c>
      <c r="G79" t="s">
        <v>339</v>
      </c>
      <c r="H79" t="s">
        <v>63</v>
      </c>
      <c r="I79" s="1">
        <v>46023</v>
      </c>
      <c r="N79">
        <v>-175</v>
      </c>
      <c r="P79" t="s">
        <v>485</v>
      </c>
    </row>
    <row r="80" spans="1:16" x14ac:dyDescent="0.25">
      <c r="A80" s="4" t="s">
        <v>458</v>
      </c>
      <c r="B80" s="4" t="str">
        <f t="shared" si="1"/>
        <v>00025236228KOVR</v>
      </c>
      <c r="C80" t="s">
        <v>109</v>
      </c>
      <c r="D80" t="s">
        <v>60</v>
      </c>
      <c r="E80">
        <v>20411454</v>
      </c>
      <c r="F80" t="s">
        <v>497</v>
      </c>
      <c r="G80" t="s">
        <v>339</v>
      </c>
      <c r="H80" t="s">
        <v>63</v>
      </c>
      <c r="I80" s="1">
        <v>46023</v>
      </c>
      <c r="N80">
        <v>-161</v>
      </c>
      <c r="P80" t="s">
        <v>485</v>
      </c>
    </row>
    <row r="81" spans="1:16" x14ac:dyDescent="0.25">
      <c r="A81" s="4" t="s">
        <v>459</v>
      </c>
      <c r="B81" s="4" t="str">
        <f t="shared" si="1"/>
        <v>00025445542KOVR</v>
      </c>
      <c r="C81" t="s">
        <v>113</v>
      </c>
      <c r="D81" t="s">
        <v>55</v>
      </c>
      <c r="E81">
        <v>20411454</v>
      </c>
      <c r="F81" t="s">
        <v>497</v>
      </c>
      <c r="G81" t="s">
        <v>339</v>
      </c>
      <c r="H81" t="s">
        <v>63</v>
      </c>
      <c r="I81" s="1">
        <v>46023</v>
      </c>
      <c r="N81">
        <v>-161</v>
      </c>
      <c r="P81" t="s">
        <v>485</v>
      </c>
    </row>
    <row r="82" spans="1:16" x14ac:dyDescent="0.25">
      <c r="A82" s="4" t="s">
        <v>460</v>
      </c>
      <c r="B82" s="4" t="str">
        <f t="shared" si="1"/>
        <v>00025471647KOVR</v>
      </c>
      <c r="C82" t="s">
        <v>117</v>
      </c>
      <c r="D82" t="s">
        <v>118</v>
      </c>
      <c r="E82">
        <v>20411454</v>
      </c>
      <c r="F82" t="s">
        <v>497</v>
      </c>
      <c r="G82" t="s">
        <v>339</v>
      </c>
      <c r="H82" t="s">
        <v>63</v>
      </c>
      <c r="I82" s="1">
        <v>46023</v>
      </c>
      <c r="N82">
        <v>-161</v>
      </c>
      <c r="P82" t="s">
        <v>485</v>
      </c>
    </row>
    <row r="83" spans="1:16" x14ac:dyDescent="0.25">
      <c r="A83" s="4" t="s">
        <v>481</v>
      </c>
      <c r="B83" s="4" t="str">
        <f t="shared" si="1"/>
        <v>00025903141KOVR</v>
      </c>
      <c r="C83" t="s">
        <v>370</v>
      </c>
      <c r="D83" t="s">
        <v>371</v>
      </c>
      <c r="E83">
        <v>20411454</v>
      </c>
      <c r="F83" t="s">
        <v>497</v>
      </c>
      <c r="G83" t="s">
        <v>339</v>
      </c>
      <c r="H83" t="s">
        <v>63</v>
      </c>
      <c r="I83" s="1">
        <v>46054</v>
      </c>
      <c r="N83">
        <v>-175</v>
      </c>
      <c r="P83" t="s">
        <v>485</v>
      </c>
    </row>
    <row r="84" spans="1:16" x14ac:dyDescent="0.25">
      <c r="A84" s="4" t="s">
        <v>482</v>
      </c>
      <c r="B84" s="4" t="str">
        <f t="shared" si="1"/>
        <v>00025911940KOVR</v>
      </c>
      <c r="C84" t="s">
        <v>373</v>
      </c>
      <c r="D84" t="s">
        <v>60</v>
      </c>
      <c r="E84">
        <v>20411454</v>
      </c>
      <c r="F84" t="s">
        <v>497</v>
      </c>
      <c r="G84" t="s">
        <v>339</v>
      </c>
      <c r="H84" t="s">
        <v>63</v>
      </c>
      <c r="I84" s="1">
        <v>46054</v>
      </c>
      <c r="N84">
        <v>-175</v>
      </c>
      <c r="P84" t="s">
        <v>485</v>
      </c>
    </row>
    <row r="85" spans="1:16" x14ac:dyDescent="0.25">
      <c r="A85" s="4" t="s">
        <v>454</v>
      </c>
      <c r="B85" s="4" t="str">
        <f t="shared" si="1"/>
        <v>00002045751KOVR</v>
      </c>
      <c r="C85" t="s">
        <v>45</v>
      </c>
      <c r="D85" t="s">
        <v>46</v>
      </c>
      <c r="E85">
        <v>20411454</v>
      </c>
      <c r="F85" t="s">
        <v>497</v>
      </c>
      <c r="G85" t="s">
        <v>49</v>
      </c>
      <c r="H85" t="s">
        <v>50</v>
      </c>
      <c r="I85" s="1">
        <v>46054</v>
      </c>
      <c r="J85" s="2">
        <v>0</v>
      </c>
      <c r="K85" s="2">
        <v>108</v>
      </c>
      <c r="L85">
        <v>1</v>
      </c>
      <c r="M85" s="3">
        <v>1</v>
      </c>
      <c r="N85" s="2">
        <v>108</v>
      </c>
      <c r="P85" t="s">
        <v>485</v>
      </c>
    </row>
    <row r="86" spans="1:16" x14ac:dyDescent="0.25">
      <c r="A86" s="4" t="s">
        <v>455</v>
      </c>
      <c r="B86" s="4" t="str">
        <f t="shared" si="1"/>
        <v>00003837723KOVR</v>
      </c>
      <c r="C86" t="s">
        <v>54</v>
      </c>
      <c r="D86" t="s">
        <v>55</v>
      </c>
      <c r="E86">
        <v>20411454</v>
      </c>
      <c r="F86" t="s">
        <v>497</v>
      </c>
      <c r="G86" t="s">
        <v>49</v>
      </c>
      <c r="H86" t="s">
        <v>50</v>
      </c>
      <c r="I86" s="1">
        <v>46054</v>
      </c>
      <c r="J86" s="2">
        <v>0</v>
      </c>
      <c r="K86" s="2">
        <v>108</v>
      </c>
      <c r="L86">
        <v>1</v>
      </c>
      <c r="M86" s="3">
        <v>1</v>
      </c>
      <c r="N86" s="2">
        <v>108</v>
      </c>
      <c r="P86" t="s">
        <v>485</v>
      </c>
    </row>
    <row r="87" spans="1:16" x14ac:dyDescent="0.25">
      <c r="A87" s="4" t="s">
        <v>456</v>
      </c>
      <c r="B87" s="4" t="str">
        <f t="shared" si="1"/>
        <v>00018991718KOVR</v>
      </c>
      <c r="C87" t="s">
        <v>83</v>
      </c>
      <c r="D87" t="s">
        <v>60</v>
      </c>
      <c r="E87">
        <v>20411454</v>
      </c>
      <c r="F87" t="s">
        <v>497</v>
      </c>
      <c r="G87" t="s">
        <v>49</v>
      </c>
      <c r="H87" t="s">
        <v>50</v>
      </c>
      <c r="I87" s="1">
        <v>46054</v>
      </c>
      <c r="J87" s="2">
        <v>0</v>
      </c>
      <c r="K87" s="2">
        <v>108</v>
      </c>
      <c r="L87">
        <v>1</v>
      </c>
      <c r="M87" s="3">
        <v>1</v>
      </c>
      <c r="N87" s="2">
        <v>108</v>
      </c>
      <c r="P87" t="s">
        <v>485</v>
      </c>
    </row>
    <row r="88" spans="1:16" x14ac:dyDescent="0.25">
      <c r="A88" s="4" t="s">
        <v>457</v>
      </c>
      <c r="B88" s="4" t="str">
        <f t="shared" si="1"/>
        <v>00023120301KOVR</v>
      </c>
      <c r="C88" t="s">
        <v>99</v>
      </c>
      <c r="D88" t="s">
        <v>60</v>
      </c>
      <c r="E88">
        <v>20411454</v>
      </c>
      <c r="F88" t="s">
        <v>497</v>
      </c>
      <c r="G88" t="s">
        <v>49</v>
      </c>
      <c r="H88" t="s">
        <v>50</v>
      </c>
      <c r="I88" s="1">
        <v>46054</v>
      </c>
      <c r="J88" s="2">
        <v>0</v>
      </c>
      <c r="K88" s="2">
        <v>108</v>
      </c>
      <c r="L88">
        <v>1</v>
      </c>
      <c r="M88" s="3">
        <v>1</v>
      </c>
      <c r="N88" s="2">
        <v>108</v>
      </c>
      <c r="P88" t="s">
        <v>485</v>
      </c>
    </row>
    <row r="89" spans="1:16" x14ac:dyDescent="0.25">
      <c r="A89" s="4" t="s">
        <v>458</v>
      </c>
      <c r="B89" s="4" t="str">
        <f t="shared" si="1"/>
        <v>00025236228KOVR</v>
      </c>
      <c r="C89" t="s">
        <v>109</v>
      </c>
      <c r="D89" t="s">
        <v>60</v>
      </c>
      <c r="E89">
        <v>20411454</v>
      </c>
      <c r="F89" t="s">
        <v>497</v>
      </c>
      <c r="G89" t="s">
        <v>49</v>
      </c>
      <c r="H89" t="s">
        <v>50</v>
      </c>
      <c r="I89" s="1">
        <v>46054</v>
      </c>
      <c r="J89" s="2">
        <v>0</v>
      </c>
      <c r="K89" s="2">
        <v>108</v>
      </c>
      <c r="L89">
        <v>1</v>
      </c>
      <c r="M89" s="3">
        <v>1</v>
      </c>
      <c r="N89" s="2">
        <v>108</v>
      </c>
      <c r="P89" t="s">
        <v>485</v>
      </c>
    </row>
    <row r="90" spans="1:16" x14ac:dyDescent="0.25">
      <c r="A90" s="4" t="s">
        <v>459</v>
      </c>
      <c r="B90" s="4" t="str">
        <f t="shared" si="1"/>
        <v>00025445542KOVR</v>
      </c>
      <c r="C90" t="s">
        <v>113</v>
      </c>
      <c r="D90" t="s">
        <v>55</v>
      </c>
      <c r="E90">
        <v>20411454</v>
      </c>
      <c r="F90" t="s">
        <v>497</v>
      </c>
      <c r="G90" t="s">
        <v>49</v>
      </c>
      <c r="H90" t="s">
        <v>50</v>
      </c>
      <c r="I90" s="1">
        <v>46054</v>
      </c>
      <c r="J90" s="2">
        <v>0</v>
      </c>
      <c r="K90" s="2">
        <v>108</v>
      </c>
      <c r="L90">
        <v>1</v>
      </c>
      <c r="M90" s="3">
        <v>1</v>
      </c>
      <c r="N90" s="2">
        <v>108</v>
      </c>
      <c r="P90" t="s">
        <v>485</v>
      </c>
    </row>
    <row r="91" spans="1:16" x14ac:dyDescent="0.25">
      <c r="A91" s="4" t="s">
        <v>460</v>
      </c>
      <c r="B91" s="4" t="str">
        <f t="shared" si="1"/>
        <v>00025471647KOVR</v>
      </c>
      <c r="C91" t="s">
        <v>117</v>
      </c>
      <c r="D91" t="s">
        <v>118</v>
      </c>
      <c r="E91">
        <v>20411454</v>
      </c>
      <c r="F91" t="s">
        <v>497</v>
      </c>
      <c r="G91" t="s">
        <v>49</v>
      </c>
      <c r="H91" t="s">
        <v>50</v>
      </c>
      <c r="I91" s="1">
        <v>46054</v>
      </c>
      <c r="J91" s="2">
        <v>0</v>
      </c>
      <c r="K91" s="2">
        <v>108</v>
      </c>
      <c r="L91">
        <v>1</v>
      </c>
      <c r="M91" s="3">
        <v>1</v>
      </c>
      <c r="N91" s="2">
        <v>108</v>
      </c>
      <c r="P91" t="s">
        <v>485</v>
      </c>
    </row>
    <row r="92" spans="1:16" x14ac:dyDescent="0.25">
      <c r="A92" s="4" t="s">
        <v>461</v>
      </c>
      <c r="B92" s="4" t="str">
        <f t="shared" si="1"/>
        <v>00026034392KOVR</v>
      </c>
      <c r="C92" t="s">
        <v>177</v>
      </c>
      <c r="D92" t="s">
        <v>60</v>
      </c>
      <c r="E92">
        <v>20411454</v>
      </c>
      <c r="F92" t="s">
        <v>497</v>
      </c>
      <c r="G92" t="s">
        <v>49</v>
      </c>
      <c r="H92" t="s">
        <v>50</v>
      </c>
      <c r="I92" s="1">
        <v>45689</v>
      </c>
      <c r="J92" s="2">
        <v>0</v>
      </c>
      <c r="K92" s="2">
        <v>108</v>
      </c>
      <c r="L92">
        <v>1</v>
      </c>
      <c r="M92" s="3">
        <v>1</v>
      </c>
      <c r="N92" s="2">
        <v>108</v>
      </c>
      <c r="P92" t="s">
        <v>485</v>
      </c>
    </row>
    <row r="93" spans="1:16" x14ac:dyDescent="0.25">
      <c r="A93" s="4" t="s">
        <v>474</v>
      </c>
      <c r="B93" s="4" t="str">
        <f t="shared" si="1"/>
        <v>00000030335FOVR</v>
      </c>
      <c r="C93" t="s">
        <v>338</v>
      </c>
      <c r="D93" t="s">
        <v>60</v>
      </c>
      <c r="E93">
        <v>20411454</v>
      </c>
      <c r="F93" t="s">
        <v>497</v>
      </c>
      <c r="G93" t="s">
        <v>339</v>
      </c>
      <c r="H93" t="s">
        <v>50</v>
      </c>
      <c r="I93" s="1">
        <v>46023</v>
      </c>
      <c r="N93">
        <v>-99.36</v>
      </c>
      <c r="P93" t="s">
        <v>485</v>
      </c>
    </row>
    <row r="94" spans="1:16" x14ac:dyDescent="0.25">
      <c r="A94" s="4" t="s">
        <v>475</v>
      </c>
      <c r="B94" s="4" t="str">
        <f t="shared" si="1"/>
        <v>00019368907KOVR</v>
      </c>
      <c r="C94" t="s">
        <v>351</v>
      </c>
      <c r="D94" t="s">
        <v>60</v>
      </c>
      <c r="E94">
        <v>20411454</v>
      </c>
      <c r="F94" t="s">
        <v>497</v>
      </c>
      <c r="G94" t="s">
        <v>339</v>
      </c>
      <c r="H94" t="s">
        <v>50</v>
      </c>
      <c r="I94" s="1">
        <v>46023</v>
      </c>
      <c r="N94">
        <v>-99.36</v>
      </c>
      <c r="P94" t="s">
        <v>485</v>
      </c>
    </row>
    <row r="95" spans="1:16" x14ac:dyDescent="0.25">
      <c r="A95" s="4" t="s">
        <v>476</v>
      </c>
      <c r="B95" s="4" t="str">
        <f t="shared" si="1"/>
        <v>00021511325KOVR</v>
      </c>
      <c r="C95" t="s">
        <v>353</v>
      </c>
      <c r="D95" t="s">
        <v>354</v>
      </c>
      <c r="E95">
        <v>20411454</v>
      </c>
      <c r="F95" t="s">
        <v>497</v>
      </c>
      <c r="G95" t="s">
        <v>339</v>
      </c>
      <c r="H95" t="s">
        <v>50</v>
      </c>
      <c r="I95" s="1">
        <v>46023</v>
      </c>
      <c r="N95">
        <v>-99.36</v>
      </c>
      <c r="P95" t="s">
        <v>485</v>
      </c>
    </row>
    <row r="96" spans="1:16" x14ac:dyDescent="0.25">
      <c r="A96" s="4" t="s">
        <v>457</v>
      </c>
      <c r="B96" s="4" t="str">
        <f t="shared" si="1"/>
        <v>00023120301KOVR</v>
      </c>
      <c r="C96" t="s">
        <v>99</v>
      </c>
      <c r="D96" t="s">
        <v>60</v>
      </c>
      <c r="E96">
        <v>20411454</v>
      </c>
      <c r="F96" t="s">
        <v>497</v>
      </c>
      <c r="G96" t="s">
        <v>339</v>
      </c>
      <c r="H96" t="s">
        <v>50</v>
      </c>
      <c r="I96" s="1">
        <v>46023</v>
      </c>
      <c r="N96">
        <v>-99.36</v>
      </c>
      <c r="P96" t="s">
        <v>485</v>
      </c>
    </row>
    <row r="97" spans="1:18" s="6" customFormat="1" x14ac:dyDescent="0.25">
      <c r="A97" s="5" t="s">
        <v>462</v>
      </c>
      <c r="B97" s="5" t="str">
        <f>CONCATENATE(A97,1)</f>
        <v>A044253261</v>
      </c>
      <c r="C97" s="6" t="s">
        <v>330</v>
      </c>
      <c r="D97" s="6" t="s">
        <v>55</v>
      </c>
      <c r="E97" s="6">
        <v>17425766</v>
      </c>
      <c r="F97" s="6" t="s">
        <v>332</v>
      </c>
      <c r="G97" s="6" t="s">
        <v>49</v>
      </c>
      <c r="H97" s="6" t="s">
        <v>333</v>
      </c>
      <c r="I97" s="7">
        <v>46054</v>
      </c>
      <c r="J97" s="8">
        <v>0</v>
      </c>
      <c r="K97" s="8">
        <v>58.19</v>
      </c>
      <c r="L97" s="6">
        <v>9</v>
      </c>
      <c r="M97" s="9">
        <v>1</v>
      </c>
      <c r="N97" s="8">
        <v>523.71</v>
      </c>
      <c r="P97" s="6" t="s">
        <v>486</v>
      </c>
    </row>
    <row r="98" spans="1:18" s="6" customFormat="1" x14ac:dyDescent="0.25">
      <c r="A98" s="5" t="s">
        <v>463</v>
      </c>
      <c r="B98" s="5" t="str">
        <f t="shared" ref="B98:B99" si="2">CONCATENATE(A98,1)</f>
        <v>A044218781</v>
      </c>
      <c r="C98" s="6" t="s">
        <v>320</v>
      </c>
      <c r="D98" s="6" t="s">
        <v>71</v>
      </c>
      <c r="E98" s="6">
        <v>21564088</v>
      </c>
      <c r="F98" s="6" t="s">
        <v>322</v>
      </c>
      <c r="G98" s="6" t="s">
        <v>49</v>
      </c>
      <c r="H98" s="6" t="s">
        <v>323</v>
      </c>
      <c r="I98" s="7">
        <v>46113</v>
      </c>
      <c r="J98" s="8">
        <v>0</v>
      </c>
      <c r="K98" s="8">
        <v>9.83</v>
      </c>
      <c r="L98" s="6">
        <v>9</v>
      </c>
      <c r="M98" s="9">
        <v>1</v>
      </c>
      <c r="N98" s="8">
        <v>88.47</v>
      </c>
      <c r="P98" s="6" t="s">
        <v>323</v>
      </c>
    </row>
    <row r="99" spans="1:18" s="6" customFormat="1" x14ac:dyDescent="0.25">
      <c r="A99" s="5" t="s">
        <v>464</v>
      </c>
      <c r="B99" s="5" t="str">
        <f t="shared" si="2"/>
        <v>A044218801</v>
      </c>
      <c r="C99" s="6" t="s">
        <v>325</v>
      </c>
      <c r="D99" s="6" t="s">
        <v>71</v>
      </c>
      <c r="E99" s="6">
        <v>21564088</v>
      </c>
      <c r="F99" s="6" t="s">
        <v>322</v>
      </c>
      <c r="G99" s="6" t="s">
        <v>49</v>
      </c>
      <c r="H99" s="6" t="s">
        <v>323</v>
      </c>
      <c r="I99" s="7">
        <v>46082</v>
      </c>
      <c r="J99" s="8">
        <v>0</v>
      </c>
      <c r="K99" s="8">
        <v>9.83</v>
      </c>
      <c r="L99" s="6">
        <v>9</v>
      </c>
      <c r="M99" s="9">
        <v>1</v>
      </c>
      <c r="N99" s="8">
        <v>88.47</v>
      </c>
      <c r="P99" s="6" t="s">
        <v>323</v>
      </c>
    </row>
    <row r="100" spans="1:18" x14ac:dyDescent="0.25">
      <c r="A100" s="4">
        <v>993657159</v>
      </c>
      <c r="B100" s="4" t="str">
        <f t="shared" ref="B100:B109" si="3">CONCATENATE(A100,"OVR")</f>
        <v>993657159OVR</v>
      </c>
      <c r="C100" t="s">
        <v>313</v>
      </c>
      <c r="D100" t="s">
        <v>214</v>
      </c>
      <c r="E100">
        <v>20411454</v>
      </c>
      <c r="F100" t="s">
        <v>497</v>
      </c>
      <c r="G100" t="s">
        <v>49</v>
      </c>
      <c r="H100" t="s">
        <v>318</v>
      </c>
      <c r="I100" s="1">
        <v>46054</v>
      </c>
      <c r="J100" s="2">
        <v>0</v>
      </c>
      <c r="K100" s="2">
        <v>175</v>
      </c>
      <c r="L100">
        <v>1</v>
      </c>
      <c r="M100" s="3">
        <v>1</v>
      </c>
      <c r="N100" s="2">
        <v>175</v>
      </c>
      <c r="P100" t="s">
        <v>487</v>
      </c>
    </row>
    <row r="101" spans="1:18" x14ac:dyDescent="0.25">
      <c r="A101" s="4">
        <v>133073485</v>
      </c>
      <c r="B101" s="4" t="str">
        <f t="shared" si="3"/>
        <v>133073485OVR</v>
      </c>
      <c r="C101" t="s">
        <v>283</v>
      </c>
      <c r="D101" t="s">
        <v>55</v>
      </c>
      <c r="E101">
        <v>20411454</v>
      </c>
      <c r="F101" t="s">
        <v>497</v>
      </c>
      <c r="G101" t="s">
        <v>49</v>
      </c>
      <c r="H101" t="s">
        <v>288</v>
      </c>
      <c r="I101" s="1">
        <v>46054</v>
      </c>
      <c r="J101" s="2">
        <v>0</v>
      </c>
      <c r="K101" s="2">
        <v>175</v>
      </c>
      <c r="L101">
        <v>1</v>
      </c>
      <c r="M101" s="3">
        <v>1</v>
      </c>
      <c r="N101" s="2">
        <v>175</v>
      </c>
      <c r="P101" t="s">
        <v>487</v>
      </c>
    </row>
    <row r="102" spans="1:18" x14ac:dyDescent="0.25">
      <c r="A102" s="4">
        <v>921405829</v>
      </c>
      <c r="B102" s="4" t="str">
        <f t="shared" si="3"/>
        <v>921405829OVR</v>
      </c>
      <c r="C102" t="s">
        <v>295</v>
      </c>
      <c r="D102" t="s">
        <v>296</v>
      </c>
      <c r="E102">
        <v>20411454</v>
      </c>
      <c r="F102" t="s">
        <v>497</v>
      </c>
      <c r="G102" t="s">
        <v>49</v>
      </c>
      <c r="H102" t="s">
        <v>288</v>
      </c>
      <c r="I102" s="1">
        <v>46054</v>
      </c>
      <c r="J102" s="2">
        <v>0</v>
      </c>
      <c r="K102" s="2">
        <v>175</v>
      </c>
      <c r="L102">
        <v>1</v>
      </c>
      <c r="M102" s="3">
        <v>1</v>
      </c>
      <c r="N102" s="2">
        <v>175</v>
      </c>
      <c r="P102" t="s">
        <v>487</v>
      </c>
    </row>
    <row r="103" spans="1:18" x14ac:dyDescent="0.25">
      <c r="A103" s="4">
        <v>916076903</v>
      </c>
      <c r="B103" s="4" t="str">
        <f t="shared" si="3"/>
        <v>916076903OVR</v>
      </c>
      <c r="C103" t="s">
        <v>141</v>
      </c>
      <c r="D103" t="s">
        <v>142</v>
      </c>
      <c r="E103">
        <v>20411454</v>
      </c>
      <c r="F103" t="s">
        <v>497</v>
      </c>
      <c r="G103" t="s">
        <v>339</v>
      </c>
      <c r="H103" t="s">
        <v>288</v>
      </c>
      <c r="I103" s="1">
        <v>46023</v>
      </c>
      <c r="N103">
        <v>-175</v>
      </c>
      <c r="P103" t="s">
        <v>487</v>
      </c>
    </row>
    <row r="104" spans="1:18" x14ac:dyDescent="0.25">
      <c r="A104" s="4">
        <v>970254922</v>
      </c>
      <c r="B104" s="4" t="str">
        <f t="shared" si="3"/>
        <v>970254922OVR</v>
      </c>
      <c r="C104" t="s">
        <v>395</v>
      </c>
      <c r="D104" t="s">
        <v>60</v>
      </c>
      <c r="E104">
        <v>20411454</v>
      </c>
      <c r="F104" t="s">
        <v>497</v>
      </c>
      <c r="G104" t="s">
        <v>339</v>
      </c>
      <c r="H104" t="s">
        <v>288</v>
      </c>
      <c r="I104" s="1">
        <v>46023</v>
      </c>
      <c r="N104">
        <v>-175</v>
      </c>
      <c r="P104" t="s">
        <v>487</v>
      </c>
    </row>
    <row r="105" spans="1:18" x14ac:dyDescent="0.25">
      <c r="A105" s="4">
        <v>965382656</v>
      </c>
      <c r="B105" s="4" t="str">
        <f t="shared" si="3"/>
        <v>965382656OVR</v>
      </c>
      <c r="C105" t="s">
        <v>309</v>
      </c>
      <c r="D105" t="s">
        <v>71</v>
      </c>
      <c r="E105">
        <v>20411454</v>
      </c>
      <c r="F105" t="s">
        <v>497</v>
      </c>
      <c r="G105" t="s">
        <v>49</v>
      </c>
      <c r="H105" t="s">
        <v>310</v>
      </c>
      <c r="I105" s="1">
        <v>46054</v>
      </c>
      <c r="J105" s="2">
        <v>0</v>
      </c>
      <c r="K105" s="2">
        <v>66</v>
      </c>
      <c r="L105">
        <v>1</v>
      </c>
      <c r="M105" s="3">
        <v>1</v>
      </c>
      <c r="N105" s="2">
        <v>66</v>
      </c>
      <c r="O105" t="s">
        <v>267</v>
      </c>
      <c r="P105" t="s">
        <v>487</v>
      </c>
    </row>
    <row r="106" spans="1:18" x14ac:dyDescent="0.25">
      <c r="A106" s="4">
        <v>939166344</v>
      </c>
      <c r="B106" s="4" t="str">
        <f t="shared" si="3"/>
        <v>939166344OVR</v>
      </c>
      <c r="C106" t="s">
        <v>302</v>
      </c>
      <c r="D106" t="s">
        <v>214</v>
      </c>
      <c r="E106">
        <v>20411454</v>
      </c>
      <c r="F106" t="s">
        <v>497</v>
      </c>
      <c r="G106" t="s">
        <v>49</v>
      </c>
      <c r="H106" t="s">
        <v>303</v>
      </c>
      <c r="I106" s="1">
        <v>46054</v>
      </c>
      <c r="J106" s="2">
        <v>0</v>
      </c>
      <c r="K106" s="2">
        <v>45.83</v>
      </c>
      <c r="L106">
        <v>1</v>
      </c>
      <c r="M106" s="3">
        <v>1</v>
      </c>
      <c r="N106" s="2">
        <v>45.83</v>
      </c>
      <c r="O106" t="s">
        <v>267</v>
      </c>
      <c r="P106" t="s">
        <v>487</v>
      </c>
    </row>
    <row r="107" spans="1:18" x14ac:dyDescent="0.25">
      <c r="A107" s="4">
        <v>901566459</v>
      </c>
      <c r="B107" s="4" t="str">
        <f t="shared" si="3"/>
        <v>901566459OVR</v>
      </c>
      <c r="C107" t="s">
        <v>388</v>
      </c>
      <c r="D107" t="s">
        <v>60</v>
      </c>
      <c r="E107">
        <v>20411454</v>
      </c>
      <c r="F107" t="s">
        <v>497</v>
      </c>
      <c r="G107" t="s">
        <v>339</v>
      </c>
      <c r="H107" t="s">
        <v>389</v>
      </c>
      <c r="I107" s="1">
        <v>46023</v>
      </c>
      <c r="N107">
        <v>-160.41999999999999</v>
      </c>
      <c r="P107" t="s">
        <v>487</v>
      </c>
    </row>
    <row r="108" spans="1:18" x14ac:dyDescent="0.25">
      <c r="A108" s="4">
        <v>937619948</v>
      </c>
      <c r="B108" s="4" t="str">
        <f t="shared" si="3"/>
        <v>937619948OVR</v>
      </c>
      <c r="C108" t="s">
        <v>299</v>
      </c>
      <c r="D108" t="s">
        <v>214</v>
      </c>
      <c r="E108">
        <v>20411454</v>
      </c>
      <c r="F108" t="s">
        <v>497</v>
      </c>
      <c r="G108" t="s">
        <v>49</v>
      </c>
      <c r="H108" t="s">
        <v>300</v>
      </c>
      <c r="I108" s="1">
        <v>46054</v>
      </c>
      <c r="J108" s="2">
        <v>0</v>
      </c>
      <c r="K108" s="2">
        <v>33.92</v>
      </c>
      <c r="L108">
        <v>1</v>
      </c>
      <c r="M108" s="3">
        <v>1</v>
      </c>
      <c r="N108" s="2">
        <v>33.92</v>
      </c>
      <c r="O108" t="s">
        <v>267</v>
      </c>
      <c r="P108" t="s">
        <v>487</v>
      </c>
    </row>
    <row r="109" spans="1:18" x14ac:dyDescent="0.25">
      <c r="A109" s="4">
        <v>959880194</v>
      </c>
      <c r="B109" s="4" t="str">
        <f t="shared" si="3"/>
        <v>959880194OVR</v>
      </c>
      <c r="C109" t="s">
        <v>307</v>
      </c>
      <c r="D109" t="s">
        <v>214</v>
      </c>
      <c r="E109">
        <v>20411454</v>
      </c>
      <c r="F109" t="s">
        <v>497</v>
      </c>
      <c r="G109" t="s">
        <v>49</v>
      </c>
      <c r="H109" t="s">
        <v>300</v>
      </c>
      <c r="I109" s="1">
        <v>46054</v>
      </c>
      <c r="J109" s="2">
        <v>0</v>
      </c>
      <c r="K109" s="2">
        <v>33.92</v>
      </c>
      <c r="L109">
        <v>1</v>
      </c>
      <c r="M109" s="3">
        <v>1</v>
      </c>
      <c r="N109" s="2">
        <v>33.92</v>
      </c>
      <c r="O109" t="s">
        <v>267</v>
      </c>
      <c r="P109" t="s">
        <v>487</v>
      </c>
    </row>
    <row r="110" spans="1:18" s="6" customFormat="1" x14ac:dyDescent="0.25">
      <c r="A110" s="5">
        <v>970254922</v>
      </c>
      <c r="B110" s="5" t="str">
        <f>CONCATENATE(A110,12)</f>
        <v>97025492212</v>
      </c>
      <c r="C110" s="6" t="s">
        <v>395</v>
      </c>
      <c r="D110" s="6" t="s">
        <v>60</v>
      </c>
      <c r="E110" s="6">
        <v>2158366</v>
      </c>
      <c r="F110" s="6" t="s">
        <v>85</v>
      </c>
      <c r="G110" s="6" t="s">
        <v>339</v>
      </c>
      <c r="H110" s="6" t="s">
        <v>396</v>
      </c>
      <c r="I110" s="7">
        <v>46023</v>
      </c>
      <c r="N110" s="6">
        <v>-694</v>
      </c>
      <c r="P110" s="6" t="s">
        <v>488</v>
      </c>
      <c r="Q110" s="6" t="s">
        <v>491</v>
      </c>
    </row>
    <row r="111" spans="1:18" s="6" customFormat="1" x14ac:dyDescent="0.25">
      <c r="A111" s="5">
        <v>901566459</v>
      </c>
      <c r="B111" s="5" t="str">
        <f>CONCATENATE(A111,12)</f>
        <v>90156645912</v>
      </c>
      <c r="C111" s="6" t="s">
        <v>388</v>
      </c>
      <c r="D111" s="6" t="s">
        <v>60</v>
      </c>
      <c r="E111" s="6">
        <v>19586992</v>
      </c>
      <c r="F111" s="6" t="s">
        <v>137</v>
      </c>
      <c r="G111" s="6" t="s">
        <v>339</v>
      </c>
      <c r="H111" s="6" t="s">
        <v>391</v>
      </c>
      <c r="I111" s="7">
        <v>46023</v>
      </c>
      <c r="N111" s="6">
        <v>-636.16999999999996</v>
      </c>
      <c r="P111" s="6" t="s">
        <v>488</v>
      </c>
      <c r="Q111" s="6" t="s">
        <v>493</v>
      </c>
      <c r="R111" s="6">
        <f>694/12*11</f>
        <v>636.16666666666674</v>
      </c>
    </row>
    <row r="112" spans="1:18" s="6" customFormat="1" x14ac:dyDescent="0.25">
      <c r="A112" s="5">
        <v>133073485</v>
      </c>
      <c r="B112" s="5" t="str">
        <f>CONCATENATE(A112,11)</f>
        <v>13307348511</v>
      </c>
      <c r="C112" s="6" t="s">
        <v>283</v>
      </c>
      <c r="D112" s="6" t="s">
        <v>55</v>
      </c>
      <c r="E112" s="6">
        <v>17859093</v>
      </c>
      <c r="F112" s="6" t="s">
        <v>285</v>
      </c>
      <c r="G112" s="6" t="s">
        <v>49</v>
      </c>
      <c r="H112" s="6" t="s">
        <v>286</v>
      </c>
      <c r="I112" s="7">
        <v>46054</v>
      </c>
      <c r="J112" s="8">
        <v>0</v>
      </c>
      <c r="K112" s="8">
        <v>318.08</v>
      </c>
      <c r="L112" s="6">
        <v>1</v>
      </c>
      <c r="M112" s="9">
        <v>1</v>
      </c>
      <c r="N112" s="8">
        <v>318.08</v>
      </c>
      <c r="O112" s="6" t="s">
        <v>267</v>
      </c>
      <c r="P112" s="6" t="s">
        <v>489</v>
      </c>
      <c r="Q112" s="6" t="s">
        <v>494</v>
      </c>
    </row>
    <row r="113" spans="1:18" s="6" customFormat="1" x14ac:dyDescent="0.25">
      <c r="A113" s="5">
        <v>921405829</v>
      </c>
      <c r="B113" s="5" t="str">
        <f t="shared" ref="B113:B115" si="4">CONCATENATE(A113,11)</f>
        <v>92140582911</v>
      </c>
      <c r="C113" s="6" t="s">
        <v>295</v>
      </c>
      <c r="D113" s="6" t="s">
        <v>296</v>
      </c>
      <c r="E113" s="6">
        <v>19645587</v>
      </c>
      <c r="F113" s="6" t="s">
        <v>105</v>
      </c>
      <c r="G113" s="6" t="s">
        <v>49</v>
      </c>
      <c r="H113" s="6" t="s">
        <v>286</v>
      </c>
      <c r="I113" s="7">
        <v>46054</v>
      </c>
      <c r="J113" s="8">
        <v>0</v>
      </c>
      <c r="K113" s="8">
        <v>318.08</v>
      </c>
      <c r="L113" s="6">
        <v>1</v>
      </c>
      <c r="M113" s="9">
        <v>1</v>
      </c>
      <c r="N113" s="8">
        <v>318.08</v>
      </c>
      <c r="O113" s="6" t="s">
        <v>267</v>
      </c>
      <c r="P113" s="6" t="s">
        <v>489</v>
      </c>
      <c r="Q113" s="6" t="s">
        <v>494</v>
      </c>
    </row>
    <row r="114" spans="1:18" s="6" customFormat="1" x14ac:dyDescent="0.25">
      <c r="A114" s="5">
        <v>965382656</v>
      </c>
      <c r="B114" s="5" t="str">
        <f t="shared" si="4"/>
        <v>96538265611</v>
      </c>
      <c r="C114" s="6" t="s">
        <v>309</v>
      </c>
      <c r="D114" s="6" t="s">
        <v>71</v>
      </c>
      <c r="E114" s="6">
        <v>18142208</v>
      </c>
      <c r="F114" s="6" t="s">
        <v>73</v>
      </c>
      <c r="G114" s="6" t="s">
        <v>49</v>
      </c>
      <c r="H114" s="6" t="s">
        <v>286</v>
      </c>
      <c r="I114" s="7">
        <v>46054</v>
      </c>
      <c r="J114" s="8">
        <v>0</v>
      </c>
      <c r="K114" s="8">
        <v>318.08</v>
      </c>
      <c r="L114" s="6">
        <v>1</v>
      </c>
      <c r="M114" s="9">
        <v>1</v>
      </c>
      <c r="N114" s="8">
        <v>318.08</v>
      </c>
      <c r="O114" s="6" t="s">
        <v>267</v>
      </c>
      <c r="P114" s="6" t="s">
        <v>489</v>
      </c>
      <c r="Q114" s="6" t="s">
        <v>494</v>
      </c>
    </row>
    <row r="115" spans="1:18" s="6" customFormat="1" x14ac:dyDescent="0.25">
      <c r="A115" s="5">
        <v>916076903</v>
      </c>
      <c r="B115" s="5" t="str">
        <f t="shared" si="4"/>
        <v>91607690311</v>
      </c>
      <c r="C115" s="6" t="s">
        <v>141</v>
      </c>
      <c r="D115" s="6" t="s">
        <v>142</v>
      </c>
      <c r="E115" s="6">
        <v>16849453</v>
      </c>
      <c r="F115" s="6" t="s">
        <v>144</v>
      </c>
      <c r="G115" s="6" t="s">
        <v>339</v>
      </c>
      <c r="H115" s="6" t="s">
        <v>286</v>
      </c>
      <c r="I115" s="7">
        <v>46023</v>
      </c>
      <c r="N115" s="6">
        <v>-347</v>
      </c>
      <c r="P115" s="6" t="s">
        <v>489</v>
      </c>
      <c r="Q115" s="6" t="s">
        <v>492</v>
      </c>
    </row>
    <row r="116" spans="1:18" s="16" customFormat="1" x14ac:dyDescent="0.25">
      <c r="A116" s="15">
        <v>939166344</v>
      </c>
      <c r="B116" s="15" t="str">
        <f>CONCATENATE(A116,1)</f>
        <v>9391663441</v>
      </c>
      <c r="C116" s="16" t="s">
        <v>302</v>
      </c>
      <c r="D116" s="16" t="s">
        <v>214</v>
      </c>
      <c r="E116" s="16">
        <v>15950276</v>
      </c>
      <c r="F116" s="16" t="s">
        <v>277</v>
      </c>
      <c r="G116" s="16" t="s">
        <v>49</v>
      </c>
      <c r="H116" s="16" t="s">
        <v>305</v>
      </c>
      <c r="I116" s="17">
        <v>46054</v>
      </c>
      <c r="J116" s="18">
        <v>0</v>
      </c>
      <c r="K116" s="18">
        <v>323.58</v>
      </c>
      <c r="L116" s="16">
        <v>1</v>
      </c>
      <c r="M116" s="19">
        <v>1</v>
      </c>
      <c r="N116" s="18">
        <v>323.58</v>
      </c>
      <c r="O116" s="16" t="s">
        <v>267</v>
      </c>
      <c r="P116" s="16" t="s">
        <v>495</v>
      </c>
      <c r="Q116" s="16" t="s">
        <v>496</v>
      </c>
      <c r="R116" s="16">
        <f>353/12*11</f>
        <v>323.58333333333337</v>
      </c>
    </row>
    <row r="117" spans="1:18" s="6" customFormat="1" x14ac:dyDescent="0.25">
      <c r="A117" s="5">
        <v>993657159</v>
      </c>
      <c r="B117" s="5" t="str">
        <f>CONCATENATE(A117,"PDP")</f>
        <v>993657159PDP</v>
      </c>
      <c r="C117" s="6" t="s">
        <v>313</v>
      </c>
      <c r="D117" s="6" t="s">
        <v>214</v>
      </c>
      <c r="E117" s="6">
        <v>16212649</v>
      </c>
      <c r="F117" s="6" t="s">
        <v>315</v>
      </c>
      <c r="G117" s="6" t="s">
        <v>106</v>
      </c>
      <c r="H117" s="6" t="s">
        <v>316</v>
      </c>
      <c r="I117" s="7">
        <v>46054</v>
      </c>
      <c r="J117" s="8">
        <v>0</v>
      </c>
      <c r="K117" s="8">
        <v>100</v>
      </c>
      <c r="L117" s="6">
        <v>1</v>
      </c>
      <c r="M117" s="9">
        <v>1</v>
      </c>
      <c r="N117" s="8">
        <v>100</v>
      </c>
      <c r="P117" s="6" t="s">
        <v>490</v>
      </c>
    </row>
  </sheetData>
  <sortState xmlns:xlrd2="http://schemas.microsoft.com/office/spreadsheetml/2017/richdata2" ref="A2:AM117">
    <sortCondition ref="H2:H1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F76B-9B77-485C-A18A-741DC5EA075F}">
  <dimension ref="A1:Q3"/>
  <sheetViews>
    <sheetView tabSelected="1" workbookViewId="0">
      <selection activeCell="D13" sqref="D13"/>
    </sheetView>
  </sheetViews>
  <sheetFormatPr defaultRowHeight="15" x14ac:dyDescent="0.25"/>
  <sheetData>
    <row r="1" spans="1:17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</row>
    <row r="2" spans="1:17" s="11" customFormat="1" x14ac:dyDescent="0.25">
      <c r="A2" s="10" t="s">
        <v>465</v>
      </c>
      <c r="B2" s="11" t="s">
        <v>327</v>
      </c>
      <c r="D2" s="11" t="s">
        <v>104</v>
      </c>
      <c r="E2" s="11" t="s">
        <v>105</v>
      </c>
      <c r="F2" s="11" t="s">
        <v>106</v>
      </c>
      <c r="G2" s="11" t="s">
        <v>328</v>
      </c>
      <c r="H2" s="12">
        <v>46113</v>
      </c>
      <c r="I2" s="13">
        <v>288</v>
      </c>
      <c r="J2" s="13">
        <v>288</v>
      </c>
      <c r="K2" s="11">
        <v>9</v>
      </c>
      <c r="L2" s="14">
        <v>4.9000000000000002E-2</v>
      </c>
      <c r="M2" s="13">
        <v>127.01</v>
      </c>
      <c r="O2" s="20"/>
      <c r="P2" s="20"/>
      <c r="Q2" s="20"/>
    </row>
    <row r="3" spans="1:17" s="11" customFormat="1" x14ac:dyDescent="0.25">
      <c r="A3" s="10" t="s">
        <v>466</v>
      </c>
      <c r="B3" s="11" t="s">
        <v>335</v>
      </c>
      <c r="D3" s="11" t="s">
        <v>104</v>
      </c>
      <c r="E3" s="11" t="s">
        <v>105</v>
      </c>
      <c r="F3" s="11" t="s">
        <v>106</v>
      </c>
      <c r="G3" s="11" t="s">
        <v>328</v>
      </c>
      <c r="H3" s="12">
        <v>46054</v>
      </c>
      <c r="I3" s="13">
        <v>288</v>
      </c>
      <c r="J3" s="13">
        <v>288</v>
      </c>
      <c r="K3" s="11">
        <v>9</v>
      </c>
      <c r="L3" s="14">
        <v>4.9000000000000002E-2</v>
      </c>
      <c r="M3" s="13">
        <v>127.01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2026-02-12T06:26:58Z</dcterms:created>
  <dcterms:modified xsi:type="dcterms:W3CDTF">2026-02-24T15:09:01Z</dcterms:modified>
</cp:coreProperties>
</file>