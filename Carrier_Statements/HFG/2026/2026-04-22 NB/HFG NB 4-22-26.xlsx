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4-22-26\"/>
    </mc:Choice>
  </mc:AlternateContent>
  <xr:revisionPtr revIDLastSave="0" documentId="13_ncr:1_{D2580C5F-D636-431D-9C3F-30AEBFB250E0}" xr6:coauthVersionLast="47" xr6:coauthVersionMax="47" xr10:uidLastSave="{00000000-0000-0000-0000-000000000000}"/>
  <bookViews>
    <workbookView xWindow="-108" yWindow="-108" windowWidth="23256" windowHeight="13176" activeTab="1" xr2:uid="{8D932527-356B-4BBD-BA66-5BDD7F676691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1" i="2" l="1"/>
  <c r="B60" i="2"/>
  <c r="B54" i="2"/>
  <c r="B53" i="2"/>
  <c r="B59" i="2"/>
  <c r="B57" i="2"/>
  <c r="B58" i="2"/>
  <c r="B56" i="2"/>
  <c r="B55" i="2"/>
  <c r="B64" i="2"/>
  <c r="B65" i="2"/>
  <c r="B66" i="2"/>
  <c r="B63" i="2"/>
  <c r="B50" i="2"/>
  <c r="B45" i="2"/>
  <c r="B49" i="2"/>
  <c r="B38" i="2"/>
  <c r="B28" i="2"/>
  <c r="B32" i="2"/>
  <c r="B30" i="2"/>
  <c r="B48" i="2"/>
  <c r="B42" i="2"/>
  <c r="B47" i="2"/>
  <c r="B29" i="2"/>
  <c r="B37" i="2"/>
  <c r="B44" i="2"/>
  <c r="B46" i="2"/>
  <c r="B39" i="2"/>
  <c r="B36" i="2"/>
  <c r="B51" i="2"/>
  <c r="B35" i="2"/>
  <c r="B33" i="2"/>
  <c r="B34" i="2"/>
  <c r="B41" i="2"/>
  <c r="B31" i="2"/>
  <c r="B43" i="2"/>
  <c r="B40" i="2"/>
  <c r="B27" i="2"/>
  <c r="B2" i="2"/>
  <c r="B8" i="2"/>
  <c r="B14" i="2"/>
  <c r="B12" i="2"/>
  <c r="B23" i="2"/>
  <c r="B4" i="2"/>
  <c r="B26" i="2"/>
  <c r="B6" i="2"/>
  <c r="B18" i="2"/>
  <c r="B19" i="2"/>
  <c r="B25" i="2"/>
  <c r="B21" i="2"/>
  <c r="B5" i="2"/>
  <c r="B15" i="2"/>
  <c r="B11" i="2"/>
  <c r="B10" i="2"/>
  <c r="B17" i="2"/>
  <c r="B7" i="2"/>
  <c r="B16" i="2"/>
  <c r="B20" i="2"/>
  <c r="B22" i="2"/>
  <c r="B13" i="2"/>
  <c r="B3" i="2"/>
  <c r="B9" i="2"/>
  <c r="B24" i="2"/>
  <c r="R54" i="2"/>
  <c r="R60" i="2"/>
</calcChain>
</file>

<file path=xl/sharedStrings.xml><?xml version="1.0" encoding="utf-8"?>
<sst xmlns="http://schemas.openxmlformats.org/spreadsheetml/2006/main" count="1495" uniqueCount="319">
  <si>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</si>
  <si>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</si>
  <si>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</si>
  <si>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</si>
  <si>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</si>
  <si>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</si>
  <si>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</si>
  <si>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</si>
  <si>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</si>
  <si>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</si>
  <si>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</si>
  <si>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</si>
  <si>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</si>
  <si>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</si>
  <si>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</si>
  <si>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</si>
  <si>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</si>
  <si>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</si>
  <si>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</si>
  <si>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</si>
  <si>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</si>
  <si>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</si>
  <si>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</si>
  <si>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</si>
  <si>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</si>
  <si>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</si>
  <si>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</si>
  <si>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</si>
  <si>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</si>
  <si>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</si>
  <si>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</si>
  <si>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</si>
  <si>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</si>
  <si>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</si>
  <si>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</si>
  <si>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</si>
  <si>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</si>
  <si>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</si>
  <si>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</si>
  <si>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</si>
  <si>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</si>
  <si>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</si>
  <si>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</si>
  <si>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</si>
  <si>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'00000837772K</t>
  </si>
  <si>
    <t>DARYL SWEARINGEN</t>
  </si>
  <si>
    <t>FL</t>
  </si>
  <si>
    <t>'045967</t>
  </si>
  <si>
    <t>DANNA GREEN</t>
  </si>
  <si>
    <t>ACTIVE</t>
  </si>
  <si>
    <t>Humana MA 2019+ Level 15- 175/108 Repl 2024</t>
  </si>
  <si>
    <t>Monthly</t>
  </si>
  <si>
    <t>AV</t>
  </si>
  <si>
    <t>'00000837867K</t>
  </si>
  <si>
    <t>JOYCE SWEARINGEN</t>
  </si>
  <si>
    <t>'00019156519K</t>
  </si>
  <si>
    <t>KIMBERLY RALSTON</t>
  </si>
  <si>
    <t>MI</t>
  </si>
  <si>
    <t>'045605</t>
  </si>
  <si>
    <t>GARY PORTUGAL</t>
  </si>
  <si>
    <t>Humana MA 2019+ Level 15- 175/108</t>
  </si>
  <si>
    <t>'00025375531K</t>
  </si>
  <si>
    <t>ROGER COYNE</t>
  </si>
  <si>
    <t>IL</t>
  </si>
  <si>
    <t>'043705</t>
  </si>
  <si>
    <t>MICHAEL DUNAVANT</t>
  </si>
  <si>
    <t>'00026182740K</t>
  </si>
  <si>
    <t>MARIA AVILA</t>
  </si>
  <si>
    <t>'00026347853K</t>
  </si>
  <si>
    <t>DOUGLAS KNECHT</t>
  </si>
  <si>
    <t>'045421</t>
  </si>
  <si>
    <t>MATTHEW SHERMAN</t>
  </si>
  <si>
    <t>'00026358932K</t>
  </si>
  <si>
    <t>LINDA WARNOCK</t>
  </si>
  <si>
    <t>'045613</t>
  </si>
  <si>
    <t>RICARDO SANTOS</t>
  </si>
  <si>
    <t>'00026373801K</t>
  </si>
  <si>
    <t>JENNIFER UJIIYE</t>
  </si>
  <si>
    <t>'041686</t>
  </si>
  <si>
    <t>DALE WALENGA</t>
  </si>
  <si>
    <t>'00026374500K</t>
  </si>
  <si>
    <t>JASNA OSTOJICH</t>
  </si>
  <si>
    <t>'045611</t>
  </si>
  <si>
    <t>FRANK LISKOVEC</t>
  </si>
  <si>
    <t>'00026376600K</t>
  </si>
  <si>
    <t>JOANNE MALONE</t>
  </si>
  <si>
    <t>'043682</t>
  </si>
  <si>
    <t>GREGORY TEIPEL</t>
  </si>
  <si>
    <t>'00026378829K</t>
  </si>
  <si>
    <t>TODD FALLER</t>
  </si>
  <si>
    <t>WI</t>
  </si>
  <si>
    <t>'045604</t>
  </si>
  <si>
    <t>JEFFREY HORN</t>
  </si>
  <si>
    <t>'00026378922K</t>
  </si>
  <si>
    <t>JOHN KENNEDY</t>
  </si>
  <si>
    <t>'045603</t>
  </si>
  <si>
    <t>ANDREW CHOI</t>
  </si>
  <si>
    <t>'00026380958K</t>
  </si>
  <si>
    <t>KAREN GIACOPELLI</t>
  </si>
  <si>
    <t>'00026382042K</t>
  </si>
  <si>
    <t>NANCY STEWART LAY</t>
  </si>
  <si>
    <t>IN</t>
  </si>
  <si>
    <t>'00026384411K</t>
  </si>
  <si>
    <t>MARIAPATRICIA VILLAVERDE</t>
  </si>
  <si>
    <t>'045671</t>
  </si>
  <si>
    <t>ROBERT SHAPIRO</t>
  </si>
  <si>
    <t>'00026385413K</t>
  </si>
  <si>
    <t>JOLENE CUNNINGHAM</t>
  </si>
  <si>
    <t>'00026385512K</t>
  </si>
  <si>
    <t>DEANNA DIETZ</t>
  </si>
  <si>
    <t>'045612</t>
  </si>
  <si>
    <t>ANTHONY HUNSBERGER</t>
  </si>
  <si>
    <t>'101048758700</t>
  </si>
  <si>
    <t>GLENN MCNALLY</t>
  </si>
  <si>
    <t>PA</t>
  </si>
  <si>
    <t>'043679</t>
  </si>
  <si>
    <t>DEBORAH INSKIPT</t>
  </si>
  <si>
    <t>Aetna MAPD NMO to MMO - 2025+ Replace E-App</t>
  </si>
  <si>
    <t>9/12 PRORATE</t>
  </si>
  <si>
    <t>'101089134600</t>
  </si>
  <si>
    <t>JACQUELINE USSACK</t>
  </si>
  <si>
    <t>'101248501600</t>
  </si>
  <si>
    <t>JOHN SEWTER</t>
  </si>
  <si>
    <t>'101320044800</t>
  </si>
  <si>
    <t>DAVID VELMS</t>
  </si>
  <si>
    <t>'045981</t>
  </si>
  <si>
    <t>JAKE SHULMAN</t>
  </si>
  <si>
    <t>'101499164100</t>
  </si>
  <si>
    <t>ROBERT FALCONER</t>
  </si>
  <si>
    <t>'045618</t>
  </si>
  <si>
    <t>STEPHANIE DRAPAC</t>
  </si>
  <si>
    <t>'102165563500</t>
  </si>
  <si>
    <t>STEPHEN FABIO</t>
  </si>
  <si>
    <t>'043611</t>
  </si>
  <si>
    <t>TIMOTHY POWERS</t>
  </si>
  <si>
    <t>'102224738500</t>
  </si>
  <si>
    <t>MOHAMMAD JALLAQ</t>
  </si>
  <si>
    <t>OH</t>
  </si>
  <si>
    <t>'045670</t>
  </si>
  <si>
    <t>STEVEN BRANDT</t>
  </si>
  <si>
    <t>'102273775200</t>
  </si>
  <si>
    <t>LINDA SANCHEZ</t>
  </si>
  <si>
    <t>'045772</t>
  </si>
  <si>
    <t>JASON ROLLER</t>
  </si>
  <si>
    <t>'102274148600</t>
  </si>
  <si>
    <t>DIANE TRUEBLOOD</t>
  </si>
  <si>
    <t>'045709</t>
  </si>
  <si>
    <t>ESTHER HERRERA-LARSEN</t>
  </si>
  <si>
    <t>'102274341000</t>
  </si>
  <si>
    <t>STEVE BISTARKEY</t>
  </si>
  <si>
    <t>'102274488200</t>
  </si>
  <si>
    <t>CHARLENE JACOBS</t>
  </si>
  <si>
    <t>'102274506200</t>
  </si>
  <si>
    <t>SHIRLEY MEECE</t>
  </si>
  <si>
    <t>'102274517600</t>
  </si>
  <si>
    <t>JO WATSON</t>
  </si>
  <si>
    <t>'045632</t>
  </si>
  <si>
    <t>BARRY SCHUMANN</t>
  </si>
  <si>
    <t>'102274571700</t>
  </si>
  <si>
    <t>JOHN FOUTTY</t>
  </si>
  <si>
    <t>'040060</t>
  </si>
  <si>
    <t>RYAN SHEPARD</t>
  </si>
  <si>
    <t>8/12 PRORATE</t>
  </si>
  <si>
    <t>'102274813300</t>
  </si>
  <si>
    <t>EDMUND DUFFLEY</t>
  </si>
  <si>
    <t>TX</t>
  </si>
  <si>
    <t>'922342592</t>
  </si>
  <si>
    <t>JULIE COX</t>
  </si>
  <si>
    <t>UHC MAPD Street payable to upline - 2026 New</t>
  </si>
  <si>
    <t>'922342592OV</t>
  </si>
  <si>
    <t>UHC MA Direct 2025 New Full</t>
  </si>
  <si>
    <t>'924783415</t>
  </si>
  <si>
    <t>REXHEP DOMNORI</t>
  </si>
  <si>
    <t>UHC MAPD Street payable to upline- 2026 Pro New</t>
  </si>
  <si>
    <t>'924783415OV</t>
  </si>
  <si>
    <t>'958101264</t>
  </si>
  <si>
    <t>MICHAEL RUDASKI</t>
  </si>
  <si>
    <t>UHC MAPD Street payable to upline- 2026 Replace</t>
  </si>
  <si>
    <t>'958101264OV</t>
  </si>
  <si>
    <t>UHC MA Direct 2025 New Initial Prorated</t>
  </si>
  <si>
    <t>'966156394</t>
  </si>
  <si>
    <t>MICHAEL TUTTLE</t>
  </si>
  <si>
    <t>NC</t>
  </si>
  <si>
    <t>'043718</t>
  </si>
  <si>
    <t>CHAD YALE</t>
  </si>
  <si>
    <t>'966156394OV</t>
  </si>
  <si>
    <t>'A04461976</t>
  </si>
  <si>
    <t>DONNA BARBIERISANTUS</t>
  </si>
  <si>
    <t>'045601</t>
  </si>
  <si>
    <t>CAROL FOLEY</t>
  </si>
  <si>
    <t>UHC AARP Med Supp 2026+ PA Plan B C F G</t>
  </si>
  <si>
    <t>'A04462523</t>
  </si>
  <si>
    <t>ANNE HEIL</t>
  </si>
  <si>
    <t>'043689</t>
  </si>
  <si>
    <t>ANNE MARIE KOZACHECK</t>
  </si>
  <si>
    <t>UHC AARP Med Supp PA Area 3 2024- Plan  B F G</t>
  </si>
  <si>
    <t>'A04462533</t>
  </si>
  <si>
    <t>SUSAN PALEY</t>
  </si>
  <si>
    <t>'043969</t>
  </si>
  <si>
    <t>STACEY PORTUGAL</t>
  </si>
  <si>
    <t>UHC AARP Med Supp 2026+ AZ IL KS ME NC TN WV Plan B C D F G</t>
  </si>
  <si>
    <t>'A04463677</t>
  </si>
  <si>
    <t>ALISON FARRELL</t>
  </si>
  <si>
    <t>'045673</t>
  </si>
  <si>
    <t>MARK ROCCIA</t>
  </si>
  <si>
    <t>'A04463733</t>
  </si>
  <si>
    <t>GARY YOUNG</t>
  </si>
  <si>
    <t>UHC AARP Med Supp 2025+ IN All Plans</t>
  </si>
  <si>
    <t>'MEQNDVYM00000136512</t>
  </si>
  <si>
    <t>SOUNTHON THAMMAVONG</t>
  </si>
  <si>
    <t>'043625</t>
  </si>
  <si>
    <t>PATSAMON THANADABOUTH</t>
  </si>
  <si>
    <t>Aetna MAPD NMO to MMO - 2025+ New E-App</t>
  </si>
  <si>
    <t>'MEQNDVYM00000136764</t>
  </si>
  <si>
    <t>ELIZABETH KENNEDY</t>
  </si>
  <si>
    <t>'043736</t>
  </si>
  <si>
    <t>DENNIS HOLYN</t>
  </si>
  <si>
    <t>'MEQNDVYM00000147281</t>
  </si>
  <si>
    <t>CHANHSOUK MALIVARN</t>
  </si>
  <si>
    <t>'MEQNQMZM00001984088</t>
  </si>
  <si>
    <t>ARNETTA CRAIG</t>
  </si>
  <si>
    <t>CB</t>
  </si>
  <si>
    <t>'00000289066DCB</t>
  </si>
  <si>
    <t>RAQUEL ESPINOSA</t>
  </si>
  <si>
    <t>CHARGEBACK</t>
  </si>
  <si>
    <t>'00023407746KPC</t>
  </si>
  <si>
    <t>MICHAEL VOELKER</t>
  </si>
  <si>
    <t>'046124</t>
  </si>
  <si>
    <t>KENNETH WEITZMAN</t>
  </si>
  <si>
    <t>'00023765948KPC</t>
  </si>
  <si>
    <t>RUSSELL LANCE</t>
  </si>
  <si>
    <t>'00024157419KPDPPC</t>
  </si>
  <si>
    <t>BARRY BRENNER</t>
  </si>
  <si>
    <t>'043800</t>
  </si>
  <si>
    <t>Humana PDP 2019+ Level 15- 15/0</t>
  </si>
  <si>
    <t>'00024459001KCB</t>
  </si>
  <si>
    <t>LUKE PLANINIC</t>
  </si>
  <si>
    <t>'00025375531KPC</t>
  </si>
  <si>
    <t>'045607</t>
  </si>
  <si>
    <t>PAMELA DEATON</t>
  </si>
  <si>
    <t>'00026174068KCB</t>
  </si>
  <si>
    <t>DIANE MAJOR</t>
  </si>
  <si>
    <t>'00026338095KCB</t>
  </si>
  <si>
    <t>FRANCISCA MUNOZ</t>
  </si>
  <si>
    <t>'101088108800CB</t>
  </si>
  <si>
    <t>TINA PIAZZA</t>
  </si>
  <si>
    <t>'102089353400CB</t>
  </si>
  <si>
    <t>KENNETH LEROY</t>
  </si>
  <si>
    <t>'045639</t>
  </si>
  <si>
    <t>STEVEN WERNER</t>
  </si>
  <si>
    <t>Aetna MAPD NMO to MMO - 2025+ New Paper</t>
  </si>
  <si>
    <t>'102228492100CB</t>
  </si>
  <si>
    <t>DOUGLAS RICHARDSON</t>
  </si>
  <si>
    <t>'102228592300CB</t>
  </si>
  <si>
    <t>LARRY WINN</t>
  </si>
  <si>
    <t>'045712</t>
  </si>
  <si>
    <t>GREGORY HANSFORD</t>
  </si>
  <si>
    <t>'102253578300CB</t>
  </si>
  <si>
    <t>JOHN FERGUSON</t>
  </si>
  <si>
    <t>'043786</t>
  </si>
  <si>
    <t>MARGARET SMITH</t>
  </si>
  <si>
    <t>'102259399800CB</t>
  </si>
  <si>
    <t>RONALD BRALLIER</t>
  </si>
  <si>
    <t>'045637</t>
  </si>
  <si>
    <t>ALISON LUSE</t>
  </si>
  <si>
    <t>'945648838CB</t>
  </si>
  <si>
    <t>BOBBY SISK</t>
  </si>
  <si>
    <t>CA</t>
  </si>
  <si>
    <t>UHC MAPD Street payable to upline - 2024 New</t>
  </si>
  <si>
    <t>'MEQNDVYM00000170984CB</t>
  </si>
  <si>
    <t>NANCY SALINAS</t>
  </si>
  <si>
    <t>00000837772K</t>
  </si>
  <si>
    <t>00000837867K</t>
  </si>
  <si>
    <t>00019156519K</t>
  </si>
  <si>
    <t>00025375531K</t>
  </si>
  <si>
    <t>00026182740K</t>
  </si>
  <si>
    <t>00026347853K</t>
  </si>
  <si>
    <t>00026358932K</t>
  </si>
  <si>
    <t>00026373801K</t>
  </si>
  <si>
    <t>00026374500K</t>
  </si>
  <si>
    <t>00026376600K</t>
  </si>
  <si>
    <t>00026378829K</t>
  </si>
  <si>
    <t>00026378922K</t>
  </si>
  <si>
    <t>00026380958K</t>
  </si>
  <si>
    <t>00026382042K</t>
  </si>
  <si>
    <t>00026384411K</t>
  </si>
  <si>
    <t>00026385413K</t>
  </si>
  <si>
    <t>00026385512K</t>
  </si>
  <si>
    <t>A04461976</t>
  </si>
  <si>
    <t>A04462523</t>
  </si>
  <si>
    <t>A04462533</t>
  </si>
  <si>
    <t>A04463677</t>
  </si>
  <si>
    <t>A04463733</t>
  </si>
  <si>
    <t>MEQNDVYM00000136512</t>
  </si>
  <si>
    <t>MEQNDVYM00000136764</t>
  </si>
  <si>
    <t>MEQNDVYM00000147281</t>
  </si>
  <si>
    <t>MEQNQMZM00001984088</t>
  </si>
  <si>
    <t>00000289066D</t>
  </si>
  <si>
    <t>00024459001K</t>
  </si>
  <si>
    <t>00026174068K</t>
  </si>
  <si>
    <t>00026338095K</t>
  </si>
  <si>
    <t>MEQNDVYM00000170984</t>
  </si>
  <si>
    <t>00023407746K</t>
  </si>
  <si>
    <t>00023765948K</t>
  </si>
  <si>
    <t>00024157419KPDP</t>
  </si>
  <si>
    <t>Aetna MAPD OVR 2026</t>
  </si>
  <si>
    <t>Humana MAPD OVR</t>
  </si>
  <si>
    <t>Humana PDP</t>
  </si>
  <si>
    <t>UHC AARP Med Supp PA Area 3 2024- Plan B F G</t>
  </si>
  <si>
    <t>UHC MAPD Ovr</t>
  </si>
  <si>
    <t>UHC MAPD 2026*</t>
  </si>
  <si>
    <t>UHC 2026</t>
  </si>
  <si>
    <t>UHC MAPD Nat 2024!</t>
  </si>
  <si>
    <t>[%/$=611]</t>
  </si>
  <si>
    <t>[%/$=347][prorate=8/12]</t>
  </si>
  <si>
    <t>[%/$=694]</t>
  </si>
  <si>
    <t>[%/$=694][prorate=9/12]</t>
  </si>
  <si>
    <t>Main Line Benefits</t>
  </si>
  <si>
    <t>21348299old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</si>
</sst>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  <xf numFmtId="8" fontId="0" fillId="33" borderId="0" xfId="0" applyNumberFormat="1" applyFill="1"/>
    <xf numFmtId="0" fontId="0" fillId="0" borderId="0" xfId="0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178E696-6644-4777-BF53-D1D10A19965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C907-C71A-428A-87E4-1229D17BB8D2}">
  <dimension ref="A1:AL66"/>
  <sheetViews>
    <sheetView workbookViewId="0">
      <selection sqref="A1:XFD1048576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5.109375" bestFit="1" customWidth="1"/>
    <col min="4" max="4" width="11.5546875" bestFit="1" customWidth="1"/>
    <col min="5" max="5" width="29.44140625" bestFit="1" customWidth="1"/>
    <col min="6" max="6" width="8.5546875" bestFit="1" customWidth="1"/>
    <col min="7" max="7" width="6.44140625" bestFit="1" customWidth="1"/>
    <col min="8" max="8" width="18.109375" bestFit="1" customWidth="1"/>
    <col min="9" max="9" width="26.109375" bestFit="1" customWidth="1"/>
    <col min="10" max="10" width="26.6640625" bestFit="1" customWidth="1"/>
    <col min="11" max="11" width="8.109375" bestFit="1" customWidth="1"/>
    <col min="12" max="12" width="4.44140625" bestFit="1" customWidth="1"/>
    <col min="13" max="13" width="5.5546875" bestFit="1" customWidth="1"/>
    <col min="14" max="14" width="8.6640625" bestFit="1" customWidth="1"/>
    <col min="15" max="15" width="15.6640625" bestFit="1" customWidth="1"/>
    <col min="16" max="16" width="27.33203125" bestFit="1" customWidth="1"/>
    <col min="17" max="17" width="12.88671875" bestFit="1" customWidth="1"/>
    <col min="18" max="18" width="58.33203125" bestFit="1" customWidth="1"/>
    <col min="19" max="19" width="10.109375" bestFit="1" customWidth="1"/>
    <col min="20" max="20" width="12.33203125" bestFit="1" customWidth="1"/>
    <col min="21" max="21" width="14.5546875" bestFit="1" customWidth="1"/>
    <col min="22" max="22" width="12" bestFit="1" customWidth="1"/>
    <col min="23" max="23" width="15.88671875" bestFit="1" customWidth="1"/>
    <col min="25" max="25" width="18.33203125" bestFit="1" customWidth="1"/>
    <col min="26" max="26" width="15.88671875" bestFit="1" customWidth="1"/>
    <col min="27" max="27" width="17" bestFit="1" customWidth="1"/>
    <col min="28" max="28" width="16.44140625" bestFit="1" customWidth="1"/>
    <col min="29" max="29" width="17.44140625" bestFit="1" customWidth="1"/>
    <col min="30" max="30" width="11.5546875" bestFit="1" customWidth="1"/>
    <col min="31" max="31" width="14.88671875" bestFit="1" customWidth="1"/>
    <col min="32" max="32" width="9.6640625" bestFit="1" customWidth="1"/>
    <col min="33" max="33" width="13.109375" bestFit="1" customWidth="1"/>
    <col min="34" max="34" width="18.6640625" bestFit="1" customWidth="1"/>
    <col min="35" max="35" width="18.33203125" bestFit="1" customWidth="1"/>
    <col min="36" max="36" width="11.109375" bestFit="1" customWidth="1"/>
    <col min="37" max="37" width="13.5546875" bestFit="1" customWidth="1"/>
    <col min="38" max="38" width="16.1093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46134</v>
      </c>
      <c r="B2" s="1">
        <v>46134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46143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6615431</v>
      </c>
    </row>
    <row r="3" spans="1:38" x14ac:dyDescent="0.3">
      <c r="A3" s="1">
        <v>46134</v>
      </c>
      <c r="B3" s="1">
        <v>46134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46143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6615432</v>
      </c>
    </row>
    <row r="4" spans="1:38" x14ac:dyDescent="0.3">
      <c r="A4" s="1">
        <v>46134</v>
      </c>
      <c r="B4" s="1">
        <v>46134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55</v>
      </c>
      <c r="J4" t="s">
        <v>56</v>
      </c>
      <c r="M4" t="s">
        <v>57</v>
      </c>
      <c r="O4" t="s">
        <v>58</v>
      </c>
      <c r="P4" t="s">
        <v>59</v>
      </c>
      <c r="Q4" t="s">
        <v>49</v>
      </c>
      <c r="R4" t="s">
        <v>60</v>
      </c>
      <c r="S4" s="1">
        <v>46143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6615481</v>
      </c>
    </row>
    <row r="5" spans="1:38" x14ac:dyDescent="0.3">
      <c r="A5" s="1">
        <v>46134</v>
      </c>
      <c r="B5" s="1">
        <v>46134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63</v>
      </c>
      <c r="O5" t="s">
        <v>64</v>
      </c>
      <c r="P5" t="s">
        <v>65</v>
      </c>
      <c r="Q5" t="s">
        <v>49</v>
      </c>
      <c r="R5" t="s">
        <v>50</v>
      </c>
      <c r="S5" s="1">
        <v>46143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6615433</v>
      </c>
    </row>
    <row r="6" spans="1:38" x14ac:dyDescent="0.3">
      <c r="A6" s="1">
        <v>46134</v>
      </c>
      <c r="B6" s="1">
        <v>46134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46</v>
      </c>
      <c r="O6" t="s">
        <v>58</v>
      </c>
      <c r="P6" t="s">
        <v>59</v>
      </c>
      <c r="Q6" t="s">
        <v>49</v>
      </c>
      <c r="R6" t="s">
        <v>60</v>
      </c>
      <c r="S6" s="1">
        <v>46143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6615482</v>
      </c>
    </row>
    <row r="7" spans="1:38" x14ac:dyDescent="0.3">
      <c r="A7" s="1">
        <v>46134</v>
      </c>
      <c r="B7" s="1">
        <v>46134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69</v>
      </c>
      <c r="M7" t="s">
        <v>63</v>
      </c>
      <c r="O7" t="s">
        <v>70</v>
      </c>
      <c r="P7" t="s">
        <v>71</v>
      </c>
      <c r="Q7" t="s">
        <v>49</v>
      </c>
      <c r="R7" t="s">
        <v>60</v>
      </c>
      <c r="S7" s="1">
        <v>46143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6615483</v>
      </c>
    </row>
    <row r="8" spans="1:38" x14ac:dyDescent="0.3">
      <c r="A8" s="1">
        <v>46134</v>
      </c>
      <c r="B8" s="1">
        <v>46134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72</v>
      </c>
      <c r="J8" t="s">
        <v>73</v>
      </c>
      <c r="M8" t="s">
        <v>63</v>
      </c>
      <c r="O8" t="s">
        <v>74</v>
      </c>
      <c r="P8" t="s">
        <v>75</v>
      </c>
      <c r="Q8" t="s">
        <v>49</v>
      </c>
      <c r="R8" t="s">
        <v>60</v>
      </c>
      <c r="S8" s="1">
        <v>46143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6615484</v>
      </c>
    </row>
    <row r="9" spans="1:38" x14ac:dyDescent="0.3">
      <c r="A9" s="1">
        <v>46134</v>
      </c>
      <c r="B9" s="1">
        <v>46134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63</v>
      </c>
      <c r="O9" t="s">
        <v>78</v>
      </c>
      <c r="P9" t="s">
        <v>79</v>
      </c>
      <c r="Q9" t="s">
        <v>49</v>
      </c>
      <c r="R9" t="s">
        <v>60</v>
      </c>
      <c r="S9" s="1">
        <v>46204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6615485</v>
      </c>
    </row>
    <row r="10" spans="1:38" x14ac:dyDescent="0.3">
      <c r="A10" s="1">
        <v>46134</v>
      </c>
      <c r="B10" s="1">
        <v>46134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63</v>
      </c>
      <c r="O10" t="s">
        <v>82</v>
      </c>
      <c r="P10" t="s">
        <v>83</v>
      </c>
      <c r="Q10" t="s">
        <v>49</v>
      </c>
      <c r="R10" t="s">
        <v>60</v>
      </c>
      <c r="S10" s="1">
        <v>46174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6615486</v>
      </c>
    </row>
    <row r="11" spans="1:38" x14ac:dyDescent="0.3">
      <c r="A11" s="1">
        <v>46134</v>
      </c>
      <c r="B11" s="1">
        <v>46134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63</v>
      </c>
      <c r="O11" t="s">
        <v>86</v>
      </c>
      <c r="P11" t="s">
        <v>87</v>
      </c>
      <c r="Q11" t="s">
        <v>49</v>
      </c>
      <c r="R11" t="s">
        <v>60</v>
      </c>
      <c r="S11" s="1">
        <v>46204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6615487</v>
      </c>
    </row>
    <row r="12" spans="1:38" x14ac:dyDescent="0.3">
      <c r="A12" s="1">
        <v>46134</v>
      </c>
      <c r="B12" s="1">
        <v>46134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90</v>
      </c>
      <c r="O12" t="s">
        <v>91</v>
      </c>
      <c r="P12" t="s">
        <v>92</v>
      </c>
      <c r="Q12" t="s">
        <v>49</v>
      </c>
      <c r="R12" t="s">
        <v>60</v>
      </c>
      <c r="S12" s="1">
        <v>46143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6615488</v>
      </c>
    </row>
    <row r="13" spans="1:38" x14ac:dyDescent="0.3">
      <c r="A13" s="1">
        <v>46134</v>
      </c>
      <c r="B13" s="1">
        <v>46134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90</v>
      </c>
      <c r="O13" t="s">
        <v>95</v>
      </c>
      <c r="P13" t="s">
        <v>96</v>
      </c>
      <c r="Q13" t="s">
        <v>49</v>
      </c>
      <c r="R13" t="s">
        <v>60</v>
      </c>
      <c r="S13" s="1">
        <v>46143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6615489</v>
      </c>
    </row>
    <row r="14" spans="1:38" x14ac:dyDescent="0.3">
      <c r="A14" s="1">
        <v>46134</v>
      </c>
      <c r="B14" s="1">
        <v>46134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97</v>
      </c>
      <c r="J14" t="s">
        <v>98</v>
      </c>
      <c r="M14" t="s">
        <v>63</v>
      </c>
      <c r="O14" t="s">
        <v>58</v>
      </c>
      <c r="P14" t="s">
        <v>59</v>
      </c>
      <c r="Q14" t="s">
        <v>49</v>
      </c>
      <c r="R14" t="s">
        <v>60</v>
      </c>
      <c r="S14" s="1">
        <v>46204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6615490</v>
      </c>
    </row>
    <row r="15" spans="1:38" x14ac:dyDescent="0.3">
      <c r="A15" s="1">
        <v>46134</v>
      </c>
      <c r="B15" s="1">
        <v>46134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101</v>
      </c>
      <c r="O15" t="s">
        <v>47</v>
      </c>
      <c r="P15" t="s">
        <v>48</v>
      </c>
      <c r="Q15" t="s">
        <v>49</v>
      </c>
      <c r="R15" t="s">
        <v>60</v>
      </c>
      <c r="S15" s="1">
        <v>46143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6615491</v>
      </c>
    </row>
    <row r="16" spans="1:38" x14ac:dyDescent="0.3">
      <c r="A16" s="1">
        <v>46134</v>
      </c>
      <c r="B16" s="1">
        <v>46134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63</v>
      </c>
      <c r="O16" t="s">
        <v>104</v>
      </c>
      <c r="P16" t="s">
        <v>105</v>
      </c>
      <c r="Q16" t="s">
        <v>49</v>
      </c>
      <c r="R16" t="s">
        <v>60</v>
      </c>
      <c r="S16" s="1">
        <v>46143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6615492</v>
      </c>
    </row>
    <row r="17" spans="1:38" x14ac:dyDescent="0.3">
      <c r="A17" s="1">
        <v>46134</v>
      </c>
      <c r="B17" s="1">
        <v>46134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106</v>
      </c>
      <c r="J17" t="s">
        <v>107</v>
      </c>
      <c r="M17" t="s">
        <v>63</v>
      </c>
      <c r="O17" t="s">
        <v>86</v>
      </c>
      <c r="P17" t="s">
        <v>87</v>
      </c>
      <c r="Q17" t="s">
        <v>49</v>
      </c>
      <c r="R17" t="s">
        <v>60</v>
      </c>
      <c r="S17" s="1">
        <v>46143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6615493</v>
      </c>
    </row>
    <row r="18" spans="1:38" x14ac:dyDescent="0.3">
      <c r="A18" s="1">
        <v>46134</v>
      </c>
      <c r="B18" s="1">
        <v>46134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108</v>
      </c>
      <c r="J18" t="s">
        <v>109</v>
      </c>
      <c r="M18" t="s">
        <v>46</v>
      </c>
      <c r="O18" t="s">
        <v>110</v>
      </c>
      <c r="P18" t="s">
        <v>111</v>
      </c>
      <c r="Q18" t="s">
        <v>49</v>
      </c>
      <c r="R18" t="s">
        <v>60</v>
      </c>
      <c r="S18" s="1">
        <v>46143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6615494</v>
      </c>
    </row>
    <row r="19" spans="1:38" x14ac:dyDescent="0.3">
      <c r="A19" s="1">
        <v>46134</v>
      </c>
      <c r="B19" s="1">
        <v>46134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112</v>
      </c>
      <c r="J19" t="s">
        <v>113</v>
      </c>
      <c r="M19" t="s">
        <v>114</v>
      </c>
      <c r="O19" t="s">
        <v>115</v>
      </c>
      <c r="P19" t="s">
        <v>116</v>
      </c>
      <c r="Q19" t="s">
        <v>49</v>
      </c>
      <c r="R19" t="s">
        <v>117</v>
      </c>
      <c r="S19" s="1">
        <v>46113</v>
      </c>
      <c r="U19" t="s">
        <v>51</v>
      </c>
      <c r="X19" t="s">
        <v>52</v>
      </c>
      <c r="Y19" s="2">
        <v>0</v>
      </c>
      <c r="Z19" s="2">
        <v>18.75</v>
      </c>
      <c r="AA19">
        <v>1</v>
      </c>
      <c r="AB19" s="3">
        <v>1</v>
      </c>
      <c r="AC19" s="2">
        <v>18.75</v>
      </c>
      <c r="AD19" s="3">
        <v>0</v>
      </c>
      <c r="AE19" s="2">
        <v>0</v>
      </c>
      <c r="AF19" s="2">
        <v>18.75</v>
      </c>
      <c r="AK19">
        <v>6613601</v>
      </c>
      <c r="AL19" t="s">
        <v>118</v>
      </c>
    </row>
    <row r="20" spans="1:38" x14ac:dyDescent="0.3">
      <c r="A20" s="1">
        <v>46134</v>
      </c>
      <c r="B20" s="1">
        <v>46134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119</v>
      </c>
      <c r="J20" t="s">
        <v>120</v>
      </c>
      <c r="M20" t="s">
        <v>114</v>
      </c>
      <c r="O20" t="s">
        <v>115</v>
      </c>
      <c r="P20" t="s">
        <v>116</v>
      </c>
      <c r="Q20" t="s">
        <v>49</v>
      </c>
      <c r="R20" t="s">
        <v>117</v>
      </c>
      <c r="S20" s="1">
        <v>46113</v>
      </c>
      <c r="U20" t="s">
        <v>51</v>
      </c>
      <c r="X20" t="s">
        <v>52</v>
      </c>
      <c r="Y20" s="2">
        <v>0</v>
      </c>
      <c r="Z20" s="2">
        <v>18.75</v>
      </c>
      <c r="AA20">
        <v>1</v>
      </c>
      <c r="AB20" s="3">
        <v>1</v>
      </c>
      <c r="AC20" s="2">
        <v>18.75</v>
      </c>
      <c r="AD20" s="3">
        <v>0</v>
      </c>
      <c r="AE20" s="2">
        <v>0</v>
      </c>
      <c r="AF20" s="2">
        <v>18.75</v>
      </c>
      <c r="AK20">
        <v>6613603</v>
      </c>
      <c r="AL20" t="s">
        <v>118</v>
      </c>
    </row>
    <row r="21" spans="1:38" x14ac:dyDescent="0.3">
      <c r="A21" s="1">
        <v>46134</v>
      </c>
      <c r="B21" s="1">
        <v>46134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121</v>
      </c>
      <c r="J21" t="s">
        <v>122</v>
      </c>
      <c r="M21" t="s">
        <v>63</v>
      </c>
      <c r="O21" t="s">
        <v>58</v>
      </c>
      <c r="P21" t="s">
        <v>59</v>
      </c>
      <c r="Q21" t="s">
        <v>49</v>
      </c>
      <c r="R21" t="s">
        <v>117</v>
      </c>
      <c r="S21" s="1">
        <v>46113</v>
      </c>
      <c r="U21" t="s">
        <v>51</v>
      </c>
      <c r="X21" t="s">
        <v>52</v>
      </c>
      <c r="Y21" s="2">
        <v>0</v>
      </c>
      <c r="Z21" s="2">
        <v>18.75</v>
      </c>
      <c r="AA21">
        <v>1</v>
      </c>
      <c r="AB21" s="3">
        <v>1</v>
      </c>
      <c r="AC21" s="2">
        <v>18.75</v>
      </c>
      <c r="AD21" s="3">
        <v>0</v>
      </c>
      <c r="AE21" s="2">
        <v>0</v>
      </c>
      <c r="AF21" s="2">
        <v>18.75</v>
      </c>
      <c r="AK21">
        <v>6613610</v>
      </c>
      <c r="AL21" t="s">
        <v>118</v>
      </c>
    </row>
    <row r="22" spans="1:38" x14ac:dyDescent="0.3">
      <c r="A22" s="1">
        <v>46134</v>
      </c>
      <c r="B22" s="1">
        <v>46134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123</v>
      </c>
      <c r="J22" t="s">
        <v>124</v>
      </c>
      <c r="M22" t="s">
        <v>46</v>
      </c>
      <c r="O22" t="s">
        <v>125</v>
      </c>
      <c r="P22" t="s">
        <v>126</v>
      </c>
      <c r="Q22" t="s">
        <v>49</v>
      </c>
      <c r="R22" t="s">
        <v>117</v>
      </c>
      <c r="S22" s="1">
        <v>46113</v>
      </c>
      <c r="U22" t="s">
        <v>51</v>
      </c>
      <c r="X22" t="s">
        <v>52</v>
      </c>
      <c r="Y22" s="2">
        <v>0</v>
      </c>
      <c r="Z22" s="2">
        <v>18.75</v>
      </c>
      <c r="AA22">
        <v>1</v>
      </c>
      <c r="AB22" s="3">
        <v>1</v>
      </c>
      <c r="AC22" s="2">
        <v>18.75</v>
      </c>
      <c r="AD22" s="3">
        <v>0</v>
      </c>
      <c r="AE22" s="2">
        <v>0</v>
      </c>
      <c r="AF22" s="2">
        <v>18.75</v>
      </c>
      <c r="AK22">
        <v>6613613</v>
      </c>
      <c r="AL22" t="s">
        <v>118</v>
      </c>
    </row>
    <row r="23" spans="1:38" x14ac:dyDescent="0.3">
      <c r="A23" s="1">
        <v>46134</v>
      </c>
      <c r="B23" s="1">
        <v>46134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127</v>
      </c>
      <c r="J23" t="s">
        <v>128</v>
      </c>
      <c r="M23" t="s">
        <v>63</v>
      </c>
      <c r="O23" t="s">
        <v>129</v>
      </c>
      <c r="P23" t="s">
        <v>130</v>
      </c>
      <c r="Q23" t="s">
        <v>49</v>
      </c>
      <c r="R23" t="s">
        <v>117</v>
      </c>
      <c r="S23" s="1">
        <v>46113</v>
      </c>
      <c r="U23" t="s">
        <v>51</v>
      </c>
      <c r="X23" t="s">
        <v>52</v>
      </c>
      <c r="Y23" s="2">
        <v>0</v>
      </c>
      <c r="Z23" s="2">
        <v>18.75</v>
      </c>
      <c r="AA23">
        <v>1</v>
      </c>
      <c r="AB23" s="3">
        <v>1</v>
      </c>
      <c r="AC23" s="2">
        <v>18.75</v>
      </c>
      <c r="AD23" s="3">
        <v>0</v>
      </c>
      <c r="AE23" s="2">
        <v>0</v>
      </c>
      <c r="AF23" s="2">
        <v>18.75</v>
      </c>
      <c r="AK23">
        <v>6613621</v>
      </c>
      <c r="AL23" t="s">
        <v>118</v>
      </c>
    </row>
    <row r="24" spans="1:38" x14ac:dyDescent="0.3">
      <c r="A24" s="1">
        <v>46134</v>
      </c>
      <c r="B24" s="1">
        <v>46134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131</v>
      </c>
      <c r="J24" t="s">
        <v>132</v>
      </c>
      <c r="O24" t="s">
        <v>133</v>
      </c>
      <c r="P24" t="s">
        <v>134</v>
      </c>
      <c r="Q24" t="s">
        <v>49</v>
      </c>
      <c r="R24" t="s">
        <v>117</v>
      </c>
      <c r="S24" s="1">
        <v>46113</v>
      </c>
      <c r="U24" t="s">
        <v>51</v>
      </c>
      <c r="X24" t="s">
        <v>52</v>
      </c>
      <c r="Y24" s="2">
        <v>0</v>
      </c>
      <c r="Z24" s="2">
        <v>18.75</v>
      </c>
      <c r="AA24">
        <v>1</v>
      </c>
      <c r="AB24" s="3">
        <v>1</v>
      </c>
      <c r="AC24" s="2">
        <v>18.75</v>
      </c>
      <c r="AD24" s="3">
        <v>0</v>
      </c>
      <c r="AE24" s="2">
        <v>0</v>
      </c>
      <c r="AF24" s="2">
        <v>18.75</v>
      </c>
      <c r="AK24">
        <v>6613642</v>
      </c>
      <c r="AL24" t="s">
        <v>118</v>
      </c>
    </row>
    <row r="25" spans="1:38" x14ac:dyDescent="0.3">
      <c r="A25" s="1">
        <v>46134</v>
      </c>
      <c r="B25" s="1">
        <v>46134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135</v>
      </c>
      <c r="J25" t="s">
        <v>136</v>
      </c>
      <c r="M25" t="s">
        <v>137</v>
      </c>
      <c r="O25" t="s">
        <v>138</v>
      </c>
      <c r="P25" t="s">
        <v>139</v>
      </c>
      <c r="Q25" t="s">
        <v>49</v>
      </c>
      <c r="R25" t="s">
        <v>117</v>
      </c>
      <c r="S25" s="1">
        <v>46113</v>
      </c>
      <c r="U25" t="s">
        <v>51</v>
      </c>
      <c r="X25" t="s">
        <v>52</v>
      </c>
      <c r="Y25" s="2">
        <v>0</v>
      </c>
      <c r="Z25" s="2">
        <v>18.75</v>
      </c>
      <c r="AA25">
        <v>1</v>
      </c>
      <c r="AB25" s="3">
        <v>1</v>
      </c>
      <c r="AC25" s="2">
        <v>18.75</v>
      </c>
      <c r="AD25" s="3">
        <v>0</v>
      </c>
      <c r="AE25" s="2">
        <v>0</v>
      </c>
      <c r="AF25" s="2">
        <v>18.75</v>
      </c>
      <c r="AK25">
        <v>6613646</v>
      </c>
      <c r="AL25" t="s">
        <v>118</v>
      </c>
    </row>
    <row r="26" spans="1:38" x14ac:dyDescent="0.3">
      <c r="A26" s="1">
        <v>46134</v>
      </c>
      <c r="B26" s="1">
        <v>46134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140</v>
      </c>
      <c r="J26" t="s">
        <v>141</v>
      </c>
      <c r="M26" t="s">
        <v>101</v>
      </c>
      <c r="O26" t="s">
        <v>142</v>
      </c>
      <c r="P26" t="s">
        <v>143</v>
      </c>
      <c r="Q26" t="s">
        <v>49</v>
      </c>
      <c r="R26" t="s">
        <v>117</v>
      </c>
      <c r="S26" s="1">
        <v>46113</v>
      </c>
      <c r="U26" t="s">
        <v>51</v>
      </c>
      <c r="X26" t="s">
        <v>52</v>
      </c>
      <c r="Y26" s="2">
        <v>0</v>
      </c>
      <c r="Z26" s="2">
        <v>18.75</v>
      </c>
      <c r="AA26">
        <v>1</v>
      </c>
      <c r="AB26" s="3">
        <v>1</v>
      </c>
      <c r="AC26" s="2">
        <v>18.75</v>
      </c>
      <c r="AD26" s="3">
        <v>0</v>
      </c>
      <c r="AE26" s="2">
        <v>0</v>
      </c>
      <c r="AF26" s="2">
        <v>18.75</v>
      </c>
      <c r="AK26">
        <v>6613668</v>
      </c>
      <c r="AL26" t="s">
        <v>118</v>
      </c>
    </row>
    <row r="27" spans="1:38" x14ac:dyDescent="0.3">
      <c r="A27" s="1">
        <v>46134</v>
      </c>
      <c r="B27" s="1">
        <v>46134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144</v>
      </c>
      <c r="J27" t="s">
        <v>145</v>
      </c>
      <c r="M27" t="s">
        <v>101</v>
      </c>
      <c r="O27" t="s">
        <v>146</v>
      </c>
      <c r="P27" t="s">
        <v>147</v>
      </c>
      <c r="Q27" t="s">
        <v>49</v>
      </c>
      <c r="R27" t="s">
        <v>117</v>
      </c>
      <c r="S27" s="1">
        <v>46113</v>
      </c>
      <c r="U27" t="s">
        <v>51</v>
      </c>
      <c r="X27" t="s">
        <v>52</v>
      </c>
      <c r="Y27" s="2">
        <v>0</v>
      </c>
      <c r="Z27" s="2">
        <v>18.75</v>
      </c>
      <c r="AA27">
        <v>1</v>
      </c>
      <c r="AB27" s="3">
        <v>1</v>
      </c>
      <c r="AC27" s="2">
        <v>18.75</v>
      </c>
      <c r="AD27" s="3">
        <v>0</v>
      </c>
      <c r="AE27" s="2">
        <v>0</v>
      </c>
      <c r="AF27" s="2">
        <v>18.75</v>
      </c>
      <c r="AK27">
        <v>6613684</v>
      </c>
      <c r="AL27" t="s">
        <v>118</v>
      </c>
    </row>
    <row r="28" spans="1:38" x14ac:dyDescent="0.3">
      <c r="A28" s="1">
        <v>46134</v>
      </c>
      <c r="B28" s="1">
        <v>46134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148</v>
      </c>
      <c r="J28" t="s">
        <v>149</v>
      </c>
      <c r="M28" t="s">
        <v>114</v>
      </c>
      <c r="O28" t="s">
        <v>115</v>
      </c>
      <c r="P28" t="s">
        <v>116</v>
      </c>
      <c r="Q28" t="s">
        <v>49</v>
      </c>
      <c r="R28" t="s">
        <v>117</v>
      </c>
      <c r="S28" s="1">
        <v>46113</v>
      </c>
      <c r="U28" t="s">
        <v>51</v>
      </c>
      <c r="X28" t="s">
        <v>52</v>
      </c>
      <c r="Y28" s="2">
        <v>0</v>
      </c>
      <c r="Z28" s="2">
        <v>18.75</v>
      </c>
      <c r="AA28">
        <v>1</v>
      </c>
      <c r="AB28" s="3">
        <v>1</v>
      </c>
      <c r="AC28" s="2">
        <v>18.75</v>
      </c>
      <c r="AD28" s="3">
        <v>0</v>
      </c>
      <c r="AE28" s="2">
        <v>0</v>
      </c>
      <c r="AF28" s="2">
        <v>18.75</v>
      </c>
      <c r="AK28">
        <v>6613698</v>
      </c>
      <c r="AL28" t="s">
        <v>118</v>
      </c>
    </row>
    <row r="29" spans="1:38" x14ac:dyDescent="0.3">
      <c r="A29" s="1">
        <v>46134</v>
      </c>
      <c r="B29" s="1">
        <v>46134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63</v>
      </c>
      <c r="O29" t="s">
        <v>64</v>
      </c>
      <c r="P29" t="s">
        <v>65</v>
      </c>
      <c r="Q29" t="s">
        <v>49</v>
      </c>
      <c r="R29" t="s">
        <v>117</v>
      </c>
      <c r="S29" s="1">
        <v>46113</v>
      </c>
      <c r="U29" t="s">
        <v>51</v>
      </c>
      <c r="X29" t="s">
        <v>52</v>
      </c>
      <c r="Y29" s="2">
        <v>0</v>
      </c>
      <c r="Z29" s="2">
        <v>18.75</v>
      </c>
      <c r="AA29">
        <v>1</v>
      </c>
      <c r="AB29" s="3">
        <v>1</v>
      </c>
      <c r="AC29" s="2">
        <v>18.75</v>
      </c>
      <c r="AD29" s="3">
        <v>0</v>
      </c>
      <c r="AE29" s="2">
        <v>0</v>
      </c>
      <c r="AF29" s="2">
        <v>18.75</v>
      </c>
      <c r="AK29">
        <v>6613707</v>
      </c>
      <c r="AL29" t="s">
        <v>118</v>
      </c>
    </row>
    <row r="30" spans="1:38" x14ac:dyDescent="0.3">
      <c r="A30" s="1">
        <v>46134</v>
      </c>
      <c r="B30" s="1">
        <v>46134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152</v>
      </c>
      <c r="J30" t="s">
        <v>153</v>
      </c>
      <c r="M30" t="s">
        <v>101</v>
      </c>
      <c r="O30" t="s">
        <v>47</v>
      </c>
      <c r="P30" t="s">
        <v>48</v>
      </c>
      <c r="Q30" t="s">
        <v>49</v>
      </c>
      <c r="R30" t="s">
        <v>117</v>
      </c>
      <c r="S30" s="1">
        <v>46113</v>
      </c>
      <c r="U30" t="s">
        <v>51</v>
      </c>
      <c r="X30" t="s">
        <v>52</v>
      </c>
      <c r="Y30" s="2">
        <v>0</v>
      </c>
      <c r="Z30" s="2">
        <v>18.75</v>
      </c>
      <c r="AA30">
        <v>1</v>
      </c>
      <c r="AB30" s="3">
        <v>1</v>
      </c>
      <c r="AC30" s="2">
        <v>18.75</v>
      </c>
      <c r="AD30" s="3">
        <v>0</v>
      </c>
      <c r="AE30" s="2">
        <v>0</v>
      </c>
      <c r="AF30" s="2">
        <v>18.75</v>
      </c>
      <c r="AK30">
        <v>6613710</v>
      </c>
      <c r="AL30" t="s">
        <v>118</v>
      </c>
    </row>
    <row r="31" spans="1:38" x14ac:dyDescent="0.3">
      <c r="A31" s="1">
        <v>46134</v>
      </c>
      <c r="B31" s="1">
        <v>46134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154</v>
      </c>
      <c r="J31" t="s">
        <v>155</v>
      </c>
      <c r="M31" t="s">
        <v>63</v>
      </c>
      <c r="O31" t="s">
        <v>156</v>
      </c>
      <c r="P31" t="s">
        <v>157</v>
      </c>
      <c r="Q31" t="s">
        <v>49</v>
      </c>
      <c r="R31" t="s">
        <v>117</v>
      </c>
      <c r="S31" s="1">
        <v>46113</v>
      </c>
      <c r="U31" t="s">
        <v>51</v>
      </c>
      <c r="X31" t="s">
        <v>52</v>
      </c>
      <c r="Y31" s="2">
        <v>0</v>
      </c>
      <c r="Z31" s="2">
        <v>18.75</v>
      </c>
      <c r="AA31">
        <v>1</v>
      </c>
      <c r="AB31" s="3">
        <v>1</v>
      </c>
      <c r="AC31" s="2">
        <v>18.75</v>
      </c>
      <c r="AD31" s="3">
        <v>0</v>
      </c>
      <c r="AE31" s="2">
        <v>0</v>
      </c>
      <c r="AF31" s="2">
        <v>18.75</v>
      </c>
      <c r="AK31">
        <v>6613713</v>
      </c>
      <c r="AL31" t="s">
        <v>118</v>
      </c>
    </row>
    <row r="32" spans="1:38" x14ac:dyDescent="0.3">
      <c r="A32" s="1">
        <v>46134</v>
      </c>
      <c r="B32" s="1">
        <v>46134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158</v>
      </c>
      <c r="J32" t="s">
        <v>159</v>
      </c>
      <c r="M32" t="s">
        <v>137</v>
      </c>
      <c r="O32" t="s">
        <v>160</v>
      </c>
      <c r="P32" t="s">
        <v>161</v>
      </c>
      <c r="Q32" t="s">
        <v>49</v>
      </c>
      <c r="R32" t="s">
        <v>117</v>
      </c>
      <c r="S32" s="1">
        <v>46143</v>
      </c>
      <c r="U32" t="s">
        <v>51</v>
      </c>
      <c r="X32" t="s">
        <v>52</v>
      </c>
      <c r="Y32" s="2">
        <v>0</v>
      </c>
      <c r="Z32" s="2">
        <v>16.670000000000002</v>
      </c>
      <c r="AA32">
        <v>1</v>
      </c>
      <c r="AB32" s="3">
        <v>1</v>
      </c>
      <c r="AC32" s="2">
        <v>16.670000000000002</v>
      </c>
      <c r="AD32" s="3">
        <v>0</v>
      </c>
      <c r="AE32" s="2">
        <v>0</v>
      </c>
      <c r="AF32" s="2">
        <v>16.670000000000002</v>
      </c>
      <c r="AK32">
        <v>6613718</v>
      </c>
      <c r="AL32" t="s">
        <v>162</v>
      </c>
    </row>
    <row r="33" spans="1:38" x14ac:dyDescent="0.3">
      <c r="A33" s="1">
        <v>46134</v>
      </c>
      <c r="B33" s="1">
        <v>46134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163</v>
      </c>
      <c r="J33" t="s">
        <v>164</v>
      </c>
      <c r="M33" t="s">
        <v>165</v>
      </c>
      <c r="O33" t="s">
        <v>78</v>
      </c>
      <c r="P33" t="s">
        <v>79</v>
      </c>
      <c r="Q33" t="s">
        <v>49</v>
      </c>
      <c r="R33" t="s">
        <v>117</v>
      </c>
      <c r="S33" s="1">
        <v>46143</v>
      </c>
      <c r="U33" t="s">
        <v>51</v>
      </c>
      <c r="X33" t="s">
        <v>52</v>
      </c>
      <c r="Y33" s="2">
        <v>0</v>
      </c>
      <c r="Z33" s="2">
        <v>16.670000000000002</v>
      </c>
      <c r="AA33">
        <v>1</v>
      </c>
      <c r="AB33" s="3">
        <v>1</v>
      </c>
      <c r="AC33" s="2">
        <v>16.670000000000002</v>
      </c>
      <c r="AD33" s="3">
        <v>0</v>
      </c>
      <c r="AE33" s="2">
        <v>0</v>
      </c>
      <c r="AF33" s="2">
        <v>16.670000000000002</v>
      </c>
      <c r="AK33">
        <v>6613733</v>
      </c>
      <c r="AL33" t="s">
        <v>162</v>
      </c>
    </row>
    <row r="34" spans="1:38" x14ac:dyDescent="0.3">
      <c r="A34" s="1">
        <v>46134</v>
      </c>
      <c r="B34" s="1">
        <v>46134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166</v>
      </c>
      <c r="J34" t="s">
        <v>167</v>
      </c>
      <c r="M34" t="s">
        <v>90</v>
      </c>
      <c r="O34" t="s">
        <v>91</v>
      </c>
      <c r="P34" t="s">
        <v>92</v>
      </c>
      <c r="Q34" t="s">
        <v>49</v>
      </c>
      <c r="R34" t="s">
        <v>168</v>
      </c>
      <c r="S34" s="1">
        <v>46113</v>
      </c>
      <c r="U34" t="s">
        <v>51</v>
      </c>
      <c r="X34" t="s">
        <v>52</v>
      </c>
      <c r="Y34" s="2">
        <v>0</v>
      </c>
      <c r="Z34" s="2">
        <v>694</v>
      </c>
      <c r="AA34">
        <v>1</v>
      </c>
      <c r="AB34" s="3">
        <v>1</v>
      </c>
      <c r="AC34" s="2">
        <v>694</v>
      </c>
      <c r="AD34" s="3">
        <v>0</v>
      </c>
      <c r="AE34" s="2">
        <v>0</v>
      </c>
      <c r="AF34" s="2">
        <v>694</v>
      </c>
      <c r="AK34">
        <v>6617296</v>
      </c>
    </row>
    <row r="35" spans="1:38" x14ac:dyDescent="0.3">
      <c r="A35" s="1">
        <v>46134</v>
      </c>
      <c r="B35" s="1">
        <v>46134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169</v>
      </c>
      <c r="J35" t="s">
        <v>167</v>
      </c>
      <c r="M35" t="s">
        <v>90</v>
      </c>
      <c r="O35" t="s">
        <v>91</v>
      </c>
      <c r="P35" t="s">
        <v>92</v>
      </c>
      <c r="Q35" t="s">
        <v>49</v>
      </c>
      <c r="R35" t="s">
        <v>170</v>
      </c>
      <c r="S35" s="1">
        <v>46113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6617297</v>
      </c>
    </row>
    <row r="36" spans="1:38" x14ac:dyDescent="0.3">
      <c r="A36" s="1">
        <v>46134</v>
      </c>
      <c r="B36" s="1">
        <v>46134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171</v>
      </c>
      <c r="J36" t="s">
        <v>172</v>
      </c>
      <c r="M36" t="s">
        <v>137</v>
      </c>
      <c r="O36" t="s">
        <v>74</v>
      </c>
      <c r="P36" t="s">
        <v>75</v>
      </c>
      <c r="Q36" t="s">
        <v>49</v>
      </c>
      <c r="R36" t="s">
        <v>173</v>
      </c>
      <c r="S36" s="1">
        <v>46113</v>
      </c>
      <c r="U36" t="s">
        <v>51</v>
      </c>
      <c r="X36" t="s">
        <v>52</v>
      </c>
      <c r="Y36" s="2">
        <v>0</v>
      </c>
      <c r="Z36" s="2">
        <v>520.5</v>
      </c>
      <c r="AA36">
        <v>1</v>
      </c>
      <c r="AB36" s="3">
        <v>1</v>
      </c>
      <c r="AC36" s="2">
        <v>520.5</v>
      </c>
      <c r="AD36" s="3">
        <v>0</v>
      </c>
      <c r="AE36" s="2">
        <v>0</v>
      </c>
      <c r="AF36" s="2">
        <v>520.5</v>
      </c>
      <c r="AK36">
        <v>6617287</v>
      </c>
      <c r="AL36" t="s">
        <v>118</v>
      </c>
    </row>
    <row r="37" spans="1:38" x14ac:dyDescent="0.3">
      <c r="A37" s="1">
        <v>46134</v>
      </c>
      <c r="B37" s="1">
        <v>46134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174</v>
      </c>
      <c r="J37" t="s">
        <v>172</v>
      </c>
      <c r="M37" t="s">
        <v>137</v>
      </c>
      <c r="O37" t="s">
        <v>74</v>
      </c>
      <c r="P37" t="s">
        <v>75</v>
      </c>
      <c r="Q37" t="s">
        <v>49</v>
      </c>
      <c r="R37" t="s">
        <v>170</v>
      </c>
      <c r="S37" s="1">
        <v>46113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6617288</v>
      </c>
    </row>
    <row r="38" spans="1:38" x14ac:dyDescent="0.3">
      <c r="A38" s="1">
        <v>46134</v>
      </c>
      <c r="B38" s="1">
        <v>46134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175</v>
      </c>
      <c r="J38" t="s">
        <v>176</v>
      </c>
      <c r="M38" t="s">
        <v>63</v>
      </c>
      <c r="O38" t="s">
        <v>104</v>
      </c>
      <c r="P38" t="s">
        <v>105</v>
      </c>
      <c r="Q38" t="s">
        <v>49</v>
      </c>
      <c r="R38" t="s">
        <v>177</v>
      </c>
      <c r="S38" s="1">
        <v>46143</v>
      </c>
      <c r="U38" t="s">
        <v>51</v>
      </c>
      <c r="X38" t="s">
        <v>52</v>
      </c>
      <c r="Y38" s="2">
        <v>0</v>
      </c>
      <c r="Z38" s="2">
        <v>231.33</v>
      </c>
      <c r="AA38">
        <v>1</v>
      </c>
      <c r="AB38" s="3">
        <v>1</v>
      </c>
      <c r="AC38" s="2">
        <v>231.33</v>
      </c>
      <c r="AD38" s="3">
        <v>0</v>
      </c>
      <c r="AE38" s="2">
        <v>0</v>
      </c>
      <c r="AF38" s="2">
        <v>231.33</v>
      </c>
      <c r="AK38">
        <v>6615746</v>
      </c>
      <c r="AL38" t="s">
        <v>162</v>
      </c>
    </row>
    <row r="39" spans="1:38" x14ac:dyDescent="0.3">
      <c r="A39" s="1">
        <v>46134</v>
      </c>
      <c r="B39" s="1">
        <v>46134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178</v>
      </c>
      <c r="J39" t="s">
        <v>176</v>
      </c>
      <c r="M39" t="s">
        <v>63</v>
      </c>
      <c r="O39" t="s">
        <v>104</v>
      </c>
      <c r="P39" t="s">
        <v>105</v>
      </c>
      <c r="Q39" t="s">
        <v>49</v>
      </c>
      <c r="R39" t="s">
        <v>179</v>
      </c>
      <c r="S39" s="1">
        <v>46143</v>
      </c>
      <c r="U39" t="s">
        <v>51</v>
      </c>
      <c r="X39" t="s">
        <v>52</v>
      </c>
      <c r="Y39" s="2">
        <v>0</v>
      </c>
      <c r="Z39" s="2">
        <v>48</v>
      </c>
      <c r="AA39">
        <v>1</v>
      </c>
      <c r="AB39" s="3">
        <v>1</v>
      </c>
      <c r="AC39" s="2">
        <v>48</v>
      </c>
      <c r="AD39" s="3">
        <v>0</v>
      </c>
      <c r="AE39" s="2">
        <v>0</v>
      </c>
      <c r="AF39" s="2">
        <v>48</v>
      </c>
      <c r="AK39">
        <v>6615747</v>
      </c>
      <c r="AL39" t="s">
        <v>162</v>
      </c>
    </row>
    <row r="40" spans="1:38" x14ac:dyDescent="0.3">
      <c r="A40" s="1">
        <v>46134</v>
      </c>
      <c r="B40" s="1">
        <v>46134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180</v>
      </c>
      <c r="J40" t="s">
        <v>181</v>
      </c>
      <c r="M40" t="s">
        <v>182</v>
      </c>
      <c r="O40" t="s">
        <v>183</v>
      </c>
      <c r="P40" t="s">
        <v>184</v>
      </c>
      <c r="Q40" t="s">
        <v>49</v>
      </c>
      <c r="R40" t="s">
        <v>177</v>
      </c>
      <c r="S40" s="1">
        <v>46143</v>
      </c>
      <c r="U40" t="s">
        <v>51</v>
      </c>
      <c r="X40" t="s">
        <v>52</v>
      </c>
      <c r="Y40" s="2">
        <v>0</v>
      </c>
      <c r="Z40" s="2">
        <v>231.33</v>
      </c>
      <c r="AA40">
        <v>1</v>
      </c>
      <c r="AB40" s="3">
        <v>1</v>
      </c>
      <c r="AC40" s="2">
        <v>231.33</v>
      </c>
      <c r="AD40" s="3">
        <v>0</v>
      </c>
      <c r="AE40" s="2">
        <v>0</v>
      </c>
      <c r="AF40" s="2">
        <v>231.33</v>
      </c>
      <c r="AK40">
        <v>6615748</v>
      </c>
      <c r="AL40" t="s">
        <v>162</v>
      </c>
    </row>
    <row r="41" spans="1:38" x14ac:dyDescent="0.3">
      <c r="A41" s="1">
        <v>46134</v>
      </c>
      <c r="B41" s="1">
        <v>46134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185</v>
      </c>
      <c r="J41" t="s">
        <v>181</v>
      </c>
      <c r="M41" t="s">
        <v>182</v>
      </c>
      <c r="O41" t="s">
        <v>183</v>
      </c>
      <c r="P41" t="s">
        <v>184</v>
      </c>
      <c r="Q41" t="s">
        <v>49</v>
      </c>
      <c r="R41" t="s">
        <v>170</v>
      </c>
      <c r="S41" s="1">
        <v>46143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6615749</v>
      </c>
    </row>
    <row r="42" spans="1:38" x14ac:dyDescent="0.3">
      <c r="A42" s="1">
        <v>46134</v>
      </c>
      <c r="B42" s="1">
        <v>46134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186</v>
      </c>
      <c r="J42" t="s">
        <v>187</v>
      </c>
      <c r="M42" t="s">
        <v>114</v>
      </c>
      <c r="O42" t="s">
        <v>188</v>
      </c>
      <c r="P42" t="s">
        <v>189</v>
      </c>
      <c r="Q42" t="s">
        <v>49</v>
      </c>
      <c r="R42" t="s">
        <v>190</v>
      </c>
      <c r="S42" s="1">
        <v>46174</v>
      </c>
      <c r="U42" t="s">
        <v>51</v>
      </c>
      <c r="X42" t="s">
        <v>52</v>
      </c>
      <c r="Y42" s="2">
        <v>0</v>
      </c>
      <c r="Z42" s="2">
        <v>36</v>
      </c>
      <c r="AA42">
        <v>9</v>
      </c>
      <c r="AB42" s="3">
        <v>1</v>
      </c>
      <c r="AC42" s="2">
        <v>324</v>
      </c>
      <c r="AD42" s="3">
        <v>0</v>
      </c>
      <c r="AE42" s="2">
        <v>0</v>
      </c>
      <c r="AF42" s="2">
        <v>324</v>
      </c>
      <c r="AK42">
        <v>6615586</v>
      </c>
    </row>
    <row r="43" spans="1:38" x14ac:dyDescent="0.3">
      <c r="A43" s="1">
        <v>46134</v>
      </c>
      <c r="B43" s="1">
        <v>46134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191</v>
      </c>
      <c r="J43" t="s">
        <v>192</v>
      </c>
      <c r="M43" t="s">
        <v>114</v>
      </c>
      <c r="O43" t="s">
        <v>193</v>
      </c>
      <c r="P43" t="s">
        <v>194</v>
      </c>
      <c r="Q43" t="s">
        <v>49</v>
      </c>
      <c r="R43" t="s">
        <v>195</v>
      </c>
      <c r="S43" s="1">
        <v>46143</v>
      </c>
      <c r="U43" t="s">
        <v>51</v>
      </c>
      <c r="X43" t="s">
        <v>52</v>
      </c>
      <c r="Y43" s="2">
        <v>0</v>
      </c>
      <c r="Z43" s="2">
        <v>29.52</v>
      </c>
      <c r="AA43">
        <v>9</v>
      </c>
      <c r="AB43" s="3">
        <v>1</v>
      </c>
      <c r="AC43" s="2">
        <v>265.68</v>
      </c>
      <c r="AD43" s="3">
        <v>0</v>
      </c>
      <c r="AE43" s="2">
        <v>0</v>
      </c>
      <c r="AF43" s="2">
        <v>265.68</v>
      </c>
      <c r="AK43">
        <v>6615587</v>
      </c>
    </row>
    <row r="44" spans="1:38" x14ac:dyDescent="0.3">
      <c r="A44" s="1">
        <v>46134</v>
      </c>
      <c r="B44" s="1">
        <v>46134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196</v>
      </c>
      <c r="J44" t="s">
        <v>197</v>
      </c>
      <c r="M44" t="s">
        <v>63</v>
      </c>
      <c r="O44" t="s">
        <v>198</v>
      </c>
      <c r="P44" t="s">
        <v>199</v>
      </c>
      <c r="Q44" t="s">
        <v>49</v>
      </c>
      <c r="R44" t="s">
        <v>200</v>
      </c>
      <c r="S44" s="1">
        <v>46143</v>
      </c>
      <c r="U44" t="s">
        <v>51</v>
      </c>
      <c r="X44" t="s">
        <v>52</v>
      </c>
      <c r="Y44" s="2">
        <v>0</v>
      </c>
      <c r="Z44" s="2">
        <v>31.5</v>
      </c>
      <c r="AA44">
        <v>9</v>
      </c>
      <c r="AB44" s="3">
        <v>1</v>
      </c>
      <c r="AC44" s="2">
        <v>283.5</v>
      </c>
      <c r="AD44" s="3">
        <v>0</v>
      </c>
      <c r="AE44" s="2">
        <v>0</v>
      </c>
      <c r="AF44" s="2">
        <v>283.5</v>
      </c>
      <c r="AK44">
        <v>6615584</v>
      </c>
    </row>
    <row r="45" spans="1:38" x14ac:dyDescent="0.3">
      <c r="A45" s="1">
        <v>46134</v>
      </c>
      <c r="B45" s="1">
        <v>46134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201</v>
      </c>
      <c r="J45" t="s">
        <v>202</v>
      </c>
      <c r="M45" t="s">
        <v>114</v>
      </c>
      <c r="O45" t="s">
        <v>203</v>
      </c>
      <c r="P45" t="s">
        <v>204</v>
      </c>
      <c r="Q45" t="s">
        <v>49</v>
      </c>
      <c r="R45" t="s">
        <v>190</v>
      </c>
      <c r="S45" s="1">
        <v>46174</v>
      </c>
      <c r="U45" t="s">
        <v>51</v>
      </c>
      <c r="X45" t="s">
        <v>52</v>
      </c>
      <c r="Y45" s="2">
        <v>0</v>
      </c>
      <c r="Z45" s="2">
        <v>36</v>
      </c>
      <c r="AA45">
        <v>9</v>
      </c>
      <c r="AB45" s="3">
        <v>1</v>
      </c>
      <c r="AC45" s="2">
        <v>324</v>
      </c>
      <c r="AD45" s="3">
        <v>0</v>
      </c>
      <c r="AE45" s="2">
        <v>0</v>
      </c>
      <c r="AF45" s="2">
        <v>324</v>
      </c>
      <c r="AK45">
        <v>6615588</v>
      </c>
    </row>
    <row r="46" spans="1:38" x14ac:dyDescent="0.3">
      <c r="A46" s="1">
        <v>46134</v>
      </c>
      <c r="B46" s="1">
        <v>46134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205</v>
      </c>
      <c r="J46" t="s">
        <v>206</v>
      </c>
      <c r="M46" t="s">
        <v>101</v>
      </c>
      <c r="O46" t="s">
        <v>47</v>
      </c>
      <c r="P46" t="s">
        <v>48</v>
      </c>
      <c r="Q46" t="s">
        <v>49</v>
      </c>
      <c r="R46" t="s">
        <v>207</v>
      </c>
      <c r="S46" s="1">
        <v>46143</v>
      </c>
      <c r="U46" t="s">
        <v>51</v>
      </c>
      <c r="X46" t="s">
        <v>52</v>
      </c>
      <c r="Y46" s="2">
        <v>0</v>
      </c>
      <c r="Z46" s="2">
        <v>31.02</v>
      </c>
      <c r="AA46">
        <v>9</v>
      </c>
      <c r="AB46" s="3">
        <v>1</v>
      </c>
      <c r="AC46" s="2">
        <v>279.18</v>
      </c>
      <c r="AD46" s="3">
        <v>0</v>
      </c>
      <c r="AE46" s="2">
        <v>0</v>
      </c>
      <c r="AF46" s="2">
        <v>279.18</v>
      </c>
      <c r="AK46">
        <v>6615585</v>
      </c>
    </row>
    <row r="47" spans="1:38" x14ac:dyDescent="0.3">
      <c r="A47" s="1">
        <v>46134</v>
      </c>
      <c r="B47" s="1">
        <v>46134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208</v>
      </c>
      <c r="J47" t="s">
        <v>209</v>
      </c>
      <c r="M47" t="s">
        <v>63</v>
      </c>
      <c r="O47" t="s">
        <v>210</v>
      </c>
      <c r="P47" t="s">
        <v>211</v>
      </c>
      <c r="Q47" t="s">
        <v>49</v>
      </c>
      <c r="R47" t="s">
        <v>212</v>
      </c>
      <c r="S47" s="1">
        <v>46023</v>
      </c>
      <c r="U47" t="s">
        <v>51</v>
      </c>
      <c r="X47" t="s">
        <v>52</v>
      </c>
      <c r="Y47" s="2">
        <v>0</v>
      </c>
      <c r="Z47" s="2">
        <v>25</v>
      </c>
      <c r="AA47">
        <v>1</v>
      </c>
      <c r="AB47" s="3">
        <v>1</v>
      </c>
      <c r="AC47" s="2">
        <v>25</v>
      </c>
      <c r="AD47" s="3">
        <v>0</v>
      </c>
      <c r="AE47" s="2">
        <v>0</v>
      </c>
      <c r="AF47" s="2">
        <v>25</v>
      </c>
      <c r="AK47">
        <v>6613769</v>
      </c>
    </row>
    <row r="48" spans="1:38" x14ac:dyDescent="0.3">
      <c r="A48" s="1">
        <v>46134</v>
      </c>
      <c r="B48" s="1">
        <v>46134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213</v>
      </c>
      <c r="J48" t="s">
        <v>214</v>
      </c>
      <c r="M48" t="s">
        <v>63</v>
      </c>
      <c r="O48" t="s">
        <v>215</v>
      </c>
      <c r="P48" t="s">
        <v>216</v>
      </c>
      <c r="Q48" t="s">
        <v>49</v>
      </c>
      <c r="R48" t="s">
        <v>212</v>
      </c>
      <c r="S48" s="1">
        <v>46023</v>
      </c>
      <c r="U48" t="s">
        <v>51</v>
      </c>
      <c r="X48" t="s">
        <v>52</v>
      </c>
      <c r="Y48" s="2">
        <v>0</v>
      </c>
      <c r="Z48" s="2">
        <v>25</v>
      </c>
      <c r="AA48">
        <v>1</v>
      </c>
      <c r="AB48" s="3">
        <v>1</v>
      </c>
      <c r="AC48" s="2">
        <v>25</v>
      </c>
      <c r="AD48" s="3">
        <v>0</v>
      </c>
      <c r="AE48" s="2">
        <v>0</v>
      </c>
      <c r="AF48" s="2">
        <v>25</v>
      </c>
      <c r="AK48">
        <v>6613772</v>
      </c>
    </row>
    <row r="49" spans="1:38" x14ac:dyDescent="0.3">
      <c r="A49" s="1">
        <v>46134</v>
      </c>
      <c r="B49" s="1">
        <v>46134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217</v>
      </c>
      <c r="J49" t="s">
        <v>218</v>
      </c>
      <c r="M49" t="s">
        <v>63</v>
      </c>
      <c r="O49" t="s">
        <v>210</v>
      </c>
      <c r="P49" t="s">
        <v>211</v>
      </c>
      <c r="Q49" t="s">
        <v>49</v>
      </c>
      <c r="R49" t="s">
        <v>212</v>
      </c>
      <c r="S49" s="1">
        <v>46023</v>
      </c>
      <c r="U49" t="s">
        <v>51</v>
      </c>
      <c r="X49" t="s">
        <v>52</v>
      </c>
      <c r="Y49" s="2">
        <v>0</v>
      </c>
      <c r="Z49" s="2">
        <v>25</v>
      </c>
      <c r="AA49">
        <v>1</v>
      </c>
      <c r="AB49" s="3">
        <v>1</v>
      </c>
      <c r="AC49" s="2">
        <v>25</v>
      </c>
      <c r="AD49" s="3">
        <v>0</v>
      </c>
      <c r="AE49" s="2">
        <v>0</v>
      </c>
      <c r="AF49" s="2">
        <v>25</v>
      </c>
      <c r="AK49">
        <v>6613780</v>
      </c>
    </row>
    <row r="50" spans="1:38" x14ac:dyDescent="0.3">
      <c r="A50" s="1">
        <v>46134</v>
      </c>
      <c r="B50" s="1">
        <v>46134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219</v>
      </c>
      <c r="J50" t="s">
        <v>220</v>
      </c>
      <c r="M50" t="s">
        <v>63</v>
      </c>
      <c r="O50" t="s">
        <v>58</v>
      </c>
      <c r="P50" t="s">
        <v>59</v>
      </c>
      <c r="Q50" t="s">
        <v>49</v>
      </c>
      <c r="R50" t="s">
        <v>117</v>
      </c>
      <c r="S50" s="1">
        <v>46113</v>
      </c>
      <c r="U50" t="s">
        <v>51</v>
      </c>
      <c r="X50" t="s">
        <v>52</v>
      </c>
      <c r="Y50" s="2">
        <v>0</v>
      </c>
      <c r="Z50" s="2">
        <v>18.75</v>
      </c>
      <c r="AA50">
        <v>1</v>
      </c>
      <c r="AB50" s="3">
        <v>1</v>
      </c>
      <c r="AC50" s="2">
        <v>18.75</v>
      </c>
      <c r="AD50" s="3">
        <v>0</v>
      </c>
      <c r="AE50" s="2">
        <v>0</v>
      </c>
      <c r="AF50" s="2">
        <v>18.75</v>
      </c>
      <c r="AK50">
        <v>6613828</v>
      </c>
      <c r="AL50" t="s">
        <v>118</v>
      </c>
    </row>
    <row r="51" spans="1:38" x14ac:dyDescent="0.3">
      <c r="A51" s="1">
        <v>46134</v>
      </c>
      <c r="B51" s="1">
        <v>46134</v>
      </c>
      <c r="C51" t="s">
        <v>221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222</v>
      </c>
      <c r="J51" t="s">
        <v>223</v>
      </c>
      <c r="M51" t="s">
        <v>63</v>
      </c>
      <c r="O51" t="s">
        <v>146</v>
      </c>
      <c r="P51" t="s">
        <v>147</v>
      </c>
      <c r="Q51" t="s">
        <v>224</v>
      </c>
      <c r="R51" t="s">
        <v>60</v>
      </c>
      <c r="S51" s="1">
        <v>46113</v>
      </c>
      <c r="U51" t="s">
        <v>51</v>
      </c>
      <c r="X51" t="s">
        <v>52</v>
      </c>
      <c r="AF51" s="2">
        <v>175</v>
      </c>
      <c r="AG51" s="2">
        <v>0</v>
      </c>
      <c r="AJ51" s="2">
        <v>175</v>
      </c>
    </row>
    <row r="52" spans="1:38" x14ac:dyDescent="0.3">
      <c r="A52" s="1">
        <v>46134</v>
      </c>
      <c r="B52" s="1">
        <v>46134</v>
      </c>
      <c r="C52" t="s">
        <v>221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225</v>
      </c>
      <c r="J52" t="s">
        <v>226</v>
      </c>
      <c r="M52" t="s">
        <v>46</v>
      </c>
      <c r="O52" t="s">
        <v>227</v>
      </c>
      <c r="P52" t="s">
        <v>228</v>
      </c>
      <c r="Q52" t="s">
        <v>224</v>
      </c>
      <c r="R52" t="s">
        <v>50</v>
      </c>
      <c r="S52" s="1">
        <v>46054</v>
      </c>
      <c r="U52" t="s">
        <v>51</v>
      </c>
      <c r="X52" t="s">
        <v>52</v>
      </c>
      <c r="AF52" s="2">
        <v>108</v>
      </c>
      <c r="AG52" s="2">
        <v>0</v>
      </c>
      <c r="AJ52" s="2">
        <v>81</v>
      </c>
    </row>
    <row r="53" spans="1:38" x14ac:dyDescent="0.3">
      <c r="A53" s="1">
        <v>46134</v>
      </c>
      <c r="B53" s="1">
        <v>46134</v>
      </c>
      <c r="C53" t="s">
        <v>221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229</v>
      </c>
      <c r="J53" t="s">
        <v>230</v>
      </c>
      <c r="M53" t="s">
        <v>46</v>
      </c>
      <c r="O53" t="s">
        <v>58</v>
      </c>
      <c r="P53" t="s">
        <v>59</v>
      </c>
      <c r="Q53" t="s">
        <v>224</v>
      </c>
      <c r="R53" t="s">
        <v>50</v>
      </c>
      <c r="S53" s="1">
        <v>46023</v>
      </c>
      <c r="U53" t="s">
        <v>51</v>
      </c>
      <c r="X53" t="s">
        <v>52</v>
      </c>
      <c r="AF53" s="2">
        <v>108</v>
      </c>
      <c r="AG53" s="2">
        <v>0</v>
      </c>
      <c r="AJ53" s="2">
        <v>99.36</v>
      </c>
    </row>
    <row r="54" spans="1:38" x14ac:dyDescent="0.3">
      <c r="A54" s="1">
        <v>46134</v>
      </c>
      <c r="B54" s="1">
        <v>46134</v>
      </c>
      <c r="C54" t="s">
        <v>221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231</v>
      </c>
      <c r="J54" t="s">
        <v>232</v>
      </c>
      <c r="M54" t="s">
        <v>63</v>
      </c>
      <c r="O54" t="s">
        <v>233</v>
      </c>
      <c r="P54" t="s">
        <v>232</v>
      </c>
      <c r="Q54" t="s">
        <v>224</v>
      </c>
      <c r="R54" t="s">
        <v>234</v>
      </c>
      <c r="S54" s="1">
        <v>46023</v>
      </c>
      <c r="U54" t="s">
        <v>51</v>
      </c>
      <c r="X54" t="s">
        <v>52</v>
      </c>
      <c r="AF54" s="2">
        <v>15</v>
      </c>
      <c r="AG54" s="2">
        <v>0</v>
      </c>
      <c r="AJ54" s="2">
        <v>10.050000000000001</v>
      </c>
    </row>
    <row r="55" spans="1:38" x14ac:dyDescent="0.3">
      <c r="A55" s="1">
        <v>46134</v>
      </c>
      <c r="B55" s="1">
        <v>46134</v>
      </c>
      <c r="C55" t="s">
        <v>221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235</v>
      </c>
      <c r="J55" t="s">
        <v>236</v>
      </c>
      <c r="M55" t="s">
        <v>63</v>
      </c>
      <c r="O55" t="s">
        <v>82</v>
      </c>
      <c r="P55" t="s">
        <v>83</v>
      </c>
      <c r="Q55" t="s">
        <v>224</v>
      </c>
      <c r="R55" t="s">
        <v>60</v>
      </c>
      <c r="S55" s="1">
        <v>46023</v>
      </c>
      <c r="U55" t="s">
        <v>51</v>
      </c>
      <c r="X55" t="s">
        <v>52</v>
      </c>
      <c r="AF55" s="2">
        <v>175</v>
      </c>
      <c r="AG55" s="2">
        <v>0</v>
      </c>
      <c r="AJ55" s="2">
        <v>175</v>
      </c>
    </row>
    <row r="56" spans="1:38" x14ac:dyDescent="0.3">
      <c r="A56" s="1">
        <v>46134</v>
      </c>
      <c r="B56" s="1">
        <v>46134</v>
      </c>
      <c r="C56" t="s">
        <v>221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237</v>
      </c>
      <c r="J56" t="s">
        <v>62</v>
      </c>
      <c r="M56" t="s">
        <v>63</v>
      </c>
      <c r="O56" t="s">
        <v>238</v>
      </c>
      <c r="P56" t="s">
        <v>239</v>
      </c>
      <c r="Q56" t="s">
        <v>224</v>
      </c>
      <c r="R56" t="s">
        <v>60</v>
      </c>
      <c r="S56" s="1">
        <v>46023</v>
      </c>
      <c r="U56" t="s">
        <v>51</v>
      </c>
      <c r="X56" t="s">
        <v>52</v>
      </c>
      <c r="AF56" s="2">
        <v>175</v>
      </c>
      <c r="AG56" s="2">
        <v>0</v>
      </c>
      <c r="AJ56" s="2">
        <v>117.25</v>
      </c>
    </row>
    <row r="57" spans="1:38" x14ac:dyDescent="0.3">
      <c r="A57" s="1">
        <v>46134</v>
      </c>
      <c r="B57" s="1">
        <v>46134</v>
      </c>
      <c r="C57" t="s">
        <v>221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240</v>
      </c>
      <c r="J57" t="s">
        <v>241</v>
      </c>
      <c r="M57" t="s">
        <v>137</v>
      </c>
      <c r="O57" t="s">
        <v>86</v>
      </c>
      <c r="P57" t="s">
        <v>87</v>
      </c>
      <c r="Q57" t="s">
        <v>224</v>
      </c>
      <c r="R57" t="s">
        <v>60</v>
      </c>
      <c r="S57" s="1">
        <v>46143</v>
      </c>
      <c r="U57" t="s">
        <v>51</v>
      </c>
      <c r="X57" t="s">
        <v>52</v>
      </c>
      <c r="AF57" s="2">
        <v>175</v>
      </c>
      <c r="AG57" s="2">
        <v>0</v>
      </c>
      <c r="AJ57" s="2">
        <v>175</v>
      </c>
    </row>
    <row r="58" spans="1:38" x14ac:dyDescent="0.3">
      <c r="A58" s="1">
        <v>46134</v>
      </c>
      <c r="B58" s="1">
        <v>46134</v>
      </c>
      <c r="C58" t="s">
        <v>221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242</v>
      </c>
      <c r="J58" t="s">
        <v>243</v>
      </c>
      <c r="M58" t="s">
        <v>63</v>
      </c>
      <c r="O58" t="s">
        <v>146</v>
      </c>
      <c r="P58" t="s">
        <v>147</v>
      </c>
      <c r="Q58" t="s">
        <v>224</v>
      </c>
      <c r="R58" t="s">
        <v>60</v>
      </c>
      <c r="S58" s="1">
        <v>46113</v>
      </c>
      <c r="U58" t="s">
        <v>51</v>
      </c>
      <c r="X58" t="s">
        <v>52</v>
      </c>
      <c r="AF58" s="2">
        <v>175</v>
      </c>
      <c r="AG58" s="2">
        <v>0</v>
      </c>
      <c r="AJ58" s="2">
        <v>175</v>
      </c>
    </row>
    <row r="59" spans="1:38" x14ac:dyDescent="0.3">
      <c r="A59" s="1">
        <v>46134</v>
      </c>
      <c r="B59" s="1">
        <v>46134</v>
      </c>
      <c r="C59" t="s">
        <v>221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244</v>
      </c>
      <c r="J59" t="s">
        <v>245</v>
      </c>
      <c r="M59" t="s">
        <v>114</v>
      </c>
      <c r="O59" t="s">
        <v>115</v>
      </c>
      <c r="P59" t="s">
        <v>116</v>
      </c>
      <c r="Q59" t="s">
        <v>224</v>
      </c>
      <c r="R59" t="s">
        <v>117</v>
      </c>
      <c r="S59" s="1">
        <v>46113</v>
      </c>
      <c r="U59" t="s">
        <v>51</v>
      </c>
      <c r="X59" t="s">
        <v>52</v>
      </c>
      <c r="AF59" s="2">
        <v>18.75</v>
      </c>
      <c r="AG59" s="2">
        <v>0</v>
      </c>
      <c r="AJ59" s="2">
        <v>18.75</v>
      </c>
    </row>
    <row r="60" spans="1:38" x14ac:dyDescent="0.3">
      <c r="A60" s="1">
        <v>46134</v>
      </c>
      <c r="B60" s="1">
        <v>46134</v>
      </c>
      <c r="C60" t="s">
        <v>221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246</v>
      </c>
      <c r="J60" t="s">
        <v>247</v>
      </c>
      <c r="M60" t="s">
        <v>46</v>
      </c>
      <c r="O60" t="s">
        <v>248</v>
      </c>
      <c r="P60" t="s">
        <v>249</v>
      </c>
      <c r="Q60" t="s">
        <v>224</v>
      </c>
      <c r="R60" t="s">
        <v>250</v>
      </c>
      <c r="S60" s="1">
        <v>46023</v>
      </c>
      <c r="U60" t="s">
        <v>51</v>
      </c>
      <c r="X60" t="s">
        <v>52</v>
      </c>
      <c r="AF60" s="2">
        <v>15</v>
      </c>
      <c r="AG60" s="2">
        <v>0</v>
      </c>
      <c r="AJ60" s="2">
        <v>15</v>
      </c>
    </row>
    <row r="61" spans="1:38" x14ac:dyDescent="0.3">
      <c r="A61" s="1">
        <v>46134</v>
      </c>
      <c r="B61" s="1">
        <v>46134</v>
      </c>
      <c r="C61" t="s">
        <v>221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251</v>
      </c>
      <c r="J61" t="s">
        <v>252</v>
      </c>
      <c r="M61" t="s">
        <v>114</v>
      </c>
      <c r="O61" t="s">
        <v>115</v>
      </c>
      <c r="P61" t="s">
        <v>116</v>
      </c>
      <c r="Q61" t="s">
        <v>224</v>
      </c>
      <c r="R61" t="s">
        <v>250</v>
      </c>
      <c r="S61" s="1">
        <v>46023</v>
      </c>
      <c r="U61" t="s">
        <v>51</v>
      </c>
      <c r="X61" t="s">
        <v>52</v>
      </c>
      <c r="AF61" s="2">
        <v>15</v>
      </c>
      <c r="AG61" s="2">
        <v>0</v>
      </c>
      <c r="AJ61" s="2">
        <v>15</v>
      </c>
    </row>
    <row r="62" spans="1:38" x14ac:dyDescent="0.3">
      <c r="A62" s="1">
        <v>46134</v>
      </c>
      <c r="B62" s="1">
        <v>46134</v>
      </c>
      <c r="C62" t="s">
        <v>221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253</v>
      </c>
      <c r="J62" t="s">
        <v>254</v>
      </c>
      <c r="M62" t="s">
        <v>165</v>
      </c>
      <c r="O62" t="s">
        <v>255</v>
      </c>
      <c r="P62" t="s">
        <v>256</v>
      </c>
      <c r="Q62" t="s">
        <v>224</v>
      </c>
      <c r="R62" t="s">
        <v>250</v>
      </c>
      <c r="S62" s="1">
        <v>46023</v>
      </c>
      <c r="U62" t="s">
        <v>51</v>
      </c>
      <c r="X62" t="s">
        <v>52</v>
      </c>
      <c r="AF62" s="2">
        <v>15</v>
      </c>
      <c r="AG62" s="2">
        <v>0</v>
      </c>
      <c r="AJ62" s="2">
        <v>15</v>
      </c>
    </row>
    <row r="63" spans="1:38" x14ac:dyDescent="0.3">
      <c r="A63" s="1">
        <v>46134</v>
      </c>
      <c r="B63" s="1">
        <v>46134</v>
      </c>
      <c r="C63" t="s">
        <v>221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257</v>
      </c>
      <c r="J63" t="s">
        <v>258</v>
      </c>
      <c r="M63" t="s">
        <v>114</v>
      </c>
      <c r="O63" t="s">
        <v>259</v>
      </c>
      <c r="P63" t="s">
        <v>260</v>
      </c>
      <c r="Q63" t="s">
        <v>224</v>
      </c>
      <c r="R63" t="s">
        <v>212</v>
      </c>
      <c r="S63" s="1">
        <v>46023</v>
      </c>
      <c r="U63" t="s">
        <v>51</v>
      </c>
      <c r="X63" t="s">
        <v>52</v>
      </c>
      <c r="AF63" s="2">
        <v>25</v>
      </c>
      <c r="AG63" s="2">
        <v>0</v>
      </c>
      <c r="AJ63" s="2">
        <v>25</v>
      </c>
    </row>
    <row r="64" spans="1:38" x14ac:dyDescent="0.3">
      <c r="A64" s="1">
        <v>46134</v>
      </c>
      <c r="B64" s="1">
        <v>46134</v>
      </c>
      <c r="C64" t="s">
        <v>221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261</v>
      </c>
      <c r="J64" t="s">
        <v>262</v>
      </c>
      <c r="M64" t="s">
        <v>114</v>
      </c>
      <c r="O64" t="s">
        <v>263</v>
      </c>
      <c r="P64" t="s">
        <v>264</v>
      </c>
      <c r="Q64" t="s">
        <v>224</v>
      </c>
      <c r="R64" t="s">
        <v>212</v>
      </c>
      <c r="S64" s="1">
        <v>46054</v>
      </c>
      <c r="U64" t="s">
        <v>51</v>
      </c>
      <c r="X64" t="s">
        <v>52</v>
      </c>
      <c r="AF64" s="2">
        <v>25</v>
      </c>
      <c r="AG64" s="2">
        <v>0</v>
      </c>
      <c r="AJ64" s="2">
        <v>25</v>
      </c>
    </row>
    <row r="65" spans="1:36" x14ac:dyDescent="0.3">
      <c r="A65" s="1">
        <v>46134</v>
      </c>
      <c r="B65" s="1">
        <v>46134</v>
      </c>
      <c r="C65" t="s">
        <v>221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265</v>
      </c>
      <c r="J65" t="s">
        <v>266</v>
      </c>
      <c r="M65" t="s">
        <v>267</v>
      </c>
      <c r="O65" t="s">
        <v>198</v>
      </c>
      <c r="P65" t="s">
        <v>199</v>
      </c>
      <c r="Q65" t="s">
        <v>224</v>
      </c>
      <c r="R65" t="s">
        <v>268</v>
      </c>
      <c r="S65" s="1">
        <v>46054</v>
      </c>
      <c r="U65" t="s">
        <v>51</v>
      </c>
      <c r="X65" t="s">
        <v>52</v>
      </c>
      <c r="AF65" s="2">
        <v>611</v>
      </c>
      <c r="AG65" s="2">
        <v>0</v>
      </c>
      <c r="AJ65" s="2">
        <v>611</v>
      </c>
    </row>
    <row r="66" spans="1:36" x14ac:dyDescent="0.3">
      <c r="A66" s="1">
        <v>46134</v>
      </c>
      <c r="B66" s="1">
        <v>46134</v>
      </c>
      <c r="C66" t="s">
        <v>221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269</v>
      </c>
      <c r="J66" t="s">
        <v>270</v>
      </c>
      <c r="M66" t="s">
        <v>63</v>
      </c>
      <c r="O66" t="s">
        <v>146</v>
      </c>
      <c r="P66" t="s">
        <v>147</v>
      </c>
      <c r="Q66" t="s">
        <v>224</v>
      </c>
      <c r="R66" t="s">
        <v>212</v>
      </c>
      <c r="S66" s="1">
        <v>46023</v>
      </c>
      <c r="U66" t="s">
        <v>51</v>
      </c>
      <c r="X66" t="s">
        <v>52</v>
      </c>
      <c r="AF66" s="2">
        <v>25</v>
      </c>
      <c r="AG66" s="2">
        <v>0</v>
      </c>
      <c r="AJ66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3204-333D-4864-A567-F61442872723}">
  <dimension ref="A1:AM66"/>
  <sheetViews>
    <sheetView tabSelected="1" topLeftCell="C40" workbookViewId="0">
      <selection activeCell="H24" sqref="H24"/>
    </sheetView>
  </sheetViews>
  <sheetFormatPr defaultRowHeight="14.4" x14ac:dyDescent="0.3"/>
  <cols>
    <col min="1" max="1" width="17.5546875" customWidth="1"/>
    <col min="2" max="2" width="26.5546875" bestFit="1" customWidth="1"/>
    <col min="3" max="3" width="24.33203125" customWidth="1"/>
    <col min="4" max="4" width="5.5546875" bestFit="1" customWidth="1"/>
    <col min="5" max="5" width="11.109375" customWidth="1"/>
    <col min="6" max="6" width="21.44140625" customWidth="1"/>
    <col min="7" max="7" width="12.88671875" bestFit="1" customWidth="1"/>
    <col min="8" max="8" width="39.44140625" customWidth="1"/>
    <col min="9" max="9" width="10.109375" bestFit="1" customWidth="1"/>
    <col min="10" max="10" width="15.88671875" bestFit="1" customWidth="1"/>
    <col min="11" max="11" width="5.5546875" customWidth="1"/>
    <col min="12" max="12" width="9.33203125" customWidth="1"/>
    <col min="13" max="13" width="16.109375" bestFit="1" customWidth="1"/>
    <col min="14" max="14" width="56.6640625" bestFit="1" customWidth="1"/>
  </cols>
  <sheetData>
    <row r="1" spans="1:39" x14ac:dyDescent="0.3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25</v>
      </c>
      <c r="K1" t="s">
        <v>26</v>
      </c>
      <c r="L1" t="s">
        <v>28</v>
      </c>
      <c r="M1" t="s">
        <v>37</v>
      </c>
    </row>
    <row r="2" spans="1:39" x14ac:dyDescent="0.3">
      <c r="A2" s="5" t="s">
        <v>296</v>
      </c>
      <c r="B2" s="5" t="str">
        <f>_xlfn.CONCAT(A2,"OVR")</f>
        <v>MEQNQMZM00001984088OVR</v>
      </c>
      <c r="C2" s="11" t="s">
        <v>220</v>
      </c>
      <c r="D2" s="11" t="s">
        <v>63</v>
      </c>
      <c r="E2" s="11">
        <v>20411454</v>
      </c>
      <c r="F2" s="11" t="s">
        <v>317</v>
      </c>
      <c r="G2" s="11" t="s">
        <v>49</v>
      </c>
      <c r="H2" s="11" t="s">
        <v>117</v>
      </c>
      <c r="I2" s="1">
        <v>46113</v>
      </c>
      <c r="J2" s="2">
        <v>18.75</v>
      </c>
      <c r="K2" s="11">
        <v>1</v>
      </c>
      <c r="L2" s="2">
        <v>18.75</v>
      </c>
      <c r="M2" s="11" t="s">
        <v>118</v>
      </c>
      <c r="N2" s="11" t="s">
        <v>305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 x14ac:dyDescent="0.3">
      <c r="A3" s="5" t="s">
        <v>295</v>
      </c>
      <c r="B3" s="5" t="str">
        <f>_xlfn.CONCAT(A3,"OVR")</f>
        <v>MEQNDVYM00000147281OVR</v>
      </c>
      <c r="C3" s="11" t="s">
        <v>218</v>
      </c>
      <c r="D3" s="11" t="s">
        <v>63</v>
      </c>
      <c r="E3" s="11">
        <v>20411454</v>
      </c>
      <c r="F3" s="11" t="s">
        <v>317</v>
      </c>
      <c r="G3" s="11" t="s">
        <v>49</v>
      </c>
      <c r="H3" s="11" t="s">
        <v>212</v>
      </c>
      <c r="I3" s="1">
        <v>46023</v>
      </c>
      <c r="J3" s="2">
        <v>25</v>
      </c>
      <c r="K3" s="11">
        <v>1</v>
      </c>
      <c r="L3" s="2">
        <v>25</v>
      </c>
      <c r="M3" s="11"/>
      <c r="N3" s="11" t="s">
        <v>305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1:39" x14ac:dyDescent="0.3">
      <c r="A4" s="5">
        <v>102274488200</v>
      </c>
      <c r="B4" s="5" t="str">
        <f>_xlfn.CONCAT(A4,"OVR")</f>
        <v>102274488200OVR</v>
      </c>
      <c r="C4" t="s">
        <v>151</v>
      </c>
      <c r="D4" t="s">
        <v>63</v>
      </c>
      <c r="E4" s="11">
        <v>20411454</v>
      </c>
      <c r="F4" t="s">
        <v>317</v>
      </c>
      <c r="G4" t="s">
        <v>49</v>
      </c>
      <c r="H4" t="s">
        <v>117</v>
      </c>
      <c r="I4" s="1">
        <v>46113</v>
      </c>
      <c r="J4" s="2">
        <v>18.75</v>
      </c>
      <c r="K4">
        <v>1</v>
      </c>
      <c r="L4" s="2">
        <v>18.75</v>
      </c>
      <c r="M4" t="s">
        <v>118</v>
      </c>
      <c r="N4" t="s">
        <v>305</v>
      </c>
    </row>
    <row r="5" spans="1:39" x14ac:dyDescent="0.3">
      <c r="A5" s="5">
        <v>101320044800</v>
      </c>
      <c r="B5" s="5" t="str">
        <f>_xlfn.CONCAT(A5,"OVR")</f>
        <v>101320044800OVR</v>
      </c>
      <c r="C5" s="11" t="s">
        <v>124</v>
      </c>
      <c r="D5" s="11" t="s">
        <v>46</v>
      </c>
      <c r="E5" s="11">
        <v>20411454</v>
      </c>
      <c r="F5" s="11" t="s">
        <v>317</v>
      </c>
      <c r="G5" s="11" t="s">
        <v>49</v>
      </c>
      <c r="H5" s="11" t="s">
        <v>117</v>
      </c>
      <c r="I5" s="1">
        <v>46113</v>
      </c>
      <c r="J5" s="2">
        <v>18.75</v>
      </c>
      <c r="K5" s="11">
        <v>1</v>
      </c>
      <c r="L5" s="2">
        <v>18.75</v>
      </c>
      <c r="M5" s="11" t="s">
        <v>118</v>
      </c>
      <c r="N5" s="11" t="s">
        <v>305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x14ac:dyDescent="0.3">
      <c r="A6" s="5">
        <v>102274148600</v>
      </c>
      <c r="B6" s="5" t="str">
        <f>_xlfn.CONCAT(A6,"OVR")</f>
        <v>102274148600OVR</v>
      </c>
      <c r="C6" s="11" t="s">
        <v>145</v>
      </c>
      <c r="D6" s="11" t="s">
        <v>101</v>
      </c>
      <c r="E6" s="11">
        <v>20411454</v>
      </c>
      <c r="F6" s="11" t="s">
        <v>317</v>
      </c>
      <c r="G6" s="11" t="s">
        <v>49</v>
      </c>
      <c r="H6" s="11" t="s">
        <v>117</v>
      </c>
      <c r="I6" s="1">
        <v>46113</v>
      </c>
      <c r="J6" s="2">
        <v>18.75</v>
      </c>
      <c r="K6" s="11">
        <v>1</v>
      </c>
      <c r="L6" s="2">
        <v>18.75</v>
      </c>
      <c r="M6" s="11" t="s">
        <v>118</v>
      </c>
      <c r="N6" s="11" t="s">
        <v>305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x14ac:dyDescent="0.3">
      <c r="A7" s="5">
        <v>102228492100</v>
      </c>
      <c r="B7" s="5" t="str">
        <f>_xlfn.CONCAT(A7,"OVR")</f>
        <v>102228492100OVR</v>
      </c>
      <c r="C7" t="s">
        <v>252</v>
      </c>
      <c r="D7" t="s">
        <v>114</v>
      </c>
      <c r="E7" s="11">
        <v>20411454</v>
      </c>
      <c r="F7" t="s">
        <v>317</v>
      </c>
      <c r="G7" t="s">
        <v>224</v>
      </c>
      <c r="H7" t="s">
        <v>250</v>
      </c>
      <c r="I7" s="1">
        <v>46023</v>
      </c>
      <c r="J7" s="11"/>
      <c r="L7" s="4">
        <v>-15</v>
      </c>
      <c r="N7" t="s">
        <v>305</v>
      </c>
    </row>
    <row r="8" spans="1:39" x14ac:dyDescent="0.3">
      <c r="A8" s="5">
        <v>102274813300</v>
      </c>
      <c r="B8" s="5" t="str">
        <f>_xlfn.CONCAT(A8,"OVR")</f>
        <v>102274813300OVR</v>
      </c>
      <c r="C8" t="s">
        <v>164</v>
      </c>
      <c r="D8" t="s">
        <v>165</v>
      </c>
      <c r="E8" s="11">
        <v>20411454</v>
      </c>
      <c r="F8" t="s">
        <v>317</v>
      </c>
      <c r="G8" t="s">
        <v>49</v>
      </c>
      <c r="H8" t="s">
        <v>117</v>
      </c>
      <c r="I8" s="1">
        <v>46143</v>
      </c>
      <c r="J8" s="2">
        <v>16.670000000000002</v>
      </c>
      <c r="K8">
        <v>1</v>
      </c>
      <c r="L8" s="2">
        <v>16.670000000000002</v>
      </c>
      <c r="M8" t="s">
        <v>162</v>
      </c>
      <c r="N8" t="s">
        <v>305</v>
      </c>
    </row>
    <row r="9" spans="1:39" x14ac:dyDescent="0.3">
      <c r="A9" s="5" t="s">
        <v>294</v>
      </c>
      <c r="B9" s="5" t="str">
        <f>_xlfn.CONCAT(A9,"OVR")</f>
        <v>MEQNDVYM00000136764OVR</v>
      </c>
      <c r="C9" t="s">
        <v>214</v>
      </c>
      <c r="D9" t="s">
        <v>63</v>
      </c>
      <c r="E9" s="11">
        <v>20411454</v>
      </c>
      <c r="F9" t="s">
        <v>317</v>
      </c>
      <c r="G9" t="s">
        <v>49</v>
      </c>
      <c r="H9" t="s">
        <v>212</v>
      </c>
      <c r="I9" s="1">
        <v>46023</v>
      </c>
      <c r="J9" s="2">
        <v>25</v>
      </c>
      <c r="K9">
        <v>1</v>
      </c>
      <c r="L9" s="2">
        <v>25</v>
      </c>
      <c r="N9" t="s">
        <v>305</v>
      </c>
    </row>
    <row r="10" spans="1:39" x14ac:dyDescent="0.3">
      <c r="A10" s="5">
        <v>101048758700</v>
      </c>
      <c r="B10" s="5" t="str">
        <f>_xlfn.CONCAT(A10,"OVR")</f>
        <v>101048758700OVR</v>
      </c>
      <c r="C10" t="s">
        <v>113</v>
      </c>
      <c r="D10" t="s">
        <v>114</v>
      </c>
      <c r="E10" s="11">
        <v>20411454</v>
      </c>
      <c r="F10" t="s">
        <v>317</v>
      </c>
      <c r="G10" t="s">
        <v>49</v>
      </c>
      <c r="H10" t="s">
        <v>117</v>
      </c>
      <c r="I10" s="1">
        <v>46113</v>
      </c>
      <c r="J10" s="2">
        <v>18.75</v>
      </c>
      <c r="K10">
        <v>1</v>
      </c>
      <c r="L10" s="2">
        <v>18.75</v>
      </c>
      <c r="M10" t="s">
        <v>118</v>
      </c>
      <c r="N10" t="s">
        <v>305</v>
      </c>
    </row>
    <row r="11" spans="1:39" x14ac:dyDescent="0.3">
      <c r="A11" s="5">
        <v>101089134600</v>
      </c>
      <c r="B11" s="5" t="str">
        <f>_xlfn.CONCAT(A11,"OVR")</f>
        <v>101089134600OVR</v>
      </c>
      <c r="C11" t="s">
        <v>120</v>
      </c>
      <c r="D11" t="s">
        <v>114</v>
      </c>
      <c r="E11" s="11">
        <v>20411454</v>
      </c>
      <c r="F11" t="s">
        <v>317</v>
      </c>
      <c r="G11" t="s">
        <v>49</v>
      </c>
      <c r="H11" t="s">
        <v>117</v>
      </c>
      <c r="I11" s="1">
        <v>46113</v>
      </c>
      <c r="J11" s="2">
        <v>18.75</v>
      </c>
      <c r="K11">
        <v>1</v>
      </c>
      <c r="L11" s="2">
        <v>18.75</v>
      </c>
      <c r="M11" t="s">
        <v>118</v>
      </c>
      <c r="N11" t="s">
        <v>305</v>
      </c>
    </row>
    <row r="12" spans="1:39" x14ac:dyDescent="0.3">
      <c r="A12" s="5">
        <v>102274517600</v>
      </c>
      <c r="B12" s="5" t="str">
        <f>_xlfn.CONCAT(A12,"OVR")</f>
        <v>102274517600OVR</v>
      </c>
      <c r="C12" t="s">
        <v>155</v>
      </c>
      <c r="D12" t="s">
        <v>63</v>
      </c>
      <c r="E12" s="11">
        <v>20411454</v>
      </c>
      <c r="F12" t="s">
        <v>317</v>
      </c>
      <c r="G12" t="s">
        <v>49</v>
      </c>
      <c r="H12" t="s">
        <v>117</v>
      </c>
      <c r="I12" s="1">
        <v>46113</v>
      </c>
      <c r="J12" s="2">
        <v>18.75</v>
      </c>
      <c r="K12">
        <v>1</v>
      </c>
      <c r="L12" s="2">
        <v>18.75</v>
      </c>
      <c r="M12" t="s">
        <v>118</v>
      </c>
      <c r="N12" t="s">
        <v>305</v>
      </c>
    </row>
    <row r="13" spans="1:39" x14ac:dyDescent="0.3">
      <c r="A13" s="5">
        <v>102253578300</v>
      </c>
      <c r="B13" s="5" t="str">
        <f>_xlfn.CONCAT(A13,"OVR")</f>
        <v>102253578300OVR</v>
      </c>
      <c r="C13" t="s">
        <v>258</v>
      </c>
      <c r="D13" t="s">
        <v>114</v>
      </c>
      <c r="E13" s="11">
        <v>20411454</v>
      </c>
      <c r="F13" t="s">
        <v>317</v>
      </c>
      <c r="G13" t="s">
        <v>224</v>
      </c>
      <c r="H13" t="s">
        <v>212</v>
      </c>
      <c r="I13" s="1">
        <v>46023</v>
      </c>
      <c r="J13" s="11"/>
      <c r="L13" s="4">
        <v>-25</v>
      </c>
      <c r="N13" t="s">
        <v>305</v>
      </c>
    </row>
    <row r="14" spans="1:39" x14ac:dyDescent="0.3">
      <c r="A14" s="5">
        <v>102274571700</v>
      </c>
      <c r="B14" s="5" t="str">
        <f>_xlfn.CONCAT(A14,"OVR")</f>
        <v>102274571700OVR</v>
      </c>
      <c r="C14" s="11" t="s">
        <v>159</v>
      </c>
      <c r="D14" s="11" t="s">
        <v>137</v>
      </c>
      <c r="E14" s="11">
        <v>20411454</v>
      </c>
      <c r="F14" s="11" t="s">
        <v>317</v>
      </c>
      <c r="G14" s="11" t="s">
        <v>49</v>
      </c>
      <c r="H14" s="11" t="s">
        <v>117</v>
      </c>
      <c r="I14" s="1">
        <v>46143</v>
      </c>
      <c r="J14" s="2">
        <v>16.670000000000002</v>
      </c>
      <c r="K14" s="11">
        <v>1</v>
      </c>
      <c r="L14" s="2">
        <v>16.670000000000002</v>
      </c>
      <c r="M14" s="11" t="s">
        <v>162</v>
      </c>
      <c r="N14" s="11" t="s">
        <v>305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x14ac:dyDescent="0.3">
      <c r="A15" s="5">
        <v>101248501600</v>
      </c>
      <c r="B15" s="5" t="str">
        <f>_xlfn.CONCAT(A15,"OVR")</f>
        <v>101248501600OVR</v>
      </c>
      <c r="C15" t="s">
        <v>122</v>
      </c>
      <c r="D15" t="s">
        <v>63</v>
      </c>
      <c r="E15" s="11">
        <v>20411454</v>
      </c>
      <c r="F15" t="s">
        <v>317</v>
      </c>
      <c r="G15" t="s">
        <v>49</v>
      </c>
      <c r="H15" t="s">
        <v>117</v>
      </c>
      <c r="I15" s="1">
        <v>46113</v>
      </c>
      <c r="J15" s="2">
        <v>18.75</v>
      </c>
      <c r="K15">
        <v>1</v>
      </c>
      <c r="L15" s="2">
        <v>18.75</v>
      </c>
      <c r="M15" t="s">
        <v>118</v>
      </c>
      <c r="N15" t="s">
        <v>305</v>
      </c>
    </row>
    <row r="16" spans="1:39" x14ac:dyDescent="0.3">
      <c r="A16" s="5">
        <v>102089353400</v>
      </c>
      <c r="B16" s="5" t="str">
        <f>_xlfn.CONCAT(A16,"OVR")</f>
        <v>102089353400OVR</v>
      </c>
      <c r="C16" t="s">
        <v>247</v>
      </c>
      <c r="D16" t="s">
        <v>46</v>
      </c>
      <c r="E16" s="11">
        <v>20411454</v>
      </c>
      <c r="F16" t="s">
        <v>317</v>
      </c>
      <c r="G16" t="s">
        <v>224</v>
      </c>
      <c r="H16" t="s">
        <v>250</v>
      </c>
      <c r="I16" s="1">
        <v>46023</v>
      </c>
      <c r="J16" s="11"/>
      <c r="L16" s="4">
        <v>-15</v>
      </c>
      <c r="N16" t="s">
        <v>305</v>
      </c>
    </row>
    <row r="17" spans="1:39" x14ac:dyDescent="0.3">
      <c r="A17" s="5">
        <v>102228592300</v>
      </c>
      <c r="B17" s="5" t="str">
        <f>_xlfn.CONCAT(A17,"OVR")</f>
        <v>102228592300OVR</v>
      </c>
      <c r="C17" t="s">
        <v>254</v>
      </c>
      <c r="D17" t="s">
        <v>165</v>
      </c>
      <c r="E17" s="11">
        <v>20411454</v>
      </c>
      <c r="F17" t="s">
        <v>317</v>
      </c>
      <c r="G17" t="s">
        <v>224</v>
      </c>
      <c r="H17" t="s">
        <v>250</v>
      </c>
      <c r="I17" s="1">
        <v>46023</v>
      </c>
      <c r="J17" s="11"/>
      <c r="L17" s="4">
        <v>-15</v>
      </c>
      <c r="N17" t="s">
        <v>305</v>
      </c>
    </row>
    <row r="18" spans="1:39" x14ac:dyDescent="0.3">
      <c r="A18" s="5">
        <v>102273775200</v>
      </c>
      <c r="B18" s="5" t="str">
        <f>_xlfn.CONCAT(A18,"OVR")</f>
        <v>102273775200OVR</v>
      </c>
      <c r="C18" t="s">
        <v>141</v>
      </c>
      <c r="D18" t="s">
        <v>101</v>
      </c>
      <c r="E18" s="11">
        <v>20411454</v>
      </c>
      <c r="F18" t="s">
        <v>317</v>
      </c>
      <c r="G18" t="s">
        <v>49</v>
      </c>
      <c r="H18" t="s">
        <v>117</v>
      </c>
      <c r="I18" s="1">
        <v>46113</v>
      </c>
      <c r="J18" s="2">
        <v>18.75</v>
      </c>
      <c r="K18">
        <v>1</v>
      </c>
      <c r="L18" s="2">
        <v>18.75</v>
      </c>
      <c r="M18" t="s">
        <v>118</v>
      </c>
      <c r="N18" t="s">
        <v>305</v>
      </c>
    </row>
    <row r="19" spans="1:39" x14ac:dyDescent="0.3">
      <c r="A19" s="5">
        <v>102224738500</v>
      </c>
      <c r="B19" s="5" t="str">
        <f>_xlfn.CONCAT(A19,"OVR")</f>
        <v>102224738500OVR</v>
      </c>
      <c r="C19" t="s">
        <v>136</v>
      </c>
      <c r="D19" t="s">
        <v>137</v>
      </c>
      <c r="E19" s="11">
        <v>20411454</v>
      </c>
      <c r="F19" t="s">
        <v>317</v>
      </c>
      <c r="G19" t="s">
        <v>49</v>
      </c>
      <c r="H19" t="s">
        <v>117</v>
      </c>
      <c r="I19" s="1">
        <v>46113</v>
      </c>
      <c r="J19" s="2">
        <v>18.75</v>
      </c>
      <c r="K19">
        <v>1</v>
      </c>
      <c r="L19" s="2">
        <v>18.75</v>
      </c>
      <c r="M19" t="s">
        <v>118</v>
      </c>
      <c r="N19" t="s">
        <v>305</v>
      </c>
    </row>
    <row r="20" spans="1:39" x14ac:dyDescent="0.3">
      <c r="A20" s="5" t="s">
        <v>301</v>
      </c>
      <c r="B20" s="5" t="str">
        <f>_xlfn.CONCAT(A20,"OVR")</f>
        <v>MEQNDVYM00000170984OVR</v>
      </c>
      <c r="C20" s="11" t="s">
        <v>270</v>
      </c>
      <c r="D20" s="11" t="s">
        <v>63</v>
      </c>
      <c r="E20" s="11">
        <v>20411454</v>
      </c>
      <c r="F20" s="11" t="s">
        <v>317</v>
      </c>
      <c r="G20" s="11" t="s">
        <v>224</v>
      </c>
      <c r="H20" s="11" t="s">
        <v>212</v>
      </c>
      <c r="I20" s="1">
        <v>46023</v>
      </c>
      <c r="J20" s="11"/>
      <c r="K20" s="11"/>
      <c r="L20" s="4">
        <v>-25</v>
      </c>
      <c r="M20" s="11"/>
      <c r="N20" s="11" t="s">
        <v>305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x14ac:dyDescent="0.3">
      <c r="A21" s="5">
        <v>101499164100</v>
      </c>
      <c r="B21" s="5" t="str">
        <f>_xlfn.CONCAT(A21,"OVR")</f>
        <v>101499164100OVR</v>
      </c>
      <c r="C21" t="s">
        <v>128</v>
      </c>
      <c r="D21" t="s">
        <v>63</v>
      </c>
      <c r="E21" s="11">
        <v>20411454</v>
      </c>
      <c r="F21" t="s">
        <v>317</v>
      </c>
      <c r="G21" t="s">
        <v>49</v>
      </c>
      <c r="H21" t="s">
        <v>117</v>
      </c>
      <c r="I21" s="1">
        <v>46113</v>
      </c>
      <c r="J21" s="2">
        <v>18.75</v>
      </c>
      <c r="K21">
        <v>1</v>
      </c>
      <c r="L21" s="2">
        <v>18.75</v>
      </c>
      <c r="M21" t="s">
        <v>118</v>
      </c>
      <c r="N21" t="s">
        <v>305</v>
      </c>
    </row>
    <row r="22" spans="1:39" x14ac:dyDescent="0.3">
      <c r="A22" s="5">
        <v>102259399800</v>
      </c>
      <c r="B22" s="5" t="str">
        <f>_xlfn.CONCAT(A22,"OVR")</f>
        <v>102259399800OVR</v>
      </c>
      <c r="C22" t="s">
        <v>262</v>
      </c>
      <c r="D22" t="s">
        <v>114</v>
      </c>
      <c r="E22" s="11">
        <v>20411454</v>
      </c>
      <c r="F22" t="s">
        <v>317</v>
      </c>
      <c r="G22" t="s">
        <v>224</v>
      </c>
      <c r="H22" t="s">
        <v>212</v>
      </c>
      <c r="I22" s="1">
        <v>46054</v>
      </c>
      <c r="J22" s="11"/>
      <c r="L22" s="4">
        <v>-25</v>
      </c>
      <c r="N22" t="s">
        <v>305</v>
      </c>
    </row>
    <row r="23" spans="1:39" x14ac:dyDescent="0.3">
      <c r="A23" s="5">
        <v>102274506200</v>
      </c>
      <c r="B23" s="5" t="str">
        <f>_xlfn.CONCAT(A23,"OVR")</f>
        <v>102274506200OVR</v>
      </c>
      <c r="C23" t="s">
        <v>153</v>
      </c>
      <c r="D23" t="s">
        <v>101</v>
      </c>
      <c r="E23" s="11">
        <v>20411454</v>
      </c>
      <c r="F23" t="s">
        <v>317</v>
      </c>
      <c r="G23" t="s">
        <v>49</v>
      </c>
      <c r="H23" t="s">
        <v>117</v>
      </c>
      <c r="I23" s="1">
        <v>46113</v>
      </c>
      <c r="J23" s="2">
        <v>18.75</v>
      </c>
      <c r="K23">
        <v>1</v>
      </c>
      <c r="L23" s="2">
        <v>18.75</v>
      </c>
      <c r="M23" t="s">
        <v>118</v>
      </c>
      <c r="N23" t="s">
        <v>305</v>
      </c>
    </row>
    <row r="24" spans="1:39" x14ac:dyDescent="0.3">
      <c r="A24" s="5" t="s">
        <v>293</v>
      </c>
      <c r="B24" s="5" t="str">
        <f>_xlfn.CONCAT(A24,"OVR")</f>
        <v>MEQNDVYM00000136512OVR</v>
      </c>
      <c r="C24" t="s">
        <v>209</v>
      </c>
      <c r="D24" t="s">
        <v>63</v>
      </c>
      <c r="E24" s="11">
        <v>20411454</v>
      </c>
      <c r="F24" t="s">
        <v>317</v>
      </c>
      <c r="G24" t="s">
        <v>49</v>
      </c>
      <c r="H24" t="s">
        <v>212</v>
      </c>
      <c r="I24" s="1">
        <v>46023</v>
      </c>
      <c r="J24" s="2">
        <v>25</v>
      </c>
      <c r="K24">
        <v>1</v>
      </c>
      <c r="L24" s="2">
        <v>25</v>
      </c>
      <c r="N24" t="s">
        <v>305</v>
      </c>
    </row>
    <row r="25" spans="1:39" x14ac:dyDescent="0.3">
      <c r="A25" s="5">
        <v>102165563500</v>
      </c>
      <c r="B25" s="5" t="str">
        <f>_xlfn.CONCAT(A25,"OVR")</f>
        <v>102165563500OVR</v>
      </c>
      <c r="C25" t="s">
        <v>132</v>
      </c>
      <c r="E25" s="11">
        <v>20411454</v>
      </c>
      <c r="F25" t="s">
        <v>317</v>
      </c>
      <c r="G25" t="s">
        <v>49</v>
      </c>
      <c r="H25" t="s">
        <v>117</v>
      </c>
      <c r="I25" s="1">
        <v>46113</v>
      </c>
      <c r="J25" s="2">
        <v>18.75</v>
      </c>
      <c r="K25">
        <v>1</v>
      </c>
      <c r="L25" s="2">
        <v>18.75</v>
      </c>
      <c r="M25" t="s">
        <v>118</v>
      </c>
      <c r="N25" t="s">
        <v>305</v>
      </c>
    </row>
    <row r="26" spans="1:39" x14ac:dyDescent="0.3">
      <c r="A26" s="5">
        <v>102274341000</v>
      </c>
      <c r="B26" s="5" t="str">
        <f>_xlfn.CONCAT(A26,"OVR")</f>
        <v>102274341000OVR</v>
      </c>
      <c r="C26" t="s">
        <v>149</v>
      </c>
      <c r="D26" t="s">
        <v>114</v>
      </c>
      <c r="E26" s="11">
        <v>20411454</v>
      </c>
      <c r="F26" t="s">
        <v>317</v>
      </c>
      <c r="G26" t="s">
        <v>49</v>
      </c>
      <c r="H26" t="s">
        <v>117</v>
      </c>
      <c r="I26" s="1">
        <v>46113</v>
      </c>
      <c r="J26" s="2">
        <v>18.75</v>
      </c>
      <c r="K26">
        <v>1</v>
      </c>
      <c r="L26" s="2">
        <v>18.75</v>
      </c>
      <c r="M26" t="s">
        <v>118</v>
      </c>
      <c r="N26" t="s">
        <v>305</v>
      </c>
    </row>
    <row r="27" spans="1:39" x14ac:dyDescent="0.3">
      <c r="A27" s="5">
        <v>101088108800</v>
      </c>
      <c r="B27" s="5" t="str">
        <f>_xlfn.CONCAT(A27,"OVR")</f>
        <v>101088108800OVR</v>
      </c>
      <c r="C27" t="s">
        <v>245</v>
      </c>
      <c r="D27" t="s">
        <v>114</v>
      </c>
      <c r="E27" s="11">
        <v>20411454</v>
      </c>
      <c r="F27" t="s">
        <v>317</v>
      </c>
      <c r="G27" t="s">
        <v>224</v>
      </c>
      <c r="H27" t="s">
        <v>117</v>
      </c>
      <c r="I27" s="1">
        <v>46113</v>
      </c>
      <c r="L27" s="4">
        <v>-18.75</v>
      </c>
      <c r="N27" t="s">
        <v>305</v>
      </c>
    </row>
    <row r="28" spans="1:39" x14ac:dyDescent="0.3">
      <c r="A28" s="5" t="s">
        <v>271</v>
      </c>
      <c r="B28" s="5" t="str">
        <f>_xlfn.CONCAT(A28,"OVR")</f>
        <v>00000837772KOVR</v>
      </c>
      <c r="C28" t="s">
        <v>45</v>
      </c>
      <c r="D28" t="s">
        <v>46</v>
      </c>
      <c r="E28" s="11">
        <v>20411454</v>
      </c>
      <c r="F28" t="s">
        <v>317</v>
      </c>
      <c r="G28" t="s">
        <v>49</v>
      </c>
      <c r="H28" t="s">
        <v>50</v>
      </c>
      <c r="I28" s="1">
        <v>46143</v>
      </c>
      <c r="J28" s="2">
        <v>108</v>
      </c>
      <c r="K28">
        <v>1</v>
      </c>
      <c r="L28" s="2">
        <v>108</v>
      </c>
      <c r="N28" t="s">
        <v>306</v>
      </c>
    </row>
    <row r="29" spans="1:39" x14ac:dyDescent="0.3">
      <c r="A29" s="5" t="s">
        <v>287</v>
      </c>
      <c r="B29" s="5" t="str">
        <f>_xlfn.CONCAT(A29,"OVR")</f>
        <v>00026385512KOVR</v>
      </c>
      <c r="C29" t="s">
        <v>109</v>
      </c>
      <c r="D29" t="s">
        <v>46</v>
      </c>
      <c r="E29" s="11">
        <v>20411454</v>
      </c>
      <c r="F29" t="s">
        <v>317</v>
      </c>
      <c r="G29" t="s">
        <v>49</v>
      </c>
      <c r="H29" t="s">
        <v>60</v>
      </c>
      <c r="I29" s="1">
        <v>46143</v>
      </c>
      <c r="J29" s="2">
        <v>175</v>
      </c>
      <c r="K29">
        <v>1</v>
      </c>
      <c r="L29" s="2">
        <v>175</v>
      </c>
      <c r="N29" t="s">
        <v>306</v>
      </c>
    </row>
    <row r="30" spans="1:39" x14ac:dyDescent="0.3">
      <c r="A30" s="5" t="s">
        <v>299</v>
      </c>
      <c r="B30" s="5" t="str">
        <f>_xlfn.CONCAT(A30,"OVR")</f>
        <v>00026174068KOVR</v>
      </c>
      <c r="C30" t="s">
        <v>241</v>
      </c>
      <c r="D30" t="s">
        <v>137</v>
      </c>
      <c r="E30" s="11">
        <v>20411454</v>
      </c>
      <c r="F30" t="s">
        <v>317</v>
      </c>
      <c r="G30" t="s">
        <v>224</v>
      </c>
      <c r="H30" t="s">
        <v>60</v>
      </c>
      <c r="I30" s="1">
        <v>46143</v>
      </c>
      <c r="J30" s="11"/>
      <c r="L30" s="4">
        <v>-175</v>
      </c>
      <c r="N30" t="s">
        <v>306</v>
      </c>
    </row>
    <row r="31" spans="1:39" x14ac:dyDescent="0.3">
      <c r="A31" s="5" t="s">
        <v>276</v>
      </c>
      <c r="B31" s="5" t="str">
        <f>_xlfn.CONCAT(A31,"OVR")</f>
        <v>00026347853KOVR</v>
      </c>
      <c r="C31" t="s">
        <v>69</v>
      </c>
      <c r="D31" t="s">
        <v>63</v>
      </c>
      <c r="E31" s="11">
        <v>20411454</v>
      </c>
      <c r="F31" t="s">
        <v>317</v>
      </c>
      <c r="G31" t="s">
        <v>49</v>
      </c>
      <c r="H31" t="s">
        <v>60</v>
      </c>
      <c r="I31" s="1">
        <v>46143</v>
      </c>
      <c r="J31" s="2">
        <v>175</v>
      </c>
      <c r="K31">
        <v>1</v>
      </c>
      <c r="L31" s="2">
        <v>175</v>
      </c>
      <c r="N31" t="s">
        <v>306</v>
      </c>
    </row>
    <row r="32" spans="1:39" x14ac:dyDescent="0.3">
      <c r="A32" s="5" t="s">
        <v>300</v>
      </c>
      <c r="B32" s="5" t="str">
        <f>_xlfn.CONCAT(A32,"OVR")</f>
        <v>00026338095KOVR</v>
      </c>
      <c r="C32" t="s">
        <v>243</v>
      </c>
      <c r="D32" t="s">
        <v>63</v>
      </c>
      <c r="E32" s="11">
        <v>20411454</v>
      </c>
      <c r="F32" t="s">
        <v>317</v>
      </c>
      <c r="G32" t="s">
        <v>224</v>
      </c>
      <c r="H32" t="s">
        <v>60</v>
      </c>
      <c r="I32" s="1">
        <v>46113</v>
      </c>
      <c r="J32" s="11"/>
      <c r="L32" s="4">
        <v>-175</v>
      </c>
      <c r="N32" t="s">
        <v>306</v>
      </c>
    </row>
    <row r="33" spans="1:39" x14ac:dyDescent="0.3">
      <c r="A33" s="5" t="s">
        <v>279</v>
      </c>
      <c r="B33" s="5" t="str">
        <f>_xlfn.CONCAT(A33,"OVR")</f>
        <v>00026374500KOVR</v>
      </c>
      <c r="C33" t="s">
        <v>81</v>
      </c>
      <c r="D33" t="s">
        <v>63</v>
      </c>
      <c r="E33" s="11">
        <v>20411454</v>
      </c>
      <c r="F33" t="s">
        <v>317</v>
      </c>
      <c r="G33" t="s">
        <v>49</v>
      </c>
      <c r="H33" t="s">
        <v>60</v>
      </c>
      <c r="I33" s="1">
        <v>46174</v>
      </c>
      <c r="J33" s="2">
        <v>175</v>
      </c>
      <c r="K33">
        <v>1</v>
      </c>
      <c r="L33" s="2">
        <v>175</v>
      </c>
      <c r="N33" t="s">
        <v>306</v>
      </c>
    </row>
    <row r="34" spans="1:39" x14ac:dyDescent="0.3">
      <c r="A34" s="5" t="s">
        <v>278</v>
      </c>
      <c r="B34" s="5" t="str">
        <f>_xlfn.CONCAT(A34,"OVR")</f>
        <v>00026373801KOVR</v>
      </c>
      <c r="C34" s="11" t="s">
        <v>77</v>
      </c>
      <c r="D34" s="11" t="s">
        <v>63</v>
      </c>
      <c r="E34" s="11">
        <v>20411454</v>
      </c>
      <c r="F34" s="11" t="s">
        <v>317</v>
      </c>
      <c r="G34" s="11" t="s">
        <v>49</v>
      </c>
      <c r="H34" s="11" t="s">
        <v>60</v>
      </c>
      <c r="I34" s="1">
        <v>46204</v>
      </c>
      <c r="J34" s="2">
        <v>175</v>
      </c>
      <c r="K34" s="11">
        <v>1</v>
      </c>
      <c r="L34" s="2">
        <v>175</v>
      </c>
      <c r="M34" s="11"/>
      <c r="N34" s="11" t="s">
        <v>306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 spans="1:39" x14ac:dyDescent="0.3">
      <c r="A35" s="5" t="s">
        <v>280</v>
      </c>
      <c r="B35" s="5" t="str">
        <f>_xlfn.CONCAT(A35,"OVR")</f>
        <v>00026376600KOVR</v>
      </c>
      <c r="C35" t="s">
        <v>85</v>
      </c>
      <c r="D35" t="s">
        <v>63</v>
      </c>
      <c r="E35" s="11">
        <v>20411454</v>
      </c>
      <c r="F35" t="s">
        <v>317</v>
      </c>
      <c r="G35" t="s">
        <v>49</v>
      </c>
      <c r="H35" t="s">
        <v>60</v>
      </c>
      <c r="I35" s="1">
        <v>46204</v>
      </c>
      <c r="J35" s="2">
        <v>175</v>
      </c>
      <c r="K35">
        <v>1</v>
      </c>
      <c r="L35" s="2">
        <v>175</v>
      </c>
      <c r="N35" t="s">
        <v>306</v>
      </c>
    </row>
    <row r="36" spans="1:39" x14ac:dyDescent="0.3">
      <c r="A36" s="5" t="s">
        <v>282</v>
      </c>
      <c r="B36" s="5" t="str">
        <f>_xlfn.CONCAT(A36,"OVR")</f>
        <v>00026378922KOVR</v>
      </c>
      <c r="C36" t="s">
        <v>94</v>
      </c>
      <c r="D36" t="s">
        <v>90</v>
      </c>
      <c r="E36" s="11">
        <v>20411454</v>
      </c>
      <c r="F36" t="s">
        <v>317</v>
      </c>
      <c r="G36" t="s">
        <v>49</v>
      </c>
      <c r="H36" t="s">
        <v>60</v>
      </c>
      <c r="I36" s="1">
        <v>46143</v>
      </c>
      <c r="J36" s="2">
        <v>175</v>
      </c>
      <c r="K36">
        <v>1</v>
      </c>
      <c r="L36" s="2">
        <v>175</v>
      </c>
      <c r="N36" t="s">
        <v>306</v>
      </c>
    </row>
    <row r="37" spans="1:39" x14ac:dyDescent="0.3">
      <c r="A37" s="5" t="s">
        <v>286</v>
      </c>
      <c r="B37" s="5" t="str">
        <f>_xlfn.CONCAT(A37,"OVR")</f>
        <v>00026385413KOVR</v>
      </c>
      <c r="C37" t="s">
        <v>107</v>
      </c>
      <c r="D37" t="s">
        <v>63</v>
      </c>
      <c r="E37" s="11">
        <v>20411454</v>
      </c>
      <c r="F37" t="s">
        <v>317</v>
      </c>
      <c r="G37" t="s">
        <v>49</v>
      </c>
      <c r="H37" t="s">
        <v>60</v>
      </c>
      <c r="I37" s="1">
        <v>46143</v>
      </c>
      <c r="J37" s="2">
        <v>175</v>
      </c>
      <c r="K37">
        <v>1</v>
      </c>
      <c r="L37" s="2">
        <v>175</v>
      </c>
      <c r="N37" t="s">
        <v>306</v>
      </c>
    </row>
    <row r="38" spans="1:39" x14ac:dyDescent="0.3">
      <c r="A38" s="5" t="s">
        <v>272</v>
      </c>
      <c r="B38" s="5" t="str">
        <f>_xlfn.CONCAT(A38,"OVR")</f>
        <v>00000837867KOVR</v>
      </c>
      <c r="C38" t="s">
        <v>54</v>
      </c>
      <c r="D38" t="s">
        <v>46</v>
      </c>
      <c r="E38" s="11">
        <v>20411454</v>
      </c>
      <c r="F38" t="s">
        <v>317</v>
      </c>
      <c r="G38" t="s">
        <v>49</v>
      </c>
      <c r="H38" t="s">
        <v>50</v>
      </c>
      <c r="I38" s="1">
        <v>46143</v>
      </c>
      <c r="J38" s="2">
        <v>108</v>
      </c>
      <c r="K38">
        <v>1</v>
      </c>
      <c r="L38" s="2">
        <v>108</v>
      </c>
      <c r="N38" t="s">
        <v>306</v>
      </c>
    </row>
    <row r="39" spans="1:39" x14ac:dyDescent="0.3">
      <c r="A39" s="5" t="s">
        <v>283</v>
      </c>
      <c r="B39" s="5" t="str">
        <f>_xlfn.CONCAT(A39,"OVR")</f>
        <v>00026380958KOVR</v>
      </c>
      <c r="C39" t="s">
        <v>98</v>
      </c>
      <c r="D39" t="s">
        <v>63</v>
      </c>
      <c r="E39" s="11">
        <v>20411454</v>
      </c>
      <c r="F39" t="s">
        <v>317</v>
      </c>
      <c r="G39" t="s">
        <v>49</v>
      </c>
      <c r="H39" t="s">
        <v>60</v>
      </c>
      <c r="I39" s="1">
        <v>46204</v>
      </c>
      <c r="J39" s="2">
        <v>175</v>
      </c>
      <c r="K39">
        <v>1</v>
      </c>
      <c r="L39" s="2">
        <v>175</v>
      </c>
      <c r="N39" t="s">
        <v>306</v>
      </c>
    </row>
    <row r="40" spans="1:39" x14ac:dyDescent="0.3">
      <c r="A40" s="5" t="s">
        <v>273</v>
      </c>
      <c r="B40" s="5" t="str">
        <f>_xlfn.CONCAT(A40,"OVR")</f>
        <v>00019156519KOVR</v>
      </c>
      <c r="C40" t="s">
        <v>56</v>
      </c>
      <c r="D40" t="s">
        <v>57</v>
      </c>
      <c r="E40" s="11">
        <v>20411454</v>
      </c>
      <c r="F40" t="s">
        <v>317</v>
      </c>
      <c r="G40" t="s">
        <v>49</v>
      </c>
      <c r="H40" t="s">
        <v>60</v>
      </c>
      <c r="I40" s="1">
        <v>46143</v>
      </c>
      <c r="J40" s="2">
        <v>175</v>
      </c>
      <c r="K40">
        <v>1</v>
      </c>
      <c r="L40" s="2">
        <v>175</v>
      </c>
      <c r="N40" t="s">
        <v>306</v>
      </c>
    </row>
    <row r="41" spans="1:39" x14ac:dyDescent="0.3">
      <c r="A41" s="5" t="s">
        <v>277</v>
      </c>
      <c r="B41" s="5" t="str">
        <f>_xlfn.CONCAT(A41,"OVR")</f>
        <v>00026358932KOVR</v>
      </c>
      <c r="C41" t="s">
        <v>73</v>
      </c>
      <c r="D41" t="s">
        <v>63</v>
      </c>
      <c r="E41" s="11">
        <v>20411454</v>
      </c>
      <c r="F41" t="s">
        <v>317</v>
      </c>
      <c r="G41" t="s">
        <v>49</v>
      </c>
      <c r="H41" t="s">
        <v>60</v>
      </c>
      <c r="I41" s="1">
        <v>46143</v>
      </c>
      <c r="J41" s="2">
        <v>175</v>
      </c>
      <c r="K41">
        <v>1</v>
      </c>
      <c r="L41" s="2">
        <v>175</v>
      </c>
      <c r="N41" t="s">
        <v>306</v>
      </c>
    </row>
    <row r="42" spans="1:39" x14ac:dyDescent="0.3">
      <c r="A42" s="5" t="s">
        <v>298</v>
      </c>
      <c r="B42" s="5" t="str">
        <f>_xlfn.CONCAT(A42,"OVR")</f>
        <v>00024459001KOVR</v>
      </c>
      <c r="C42" t="s">
        <v>236</v>
      </c>
      <c r="D42" t="s">
        <v>63</v>
      </c>
      <c r="E42" s="11">
        <v>20411454</v>
      </c>
      <c r="F42" t="s">
        <v>317</v>
      </c>
      <c r="G42" t="s">
        <v>224</v>
      </c>
      <c r="H42" t="s">
        <v>60</v>
      </c>
      <c r="I42" s="1">
        <v>46023</v>
      </c>
      <c r="J42" s="11"/>
      <c r="L42" s="4">
        <v>-175</v>
      </c>
      <c r="N42" t="s">
        <v>306</v>
      </c>
    </row>
    <row r="43" spans="1:39" x14ac:dyDescent="0.3">
      <c r="A43" s="5" t="s">
        <v>275</v>
      </c>
      <c r="B43" s="5" t="str">
        <f>_xlfn.CONCAT(A43,"OVR")</f>
        <v>00026182740KOVR</v>
      </c>
      <c r="C43" t="s">
        <v>67</v>
      </c>
      <c r="D43" t="s">
        <v>46</v>
      </c>
      <c r="E43" s="11">
        <v>20411454</v>
      </c>
      <c r="F43" t="s">
        <v>317</v>
      </c>
      <c r="G43" t="s">
        <v>49</v>
      </c>
      <c r="H43" t="s">
        <v>60</v>
      </c>
      <c r="I43" s="1">
        <v>46143</v>
      </c>
      <c r="J43" s="2">
        <v>175</v>
      </c>
      <c r="K43">
        <v>1</v>
      </c>
      <c r="L43" s="2">
        <v>175</v>
      </c>
      <c r="N43" t="s">
        <v>306</v>
      </c>
    </row>
    <row r="44" spans="1:39" x14ac:dyDescent="0.3">
      <c r="A44" s="5" t="s">
        <v>285</v>
      </c>
      <c r="B44" s="5" t="str">
        <f>_xlfn.CONCAT(A44,"OVR")</f>
        <v>00026384411KOVR</v>
      </c>
      <c r="C44" t="s">
        <v>103</v>
      </c>
      <c r="D44" t="s">
        <v>63</v>
      </c>
      <c r="E44" s="11">
        <v>20411454</v>
      </c>
      <c r="F44" t="s">
        <v>317</v>
      </c>
      <c r="G44" t="s">
        <v>49</v>
      </c>
      <c r="H44" t="s">
        <v>60</v>
      </c>
      <c r="I44" s="1">
        <v>46143</v>
      </c>
      <c r="J44" s="2">
        <v>175</v>
      </c>
      <c r="K44">
        <v>1</v>
      </c>
      <c r="L44" s="2">
        <v>175</v>
      </c>
      <c r="N44" t="s">
        <v>306</v>
      </c>
    </row>
    <row r="45" spans="1:39" x14ac:dyDescent="0.3">
      <c r="A45" s="5" t="s">
        <v>302</v>
      </c>
      <c r="B45" s="5" t="str">
        <f>_xlfn.CONCAT(A45,"OVR")</f>
        <v>00023407746KOVR</v>
      </c>
      <c r="C45" s="11" t="s">
        <v>226</v>
      </c>
      <c r="D45" s="11" t="s">
        <v>46</v>
      </c>
      <c r="E45" s="11">
        <v>20411454</v>
      </c>
      <c r="F45" s="11" t="s">
        <v>317</v>
      </c>
      <c r="G45" s="11" t="s">
        <v>224</v>
      </c>
      <c r="H45" s="11" t="s">
        <v>50</v>
      </c>
      <c r="I45" s="1">
        <v>46054</v>
      </c>
      <c r="J45" s="11"/>
      <c r="K45" s="11"/>
      <c r="L45" s="4">
        <v>-81</v>
      </c>
      <c r="M45" s="11"/>
      <c r="N45" s="11" t="s">
        <v>306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r="46" spans="1:39" x14ac:dyDescent="0.3">
      <c r="A46" s="5" t="s">
        <v>284</v>
      </c>
      <c r="B46" s="5" t="str">
        <f>_xlfn.CONCAT(A46,"OVR")</f>
        <v>00026382042KOVR</v>
      </c>
      <c r="C46" t="s">
        <v>100</v>
      </c>
      <c r="D46" t="s">
        <v>101</v>
      </c>
      <c r="E46" s="11">
        <v>20411454</v>
      </c>
      <c r="F46" t="s">
        <v>317</v>
      </c>
      <c r="G46" t="s">
        <v>49</v>
      </c>
      <c r="H46" t="s">
        <v>60</v>
      </c>
      <c r="I46" s="1">
        <v>46143</v>
      </c>
      <c r="J46" s="2">
        <v>175</v>
      </c>
      <c r="K46">
        <v>1</v>
      </c>
      <c r="L46" s="2">
        <v>175</v>
      </c>
      <c r="N46" t="s">
        <v>306</v>
      </c>
    </row>
    <row r="47" spans="1:39" x14ac:dyDescent="0.3">
      <c r="A47" s="5" t="s">
        <v>297</v>
      </c>
      <c r="B47" s="5" t="str">
        <f>_xlfn.CONCAT(A47,"OVR")</f>
        <v>00000289066DOVR</v>
      </c>
      <c r="C47" s="11" t="s">
        <v>223</v>
      </c>
      <c r="D47" s="11" t="s">
        <v>63</v>
      </c>
      <c r="E47" s="11">
        <v>20411454</v>
      </c>
      <c r="F47" s="11" t="s">
        <v>317</v>
      </c>
      <c r="G47" s="11" t="s">
        <v>224</v>
      </c>
      <c r="H47" s="11" t="s">
        <v>60</v>
      </c>
      <c r="I47" s="1">
        <v>46113</v>
      </c>
      <c r="J47" s="11"/>
      <c r="K47" s="11"/>
      <c r="L47" s="4">
        <v>-175</v>
      </c>
      <c r="M47" s="11"/>
      <c r="N47" s="11" t="s">
        <v>306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 spans="1:39" x14ac:dyDescent="0.3">
      <c r="A48" s="5" t="s">
        <v>274</v>
      </c>
      <c r="B48" s="5" t="str">
        <f>_xlfn.CONCAT(A48,"OVR")</f>
        <v>00025375531KOVR</v>
      </c>
      <c r="C48" t="s">
        <v>62</v>
      </c>
      <c r="D48" t="s">
        <v>63</v>
      </c>
      <c r="E48" s="11">
        <v>20411454</v>
      </c>
      <c r="F48" t="s">
        <v>317</v>
      </c>
      <c r="G48" t="s">
        <v>224</v>
      </c>
      <c r="H48" t="s">
        <v>60</v>
      </c>
      <c r="I48" s="1">
        <v>46023</v>
      </c>
      <c r="J48" s="11"/>
      <c r="L48" s="4">
        <v>-117.25</v>
      </c>
      <c r="N48" t="s">
        <v>306</v>
      </c>
    </row>
    <row r="49" spans="1:39" x14ac:dyDescent="0.3">
      <c r="A49" s="5" t="s">
        <v>274</v>
      </c>
      <c r="B49" s="5" t="str">
        <f>_xlfn.CONCAT(A49,"OVR")</f>
        <v>00025375531KOVR</v>
      </c>
      <c r="C49" t="s">
        <v>62</v>
      </c>
      <c r="D49" t="s">
        <v>63</v>
      </c>
      <c r="E49" s="11">
        <v>20411454</v>
      </c>
      <c r="F49" t="s">
        <v>317</v>
      </c>
      <c r="G49" t="s">
        <v>49</v>
      </c>
      <c r="H49" t="s">
        <v>50</v>
      </c>
      <c r="I49" s="1">
        <v>46143</v>
      </c>
      <c r="J49" s="2">
        <v>108</v>
      </c>
      <c r="K49">
        <v>1</v>
      </c>
      <c r="L49" s="2">
        <v>108</v>
      </c>
      <c r="N49" t="s">
        <v>306</v>
      </c>
    </row>
    <row r="50" spans="1:39" x14ac:dyDescent="0.3">
      <c r="A50" s="5" t="s">
        <v>303</v>
      </c>
      <c r="B50" s="5" t="str">
        <f>_xlfn.CONCAT(A50,"OVR")</f>
        <v>00023765948KOVR</v>
      </c>
      <c r="C50" t="s">
        <v>230</v>
      </c>
      <c r="D50" t="s">
        <v>46</v>
      </c>
      <c r="E50" s="11">
        <v>20411454</v>
      </c>
      <c r="F50" t="s">
        <v>317</v>
      </c>
      <c r="G50" t="s">
        <v>224</v>
      </c>
      <c r="H50" t="s">
        <v>50</v>
      </c>
      <c r="I50" s="1">
        <v>46023</v>
      </c>
      <c r="L50" s="4">
        <v>-99.36</v>
      </c>
      <c r="N50" t="s">
        <v>306</v>
      </c>
    </row>
    <row r="51" spans="1:39" x14ac:dyDescent="0.3">
      <c r="A51" s="5" t="s">
        <v>281</v>
      </c>
      <c r="B51" s="5" t="str">
        <f>_xlfn.CONCAT(A51,"OVR")</f>
        <v>00026378829KOVR</v>
      </c>
      <c r="C51" t="s">
        <v>89</v>
      </c>
      <c r="D51" t="s">
        <v>90</v>
      </c>
      <c r="E51" s="11">
        <v>20411454</v>
      </c>
      <c r="F51" t="s">
        <v>317</v>
      </c>
      <c r="G51" t="s">
        <v>49</v>
      </c>
      <c r="H51" t="s">
        <v>60</v>
      </c>
      <c r="I51" s="1">
        <v>46143</v>
      </c>
      <c r="J51" s="2">
        <v>175</v>
      </c>
      <c r="K51">
        <v>1</v>
      </c>
      <c r="L51" s="2">
        <v>175</v>
      </c>
      <c r="N51" t="s">
        <v>306</v>
      </c>
    </row>
    <row r="52" spans="1:39" s="7" customFormat="1" x14ac:dyDescent="0.3">
      <c r="A52" s="6" t="s">
        <v>304</v>
      </c>
      <c r="B52" s="6" t="s">
        <v>304</v>
      </c>
      <c r="C52" s="12" t="s">
        <v>232</v>
      </c>
      <c r="D52" s="12" t="s">
        <v>63</v>
      </c>
      <c r="E52" s="11" t="s">
        <v>318</v>
      </c>
      <c r="F52" s="12" t="s">
        <v>232</v>
      </c>
      <c r="G52" s="12" t="s">
        <v>224</v>
      </c>
      <c r="H52" s="12" t="s">
        <v>234</v>
      </c>
      <c r="I52" s="8">
        <v>46023</v>
      </c>
      <c r="J52" s="12"/>
      <c r="K52" s="12"/>
      <c r="L52" s="9">
        <v>-10.050000000000001</v>
      </c>
      <c r="M52" s="12"/>
      <c r="N52" s="12" t="s">
        <v>307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1:39" s="7" customFormat="1" x14ac:dyDescent="0.3">
      <c r="A53" s="6">
        <v>922342592</v>
      </c>
      <c r="B53" s="6" t="str">
        <f>_xlfn.CONCAT(A53,12)</f>
        <v>92234259212</v>
      </c>
      <c r="C53" s="12" t="s">
        <v>167</v>
      </c>
      <c r="D53" s="12" t="s">
        <v>90</v>
      </c>
      <c r="E53" s="11">
        <v>2158366</v>
      </c>
      <c r="F53" s="12" t="s">
        <v>92</v>
      </c>
      <c r="G53" s="12" t="s">
        <v>49</v>
      </c>
      <c r="H53" s="12" t="s">
        <v>168</v>
      </c>
      <c r="I53" s="8">
        <v>46113</v>
      </c>
      <c r="J53" s="10">
        <v>694</v>
      </c>
      <c r="K53" s="12">
        <v>1</v>
      </c>
      <c r="L53" s="10">
        <v>694</v>
      </c>
      <c r="M53" s="12"/>
      <c r="N53" s="12" t="s">
        <v>311</v>
      </c>
      <c r="O53" s="12" t="s">
        <v>315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1:39" s="7" customFormat="1" x14ac:dyDescent="0.3">
      <c r="A54" s="6">
        <v>924783415</v>
      </c>
      <c r="B54" s="6" t="str">
        <f>_xlfn.CONCAT(A54,12)</f>
        <v>92478341512</v>
      </c>
      <c r="C54" s="7" t="s">
        <v>172</v>
      </c>
      <c r="D54" s="7" t="s">
        <v>137</v>
      </c>
      <c r="E54" s="11">
        <v>19200754</v>
      </c>
      <c r="F54" s="7" t="s">
        <v>75</v>
      </c>
      <c r="G54" s="7" t="s">
        <v>49</v>
      </c>
      <c r="H54" s="7" t="s">
        <v>173</v>
      </c>
      <c r="I54" s="8">
        <v>46113</v>
      </c>
      <c r="J54" s="10">
        <v>520.5</v>
      </c>
      <c r="K54" s="7">
        <v>1</v>
      </c>
      <c r="L54" s="10">
        <v>520.5</v>
      </c>
      <c r="M54" s="7" t="s">
        <v>118</v>
      </c>
      <c r="N54" s="7" t="s">
        <v>311</v>
      </c>
      <c r="O54" s="7" t="s">
        <v>316</v>
      </c>
      <c r="R54" s="7">
        <f>694/12*9</f>
        <v>520.5</v>
      </c>
    </row>
    <row r="55" spans="1:39" s="7" customFormat="1" x14ac:dyDescent="0.3">
      <c r="A55" s="6" t="s">
        <v>292</v>
      </c>
      <c r="B55" s="6" t="str">
        <f>_xlfn.CONCAT(A55,1)</f>
        <v>A044637331</v>
      </c>
      <c r="C55" s="12" t="s">
        <v>206</v>
      </c>
      <c r="D55" s="12" t="s">
        <v>101</v>
      </c>
      <c r="E55" s="11">
        <v>16849453</v>
      </c>
      <c r="F55" s="12" t="s">
        <v>48</v>
      </c>
      <c r="G55" s="12" t="s">
        <v>49</v>
      </c>
      <c r="H55" s="12" t="s">
        <v>207</v>
      </c>
      <c r="I55" s="8">
        <v>46143</v>
      </c>
      <c r="J55" s="10">
        <v>31.02</v>
      </c>
      <c r="K55" s="12">
        <v>9</v>
      </c>
      <c r="L55" s="10">
        <v>279.18</v>
      </c>
      <c r="M55" s="12"/>
      <c r="N55" s="12" t="s">
        <v>207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pans="1:39" s="7" customFormat="1" x14ac:dyDescent="0.3">
      <c r="A56" s="6" t="s">
        <v>290</v>
      </c>
      <c r="B56" s="6" t="str">
        <f>_xlfn.CONCAT(A56,1)</f>
        <v>A044625331</v>
      </c>
      <c r="C56" s="12" t="s">
        <v>197</v>
      </c>
      <c r="D56" s="12" t="s">
        <v>63</v>
      </c>
      <c r="E56" s="11">
        <v>19645587</v>
      </c>
      <c r="F56" s="12" t="s">
        <v>199</v>
      </c>
      <c r="G56" s="12" t="s">
        <v>49</v>
      </c>
      <c r="H56" s="12" t="s">
        <v>200</v>
      </c>
      <c r="I56" s="8">
        <v>46143</v>
      </c>
      <c r="J56" s="10">
        <v>31.5</v>
      </c>
      <c r="K56" s="12">
        <v>9</v>
      </c>
      <c r="L56" s="10">
        <v>283.5</v>
      </c>
      <c r="M56" s="12"/>
      <c r="N56" s="12" t="s">
        <v>200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1:39" s="7" customFormat="1" x14ac:dyDescent="0.3">
      <c r="A57" s="6" t="s">
        <v>291</v>
      </c>
      <c r="B57" s="6" t="str">
        <f>_xlfn.CONCAT(A57,1)</f>
        <v>A044636771</v>
      </c>
      <c r="C57" s="12" t="s">
        <v>202</v>
      </c>
      <c r="D57" s="12" t="s">
        <v>114</v>
      </c>
      <c r="E57" s="11">
        <v>21618313</v>
      </c>
      <c r="F57" s="12" t="s">
        <v>204</v>
      </c>
      <c r="G57" s="12" t="s">
        <v>49</v>
      </c>
      <c r="H57" s="12" t="s">
        <v>190</v>
      </c>
      <c r="I57" s="8">
        <v>46174</v>
      </c>
      <c r="J57" s="10">
        <v>36</v>
      </c>
      <c r="K57" s="12">
        <v>9</v>
      </c>
      <c r="L57" s="10">
        <v>324</v>
      </c>
      <c r="M57" s="12"/>
      <c r="N57" s="12" t="s">
        <v>190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pans="1:39" x14ac:dyDescent="0.3">
      <c r="A58" s="6" t="s">
        <v>288</v>
      </c>
      <c r="B58" s="6" t="str">
        <f>_xlfn.CONCAT(A58,1)</f>
        <v>A044619761</v>
      </c>
      <c r="C58" s="12" t="s">
        <v>187</v>
      </c>
      <c r="D58" s="12" t="s">
        <v>114</v>
      </c>
      <c r="E58" s="11">
        <v>17425766</v>
      </c>
      <c r="F58" s="12" t="s">
        <v>189</v>
      </c>
      <c r="G58" s="12" t="s">
        <v>49</v>
      </c>
      <c r="H58" s="12" t="s">
        <v>190</v>
      </c>
      <c r="I58" s="8">
        <v>46174</v>
      </c>
      <c r="J58" s="10">
        <v>36</v>
      </c>
      <c r="K58" s="12">
        <v>9</v>
      </c>
      <c r="L58" s="10">
        <v>324</v>
      </c>
      <c r="M58" s="12"/>
      <c r="N58" s="12" t="s">
        <v>190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pans="1:39" x14ac:dyDescent="0.3">
      <c r="A59" s="6" t="s">
        <v>289</v>
      </c>
      <c r="B59" s="6" t="str">
        <f>_xlfn.CONCAT(A59,1)</f>
        <v>A044625231</v>
      </c>
      <c r="C59" s="12" t="s">
        <v>192</v>
      </c>
      <c r="D59" s="12" t="s">
        <v>114</v>
      </c>
      <c r="E59" s="11">
        <v>19278370</v>
      </c>
      <c r="F59" s="12" t="s">
        <v>194</v>
      </c>
      <c r="G59" s="12" t="s">
        <v>49</v>
      </c>
      <c r="H59" s="12" t="s">
        <v>195</v>
      </c>
      <c r="I59" s="8">
        <v>46143</v>
      </c>
      <c r="J59" s="10">
        <v>29.52</v>
      </c>
      <c r="K59" s="12">
        <v>9</v>
      </c>
      <c r="L59" s="10">
        <v>265.68</v>
      </c>
      <c r="M59" s="12"/>
      <c r="N59" s="12" t="s">
        <v>308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pans="1:39" x14ac:dyDescent="0.3">
      <c r="A60" s="6">
        <v>958101264</v>
      </c>
      <c r="B60" s="6" t="str">
        <f>_xlfn.CONCAT(A60,11)</f>
        <v>95810126411</v>
      </c>
      <c r="C60" s="12" t="s">
        <v>176</v>
      </c>
      <c r="D60" s="12" t="s">
        <v>63</v>
      </c>
      <c r="E60" s="11">
        <v>7565575</v>
      </c>
      <c r="F60" s="12" t="s">
        <v>105</v>
      </c>
      <c r="G60" s="12" t="s">
        <v>49</v>
      </c>
      <c r="H60" s="12" t="s">
        <v>177</v>
      </c>
      <c r="I60" s="8">
        <v>46143</v>
      </c>
      <c r="J60" s="10">
        <v>231.33</v>
      </c>
      <c r="K60" s="12">
        <v>1</v>
      </c>
      <c r="L60" s="10">
        <v>231.33</v>
      </c>
      <c r="M60" s="12" t="s">
        <v>162</v>
      </c>
      <c r="N60" s="12" t="s">
        <v>310</v>
      </c>
      <c r="O60" s="12" t="s">
        <v>314</v>
      </c>
      <c r="P60" s="12"/>
      <c r="Q60" s="12"/>
      <c r="R60" s="12">
        <f>347/12*8</f>
        <v>231.33333333333334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1:39" x14ac:dyDescent="0.3">
      <c r="A61" s="6">
        <v>966156394</v>
      </c>
      <c r="B61" s="6" t="str">
        <f>_xlfn.CONCAT(A61,11)</f>
        <v>96615639411</v>
      </c>
      <c r="C61" s="12" t="s">
        <v>181</v>
      </c>
      <c r="D61" s="12" t="s">
        <v>182</v>
      </c>
      <c r="E61" s="11">
        <v>20003537</v>
      </c>
      <c r="F61" s="12" t="s">
        <v>184</v>
      </c>
      <c r="G61" s="12" t="s">
        <v>49</v>
      </c>
      <c r="H61" s="12" t="s">
        <v>177</v>
      </c>
      <c r="I61" s="8">
        <v>46143</v>
      </c>
      <c r="J61" s="10">
        <v>231.33</v>
      </c>
      <c r="K61" s="12">
        <v>1</v>
      </c>
      <c r="L61" s="10">
        <v>231.33</v>
      </c>
      <c r="M61" s="12" t="s">
        <v>162</v>
      </c>
      <c r="N61" s="12" t="s">
        <v>310</v>
      </c>
      <c r="O61" s="12" t="s">
        <v>314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pans="1:39" s="7" customFormat="1" x14ac:dyDescent="0.3">
      <c r="A62" s="6">
        <v>945648838</v>
      </c>
      <c r="B62" s="6">
        <v>945648838</v>
      </c>
      <c r="C62" s="12" t="s">
        <v>266</v>
      </c>
      <c r="D62" s="12" t="s">
        <v>267</v>
      </c>
      <c r="E62" s="11">
        <v>19645587</v>
      </c>
      <c r="F62" s="12" t="s">
        <v>199</v>
      </c>
      <c r="G62" s="12" t="s">
        <v>224</v>
      </c>
      <c r="H62" s="12" t="s">
        <v>268</v>
      </c>
      <c r="I62" s="8">
        <v>46054</v>
      </c>
      <c r="J62" s="12"/>
      <c r="K62" s="12"/>
      <c r="L62" s="9">
        <v>-611</v>
      </c>
      <c r="M62" s="12"/>
      <c r="N62" s="12" t="s">
        <v>312</v>
      </c>
      <c r="O62" s="12" t="s">
        <v>313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pans="1:39" s="7" customFormat="1" x14ac:dyDescent="0.3">
      <c r="A63" s="5">
        <v>922342592</v>
      </c>
      <c r="B63" s="5" t="str">
        <f>_xlfn.CONCAT(A63,"OVR")</f>
        <v>922342592OVR</v>
      </c>
      <c r="C63" s="11" t="s">
        <v>167</v>
      </c>
      <c r="D63" s="11" t="s">
        <v>90</v>
      </c>
      <c r="E63" s="11">
        <v>20411454</v>
      </c>
      <c r="F63" s="11" t="s">
        <v>317</v>
      </c>
      <c r="G63" s="11" t="s">
        <v>49</v>
      </c>
      <c r="H63" s="11" t="s">
        <v>170</v>
      </c>
      <c r="I63" s="1">
        <v>46113</v>
      </c>
      <c r="J63" s="2">
        <v>175</v>
      </c>
      <c r="K63" s="11">
        <v>1</v>
      </c>
      <c r="L63" s="2">
        <v>175</v>
      </c>
      <c r="M63" s="11"/>
      <c r="N63" s="11" t="s">
        <v>309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s="7" customFormat="1" x14ac:dyDescent="0.3">
      <c r="A64" s="5">
        <v>958101264</v>
      </c>
      <c r="B64" s="5" t="str">
        <f>_xlfn.CONCAT(A64,"OVR")</f>
        <v>958101264OVR</v>
      </c>
      <c r="C64" s="11" t="s">
        <v>176</v>
      </c>
      <c r="D64" s="11" t="s">
        <v>63</v>
      </c>
      <c r="E64" s="11">
        <v>20411454</v>
      </c>
      <c r="F64" s="11" t="s">
        <v>317</v>
      </c>
      <c r="G64" s="11" t="s">
        <v>49</v>
      </c>
      <c r="H64" s="11" t="s">
        <v>179</v>
      </c>
      <c r="I64" s="1">
        <v>46143</v>
      </c>
      <c r="J64" s="2">
        <v>48</v>
      </c>
      <c r="K64" s="11">
        <v>1</v>
      </c>
      <c r="L64" s="2">
        <v>48</v>
      </c>
      <c r="M64" s="11" t="s">
        <v>162</v>
      </c>
      <c r="N64" s="11" t="s">
        <v>309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r="65" spans="1:39" s="7" customFormat="1" x14ac:dyDescent="0.3">
      <c r="A65" s="5">
        <v>966156394</v>
      </c>
      <c r="B65" s="5" t="str">
        <f>_xlfn.CONCAT(A65,"OVR")</f>
        <v>966156394OVR</v>
      </c>
      <c r="C65" s="11" t="s">
        <v>181</v>
      </c>
      <c r="D65" s="11" t="s">
        <v>182</v>
      </c>
      <c r="E65" s="11">
        <v>20411454</v>
      </c>
      <c r="F65" s="11" t="s">
        <v>317</v>
      </c>
      <c r="G65" s="11" t="s">
        <v>49</v>
      </c>
      <c r="H65" s="11" t="s">
        <v>170</v>
      </c>
      <c r="I65" s="1">
        <v>46143</v>
      </c>
      <c r="J65" s="2">
        <v>175</v>
      </c>
      <c r="K65" s="11">
        <v>1</v>
      </c>
      <c r="L65" s="2">
        <v>175</v>
      </c>
      <c r="M65" s="11"/>
      <c r="N65" s="11" t="s">
        <v>309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r="66" spans="1:39" s="7" customFormat="1" x14ac:dyDescent="0.3">
      <c r="A66" s="5">
        <v>924783415</v>
      </c>
      <c r="B66" s="5" t="str">
        <f>_xlfn.CONCAT(A66,"OVR")</f>
        <v>924783415OVR</v>
      </c>
      <c r="C66" s="11" t="s">
        <v>172</v>
      </c>
      <c r="D66" s="11" t="s">
        <v>137</v>
      </c>
      <c r="E66" s="11">
        <v>20411454</v>
      </c>
      <c r="F66" s="11" t="s">
        <v>317</v>
      </c>
      <c r="G66" s="11" t="s">
        <v>49</v>
      </c>
      <c r="H66" s="11" t="s">
        <v>170</v>
      </c>
      <c r="I66" s="1">
        <v>46113</v>
      </c>
      <c r="J66" s="2">
        <v>175</v>
      </c>
      <c r="K66" s="11">
        <v>1</v>
      </c>
      <c r="L66" s="2">
        <v>175</v>
      </c>
      <c r="M66" s="11"/>
      <c r="N66" s="11" t="s">
        <v>309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</sheetData>
  <sortState xmlns:xlrd2="http://schemas.microsoft.com/office/spreadsheetml/2017/richdata2" ref="A2:AM66">
    <sortCondition ref="N2:N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2026-04-24T06:20:31Z</dcterms:created>
  <dcterms:modified xsi:type="dcterms:W3CDTF">2026-04-24T17:07:43Z</dcterms:modified>
</cp:coreProperties>
</file>