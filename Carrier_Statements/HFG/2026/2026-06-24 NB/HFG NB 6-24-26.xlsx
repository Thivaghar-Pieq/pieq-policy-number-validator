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FG\2026\2026-06-24 NB\"/>
    </mc:Choice>
  </mc:AlternateContent>
  <xr:revisionPtr revIDLastSave="0" documentId="13_ncr:1_{B13B6BA9-B57C-4F81-A98B-D68AA114BD75}" xr6:coauthVersionLast="47" xr6:coauthVersionMax="47" xr10:uidLastSave="{00000000-0000-0000-0000-000000000000}"/>
  <bookViews>
    <workbookView xWindow="-120" yWindow="-120" windowWidth="29040" windowHeight="15720" activeTab="1" xr2:uid="{62AF5842-257D-4181-8345-6125B57F5168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" i="2" l="1"/>
  <c r="B50" i="2"/>
  <c r="B47" i="2"/>
  <c r="B46" i="2"/>
  <c r="B45" i="2"/>
  <c r="B49" i="2"/>
  <c r="B48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F49" i="2"/>
  <c r="F48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<sst xmlns="http://schemas.openxmlformats.org/spreadsheetml/2006/main" count="1146" uniqueCount="283">
  <si>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</si>
  <si>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</si>
  <si>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</si>
  <si>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</si>
  <si>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</si>
  <si>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</si>
  <si>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</si>
  <si>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</si>
  <si>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</si>
  <si>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</si>
  <si>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</si>
  <si>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</si>
  <si>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</si>
  <si>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</si>
  <si>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</si>
  <si>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</si>
  <si>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</si>
  <si>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</si>
  <si>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</si>
  <si>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</si>
  <si>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</si>
  <si>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</si>
  <si>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</si>
  <si>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</si>
  <si>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</si>
  <si>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</si>
  <si>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</si>
  <si>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</si>
  <si>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</si>
  <si>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</si>
  <si>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</si>
  <si>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</si>
  <si>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</si>
  <si>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</si>
  <si>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</si>
  <si>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</si>
  <si>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</si>
  <si>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</si>
  <si>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</si>
  <si>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</si>
  <si>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</si>
  <si>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</si>
  <si>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</si>
  <si>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</si>
  <si>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'00017625823K</t>
  </si>
  <si>
    <t>THOMAS GIBSON</t>
  </si>
  <si>
    <t>FL</t>
  </si>
  <si>
    <t>'043705</t>
  </si>
  <si>
    <t>MICHAEL DUNAVANT</t>
  </si>
  <si>
    <t>ACTIVE</t>
  </si>
  <si>
    <t>Humana MA 2019+ Level 15- 175/108 Repl 2024</t>
  </si>
  <si>
    <t>Monthly</t>
  </si>
  <si>
    <t>AV</t>
  </si>
  <si>
    <t>'00020479151K</t>
  </si>
  <si>
    <t>LINDA DOBSON</t>
  </si>
  <si>
    <t>GA</t>
  </si>
  <si>
    <t>'045885</t>
  </si>
  <si>
    <t>CHAD BENDER</t>
  </si>
  <si>
    <t>'00025031898KPC</t>
  </si>
  <si>
    <t>DEBBIE SEGUNDO</t>
  </si>
  <si>
    <t>IL</t>
  </si>
  <si>
    <t>'043969</t>
  </si>
  <si>
    <t>STACEY PORTUGAL</t>
  </si>
  <si>
    <t>Active</t>
  </si>
  <si>
    <t>Humana MA 2019+ Level 15- 175/108</t>
  </si>
  <si>
    <t>Humana MA Bonus Upload 06-24-2026.xlsx</t>
  </si>
  <si>
    <t>'00026502399K</t>
  </si>
  <si>
    <t>SALME DRUNGA</t>
  </si>
  <si>
    <t>'045603</t>
  </si>
  <si>
    <t>ANDREW CHOI</t>
  </si>
  <si>
    <t>'00026606623K</t>
  </si>
  <si>
    <t>GINA MANOLA</t>
  </si>
  <si>
    <t>'041686</t>
  </si>
  <si>
    <t>DALE WALENGA</t>
  </si>
  <si>
    <t>'00026607342K</t>
  </si>
  <si>
    <t>DAVID VOIGT</t>
  </si>
  <si>
    <t>'045612</t>
  </si>
  <si>
    <t>ANTHONY HUNSBERGER</t>
  </si>
  <si>
    <t>'00026607704K</t>
  </si>
  <si>
    <t>KIMBERLY SWANER</t>
  </si>
  <si>
    <t>TX</t>
  </si>
  <si>
    <t>'043678</t>
  </si>
  <si>
    <t>MATTHEW DAUGHERTY</t>
  </si>
  <si>
    <t>'00026608060K</t>
  </si>
  <si>
    <t>NASEER CHAUDHRY</t>
  </si>
  <si>
    <t>'043618</t>
  </si>
  <si>
    <t>SAADIA ABDUL</t>
  </si>
  <si>
    <t>'00026610545K</t>
  </si>
  <si>
    <t>STEVE NAVALANY</t>
  </si>
  <si>
    <t>'00026611231K</t>
  </si>
  <si>
    <t>SHAMIN CHAUDHRY</t>
  </si>
  <si>
    <t>'00026622521K</t>
  </si>
  <si>
    <t>JAMES NICKELL</t>
  </si>
  <si>
    <t>WI</t>
  </si>
  <si>
    <t>'045605</t>
  </si>
  <si>
    <t>GARY PORTUGAL</t>
  </si>
  <si>
    <t>'00026623133K</t>
  </si>
  <si>
    <t>LISA GERSHAK</t>
  </si>
  <si>
    <t>'00026623938K</t>
  </si>
  <si>
    <t>JEFFREY MULLINS</t>
  </si>
  <si>
    <t>'045613</t>
  </si>
  <si>
    <t>RICARDO SANTOS</t>
  </si>
  <si>
    <t>'101107778200</t>
  </si>
  <si>
    <t>AARON STEELE</t>
  </si>
  <si>
    <t>MN</t>
  </si>
  <si>
    <t>'043633</t>
  </si>
  <si>
    <t>RICHARD WUENSCH</t>
  </si>
  <si>
    <t>Aetna MAPD NMO to MMO - 2025+ Replace E-App</t>
  </si>
  <si>
    <t>7/12 PRORATE</t>
  </si>
  <si>
    <t>'101470779200</t>
  </si>
  <si>
    <t>DAWN SEEBACH</t>
  </si>
  <si>
    <t>PA</t>
  </si>
  <si>
    <t>'045673</t>
  </si>
  <si>
    <t>MARK ROCCIA</t>
  </si>
  <si>
    <t>'101578579500</t>
  </si>
  <si>
    <t>MARIA DENNIE</t>
  </si>
  <si>
    <t>NA</t>
  </si>
  <si>
    <t>'102280149200</t>
  </si>
  <si>
    <t>IVAN KERN</t>
  </si>
  <si>
    <t>MI</t>
  </si>
  <si>
    <t>'102281288800</t>
  </si>
  <si>
    <t>DANA MCCONNELL</t>
  </si>
  <si>
    <t>'045607</t>
  </si>
  <si>
    <t>PAMELA DEATON</t>
  </si>
  <si>
    <t>'102281387100</t>
  </si>
  <si>
    <t>RALPH TANNER</t>
  </si>
  <si>
    <t>'043786</t>
  </si>
  <si>
    <t>MARGARET SMITH</t>
  </si>
  <si>
    <t>'102281476200</t>
  </si>
  <si>
    <t>SEAN GRAMZ</t>
  </si>
  <si>
    <t>'043611</t>
  </si>
  <si>
    <t>TIMOTHY POWERS</t>
  </si>
  <si>
    <t>'102281524200</t>
  </si>
  <si>
    <t>MIRANDA ELIZABETH ALICEA</t>
  </si>
  <si>
    <t>'043736</t>
  </si>
  <si>
    <t>DENNIS HOLYN</t>
  </si>
  <si>
    <t>6/12 PRORATE</t>
  </si>
  <si>
    <t>'102281547100</t>
  </si>
  <si>
    <t>TINA HAGEMEIER</t>
  </si>
  <si>
    <t>'043832</t>
  </si>
  <si>
    <t>CAROL FRITZ</t>
  </si>
  <si>
    <t>'102281737500</t>
  </si>
  <si>
    <t>TIMOTHY SHEPARD</t>
  </si>
  <si>
    <t>'102281778400</t>
  </si>
  <si>
    <t>KRAIG MORRIS</t>
  </si>
  <si>
    <t>5/12 PRORATE</t>
  </si>
  <si>
    <t>'102281860300</t>
  </si>
  <si>
    <t>JOSE CHAO</t>
  </si>
  <si>
    <t>'102281894900</t>
  </si>
  <si>
    <t>JANIS JOHNSON</t>
  </si>
  <si>
    <t>OH</t>
  </si>
  <si>
    <t>'040060</t>
  </si>
  <si>
    <t>RYAN SHEPARD</t>
  </si>
  <si>
    <t>'102281898400</t>
  </si>
  <si>
    <t>DAVID JOHNSON</t>
  </si>
  <si>
    <t>'102281904500</t>
  </si>
  <si>
    <t>FRANK WAGNER</t>
  </si>
  <si>
    <t>'102281909800</t>
  </si>
  <si>
    <t>CONNIE JUNG</t>
  </si>
  <si>
    <t>IN</t>
  </si>
  <si>
    <t>'045967</t>
  </si>
  <si>
    <t>DANNA GREEN</t>
  </si>
  <si>
    <t>'102281954800</t>
  </si>
  <si>
    <t>M TORPATS WEATHERLY</t>
  </si>
  <si>
    <t>'102282033400</t>
  </si>
  <si>
    <t>JON SMITH</t>
  </si>
  <si>
    <t>'043638</t>
  </si>
  <si>
    <t>THOMAS PARDUE</t>
  </si>
  <si>
    <t>'102282103200</t>
  </si>
  <si>
    <t>ROBERT GOLDEN</t>
  </si>
  <si>
    <t>'043682</t>
  </si>
  <si>
    <t>GREGORY TEIPEL</t>
  </si>
  <si>
    <t>'102282169200</t>
  </si>
  <si>
    <t>PATRICIA WILBERT</t>
  </si>
  <si>
    <t>'043679</t>
  </si>
  <si>
    <t>DEBORAH INSKIPT</t>
  </si>
  <si>
    <t>'102282339600</t>
  </si>
  <si>
    <t>TIA BURGER</t>
  </si>
  <si>
    <t>'045421</t>
  </si>
  <si>
    <t>MATTHEW SHERMAN</t>
  </si>
  <si>
    <t>'53X3A1U69</t>
  </si>
  <si>
    <t>JAIME DIAZ DE LEON</t>
  </si>
  <si>
    <t>'045709</t>
  </si>
  <si>
    <t>ESTHER HERRERA-LARSEN</t>
  </si>
  <si>
    <t>Cigna MAPD FMO to GA 1-1-19+ - New</t>
  </si>
  <si>
    <t>'772W26990</t>
  </si>
  <si>
    <t>JEFFERS GIBBS</t>
  </si>
  <si>
    <t>Anthem MA 2025</t>
  </si>
  <si>
    <t>'79A6U1U33</t>
  </si>
  <si>
    <t>JOSE RUVALCABA</t>
  </si>
  <si>
    <t>'043813</t>
  </si>
  <si>
    <t>VICTOR FUENTES</t>
  </si>
  <si>
    <t>'835W27120</t>
  </si>
  <si>
    <t>ERIK MILLER</t>
  </si>
  <si>
    <t>'045712</t>
  </si>
  <si>
    <t>GREGORY HANSFORD</t>
  </si>
  <si>
    <t>'961056508</t>
  </si>
  <si>
    <t>DEAN BATES</t>
  </si>
  <si>
    <t>OR</t>
  </si>
  <si>
    <t>'043718</t>
  </si>
  <si>
    <t>CHAD YALE</t>
  </si>
  <si>
    <t>UHC MAPD Street payable to upline- 2026 Replace</t>
  </si>
  <si>
    <t>'961056508OV</t>
  </si>
  <si>
    <t>UHC MA Direct 2025 New Initial Prorated</t>
  </si>
  <si>
    <t>'988781374</t>
  </si>
  <si>
    <t>ANGELA WILLIAMS</t>
  </si>
  <si>
    <t>'045601</t>
  </si>
  <si>
    <t>CAROL FOLEY</t>
  </si>
  <si>
    <t>UHC MAPD Street payable to upline PA/CT- 2026 Replace - Other</t>
  </si>
  <si>
    <t>'988781374OV</t>
  </si>
  <si>
    <t>UHC MA Direct 2025 New Full - Other</t>
  </si>
  <si>
    <t>'A04487375</t>
  </si>
  <si>
    <t>KAREN SPARKOWSKI</t>
  </si>
  <si>
    <t>'045622</t>
  </si>
  <si>
    <t>JACOB YALE</t>
  </si>
  <si>
    <t>UHC AARP Med Supp 2026+ AZ IL KS ME NC TN WV Plan B C D F G</t>
  </si>
  <si>
    <t>'A04487527</t>
  </si>
  <si>
    <t>JOSEPH MANGANO</t>
  </si>
  <si>
    <t>VA</t>
  </si>
  <si>
    <t>UHC AARP Med Supp 6/1/2026+ MD VA Plans B C F G</t>
  </si>
  <si>
    <t>'A04487765</t>
  </si>
  <si>
    <t>ANDREW PLATT</t>
  </si>
  <si>
    <t>UHC AARP Med Supp 2025+ FL Area 4 Plan B C F G</t>
  </si>
  <si>
    <t>CB</t>
  </si>
  <si>
    <t>'00019034430KPC</t>
  </si>
  <si>
    <t>WILLIAM LAUGHREY</t>
  </si>
  <si>
    <t>AZ</t>
  </si>
  <si>
    <t>CHARGEBACK</t>
  </si>
  <si>
    <t>'00026047194KPC</t>
  </si>
  <si>
    <t>ELIZABETH ZANE</t>
  </si>
  <si>
    <t>'045611</t>
  </si>
  <si>
    <t>FRANK LISKOVEC</t>
  </si>
  <si>
    <t>'101224362600PC</t>
  </si>
  <si>
    <t>DEBRA CROTEAU</t>
  </si>
  <si>
    <t>Aetna MAPD NMO to MMO - 2025+ New Paper</t>
  </si>
  <si>
    <t>'102270549500CB</t>
  </si>
  <si>
    <t>TIMOTHY PATTERSON</t>
  </si>
  <si>
    <t>'71X8U5A35PC</t>
  </si>
  <si>
    <t>JAMES KOWALSKI</t>
  </si>
  <si>
    <t>'045671</t>
  </si>
  <si>
    <t>ROBERT SHAPIRO</t>
  </si>
  <si>
    <t>'A04469636PC</t>
  </si>
  <si>
    <t>JOHN MAKI</t>
  </si>
  <si>
    <t>'045981</t>
  </si>
  <si>
    <t>JAKE SHULMAN</t>
  </si>
  <si>
    <t>UHC AARP Med Supp 2026+ WA All Plans</t>
  </si>
  <si>
    <t>961056508</t>
  </si>
  <si>
    <t>988781374</t>
  </si>
  <si>
    <t>00025031898K</t>
  </si>
  <si>
    <t>00019034430K</t>
  </si>
  <si>
    <t>00026047194K</t>
  </si>
  <si>
    <t>101224362600</t>
  </si>
  <si>
    <t>71X8U5A35</t>
  </si>
  <si>
    <t>A04469636</t>
  </si>
  <si>
    <t>102270549500</t>
  </si>
  <si>
    <t>00017625823K</t>
  </si>
  <si>
    <t>00020479151K</t>
  </si>
  <si>
    <t>00026502399K</t>
  </si>
  <si>
    <t>00026606623K</t>
  </si>
  <si>
    <t>00026607342K</t>
  </si>
  <si>
    <t>00026607704K</t>
  </si>
  <si>
    <t>00026608060K</t>
  </si>
  <si>
    <t>00026610545K</t>
  </si>
  <si>
    <t>00026611231K</t>
  </si>
  <si>
    <t>00026622521K</t>
  </si>
  <si>
    <t>00026623133K</t>
  </si>
  <si>
    <t>00026623938K</t>
  </si>
  <si>
    <t>53X3A1U69</t>
  </si>
  <si>
    <t>772W26990</t>
  </si>
  <si>
    <t>79A6U1U33</t>
  </si>
  <si>
    <t>835W27120</t>
  </si>
  <si>
    <t>A04487375</t>
  </si>
  <si>
    <t>A04487527</t>
  </si>
  <si>
    <t>A04487765</t>
  </si>
  <si>
    <t>UHC AARP MS FL Area 4- Plan B C F G</t>
  </si>
  <si>
    <t>UHC MAPD Ovr 2026</t>
  </si>
  <si>
    <t>2026 UHC non-Special Needs Plans PPOs Renewal</t>
  </si>
  <si>
    <t>UHC MAPD 2026*</t>
  </si>
  <si>
    <t>[%/$=347][prorate=6/12]</t>
  </si>
  <si>
    <t>Aetna MAPD OVR 2026</t>
  </si>
  <si>
    <t>Anthem MAPD OVR</t>
  </si>
  <si>
    <t>Cigna MAPD Ovr</t>
  </si>
  <si>
    <t>Humana MAPD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</si>
</sst>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" fontId="0" fillId="33" borderId="0" xfId="0" quotePrefix="1" applyNumberFormat="1" applyFill="1" applyAlignment="1">
      <alignment horizontal="left"/>
    </xf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639B-D8F3-4055-874A-8B9911E857BE}">
  <dimension ref="A1:AL52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14.85546875" bestFit="1" customWidth="1"/>
    <col min="3" max="3" width="13.28515625" bestFit="1" customWidth="1"/>
    <col min="4" max="4" width="11" bestFit="1" customWidth="1"/>
    <col min="5" max="5" width="27.7109375" bestFit="1" customWidth="1"/>
    <col min="6" max="6" width="7.5703125" bestFit="1" customWidth="1"/>
    <col min="7" max="7" width="6" bestFit="1" customWidth="1"/>
    <col min="8" max="8" width="16.7109375" bestFit="1" customWidth="1"/>
    <col min="9" max="9" width="15.7109375" bestFit="1" customWidth="1"/>
    <col min="10" max="10" width="24.28515625" bestFit="1" customWidth="1"/>
    <col min="11" max="11" width="7.5703125" bestFit="1" customWidth="1"/>
    <col min="12" max="12" width="4" bestFit="1" customWidth="1"/>
    <col min="13" max="13" width="5.140625" bestFit="1" customWidth="1"/>
    <col min="14" max="14" width="8" bestFit="1" customWidth="1"/>
    <col min="15" max="15" width="13.7109375" bestFit="1" customWidth="1"/>
    <col min="16" max="16" width="22.85546875" bestFit="1" customWidth="1"/>
    <col min="17" max="17" width="12.5703125" bestFit="1" customWidth="1"/>
    <col min="18" max="18" width="53.28515625" bestFit="1" customWidth="1"/>
    <col min="19" max="19" width="9.28515625" bestFit="1" customWidth="1"/>
    <col min="20" max="20" width="11.28515625" bestFit="1" customWidth="1"/>
    <col min="21" max="21" width="12.7109375" bestFit="1" customWidth="1"/>
    <col min="22" max="22" width="10.7109375" bestFit="1" customWidth="1"/>
    <col min="23" max="23" width="14.7109375" bestFit="1" customWidth="1"/>
    <col min="24" max="24" width="8.42578125" bestFit="1" customWidth="1"/>
    <col min="25" max="25" width="16.42578125" bestFit="1" customWidth="1"/>
    <col min="26" max="26" width="14.5703125" bestFit="1" customWidth="1"/>
    <col min="27" max="27" width="15.28515625" bestFit="1" customWidth="1"/>
    <col min="28" max="28" width="15.140625" bestFit="1" customWidth="1"/>
    <col min="29" max="29" width="16.28515625" bestFit="1" customWidth="1"/>
    <col min="30" max="30" width="10.85546875" bestFit="1" customWidth="1"/>
    <col min="31" max="31" width="13.5703125" bestFit="1" customWidth="1"/>
    <col min="33" max="33" width="11.85546875" bestFit="1" customWidth="1"/>
    <col min="34" max="34" width="17.28515625" bestFit="1" customWidth="1"/>
    <col min="35" max="35" width="16.42578125" bestFit="1" customWidth="1"/>
    <col min="36" max="36" width="10.7109375" bestFit="1" customWidth="1"/>
    <col min="37" max="37" width="12.42578125" bestFit="1" customWidth="1"/>
    <col min="38" max="38" width="35.855468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46197</v>
      </c>
      <c r="B2" s="1">
        <v>46197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46204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6977369</v>
      </c>
    </row>
    <row r="3" spans="1:38" x14ac:dyDescent="0.25">
      <c r="A3" s="1">
        <v>46197</v>
      </c>
      <c r="B3" s="1">
        <v>46197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46204</v>
      </c>
      <c r="U3" t="s">
        <v>51</v>
      </c>
      <c r="X3" t="s">
        <v>52</v>
      </c>
      <c r="Y3" s="2">
        <v>0</v>
      </c>
      <c r="Z3" s="2">
        <v>108</v>
      </c>
      <c r="AA3">
        <v>1</v>
      </c>
      <c r="AB3" s="3">
        <v>1</v>
      </c>
      <c r="AC3" s="2">
        <v>108</v>
      </c>
      <c r="AD3" s="3">
        <v>0</v>
      </c>
      <c r="AE3" s="2">
        <v>0</v>
      </c>
      <c r="AF3" s="2">
        <v>108</v>
      </c>
      <c r="AK3">
        <v>6977370</v>
      </c>
    </row>
    <row r="4" spans="1:38" x14ac:dyDescent="0.25">
      <c r="A4" s="1">
        <v>46197</v>
      </c>
      <c r="B4" s="1">
        <v>46197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60</v>
      </c>
      <c r="O4" t="s">
        <v>61</v>
      </c>
      <c r="P4" t="s">
        <v>62</v>
      </c>
      <c r="Q4" t="s">
        <v>63</v>
      </c>
      <c r="R4" t="s">
        <v>64</v>
      </c>
      <c r="S4" s="1">
        <v>46023</v>
      </c>
      <c r="U4" t="s">
        <v>51</v>
      </c>
      <c r="X4" t="s">
        <v>52</v>
      </c>
      <c r="Y4" s="2">
        <v>0</v>
      </c>
      <c r="Z4" s="2">
        <v>60.58</v>
      </c>
      <c r="AA4">
        <v>1</v>
      </c>
      <c r="AB4" s="3">
        <v>1</v>
      </c>
      <c r="AC4" s="2">
        <v>60.58</v>
      </c>
      <c r="AD4" s="3">
        <v>0</v>
      </c>
      <c r="AE4" s="2">
        <v>0</v>
      </c>
      <c r="AF4" s="2">
        <v>60.58</v>
      </c>
      <c r="AK4">
        <v>0</v>
      </c>
      <c r="AL4" t="s">
        <v>65</v>
      </c>
    </row>
    <row r="5" spans="1:38" x14ac:dyDescent="0.25">
      <c r="A5" s="1">
        <v>46197</v>
      </c>
      <c r="B5" s="1">
        <v>46197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66</v>
      </c>
      <c r="J5" t="s">
        <v>67</v>
      </c>
      <c r="M5" t="s">
        <v>60</v>
      </c>
      <c r="O5" t="s">
        <v>68</v>
      </c>
      <c r="P5" t="s">
        <v>69</v>
      </c>
      <c r="Q5" t="s">
        <v>49</v>
      </c>
      <c r="R5" t="s">
        <v>64</v>
      </c>
      <c r="S5" s="1">
        <v>46174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6977405</v>
      </c>
    </row>
    <row r="6" spans="1:38" x14ac:dyDescent="0.25">
      <c r="A6" s="1">
        <v>46197</v>
      </c>
      <c r="B6" s="1">
        <v>46197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70</v>
      </c>
      <c r="J6" t="s">
        <v>71</v>
      </c>
      <c r="M6" t="s">
        <v>60</v>
      </c>
      <c r="O6" t="s">
        <v>72</v>
      </c>
      <c r="P6" t="s">
        <v>73</v>
      </c>
      <c r="Q6" t="s">
        <v>49</v>
      </c>
      <c r="R6" t="s">
        <v>64</v>
      </c>
      <c r="S6" s="1">
        <v>46204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6977406</v>
      </c>
    </row>
    <row r="7" spans="1:38" x14ac:dyDescent="0.25">
      <c r="A7" s="1">
        <v>46197</v>
      </c>
      <c r="B7" s="1">
        <v>46197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74</v>
      </c>
      <c r="J7" t="s">
        <v>75</v>
      </c>
      <c r="M7" t="s">
        <v>60</v>
      </c>
      <c r="O7" t="s">
        <v>76</v>
      </c>
      <c r="P7" t="s">
        <v>77</v>
      </c>
      <c r="Q7" t="s">
        <v>49</v>
      </c>
      <c r="R7" t="s">
        <v>64</v>
      </c>
      <c r="S7" s="1">
        <v>46204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6977407</v>
      </c>
    </row>
    <row r="8" spans="1:38" x14ac:dyDescent="0.25">
      <c r="A8" s="1">
        <v>46197</v>
      </c>
      <c r="B8" s="1">
        <v>46197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78</v>
      </c>
      <c r="J8" t="s">
        <v>79</v>
      </c>
      <c r="M8" t="s">
        <v>80</v>
      </c>
      <c r="O8" t="s">
        <v>81</v>
      </c>
      <c r="P8" t="s">
        <v>82</v>
      </c>
      <c r="Q8" t="s">
        <v>49</v>
      </c>
      <c r="R8" t="s">
        <v>64</v>
      </c>
      <c r="S8" s="1">
        <v>46204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6977408</v>
      </c>
    </row>
    <row r="9" spans="1:38" x14ac:dyDescent="0.25">
      <c r="A9" s="1">
        <v>46197</v>
      </c>
      <c r="B9" s="1">
        <v>46197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83</v>
      </c>
      <c r="J9" t="s">
        <v>84</v>
      </c>
      <c r="M9" t="s">
        <v>60</v>
      </c>
      <c r="O9" t="s">
        <v>85</v>
      </c>
      <c r="P9" t="s">
        <v>86</v>
      </c>
      <c r="Q9" t="s">
        <v>49</v>
      </c>
      <c r="R9" t="s">
        <v>64</v>
      </c>
      <c r="S9" s="1">
        <v>46204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6977409</v>
      </c>
    </row>
    <row r="10" spans="1:38" x14ac:dyDescent="0.25">
      <c r="A10" s="1">
        <v>46197</v>
      </c>
      <c r="B10" s="1">
        <v>46197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87</v>
      </c>
      <c r="J10" t="s">
        <v>88</v>
      </c>
      <c r="M10" t="s">
        <v>60</v>
      </c>
      <c r="O10" t="s">
        <v>76</v>
      </c>
      <c r="P10" t="s">
        <v>77</v>
      </c>
      <c r="Q10" t="s">
        <v>49</v>
      </c>
      <c r="R10" t="s">
        <v>64</v>
      </c>
      <c r="S10" s="1">
        <v>46204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6977410</v>
      </c>
    </row>
    <row r="11" spans="1:38" x14ac:dyDescent="0.25">
      <c r="A11" s="1">
        <v>46197</v>
      </c>
      <c r="B11" s="1">
        <v>46197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89</v>
      </c>
      <c r="J11" t="s">
        <v>90</v>
      </c>
      <c r="M11" t="s">
        <v>60</v>
      </c>
      <c r="O11" t="s">
        <v>85</v>
      </c>
      <c r="P11" t="s">
        <v>86</v>
      </c>
      <c r="Q11" t="s">
        <v>49</v>
      </c>
      <c r="R11" t="s">
        <v>64</v>
      </c>
      <c r="S11" s="1">
        <v>46204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6977411</v>
      </c>
    </row>
    <row r="12" spans="1:38" x14ac:dyDescent="0.25">
      <c r="A12" s="1">
        <v>46197</v>
      </c>
      <c r="B12" s="1">
        <v>46197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91</v>
      </c>
      <c r="J12" t="s">
        <v>92</v>
      </c>
      <c r="M12" t="s">
        <v>93</v>
      </c>
      <c r="O12" t="s">
        <v>94</v>
      </c>
      <c r="P12" t="s">
        <v>95</v>
      </c>
      <c r="Q12" t="s">
        <v>49</v>
      </c>
      <c r="R12" t="s">
        <v>64</v>
      </c>
      <c r="S12" s="1">
        <v>46204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6977412</v>
      </c>
    </row>
    <row r="13" spans="1:38" x14ac:dyDescent="0.25">
      <c r="A13" s="1">
        <v>46197</v>
      </c>
      <c r="B13" s="1">
        <v>46197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96</v>
      </c>
      <c r="J13" t="s">
        <v>97</v>
      </c>
      <c r="M13" t="s">
        <v>60</v>
      </c>
      <c r="O13" t="s">
        <v>76</v>
      </c>
      <c r="P13" t="s">
        <v>77</v>
      </c>
      <c r="Q13" t="s">
        <v>49</v>
      </c>
      <c r="R13" t="s">
        <v>64</v>
      </c>
      <c r="S13" s="1">
        <v>46266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6977413</v>
      </c>
    </row>
    <row r="14" spans="1:38" x14ac:dyDescent="0.25">
      <c r="A14" s="1">
        <v>46197</v>
      </c>
      <c r="B14" s="1">
        <v>46197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98</v>
      </c>
      <c r="J14" t="s">
        <v>99</v>
      </c>
      <c r="M14" t="s">
        <v>60</v>
      </c>
      <c r="O14" t="s">
        <v>100</v>
      </c>
      <c r="P14" t="s">
        <v>101</v>
      </c>
      <c r="Q14" t="s">
        <v>49</v>
      </c>
      <c r="R14" t="s">
        <v>64</v>
      </c>
      <c r="S14" s="1">
        <v>46204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6977414</v>
      </c>
    </row>
    <row r="15" spans="1:38" x14ac:dyDescent="0.25">
      <c r="A15" s="1">
        <v>46197</v>
      </c>
      <c r="B15" s="1">
        <v>46197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102</v>
      </c>
      <c r="J15" t="s">
        <v>103</v>
      </c>
      <c r="M15" t="s">
        <v>104</v>
      </c>
      <c r="O15" t="s">
        <v>105</v>
      </c>
      <c r="P15" t="s">
        <v>106</v>
      </c>
      <c r="Q15" t="s">
        <v>49</v>
      </c>
      <c r="R15" t="s">
        <v>107</v>
      </c>
      <c r="S15" s="1">
        <v>46174</v>
      </c>
      <c r="U15" t="s">
        <v>51</v>
      </c>
      <c r="X15" t="s">
        <v>52</v>
      </c>
      <c r="Y15" s="2">
        <v>0</v>
      </c>
      <c r="Z15" s="2">
        <v>14.58</v>
      </c>
      <c r="AA15">
        <v>1</v>
      </c>
      <c r="AB15" s="3">
        <v>1</v>
      </c>
      <c r="AC15" s="2">
        <v>14.58</v>
      </c>
      <c r="AD15" s="3">
        <v>0</v>
      </c>
      <c r="AE15" s="2">
        <v>0</v>
      </c>
      <c r="AF15" s="2">
        <v>14.58</v>
      </c>
      <c r="AK15">
        <v>6977054</v>
      </c>
      <c r="AL15" t="s">
        <v>108</v>
      </c>
    </row>
    <row r="16" spans="1:38" x14ac:dyDescent="0.25">
      <c r="A16" s="1">
        <v>46197</v>
      </c>
      <c r="B16" s="1">
        <v>46197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109</v>
      </c>
      <c r="J16" t="s">
        <v>110</v>
      </c>
      <c r="M16" t="s">
        <v>111</v>
      </c>
      <c r="O16" t="s">
        <v>112</v>
      </c>
      <c r="P16" t="s">
        <v>113</v>
      </c>
      <c r="Q16" t="s">
        <v>49</v>
      </c>
      <c r="R16" t="s">
        <v>107</v>
      </c>
      <c r="S16" s="1">
        <v>46174</v>
      </c>
      <c r="U16" t="s">
        <v>51</v>
      </c>
      <c r="X16" t="s">
        <v>52</v>
      </c>
      <c r="Y16" s="2">
        <v>0</v>
      </c>
      <c r="Z16" s="2">
        <v>14.58</v>
      </c>
      <c r="AA16">
        <v>1</v>
      </c>
      <c r="AB16" s="3">
        <v>1</v>
      </c>
      <c r="AC16" s="2">
        <v>14.58</v>
      </c>
      <c r="AD16" s="3">
        <v>0</v>
      </c>
      <c r="AE16" s="2">
        <v>0</v>
      </c>
      <c r="AF16" s="2">
        <v>14.58</v>
      </c>
      <c r="AK16">
        <v>6977061</v>
      </c>
      <c r="AL16" t="s">
        <v>108</v>
      </c>
    </row>
    <row r="17" spans="1:38" x14ac:dyDescent="0.25">
      <c r="A17" s="1">
        <v>46197</v>
      </c>
      <c r="B17" s="1">
        <v>46197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114</v>
      </c>
      <c r="J17" t="s">
        <v>115</v>
      </c>
      <c r="M17" t="s">
        <v>116</v>
      </c>
      <c r="O17" t="s">
        <v>105</v>
      </c>
      <c r="P17" t="s">
        <v>106</v>
      </c>
      <c r="Q17" t="s">
        <v>49</v>
      </c>
      <c r="R17" t="s">
        <v>107</v>
      </c>
      <c r="S17" s="1">
        <v>46174</v>
      </c>
      <c r="U17" t="s">
        <v>51</v>
      </c>
      <c r="X17" t="s">
        <v>52</v>
      </c>
      <c r="Y17" s="2">
        <v>0</v>
      </c>
      <c r="Z17" s="2">
        <v>14.58</v>
      </c>
      <c r="AA17">
        <v>1</v>
      </c>
      <c r="AB17" s="3">
        <v>1</v>
      </c>
      <c r="AC17" s="2">
        <v>14.58</v>
      </c>
      <c r="AD17" s="3">
        <v>0</v>
      </c>
      <c r="AE17" s="2">
        <v>0</v>
      </c>
      <c r="AF17" s="2">
        <v>14.58</v>
      </c>
      <c r="AK17">
        <v>6977067</v>
      </c>
      <c r="AL17" t="s">
        <v>108</v>
      </c>
    </row>
    <row r="18" spans="1:38" x14ac:dyDescent="0.25">
      <c r="A18" s="1">
        <v>46197</v>
      </c>
      <c r="B18" s="1">
        <v>46197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117</v>
      </c>
      <c r="J18" t="s">
        <v>118</v>
      </c>
      <c r="M18" t="s">
        <v>119</v>
      </c>
      <c r="O18" t="s">
        <v>94</v>
      </c>
      <c r="P18" t="s">
        <v>95</v>
      </c>
      <c r="Q18" t="s">
        <v>49</v>
      </c>
      <c r="R18" t="s">
        <v>107</v>
      </c>
      <c r="S18" s="1">
        <v>46174</v>
      </c>
      <c r="U18" t="s">
        <v>51</v>
      </c>
      <c r="X18" t="s">
        <v>52</v>
      </c>
      <c r="Y18" s="2">
        <v>0</v>
      </c>
      <c r="Z18" s="2">
        <v>14.58</v>
      </c>
      <c r="AA18">
        <v>1</v>
      </c>
      <c r="AB18" s="3">
        <v>1</v>
      </c>
      <c r="AC18" s="2">
        <v>14.58</v>
      </c>
      <c r="AD18" s="3">
        <v>0</v>
      </c>
      <c r="AE18" s="2">
        <v>0</v>
      </c>
      <c r="AF18" s="2">
        <v>14.58</v>
      </c>
      <c r="AK18">
        <v>6977080</v>
      </c>
      <c r="AL18" t="s">
        <v>108</v>
      </c>
    </row>
    <row r="19" spans="1:38" x14ac:dyDescent="0.25">
      <c r="A19" s="1">
        <v>46197</v>
      </c>
      <c r="B19" s="1">
        <v>46197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120</v>
      </c>
      <c r="J19" t="s">
        <v>121</v>
      </c>
      <c r="M19" t="s">
        <v>60</v>
      </c>
      <c r="O19" t="s">
        <v>122</v>
      </c>
      <c r="P19" t="s">
        <v>123</v>
      </c>
      <c r="Q19" t="s">
        <v>49</v>
      </c>
      <c r="R19" t="s">
        <v>107</v>
      </c>
      <c r="S19" s="1">
        <v>46174</v>
      </c>
      <c r="U19" t="s">
        <v>51</v>
      </c>
      <c r="X19" t="s">
        <v>52</v>
      </c>
      <c r="Y19" s="2">
        <v>0</v>
      </c>
      <c r="Z19" s="2">
        <v>14.58</v>
      </c>
      <c r="AA19">
        <v>1</v>
      </c>
      <c r="AB19" s="3">
        <v>1</v>
      </c>
      <c r="AC19" s="2">
        <v>14.58</v>
      </c>
      <c r="AD19" s="3">
        <v>0</v>
      </c>
      <c r="AE19" s="2">
        <v>0</v>
      </c>
      <c r="AF19" s="2">
        <v>14.58</v>
      </c>
      <c r="AK19">
        <v>6977088</v>
      </c>
      <c r="AL19" t="s">
        <v>108</v>
      </c>
    </row>
    <row r="20" spans="1:38" x14ac:dyDescent="0.25">
      <c r="A20" s="1">
        <v>46197</v>
      </c>
      <c r="B20" s="1">
        <v>46197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124</v>
      </c>
      <c r="J20" t="s">
        <v>125</v>
      </c>
      <c r="M20" t="s">
        <v>111</v>
      </c>
      <c r="O20" t="s">
        <v>126</v>
      </c>
      <c r="P20" t="s">
        <v>127</v>
      </c>
      <c r="Q20" t="s">
        <v>49</v>
      </c>
      <c r="R20" t="s">
        <v>107</v>
      </c>
      <c r="S20" s="1">
        <v>46174</v>
      </c>
      <c r="U20" t="s">
        <v>51</v>
      </c>
      <c r="X20" t="s">
        <v>52</v>
      </c>
      <c r="Y20" s="2">
        <v>0</v>
      </c>
      <c r="Z20" s="2">
        <v>14.58</v>
      </c>
      <c r="AA20">
        <v>1</v>
      </c>
      <c r="AB20" s="3">
        <v>1</v>
      </c>
      <c r="AC20" s="2">
        <v>14.58</v>
      </c>
      <c r="AD20" s="3">
        <v>0</v>
      </c>
      <c r="AE20" s="2">
        <v>0</v>
      </c>
      <c r="AF20" s="2">
        <v>14.58</v>
      </c>
      <c r="AK20">
        <v>6977090</v>
      </c>
      <c r="AL20" t="s">
        <v>108</v>
      </c>
    </row>
    <row r="21" spans="1:38" x14ac:dyDescent="0.25">
      <c r="A21" s="1">
        <v>46197</v>
      </c>
      <c r="B21" s="1">
        <v>46197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128</v>
      </c>
      <c r="J21" t="s">
        <v>129</v>
      </c>
      <c r="M21" t="s">
        <v>111</v>
      </c>
      <c r="O21" t="s">
        <v>130</v>
      </c>
      <c r="P21" t="s">
        <v>131</v>
      </c>
      <c r="Q21" t="s">
        <v>49</v>
      </c>
      <c r="R21" t="s">
        <v>107</v>
      </c>
      <c r="S21" s="1">
        <v>46174</v>
      </c>
      <c r="U21" t="s">
        <v>51</v>
      </c>
      <c r="X21" t="s">
        <v>52</v>
      </c>
      <c r="Y21" s="2">
        <v>0</v>
      </c>
      <c r="Z21" s="2">
        <v>14.58</v>
      </c>
      <c r="AA21">
        <v>1</v>
      </c>
      <c r="AB21" s="3">
        <v>1</v>
      </c>
      <c r="AC21" s="2">
        <v>14.58</v>
      </c>
      <c r="AD21" s="3">
        <v>0</v>
      </c>
      <c r="AE21" s="2">
        <v>0</v>
      </c>
      <c r="AF21" s="2">
        <v>14.58</v>
      </c>
      <c r="AK21">
        <v>6977096</v>
      </c>
      <c r="AL21" t="s">
        <v>108</v>
      </c>
    </row>
    <row r="22" spans="1:38" x14ac:dyDescent="0.25">
      <c r="A22" s="1">
        <v>46197</v>
      </c>
      <c r="B22" s="1">
        <v>46197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132</v>
      </c>
      <c r="J22" t="s">
        <v>133</v>
      </c>
      <c r="M22" t="s">
        <v>60</v>
      </c>
      <c r="O22" t="s">
        <v>134</v>
      </c>
      <c r="P22" t="s">
        <v>135</v>
      </c>
      <c r="Q22" t="s">
        <v>49</v>
      </c>
      <c r="R22" t="s">
        <v>107</v>
      </c>
      <c r="S22" s="1">
        <v>46204</v>
      </c>
      <c r="U22" t="s">
        <v>51</v>
      </c>
      <c r="X22" t="s">
        <v>52</v>
      </c>
      <c r="Y22" s="2">
        <v>0</v>
      </c>
      <c r="Z22" s="2">
        <v>12.5</v>
      </c>
      <c r="AA22">
        <v>1</v>
      </c>
      <c r="AB22" s="3">
        <v>1</v>
      </c>
      <c r="AC22" s="2">
        <v>12.5</v>
      </c>
      <c r="AD22" s="3">
        <v>0</v>
      </c>
      <c r="AE22" s="2">
        <v>0</v>
      </c>
      <c r="AF22" s="2">
        <v>12.5</v>
      </c>
      <c r="AK22">
        <v>6977100</v>
      </c>
      <c r="AL22" t="s">
        <v>136</v>
      </c>
    </row>
    <row r="23" spans="1:38" x14ac:dyDescent="0.25">
      <c r="A23" s="1">
        <v>46197</v>
      </c>
      <c r="B23" s="1">
        <v>46197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137</v>
      </c>
      <c r="J23" t="s">
        <v>138</v>
      </c>
      <c r="M23" t="s">
        <v>60</v>
      </c>
      <c r="O23" t="s">
        <v>139</v>
      </c>
      <c r="P23" t="s">
        <v>140</v>
      </c>
      <c r="Q23" t="s">
        <v>49</v>
      </c>
      <c r="R23" t="s">
        <v>107</v>
      </c>
      <c r="S23" s="1">
        <v>46204</v>
      </c>
      <c r="U23" t="s">
        <v>51</v>
      </c>
      <c r="X23" t="s">
        <v>52</v>
      </c>
      <c r="Y23" s="2">
        <v>0</v>
      </c>
      <c r="Z23" s="2">
        <v>12.5</v>
      </c>
      <c r="AA23">
        <v>1</v>
      </c>
      <c r="AB23" s="3">
        <v>1</v>
      </c>
      <c r="AC23" s="2">
        <v>12.5</v>
      </c>
      <c r="AD23" s="3">
        <v>0</v>
      </c>
      <c r="AE23" s="2">
        <v>0</v>
      </c>
      <c r="AF23" s="2">
        <v>12.5</v>
      </c>
      <c r="AK23">
        <v>6977103</v>
      </c>
      <c r="AL23" t="s">
        <v>136</v>
      </c>
    </row>
    <row r="24" spans="1:38" x14ac:dyDescent="0.25">
      <c r="A24" s="1">
        <v>46197</v>
      </c>
      <c r="B24" s="1">
        <v>46197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141</v>
      </c>
      <c r="J24" t="s">
        <v>142</v>
      </c>
      <c r="M24" t="s">
        <v>60</v>
      </c>
      <c r="O24" t="s">
        <v>76</v>
      </c>
      <c r="P24" t="s">
        <v>77</v>
      </c>
      <c r="Q24" t="s">
        <v>49</v>
      </c>
      <c r="R24" t="s">
        <v>107</v>
      </c>
      <c r="S24" s="1">
        <v>46174</v>
      </c>
      <c r="U24" t="s">
        <v>51</v>
      </c>
      <c r="X24" t="s">
        <v>52</v>
      </c>
      <c r="Y24" s="2">
        <v>0</v>
      </c>
      <c r="Z24" s="2">
        <v>14.58</v>
      </c>
      <c r="AA24">
        <v>1</v>
      </c>
      <c r="AB24" s="3">
        <v>1</v>
      </c>
      <c r="AC24" s="2">
        <v>14.58</v>
      </c>
      <c r="AD24" s="3">
        <v>0</v>
      </c>
      <c r="AE24" s="2">
        <v>0</v>
      </c>
      <c r="AF24" s="2">
        <v>14.58</v>
      </c>
      <c r="AK24">
        <v>6977116</v>
      </c>
      <c r="AL24" t="s">
        <v>108</v>
      </c>
    </row>
    <row r="25" spans="1:38" x14ac:dyDescent="0.25">
      <c r="A25" s="1">
        <v>46197</v>
      </c>
      <c r="B25" s="1">
        <v>46197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143</v>
      </c>
      <c r="J25" t="s">
        <v>144</v>
      </c>
      <c r="M25" t="s">
        <v>60</v>
      </c>
      <c r="O25" t="s">
        <v>122</v>
      </c>
      <c r="P25" t="s">
        <v>123</v>
      </c>
      <c r="Q25" t="s">
        <v>49</v>
      </c>
      <c r="R25" t="s">
        <v>107</v>
      </c>
      <c r="S25" s="1">
        <v>46235</v>
      </c>
      <c r="U25" t="s">
        <v>51</v>
      </c>
      <c r="X25" t="s">
        <v>52</v>
      </c>
      <c r="Y25" s="2">
        <v>0</v>
      </c>
      <c r="Z25" s="2">
        <v>10.42</v>
      </c>
      <c r="AA25">
        <v>1</v>
      </c>
      <c r="AB25" s="3">
        <v>1</v>
      </c>
      <c r="AC25" s="2">
        <v>10.42</v>
      </c>
      <c r="AD25" s="3">
        <v>0</v>
      </c>
      <c r="AE25" s="2">
        <v>0</v>
      </c>
      <c r="AF25" s="2">
        <v>10.42</v>
      </c>
      <c r="AK25">
        <v>6977118</v>
      </c>
      <c r="AL25" t="s">
        <v>145</v>
      </c>
    </row>
    <row r="26" spans="1:38" x14ac:dyDescent="0.25">
      <c r="A26" s="1">
        <v>46197</v>
      </c>
      <c r="B26" s="1">
        <v>46197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146</v>
      </c>
      <c r="J26" t="s">
        <v>147</v>
      </c>
      <c r="M26" t="s">
        <v>60</v>
      </c>
      <c r="O26" t="s">
        <v>94</v>
      </c>
      <c r="P26" t="s">
        <v>95</v>
      </c>
      <c r="Q26" t="s">
        <v>49</v>
      </c>
      <c r="R26" t="s">
        <v>107</v>
      </c>
      <c r="S26" s="1">
        <v>46174</v>
      </c>
      <c r="U26" t="s">
        <v>51</v>
      </c>
      <c r="X26" t="s">
        <v>52</v>
      </c>
      <c r="Y26" s="2">
        <v>0</v>
      </c>
      <c r="Z26" s="2">
        <v>14.58</v>
      </c>
      <c r="AA26">
        <v>1</v>
      </c>
      <c r="AB26" s="3">
        <v>1</v>
      </c>
      <c r="AC26" s="2">
        <v>14.58</v>
      </c>
      <c r="AD26" s="3">
        <v>0</v>
      </c>
      <c r="AE26" s="2">
        <v>0</v>
      </c>
      <c r="AF26" s="2">
        <v>14.58</v>
      </c>
      <c r="AK26">
        <v>6977125</v>
      </c>
      <c r="AL26" t="s">
        <v>108</v>
      </c>
    </row>
    <row r="27" spans="1:38" x14ac:dyDescent="0.25">
      <c r="A27" s="1">
        <v>46197</v>
      </c>
      <c r="B27" s="1">
        <v>46197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148</v>
      </c>
      <c r="J27" t="s">
        <v>149</v>
      </c>
      <c r="M27" t="s">
        <v>150</v>
      </c>
      <c r="O27" t="s">
        <v>151</v>
      </c>
      <c r="P27" t="s">
        <v>152</v>
      </c>
      <c r="Q27" t="s">
        <v>49</v>
      </c>
      <c r="R27" t="s">
        <v>107</v>
      </c>
      <c r="S27" s="1">
        <v>46204</v>
      </c>
      <c r="U27" t="s">
        <v>51</v>
      </c>
      <c r="X27" t="s">
        <v>52</v>
      </c>
      <c r="Y27" s="2">
        <v>0</v>
      </c>
      <c r="Z27" s="2">
        <v>12.5</v>
      </c>
      <c r="AA27">
        <v>1</v>
      </c>
      <c r="AB27" s="3">
        <v>1</v>
      </c>
      <c r="AC27" s="2">
        <v>12.5</v>
      </c>
      <c r="AD27" s="3">
        <v>0</v>
      </c>
      <c r="AE27" s="2">
        <v>0</v>
      </c>
      <c r="AF27" s="2">
        <v>12.5</v>
      </c>
      <c r="AK27">
        <v>6977129</v>
      </c>
      <c r="AL27" t="s">
        <v>136</v>
      </c>
    </row>
    <row r="28" spans="1:38" x14ac:dyDescent="0.25">
      <c r="A28" s="1">
        <v>46197</v>
      </c>
      <c r="B28" s="1">
        <v>46197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153</v>
      </c>
      <c r="J28" t="s">
        <v>154</v>
      </c>
      <c r="M28" t="s">
        <v>150</v>
      </c>
      <c r="O28" t="s">
        <v>151</v>
      </c>
      <c r="P28" t="s">
        <v>152</v>
      </c>
      <c r="Q28" t="s">
        <v>49</v>
      </c>
      <c r="R28" t="s">
        <v>107</v>
      </c>
      <c r="S28" s="1">
        <v>46204</v>
      </c>
      <c r="U28" t="s">
        <v>51</v>
      </c>
      <c r="X28" t="s">
        <v>52</v>
      </c>
      <c r="Y28" s="2">
        <v>0</v>
      </c>
      <c r="Z28" s="2">
        <v>12.5</v>
      </c>
      <c r="AA28">
        <v>1</v>
      </c>
      <c r="AB28" s="3">
        <v>1</v>
      </c>
      <c r="AC28" s="2">
        <v>12.5</v>
      </c>
      <c r="AD28" s="3">
        <v>0</v>
      </c>
      <c r="AE28" s="2">
        <v>0</v>
      </c>
      <c r="AF28" s="2">
        <v>12.5</v>
      </c>
      <c r="AK28">
        <v>6977131</v>
      </c>
      <c r="AL28" t="s">
        <v>136</v>
      </c>
    </row>
    <row r="29" spans="1:38" x14ac:dyDescent="0.25">
      <c r="A29" s="1">
        <v>46197</v>
      </c>
      <c r="B29" s="1">
        <v>46197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155</v>
      </c>
      <c r="J29" t="s">
        <v>156</v>
      </c>
      <c r="M29" t="s">
        <v>150</v>
      </c>
      <c r="O29" t="s">
        <v>151</v>
      </c>
      <c r="P29" t="s">
        <v>152</v>
      </c>
      <c r="Q29" t="s">
        <v>49</v>
      </c>
      <c r="R29" t="s">
        <v>107</v>
      </c>
      <c r="S29" s="1">
        <v>46204</v>
      </c>
      <c r="U29" t="s">
        <v>51</v>
      </c>
      <c r="X29" t="s">
        <v>52</v>
      </c>
      <c r="Y29" s="2">
        <v>0</v>
      </c>
      <c r="Z29" s="2">
        <v>12.5</v>
      </c>
      <c r="AA29">
        <v>1</v>
      </c>
      <c r="AB29" s="3">
        <v>1</v>
      </c>
      <c r="AC29" s="2">
        <v>12.5</v>
      </c>
      <c r="AD29" s="3">
        <v>0</v>
      </c>
      <c r="AE29" s="2">
        <v>0</v>
      </c>
      <c r="AF29" s="2">
        <v>12.5</v>
      </c>
      <c r="AK29">
        <v>6977132</v>
      </c>
      <c r="AL29" t="s">
        <v>136</v>
      </c>
    </row>
    <row r="30" spans="1:38" x14ac:dyDescent="0.25">
      <c r="A30" s="1">
        <v>46197</v>
      </c>
      <c r="B30" s="1">
        <v>46197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157</v>
      </c>
      <c r="J30" t="s">
        <v>158</v>
      </c>
      <c r="M30" t="s">
        <v>159</v>
      </c>
      <c r="O30" t="s">
        <v>160</v>
      </c>
      <c r="P30" t="s">
        <v>161</v>
      </c>
      <c r="Q30" t="s">
        <v>49</v>
      </c>
      <c r="R30" t="s">
        <v>107</v>
      </c>
      <c r="S30" s="1">
        <v>46174</v>
      </c>
      <c r="U30" t="s">
        <v>51</v>
      </c>
      <c r="X30" t="s">
        <v>52</v>
      </c>
      <c r="Y30" s="2">
        <v>0</v>
      </c>
      <c r="Z30" s="2">
        <v>14.58</v>
      </c>
      <c r="AA30">
        <v>1</v>
      </c>
      <c r="AB30" s="3">
        <v>1</v>
      </c>
      <c r="AC30" s="2">
        <v>14.58</v>
      </c>
      <c r="AD30" s="3">
        <v>0</v>
      </c>
      <c r="AE30" s="2">
        <v>0</v>
      </c>
      <c r="AF30" s="2">
        <v>14.58</v>
      </c>
      <c r="AK30">
        <v>6977134</v>
      </c>
      <c r="AL30" t="s">
        <v>108</v>
      </c>
    </row>
    <row r="31" spans="1:38" x14ac:dyDescent="0.25">
      <c r="A31" s="1">
        <v>46197</v>
      </c>
      <c r="B31" s="1">
        <v>46197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162</v>
      </c>
      <c r="J31" t="s">
        <v>163</v>
      </c>
      <c r="M31" t="s">
        <v>60</v>
      </c>
      <c r="O31" t="s">
        <v>122</v>
      </c>
      <c r="P31" t="s">
        <v>123</v>
      </c>
      <c r="Q31" t="s">
        <v>49</v>
      </c>
      <c r="R31" t="s">
        <v>107</v>
      </c>
      <c r="S31" s="1">
        <v>46204</v>
      </c>
      <c r="U31" t="s">
        <v>51</v>
      </c>
      <c r="X31" t="s">
        <v>52</v>
      </c>
      <c r="Y31" s="2">
        <v>0</v>
      </c>
      <c r="Z31" s="2">
        <v>12.5</v>
      </c>
      <c r="AA31">
        <v>1</v>
      </c>
      <c r="AB31" s="3">
        <v>1</v>
      </c>
      <c r="AC31" s="2">
        <v>12.5</v>
      </c>
      <c r="AD31" s="3">
        <v>0</v>
      </c>
      <c r="AE31" s="2">
        <v>0</v>
      </c>
      <c r="AF31" s="2">
        <v>12.5</v>
      </c>
      <c r="AK31">
        <v>6977136</v>
      </c>
      <c r="AL31" t="s">
        <v>136</v>
      </c>
    </row>
    <row r="32" spans="1:38" x14ac:dyDescent="0.25">
      <c r="A32" s="1">
        <v>46197</v>
      </c>
      <c r="B32" s="1">
        <v>46197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164</v>
      </c>
      <c r="J32" t="s">
        <v>165</v>
      </c>
      <c r="M32" t="s">
        <v>80</v>
      </c>
      <c r="O32" t="s">
        <v>166</v>
      </c>
      <c r="P32" t="s">
        <v>167</v>
      </c>
      <c r="Q32" t="s">
        <v>49</v>
      </c>
      <c r="R32" t="s">
        <v>107</v>
      </c>
      <c r="S32" s="1">
        <v>46174</v>
      </c>
      <c r="U32" t="s">
        <v>51</v>
      </c>
      <c r="X32" t="s">
        <v>52</v>
      </c>
      <c r="Y32" s="2">
        <v>0</v>
      </c>
      <c r="Z32" s="2">
        <v>14.58</v>
      </c>
      <c r="AA32">
        <v>1</v>
      </c>
      <c r="AB32" s="3">
        <v>1</v>
      </c>
      <c r="AC32" s="2">
        <v>14.58</v>
      </c>
      <c r="AD32" s="3">
        <v>0</v>
      </c>
      <c r="AE32" s="2">
        <v>0</v>
      </c>
      <c r="AF32" s="2">
        <v>14.58</v>
      </c>
      <c r="AK32">
        <v>6977141</v>
      </c>
      <c r="AL32" t="s">
        <v>108</v>
      </c>
    </row>
    <row r="33" spans="1:38" x14ac:dyDescent="0.25">
      <c r="A33" s="1">
        <v>46197</v>
      </c>
      <c r="B33" s="1">
        <v>46197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168</v>
      </c>
      <c r="J33" t="s">
        <v>169</v>
      </c>
      <c r="M33" t="s">
        <v>80</v>
      </c>
      <c r="O33" t="s">
        <v>170</v>
      </c>
      <c r="P33" t="s">
        <v>171</v>
      </c>
      <c r="Q33" t="s">
        <v>49</v>
      </c>
      <c r="R33" t="s">
        <v>107</v>
      </c>
      <c r="S33" s="1">
        <v>46235</v>
      </c>
      <c r="U33" t="s">
        <v>51</v>
      </c>
      <c r="X33" t="s">
        <v>52</v>
      </c>
      <c r="Y33" s="2">
        <v>0</v>
      </c>
      <c r="Z33" s="2">
        <v>10.42</v>
      </c>
      <c r="AA33">
        <v>1</v>
      </c>
      <c r="AB33" s="3">
        <v>1</v>
      </c>
      <c r="AC33" s="2">
        <v>10.42</v>
      </c>
      <c r="AD33" s="3">
        <v>0</v>
      </c>
      <c r="AE33" s="2">
        <v>0</v>
      </c>
      <c r="AF33" s="2">
        <v>10.42</v>
      </c>
      <c r="AK33">
        <v>6977149</v>
      </c>
      <c r="AL33" t="s">
        <v>145</v>
      </c>
    </row>
    <row r="34" spans="1:38" x14ac:dyDescent="0.25">
      <c r="A34" s="1">
        <v>46197</v>
      </c>
      <c r="B34" s="1">
        <v>46197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172</v>
      </c>
      <c r="J34" t="s">
        <v>173</v>
      </c>
      <c r="M34" t="s">
        <v>111</v>
      </c>
      <c r="O34" t="s">
        <v>174</v>
      </c>
      <c r="P34" t="s">
        <v>175</v>
      </c>
      <c r="Q34" t="s">
        <v>49</v>
      </c>
      <c r="R34" t="s">
        <v>107</v>
      </c>
      <c r="S34" s="1">
        <v>46174</v>
      </c>
      <c r="U34" t="s">
        <v>51</v>
      </c>
      <c r="X34" t="s">
        <v>52</v>
      </c>
      <c r="Y34" s="2">
        <v>0</v>
      </c>
      <c r="Z34" s="2">
        <v>14.58</v>
      </c>
      <c r="AA34">
        <v>1</v>
      </c>
      <c r="AB34" s="3">
        <v>1</v>
      </c>
      <c r="AC34" s="2">
        <v>14.58</v>
      </c>
      <c r="AD34" s="3">
        <v>0</v>
      </c>
      <c r="AE34" s="2">
        <v>0</v>
      </c>
      <c r="AF34" s="2">
        <v>14.58</v>
      </c>
      <c r="AK34">
        <v>6977151</v>
      </c>
      <c r="AL34" t="s">
        <v>108</v>
      </c>
    </row>
    <row r="35" spans="1:38" x14ac:dyDescent="0.25">
      <c r="A35" s="1">
        <v>46197</v>
      </c>
      <c r="B35" s="1">
        <v>46197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176</v>
      </c>
      <c r="J35" t="s">
        <v>177</v>
      </c>
      <c r="M35" t="s">
        <v>60</v>
      </c>
      <c r="O35" t="s">
        <v>178</v>
      </c>
      <c r="P35" t="s">
        <v>179</v>
      </c>
      <c r="Q35" t="s">
        <v>49</v>
      </c>
      <c r="R35" t="s">
        <v>107</v>
      </c>
      <c r="S35" s="1">
        <v>46204</v>
      </c>
      <c r="U35" t="s">
        <v>51</v>
      </c>
      <c r="X35" t="s">
        <v>52</v>
      </c>
      <c r="Y35" s="2">
        <v>0</v>
      </c>
      <c r="Z35" s="2">
        <v>12.5</v>
      </c>
      <c r="AA35">
        <v>1</v>
      </c>
      <c r="AB35" s="3">
        <v>1</v>
      </c>
      <c r="AC35" s="2">
        <v>12.5</v>
      </c>
      <c r="AD35" s="3">
        <v>0</v>
      </c>
      <c r="AE35" s="2">
        <v>0</v>
      </c>
      <c r="AF35" s="2">
        <v>12.5</v>
      </c>
      <c r="AK35">
        <v>6977173</v>
      </c>
      <c r="AL35" t="s">
        <v>136</v>
      </c>
    </row>
    <row r="36" spans="1:38" x14ac:dyDescent="0.25">
      <c r="A36" s="1">
        <v>46197</v>
      </c>
      <c r="B36" s="1">
        <v>46197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180</v>
      </c>
      <c r="J36" t="s">
        <v>181</v>
      </c>
      <c r="M36" t="s">
        <v>60</v>
      </c>
      <c r="O36" t="s">
        <v>182</v>
      </c>
      <c r="P36" t="s">
        <v>183</v>
      </c>
      <c r="Q36" t="s">
        <v>49</v>
      </c>
      <c r="R36" t="s">
        <v>184</v>
      </c>
      <c r="S36" s="1">
        <v>46204</v>
      </c>
      <c r="U36" t="s">
        <v>51</v>
      </c>
      <c r="X36" t="s">
        <v>52</v>
      </c>
      <c r="Y36" s="2">
        <v>0</v>
      </c>
      <c r="Z36" s="2">
        <v>100</v>
      </c>
      <c r="AA36">
        <v>1</v>
      </c>
      <c r="AB36" s="3">
        <v>1</v>
      </c>
      <c r="AC36" s="2">
        <v>100</v>
      </c>
      <c r="AD36" s="3">
        <v>0</v>
      </c>
      <c r="AE36" s="2">
        <v>0</v>
      </c>
      <c r="AF36" s="2">
        <v>100</v>
      </c>
      <c r="AK36">
        <v>6977215</v>
      </c>
    </row>
    <row r="37" spans="1:38" x14ac:dyDescent="0.25">
      <c r="A37" s="1">
        <v>46197</v>
      </c>
      <c r="B37" s="1">
        <v>46197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185</v>
      </c>
      <c r="J37" t="s">
        <v>186</v>
      </c>
      <c r="M37" t="s">
        <v>116</v>
      </c>
      <c r="O37" t="s">
        <v>160</v>
      </c>
      <c r="P37" t="s">
        <v>161</v>
      </c>
      <c r="Q37" t="s">
        <v>49</v>
      </c>
      <c r="R37" t="s">
        <v>187</v>
      </c>
      <c r="S37" s="1">
        <v>46143</v>
      </c>
      <c r="U37" t="s">
        <v>51</v>
      </c>
      <c r="X37" t="s">
        <v>52</v>
      </c>
      <c r="Y37" s="2">
        <v>0</v>
      </c>
      <c r="Z37" s="2">
        <v>175</v>
      </c>
      <c r="AA37">
        <v>1</v>
      </c>
      <c r="AB37" s="3">
        <v>1</v>
      </c>
      <c r="AC37" s="2">
        <v>175</v>
      </c>
      <c r="AD37" s="3">
        <v>0</v>
      </c>
      <c r="AE37" s="2">
        <v>0</v>
      </c>
      <c r="AF37" s="2">
        <v>175</v>
      </c>
      <c r="AK37">
        <v>6977678</v>
      </c>
    </row>
    <row r="38" spans="1:38" x14ac:dyDescent="0.25">
      <c r="A38" s="1">
        <v>46197</v>
      </c>
      <c r="B38" s="1">
        <v>46197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188</v>
      </c>
      <c r="J38" t="s">
        <v>189</v>
      </c>
      <c r="M38" t="s">
        <v>60</v>
      </c>
      <c r="O38" t="s">
        <v>190</v>
      </c>
      <c r="P38" t="s">
        <v>191</v>
      </c>
      <c r="Q38" t="s">
        <v>49</v>
      </c>
      <c r="R38" t="s">
        <v>184</v>
      </c>
      <c r="S38" s="1">
        <v>46204</v>
      </c>
      <c r="U38" t="s">
        <v>51</v>
      </c>
      <c r="X38" t="s">
        <v>52</v>
      </c>
      <c r="Y38" s="2">
        <v>0</v>
      </c>
      <c r="Z38" s="2">
        <v>100</v>
      </c>
      <c r="AA38">
        <v>1</v>
      </c>
      <c r="AB38" s="3">
        <v>1</v>
      </c>
      <c r="AC38" s="2">
        <v>100</v>
      </c>
      <c r="AD38" s="3">
        <v>0</v>
      </c>
      <c r="AE38" s="2">
        <v>0</v>
      </c>
      <c r="AF38" s="2">
        <v>100</v>
      </c>
      <c r="AK38">
        <v>6977213</v>
      </c>
    </row>
    <row r="39" spans="1:38" x14ac:dyDescent="0.25">
      <c r="A39" s="1">
        <v>46197</v>
      </c>
      <c r="B39" s="1">
        <v>46197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192</v>
      </c>
      <c r="J39" t="s">
        <v>193</v>
      </c>
      <c r="M39" t="s">
        <v>116</v>
      </c>
      <c r="O39" t="s">
        <v>194</v>
      </c>
      <c r="P39" t="s">
        <v>195</v>
      </c>
      <c r="Q39" t="s">
        <v>49</v>
      </c>
      <c r="R39" t="s">
        <v>187</v>
      </c>
      <c r="S39" s="1">
        <v>46143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6977683</v>
      </c>
    </row>
    <row r="40" spans="1:38" x14ac:dyDescent="0.25">
      <c r="A40" s="1">
        <v>46197</v>
      </c>
      <c r="B40" s="1">
        <v>46197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196</v>
      </c>
      <c r="J40" t="s">
        <v>197</v>
      </c>
      <c r="M40" t="s">
        <v>198</v>
      </c>
      <c r="O40" t="s">
        <v>199</v>
      </c>
      <c r="P40" t="s">
        <v>200</v>
      </c>
      <c r="Q40" t="s">
        <v>49</v>
      </c>
      <c r="R40" t="s">
        <v>201</v>
      </c>
      <c r="S40" s="1">
        <v>46204</v>
      </c>
      <c r="U40" t="s">
        <v>51</v>
      </c>
      <c r="X40" t="s">
        <v>52</v>
      </c>
      <c r="Y40" s="2">
        <v>0</v>
      </c>
      <c r="Z40" s="2">
        <v>173.5</v>
      </c>
      <c r="AA40">
        <v>1</v>
      </c>
      <c r="AB40" s="3">
        <v>1</v>
      </c>
      <c r="AC40" s="2">
        <v>173.5</v>
      </c>
      <c r="AD40" s="3">
        <v>0</v>
      </c>
      <c r="AE40" s="2">
        <v>0</v>
      </c>
      <c r="AF40" s="2">
        <v>173.5</v>
      </c>
      <c r="AK40">
        <v>6977489</v>
      </c>
      <c r="AL40" t="s">
        <v>136</v>
      </c>
    </row>
    <row r="41" spans="1:38" x14ac:dyDescent="0.25">
      <c r="A41" s="1">
        <v>46197</v>
      </c>
      <c r="B41" s="1">
        <v>46197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202</v>
      </c>
      <c r="J41" t="s">
        <v>197</v>
      </c>
      <c r="M41" t="s">
        <v>198</v>
      </c>
      <c r="O41" t="s">
        <v>199</v>
      </c>
      <c r="P41" t="s">
        <v>200</v>
      </c>
      <c r="Q41" t="s">
        <v>49</v>
      </c>
      <c r="R41" t="s">
        <v>203</v>
      </c>
      <c r="S41" s="1">
        <v>46204</v>
      </c>
      <c r="U41" t="s">
        <v>51</v>
      </c>
      <c r="X41" t="s">
        <v>52</v>
      </c>
      <c r="Y41" s="2">
        <v>0</v>
      </c>
      <c r="Z41" s="2">
        <v>36</v>
      </c>
      <c r="AA41">
        <v>1</v>
      </c>
      <c r="AB41" s="3">
        <v>1</v>
      </c>
      <c r="AC41" s="2">
        <v>36</v>
      </c>
      <c r="AD41" s="3">
        <v>0</v>
      </c>
      <c r="AE41" s="2">
        <v>0</v>
      </c>
      <c r="AF41" s="2">
        <v>36</v>
      </c>
      <c r="AK41">
        <v>6977490</v>
      </c>
      <c r="AL41" t="s">
        <v>136</v>
      </c>
    </row>
    <row r="42" spans="1:38" x14ac:dyDescent="0.25">
      <c r="A42" s="1">
        <v>46197</v>
      </c>
      <c r="B42" s="1">
        <v>46197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204</v>
      </c>
      <c r="J42" t="s">
        <v>205</v>
      </c>
      <c r="M42" t="s">
        <v>111</v>
      </c>
      <c r="O42" t="s">
        <v>206</v>
      </c>
      <c r="P42" t="s">
        <v>207</v>
      </c>
      <c r="Q42" t="s">
        <v>49</v>
      </c>
      <c r="R42" t="s">
        <v>208</v>
      </c>
      <c r="S42" s="1">
        <v>46204</v>
      </c>
      <c r="U42" t="s">
        <v>51</v>
      </c>
      <c r="X42" t="s">
        <v>52</v>
      </c>
      <c r="Y42" s="2">
        <v>0</v>
      </c>
      <c r="Z42" s="2">
        <v>116.5</v>
      </c>
      <c r="AA42">
        <v>1</v>
      </c>
      <c r="AB42" s="3">
        <v>1</v>
      </c>
      <c r="AC42" s="2">
        <v>116.5</v>
      </c>
      <c r="AD42" s="3">
        <v>0</v>
      </c>
      <c r="AE42" s="2">
        <v>0</v>
      </c>
      <c r="AF42" s="2">
        <v>116.5</v>
      </c>
      <c r="AK42">
        <v>6977452</v>
      </c>
      <c r="AL42" t="s">
        <v>136</v>
      </c>
    </row>
    <row r="43" spans="1:38" x14ac:dyDescent="0.25">
      <c r="A43" s="1">
        <v>46197</v>
      </c>
      <c r="B43" s="1">
        <v>46197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209</v>
      </c>
      <c r="J43" t="s">
        <v>205</v>
      </c>
      <c r="M43" t="s">
        <v>111</v>
      </c>
      <c r="O43" t="s">
        <v>206</v>
      </c>
      <c r="P43" t="s">
        <v>207</v>
      </c>
      <c r="Q43" t="s">
        <v>49</v>
      </c>
      <c r="R43" t="s">
        <v>210</v>
      </c>
      <c r="S43" s="1">
        <v>46204</v>
      </c>
      <c r="U43" t="s">
        <v>51</v>
      </c>
      <c r="X43" t="s">
        <v>52</v>
      </c>
      <c r="Y43" s="2">
        <v>0</v>
      </c>
      <c r="Z43" s="2">
        <v>113</v>
      </c>
      <c r="AA43">
        <v>1</v>
      </c>
      <c r="AB43" s="3">
        <v>1</v>
      </c>
      <c r="AC43" s="2">
        <v>113</v>
      </c>
      <c r="AD43" s="3">
        <v>0</v>
      </c>
      <c r="AE43" s="2">
        <v>0</v>
      </c>
      <c r="AF43" s="2">
        <v>113</v>
      </c>
      <c r="AK43">
        <v>6977456</v>
      </c>
    </row>
    <row r="44" spans="1:38" x14ac:dyDescent="0.25">
      <c r="A44" s="1">
        <v>46197</v>
      </c>
      <c r="B44" s="1">
        <v>46197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211</v>
      </c>
      <c r="J44" t="s">
        <v>212</v>
      </c>
      <c r="M44" t="s">
        <v>60</v>
      </c>
      <c r="O44" t="s">
        <v>213</v>
      </c>
      <c r="P44" t="s">
        <v>214</v>
      </c>
      <c r="Q44" t="s">
        <v>49</v>
      </c>
      <c r="R44" t="s">
        <v>215</v>
      </c>
      <c r="S44" s="1">
        <v>46204</v>
      </c>
      <c r="U44" t="s">
        <v>51</v>
      </c>
      <c r="X44" t="s">
        <v>52</v>
      </c>
      <c r="Y44" s="2">
        <v>0</v>
      </c>
      <c r="Z44" s="2">
        <v>31.5</v>
      </c>
      <c r="AA44">
        <v>9</v>
      </c>
      <c r="AB44" s="3">
        <v>1</v>
      </c>
      <c r="AC44" s="2">
        <v>283.5</v>
      </c>
      <c r="AD44" s="3">
        <v>0</v>
      </c>
      <c r="AE44" s="2">
        <v>0</v>
      </c>
      <c r="AF44" s="2">
        <v>283.5</v>
      </c>
      <c r="AK44">
        <v>6977436</v>
      </c>
    </row>
    <row r="45" spans="1:38" x14ac:dyDescent="0.25">
      <c r="A45" s="1">
        <v>46197</v>
      </c>
      <c r="B45" s="1">
        <v>46197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216</v>
      </c>
      <c r="J45" t="s">
        <v>217</v>
      </c>
      <c r="M45" t="s">
        <v>218</v>
      </c>
      <c r="O45" t="s">
        <v>160</v>
      </c>
      <c r="P45" t="s">
        <v>161</v>
      </c>
      <c r="Q45" t="s">
        <v>49</v>
      </c>
      <c r="R45" t="s">
        <v>219</v>
      </c>
      <c r="S45" s="1">
        <v>46266</v>
      </c>
      <c r="U45" t="s">
        <v>51</v>
      </c>
      <c r="X45" t="s">
        <v>52</v>
      </c>
      <c r="Y45" s="2">
        <v>0</v>
      </c>
      <c r="Z45" s="2">
        <v>45</v>
      </c>
      <c r="AA45">
        <v>9</v>
      </c>
      <c r="AB45" s="3">
        <v>1</v>
      </c>
      <c r="AC45" s="2">
        <v>405</v>
      </c>
      <c r="AD45" s="3">
        <v>0</v>
      </c>
      <c r="AE45" s="2">
        <v>0</v>
      </c>
      <c r="AF45" s="2">
        <v>405</v>
      </c>
      <c r="AK45">
        <v>6977435</v>
      </c>
    </row>
    <row r="46" spans="1:38" x14ac:dyDescent="0.25">
      <c r="A46" s="1">
        <v>46197</v>
      </c>
      <c r="B46" s="1">
        <v>46197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220</v>
      </c>
      <c r="J46" t="s">
        <v>221</v>
      </c>
      <c r="M46" t="s">
        <v>46</v>
      </c>
      <c r="O46" t="s">
        <v>61</v>
      </c>
      <c r="P46" t="s">
        <v>62</v>
      </c>
      <c r="Q46" t="s">
        <v>49</v>
      </c>
      <c r="R46" t="s">
        <v>222</v>
      </c>
      <c r="S46" s="1">
        <v>46204</v>
      </c>
      <c r="U46" t="s">
        <v>51</v>
      </c>
      <c r="X46" t="s">
        <v>52</v>
      </c>
      <c r="Y46" s="2">
        <v>0</v>
      </c>
      <c r="Z46" s="2">
        <v>44.31</v>
      </c>
      <c r="AA46">
        <v>9</v>
      </c>
      <c r="AB46" s="3">
        <v>1</v>
      </c>
      <c r="AC46" s="2">
        <v>398.79</v>
      </c>
      <c r="AD46" s="3">
        <v>0</v>
      </c>
      <c r="AE46" s="2">
        <v>0</v>
      </c>
      <c r="AF46" s="2">
        <v>398.79</v>
      </c>
      <c r="AK46">
        <v>6977434</v>
      </c>
    </row>
    <row r="47" spans="1:38" x14ac:dyDescent="0.25">
      <c r="A47" s="1">
        <v>46197</v>
      </c>
      <c r="B47" s="1">
        <v>46197</v>
      </c>
      <c r="C47" t="s">
        <v>223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224</v>
      </c>
      <c r="J47" t="s">
        <v>225</v>
      </c>
      <c r="M47" t="s">
        <v>226</v>
      </c>
      <c r="O47" t="s">
        <v>170</v>
      </c>
      <c r="P47" t="s">
        <v>171</v>
      </c>
      <c r="Q47" t="s">
        <v>227</v>
      </c>
      <c r="R47" t="s">
        <v>64</v>
      </c>
      <c r="S47" s="1">
        <v>46054</v>
      </c>
      <c r="U47" t="s">
        <v>51</v>
      </c>
      <c r="X47" t="s">
        <v>52</v>
      </c>
      <c r="AF47" s="2">
        <v>175</v>
      </c>
      <c r="AG47" s="2">
        <v>0</v>
      </c>
      <c r="AJ47" s="2">
        <v>101.5</v>
      </c>
    </row>
    <row r="48" spans="1:38" x14ac:dyDescent="0.25">
      <c r="A48" s="1">
        <v>46197</v>
      </c>
      <c r="B48" s="1">
        <v>46197</v>
      </c>
      <c r="C48" t="s">
        <v>223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228</v>
      </c>
      <c r="J48" t="s">
        <v>229</v>
      </c>
      <c r="M48" t="s">
        <v>60</v>
      </c>
      <c r="O48" t="s">
        <v>230</v>
      </c>
      <c r="P48" t="s">
        <v>231</v>
      </c>
      <c r="Q48" t="s">
        <v>227</v>
      </c>
      <c r="R48" t="s">
        <v>64</v>
      </c>
      <c r="S48" s="1">
        <v>46113</v>
      </c>
      <c r="U48" t="s">
        <v>51</v>
      </c>
      <c r="X48" t="s">
        <v>52</v>
      </c>
      <c r="AF48" s="2">
        <v>175</v>
      </c>
      <c r="AG48" s="2">
        <v>0</v>
      </c>
      <c r="AJ48" s="2">
        <v>87.5</v>
      </c>
    </row>
    <row r="49" spans="1:36" x14ac:dyDescent="0.25">
      <c r="A49" s="1">
        <v>46197</v>
      </c>
      <c r="B49" s="1">
        <v>46197</v>
      </c>
      <c r="C49" t="s">
        <v>223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232</v>
      </c>
      <c r="J49" t="s">
        <v>233</v>
      </c>
      <c r="M49" t="s">
        <v>46</v>
      </c>
      <c r="O49" t="s">
        <v>230</v>
      </c>
      <c r="P49" t="s">
        <v>231</v>
      </c>
      <c r="Q49" t="s">
        <v>227</v>
      </c>
      <c r="R49" t="s">
        <v>234</v>
      </c>
      <c r="S49" s="1">
        <v>46023</v>
      </c>
      <c r="U49" t="s">
        <v>51</v>
      </c>
      <c r="X49" t="s">
        <v>52</v>
      </c>
      <c r="AF49" s="2">
        <v>15</v>
      </c>
      <c r="AG49" s="2">
        <v>0</v>
      </c>
      <c r="AJ49" s="2">
        <v>8.75</v>
      </c>
    </row>
    <row r="50" spans="1:36" x14ac:dyDescent="0.25">
      <c r="A50" s="1">
        <v>46197</v>
      </c>
      <c r="B50" s="1">
        <v>46197</v>
      </c>
      <c r="C50" t="s">
        <v>223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235</v>
      </c>
      <c r="J50" t="s">
        <v>236</v>
      </c>
      <c r="M50" t="s">
        <v>46</v>
      </c>
      <c r="O50" t="s">
        <v>112</v>
      </c>
      <c r="P50" t="s">
        <v>113</v>
      </c>
      <c r="Q50" t="s">
        <v>227</v>
      </c>
      <c r="R50" t="s">
        <v>107</v>
      </c>
      <c r="S50" s="1">
        <v>46113</v>
      </c>
      <c r="U50" t="s">
        <v>51</v>
      </c>
      <c r="X50" t="s">
        <v>52</v>
      </c>
      <c r="AF50" s="2">
        <v>18.75</v>
      </c>
      <c r="AG50" s="2">
        <v>0</v>
      </c>
      <c r="AJ50" s="2">
        <v>18.75</v>
      </c>
    </row>
    <row r="51" spans="1:36" x14ac:dyDescent="0.25">
      <c r="A51" s="1">
        <v>46197</v>
      </c>
      <c r="B51" s="1">
        <v>46197</v>
      </c>
      <c r="C51" t="s">
        <v>223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237</v>
      </c>
      <c r="J51" t="s">
        <v>238</v>
      </c>
      <c r="M51" t="s">
        <v>60</v>
      </c>
      <c r="O51" t="s">
        <v>239</v>
      </c>
      <c r="P51" t="s">
        <v>240</v>
      </c>
      <c r="Q51" t="s">
        <v>227</v>
      </c>
      <c r="R51" t="s">
        <v>184</v>
      </c>
      <c r="S51" s="1">
        <v>46023</v>
      </c>
      <c r="U51" t="s">
        <v>51</v>
      </c>
      <c r="X51" t="s">
        <v>52</v>
      </c>
      <c r="AF51" s="2">
        <v>100</v>
      </c>
      <c r="AG51" s="2">
        <v>0</v>
      </c>
      <c r="AJ51" s="2">
        <v>50</v>
      </c>
    </row>
    <row r="52" spans="1:36" x14ac:dyDescent="0.25">
      <c r="A52" s="1">
        <v>46197</v>
      </c>
      <c r="B52" s="1">
        <v>46197</v>
      </c>
      <c r="C52" t="s">
        <v>223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241</v>
      </c>
      <c r="J52" t="s">
        <v>242</v>
      </c>
      <c r="O52" t="s">
        <v>243</v>
      </c>
      <c r="P52" t="s">
        <v>244</v>
      </c>
      <c r="Q52" t="s">
        <v>227</v>
      </c>
      <c r="R52" t="s">
        <v>245</v>
      </c>
      <c r="S52" s="1">
        <v>46143</v>
      </c>
      <c r="U52" t="s">
        <v>51</v>
      </c>
      <c r="X52" t="s">
        <v>52</v>
      </c>
      <c r="AF52" s="2">
        <v>123.98</v>
      </c>
      <c r="AG52" s="2">
        <v>0</v>
      </c>
      <c r="AJ52" s="2">
        <v>110.24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11655-4E30-409E-B3BF-B1D3F5488690}">
  <dimension ref="A1:P55"/>
  <sheetViews>
    <sheetView tabSelected="1" topLeftCell="A31" workbookViewId="0">
      <selection activeCell="M38" sqref="M38"/>
    </sheetView>
  </sheetViews>
  <sheetFormatPr defaultRowHeight="15" x14ac:dyDescent="0.25"/>
  <cols>
    <col min="1" max="1" width="15.7109375" bestFit="1" customWidth="1"/>
    <col min="2" max="2" width="16.85546875" bestFit="1" customWidth="1"/>
    <col min="3" max="3" width="24.28515625" bestFit="1" customWidth="1"/>
    <col min="4" max="4" width="5.140625" bestFit="1" customWidth="1"/>
    <col min="5" max="5" width="13.7109375" bestFit="1" customWidth="1"/>
    <col min="6" max="6" width="13.7109375" customWidth="1"/>
    <col min="7" max="7" width="22.85546875" bestFit="1" customWidth="1"/>
    <col min="8" max="8" width="53.28515625" bestFit="1" customWidth="1"/>
    <col min="9" max="9" width="9.28515625" bestFit="1" customWidth="1"/>
    <col min="10" max="10" width="10.42578125" bestFit="1" customWidth="1"/>
    <col min="11" max="11" width="14.5703125" bestFit="1" customWidth="1"/>
    <col min="12" max="12" width="15.28515625" bestFit="1" customWidth="1"/>
    <col min="13" max="13" width="16.28515625" bestFit="1" customWidth="1"/>
    <col min="14" max="14" width="14.42578125" customWidth="1"/>
    <col min="15" max="15" width="57.28515625" bestFit="1" customWidth="1"/>
  </cols>
  <sheetData>
    <row r="1" spans="1:15" x14ac:dyDescent="0.25">
      <c r="A1" t="s">
        <v>8</v>
      </c>
      <c r="C1" t="s">
        <v>9</v>
      </c>
      <c r="D1" t="s">
        <v>12</v>
      </c>
      <c r="E1" t="s">
        <v>14</v>
      </c>
      <c r="G1" t="s">
        <v>15</v>
      </c>
      <c r="H1" t="s">
        <v>17</v>
      </c>
      <c r="I1" t="s">
        <v>18</v>
      </c>
      <c r="K1" t="s">
        <v>25</v>
      </c>
      <c r="L1" t="s">
        <v>26</v>
      </c>
      <c r="M1" t="s">
        <v>28</v>
      </c>
      <c r="N1" t="s">
        <v>37</v>
      </c>
    </row>
    <row r="2" spans="1:15" x14ac:dyDescent="0.25">
      <c r="A2" s="5" t="s">
        <v>251</v>
      </c>
      <c r="B2" s="5" t="str">
        <f>CONCATENATE(A2,"OVR")</f>
        <v>101224362600OVR</v>
      </c>
      <c r="C2" t="s">
        <v>233</v>
      </c>
      <c r="D2" t="s">
        <v>46</v>
      </c>
      <c r="E2" s="11">
        <v>8814784</v>
      </c>
      <c r="F2" s="11" t="str">
        <f>CONCATENATE(E2,"OVR")</f>
        <v>8814784OVR</v>
      </c>
      <c r="G2" t="s">
        <v>231</v>
      </c>
      <c r="H2" t="s">
        <v>234</v>
      </c>
      <c r="I2" s="1">
        <v>46023</v>
      </c>
      <c r="J2" s="1">
        <v>46054</v>
      </c>
      <c r="M2">
        <v>-8.75</v>
      </c>
      <c r="O2" t="s">
        <v>279</v>
      </c>
    </row>
    <row r="3" spans="1:15" x14ac:dyDescent="0.25">
      <c r="A3" s="4">
        <v>101107778200</v>
      </c>
      <c r="B3" s="5" t="str">
        <f t="shared" ref="B3:B44" si="0">CONCATENATE(A3,"OVR")</f>
        <v>101107778200OVR</v>
      </c>
      <c r="C3" t="s">
        <v>103</v>
      </c>
      <c r="D3" t="s">
        <v>104</v>
      </c>
      <c r="E3" s="11">
        <v>19615078</v>
      </c>
      <c r="F3" s="11" t="str">
        <f t="shared" ref="F3:F44" si="1">CONCATENATE(E3,"OVR")</f>
        <v>19615078OVR</v>
      </c>
      <c r="G3" t="s">
        <v>106</v>
      </c>
      <c r="H3" t="s">
        <v>107</v>
      </c>
      <c r="I3" s="1">
        <v>46174</v>
      </c>
      <c r="J3" s="1">
        <v>46387</v>
      </c>
      <c r="K3" s="2">
        <v>14.58</v>
      </c>
      <c r="L3">
        <v>1</v>
      </c>
      <c r="M3" s="2">
        <v>14.58</v>
      </c>
      <c r="N3" t="s">
        <v>108</v>
      </c>
      <c r="O3" t="s">
        <v>279</v>
      </c>
    </row>
    <row r="4" spans="1:15" x14ac:dyDescent="0.25">
      <c r="A4" s="4">
        <v>101470779200</v>
      </c>
      <c r="B4" s="5" t="str">
        <f t="shared" si="0"/>
        <v>101470779200OVR</v>
      </c>
      <c r="C4" t="s">
        <v>110</v>
      </c>
      <c r="D4" t="s">
        <v>111</v>
      </c>
      <c r="E4" s="11">
        <v>21618313</v>
      </c>
      <c r="F4" s="11" t="str">
        <f t="shared" si="1"/>
        <v>21618313OVR</v>
      </c>
      <c r="G4" t="s">
        <v>113</v>
      </c>
      <c r="H4" t="s">
        <v>107</v>
      </c>
      <c r="I4" s="1">
        <v>46174</v>
      </c>
      <c r="J4" s="1">
        <v>46387</v>
      </c>
      <c r="K4" s="2">
        <v>14.58</v>
      </c>
      <c r="L4">
        <v>1</v>
      </c>
      <c r="M4" s="2">
        <v>14.58</v>
      </c>
      <c r="N4" t="s">
        <v>108</v>
      </c>
      <c r="O4" t="s">
        <v>279</v>
      </c>
    </row>
    <row r="5" spans="1:15" x14ac:dyDescent="0.25">
      <c r="A5" s="4">
        <v>101578579500</v>
      </c>
      <c r="B5" s="5" t="str">
        <f t="shared" si="0"/>
        <v>101578579500OVR</v>
      </c>
      <c r="C5" t="s">
        <v>115</v>
      </c>
      <c r="D5" t="s">
        <v>116</v>
      </c>
      <c r="E5" s="11">
        <v>19615078</v>
      </c>
      <c r="F5" s="11" t="str">
        <f t="shared" si="1"/>
        <v>19615078OVR</v>
      </c>
      <c r="G5" t="s">
        <v>106</v>
      </c>
      <c r="H5" t="s">
        <v>107</v>
      </c>
      <c r="I5" s="1">
        <v>46174</v>
      </c>
      <c r="J5" s="1">
        <v>46387</v>
      </c>
      <c r="K5" s="2">
        <v>14.58</v>
      </c>
      <c r="L5">
        <v>1</v>
      </c>
      <c r="M5" s="2">
        <v>14.58</v>
      </c>
      <c r="N5" t="s">
        <v>108</v>
      </c>
      <c r="O5" t="s">
        <v>279</v>
      </c>
    </row>
    <row r="6" spans="1:15" x14ac:dyDescent="0.25">
      <c r="A6" s="4">
        <v>102280149200</v>
      </c>
      <c r="B6" s="5" t="str">
        <f t="shared" si="0"/>
        <v>102280149200OVR</v>
      </c>
      <c r="C6" t="s">
        <v>118</v>
      </c>
      <c r="D6" t="s">
        <v>119</v>
      </c>
      <c r="E6" s="11">
        <v>9213293</v>
      </c>
      <c r="F6" s="11" t="str">
        <f t="shared" si="1"/>
        <v>9213293OVR</v>
      </c>
      <c r="G6" t="s">
        <v>95</v>
      </c>
      <c r="H6" t="s">
        <v>107</v>
      </c>
      <c r="I6" s="1">
        <v>46174</v>
      </c>
      <c r="J6" s="1">
        <v>46387</v>
      </c>
      <c r="K6" s="2">
        <v>14.58</v>
      </c>
      <c r="L6">
        <v>1</v>
      </c>
      <c r="M6" s="2">
        <v>14.58</v>
      </c>
      <c r="N6" t="s">
        <v>108</v>
      </c>
      <c r="O6" t="s">
        <v>279</v>
      </c>
    </row>
    <row r="7" spans="1:15" x14ac:dyDescent="0.25">
      <c r="A7" s="4">
        <v>102281288800</v>
      </c>
      <c r="B7" s="5" t="str">
        <f t="shared" si="0"/>
        <v>102281288800OVR</v>
      </c>
      <c r="C7" t="s">
        <v>121</v>
      </c>
      <c r="D7" t="s">
        <v>60</v>
      </c>
      <c r="E7" s="11">
        <v>8244481</v>
      </c>
      <c r="F7" s="11" t="str">
        <f t="shared" si="1"/>
        <v>8244481OVR</v>
      </c>
      <c r="G7" t="s">
        <v>123</v>
      </c>
      <c r="H7" t="s">
        <v>107</v>
      </c>
      <c r="I7" s="1">
        <v>46174</v>
      </c>
      <c r="J7" s="1">
        <v>46387</v>
      </c>
      <c r="K7" s="2">
        <v>14.58</v>
      </c>
      <c r="L7">
        <v>1</v>
      </c>
      <c r="M7" s="2">
        <v>14.58</v>
      </c>
      <c r="N7" t="s">
        <v>108</v>
      </c>
      <c r="O7" t="s">
        <v>279</v>
      </c>
    </row>
    <row r="8" spans="1:15" x14ac:dyDescent="0.25">
      <c r="A8" s="4">
        <v>102281387100</v>
      </c>
      <c r="B8" s="5" t="str">
        <f t="shared" si="0"/>
        <v>102281387100OVR</v>
      </c>
      <c r="C8" t="s">
        <v>125</v>
      </c>
      <c r="D8" t="s">
        <v>111</v>
      </c>
      <c r="E8" s="11">
        <v>20253958</v>
      </c>
      <c r="F8" s="11" t="str">
        <f t="shared" si="1"/>
        <v>20253958OVR</v>
      </c>
      <c r="G8" t="s">
        <v>127</v>
      </c>
      <c r="H8" t="s">
        <v>107</v>
      </c>
      <c r="I8" s="1">
        <v>46174</v>
      </c>
      <c r="J8" s="1">
        <v>46387</v>
      </c>
      <c r="K8" s="2">
        <v>14.58</v>
      </c>
      <c r="L8">
        <v>1</v>
      </c>
      <c r="M8" s="2">
        <v>14.58</v>
      </c>
      <c r="N8" t="s">
        <v>108</v>
      </c>
      <c r="O8" t="s">
        <v>279</v>
      </c>
    </row>
    <row r="9" spans="1:15" x14ac:dyDescent="0.25">
      <c r="A9" s="4">
        <v>102281476200</v>
      </c>
      <c r="B9" s="5" t="str">
        <f t="shared" si="0"/>
        <v>102281476200OVR</v>
      </c>
      <c r="C9" t="s">
        <v>129</v>
      </c>
      <c r="D9" t="s">
        <v>111</v>
      </c>
      <c r="E9" s="11">
        <v>17886092</v>
      </c>
      <c r="F9" s="11" t="str">
        <f t="shared" si="1"/>
        <v>17886092OVR</v>
      </c>
      <c r="G9" t="s">
        <v>131</v>
      </c>
      <c r="H9" t="s">
        <v>107</v>
      </c>
      <c r="I9" s="1">
        <v>46174</v>
      </c>
      <c r="J9" s="1">
        <v>46387</v>
      </c>
      <c r="K9" s="2">
        <v>14.58</v>
      </c>
      <c r="L9">
        <v>1</v>
      </c>
      <c r="M9" s="2">
        <v>14.58</v>
      </c>
      <c r="N9" t="s">
        <v>108</v>
      </c>
      <c r="O9" t="s">
        <v>279</v>
      </c>
    </row>
    <row r="10" spans="1:15" x14ac:dyDescent="0.25">
      <c r="A10" s="4">
        <v>102281524200</v>
      </c>
      <c r="B10" s="5" t="str">
        <f t="shared" si="0"/>
        <v>102281524200OVR</v>
      </c>
      <c r="C10" t="s">
        <v>133</v>
      </c>
      <c r="D10" t="s">
        <v>60</v>
      </c>
      <c r="E10" s="11">
        <v>7152559</v>
      </c>
      <c r="F10" s="11" t="str">
        <f t="shared" si="1"/>
        <v>7152559OVR</v>
      </c>
      <c r="G10" t="s">
        <v>135</v>
      </c>
      <c r="H10" t="s">
        <v>107</v>
      </c>
      <c r="I10" s="1">
        <v>46204</v>
      </c>
      <c r="J10" s="1">
        <v>46387</v>
      </c>
      <c r="K10" s="2">
        <v>12.5</v>
      </c>
      <c r="L10">
        <v>1</v>
      </c>
      <c r="M10" s="2">
        <v>12.5</v>
      </c>
      <c r="N10" t="s">
        <v>136</v>
      </c>
      <c r="O10" t="s">
        <v>279</v>
      </c>
    </row>
    <row r="11" spans="1:15" x14ac:dyDescent="0.25">
      <c r="A11" s="4">
        <v>102281547100</v>
      </c>
      <c r="B11" s="5" t="str">
        <f t="shared" si="0"/>
        <v>102281547100OVR</v>
      </c>
      <c r="C11" t="s">
        <v>138</v>
      </c>
      <c r="D11" t="s">
        <v>60</v>
      </c>
      <c r="E11" s="11">
        <v>19268643</v>
      </c>
      <c r="F11" s="11" t="str">
        <f t="shared" si="1"/>
        <v>19268643OVR</v>
      </c>
      <c r="G11" t="s">
        <v>140</v>
      </c>
      <c r="H11" t="s">
        <v>107</v>
      </c>
      <c r="I11" s="1">
        <v>46204</v>
      </c>
      <c r="J11" s="1">
        <v>46387</v>
      </c>
      <c r="K11" s="2">
        <v>12.5</v>
      </c>
      <c r="L11">
        <v>1</v>
      </c>
      <c r="M11" s="2">
        <v>12.5</v>
      </c>
      <c r="N11" t="s">
        <v>136</v>
      </c>
      <c r="O11" t="s">
        <v>279</v>
      </c>
    </row>
    <row r="12" spans="1:15" x14ac:dyDescent="0.25">
      <c r="A12" s="4">
        <v>102281737500</v>
      </c>
      <c r="B12" s="5" t="str">
        <f t="shared" si="0"/>
        <v>102281737500OVR</v>
      </c>
      <c r="C12" t="s">
        <v>142</v>
      </c>
      <c r="D12" t="s">
        <v>60</v>
      </c>
      <c r="E12" s="11">
        <v>7146581</v>
      </c>
      <c r="F12" s="11" t="str">
        <f t="shared" si="1"/>
        <v>7146581OVR</v>
      </c>
      <c r="G12" t="s">
        <v>77</v>
      </c>
      <c r="H12" t="s">
        <v>107</v>
      </c>
      <c r="I12" s="1">
        <v>46174</v>
      </c>
      <c r="J12" s="1">
        <v>46387</v>
      </c>
      <c r="K12" s="2">
        <v>14.58</v>
      </c>
      <c r="L12">
        <v>1</v>
      </c>
      <c r="M12" s="2">
        <v>14.58</v>
      </c>
      <c r="N12" t="s">
        <v>108</v>
      </c>
      <c r="O12" t="s">
        <v>279</v>
      </c>
    </row>
    <row r="13" spans="1:15" x14ac:dyDescent="0.25">
      <c r="A13" s="4">
        <v>102281778400</v>
      </c>
      <c r="B13" s="5" t="str">
        <f t="shared" si="0"/>
        <v>102281778400OVR</v>
      </c>
      <c r="C13" t="s">
        <v>144</v>
      </c>
      <c r="D13" t="s">
        <v>60</v>
      </c>
      <c r="E13" s="11">
        <v>8244481</v>
      </c>
      <c r="F13" s="11" t="str">
        <f t="shared" si="1"/>
        <v>8244481OVR</v>
      </c>
      <c r="G13" t="s">
        <v>123</v>
      </c>
      <c r="H13" t="s">
        <v>107</v>
      </c>
      <c r="I13" s="1">
        <v>46235</v>
      </c>
      <c r="J13" s="1">
        <v>46387</v>
      </c>
      <c r="K13" s="2">
        <v>10.42</v>
      </c>
      <c r="L13">
        <v>1</v>
      </c>
      <c r="M13" s="2">
        <v>10.42</v>
      </c>
      <c r="N13" t="s">
        <v>145</v>
      </c>
      <c r="O13" t="s">
        <v>279</v>
      </c>
    </row>
    <row r="14" spans="1:15" x14ac:dyDescent="0.25">
      <c r="A14" s="4">
        <v>102281860300</v>
      </c>
      <c r="B14" s="5" t="str">
        <f t="shared" si="0"/>
        <v>102281860300OVR</v>
      </c>
      <c r="C14" t="s">
        <v>147</v>
      </c>
      <c r="D14" t="s">
        <v>60</v>
      </c>
      <c r="E14" s="11">
        <v>9213293</v>
      </c>
      <c r="F14" s="11" t="str">
        <f t="shared" si="1"/>
        <v>9213293OVR</v>
      </c>
      <c r="G14" t="s">
        <v>95</v>
      </c>
      <c r="H14" t="s">
        <v>107</v>
      </c>
      <c r="I14" s="1">
        <v>46174</v>
      </c>
      <c r="J14" s="1">
        <v>46387</v>
      </c>
      <c r="K14" s="2">
        <v>14.58</v>
      </c>
      <c r="L14">
        <v>1</v>
      </c>
      <c r="M14" s="2">
        <v>14.58</v>
      </c>
      <c r="N14" t="s">
        <v>108</v>
      </c>
      <c r="O14" t="s">
        <v>279</v>
      </c>
    </row>
    <row r="15" spans="1:15" x14ac:dyDescent="0.25">
      <c r="A15" s="4">
        <v>102281894900</v>
      </c>
      <c r="B15" s="5" t="str">
        <f t="shared" si="0"/>
        <v>102281894900OVR</v>
      </c>
      <c r="C15" t="s">
        <v>149</v>
      </c>
      <c r="D15" t="s">
        <v>150</v>
      </c>
      <c r="E15" s="11">
        <v>16170994</v>
      </c>
      <c r="F15" s="11" t="str">
        <f t="shared" si="1"/>
        <v>16170994OVR</v>
      </c>
      <c r="G15" t="s">
        <v>152</v>
      </c>
      <c r="H15" t="s">
        <v>107</v>
      </c>
      <c r="I15" s="1">
        <v>46204</v>
      </c>
      <c r="J15" s="1">
        <v>46387</v>
      </c>
      <c r="K15" s="2">
        <v>12.5</v>
      </c>
      <c r="L15">
        <v>1</v>
      </c>
      <c r="M15" s="2">
        <v>12.5</v>
      </c>
      <c r="N15" t="s">
        <v>136</v>
      </c>
      <c r="O15" t="s">
        <v>279</v>
      </c>
    </row>
    <row r="16" spans="1:15" x14ac:dyDescent="0.25">
      <c r="A16" s="4">
        <v>102281898400</v>
      </c>
      <c r="B16" s="5" t="str">
        <f t="shared" si="0"/>
        <v>102281898400OVR</v>
      </c>
      <c r="C16" t="s">
        <v>154</v>
      </c>
      <c r="D16" t="s">
        <v>150</v>
      </c>
      <c r="E16" s="11">
        <v>16170994</v>
      </c>
      <c r="F16" s="11" t="str">
        <f t="shared" si="1"/>
        <v>16170994OVR</v>
      </c>
      <c r="G16" t="s">
        <v>152</v>
      </c>
      <c r="H16" t="s">
        <v>107</v>
      </c>
      <c r="I16" s="1">
        <v>46204</v>
      </c>
      <c r="J16" s="1">
        <v>46387</v>
      </c>
      <c r="K16" s="2">
        <v>12.5</v>
      </c>
      <c r="L16">
        <v>1</v>
      </c>
      <c r="M16" s="2">
        <v>12.5</v>
      </c>
      <c r="N16" t="s">
        <v>136</v>
      </c>
      <c r="O16" t="s">
        <v>279</v>
      </c>
    </row>
    <row r="17" spans="1:15" x14ac:dyDescent="0.25">
      <c r="A17" s="4">
        <v>102281904500</v>
      </c>
      <c r="B17" s="5" t="str">
        <f t="shared" si="0"/>
        <v>102281904500OVR</v>
      </c>
      <c r="C17" t="s">
        <v>156</v>
      </c>
      <c r="D17" t="s">
        <v>150</v>
      </c>
      <c r="E17" s="11">
        <v>16170994</v>
      </c>
      <c r="F17" s="11" t="str">
        <f t="shared" si="1"/>
        <v>16170994OVR</v>
      </c>
      <c r="G17" t="s">
        <v>152</v>
      </c>
      <c r="H17" t="s">
        <v>107</v>
      </c>
      <c r="I17" s="1">
        <v>46204</v>
      </c>
      <c r="J17" s="1">
        <v>46387</v>
      </c>
      <c r="K17" s="2">
        <v>12.5</v>
      </c>
      <c r="L17">
        <v>1</v>
      </c>
      <c r="M17" s="2">
        <v>12.5</v>
      </c>
      <c r="N17" t="s">
        <v>136</v>
      </c>
      <c r="O17" t="s">
        <v>279</v>
      </c>
    </row>
    <row r="18" spans="1:15" x14ac:dyDescent="0.25">
      <c r="A18" s="4">
        <v>102281909800</v>
      </c>
      <c r="B18" s="5" t="str">
        <f t="shared" si="0"/>
        <v>102281909800OVR</v>
      </c>
      <c r="C18" t="s">
        <v>158</v>
      </c>
      <c r="D18" t="s">
        <v>159</v>
      </c>
      <c r="E18" s="11">
        <v>16849453</v>
      </c>
      <c r="F18" s="11" t="str">
        <f t="shared" si="1"/>
        <v>16849453OVR</v>
      </c>
      <c r="G18" t="s">
        <v>161</v>
      </c>
      <c r="H18" t="s">
        <v>107</v>
      </c>
      <c r="I18" s="1">
        <v>46174</v>
      </c>
      <c r="J18" s="1">
        <v>46387</v>
      </c>
      <c r="K18" s="2">
        <v>14.58</v>
      </c>
      <c r="L18">
        <v>1</v>
      </c>
      <c r="M18" s="2">
        <v>14.58</v>
      </c>
      <c r="N18" t="s">
        <v>108</v>
      </c>
      <c r="O18" t="s">
        <v>279</v>
      </c>
    </row>
    <row r="19" spans="1:15" x14ac:dyDescent="0.25">
      <c r="A19" s="4">
        <v>102281954800</v>
      </c>
      <c r="B19" s="5" t="str">
        <f t="shared" si="0"/>
        <v>102281954800OVR</v>
      </c>
      <c r="C19" t="s">
        <v>163</v>
      </c>
      <c r="D19" t="s">
        <v>60</v>
      </c>
      <c r="E19" s="11">
        <v>8244481</v>
      </c>
      <c r="F19" s="11" t="str">
        <f t="shared" si="1"/>
        <v>8244481OVR</v>
      </c>
      <c r="G19" t="s">
        <v>123</v>
      </c>
      <c r="H19" t="s">
        <v>107</v>
      </c>
      <c r="I19" s="1">
        <v>46204</v>
      </c>
      <c r="J19" s="1">
        <v>46387</v>
      </c>
      <c r="K19" s="2">
        <v>12.5</v>
      </c>
      <c r="L19">
        <v>1</v>
      </c>
      <c r="M19" s="2">
        <v>12.5</v>
      </c>
      <c r="N19" t="s">
        <v>136</v>
      </c>
      <c r="O19" t="s">
        <v>279</v>
      </c>
    </row>
    <row r="20" spans="1:15" x14ac:dyDescent="0.25">
      <c r="A20" s="4">
        <v>102282033400</v>
      </c>
      <c r="B20" s="5" t="str">
        <f t="shared" si="0"/>
        <v>102282033400OVR</v>
      </c>
      <c r="C20" t="s">
        <v>165</v>
      </c>
      <c r="D20" t="s">
        <v>80</v>
      </c>
      <c r="E20" s="11">
        <v>371819</v>
      </c>
      <c r="F20" s="11" t="str">
        <f t="shared" si="1"/>
        <v>371819OVR</v>
      </c>
      <c r="G20" t="s">
        <v>167</v>
      </c>
      <c r="H20" t="s">
        <v>107</v>
      </c>
      <c r="I20" s="1">
        <v>46174</v>
      </c>
      <c r="J20" s="1">
        <v>46387</v>
      </c>
      <c r="K20" s="2">
        <v>14.58</v>
      </c>
      <c r="L20">
        <v>1</v>
      </c>
      <c r="M20" s="2">
        <v>14.58</v>
      </c>
      <c r="N20" t="s">
        <v>108</v>
      </c>
      <c r="O20" t="s">
        <v>279</v>
      </c>
    </row>
    <row r="21" spans="1:15" x14ac:dyDescent="0.25">
      <c r="A21" s="4">
        <v>102282103200</v>
      </c>
      <c r="B21" s="5" t="str">
        <f t="shared" si="0"/>
        <v>102282103200OVR</v>
      </c>
      <c r="C21" t="s">
        <v>169</v>
      </c>
      <c r="D21" t="s">
        <v>80</v>
      </c>
      <c r="E21" s="11">
        <v>8307933</v>
      </c>
      <c r="F21" s="11" t="str">
        <f t="shared" si="1"/>
        <v>8307933OVR</v>
      </c>
      <c r="G21" t="s">
        <v>171</v>
      </c>
      <c r="H21" t="s">
        <v>107</v>
      </c>
      <c r="I21" s="1">
        <v>46235</v>
      </c>
      <c r="J21" s="1">
        <v>46387</v>
      </c>
      <c r="K21" s="2">
        <v>10.42</v>
      </c>
      <c r="L21">
        <v>1</v>
      </c>
      <c r="M21" s="2">
        <v>10.42</v>
      </c>
      <c r="N21" t="s">
        <v>145</v>
      </c>
      <c r="O21" t="s">
        <v>279</v>
      </c>
    </row>
    <row r="22" spans="1:15" x14ac:dyDescent="0.25">
      <c r="A22" s="4">
        <v>102282169200</v>
      </c>
      <c r="B22" s="5" t="str">
        <f t="shared" si="0"/>
        <v>102282169200OVR</v>
      </c>
      <c r="C22" t="s">
        <v>173</v>
      </c>
      <c r="D22" t="s">
        <v>111</v>
      </c>
      <c r="E22" s="11">
        <v>17528908</v>
      </c>
      <c r="F22" s="11" t="str">
        <f t="shared" si="1"/>
        <v>17528908OVR</v>
      </c>
      <c r="G22" t="s">
        <v>175</v>
      </c>
      <c r="H22" t="s">
        <v>107</v>
      </c>
      <c r="I22" s="1">
        <v>46174</v>
      </c>
      <c r="J22" s="1">
        <v>46387</v>
      </c>
      <c r="K22" s="2">
        <v>14.58</v>
      </c>
      <c r="L22">
        <v>1</v>
      </c>
      <c r="M22" s="2">
        <v>14.58</v>
      </c>
      <c r="N22" t="s">
        <v>108</v>
      </c>
      <c r="O22" t="s">
        <v>279</v>
      </c>
    </row>
    <row r="23" spans="1:15" x14ac:dyDescent="0.25">
      <c r="A23" s="4">
        <v>102282339600</v>
      </c>
      <c r="B23" s="5" t="str">
        <f t="shared" si="0"/>
        <v>102282339600OVR</v>
      </c>
      <c r="C23" t="s">
        <v>177</v>
      </c>
      <c r="D23" t="s">
        <v>60</v>
      </c>
      <c r="E23" s="11">
        <v>8812322</v>
      </c>
      <c r="F23" s="11" t="str">
        <f t="shared" si="1"/>
        <v>8812322OVR</v>
      </c>
      <c r="G23" t="s">
        <v>179</v>
      </c>
      <c r="H23" t="s">
        <v>107</v>
      </c>
      <c r="I23" s="1">
        <v>46204</v>
      </c>
      <c r="J23" s="1">
        <v>46387</v>
      </c>
      <c r="K23" s="2">
        <v>12.5</v>
      </c>
      <c r="L23">
        <v>1</v>
      </c>
      <c r="M23" s="2">
        <v>12.5</v>
      </c>
      <c r="N23" t="s">
        <v>136</v>
      </c>
      <c r="O23" t="s">
        <v>279</v>
      </c>
    </row>
    <row r="24" spans="1:15" x14ac:dyDescent="0.25">
      <c r="A24" s="5" t="s">
        <v>254</v>
      </c>
      <c r="B24" s="5" t="str">
        <f t="shared" si="0"/>
        <v>102270549500OVR</v>
      </c>
      <c r="C24" t="s">
        <v>236</v>
      </c>
      <c r="D24" t="s">
        <v>46</v>
      </c>
      <c r="E24" s="11">
        <v>21618313</v>
      </c>
      <c r="F24" s="11" t="str">
        <f t="shared" si="1"/>
        <v>21618313OVR</v>
      </c>
      <c r="G24" t="s">
        <v>113</v>
      </c>
      <c r="H24" t="s">
        <v>107</v>
      </c>
      <c r="I24" s="1">
        <v>46113</v>
      </c>
      <c r="J24" s="1">
        <v>46143</v>
      </c>
      <c r="M24">
        <v>-18.75</v>
      </c>
      <c r="O24" t="s">
        <v>279</v>
      </c>
    </row>
    <row r="25" spans="1:15" x14ac:dyDescent="0.25">
      <c r="A25" s="4" t="s">
        <v>268</v>
      </c>
      <c r="B25" s="5" t="str">
        <f t="shared" si="0"/>
        <v>772W26990OVR</v>
      </c>
      <c r="C25" t="s">
        <v>186</v>
      </c>
      <c r="D25" t="s">
        <v>116</v>
      </c>
      <c r="E25" s="11">
        <v>16849453</v>
      </c>
      <c r="F25" s="11" t="str">
        <f t="shared" si="1"/>
        <v>16849453OVR</v>
      </c>
      <c r="G25" t="s">
        <v>161</v>
      </c>
      <c r="H25" t="s">
        <v>187</v>
      </c>
      <c r="I25" s="1">
        <v>46143</v>
      </c>
      <c r="J25" s="1">
        <v>46387</v>
      </c>
      <c r="K25" s="2">
        <v>175</v>
      </c>
      <c r="L25">
        <v>1</v>
      </c>
      <c r="M25" s="2">
        <v>175</v>
      </c>
      <c r="O25" t="s">
        <v>280</v>
      </c>
    </row>
    <row r="26" spans="1:15" x14ac:dyDescent="0.25">
      <c r="A26" s="4" t="s">
        <v>270</v>
      </c>
      <c r="B26" s="5" t="str">
        <f t="shared" si="0"/>
        <v>835W27120OVR</v>
      </c>
      <c r="C26" t="s">
        <v>193</v>
      </c>
      <c r="D26" t="s">
        <v>116</v>
      </c>
      <c r="E26" s="11">
        <v>17094718</v>
      </c>
      <c r="F26" s="11" t="str">
        <f t="shared" si="1"/>
        <v>17094718OVR</v>
      </c>
      <c r="G26" t="s">
        <v>195</v>
      </c>
      <c r="H26" t="s">
        <v>187</v>
      </c>
      <c r="I26" s="1">
        <v>46143</v>
      </c>
      <c r="J26" s="1">
        <v>46387</v>
      </c>
      <c r="K26" s="2">
        <v>175</v>
      </c>
      <c r="L26">
        <v>1</v>
      </c>
      <c r="M26" s="2">
        <v>175</v>
      </c>
      <c r="O26" t="s">
        <v>280</v>
      </c>
    </row>
    <row r="27" spans="1:15" x14ac:dyDescent="0.25">
      <c r="A27" s="4" t="s">
        <v>267</v>
      </c>
      <c r="B27" s="5" t="str">
        <f t="shared" si="0"/>
        <v>53X3A1U69OVR</v>
      </c>
      <c r="C27" t="s">
        <v>181</v>
      </c>
      <c r="D27" t="s">
        <v>60</v>
      </c>
      <c r="E27" s="11">
        <v>17301495</v>
      </c>
      <c r="F27" s="11" t="str">
        <f t="shared" si="1"/>
        <v>17301495OVR</v>
      </c>
      <c r="G27" t="s">
        <v>183</v>
      </c>
      <c r="H27" t="s">
        <v>184</v>
      </c>
      <c r="I27" s="1">
        <v>46204</v>
      </c>
      <c r="J27" s="1">
        <v>46387</v>
      </c>
      <c r="K27" s="2">
        <v>100</v>
      </c>
      <c r="L27">
        <v>1</v>
      </c>
      <c r="M27" s="2">
        <v>100</v>
      </c>
      <c r="O27" t="s">
        <v>281</v>
      </c>
    </row>
    <row r="28" spans="1:15" x14ac:dyDescent="0.25">
      <c r="A28" s="4" t="s">
        <v>269</v>
      </c>
      <c r="B28" s="5" t="str">
        <f t="shared" si="0"/>
        <v>79A6U1U33OVR</v>
      </c>
      <c r="C28" t="s">
        <v>189</v>
      </c>
      <c r="D28" t="s">
        <v>60</v>
      </c>
      <c r="E28" s="11">
        <v>21283956</v>
      </c>
      <c r="F28" s="11" t="str">
        <f t="shared" si="1"/>
        <v>21283956OVR</v>
      </c>
      <c r="G28" t="s">
        <v>191</v>
      </c>
      <c r="H28" t="s">
        <v>184</v>
      </c>
      <c r="I28" s="1">
        <v>46204</v>
      </c>
      <c r="J28" s="1">
        <v>46387</v>
      </c>
      <c r="K28" s="2">
        <v>100</v>
      </c>
      <c r="L28">
        <v>1</v>
      </c>
      <c r="M28" s="2">
        <v>100</v>
      </c>
      <c r="O28" t="s">
        <v>281</v>
      </c>
    </row>
    <row r="29" spans="1:15" x14ac:dyDescent="0.25">
      <c r="A29" s="5" t="s">
        <v>252</v>
      </c>
      <c r="B29" s="5" t="str">
        <f t="shared" si="0"/>
        <v>71X8U5A35OVR</v>
      </c>
      <c r="C29" t="s">
        <v>238</v>
      </c>
      <c r="D29" t="s">
        <v>60</v>
      </c>
      <c r="E29" s="11">
        <v>7565575</v>
      </c>
      <c r="F29" s="11" t="str">
        <f t="shared" si="1"/>
        <v>7565575OVR</v>
      </c>
      <c r="G29" t="s">
        <v>240</v>
      </c>
      <c r="H29" t="s">
        <v>184</v>
      </c>
      <c r="I29" s="1">
        <v>46023</v>
      </c>
      <c r="J29" s="1">
        <v>46054</v>
      </c>
      <c r="M29">
        <v>-50</v>
      </c>
      <c r="O29" t="s">
        <v>281</v>
      </c>
    </row>
    <row r="30" spans="1:15" x14ac:dyDescent="0.25">
      <c r="A30" s="5" t="s">
        <v>248</v>
      </c>
      <c r="B30" s="5" t="str">
        <f t="shared" si="0"/>
        <v>00025031898KOVR</v>
      </c>
      <c r="C30" t="s">
        <v>59</v>
      </c>
      <c r="D30" t="s">
        <v>60</v>
      </c>
      <c r="E30" s="11">
        <v>19645587</v>
      </c>
      <c r="F30" s="11" t="str">
        <f t="shared" si="1"/>
        <v>19645587OVR</v>
      </c>
      <c r="G30" t="s">
        <v>62</v>
      </c>
      <c r="H30" t="s">
        <v>64</v>
      </c>
      <c r="I30" s="1">
        <v>46023</v>
      </c>
      <c r="J30" s="1">
        <v>46387</v>
      </c>
      <c r="K30" s="2">
        <v>60.58</v>
      </c>
      <c r="L30">
        <v>1</v>
      </c>
      <c r="M30" s="2">
        <v>60.58</v>
      </c>
      <c r="N30" t="s">
        <v>65</v>
      </c>
      <c r="O30" t="s">
        <v>282</v>
      </c>
    </row>
    <row r="31" spans="1:15" x14ac:dyDescent="0.25">
      <c r="A31" s="4" t="s">
        <v>257</v>
      </c>
      <c r="B31" s="5" t="str">
        <f t="shared" si="0"/>
        <v>00026502399KOVR</v>
      </c>
      <c r="C31" t="s">
        <v>67</v>
      </c>
      <c r="D31" t="s">
        <v>60</v>
      </c>
      <c r="E31" s="11">
        <v>7470776</v>
      </c>
      <c r="F31" s="11" t="str">
        <f t="shared" si="1"/>
        <v>7470776OVR</v>
      </c>
      <c r="G31" t="s">
        <v>69</v>
      </c>
      <c r="H31" t="s">
        <v>64</v>
      </c>
      <c r="I31" s="1">
        <v>46174</v>
      </c>
      <c r="J31" s="1">
        <v>46387</v>
      </c>
      <c r="K31" s="2">
        <v>175</v>
      </c>
      <c r="L31">
        <v>1</v>
      </c>
      <c r="M31" s="2">
        <v>175</v>
      </c>
      <c r="O31" t="s">
        <v>282</v>
      </c>
    </row>
    <row r="32" spans="1:15" x14ac:dyDescent="0.25">
      <c r="A32" s="4" t="s">
        <v>258</v>
      </c>
      <c r="B32" s="5" t="str">
        <f t="shared" si="0"/>
        <v>00026606623KOVR</v>
      </c>
      <c r="C32" t="s">
        <v>71</v>
      </c>
      <c r="D32" t="s">
        <v>60</v>
      </c>
      <c r="E32" s="11">
        <v>8325282</v>
      </c>
      <c r="F32" s="11" t="str">
        <f t="shared" si="1"/>
        <v>8325282OVR</v>
      </c>
      <c r="G32" t="s">
        <v>73</v>
      </c>
      <c r="H32" t="s">
        <v>64</v>
      </c>
      <c r="I32" s="1">
        <v>46204</v>
      </c>
      <c r="J32" s="1">
        <v>46387</v>
      </c>
      <c r="K32" s="2">
        <v>175</v>
      </c>
      <c r="L32">
        <v>1</v>
      </c>
      <c r="M32" s="2">
        <v>175</v>
      </c>
      <c r="O32" t="s">
        <v>282</v>
      </c>
    </row>
    <row r="33" spans="1:15" x14ac:dyDescent="0.25">
      <c r="A33" s="4" t="s">
        <v>259</v>
      </c>
      <c r="B33" s="5" t="str">
        <f t="shared" si="0"/>
        <v>00026607342KOVR</v>
      </c>
      <c r="C33" t="s">
        <v>75</v>
      </c>
      <c r="D33" t="s">
        <v>60</v>
      </c>
      <c r="E33" s="11">
        <v>7146581</v>
      </c>
      <c r="F33" s="11" t="str">
        <f t="shared" si="1"/>
        <v>7146581OVR</v>
      </c>
      <c r="G33" t="s">
        <v>77</v>
      </c>
      <c r="H33" t="s">
        <v>64</v>
      </c>
      <c r="I33" s="1">
        <v>46204</v>
      </c>
      <c r="J33" s="1">
        <v>46387</v>
      </c>
      <c r="K33" s="2">
        <v>175</v>
      </c>
      <c r="L33">
        <v>1</v>
      </c>
      <c r="M33" s="2">
        <v>175</v>
      </c>
      <c r="O33" t="s">
        <v>282</v>
      </c>
    </row>
    <row r="34" spans="1:15" x14ac:dyDescent="0.25">
      <c r="A34" s="4" t="s">
        <v>260</v>
      </c>
      <c r="B34" s="5" t="str">
        <f t="shared" si="0"/>
        <v>00026607704KOVR</v>
      </c>
      <c r="C34" t="s">
        <v>79</v>
      </c>
      <c r="D34" t="s">
        <v>80</v>
      </c>
      <c r="E34" s="11">
        <v>1706194</v>
      </c>
      <c r="F34" s="11" t="str">
        <f t="shared" si="1"/>
        <v>1706194OVR</v>
      </c>
      <c r="G34" t="s">
        <v>82</v>
      </c>
      <c r="H34" t="s">
        <v>64</v>
      </c>
      <c r="I34" s="1">
        <v>46204</v>
      </c>
      <c r="J34" s="1">
        <v>46387</v>
      </c>
      <c r="K34" s="2">
        <v>175</v>
      </c>
      <c r="L34">
        <v>1</v>
      </c>
      <c r="M34" s="2">
        <v>175</v>
      </c>
      <c r="O34" t="s">
        <v>282</v>
      </c>
    </row>
    <row r="35" spans="1:15" x14ac:dyDescent="0.25">
      <c r="A35" s="4" t="s">
        <v>261</v>
      </c>
      <c r="B35" s="5" t="str">
        <f t="shared" si="0"/>
        <v>00026608060KOVR</v>
      </c>
      <c r="C35" t="s">
        <v>84</v>
      </c>
      <c r="D35" t="s">
        <v>60</v>
      </c>
      <c r="E35" s="11">
        <v>19396223</v>
      </c>
      <c r="F35" s="11" t="str">
        <f t="shared" si="1"/>
        <v>19396223OVR</v>
      </c>
      <c r="G35" t="s">
        <v>86</v>
      </c>
      <c r="H35" t="s">
        <v>64</v>
      </c>
      <c r="I35" s="1">
        <v>46204</v>
      </c>
      <c r="J35" s="1">
        <v>46387</v>
      </c>
      <c r="K35" s="2">
        <v>175</v>
      </c>
      <c r="L35">
        <v>1</v>
      </c>
      <c r="M35" s="2">
        <v>175</v>
      </c>
      <c r="O35" t="s">
        <v>282</v>
      </c>
    </row>
    <row r="36" spans="1:15" x14ac:dyDescent="0.25">
      <c r="A36" s="4" t="s">
        <v>262</v>
      </c>
      <c r="B36" s="5" t="str">
        <f t="shared" si="0"/>
        <v>00026610545KOVR</v>
      </c>
      <c r="C36" t="s">
        <v>88</v>
      </c>
      <c r="D36" t="s">
        <v>60</v>
      </c>
      <c r="E36" s="11">
        <v>7146581</v>
      </c>
      <c r="F36" s="11" t="str">
        <f t="shared" si="1"/>
        <v>7146581OVR</v>
      </c>
      <c r="G36" t="s">
        <v>77</v>
      </c>
      <c r="H36" t="s">
        <v>64</v>
      </c>
      <c r="I36" s="1">
        <v>46204</v>
      </c>
      <c r="J36" s="1">
        <v>46387</v>
      </c>
      <c r="K36" s="2">
        <v>175</v>
      </c>
      <c r="L36">
        <v>1</v>
      </c>
      <c r="M36" s="2">
        <v>175</v>
      </c>
      <c r="O36" t="s">
        <v>282</v>
      </c>
    </row>
    <row r="37" spans="1:15" x14ac:dyDescent="0.25">
      <c r="A37" s="4" t="s">
        <v>263</v>
      </c>
      <c r="B37" s="5" t="str">
        <f t="shared" si="0"/>
        <v>00026611231KOVR</v>
      </c>
      <c r="C37" t="s">
        <v>90</v>
      </c>
      <c r="D37" t="s">
        <v>60</v>
      </c>
      <c r="E37" s="11">
        <v>19396223</v>
      </c>
      <c r="F37" s="11" t="str">
        <f t="shared" si="1"/>
        <v>19396223OVR</v>
      </c>
      <c r="G37" t="s">
        <v>86</v>
      </c>
      <c r="H37" t="s">
        <v>64</v>
      </c>
      <c r="I37" s="1">
        <v>46204</v>
      </c>
      <c r="J37" s="1">
        <v>46387</v>
      </c>
      <c r="K37" s="2">
        <v>175</v>
      </c>
      <c r="L37">
        <v>1</v>
      </c>
      <c r="M37" s="2">
        <v>175</v>
      </c>
      <c r="O37" t="s">
        <v>282</v>
      </c>
    </row>
    <row r="38" spans="1:15" x14ac:dyDescent="0.25">
      <c r="A38" s="4" t="s">
        <v>264</v>
      </c>
      <c r="B38" s="5" t="str">
        <f t="shared" si="0"/>
        <v>00026622521KOVR</v>
      </c>
      <c r="C38" t="s">
        <v>92</v>
      </c>
      <c r="D38" t="s">
        <v>93</v>
      </c>
      <c r="E38" s="11">
        <v>9213293</v>
      </c>
      <c r="F38" s="11" t="str">
        <f t="shared" si="1"/>
        <v>9213293OVR</v>
      </c>
      <c r="G38" t="s">
        <v>95</v>
      </c>
      <c r="H38" t="s">
        <v>64</v>
      </c>
      <c r="I38" s="1">
        <v>46204</v>
      </c>
      <c r="J38" s="1">
        <v>46387</v>
      </c>
      <c r="K38" s="2">
        <v>175</v>
      </c>
      <c r="L38">
        <v>1</v>
      </c>
      <c r="M38" s="2">
        <v>175</v>
      </c>
      <c r="O38" t="s">
        <v>282</v>
      </c>
    </row>
    <row r="39" spans="1:15" x14ac:dyDescent="0.25">
      <c r="A39" s="4" t="s">
        <v>265</v>
      </c>
      <c r="B39" s="5" t="str">
        <f t="shared" si="0"/>
        <v>00026623133KOVR</v>
      </c>
      <c r="C39" t="s">
        <v>97</v>
      </c>
      <c r="D39" t="s">
        <v>60</v>
      </c>
      <c r="E39" s="11">
        <v>7146581</v>
      </c>
      <c r="F39" s="11" t="str">
        <f t="shared" si="1"/>
        <v>7146581OVR</v>
      </c>
      <c r="G39" t="s">
        <v>77</v>
      </c>
      <c r="H39" t="s">
        <v>64</v>
      </c>
      <c r="I39" s="1">
        <v>46266</v>
      </c>
      <c r="J39" s="1">
        <v>46387</v>
      </c>
      <c r="K39" s="2">
        <v>175</v>
      </c>
      <c r="L39">
        <v>1</v>
      </c>
      <c r="M39" s="2">
        <v>175</v>
      </c>
      <c r="O39" t="s">
        <v>282</v>
      </c>
    </row>
    <row r="40" spans="1:15" x14ac:dyDescent="0.25">
      <c r="A40" s="4" t="s">
        <v>266</v>
      </c>
      <c r="B40" s="5" t="str">
        <f t="shared" si="0"/>
        <v>00026623938KOVR</v>
      </c>
      <c r="C40" t="s">
        <v>99</v>
      </c>
      <c r="D40" t="s">
        <v>60</v>
      </c>
      <c r="E40" s="11">
        <v>19200754</v>
      </c>
      <c r="F40" s="11" t="str">
        <f t="shared" si="1"/>
        <v>19200754OVR</v>
      </c>
      <c r="G40" t="s">
        <v>101</v>
      </c>
      <c r="H40" t="s">
        <v>64</v>
      </c>
      <c r="I40" s="1">
        <v>46204</v>
      </c>
      <c r="J40" s="1">
        <v>46387</v>
      </c>
      <c r="K40" s="2">
        <v>175</v>
      </c>
      <c r="L40">
        <v>1</v>
      </c>
      <c r="M40" s="2">
        <v>175</v>
      </c>
      <c r="O40" t="s">
        <v>282</v>
      </c>
    </row>
    <row r="41" spans="1:15" x14ac:dyDescent="0.25">
      <c r="A41" s="5" t="s">
        <v>249</v>
      </c>
      <c r="B41" s="5" t="str">
        <f t="shared" si="0"/>
        <v>00019034430KOVR</v>
      </c>
      <c r="C41" t="s">
        <v>225</v>
      </c>
      <c r="D41" t="s">
        <v>226</v>
      </c>
      <c r="E41" s="11">
        <v>8307933</v>
      </c>
      <c r="F41" s="11" t="str">
        <f t="shared" si="1"/>
        <v>8307933OVR</v>
      </c>
      <c r="G41" t="s">
        <v>171</v>
      </c>
      <c r="H41" t="s">
        <v>64</v>
      </c>
      <c r="I41" s="1">
        <v>46054</v>
      </c>
      <c r="J41" s="1">
        <v>46082</v>
      </c>
      <c r="M41">
        <v>-101.5</v>
      </c>
      <c r="O41" t="s">
        <v>282</v>
      </c>
    </row>
    <row r="42" spans="1:15" x14ac:dyDescent="0.25">
      <c r="A42" s="5" t="s">
        <v>250</v>
      </c>
      <c r="B42" s="5" t="str">
        <f t="shared" si="0"/>
        <v>00026047194KOVR</v>
      </c>
      <c r="C42" t="s">
        <v>229</v>
      </c>
      <c r="D42" t="s">
        <v>60</v>
      </c>
      <c r="E42" s="11">
        <v>8814784</v>
      </c>
      <c r="F42" s="11" t="str">
        <f t="shared" si="1"/>
        <v>8814784OVR</v>
      </c>
      <c r="G42" t="s">
        <v>231</v>
      </c>
      <c r="H42" t="s">
        <v>64</v>
      </c>
      <c r="I42" s="1">
        <v>46113</v>
      </c>
      <c r="J42" s="1">
        <v>46143</v>
      </c>
      <c r="M42">
        <v>-87.5</v>
      </c>
      <c r="O42" t="s">
        <v>282</v>
      </c>
    </row>
    <row r="43" spans="1:15" x14ac:dyDescent="0.25">
      <c r="A43" s="4" t="s">
        <v>255</v>
      </c>
      <c r="B43" s="5" t="str">
        <f t="shared" si="0"/>
        <v>00017625823KOVR</v>
      </c>
      <c r="C43" t="s">
        <v>45</v>
      </c>
      <c r="D43" t="s">
        <v>46</v>
      </c>
      <c r="E43" s="11">
        <v>18828278</v>
      </c>
      <c r="F43" s="11" t="str">
        <f t="shared" si="1"/>
        <v>18828278OVR</v>
      </c>
      <c r="G43" t="s">
        <v>48</v>
      </c>
      <c r="H43" t="s">
        <v>50</v>
      </c>
      <c r="I43" s="1">
        <v>46204</v>
      </c>
      <c r="J43" s="1">
        <v>46387</v>
      </c>
      <c r="K43" s="2">
        <v>108</v>
      </c>
      <c r="L43">
        <v>1</v>
      </c>
      <c r="M43" s="2">
        <v>108</v>
      </c>
      <c r="O43" t="s">
        <v>282</v>
      </c>
    </row>
    <row r="44" spans="1:15" x14ac:dyDescent="0.25">
      <c r="A44" s="4" t="s">
        <v>256</v>
      </c>
      <c r="B44" s="5" t="str">
        <f t="shared" si="0"/>
        <v>00020479151KOVR</v>
      </c>
      <c r="C44" t="s">
        <v>54</v>
      </c>
      <c r="D44" t="s">
        <v>55</v>
      </c>
      <c r="E44" s="11">
        <v>18598357</v>
      </c>
      <c r="F44" s="11" t="str">
        <f t="shared" si="1"/>
        <v>18598357OVR</v>
      </c>
      <c r="G44" t="s">
        <v>57</v>
      </c>
      <c r="H44" t="s">
        <v>50</v>
      </c>
      <c r="I44" s="1">
        <v>46204</v>
      </c>
      <c r="J44" s="1">
        <v>46387</v>
      </c>
      <c r="K44" s="2">
        <v>108</v>
      </c>
      <c r="L44">
        <v>1</v>
      </c>
      <c r="M44" s="2">
        <v>108</v>
      </c>
      <c r="O44" t="s">
        <v>282</v>
      </c>
    </row>
    <row r="45" spans="1:15" s="7" customFormat="1" x14ac:dyDescent="0.25">
      <c r="A45" s="6" t="s">
        <v>273</v>
      </c>
      <c r="B45" s="6" t="str">
        <f>CONCATENATE(A45,1)</f>
        <v>A044877651</v>
      </c>
      <c r="C45" s="7" t="s">
        <v>221</v>
      </c>
      <c r="D45" s="7" t="s">
        <v>46</v>
      </c>
      <c r="E45" s="12">
        <v>19645587</v>
      </c>
      <c r="F45" s="12">
        <v>19645587</v>
      </c>
      <c r="G45" s="7" t="s">
        <v>62</v>
      </c>
      <c r="H45" s="7" t="s">
        <v>222</v>
      </c>
      <c r="I45" s="8">
        <v>46204</v>
      </c>
      <c r="J45" s="8">
        <v>46478</v>
      </c>
      <c r="K45" s="9">
        <v>44.31</v>
      </c>
      <c r="L45" s="7">
        <v>9</v>
      </c>
      <c r="M45" s="9">
        <v>398.79</v>
      </c>
      <c r="O45" s="7" t="s">
        <v>274</v>
      </c>
    </row>
    <row r="46" spans="1:15" s="7" customFormat="1" x14ac:dyDescent="0.25">
      <c r="A46" s="6" t="s">
        <v>271</v>
      </c>
      <c r="B46" s="6" t="str">
        <f t="shared" ref="B46:B47" si="2">CONCATENATE(A46,1)</f>
        <v>A044873751</v>
      </c>
      <c r="C46" s="7" t="s">
        <v>212</v>
      </c>
      <c r="D46" s="7" t="s">
        <v>60</v>
      </c>
      <c r="E46" s="12">
        <v>18754354</v>
      </c>
      <c r="F46" s="12">
        <v>18754354</v>
      </c>
      <c r="G46" s="7" t="s">
        <v>214</v>
      </c>
      <c r="H46" s="7" t="s">
        <v>215</v>
      </c>
      <c r="I46" s="8">
        <v>46204</v>
      </c>
      <c r="J46" s="8">
        <v>46478</v>
      </c>
      <c r="K46" s="9">
        <v>31.5</v>
      </c>
      <c r="L46" s="7">
        <v>9</v>
      </c>
      <c r="M46" s="9">
        <v>283.5</v>
      </c>
      <c r="O46" s="7" t="s">
        <v>215</v>
      </c>
    </row>
    <row r="47" spans="1:15" s="7" customFormat="1" x14ac:dyDescent="0.25">
      <c r="A47" s="10" t="s">
        <v>253</v>
      </c>
      <c r="B47" s="6" t="str">
        <f t="shared" si="2"/>
        <v>A044696361</v>
      </c>
      <c r="C47" s="7" t="s">
        <v>242</v>
      </c>
      <c r="E47" s="12">
        <v>18201929</v>
      </c>
      <c r="F47" s="12">
        <v>18201929</v>
      </c>
      <c r="G47" s="7" t="s">
        <v>244</v>
      </c>
      <c r="H47" s="7" t="s">
        <v>245</v>
      </c>
      <c r="I47" s="8">
        <v>46143</v>
      </c>
      <c r="J47" s="8">
        <v>46419</v>
      </c>
      <c r="L47" s="7">
        <v>8</v>
      </c>
      <c r="M47" s="7">
        <v>-110.24</v>
      </c>
      <c r="O47" s="7" t="s">
        <v>245</v>
      </c>
    </row>
    <row r="48" spans="1:15" x14ac:dyDescent="0.25">
      <c r="A48" s="5" t="s">
        <v>247</v>
      </c>
      <c r="B48" s="5" t="str">
        <f t="shared" ref="B48:B49" si="3">CONCATENATE(A48,"OVR")</f>
        <v>988781374OVR</v>
      </c>
      <c r="C48" t="s">
        <v>205</v>
      </c>
      <c r="D48" t="s">
        <v>111</v>
      </c>
      <c r="E48" s="11">
        <v>17425766</v>
      </c>
      <c r="F48" s="11" t="str">
        <f t="shared" ref="F48:F49" si="4">CONCATENATE(E48,"OVR")</f>
        <v>17425766OVR</v>
      </c>
      <c r="G48" t="s">
        <v>207</v>
      </c>
      <c r="H48" t="s">
        <v>210</v>
      </c>
      <c r="I48" s="1">
        <v>46204</v>
      </c>
      <c r="J48" s="1">
        <v>46387</v>
      </c>
      <c r="K48" s="2">
        <v>113</v>
      </c>
      <c r="L48">
        <v>1</v>
      </c>
      <c r="M48" s="2">
        <v>113</v>
      </c>
      <c r="O48" t="s">
        <v>275</v>
      </c>
    </row>
    <row r="49" spans="1:16" x14ac:dyDescent="0.25">
      <c r="A49" s="5" t="s">
        <v>246</v>
      </c>
      <c r="B49" s="5" t="str">
        <f t="shared" si="3"/>
        <v>961056508OVR</v>
      </c>
      <c r="C49" t="s">
        <v>197</v>
      </c>
      <c r="D49" t="s">
        <v>198</v>
      </c>
      <c r="E49" s="11">
        <v>20003537</v>
      </c>
      <c r="F49" s="11" t="str">
        <f t="shared" si="4"/>
        <v>20003537OVR</v>
      </c>
      <c r="G49" t="s">
        <v>200</v>
      </c>
      <c r="H49" t="s">
        <v>203</v>
      </c>
      <c r="I49" s="1">
        <v>46204</v>
      </c>
      <c r="J49" s="1">
        <v>46387</v>
      </c>
      <c r="K49" s="2">
        <v>36</v>
      </c>
      <c r="L49">
        <v>1</v>
      </c>
      <c r="M49" s="2">
        <v>36</v>
      </c>
      <c r="N49" t="s">
        <v>136</v>
      </c>
      <c r="O49" t="s">
        <v>275</v>
      </c>
    </row>
    <row r="50" spans="1:16" s="7" customFormat="1" x14ac:dyDescent="0.25">
      <c r="A50" s="6">
        <v>961056508</v>
      </c>
      <c r="B50" s="6" t="str">
        <f>CONCATENATE(A50,11)</f>
        <v>96105650811</v>
      </c>
      <c r="C50" s="7" t="s">
        <v>197</v>
      </c>
      <c r="D50" s="7" t="s">
        <v>198</v>
      </c>
      <c r="E50" s="12">
        <v>20003537</v>
      </c>
      <c r="F50" s="12">
        <v>20003537</v>
      </c>
      <c r="G50" s="7" t="s">
        <v>200</v>
      </c>
      <c r="H50" s="7" t="s">
        <v>201</v>
      </c>
      <c r="I50" s="8">
        <v>46204</v>
      </c>
      <c r="J50" s="8">
        <v>46387</v>
      </c>
      <c r="K50" s="9">
        <v>173.5</v>
      </c>
      <c r="L50" s="7">
        <v>1</v>
      </c>
      <c r="M50" s="9">
        <v>173.5</v>
      </c>
      <c r="N50" s="7" t="s">
        <v>136</v>
      </c>
      <c r="O50" s="7" t="s">
        <v>277</v>
      </c>
      <c r="P50" s="7" t="s">
        <v>278</v>
      </c>
    </row>
    <row r="51" spans="1:16" s="7" customFormat="1" x14ac:dyDescent="0.25">
      <c r="A51" s="6">
        <v>988781374</v>
      </c>
      <c r="B51" s="6" t="str">
        <f>CONCATENATE(A51,13)</f>
        <v>98878137413</v>
      </c>
      <c r="C51" s="7" t="s">
        <v>205</v>
      </c>
      <c r="D51" s="7" t="s">
        <v>111</v>
      </c>
      <c r="E51" s="12">
        <v>17425766</v>
      </c>
      <c r="F51" s="12">
        <v>17425766</v>
      </c>
      <c r="G51" s="7" t="s">
        <v>207</v>
      </c>
      <c r="H51" s="7" t="s">
        <v>208</v>
      </c>
      <c r="I51" s="8">
        <v>46204</v>
      </c>
      <c r="J51" s="8">
        <v>46387</v>
      </c>
      <c r="K51" s="9">
        <v>116.5</v>
      </c>
      <c r="L51" s="7">
        <v>1</v>
      </c>
      <c r="M51" s="9">
        <v>116.5</v>
      </c>
      <c r="N51" s="7" t="s">
        <v>136</v>
      </c>
      <c r="O51" s="7" t="s">
        <v>276</v>
      </c>
    </row>
    <row r="55" spans="1:16" s="7" customFormat="1" x14ac:dyDescent="0.25">
      <c r="A55" s="6" t="s">
        <v>272</v>
      </c>
      <c r="B55" s="6"/>
      <c r="C55" s="7" t="s">
        <v>217</v>
      </c>
      <c r="D55" s="7" t="s">
        <v>218</v>
      </c>
      <c r="E55" s="7" t="s">
        <v>160</v>
      </c>
      <c r="G55" s="7" t="s">
        <v>161</v>
      </c>
      <c r="H55" s="7" t="s">
        <v>219</v>
      </c>
      <c r="I55" s="8">
        <v>46266</v>
      </c>
      <c r="J55" s="8"/>
      <c r="K55" s="9">
        <v>45</v>
      </c>
      <c r="L55" s="7">
        <v>9</v>
      </c>
      <c r="M55" s="9">
        <v>405</v>
      </c>
    </row>
  </sheetData>
  <sortState xmlns:xlrd2="http://schemas.microsoft.com/office/spreadsheetml/2017/richdata2" ref="A2:AO51">
    <sortCondition ref="H2:H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2026-06-26T07:48:47Z</dcterms:created>
  <dcterms:modified xsi:type="dcterms:W3CDTF">2026-06-26T21:15:18Z</dcterms:modified>
</cp:coreProperties>
</file>