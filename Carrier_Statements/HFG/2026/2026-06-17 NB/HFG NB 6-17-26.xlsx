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HFG\2026\2026-06-17 NB\"/>
    </mc:Choice>
  </mc:AlternateContent>
  <xr:revisionPtr revIDLastSave="0" documentId="13_ncr:1_{9D69C118-1509-446B-A508-420FF97D06FF}" xr6:coauthVersionLast="47" xr6:coauthVersionMax="47" xr10:uidLastSave="{00000000-0000-0000-0000-000000000000}"/>
  <bookViews>
    <workbookView xWindow="28680" yWindow="-120" windowWidth="29040" windowHeight="16440" activeTab="1" xr2:uid="{A9AB8E97-FDAF-410B-9A7B-329150202942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6" i="2" l="1"/>
  <c r="B36" i="2"/>
  <c r="B35" i="2"/>
  <c r="B33" i="2"/>
  <c r="B34" i="2"/>
  <c r="B32" i="2"/>
  <c r="B42" i="2"/>
  <c r="B39" i="2"/>
  <c r="B37" i="2"/>
  <c r="B41" i="2"/>
  <c r="B38" i="2"/>
  <c r="B40" i="2"/>
  <c r="B43" i="2"/>
  <c r="B31" i="2"/>
  <c r="B30" i="2"/>
  <c r="B28" i="2"/>
  <c r="B25" i="2"/>
  <c r="B23" i="2"/>
  <c r="B27" i="2"/>
  <c r="B24" i="2"/>
  <c r="B26" i="2"/>
  <c r="B29" i="2"/>
  <c r="B3" i="2"/>
  <c r="B2" i="2"/>
  <c r="B62" i="2"/>
  <c r="B63" i="2"/>
  <c r="B18" i="2"/>
  <c r="B53" i="2"/>
  <c r="B54" i="2"/>
  <c r="B12" i="2"/>
  <c r="B13" i="2"/>
  <c r="B59" i="2"/>
  <c r="B60" i="2"/>
  <c r="B9" i="2"/>
  <c r="B6" i="2"/>
  <c r="B17" i="2"/>
  <c r="B20" i="2"/>
  <c r="B46" i="2"/>
  <c r="B47" i="2"/>
  <c r="B55" i="2"/>
  <c r="B56" i="2"/>
  <c r="B15" i="2"/>
  <c r="B44" i="2"/>
  <c r="B45" i="2"/>
  <c r="B48" i="2"/>
  <c r="B49" i="2"/>
  <c r="B8" i="2"/>
  <c r="B50" i="2"/>
  <c r="B51" i="2"/>
  <c r="B7" i="2"/>
  <c r="B11" i="2"/>
  <c r="B5" i="2"/>
  <c r="B4" i="2"/>
  <c r="B52" i="2"/>
  <c r="B21" i="2"/>
  <c r="B16" i="2"/>
  <c r="B14" i="2"/>
  <c r="B61" i="2"/>
  <c r="B57" i="2"/>
  <c r="B58" i="2"/>
  <c r="B10" i="2"/>
  <c r="B19" i="2"/>
  <c r="F54" i="2"/>
  <c r="F53" i="2"/>
  <c r="F63" i="2"/>
  <c r="F49" i="2"/>
  <c r="F56" i="2"/>
  <c r="F58" i="2"/>
  <c r="F62" i="2"/>
  <c r="F48" i="2"/>
  <c r="F55" i="2"/>
  <c r="F57" i="2"/>
  <c r="F60" i="2"/>
  <c r="F59" i="2"/>
  <c r="F45" i="2"/>
  <c r="F51" i="2"/>
  <c r="F44" i="2"/>
  <c r="F52" i="2"/>
  <c r="F50" i="2"/>
  <c r="F47" i="2"/>
  <c r="F61" i="2"/>
  <c r="F46" i="2"/>
  <c r="F14" i="2"/>
  <c r="F16" i="2"/>
  <c r="F12" i="2"/>
  <c r="F21" i="2"/>
  <c r="F18" i="2"/>
  <c r="F11" i="2"/>
  <c r="F20" i="2"/>
  <c r="F19" i="2"/>
  <c r="F13" i="2"/>
  <c r="F15" i="2"/>
  <c r="F17" i="2"/>
  <c r="F10" i="2"/>
  <c r="F8" i="2"/>
  <c r="F9" i="2"/>
  <c r="F6" i="2"/>
  <c r="F4" i="2"/>
  <c r="F5" i="2"/>
  <c r="F7" i="2"/>
  <c r="R30" i="2"/>
  <c r="R26" i="2"/>
</calcChain>
</file>

<file path=xl/sharedStrings.xml><?xml version="1.0" encoding="utf-8"?>
<sst xmlns="http://schemas.openxmlformats.org/spreadsheetml/2006/main" count="1465" uniqueCount="259">
  <si>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</si>
  <si>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</si>
  <si>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</si>
  <si>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</si>
  <si>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</si>
  <si>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</si>
  <si>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</si>
  <si>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</si>
  <si>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</si>
  <si>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</si>
  <si>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</si>
  <si>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</si>
  <si>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</si>
  <si>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</si>
  <si>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</si>
  <si>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</si>
  <si>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</si>
  <si>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</si>
  <si>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</si>
  <si>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</si>
  <si>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</si>
  <si>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</si>
  <si>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</si>
  <si>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</si>
  <si>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</si>
  <si>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</si>
  <si>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</si>
  <si>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</si>
  <si>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</si>
  <si>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</si>
  <si>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</si>
  <si>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</si>
  <si>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</si>
  <si>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</si>
  <si>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</si>
  <si>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</si>
  <si>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</si>
  <si>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</si>
  <si>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</si>
  <si>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</si>
  <si>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</si>
  <si>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</si>
  <si>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</si>
  <si>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</si>
  <si>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'00026581289K</t>
  </si>
  <si>
    <t>JAMES RHODES</t>
  </si>
  <si>
    <t>TX</t>
  </si>
  <si>
    <t>'043682</t>
  </si>
  <si>
    <t>GREGORY TEIPEL</t>
  </si>
  <si>
    <t>ACTIVE</t>
  </si>
  <si>
    <t>Humana MA 2019+ Level 15- 175/108</t>
  </si>
  <si>
    <t>Monthly</t>
  </si>
  <si>
    <t>AV</t>
  </si>
  <si>
    <t>'00026590989K</t>
  </si>
  <si>
    <t>FLORENCE LONDON</t>
  </si>
  <si>
    <t>IL</t>
  </si>
  <si>
    <t>'045622</t>
  </si>
  <si>
    <t>JACOB YALE</t>
  </si>
  <si>
    <t>'00026591919K</t>
  </si>
  <si>
    <t>DARLA CATO</t>
  </si>
  <si>
    <t>WI</t>
  </si>
  <si>
    <t>'045605</t>
  </si>
  <si>
    <t>GARY PORTUGAL</t>
  </si>
  <si>
    <t>'00026595601K</t>
  </si>
  <si>
    <t>MELINDA LEHMAN</t>
  </si>
  <si>
    <t>'045612</t>
  </si>
  <si>
    <t>ANTHONY HUNSBERGER</t>
  </si>
  <si>
    <t>'00026597087K</t>
  </si>
  <si>
    <t>STEVEN BAKER</t>
  </si>
  <si>
    <t>'102280950100</t>
  </si>
  <si>
    <t>NASTE ISIROV</t>
  </si>
  <si>
    <t>'045638</t>
  </si>
  <si>
    <t>RICHARD YALE</t>
  </si>
  <si>
    <t>Aetna MAPD NMO to MMO - 2025+ Replace E-App</t>
  </si>
  <si>
    <t>5/12 PRORATE</t>
  </si>
  <si>
    <t>'102280969100</t>
  </si>
  <si>
    <t>AMY GUILL</t>
  </si>
  <si>
    <t>OH</t>
  </si>
  <si>
    <t>'040060</t>
  </si>
  <si>
    <t>RYAN SHEPARD</t>
  </si>
  <si>
    <t>6/12 PRORATE</t>
  </si>
  <si>
    <t>'102281133600</t>
  </si>
  <si>
    <t>KEN RYDER</t>
  </si>
  <si>
    <t>FL</t>
  </si>
  <si>
    <t>'102281143100</t>
  </si>
  <si>
    <t>STEVEN PENNINGTON</t>
  </si>
  <si>
    <t>'045712</t>
  </si>
  <si>
    <t>GREGORY HANSFORD</t>
  </si>
  <si>
    <t>7/12 PRORATE</t>
  </si>
  <si>
    <t>'102281168000</t>
  </si>
  <si>
    <t>JAMES DECKER</t>
  </si>
  <si>
    <t>'136048357</t>
  </si>
  <si>
    <t>KEVIN FARRIS</t>
  </si>
  <si>
    <t>'043969</t>
  </si>
  <si>
    <t>STACEY PORTUGAL</t>
  </si>
  <si>
    <t>UHC MAPD Street payable to upline - 2026 New</t>
  </si>
  <si>
    <t>'136048357OV</t>
  </si>
  <si>
    <t>UHC MA Direct 2025 New Full</t>
  </si>
  <si>
    <t>'27R4A2L96</t>
  </si>
  <si>
    <t>OTHA HIGH</t>
  </si>
  <si>
    <t>MD</t>
  </si>
  <si>
    <t>'043690</t>
  </si>
  <si>
    <t>THOMAS KUCAN</t>
  </si>
  <si>
    <t>Cigna MAPD FMO to GA 1-1-19+ - New</t>
  </si>
  <si>
    <t>'905345788</t>
  </si>
  <si>
    <t>GAIL FOSTER</t>
  </si>
  <si>
    <t>CO</t>
  </si>
  <si>
    <t>'045621</t>
  </si>
  <si>
    <t>HEATHER GESKE</t>
  </si>
  <si>
    <t>'905345788OV</t>
  </si>
  <si>
    <t>'916096160</t>
  </si>
  <si>
    <t>MARK KELLEY</t>
  </si>
  <si>
    <t>'916237202</t>
  </si>
  <si>
    <t>MANUEL MUELLER</t>
  </si>
  <si>
    <t>UHC MAPD Street payable to upline - 2026 New - Other</t>
  </si>
  <si>
    <t>'916237202OV</t>
  </si>
  <si>
    <t>UHC MA Direct 2025 New Full - Other</t>
  </si>
  <si>
    <t>'925786770</t>
  </si>
  <si>
    <t>KEITH PARHAM</t>
  </si>
  <si>
    <t>'925786770OV</t>
  </si>
  <si>
    <t>'934511171</t>
  </si>
  <si>
    <t>JAY OOMMEN</t>
  </si>
  <si>
    <t>'045613</t>
  </si>
  <si>
    <t>RICARDO SANTOS</t>
  </si>
  <si>
    <t>'934511171OV</t>
  </si>
  <si>
    <t>'937667184</t>
  </si>
  <si>
    <t>JOHN GIBBS</t>
  </si>
  <si>
    <t>'944805654</t>
  </si>
  <si>
    <t>JOSEPH HARTMAN</t>
  </si>
  <si>
    <t>'041686</t>
  </si>
  <si>
    <t>DALE WALENGA</t>
  </si>
  <si>
    <t>UHC MAPD Street payable to upline- 2026 Pro New</t>
  </si>
  <si>
    <t>'944805654OV</t>
  </si>
  <si>
    <t>UHC MA Direct 2025 New Prorated</t>
  </si>
  <si>
    <t>'949313050</t>
  </si>
  <si>
    <t>H HENTOSH</t>
  </si>
  <si>
    <t>PA</t>
  </si>
  <si>
    <t>'045673</t>
  </si>
  <si>
    <t>MARK ROCCIA</t>
  </si>
  <si>
    <t>UHC MAPD Street payable to upline PA/CT- 2026 Pro New</t>
  </si>
  <si>
    <t>'949313050OV</t>
  </si>
  <si>
    <t>'969154449</t>
  </si>
  <si>
    <t>DEBRA SHEFFIELD</t>
  </si>
  <si>
    <t>'969154449OV</t>
  </si>
  <si>
    <t>'974303523</t>
  </si>
  <si>
    <t>ROSA HERNANDEZ</t>
  </si>
  <si>
    <t>'045966</t>
  </si>
  <si>
    <t>ANTONIA NEVAREZ</t>
  </si>
  <si>
    <t>'974303523OV</t>
  </si>
  <si>
    <t>'A04484036</t>
  </si>
  <si>
    <t>KENNETH HENRY</t>
  </si>
  <si>
    <t>NJ</t>
  </si>
  <si>
    <t>'045609</t>
  </si>
  <si>
    <t>MURRAY STERNER</t>
  </si>
  <si>
    <t>UHC AARP Med Supp 2026+ AR AZ IL KS MS NC NJ PA SC - Plans F G</t>
  </si>
  <si>
    <t>'A04484285</t>
  </si>
  <si>
    <t>DEBBIE CARLITZ</t>
  </si>
  <si>
    <t>UHC AARP Med Supp 2025+ FL Area 1 Plan B C F G</t>
  </si>
  <si>
    <t>'A04484457</t>
  </si>
  <si>
    <t>SARAH HOAGEY</t>
  </si>
  <si>
    <t>'043689</t>
  </si>
  <si>
    <t>ANNE MARIE KOZACHECK</t>
  </si>
  <si>
    <t>UHC AARP Med Supp 2026+ AR AZ IL KS MS NC NJ PA SC Plan N</t>
  </si>
  <si>
    <t>'A04484458</t>
  </si>
  <si>
    <t>RALPH HOAGEY</t>
  </si>
  <si>
    <t>'A04484847</t>
  </si>
  <si>
    <t>ROBERT CASEY</t>
  </si>
  <si>
    <t>UHC AARP Med Supp 2026+ PA Plan B C F G</t>
  </si>
  <si>
    <t>CB</t>
  </si>
  <si>
    <t>'00000556771DPC</t>
  </si>
  <si>
    <t>GERRY COX</t>
  </si>
  <si>
    <t>IN</t>
  </si>
  <si>
    <t>CHARGEBACK</t>
  </si>
  <si>
    <t>'00018131451KPDPPC</t>
  </si>
  <si>
    <t>LINDA SMITH</t>
  </si>
  <si>
    <t>Humana PDP 2019+ Level 15- 15/0</t>
  </si>
  <si>
    <t>'00021505553KPC</t>
  </si>
  <si>
    <t>SYED HUSSAINI</t>
  </si>
  <si>
    <t>'043618</t>
  </si>
  <si>
    <t>SAADIA ABDUL</t>
  </si>
  <si>
    <t>'00025031898KPC</t>
  </si>
  <si>
    <t>DEBBIE SEGUNDO</t>
  </si>
  <si>
    <t>'00026060803KPC</t>
  </si>
  <si>
    <t>CARI SIMON</t>
  </si>
  <si>
    <t>'045611</t>
  </si>
  <si>
    <t>FRANK LISKOVEC</t>
  </si>
  <si>
    <t>'00026089661KCB</t>
  </si>
  <si>
    <t>KEVIN BOKROS</t>
  </si>
  <si>
    <t>SC</t>
  </si>
  <si>
    <t>'043718</t>
  </si>
  <si>
    <t>CHAD YALE</t>
  </si>
  <si>
    <t>'00026571397KCB</t>
  </si>
  <si>
    <t>BRIAN STREET</t>
  </si>
  <si>
    <t>'045447</t>
  </si>
  <si>
    <t>ROBERT SIEVEWRIGHT</t>
  </si>
  <si>
    <t>'101041888400PC</t>
  </si>
  <si>
    <t>SHARON HUBER</t>
  </si>
  <si>
    <t>'045607</t>
  </si>
  <si>
    <t>PAMELA DEATON</t>
  </si>
  <si>
    <t>Aetna MAPD NMO to MMO - 2025+ New Paper</t>
  </si>
  <si>
    <t>'136048357CB</t>
  </si>
  <si>
    <t>UHC MAPD Street payable to upline- 2026 Replace</t>
  </si>
  <si>
    <t>'136048357OVCB</t>
  </si>
  <si>
    <t>'905345788CB</t>
  </si>
  <si>
    <t>'905345788OVCB</t>
  </si>
  <si>
    <t>'916237202CB</t>
  </si>
  <si>
    <t>UHC MAPD Street payable to upline- 2026 Replace - Other</t>
  </si>
  <si>
    <t>'916237202OVCB</t>
  </si>
  <si>
    <t>'925786770CB</t>
  </si>
  <si>
    <t>'925786770OVCB</t>
  </si>
  <si>
    <t>'934511171CB</t>
  </si>
  <si>
    <t>'934511171OVCB</t>
  </si>
  <si>
    <t>'944805654CB</t>
  </si>
  <si>
    <t>'944805654OVCB</t>
  </si>
  <si>
    <t>UHC MA Direct 2025 New Initial Prorated</t>
  </si>
  <si>
    <t>'949313050CB</t>
  </si>
  <si>
    <t>UHC MAPD Street payable to upline PA/CT- 2026 Replace</t>
  </si>
  <si>
    <t>'949313050OVCB</t>
  </si>
  <si>
    <t>'969154449CB</t>
  </si>
  <si>
    <t>'969154449OVCB</t>
  </si>
  <si>
    <t>'974303523CB</t>
  </si>
  <si>
    <t>'974303523OVCB</t>
  </si>
  <si>
    <t>00026581289K</t>
  </si>
  <si>
    <t>00026590989K</t>
  </si>
  <si>
    <t>00026591919K</t>
  </si>
  <si>
    <t>00026595601K</t>
  </si>
  <si>
    <t>00026597087K</t>
  </si>
  <si>
    <t>27R4A2L96</t>
  </si>
  <si>
    <t>A04484036</t>
  </si>
  <si>
    <t>A04484285</t>
  </si>
  <si>
    <t>A04484457</t>
  </si>
  <si>
    <t>A04484458</t>
  </si>
  <si>
    <t>A04484847</t>
  </si>
  <si>
    <t>00000556771D</t>
  </si>
  <si>
    <t>00018131451KPDP</t>
  </si>
  <si>
    <t>00021505553K</t>
  </si>
  <si>
    <t>00025031898K</t>
  </si>
  <si>
    <t>00026060803K</t>
  </si>
  <si>
    <t>00026089661K</t>
  </si>
  <si>
    <t>00026571397K</t>
  </si>
  <si>
    <t>Aetna MAPD OVR 2026</t>
  </si>
  <si>
    <t>Cigna MAPD Ovr</t>
  </si>
  <si>
    <t>Humana MAPD OVR</t>
  </si>
  <si>
    <t>Humana PDP</t>
  </si>
  <si>
    <t>UHC AARP MS FL Area 1- Plan B C F G</t>
  </si>
  <si>
    <t>UHC MAPD Ovr</t>
  </si>
  <si>
    <t>UHC 2026 CT, PA, DC *</t>
  </si>
  <si>
    <t>[%/$=391][prorate=7/12]</t>
  </si>
  <si>
    <t>UHC MAPD 2026*</t>
  </si>
  <si>
    <t>[%/$=347][prorate=7/12]</t>
  </si>
  <si>
    <t>[%/$=347][prorate=6/12]</t>
  </si>
  <si>
    <t>[%/$=347][prorate=5/12]</t>
  </si>
  <si>
    <t>2026 UHC non-Special Needs Plans PPOs Renewal</t>
  </si>
  <si>
    <t>UHC 2026</t>
  </si>
  <si>
    <t>[%/$=694][prorate=7/12]</t>
  </si>
  <si>
    <t>2026 UHC non-Special Needs Plans PPOs</t>
  </si>
  <si>
    <t>UHC 2026 CT, PA, DC</t>
  </si>
  <si>
    <t>[%/$=781][prorate=7/12]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</si>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</sst>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8838-814A-422F-A7E9-EBDC17CB963C}">
  <dimension ref="A1:AL63"/>
  <sheetViews>
    <sheetView topLeftCell="V31" workbookViewId="0">
      <selection activeCell="V31" sqref="A1:XFD1048576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5.109375" bestFit="1" customWidth="1"/>
    <col min="4" max="4" width="11.5546875" bestFit="1" customWidth="1"/>
    <col min="5" max="5" width="29.44140625" bestFit="1" customWidth="1"/>
    <col min="6" max="6" width="8.5546875" bestFit="1" customWidth="1"/>
    <col min="7" max="7" width="6.44140625" bestFit="1" customWidth="1"/>
    <col min="8" max="8" width="18.109375" bestFit="1" customWidth="1"/>
    <col min="9" max="9" width="19.6640625" bestFit="1" customWidth="1"/>
    <col min="10" max="10" width="20.5546875" bestFit="1" customWidth="1"/>
    <col min="11" max="11" width="8.109375" bestFit="1" customWidth="1"/>
    <col min="12" max="12" width="4.44140625" bestFit="1" customWidth="1"/>
    <col min="13" max="13" width="5.5546875" bestFit="1" customWidth="1"/>
    <col min="14" max="14" width="8.6640625" bestFit="1" customWidth="1"/>
    <col min="15" max="15" width="15.6640625" bestFit="1" customWidth="1"/>
    <col min="16" max="16" width="23.6640625" bestFit="1" customWidth="1"/>
    <col min="17" max="17" width="12.88671875" bestFit="1" customWidth="1"/>
    <col min="18" max="18" width="60" bestFit="1" customWidth="1"/>
    <col min="19" max="19" width="10.109375" bestFit="1" customWidth="1"/>
    <col min="20" max="20" width="12.33203125" bestFit="1" customWidth="1"/>
    <col min="21" max="21" width="14.5546875" bestFit="1" customWidth="1"/>
    <col min="22" max="22" width="12" bestFit="1" customWidth="1"/>
    <col min="23" max="23" width="15.88671875" bestFit="1" customWidth="1"/>
    <col min="25" max="25" width="18.33203125" bestFit="1" customWidth="1"/>
    <col min="26" max="26" width="15.88671875" bestFit="1" customWidth="1"/>
    <col min="27" max="27" width="17" bestFit="1" customWidth="1"/>
    <col min="28" max="28" width="16.44140625" bestFit="1" customWidth="1"/>
    <col min="29" max="29" width="17.44140625" bestFit="1" customWidth="1"/>
    <col min="30" max="30" width="11.5546875" bestFit="1" customWidth="1"/>
    <col min="31" max="31" width="14.88671875" bestFit="1" customWidth="1"/>
    <col min="32" max="32" width="9.6640625" bestFit="1" customWidth="1"/>
    <col min="33" max="33" width="13.109375" bestFit="1" customWidth="1"/>
    <col min="34" max="34" width="18.6640625" bestFit="1" customWidth="1"/>
    <col min="35" max="35" width="18.33203125" bestFit="1" customWidth="1"/>
    <col min="36" max="36" width="11.109375" bestFit="1" customWidth="1"/>
    <col min="37" max="37" width="13.5546875" bestFit="1" customWidth="1"/>
    <col min="38" max="38" width="16.109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46190</v>
      </c>
      <c r="B2" s="1">
        <v>46190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46266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6969761</v>
      </c>
    </row>
    <row r="3" spans="1:38" x14ac:dyDescent="0.3">
      <c r="A3" s="1">
        <v>46190</v>
      </c>
      <c r="B3" s="1">
        <v>46190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46204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6969762</v>
      </c>
    </row>
    <row r="4" spans="1:38" x14ac:dyDescent="0.3">
      <c r="A4" s="1">
        <v>46190</v>
      </c>
      <c r="B4" s="1">
        <v>46190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46204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6969763</v>
      </c>
    </row>
    <row r="5" spans="1:38" x14ac:dyDescent="0.3">
      <c r="A5" s="1">
        <v>46190</v>
      </c>
      <c r="B5" s="1">
        <v>46190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55</v>
      </c>
      <c r="O5" t="s">
        <v>65</v>
      </c>
      <c r="P5" t="s">
        <v>66</v>
      </c>
      <c r="Q5" t="s">
        <v>49</v>
      </c>
      <c r="R5" t="s">
        <v>50</v>
      </c>
      <c r="S5" s="1">
        <v>46204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6969764</v>
      </c>
    </row>
    <row r="6" spans="1:38" x14ac:dyDescent="0.3">
      <c r="A6" s="1">
        <v>46190</v>
      </c>
      <c r="B6" s="1">
        <v>46190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46204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6969765</v>
      </c>
    </row>
    <row r="7" spans="1:38" x14ac:dyDescent="0.3">
      <c r="A7" s="1">
        <v>46190</v>
      </c>
      <c r="B7" s="1">
        <v>46190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55</v>
      </c>
      <c r="O7" t="s">
        <v>71</v>
      </c>
      <c r="P7" t="s">
        <v>72</v>
      </c>
      <c r="Q7" t="s">
        <v>49</v>
      </c>
      <c r="R7" t="s">
        <v>73</v>
      </c>
      <c r="S7" s="1">
        <v>46235</v>
      </c>
      <c r="U7" t="s">
        <v>51</v>
      </c>
      <c r="X7" t="s">
        <v>52</v>
      </c>
      <c r="Y7" s="2">
        <v>0</v>
      </c>
      <c r="Z7" s="2">
        <v>10.42</v>
      </c>
      <c r="AA7">
        <v>1</v>
      </c>
      <c r="AB7" s="3">
        <v>1</v>
      </c>
      <c r="AC7" s="2">
        <v>10.42</v>
      </c>
      <c r="AD7" s="3">
        <v>0</v>
      </c>
      <c r="AE7" s="2">
        <v>0</v>
      </c>
      <c r="AF7" s="2">
        <v>10.42</v>
      </c>
      <c r="AK7">
        <v>6969425</v>
      </c>
      <c r="AL7" t="s">
        <v>74</v>
      </c>
    </row>
    <row r="8" spans="1:38" x14ac:dyDescent="0.3">
      <c r="A8" s="1">
        <v>46190</v>
      </c>
      <c r="B8" s="1">
        <v>46190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77</v>
      </c>
      <c r="O8" t="s">
        <v>78</v>
      </c>
      <c r="P8" t="s">
        <v>79</v>
      </c>
      <c r="Q8" t="s">
        <v>49</v>
      </c>
      <c r="R8" t="s">
        <v>73</v>
      </c>
      <c r="S8" s="1">
        <v>46204</v>
      </c>
      <c r="U8" t="s">
        <v>51</v>
      </c>
      <c r="X8" t="s">
        <v>52</v>
      </c>
      <c r="Y8" s="2">
        <v>0</v>
      </c>
      <c r="Z8" s="2">
        <v>12.5</v>
      </c>
      <c r="AA8">
        <v>1</v>
      </c>
      <c r="AB8" s="3">
        <v>1</v>
      </c>
      <c r="AC8" s="2">
        <v>12.5</v>
      </c>
      <c r="AD8" s="3">
        <v>0</v>
      </c>
      <c r="AE8" s="2">
        <v>0</v>
      </c>
      <c r="AF8" s="2">
        <v>12.5</v>
      </c>
      <c r="AK8">
        <v>6969427</v>
      </c>
      <c r="AL8" t="s">
        <v>80</v>
      </c>
    </row>
    <row r="9" spans="1:38" x14ac:dyDescent="0.3">
      <c r="A9" s="1">
        <v>46190</v>
      </c>
      <c r="B9" s="1">
        <v>46190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81</v>
      </c>
      <c r="J9" t="s">
        <v>82</v>
      </c>
      <c r="M9" t="s">
        <v>83</v>
      </c>
      <c r="O9" t="s">
        <v>47</v>
      </c>
      <c r="P9" t="s">
        <v>48</v>
      </c>
      <c r="Q9" t="s">
        <v>49</v>
      </c>
      <c r="R9" t="s">
        <v>73</v>
      </c>
      <c r="S9" s="1">
        <v>46204</v>
      </c>
      <c r="U9" t="s">
        <v>51</v>
      </c>
      <c r="X9" t="s">
        <v>52</v>
      </c>
      <c r="Y9" s="2">
        <v>0</v>
      </c>
      <c r="Z9" s="2">
        <v>12.5</v>
      </c>
      <c r="AA9">
        <v>1</v>
      </c>
      <c r="AB9" s="3">
        <v>1</v>
      </c>
      <c r="AC9" s="2">
        <v>12.5</v>
      </c>
      <c r="AD9" s="3">
        <v>0</v>
      </c>
      <c r="AE9" s="2">
        <v>0</v>
      </c>
      <c r="AF9" s="2">
        <v>12.5</v>
      </c>
      <c r="AK9">
        <v>6969443</v>
      </c>
      <c r="AL9" t="s">
        <v>80</v>
      </c>
    </row>
    <row r="10" spans="1:38" x14ac:dyDescent="0.3">
      <c r="A10" s="1">
        <v>46190</v>
      </c>
      <c r="B10" s="1">
        <v>46190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84</v>
      </c>
      <c r="J10" t="s">
        <v>85</v>
      </c>
      <c r="M10" t="s">
        <v>77</v>
      </c>
      <c r="O10" t="s">
        <v>86</v>
      </c>
      <c r="P10" t="s">
        <v>87</v>
      </c>
      <c r="Q10" t="s">
        <v>49</v>
      </c>
      <c r="R10" t="s">
        <v>73</v>
      </c>
      <c r="S10" s="1">
        <v>46174</v>
      </c>
      <c r="U10" t="s">
        <v>51</v>
      </c>
      <c r="X10" t="s">
        <v>52</v>
      </c>
      <c r="Y10" s="2">
        <v>0</v>
      </c>
      <c r="Z10" s="2">
        <v>14.58</v>
      </c>
      <c r="AA10">
        <v>1</v>
      </c>
      <c r="AB10" s="3">
        <v>1</v>
      </c>
      <c r="AC10" s="2">
        <v>14.58</v>
      </c>
      <c r="AD10" s="3">
        <v>0</v>
      </c>
      <c r="AE10" s="2">
        <v>0</v>
      </c>
      <c r="AF10" s="2">
        <v>14.58</v>
      </c>
      <c r="AK10">
        <v>6969444</v>
      </c>
      <c r="AL10" t="s">
        <v>88</v>
      </c>
    </row>
    <row r="11" spans="1:38" x14ac:dyDescent="0.3">
      <c r="A11" s="1">
        <v>46190</v>
      </c>
      <c r="B11" s="1">
        <v>46190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77</v>
      </c>
      <c r="O11" t="s">
        <v>78</v>
      </c>
      <c r="P11" t="s">
        <v>79</v>
      </c>
      <c r="Q11" t="s">
        <v>49</v>
      </c>
      <c r="R11" t="s">
        <v>73</v>
      </c>
      <c r="S11" s="1">
        <v>46235</v>
      </c>
      <c r="U11" t="s">
        <v>51</v>
      </c>
      <c r="X11" t="s">
        <v>52</v>
      </c>
      <c r="Y11" s="2">
        <v>0</v>
      </c>
      <c r="Z11" s="2">
        <v>10.42</v>
      </c>
      <c r="AA11">
        <v>1</v>
      </c>
      <c r="AB11" s="3">
        <v>1</v>
      </c>
      <c r="AC11" s="2">
        <v>10.42</v>
      </c>
      <c r="AD11" s="3">
        <v>0</v>
      </c>
      <c r="AE11" s="2">
        <v>0</v>
      </c>
      <c r="AF11" s="2">
        <v>10.42</v>
      </c>
      <c r="AK11">
        <v>6969447</v>
      </c>
      <c r="AL11" t="s">
        <v>74</v>
      </c>
    </row>
    <row r="12" spans="1:38" x14ac:dyDescent="0.3">
      <c r="A12" s="1">
        <v>46190</v>
      </c>
      <c r="B12" s="1">
        <v>46190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60</v>
      </c>
      <c r="O12" t="s">
        <v>93</v>
      </c>
      <c r="P12" t="s">
        <v>94</v>
      </c>
      <c r="Q12" t="s">
        <v>49</v>
      </c>
      <c r="R12" t="s">
        <v>95</v>
      </c>
      <c r="S12" s="1">
        <v>46174</v>
      </c>
      <c r="U12" t="s">
        <v>51</v>
      </c>
      <c r="X12" t="s">
        <v>52</v>
      </c>
      <c r="Y12" s="2">
        <v>0</v>
      </c>
      <c r="Z12" s="2">
        <v>694</v>
      </c>
      <c r="AA12">
        <v>1</v>
      </c>
      <c r="AB12" s="3">
        <v>1</v>
      </c>
      <c r="AC12" s="2">
        <v>694</v>
      </c>
      <c r="AD12" s="3">
        <v>0</v>
      </c>
      <c r="AE12" s="2">
        <v>0</v>
      </c>
      <c r="AF12" s="2">
        <v>694</v>
      </c>
      <c r="AK12">
        <v>6969812</v>
      </c>
    </row>
    <row r="13" spans="1:38" x14ac:dyDescent="0.3">
      <c r="A13" s="1">
        <v>46190</v>
      </c>
      <c r="B13" s="1">
        <v>46190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92</v>
      </c>
      <c r="M13" t="s">
        <v>60</v>
      </c>
      <c r="O13" t="s">
        <v>93</v>
      </c>
      <c r="P13" t="s">
        <v>94</v>
      </c>
      <c r="Q13" t="s">
        <v>49</v>
      </c>
      <c r="R13" t="s">
        <v>97</v>
      </c>
      <c r="S13" s="1">
        <v>46174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6969813</v>
      </c>
    </row>
    <row r="14" spans="1:38" x14ac:dyDescent="0.3">
      <c r="A14" s="1">
        <v>46190</v>
      </c>
      <c r="B14" s="1">
        <v>46190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98</v>
      </c>
      <c r="J14" t="s">
        <v>99</v>
      </c>
      <c r="M14" t="s">
        <v>100</v>
      </c>
      <c r="O14" t="s">
        <v>101</v>
      </c>
      <c r="P14" t="s">
        <v>102</v>
      </c>
      <c r="Q14" t="s">
        <v>49</v>
      </c>
      <c r="R14" t="s">
        <v>103</v>
      </c>
      <c r="S14" s="1">
        <v>46174</v>
      </c>
      <c r="U14" t="s">
        <v>51</v>
      </c>
      <c r="X14" t="s">
        <v>52</v>
      </c>
      <c r="Y14" s="2">
        <v>0</v>
      </c>
      <c r="Z14" s="2">
        <v>100</v>
      </c>
      <c r="AA14">
        <v>1</v>
      </c>
      <c r="AB14" s="3">
        <v>1</v>
      </c>
      <c r="AC14" s="2">
        <v>100</v>
      </c>
      <c r="AD14" s="3">
        <v>0</v>
      </c>
      <c r="AE14" s="2">
        <v>0</v>
      </c>
      <c r="AF14" s="2">
        <v>100</v>
      </c>
      <c r="AK14">
        <v>6969484</v>
      </c>
    </row>
    <row r="15" spans="1:38" x14ac:dyDescent="0.3">
      <c r="A15" s="1">
        <v>46190</v>
      </c>
      <c r="B15" s="1">
        <v>46190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104</v>
      </c>
      <c r="J15" t="s">
        <v>105</v>
      </c>
      <c r="M15" t="s">
        <v>106</v>
      </c>
      <c r="O15" t="s">
        <v>107</v>
      </c>
      <c r="P15" t="s">
        <v>108</v>
      </c>
      <c r="Q15" t="s">
        <v>49</v>
      </c>
      <c r="R15" t="s">
        <v>95</v>
      </c>
      <c r="S15" s="1">
        <v>46235</v>
      </c>
      <c r="U15" t="s">
        <v>51</v>
      </c>
      <c r="X15" t="s">
        <v>52</v>
      </c>
      <c r="Y15" s="2">
        <v>0</v>
      </c>
      <c r="Z15" s="2">
        <v>694</v>
      </c>
      <c r="AA15">
        <v>1</v>
      </c>
      <c r="AB15" s="3">
        <v>1</v>
      </c>
      <c r="AC15" s="2">
        <v>694</v>
      </c>
      <c r="AD15" s="3">
        <v>0</v>
      </c>
      <c r="AE15" s="2">
        <v>0</v>
      </c>
      <c r="AF15" s="2">
        <v>694</v>
      </c>
      <c r="AK15">
        <v>6969868</v>
      </c>
    </row>
    <row r="16" spans="1:38" x14ac:dyDescent="0.3">
      <c r="A16" s="1">
        <v>46190</v>
      </c>
      <c r="B16" s="1">
        <v>46190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105</v>
      </c>
      <c r="M16" t="s">
        <v>106</v>
      </c>
      <c r="O16" t="s">
        <v>107</v>
      </c>
      <c r="P16" t="s">
        <v>108</v>
      </c>
      <c r="Q16" t="s">
        <v>49</v>
      </c>
      <c r="R16" t="s">
        <v>97</v>
      </c>
      <c r="S16" s="1">
        <v>46235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6969869</v>
      </c>
    </row>
    <row r="17" spans="1:38" x14ac:dyDescent="0.3">
      <c r="A17" s="1">
        <v>46190</v>
      </c>
      <c r="B17" s="1">
        <v>46190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110</v>
      </c>
      <c r="J17" t="s">
        <v>111</v>
      </c>
      <c r="M17" t="s">
        <v>46</v>
      </c>
      <c r="O17" t="s">
        <v>93</v>
      </c>
      <c r="P17" t="s">
        <v>94</v>
      </c>
      <c r="Q17" t="s">
        <v>49</v>
      </c>
      <c r="R17" t="s">
        <v>97</v>
      </c>
      <c r="S17" s="1">
        <v>46235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6969910</v>
      </c>
    </row>
    <row r="18" spans="1:38" x14ac:dyDescent="0.3">
      <c r="A18" s="1">
        <v>46190</v>
      </c>
      <c r="B18" s="1">
        <v>46190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55</v>
      </c>
      <c r="O18" t="s">
        <v>61</v>
      </c>
      <c r="P18" t="s">
        <v>62</v>
      </c>
      <c r="Q18" t="s">
        <v>49</v>
      </c>
      <c r="R18" t="s">
        <v>114</v>
      </c>
      <c r="S18" s="1">
        <v>46204</v>
      </c>
      <c r="U18" t="s">
        <v>51</v>
      </c>
      <c r="X18" t="s">
        <v>52</v>
      </c>
      <c r="Y18" s="2">
        <v>0</v>
      </c>
      <c r="Z18" s="2">
        <v>406</v>
      </c>
      <c r="AA18">
        <v>1</v>
      </c>
      <c r="AB18" s="3">
        <v>1</v>
      </c>
      <c r="AC18" s="2">
        <v>406</v>
      </c>
      <c r="AD18" s="3">
        <v>0</v>
      </c>
      <c r="AE18" s="2">
        <v>0</v>
      </c>
      <c r="AF18" s="2">
        <v>406</v>
      </c>
      <c r="AK18">
        <v>6969911</v>
      </c>
    </row>
    <row r="19" spans="1:38" x14ac:dyDescent="0.3">
      <c r="A19" s="1">
        <v>46190</v>
      </c>
      <c r="B19" s="1">
        <v>46190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115</v>
      </c>
      <c r="J19" t="s">
        <v>113</v>
      </c>
      <c r="M19" t="s">
        <v>55</v>
      </c>
      <c r="O19" t="s">
        <v>61</v>
      </c>
      <c r="P19" t="s">
        <v>62</v>
      </c>
      <c r="Q19" t="s">
        <v>49</v>
      </c>
      <c r="R19" t="s">
        <v>116</v>
      </c>
      <c r="S19" s="1">
        <v>46204</v>
      </c>
      <c r="U19" t="s">
        <v>51</v>
      </c>
      <c r="X19" t="s">
        <v>52</v>
      </c>
      <c r="Y19" s="2">
        <v>0</v>
      </c>
      <c r="Z19" s="2">
        <v>113</v>
      </c>
      <c r="AA19">
        <v>1</v>
      </c>
      <c r="AB19" s="3">
        <v>1</v>
      </c>
      <c r="AC19" s="2">
        <v>113</v>
      </c>
      <c r="AD19" s="3">
        <v>0</v>
      </c>
      <c r="AE19" s="2">
        <v>0</v>
      </c>
      <c r="AF19" s="2">
        <v>113</v>
      </c>
      <c r="AK19">
        <v>6969912</v>
      </c>
    </row>
    <row r="20" spans="1:38" x14ac:dyDescent="0.3">
      <c r="A20" s="1">
        <v>46190</v>
      </c>
      <c r="B20" s="1">
        <v>46190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117</v>
      </c>
      <c r="J20" t="s">
        <v>118</v>
      </c>
      <c r="M20" t="s">
        <v>106</v>
      </c>
      <c r="O20" t="s">
        <v>107</v>
      </c>
      <c r="P20" t="s">
        <v>108</v>
      </c>
      <c r="Q20" t="s">
        <v>49</v>
      </c>
      <c r="R20" t="s">
        <v>95</v>
      </c>
      <c r="S20" s="1">
        <v>46174</v>
      </c>
      <c r="U20" t="s">
        <v>51</v>
      </c>
      <c r="X20" t="s">
        <v>52</v>
      </c>
      <c r="Y20" s="2">
        <v>0</v>
      </c>
      <c r="Z20" s="2">
        <v>694</v>
      </c>
      <c r="AA20">
        <v>1</v>
      </c>
      <c r="AB20" s="3">
        <v>1</v>
      </c>
      <c r="AC20" s="2">
        <v>694</v>
      </c>
      <c r="AD20" s="3">
        <v>0</v>
      </c>
      <c r="AE20" s="2">
        <v>0</v>
      </c>
      <c r="AF20" s="2">
        <v>694</v>
      </c>
      <c r="AK20">
        <v>6969934</v>
      </c>
    </row>
    <row r="21" spans="1:38" x14ac:dyDescent="0.3">
      <c r="A21" s="1">
        <v>46190</v>
      </c>
      <c r="B21" s="1">
        <v>46190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118</v>
      </c>
      <c r="M21" t="s">
        <v>106</v>
      </c>
      <c r="O21" t="s">
        <v>107</v>
      </c>
      <c r="P21" t="s">
        <v>108</v>
      </c>
      <c r="Q21" t="s">
        <v>49</v>
      </c>
      <c r="R21" t="s">
        <v>97</v>
      </c>
      <c r="S21" s="1">
        <v>46174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6969935</v>
      </c>
    </row>
    <row r="22" spans="1:38" x14ac:dyDescent="0.3">
      <c r="A22" s="1">
        <v>46190</v>
      </c>
      <c r="B22" s="1">
        <v>46190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120</v>
      </c>
      <c r="J22" t="s">
        <v>121</v>
      </c>
      <c r="M22" t="s">
        <v>55</v>
      </c>
      <c r="O22" t="s">
        <v>122</v>
      </c>
      <c r="P22" t="s">
        <v>123</v>
      </c>
      <c r="Q22" t="s">
        <v>49</v>
      </c>
      <c r="R22" t="s">
        <v>95</v>
      </c>
      <c r="S22" s="1">
        <v>46204</v>
      </c>
      <c r="U22" t="s">
        <v>51</v>
      </c>
      <c r="X22" t="s">
        <v>52</v>
      </c>
      <c r="Y22" s="2">
        <v>0</v>
      </c>
      <c r="Z22" s="2">
        <v>694</v>
      </c>
      <c r="AA22">
        <v>1</v>
      </c>
      <c r="AB22" s="3">
        <v>1</v>
      </c>
      <c r="AC22" s="2">
        <v>694</v>
      </c>
      <c r="AD22" s="3">
        <v>0</v>
      </c>
      <c r="AE22" s="2">
        <v>0</v>
      </c>
      <c r="AF22" s="2">
        <v>694</v>
      </c>
      <c r="AK22">
        <v>6969963</v>
      </c>
    </row>
    <row r="23" spans="1:38" x14ac:dyDescent="0.3">
      <c r="A23" s="1">
        <v>46190</v>
      </c>
      <c r="B23" s="1">
        <v>46190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124</v>
      </c>
      <c r="J23" t="s">
        <v>121</v>
      </c>
      <c r="M23" t="s">
        <v>55</v>
      </c>
      <c r="O23" t="s">
        <v>122</v>
      </c>
      <c r="P23" t="s">
        <v>123</v>
      </c>
      <c r="Q23" t="s">
        <v>49</v>
      </c>
      <c r="R23" t="s">
        <v>97</v>
      </c>
      <c r="S23" s="1">
        <v>46204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6969964</v>
      </c>
    </row>
    <row r="24" spans="1:38" x14ac:dyDescent="0.3">
      <c r="A24" s="1">
        <v>46190</v>
      </c>
      <c r="B24" s="1">
        <v>46190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125</v>
      </c>
      <c r="J24" t="s">
        <v>126</v>
      </c>
      <c r="M24" t="s">
        <v>77</v>
      </c>
      <c r="O24" t="s">
        <v>78</v>
      </c>
      <c r="P24" t="s">
        <v>79</v>
      </c>
      <c r="Q24" t="s">
        <v>49</v>
      </c>
      <c r="R24" t="s">
        <v>97</v>
      </c>
      <c r="S24" s="1">
        <v>46204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6969975</v>
      </c>
    </row>
    <row r="25" spans="1:38" x14ac:dyDescent="0.3">
      <c r="A25" s="1">
        <v>46190</v>
      </c>
      <c r="B25" s="1">
        <v>46190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127</v>
      </c>
      <c r="J25" t="s">
        <v>128</v>
      </c>
      <c r="M25" t="s">
        <v>55</v>
      </c>
      <c r="O25" t="s">
        <v>129</v>
      </c>
      <c r="P25" t="s">
        <v>130</v>
      </c>
      <c r="Q25" t="s">
        <v>49</v>
      </c>
      <c r="R25" t="s">
        <v>131</v>
      </c>
      <c r="S25" s="1">
        <v>46174</v>
      </c>
      <c r="U25" t="s">
        <v>51</v>
      </c>
      <c r="X25" t="s">
        <v>52</v>
      </c>
      <c r="Y25" s="2">
        <v>0</v>
      </c>
      <c r="Z25" s="2">
        <v>404.83</v>
      </c>
      <c r="AA25">
        <v>1</v>
      </c>
      <c r="AB25" s="3">
        <v>1</v>
      </c>
      <c r="AC25" s="2">
        <v>404.83</v>
      </c>
      <c r="AD25" s="3">
        <v>0</v>
      </c>
      <c r="AE25" s="2">
        <v>0</v>
      </c>
      <c r="AF25" s="2">
        <v>404.83</v>
      </c>
      <c r="AK25">
        <v>6969995</v>
      </c>
      <c r="AL25" t="s">
        <v>88</v>
      </c>
    </row>
    <row r="26" spans="1:38" x14ac:dyDescent="0.3">
      <c r="A26" s="1">
        <v>46190</v>
      </c>
      <c r="B26" s="1">
        <v>46190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132</v>
      </c>
      <c r="J26" t="s">
        <v>128</v>
      </c>
      <c r="M26" t="s">
        <v>55</v>
      </c>
      <c r="O26" t="s">
        <v>129</v>
      </c>
      <c r="P26" t="s">
        <v>130</v>
      </c>
      <c r="Q26" t="s">
        <v>49</v>
      </c>
      <c r="R26" t="s">
        <v>133</v>
      </c>
      <c r="S26" s="1">
        <v>46174</v>
      </c>
      <c r="U26" t="s">
        <v>51</v>
      </c>
      <c r="X26" t="s">
        <v>52</v>
      </c>
      <c r="Y26" s="2">
        <v>0</v>
      </c>
      <c r="Z26" s="2">
        <v>102.08</v>
      </c>
      <c r="AA26">
        <v>1</v>
      </c>
      <c r="AB26" s="3">
        <v>1</v>
      </c>
      <c r="AC26" s="2">
        <v>102.08</v>
      </c>
      <c r="AD26" s="3">
        <v>0</v>
      </c>
      <c r="AE26" s="2">
        <v>0</v>
      </c>
      <c r="AF26" s="2">
        <v>102.08</v>
      </c>
      <c r="AK26">
        <v>6969996</v>
      </c>
      <c r="AL26" t="s">
        <v>88</v>
      </c>
    </row>
    <row r="27" spans="1:38" x14ac:dyDescent="0.3">
      <c r="A27" s="1">
        <v>46190</v>
      </c>
      <c r="B27" s="1">
        <v>46190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134</v>
      </c>
      <c r="J27" t="s">
        <v>135</v>
      </c>
      <c r="M27" t="s">
        <v>136</v>
      </c>
      <c r="O27" t="s">
        <v>137</v>
      </c>
      <c r="P27" t="s">
        <v>138</v>
      </c>
      <c r="Q27" t="s">
        <v>49</v>
      </c>
      <c r="R27" t="s">
        <v>139</v>
      </c>
      <c r="S27" s="1">
        <v>46174</v>
      </c>
      <c r="U27" t="s">
        <v>51</v>
      </c>
      <c r="X27" t="s">
        <v>52</v>
      </c>
      <c r="Y27" s="2">
        <v>0</v>
      </c>
      <c r="Z27" s="2">
        <v>455.58</v>
      </c>
      <c r="AA27">
        <v>1</v>
      </c>
      <c r="AB27" s="3">
        <v>1</v>
      </c>
      <c r="AC27" s="2">
        <v>455.58</v>
      </c>
      <c r="AD27" s="3">
        <v>0</v>
      </c>
      <c r="AE27" s="2">
        <v>0</v>
      </c>
      <c r="AF27" s="2">
        <v>455.58</v>
      </c>
      <c r="AK27">
        <v>6970011</v>
      </c>
      <c r="AL27" t="s">
        <v>88</v>
      </c>
    </row>
    <row r="28" spans="1:38" x14ac:dyDescent="0.3">
      <c r="A28" s="1">
        <v>46190</v>
      </c>
      <c r="B28" s="1">
        <v>46190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140</v>
      </c>
      <c r="J28" t="s">
        <v>135</v>
      </c>
      <c r="M28" t="s">
        <v>136</v>
      </c>
      <c r="O28" t="s">
        <v>137</v>
      </c>
      <c r="P28" t="s">
        <v>138</v>
      </c>
      <c r="Q28" t="s">
        <v>49</v>
      </c>
      <c r="R28" t="s">
        <v>97</v>
      </c>
      <c r="S28" s="1">
        <v>46174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6970012</v>
      </c>
    </row>
    <row r="29" spans="1:38" x14ac:dyDescent="0.3">
      <c r="A29" s="1">
        <v>46190</v>
      </c>
      <c r="B29" s="1">
        <v>46190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141</v>
      </c>
      <c r="J29" t="s">
        <v>142</v>
      </c>
      <c r="M29" t="s">
        <v>77</v>
      </c>
      <c r="O29" t="s">
        <v>56</v>
      </c>
      <c r="P29" t="s">
        <v>57</v>
      </c>
      <c r="Q29" t="s">
        <v>49</v>
      </c>
      <c r="R29" t="s">
        <v>95</v>
      </c>
      <c r="S29" s="1">
        <v>46204</v>
      </c>
      <c r="U29" t="s">
        <v>51</v>
      </c>
      <c r="X29" t="s">
        <v>52</v>
      </c>
      <c r="Y29" s="2">
        <v>0</v>
      </c>
      <c r="Z29" s="2">
        <v>694</v>
      </c>
      <c r="AA29">
        <v>1</v>
      </c>
      <c r="AB29" s="3">
        <v>1</v>
      </c>
      <c r="AC29" s="2">
        <v>694</v>
      </c>
      <c r="AD29" s="3">
        <v>0</v>
      </c>
      <c r="AE29" s="2">
        <v>0</v>
      </c>
      <c r="AF29" s="2">
        <v>694</v>
      </c>
      <c r="AK29">
        <v>6970060</v>
      </c>
    </row>
    <row r="30" spans="1:38" x14ac:dyDescent="0.3">
      <c r="A30" s="1">
        <v>46190</v>
      </c>
      <c r="B30" s="1">
        <v>46190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143</v>
      </c>
      <c r="J30" t="s">
        <v>142</v>
      </c>
      <c r="M30" t="s">
        <v>77</v>
      </c>
      <c r="O30" t="s">
        <v>56</v>
      </c>
      <c r="P30" t="s">
        <v>57</v>
      </c>
      <c r="Q30" t="s">
        <v>49</v>
      </c>
      <c r="R30" t="s">
        <v>97</v>
      </c>
      <c r="S30" s="1">
        <v>46204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6970061</v>
      </c>
    </row>
    <row r="31" spans="1:38" x14ac:dyDescent="0.3">
      <c r="A31" s="1">
        <v>46190</v>
      </c>
      <c r="B31" s="1">
        <v>46190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144</v>
      </c>
      <c r="J31" t="s">
        <v>145</v>
      </c>
      <c r="M31" t="s">
        <v>55</v>
      </c>
      <c r="O31" t="s">
        <v>146</v>
      </c>
      <c r="P31" t="s">
        <v>147</v>
      </c>
      <c r="Q31" t="s">
        <v>49</v>
      </c>
      <c r="R31" t="s">
        <v>95</v>
      </c>
      <c r="S31" s="1">
        <v>46174</v>
      </c>
      <c r="U31" t="s">
        <v>51</v>
      </c>
      <c r="X31" t="s">
        <v>52</v>
      </c>
      <c r="Y31" s="2">
        <v>0</v>
      </c>
      <c r="Z31" s="2">
        <v>694</v>
      </c>
      <c r="AA31">
        <v>1</v>
      </c>
      <c r="AB31" s="3">
        <v>1</v>
      </c>
      <c r="AC31" s="2">
        <v>694</v>
      </c>
      <c r="AD31" s="3">
        <v>0</v>
      </c>
      <c r="AE31" s="2">
        <v>0</v>
      </c>
      <c r="AF31" s="2">
        <v>694</v>
      </c>
      <c r="AK31">
        <v>6970078</v>
      </c>
    </row>
    <row r="32" spans="1:38" x14ac:dyDescent="0.3">
      <c r="A32" s="1">
        <v>46190</v>
      </c>
      <c r="B32" s="1">
        <v>46190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148</v>
      </c>
      <c r="J32" t="s">
        <v>145</v>
      </c>
      <c r="M32" t="s">
        <v>55</v>
      </c>
      <c r="O32" t="s">
        <v>146</v>
      </c>
      <c r="P32" t="s">
        <v>147</v>
      </c>
      <c r="Q32" t="s">
        <v>49</v>
      </c>
      <c r="R32" t="s">
        <v>97</v>
      </c>
      <c r="S32" s="1">
        <v>46174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6970079</v>
      </c>
    </row>
    <row r="33" spans="1:37" x14ac:dyDescent="0.3">
      <c r="A33" s="1">
        <v>46190</v>
      </c>
      <c r="B33" s="1">
        <v>46190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149</v>
      </c>
      <c r="J33" t="s">
        <v>150</v>
      </c>
      <c r="M33" t="s">
        <v>151</v>
      </c>
      <c r="O33" t="s">
        <v>152</v>
      </c>
      <c r="P33" t="s">
        <v>153</v>
      </c>
      <c r="Q33" t="s">
        <v>49</v>
      </c>
      <c r="R33" t="s">
        <v>154</v>
      </c>
      <c r="S33" s="1">
        <v>46204</v>
      </c>
      <c r="U33" t="s">
        <v>51</v>
      </c>
      <c r="X33" t="s">
        <v>52</v>
      </c>
      <c r="Y33" s="2">
        <v>0</v>
      </c>
      <c r="Z33" s="2">
        <v>9.83</v>
      </c>
      <c r="AA33">
        <v>9</v>
      </c>
      <c r="AB33" s="3">
        <v>1</v>
      </c>
      <c r="AC33" s="2">
        <v>88.47</v>
      </c>
      <c r="AD33" s="3">
        <v>0</v>
      </c>
      <c r="AE33" s="2">
        <v>0</v>
      </c>
      <c r="AF33" s="2">
        <v>88.47</v>
      </c>
      <c r="AK33">
        <v>6969770</v>
      </c>
    </row>
    <row r="34" spans="1:37" x14ac:dyDescent="0.3">
      <c r="A34" s="1">
        <v>46190</v>
      </c>
      <c r="B34" s="1">
        <v>46190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155</v>
      </c>
      <c r="J34" t="s">
        <v>156</v>
      </c>
      <c r="M34" t="s">
        <v>83</v>
      </c>
      <c r="O34" t="s">
        <v>152</v>
      </c>
      <c r="P34" t="s">
        <v>153</v>
      </c>
      <c r="Q34" t="s">
        <v>49</v>
      </c>
      <c r="R34" t="s">
        <v>157</v>
      </c>
      <c r="S34" s="1">
        <v>46204</v>
      </c>
      <c r="U34" t="s">
        <v>51</v>
      </c>
      <c r="X34" t="s">
        <v>52</v>
      </c>
      <c r="Y34" s="2">
        <v>0</v>
      </c>
      <c r="Z34" s="2">
        <v>58.19</v>
      </c>
      <c r="AA34">
        <v>9</v>
      </c>
      <c r="AB34" s="3">
        <v>1</v>
      </c>
      <c r="AC34" s="2">
        <v>523.71</v>
      </c>
      <c r="AD34" s="3">
        <v>0</v>
      </c>
      <c r="AE34" s="2">
        <v>0</v>
      </c>
      <c r="AF34" s="2">
        <v>523.71</v>
      </c>
      <c r="AK34">
        <v>6969769</v>
      </c>
    </row>
    <row r="35" spans="1:37" x14ac:dyDescent="0.3">
      <c r="A35" s="1">
        <v>46190</v>
      </c>
      <c r="B35" s="1">
        <v>46190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158</v>
      </c>
      <c r="J35" t="s">
        <v>159</v>
      </c>
      <c r="M35" t="s">
        <v>136</v>
      </c>
      <c r="O35" t="s">
        <v>160</v>
      </c>
      <c r="P35" t="s">
        <v>161</v>
      </c>
      <c r="Q35" t="s">
        <v>49</v>
      </c>
      <c r="R35" t="s">
        <v>162</v>
      </c>
      <c r="S35" s="1">
        <v>46204</v>
      </c>
      <c r="U35" t="s">
        <v>51</v>
      </c>
      <c r="X35" t="s">
        <v>52</v>
      </c>
      <c r="Y35" s="2">
        <v>0</v>
      </c>
      <c r="Z35" s="2">
        <v>4.92</v>
      </c>
      <c r="AA35">
        <v>9</v>
      </c>
      <c r="AB35" s="3">
        <v>1</v>
      </c>
      <c r="AC35" s="2">
        <v>44.28</v>
      </c>
      <c r="AD35" s="3">
        <v>0</v>
      </c>
      <c r="AE35" s="2">
        <v>0</v>
      </c>
      <c r="AF35" s="2">
        <v>44.28</v>
      </c>
      <c r="AK35">
        <v>6969772</v>
      </c>
    </row>
    <row r="36" spans="1:37" x14ac:dyDescent="0.3">
      <c r="A36" s="1">
        <v>46190</v>
      </c>
      <c r="B36" s="1">
        <v>46190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163</v>
      </c>
      <c r="J36" t="s">
        <v>164</v>
      </c>
      <c r="M36" t="s">
        <v>136</v>
      </c>
      <c r="O36" t="s">
        <v>160</v>
      </c>
      <c r="P36" t="s">
        <v>161</v>
      </c>
      <c r="Q36" t="s">
        <v>49</v>
      </c>
      <c r="R36" t="s">
        <v>162</v>
      </c>
      <c r="S36" s="1">
        <v>46204</v>
      </c>
      <c r="U36" t="s">
        <v>51</v>
      </c>
      <c r="X36" t="s">
        <v>52</v>
      </c>
      <c r="Y36" s="2">
        <v>0</v>
      </c>
      <c r="Z36" s="2">
        <v>4.92</v>
      </c>
      <c r="AA36">
        <v>9</v>
      </c>
      <c r="AB36" s="3">
        <v>1</v>
      </c>
      <c r="AC36" s="2">
        <v>44.28</v>
      </c>
      <c r="AD36" s="3">
        <v>0</v>
      </c>
      <c r="AE36" s="2">
        <v>0</v>
      </c>
      <c r="AF36" s="2">
        <v>44.28</v>
      </c>
      <c r="AK36">
        <v>6969771</v>
      </c>
    </row>
    <row r="37" spans="1:37" x14ac:dyDescent="0.3">
      <c r="A37" s="1">
        <v>46190</v>
      </c>
      <c r="B37" s="1">
        <v>46190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165</v>
      </c>
      <c r="J37" t="s">
        <v>166</v>
      </c>
      <c r="M37" t="s">
        <v>136</v>
      </c>
      <c r="O37" t="s">
        <v>137</v>
      </c>
      <c r="P37" t="s">
        <v>138</v>
      </c>
      <c r="Q37" t="s">
        <v>49</v>
      </c>
      <c r="R37" t="s">
        <v>167</v>
      </c>
      <c r="S37" s="1">
        <v>46235</v>
      </c>
      <c r="U37" t="s">
        <v>51</v>
      </c>
      <c r="X37" t="s">
        <v>52</v>
      </c>
      <c r="Y37" s="2">
        <v>0</v>
      </c>
      <c r="Z37" s="2">
        <v>36</v>
      </c>
      <c r="AA37">
        <v>9</v>
      </c>
      <c r="AB37" s="3">
        <v>1</v>
      </c>
      <c r="AC37" s="2">
        <v>324</v>
      </c>
      <c r="AD37" s="3">
        <v>0</v>
      </c>
      <c r="AE37" s="2">
        <v>0</v>
      </c>
      <c r="AF37" s="2">
        <v>324</v>
      </c>
      <c r="AK37">
        <v>6969768</v>
      </c>
    </row>
    <row r="38" spans="1:37" x14ac:dyDescent="0.3">
      <c r="A38" s="1">
        <v>46190</v>
      </c>
      <c r="B38" s="1">
        <v>46190</v>
      </c>
      <c r="C38" t="s">
        <v>168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169</v>
      </c>
      <c r="J38" t="s">
        <v>170</v>
      </c>
      <c r="M38" t="s">
        <v>171</v>
      </c>
      <c r="O38" t="s">
        <v>93</v>
      </c>
      <c r="P38" t="s">
        <v>94</v>
      </c>
      <c r="Q38" t="s">
        <v>172</v>
      </c>
      <c r="R38" t="s">
        <v>50</v>
      </c>
      <c r="S38" s="1">
        <v>46023</v>
      </c>
      <c r="U38" t="s">
        <v>51</v>
      </c>
      <c r="X38" t="s">
        <v>52</v>
      </c>
      <c r="AF38" s="2">
        <v>175</v>
      </c>
      <c r="AG38" s="2">
        <v>0</v>
      </c>
      <c r="AJ38" s="2">
        <v>87.5</v>
      </c>
    </row>
    <row r="39" spans="1:37" x14ac:dyDescent="0.3">
      <c r="A39" s="1">
        <v>46190</v>
      </c>
      <c r="B39" s="1">
        <v>46190</v>
      </c>
      <c r="C39" t="s">
        <v>168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173</v>
      </c>
      <c r="J39" t="s">
        <v>174</v>
      </c>
      <c r="M39" t="s">
        <v>151</v>
      </c>
      <c r="O39" t="s">
        <v>152</v>
      </c>
      <c r="P39" t="s">
        <v>153</v>
      </c>
      <c r="Q39" t="s">
        <v>172</v>
      </c>
      <c r="R39" t="s">
        <v>175</v>
      </c>
      <c r="S39" s="1">
        <v>46023</v>
      </c>
      <c r="U39" t="s">
        <v>51</v>
      </c>
      <c r="X39" t="s">
        <v>52</v>
      </c>
      <c r="AF39" s="2">
        <v>15</v>
      </c>
      <c r="AG39" s="2">
        <v>0</v>
      </c>
      <c r="AJ39" s="2">
        <v>8.6999999999999993</v>
      </c>
    </row>
    <row r="40" spans="1:37" x14ac:dyDescent="0.3">
      <c r="A40" s="1">
        <v>46190</v>
      </c>
      <c r="B40" s="1">
        <v>46190</v>
      </c>
      <c r="C40" t="s">
        <v>168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176</v>
      </c>
      <c r="J40" t="s">
        <v>177</v>
      </c>
      <c r="M40" t="s">
        <v>55</v>
      </c>
      <c r="O40" t="s">
        <v>178</v>
      </c>
      <c r="P40" t="s">
        <v>179</v>
      </c>
      <c r="Q40" t="s">
        <v>172</v>
      </c>
      <c r="R40" t="s">
        <v>50</v>
      </c>
      <c r="S40" s="1">
        <v>46113</v>
      </c>
      <c r="U40" t="s">
        <v>51</v>
      </c>
      <c r="X40" t="s">
        <v>52</v>
      </c>
      <c r="AF40" s="2">
        <v>175</v>
      </c>
      <c r="AG40" s="2">
        <v>0</v>
      </c>
      <c r="AJ40" s="2">
        <v>145.25</v>
      </c>
    </row>
    <row r="41" spans="1:37" x14ac:dyDescent="0.3">
      <c r="A41" s="1">
        <v>46190</v>
      </c>
      <c r="B41" s="1">
        <v>46190</v>
      </c>
      <c r="C41" t="s">
        <v>168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180</v>
      </c>
      <c r="J41" t="s">
        <v>181</v>
      </c>
      <c r="M41" t="s">
        <v>55</v>
      </c>
      <c r="O41" t="s">
        <v>93</v>
      </c>
      <c r="P41" t="s">
        <v>94</v>
      </c>
      <c r="Q41" t="s">
        <v>172</v>
      </c>
      <c r="R41" t="s">
        <v>50</v>
      </c>
      <c r="S41" s="1">
        <v>46023</v>
      </c>
      <c r="U41" t="s">
        <v>51</v>
      </c>
      <c r="X41" t="s">
        <v>52</v>
      </c>
      <c r="AF41" s="2">
        <v>175</v>
      </c>
      <c r="AG41" s="2">
        <v>0</v>
      </c>
      <c r="AJ41" s="2">
        <v>60.58</v>
      </c>
    </row>
    <row r="42" spans="1:37" x14ac:dyDescent="0.3">
      <c r="A42" s="1">
        <v>46190</v>
      </c>
      <c r="B42" s="1">
        <v>46190</v>
      </c>
      <c r="C42" t="s">
        <v>168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182</v>
      </c>
      <c r="J42" t="s">
        <v>183</v>
      </c>
      <c r="M42" t="s">
        <v>55</v>
      </c>
      <c r="O42" t="s">
        <v>184</v>
      </c>
      <c r="P42" t="s">
        <v>185</v>
      </c>
      <c r="Q42" t="s">
        <v>172</v>
      </c>
      <c r="R42" t="s">
        <v>50</v>
      </c>
      <c r="S42" s="1">
        <v>46054</v>
      </c>
      <c r="U42" t="s">
        <v>51</v>
      </c>
      <c r="X42" t="s">
        <v>52</v>
      </c>
      <c r="AF42" s="2">
        <v>175</v>
      </c>
      <c r="AG42" s="2">
        <v>0</v>
      </c>
      <c r="AJ42" s="2">
        <v>117.25</v>
      </c>
    </row>
    <row r="43" spans="1:37" x14ac:dyDescent="0.3">
      <c r="A43" s="1">
        <v>46190</v>
      </c>
      <c r="B43" s="1">
        <v>46190</v>
      </c>
      <c r="C43" t="s">
        <v>168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186</v>
      </c>
      <c r="J43" t="s">
        <v>187</v>
      </c>
      <c r="M43" t="s">
        <v>188</v>
      </c>
      <c r="O43" t="s">
        <v>189</v>
      </c>
      <c r="P43" t="s">
        <v>190</v>
      </c>
      <c r="Q43" t="s">
        <v>172</v>
      </c>
      <c r="R43" t="s">
        <v>50</v>
      </c>
      <c r="S43" s="1">
        <v>46143</v>
      </c>
      <c r="U43" t="s">
        <v>51</v>
      </c>
      <c r="X43" t="s">
        <v>52</v>
      </c>
      <c r="AF43" s="2">
        <v>175</v>
      </c>
      <c r="AG43" s="2">
        <v>0</v>
      </c>
      <c r="AJ43" s="2">
        <v>175</v>
      </c>
    </row>
    <row r="44" spans="1:37" x14ac:dyDescent="0.3">
      <c r="A44" s="1">
        <v>46190</v>
      </c>
      <c r="B44" s="1">
        <v>46190</v>
      </c>
      <c r="C44" t="s">
        <v>168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191</v>
      </c>
      <c r="J44" t="s">
        <v>192</v>
      </c>
      <c r="M44" t="s">
        <v>55</v>
      </c>
      <c r="O44" t="s">
        <v>193</v>
      </c>
      <c r="P44" t="s">
        <v>194</v>
      </c>
      <c r="Q44" t="s">
        <v>172</v>
      </c>
      <c r="R44" t="s">
        <v>50</v>
      </c>
      <c r="S44" s="1">
        <v>46174</v>
      </c>
      <c r="U44" t="s">
        <v>51</v>
      </c>
      <c r="X44" t="s">
        <v>52</v>
      </c>
      <c r="AF44" s="2">
        <v>175</v>
      </c>
      <c r="AG44" s="2">
        <v>0</v>
      </c>
      <c r="AJ44" s="2">
        <v>175</v>
      </c>
    </row>
    <row r="45" spans="1:37" x14ac:dyDescent="0.3">
      <c r="A45" s="1">
        <v>46190</v>
      </c>
      <c r="B45" s="1">
        <v>46190</v>
      </c>
      <c r="C45" t="s">
        <v>168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196</v>
      </c>
      <c r="M45" t="s">
        <v>55</v>
      </c>
      <c r="O45" t="s">
        <v>197</v>
      </c>
      <c r="P45" t="s">
        <v>198</v>
      </c>
      <c r="Q45" t="s">
        <v>172</v>
      </c>
      <c r="R45" t="s">
        <v>199</v>
      </c>
      <c r="S45" s="1">
        <v>46023</v>
      </c>
      <c r="U45" t="s">
        <v>51</v>
      </c>
      <c r="X45" t="s">
        <v>52</v>
      </c>
      <c r="AF45" s="2">
        <v>15</v>
      </c>
      <c r="AG45" s="2">
        <v>0</v>
      </c>
      <c r="AJ45" s="2">
        <v>8.75</v>
      </c>
    </row>
    <row r="46" spans="1:37" x14ac:dyDescent="0.3">
      <c r="A46" s="1">
        <v>46190</v>
      </c>
      <c r="B46" s="1">
        <v>46190</v>
      </c>
      <c r="C46" t="s">
        <v>168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200</v>
      </c>
      <c r="J46" t="s">
        <v>92</v>
      </c>
      <c r="M46" t="s">
        <v>60</v>
      </c>
      <c r="O46" t="s">
        <v>93</v>
      </c>
      <c r="P46" t="s">
        <v>94</v>
      </c>
      <c r="Q46" t="s">
        <v>172</v>
      </c>
      <c r="R46" t="s">
        <v>201</v>
      </c>
      <c r="S46" s="1">
        <v>46174</v>
      </c>
      <c r="U46" t="s">
        <v>51</v>
      </c>
      <c r="X46" t="s">
        <v>52</v>
      </c>
      <c r="AF46" s="2">
        <v>202.42</v>
      </c>
      <c r="AG46" s="2">
        <v>0</v>
      </c>
      <c r="AJ46" s="2">
        <v>202.42</v>
      </c>
    </row>
    <row r="47" spans="1:37" x14ac:dyDescent="0.3">
      <c r="A47" s="1">
        <v>46190</v>
      </c>
      <c r="B47" s="1">
        <v>46190</v>
      </c>
      <c r="C47" t="s">
        <v>168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202</v>
      </c>
      <c r="J47" t="s">
        <v>92</v>
      </c>
      <c r="M47" t="s">
        <v>60</v>
      </c>
      <c r="O47" t="s">
        <v>93</v>
      </c>
      <c r="P47" t="s">
        <v>94</v>
      </c>
      <c r="Q47" t="s">
        <v>172</v>
      </c>
      <c r="R47" t="s">
        <v>97</v>
      </c>
      <c r="S47" s="1">
        <v>46174</v>
      </c>
      <c r="U47" t="s">
        <v>51</v>
      </c>
      <c r="X47" t="s">
        <v>52</v>
      </c>
      <c r="AF47" s="2">
        <v>175</v>
      </c>
      <c r="AG47" s="2">
        <v>0</v>
      </c>
      <c r="AJ47" s="2">
        <v>175</v>
      </c>
    </row>
    <row r="48" spans="1:37" x14ac:dyDescent="0.3">
      <c r="A48" s="1">
        <v>46190</v>
      </c>
      <c r="B48" s="1">
        <v>46190</v>
      </c>
      <c r="C48" t="s">
        <v>168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203</v>
      </c>
      <c r="J48" t="s">
        <v>105</v>
      </c>
      <c r="M48" t="s">
        <v>106</v>
      </c>
      <c r="O48" t="s">
        <v>107</v>
      </c>
      <c r="P48" t="s">
        <v>108</v>
      </c>
      <c r="Q48" t="s">
        <v>172</v>
      </c>
      <c r="R48" t="s">
        <v>201</v>
      </c>
      <c r="S48" s="1">
        <v>46235</v>
      </c>
      <c r="U48" t="s">
        <v>51</v>
      </c>
      <c r="X48" t="s">
        <v>52</v>
      </c>
      <c r="AF48" s="2">
        <v>144.58000000000001</v>
      </c>
      <c r="AG48" s="2">
        <v>0</v>
      </c>
      <c r="AJ48" s="2">
        <v>144.58000000000001</v>
      </c>
    </row>
    <row r="49" spans="1:36" x14ac:dyDescent="0.3">
      <c r="A49" s="1">
        <v>46190</v>
      </c>
      <c r="B49" s="1">
        <v>46190</v>
      </c>
      <c r="C49" t="s">
        <v>168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204</v>
      </c>
      <c r="J49" t="s">
        <v>105</v>
      </c>
      <c r="M49" t="s">
        <v>106</v>
      </c>
      <c r="O49" t="s">
        <v>107</v>
      </c>
      <c r="P49" t="s">
        <v>108</v>
      </c>
      <c r="Q49" t="s">
        <v>172</v>
      </c>
      <c r="R49" t="s">
        <v>97</v>
      </c>
      <c r="S49" s="1">
        <v>46235</v>
      </c>
      <c r="U49" t="s">
        <v>51</v>
      </c>
      <c r="X49" t="s">
        <v>52</v>
      </c>
      <c r="AF49" s="2">
        <v>175</v>
      </c>
      <c r="AG49" s="2">
        <v>0</v>
      </c>
      <c r="AJ49" s="2">
        <v>175</v>
      </c>
    </row>
    <row r="50" spans="1:36" x14ac:dyDescent="0.3">
      <c r="A50" s="1">
        <v>46190</v>
      </c>
      <c r="B50" s="1">
        <v>46190</v>
      </c>
      <c r="C50" t="s">
        <v>168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205</v>
      </c>
      <c r="J50" t="s">
        <v>113</v>
      </c>
      <c r="M50" t="s">
        <v>55</v>
      </c>
      <c r="O50" t="s">
        <v>61</v>
      </c>
      <c r="P50" t="s">
        <v>62</v>
      </c>
      <c r="Q50" t="s">
        <v>172</v>
      </c>
      <c r="R50" t="s">
        <v>206</v>
      </c>
      <c r="S50" s="1">
        <v>46204</v>
      </c>
      <c r="U50" t="s">
        <v>51</v>
      </c>
      <c r="X50" t="s">
        <v>52</v>
      </c>
      <c r="AF50" s="2">
        <v>101.5</v>
      </c>
      <c r="AG50" s="2">
        <v>0</v>
      </c>
      <c r="AJ50" s="2">
        <v>101.5</v>
      </c>
    </row>
    <row r="51" spans="1:36" x14ac:dyDescent="0.3">
      <c r="A51" s="1">
        <v>46190</v>
      </c>
      <c r="B51" s="1">
        <v>46190</v>
      </c>
      <c r="C51" t="s">
        <v>168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207</v>
      </c>
      <c r="J51" t="s">
        <v>113</v>
      </c>
      <c r="M51" t="s">
        <v>55</v>
      </c>
      <c r="O51" t="s">
        <v>61</v>
      </c>
      <c r="P51" t="s">
        <v>62</v>
      </c>
      <c r="Q51" t="s">
        <v>172</v>
      </c>
      <c r="R51" t="s">
        <v>116</v>
      </c>
      <c r="S51" s="1">
        <v>46204</v>
      </c>
      <c r="U51" t="s">
        <v>51</v>
      </c>
      <c r="X51" t="s">
        <v>52</v>
      </c>
      <c r="AF51" s="2">
        <v>113</v>
      </c>
      <c r="AG51" s="2">
        <v>0</v>
      </c>
      <c r="AJ51" s="2">
        <v>113</v>
      </c>
    </row>
    <row r="52" spans="1:36" x14ac:dyDescent="0.3">
      <c r="A52" s="1">
        <v>46190</v>
      </c>
      <c r="B52" s="1">
        <v>46190</v>
      </c>
      <c r="C52" t="s">
        <v>168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208</v>
      </c>
      <c r="J52" t="s">
        <v>118</v>
      </c>
      <c r="M52" t="s">
        <v>106</v>
      </c>
      <c r="O52" t="s">
        <v>107</v>
      </c>
      <c r="P52" t="s">
        <v>108</v>
      </c>
      <c r="Q52" t="s">
        <v>172</v>
      </c>
      <c r="R52" t="s">
        <v>201</v>
      </c>
      <c r="S52" s="1">
        <v>46174</v>
      </c>
      <c r="U52" t="s">
        <v>51</v>
      </c>
      <c r="X52" t="s">
        <v>52</v>
      </c>
      <c r="AF52" s="2">
        <v>202.42</v>
      </c>
      <c r="AG52" s="2">
        <v>0</v>
      </c>
      <c r="AJ52" s="2">
        <v>202.42</v>
      </c>
    </row>
    <row r="53" spans="1:36" x14ac:dyDescent="0.3">
      <c r="A53" s="1">
        <v>46190</v>
      </c>
      <c r="B53" s="1">
        <v>46190</v>
      </c>
      <c r="C53" t="s">
        <v>168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209</v>
      </c>
      <c r="J53" t="s">
        <v>118</v>
      </c>
      <c r="M53" t="s">
        <v>106</v>
      </c>
      <c r="O53" t="s">
        <v>107</v>
      </c>
      <c r="P53" t="s">
        <v>108</v>
      </c>
      <c r="Q53" t="s">
        <v>172</v>
      </c>
      <c r="R53" t="s">
        <v>97</v>
      </c>
      <c r="S53" s="1">
        <v>46174</v>
      </c>
      <c r="U53" t="s">
        <v>51</v>
      </c>
      <c r="X53" t="s">
        <v>52</v>
      </c>
      <c r="AF53" s="2">
        <v>175</v>
      </c>
      <c r="AG53" s="2">
        <v>0</v>
      </c>
      <c r="AJ53" s="2">
        <v>175</v>
      </c>
    </row>
    <row r="54" spans="1:36" x14ac:dyDescent="0.3">
      <c r="A54" s="1">
        <v>46190</v>
      </c>
      <c r="B54" s="1">
        <v>46190</v>
      </c>
      <c r="C54" t="s">
        <v>168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210</v>
      </c>
      <c r="J54" t="s">
        <v>121</v>
      </c>
      <c r="M54" t="s">
        <v>55</v>
      </c>
      <c r="O54" t="s">
        <v>122</v>
      </c>
      <c r="P54" t="s">
        <v>123</v>
      </c>
      <c r="Q54" t="s">
        <v>172</v>
      </c>
      <c r="R54" t="s">
        <v>201</v>
      </c>
      <c r="S54" s="1">
        <v>46204</v>
      </c>
      <c r="U54" t="s">
        <v>51</v>
      </c>
      <c r="X54" t="s">
        <v>52</v>
      </c>
      <c r="AF54" s="2">
        <v>173.5</v>
      </c>
      <c r="AG54" s="2">
        <v>0</v>
      </c>
      <c r="AJ54" s="2">
        <v>173.5</v>
      </c>
    </row>
    <row r="55" spans="1:36" x14ac:dyDescent="0.3">
      <c r="A55" s="1">
        <v>46190</v>
      </c>
      <c r="B55" s="1">
        <v>46190</v>
      </c>
      <c r="C55" t="s">
        <v>168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211</v>
      </c>
      <c r="J55" t="s">
        <v>121</v>
      </c>
      <c r="M55" t="s">
        <v>55</v>
      </c>
      <c r="O55" t="s">
        <v>122</v>
      </c>
      <c r="P55" t="s">
        <v>123</v>
      </c>
      <c r="Q55" t="s">
        <v>172</v>
      </c>
      <c r="R55" t="s">
        <v>97</v>
      </c>
      <c r="S55" s="1">
        <v>46204</v>
      </c>
      <c r="U55" t="s">
        <v>51</v>
      </c>
      <c r="X55" t="s">
        <v>52</v>
      </c>
      <c r="AF55" s="2">
        <v>175</v>
      </c>
      <c r="AG55" s="2">
        <v>0</v>
      </c>
      <c r="AJ55" s="2">
        <v>175</v>
      </c>
    </row>
    <row r="56" spans="1:36" x14ac:dyDescent="0.3">
      <c r="A56" s="1">
        <v>46190</v>
      </c>
      <c r="B56" s="1">
        <v>46190</v>
      </c>
      <c r="C56" t="s">
        <v>168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212</v>
      </c>
      <c r="J56" t="s">
        <v>128</v>
      </c>
      <c r="M56" t="s">
        <v>55</v>
      </c>
      <c r="O56" t="s">
        <v>129</v>
      </c>
      <c r="P56" t="s">
        <v>130</v>
      </c>
      <c r="Q56" t="s">
        <v>172</v>
      </c>
      <c r="R56" t="s">
        <v>201</v>
      </c>
      <c r="S56" s="1">
        <v>46174</v>
      </c>
      <c r="U56" t="s">
        <v>51</v>
      </c>
      <c r="X56" t="s">
        <v>52</v>
      </c>
      <c r="AF56" s="2">
        <v>202.42</v>
      </c>
      <c r="AG56" s="2">
        <v>0</v>
      </c>
      <c r="AJ56" s="2">
        <v>202.42</v>
      </c>
    </row>
    <row r="57" spans="1:36" x14ac:dyDescent="0.3">
      <c r="A57" s="1">
        <v>46190</v>
      </c>
      <c r="B57" s="1">
        <v>46190</v>
      </c>
      <c r="C57" t="s">
        <v>168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213</v>
      </c>
      <c r="J57" t="s">
        <v>128</v>
      </c>
      <c r="M57" t="s">
        <v>55</v>
      </c>
      <c r="O57" t="s">
        <v>129</v>
      </c>
      <c r="P57" t="s">
        <v>130</v>
      </c>
      <c r="Q57" t="s">
        <v>172</v>
      </c>
      <c r="R57" t="s">
        <v>214</v>
      </c>
      <c r="S57" s="1">
        <v>46174</v>
      </c>
      <c r="U57" t="s">
        <v>51</v>
      </c>
      <c r="X57" t="s">
        <v>52</v>
      </c>
      <c r="AF57" s="2">
        <v>42</v>
      </c>
      <c r="AG57" s="2">
        <v>0</v>
      </c>
      <c r="AJ57" s="2">
        <v>42</v>
      </c>
    </row>
    <row r="58" spans="1:36" x14ac:dyDescent="0.3">
      <c r="A58" s="1">
        <v>46190</v>
      </c>
      <c r="B58" s="1">
        <v>46190</v>
      </c>
      <c r="C58" t="s">
        <v>168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215</v>
      </c>
      <c r="J58" t="s">
        <v>135</v>
      </c>
      <c r="M58" t="s">
        <v>136</v>
      </c>
      <c r="O58" t="s">
        <v>137</v>
      </c>
      <c r="P58" t="s">
        <v>138</v>
      </c>
      <c r="Q58" t="s">
        <v>172</v>
      </c>
      <c r="R58" t="s">
        <v>216</v>
      </c>
      <c r="S58" s="1">
        <v>46174</v>
      </c>
      <c r="U58" t="s">
        <v>51</v>
      </c>
      <c r="X58" t="s">
        <v>52</v>
      </c>
      <c r="AF58" s="2">
        <v>228.08</v>
      </c>
      <c r="AG58" s="2">
        <v>0</v>
      </c>
      <c r="AJ58" s="2">
        <v>228.08</v>
      </c>
    </row>
    <row r="59" spans="1:36" x14ac:dyDescent="0.3">
      <c r="A59" s="1">
        <v>46190</v>
      </c>
      <c r="B59" s="1">
        <v>46190</v>
      </c>
      <c r="C59" t="s">
        <v>168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217</v>
      </c>
      <c r="J59" t="s">
        <v>135</v>
      </c>
      <c r="M59" t="s">
        <v>136</v>
      </c>
      <c r="O59" t="s">
        <v>137</v>
      </c>
      <c r="P59" t="s">
        <v>138</v>
      </c>
      <c r="Q59" t="s">
        <v>172</v>
      </c>
      <c r="R59" t="s">
        <v>97</v>
      </c>
      <c r="S59" s="1">
        <v>46174</v>
      </c>
      <c r="U59" t="s">
        <v>51</v>
      </c>
      <c r="X59" t="s">
        <v>52</v>
      </c>
      <c r="AF59" s="2">
        <v>175</v>
      </c>
      <c r="AG59" s="2">
        <v>0</v>
      </c>
      <c r="AJ59" s="2">
        <v>175</v>
      </c>
    </row>
    <row r="60" spans="1:36" x14ac:dyDescent="0.3">
      <c r="A60" s="1">
        <v>46190</v>
      </c>
      <c r="B60" s="1">
        <v>46190</v>
      </c>
      <c r="C60" t="s">
        <v>168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218</v>
      </c>
      <c r="J60" t="s">
        <v>142</v>
      </c>
      <c r="M60" t="s">
        <v>77</v>
      </c>
      <c r="O60" t="s">
        <v>56</v>
      </c>
      <c r="P60" t="s">
        <v>57</v>
      </c>
      <c r="Q60" t="s">
        <v>172</v>
      </c>
      <c r="R60" t="s">
        <v>201</v>
      </c>
      <c r="S60" s="1">
        <v>46204</v>
      </c>
      <c r="U60" t="s">
        <v>51</v>
      </c>
      <c r="X60" t="s">
        <v>52</v>
      </c>
      <c r="AF60" s="2">
        <v>173.5</v>
      </c>
      <c r="AG60" s="2">
        <v>0</v>
      </c>
      <c r="AJ60" s="2">
        <v>173.5</v>
      </c>
    </row>
    <row r="61" spans="1:36" x14ac:dyDescent="0.3">
      <c r="A61" s="1">
        <v>46190</v>
      </c>
      <c r="B61" s="1">
        <v>46190</v>
      </c>
      <c r="C61" t="s">
        <v>168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219</v>
      </c>
      <c r="J61" t="s">
        <v>142</v>
      </c>
      <c r="M61" t="s">
        <v>77</v>
      </c>
      <c r="O61" t="s">
        <v>56</v>
      </c>
      <c r="P61" t="s">
        <v>57</v>
      </c>
      <c r="Q61" t="s">
        <v>172</v>
      </c>
      <c r="R61" t="s">
        <v>97</v>
      </c>
      <c r="S61" s="1">
        <v>46204</v>
      </c>
      <c r="U61" t="s">
        <v>51</v>
      </c>
      <c r="X61" t="s">
        <v>52</v>
      </c>
      <c r="AF61" s="2">
        <v>175</v>
      </c>
      <c r="AG61" s="2">
        <v>0</v>
      </c>
      <c r="AJ61" s="2">
        <v>175</v>
      </c>
    </row>
    <row r="62" spans="1:36" x14ac:dyDescent="0.3">
      <c r="A62" s="1">
        <v>46190</v>
      </c>
      <c r="B62" s="1">
        <v>46190</v>
      </c>
      <c r="C62" t="s">
        <v>168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220</v>
      </c>
      <c r="J62" t="s">
        <v>145</v>
      </c>
      <c r="M62" t="s">
        <v>55</v>
      </c>
      <c r="O62" t="s">
        <v>146</v>
      </c>
      <c r="P62" t="s">
        <v>147</v>
      </c>
      <c r="Q62" t="s">
        <v>172</v>
      </c>
      <c r="R62" t="s">
        <v>201</v>
      </c>
      <c r="S62" s="1">
        <v>46174</v>
      </c>
      <c r="U62" t="s">
        <v>51</v>
      </c>
      <c r="X62" t="s">
        <v>52</v>
      </c>
      <c r="AF62" s="2">
        <v>202.42</v>
      </c>
      <c r="AG62" s="2">
        <v>0</v>
      </c>
      <c r="AJ62" s="2">
        <v>202.42</v>
      </c>
    </row>
    <row r="63" spans="1:36" x14ac:dyDescent="0.3">
      <c r="A63" s="1">
        <v>46190</v>
      </c>
      <c r="B63" s="1">
        <v>46190</v>
      </c>
      <c r="C63" t="s">
        <v>168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221</v>
      </c>
      <c r="J63" t="s">
        <v>145</v>
      </c>
      <c r="M63" t="s">
        <v>55</v>
      </c>
      <c r="O63" t="s">
        <v>146</v>
      </c>
      <c r="P63" t="s">
        <v>147</v>
      </c>
      <c r="Q63" t="s">
        <v>172</v>
      </c>
      <c r="R63" t="s">
        <v>97</v>
      </c>
      <c r="S63" s="1">
        <v>46174</v>
      </c>
      <c r="U63" t="s">
        <v>51</v>
      </c>
      <c r="X63" t="s">
        <v>52</v>
      </c>
      <c r="AF63" s="2">
        <v>175</v>
      </c>
      <c r="AG63" s="2">
        <v>0</v>
      </c>
      <c r="AJ63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5FC0-B8AD-43BB-A8C0-B562120169B3}">
  <dimension ref="A1:S78"/>
  <sheetViews>
    <sheetView tabSelected="1" workbookViewId="0">
      <selection activeCell="P63" sqref="P63"/>
    </sheetView>
  </sheetViews>
  <sheetFormatPr defaultRowHeight="14.4" x14ac:dyDescent="0.3"/>
  <cols>
    <col min="1" max="1" width="19.6640625" bestFit="1" customWidth="1"/>
    <col min="2" max="2" width="19.6640625" customWidth="1"/>
    <col min="3" max="3" width="20.5546875" bestFit="1" customWidth="1"/>
    <col min="4" max="4" width="5.5546875" bestFit="1" customWidth="1"/>
    <col min="5" max="6" width="10.109375" customWidth="1"/>
    <col min="7" max="7" width="15.77734375" customWidth="1"/>
    <col min="8" max="8" width="12.88671875" bestFit="1" customWidth="1"/>
    <col min="9" max="9" width="13.88671875" customWidth="1"/>
    <col min="10" max="10" width="10.109375" bestFit="1" customWidth="1"/>
    <col min="11" max="11" width="10.109375" customWidth="1"/>
    <col min="12" max="12" width="13.33203125" customWidth="1"/>
    <col min="13" max="13" width="15.88671875" bestFit="1" customWidth="1"/>
    <col min="14" max="14" width="17.44140625" bestFit="1" customWidth="1"/>
    <col min="15" max="15" width="16.109375" bestFit="1" customWidth="1"/>
    <col min="16" max="16" width="58.33203125" bestFit="1" customWidth="1"/>
    <col min="17" max="17" width="22.44140625" bestFit="1" customWidth="1"/>
  </cols>
  <sheetData>
    <row r="1" spans="1:16" x14ac:dyDescent="0.3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16</v>
      </c>
      <c r="I1" t="s">
        <v>17</v>
      </c>
      <c r="J1" t="s">
        <v>18</v>
      </c>
      <c r="L1" t="s">
        <v>20</v>
      </c>
      <c r="M1" t="s">
        <v>25</v>
      </c>
      <c r="N1" t="s">
        <v>28</v>
      </c>
      <c r="O1" t="s">
        <v>37</v>
      </c>
    </row>
    <row r="2" spans="1:16" s="8" customFormat="1" x14ac:dyDescent="0.3">
      <c r="A2" s="7">
        <v>916237202</v>
      </c>
      <c r="B2" s="7" t="str">
        <f>CONCATENATE(A2,14)</f>
        <v>91623720214</v>
      </c>
      <c r="C2" s="8" t="s">
        <v>113</v>
      </c>
      <c r="D2" s="8" t="s">
        <v>55</v>
      </c>
      <c r="E2" s="13">
        <v>9213293</v>
      </c>
      <c r="F2" s="13">
        <v>9213293</v>
      </c>
      <c r="G2" s="8" t="s">
        <v>62</v>
      </c>
      <c r="H2" s="8" t="s">
        <v>49</v>
      </c>
      <c r="I2" s="8" t="s">
        <v>114</v>
      </c>
      <c r="J2" s="9">
        <v>46204</v>
      </c>
      <c r="K2" s="9">
        <v>46387</v>
      </c>
      <c r="L2" s="8" t="s">
        <v>51</v>
      </c>
      <c r="M2" s="10">
        <v>406</v>
      </c>
      <c r="N2" s="10">
        <v>406</v>
      </c>
      <c r="P2" s="8" t="s">
        <v>255</v>
      </c>
    </row>
    <row r="3" spans="1:16" s="8" customFormat="1" x14ac:dyDescent="0.3">
      <c r="A3" s="7">
        <v>916237202</v>
      </c>
      <c r="B3" s="7" t="str">
        <f>CONCATENATE(A3,13)</f>
        <v>91623720213</v>
      </c>
      <c r="C3" s="8" t="s">
        <v>113</v>
      </c>
      <c r="D3" s="8" t="s">
        <v>55</v>
      </c>
      <c r="E3" s="13">
        <v>9213293</v>
      </c>
      <c r="F3" s="13">
        <v>9213293</v>
      </c>
      <c r="G3" s="8" t="s">
        <v>62</v>
      </c>
      <c r="H3" s="8" t="s">
        <v>172</v>
      </c>
      <c r="I3" s="8" t="s">
        <v>206</v>
      </c>
      <c r="J3" s="9">
        <v>46204</v>
      </c>
      <c r="K3" s="9">
        <v>46235</v>
      </c>
      <c r="L3" s="8" t="s">
        <v>51</v>
      </c>
      <c r="N3" s="11">
        <v>-101.5</v>
      </c>
      <c r="P3" s="8" t="s">
        <v>252</v>
      </c>
    </row>
    <row r="4" spans="1:16" x14ac:dyDescent="0.3">
      <c r="A4" s="5">
        <v>102280969100</v>
      </c>
      <c r="B4" s="5" t="str">
        <f>CONCATENATE(A4,"OVR")</f>
        <v>102280969100OVR</v>
      </c>
      <c r="C4" t="s">
        <v>76</v>
      </c>
      <c r="D4" t="s">
        <v>77</v>
      </c>
      <c r="E4" s="12">
        <v>16170994</v>
      </c>
      <c r="F4" s="12" t="str">
        <f>CONCATENATE(E4,"OVR")</f>
        <v>16170994OVR</v>
      </c>
      <c r="G4" t="s">
        <v>79</v>
      </c>
      <c r="H4" t="s">
        <v>49</v>
      </c>
      <c r="I4" t="s">
        <v>73</v>
      </c>
      <c r="J4" s="1">
        <v>46204</v>
      </c>
      <c r="K4" s="1">
        <v>46387</v>
      </c>
      <c r="L4" t="s">
        <v>51</v>
      </c>
      <c r="M4" s="2">
        <v>12.5</v>
      </c>
      <c r="N4" s="2">
        <v>12.5</v>
      </c>
      <c r="O4" t="s">
        <v>80</v>
      </c>
      <c r="P4" t="s">
        <v>240</v>
      </c>
    </row>
    <row r="5" spans="1:16" x14ac:dyDescent="0.3">
      <c r="A5" s="5">
        <v>102281168000</v>
      </c>
      <c r="B5" s="5" t="str">
        <f>CONCATENATE(A5,"OVR")</f>
        <v>102281168000OVR</v>
      </c>
      <c r="C5" t="s">
        <v>90</v>
      </c>
      <c r="D5" t="s">
        <v>77</v>
      </c>
      <c r="E5" s="12">
        <v>16170994</v>
      </c>
      <c r="F5" s="12" t="str">
        <f>CONCATENATE(E5,"OVR")</f>
        <v>16170994OVR</v>
      </c>
      <c r="G5" t="s">
        <v>79</v>
      </c>
      <c r="H5" t="s">
        <v>49</v>
      </c>
      <c r="I5" t="s">
        <v>73</v>
      </c>
      <c r="J5" s="1">
        <v>46235</v>
      </c>
      <c r="K5" s="1">
        <v>46387</v>
      </c>
      <c r="L5" t="s">
        <v>51</v>
      </c>
      <c r="M5" s="2">
        <v>10.42</v>
      </c>
      <c r="N5" s="2">
        <v>10.42</v>
      </c>
      <c r="O5" t="s">
        <v>74</v>
      </c>
      <c r="P5" t="s">
        <v>240</v>
      </c>
    </row>
    <row r="6" spans="1:16" x14ac:dyDescent="0.3">
      <c r="A6" s="5">
        <v>102281133600</v>
      </c>
      <c r="B6" s="5" t="str">
        <f>CONCATENATE(A6,"OVR")</f>
        <v>102281133600OVR</v>
      </c>
      <c r="C6" t="s">
        <v>82</v>
      </c>
      <c r="D6" t="s">
        <v>83</v>
      </c>
      <c r="E6" s="12">
        <v>8307933</v>
      </c>
      <c r="F6" s="12" t="str">
        <f>CONCATENATE(E6,"OVR")</f>
        <v>8307933OVR</v>
      </c>
      <c r="G6" t="s">
        <v>48</v>
      </c>
      <c r="H6" t="s">
        <v>49</v>
      </c>
      <c r="I6" t="s">
        <v>73</v>
      </c>
      <c r="J6" s="1">
        <v>46204</v>
      </c>
      <c r="K6" s="1">
        <v>46387</v>
      </c>
      <c r="L6" t="s">
        <v>51</v>
      </c>
      <c r="M6" s="2">
        <v>12.5</v>
      </c>
      <c r="N6" s="2">
        <v>12.5</v>
      </c>
      <c r="O6" t="s">
        <v>80</v>
      </c>
      <c r="P6" t="s">
        <v>240</v>
      </c>
    </row>
    <row r="7" spans="1:16" x14ac:dyDescent="0.3">
      <c r="A7" s="5">
        <v>102280950100</v>
      </c>
      <c r="B7" s="5" t="str">
        <f>CONCATENATE(A7,"OVR")</f>
        <v>102280950100OVR</v>
      </c>
      <c r="C7" t="s">
        <v>70</v>
      </c>
      <c r="D7" t="s">
        <v>55</v>
      </c>
      <c r="E7" s="12">
        <v>16633294</v>
      </c>
      <c r="F7" s="12" t="str">
        <f>CONCATENATE(E7,"OVR")</f>
        <v>16633294OVR</v>
      </c>
      <c r="G7" t="s">
        <v>72</v>
      </c>
      <c r="H7" t="s">
        <v>49</v>
      </c>
      <c r="I7" t="s">
        <v>73</v>
      </c>
      <c r="J7" s="1">
        <v>46235</v>
      </c>
      <c r="K7" s="1">
        <v>46387</v>
      </c>
      <c r="L7" t="s">
        <v>51</v>
      </c>
      <c r="M7" s="2">
        <v>10.42</v>
      </c>
      <c r="N7" s="2">
        <v>10.42</v>
      </c>
      <c r="O7" t="s">
        <v>74</v>
      </c>
      <c r="P7" t="s">
        <v>240</v>
      </c>
    </row>
    <row r="8" spans="1:16" x14ac:dyDescent="0.3">
      <c r="A8" s="5">
        <v>101041888400</v>
      </c>
      <c r="B8" s="5" t="str">
        <f>CONCATENATE(A8,"OVR")</f>
        <v>101041888400OVR</v>
      </c>
      <c r="C8" t="s">
        <v>196</v>
      </c>
      <c r="D8" t="s">
        <v>55</v>
      </c>
      <c r="E8" s="12">
        <v>8244481</v>
      </c>
      <c r="F8" s="12" t="str">
        <f>CONCATENATE(E8,"OVR")</f>
        <v>8244481OVR</v>
      </c>
      <c r="G8" t="s">
        <v>198</v>
      </c>
      <c r="H8" t="s">
        <v>172</v>
      </c>
      <c r="I8" t="s">
        <v>199</v>
      </c>
      <c r="J8" s="1">
        <v>46023</v>
      </c>
      <c r="K8" s="1">
        <v>46054</v>
      </c>
      <c r="L8" t="s">
        <v>51</v>
      </c>
      <c r="N8" s="6">
        <v>-8.75</v>
      </c>
      <c r="P8" t="s">
        <v>240</v>
      </c>
    </row>
    <row r="9" spans="1:16" x14ac:dyDescent="0.3">
      <c r="A9" s="5">
        <v>102281143100</v>
      </c>
      <c r="B9" s="5" t="str">
        <f>CONCATENATE(A9,"OVR")</f>
        <v>102281143100OVR</v>
      </c>
      <c r="C9" t="s">
        <v>85</v>
      </c>
      <c r="D9" t="s">
        <v>77</v>
      </c>
      <c r="E9" s="12">
        <v>17094718</v>
      </c>
      <c r="F9" s="12" t="str">
        <f>CONCATENATE(E9,"OVR")</f>
        <v>17094718OVR</v>
      </c>
      <c r="G9" t="s">
        <v>87</v>
      </c>
      <c r="H9" t="s">
        <v>49</v>
      </c>
      <c r="I9" t="s">
        <v>73</v>
      </c>
      <c r="J9" s="1">
        <v>46174</v>
      </c>
      <c r="K9" s="1">
        <v>46387</v>
      </c>
      <c r="L9" t="s">
        <v>51</v>
      </c>
      <c r="M9" s="2">
        <v>14.58</v>
      </c>
      <c r="N9" s="2">
        <v>14.58</v>
      </c>
      <c r="O9" t="s">
        <v>88</v>
      </c>
      <c r="P9" t="s">
        <v>240</v>
      </c>
    </row>
    <row r="10" spans="1:16" x14ac:dyDescent="0.3">
      <c r="A10" s="5" t="s">
        <v>227</v>
      </c>
      <c r="B10" s="5" t="str">
        <f>CONCATENATE(A10,"OVR")</f>
        <v>27R4A2L96OVR</v>
      </c>
      <c r="C10" t="s">
        <v>99</v>
      </c>
      <c r="D10" t="s">
        <v>100</v>
      </c>
      <c r="E10" s="12">
        <v>16202925</v>
      </c>
      <c r="F10" s="12" t="str">
        <f>CONCATENATE(E10,"OVR")</f>
        <v>16202925OVR</v>
      </c>
      <c r="G10" t="s">
        <v>102</v>
      </c>
      <c r="H10" t="s">
        <v>49</v>
      </c>
      <c r="I10" t="s">
        <v>103</v>
      </c>
      <c r="J10" s="1">
        <v>46174</v>
      </c>
      <c r="K10" s="1">
        <v>46387</v>
      </c>
      <c r="L10" t="s">
        <v>51</v>
      </c>
      <c r="M10" s="2">
        <v>100</v>
      </c>
      <c r="N10" s="2">
        <v>100</v>
      </c>
      <c r="P10" t="s">
        <v>241</v>
      </c>
    </row>
    <row r="11" spans="1:16" x14ac:dyDescent="0.3">
      <c r="A11" s="5" t="s">
        <v>239</v>
      </c>
      <c r="B11" s="5" t="str">
        <f>CONCATENATE(A11,"OVR")</f>
        <v>00026571397KOVR</v>
      </c>
      <c r="C11" t="s">
        <v>192</v>
      </c>
      <c r="D11" t="s">
        <v>55</v>
      </c>
      <c r="E11" s="12">
        <v>7307857</v>
      </c>
      <c r="F11" s="12" t="str">
        <f>CONCATENATE(E11,"OVR")</f>
        <v>7307857OVR</v>
      </c>
      <c r="G11" t="s">
        <v>194</v>
      </c>
      <c r="H11" t="s">
        <v>172</v>
      </c>
      <c r="I11" t="s">
        <v>50</v>
      </c>
      <c r="J11" s="1">
        <v>46174</v>
      </c>
      <c r="K11" s="1">
        <v>46204</v>
      </c>
      <c r="L11" t="s">
        <v>51</v>
      </c>
      <c r="N11" s="6">
        <v>-175</v>
      </c>
      <c r="P11" t="s">
        <v>242</v>
      </c>
    </row>
    <row r="12" spans="1:16" x14ac:dyDescent="0.3">
      <c r="A12" s="5" t="s">
        <v>237</v>
      </c>
      <c r="B12" s="5" t="str">
        <f>CONCATENATE(A12,"OVR")</f>
        <v>00026060803KOVR</v>
      </c>
      <c r="C12" t="s">
        <v>183</v>
      </c>
      <c r="D12" t="s">
        <v>55</v>
      </c>
      <c r="E12" s="12">
        <v>8814784</v>
      </c>
      <c r="F12" s="12" t="str">
        <f>CONCATENATE(E12,"OVR")</f>
        <v>8814784OVR</v>
      </c>
      <c r="G12" t="s">
        <v>185</v>
      </c>
      <c r="H12" t="s">
        <v>172</v>
      </c>
      <c r="I12" t="s">
        <v>50</v>
      </c>
      <c r="J12" s="1">
        <v>46054</v>
      </c>
      <c r="K12" s="1">
        <v>46082</v>
      </c>
      <c r="L12" t="s">
        <v>51</v>
      </c>
      <c r="N12" s="6">
        <v>-117.25</v>
      </c>
      <c r="P12" t="s">
        <v>242</v>
      </c>
    </row>
    <row r="13" spans="1:16" x14ac:dyDescent="0.3">
      <c r="A13" s="5" t="s">
        <v>224</v>
      </c>
      <c r="B13" s="5" t="str">
        <f>CONCATENATE(A13,"OVR")</f>
        <v>00026591919KOVR</v>
      </c>
      <c r="C13" t="s">
        <v>59</v>
      </c>
      <c r="D13" t="s">
        <v>60</v>
      </c>
      <c r="E13" s="12">
        <v>9213293</v>
      </c>
      <c r="F13" s="12" t="str">
        <f>CONCATENATE(E13,"OVR")</f>
        <v>9213293OVR</v>
      </c>
      <c r="G13" t="s">
        <v>62</v>
      </c>
      <c r="H13" t="s">
        <v>49</v>
      </c>
      <c r="I13" t="s">
        <v>50</v>
      </c>
      <c r="J13" s="1">
        <v>46204</v>
      </c>
      <c r="K13" s="1">
        <v>46387</v>
      </c>
      <c r="L13" t="s">
        <v>51</v>
      </c>
      <c r="M13" s="2">
        <v>175</v>
      </c>
      <c r="N13" s="2">
        <v>175</v>
      </c>
      <c r="P13" t="s">
        <v>242</v>
      </c>
    </row>
    <row r="14" spans="1:16" x14ac:dyDescent="0.3">
      <c r="A14" s="5" t="s">
        <v>236</v>
      </c>
      <c r="B14" s="5" t="str">
        <f>CONCATENATE(A14,"OVR")</f>
        <v>00025031898KOVR</v>
      </c>
      <c r="C14" t="s">
        <v>181</v>
      </c>
      <c r="D14" t="s">
        <v>55</v>
      </c>
      <c r="E14" s="12">
        <v>19645587</v>
      </c>
      <c r="F14" s="12" t="str">
        <f>CONCATENATE(E14,"OVR")</f>
        <v>19645587OVR</v>
      </c>
      <c r="G14" t="s">
        <v>94</v>
      </c>
      <c r="H14" t="s">
        <v>172</v>
      </c>
      <c r="I14" t="s">
        <v>50</v>
      </c>
      <c r="J14" s="1">
        <v>46023</v>
      </c>
      <c r="K14" s="1">
        <v>46054</v>
      </c>
      <c r="L14" t="s">
        <v>51</v>
      </c>
      <c r="N14" s="6">
        <v>-60.58</v>
      </c>
      <c r="P14" t="s">
        <v>242</v>
      </c>
    </row>
    <row r="15" spans="1:16" x14ac:dyDescent="0.3">
      <c r="A15" s="5" t="s">
        <v>223</v>
      </c>
      <c r="B15" s="5" t="str">
        <f>CONCATENATE(A15,"OVR")</f>
        <v>00026590989KOVR</v>
      </c>
      <c r="C15" t="s">
        <v>54</v>
      </c>
      <c r="D15" t="s">
        <v>55</v>
      </c>
      <c r="E15" s="12">
        <v>18754354</v>
      </c>
      <c r="F15" s="12" t="str">
        <f>CONCATENATE(E15,"OVR")</f>
        <v>18754354OVR</v>
      </c>
      <c r="G15" t="s">
        <v>57</v>
      </c>
      <c r="H15" t="s">
        <v>49</v>
      </c>
      <c r="I15" t="s">
        <v>50</v>
      </c>
      <c r="J15" s="1">
        <v>46204</v>
      </c>
      <c r="K15" s="1">
        <v>46387</v>
      </c>
      <c r="L15" t="s">
        <v>51</v>
      </c>
      <c r="M15" s="2">
        <v>175</v>
      </c>
      <c r="N15" s="2">
        <v>175</v>
      </c>
      <c r="P15" t="s">
        <v>242</v>
      </c>
    </row>
    <row r="16" spans="1:16" x14ac:dyDescent="0.3">
      <c r="A16" s="5" t="s">
        <v>233</v>
      </c>
      <c r="B16" s="5" t="str">
        <f>CONCATENATE(A16,"OVR")</f>
        <v>00000556771DOVR</v>
      </c>
      <c r="C16" t="s">
        <v>170</v>
      </c>
      <c r="D16" t="s">
        <v>171</v>
      </c>
      <c r="E16" s="12">
        <v>19645587</v>
      </c>
      <c r="F16" s="12" t="str">
        <f>CONCATENATE(E16,"OVR")</f>
        <v>19645587OVR</v>
      </c>
      <c r="G16" t="s">
        <v>94</v>
      </c>
      <c r="H16" t="s">
        <v>172</v>
      </c>
      <c r="I16" t="s">
        <v>50</v>
      </c>
      <c r="J16" s="1">
        <v>46023</v>
      </c>
      <c r="K16" s="1">
        <v>46054</v>
      </c>
      <c r="L16" t="s">
        <v>51</v>
      </c>
      <c r="N16" s="6">
        <v>-87.5</v>
      </c>
      <c r="P16" t="s">
        <v>242</v>
      </c>
    </row>
    <row r="17" spans="1:18" x14ac:dyDescent="0.3">
      <c r="A17" s="5" t="s">
        <v>222</v>
      </c>
      <c r="B17" s="5" t="str">
        <f>CONCATENATE(A17,"OVR")</f>
        <v>00026581289KOVR</v>
      </c>
      <c r="C17" t="s">
        <v>45</v>
      </c>
      <c r="D17" t="s">
        <v>46</v>
      </c>
      <c r="E17" s="12">
        <v>8307933</v>
      </c>
      <c r="F17" s="12" t="str">
        <f>CONCATENATE(E17,"OVR")</f>
        <v>8307933OVR</v>
      </c>
      <c r="G17" t="s">
        <v>48</v>
      </c>
      <c r="H17" t="s">
        <v>49</v>
      </c>
      <c r="I17" t="s">
        <v>50</v>
      </c>
      <c r="J17" s="1">
        <v>46266</v>
      </c>
      <c r="K17" s="1">
        <v>46387</v>
      </c>
      <c r="L17" t="s">
        <v>51</v>
      </c>
      <c r="M17" s="2">
        <v>175</v>
      </c>
      <c r="N17" s="2">
        <v>175</v>
      </c>
      <c r="P17" t="s">
        <v>242</v>
      </c>
    </row>
    <row r="18" spans="1:18" x14ac:dyDescent="0.3">
      <c r="A18" s="5" t="s">
        <v>238</v>
      </c>
      <c r="B18" s="5" t="str">
        <f>CONCATENATE(A18,"OVR")</f>
        <v>00026089661KOVR</v>
      </c>
      <c r="C18" t="s">
        <v>187</v>
      </c>
      <c r="D18" t="s">
        <v>188</v>
      </c>
      <c r="E18" s="12">
        <v>20003537</v>
      </c>
      <c r="F18" s="12" t="str">
        <f>CONCATENATE(E18,"OVR")</f>
        <v>20003537OVR</v>
      </c>
      <c r="G18" t="s">
        <v>190</v>
      </c>
      <c r="H18" t="s">
        <v>172</v>
      </c>
      <c r="I18" t="s">
        <v>50</v>
      </c>
      <c r="J18" s="1">
        <v>46143</v>
      </c>
      <c r="K18" s="1">
        <v>46174</v>
      </c>
      <c r="L18" t="s">
        <v>51</v>
      </c>
      <c r="N18" s="6">
        <v>-175</v>
      </c>
      <c r="P18" t="s">
        <v>242</v>
      </c>
    </row>
    <row r="19" spans="1:18" x14ac:dyDescent="0.3">
      <c r="A19" s="5" t="s">
        <v>225</v>
      </c>
      <c r="B19" s="5" t="str">
        <f>CONCATENATE(A19,"OVR")</f>
        <v>00026595601KOVR</v>
      </c>
      <c r="C19" t="s">
        <v>64</v>
      </c>
      <c r="D19" t="s">
        <v>55</v>
      </c>
      <c r="E19" s="12">
        <v>7146581</v>
      </c>
      <c r="F19" s="12" t="str">
        <f>CONCATENATE(E19,"OVR")</f>
        <v>7146581OVR</v>
      </c>
      <c r="G19" t="s">
        <v>66</v>
      </c>
      <c r="H19" t="s">
        <v>49</v>
      </c>
      <c r="I19" t="s">
        <v>50</v>
      </c>
      <c r="J19" s="1">
        <v>46204</v>
      </c>
      <c r="K19" s="1">
        <v>46387</v>
      </c>
      <c r="L19" t="s">
        <v>51</v>
      </c>
      <c r="M19" s="2">
        <v>175</v>
      </c>
      <c r="N19" s="2">
        <v>175</v>
      </c>
      <c r="P19" t="s">
        <v>242</v>
      </c>
    </row>
    <row r="20" spans="1:18" x14ac:dyDescent="0.3">
      <c r="A20" s="5" t="s">
        <v>226</v>
      </c>
      <c r="B20" s="5" t="str">
        <f>CONCATENATE(A20,"OVR")</f>
        <v>00026597087KOVR</v>
      </c>
      <c r="C20" t="s">
        <v>68</v>
      </c>
      <c r="D20" t="s">
        <v>46</v>
      </c>
      <c r="E20" s="12">
        <v>8307933</v>
      </c>
      <c r="F20" s="12" t="str">
        <f>CONCATENATE(E20,"OVR")</f>
        <v>8307933OVR</v>
      </c>
      <c r="G20" t="s">
        <v>48</v>
      </c>
      <c r="H20" t="s">
        <v>49</v>
      </c>
      <c r="I20" t="s">
        <v>50</v>
      </c>
      <c r="J20" s="1">
        <v>46204</v>
      </c>
      <c r="K20" s="1">
        <v>46387</v>
      </c>
      <c r="L20" t="s">
        <v>51</v>
      </c>
      <c r="M20" s="2">
        <v>175</v>
      </c>
      <c r="N20" s="2">
        <v>175</v>
      </c>
      <c r="P20" t="s">
        <v>242</v>
      </c>
    </row>
    <row r="21" spans="1:18" x14ac:dyDescent="0.3">
      <c r="A21" s="5" t="s">
        <v>235</v>
      </c>
      <c r="B21" s="5" t="str">
        <f>CONCATENATE(A21,"OVR")</f>
        <v>00021505553KOVR</v>
      </c>
      <c r="C21" t="s">
        <v>177</v>
      </c>
      <c r="D21" t="s">
        <v>55</v>
      </c>
      <c r="E21" s="12">
        <v>19396223</v>
      </c>
      <c r="F21" s="12" t="str">
        <f>CONCATENATE(E21,"OVR")</f>
        <v>19396223OVR</v>
      </c>
      <c r="G21" t="s">
        <v>179</v>
      </c>
      <c r="H21" t="s">
        <v>172</v>
      </c>
      <c r="I21" t="s">
        <v>50</v>
      </c>
      <c r="J21" s="1">
        <v>46113</v>
      </c>
      <c r="K21" s="1">
        <v>46143</v>
      </c>
      <c r="L21" t="s">
        <v>51</v>
      </c>
      <c r="N21" s="6">
        <v>-145.25</v>
      </c>
      <c r="P21" t="s">
        <v>242</v>
      </c>
    </row>
    <row r="22" spans="1:18" s="8" customFormat="1" x14ac:dyDescent="0.3">
      <c r="A22" s="7" t="s">
        <v>234</v>
      </c>
      <c r="B22" s="7" t="s">
        <v>234</v>
      </c>
      <c r="C22" s="8" t="s">
        <v>174</v>
      </c>
      <c r="D22" s="8" t="s">
        <v>151</v>
      </c>
      <c r="E22" s="13">
        <v>16212649</v>
      </c>
      <c r="F22" s="13">
        <v>16212649</v>
      </c>
      <c r="G22" s="8" t="s">
        <v>153</v>
      </c>
      <c r="H22" s="8" t="s">
        <v>172</v>
      </c>
      <c r="I22" s="8" t="s">
        <v>175</v>
      </c>
      <c r="J22" s="9">
        <v>46023</v>
      </c>
      <c r="K22" s="9">
        <v>46054</v>
      </c>
      <c r="L22" s="8" t="s">
        <v>51</v>
      </c>
      <c r="N22" s="11">
        <v>-8.6999999999999993</v>
      </c>
      <c r="P22" s="8" t="s">
        <v>243</v>
      </c>
    </row>
    <row r="23" spans="1:18" s="8" customFormat="1" x14ac:dyDescent="0.3">
      <c r="A23" s="7">
        <v>969154449</v>
      </c>
      <c r="B23" s="7" t="str">
        <f>CONCATENATE(A23,12)</f>
        <v>96915444912</v>
      </c>
      <c r="C23" s="8" t="s">
        <v>142</v>
      </c>
      <c r="D23" s="8" t="s">
        <v>77</v>
      </c>
      <c r="E23" s="13">
        <v>18754354</v>
      </c>
      <c r="F23" s="13">
        <v>18754354</v>
      </c>
      <c r="G23" s="8" t="s">
        <v>57</v>
      </c>
      <c r="H23" s="8" t="s">
        <v>49</v>
      </c>
      <c r="I23" s="8" t="s">
        <v>95</v>
      </c>
      <c r="J23" s="9">
        <v>46204</v>
      </c>
      <c r="K23" s="9">
        <v>46387</v>
      </c>
      <c r="L23" s="8" t="s">
        <v>51</v>
      </c>
      <c r="M23" s="10">
        <v>694</v>
      </c>
      <c r="N23" s="10">
        <v>694</v>
      </c>
      <c r="P23" s="8" t="s">
        <v>253</v>
      </c>
      <c r="Q23" s="8" t="s">
        <v>258</v>
      </c>
    </row>
    <row r="24" spans="1:18" s="8" customFormat="1" x14ac:dyDescent="0.3">
      <c r="A24" s="7">
        <v>905345788</v>
      </c>
      <c r="B24" s="7" t="str">
        <f>CONCATENATE(A24,12)</f>
        <v>90534578812</v>
      </c>
      <c r="C24" s="8" t="s">
        <v>105</v>
      </c>
      <c r="D24" s="8" t="s">
        <v>106</v>
      </c>
      <c r="E24" s="13">
        <v>16865615</v>
      </c>
      <c r="F24" s="13">
        <v>16865615</v>
      </c>
      <c r="G24" s="8" t="s">
        <v>108</v>
      </c>
      <c r="H24" s="8" t="s">
        <v>49</v>
      </c>
      <c r="I24" s="8" t="s">
        <v>95</v>
      </c>
      <c r="J24" s="9">
        <v>46235</v>
      </c>
      <c r="K24" s="9">
        <v>46387</v>
      </c>
      <c r="L24" s="8" t="s">
        <v>51</v>
      </c>
      <c r="M24" s="10">
        <v>694</v>
      </c>
      <c r="N24" s="10">
        <v>694</v>
      </c>
      <c r="P24" s="8" t="s">
        <v>253</v>
      </c>
      <c r="Q24" s="8" t="s">
        <v>258</v>
      </c>
    </row>
    <row r="25" spans="1:18" s="8" customFormat="1" x14ac:dyDescent="0.3">
      <c r="A25" s="7">
        <v>934511171</v>
      </c>
      <c r="B25" s="7" t="str">
        <f>CONCATENATE(A25,12)</f>
        <v>93451117112</v>
      </c>
      <c r="C25" s="8" t="s">
        <v>121</v>
      </c>
      <c r="D25" s="8" t="s">
        <v>55</v>
      </c>
      <c r="E25" s="13">
        <v>19200754</v>
      </c>
      <c r="F25" s="13">
        <v>19200754</v>
      </c>
      <c r="G25" s="8" t="s">
        <v>123</v>
      </c>
      <c r="H25" s="8" t="s">
        <v>49</v>
      </c>
      <c r="I25" s="8" t="s">
        <v>95</v>
      </c>
      <c r="J25" s="9">
        <v>46204</v>
      </c>
      <c r="K25" s="9">
        <v>46387</v>
      </c>
      <c r="L25" s="8" t="s">
        <v>51</v>
      </c>
      <c r="M25" s="10">
        <v>694</v>
      </c>
      <c r="N25" s="10">
        <v>694</v>
      </c>
      <c r="P25" s="8" t="s">
        <v>253</v>
      </c>
      <c r="Q25" s="8" t="s">
        <v>258</v>
      </c>
    </row>
    <row r="26" spans="1:18" s="8" customFormat="1" x14ac:dyDescent="0.3">
      <c r="A26" s="7">
        <v>944805654</v>
      </c>
      <c r="B26" s="7" t="str">
        <f>CONCATENATE(A26,12)</f>
        <v>94480565412</v>
      </c>
      <c r="C26" s="8" t="s">
        <v>128</v>
      </c>
      <c r="D26" s="8" t="s">
        <v>55</v>
      </c>
      <c r="E26" s="13">
        <v>8325282</v>
      </c>
      <c r="F26" s="13">
        <v>8325282</v>
      </c>
      <c r="G26" s="8" t="s">
        <v>130</v>
      </c>
      <c r="H26" s="8" t="s">
        <v>49</v>
      </c>
      <c r="I26" s="8" t="s">
        <v>131</v>
      </c>
      <c r="J26" s="9">
        <v>46174</v>
      </c>
      <c r="K26" s="9">
        <v>46387</v>
      </c>
      <c r="L26" s="8" t="s">
        <v>51</v>
      </c>
      <c r="M26" s="10">
        <v>404.83</v>
      </c>
      <c r="N26" s="10">
        <v>404.83</v>
      </c>
      <c r="O26" s="8" t="s">
        <v>88</v>
      </c>
      <c r="P26" s="8" t="s">
        <v>253</v>
      </c>
      <c r="Q26" s="8" t="s">
        <v>254</v>
      </c>
      <c r="R26" s="8">
        <f>694/12*7</f>
        <v>404.83333333333337</v>
      </c>
    </row>
    <row r="27" spans="1:18" s="8" customFormat="1" x14ac:dyDescent="0.3">
      <c r="A27" s="7">
        <v>925786770</v>
      </c>
      <c r="B27" s="7" t="str">
        <f>CONCATENATE(A27,12)</f>
        <v>92578677012</v>
      </c>
      <c r="C27" s="8" t="s">
        <v>118</v>
      </c>
      <c r="D27" s="8" t="s">
        <v>106</v>
      </c>
      <c r="E27" s="13">
        <v>16865615</v>
      </c>
      <c r="F27" s="13">
        <v>16865615</v>
      </c>
      <c r="G27" s="8" t="s">
        <v>108</v>
      </c>
      <c r="H27" s="8" t="s">
        <v>49</v>
      </c>
      <c r="I27" s="8" t="s">
        <v>95</v>
      </c>
      <c r="J27" s="9">
        <v>46174</v>
      </c>
      <c r="K27" s="9">
        <v>46387</v>
      </c>
      <c r="L27" s="8" t="s">
        <v>51</v>
      </c>
      <c r="M27" s="10">
        <v>694</v>
      </c>
      <c r="N27" s="10">
        <v>694</v>
      </c>
      <c r="P27" s="8" t="s">
        <v>253</v>
      </c>
      <c r="Q27" s="8" t="s">
        <v>258</v>
      </c>
    </row>
    <row r="28" spans="1:18" s="8" customFormat="1" x14ac:dyDescent="0.3">
      <c r="A28" s="7">
        <v>136048357</v>
      </c>
      <c r="B28" s="7" t="str">
        <f>CONCATENATE(A28,12)</f>
        <v>13604835712</v>
      </c>
      <c r="C28" s="8" t="s">
        <v>92</v>
      </c>
      <c r="D28" s="8" t="s">
        <v>60</v>
      </c>
      <c r="E28" s="13">
        <v>19645587</v>
      </c>
      <c r="F28" s="13">
        <v>19645587</v>
      </c>
      <c r="G28" s="8" t="s">
        <v>94</v>
      </c>
      <c r="H28" s="8" t="s">
        <v>49</v>
      </c>
      <c r="I28" s="8" t="s">
        <v>95</v>
      </c>
      <c r="J28" s="9">
        <v>46174</v>
      </c>
      <c r="K28" s="9">
        <v>46387</v>
      </c>
      <c r="L28" s="8" t="s">
        <v>51</v>
      </c>
      <c r="M28" s="10">
        <v>694</v>
      </c>
      <c r="N28" s="10">
        <v>694</v>
      </c>
      <c r="P28" s="8" t="s">
        <v>253</v>
      </c>
      <c r="Q28" s="8" t="s">
        <v>258</v>
      </c>
    </row>
    <row r="29" spans="1:18" s="8" customFormat="1" x14ac:dyDescent="0.3">
      <c r="A29" s="7">
        <v>974303523</v>
      </c>
      <c r="B29" s="7" t="str">
        <f>CONCATENATE(A29,12)</f>
        <v>97430352312</v>
      </c>
      <c r="C29" s="8" t="s">
        <v>145</v>
      </c>
      <c r="D29" s="8" t="s">
        <v>55</v>
      </c>
      <c r="E29" s="13">
        <v>21646325</v>
      </c>
      <c r="F29" s="13">
        <v>21646325</v>
      </c>
      <c r="G29" s="8" t="s">
        <v>147</v>
      </c>
      <c r="H29" s="8" t="s">
        <v>49</v>
      </c>
      <c r="I29" s="8" t="s">
        <v>95</v>
      </c>
      <c r="J29" s="9">
        <v>46174</v>
      </c>
      <c r="K29" s="9">
        <v>46387</v>
      </c>
      <c r="L29" s="8" t="s">
        <v>51</v>
      </c>
      <c r="M29" s="10">
        <v>694</v>
      </c>
      <c r="N29" s="10">
        <v>694</v>
      </c>
      <c r="P29" s="8" t="s">
        <v>253</v>
      </c>
      <c r="Q29" s="8" t="s">
        <v>258</v>
      </c>
    </row>
    <row r="30" spans="1:18" s="8" customFormat="1" x14ac:dyDescent="0.3">
      <c r="A30" s="7">
        <v>949313050</v>
      </c>
      <c r="B30" s="7" t="str">
        <f>CONCATENATE(A30,12)</f>
        <v>94931305012</v>
      </c>
      <c r="C30" s="8" t="s">
        <v>135</v>
      </c>
      <c r="D30" s="8" t="s">
        <v>136</v>
      </c>
      <c r="E30" s="13">
        <v>21618313</v>
      </c>
      <c r="F30" s="13">
        <v>21618313</v>
      </c>
      <c r="G30" s="8" t="s">
        <v>138</v>
      </c>
      <c r="H30" s="8" t="s">
        <v>49</v>
      </c>
      <c r="I30" s="8" t="s">
        <v>139</v>
      </c>
      <c r="J30" s="9">
        <v>46174</v>
      </c>
      <c r="K30" s="9">
        <v>46387</v>
      </c>
      <c r="L30" s="8" t="s">
        <v>51</v>
      </c>
      <c r="M30" s="10">
        <v>455.58</v>
      </c>
      <c r="N30" s="10">
        <v>455.58</v>
      </c>
      <c r="O30" s="8" t="s">
        <v>88</v>
      </c>
      <c r="P30" s="8" t="s">
        <v>256</v>
      </c>
      <c r="Q30" s="8" t="s">
        <v>257</v>
      </c>
      <c r="R30" s="8">
        <f>781/12*7</f>
        <v>455.58333333333331</v>
      </c>
    </row>
    <row r="31" spans="1:18" s="8" customFormat="1" x14ac:dyDescent="0.3">
      <c r="A31" s="7">
        <v>949313050</v>
      </c>
      <c r="B31" s="7" t="str">
        <f>CONCATENATE(A31,11)</f>
        <v>94931305011</v>
      </c>
      <c r="C31" s="8" t="s">
        <v>135</v>
      </c>
      <c r="D31" s="8" t="s">
        <v>136</v>
      </c>
      <c r="E31" s="13">
        <v>21618313</v>
      </c>
      <c r="F31" s="13">
        <v>21618313</v>
      </c>
      <c r="G31" s="8" t="s">
        <v>138</v>
      </c>
      <c r="H31" s="8" t="s">
        <v>172</v>
      </c>
      <c r="I31" s="8" t="s">
        <v>216</v>
      </c>
      <c r="J31" s="9">
        <v>46174</v>
      </c>
      <c r="K31" s="9">
        <v>46204</v>
      </c>
      <c r="L31" s="8" t="s">
        <v>51</v>
      </c>
      <c r="N31" s="11">
        <v>-228.08</v>
      </c>
      <c r="P31" s="8" t="s">
        <v>246</v>
      </c>
      <c r="Q31" s="8" t="s">
        <v>247</v>
      </c>
    </row>
    <row r="32" spans="1:18" s="8" customFormat="1" x14ac:dyDescent="0.3">
      <c r="A32" s="7" t="s">
        <v>228</v>
      </c>
      <c r="B32" s="7" t="str">
        <f>CONCATENATE(A32,1)</f>
        <v>A044840361</v>
      </c>
      <c r="C32" s="8" t="s">
        <v>150</v>
      </c>
      <c r="D32" s="8" t="s">
        <v>151</v>
      </c>
      <c r="E32" s="13">
        <v>16212649</v>
      </c>
      <c r="F32" s="13">
        <v>16212649</v>
      </c>
      <c r="G32" s="8" t="s">
        <v>153</v>
      </c>
      <c r="H32" s="8" t="s">
        <v>49</v>
      </c>
      <c r="I32" s="8" t="s">
        <v>154</v>
      </c>
      <c r="J32" s="9">
        <v>46204</v>
      </c>
      <c r="K32" s="9">
        <v>46478</v>
      </c>
      <c r="L32" s="8" t="s">
        <v>51</v>
      </c>
      <c r="M32" s="10">
        <v>9.83</v>
      </c>
      <c r="N32" s="10">
        <v>88.47</v>
      </c>
      <c r="P32" s="8" t="s">
        <v>154</v>
      </c>
    </row>
    <row r="33" spans="1:19" s="8" customFormat="1" x14ac:dyDescent="0.3">
      <c r="A33" s="7" t="s">
        <v>231</v>
      </c>
      <c r="B33" s="7" t="str">
        <f>CONCATENATE(A33,1)</f>
        <v>A044844581</v>
      </c>
      <c r="C33" s="8" t="s">
        <v>164</v>
      </c>
      <c r="D33" s="8" t="s">
        <v>136</v>
      </c>
      <c r="E33" s="13">
        <v>19278370</v>
      </c>
      <c r="F33" s="13">
        <v>19278370</v>
      </c>
      <c r="G33" s="8" t="s">
        <v>161</v>
      </c>
      <c r="H33" s="8" t="s">
        <v>49</v>
      </c>
      <c r="I33" s="8" t="s">
        <v>162</v>
      </c>
      <c r="J33" s="9">
        <v>46204</v>
      </c>
      <c r="K33" s="9">
        <v>46478</v>
      </c>
      <c r="L33" s="8" t="s">
        <v>51</v>
      </c>
      <c r="M33" s="10">
        <v>4.92</v>
      </c>
      <c r="N33" s="10">
        <v>44.28</v>
      </c>
      <c r="P33" s="8" t="s">
        <v>162</v>
      </c>
    </row>
    <row r="34" spans="1:19" s="8" customFormat="1" x14ac:dyDescent="0.3">
      <c r="A34" s="7" t="s">
        <v>230</v>
      </c>
      <c r="B34" s="7" t="str">
        <f>CONCATENATE(A34,1)</f>
        <v>A044844571</v>
      </c>
      <c r="C34" s="8" t="s">
        <v>159</v>
      </c>
      <c r="D34" s="8" t="s">
        <v>136</v>
      </c>
      <c r="E34" s="13">
        <v>19278370</v>
      </c>
      <c r="F34" s="13">
        <v>19278370</v>
      </c>
      <c r="G34" s="8" t="s">
        <v>161</v>
      </c>
      <c r="H34" s="8" t="s">
        <v>49</v>
      </c>
      <c r="I34" s="8" t="s">
        <v>162</v>
      </c>
      <c r="J34" s="9">
        <v>46204</v>
      </c>
      <c r="K34" s="9">
        <v>46478</v>
      </c>
      <c r="L34" s="8" t="s">
        <v>51</v>
      </c>
      <c r="M34" s="10">
        <v>4.92</v>
      </c>
      <c r="N34" s="10">
        <v>44.28</v>
      </c>
      <c r="P34" s="8" t="s">
        <v>162</v>
      </c>
    </row>
    <row r="35" spans="1:19" s="8" customFormat="1" x14ac:dyDescent="0.3">
      <c r="A35" s="7" t="s">
        <v>232</v>
      </c>
      <c r="B35" s="7" t="str">
        <f>CONCATENATE(A35,1)</f>
        <v>A044848471</v>
      </c>
      <c r="C35" s="8" t="s">
        <v>166</v>
      </c>
      <c r="D35" s="8" t="s">
        <v>136</v>
      </c>
      <c r="E35" s="13">
        <v>21618313</v>
      </c>
      <c r="F35" s="13">
        <v>21618313</v>
      </c>
      <c r="G35" s="8" t="s">
        <v>138</v>
      </c>
      <c r="H35" s="8" t="s">
        <v>49</v>
      </c>
      <c r="I35" s="8" t="s">
        <v>167</v>
      </c>
      <c r="J35" s="9">
        <v>46235</v>
      </c>
      <c r="K35" s="9">
        <v>46508</v>
      </c>
      <c r="L35" s="8" t="s">
        <v>51</v>
      </c>
      <c r="M35" s="10">
        <v>36</v>
      </c>
      <c r="N35" s="10">
        <v>324</v>
      </c>
      <c r="P35" s="8" t="s">
        <v>167</v>
      </c>
    </row>
    <row r="36" spans="1:19" s="8" customFormat="1" x14ac:dyDescent="0.3">
      <c r="A36" s="7" t="s">
        <v>229</v>
      </c>
      <c r="B36" s="7" t="str">
        <f>CONCATENATE(A36,1)</f>
        <v>A044842851</v>
      </c>
      <c r="C36" s="8" t="s">
        <v>156</v>
      </c>
      <c r="D36" s="8" t="s">
        <v>83</v>
      </c>
      <c r="E36" s="13">
        <v>16212649</v>
      </c>
      <c r="F36" s="13">
        <v>16212649</v>
      </c>
      <c r="G36" s="8" t="s">
        <v>153</v>
      </c>
      <c r="H36" s="8" t="s">
        <v>49</v>
      </c>
      <c r="I36" s="8" t="s">
        <v>157</v>
      </c>
      <c r="J36" s="9">
        <v>46204</v>
      </c>
      <c r="K36" s="9">
        <v>46478</v>
      </c>
      <c r="L36" s="8" t="s">
        <v>51</v>
      </c>
      <c r="M36" s="10">
        <v>58.19</v>
      </c>
      <c r="N36" s="10">
        <v>523.71</v>
      </c>
      <c r="P36" s="8" t="s">
        <v>244</v>
      </c>
      <c r="S36" s="8">
        <f>58.19*12</f>
        <v>698.28</v>
      </c>
    </row>
    <row r="37" spans="1:19" s="8" customFormat="1" x14ac:dyDescent="0.3">
      <c r="A37" s="7">
        <v>969154449</v>
      </c>
      <c r="B37" s="7" t="str">
        <f>CONCATENATE(A37,11)</f>
        <v>96915444911</v>
      </c>
      <c r="C37" s="8" t="s">
        <v>142</v>
      </c>
      <c r="D37" s="8" t="s">
        <v>77</v>
      </c>
      <c r="E37" s="13">
        <v>18754354</v>
      </c>
      <c r="F37" s="13">
        <v>18754354</v>
      </c>
      <c r="G37" s="8" t="s">
        <v>57</v>
      </c>
      <c r="H37" s="8" t="s">
        <v>172</v>
      </c>
      <c r="I37" s="8" t="s">
        <v>201</v>
      </c>
      <c r="J37" s="9">
        <v>46204</v>
      </c>
      <c r="K37" s="9">
        <v>46235</v>
      </c>
      <c r="L37" s="8" t="s">
        <v>51</v>
      </c>
      <c r="N37" s="11">
        <v>-173.5</v>
      </c>
      <c r="P37" s="8" t="s">
        <v>248</v>
      </c>
      <c r="Q37" s="8" t="s">
        <v>250</v>
      </c>
    </row>
    <row r="38" spans="1:19" s="8" customFormat="1" x14ac:dyDescent="0.3">
      <c r="A38" s="7">
        <v>905345788</v>
      </c>
      <c r="B38" s="7" t="str">
        <f>CONCATENATE(A38,11)</f>
        <v>90534578811</v>
      </c>
      <c r="C38" s="8" t="s">
        <v>105</v>
      </c>
      <c r="D38" s="8" t="s">
        <v>106</v>
      </c>
      <c r="E38" s="13">
        <v>16865615</v>
      </c>
      <c r="F38" s="13">
        <v>16865615</v>
      </c>
      <c r="G38" s="8" t="s">
        <v>108</v>
      </c>
      <c r="H38" s="8" t="s">
        <v>172</v>
      </c>
      <c r="I38" s="8" t="s">
        <v>201</v>
      </c>
      <c r="J38" s="9">
        <v>46235</v>
      </c>
      <c r="K38" s="9">
        <v>46266</v>
      </c>
      <c r="L38" s="8" t="s">
        <v>51</v>
      </c>
      <c r="N38" s="11">
        <v>-144.58000000000001</v>
      </c>
      <c r="P38" s="8" t="s">
        <v>248</v>
      </c>
      <c r="Q38" s="8" t="s">
        <v>251</v>
      </c>
    </row>
    <row r="39" spans="1:19" s="8" customFormat="1" x14ac:dyDescent="0.3">
      <c r="A39" s="7">
        <v>934511171</v>
      </c>
      <c r="B39" s="7" t="str">
        <f>CONCATENATE(A39,11)</f>
        <v>93451117111</v>
      </c>
      <c r="C39" s="8" t="s">
        <v>121</v>
      </c>
      <c r="D39" s="8" t="s">
        <v>55</v>
      </c>
      <c r="E39" s="13">
        <v>19200754</v>
      </c>
      <c r="F39" s="13">
        <v>19200754</v>
      </c>
      <c r="G39" s="8" t="s">
        <v>123</v>
      </c>
      <c r="H39" s="8" t="s">
        <v>172</v>
      </c>
      <c r="I39" s="8" t="s">
        <v>201</v>
      </c>
      <c r="J39" s="9">
        <v>46204</v>
      </c>
      <c r="K39" s="9">
        <v>46235</v>
      </c>
      <c r="L39" s="8" t="s">
        <v>51</v>
      </c>
      <c r="N39" s="11">
        <v>-173.5</v>
      </c>
      <c r="P39" s="8" t="s">
        <v>248</v>
      </c>
      <c r="Q39" s="8" t="s">
        <v>250</v>
      </c>
    </row>
    <row r="40" spans="1:19" s="8" customFormat="1" x14ac:dyDescent="0.3">
      <c r="A40" s="7">
        <v>944805654</v>
      </c>
      <c r="B40" s="7" t="str">
        <f>CONCATENATE(A40,11)</f>
        <v>94480565411</v>
      </c>
      <c r="C40" s="8" t="s">
        <v>128</v>
      </c>
      <c r="D40" s="8" t="s">
        <v>55</v>
      </c>
      <c r="E40" s="13">
        <v>8325282</v>
      </c>
      <c r="F40" s="13">
        <v>8325282</v>
      </c>
      <c r="G40" s="8" t="s">
        <v>130</v>
      </c>
      <c r="H40" s="8" t="s">
        <v>172</v>
      </c>
      <c r="I40" s="8" t="s">
        <v>201</v>
      </c>
      <c r="J40" s="9">
        <v>46174</v>
      </c>
      <c r="K40" s="9">
        <v>46204</v>
      </c>
      <c r="L40" s="8" t="s">
        <v>51</v>
      </c>
      <c r="N40" s="11">
        <v>-202.42</v>
      </c>
      <c r="P40" s="8" t="s">
        <v>248</v>
      </c>
      <c r="Q40" s="8" t="s">
        <v>249</v>
      </c>
    </row>
    <row r="41" spans="1:19" s="8" customFormat="1" x14ac:dyDescent="0.3">
      <c r="A41" s="7">
        <v>925786770</v>
      </c>
      <c r="B41" s="7" t="str">
        <f>CONCATENATE(A41,11)</f>
        <v>92578677011</v>
      </c>
      <c r="C41" s="8" t="s">
        <v>118</v>
      </c>
      <c r="D41" s="8" t="s">
        <v>106</v>
      </c>
      <c r="E41" s="13">
        <v>16865615</v>
      </c>
      <c r="F41" s="13">
        <v>16865615</v>
      </c>
      <c r="G41" s="8" t="s">
        <v>108</v>
      </c>
      <c r="H41" s="8" t="s">
        <v>172</v>
      </c>
      <c r="I41" s="8" t="s">
        <v>201</v>
      </c>
      <c r="J41" s="9">
        <v>46174</v>
      </c>
      <c r="K41" s="9">
        <v>46204</v>
      </c>
      <c r="L41" s="8" t="s">
        <v>51</v>
      </c>
      <c r="N41" s="11">
        <v>-202.42</v>
      </c>
      <c r="P41" s="8" t="s">
        <v>248</v>
      </c>
      <c r="Q41" s="8" t="s">
        <v>249</v>
      </c>
    </row>
    <row r="42" spans="1:19" s="8" customFormat="1" x14ac:dyDescent="0.3">
      <c r="A42" s="7">
        <v>136048357</v>
      </c>
      <c r="B42" s="7" t="str">
        <f>CONCATENATE(A42,11)</f>
        <v>13604835711</v>
      </c>
      <c r="C42" s="8" t="s">
        <v>92</v>
      </c>
      <c r="D42" s="8" t="s">
        <v>60</v>
      </c>
      <c r="E42" s="13">
        <v>19645587</v>
      </c>
      <c r="F42" s="13">
        <v>19645587</v>
      </c>
      <c r="G42" s="8" t="s">
        <v>94</v>
      </c>
      <c r="H42" s="8" t="s">
        <v>172</v>
      </c>
      <c r="I42" s="8" t="s">
        <v>201</v>
      </c>
      <c r="J42" s="9">
        <v>46174</v>
      </c>
      <c r="K42" s="9">
        <v>46204</v>
      </c>
      <c r="L42" s="8" t="s">
        <v>51</v>
      </c>
      <c r="N42" s="11">
        <v>-202.42</v>
      </c>
      <c r="P42" s="8" t="s">
        <v>248</v>
      </c>
      <c r="Q42" s="8" t="s">
        <v>249</v>
      </c>
    </row>
    <row r="43" spans="1:19" s="8" customFormat="1" x14ac:dyDescent="0.3">
      <c r="A43" s="7">
        <v>974303523</v>
      </c>
      <c r="B43" s="7" t="str">
        <f>CONCATENATE(A43,11)</f>
        <v>97430352311</v>
      </c>
      <c r="C43" s="8" t="s">
        <v>145</v>
      </c>
      <c r="D43" s="8" t="s">
        <v>55</v>
      </c>
      <c r="E43" s="13">
        <v>21646325</v>
      </c>
      <c r="F43" s="13">
        <v>21646325</v>
      </c>
      <c r="G43" s="8" t="s">
        <v>147</v>
      </c>
      <c r="H43" s="8" t="s">
        <v>172</v>
      </c>
      <c r="I43" s="8" t="s">
        <v>201</v>
      </c>
      <c r="J43" s="9">
        <v>46174</v>
      </c>
      <c r="K43" s="9">
        <v>46204</v>
      </c>
      <c r="L43" s="8" t="s">
        <v>51</v>
      </c>
      <c r="N43" s="11">
        <v>-202.42</v>
      </c>
      <c r="P43" s="8" t="s">
        <v>248</v>
      </c>
      <c r="Q43" s="8" t="s">
        <v>249</v>
      </c>
    </row>
    <row r="44" spans="1:19" x14ac:dyDescent="0.3">
      <c r="A44" s="5">
        <v>969154449</v>
      </c>
      <c r="B44" s="5" t="str">
        <f>CONCATENATE(A44,"OVR")</f>
        <v>969154449OVR</v>
      </c>
      <c r="C44" t="s">
        <v>142</v>
      </c>
      <c r="D44" t="s">
        <v>77</v>
      </c>
      <c r="E44" s="12">
        <v>18754354</v>
      </c>
      <c r="F44" s="12" t="str">
        <f>CONCATENATE(E44,"OVR")</f>
        <v>18754354OVR</v>
      </c>
      <c r="G44" t="s">
        <v>57</v>
      </c>
      <c r="H44" t="s">
        <v>49</v>
      </c>
      <c r="I44" t="s">
        <v>97</v>
      </c>
      <c r="J44" s="1">
        <v>46204</v>
      </c>
      <c r="K44" s="1">
        <v>46387</v>
      </c>
      <c r="L44" t="s">
        <v>51</v>
      </c>
      <c r="M44" s="2">
        <v>175</v>
      </c>
      <c r="N44" s="2">
        <v>175</v>
      </c>
      <c r="P44" t="s">
        <v>245</v>
      </c>
    </row>
    <row r="45" spans="1:19" x14ac:dyDescent="0.3">
      <c r="A45" s="5">
        <v>969154449</v>
      </c>
      <c r="B45" s="5" t="str">
        <f>CONCATENATE(A45,"OVR")</f>
        <v>969154449OVR</v>
      </c>
      <c r="C45" t="s">
        <v>142</v>
      </c>
      <c r="D45" t="s">
        <v>77</v>
      </c>
      <c r="E45" s="12">
        <v>18754354</v>
      </c>
      <c r="F45" s="12" t="str">
        <f>CONCATENATE(E45,"OVR")</f>
        <v>18754354OVR</v>
      </c>
      <c r="G45" t="s">
        <v>57</v>
      </c>
      <c r="H45" t="s">
        <v>172</v>
      </c>
      <c r="I45" t="s">
        <v>97</v>
      </c>
      <c r="J45" s="1">
        <v>46204</v>
      </c>
      <c r="K45" s="1">
        <v>46235</v>
      </c>
      <c r="L45" t="s">
        <v>51</v>
      </c>
      <c r="N45" s="6">
        <v>-175</v>
      </c>
      <c r="P45" t="s">
        <v>245</v>
      </c>
    </row>
    <row r="46" spans="1:19" x14ac:dyDescent="0.3">
      <c r="A46" s="5">
        <v>905345788</v>
      </c>
      <c r="B46" s="5" t="str">
        <f>CONCATENATE(A46,"OVR")</f>
        <v>905345788OVR</v>
      </c>
      <c r="C46" t="s">
        <v>105</v>
      </c>
      <c r="D46" t="s">
        <v>106</v>
      </c>
      <c r="E46" s="12">
        <v>16865615</v>
      </c>
      <c r="F46" s="12" t="str">
        <f>CONCATENATE(E46,"OVR")</f>
        <v>16865615OVR</v>
      </c>
      <c r="G46" t="s">
        <v>108</v>
      </c>
      <c r="H46" t="s">
        <v>49</v>
      </c>
      <c r="I46" t="s">
        <v>97</v>
      </c>
      <c r="J46" s="1">
        <v>46235</v>
      </c>
      <c r="K46" s="1">
        <v>46387</v>
      </c>
      <c r="L46" t="s">
        <v>51</v>
      </c>
      <c r="M46" s="2">
        <v>175</v>
      </c>
      <c r="N46" s="2">
        <v>175</v>
      </c>
      <c r="P46" t="s">
        <v>245</v>
      </c>
    </row>
    <row r="47" spans="1:19" x14ac:dyDescent="0.3">
      <c r="A47" s="5">
        <v>905345788</v>
      </c>
      <c r="B47" s="5" t="str">
        <f>CONCATENATE(A47,"OVR")</f>
        <v>905345788OVR</v>
      </c>
      <c r="C47" t="s">
        <v>105</v>
      </c>
      <c r="D47" t="s">
        <v>106</v>
      </c>
      <c r="E47" s="12">
        <v>16865615</v>
      </c>
      <c r="F47" s="12" t="str">
        <f>CONCATENATE(E47,"OVR")</f>
        <v>16865615OVR</v>
      </c>
      <c r="G47" t="s">
        <v>108</v>
      </c>
      <c r="H47" t="s">
        <v>172</v>
      </c>
      <c r="I47" t="s">
        <v>97</v>
      </c>
      <c r="J47" s="1">
        <v>46235</v>
      </c>
      <c r="K47" s="1">
        <v>46266</v>
      </c>
      <c r="L47" t="s">
        <v>51</v>
      </c>
      <c r="N47" s="6">
        <v>-175</v>
      </c>
      <c r="P47" t="s">
        <v>245</v>
      </c>
    </row>
    <row r="48" spans="1:19" x14ac:dyDescent="0.3">
      <c r="A48" s="5">
        <v>949313050</v>
      </c>
      <c r="B48" s="5" t="str">
        <f>CONCATENATE(A48,"OVR")</f>
        <v>949313050OVR</v>
      </c>
      <c r="C48" t="s">
        <v>135</v>
      </c>
      <c r="D48" t="s">
        <v>136</v>
      </c>
      <c r="E48" s="12">
        <v>21618313</v>
      </c>
      <c r="F48" s="12" t="str">
        <f>CONCATENATE(E48,"OVR")</f>
        <v>21618313OVR</v>
      </c>
      <c r="G48" t="s">
        <v>138</v>
      </c>
      <c r="H48" t="s">
        <v>49</v>
      </c>
      <c r="I48" t="s">
        <v>97</v>
      </c>
      <c r="J48" s="1">
        <v>46174</v>
      </c>
      <c r="K48" s="1">
        <v>46387</v>
      </c>
      <c r="L48" t="s">
        <v>51</v>
      </c>
      <c r="M48" s="2">
        <v>175</v>
      </c>
      <c r="N48" s="2">
        <v>175</v>
      </c>
      <c r="P48" t="s">
        <v>245</v>
      </c>
    </row>
    <row r="49" spans="1:16" x14ac:dyDescent="0.3">
      <c r="A49" s="5">
        <v>949313050</v>
      </c>
      <c r="B49" s="5" t="str">
        <f>CONCATENATE(A49,"OVR")</f>
        <v>949313050OVR</v>
      </c>
      <c r="C49" t="s">
        <v>135</v>
      </c>
      <c r="D49" t="s">
        <v>136</v>
      </c>
      <c r="E49" s="12">
        <v>21618313</v>
      </c>
      <c r="F49" s="12" t="str">
        <f>CONCATENATE(E49,"OVR")</f>
        <v>21618313OVR</v>
      </c>
      <c r="G49" t="s">
        <v>138</v>
      </c>
      <c r="H49" t="s">
        <v>172</v>
      </c>
      <c r="I49" t="s">
        <v>97</v>
      </c>
      <c r="J49" s="1">
        <v>46174</v>
      </c>
      <c r="K49" s="1">
        <v>46204</v>
      </c>
      <c r="L49" t="s">
        <v>51</v>
      </c>
      <c r="N49" s="6">
        <v>-175</v>
      </c>
      <c r="P49" t="s">
        <v>245</v>
      </c>
    </row>
    <row r="50" spans="1:16" x14ac:dyDescent="0.3">
      <c r="A50" s="5">
        <v>934511171</v>
      </c>
      <c r="B50" s="5" t="str">
        <f>CONCATENATE(A50,"OVR")</f>
        <v>934511171OVR</v>
      </c>
      <c r="C50" t="s">
        <v>121</v>
      </c>
      <c r="D50" t="s">
        <v>55</v>
      </c>
      <c r="E50" s="12">
        <v>19200754</v>
      </c>
      <c r="F50" s="12" t="str">
        <f>CONCATENATE(E50,"OVR")</f>
        <v>19200754OVR</v>
      </c>
      <c r="G50" t="s">
        <v>123</v>
      </c>
      <c r="H50" t="s">
        <v>49</v>
      </c>
      <c r="I50" t="s">
        <v>97</v>
      </c>
      <c r="J50" s="1">
        <v>46204</v>
      </c>
      <c r="K50" s="1">
        <v>46387</v>
      </c>
      <c r="L50" t="s">
        <v>51</v>
      </c>
      <c r="M50" s="2">
        <v>175</v>
      </c>
      <c r="N50" s="2">
        <v>175</v>
      </c>
      <c r="P50" t="s">
        <v>245</v>
      </c>
    </row>
    <row r="51" spans="1:16" x14ac:dyDescent="0.3">
      <c r="A51" s="5">
        <v>934511171</v>
      </c>
      <c r="B51" s="5" t="str">
        <f>CONCATENATE(A51,"OVR")</f>
        <v>934511171OVR</v>
      </c>
      <c r="C51" t="s">
        <v>121</v>
      </c>
      <c r="D51" t="s">
        <v>55</v>
      </c>
      <c r="E51" s="12">
        <v>19200754</v>
      </c>
      <c r="F51" s="12" t="str">
        <f>CONCATENATE(E51,"OVR")</f>
        <v>19200754OVR</v>
      </c>
      <c r="G51" t="s">
        <v>123</v>
      </c>
      <c r="H51" t="s">
        <v>172</v>
      </c>
      <c r="I51" t="s">
        <v>97</v>
      </c>
      <c r="J51" s="1">
        <v>46204</v>
      </c>
      <c r="K51" s="1">
        <v>46235</v>
      </c>
      <c r="L51" t="s">
        <v>51</v>
      </c>
      <c r="N51" s="6">
        <v>-175</v>
      </c>
      <c r="P51" t="s">
        <v>245</v>
      </c>
    </row>
    <row r="52" spans="1:16" x14ac:dyDescent="0.3">
      <c r="A52" s="5">
        <v>937667184</v>
      </c>
      <c r="B52" s="5" t="str">
        <f>CONCATENATE(A52,"OVR")</f>
        <v>937667184OVR</v>
      </c>
      <c r="C52" t="s">
        <v>126</v>
      </c>
      <c r="D52" t="s">
        <v>77</v>
      </c>
      <c r="E52" s="12">
        <v>16170994</v>
      </c>
      <c r="F52" s="12" t="str">
        <f>CONCATENATE(E52,"OVR")</f>
        <v>16170994OVR</v>
      </c>
      <c r="G52" t="s">
        <v>79</v>
      </c>
      <c r="H52" t="s">
        <v>49</v>
      </c>
      <c r="I52" t="s">
        <v>97</v>
      </c>
      <c r="J52" s="1">
        <v>46204</v>
      </c>
      <c r="K52" s="1">
        <v>46387</v>
      </c>
      <c r="L52" t="s">
        <v>51</v>
      </c>
      <c r="M52" s="2">
        <v>175</v>
      </c>
      <c r="N52" s="2">
        <v>175</v>
      </c>
      <c r="P52" t="s">
        <v>245</v>
      </c>
    </row>
    <row r="53" spans="1:16" x14ac:dyDescent="0.3">
      <c r="A53" s="5">
        <v>944805654</v>
      </c>
      <c r="B53" s="5" t="str">
        <f>CONCATENATE(A53,"OVR")</f>
        <v>944805654OVR</v>
      </c>
      <c r="C53" t="s">
        <v>128</v>
      </c>
      <c r="D53" t="s">
        <v>55</v>
      </c>
      <c r="E53" s="12">
        <v>8325282</v>
      </c>
      <c r="F53" s="12" t="str">
        <f>CONCATENATE(E53,"OVR")</f>
        <v>8325282OVR</v>
      </c>
      <c r="G53" t="s">
        <v>130</v>
      </c>
      <c r="H53" t="s">
        <v>172</v>
      </c>
      <c r="I53" t="s">
        <v>214</v>
      </c>
      <c r="J53" s="1">
        <v>46174</v>
      </c>
      <c r="K53" s="1">
        <v>46204</v>
      </c>
      <c r="L53" t="s">
        <v>51</v>
      </c>
      <c r="N53" s="6">
        <v>-42</v>
      </c>
      <c r="P53" t="s">
        <v>245</v>
      </c>
    </row>
    <row r="54" spans="1:16" x14ac:dyDescent="0.3">
      <c r="A54" s="5">
        <v>944805654</v>
      </c>
      <c r="B54" s="5" t="str">
        <f>CONCATENATE(A54,"OVR")</f>
        <v>944805654OVR</v>
      </c>
      <c r="C54" t="s">
        <v>128</v>
      </c>
      <c r="D54" t="s">
        <v>55</v>
      </c>
      <c r="E54" s="12">
        <v>8325282</v>
      </c>
      <c r="F54" s="12" t="str">
        <f>CONCATENATE(E54,"OVR")</f>
        <v>8325282OVR</v>
      </c>
      <c r="G54" t="s">
        <v>130</v>
      </c>
      <c r="H54" t="s">
        <v>49</v>
      </c>
      <c r="I54" t="s">
        <v>133</v>
      </c>
      <c r="J54" s="1">
        <v>46174</v>
      </c>
      <c r="K54" s="1">
        <v>46387</v>
      </c>
      <c r="L54" t="s">
        <v>51</v>
      </c>
      <c r="M54" s="2">
        <v>102.08</v>
      </c>
      <c r="N54" s="2">
        <v>102.08</v>
      </c>
      <c r="O54" t="s">
        <v>88</v>
      </c>
      <c r="P54" t="s">
        <v>245</v>
      </c>
    </row>
    <row r="55" spans="1:16" x14ac:dyDescent="0.3">
      <c r="A55" s="5">
        <v>925786770</v>
      </c>
      <c r="B55" s="5" t="str">
        <f>CONCATENATE(A55,"OVR")</f>
        <v>925786770OVR</v>
      </c>
      <c r="C55" t="s">
        <v>118</v>
      </c>
      <c r="D55" t="s">
        <v>106</v>
      </c>
      <c r="E55" s="12">
        <v>16865615</v>
      </c>
      <c r="F55" s="12" t="str">
        <f>CONCATENATE(E55,"OVR")</f>
        <v>16865615OVR</v>
      </c>
      <c r="G55" t="s">
        <v>108</v>
      </c>
      <c r="H55" t="s">
        <v>49</v>
      </c>
      <c r="I55" t="s">
        <v>97</v>
      </c>
      <c r="J55" s="1">
        <v>46174</v>
      </c>
      <c r="K55" s="1">
        <v>46387</v>
      </c>
      <c r="L55" t="s">
        <v>51</v>
      </c>
      <c r="M55" s="2">
        <v>175</v>
      </c>
      <c r="N55" s="2">
        <v>175</v>
      </c>
      <c r="P55" t="s">
        <v>245</v>
      </c>
    </row>
    <row r="56" spans="1:16" x14ac:dyDescent="0.3">
      <c r="A56" s="5">
        <v>925786770</v>
      </c>
      <c r="B56" s="5" t="str">
        <f>CONCATENATE(A56,"OVR")</f>
        <v>925786770OVR</v>
      </c>
      <c r="C56" t="s">
        <v>118</v>
      </c>
      <c r="D56" t="s">
        <v>106</v>
      </c>
      <c r="E56" s="12">
        <v>16865615</v>
      </c>
      <c r="F56" s="12" t="str">
        <f>CONCATENATE(E56,"OVR")</f>
        <v>16865615OVR</v>
      </c>
      <c r="G56" t="s">
        <v>108</v>
      </c>
      <c r="H56" t="s">
        <v>172</v>
      </c>
      <c r="I56" t="s">
        <v>97</v>
      </c>
      <c r="J56" s="1">
        <v>46174</v>
      </c>
      <c r="K56" s="1">
        <v>46204</v>
      </c>
      <c r="L56" t="s">
        <v>51</v>
      </c>
      <c r="N56" s="6">
        <v>-175</v>
      </c>
      <c r="P56" t="s">
        <v>245</v>
      </c>
    </row>
    <row r="57" spans="1:16" x14ac:dyDescent="0.3">
      <c r="A57" s="5">
        <v>136048357</v>
      </c>
      <c r="B57" s="5" t="str">
        <f>CONCATENATE(A57,"OVR")</f>
        <v>136048357OVR</v>
      </c>
      <c r="C57" t="s">
        <v>92</v>
      </c>
      <c r="D57" t="s">
        <v>60</v>
      </c>
      <c r="E57" s="12">
        <v>19645587</v>
      </c>
      <c r="F57" s="12" t="str">
        <f>CONCATENATE(E57,"OVR")</f>
        <v>19645587OVR</v>
      </c>
      <c r="G57" t="s">
        <v>94</v>
      </c>
      <c r="H57" t="s">
        <v>49</v>
      </c>
      <c r="I57" t="s">
        <v>97</v>
      </c>
      <c r="J57" s="1">
        <v>46174</v>
      </c>
      <c r="K57" s="1">
        <v>46387</v>
      </c>
      <c r="L57" t="s">
        <v>51</v>
      </c>
      <c r="M57" s="2">
        <v>175</v>
      </c>
      <c r="N57" s="2">
        <v>175</v>
      </c>
      <c r="P57" t="s">
        <v>245</v>
      </c>
    </row>
    <row r="58" spans="1:16" x14ac:dyDescent="0.3">
      <c r="A58" s="5">
        <v>136048357</v>
      </c>
      <c r="B58" s="5" t="str">
        <f>CONCATENATE(A58,"OVR")</f>
        <v>136048357OVR</v>
      </c>
      <c r="C58" t="s">
        <v>92</v>
      </c>
      <c r="D58" t="s">
        <v>60</v>
      </c>
      <c r="E58" s="12">
        <v>19645587</v>
      </c>
      <c r="F58" s="12" t="str">
        <f>CONCATENATE(E58,"OVR")</f>
        <v>19645587OVR</v>
      </c>
      <c r="G58" t="s">
        <v>94</v>
      </c>
      <c r="H58" t="s">
        <v>172</v>
      </c>
      <c r="I58" t="s">
        <v>97</v>
      </c>
      <c r="J58" s="1">
        <v>46174</v>
      </c>
      <c r="K58" s="1">
        <v>46204</v>
      </c>
      <c r="L58" t="s">
        <v>51</v>
      </c>
      <c r="N58" s="6">
        <v>-175</v>
      </c>
      <c r="P58" t="s">
        <v>245</v>
      </c>
    </row>
    <row r="59" spans="1:16" x14ac:dyDescent="0.3">
      <c r="A59" s="5">
        <v>916237202</v>
      </c>
      <c r="B59" s="5" t="str">
        <f>CONCATENATE(A59,"OVR")</f>
        <v>916237202OVR</v>
      </c>
      <c r="C59" t="s">
        <v>113</v>
      </c>
      <c r="D59" t="s">
        <v>55</v>
      </c>
      <c r="E59" s="12">
        <v>9213293</v>
      </c>
      <c r="F59" s="12" t="str">
        <f>CONCATENATE(E59,"OVR")</f>
        <v>9213293OVR</v>
      </c>
      <c r="G59" t="s">
        <v>62</v>
      </c>
      <c r="H59" t="s">
        <v>49</v>
      </c>
      <c r="I59" t="s">
        <v>116</v>
      </c>
      <c r="J59" s="1">
        <v>46204</v>
      </c>
      <c r="K59" s="1">
        <v>46387</v>
      </c>
      <c r="L59" t="s">
        <v>51</v>
      </c>
      <c r="M59" s="2">
        <v>113</v>
      </c>
      <c r="N59" s="2">
        <v>113</v>
      </c>
      <c r="P59" t="s">
        <v>245</v>
      </c>
    </row>
    <row r="60" spans="1:16" x14ac:dyDescent="0.3">
      <c r="A60" s="5">
        <v>916237202</v>
      </c>
      <c r="B60" s="5" t="str">
        <f>CONCATENATE(A60,"OVR")</f>
        <v>916237202OVR</v>
      </c>
      <c r="C60" t="s">
        <v>113</v>
      </c>
      <c r="D60" t="s">
        <v>55</v>
      </c>
      <c r="E60" s="12">
        <v>9213293</v>
      </c>
      <c r="F60" s="12" t="str">
        <f>CONCATENATE(E60,"OVR")</f>
        <v>9213293OVR</v>
      </c>
      <c r="G60" t="s">
        <v>62</v>
      </c>
      <c r="H60" t="s">
        <v>172</v>
      </c>
      <c r="I60" t="s">
        <v>116</v>
      </c>
      <c r="J60" s="1">
        <v>46204</v>
      </c>
      <c r="K60" s="1">
        <v>46235</v>
      </c>
      <c r="L60" t="s">
        <v>51</v>
      </c>
      <c r="N60" s="6">
        <v>-113</v>
      </c>
      <c r="P60" t="s">
        <v>245</v>
      </c>
    </row>
    <row r="61" spans="1:16" x14ac:dyDescent="0.3">
      <c r="A61" s="5">
        <v>916096160</v>
      </c>
      <c r="B61" s="5" t="str">
        <f>CONCATENATE(A61,"OVR")</f>
        <v>916096160OVR</v>
      </c>
      <c r="C61" t="s">
        <v>111</v>
      </c>
      <c r="D61" t="s">
        <v>46</v>
      </c>
      <c r="E61" s="12">
        <v>19645587</v>
      </c>
      <c r="F61" s="12" t="str">
        <f>CONCATENATE(E61,"OVR")</f>
        <v>19645587OVR</v>
      </c>
      <c r="G61" t="s">
        <v>94</v>
      </c>
      <c r="H61" t="s">
        <v>49</v>
      </c>
      <c r="I61" t="s">
        <v>97</v>
      </c>
      <c r="J61" s="1">
        <v>46235</v>
      </c>
      <c r="K61" s="1">
        <v>46387</v>
      </c>
      <c r="L61" t="s">
        <v>51</v>
      </c>
      <c r="M61" s="2">
        <v>175</v>
      </c>
      <c r="N61" s="2">
        <v>175</v>
      </c>
      <c r="P61" t="s">
        <v>245</v>
      </c>
    </row>
    <row r="62" spans="1:16" x14ac:dyDescent="0.3">
      <c r="A62" s="5">
        <v>974303523</v>
      </c>
      <c r="B62" s="5" t="str">
        <f>CONCATENATE(A62,"OVR")</f>
        <v>974303523OVR</v>
      </c>
      <c r="C62" t="s">
        <v>145</v>
      </c>
      <c r="D62" t="s">
        <v>55</v>
      </c>
      <c r="E62" s="12">
        <v>21646325</v>
      </c>
      <c r="F62" s="12" t="str">
        <f>CONCATENATE(E62,"OVR")</f>
        <v>21646325OVR</v>
      </c>
      <c r="G62" t="s">
        <v>147</v>
      </c>
      <c r="H62" t="s">
        <v>49</v>
      </c>
      <c r="I62" t="s">
        <v>97</v>
      </c>
      <c r="J62" s="1">
        <v>46174</v>
      </c>
      <c r="K62" s="1">
        <v>46387</v>
      </c>
      <c r="L62" t="s">
        <v>51</v>
      </c>
      <c r="M62" s="2">
        <v>175</v>
      </c>
      <c r="N62" s="2">
        <v>175</v>
      </c>
      <c r="P62" t="s">
        <v>245</v>
      </c>
    </row>
    <row r="63" spans="1:16" x14ac:dyDescent="0.3">
      <c r="A63" s="5">
        <v>974303523</v>
      </c>
      <c r="B63" s="5" t="str">
        <f>CONCATENATE(A63,"OVR")</f>
        <v>974303523OVR</v>
      </c>
      <c r="C63" t="s">
        <v>145</v>
      </c>
      <c r="D63" t="s">
        <v>55</v>
      </c>
      <c r="E63" s="12">
        <v>21646325</v>
      </c>
      <c r="F63" s="12" t="str">
        <f>CONCATENATE(E63,"OVR")</f>
        <v>21646325OVR</v>
      </c>
      <c r="G63" t="s">
        <v>147</v>
      </c>
      <c r="H63" t="s">
        <v>172</v>
      </c>
      <c r="I63" t="s">
        <v>97</v>
      </c>
      <c r="J63" s="1">
        <v>46174</v>
      </c>
      <c r="K63" s="1">
        <v>46204</v>
      </c>
      <c r="L63" t="s">
        <v>51</v>
      </c>
      <c r="N63" s="6">
        <v>-175</v>
      </c>
      <c r="P63" t="s">
        <v>245</v>
      </c>
    </row>
    <row r="71" spans="9:9" x14ac:dyDescent="0.3">
      <c r="I71" s="4"/>
    </row>
    <row r="72" spans="9:9" x14ac:dyDescent="0.3">
      <c r="I72" s="4"/>
    </row>
    <row r="73" spans="9:9" x14ac:dyDescent="0.3">
      <c r="I73" s="4"/>
    </row>
    <row r="78" spans="9:9" x14ac:dyDescent="0.3">
      <c r="I78" s="4"/>
    </row>
  </sheetData>
  <sortState xmlns:xlrd2="http://schemas.microsoft.com/office/spreadsheetml/2017/richdata2" ref="A2:AO63">
    <sortCondition ref="P2:P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2026-06-19T06:35:46Z</dcterms:created>
  <dcterms:modified xsi:type="dcterms:W3CDTF">2026-06-22T18:47:08Z</dcterms:modified>
</cp:coreProperties>
</file>