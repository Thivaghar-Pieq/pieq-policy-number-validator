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HFG\2026\2026-05-20 NB\"/>
    </mc:Choice>
  </mc:AlternateContent>
  <xr:revisionPtr revIDLastSave="0" documentId="13_ncr:1_{D1B7B202-8D02-48F3-ADF3-FD0E12548D71}" xr6:coauthVersionLast="47" xr6:coauthVersionMax="47" xr10:uidLastSave="{00000000-0000-0000-0000-000000000000}"/>
  <bookViews>
    <workbookView xWindow="28680" yWindow="-30" windowWidth="29040" windowHeight="16440" activeTab="1" xr2:uid="{0C108D4D-D8E4-4E29-A4B9-3757ED52C15A}"/>
  </bookViews>
  <sheets>
    <sheet name="New Business Agent Statement - 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3" i="2" l="1"/>
  <c r="B20" i="2"/>
  <c r="B19" i="2"/>
  <c r="B24" i="2"/>
  <c r="B22" i="2"/>
  <c r="B21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<sst xmlns="http://schemas.openxmlformats.org/spreadsheetml/2006/main" count="571" uniqueCount="189">
  <si>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</si>
  <si>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</si>
  <si>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</si>
  <si>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</si>
  <si>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</si>
  <si>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</si>
  <si>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</si>
  <si>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</si>
  <si>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</si>
  <si>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</si>
  <si>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</si>
  <si>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</si>
  <si>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</si>
  <si>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</si>
  <si>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</si>
  <si>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</si>
  <si>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</si>
  <si>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</si>
  <si>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</si>
  <si>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</si>
  <si>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</si>
  <si>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</si>
  <si>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</si>
  <si>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</si>
  <si>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</si>
  <si>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</si>
  <si>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</si>
  <si>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</si>
  <si>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</si>
  <si>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</si>
  <si>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</si>
  <si>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</si>
  <si>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</si>
  <si>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</si>
  <si>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</si>
  <si>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</si>
  <si>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</si>
  <si>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</si>
  <si>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</si>
  <si>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</si>
  <si>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</si>
  <si>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</si>
  <si>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</si>
  <si>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</si>
  <si>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'00012958781K</t>
  </si>
  <si>
    <t>CARLOTA COASACA</t>
  </si>
  <si>
    <t>IL</t>
  </si>
  <si>
    <t>'045618</t>
  </si>
  <si>
    <t>STEPHANIE DRAPAC</t>
  </si>
  <si>
    <t>ACTIVE</t>
  </si>
  <si>
    <t>Humana MA 2019+ Level 15- 175/108 Repl 2024</t>
  </si>
  <si>
    <t>Monthly</t>
  </si>
  <si>
    <t>AV</t>
  </si>
  <si>
    <t>'00023113212K</t>
  </si>
  <si>
    <t>BARBARA SNAPP</t>
  </si>
  <si>
    <t>VA</t>
  </si>
  <si>
    <t>'045896</t>
  </si>
  <si>
    <t>LENSIE GONZALEZ</t>
  </si>
  <si>
    <t>'00026492408K</t>
  </si>
  <si>
    <t>MARLON RANDLE</t>
  </si>
  <si>
    <t>'045712</t>
  </si>
  <si>
    <t>GREGORY HANSFORD</t>
  </si>
  <si>
    <t>Humana MA 2019+ Level 15- 175/108</t>
  </si>
  <si>
    <t>'00026502399K</t>
  </si>
  <si>
    <t>SALME DRUNGA</t>
  </si>
  <si>
    <t>'045603</t>
  </si>
  <si>
    <t>ANDREW CHOI</t>
  </si>
  <si>
    <t>'00026503017K</t>
  </si>
  <si>
    <t>CHARLES GILLEY</t>
  </si>
  <si>
    <t>TN</t>
  </si>
  <si>
    <t>'043682</t>
  </si>
  <si>
    <t>GREGORY TEIPEL</t>
  </si>
  <si>
    <t>'00026506049K</t>
  </si>
  <si>
    <t>MANUEL BRETADO</t>
  </si>
  <si>
    <t>'045605</t>
  </si>
  <si>
    <t>GARY PORTUGAL</t>
  </si>
  <si>
    <t>'00026506360K</t>
  </si>
  <si>
    <t>RYAN BROOKS</t>
  </si>
  <si>
    <t>'045632</t>
  </si>
  <si>
    <t>BARRY SCHUMANN</t>
  </si>
  <si>
    <t>'52R7A5R41</t>
  </si>
  <si>
    <t>MICHAEL COTTER</t>
  </si>
  <si>
    <t>'043637</t>
  </si>
  <si>
    <t>CHRISTIAN TAUGNER</t>
  </si>
  <si>
    <t>Cigna MAPD FMO to GA 1-1-19+ - New</t>
  </si>
  <si>
    <t>'953349258</t>
  </si>
  <si>
    <t>ANTONIA VELAZQUEZ</t>
  </si>
  <si>
    <t>'045709</t>
  </si>
  <si>
    <t>ESTHER HERRERA-LARSEN</t>
  </si>
  <si>
    <t>UHC MA Direct 2025 New Full - Other</t>
  </si>
  <si>
    <t>'953349258OV</t>
  </si>
  <si>
    <t>UHC MAPD Street payable to upline- 2026 Replace - Other</t>
  </si>
  <si>
    <t>8/12 PRORATE</t>
  </si>
  <si>
    <t>'A04474398</t>
  </si>
  <si>
    <t>MARY GULLING</t>
  </si>
  <si>
    <t>IN</t>
  </si>
  <si>
    <t>'045967</t>
  </si>
  <si>
    <t>DANNA GREEN</t>
  </si>
  <si>
    <t>UHC AARP Med Supp 2025+ IN All Plans</t>
  </si>
  <si>
    <t>'A04474828</t>
  </si>
  <si>
    <t>MICHAEL KELLY</t>
  </si>
  <si>
    <t>NJ</t>
  </si>
  <si>
    <t>'045601</t>
  </si>
  <si>
    <t>CAROL FOLEY</t>
  </si>
  <si>
    <t>UHC AARP Med Supp 2026+ AR AZ IL KS MS NC NJ PA SC Plan N</t>
  </si>
  <si>
    <t>'UHC MBI</t>
  </si>
  <si>
    <t>UHC MBI</t>
  </si>
  <si>
    <t>'TBD</t>
  </si>
  <si>
    <t>Active</t>
  </si>
  <si>
    <t>OTHER</t>
  </si>
  <si>
    <t>UHC MBI Bonus Upload 05-20-2026.xlsx</t>
  </si>
  <si>
    <t>CB</t>
  </si>
  <si>
    <t>'00000369525IPC</t>
  </si>
  <si>
    <t>JOY NEMANICH</t>
  </si>
  <si>
    <t>'045612</t>
  </si>
  <si>
    <t>ANTHONY HUNSBERGER</t>
  </si>
  <si>
    <t>CHARGEBACK</t>
  </si>
  <si>
    <t>'00020904940KPC</t>
  </si>
  <si>
    <t>RONALD SMITH</t>
  </si>
  <si>
    <t>OH</t>
  </si>
  <si>
    <t>'045670</t>
  </si>
  <si>
    <t>STEVEN BRANDT</t>
  </si>
  <si>
    <t>'00024585094KPDPPC</t>
  </si>
  <si>
    <t>CINDY ROEWER</t>
  </si>
  <si>
    <t>WI</t>
  </si>
  <si>
    <t>'043644</t>
  </si>
  <si>
    <t>TIMOTHY HODGMAN</t>
  </si>
  <si>
    <t>Humana PDP 2019+ Level 15- 15/0</t>
  </si>
  <si>
    <t>'00025199148KPC</t>
  </si>
  <si>
    <t>BRETT CERVANTES</t>
  </si>
  <si>
    <t>MO</t>
  </si>
  <si>
    <t>'043638</t>
  </si>
  <si>
    <t>THOMAS PARDUE</t>
  </si>
  <si>
    <t>'00026059647KPC</t>
  </si>
  <si>
    <t>HUMBERTO CRUZ</t>
  </si>
  <si>
    <t>'045638</t>
  </si>
  <si>
    <t>RICHARD YALE</t>
  </si>
  <si>
    <t>'00026098831KPC</t>
  </si>
  <si>
    <t>JUDY DAVIS</t>
  </si>
  <si>
    <t>UT</t>
  </si>
  <si>
    <t>'00026446350KCB</t>
  </si>
  <si>
    <t>VICTORIA PRADO</t>
  </si>
  <si>
    <t>'045613</t>
  </si>
  <si>
    <t>RICARDO SANTOS</t>
  </si>
  <si>
    <t>'101548557900PC</t>
  </si>
  <si>
    <t>DAVID WILLIAMS</t>
  </si>
  <si>
    <t>PA</t>
  </si>
  <si>
    <t>'043611</t>
  </si>
  <si>
    <t>TIMOTHY POWERS</t>
  </si>
  <si>
    <t>Aetna MAPD NMO to MMO - 2025+ New E-App</t>
  </si>
  <si>
    <t>'73X2X6H35CB</t>
  </si>
  <si>
    <t>SCOTT WALLACE</t>
  </si>
  <si>
    <t>'045622</t>
  </si>
  <si>
    <t>JACOB YALE</t>
  </si>
  <si>
    <t>'930834019OVPC</t>
  </si>
  <si>
    <t>CARLA GALBRAITH</t>
  </si>
  <si>
    <t>'043679</t>
  </si>
  <si>
    <t>DEBORAH INSKIPT</t>
  </si>
  <si>
    <t>UHC MA Direct 2025 New Full</t>
  </si>
  <si>
    <t>'930834019PC</t>
  </si>
  <si>
    <t>UHC MAPD Street payable to upline PA/CT- 2026 New</t>
  </si>
  <si>
    <t>00012958781K</t>
  </si>
  <si>
    <t>00023113212K</t>
  </si>
  <si>
    <t>00026492408K</t>
  </si>
  <si>
    <t>00026502399K</t>
  </si>
  <si>
    <t>00026503017K</t>
  </si>
  <si>
    <t>00026506049K</t>
  </si>
  <si>
    <t>00026506360K</t>
  </si>
  <si>
    <t>52R7A5R41</t>
  </si>
  <si>
    <t>A04474398</t>
  </si>
  <si>
    <t>A04474828</t>
  </si>
  <si>
    <t>00000369525I</t>
  </si>
  <si>
    <t>00020904940K</t>
  </si>
  <si>
    <t>00024585094KPDP</t>
  </si>
  <si>
    <t>00025199148K</t>
  </si>
  <si>
    <t>00026059647K</t>
  </si>
  <si>
    <t>00026098831K</t>
  </si>
  <si>
    <t>00026446350K</t>
  </si>
  <si>
    <t>73X2X6H35</t>
  </si>
  <si>
    <t>Aetna MAPD OVR 2026</t>
  </si>
  <si>
    <t>Cigna MAPD Ovr</t>
  </si>
  <si>
    <t>Humana MAPD OVR</t>
  </si>
  <si>
    <t>Humana PDP</t>
  </si>
  <si>
    <t>UHC MAPD Ovr 2026</t>
  </si>
  <si>
    <t>2026 UHC non-Special Needs Plans PPOs Renewal</t>
  </si>
  <si>
    <t>UHC 2026 CT, PA, DC</t>
  </si>
  <si>
    <t>[%/$=781][prorate=8/12]</t>
  </si>
  <si>
    <t>Main Line Benefits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</si>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</sst>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NumberFormat="1"/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0" fontId="0" fillId="33" borderId="0" xfId="0" applyNumberFormat="1" applyFill="1"/>
    <xf numFmtId="8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A7EFD-C0FD-46D8-AAA8-8963C7D97B4F}">
  <dimension ref="A1:AL25"/>
  <sheetViews>
    <sheetView topLeftCell="S1" workbookViewId="0">
      <selection sqref="A1:XFD1048576"/>
    </sheetView>
  </sheetViews>
  <sheetFormatPr defaultRowHeight="14.4" x14ac:dyDescent="0.3"/>
  <cols>
    <col min="1" max="1" width="10.33203125" bestFit="1" customWidth="1"/>
    <col min="2" max="2" width="16.109375" bestFit="1" customWidth="1"/>
    <col min="3" max="3" width="15.109375" bestFit="1" customWidth="1"/>
    <col min="4" max="4" width="11.5546875" bestFit="1" customWidth="1"/>
    <col min="5" max="5" width="29.44140625" bestFit="1" customWidth="1"/>
    <col min="6" max="6" width="8.5546875" bestFit="1" customWidth="1"/>
    <col min="7" max="7" width="6.44140625" bestFit="1" customWidth="1"/>
    <col min="8" max="8" width="18.109375" bestFit="1" customWidth="1"/>
    <col min="9" max="9" width="19.6640625" bestFit="1" customWidth="1"/>
    <col min="10" max="10" width="20.33203125" bestFit="1" customWidth="1"/>
    <col min="11" max="11" width="8.109375" bestFit="1" customWidth="1"/>
    <col min="12" max="12" width="4.44140625" bestFit="1" customWidth="1"/>
    <col min="13" max="13" width="5.5546875" bestFit="1" customWidth="1"/>
    <col min="14" max="14" width="8.6640625" bestFit="1" customWidth="1"/>
    <col min="15" max="15" width="15.6640625" bestFit="1" customWidth="1"/>
    <col min="16" max="16" width="23.6640625" bestFit="1" customWidth="1"/>
    <col min="17" max="17" width="12.88671875" bestFit="1" customWidth="1"/>
    <col min="18" max="18" width="56.5546875" bestFit="1" customWidth="1"/>
    <col min="19" max="19" width="10.109375" bestFit="1" customWidth="1"/>
    <col min="20" max="20" width="12.33203125" bestFit="1" customWidth="1"/>
    <col min="21" max="21" width="14.5546875" bestFit="1" customWidth="1"/>
    <col min="22" max="22" width="12" bestFit="1" customWidth="1"/>
    <col min="23" max="23" width="15.88671875" bestFit="1" customWidth="1"/>
    <col min="25" max="25" width="18.33203125" bestFit="1" customWidth="1"/>
    <col min="26" max="26" width="15.88671875" bestFit="1" customWidth="1"/>
    <col min="27" max="27" width="17" bestFit="1" customWidth="1"/>
    <col min="28" max="28" width="16.44140625" bestFit="1" customWidth="1"/>
    <col min="29" max="29" width="17.44140625" bestFit="1" customWidth="1"/>
    <col min="30" max="30" width="11.5546875" bestFit="1" customWidth="1"/>
    <col min="31" max="31" width="14.88671875" bestFit="1" customWidth="1"/>
    <col min="32" max="32" width="9.6640625" bestFit="1" customWidth="1"/>
    <col min="33" max="33" width="13.109375" bestFit="1" customWidth="1"/>
    <col min="34" max="34" width="18.6640625" bestFit="1" customWidth="1"/>
    <col min="35" max="35" width="18.33203125" bestFit="1" customWidth="1"/>
    <col min="36" max="36" width="11.109375" bestFit="1" customWidth="1"/>
    <col min="37" max="37" width="13.5546875" bestFit="1" customWidth="1"/>
    <col min="38" max="38" width="35.886718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s="1">
        <v>46162</v>
      </c>
      <c r="B2" s="1">
        <v>46162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46143</v>
      </c>
      <c r="U2" t="s">
        <v>51</v>
      </c>
      <c r="X2" t="s">
        <v>52</v>
      </c>
      <c r="Y2" s="2">
        <v>0</v>
      </c>
      <c r="Z2" s="2">
        <v>108</v>
      </c>
      <c r="AA2">
        <v>1</v>
      </c>
      <c r="AB2" s="3">
        <v>1</v>
      </c>
      <c r="AC2" s="2">
        <v>108</v>
      </c>
      <c r="AD2" s="3">
        <v>0</v>
      </c>
      <c r="AE2" s="2">
        <v>0</v>
      </c>
      <c r="AF2" s="2">
        <v>108</v>
      </c>
      <c r="AK2">
        <v>6769770</v>
      </c>
    </row>
    <row r="3" spans="1:38" x14ac:dyDescent="0.3">
      <c r="A3" s="1">
        <v>46162</v>
      </c>
      <c r="B3" s="1">
        <v>46162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56</v>
      </c>
      <c r="P3" t="s">
        <v>57</v>
      </c>
      <c r="Q3" t="s">
        <v>49</v>
      </c>
      <c r="R3" t="s">
        <v>50</v>
      </c>
      <c r="S3" s="1">
        <v>46174</v>
      </c>
      <c r="U3" t="s">
        <v>51</v>
      </c>
      <c r="X3" t="s">
        <v>52</v>
      </c>
      <c r="Y3" s="2">
        <v>0</v>
      </c>
      <c r="Z3" s="2">
        <v>108</v>
      </c>
      <c r="AA3">
        <v>1</v>
      </c>
      <c r="AB3" s="3">
        <v>1</v>
      </c>
      <c r="AC3" s="2">
        <v>108</v>
      </c>
      <c r="AD3" s="3">
        <v>0</v>
      </c>
      <c r="AE3" s="2">
        <v>0</v>
      </c>
      <c r="AF3" s="2">
        <v>108</v>
      </c>
      <c r="AK3">
        <v>6769771</v>
      </c>
    </row>
    <row r="4" spans="1:38" x14ac:dyDescent="0.3">
      <c r="A4" s="1">
        <v>46162</v>
      </c>
      <c r="B4" s="1">
        <v>46162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58</v>
      </c>
      <c r="J4" t="s">
        <v>59</v>
      </c>
      <c r="M4" t="s">
        <v>46</v>
      </c>
      <c r="O4" t="s">
        <v>60</v>
      </c>
      <c r="P4" t="s">
        <v>61</v>
      </c>
      <c r="Q4" t="s">
        <v>49</v>
      </c>
      <c r="R4" t="s">
        <v>62</v>
      </c>
      <c r="S4" s="1">
        <v>46235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6769816</v>
      </c>
    </row>
    <row r="5" spans="1:38" x14ac:dyDescent="0.3">
      <c r="A5" s="1">
        <v>46162</v>
      </c>
      <c r="B5" s="1">
        <v>46162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63</v>
      </c>
      <c r="J5" t="s">
        <v>64</v>
      </c>
      <c r="M5" t="s">
        <v>46</v>
      </c>
      <c r="O5" t="s">
        <v>65</v>
      </c>
      <c r="P5" t="s">
        <v>66</v>
      </c>
      <c r="Q5" t="s">
        <v>49</v>
      </c>
      <c r="R5" t="s">
        <v>62</v>
      </c>
      <c r="S5" s="1">
        <v>46174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6769817</v>
      </c>
    </row>
    <row r="6" spans="1:38" x14ac:dyDescent="0.3">
      <c r="A6" s="1">
        <v>46162</v>
      </c>
      <c r="B6" s="1">
        <v>46162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67</v>
      </c>
      <c r="J6" t="s">
        <v>68</v>
      </c>
      <c r="M6" t="s">
        <v>69</v>
      </c>
      <c r="O6" t="s">
        <v>70</v>
      </c>
      <c r="P6" t="s">
        <v>71</v>
      </c>
      <c r="Q6" t="s">
        <v>49</v>
      </c>
      <c r="R6" t="s">
        <v>62</v>
      </c>
      <c r="S6" s="1">
        <v>46174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6769818</v>
      </c>
    </row>
    <row r="7" spans="1:38" x14ac:dyDescent="0.3">
      <c r="A7" s="1">
        <v>46162</v>
      </c>
      <c r="B7" s="1">
        <v>46162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72</v>
      </c>
      <c r="J7" t="s">
        <v>73</v>
      </c>
      <c r="M7" t="s">
        <v>46</v>
      </c>
      <c r="O7" t="s">
        <v>74</v>
      </c>
      <c r="P7" t="s">
        <v>75</v>
      </c>
      <c r="Q7" t="s">
        <v>49</v>
      </c>
      <c r="R7" t="s">
        <v>62</v>
      </c>
      <c r="S7" s="1">
        <v>46174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6769819</v>
      </c>
    </row>
    <row r="8" spans="1:38" x14ac:dyDescent="0.3">
      <c r="A8" s="1">
        <v>46162</v>
      </c>
      <c r="B8" s="1">
        <v>46162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76</v>
      </c>
      <c r="J8" t="s">
        <v>77</v>
      </c>
      <c r="M8" t="s">
        <v>46</v>
      </c>
      <c r="O8" t="s">
        <v>78</v>
      </c>
      <c r="P8" t="s">
        <v>79</v>
      </c>
      <c r="Q8" t="s">
        <v>49</v>
      </c>
      <c r="R8" t="s">
        <v>62</v>
      </c>
      <c r="S8" s="1">
        <v>46174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6769820</v>
      </c>
    </row>
    <row r="9" spans="1:38" x14ac:dyDescent="0.3">
      <c r="A9" s="1">
        <v>46162</v>
      </c>
      <c r="B9" s="1">
        <v>46162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80</v>
      </c>
      <c r="J9" t="s">
        <v>81</v>
      </c>
      <c r="M9" t="s">
        <v>46</v>
      </c>
      <c r="O9" t="s">
        <v>82</v>
      </c>
      <c r="P9" t="s">
        <v>83</v>
      </c>
      <c r="Q9" t="s">
        <v>49</v>
      </c>
      <c r="R9" t="s">
        <v>84</v>
      </c>
      <c r="S9" s="1">
        <v>46143</v>
      </c>
      <c r="U9" t="s">
        <v>51</v>
      </c>
      <c r="X9" t="s">
        <v>52</v>
      </c>
      <c r="Y9" s="2">
        <v>0</v>
      </c>
      <c r="Z9" s="2">
        <v>100</v>
      </c>
      <c r="AA9">
        <v>1</v>
      </c>
      <c r="AB9" s="3">
        <v>1</v>
      </c>
      <c r="AC9" s="2">
        <v>100</v>
      </c>
      <c r="AD9" s="3">
        <v>0</v>
      </c>
      <c r="AE9" s="2">
        <v>0</v>
      </c>
      <c r="AF9" s="2">
        <v>100</v>
      </c>
      <c r="AK9">
        <v>6769579</v>
      </c>
    </row>
    <row r="10" spans="1:38" x14ac:dyDescent="0.3">
      <c r="A10" s="1">
        <v>46162</v>
      </c>
      <c r="B10" s="1">
        <v>46162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85</v>
      </c>
      <c r="J10" t="s">
        <v>86</v>
      </c>
      <c r="M10" t="s">
        <v>46</v>
      </c>
      <c r="O10" t="s">
        <v>87</v>
      </c>
      <c r="P10" t="s">
        <v>88</v>
      </c>
      <c r="Q10" t="s">
        <v>49</v>
      </c>
      <c r="R10" t="s">
        <v>89</v>
      </c>
      <c r="S10" s="1">
        <v>46143</v>
      </c>
      <c r="U10" t="s">
        <v>51</v>
      </c>
      <c r="X10" t="s">
        <v>52</v>
      </c>
      <c r="Y10" s="2">
        <v>0</v>
      </c>
      <c r="Z10" s="2">
        <v>113</v>
      </c>
      <c r="AA10">
        <v>1</v>
      </c>
      <c r="AB10" s="3">
        <v>1</v>
      </c>
      <c r="AC10" s="2">
        <v>113</v>
      </c>
      <c r="AD10" s="3">
        <v>0</v>
      </c>
      <c r="AE10" s="2">
        <v>0</v>
      </c>
      <c r="AF10" s="2">
        <v>113</v>
      </c>
      <c r="AK10">
        <v>6770027</v>
      </c>
    </row>
    <row r="11" spans="1:38" x14ac:dyDescent="0.3">
      <c r="A11" s="1">
        <v>46162</v>
      </c>
      <c r="B11" s="1">
        <v>46162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90</v>
      </c>
      <c r="J11" t="s">
        <v>86</v>
      </c>
      <c r="M11" t="s">
        <v>46</v>
      </c>
      <c r="O11" t="s">
        <v>87</v>
      </c>
      <c r="P11" t="s">
        <v>88</v>
      </c>
      <c r="Q11" t="s">
        <v>49</v>
      </c>
      <c r="R11" t="s">
        <v>91</v>
      </c>
      <c r="S11" s="1">
        <v>46143</v>
      </c>
      <c r="U11" t="s">
        <v>51</v>
      </c>
      <c r="X11" t="s">
        <v>52</v>
      </c>
      <c r="Y11" s="2">
        <v>0</v>
      </c>
      <c r="Z11" s="2">
        <v>135.33000000000001</v>
      </c>
      <c r="AA11">
        <v>1</v>
      </c>
      <c r="AB11" s="3">
        <v>1</v>
      </c>
      <c r="AC11" s="2">
        <v>135.33000000000001</v>
      </c>
      <c r="AD11" s="3">
        <v>0</v>
      </c>
      <c r="AE11" s="2">
        <v>0</v>
      </c>
      <c r="AF11" s="2">
        <v>135.33000000000001</v>
      </c>
      <c r="AK11">
        <v>6770028</v>
      </c>
      <c r="AL11" t="s">
        <v>92</v>
      </c>
    </row>
    <row r="12" spans="1:38" x14ac:dyDescent="0.3">
      <c r="A12" s="1">
        <v>46162</v>
      </c>
      <c r="B12" s="1">
        <v>46162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93</v>
      </c>
      <c r="J12" t="s">
        <v>94</v>
      </c>
      <c r="M12" t="s">
        <v>95</v>
      </c>
      <c r="O12" t="s">
        <v>96</v>
      </c>
      <c r="P12" t="s">
        <v>97</v>
      </c>
      <c r="Q12" t="s">
        <v>49</v>
      </c>
      <c r="R12" t="s">
        <v>98</v>
      </c>
      <c r="S12" s="1">
        <v>46204</v>
      </c>
      <c r="U12" t="s">
        <v>51</v>
      </c>
      <c r="X12" t="s">
        <v>52</v>
      </c>
      <c r="Y12" s="2">
        <v>0</v>
      </c>
      <c r="Z12" s="2">
        <v>31.02</v>
      </c>
      <c r="AA12">
        <v>9</v>
      </c>
      <c r="AB12" s="3">
        <v>1</v>
      </c>
      <c r="AC12" s="2">
        <v>279.18</v>
      </c>
      <c r="AD12" s="3">
        <v>0</v>
      </c>
      <c r="AE12" s="2">
        <v>0</v>
      </c>
      <c r="AF12" s="2">
        <v>279.18</v>
      </c>
      <c r="AK12">
        <v>6769846</v>
      </c>
    </row>
    <row r="13" spans="1:38" x14ac:dyDescent="0.3">
      <c r="A13" s="1">
        <v>46162</v>
      </c>
      <c r="B13" s="1">
        <v>46162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99</v>
      </c>
      <c r="J13" t="s">
        <v>100</v>
      </c>
      <c r="M13" t="s">
        <v>101</v>
      </c>
      <c r="O13" t="s">
        <v>102</v>
      </c>
      <c r="P13" t="s">
        <v>103</v>
      </c>
      <c r="Q13" t="s">
        <v>49</v>
      </c>
      <c r="R13" t="s">
        <v>104</v>
      </c>
      <c r="S13" s="1">
        <v>46174</v>
      </c>
      <c r="U13" t="s">
        <v>51</v>
      </c>
      <c r="X13" t="s">
        <v>52</v>
      </c>
      <c r="Y13" s="2">
        <v>0</v>
      </c>
      <c r="Z13" s="2">
        <v>4.92</v>
      </c>
      <c r="AA13">
        <v>9</v>
      </c>
      <c r="AB13" s="3">
        <v>1</v>
      </c>
      <c r="AC13" s="2">
        <v>44.28</v>
      </c>
      <c r="AD13" s="3">
        <v>0</v>
      </c>
      <c r="AE13" s="2">
        <v>0</v>
      </c>
      <c r="AF13" s="2">
        <v>44.28</v>
      </c>
      <c r="AK13">
        <v>6769847</v>
      </c>
    </row>
    <row r="14" spans="1:38" x14ac:dyDescent="0.3">
      <c r="A14" s="1">
        <v>46162</v>
      </c>
      <c r="B14" s="1">
        <v>46162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105</v>
      </c>
      <c r="J14" t="s">
        <v>106</v>
      </c>
      <c r="O14" t="s">
        <v>107</v>
      </c>
      <c r="Q14" t="s">
        <v>108</v>
      </c>
      <c r="R14" t="s">
        <v>106</v>
      </c>
      <c r="S14" s="1">
        <v>44927</v>
      </c>
      <c r="U14" t="s">
        <v>109</v>
      </c>
      <c r="X14" t="s">
        <v>52</v>
      </c>
      <c r="Y14" s="2">
        <v>0</v>
      </c>
      <c r="Z14" s="2">
        <v>50</v>
      </c>
      <c r="AA14">
        <v>1</v>
      </c>
      <c r="AB14" s="3">
        <v>1</v>
      </c>
      <c r="AC14" s="2">
        <v>50</v>
      </c>
      <c r="AD14" s="3">
        <v>0</v>
      </c>
      <c r="AE14" s="2">
        <v>0</v>
      </c>
      <c r="AF14" s="2">
        <v>50</v>
      </c>
      <c r="AK14">
        <v>0</v>
      </c>
      <c r="AL14" t="s">
        <v>110</v>
      </c>
    </row>
    <row r="15" spans="1:38" x14ac:dyDescent="0.3">
      <c r="A15" s="1">
        <v>46162</v>
      </c>
      <c r="B15" s="1">
        <v>46162</v>
      </c>
      <c r="C15" t="s">
        <v>111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112</v>
      </c>
      <c r="J15" t="s">
        <v>113</v>
      </c>
      <c r="M15" t="s">
        <v>46</v>
      </c>
      <c r="O15" t="s">
        <v>114</v>
      </c>
      <c r="P15" t="s">
        <v>115</v>
      </c>
      <c r="Q15" t="s">
        <v>116</v>
      </c>
      <c r="R15" t="s">
        <v>62</v>
      </c>
      <c r="S15" s="1">
        <v>46023</v>
      </c>
      <c r="U15" t="s">
        <v>51</v>
      </c>
      <c r="X15" t="s">
        <v>52</v>
      </c>
      <c r="AF15" s="2">
        <v>175</v>
      </c>
      <c r="AG15" s="2">
        <v>0</v>
      </c>
      <c r="AJ15" s="2">
        <v>117.25</v>
      </c>
    </row>
    <row r="16" spans="1:38" x14ac:dyDescent="0.3">
      <c r="A16" s="1">
        <v>46162</v>
      </c>
      <c r="B16" s="1">
        <v>46162</v>
      </c>
      <c r="C16" t="s">
        <v>111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117</v>
      </c>
      <c r="J16" t="s">
        <v>118</v>
      </c>
      <c r="M16" t="s">
        <v>119</v>
      </c>
      <c r="O16" t="s">
        <v>120</v>
      </c>
      <c r="P16" t="s">
        <v>121</v>
      </c>
      <c r="Q16" t="s">
        <v>116</v>
      </c>
      <c r="R16" t="s">
        <v>62</v>
      </c>
      <c r="S16" s="1">
        <v>46023</v>
      </c>
      <c r="U16" t="s">
        <v>51</v>
      </c>
      <c r="X16" t="s">
        <v>52</v>
      </c>
      <c r="AF16" s="2">
        <v>175</v>
      </c>
      <c r="AG16" s="2">
        <v>0</v>
      </c>
      <c r="AJ16" s="2">
        <v>117.25</v>
      </c>
    </row>
    <row r="17" spans="1:36" x14ac:dyDescent="0.3">
      <c r="A17" s="1">
        <v>46162</v>
      </c>
      <c r="B17" s="1">
        <v>46162</v>
      </c>
      <c r="C17" t="s">
        <v>111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122</v>
      </c>
      <c r="J17" t="s">
        <v>123</v>
      </c>
      <c r="M17" t="s">
        <v>124</v>
      </c>
      <c r="O17" t="s">
        <v>125</v>
      </c>
      <c r="P17" t="s">
        <v>126</v>
      </c>
      <c r="Q17" t="s">
        <v>116</v>
      </c>
      <c r="R17" t="s">
        <v>127</v>
      </c>
      <c r="S17" s="1">
        <v>46023</v>
      </c>
      <c r="U17" t="s">
        <v>51</v>
      </c>
      <c r="X17" t="s">
        <v>52</v>
      </c>
      <c r="AF17" s="2">
        <v>15</v>
      </c>
      <c r="AG17" s="2">
        <v>0</v>
      </c>
      <c r="AJ17" s="2">
        <v>10.050000000000001</v>
      </c>
    </row>
    <row r="18" spans="1:36" x14ac:dyDescent="0.3">
      <c r="A18" s="1">
        <v>46162</v>
      </c>
      <c r="B18" s="1">
        <v>46162</v>
      </c>
      <c r="C18" t="s">
        <v>111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128</v>
      </c>
      <c r="J18" t="s">
        <v>129</v>
      </c>
      <c r="M18" t="s">
        <v>130</v>
      </c>
      <c r="O18" t="s">
        <v>131</v>
      </c>
      <c r="P18" t="s">
        <v>132</v>
      </c>
      <c r="Q18" t="s">
        <v>116</v>
      </c>
      <c r="R18" t="s">
        <v>50</v>
      </c>
      <c r="S18" s="1">
        <v>46054</v>
      </c>
      <c r="U18" t="s">
        <v>51</v>
      </c>
      <c r="X18" t="s">
        <v>52</v>
      </c>
      <c r="AF18" s="2">
        <v>108</v>
      </c>
      <c r="AG18" s="2">
        <v>0</v>
      </c>
      <c r="AJ18" s="2">
        <v>72.36</v>
      </c>
    </row>
    <row r="19" spans="1:36" x14ac:dyDescent="0.3">
      <c r="A19" s="1">
        <v>46162</v>
      </c>
      <c r="B19" s="1">
        <v>46162</v>
      </c>
      <c r="C19" t="s">
        <v>111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133</v>
      </c>
      <c r="J19" t="s">
        <v>134</v>
      </c>
      <c r="M19" t="s">
        <v>46</v>
      </c>
      <c r="O19" t="s">
        <v>135</v>
      </c>
      <c r="P19" t="s">
        <v>136</v>
      </c>
      <c r="Q19" t="s">
        <v>116</v>
      </c>
      <c r="R19" t="s">
        <v>62</v>
      </c>
      <c r="S19" s="1">
        <v>46023</v>
      </c>
      <c r="U19" t="s">
        <v>51</v>
      </c>
      <c r="X19" t="s">
        <v>52</v>
      </c>
      <c r="AF19" s="2">
        <v>175</v>
      </c>
      <c r="AG19" s="2">
        <v>0</v>
      </c>
      <c r="AJ19" s="2">
        <v>117.25</v>
      </c>
    </row>
    <row r="20" spans="1:36" x14ac:dyDescent="0.3">
      <c r="A20" s="1">
        <v>46162</v>
      </c>
      <c r="B20" s="1">
        <v>46162</v>
      </c>
      <c r="C20" t="s">
        <v>111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137</v>
      </c>
      <c r="J20" t="s">
        <v>138</v>
      </c>
      <c r="M20" t="s">
        <v>139</v>
      </c>
      <c r="O20" t="s">
        <v>56</v>
      </c>
      <c r="P20" t="s">
        <v>57</v>
      </c>
      <c r="Q20" t="s">
        <v>116</v>
      </c>
      <c r="R20" t="s">
        <v>62</v>
      </c>
      <c r="S20" s="1">
        <v>46082</v>
      </c>
      <c r="U20" t="s">
        <v>51</v>
      </c>
      <c r="X20" t="s">
        <v>52</v>
      </c>
      <c r="AF20" s="2">
        <v>175</v>
      </c>
      <c r="AG20" s="2">
        <v>0</v>
      </c>
      <c r="AJ20" s="2">
        <v>145.25</v>
      </c>
    </row>
    <row r="21" spans="1:36" x14ac:dyDescent="0.3">
      <c r="A21" s="1">
        <v>46162</v>
      </c>
      <c r="B21" s="1">
        <v>46162</v>
      </c>
      <c r="C21" t="s">
        <v>111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140</v>
      </c>
      <c r="J21" t="s">
        <v>141</v>
      </c>
      <c r="M21" t="s">
        <v>46</v>
      </c>
      <c r="O21" t="s">
        <v>142</v>
      </c>
      <c r="P21" t="s">
        <v>143</v>
      </c>
      <c r="Q21" t="s">
        <v>116</v>
      </c>
      <c r="R21" t="s">
        <v>62</v>
      </c>
      <c r="S21" s="1">
        <v>46143</v>
      </c>
      <c r="U21" t="s">
        <v>51</v>
      </c>
      <c r="X21" t="s">
        <v>52</v>
      </c>
      <c r="AF21" s="2">
        <v>175</v>
      </c>
      <c r="AG21" s="2">
        <v>0</v>
      </c>
      <c r="AJ21" s="2">
        <v>175</v>
      </c>
    </row>
    <row r="22" spans="1:36" x14ac:dyDescent="0.3">
      <c r="A22" s="1">
        <v>46162</v>
      </c>
      <c r="B22" s="1">
        <v>46162</v>
      </c>
      <c r="C22" t="s">
        <v>111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144</v>
      </c>
      <c r="J22" t="s">
        <v>145</v>
      </c>
      <c r="M22" t="s">
        <v>146</v>
      </c>
      <c r="O22" t="s">
        <v>147</v>
      </c>
      <c r="P22" t="s">
        <v>148</v>
      </c>
      <c r="Q22" t="s">
        <v>116</v>
      </c>
      <c r="R22" t="s">
        <v>149</v>
      </c>
      <c r="S22" s="1">
        <v>46023</v>
      </c>
      <c r="U22" t="s">
        <v>51</v>
      </c>
      <c r="X22" t="s">
        <v>52</v>
      </c>
      <c r="AF22" s="2">
        <v>25</v>
      </c>
      <c r="AG22" s="2">
        <v>0</v>
      </c>
      <c r="AJ22" s="2">
        <v>16.670000000000002</v>
      </c>
    </row>
    <row r="23" spans="1:36" x14ac:dyDescent="0.3">
      <c r="A23" s="1">
        <v>46162</v>
      </c>
      <c r="B23" s="1">
        <v>46162</v>
      </c>
      <c r="C23" t="s">
        <v>111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150</v>
      </c>
      <c r="J23" t="s">
        <v>151</v>
      </c>
      <c r="M23" t="s">
        <v>46</v>
      </c>
      <c r="O23" t="s">
        <v>152</v>
      </c>
      <c r="P23" t="s">
        <v>153</v>
      </c>
      <c r="Q23" t="s">
        <v>116</v>
      </c>
      <c r="R23" t="s">
        <v>84</v>
      </c>
      <c r="S23" s="1">
        <v>46054</v>
      </c>
      <c r="U23" t="s">
        <v>51</v>
      </c>
      <c r="X23" t="s">
        <v>52</v>
      </c>
      <c r="AF23" s="2">
        <v>100</v>
      </c>
      <c r="AG23" s="2">
        <v>0</v>
      </c>
      <c r="AJ23" s="2">
        <v>100</v>
      </c>
    </row>
    <row r="24" spans="1:36" x14ac:dyDescent="0.3">
      <c r="A24" s="1">
        <v>46162</v>
      </c>
      <c r="B24" s="1">
        <v>46162</v>
      </c>
      <c r="C24" t="s">
        <v>111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154</v>
      </c>
      <c r="J24" t="s">
        <v>155</v>
      </c>
      <c r="M24" t="s">
        <v>146</v>
      </c>
      <c r="O24" t="s">
        <v>156</v>
      </c>
      <c r="P24" t="s">
        <v>157</v>
      </c>
      <c r="Q24" t="s">
        <v>116</v>
      </c>
      <c r="R24" t="s">
        <v>158</v>
      </c>
      <c r="S24" s="1">
        <v>46054</v>
      </c>
      <c r="U24" t="s">
        <v>51</v>
      </c>
      <c r="X24" t="s">
        <v>52</v>
      </c>
      <c r="AF24" s="2">
        <v>175</v>
      </c>
      <c r="AG24" s="2">
        <v>0</v>
      </c>
      <c r="AJ24" s="2">
        <v>116.67</v>
      </c>
    </row>
    <row r="25" spans="1:36" x14ac:dyDescent="0.3">
      <c r="A25" s="1">
        <v>46162</v>
      </c>
      <c r="B25" s="1">
        <v>46162</v>
      </c>
      <c r="C25" t="s">
        <v>111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159</v>
      </c>
      <c r="J25" t="s">
        <v>155</v>
      </c>
      <c r="M25" t="s">
        <v>146</v>
      </c>
      <c r="O25" t="s">
        <v>156</v>
      </c>
      <c r="P25" t="s">
        <v>157</v>
      </c>
      <c r="Q25" t="s">
        <v>116</v>
      </c>
      <c r="R25" t="s">
        <v>160</v>
      </c>
      <c r="S25" s="1">
        <v>46054</v>
      </c>
      <c r="U25" t="s">
        <v>51</v>
      </c>
      <c r="X25" t="s">
        <v>52</v>
      </c>
      <c r="AF25" s="2">
        <v>781</v>
      </c>
      <c r="AG25" s="2">
        <v>0</v>
      </c>
      <c r="AJ25" s="2">
        <v>520.66999999999996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F0E3B-1835-4E31-9E7B-2AEDFBAB8015}">
  <dimension ref="A1:Q24"/>
  <sheetViews>
    <sheetView tabSelected="1" topLeftCell="G1" workbookViewId="0">
      <selection activeCell="Q2" sqref="Q2:Q24"/>
    </sheetView>
  </sheetViews>
  <sheetFormatPr defaultRowHeight="14.4" x14ac:dyDescent="0.3"/>
  <cols>
    <col min="1" max="1" width="19.6640625" bestFit="1" customWidth="1"/>
    <col min="2" max="2" width="19.6640625" customWidth="1"/>
    <col min="3" max="3" width="20.33203125" bestFit="1" customWidth="1"/>
    <col min="4" max="4" width="5.5546875" bestFit="1" customWidth="1"/>
    <col min="5" max="5" width="11.109375" customWidth="1"/>
    <col min="6" max="6" width="23.109375" customWidth="1"/>
    <col min="7" max="7" width="12.77734375" customWidth="1"/>
    <col min="8" max="8" width="53.88671875" customWidth="1"/>
    <col min="9" max="9" width="10.109375" bestFit="1" customWidth="1"/>
    <col min="10" max="10" width="12.33203125" bestFit="1" customWidth="1"/>
    <col min="11" max="11" width="9.88671875" customWidth="1"/>
    <col min="12" max="12" width="5.88671875" customWidth="1"/>
    <col min="13" max="13" width="8.21875" style="5" customWidth="1"/>
    <col min="14" max="14" width="9.88671875" style="5" customWidth="1"/>
    <col min="15" max="15" width="13.21875" customWidth="1"/>
    <col min="16" max="16" width="55" bestFit="1" customWidth="1"/>
  </cols>
  <sheetData>
    <row r="1" spans="1:16" x14ac:dyDescent="0.3">
      <c r="A1" t="s">
        <v>8</v>
      </c>
      <c r="C1" t="s">
        <v>9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25</v>
      </c>
      <c r="L1" t="s">
        <v>26</v>
      </c>
      <c r="N1" s="5" t="s">
        <v>28</v>
      </c>
      <c r="O1" t="s">
        <v>37</v>
      </c>
    </row>
    <row r="2" spans="1:16" x14ac:dyDescent="0.3">
      <c r="A2" s="4">
        <v>101548557900</v>
      </c>
      <c r="B2" s="4" t="str">
        <f>CONCATENATE(A2,"OVR")</f>
        <v>101548557900OVR</v>
      </c>
      <c r="C2" t="s">
        <v>145</v>
      </c>
      <c r="D2" t="s">
        <v>146</v>
      </c>
      <c r="E2">
        <v>20411454</v>
      </c>
      <c r="F2" t="s">
        <v>187</v>
      </c>
      <c r="G2" t="s">
        <v>116</v>
      </c>
      <c r="H2" t="s">
        <v>149</v>
      </c>
      <c r="I2" s="1">
        <v>46023</v>
      </c>
      <c r="J2" s="1">
        <v>46143</v>
      </c>
      <c r="M2" s="5">
        <v>-16.670000000000002</v>
      </c>
      <c r="N2" s="5">
        <v>-16.670000000000002</v>
      </c>
      <c r="P2" t="s">
        <v>179</v>
      </c>
    </row>
    <row r="3" spans="1:16" x14ac:dyDescent="0.3">
      <c r="A3" s="4" t="s">
        <v>168</v>
      </c>
      <c r="B3" s="4" t="str">
        <f t="shared" ref="B3:B17" si="0">CONCATENATE(A3,"OVR")</f>
        <v>52R7A5R41OVR</v>
      </c>
      <c r="C3" t="s">
        <v>81</v>
      </c>
      <c r="D3" t="s">
        <v>46</v>
      </c>
      <c r="E3">
        <v>20411454</v>
      </c>
      <c r="F3" t="s">
        <v>187</v>
      </c>
      <c r="G3" t="s">
        <v>49</v>
      </c>
      <c r="H3" t="s">
        <v>84</v>
      </c>
      <c r="I3" s="1">
        <v>46143</v>
      </c>
      <c r="J3" s="1">
        <v>46174</v>
      </c>
      <c r="K3" s="2">
        <v>100</v>
      </c>
      <c r="L3">
        <v>1</v>
      </c>
      <c r="M3" s="5">
        <v>100</v>
      </c>
      <c r="N3" s="5">
        <v>100</v>
      </c>
      <c r="P3" t="s">
        <v>180</v>
      </c>
    </row>
    <row r="4" spans="1:16" x14ac:dyDescent="0.3">
      <c r="A4" s="4" t="s">
        <v>178</v>
      </c>
      <c r="B4" s="4" t="str">
        <f t="shared" si="0"/>
        <v>73X2X6H35OVR</v>
      </c>
      <c r="C4" t="s">
        <v>151</v>
      </c>
      <c r="D4" t="s">
        <v>46</v>
      </c>
      <c r="E4">
        <v>20411454</v>
      </c>
      <c r="F4" t="s">
        <v>187</v>
      </c>
      <c r="G4" t="s">
        <v>116</v>
      </c>
      <c r="H4" t="s">
        <v>84</v>
      </c>
      <c r="I4" s="1">
        <v>46054</v>
      </c>
      <c r="J4" s="1">
        <v>46143</v>
      </c>
      <c r="M4" s="5">
        <v>-100</v>
      </c>
      <c r="N4" s="5">
        <v>-100</v>
      </c>
      <c r="P4" t="s">
        <v>180</v>
      </c>
    </row>
    <row r="5" spans="1:16" x14ac:dyDescent="0.3">
      <c r="A5" s="4" t="s">
        <v>163</v>
      </c>
      <c r="B5" s="4" t="str">
        <f t="shared" si="0"/>
        <v>00026492408KOVR</v>
      </c>
      <c r="C5" t="s">
        <v>59</v>
      </c>
      <c r="D5" t="s">
        <v>46</v>
      </c>
      <c r="E5">
        <v>20411454</v>
      </c>
      <c r="F5" t="s">
        <v>187</v>
      </c>
      <c r="G5" t="s">
        <v>49</v>
      </c>
      <c r="H5" t="s">
        <v>62</v>
      </c>
      <c r="I5" s="1">
        <v>46235</v>
      </c>
      <c r="J5" s="1">
        <v>46266</v>
      </c>
      <c r="K5" s="2">
        <v>175</v>
      </c>
      <c r="L5">
        <v>1</v>
      </c>
      <c r="M5" s="5">
        <v>175</v>
      </c>
      <c r="N5" s="5">
        <v>175</v>
      </c>
      <c r="P5" t="s">
        <v>181</v>
      </c>
    </row>
    <row r="6" spans="1:16" x14ac:dyDescent="0.3">
      <c r="A6" s="4" t="s">
        <v>164</v>
      </c>
      <c r="B6" s="4" t="str">
        <f t="shared" si="0"/>
        <v>00026502399KOVR</v>
      </c>
      <c r="C6" t="s">
        <v>64</v>
      </c>
      <c r="D6" t="s">
        <v>46</v>
      </c>
      <c r="E6">
        <v>20411454</v>
      </c>
      <c r="F6" t="s">
        <v>187</v>
      </c>
      <c r="G6" t="s">
        <v>49</v>
      </c>
      <c r="H6" t="s">
        <v>62</v>
      </c>
      <c r="I6" s="1">
        <v>46174</v>
      </c>
      <c r="J6" s="1">
        <v>46204</v>
      </c>
      <c r="K6" s="2">
        <v>175</v>
      </c>
      <c r="L6">
        <v>1</v>
      </c>
      <c r="M6" s="5">
        <v>175</v>
      </c>
      <c r="N6" s="5">
        <v>175</v>
      </c>
      <c r="P6" t="s">
        <v>181</v>
      </c>
    </row>
    <row r="7" spans="1:16" x14ac:dyDescent="0.3">
      <c r="A7" s="4" t="s">
        <v>165</v>
      </c>
      <c r="B7" s="4" t="str">
        <f t="shared" si="0"/>
        <v>00026503017KOVR</v>
      </c>
      <c r="C7" t="s">
        <v>68</v>
      </c>
      <c r="D7" t="s">
        <v>69</v>
      </c>
      <c r="E7">
        <v>20411454</v>
      </c>
      <c r="F7" t="s">
        <v>187</v>
      </c>
      <c r="G7" t="s">
        <v>49</v>
      </c>
      <c r="H7" t="s">
        <v>62</v>
      </c>
      <c r="I7" s="1">
        <v>46174</v>
      </c>
      <c r="J7" s="1">
        <v>46204</v>
      </c>
      <c r="K7" s="2">
        <v>175</v>
      </c>
      <c r="L7">
        <v>1</v>
      </c>
      <c r="M7" s="5">
        <v>175</v>
      </c>
      <c r="N7" s="5">
        <v>175</v>
      </c>
      <c r="P7" t="s">
        <v>181</v>
      </c>
    </row>
    <row r="8" spans="1:16" x14ac:dyDescent="0.3">
      <c r="A8" s="4" t="s">
        <v>166</v>
      </c>
      <c r="B8" s="4" t="str">
        <f t="shared" si="0"/>
        <v>00026506049KOVR</v>
      </c>
      <c r="C8" t="s">
        <v>73</v>
      </c>
      <c r="D8" t="s">
        <v>46</v>
      </c>
      <c r="E8">
        <v>20411454</v>
      </c>
      <c r="F8" t="s">
        <v>187</v>
      </c>
      <c r="G8" t="s">
        <v>49</v>
      </c>
      <c r="H8" t="s">
        <v>62</v>
      </c>
      <c r="I8" s="1">
        <v>46174</v>
      </c>
      <c r="J8" s="1">
        <v>46204</v>
      </c>
      <c r="K8" s="2">
        <v>175</v>
      </c>
      <c r="L8">
        <v>1</v>
      </c>
      <c r="M8" s="5">
        <v>175</v>
      </c>
      <c r="N8" s="5">
        <v>175</v>
      </c>
      <c r="P8" t="s">
        <v>181</v>
      </c>
    </row>
    <row r="9" spans="1:16" x14ac:dyDescent="0.3">
      <c r="A9" s="4" t="s">
        <v>167</v>
      </c>
      <c r="B9" s="4" t="str">
        <f t="shared" si="0"/>
        <v>00026506360KOVR</v>
      </c>
      <c r="C9" t="s">
        <v>77</v>
      </c>
      <c r="D9" t="s">
        <v>46</v>
      </c>
      <c r="E9">
        <v>20411454</v>
      </c>
      <c r="F9" t="s">
        <v>187</v>
      </c>
      <c r="G9" t="s">
        <v>49</v>
      </c>
      <c r="H9" t="s">
        <v>62</v>
      </c>
      <c r="I9" s="1">
        <v>46174</v>
      </c>
      <c r="J9" s="1">
        <v>46204</v>
      </c>
      <c r="K9" s="2">
        <v>175</v>
      </c>
      <c r="L9">
        <v>1</v>
      </c>
      <c r="M9" s="5">
        <v>175</v>
      </c>
      <c r="N9" s="5">
        <v>175</v>
      </c>
      <c r="P9" t="s">
        <v>181</v>
      </c>
    </row>
    <row r="10" spans="1:16" x14ac:dyDescent="0.3">
      <c r="A10" s="4" t="s">
        <v>171</v>
      </c>
      <c r="B10" s="4" t="str">
        <f t="shared" si="0"/>
        <v>00000369525IOVR</v>
      </c>
      <c r="C10" t="s">
        <v>113</v>
      </c>
      <c r="D10" t="s">
        <v>46</v>
      </c>
      <c r="E10">
        <v>20411454</v>
      </c>
      <c r="F10" t="s">
        <v>187</v>
      </c>
      <c r="G10" t="s">
        <v>116</v>
      </c>
      <c r="H10" t="s">
        <v>62</v>
      </c>
      <c r="I10" s="1">
        <v>46023</v>
      </c>
      <c r="J10" s="1">
        <v>46143</v>
      </c>
      <c r="M10" s="5">
        <v>-117.25</v>
      </c>
      <c r="N10" s="5">
        <v>-117.25</v>
      </c>
      <c r="P10" t="s">
        <v>181</v>
      </c>
    </row>
    <row r="11" spans="1:16" x14ac:dyDescent="0.3">
      <c r="A11" s="4" t="s">
        <v>172</v>
      </c>
      <c r="B11" s="4" t="str">
        <f t="shared" si="0"/>
        <v>00020904940KOVR</v>
      </c>
      <c r="C11" t="s">
        <v>118</v>
      </c>
      <c r="D11" t="s">
        <v>119</v>
      </c>
      <c r="E11">
        <v>20411454</v>
      </c>
      <c r="F11" t="s">
        <v>187</v>
      </c>
      <c r="G11" t="s">
        <v>116</v>
      </c>
      <c r="H11" t="s">
        <v>62</v>
      </c>
      <c r="I11" s="1">
        <v>46023</v>
      </c>
      <c r="J11" s="1">
        <v>46143</v>
      </c>
      <c r="M11" s="5">
        <v>-117.25</v>
      </c>
      <c r="N11" s="5">
        <v>-117.25</v>
      </c>
      <c r="P11" t="s">
        <v>181</v>
      </c>
    </row>
    <row r="12" spans="1:16" x14ac:dyDescent="0.3">
      <c r="A12" s="4" t="s">
        <v>175</v>
      </c>
      <c r="B12" s="4" t="str">
        <f t="shared" si="0"/>
        <v>00026059647KOVR</v>
      </c>
      <c r="C12" t="s">
        <v>134</v>
      </c>
      <c r="D12" t="s">
        <v>46</v>
      </c>
      <c r="E12">
        <v>20411454</v>
      </c>
      <c r="F12" t="s">
        <v>187</v>
      </c>
      <c r="G12" t="s">
        <v>116</v>
      </c>
      <c r="H12" t="s">
        <v>62</v>
      </c>
      <c r="I12" s="1">
        <v>46023</v>
      </c>
      <c r="J12" s="1">
        <v>46143</v>
      </c>
      <c r="M12" s="5">
        <v>-117.25</v>
      </c>
      <c r="N12" s="5">
        <v>-117.25</v>
      </c>
      <c r="P12" t="s">
        <v>181</v>
      </c>
    </row>
    <row r="13" spans="1:16" x14ac:dyDescent="0.3">
      <c r="A13" s="4" t="s">
        <v>176</v>
      </c>
      <c r="B13" s="4" t="str">
        <f t="shared" si="0"/>
        <v>00026098831KOVR</v>
      </c>
      <c r="C13" t="s">
        <v>138</v>
      </c>
      <c r="D13" t="s">
        <v>139</v>
      </c>
      <c r="E13">
        <v>20411454</v>
      </c>
      <c r="F13" t="s">
        <v>187</v>
      </c>
      <c r="G13" t="s">
        <v>116</v>
      </c>
      <c r="H13" t="s">
        <v>62</v>
      </c>
      <c r="I13" s="1">
        <v>46082</v>
      </c>
      <c r="J13" s="1">
        <v>46143</v>
      </c>
      <c r="M13" s="5">
        <v>-145.25</v>
      </c>
      <c r="N13" s="5">
        <v>-145.25</v>
      </c>
      <c r="P13" t="s">
        <v>181</v>
      </c>
    </row>
    <row r="14" spans="1:16" x14ac:dyDescent="0.3">
      <c r="A14" s="4" t="s">
        <v>177</v>
      </c>
      <c r="B14" s="4" t="str">
        <f t="shared" si="0"/>
        <v>00026446350KOVR</v>
      </c>
      <c r="C14" t="s">
        <v>141</v>
      </c>
      <c r="D14" t="s">
        <v>46</v>
      </c>
      <c r="E14">
        <v>20411454</v>
      </c>
      <c r="F14" t="s">
        <v>187</v>
      </c>
      <c r="G14" t="s">
        <v>116</v>
      </c>
      <c r="H14" t="s">
        <v>62</v>
      </c>
      <c r="I14" s="1">
        <v>46143</v>
      </c>
      <c r="J14" s="1">
        <v>46174</v>
      </c>
      <c r="M14" s="5">
        <v>-175</v>
      </c>
      <c r="N14" s="5">
        <v>-175</v>
      </c>
      <c r="P14" t="s">
        <v>181</v>
      </c>
    </row>
    <row r="15" spans="1:16" x14ac:dyDescent="0.3">
      <c r="A15" s="4" t="s">
        <v>161</v>
      </c>
      <c r="B15" s="4" t="str">
        <f t="shared" si="0"/>
        <v>00012958781KOVR</v>
      </c>
      <c r="C15" t="s">
        <v>45</v>
      </c>
      <c r="D15" t="s">
        <v>46</v>
      </c>
      <c r="E15">
        <v>20411454</v>
      </c>
      <c r="F15" t="s">
        <v>187</v>
      </c>
      <c r="G15" t="s">
        <v>49</v>
      </c>
      <c r="H15" t="s">
        <v>50</v>
      </c>
      <c r="I15" s="1">
        <v>46143</v>
      </c>
      <c r="J15" s="1">
        <v>46174</v>
      </c>
      <c r="K15" s="2">
        <v>108</v>
      </c>
      <c r="L15">
        <v>1</v>
      </c>
      <c r="M15" s="5">
        <v>108</v>
      </c>
      <c r="N15" s="5">
        <v>108</v>
      </c>
      <c r="P15" t="s">
        <v>181</v>
      </c>
    </row>
    <row r="16" spans="1:16" x14ac:dyDescent="0.3">
      <c r="A16" s="4" t="s">
        <v>162</v>
      </c>
      <c r="B16" s="4" t="str">
        <f t="shared" si="0"/>
        <v>00023113212KOVR</v>
      </c>
      <c r="C16" t="s">
        <v>54</v>
      </c>
      <c r="D16" t="s">
        <v>55</v>
      </c>
      <c r="E16">
        <v>20411454</v>
      </c>
      <c r="F16" t="s">
        <v>187</v>
      </c>
      <c r="G16" t="s">
        <v>49</v>
      </c>
      <c r="H16" t="s">
        <v>50</v>
      </c>
      <c r="I16" s="1">
        <v>46174</v>
      </c>
      <c r="J16" s="1">
        <v>46204</v>
      </c>
      <c r="K16" s="2">
        <v>108</v>
      </c>
      <c r="L16">
        <v>1</v>
      </c>
      <c r="M16" s="5">
        <v>108</v>
      </c>
      <c r="N16" s="5">
        <v>108</v>
      </c>
      <c r="P16" t="s">
        <v>181</v>
      </c>
    </row>
    <row r="17" spans="1:17" x14ac:dyDescent="0.3">
      <c r="A17" s="4" t="s">
        <v>174</v>
      </c>
      <c r="B17" s="4" t="str">
        <f t="shared" si="0"/>
        <v>00025199148KOVR</v>
      </c>
      <c r="C17" t="s">
        <v>129</v>
      </c>
      <c r="D17" t="s">
        <v>130</v>
      </c>
      <c r="E17">
        <v>20411454</v>
      </c>
      <c r="F17" t="s">
        <v>187</v>
      </c>
      <c r="G17" t="s">
        <v>116</v>
      </c>
      <c r="H17" t="s">
        <v>50</v>
      </c>
      <c r="I17" s="1">
        <v>46054</v>
      </c>
      <c r="J17" s="1">
        <v>46143</v>
      </c>
      <c r="M17" s="5">
        <v>-72.36</v>
      </c>
      <c r="N17" s="5">
        <v>-72.36</v>
      </c>
      <c r="P17" t="s">
        <v>181</v>
      </c>
    </row>
    <row r="18" spans="1:17" s="7" customFormat="1" x14ac:dyDescent="0.3">
      <c r="A18" s="6" t="s">
        <v>173</v>
      </c>
      <c r="B18" s="6" t="s">
        <v>173</v>
      </c>
      <c r="C18" s="7" t="s">
        <v>123</v>
      </c>
      <c r="D18" s="7" t="s">
        <v>124</v>
      </c>
      <c r="E18" s="7">
        <v>18581063</v>
      </c>
      <c r="F18" s="7" t="s">
        <v>126</v>
      </c>
      <c r="G18" s="7" t="s">
        <v>116</v>
      </c>
      <c r="H18" s="7" t="s">
        <v>127</v>
      </c>
      <c r="I18" s="8">
        <v>46023</v>
      </c>
      <c r="J18" s="8">
        <v>46143</v>
      </c>
      <c r="M18" s="9">
        <v>-10.050000000000001</v>
      </c>
      <c r="N18" s="9">
        <v>-10.050000000000001</v>
      </c>
      <c r="P18" s="7" t="s">
        <v>182</v>
      </c>
    </row>
    <row r="19" spans="1:17" s="7" customFormat="1" x14ac:dyDescent="0.3">
      <c r="A19" s="6" t="s">
        <v>169</v>
      </c>
      <c r="B19" s="6" t="str">
        <f>CONCATENATE(A19,1)</f>
        <v>A044743981</v>
      </c>
      <c r="C19" s="7" t="s">
        <v>94</v>
      </c>
      <c r="D19" s="7" t="s">
        <v>95</v>
      </c>
      <c r="E19" s="7">
        <v>16849453</v>
      </c>
      <c r="F19" s="7" t="s">
        <v>97</v>
      </c>
      <c r="G19" s="7" t="s">
        <v>49</v>
      </c>
      <c r="H19" s="7" t="s">
        <v>98</v>
      </c>
      <c r="I19" s="8">
        <v>46204</v>
      </c>
      <c r="J19" s="8">
        <v>46508</v>
      </c>
      <c r="K19" s="10">
        <v>31.02</v>
      </c>
      <c r="L19" s="7">
        <v>9</v>
      </c>
      <c r="M19" s="9">
        <v>1</v>
      </c>
      <c r="N19" s="9">
        <v>279.18</v>
      </c>
      <c r="P19" s="7" t="s">
        <v>98</v>
      </c>
    </row>
    <row r="20" spans="1:17" s="7" customFormat="1" x14ac:dyDescent="0.3">
      <c r="A20" s="6" t="s">
        <v>170</v>
      </c>
      <c r="B20" s="6" t="str">
        <f>CONCATENATE(A20,1)</f>
        <v>A044748281</v>
      </c>
      <c r="C20" s="7" t="s">
        <v>100</v>
      </c>
      <c r="D20" s="7" t="s">
        <v>101</v>
      </c>
      <c r="E20" s="7">
        <v>17425766</v>
      </c>
      <c r="F20" s="7" t="s">
        <v>103</v>
      </c>
      <c r="G20" s="7" t="s">
        <v>49</v>
      </c>
      <c r="H20" s="7" t="s">
        <v>104</v>
      </c>
      <c r="I20" s="8">
        <v>46174</v>
      </c>
      <c r="J20" s="8">
        <v>46478</v>
      </c>
      <c r="K20" s="10">
        <v>4.92</v>
      </c>
      <c r="L20" s="7">
        <v>9</v>
      </c>
      <c r="M20" s="9">
        <v>1</v>
      </c>
      <c r="N20" s="9">
        <v>44.28</v>
      </c>
      <c r="P20" s="7" t="s">
        <v>104</v>
      </c>
    </row>
    <row r="21" spans="1:17" x14ac:dyDescent="0.3">
      <c r="A21" s="4">
        <v>930834019</v>
      </c>
      <c r="B21" s="4" t="str">
        <f t="shared" ref="B21:B22" si="1">CONCATENATE(A21,"OVR")</f>
        <v>930834019OVR</v>
      </c>
      <c r="C21" t="s">
        <v>155</v>
      </c>
      <c r="D21" t="s">
        <v>146</v>
      </c>
      <c r="E21">
        <v>20411454</v>
      </c>
      <c r="F21" t="s">
        <v>187</v>
      </c>
      <c r="G21" t="s">
        <v>116</v>
      </c>
      <c r="H21" t="s">
        <v>158</v>
      </c>
      <c r="I21" s="1">
        <v>46054</v>
      </c>
      <c r="J21" s="1">
        <v>46143</v>
      </c>
      <c r="M21" s="5">
        <v>-116.67</v>
      </c>
      <c r="N21" s="5">
        <v>-116.67</v>
      </c>
      <c r="P21" t="s">
        <v>183</v>
      </c>
    </row>
    <row r="22" spans="1:17" x14ac:dyDescent="0.3">
      <c r="A22" s="4">
        <v>953349258</v>
      </c>
      <c r="B22" s="4" t="str">
        <f t="shared" si="1"/>
        <v>953349258OVR</v>
      </c>
      <c r="C22" t="s">
        <v>86</v>
      </c>
      <c r="D22" t="s">
        <v>46</v>
      </c>
      <c r="E22">
        <v>20411454</v>
      </c>
      <c r="F22" t="s">
        <v>187</v>
      </c>
      <c r="G22" t="s">
        <v>49</v>
      </c>
      <c r="H22" t="s">
        <v>89</v>
      </c>
      <c r="I22" s="1">
        <v>46143</v>
      </c>
      <c r="J22" s="1">
        <v>46174</v>
      </c>
      <c r="K22" s="2">
        <v>113</v>
      </c>
      <c r="L22">
        <v>1</v>
      </c>
      <c r="M22" s="5">
        <v>113</v>
      </c>
      <c r="N22" s="5">
        <v>113</v>
      </c>
      <c r="P22" t="s">
        <v>183</v>
      </c>
    </row>
    <row r="23" spans="1:17" s="7" customFormat="1" x14ac:dyDescent="0.3">
      <c r="A23" s="6">
        <v>953349258</v>
      </c>
      <c r="B23" s="6" t="str">
        <f>CONCATENATE(A23,13)</f>
        <v>95334925813</v>
      </c>
      <c r="C23" s="7" t="s">
        <v>86</v>
      </c>
      <c r="D23" s="7" t="s">
        <v>46</v>
      </c>
      <c r="E23" s="7">
        <v>17301495</v>
      </c>
      <c r="F23" s="7" t="s">
        <v>88</v>
      </c>
      <c r="G23" s="7" t="s">
        <v>49</v>
      </c>
      <c r="H23" s="7" t="s">
        <v>91</v>
      </c>
      <c r="I23" s="8">
        <v>46143</v>
      </c>
      <c r="J23" s="8">
        <v>46174</v>
      </c>
      <c r="K23" s="10">
        <v>135.33000000000001</v>
      </c>
      <c r="L23" s="7">
        <v>1</v>
      </c>
      <c r="M23" s="9">
        <v>135.33000000000001</v>
      </c>
      <c r="N23" s="9">
        <v>135.33000000000001</v>
      </c>
      <c r="O23" s="7" t="s">
        <v>92</v>
      </c>
      <c r="P23" s="7" t="s">
        <v>184</v>
      </c>
    </row>
    <row r="24" spans="1:17" s="7" customFormat="1" x14ac:dyDescent="0.3">
      <c r="A24" s="6">
        <v>930834019</v>
      </c>
      <c r="B24" s="6" t="str">
        <f>CONCATENATE(A24,12)</f>
        <v>93083401912</v>
      </c>
      <c r="C24" s="7" t="s">
        <v>155</v>
      </c>
      <c r="D24" s="7" t="s">
        <v>146</v>
      </c>
      <c r="E24" s="7" t="s">
        <v>188</v>
      </c>
      <c r="F24" s="7" t="s">
        <v>157</v>
      </c>
      <c r="G24" s="7" t="s">
        <v>116</v>
      </c>
      <c r="H24" s="7" t="s">
        <v>160</v>
      </c>
      <c r="I24" s="8">
        <v>46054</v>
      </c>
      <c r="J24" s="8">
        <v>46143</v>
      </c>
      <c r="M24" s="9">
        <v>-1</v>
      </c>
      <c r="N24" s="9">
        <v>-520.66999999999996</v>
      </c>
      <c r="P24" s="7" t="s">
        <v>185</v>
      </c>
      <c r="Q24" s="7" t="s">
        <v>186</v>
      </c>
    </row>
  </sheetData>
  <sortState xmlns:xlrd2="http://schemas.microsoft.com/office/spreadsheetml/2017/richdata2" ref="A2:AN24">
    <sortCondition ref="H2:H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</cp:lastModifiedBy>
  <dcterms:created xsi:type="dcterms:W3CDTF">2026-05-21T10:29:59Z</dcterms:created>
  <dcterms:modified xsi:type="dcterms:W3CDTF">2026-05-21T14:57:46Z</dcterms:modified>
</cp:coreProperties>
</file>